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132253774df3028/Documents/Restaurant/"/>
    </mc:Choice>
  </mc:AlternateContent>
  <xr:revisionPtr revIDLastSave="10" documentId="11_62088C5AB1CCC5065BFB4FF6088324A0A416E772" xr6:coauthVersionLast="47" xr6:coauthVersionMax="47" xr10:uidLastSave="{3FA3BFBF-2CB0-4C5D-B5CB-2025B3D26FEA}"/>
  <bookViews>
    <workbookView xWindow="-108" yWindow="-108" windowWidth="23256" windowHeight="12456" activeTab="3" xr2:uid="{00000000-000D-0000-FFFF-FFFF00000000}"/>
  </bookViews>
  <sheets>
    <sheet name="Capital &amp; Ownership" sheetId="1" r:id="rId1"/>
    <sheet name="📊 Dashboard" sheetId="2" r:id="rId2"/>
    <sheet name="📅 Daily Log" sheetId="3" r:id="rId3"/>
    <sheet name="💸 Expenses" sheetId="4" r:id="rId4"/>
    <sheet name="📦 Inventory" sheetId="5" r:id="rId5"/>
    <sheet name="👥 Staff &amp; Payroll" sheetId="6" r:id="rId6"/>
    <sheet name="🚚 Suppliers" sheetId="7" r:id="rId7"/>
    <sheet name="📈 Monthly P&amp;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8" l="1"/>
  <c r="H59" i="8"/>
  <c r="G59" i="8"/>
  <c r="F59" i="8"/>
  <c r="E59" i="8"/>
  <c r="D59" i="8"/>
  <c r="C59" i="8"/>
  <c r="I58" i="8"/>
  <c r="I57" i="8"/>
  <c r="H57" i="8"/>
  <c r="G57" i="8"/>
  <c r="F57" i="8"/>
  <c r="E57" i="8"/>
  <c r="D57" i="8"/>
  <c r="C57" i="8"/>
  <c r="I56" i="8"/>
  <c r="I53" i="8"/>
  <c r="I52" i="8"/>
  <c r="H49" i="8"/>
  <c r="G49" i="8"/>
  <c r="F49" i="8"/>
  <c r="E49" i="8"/>
  <c r="D49" i="8"/>
  <c r="C49" i="8"/>
  <c r="I49" i="8" s="1"/>
  <c r="I48" i="8"/>
  <c r="I47" i="8"/>
  <c r="I46" i="8"/>
  <c r="I45" i="8"/>
  <c r="I44" i="8"/>
  <c r="F43" i="8"/>
  <c r="H42" i="8"/>
  <c r="H50" i="8" s="1"/>
  <c r="F42" i="8"/>
  <c r="F50" i="8" s="1"/>
  <c r="E42" i="8"/>
  <c r="E50" i="8" s="1"/>
  <c r="H41" i="8"/>
  <c r="G41" i="8"/>
  <c r="G42" i="8" s="1"/>
  <c r="F41" i="8"/>
  <c r="E41" i="8"/>
  <c r="D41" i="8"/>
  <c r="D42" i="8" s="1"/>
  <c r="C41" i="8"/>
  <c r="I41" i="8" s="1"/>
  <c r="I40" i="8"/>
  <c r="I39" i="8"/>
  <c r="I38" i="8"/>
  <c r="I34" i="8"/>
  <c r="H34" i="8"/>
  <c r="G34" i="8"/>
  <c r="F34" i="8"/>
  <c r="E34" i="8"/>
  <c r="D34" i="8"/>
  <c r="C34" i="8"/>
  <c r="I33" i="8"/>
  <c r="I32" i="8"/>
  <c r="H32" i="8"/>
  <c r="G32" i="8"/>
  <c r="F32" i="8"/>
  <c r="E32" i="8"/>
  <c r="D32" i="8"/>
  <c r="C32" i="8"/>
  <c r="I31" i="8"/>
  <c r="I27" i="8"/>
  <c r="I26" i="8"/>
  <c r="H24" i="8"/>
  <c r="H28" i="8" s="1"/>
  <c r="H29" i="8" s="1"/>
  <c r="H23" i="8"/>
  <c r="G23" i="8"/>
  <c r="F23" i="8"/>
  <c r="E23" i="8"/>
  <c r="D23" i="8"/>
  <c r="D24" i="8" s="1"/>
  <c r="C23" i="8"/>
  <c r="I23" i="8" s="1"/>
  <c r="I22" i="8"/>
  <c r="I21" i="8"/>
  <c r="I20" i="8"/>
  <c r="I19" i="8"/>
  <c r="I18" i="8"/>
  <c r="H16" i="8"/>
  <c r="H15" i="8"/>
  <c r="G15" i="8"/>
  <c r="G24" i="8" s="1"/>
  <c r="D15" i="8"/>
  <c r="D16" i="8" s="1"/>
  <c r="I14" i="8"/>
  <c r="H14" i="8"/>
  <c r="G14" i="8"/>
  <c r="F14" i="8"/>
  <c r="F15" i="8" s="1"/>
  <c r="E14" i="8"/>
  <c r="E15" i="8" s="1"/>
  <c r="D14" i="8"/>
  <c r="C14" i="8"/>
  <c r="C15" i="8" s="1"/>
  <c r="I13" i="8"/>
  <c r="I12" i="8"/>
  <c r="I10" i="8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H6" i="7"/>
  <c r="G6" i="7"/>
  <c r="F6" i="7"/>
  <c r="E6" i="7"/>
  <c r="D6" i="7"/>
  <c r="C6" i="7"/>
  <c r="B6" i="7"/>
  <c r="H28" i="6"/>
  <c r="F28" i="6"/>
  <c r="D28" i="6"/>
  <c r="B28" i="6"/>
  <c r="H27" i="6"/>
  <c r="F27" i="6"/>
  <c r="D27" i="6"/>
  <c r="B27" i="6"/>
  <c r="H26" i="6"/>
  <c r="F26" i="6"/>
  <c r="D26" i="6"/>
  <c r="B26" i="6"/>
  <c r="H25" i="6"/>
  <c r="F25" i="6"/>
  <c r="D25" i="6"/>
  <c r="B25" i="6"/>
  <c r="H24" i="6"/>
  <c r="F24" i="6"/>
  <c r="D24" i="6"/>
  <c r="B24" i="6"/>
  <c r="B23" i="6"/>
  <c r="B22" i="6"/>
  <c r="B21" i="6"/>
  <c r="M10" i="6"/>
  <c r="D23" i="6" s="1"/>
  <c r="F23" i="6" s="1"/>
  <c r="H23" i="6" s="1"/>
  <c r="L10" i="6"/>
  <c r="L16" i="6" s="1"/>
  <c r="M9" i="6"/>
  <c r="D22" i="6" s="1"/>
  <c r="F22" i="6" s="1"/>
  <c r="H22" i="6" s="1"/>
  <c r="L9" i="6"/>
  <c r="M8" i="6"/>
  <c r="D21" i="6" s="1"/>
  <c r="F21" i="6" s="1"/>
  <c r="H21" i="6" s="1"/>
  <c r="L8" i="6"/>
  <c r="E6" i="6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6" i="5"/>
  <c r="B6" i="5"/>
  <c r="I6" i="4"/>
  <c r="H6" i="4"/>
  <c r="J10" i="2" s="1"/>
  <c r="G6" i="4"/>
  <c r="F6" i="4"/>
  <c r="E6" i="4"/>
  <c r="D6" i="4"/>
  <c r="C6" i="4"/>
  <c r="B6" i="4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F52" i="2"/>
  <c r="D52" i="2"/>
  <c r="B52" i="2"/>
  <c r="F51" i="2"/>
  <c r="D51" i="2"/>
  <c r="B51" i="2"/>
  <c r="F50" i="2"/>
  <c r="D50" i="2"/>
  <c r="B50" i="2"/>
  <c r="K40" i="2"/>
  <c r="I40" i="2"/>
  <c r="G40" i="2"/>
  <c r="E40" i="2"/>
  <c r="B40" i="2"/>
  <c r="K39" i="2"/>
  <c r="I39" i="2"/>
  <c r="G39" i="2"/>
  <c r="E39" i="2"/>
  <c r="B39" i="2"/>
  <c r="K38" i="2"/>
  <c r="I38" i="2"/>
  <c r="G38" i="2"/>
  <c r="E38" i="2"/>
  <c r="B38" i="2"/>
  <c r="K37" i="2"/>
  <c r="G37" i="2"/>
  <c r="E37" i="2"/>
  <c r="B37" i="2"/>
  <c r="K36" i="2"/>
  <c r="I36" i="2"/>
  <c r="G36" i="2"/>
  <c r="E36" i="2"/>
  <c r="B36" i="2"/>
  <c r="J32" i="2"/>
  <c r="E32" i="2"/>
  <c r="D32" i="2"/>
  <c r="K32" i="2" s="1"/>
  <c r="C32" i="2"/>
  <c r="B32" i="2"/>
  <c r="J31" i="2"/>
  <c r="E31" i="2"/>
  <c r="D31" i="2"/>
  <c r="K31" i="2" s="1"/>
  <c r="C31" i="2"/>
  <c r="B31" i="2"/>
  <c r="K30" i="2"/>
  <c r="J30" i="2"/>
  <c r="E30" i="2"/>
  <c r="D30" i="2"/>
  <c r="C30" i="2"/>
  <c r="B30" i="2"/>
  <c r="J29" i="2"/>
  <c r="E29" i="2"/>
  <c r="D29" i="2"/>
  <c r="K29" i="2" s="1"/>
  <c r="C29" i="2"/>
  <c r="B29" i="2"/>
  <c r="K28" i="2"/>
  <c r="J28" i="2"/>
  <c r="E28" i="2"/>
  <c r="D28" i="2"/>
  <c r="C28" i="2"/>
  <c r="B28" i="2"/>
  <c r="K27" i="2"/>
  <c r="J27" i="2"/>
  <c r="E27" i="2"/>
  <c r="D27" i="2"/>
  <c r="C27" i="2"/>
  <c r="B27" i="2"/>
  <c r="K26" i="2"/>
  <c r="J26" i="2"/>
  <c r="E26" i="2"/>
  <c r="D26" i="2"/>
  <c r="C26" i="2"/>
  <c r="B26" i="2"/>
  <c r="K25" i="2"/>
  <c r="J25" i="2"/>
  <c r="E25" i="2"/>
  <c r="D25" i="2"/>
  <c r="C25" i="2"/>
  <c r="B25" i="2"/>
  <c r="J24" i="2"/>
  <c r="E24" i="2"/>
  <c r="D24" i="2"/>
  <c r="C24" i="2"/>
  <c r="B24" i="2"/>
  <c r="J23" i="2"/>
  <c r="E23" i="2"/>
  <c r="D23" i="2"/>
  <c r="K24" i="2" s="1"/>
  <c r="C23" i="2"/>
  <c r="B23" i="2"/>
  <c r="L17" i="2"/>
  <c r="J17" i="2"/>
  <c r="H17" i="2"/>
  <c r="F17" i="2"/>
  <c r="D17" i="2"/>
  <c r="B17" i="2"/>
  <c r="L10" i="2"/>
  <c r="H10" i="2"/>
  <c r="F10" i="2"/>
  <c r="D10" i="2"/>
  <c r="B10" i="2"/>
  <c r="C71" i="1"/>
  <c r="C70" i="1"/>
  <c r="D70" i="1" s="1"/>
  <c r="C68" i="1"/>
  <c r="D68" i="1" s="1"/>
  <c r="C67" i="1"/>
  <c r="C66" i="1"/>
  <c r="L45" i="2" s="1"/>
  <c r="C65" i="1"/>
  <c r="J45" i="2" s="1"/>
  <c r="C64" i="1"/>
  <c r="D64" i="1" s="1"/>
  <c r="C63" i="1"/>
  <c r="D59" i="1"/>
  <c r="D47" i="1"/>
  <c r="E6" i="1" s="1"/>
  <c r="D34" i="1"/>
  <c r="E22" i="1"/>
  <c r="F21" i="1"/>
  <c r="E21" i="1"/>
  <c r="D21" i="1"/>
  <c r="F20" i="1"/>
  <c r="E20" i="1"/>
  <c r="F19" i="1"/>
  <c r="E19" i="1"/>
  <c r="D15" i="1"/>
  <c r="D9" i="1"/>
  <c r="F53" i="2" s="1"/>
  <c r="C9" i="1"/>
  <c r="D53" i="2" s="1"/>
  <c r="E8" i="1"/>
  <c r="H52" i="2" s="1"/>
  <c r="E7" i="1"/>
  <c r="L51" i="2" s="1"/>
  <c r="P372" i="3"/>
  <c r="O372" i="3"/>
  <c r="I372" i="3"/>
  <c r="J372" i="3" s="1"/>
  <c r="H372" i="3"/>
  <c r="G372" i="3"/>
  <c r="D372" i="3"/>
  <c r="C372" i="3"/>
  <c r="P371" i="3"/>
  <c r="O371" i="3"/>
  <c r="Q371" i="3" s="1"/>
  <c r="I371" i="3"/>
  <c r="J371" i="3" s="1"/>
  <c r="H371" i="3"/>
  <c r="G371" i="3"/>
  <c r="D371" i="3"/>
  <c r="C371" i="3"/>
  <c r="P370" i="3"/>
  <c r="O370" i="3"/>
  <c r="J370" i="3"/>
  <c r="I370" i="3"/>
  <c r="H370" i="3"/>
  <c r="G370" i="3"/>
  <c r="D370" i="3"/>
  <c r="C370" i="3"/>
  <c r="P369" i="3"/>
  <c r="O369" i="3"/>
  <c r="Q369" i="3" s="1"/>
  <c r="I369" i="3"/>
  <c r="J369" i="3" s="1"/>
  <c r="H369" i="3"/>
  <c r="G369" i="3"/>
  <c r="D369" i="3"/>
  <c r="C369" i="3"/>
  <c r="P368" i="3"/>
  <c r="O368" i="3"/>
  <c r="J368" i="3"/>
  <c r="I368" i="3"/>
  <c r="H368" i="3"/>
  <c r="G368" i="3"/>
  <c r="D368" i="3"/>
  <c r="C368" i="3"/>
  <c r="P367" i="3"/>
  <c r="O367" i="3"/>
  <c r="Q367" i="3" s="1"/>
  <c r="I367" i="3"/>
  <c r="J367" i="3" s="1"/>
  <c r="H367" i="3"/>
  <c r="G367" i="3"/>
  <c r="D367" i="3"/>
  <c r="C367" i="3"/>
  <c r="P366" i="3"/>
  <c r="O366" i="3"/>
  <c r="J366" i="3"/>
  <c r="I366" i="3"/>
  <c r="H366" i="3"/>
  <c r="G366" i="3"/>
  <c r="D366" i="3"/>
  <c r="C366" i="3"/>
  <c r="P365" i="3"/>
  <c r="O365" i="3"/>
  <c r="Q365" i="3" s="1"/>
  <c r="I365" i="3"/>
  <c r="J365" i="3" s="1"/>
  <c r="H365" i="3"/>
  <c r="G365" i="3"/>
  <c r="D365" i="3"/>
  <c r="C365" i="3"/>
  <c r="P364" i="3"/>
  <c r="O364" i="3"/>
  <c r="J364" i="3"/>
  <c r="I364" i="3"/>
  <c r="H364" i="3"/>
  <c r="G364" i="3"/>
  <c r="D364" i="3"/>
  <c r="C364" i="3"/>
  <c r="P363" i="3"/>
  <c r="O363" i="3"/>
  <c r="Q363" i="3" s="1"/>
  <c r="I363" i="3"/>
  <c r="J363" i="3" s="1"/>
  <c r="H363" i="3"/>
  <c r="G363" i="3"/>
  <c r="D363" i="3"/>
  <c r="C363" i="3"/>
  <c r="P362" i="3"/>
  <c r="O362" i="3"/>
  <c r="J362" i="3"/>
  <c r="I362" i="3"/>
  <c r="H362" i="3"/>
  <c r="G362" i="3"/>
  <c r="D362" i="3"/>
  <c r="C362" i="3"/>
  <c r="P361" i="3"/>
  <c r="O361" i="3"/>
  <c r="I361" i="3"/>
  <c r="J361" i="3" s="1"/>
  <c r="H361" i="3"/>
  <c r="G361" i="3"/>
  <c r="D361" i="3"/>
  <c r="C361" i="3"/>
  <c r="P360" i="3"/>
  <c r="O360" i="3"/>
  <c r="J360" i="3"/>
  <c r="H360" i="3"/>
  <c r="I360" i="3" s="1"/>
  <c r="G360" i="3"/>
  <c r="D360" i="3"/>
  <c r="C360" i="3"/>
  <c r="P359" i="3"/>
  <c r="O359" i="3"/>
  <c r="J359" i="3"/>
  <c r="I359" i="3"/>
  <c r="H359" i="3"/>
  <c r="G359" i="3"/>
  <c r="D359" i="3"/>
  <c r="C359" i="3"/>
  <c r="P358" i="3"/>
  <c r="O358" i="3"/>
  <c r="H358" i="3"/>
  <c r="I358" i="3" s="1"/>
  <c r="J358" i="3" s="1"/>
  <c r="G358" i="3"/>
  <c r="D358" i="3"/>
  <c r="C358" i="3"/>
  <c r="P357" i="3"/>
  <c r="O357" i="3"/>
  <c r="Q357" i="3" s="1"/>
  <c r="H357" i="3"/>
  <c r="I357" i="3" s="1"/>
  <c r="J357" i="3" s="1"/>
  <c r="G357" i="3"/>
  <c r="D357" i="3"/>
  <c r="C357" i="3"/>
  <c r="P356" i="3"/>
  <c r="O356" i="3"/>
  <c r="J356" i="3"/>
  <c r="H356" i="3"/>
  <c r="I356" i="3" s="1"/>
  <c r="G356" i="3"/>
  <c r="D356" i="3"/>
  <c r="C356" i="3"/>
  <c r="P355" i="3"/>
  <c r="O355" i="3"/>
  <c r="H355" i="3"/>
  <c r="I355" i="3" s="1"/>
  <c r="J355" i="3" s="1"/>
  <c r="G355" i="3"/>
  <c r="D355" i="3"/>
  <c r="C355" i="3"/>
  <c r="P354" i="3"/>
  <c r="O354" i="3"/>
  <c r="J354" i="3"/>
  <c r="H354" i="3"/>
  <c r="I354" i="3" s="1"/>
  <c r="G354" i="3"/>
  <c r="D354" i="3"/>
  <c r="C354" i="3"/>
  <c r="P353" i="3"/>
  <c r="O353" i="3"/>
  <c r="J353" i="3"/>
  <c r="H353" i="3"/>
  <c r="I353" i="3" s="1"/>
  <c r="G353" i="3"/>
  <c r="D353" i="3"/>
  <c r="C353" i="3"/>
  <c r="Q352" i="3"/>
  <c r="P352" i="3"/>
  <c r="O352" i="3"/>
  <c r="H352" i="3"/>
  <c r="I352" i="3" s="1"/>
  <c r="J352" i="3" s="1"/>
  <c r="G352" i="3"/>
  <c r="D352" i="3"/>
  <c r="C352" i="3"/>
  <c r="Q351" i="3"/>
  <c r="P351" i="3"/>
  <c r="O351" i="3"/>
  <c r="H351" i="3"/>
  <c r="I351" i="3" s="1"/>
  <c r="J351" i="3" s="1"/>
  <c r="G351" i="3"/>
  <c r="D351" i="3"/>
  <c r="C351" i="3"/>
  <c r="P350" i="3"/>
  <c r="O350" i="3"/>
  <c r="Q350" i="3" s="1"/>
  <c r="H350" i="3"/>
  <c r="I350" i="3" s="1"/>
  <c r="J350" i="3" s="1"/>
  <c r="G350" i="3"/>
  <c r="D350" i="3"/>
  <c r="C350" i="3"/>
  <c r="Q349" i="3"/>
  <c r="P349" i="3"/>
  <c r="O349" i="3"/>
  <c r="H349" i="3"/>
  <c r="I349" i="3" s="1"/>
  <c r="J349" i="3" s="1"/>
  <c r="G349" i="3"/>
  <c r="D349" i="3"/>
  <c r="C349" i="3"/>
  <c r="P348" i="3"/>
  <c r="O348" i="3"/>
  <c r="Q348" i="3" s="1"/>
  <c r="H348" i="3"/>
  <c r="I348" i="3" s="1"/>
  <c r="J348" i="3" s="1"/>
  <c r="G348" i="3"/>
  <c r="D348" i="3"/>
  <c r="C348" i="3"/>
  <c r="Q347" i="3"/>
  <c r="P347" i="3"/>
  <c r="O347" i="3"/>
  <c r="H347" i="3"/>
  <c r="I347" i="3" s="1"/>
  <c r="J347" i="3" s="1"/>
  <c r="G347" i="3"/>
  <c r="D347" i="3"/>
  <c r="C347" i="3"/>
  <c r="P346" i="3"/>
  <c r="O346" i="3"/>
  <c r="H346" i="3"/>
  <c r="I346" i="3" s="1"/>
  <c r="J346" i="3" s="1"/>
  <c r="G346" i="3"/>
  <c r="D346" i="3"/>
  <c r="C346" i="3"/>
  <c r="Q345" i="3"/>
  <c r="P345" i="3"/>
  <c r="O345" i="3"/>
  <c r="H345" i="3"/>
  <c r="I345" i="3" s="1"/>
  <c r="J345" i="3" s="1"/>
  <c r="G345" i="3"/>
  <c r="D345" i="3"/>
  <c r="C345" i="3"/>
  <c r="P344" i="3"/>
  <c r="O344" i="3"/>
  <c r="Q344" i="3" s="1"/>
  <c r="H344" i="3"/>
  <c r="I344" i="3" s="1"/>
  <c r="J344" i="3" s="1"/>
  <c r="G344" i="3"/>
  <c r="D344" i="3"/>
  <c r="C344" i="3"/>
  <c r="Q343" i="3"/>
  <c r="P343" i="3"/>
  <c r="O343" i="3"/>
  <c r="H343" i="3"/>
  <c r="I343" i="3" s="1"/>
  <c r="J343" i="3" s="1"/>
  <c r="G343" i="3"/>
  <c r="D343" i="3"/>
  <c r="C343" i="3"/>
  <c r="P342" i="3"/>
  <c r="O342" i="3"/>
  <c r="Q342" i="3" s="1"/>
  <c r="H342" i="3"/>
  <c r="I342" i="3" s="1"/>
  <c r="J342" i="3" s="1"/>
  <c r="G342" i="3"/>
  <c r="D342" i="3"/>
  <c r="C342" i="3"/>
  <c r="Q341" i="3"/>
  <c r="P341" i="3"/>
  <c r="O341" i="3"/>
  <c r="H341" i="3"/>
  <c r="I341" i="3" s="1"/>
  <c r="J341" i="3" s="1"/>
  <c r="G341" i="3"/>
  <c r="D341" i="3"/>
  <c r="C341" i="3"/>
  <c r="P340" i="3"/>
  <c r="O340" i="3"/>
  <c r="Q340" i="3" s="1"/>
  <c r="H340" i="3"/>
  <c r="I340" i="3" s="1"/>
  <c r="J340" i="3" s="1"/>
  <c r="G340" i="3"/>
  <c r="D340" i="3"/>
  <c r="C340" i="3"/>
  <c r="Q339" i="3"/>
  <c r="P339" i="3"/>
  <c r="O339" i="3"/>
  <c r="H339" i="3"/>
  <c r="I339" i="3" s="1"/>
  <c r="J339" i="3" s="1"/>
  <c r="G339" i="3"/>
  <c r="D339" i="3"/>
  <c r="C339" i="3"/>
  <c r="P338" i="3"/>
  <c r="O338" i="3"/>
  <c r="Q338" i="3" s="1"/>
  <c r="H338" i="3"/>
  <c r="I338" i="3" s="1"/>
  <c r="J338" i="3" s="1"/>
  <c r="G338" i="3"/>
  <c r="D338" i="3"/>
  <c r="C338" i="3"/>
  <c r="Q337" i="3"/>
  <c r="P337" i="3"/>
  <c r="O337" i="3"/>
  <c r="H337" i="3"/>
  <c r="I337" i="3" s="1"/>
  <c r="J337" i="3" s="1"/>
  <c r="G337" i="3"/>
  <c r="D337" i="3"/>
  <c r="C337" i="3"/>
  <c r="P336" i="3"/>
  <c r="O336" i="3"/>
  <c r="Q336" i="3" s="1"/>
  <c r="H336" i="3"/>
  <c r="I336" i="3" s="1"/>
  <c r="J336" i="3" s="1"/>
  <c r="G336" i="3"/>
  <c r="D336" i="3"/>
  <c r="C336" i="3"/>
  <c r="Q335" i="3"/>
  <c r="P335" i="3"/>
  <c r="O335" i="3"/>
  <c r="H335" i="3"/>
  <c r="I335" i="3" s="1"/>
  <c r="J335" i="3" s="1"/>
  <c r="G335" i="3"/>
  <c r="D335" i="3"/>
  <c r="C335" i="3"/>
  <c r="P334" i="3"/>
  <c r="O334" i="3"/>
  <c r="Q334" i="3" s="1"/>
  <c r="H334" i="3"/>
  <c r="I334" i="3" s="1"/>
  <c r="J334" i="3" s="1"/>
  <c r="G334" i="3"/>
  <c r="D334" i="3"/>
  <c r="C334" i="3"/>
  <c r="Q333" i="3"/>
  <c r="P333" i="3"/>
  <c r="O333" i="3"/>
  <c r="H333" i="3"/>
  <c r="I333" i="3" s="1"/>
  <c r="J333" i="3" s="1"/>
  <c r="G333" i="3"/>
  <c r="D333" i="3"/>
  <c r="C333" i="3"/>
  <c r="P332" i="3"/>
  <c r="O332" i="3"/>
  <c r="Q332" i="3" s="1"/>
  <c r="H332" i="3"/>
  <c r="I332" i="3" s="1"/>
  <c r="J332" i="3" s="1"/>
  <c r="G332" i="3"/>
  <c r="D332" i="3"/>
  <c r="C332" i="3"/>
  <c r="Q331" i="3"/>
  <c r="P331" i="3"/>
  <c r="O331" i="3"/>
  <c r="H331" i="3"/>
  <c r="I331" i="3" s="1"/>
  <c r="J331" i="3" s="1"/>
  <c r="G331" i="3"/>
  <c r="D331" i="3"/>
  <c r="C331" i="3"/>
  <c r="P330" i="3"/>
  <c r="O330" i="3"/>
  <c r="Q330" i="3" s="1"/>
  <c r="H330" i="3"/>
  <c r="I330" i="3" s="1"/>
  <c r="J330" i="3" s="1"/>
  <c r="G330" i="3"/>
  <c r="D330" i="3"/>
  <c r="C330" i="3"/>
  <c r="P329" i="3"/>
  <c r="O329" i="3"/>
  <c r="Q329" i="3" s="1"/>
  <c r="H329" i="3"/>
  <c r="I329" i="3" s="1"/>
  <c r="J329" i="3" s="1"/>
  <c r="G329" i="3"/>
  <c r="D329" i="3"/>
  <c r="C329" i="3"/>
  <c r="P328" i="3"/>
  <c r="O328" i="3"/>
  <c r="Q328" i="3" s="1"/>
  <c r="H328" i="3"/>
  <c r="I328" i="3" s="1"/>
  <c r="J328" i="3" s="1"/>
  <c r="G328" i="3"/>
  <c r="D328" i="3"/>
  <c r="C328" i="3"/>
  <c r="Q327" i="3"/>
  <c r="P327" i="3"/>
  <c r="O327" i="3"/>
  <c r="H327" i="3"/>
  <c r="I327" i="3" s="1"/>
  <c r="J327" i="3" s="1"/>
  <c r="G327" i="3"/>
  <c r="D327" i="3"/>
  <c r="C327" i="3"/>
  <c r="P326" i="3"/>
  <c r="O326" i="3"/>
  <c r="Q326" i="3" s="1"/>
  <c r="H326" i="3"/>
  <c r="I326" i="3" s="1"/>
  <c r="J326" i="3" s="1"/>
  <c r="G326" i="3"/>
  <c r="D326" i="3"/>
  <c r="C326" i="3"/>
  <c r="P325" i="3"/>
  <c r="O325" i="3"/>
  <c r="Q325" i="3" s="1"/>
  <c r="H325" i="3"/>
  <c r="I325" i="3" s="1"/>
  <c r="J325" i="3" s="1"/>
  <c r="G325" i="3"/>
  <c r="D325" i="3"/>
  <c r="C325" i="3"/>
  <c r="P324" i="3"/>
  <c r="O324" i="3"/>
  <c r="Q324" i="3" s="1"/>
  <c r="H324" i="3"/>
  <c r="I324" i="3" s="1"/>
  <c r="J324" i="3" s="1"/>
  <c r="G324" i="3"/>
  <c r="D324" i="3"/>
  <c r="C324" i="3"/>
  <c r="Q323" i="3"/>
  <c r="P323" i="3"/>
  <c r="O323" i="3"/>
  <c r="H323" i="3"/>
  <c r="I323" i="3" s="1"/>
  <c r="J323" i="3" s="1"/>
  <c r="G323" i="3"/>
  <c r="D323" i="3"/>
  <c r="C323" i="3"/>
  <c r="P322" i="3"/>
  <c r="O322" i="3"/>
  <c r="Q322" i="3" s="1"/>
  <c r="H322" i="3"/>
  <c r="I322" i="3" s="1"/>
  <c r="J322" i="3" s="1"/>
  <c r="G322" i="3"/>
  <c r="D322" i="3"/>
  <c r="C322" i="3"/>
  <c r="P321" i="3"/>
  <c r="O321" i="3"/>
  <c r="Q321" i="3" s="1"/>
  <c r="H321" i="3"/>
  <c r="I321" i="3" s="1"/>
  <c r="J321" i="3" s="1"/>
  <c r="G321" i="3"/>
  <c r="D321" i="3"/>
  <c r="C321" i="3"/>
  <c r="P320" i="3"/>
  <c r="O320" i="3"/>
  <c r="Q320" i="3" s="1"/>
  <c r="J320" i="3"/>
  <c r="H320" i="3"/>
  <c r="I320" i="3" s="1"/>
  <c r="G320" i="3"/>
  <c r="D320" i="3"/>
  <c r="C320" i="3"/>
  <c r="P319" i="3"/>
  <c r="O319" i="3"/>
  <c r="Q319" i="3" s="1"/>
  <c r="H319" i="3"/>
  <c r="I319" i="3" s="1"/>
  <c r="J319" i="3" s="1"/>
  <c r="G319" i="3"/>
  <c r="D319" i="3"/>
  <c r="C319" i="3"/>
  <c r="P318" i="3"/>
  <c r="O318" i="3"/>
  <c r="Q318" i="3" s="1"/>
  <c r="H318" i="3"/>
  <c r="I318" i="3" s="1"/>
  <c r="J318" i="3" s="1"/>
  <c r="G318" i="3"/>
  <c r="D318" i="3"/>
  <c r="C318" i="3"/>
  <c r="P317" i="3"/>
  <c r="O317" i="3"/>
  <c r="Q317" i="3" s="1"/>
  <c r="H317" i="3"/>
  <c r="I317" i="3" s="1"/>
  <c r="J317" i="3" s="1"/>
  <c r="G317" i="3"/>
  <c r="D317" i="3"/>
  <c r="C317" i="3"/>
  <c r="P316" i="3"/>
  <c r="O316" i="3"/>
  <c r="Q316" i="3" s="1"/>
  <c r="H316" i="3"/>
  <c r="I316" i="3" s="1"/>
  <c r="J316" i="3" s="1"/>
  <c r="G316" i="3"/>
  <c r="D316" i="3"/>
  <c r="C316" i="3"/>
  <c r="Q315" i="3"/>
  <c r="P315" i="3"/>
  <c r="O315" i="3"/>
  <c r="H315" i="3"/>
  <c r="I315" i="3" s="1"/>
  <c r="J315" i="3" s="1"/>
  <c r="G315" i="3"/>
  <c r="D315" i="3"/>
  <c r="C315" i="3"/>
  <c r="Q314" i="3"/>
  <c r="P314" i="3"/>
  <c r="O314" i="3"/>
  <c r="H314" i="3"/>
  <c r="I314" i="3" s="1"/>
  <c r="J314" i="3" s="1"/>
  <c r="G314" i="3"/>
  <c r="D314" i="3"/>
  <c r="C314" i="3"/>
  <c r="Q313" i="3"/>
  <c r="P313" i="3"/>
  <c r="O313" i="3"/>
  <c r="H313" i="3"/>
  <c r="I313" i="3" s="1"/>
  <c r="J313" i="3" s="1"/>
  <c r="G313" i="3"/>
  <c r="D313" i="3"/>
  <c r="C313" i="3"/>
  <c r="Q312" i="3"/>
  <c r="P312" i="3"/>
  <c r="O312" i="3"/>
  <c r="J312" i="3"/>
  <c r="H312" i="3"/>
  <c r="I312" i="3" s="1"/>
  <c r="G312" i="3"/>
  <c r="D312" i="3"/>
  <c r="C312" i="3"/>
  <c r="P311" i="3"/>
  <c r="O311" i="3"/>
  <c r="H311" i="3"/>
  <c r="I311" i="3" s="1"/>
  <c r="J311" i="3" s="1"/>
  <c r="G311" i="3"/>
  <c r="D311" i="3"/>
  <c r="C311" i="3"/>
  <c r="Q310" i="3"/>
  <c r="P310" i="3"/>
  <c r="O310" i="3"/>
  <c r="J310" i="3"/>
  <c r="H310" i="3"/>
  <c r="I310" i="3" s="1"/>
  <c r="G310" i="3"/>
  <c r="D310" i="3"/>
  <c r="C310" i="3"/>
  <c r="P309" i="3"/>
  <c r="Q309" i="3" s="1"/>
  <c r="O309" i="3"/>
  <c r="I309" i="3"/>
  <c r="J309" i="3" s="1"/>
  <c r="H309" i="3"/>
  <c r="G309" i="3"/>
  <c r="D309" i="3"/>
  <c r="C309" i="3"/>
  <c r="P308" i="3"/>
  <c r="O308" i="3"/>
  <c r="Q308" i="3" s="1"/>
  <c r="J308" i="3"/>
  <c r="H308" i="3"/>
  <c r="I308" i="3" s="1"/>
  <c r="G308" i="3"/>
  <c r="D308" i="3"/>
  <c r="C308" i="3"/>
  <c r="P307" i="3"/>
  <c r="Q307" i="3" s="1"/>
  <c r="O307" i="3"/>
  <c r="H307" i="3"/>
  <c r="I307" i="3" s="1"/>
  <c r="J307" i="3" s="1"/>
  <c r="G307" i="3"/>
  <c r="D307" i="3"/>
  <c r="C307" i="3"/>
  <c r="P306" i="3"/>
  <c r="O306" i="3"/>
  <c r="Q306" i="3" s="1"/>
  <c r="J306" i="3"/>
  <c r="H306" i="3"/>
  <c r="I306" i="3" s="1"/>
  <c r="G306" i="3"/>
  <c r="D306" i="3"/>
  <c r="C306" i="3"/>
  <c r="P305" i="3"/>
  <c r="O305" i="3"/>
  <c r="Q305" i="3" s="1"/>
  <c r="J305" i="3"/>
  <c r="H305" i="3"/>
  <c r="I305" i="3" s="1"/>
  <c r="G305" i="3"/>
  <c r="D305" i="3"/>
  <c r="C305" i="3"/>
  <c r="P304" i="3"/>
  <c r="O304" i="3"/>
  <c r="Q304" i="3" s="1"/>
  <c r="H304" i="3"/>
  <c r="I304" i="3" s="1"/>
  <c r="J304" i="3" s="1"/>
  <c r="G304" i="3"/>
  <c r="D304" i="3"/>
  <c r="C304" i="3"/>
  <c r="Q303" i="3"/>
  <c r="P303" i="3"/>
  <c r="O303" i="3"/>
  <c r="J303" i="3"/>
  <c r="H303" i="3"/>
  <c r="I303" i="3" s="1"/>
  <c r="G303" i="3"/>
  <c r="D303" i="3"/>
  <c r="C303" i="3"/>
  <c r="P302" i="3"/>
  <c r="O302" i="3"/>
  <c r="Q302" i="3" s="1"/>
  <c r="H302" i="3"/>
  <c r="I302" i="3" s="1"/>
  <c r="J302" i="3" s="1"/>
  <c r="G302" i="3"/>
  <c r="D302" i="3"/>
  <c r="C302" i="3"/>
  <c r="P301" i="3"/>
  <c r="O301" i="3"/>
  <c r="Q301" i="3" s="1"/>
  <c r="H301" i="3"/>
  <c r="I301" i="3" s="1"/>
  <c r="J301" i="3" s="1"/>
  <c r="G301" i="3"/>
  <c r="D301" i="3"/>
  <c r="C301" i="3"/>
  <c r="P300" i="3"/>
  <c r="Q300" i="3" s="1"/>
  <c r="O300" i="3"/>
  <c r="H300" i="3"/>
  <c r="I300" i="3" s="1"/>
  <c r="J300" i="3" s="1"/>
  <c r="G300" i="3"/>
  <c r="D300" i="3"/>
  <c r="C300" i="3"/>
  <c r="P299" i="3"/>
  <c r="O299" i="3"/>
  <c r="Q299" i="3" s="1"/>
  <c r="J299" i="3"/>
  <c r="H299" i="3"/>
  <c r="I299" i="3" s="1"/>
  <c r="G299" i="3"/>
  <c r="D299" i="3"/>
  <c r="C299" i="3"/>
  <c r="P298" i="3"/>
  <c r="Q298" i="3" s="1"/>
  <c r="O298" i="3"/>
  <c r="H298" i="3"/>
  <c r="I298" i="3" s="1"/>
  <c r="J298" i="3" s="1"/>
  <c r="G298" i="3"/>
  <c r="D298" i="3"/>
  <c r="C298" i="3"/>
  <c r="Q297" i="3"/>
  <c r="P297" i="3"/>
  <c r="O297" i="3"/>
  <c r="J297" i="3"/>
  <c r="H297" i="3"/>
  <c r="I297" i="3" s="1"/>
  <c r="G297" i="3"/>
  <c r="D297" i="3"/>
  <c r="C297" i="3"/>
  <c r="P296" i="3"/>
  <c r="O296" i="3"/>
  <c r="Q296" i="3" s="1"/>
  <c r="H296" i="3"/>
  <c r="I296" i="3" s="1"/>
  <c r="J296" i="3" s="1"/>
  <c r="G296" i="3"/>
  <c r="D296" i="3"/>
  <c r="C296" i="3"/>
  <c r="Q295" i="3"/>
  <c r="P295" i="3"/>
  <c r="O295" i="3"/>
  <c r="J295" i="3"/>
  <c r="H295" i="3"/>
  <c r="I295" i="3" s="1"/>
  <c r="G295" i="3"/>
  <c r="D295" i="3"/>
  <c r="C295" i="3"/>
  <c r="P294" i="3"/>
  <c r="O294" i="3"/>
  <c r="Q294" i="3" s="1"/>
  <c r="H294" i="3"/>
  <c r="I294" i="3" s="1"/>
  <c r="J294" i="3" s="1"/>
  <c r="G294" i="3"/>
  <c r="D294" i="3"/>
  <c r="C294" i="3"/>
  <c r="P293" i="3"/>
  <c r="O293" i="3"/>
  <c r="Q293" i="3" s="1"/>
  <c r="H293" i="3"/>
  <c r="I293" i="3" s="1"/>
  <c r="J293" i="3" s="1"/>
  <c r="G293" i="3"/>
  <c r="D293" i="3"/>
  <c r="C293" i="3"/>
  <c r="P292" i="3"/>
  <c r="Q292" i="3" s="1"/>
  <c r="O292" i="3"/>
  <c r="H292" i="3"/>
  <c r="I292" i="3" s="1"/>
  <c r="J292" i="3" s="1"/>
  <c r="G292" i="3"/>
  <c r="D292" i="3"/>
  <c r="C292" i="3"/>
  <c r="P291" i="3"/>
  <c r="O291" i="3"/>
  <c r="Q291" i="3" s="1"/>
  <c r="J291" i="3"/>
  <c r="H291" i="3"/>
  <c r="I291" i="3" s="1"/>
  <c r="G291" i="3"/>
  <c r="D291" i="3"/>
  <c r="C291" i="3"/>
  <c r="P290" i="3"/>
  <c r="Q290" i="3" s="1"/>
  <c r="O290" i="3"/>
  <c r="H290" i="3"/>
  <c r="I290" i="3" s="1"/>
  <c r="J290" i="3" s="1"/>
  <c r="G290" i="3"/>
  <c r="D290" i="3"/>
  <c r="C290" i="3"/>
  <c r="Q289" i="3"/>
  <c r="P289" i="3"/>
  <c r="O289" i="3"/>
  <c r="J289" i="3"/>
  <c r="H289" i="3"/>
  <c r="I289" i="3" s="1"/>
  <c r="G289" i="3"/>
  <c r="D289" i="3"/>
  <c r="C289" i="3"/>
  <c r="P288" i="3"/>
  <c r="O288" i="3"/>
  <c r="Q288" i="3" s="1"/>
  <c r="H288" i="3"/>
  <c r="I288" i="3" s="1"/>
  <c r="J288" i="3" s="1"/>
  <c r="G288" i="3"/>
  <c r="D288" i="3"/>
  <c r="C288" i="3"/>
  <c r="Q287" i="3"/>
  <c r="P287" i="3"/>
  <c r="O287" i="3"/>
  <c r="J287" i="3"/>
  <c r="H287" i="3"/>
  <c r="I287" i="3" s="1"/>
  <c r="G287" i="3"/>
  <c r="D287" i="3"/>
  <c r="C287" i="3"/>
  <c r="P286" i="3"/>
  <c r="O286" i="3"/>
  <c r="Q286" i="3" s="1"/>
  <c r="H286" i="3"/>
  <c r="I286" i="3" s="1"/>
  <c r="J286" i="3" s="1"/>
  <c r="G286" i="3"/>
  <c r="D286" i="3"/>
  <c r="C286" i="3"/>
  <c r="P285" i="3"/>
  <c r="O285" i="3"/>
  <c r="Q285" i="3" s="1"/>
  <c r="H285" i="3"/>
  <c r="I285" i="3" s="1"/>
  <c r="J285" i="3" s="1"/>
  <c r="G285" i="3"/>
  <c r="D285" i="3"/>
  <c r="C285" i="3"/>
  <c r="P284" i="3"/>
  <c r="Q284" i="3" s="1"/>
  <c r="O284" i="3"/>
  <c r="H284" i="3"/>
  <c r="I284" i="3" s="1"/>
  <c r="J284" i="3" s="1"/>
  <c r="G284" i="3"/>
  <c r="D284" i="3"/>
  <c r="C284" i="3"/>
  <c r="P283" i="3"/>
  <c r="O283" i="3"/>
  <c r="Q283" i="3" s="1"/>
  <c r="J283" i="3"/>
  <c r="H283" i="3"/>
  <c r="I283" i="3" s="1"/>
  <c r="G283" i="3"/>
  <c r="D283" i="3"/>
  <c r="C283" i="3"/>
  <c r="P282" i="3"/>
  <c r="Q282" i="3" s="1"/>
  <c r="O282" i="3"/>
  <c r="H282" i="3"/>
  <c r="I282" i="3" s="1"/>
  <c r="J282" i="3" s="1"/>
  <c r="G282" i="3"/>
  <c r="D282" i="3"/>
  <c r="C282" i="3"/>
  <c r="Q281" i="3"/>
  <c r="P281" i="3"/>
  <c r="O281" i="3"/>
  <c r="J281" i="3"/>
  <c r="H281" i="3"/>
  <c r="I281" i="3" s="1"/>
  <c r="G281" i="3"/>
  <c r="D281" i="3"/>
  <c r="C281" i="3"/>
  <c r="P280" i="3"/>
  <c r="O280" i="3"/>
  <c r="Q280" i="3" s="1"/>
  <c r="H280" i="3"/>
  <c r="I280" i="3" s="1"/>
  <c r="J280" i="3" s="1"/>
  <c r="G280" i="3"/>
  <c r="D280" i="3"/>
  <c r="C280" i="3"/>
  <c r="Q279" i="3"/>
  <c r="P279" i="3"/>
  <c r="O279" i="3"/>
  <c r="J279" i="3"/>
  <c r="H279" i="3"/>
  <c r="I279" i="3" s="1"/>
  <c r="G279" i="3"/>
  <c r="D279" i="3"/>
  <c r="C279" i="3"/>
  <c r="P278" i="3"/>
  <c r="O278" i="3"/>
  <c r="Q278" i="3" s="1"/>
  <c r="H278" i="3"/>
  <c r="I278" i="3" s="1"/>
  <c r="J278" i="3" s="1"/>
  <c r="G278" i="3"/>
  <c r="D278" i="3"/>
  <c r="C278" i="3"/>
  <c r="P277" i="3"/>
  <c r="O277" i="3"/>
  <c r="Q277" i="3" s="1"/>
  <c r="H277" i="3"/>
  <c r="I277" i="3" s="1"/>
  <c r="J277" i="3" s="1"/>
  <c r="G277" i="3"/>
  <c r="D277" i="3"/>
  <c r="C277" i="3"/>
  <c r="P276" i="3"/>
  <c r="Q276" i="3" s="1"/>
  <c r="O276" i="3"/>
  <c r="H276" i="3"/>
  <c r="I276" i="3" s="1"/>
  <c r="J276" i="3" s="1"/>
  <c r="G276" i="3"/>
  <c r="D276" i="3"/>
  <c r="C276" i="3"/>
  <c r="P275" i="3"/>
  <c r="O275" i="3"/>
  <c r="Q275" i="3" s="1"/>
  <c r="J275" i="3"/>
  <c r="H275" i="3"/>
  <c r="I275" i="3" s="1"/>
  <c r="G275" i="3"/>
  <c r="D275" i="3"/>
  <c r="C275" i="3"/>
  <c r="P274" i="3"/>
  <c r="Q274" i="3" s="1"/>
  <c r="O274" i="3"/>
  <c r="H274" i="3"/>
  <c r="I274" i="3" s="1"/>
  <c r="J274" i="3" s="1"/>
  <c r="G274" i="3"/>
  <c r="D274" i="3"/>
  <c r="C274" i="3"/>
  <c r="Q273" i="3"/>
  <c r="P273" i="3"/>
  <c r="O273" i="3"/>
  <c r="J273" i="3"/>
  <c r="H273" i="3"/>
  <c r="I273" i="3" s="1"/>
  <c r="G273" i="3"/>
  <c r="D273" i="3"/>
  <c r="C273" i="3"/>
  <c r="P272" i="3"/>
  <c r="O272" i="3"/>
  <c r="Q272" i="3" s="1"/>
  <c r="H272" i="3"/>
  <c r="I272" i="3" s="1"/>
  <c r="J272" i="3" s="1"/>
  <c r="G272" i="3"/>
  <c r="D272" i="3"/>
  <c r="C272" i="3"/>
  <c r="Q271" i="3"/>
  <c r="P271" i="3"/>
  <c r="O271" i="3"/>
  <c r="J271" i="3"/>
  <c r="H271" i="3"/>
  <c r="I271" i="3" s="1"/>
  <c r="G271" i="3"/>
  <c r="D271" i="3"/>
  <c r="C271" i="3"/>
  <c r="P270" i="3"/>
  <c r="O270" i="3"/>
  <c r="Q270" i="3" s="1"/>
  <c r="H270" i="3"/>
  <c r="I270" i="3" s="1"/>
  <c r="J270" i="3" s="1"/>
  <c r="G270" i="3"/>
  <c r="D270" i="3"/>
  <c r="C270" i="3"/>
  <c r="P269" i="3"/>
  <c r="O269" i="3"/>
  <c r="Q269" i="3" s="1"/>
  <c r="H269" i="3"/>
  <c r="I269" i="3" s="1"/>
  <c r="J269" i="3" s="1"/>
  <c r="G269" i="3"/>
  <c r="D269" i="3"/>
  <c r="C269" i="3"/>
  <c r="P268" i="3"/>
  <c r="Q268" i="3" s="1"/>
  <c r="O268" i="3"/>
  <c r="H268" i="3"/>
  <c r="I268" i="3" s="1"/>
  <c r="J268" i="3" s="1"/>
  <c r="G268" i="3"/>
  <c r="D268" i="3"/>
  <c r="C268" i="3"/>
  <c r="P267" i="3"/>
  <c r="O267" i="3"/>
  <c r="Q267" i="3" s="1"/>
  <c r="J267" i="3"/>
  <c r="H267" i="3"/>
  <c r="I267" i="3" s="1"/>
  <c r="G267" i="3"/>
  <c r="D267" i="3"/>
  <c r="C267" i="3"/>
  <c r="P266" i="3"/>
  <c r="Q266" i="3" s="1"/>
  <c r="O266" i="3"/>
  <c r="H266" i="3"/>
  <c r="I266" i="3" s="1"/>
  <c r="J266" i="3" s="1"/>
  <c r="G266" i="3"/>
  <c r="D266" i="3"/>
  <c r="C266" i="3"/>
  <c r="Q265" i="3"/>
  <c r="P265" i="3"/>
  <c r="O265" i="3"/>
  <c r="J265" i="3"/>
  <c r="H265" i="3"/>
  <c r="I265" i="3" s="1"/>
  <c r="G265" i="3"/>
  <c r="D265" i="3"/>
  <c r="C265" i="3"/>
  <c r="P264" i="3"/>
  <c r="O264" i="3"/>
  <c r="H264" i="3"/>
  <c r="I264" i="3" s="1"/>
  <c r="J264" i="3" s="1"/>
  <c r="G264" i="3"/>
  <c r="D264" i="3"/>
  <c r="C264" i="3"/>
  <c r="Q263" i="3"/>
  <c r="P263" i="3"/>
  <c r="O263" i="3"/>
  <c r="J263" i="3"/>
  <c r="H263" i="3"/>
  <c r="I263" i="3" s="1"/>
  <c r="G263" i="3"/>
  <c r="D263" i="3"/>
  <c r="C263" i="3"/>
  <c r="P262" i="3"/>
  <c r="O262" i="3"/>
  <c r="Q262" i="3" s="1"/>
  <c r="J262" i="3"/>
  <c r="H262" i="3"/>
  <c r="I262" i="3" s="1"/>
  <c r="G262" i="3"/>
  <c r="D262" i="3"/>
  <c r="C262" i="3"/>
  <c r="P261" i="3"/>
  <c r="O261" i="3"/>
  <c r="Q261" i="3" s="1"/>
  <c r="H261" i="3"/>
  <c r="I261" i="3" s="1"/>
  <c r="J261" i="3" s="1"/>
  <c r="G261" i="3"/>
  <c r="D261" i="3"/>
  <c r="C261" i="3"/>
  <c r="P260" i="3"/>
  <c r="Q260" i="3" s="1"/>
  <c r="O260" i="3"/>
  <c r="J260" i="3"/>
  <c r="H260" i="3"/>
  <c r="I260" i="3" s="1"/>
  <c r="G260" i="3"/>
  <c r="D260" i="3"/>
  <c r="C260" i="3"/>
  <c r="P259" i="3"/>
  <c r="O259" i="3"/>
  <c r="Q259" i="3" s="1"/>
  <c r="J259" i="3"/>
  <c r="H259" i="3"/>
  <c r="I259" i="3" s="1"/>
  <c r="G259" i="3"/>
  <c r="D259" i="3"/>
  <c r="C259" i="3"/>
  <c r="P258" i="3"/>
  <c r="Q258" i="3" s="1"/>
  <c r="O258" i="3"/>
  <c r="H258" i="3"/>
  <c r="I258" i="3" s="1"/>
  <c r="J258" i="3" s="1"/>
  <c r="G258" i="3"/>
  <c r="D258" i="3"/>
  <c r="C258" i="3"/>
  <c r="Q257" i="3"/>
  <c r="P257" i="3"/>
  <c r="O257" i="3"/>
  <c r="J257" i="3"/>
  <c r="H257" i="3"/>
  <c r="I257" i="3" s="1"/>
  <c r="G257" i="3"/>
  <c r="D257" i="3"/>
  <c r="C257" i="3"/>
  <c r="P256" i="3"/>
  <c r="O256" i="3"/>
  <c r="Q256" i="3" s="1"/>
  <c r="H256" i="3"/>
  <c r="I256" i="3" s="1"/>
  <c r="J256" i="3" s="1"/>
  <c r="G256" i="3"/>
  <c r="D256" i="3"/>
  <c r="C256" i="3"/>
  <c r="Q255" i="3"/>
  <c r="P255" i="3"/>
  <c r="O255" i="3"/>
  <c r="J255" i="3"/>
  <c r="H255" i="3"/>
  <c r="I255" i="3" s="1"/>
  <c r="G255" i="3"/>
  <c r="D255" i="3"/>
  <c r="C255" i="3"/>
  <c r="P254" i="3"/>
  <c r="O254" i="3"/>
  <c r="Q254" i="3" s="1"/>
  <c r="H254" i="3"/>
  <c r="I254" i="3" s="1"/>
  <c r="J254" i="3" s="1"/>
  <c r="G254" i="3"/>
  <c r="D254" i="3"/>
  <c r="C254" i="3"/>
  <c r="P253" i="3"/>
  <c r="O253" i="3"/>
  <c r="Q253" i="3" s="1"/>
  <c r="H253" i="3"/>
  <c r="I253" i="3" s="1"/>
  <c r="J253" i="3" s="1"/>
  <c r="G253" i="3"/>
  <c r="D253" i="3"/>
  <c r="C253" i="3"/>
  <c r="P252" i="3"/>
  <c r="Q252" i="3" s="1"/>
  <c r="O252" i="3"/>
  <c r="H252" i="3"/>
  <c r="I252" i="3" s="1"/>
  <c r="J252" i="3" s="1"/>
  <c r="G252" i="3"/>
  <c r="D252" i="3"/>
  <c r="C252" i="3"/>
  <c r="P251" i="3"/>
  <c r="O251" i="3"/>
  <c r="Q251" i="3" s="1"/>
  <c r="J251" i="3"/>
  <c r="H251" i="3"/>
  <c r="I251" i="3" s="1"/>
  <c r="G251" i="3"/>
  <c r="D251" i="3"/>
  <c r="C251" i="3"/>
  <c r="P250" i="3"/>
  <c r="Q250" i="3" s="1"/>
  <c r="O250" i="3"/>
  <c r="H250" i="3"/>
  <c r="I250" i="3" s="1"/>
  <c r="J250" i="3" s="1"/>
  <c r="G250" i="3"/>
  <c r="D250" i="3"/>
  <c r="C250" i="3"/>
  <c r="Q249" i="3"/>
  <c r="P249" i="3"/>
  <c r="O249" i="3"/>
  <c r="J249" i="3"/>
  <c r="H249" i="3"/>
  <c r="I249" i="3" s="1"/>
  <c r="G249" i="3"/>
  <c r="D249" i="3"/>
  <c r="C249" i="3"/>
  <c r="P248" i="3"/>
  <c r="O248" i="3"/>
  <c r="H248" i="3"/>
  <c r="I248" i="3" s="1"/>
  <c r="J248" i="3" s="1"/>
  <c r="G248" i="3"/>
  <c r="D248" i="3"/>
  <c r="C248" i="3"/>
  <c r="P247" i="3"/>
  <c r="Q247" i="3" s="1"/>
  <c r="O247" i="3"/>
  <c r="J247" i="3"/>
  <c r="I247" i="3"/>
  <c r="H247" i="3"/>
  <c r="G247" i="3"/>
  <c r="D247" i="3"/>
  <c r="C247" i="3"/>
  <c r="P246" i="3"/>
  <c r="Q246" i="3" s="1"/>
  <c r="O246" i="3"/>
  <c r="H246" i="3"/>
  <c r="I246" i="3" s="1"/>
  <c r="J246" i="3" s="1"/>
  <c r="G246" i="3"/>
  <c r="D246" i="3"/>
  <c r="C246" i="3"/>
  <c r="P245" i="3"/>
  <c r="Q245" i="3" s="1"/>
  <c r="O245" i="3"/>
  <c r="J245" i="3"/>
  <c r="I245" i="3"/>
  <c r="H245" i="3"/>
  <c r="G245" i="3"/>
  <c r="D245" i="3"/>
  <c r="C245" i="3"/>
  <c r="P244" i="3"/>
  <c r="O244" i="3"/>
  <c r="Q244" i="3" s="1"/>
  <c r="H244" i="3"/>
  <c r="I244" i="3" s="1"/>
  <c r="J244" i="3" s="1"/>
  <c r="G244" i="3"/>
  <c r="D244" i="3"/>
  <c r="C244" i="3"/>
  <c r="Q243" i="3"/>
  <c r="P243" i="3"/>
  <c r="O243" i="3"/>
  <c r="J243" i="3"/>
  <c r="I243" i="3"/>
  <c r="H243" i="3"/>
  <c r="G243" i="3"/>
  <c r="D243" i="3"/>
  <c r="C243" i="3"/>
  <c r="Q242" i="3"/>
  <c r="P242" i="3"/>
  <c r="O242" i="3"/>
  <c r="H242" i="3"/>
  <c r="I242" i="3" s="1"/>
  <c r="J242" i="3" s="1"/>
  <c r="G242" i="3"/>
  <c r="D242" i="3"/>
  <c r="C242" i="3"/>
  <c r="Q241" i="3"/>
  <c r="P241" i="3"/>
  <c r="O241" i="3"/>
  <c r="I241" i="3"/>
  <c r="J241" i="3" s="1"/>
  <c r="H241" i="3"/>
  <c r="G241" i="3"/>
  <c r="D241" i="3"/>
  <c r="C241" i="3"/>
  <c r="Q240" i="3"/>
  <c r="P240" i="3"/>
  <c r="O240" i="3"/>
  <c r="H240" i="3"/>
  <c r="I240" i="3" s="1"/>
  <c r="J240" i="3" s="1"/>
  <c r="G240" i="3"/>
  <c r="D240" i="3"/>
  <c r="C240" i="3"/>
  <c r="P239" i="3"/>
  <c r="Q239" i="3" s="1"/>
  <c r="O239" i="3"/>
  <c r="I239" i="3"/>
  <c r="J239" i="3" s="1"/>
  <c r="H239" i="3"/>
  <c r="G239" i="3"/>
  <c r="D239" i="3"/>
  <c r="C239" i="3"/>
  <c r="Q238" i="3"/>
  <c r="P238" i="3"/>
  <c r="O238" i="3"/>
  <c r="H238" i="3"/>
  <c r="I238" i="3" s="1"/>
  <c r="J238" i="3" s="1"/>
  <c r="G238" i="3"/>
  <c r="D238" i="3"/>
  <c r="C238" i="3"/>
  <c r="P237" i="3"/>
  <c r="Q237" i="3" s="1"/>
  <c r="O237" i="3"/>
  <c r="I237" i="3"/>
  <c r="J237" i="3" s="1"/>
  <c r="H237" i="3"/>
  <c r="G237" i="3"/>
  <c r="D237" i="3"/>
  <c r="C237" i="3"/>
  <c r="P236" i="3"/>
  <c r="O236" i="3"/>
  <c r="Q236" i="3" s="1"/>
  <c r="J236" i="3"/>
  <c r="H236" i="3"/>
  <c r="I236" i="3" s="1"/>
  <c r="G236" i="3"/>
  <c r="D236" i="3"/>
  <c r="C236" i="3"/>
  <c r="Q235" i="3"/>
  <c r="P235" i="3"/>
  <c r="O235" i="3"/>
  <c r="I235" i="3"/>
  <c r="J235" i="3" s="1"/>
  <c r="H235" i="3"/>
  <c r="G235" i="3"/>
  <c r="D235" i="3"/>
  <c r="C235" i="3"/>
  <c r="Q234" i="3"/>
  <c r="P234" i="3"/>
  <c r="O234" i="3"/>
  <c r="J234" i="3"/>
  <c r="H234" i="3"/>
  <c r="I234" i="3" s="1"/>
  <c r="G234" i="3"/>
  <c r="D234" i="3"/>
  <c r="C234" i="3"/>
  <c r="Q233" i="3"/>
  <c r="P233" i="3"/>
  <c r="O233" i="3"/>
  <c r="H233" i="3"/>
  <c r="I233" i="3" s="1"/>
  <c r="J233" i="3" s="1"/>
  <c r="G233" i="3"/>
  <c r="D233" i="3"/>
  <c r="C233" i="3"/>
  <c r="P232" i="3"/>
  <c r="O232" i="3"/>
  <c r="Q232" i="3" s="1"/>
  <c r="H232" i="3"/>
  <c r="I232" i="3" s="1"/>
  <c r="J232" i="3" s="1"/>
  <c r="G232" i="3"/>
  <c r="D232" i="3"/>
  <c r="C232" i="3"/>
  <c r="P231" i="3"/>
  <c r="O231" i="3"/>
  <c r="Q231" i="3" s="1"/>
  <c r="H231" i="3"/>
  <c r="I231" i="3" s="1"/>
  <c r="J231" i="3" s="1"/>
  <c r="G231" i="3"/>
  <c r="D231" i="3"/>
  <c r="C231" i="3"/>
  <c r="P230" i="3"/>
  <c r="Q230" i="3" s="1"/>
  <c r="O230" i="3"/>
  <c r="H230" i="3"/>
  <c r="I230" i="3" s="1"/>
  <c r="J230" i="3" s="1"/>
  <c r="G230" i="3"/>
  <c r="D230" i="3"/>
  <c r="C230" i="3"/>
  <c r="P229" i="3"/>
  <c r="O229" i="3"/>
  <c r="Q229" i="3" s="1"/>
  <c r="I229" i="3"/>
  <c r="J229" i="3" s="1"/>
  <c r="H229" i="3"/>
  <c r="G229" i="3"/>
  <c r="D229" i="3"/>
  <c r="C229" i="3"/>
  <c r="P228" i="3"/>
  <c r="O228" i="3"/>
  <c r="J228" i="3"/>
  <c r="H228" i="3"/>
  <c r="I228" i="3" s="1"/>
  <c r="G228" i="3"/>
  <c r="D228" i="3"/>
  <c r="C228" i="3"/>
  <c r="Q227" i="3"/>
  <c r="P227" i="3"/>
  <c r="O227" i="3"/>
  <c r="I227" i="3"/>
  <c r="J227" i="3" s="1"/>
  <c r="H227" i="3"/>
  <c r="G227" i="3"/>
  <c r="D227" i="3"/>
  <c r="C227" i="3"/>
  <c r="Q226" i="3"/>
  <c r="P226" i="3"/>
  <c r="O226" i="3"/>
  <c r="J226" i="3"/>
  <c r="H226" i="3"/>
  <c r="I226" i="3" s="1"/>
  <c r="G226" i="3"/>
  <c r="D226" i="3"/>
  <c r="C226" i="3"/>
  <c r="P225" i="3"/>
  <c r="O225" i="3"/>
  <c r="Q225" i="3" s="1"/>
  <c r="H225" i="3"/>
  <c r="I225" i="3" s="1"/>
  <c r="J225" i="3" s="1"/>
  <c r="G225" i="3"/>
  <c r="D225" i="3"/>
  <c r="C225" i="3"/>
  <c r="P224" i="3"/>
  <c r="O224" i="3"/>
  <c r="Q224" i="3" s="1"/>
  <c r="H224" i="3"/>
  <c r="I224" i="3" s="1"/>
  <c r="J224" i="3" s="1"/>
  <c r="G224" i="3"/>
  <c r="D224" i="3"/>
  <c r="C224" i="3"/>
  <c r="P223" i="3"/>
  <c r="O223" i="3"/>
  <c r="Q223" i="3" s="1"/>
  <c r="H223" i="3"/>
  <c r="I223" i="3" s="1"/>
  <c r="J223" i="3" s="1"/>
  <c r="G223" i="3"/>
  <c r="D223" i="3"/>
  <c r="C223" i="3"/>
  <c r="P222" i="3"/>
  <c r="Q222" i="3" s="1"/>
  <c r="O222" i="3"/>
  <c r="H222" i="3"/>
  <c r="I222" i="3" s="1"/>
  <c r="J222" i="3" s="1"/>
  <c r="G222" i="3"/>
  <c r="D222" i="3"/>
  <c r="C222" i="3"/>
  <c r="P221" i="3"/>
  <c r="O221" i="3"/>
  <c r="Q221" i="3" s="1"/>
  <c r="I221" i="3"/>
  <c r="J221" i="3" s="1"/>
  <c r="H221" i="3"/>
  <c r="G221" i="3"/>
  <c r="D221" i="3"/>
  <c r="C221" i="3"/>
  <c r="P220" i="3"/>
  <c r="O220" i="3"/>
  <c r="J220" i="3"/>
  <c r="H220" i="3"/>
  <c r="I220" i="3" s="1"/>
  <c r="G220" i="3"/>
  <c r="D220" i="3"/>
  <c r="C220" i="3"/>
  <c r="Q219" i="3"/>
  <c r="P219" i="3"/>
  <c r="O219" i="3"/>
  <c r="I219" i="3"/>
  <c r="J219" i="3" s="1"/>
  <c r="H219" i="3"/>
  <c r="G219" i="3"/>
  <c r="D219" i="3"/>
  <c r="C219" i="3"/>
  <c r="Q218" i="3"/>
  <c r="P218" i="3"/>
  <c r="O218" i="3"/>
  <c r="J218" i="3"/>
  <c r="H218" i="3"/>
  <c r="I218" i="3" s="1"/>
  <c r="G218" i="3"/>
  <c r="D218" i="3"/>
  <c r="C218" i="3"/>
  <c r="Q217" i="3"/>
  <c r="P217" i="3"/>
  <c r="O217" i="3"/>
  <c r="H217" i="3"/>
  <c r="I217" i="3" s="1"/>
  <c r="J217" i="3" s="1"/>
  <c r="G217" i="3"/>
  <c r="D217" i="3"/>
  <c r="C217" i="3"/>
  <c r="P216" i="3"/>
  <c r="O216" i="3"/>
  <c r="Q216" i="3" s="1"/>
  <c r="H216" i="3"/>
  <c r="I216" i="3" s="1"/>
  <c r="J216" i="3" s="1"/>
  <c r="G216" i="3"/>
  <c r="D216" i="3"/>
  <c r="C216" i="3"/>
  <c r="P215" i="3"/>
  <c r="O215" i="3"/>
  <c r="Q215" i="3" s="1"/>
  <c r="H215" i="3"/>
  <c r="I215" i="3" s="1"/>
  <c r="J215" i="3" s="1"/>
  <c r="G215" i="3"/>
  <c r="D215" i="3"/>
  <c r="C215" i="3"/>
  <c r="P214" i="3"/>
  <c r="Q214" i="3" s="1"/>
  <c r="O214" i="3"/>
  <c r="H214" i="3"/>
  <c r="I214" i="3" s="1"/>
  <c r="J214" i="3" s="1"/>
  <c r="G214" i="3"/>
  <c r="D214" i="3"/>
  <c r="C214" i="3"/>
  <c r="P213" i="3"/>
  <c r="O213" i="3"/>
  <c r="Q213" i="3" s="1"/>
  <c r="I213" i="3"/>
  <c r="J213" i="3" s="1"/>
  <c r="H213" i="3"/>
  <c r="G213" i="3"/>
  <c r="D213" i="3"/>
  <c r="C213" i="3"/>
  <c r="P212" i="3"/>
  <c r="O212" i="3"/>
  <c r="J212" i="3"/>
  <c r="H212" i="3"/>
  <c r="I212" i="3" s="1"/>
  <c r="G212" i="3"/>
  <c r="D212" i="3"/>
  <c r="C212" i="3"/>
  <c r="Q211" i="3"/>
  <c r="P211" i="3"/>
  <c r="O211" i="3"/>
  <c r="J211" i="3"/>
  <c r="H211" i="3"/>
  <c r="I211" i="3" s="1"/>
  <c r="G211" i="3"/>
  <c r="D211" i="3"/>
  <c r="C211" i="3"/>
  <c r="P210" i="3"/>
  <c r="O210" i="3"/>
  <c r="Q210" i="3" s="1"/>
  <c r="I210" i="3"/>
  <c r="J210" i="3" s="1"/>
  <c r="H210" i="3"/>
  <c r="G210" i="3"/>
  <c r="D210" i="3"/>
  <c r="C210" i="3"/>
  <c r="Q209" i="3"/>
  <c r="P209" i="3"/>
  <c r="O209" i="3"/>
  <c r="J209" i="3"/>
  <c r="H209" i="3"/>
  <c r="I209" i="3" s="1"/>
  <c r="G209" i="3"/>
  <c r="D209" i="3"/>
  <c r="C209" i="3"/>
  <c r="P208" i="3"/>
  <c r="O208" i="3"/>
  <c r="Q208" i="3" s="1"/>
  <c r="I208" i="3"/>
  <c r="J208" i="3" s="1"/>
  <c r="H208" i="3"/>
  <c r="G208" i="3"/>
  <c r="D208" i="3"/>
  <c r="C208" i="3"/>
  <c r="Q207" i="3"/>
  <c r="P207" i="3"/>
  <c r="O207" i="3"/>
  <c r="J207" i="3"/>
  <c r="H207" i="3"/>
  <c r="I207" i="3" s="1"/>
  <c r="G207" i="3"/>
  <c r="D207" i="3"/>
  <c r="C207" i="3"/>
  <c r="P206" i="3"/>
  <c r="O206" i="3"/>
  <c r="Q206" i="3" s="1"/>
  <c r="I206" i="3"/>
  <c r="J206" i="3" s="1"/>
  <c r="H206" i="3"/>
  <c r="G206" i="3"/>
  <c r="D206" i="3"/>
  <c r="C206" i="3"/>
  <c r="Q205" i="3"/>
  <c r="P205" i="3"/>
  <c r="O205" i="3"/>
  <c r="J205" i="3"/>
  <c r="H205" i="3"/>
  <c r="I205" i="3" s="1"/>
  <c r="G205" i="3"/>
  <c r="D205" i="3"/>
  <c r="C205" i="3"/>
  <c r="P204" i="3"/>
  <c r="O204" i="3"/>
  <c r="Q204" i="3" s="1"/>
  <c r="I204" i="3"/>
  <c r="J204" i="3" s="1"/>
  <c r="H204" i="3"/>
  <c r="G204" i="3"/>
  <c r="D204" i="3"/>
  <c r="C204" i="3"/>
  <c r="Q203" i="3"/>
  <c r="P203" i="3"/>
  <c r="O203" i="3"/>
  <c r="J203" i="3"/>
  <c r="H203" i="3"/>
  <c r="I203" i="3" s="1"/>
  <c r="G203" i="3"/>
  <c r="D203" i="3"/>
  <c r="C203" i="3"/>
  <c r="P202" i="3"/>
  <c r="O202" i="3"/>
  <c r="Q202" i="3" s="1"/>
  <c r="I202" i="3"/>
  <c r="J202" i="3" s="1"/>
  <c r="H202" i="3"/>
  <c r="G202" i="3"/>
  <c r="D202" i="3"/>
  <c r="C202" i="3"/>
  <c r="Q201" i="3"/>
  <c r="P201" i="3"/>
  <c r="O201" i="3"/>
  <c r="J201" i="3"/>
  <c r="H201" i="3"/>
  <c r="I201" i="3" s="1"/>
  <c r="G201" i="3"/>
  <c r="D201" i="3"/>
  <c r="C201" i="3"/>
  <c r="P200" i="3"/>
  <c r="O200" i="3"/>
  <c r="Q200" i="3" s="1"/>
  <c r="H200" i="3"/>
  <c r="I200" i="3" s="1"/>
  <c r="J200" i="3" s="1"/>
  <c r="G200" i="3"/>
  <c r="D200" i="3"/>
  <c r="C200" i="3"/>
  <c r="Q199" i="3"/>
  <c r="P199" i="3"/>
  <c r="O199" i="3"/>
  <c r="H199" i="3"/>
  <c r="I199" i="3" s="1"/>
  <c r="J199" i="3" s="1"/>
  <c r="G199" i="3"/>
  <c r="D199" i="3"/>
  <c r="C199" i="3"/>
  <c r="P198" i="3"/>
  <c r="O198" i="3"/>
  <c r="Q198" i="3" s="1"/>
  <c r="H198" i="3"/>
  <c r="I198" i="3" s="1"/>
  <c r="J198" i="3" s="1"/>
  <c r="G198" i="3"/>
  <c r="D198" i="3"/>
  <c r="C198" i="3"/>
  <c r="Q197" i="3"/>
  <c r="P197" i="3"/>
  <c r="O197" i="3"/>
  <c r="H197" i="3"/>
  <c r="I197" i="3" s="1"/>
  <c r="J197" i="3" s="1"/>
  <c r="G197" i="3"/>
  <c r="D197" i="3"/>
  <c r="C197" i="3"/>
  <c r="P196" i="3"/>
  <c r="O196" i="3"/>
  <c r="Q196" i="3" s="1"/>
  <c r="H196" i="3"/>
  <c r="I196" i="3" s="1"/>
  <c r="J196" i="3" s="1"/>
  <c r="G196" i="3"/>
  <c r="D196" i="3"/>
  <c r="C196" i="3"/>
  <c r="Q195" i="3"/>
  <c r="P195" i="3"/>
  <c r="O195" i="3"/>
  <c r="H195" i="3"/>
  <c r="I195" i="3" s="1"/>
  <c r="J195" i="3" s="1"/>
  <c r="G195" i="3"/>
  <c r="D195" i="3"/>
  <c r="C195" i="3"/>
  <c r="P194" i="3"/>
  <c r="O194" i="3"/>
  <c r="Q194" i="3" s="1"/>
  <c r="H194" i="3"/>
  <c r="I194" i="3" s="1"/>
  <c r="J194" i="3" s="1"/>
  <c r="G194" i="3"/>
  <c r="D194" i="3"/>
  <c r="C194" i="3"/>
  <c r="Q193" i="3"/>
  <c r="P193" i="3"/>
  <c r="O193" i="3"/>
  <c r="H193" i="3"/>
  <c r="I193" i="3" s="1"/>
  <c r="J193" i="3" s="1"/>
  <c r="G193" i="3"/>
  <c r="D193" i="3"/>
  <c r="C193" i="3"/>
  <c r="Q192" i="3"/>
  <c r="P192" i="3"/>
  <c r="O192" i="3"/>
  <c r="H192" i="3"/>
  <c r="I192" i="3" s="1"/>
  <c r="J192" i="3" s="1"/>
  <c r="G192" i="3"/>
  <c r="D192" i="3"/>
  <c r="C192" i="3"/>
  <c r="Q191" i="3"/>
  <c r="P191" i="3"/>
  <c r="O191" i="3"/>
  <c r="J191" i="3"/>
  <c r="H191" i="3"/>
  <c r="I191" i="3" s="1"/>
  <c r="G191" i="3"/>
  <c r="D191" i="3"/>
  <c r="C191" i="3"/>
  <c r="P190" i="3"/>
  <c r="O190" i="3"/>
  <c r="Q190" i="3" s="1"/>
  <c r="H190" i="3"/>
  <c r="I190" i="3" s="1"/>
  <c r="J190" i="3" s="1"/>
  <c r="G190" i="3"/>
  <c r="D190" i="3"/>
  <c r="C190" i="3"/>
  <c r="P189" i="3"/>
  <c r="Q189" i="3" s="1"/>
  <c r="O189" i="3"/>
  <c r="J189" i="3"/>
  <c r="H189" i="3"/>
  <c r="I189" i="3" s="1"/>
  <c r="G189" i="3"/>
  <c r="D189" i="3"/>
  <c r="C189" i="3"/>
  <c r="P188" i="3"/>
  <c r="O188" i="3"/>
  <c r="Q188" i="3" s="1"/>
  <c r="H188" i="3"/>
  <c r="I188" i="3" s="1"/>
  <c r="J188" i="3" s="1"/>
  <c r="G188" i="3"/>
  <c r="D188" i="3"/>
  <c r="C188" i="3"/>
  <c r="P187" i="3"/>
  <c r="Q187" i="3" s="1"/>
  <c r="O187" i="3"/>
  <c r="J187" i="3"/>
  <c r="H187" i="3"/>
  <c r="I187" i="3" s="1"/>
  <c r="G187" i="3"/>
  <c r="D187" i="3"/>
  <c r="C187" i="3"/>
  <c r="P186" i="3"/>
  <c r="O186" i="3"/>
  <c r="Q186" i="3" s="1"/>
  <c r="H186" i="3"/>
  <c r="I186" i="3" s="1"/>
  <c r="J186" i="3" s="1"/>
  <c r="G186" i="3"/>
  <c r="D186" i="3"/>
  <c r="C186" i="3"/>
  <c r="Q185" i="3"/>
  <c r="P185" i="3"/>
  <c r="O185" i="3"/>
  <c r="H185" i="3"/>
  <c r="I185" i="3" s="1"/>
  <c r="J185" i="3" s="1"/>
  <c r="G185" i="3"/>
  <c r="D185" i="3"/>
  <c r="C185" i="3"/>
  <c r="Q184" i="3"/>
  <c r="P184" i="3"/>
  <c r="O184" i="3"/>
  <c r="H184" i="3"/>
  <c r="I184" i="3" s="1"/>
  <c r="J184" i="3" s="1"/>
  <c r="G184" i="3"/>
  <c r="D184" i="3"/>
  <c r="C184" i="3"/>
  <c r="Q183" i="3"/>
  <c r="P183" i="3"/>
  <c r="O183" i="3"/>
  <c r="H183" i="3"/>
  <c r="I183" i="3" s="1"/>
  <c r="J183" i="3" s="1"/>
  <c r="G183" i="3"/>
  <c r="D183" i="3"/>
  <c r="C183" i="3"/>
  <c r="P182" i="3"/>
  <c r="O182" i="3"/>
  <c r="Q182" i="3" s="1"/>
  <c r="H182" i="3"/>
  <c r="I182" i="3" s="1"/>
  <c r="J182" i="3" s="1"/>
  <c r="G182" i="3"/>
  <c r="D182" i="3"/>
  <c r="C182" i="3"/>
  <c r="P181" i="3"/>
  <c r="Q181" i="3" s="1"/>
  <c r="O181" i="3"/>
  <c r="J181" i="3"/>
  <c r="H181" i="3"/>
  <c r="I181" i="3" s="1"/>
  <c r="G181" i="3"/>
  <c r="D181" i="3"/>
  <c r="C181" i="3"/>
  <c r="P180" i="3"/>
  <c r="O180" i="3"/>
  <c r="H180" i="3"/>
  <c r="I180" i="3" s="1"/>
  <c r="J180" i="3" s="1"/>
  <c r="G180" i="3"/>
  <c r="D180" i="3"/>
  <c r="C180" i="3"/>
  <c r="Q179" i="3"/>
  <c r="P179" i="3"/>
  <c r="O179" i="3"/>
  <c r="H179" i="3"/>
  <c r="I179" i="3" s="1"/>
  <c r="J179" i="3" s="1"/>
  <c r="G179" i="3"/>
  <c r="D179" i="3"/>
  <c r="C179" i="3"/>
  <c r="Q178" i="3"/>
  <c r="P178" i="3"/>
  <c r="O178" i="3"/>
  <c r="H178" i="3"/>
  <c r="I178" i="3" s="1"/>
  <c r="J178" i="3" s="1"/>
  <c r="G178" i="3"/>
  <c r="D178" i="3"/>
  <c r="C178" i="3"/>
  <c r="P177" i="3"/>
  <c r="Q177" i="3" s="1"/>
  <c r="O177" i="3"/>
  <c r="J177" i="3"/>
  <c r="H177" i="3"/>
  <c r="I177" i="3" s="1"/>
  <c r="G177" i="3"/>
  <c r="D177" i="3"/>
  <c r="C177" i="3"/>
  <c r="P176" i="3"/>
  <c r="O176" i="3"/>
  <c r="Q176" i="3" s="1"/>
  <c r="H176" i="3"/>
  <c r="I176" i="3" s="1"/>
  <c r="J176" i="3" s="1"/>
  <c r="G176" i="3"/>
  <c r="D176" i="3"/>
  <c r="C176" i="3"/>
  <c r="Q175" i="3"/>
  <c r="P175" i="3"/>
  <c r="O175" i="3"/>
  <c r="H175" i="3"/>
  <c r="I175" i="3" s="1"/>
  <c r="J175" i="3" s="1"/>
  <c r="G175" i="3"/>
  <c r="D175" i="3"/>
  <c r="C175" i="3"/>
  <c r="P174" i="3"/>
  <c r="O174" i="3"/>
  <c r="Q174" i="3" s="1"/>
  <c r="H174" i="3"/>
  <c r="I174" i="3" s="1"/>
  <c r="J174" i="3" s="1"/>
  <c r="G174" i="3"/>
  <c r="D174" i="3"/>
  <c r="C174" i="3"/>
  <c r="Q173" i="3"/>
  <c r="P173" i="3"/>
  <c r="O173" i="3"/>
  <c r="H173" i="3"/>
  <c r="I173" i="3" s="1"/>
  <c r="J173" i="3" s="1"/>
  <c r="G173" i="3"/>
  <c r="D173" i="3"/>
  <c r="C173" i="3"/>
  <c r="P172" i="3"/>
  <c r="O172" i="3"/>
  <c r="Q172" i="3" s="1"/>
  <c r="H172" i="3"/>
  <c r="I172" i="3" s="1"/>
  <c r="J172" i="3" s="1"/>
  <c r="G172" i="3"/>
  <c r="D172" i="3"/>
  <c r="C172" i="3"/>
  <c r="Q171" i="3"/>
  <c r="P171" i="3"/>
  <c r="O171" i="3"/>
  <c r="H171" i="3"/>
  <c r="I171" i="3" s="1"/>
  <c r="J171" i="3" s="1"/>
  <c r="G171" i="3"/>
  <c r="D171" i="3"/>
  <c r="C171" i="3"/>
  <c r="P170" i="3"/>
  <c r="O170" i="3"/>
  <c r="Q170" i="3" s="1"/>
  <c r="H170" i="3"/>
  <c r="I170" i="3" s="1"/>
  <c r="J170" i="3" s="1"/>
  <c r="G170" i="3"/>
  <c r="D170" i="3"/>
  <c r="C170" i="3"/>
  <c r="Q169" i="3"/>
  <c r="P169" i="3"/>
  <c r="O169" i="3"/>
  <c r="H169" i="3"/>
  <c r="I169" i="3" s="1"/>
  <c r="J169" i="3" s="1"/>
  <c r="G169" i="3"/>
  <c r="D169" i="3"/>
  <c r="C169" i="3"/>
  <c r="P168" i="3"/>
  <c r="O168" i="3"/>
  <c r="Q168" i="3" s="1"/>
  <c r="H168" i="3"/>
  <c r="I168" i="3" s="1"/>
  <c r="J168" i="3" s="1"/>
  <c r="G168" i="3"/>
  <c r="D168" i="3"/>
  <c r="C168" i="3"/>
  <c r="Q167" i="3"/>
  <c r="P167" i="3"/>
  <c r="O167" i="3"/>
  <c r="H167" i="3"/>
  <c r="I167" i="3" s="1"/>
  <c r="J167" i="3" s="1"/>
  <c r="G167" i="3"/>
  <c r="D167" i="3"/>
  <c r="C167" i="3"/>
  <c r="P166" i="3"/>
  <c r="O166" i="3"/>
  <c r="Q166" i="3" s="1"/>
  <c r="H166" i="3"/>
  <c r="I166" i="3" s="1"/>
  <c r="J166" i="3" s="1"/>
  <c r="G166" i="3"/>
  <c r="D166" i="3"/>
  <c r="C166" i="3"/>
  <c r="Q165" i="3"/>
  <c r="P165" i="3"/>
  <c r="O165" i="3"/>
  <c r="J165" i="3"/>
  <c r="H165" i="3"/>
  <c r="I165" i="3" s="1"/>
  <c r="G165" i="3"/>
  <c r="D165" i="3"/>
  <c r="C165" i="3"/>
  <c r="P164" i="3"/>
  <c r="O164" i="3"/>
  <c r="Q164" i="3" s="1"/>
  <c r="H164" i="3"/>
  <c r="I164" i="3" s="1"/>
  <c r="J164" i="3" s="1"/>
  <c r="G164" i="3"/>
  <c r="D164" i="3"/>
  <c r="C164" i="3"/>
  <c r="P163" i="3"/>
  <c r="O163" i="3"/>
  <c r="Q163" i="3" s="1"/>
  <c r="H163" i="3"/>
  <c r="I163" i="3" s="1"/>
  <c r="J163" i="3" s="1"/>
  <c r="G163" i="3"/>
  <c r="D163" i="3"/>
  <c r="C163" i="3"/>
  <c r="P162" i="3"/>
  <c r="Q162" i="3" s="1"/>
  <c r="O162" i="3"/>
  <c r="H162" i="3"/>
  <c r="I162" i="3" s="1"/>
  <c r="J162" i="3" s="1"/>
  <c r="G162" i="3"/>
  <c r="D162" i="3"/>
  <c r="C162" i="3"/>
  <c r="Q161" i="3"/>
  <c r="P161" i="3"/>
  <c r="O161" i="3"/>
  <c r="H161" i="3"/>
  <c r="I161" i="3" s="1"/>
  <c r="J161" i="3" s="1"/>
  <c r="G161" i="3"/>
  <c r="D161" i="3"/>
  <c r="C161" i="3"/>
  <c r="Q160" i="3"/>
  <c r="P160" i="3"/>
  <c r="O160" i="3"/>
  <c r="H160" i="3"/>
  <c r="I160" i="3" s="1"/>
  <c r="J160" i="3" s="1"/>
  <c r="G160" i="3"/>
  <c r="D160" i="3"/>
  <c r="C160" i="3"/>
  <c r="P159" i="3"/>
  <c r="O159" i="3"/>
  <c r="Q159" i="3" s="1"/>
  <c r="H159" i="3"/>
  <c r="I159" i="3" s="1"/>
  <c r="J159" i="3" s="1"/>
  <c r="G159" i="3"/>
  <c r="D159" i="3"/>
  <c r="C159" i="3"/>
  <c r="Q158" i="3"/>
  <c r="P158" i="3"/>
  <c r="O158" i="3"/>
  <c r="H158" i="3"/>
  <c r="I158" i="3" s="1"/>
  <c r="J158" i="3" s="1"/>
  <c r="G158" i="3"/>
  <c r="D158" i="3"/>
  <c r="C158" i="3"/>
  <c r="Q157" i="3"/>
  <c r="P157" i="3"/>
  <c r="O157" i="3"/>
  <c r="H157" i="3"/>
  <c r="I157" i="3" s="1"/>
  <c r="J157" i="3" s="1"/>
  <c r="G157" i="3"/>
  <c r="D157" i="3"/>
  <c r="C157" i="3"/>
  <c r="Q156" i="3"/>
  <c r="P156" i="3"/>
  <c r="O156" i="3"/>
  <c r="H156" i="3"/>
  <c r="I156" i="3" s="1"/>
  <c r="J156" i="3" s="1"/>
  <c r="G156" i="3"/>
  <c r="D156" i="3"/>
  <c r="C156" i="3"/>
  <c r="P155" i="3"/>
  <c r="O155" i="3"/>
  <c r="Q155" i="3" s="1"/>
  <c r="H155" i="3"/>
  <c r="I155" i="3" s="1"/>
  <c r="J155" i="3" s="1"/>
  <c r="G155" i="3"/>
  <c r="D155" i="3"/>
  <c r="C155" i="3"/>
  <c r="P154" i="3"/>
  <c r="Q154" i="3" s="1"/>
  <c r="O154" i="3"/>
  <c r="H154" i="3"/>
  <c r="I154" i="3" s="1"/>
  <c r="J154" i="3" s="1"/>
  <c r="G154" i="3"/>
  <c r="D154" i="3"/>
  <c r="C154" i="3"/>
  <c r="Q153" i="3"/>
  <c r="P153" i="3"/>
  <c r="O153" i="3"/>
  <c r="H153" i="3"/>
  <c r="I153" i="3" s="1"/>
  <c r="J153" i="3" s="1"/>
  <c r="G153" i="3"/>
  <c r="D153" i="3"/>
  <c r="C153" i="3"/>
  <c r="P152" i="3"/>
  <c r="O152" i="3"/>
  <c r="Q152" i="3" s="1"/>
  <c r="H152" i="3"/>
  <c r="I152" i="3" s="1"/>
  <c r="J152" i="3" s="1"/>
  <c r="G152" i="3"/>
  <c r="D152" i="3"/>
  <c r="C152" i="3"/>
  <c r="Q151" i="3"/>
  <c r="P151" i="3"/>
  <c r="O151" i="3"/>
  <c r="H151" i="3"/>
  <c r="I151" i="3" s="1"/>
  <c r="J151" i="3" s="1"/>
  <c r="G151" i="3"/>
  <c r="D151" i="3"/>
  <c r="C151" i="3"/>
  <c r="P150" i="3"/>
  <c r="O150" i="3"/>
  <c r="Q150" i="3" s="1"/>
  <c r="H150" i="3"/>
  <c r="I150" i="3" s="1"/>
  <c r="J150" i="3" s="1"/>
  <c r="G150" i="3"/>
  <c r="D150" i="3"/>
  <c r="C150" i="3"/>
  <c r="Q149" i="3"/>
  <c r="P149" i="3"/>
  <c r="O149" i="3"/>
  <c r="H149" i="3"/>
  <c r="I149" i="3" s="1"/>
  <c r="J149" i="3" s="1"/>
  <c r="G149" i="3"/>
  <c r="D149" i="3"/>
  <c r="C149" i="3"/>
  <c r="Q148" i="3"/>
  <c r="P148" i="3"/>
  <c r="O148" i="3"/>
  <c r="H148" i="3"/>
  <c r="I148" i="3" s="1"/>
  <c r="J148" i="3" s="1"/>
  <c r="G148" i="3"/>
  <c r="D148" i="3"/>
  <c r="C148" i="3"/>
  <c r="P147" i="3"/>
  <c r="O147" i="3"/>
  <c r="Q147" i="3" s="1"/>
  <c r="J147" i="3"/>
  <c r="H147" i="3"/>
  <c r="I147" i="3" s="1"/>
  <c r="G147" i="3"/>
  <c r="D147" i="3"/>
  <c r="C147" i="3"/>
  <c r="P146" i="3"/>
  <c r="O146" i="3"/>
  <c r="Q146" i="3" s="1"/>
  <c r="H146" i="3"/>
  <c r="I146" i="3" s="1"/>
  <c r="J146" i="3" s="1"/>
  <c r="G146" i="3"/>
  <c r="D146" i="3"/>
  <c r="C146" i="3"/>
  <c r="Q145" i="3"/>
  <c r="P145" i="3"/>
  <c r="O145" i="3"/>
  <c r="H145" i="3"/>
  <c r="I145" i="3" s="1"/>
  <c r="J145" i="3" s="1"/>
  <c r="G145" i="3"/>
  <c r="D145" i="3"/>
  <c r="C145" i="3"/>
  <c r="P144" i="3"/>
  <c r="Q144" i="3" s="1"/>
  <c r="O144" i="3"/>
  <c r="J144" i="3"/>
  <c r="H144" i="3"/>
  <c r="I144" i="3" s="1"/>
  <c r="G144" i="3"/>
  <c r="D144" i="3"/>
  <c r="C144" i="3"/>
  <c r="P143" i="3"/>
  <c r="O143" i="3"/>
  <c r="Q143" i="3" s="1"/>
  <c r="J143" i="3"/>
  <c r="H143" i="3"/>
  <c r="I143" i="3" s="1"/>
  <c r="G143" i="3"/>
  <c r="D143" i="3"/>
  <c r="C143" i="3"/>
  <c r="P142" i="3"/>
  <c r="O142" i="3"/>
  <c r="Q142" i="3" s="1"/>
  <c r="I142" i="3"/>
  <c r="J142" i="3" s="1"/>
  <c r="H142" i="3"/>
  <c r="G142" i="3"/>
  <c r="D142" i="3"/>
  <c r="C142" i="3"/>
  <c r="Q141" i="3"/>
  <c r="P141" i="3"/>
  <c r="O141" i="3"/>
  <c r="H141" i="3"/>
  <c r="I141" i="3" s="1"/>
  <c r="J141" i="3" s="1"/>
  <c r="G141" i="3"/>
  <c r="D141" i="3"/>
  <c r="C141" i="3"/>
  <c r="P140" i="3"/>
  <c r="Q140" i="3" s="1"/>
  <c r="O140" i="3"/>
  <c r="H140" i="3"/>
  <c r="I140" i="3" s="1"/>
  <c r="J140" i="3" s="1"/>
  <c r="G140" i="3"/>
  <c r="D140" i="3"/>
  <c r="C140" i="3"/>
  <c r="P139" i="3"/>
  <c r="O139" i="3"/>
  <c r="Q139" i="3" s="1"/>
  <c r="J139" i="3"/>
  <c r="H139" i="3"/>
  <c r="I139" i="3" s="1"/>
  <c r="G139" i="3"/>
  <c r="D139" i="3"/>
  <c r="C139" i="3"/>
  <c r="P138" i="3"/>
  <c r="O138" i="3"/>
  <c r="Q138" i="3" s="1"/>
  <c r="H138" i="3"/>
  <c r="I138" i="3" s="1"/>
  <c r="J138" i="3" s="1"/>
  <c r="G138" i="3"/>
  <c r="D138" i="3"/>
  <c r="C138" i="3"/>
  <c r="Q137" i="3"/>
  <c r="P137" i="3"/>
  <c r="O137" i="3"/>
  <c r="H137" i="3"/>
  <c r="I137" i="3" s="1"/>
  <c r="J137" i="3" s="1"/>
  <c r="G137" i="3"/>
  <c r="D137" i="3"/>
  <c r="C137" i="3"/>
  <c r="P136" i="3"/>
  <c r="Q136" i="3" s="1"/>
  <c r="O136" i="3"/>
  <c r="H136" i="3"/>
  <c r="I136" i="3" s="1"/>
  <c r="J136" i="3" s="1"/>
  <c r="G136" i="3"/>
  <c r="D136" i="3"/>
  <c r="C136" i="3"/>
  <c r="P135" i="3"/>
  <c r="O135" i="3"/>
  <c r="J135" i="3"/>
  <c r="H135" i="3"/>
  <c r="I135" i="3" s="1"/>
  <c r="G135" i="3"/>
  <c r="D135" i="3"/>
  <c r="C135" i="3"/>
  <c r="P134" i="3"/>
  <c r="O134" i="3"/>
  <c r="Q134" i="3" s="1"/>
  <c r="H134" i="3"/>
  <c r="I134" i="3" s="1"/>
  <c r="J134" i="3" s="1"/>
  <c r="G134" i="3"/>
  <c r="D134" i="3"/>
  <c r="C134" i="3"/>
  <c r="Q133" i="3"/>
  <c r="P133" i="3"/>
  <c r="O133" i="3"/>
  <c r="H133" i="3"/>
  <c r="I133" i="3" s="1"/>
  <c r="J133" i="3" s="1"/>
  <c r="G133" i="3"/>
  <c r="D133" i="3"/>
  <c r="C133" i="3"/>
  <c r="Q132" i="3"/>
  <c r="P132" i="3"/>
  <c r="O132" i="3"/>
  <c r="H132" i="3"/>
  <c r="I132" i="3" s="1"/>
  <c r="J132" i="3" s="1"/>
  <c r="G132" i="3"/>
  <c r="D132" i="3"/>
  <c r="C132" i="3"/>
  <c r="P131" i="3"/>
  <c r="O131" i="3"/>
  <c r="Q131" i="3" s="1"/>
  <c r="J131" i="3"/>
  <c r="H131" i="3"/>
  <c r="I131" i="3" s="1"/>
  <c r="G131" i="3"/>
  <c r="D131" i="3"/>
  <c r="C131" i="3"/>
  <c r="P130" i="3"/>
  <c r="O130" i="3"/>
  <c r="Q130" i="3" s="1"/>
  <c r="H130" i="3"/>
  <c r="I130" i="3" s="1"/>
  <c r="J130" i="3" s="1"/>
  <c r="G130" i="3"/>
  <c r="D130" i="3"/>
  <c r="C130" i="3"/>
  <c r="Q129" i="3"/>
  <c r="P129" i="3"/>
  <c r="O129" i="3"/>
  <c r="H129" i="3"/>
  <c r="I129" i="3" s="1"/>
  <c r="J129" i="3" s="1"/>
  <c r="G129" i="3"/>
  <c r="D129" i="3"/>
  <c r="C129" i="3"/>
  <c r="P128" i="3"/>
  <c r="Q128" i="3" s="1"/>
  <c r="O128" i="3"/>
  <c r="J128" i="3"/>
  <c r="H128" i="3"/>
  <c r="I128" i="3" s="1"/>
  <c r="G128" i="3"/>
  <c r="D128" i="3"/>
  <c r="C128" i="3"/>
  <c r="P127" i="3"/>
  <c r="O127" i="3"/>
  <c r="Q127" i="3" s="1"/>
  <c r="J127" i="3"/>
  <c r="H127" i="3"/>
  <c r="I127" i="3" s="1"/>
  <c r="G127" i="3"/>
  <c r="D127" i="3"/>
  <c r="C127" i="3"/>
  <c r="P126" i="3"/>
  <c r="O126" i="3"/>
  <c r="Q126" i="3" s="1"/>
  <c r="I126" i="3"/>
  <c r="J126" i="3" s="1"/>
  <c r="H126" i="3"/>
  <c r="G126" i="3"/>
  <c r="D126" i="3"/>
  <c r="C126" i="3"/>
  <c r="Q125" i="3"/>
  <c r="P125" i="3"/>
  <c r="O125" i="3"/>
  <c r="H125" i="3"/>
  <c r="I125" i="3" s="1"/>
  <c r="J125" i="3" s="1"/>
  <c r="G125" i="3"/>
  <c r="D125" i="3"/>
  <c r="C125" i="3"/>
  <c r="P124" i="3"/>
  <c r="Q124" i="3" s="1"/>
  <c r="O124" i="3"/>
  <c r="H124" i="3"/>
  <c r="I124" i="3" s="1"/>
  <c r="J124" i="3" s="1"/>
  <c r="G124" i="3"/>
  <c r="D124" i="3"/>
  <c r="C124" i="3"/>
  <c r="P123" i="3"/>
  <c r="O123" i="3"/>
  <c r="Q123" i="3" s="1"/>
  <c r="J123" i="3"/>
  <c r="H123" i="3"/>
  <c r="I123" i="3" s="1"/>
  <c r="G123" i="3"/>
  <c r="D123" i="3"/>
  <c r="C123" i="3"/>
  <c r="P122" i="3"/>
  <c r="O122" i="3"/>
  <c r="Q122" i="3" s="1"/>
  <c r="H122" i="3"/>
  <c r="I122" i="3" s="1"/>
  <c r="J122" i="3" s="1"/>
  <c r="G122" i="3"/>
  <c r="D122" i="3"/>
  <c r="C122" i="3"/>
  <c r="Q121" i="3"/>
  <c r="P121" i="3"/>
  <c r="O121" i="3"/>
  <c r="H121" i="3"/>
  <c r="I121" i="3" s="1"/>
  <c r="J121" i="3" s="1"/>
  <c r="G121" i="3"/>
  <c r="D121" i="3"/>
  <c r="C121" i="3"/>
  <c r="P120" i="3"/>
  <c r="Q120" i="3" s="1"/>
  <c r="O120" i="3"/>
  <c r="H120" i="3"/>
  <c r="I120" i="3" s="1"/>
  <c r="J120" i="3" s="1"/>
  <c r="G120" i="3"/>
  <c r="D120" i="3"/>
  <c r="C120" i="3"/>
  <c r="P119" i="3"/>
  <c r="O119" i="3"/>
  <c r="J119" i="3"/>
  <c r="H119" i="3"/>
  <c r="I119" i="3" s="1"/>
  <c r="G119" i="3"/>
  <c r="D119" i="3"/>
  <c r="C119" i="3"/>
  <c r="P118" i="3"/>
  <c r="O118" i="3"/>
  <c r="Q118" i="3" s="1"/>
  <c r="H118" i="3"/>
  <c r="I118" i="3" s="1"/>
  <c r="J118" i="3" s="1"/>
  <c r="G118" i="3"/>
  <c r="D118" i="3"/>
  <c r="C118" i="3"/>
  <c r="Q117" i="3"/>
  <c r="P117" i="3"/>
  <c r="O117" i="3"/>
  <c r="H117" i="3"/>
  <c r="I117" i="3" s="1"/>
  <c r="J117" i="3" s="1"/>
  <c r="G117" i="3"/>
  <c r="D117" i="3"/>
  <c r="C117" i="3"/>
  <c r="Q116" i="3"/>
  <c r="P116" i="3"/>
  <c r="O116" i="3"/>
  <c r="H116" i="3"/>
  <c r="I116" i="3" s="1"/>
  <c r="J116" i="3" s="1"/>
  <c r="G116" i="3"/>
  <c r="D116" i="3"/>
  <c r="C116" i="3"/>
  <c r="P115" i="3"/>
  <c r="O115" i="3"/>
  <c r="Q115" i="3" s="1"/>
  <c r="J115" i="3"/>
  <c r="H115" i="3"/>
  <c r="I115" i="3" s="1"/>
  <c r="G115" i="3"/>
  <c r="D115" i="3"/>
  <c r="C115" i="3"/>
  <c r="P114" i="3"/>
  <c r="O114" i="3"/>
  <c r="Q114" i="3" s="1"/>
  <c r="H114" i="3"/>
  <c r="I114" i="3" s="1"/>
  <c r="J114" i="3" s="1"/>
  <c r="G114" i="3"/>
  <c r="D114" i="3"/>
  <c r="C114" i="3"/>
  <c r="Q113" i="3"/>
  <c r="P113" i="3"/>
  <c r="O113" i="3"/>
  <c r="H113" i="3"/>
  <c r="I113" i="3" s="1"/>
  <c r="J113" i="3" s="1"/>
  <c r="G113" i="3"/>
  <c r="D113" i="3"/>
  <c r="C113" i="3"/>
  <c r="P112" i="3"/>
  <c r="Q112" i="3" s="1"/>
  <c r="O112" i="3"/>
  <c r="J112" i="3"/>
  <c r="H112" i="3"/>
  <c r="I112" i="3" s="1"/>
  <c r="G112" i="3"/>
  <c r="D112" i="3"/>
  <c r="C112" i="3"/>
  <c r="P111" i="3"/>
  <c r="O111" i="3"/>
  <c r="Q111" i="3" s="1"/>
  <c r="J111" i="3"/>
  <c r="H111" i="3"/>
  <c r="I111" i="3" s="1"/>
  <c r="G111" i="3"/>
  <c r="D111" i="3"/>
  <c r="C111" i="3"/>
  <c r="P110" i="3"/>
  <c r="O110" i="3"/>
  <c r="Q110" i="3" s="1"/>
  <c r="I110" i="3"/>
  <c r="J110" i="3" s="1"/>
  <c r="H110" i="3"/>
  <c r="G110" i="3"/>
  <c r="D110" i="3"/>
  <c r="C110" i="3"/>
  <c r="Q109" i="3"/>
  <c r="P109" i="3"/>
  <c r="O109" i="3"/>
  <c r="H109" i="3"/>
  <c r="I109" i="3" s="1"/>
  <c r="J109" i="3" s="1"/>
  <c r="G109" i="3"/>
  <c r="D109" i="3"/>
  <c r="C109" i="3"/>
  <c r="P108" i="3"/>
  <c r="Q108" i="3" s="1"/>
  <c r="O108" i="3"/>
  <c r="H108" i="3"/>
  <c r="I108" i="3" s="1"/>
  <c r="J108" i="3" s="1"/>
  <c r="G108" i="3"/>
  <c r="D108" i="3"/>
  <c r="C108" i="3"/>
  <c r="P107" i="3"/>
  <c r="O107" i="3"/>
  <c r="Q107" i="3" s="1"/>
  <c r="J107" i="3"/>
  <c r="H107" i="3"/>
  <c r="I107" i="3" s="1"/>
  <c r="G107" i="3"/>
  <c r="D107" i="3"/>
  <c r="C107" i="3"/>
  <c r="P106" i="3"/>
  <c r="O106" i="3"/>
  <c r="Q106" i="3" s="1"/>
  <c r="H106" i="3"/>
  <c r="I106" i="3" s="1"/>
  <c r="J106" i="3" s="1"/>
  <c r="G106" i="3"/>
  <c r="D106" i="3"/>
  <c r="C106" i="3"/>
  <c r="Q105" i="3"/>
  <c r="P105" i="3"/>
  <c r="O105" i="3"/>
  <c r="H105" i="3"/>
  <c r="I105" i="3" s="1"/>
  <c r="J105" i="3" s="1"/>
  <c r="G105" i="3"/>
  <c r="D105" i="3"/>
  <c r="C105" i="3"/>
  <c r="P104" i="3"/>
  <c r="Q104" i="3" s="1"/>
  <c r="O104" i="3"/>
  <c r="H104" i="3"/>
  <c r="I104" i="3" s="1"/>
  <c r="J104" i="3" s="1"/>
  <c r="G104" i="3"/>
  <c r="D104" i="3"/>
  <c r="C104" i="3"/>
  <c r="P103" i="3"/>
  <c r="O103" i="3"/>
  <c r="J103" i="3"/>
  <c r="H103" i="3"/>
  <c r="I103" i="3" s="1"/>
  <c r="G103" i="3"/>
  <c r="D103" i="3"/>
  <c r="C103" i="3"/>
  <c r="P102" i="3"/>
  <c r="O102" i="3"/>
  <c r="Q102" i="3" s="1"/>
  <c r="H102" i="3"/>
  <c r="I102" i="3" s="1"/>
  <c r="J102" i="3" s="1"/>
  <c r="G102" i="3"/>
  <c r="D102" i="3"/>
  <c r="C102" i="3"/>
  <c r="Q101" i="3"/>
  <c r="P101" i="3"/>
  <c r="O101" i="3"/>
  <c r="H101" i="3"/>
  <c r="I101" i="3" s="1"/>
  <c r="J101" i="3" s="1"/>
  <c r="G101" i="3"/>
  <c r="D101" i="3"/>
  <c r="C101" i="3"/>
  <c r="Q100" i="3"/>
  <c r="P100" i="3"/>
  <c r="O100" i="3"/>
  <c r="H100" i="3"/>
  <c r="I100" i="3" s="1"/>
  <c r="J100" i="3" s="1"/>
  <c r="G100" i="3"/>
  <c r="D100" i="3"/>
  <c r="C100" i="3"/>
  <c r="P99" i="3"/>
  <c r="O99" i="3"/>
  <c r="Q99" i="3" s="1"/>
  <c r="J99" i="3"/>
  <c r="H99" i="3"/>
  <c r="I99" i="3" s="1"/>
  <c r="G99" i="3"/>
  <c r="D99" i="3"/>
  <c r="C99" i="3"/>
  <c r="P98" i="3"/>
  <c r="O98" i="3"/>
  <c r="Q98" i="3" s="1"/>
  <c r="H98" i="3"/>
  <c r="I98" i="3" s="1"/>
  <c r="J98" i="3" s="1"/>
  <c r="G98" i="3"/>
  <c r="D98" i="3"/>
  <c r="C98" i="3"/>
  <c r="Q97" i="3"/>
  <c r="P97" i="3"/>
  <c r="O97" i="3"/>
  <c r="H97" i="3"/>
  <c r="I97" i="3" s="1"/>
  <c r="J97" i="3" s="1"/>
  <c r="G97" i="3"/>
  <c r="D97" i="3"/>
  <c r="C97" i="3"/>
  <c r="P96" i="3"/>
  <c r="Q96" i="3" s="1"/>
  <c r="O96" i="3"/>
  <c r="J96" i="3"/>
  <c r="H96" i="3"/>
  <c r="I96" i="3" s="1"/>
  <c r="G96" i="3"/>
  <c r="D96" i="3"/>
  <c r="C96" i="3"/>
  <c r="P95" i="3"/>
  <c r="O95" i="3"/>
  <c r="Q95" i="3" s="1"/>
  <c r="J95" i="3"/>
  <c r="H95" i="3"/>
  <c r="I95" i="3" s="1"/>
  <c r="G95" i="3"/>
  <c r="D95" i="3"/>
  <c r="C95" i="3"/>
  <c r="P94" i="3"/>
  <c r="O94" i="3"/>
  <c r="Q94" i="3" s="1"/>
  <c r="I94" i="3"/>
  <c r="J94" i="3" s="1"/>
  <c r="H94" i="3"/>
  <c r="G94" i="3"/>
  <c r="D94" i="3"/>
  <c r="C94" i="3"/>
  <c r="Q93" i="3"/>
  <c r="P93" i="3"/>
  <c r="O93" i="3"/>
  <c r="H93" i="3"/>
  <c r="I93" i="3" s="1"/>
  <c r="J93" i="3" s="1"/>
  <c r="G93" i="3"/>
  <c r="D93" i="3"/>
  <c r="C93" i="3"/>
  <c r="P92" i="3"/>
  <c r="Q92" i="3" s="1"/>
  <c r="O92" i="3"/>
  <c r="H92" i="3"/>
  <c r="I92" i="3" s="1"/>
  <c r="J92" i="3" s="1"/>
  <c r="G92" i="3"/>
  <c r="D92" i="3"/>
  <c r="C92" i="3"/>
  <c r="P91" i="3"/>
  <c r="O91" i="3"/>
  <c r="Q91" i="3" s="1"/>
  <c r="J91" i="3"/>
  <c r="H91" i="3"/>
  <c r="I91" i="3" s="1"/>
  <c r="G91" i="3"/>
  <c r="D91" i="3"/>
  <c r="C91" i="3"/>
  <c r="P90" i="3"/>
  <c r="O90" i="3"/>
  <c r="Q90" i="3" s="1"/>
  <c r="H90" i="3"/>
  <c r="I90" i="3" s="1"/>
  <c r="J90" i="3" s="1"/>
  <c r="G90" i="3"/>
  <c r="D90" i="3"/>
  <c r="C90" i="3"/>
  <c r="Q89" i="3"/>
  <c r="P89" i="3"/>
  <c r="O89" i="3"/>
  <c r="H89" i="3"/>
  <c r="I89" i="3" s="1"/>
  <c r="J89" i="3" s="1"/>
  <c r="G89" i="3"/>
  <c r="D89" i="3"/>
  <c r="C89" i="3"/>
  <c r="P88" i="3"/>
  <c r="Q88" i="3" s="1"/>
  <c r="O88" i="3"/>
  <c r="H88" i="3"/>
  <c r="I88" i="3" s="1"/>
  <c r="J88" i="3" s="1"/>
  <c r="G88" i="3"/>
  <c r="D88" i="3"/>
  <c r="C88" i="3"/>
  <c r="P87" i="3"/>
  <c r="O87" i="3"/>
  <c r="J87" i="3"/>
  <c r="H87" i="3"/>
  <c r="I87" i="3" s="1"/>
  <c r="G87" i="3"/>
  <c r="D87" i="3"/>
  <c r="C87" i="3"/>
  <c r="P86" i="3"/>
  <c r="O86" i="3"/>
  <c r="Q86" i="3" s="1"/>
  <c r="I86" i="3"/>
  <c r="J86" i="3" s="1"/>
  <c r="H86" i="3"/>
  <c r="G86" i="3"/>
  <c r="D86" i="3"/>
  <c r="C86" i="3"/>
  <c r="P85" i="3"/>
  <c r="O85" i="3"/>
  <c r="Q85" i="3" s="1"/>
  <c r="I85" i="3"/>
  <c r="J85" i="3" s="1"/>
  <c r="H85" i="3"/>
  <c r="G85" i="3"/>
  <c r="D85" i="3"/>
  <c r="C85" i="3"/>
  <c r="P84" i="3"/>
  <c r="O84" i="3"/>
  <c r="Q84" i="3" s="1"/>
  <c r="I84" i="3"/>
  <c r="J84" i="3" s="1"/>
  <c r="H84" i="3"/>
  <c r="G84" i="3"/>
  <c r="D84" i="3"/>
  <c r="C84" i="3"/>
  <c r="P83" i="3"/>
  <c r="O83" i="3"/>
  <c r="Q83" i="3" s="1"/>
  <c r="I83" i="3"/>
  <c r="J83" i="3" s="1"/>
  <c r="H83" i="3"/>
  <c r="G83" i="3"/>
  <c r="D83" i="3"/>
  <c r="C83" i="3"/>
  <c r="P82" i="3"/>
  <c r="O82" i="3"/>
  <c r="Q82" i="3" s="1"/>
  <c r="I82" i="3"/>
  <c r="J82" i="3" s="1"/>
  <c r="H82" i="3"/>
  <c r="G82" i="3"/>
  <c r="D82" i="3"/>
  <c r="C82" i="3"/>
  <c r="P81" i="3"/>
  <c r="O81" i="3"/>
  <c r="Q81" i="3" s="1"/>
  <c r="I81" i="3"/>
  <c r="J81" i="3" s="1"/>
  <c r="H81" i="3"/>
  <c r="G81" i="3"/>
  <c r="D81" i="3"/>
  <c r="C81" i="3"/>
  <c r="P80" i="3"/>
  <c r="O80" i="3"/>
  <c r="Q80" i="3" s="1"/>
  <c r="I80" i="3"/>
  <c r="J80" i="3" s="1"/>
  <c r="H80" i="3"/>
  <c r="G80" i="3"/>
  <c r="D80" i="3"/>
  <c r="C80" i="3"/>
  <c r="P79" i="3"/>
  <c r="O79" i="3"/>
  <c r="Q79" i="3" s="1"/>
  <c r="I79" i="3"/>
  <c r="J79" i="3" s="1"/>
  <c r="H79" i="3"/>
  <c r="G79" i="3"/>
  <c r="D79" i="3"/>
  <c r="C79" i="3"/>
  <c r="P78" i="3"/>
  <c r="O78" i="3"/>
  <c r="Q78" i="3" s="1"/>
  <c r="I78" i="3"/>
  <c r="J78" i="3" s="1"/>
  <c r="H78" i="3"/>
  <c r="G78" i="3"/>
  <c r="D78" i="3"/>
  <c r="C78" i="3"/>
  <c r="P77" i="3"/>
  <c r="O77" i="3"/>
  <c r="Q77" i="3" s="1"/>
  <c r="I77" i="3"/>
  <c r="J77" i="3" s="1"/>
  <c r="H77" i="3"/>
  <c r="G77" i="3"/>
  <c r="D77" i="3"/>
  <c r="C77" i="3"/>
  <c r="P76" i="3"/>
  <c r="O76" i="3"/>
  <c r="Q76" i="3" s="1"/>
  <c r="I76" i="3"/>
  <c r="J76" i="3" s="1"/>
  <c r="H76" i="3"/>
  <c r="G76" i="3"/>
  <c r="D76" i="3"/>
  <c r="C76" i="3"/>
  <c r="P75" i="3"/>
  <c r="O75" i="3"/>
  <c r="Q75" i="3" s="1"/>
  <c r="J75" i="3"/>
  <c r="I75" i="3"/>
  <c r="H75" i="3"/>
  <c r="G75" i="3"/>
  <c r="D75" i="3"/>
  <c r="C75" i="3"/>
  <c r="P74" i="3"/>
  <c r="O74" i="3"/>
  <c r="Q74" i="3" s="1"/>
  <c r="J74" i="3"/>
  <c r="I74" i="3"/>
  <c r="H74" i="3"/>
  <c r="G74" i="3"/>
  <c r="D74" i="3"/>
  <c r="C74" i="3"/>
  <c r="P73" i="3"/>
  <c r="O73" i="3"/>
  <c r="Q73" i="3" s="1"/>
  <c r="J73" i="3"/>
  <c r="I73" i="3"/>
  <c r="H73" i="3"/>
  <c r="G73" i="3"/>
  <c r="D73" i="3"/>
  <c r="C73" i="3"/>
  <c r="P72" i="3"/>
  <c r="O72" i="3"/>
  <c r="Q72" i="3" s="1"/>
  <c r="I72" i="3"/>
  <c r="J72" i="3" s="1"/>
  <c r="H72" i="3"/>
  <c r="G72" i="3"/>
  <c r="D72" i="3"/>
  <c r="C72" i="3"/>
  <c r="P71" i="3"/>
  <c r="O71" i="3"/>
  <c r="Q71" i="3" s="1"/>
  <c r="J71" i="3"/>
  <c r="I71" i="3"/>
  <c r="H71" i="3"/>
  <c r="G71" i="3"/>
  <c r="D71" i="3"/>
  <c r="C71" i="3"/>
  <c r="P70" i="3"/>
  <c r="O70" i="3"/>
  <c r="Q70" i="3" s="1"/>
  <c r="I70" i="3"/>
  <c r="J70" i="3" s="1"/>
  <c r="H70" i="3"/>
  <c r="G70" i="3"/>
  <c r="D70" i="3"/>
  <c r="C70" i="3"/>
  <c r="P69" i="3"/>
  <c r="O69" i="3"/>
  <c r="Q69" i="3" s="1"/>
  <c r="J69" i="3"/>
  <c r="I69" i="3"/>
  <c r="H69" i="3"/>
  <c r="G69" i="3"/>
  <c r="D69" i="3"/>
  <c r="C69" i="3"/>
  <c r="P68" i="3"/>
  <c r="O68" i="3"/>
  <c r="Q68" i="3" s="1"/>
  <c r="J68" i="3"/>
  <c r="I68" i="3"/>
  <c r="H68" i="3"/>
  <c r="G68" i="3"/>
  <c r="D68" i="3"/>
  <c r="C68" i="3"/>
  <c r="P67" i="3"/>
  <c r="O67" i="3"/>
  <c r="Q67" i="3" s="1"/>
  <c r="J67" i="3"/>
  <c r="I67" i="3"/>
  <c r="H67" i="3"/>
  <c r="G67" i="3"/>
  <c r="D67" i="3"/>
  <c r="C67" i="3"/>
  <c r="P66" i="3"/>
  <c r="O66" i="3"/>
  <c r="Q66" i="3" s="1"/>
  <c r="I66" i="3"/>
  <c r="J66" i="3" s="1"/>
  <c r="H66" i="3"/>
  <c r="G66" i="3"/>
  <c r="D66" i="3"/>
  <c r="C66" i="3"/>
  <c r="P65" i="3"/>
  <c r="O65" i="3"/>
  <c r="Q65" i="3" s="1"/>
  <c r="J65" i="3"/>
  <c r="I65" i="3"/>
  <c r="H65" i="3"/>
  <c r="G65" i="3"/>
  <c r="D65" i="3"/>
  <c r="C65" i="3"/>
  <c r="P64" i="3"/>
  <c r="O64" i="3"/>
  <c r="Q64" i="3" s="1"/>
  <c r="J64" i="3"/>
  <c r="I64" i="3"/>
  <c r="H64" i="3"/>
  <c r="G64" i="3"/>
  <c r="D64" i="3"/>
  <c r="C64" i="3"/>
  <c r="P63" i="3"/>
  <c r="O63" i="3"/>
  <c r="Q63" i="3" s="1"/>
  <c r="J63" i="3"/>
  <c r="I63" i="3"/>
  <c r="H63" i="3"/>
  <c r="G63" i="3"/>
  <c r="D63" i="3"/>
  <c r="C63" i="3"/>
  <c r="P62" i="3"/>
  <c r="O62" i="3"/>
  <c r="Q62" i="3" s="1"/>
  <c r="J62" i="3"/>
  <c r="I62" i="3"/>
  <c r="H62" i="3"/>
  <c r="G62" i="3"/>
  <c r="D62" i="3"/>
  <c r="C62" i="3"/>
  <c r="P61" i="3"/>
  <c r="O61" i="3"/>
  <c r="Q61" i="3" s="1"/>
  <c r="J61" i="3"/>
  <c r="I61" i="3"/>
  <c r="H61" i="3"/>
  <c r="G61" i="3"/>
  <c r="D61" i="3"/>
  <c r="C61" i="3"/>
  <c r="P60" i="3"/>
  <c r="O60" i="3"/>
  <c r="Q60" i="3" s="1"/>
  <c r="J60" i="3"/>
  <c r="I60" i="3"/>
  <c r="H60" i="3"/>
  <c r="G60" i="3"/>
  <c r="D60" i="3"/>
  <c r="C60" i="3"/>
  <c r="P59" i="3"/>
  <c r="O59" i="3"/>
  <c r="H59" i="3"/>
  <c r="I59" i="3" s="1"/>
  <c r="J59" i="3" s="1"/>
  <c r="G59" i="3"/>
  <c r="D59" i="3"/>
  <c r="C59" i="3"/>
  <c r="P58" i="3"/>
  <c r="O58" i="3"/>
  <c r="Q58" i="3" s="1"/>
  <c r="J58" i="3"/>
  <c r="I58" i="3"/>
  <c r="H58" i="3"/>
  <c r="G58" i="3"/>
  <c r="D58" i="3"/>
  <c r="C58" i="3"/>
  <c r="P57" i="3"/>
  <c r="O57" i="3"/>
  <c r="H57" i="3"/>
  <c r="I57" i="3" s="1"/>
  <c r="J57" i="3" s="1"/>
  <c r="G57" i="3"/>
  <c r="D57" i="3"/>
  <c r="C57" i="3"/>
  <c r="P56" i="3"/>
  <c r="O56" i="3"/>
  <c r="Q56" i="3" s="1"/>
  <c r="J56" i="3"/>
  <c r="I56" i="3"/>
  <c r="H56" i="3"/>
  <c r="G56" i="3"/>
  <c r="D56" i="3"/>
  <c r="C56" i="3"/>
  <c r="P55" i="3"/>
  <c r="O55" i="3"/>
  <c r="H55" i="3"/>
  <c r="I55" i="3" s="1"/>
  <c r="J55" i="3" s="1"/>
  <c r="G55" i="3"/>
  <c r="D55" i="3"/>
  <c r="C55" i="3"/>
  <c r="P54" i="3"/>
  <c r="O54" i="3"/>
  <c r="Q54" i="3" s="1"/>
  <c r="J54" i="3"/>
  <c r="I54" i="3"/>
  <c r="H54" i="3"/>
  <c r="G54" i="3"/>
  <c r="D54" i="3"/>
  <c r="C54" i="3"/>
  <c r="P53" i="3"/>
  <c r="O53" i="3"/>
  <c r="H53" i="3"/>
  <c r="I53" i="3" s="1"/>
  <c r="J53" i="3" s="1"/>
  <c r="G53" i="3"/>
  <c r="D53" i="3"/>
  <c r="C53" i="3"/>
  <c r="P52" i="3"/>
  <c r="O52" i="3"/>
  <c r="Q52" i="3" s="1"/>
  <c r="J52" i="3"/>
  <c r="I52" i="3"/>
  <c r="H52" i="3"/>
  <c r="G52" i="3"/>
  <c r="D52" i="3"/>
  <c r="C52" i="3"/>
  <c r="P51" i="3"/>
  <c r="O51" i="3"/>
  <c r="H51" i="3"/>
  <c r="I51" i="3" s="1"/>
  <c r="J51" i="3" s="1"/>
  <c r="G51" i="3"/>
  <c r="D51" i="3"/>
  <c r="C51" i="3"/>
  <c r="P50" i="3"/>
  <c r="O50" i="3"/>
  <c r="Q50" i="3" s="1"/>
  <c r="J50" i="3"/>
  <c r="I50" i="3"/>
  <c r="H50" i="3"/>
  <c r="G50" i="3"/>
  <c r="D50" i="3"/>
  <c r="C50" i="3"/>
  <c r="P49" i="3"/>
  <c r="O49" i="3"/>
  <c r="H49" i="3"/>
  <c r="I49" i="3" s="1"/>
  <c r="J49" i="3" s="1"/>
  <c r="G49" i="3"/>
  <c r="D49" i="3"/>
  <c r="C49" i="3"/>
  <c r="P48" i="3"/>
  <c r="O48" i="3"/>
  <c r="Q48" i="3" s="1"/>
  <c r="J48" i="3"/>
  <c r="I48" i="3"/>
  <c r="H48" i="3"/>
  <c r="G48" i="3"/>
  <c r="D48" i="3"/>
  <c r="C48" i="3"/>
  <c r="P47" i="3"/>
  <c r="O47" i="3"/>
  <c r="H47" i="3"/>
  <c r="I47" i="3" s="1"/>
  <c r="J47" i="3" s="1"/>
  <c r="G47" i="3"/>
  <c r="D47" i="3"/>
  <c r="C47" i="3"/>
  <c r="P46" i="3"/>
  <c r="O46" i="3"/>
  <c r="Q46" i="3" s="1"/>
  <c r="J46" i="3"/>
  <c r="I46" i="3"/>
  <c r="H46" i="3"/>
  <c r="G46" i="3"/>
  <c r="D46" i="3"/>
  <c r="C46" i="3"/>
  <c r="P45" i="3"/>
  <c r="O45" i="3"/>
  <c r="H45" i="3"/>
  <c r="I45" i="3" s="1"/>
  <c r="J45" i="3" s="1"/>
  <c r="G45" i="3"/>
  <c r="D45" i="3"/>
  <c r="C45" i="3"/>
  <c r="P44" i="3"/>
  <c r="O44" i="3"/>
  <c r="Q44" i="3" s="1"/>
  <c r="J44" i="3"/>
  <c r="I44" i="3"/>
  <c r="H44" i="3"/>
  <c r="G44" i="3"/>
  <c r="D44" i="3"/>
  <c r="C44" i="3"/>
  <c r="P43" i="3"/>
  <c r="O43" i="3"/>
  <c r="H43" i="3"/>
  <c r="I43" i="3" s="1"/>
  <c r="J43" i="3" s="1"/>
  <c r="G43" i="3"/>
  <c r="D43" i="3"/>
  <c r="C43" i="3"/>
  <c r="P42" i="3"/>
  <c r="O42" i="3"/>
  <c r="Q42" i="3" s="1"/>
  <c r="J42" i="3"/>
  <c r="I42" i="3"/>
  <c r="H42" i="3"/>
  <c r="G42" i="3"/>
  <c r="D42" i="3"/>
  <c r="C42" i="3"/>
  <c r="P41" i="3"/>
  <c r="O41" i="3"/>
  <c r="H41" i="3"/>
  <c r="I41" i="3" s="1"/>
  <c r="J41" i="3" s="1"/>
  <c r="G41" i="3"/>
  <c r="D41" i="3"/>
  <c r="C41" i="3"/>
  <c r="Q40" i="3"/>
  <c r="P40" i="3"/>
  <c r="O40" i="3"/>
  <c r="I40" i="3"/>
  <c r="J40" i="3" s="1"/>
  <c r="H40" i="3"/>
  <c r="G40" i="3"/>
  <c r="D40" i="3"/>
  <c r="C40" i="3"/>
  <c r="P39" i="3"/>
  <c r="O39" i="3"/>
  <c r="H39" i="3"/>
  <c r="I39" i="3" s="1"/>
  <c r="J39" i="3" s="1"/>
  <c r="G39" i="3"/>
  <c r="D39" i="3"/>
  <c r="C39" i="3"/>
  <c r="Q38" i="3"/>
  <c r="P38" i="3"/>
  <c r="O38" i="3"/>
  <c r="I38" i="3"/>
  <c r="J38" i="3" s="1"/>
  <c r="H38" i="3"/>
  <c r="G38" i="3"/>
  <c r="D38" i="3"/>
  <c r="C38" i="3"/>
  <c r="P37" i="3"/>
  <c r="O37" i="3"/>
  <c r="H37" i="3"/>
  <c r="I37" i="3" s="1"/>
  <c r="J37" i="3" s="1"/>
  <c r="G37" i="3"/>
  <c r="D37" i="3"/>
  <c r="C37" i="3"/>
  <c r="Q36" i="3"/>
  <c r="P36" i="3"/>
  <c r="O36" i="3"/>
  <c r="J36" i="3"/>
  <c r="I36" i="3"/>
  <c r="H36" i="3"/>
  <c r="G36" i="3"/>
  <c r="D36" i="3"/>
  <c r="C36" i="3"/>
  <c r="P35" i="3"/>
  <c r="O35" i="3"/>
  <c r="Q35" i="3" s="1"/>
  <c r="H35" i="3"/>
  <c r="I35" i="3" s="1"/>
  <c r="J35" i="3" s="1"/>
  <c r="G35" i="3"/>
  <c r="D35" i="3"/>
  <c r="C35" i="3"/>
  <c r="Q34" i="3"/>
  <c r="P34" i="3"/>
  <c r="O34" i="3"/>
  <c r="I34" i="3"/>
  <c r="J34" i="3" s="1"/>
  <c r="H34" i="3"/>
  <c r="G34" i="3"/>
  <c r="D34" i="3"/>
  <c r="C34" i="3"/>
  <c r="P33" i="3"/>
  <c r="O33" i="3"/>
  <c r="Q33" i="3" s="1"/>
  <c r="H33" i="3"/>
  <c r="I33" i="3" s="1"/>
  <c r="J33" i="3" s="1"/>
  <c r="G33" i="3"/>
  <c r="D33" i="3"/>
  <c r="C33" i="3"/>
  <c r="Q32" i="3"/>
  <c r="P32" i="3"/>
  <c r="O32" i="3"/>
  <c r="J32" i="3"/>
  <c r="I32" i="3"/>
  <c r="H32" i="3"/>
  <c r="G32" i="3"/>
  <c r="D32" i="3"/>
  <c r="C32" i="3"/>
  <c r="P31" i="3"/>
  <c r="O31" i="3"/>
  <c r="H31" i="3"/>
  <c r="I31" i="3" s="1"/>
  <c r="J31" i="3" s="1"/>
  <c r="G31" i="3"/>
  <c r="D31" i="3"/>
  <c r="C31" i="3"/>
  <c r="Q30" i="3"/>
  <c r="P30" i="3"/>
  <c r="O30" i="3"/>
  <c r="I30" i="3"/>
  <c r="J30" i="3" s="1"/>
  <c r="H30" i="3"/>
  <c r="G30" i="3"/>
  <c r="D30" i="3"/>
  <c r="C30" i="3"/>
  <c r="P29" i="3"/>
  <c r="O29" i="3"/>
  <c r="H29" i="3"/>
  <c r="I29" i="3" s="1"/>
  <c r="J29" i="3" s="1"/>
  <c r="G29" i="3"/>
  <c r="D29" i="3"/>
  <c r="C29" i="3"/>
  <c r="Q28" i="3"/>
  <c r="P28" i="3"/>
  <c r="O28" i="3"/>
  <c r="H28" i="3"/>
  <c r="I28" i="3" s="1"/>
  <c r="J28" i="3" s="1"/>
  <c r="G28" i="3"/>
  <c r="D28" i="3"/>
  <c r="C28" i="3"/>
  <c r="P27" i="3"/>
  <c r="O27" i="3"/>
  <c r="Q27" i="3" s="1"/>
  <c r="H27" i="3"/>
  <c r="I27" i="3" s="1"/>
  <c r="J27" i="3" s="1"/>
  <c r="G27" i="3"/>
  <c r="D27" i="3"/>
  <c r="C27" i="3"/>
  <c r="Q26" i="3"/>
  <c r="P26" i="3"/>
  <c r="O26" i="3"/>
  <c r="H26" i="3"/>
  <c r="I26" i="3" s="1"/>
  <c r="J26" i="3" s="1"/>
  <c r="G26" i="3"/>
  <c r="D26" i="3"/>
  <c r="C26" i="3"/>
  <c r="P25" i="3"/>
  <c r="O25" i="3"/>
  <c r="Q25" i="3" s="1"/>
  <c r="H25" i="3"/>
  <c r="I25" i="3" s="1"/>
  <c r="J25" i="3" s="1"/>
  <c r="G25" i="3"/>
  <c r="D25" i="3"/>
  <c r="C25" i="3"/>
  <c r="Q24" i="3"/>
  <c r="P24" i="3"/>
  <c r="O24" i="3"/>
  <c r="J24" i="3"/>
  <c r="I24" i="3"/>
  <c r="H24" i="3"/>
  <c r="G24" i="3"/>
  <c r="D24" i="3"/>
  <c r="C24" i="3"/>
  <c r="P23" i="3"/>
  <c r="O23" i="3"/>
  <c r="H23" i="3"/>
  <c r="I23" i="3" s="1"/>
  <c r="J23" i="3" s="1"/>
  <c r="G23" i="3"/>
  <c r="D23" i="3"/>
  <c r="C23" i="3"/>
  <c r="Q22" i="3"/>
  <c r="P22" i="3"/>
  <c r="O22" i="3"/>
  <c r="H22" i="3"/>
  <c r="I22" i="3" s="1"/>
  <c r="J22" i="3" s="1"/>
  <c r="G22" i="3"/>
  <c r="D22" i="3"/>
  <c r="C22" i="3"/>
  <c r="P21" i="3"/>
  <c r="O21" i="3"/>
  <c r="H21" i="3"/>
  <c r="I21" i="3" s="1"/>
  <c r="J21" i="3" s="1"/>
  <c r="G21" i="3"/>
  <c r="D21" i="3"/>
  <c r="C21" i="3"/>
  <c r="Q20" i="3"/>
  <c r="P20" i="3"/>
  <c r="O20" i="3"/>
  <c r="H20" i="3"/>
  <c r="I20" i="3" s="1"/>
  <c r="J20" i="3" s="1"/>
  <c r="G20" i="3"/>
  <c r="D20" i="3"/>
  <c r="C20" i="3"/>
  <c r="P19" i="3"/>
  <c r="O19" i="3"/>
  <c r="H19" i="3"/>
  <c r="I19" i="3" s="1"/>
  <c r="J19" i="3" s="1"/>
  <c r="G19" i="3"/>
  <c r="D19" i="3"/>
  <c r="C19" i="3"/>
  <c r="Q18" i="3"/>
  <c r="P18" i="3"/>
  <c r="O18" i="3"/>
  <c r="H18" i="3"/>
  <c r="I18" i="3" s="1"/>
  <c r="J18" i="3" s="1"/>
  <c r="G18" i="3"/>
  <c r="D18" i="3"/>
  <c r="C18" i="3"/>
  <c r="P17" i="3"/>
  <c r="O17" i="3"/>
  <c r="Q17" i="3" s="1"/>
  <c r="H17" i="3"/>
  <c r="G32" i="2" s="1"/>
  <c r="G17" i="3"/>
  <c r="F32" i="2" s="1"/>
  <c r="D17" i="3"/>
  <c r="C17" i="3"/>
  <c r="Q16" i="3"/>
  <c r="P16" i="3"/>
  <c r="O16" i="3"/>
  <c r="J16" i="3"/>
  <c r="I31" i="2" s="1"/>
  <c r="I16" i="3"/>
  <c r="H31" i="2" s="1"/>
  <c r="H16" i="3"/>
  <c r="G31" i="2" s="1"/>
  <c r="G16" i="3"/>
  <c r="F31" i="2" s="1"/>
  <c r="D16" i="3"/>
  <c r="C16" i="3"/>
  <c r="P15" i="3"/>
  <c r="O15" i="3"/>
  <c r="H15" i="3"/>
  <c r="G30" i="2" s="1"/>
  <c r="G15" i="3"/>
  <c r="F30" i="2" s="1"/>
  <c r="D15" i="3"/>
  <c r="C15" i="3"/>
  <c r="Q14" i="3"/>
  <c r="P14" i="3"/>
  <c r="O14" i="3"/>
  <c r="H14" i="3"/>
  <c r="G29" i="2" s="1"/>
  <c r="G14" i="3"/>
  <c r="F29" i="2" s="1"/>
  <c r="D14" i="3"/>
  <c r="C14" i="3"/>
  <c r="P13" i="3"/>
  <c r="O13" i="3"/>
  <c r="H13" i="3"/>
  <c r="G28" i="2" s="1"/>
  <c r="G13" i="3"/>
  <c r="F28" i="2" s="1"/>
  <c r="D13" i="3"/>
  <c r="C13" i="3"/>
  <c r="Q12" i="3"/>
  <c r="P12" i="3"/>
  <c r="O12" i="3"/>
  <c r="H12" i="3"/>
  <c r="G27" i="2" s="1"/>
  <c r="G12" i="3"/>
  <c r="F27" i="2" s="1"/>
  <c r="D12" i="3"/>
  <c r="C12" i="3"/>
  <c r="P11" i="3"/>
  <c r="O11" i="3"/>
  <c r="H11" i="3"/>
  <c r="G11" i="3"/>
  <c r="F26" i="2" s="1"/>
  <c r="D11" i="3"/>
  <c r="C11" i="3"/>
  <c r="Q10" i="3"/>
  <c r="P10" i="3"/>
  <c r="O10" i="3"/>
  <c r="I10" i="3"/>
  <c r="H25" i="2" s="1"/>
  <c r="H10" i="3"/>
  <c r="G25" i="2" s="1"/>
  <c r="G10" i="3"/>
  <c r="F25" i="2" s="1"/>
  <c r="D10" i="3"/>
  <c r="C10" i="3"/>
  <c r="P9" i="3"/>
  <c r="O9" i="3"/>
  <c r="Q9" i="3" s="1"/>
  <c r="H9" i="3"/>
  <c r="G9" i="3"/>
  <c r="F24" i="2" s="1"/>
  <c r="D9" i="3"/>
  <c r="C9" i="3"/>
  <c r="Q8" i="3"/>
  <c r="M6" i="3" s="1"/>
  <c r="P8" i="3"/>
  <c r="O8" i="3"/>
  <c r="M8" i="3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L8" i="3"/>
  <c r="H8" i="3"/>
  <c r="G8" i="3"/>
  <c r="F23" i="2" s="1"/>
  <c r="D8" i="3"/>
  <c r="C8" i="3"/>
  <c r="O6" i="3"/>
  <c r="N6" i="3"/>
  <c r="L6" i="3"/>
  <c r="F6" i="3"/>
  <c r="E6" i="3"/>
  <c r="D6" i="3"/>
  <c r="B6" i="3"/>
  <c r="M16" i="6" l="1"/>
  <c r="F24" i="8"/>
  <c r="F16" i="8"/>
  <c r="J10" i="3"/>
  <c r="I25" i="2" s="1"/>
  <c r="Q15" i="3"/>
  <c r="Q23" i="3"/>
  <c r="Q31" i="3"/>
  <c r="G26" i="2"/>
  <c r="I11" i="3"/>
  <c r="I12" i="3"/>
  <c r="F54" i="8"/>
  <c r="F55" i="8" s="1"/>
  <c r="F51" i="8"/>
  <c r="G23" i="2"/>
  <c r="G6" i="3"/>
  <c r="I8" i="3"/>
  <c r="Q37" i="3"/>
  <c r="Q11" i="3"/>
  <c r="I14" i="3"/>
  <c r="Q19" i="3"/>
  <c r="Q39" i="3"/>
  <c r="L9" i="3"/>
  <c r="N8" i="3"/>
  <c r="K6" i="3" s="1"/>
  <c r="G24" i="2"/>
  <c r="I9" i="3"/>
  <c r="Q41" i="3"/>
  <c r="Q43" i="3"/>
  <c r="Q45" i="3"/>
  <c r="Q47" i="3"/>
  <c r="Q49" i="3"/>
  <c r="Q51" i="3"/>
  <c r="Q53" i="3"/>
  <c r="Q55" i="3"/>
  <c r="Q57" i="3"/>
  <c r="Q59" i="3"/>
  <c r="Q87" i="3"/>
  <c r="Q103" i="3"/>
  <c r="Q119" i="3"/>
  <c r="Q135" i="3"/>
  <c r="Q13" i="3"/>
  <c r="Q21" i="3"/>
  <c r="Q29" i="3"/>
  <c r="Q180" i="3"/>
  <c r="I13" i="3"/>
  <c r="I15" i="3"/>
  <c r="I17" i="3"/>
  <c r="Q220" i="3"/>
  <c r="Q212" i="3"/>
  <c r="Q228" i="3"/>
  <c r="Q248" i="3"/>
  <c r="Q264" i="3"/>
  <c r="H54" i="8"/>
  <c r="H55" i="8" s="1"/>
  <c r="H51" i="8"/>
  <c r="Q311" i="3"/>
  <c r="Q346" i="3"/>
  <c r="H29" i="6"/>
  <c r="D50" i="8"/>
  <c r="D43" i="8"/>
  <c r="D67" i="1"/>
  <c r="Q358" i="3"/>
  <c r="Q355" i="3"/>
  <c r="Q356" i="3"/>
  <c r="Q359" i="3"/>
  <c r="Q360" i="3"/>
  <c r="Q361" i="3"/>
  <c r="Q372" i="3"/>
  <c r="F6" i="1"/>
  <c r="E9" i="1"/>
  <c r="L50" i="2"/>
  <c r="H50" i="2"/>
  <c r="E6" i="5"/>
  <c r="D6" i="5"/>
  <c r="H6" i="5"/>
  <c r="I37" i="2"/>
  <c r="F6" i="5"/>
  <c r="C16" i="8"/>
  <c r="I15" i="8"/>
  <c r="C24" i="8"/>
  <c r="G28" i="8"/>
  <c r="G29" i="8" s="1"/>
  <c r="G25" i="8"/>
  <c r="G50" i="8"/>
  <c r="G43" i="8"/>
  <c r="Q353" i="3"/>
  <c r="Q354" i="3"/>
  <c r="Q362" i="3"/>
  <c r="Q364" i="3"/>
  <c r="Q366" i="3"/>
  <c r="Q368" i="3"/>
  <c r="Q370" i="3"/>
  <c r="D71" i="1"/>
  <c r="D28" i="8"/>
  <c r="D29" i="8" s="1"/>
  <c r="D25" i="8"/>
  <c r="D63" i="1"/>
  <c r="B45" i="2"/>
  <c r="E16" i="8"/>
  <c r="E24" i="8"/>
  <c r="E54" i="8"/>
  <c r="E55" i="8" s="1"/>
  <c r="E51" i="8"/>
  <c r="C69" i="1"/>
  <c r="D69" i="1" s="1"/>
  <c r="C42" i="8"/>
  <c r="F7" i="1"/>
  <c r="J51" i="2" s="1"/>
  <c r="D65" i="1"/>
  <c r="H51" i="2"/>
  <c r="L52" i="2"/>
  <c r="G16" i="8"/>
  <c r="E43" i="8"/>
  <c r="F8" i="1"/>
  <c r="J52" i="2" s="1"/>
  <c r="D66" i="1"/>
  <c r="H25" i="8"/>
  <c r="H43" i="8"/>
  <c r="H45" i="2"/>
  <c r="C72" i="1"/>
  <c r="C43" i="8" l="1"/>
  <c r="I43" i="8" s="1"/>
  <c r="I42" i="8"/>
  <c r="C50" i="8"/>
  <c r="H26" i="2"/>
  <c r="J11" i="3"/>
  <c r="I26" i="2" s="1"/>
  <c r="D54" i="8"/>
  <c r="D55" i="8" s="1"/>
  <c r="D51" i="8"/>
  <c r="H24" i="2"/>
  <c r="J9" i="3"/>
  <c r="I24" i="2" s="1"/>
  <c r="C25" i="8"/>
  <c r="I24" i="8"/>
  <c r="C28" i="8"/>
  <c r="H32" i="2"/>
  <c r="J17" i="3"/>
  <c r="I32" i="2" s="1"/>
  <c r="L10" i="3"/>
  <c r="N9" i="3"/>
  <c r="D72" i="1"/>
  <c r="D45" i="2"/>
  <c r="E28" i="8"/>
  <c r="E29" i="8" s="1"/>
  <c r="E25" i="8"/>
  <c r="H30" i="2"/>
  <c r="J15" i="3"/>
  <c r="I30" i="2" s="1"/>
  <c r="G54" i="8"/>
  <c r="G55" i="8" s="1"/>
  <c r="G51" i="8"/>
  <c r="H23" i="2"/>
  <c r="H6" i="3"/>
  <c r="J8" i="3"/>
  <c r="C73" i="1"/>
  <c r="I16" i="8"/>
  <c r="L53" i="2"/>
  <c r="H53" i="2"/>
  <c r="H28" i="2"/>
  <c r="J13" i="3"/>
  <c r="I28" i="2" s="1"/>
  <c r="F9" i="1"/>
  <c r="J53" i="2" s="1"/>
  <c r="J50" i="2"/>
  <c r="H29" i="2"/>
  <c r="J14" i="3"/>
  <c r="I29" i="2" s="1"/>
  <c r="H27" i="2"/>
  <c r="J12" i="3"/>
  <c r="I27" i="2" s="1"/>
  <c r="F28" i="8"/>
  <c r="F29" i="8" s="1"/>
  <c r="F25" i="8"/>
  <c r="L11" i="3" l="1"/>
  <c r="N10" i="3"/>
  <c r="D73" i="1"/>
  <c r="F45" i="2"/>
  <c r="C29" i="8"/>
  <c r="I29" i="8" s="1"/>
  <c r="I28" i="8"/>
  <c r="I23" i="2"/>
  <c r="I6" i="3"/>
  <c r="C54" i="8"/>
  <c r="C51" i="8"/>
  <c r="I51" i="8" s="1"/>
  <c r="I50" i="8"/>
  <c r="I25" i="8"/>
  <c r="C55" i="8" l="1"/>
  <c r="I55" i="8" s="1"/>
  <c r="I54" i="8"/>
  <c r="L12" i="3"/>
  <c r="N11" i="3"/>
  <c r="L13" i="3" l="1"/>
  <c r="N12" i="3"/>
  <c r="L14" i="3" l="1"/>
  <c r="N13" i="3"/>
  <c r="L15" i="3" l="1"/>
  <c r="N14" i="3"/>
  <c r="N15" i="3" l="1"/>
  <c r="L16" i="3"/>
  <c r="L17" i="3" l="1"/>
  <c r="N16" i="3"/>
  <c r="N17" i="3" l="1"/>
  <c r="L18" i="3"/>
  <c r="L19" i="3" l="1"/>
  <c r="N18" i="3"/>
  <c r="L20" i="3" l="1"/>
  <c r="N19" i="3"/>
  <c r="L21" i="3" l="1"/>
  <c r="N20" i="3"/>
  <c r="L22" i="3" l="1"/>
  <c r="N21" i="3"/>
  <c r="L23" i="3" l="1"/>
  <c r="N22" i="3"/>
  <c r="N23" i="3" l="1"/>
  <c r="L24" i="3"/>
  <c r="L25" i="3" l="1"/>
  <c r="N24" i="3"/>
  <c r="L26" i="3" l="1"/>
  <c r="N25" i="3"/>
  <c r="L27" i="3" l="1"/>
  <c r="N26" i="3"/>
  <c r="L28" i="3" l="1"/>
  <c r="N27" i="3"/>
  <c r="L29" i="3" l="1"/>
  <c r="N28" i="3"/>
  <c r="L30" i="3" l="1"/>
  <c r="N29" i="3"/>
  <c r="L31" i="3" l="1"/>
  <c r="N30" i="3"/>
  <c r="N31" i="3" l="1"/>
  <c r="L32" i="3"/>
  <c r="L33" i="3" l="1"/>
  <c r="N32" i="3"/>
  <c r="L34" i="3" l="1"/>
  <c r="N33" i="3"/>
  <c r="L35" i="3" l="1"/>
  <c r="N34" i="3"/>
  <c r="N35" i="3" l="1"/>
  <c r="L36" i="3"/>
  <c r="L37" i="3" l="1"/>
  <c r="N36" i="3"/>
  <c r="N37" i="3" l="1"/>
  <c r="L38" i="3"/>
  <c r="L39" i="3" l="1"/>
  <c r="N38" i="3"/>
  <c r="L40" i="3" l="1"/>
  <c r="N39" i="3"/>
  <c r="L41" i="3" l="1"/>
  <c r="N40" i="3"/>
  <c r="L42" i="3" l="1"/>
  <c r="N41" i="3"/>
  <c r="L43" i="3" l="1"/>
  <c r="N42" i="3"/>
  <c r="L44" i="3" l="1"/>
  <c r="N43" i="3"/>
  <c r="L45" i="3" l="1"/>
  <c r="N44" i="3"/>
  <c r="L46" i="3" l="1"/>
  <c r="N45" i="3"/>
  <c r="L47" i="3" l="1"/>
  <c r="N46" i="3"/>
  <c r="L48" i="3" l="1"/>
  <c r="N47" i="3"/>
  <c r="L49" i="3" l="1"/>
  <c r="N48" i="3"/>
  <c r="L50" i="3" l="1"/>
  <c r="N49" i="3"/>
  <c r="L51" i="3" l="1"/>
  <c r="N50" i="3"/>
  <c r="L52" i="3" l="1"/>
  <c r="N51" i="3"/>
  <c r="L53" i="3" l="1"/>
  <c r="N52" i="3"/>
  <c r="L54" i="3" l="1"/>
  <c r="N53" i="3"/>
  <c r="L55" i="3" l="1"/>
  <c r="N54" i="3"/>
  <c r="L56" i="3" l="1"/>
  <c r="N55" i="3"/>
  <c r="L57" i="3" l="1"/>
  <c r="N56" i="3"/>
  <c r="L58" i="3" l="1"/>
  <c r="N57" i="3"/>
  <c r="L59" i="3" l="1"/>
  <c r="N58" i="3"/>
  <c r="L60" i="3" l="1"/>
  <c r="N59" i="3"/>
  <c r="L61" i="3" l="1"/>
  <c r="N60" i="3"/>
  <c r="L62" i="3" l="1"/>
  <c r="N61" i="3"/>
  <c r="L63" i="3" l="1"/>
  <c r="N62" i="3"/>
  <c r="L64" i="3" l="1"/>
  <c r="N63" i="3"/>
  <c r="L65" i="3" l="1"/>
  <c r="N64" i="3"/>
  <c r="L66" i="3" l="1"/>
  <c r="N65" i="3"/>
  <c r="L67" i="3" l="1"/>
  <c r="N66" i="3"/>
  <c r="L68" i="3" l="1"/>
  <c r="N67" i="3"/>
  <c r="L69" i="3" l="1"/>
  <c r="N68" i="3"/>
  <c r="L70" i="3" l="1"/>
  <c r="N69" i="3"/>
  <c r="L71" i="3" l="1"/>
  <c r="N70" i="3"/>
  <c r="L72" i="3" l="1"/>
  <c r="N71" i="3"/>
  <c r="L73" i="3" l="1"/>
  <c r="N72" i="3"/>
  <c r="L74" i="3" l="1"/>
  <c r="N73" i="3"/>
  <c r="L75" i="3" l="1"/>
  <c r="N74" i="3"/>
  <c r="L76" i="3" l="1"/>
  <c r="N75" i="3"/>
  <c r="L77" i="3" l="1"/>
  <c r="N76" i="3"/>
  <c r="L78" i="3" l="1"/>
  <c r="N77" i="3"/>
  <c r="L79" i="3" l="1"/>
  <c r="N78" i="3"/>
  <c r="L80" i="3" l="1"/>
  <c r="N79" i="3"/>
  <c r="L81" i="3" l="1"/>
  <c r="N80" i="3"/>
  <c r="L82" i="3" l="1"/>
  <c r="N81" i="3"/>
  <c r="L83" i="3" l="1"/>
  <c r="N82" i="3"/>
  <c r="L84" i="3" l="1"/>
  <c r="N83" i="3"/>
  <c r="L85" i="3" l="1"/>
  <c r="N84" i="3"/>
  <c r="L86" i="3" l="1"/>
  <c r="N85" i="3"/>
  <c r="L87" i="3" l="1"/>
  <c r="N86" i="3"/>
  <c r="N87" i="3" l="1"/>
  <c r="L88" i="3"/>
  <c r="N88" i="3" l="1"/>
  <c r="L89" i="3"/>
  <c r="L90" i="3" l="1"/>
  <c r="N89" i="3"/>
  <c r="N90" i="3" l="1"/>
  <c r="L91" i="3"/>
  <c r="L92" i="3" l="1"/>
  <c r="N91" i="3"/>
  <c r="N92" i="3" l="1"/>
  <c r="L93" i="3"/>
  <c r="L94" i="3" l="1"/>
  <c r="N93" i="3"/>
  <c r="N94" i="3" l="1"/>
  <c r="L95" i="3"/>
  <c r="N95" i="3" l="1"/>
  <c r="L96" i="3"/>
  <c r="N96" i="3" l="1"/>
  <c r="L97" i="3"/>
  <c r="L98" i="3" l="1"/>
  <c r="N97" i="3"/>
  <c r="N98" i="3" l="1"/>
  <c r="L99" i="3"/>
  <c r="L100" i="3" l="1"/>
  <c r="N99" i="3"/>
  <c r="N100" i="3" l="1"/>
  <c r="L101" i="3"/>
  <c r="L102" i="3" l="1"/>
  <c r="N101" i="3"/>
  <c r="N102" i="3" l="1"/>
  <c r="L103" i="3"/>
  <c r="N103" i="3" l="1"/>
  <c r="L104" i="3"/>
  <c r="N104" i="3" l="1"/>
  <c r="L105" i="3"/>
  <c r="L106" i="3" l="1"/>
  <c r="N105" i="3"/>
  <c r="N106" i="3" l="1"/>
  <c r="L107" i="3"/>
  <c r="L108" i="3" l="1"/>
  <c r="N107" i="3"/>
  <c r="N108" i="3" l="1"/>
  <c r="L109" i="3"/>
  <c r="L110" i="3" l="1"/>
  <c r="N109" i="3"/>
  <c r="N110" i="3" l="1"/>
  <c r="L111" i="3"/>
  <c r="N111" i="3" l="1"/>
  <c r="L112" i="3"/>
  <c r="N112" i="3" l="1"/>
  <c r="L113" i="3"/>
  <c r="L114" i="3" l="1"/>
  <c r="N113" i="3"/>
  <c r="N114" i="3" l="1"/>
  <c r="L115" i="3"/>
  <c r="L116" i="3" l="1"/>
  <c r="N115" i="3"/>
  <c r="N116" i="3" l="1"/>
  <c r="L117" i="3"/>
  <c r="L118" i="3" l="1"/>
  <c r="N117" i="3"/>
  <c r="N118" i="3" l="1"/>
  <c r="L119" i="3"/>
  <c r="N119" i="3" l="1"/>
  <c r="L120" i="3"/>
  <c r="N120" i="3" l="1"/>
  <c r="L121" i="3"/>
  <c r="L122" i="3" l="1"/>
  <c r="N121" i="3"/>
  <c r="N122" i="3" l="1"/>
  <c r="L123" i="3"/>
  <c r="L124" i="3" l="1"/>
  <c r="N123" i="3"/>
  <c r="N124" i="3" l="1"/>
  <c r="L125" i="3"/>
  <c r="L126" i="3" l="1"/>
  <c r="N125" i="3"/>
  <c r="N126" i="3" l="1"/>
  <c r="L127" i="3"/>
  <c r="N127" i="3" l="1"/>
  <c r="L128" i="3"/>
  <c r="N128" i="3" l="1"/>
  <c r="L129" i="3"/>
  <c r="L130" i="3" l="1"/>
  <c r="N129" i="3"/>
  <c r="N130" i="3" l="1"/>
  <c r="L131" i="3"/>
  <c r="L132" i="3" l="1"/>
  <c r="N131" i="3"/>
  <c r="N132" i="3" l="1"/>
  <c r="L133" i="3"/>
  <c r="L134" i="3" l="1"/>
  <c r="N133" i="3"/>
  <c r="N134" i="3" l="1"/>
  <c r="L135" i="3"/>
  <c r="N135" i="3" l="1"/>
  <c r="L136" i="3"/>
  <c r="N136" i="3" l="1"/>
  <c r="L137" i="3"/>
  <c r="L138" i="3" l="1"/>
  <c r="N137" i="3"/>
  <c r="N138" i="3" l="1"/>
  <c r="L139" i="3"/>
  <c r="L140" i="3" l="1"/>
  <c r="N139" i="3"/>
  <c r="N140" i="3" l="1"/>
  <c r="L141" i="3"/>
  <c r="L142" i="3" l="1"/>
  <c r="N141" i="3"/>
  <c r="N142" i="3" l="1"/>
  <c r="L143" i="3"/>
  <c r="N143" i="3" l="1"/>
  <c r="L144" i="3"/>
  <c r="N144" i="3" l="1"/>
  <c r="L145" i="3"/>
  <c r="L146" i="3" l="1"/>
  <c r="N145" i="3"/>
  <c r="N146" i="3" l="1"/>
  <c r="L147" i="3"/>
  <c r="L148" i="3" l="1"/>
  <c r="N147" i="3"/>
  <c r="N148" i="3" l="1"/>
  <c r="L149" i="3"/>
  <c r="L150" i="3" l="1"/>
  <c r="N149" i="3"/>
  <c r="N150" i="3" l="1"/>
  <c r="L151" i="3"/>
  <c r="N151" i="3" l="1"/>
  <c r="L152" i="3"/>
  <c r="N152" i="3" l="1"/>
  <c r="L153" i="3"/>
  <c r="N153" i="3" l="1"/>
  <c r="L154" i="3"/>
  <c r="N154" i="3" l="1"/>
  <c r="L155" i="3"/>
  <c r="N155" i="3" l="1"/>
  <c r="L156" i="3"/>
  <c r="N156" i="3" l="1"/>
  <c r="L157" i="3"/>
  <c r="N157" i="3" l="1"/>
  <c r="L158" i="3"/>
  <c r="N158" i="3" l="1"/>
  <c r="L159" i="3"/>
  <c r="N159" i="3" l="1"/>
  <c r="L160" i="3"/>
  <c r="N160" i="3" l="1"/>
  <c r="L161" i="3"/>
  <c r="N161" i="3" l="1"/>
  <c r="L162" i="3"/>
  <c r="N162" i="3" l="1"/>
  <c r="L163" i="3"/>
  <c r="N163" i="3" l="1"/>
  <c r="L164" i="3"/>
  <c r="N164" i="3" l="1"/>
  <c r="L165" i="3"/>
  <c r="N165" i="3" l="1"/>
  <c r="L166" i="3"/>
  <c r="N166" i="3" l="1"/>
  <c r="L167" i="3"/>
  <c r="N167" i="3" l="1"/>
  <c r="L168" i="3"/>
  <c r="N168" i="3" l="1"/>
  <c r="L169" i="3"/>
  <c r="N169" i="3" l="1"/>
  <c r="L170" i="3"/>
  <c r="N170" i="3" l="1"/>
  <c r="L171" i="3"/>
  <c r="N171" i="3" l="1"/>
  <c r="L172" i="3"/>
  <c r="N172" i="3" l="1"/>
  <c r="L173" i="3"/>
  <c r="N173" i="3" l="1"/>
  <c r="L174" i="3"/>
  <c r="N174" i="3" l="1"/>
  <c r="L175" i="3"/>
  <c r="N175" i="3" l="1"/>
  <c r="L176" i="3"/>
  <c r="N176" i="3" l="1"/>
  <c r="L177" i="3"/>
  <c r="N177" i="3" l="1"/>
  <c r="L178" i="3"/>
  <c r="N178" i="3" l="1"/>
  <c r="L179" i="3"/>
  <c r="N179" i="3" l="1"/>
  <c r="L180" i="3"/>
  <c r="N180" i="3" l="1"/>
  <c r="L181" i="3"/>
  <c r="N181" i="3" l="1"/>
  <c r="L182" i="3"/>
  <c r="N182" i="3" l="1"/>
  <c r="L183" i="3"/>
  <c r="N183" i="3" l="1"/>
  <c r="L184" i="3"/>
  <c r="L185" i="3" l="1"/>
  <c r="N184" i="3"/>
  <c r="N185" i="3" l="1"/>
  <c r="L186" i="3"/>
  <c r="L187" i="3" l="1"/>
  <c r="N186" i="3"/>
  <c r="N187" i="3" l="1"/>
  <c r="L188" i="3"/>
  <c r="L189" i="3" l="1"/>
  <c r="N188" i="3"/>
  <c r="N189" i="3" l="1"/>
  <c r="L190" i="3"/>
  <c r="L191" i="3" l="1"/>
  <c r="N190" i="3"/>
  <c r="L192" i="3" l="1"/>
  <c r="N191" i="3"/>
  <c r="L193" i="3" l="1"/>
  <c r="N192" i="3"/>
  <c r="L194" i="3" l="1"/>
  <c r="N193" i="3"/>
  <c r="L195" i="3" l="1"/>
  <c r="N194" i="3"/>
  <c r="L196" i="3" l="1"/>
  <c r="N195" i="3"/>
  <c r="L197" i="3" l="1"/>
  <c r="N196" i="3"/>
  <c r="L198" i="3" l="1"/>
  <c r="N197" i="3"/>
  <c r="L199" i="3" l="1"/>
  <c r="N198" i="3"/>
  <c r="L200" i="3" l="1"/>
  <c r="N199" i="3"/>
  <c r="L201" i="3" l="1"/>
  <c r="N200" i="3"/>
  <c r="L202" i="3" l="1"/>
  <c r="N201" i="3"/>
  <c r="L203" i="3" l="1"/>
  <c r="N202" i="3"/>
  <c r="L204" i="3" l="1"/>
  <c r="N203" i="3"/>
  <c r="L205" i="3" l="1"/>
  <c r="N204" i="3"/>
  <c r="L206" i="3" l="1"/>
  <c r="N205" i="3"/>
  <c r="L207" i="3" l="1"/>
  <c r="N206" i="3"/>
  <c r="L208" i="3" l="1"/>
  <c r="N207" i="3"/>
  <c r="L209" i="3" l="1"/>
  <c r="N208" i="3"/>
  <c r="L210" i="3" l="1"/>
  <c r="N209" i="3"/>
  <c r="L211" i="3" l="1"/>
  <c r="N210" i="3"/>
  <c r="L212" i="3" l="1"/>
  <c r="N211" i="3"/>
  <c r="L213" i="3" l="1"/>
  <c r="N212" i="3"/>
  <c r="N213" i="3" l="1"/>
  <c r="L214" i="3"/>
  <c r="N214" i="3" l="1"/>
  <c r="L215" i="3"/>
  <c r="N215" i="3" l="1"/>
  <c r="L216" i="3"/>
  <c r="L217" i="3" l="1"/>
  <c r="N216" i="3"/>
  <c r="N217" i="3" l="1"/>
  <c r="L218" i="3"/>
  <c r="L219" i="3" l="1"/>
  <c r="N218" i="3"/>
  <c r="N219" i="3" l="1"/>
  <c r="L220" i="3"/>
  <c r="L221" i="3" l="1"/>
  <c r="N220" i="3"/>
  <c r="N221" i="3" l="1"/>
  <c r="L222" i="3"/>
  <c r="N222" i="3" l="1"/>
  <c r="L223" i="3"/>
  <c r="N223" i="3" l="1"/>
  <c r="L224" i="3"/>
  <c r="L225" i="3" l="1"/>
  <c r="N224" i="3"/>
  <c r="N225" i="3" l="1"/>
  <c r="L226" i="3"/>
  <c r="L227" i="3" l="1"/>
  <c r="N226" i="3"/>
  <c r="N227" i="3" l="1"/>
  <c r="L228" i="3"/>
  <c r="L229" i="3" l="1"/>
  <c r="N228" i="3"/>
  <c r="N229" i="3" l="1"/>
  <c r="L230" i="3"/>
  <c r="N230" i="3" l="1"/>
  <c r="L231" i="3"/>
  <c r="N231" i="3" l="1"/>
  <c r="L232" i="3"/>
  <c r="L233" i="3" l="1"/>
  <c r="N232" i="3"/>
  <c r="N233" i="3" l="1"/>
  <c r="L234" i="3"/>
  <c r="L235" i="3" l="1"/>
  <c r="N234" i="3"/>
  <c r="N235" i="3" l="1"/>
  <c r="L236" i="3"/>
  <c r="L237" i="3" l="1"/>
  <c r="N236" i="3"/>
  <c r="N237" i="3" l="1"/>
  <c r="L238" i="3"/>
  <c r="L239" i="3" l="1"/>
  <c r="N238" i="3"/>
  <c r="N239" i="3" l="1"/>
  <c r="L240" i="3"/>
  <c r="L241" i="3" l="1"/>
  <c r="N240" i="3"/>
  <c r="N241" i="3" l="1"/>
  <c r="L242" i="3"/>
  <c r="N242" i="3" l="1"/>
  <c r="L243" i="3"/>
  <c r="N243" i="3" l="1"/>
  <c r="L244" i="3"/>
  <c r="L245" i="3" l="1"/>
  <c r="N244" i="3"/>
  <c r="L246" i="3" l="1"/>
  <c r="N245" i="3"/>
  <c r="N246" i="3" l="1"/>
  <c r="L247" i="3"/>
  <c r="L248" i="3" l="1"/>
  <c r="N247" i="3"/>
  <c r="L249" i="3" l="1"/>
  <c r="N248" i="3"/>
  <c r="L250" i="3" l="1"/>
  <c r="N249" i="3"/>
  <c r="N250" i="3" l="1"/>
  <c r="L251" i="3"/>
  <c r="L252" i="3" l="1"/>
  <c r="N251" i="3"/>
  <c r="N252" i="3" l="1"/>
  <c r="L253" i="3"/>
  <c r="N253" i="3" l="1"/>
  <c r="L254" i="3"/>
  <c r="N254" i="3" l="1"/>
  <c r="L255" i="3"/>
  <c r="L256" i="3" l="1"/>
  <c r="N255" i="3"/>
  <c r="N256" i="3" l="1"/>
  <c r="L257" i="3"/>
  <c r="L258" i="3" l="1"/>
  <c r="N257" i="3"/>
  <c r="N258" i="3" l="1"/>
  <c r="L259" i="3"/>
  <c r="L260" i="3" l="1"/>
  <c r="N259" i="3"/>
  <c r="N260" i="3" l="1"/>
  <c r="L261" i="3"/>
  <c r="N261" i="3" l="1"/>
  <c r="L262" i="3"/>
  <c r="N262" i="3" l="1"/>
  <c r="L263" i="3"/>
  <c r="L264" i="3" l="1"/>
  <c r="N263" i="3"/>
  <c r="N264" i="3" l="1"/>
  <c r="L265" i="3"/>
  <c r="L266" i="3" l="1"/>
  <c r="N265" i="3"/>
  <c r="N266" i="3" l="1"/>
  <c r="L267" i="3"/>
  <c r="L268" i="3" l="1"/>
  <c r="N267" i="3"/>
  <c r="N268" i="3" l="1"/>
  <c r="L269" i="3"/>
  <c r="N269" i="3" l="1"/>
  <c r="L270" i="3"/>
  <c r="N270" i="3" l="1"/>
  <c r="L271" i="3"/>
  <c r="L272" i="3" l="1"/>
  <c r="N271" i="3"/>
  <c r="N272" i="3" l="1"/>
  <c r="L273" i="3"/>
  <c r="L274" i="3" l="1"/>
  <c r="N273" i="3"/>
  <c r="N274" i="3" l="1"/>
  <c r="L275" i="3"/>
  <c r="L276" i="3" l="1"/>
  <c r="N275" i="3"/>
  <c r="N276" i="3" l="1"/>
  <c r="L277" i="3"/>
  <c r="N277" i="3" l="1"/>
  <c r="L278" i="3"/>
  <c r="N278" i="3" l="1"/>
  <c r="L279" i="3"/>
  <c r="L280" i="3" l="1"/>
  <c r="N279" i="3"/>
  <c r="N280" i="3" l="1"/>
  <c r="L281" i="3"/>
  <c r="L282" i="3" l="1"/>
  <c r="N281" i="3"/>
  <c r="N282" i="3" l="1"/>
  <c r="L283" i="3"/>
  <c r="L284" i="3" l="1"/>
  <c r="N283" i="3"/>
  <c r="N284" i="3" l="1"/>
  <c r="L285" i="3"/>
  <c r="N285" i="3" l="1"/>
  <c r="L286" i="3"/>
  <c r="N286" i="3" l="1"/>
  <c r="L287" i="3"/>
  <c r="L288" i="3" l="1"/>
  <c r="N287" i="3"/>
  <c r="N288" i="3" l="1"/>
  <c r="L289" i="3"/>
  <c r="L290" i="3" l="1"/>
  <c r="N289" i="3"/>
  <c r="N290" i="3" l="1"/>
  <c r="L291" i="3"/>
  <c r="L292" i="3" l="1"/>
  <c r="N291" i="3"/>
  <c r="N292" i="3" l="1"/>
  <c r="L293" i="3"/>
  <c r="N293" i="3" l="1"/>
  <c r="L294" i="3"/>
  <c r="N294" i="3" l="1"/>
  <c r="L295" i="3"/>
  <c r="L296" i="3" l="1"/>
  <c r="N295" i="3"/>
  <c r="N296" i="3" l="1"/>
  <c r="L297" i="3"/>
  <c r="L298" i="3" l="1"/>
  <c r="N297" i="3"/>
  <c r="N298" i="3" l="1"/>
  <c r="L299" i="3"/>
  <c r="L300" i="3" l="1"/>
  <c r="N299" i="3"/>
  <c r="N300" i="3" l="1"/>
  <c r="L301" i="3"/>
  <c r="N301" i="3" l="1"/>
  <c r="L302" i="3"/>
  <c r="N302" i="3" l="1"/>
  <c r="L303" i="3"/>
  <c r="L304" i="3" l="1"/>
  <c r="N303" i="3"/>
  <c r="L305" i="3" l="1"/>
  <c r="N304" i="3"/>
  <c r="N305" i="3" l="1"/>
  <c r="L306" i="3"/>
  <c r="L307" i="3" l="1"/>
  <c r="N306" i="3"/>
  <c r="N307" i="3" l="1"/>
  <c r="L308" i="3"/>
  <c r="L309" i="3" l="1"/>
  <c r="N308" i="3"/>
  <c r="N309" i="3" l="1"/>
  <c r="L310" i="3"/>
  <c r="L311" i="3" l="1"/>
  <c r="N310" i="3"/>
  <c r="N311" i="3" l="1"/>
  <c r="L312" i="3"/>
  <c r="N312" i="3" l="1"/>
  <c r="L313" i="3"/>
  <c r="N313" i="3" l="1"/>
  <c r="L314" i="3"/>
  <c r="N314" i="3" l="1"/>
  <c r="L315" i="3"/>
  <c r="N315" i="3" l="1"/>
  <c r="L316" i="3"/>
  <c r="N316" i="3" l="1"/>
  <c r="L317" i="3"/>
  <c r="N317" i="3" l="1"/>
  <c r="L318" i="3"/>
  <c r="N318" i="3" l="1"/>
  <c r="L319" i="3"/>
  <c r="N319" i="3" l="1"/>
  <c r="L320" i="3"/>
  <c r="N320" i="3" l="1"/>
  <c r="L321" i="3"/>
  <c r="N321" i="3" l="1"/>
  <c r="L322" i="3"/>
  <c r="N322" i="3" l="1"/>
  <c r="L323" i="3"/>
  <c r="N323" i="3" l="1"/>
  <c r="L324" i="3"/>
  <c r="N324" i="3" l="1"/>
  <c r="L325" i="3"/>
  <c r="N325" i="3" l="1"/>
  <c r="L326" i="3"/>
  <c r="N326" i="3" l="1"/>
  <c r="L327" i="3"/>
  <c r="N327" i="3" l="1"/>
  <c r="L328" i="3"/>
  <c r="N328" i="3" l="1"/>
  <c r="L329" i="3"/>
  <c r="N329" i="3" l="1"/>
  <c r="L330" i="3"/>
  <c r="N330" i="3" l="1"/>
  <c r="L331" i="3"/>
  <c r="N331" i="3" l="1"/>
  <c r="L332" i="3"/>
  <c r="N332" i="3" l="1"/>
  <c r="L333" i="3"/>
  <c r="N333" i="3" l="1"/>
  <c r="L334" i="3"/>
  <c r="N334" i="3" l="1"/>
  <c r="L335" i="3"/>
  <c r="N335" i="3" l="1"/>
  <c r="L336" i="3"/>
  <c r="N336" i="3" l="1"/>
  <c r="L337" i="3"/>
  <c r="N337" i="3" l="1"/>
  <c r="L338" i="3"/>
  <c r="N338" i="3" l="1"/>
  <c r="L339" i="3"/>
  <c r="N339" i="3" l="1"/>
  <c r="L340" i="3"/>
  <c r="N340" i="3" l="1"/>
  <c r="L341" i="3"/>
  <c r="N341" i="3" l="1"/>
  <c r="L342" i="3"/>
  <c r="N342" i="3" l="1"/>
  <c r="L343" i="3"/>
  <c r="N343" i="3" l="1"/>
  <c r="L344" i="3"/>
  <c r="N344" i="3" l="1"/>
  <c r="L345" i="3"/>
  <c r="N345" i="3" l="1"/>
  <c r="L346" i="3"/>
  <c r="N346" i="3" l="1"/>
  <c r="L347" i="3"/>
  <c r="N347" i="3" l="1"/>
  <c r="L348" i="3"/>
  <c r="N348" i="3" l="1"/>
  <c r="L349" i="3"/>
  <c r="N349" i="3" l="1"/>
  <c r="L350" i="3"/>
  <c r="N350" i="3" l="1"/>
  <c r="L351" i="3"/>
  <c r="N351" i="3" l="1"/>
  <c r="L352" i="3"/>
  <c r="N352" i="3" l="1"/>
  <c r="L353" i="3"/>
  <c r="N353" i="3" l="1"/>
  <c r="L354" i="3"/>
  <c r="N354" i="3" l="1"/>
  <c r="L355" i="3"/>
  <c r="N355" i="3" l="1"/>
  <c r="L356" i="3"/>
  <c r="N356" i="3" l="1"/>
  <c r="L357" i="3"/>
  <c r="N357" i="3" l="1"/>
  <c r="L358" i="3"/>
  <c r="N358" i="3" l="1"/>
  <c r="L359" i="3"/>
  <c r="N359" i="3" l="1"/>
  <c r="L360" i="3"/>
  <c r="N360" i="3" l="1"/>
  <c r="L361" i="3"/>
  <c r="N361" i="3" l="1"/>
  <c r="L362" i="3"/>
  <c r="N362" i="3" l="1"/>
  <c r="L363" i="3"/>
  <c r="N363" i="3" l="1"/>
  <c r="L364" i="3"/>
  <c r="N364" i="3" l="1"/>
  <c r="L365" i="3"/>
  <c r="N365" i="3" l="1"/>
  <c r="L366" i="3"/>
  <c r="N366" i="3" l="1"/>
  <c r="L367" i="3"/>
  <c r="N367" i="3" l="1"/>
  <c r="L368" i="3"/>
  <c r="N368" i="3" l="1"/>
  <c r="L369" i="3"/>
  <c r="N369" i="3" l="1"/>
  <c r="L370" i="3"/>
  <c r="N370" i="3" l="1"/>
  <c r="L371" i="3"/>
  <c r="N371" i="3" l="1"/>
  <c r="L372" i="3"/>
  <c r="N372" i="3" s="1"/>
</calcChain>
</file>

<file path=xl/sharedStrings.xml><?xml version="1.0" encoding="utf-8"?>
<sst xmlns="http://schemas.openxmlformats.org/spreadsheetml/2006/main" count="1048" uniqueCount="421">
  <si>
    <t>📅  LOKA — DAILY LOG</t>
  </si>
  <si>
    <t>Enter 2 values from Soft App each day → everything else calculates</t>
  </si>
  <si>
    <t>✏️  INSTRUCTIONS:  Each time you open this file, add a new row below.  Fill only the BLUE cells:  📌 Date  |  💰 Revenue (from Soft App end-of-day report)  |  🛒 Orders (from Soft App)  |  📝 Notes (optional).  All other columns calculate automatically.</t>
  </si>
  <si>
    <t>Date</t>
  </si>
  <si>
    <t>Day</t>
  </si>
  <si>
    <t>Source</t>
  </si>
  <si>
    <t>Revenue $ ← Soft</t>
  </si>
  <si>
    <t>Orders ← Soft</t>
  </si>
  <si>
    <t>Avg Ticket</t>
  </si>
  <si>
    <t>Expenses $</t>
  </si>
  <si>
    <t>Net Profit $</t>
  </si>
  <si>
    <t>Margin %</t>
  </si>
  <si>
    <t>WEEK REVENUE</t>
  </si>
  <si>
    <t>WEEK EXPENSES</t>
  </si>
  <si>
    <t>WEEK PROFIT</t>
  </si>
  <si>
    <t>CUMUL. REVENUE</t>
  </si>
  <si>
    <t>MONTH REVENUE</t>
  </si>
  <si>
    <t>Week Expenses</t>
  </si>
  <si>
    <t>Week Profit</t>
  </si>
  <si>
    <t>LOKA  —  CAPITAL, OWNERSHIP &amp; PRE-OPENING EXPENSES</t>
  </si>
  <si>
    <t>Last updated: 22 May 2026 14:13  |  Blue = hardcoded inputs   Yellow = add new expenses here</t>
  </si>
  <si>
    <t xml:space="preserve">  A.  OWNERSHIP STRUCTURE</t>
  </si>
  <si>
    <t>Owner</t>
  </si>
  <si>
    <t>Share %</t>
  </si>
  <si>
    <t>Capital ($)</t>
  </si>
  <si>
    <t>Expenses ($)</t>
  </si>
  <si>
    <t>Remaining ($)</t>
  </si>
  <si>
    <t>Role / Notes</t>
  </si>
  <si>
    <t>Lohith Reddy</t>
  </si>
  <si>
    <t>50% — Managing Partner</t>
  </si>
  <si>
    <t>Kashigoud Patil</t>
  </si>
  <si>
    <t>30% — Partner</t>
  </si>
  <si>
    <t>Shashirekha Basavaraju</t>
  </si>
  <si>
    <t>20% — Partner</t>
  </si>
  <si>
    <t>TOTAL</t>
  </si>
  <si>
    <t xml:space="preserve">  B.  RESTAURANT ACQUISITION  —  $390,000 TOTAL</t>
  </si>
  <si>
    <t>Description</t>
  </si>
  <si>
    <t>Amount ($)</t>
  </si>
  <si>
    <t>Paid By</t>
  </si>
  <si>
    <t>Status</t>
  </si>
  <si>
    <t>Notes</t>
  </si>
  <si>
    <t>TOTAL Purchase Price — Previous Owners</t>
  </si>
  <si>
    <t>All Partners</t>
  </si>
  <si>
    <t>⚠️ NOT YET FULLY PAID</t>
  </si>
  <si>
    <t>Full acquisition amount</t>
  </si>
  <si>
    <t>Advance Payment (paid by Lohith)</t>
  </si>
  <si>
    <t>✅ PAID</t>
  </si>
  <si>
    <t>Advance to previous owners</t>
  </si>
  <si>
    <t>Balance Remaining</t>
  </si>
  <si>
    <t>—</t>
  </si>
  <si>
    <t>⏳ PENDING</t>
  </si>
  <si>
    <t>Funded by partner transfers</t>
  </si>
  <si>
    <t xml:space="preserve">  PAYMENT BREAKDOWN  —  How the $390,000 will be funded</t>
  </si>
  <si>
    <t>From</t>
  </si>
  <si>
    <t>Toward %</t>
  </si>
  <si>
    <t>Cumulative</t>
  </si>
  <si>
    <t>Kashigoud Transfer to Lohith</t>
  </si>
  <si>
    <t>Full Kashi transfer</t>
  </si>
  <si>
    <t>Shashirekha Transfer to Lohith</t>
  </si>
  <si>
    <t>Shashirekha B.</t>
  </si>
  <si>
    <t>Full Shashi transfer</t>
  </si>
  <si>
    <t>Lohith Reddy (own funds)</t>
  </si>
  <si>
    <t>Balance from Lohith</t>
  </si>
  <si>
    <t>Advance Already Paid</t>
  </si>
  <si>
    <t>Paid ✅</t>
  </si>
  <si>
    <t>Already paid</t>
  </si>
  <si>
    <t xml:space="preserve">  C.  PRE-OPENING EXPENSES — KASHIGOUD PATIL</t>
  </si>
  <si>
    <t>Paid To</t>
  </si>
  <si>
    <t>Category</t>
  </si>
  <si>
    <t>Transfer to Lohith Reddy (capital allocation)</t>
  </si>
  <si>
    <t>Bank → Lohith</t>
  </si>
  <si>
    <t>Internal Transfer</t>
  </si>
  <si>
    <t>For acquisition &amp; expenses</t>
  </si>
  <si>
    <t>Soft Restaurant License &amp; Tools</t>
  </si>
  <si>
    <t>Soft App</t>
  </si>
  <si>
    <t>Software / License</t>
  </si>
  <si>
    <t>POS + mgmt tools</t>
  </si>
  <si>
    <t>Mercado Pago Terminal</t>
  </si>
  <si>
    <t>Mercado Pago</t>
  </si>
  <si>
    <t>Equipment</t>
  </si>
  <si>
    <t>Card payment terminal</t>
  </si>
  <si>
    <t>KASHIGOUD TOTAL</t>
  </si>
  <si>
    <t xml:space="preserve">  D.  PRE-OPENING EXPENSES — LOHITH REDDY</t>
  </si>
  <si>
    <t>Advance Payment to Previous Owners</t>
  </si>
  <si>
    <t>Previous Owners</t>
  </si>
  <si>
    <t>Acquisition</t>
  </si>
  <si>
    <t>5k advance on 390k purchase</t>
  </si>
  <si>
    <t>Notary Fees</t>
  </si>
  <si>
    <t>Notary Office</t>
  </si>
  <si>
    <t>Legal / Notary</t>
  </si>
  <si>
    <t>Notarization of purchase docs</t>
  </si>
  <si>
    <t>Poliza Juridica (Legal Policy)</t>
  </si>
  <si>
    <t>Legal Office</t>
  </si>
  <si>
    <t>Legal / Insurance</t>
  </si>
  <si>
    <t>Juridical property policy</t>
  </si>
  <si>
    <t>Alejandra — Documentation Asst.</t>
  </si>
  <si>
    <t>Alejandra</t>
  </si>
  <si>
    <t>Professional Services</t>
  </si>
  <si>
    <t>Paperwork &amp; documentation</t>
  </si>
  <si>
    <t>LOHITH TOTAL</t>
  </si>
  <si>
    <t xml:space="preserve">  E.  PRE-OPENING EXPENSES — SHASHIREKHA BASAVARAJU</t>
  </si>
  <si>
    <t>SHASHIREKHA TOTAL</t>
  </si>
  <si>
    <t xml:space="preserve">  F.  GRAND SUMMARY — CAPITAL DEPLOYMENT</t>
  </si>
  <si>
    <t>Line Item</t>
  </si>
  <si>
    <t>% of Budget</t>
  </si>
  <si>
    <t>Total Budget (All Partners)</t>
  </si>
  <si>
    <t>100% of committed capital</t>
  </si>
  <si>
    <t>Restaurant Acquisition — Full Price</t>
  </si>
  <si>
    <t>To be paid to previous owners</t>
  </si>
  <si>
    <t xml:space="preserve">  → Advance Paid (by Lohith)</t>
  </si>
  <si>
    <t>✅ Already paid</t>
  </si>
  <si>
    <t xml:space="preserve">  → Balance Remaining</t>
  </si>
  <si>
    <t>⏳ Pending — funded by transfers</t>
  </si>
  <si>
    <t>Kashigoud — Ops Expenses (excl. transfer)</t>
  </si>
  <si>
    <t>Soft license + terminal</t>
  </si>
  <si>
    <t>Kashigoud → Lohith Transfer</t>
  </si>
  <si>
    <t>Toward acquisition</t>
  </si>
  <si>
    <t>Lohith — All Pre-Opening Expenses</t>
  </si>
  <si>
    <t>Advance + Notary + Poliza + Alejandra</t>
  </si>
  <si>
    <t>Shashirekha → Lohith Transfer</t>
  </si>
  <si>
    <t>Shashirekha — Other Expenses</t>
  </si>
  <si>
    <t>Yellow rows above</t>
  </si>
  <si>
    <t>TOTAL CASH OUT (excl. internal transfers)</t>
  </si>
  <si>
    <t>Actual cash leaving the partnership</t>
  </si>
  <si>
    <t>REMAINING UNALLOCATED BUDGET</t>
  </si>
  <si>
    <t>Available for operations</t>
  </si>
  <si>
    <t>🍽️  LOKA Cafe Restaurante</t>
  </si>
  <si>
    <t>Restaurant Manager — powered by Soft + Excel</t>
  </si>
  <si>
    <t>📌  HOW TO USE:  ① Each update, go to 📅 Daily Log → enter Date + Revenue + Orders from Soft App  ② Fill 💸 Expenses for costs paid  ③ Update 📦 Inventory when stock changes  ④ This dashboard updates automatically</t>
  </si>
  <si>
    <t xml:space="preserve">  💰  REVENUE  (auto-pulled from Daily Log)</t>
  </si>
  <si>
    <t>TODAY'S REVENUE</t>
  </si>
  <si>
    <t>TODAY'S EXPENSES</t>
  </si>
  <si>
    <t>TODAY'S NET PROFIT</t>
  </si>
  <si>
    <t>AVG TICKET</t>
  </si>
  <si>
    <t xml:space="preserve">  📊  OPERATIONS</t>
  </si>
  <si>
    <t>TODAY'S ORDERS</t>
  </si>
  <si>
    <t>WEEK ORDERS</t>
  </si>
  <si>
    <t>PROFIT MARGIN %</t>
  </si>
  <si>
    <t>LOW STOCK ITEMS</t>
  </si>
  <si>
    <t>PENDING ORDERS</t>
  </si>
  <si>
    <t xml:space="preserve">  📅  LAST 10 DAYS  (from Daily Log — updates automatically)</t>
  </si>
  <si>
    <t>Revenue ($)</t>
  </si>
  <si>
    <t>Orders</t>
  </si>
  <si>
    <t>Net Profit ($)</t>
  </si>
  <si>
    <t>vs Prev Day</t>
  </si>
  <si>
    <t xml:space="preserve">  ⚠️  INVENTORY ALERTS  (from Inventory sheet)</t>
  </si>
  <si>
    <t>Ingredient</t>
  </si>
  <si>
    <t>Min Level</t>
  </si>
  <si>
    <t>Action Needed</t>
  </si>
  <si>
    <t>💼  CAPITAL &amp; ACQUISITION STATUS  —  live from Capital &amp; Ownership sheet</t>
  </si>
  <si>
    <t>TOTAL BUDGET</t>
  </si>
  <si>
    <t>TOTAL CASH OUT</t>
  </si>
  <si>
    <t>REMAINING BUDGET</t>
  </si>
  <si>
    <t>ACQUISITION PRICE</t>
  </si>
  <si>
    <t>ADVANCE PAID</t>
  </si>
  <si>
    <t>BALANCE PENDING</t>
  </si>
  <si>
    <t>All 3 partners</t>
  </si>
  <si>
    <t>Excl. internal transfers</t>
  </si>
  <si>
    <t>To previous owners</t>
  </si>
  <si>
    <t>✅ Paid by Lohith</t>
  </si>
  <si>
    <t>⏳ Outstanding</t>
  </si>
  <si>
    <t xml:space="preserve">  👥  OWNER CAPITAL SUMMARY</t>
  </si>
  <si>
    <t>OWNER</t>
  </si>
  <si>
    <t>SHARE %</t>
  </si>
  <si>
    <t>CAPITAL ($)</t>
  </si>
  <si>
    <t>ROLE</t>
  </si>
  <si>
    <t>EXPENSES ($)</t>
  </si>
  <si>
    <t>REMAINING ($)</t>
  </si>
  <si>
    <t>% SPENT</t>
  </si>
  <si>
    <t xml:space="preserve">  🧾  PRE-OPENING EXPENSES BREAKDOWN</t>
  </si>
  <si>
    <t>EXPENSE ITEM</t>
  </si>
  <si>
    <t>PAID BY</t>
  </si>
  <si>
    <t>AMOUNT ($)</t>
  </si>
  <si>
    <t>CATEGORY</t>
  </si>
  <si>
    <t>STATUS</t>
  </si>
  <si>
    <t>⚠️ Not Fully Paid</t>
  </si>
  <si>
    <t>Acquisition Advance</t>
  </si>
  <si>
    <t>✅ Paid</t>
  </si>
  <si>
    <t xml:space="preserve">  ℹ️  Internal transfers:  Kashigoud → Lohith  $125,000  |  Shashirekha → Lohith  $100,000  (not counted as expenses — capital reallocation only)</t>
  </si>
  <si>
    <t>💸  LOKA — EXPENSES TRACKER</t>
  </si>
  <si>
    <t>Log every cost: ingredients, staff, utilities, supplies…</t>
  </si>
  <si>
    <t>TODAY</t>
  </si>
  <si>
    <t>THIS WEEK</t>
  </si>
  <si>
    <t>THIS MONTH</t>
  </si>
  <si>
    <t>INGREDIENTS</t>
  </si>
  <si>
    <t>STAFF</t>
  </si>
  <si>
    <t>UTILITIES</t>
  </si>
  <si>
    <t>TODAY TOTAL</t>
  </si>
  <si>
    <t>WEEK TOTAL</t>
  </si>
  <si>
    <t>📌  Fill BLUE cells.  Category dropdown provided.  Date links to Daily Log automatically — expenses appear in Net Profit.</t>
  </si>
  <si>
    <t>Description / Item</t>
  </si>
  <si>
    <t>Supplier / Paid To</t>
  </si>
  <si>
    <t>Receipt #</t>
  </si>
  <si>
    <t>Ingredients</t>
  </si>
  <si>
    <t>Vegetables</t>
  </si>
  <si>
    <t>MERCADO</t>
  </si>
  <si>
    <t>Carne</t>
  </si>
  <si>
    <t>Supplies</t>
  </si>
  <si>
    <t>Basicos</t>
  </si>
  <si>
    <t>ABASTOS</t>
  </si>
  <si>
    <t>Real Pan Services</t>
  </si>
  <si>
    <t>Chedruai</t>
  </si>
  <si>
    <t>Restaurant</t>
  </si>
  <si>
    <t>Arroz</t>
  </si>
  <si>
    <t>OXXO</t>
  </si>
  <si>
    <t>Lechuga</t>
  </si>
  <si>
    <t>Tortillas</t>
  </si>
  <si>
    <t>Jamon Mexicana</t>
  </si>
  <si>
    <t>SAN JUAN MERCADO</t>
  </si>
  <si>
    <t>Salmon</t>
  </si>
  <si>
    <t>Pollo</t>
  </si>
  <si>
    <t>Girigallo #ph</t>
  </si>
  <si>
    <t>Queso Gouda</t>
  </si>
  <si>
    <t>Bodega De Queso #Ph</t>
  </si>
  <si>
    <t>Avia Reca</t>
  </si>
  <si>
    <t>Avia Reca #Ph</t>
  </si>
  <si>
    <t>Staff</t>
  </si>
  <si>
    <t>John</t>
  </si>
  <si>
    <t>Chef</t>
  </si>
  <si>
    <t>Chuletas Carne</t>
  </si>
  <si>
    <t>Nutralat Milk</t>
  </si>
  <si>
    <t>Crema y Queso</t>
  </si>
  <si>
    <t>CAQ</t>
  </si>
  <si>
    <t>Pasta</t>
  </si>
  <si>
    <t>Papas</t>
  </si>
  <si>
    <t>Frutas</t>
  </si>
  <si>
    <t>Panco</t>
  </si>
  <si>
    <t>MOLINO</t>
  </si>
  <si>
    <t>Beverages</t>
  </si>
  <si>
    <t>Drinks</t>
  </si>
  <si>
    <t>Filete Mojarra</t>
  </si>
  <si>
    <t>BRISA DEL MAR</t>
  </si>
  <si>
    <t>Aceite Vegetal</t>
  </si>
  <si>
    <t>Leche Deslactosada</t>
  </si>
  <si>
    <t>Panko x5</t>
  </si>
  <si>
    <t>MOLINO LA CRUZ</t>
  </si>
  <si>
    <t>Hielo (4 bolsas)</t>
  </si>
  <si>
    <t>Agua (2 botellas)</t>
  </si>
  <si>
    <t>📦  LOKA — INVENTORY</t>
  </si>
  <si>
    <t>Update stock levels when you receive deliveries or do stock checks</t>
  </si>
  <si>
    <t>TOTAL ITEMS</t>
  </si>
  <si>
    <t>⚠️ LOW STOCK</t>
  </si>
  <si>
    <t>LOW STOCK #</t>
  </si>
  <si>
    <t>🚫 OUT OF STOCK</t>
  </si>
  <si>
    <t>ALERT COUNT</t>
  </si>
  <si>
    <t>LAST UPDATED</t>
  </si>
  <si>
    <t>📌  Update the BLUE 'Current Stock' column when you receive deliveries or do a stock count. Status column updates automatically.</t>
  </si>
  <si>
    <t>Unit</t>
  </si>
  <si>
    <t>Current Stock</t>
  </si>
  <si>
    <t>Cost/Unit ($)</t>
  </si>
  <si>
    <t>Reorder Qty</t>
  </si>
  <si>
    <t>Stock Value ($)</t>
  </si>
  <si>
    <t>Supplier / Notes</t>
  </si>
  <si>
    <t>Tortillas Blanco</t>
  </si>
  <si>
    <t>Grains</t>
  </si>
  <si>
    <t>pcs</t>
  </si>
  <si>
    <t>Tortillas de Trigo</t>
  </si>
  <si>
    <t>Pan Artesanal Masa Madre</t>
  </si>
  <si>
    <t>Bakery</t>
  </si>
  <si>
    <t>Pan Suave Hamburguesa</t>
  </si>
  <si>
    <t>Chapata Artesanal</t>
  </si>
  <si>
    <t>Hot Cake / Waffle Mix</t>
  </si>
  <si>
    <t>kg</t>
  </si>
  <si>
    <t>Pechuga de Pollo</t>
  </si>
  <si>
    <t>Protein</t>
  </si>
  <si>
    <t>Carne de Res (Hamburguesa)</t>
  </si>
  <si>
    <t>Arrachera</t>
  </si>
  <si>
    <t>Bistec de Res</t>
  </si>
  <si>
    <t>Tocino</t>
  </si>
  <si>
    <t>Jamon de Pavo</t>
  </si>
  <si>
    <t>Jamon Serrano</t>
  </si>
  <si>
    <t>Salmon (filete)</t>
  </si>
  <si>
    <t>Atun (lata)</t>
  </si>
  <si>
    <t>lata</t>
  </si>
  <si>
    <t>Chorizo</t>
  </si>
  <si>
    <t>Huevos Organicos</t>
  </si>
  <si>
    <t>Dairy &amp; Eggs</t>
  </si>
  <si>
    <t>Leche Entera</t>
  </si>
  <si>
    <t>lt</t>
  </si>
  <si>
    <t>Leche de Coco</t>
  </si>
  <si>
    <t>Leche de Almendra</t>
  </si>
  <si>
    <t>Crema</t>
  </si>
  <si>
    <t>Queso Fresco</t>
  </si>
  <si>
    <t>Queso Aleman</t>
  </si>
  <si>
    <t>Queso Cheddar</t>
  </si>
  <si>
    <t>Queso Mozzarella</t>
  </si>
  <si>
    <t>Queso de Cabra</t>
  </si>
  <si>
    <t>Aguacate</t>
  </si>
  <si>
    <t>Produce</t>
  </si>
  <si>
    <t>Jitomate</t>
  </si>
  <si>
    <t>pza</t>
  </si>
  <si>
    <t>Cebolla</t>
  </si>
  <si>
    <t>Champiñones</t>
  </si>
  <si>
    <t>Espinacas</t>
  </si>
  <si>
    <t>Elote</t>
  </si>
  <si>
    <t>Papa</t>
  </si>
  <si>
    <t>Frutas Mixtas / Bowl</t>
  </si>
  <si>
    <t>Fresa</t>
  </si>
  <si>
    <t>Mango</t>
  </si>
  <si>
    <t>Aguacate Tomate Cherry</t>
  </si>
  <si>
    <t>Cafe Grano / Molido</t>
  </si>
  <si>
    <t>Cocoa / Chocolate</t>
  </si>
  <si>
    <t>Te Surtido</t>
  </si>
  <si>
    <t>caja</t>
  </si>
  <si>
    <t>Chai Mix</t>
  </si>
  <si>
    <t>Matcha Polvo</t>
  </si>
  <si>
    <t>Taro Polvo</t>
  </si>
  <si>
    <t>Azucar</t>
  </si>
  <si>
    <t>Dry Goods</t>
  </si>
  <si>
    <t>Harina</t>
  </si>
  <si>
    <t>Salsa Verde / Roja (prep)</t>
  </si>
  <si>
    <t>Sauces</t>
  </si>
  <si>
    <t>Frijoles Refritos</t>
  </si>
  <si>
    <t>Mayonesa</t>
  </si>
  <si>
    <t>Yogurt</t>
  </si>
  <si>
    <t>Avena</t>
  </si>
  <si>
    <t>Especias Peri Peri</t>
  </si>
  <si>
    <t>Galletas Oreo</t>
  </si>
  <si>
    <t>paq</t>
  </si>
  <si>
    <t>Ferrero Rocher</t>
  </si>
  <si>
    <t>Piña</t>
  </si>
  <si>
    <t>Arandanos Deshidratados</t>
  </si>
  <si>
    <t>👥  LOKA — STAFF &amp; PAYROLL</t>
  </si>
  <si>
    <t>Weekly schedule + auto payroll calculation</t>
  </si>
  <si>
    <t xml:space="preserve">  STAFF SCHEDULE  —  Week of:</t>
  </si>
  <si>
    <t>Staff Name</t>
  </si>
  <si>
    <t>Role</t>
  </si>
  <si>
    <t>Daily Rate ($)</t>
  </si>
  <si>
    <t>Mon</t>
  </si>
  <si>
    <t>Tue</t>
  </si>
  <si>
    <t>Wed</t>
  </si>
  <si>
    <t>Thu</t>
  </si>
  <si>
    <t>Fri</t>
  </si>
  <si>
    <t>Sat</t>
  </si>
  <si>
    <t>Sun</t>
  </si>
  <si>
    <t>Days Worked</t>
  </si>
  <si>
    <t>Week Pay ($)</t>
  </si>
  <si>
    <t>Head Chef</t>
  </si>
  <si>
    <t>Full Day</t>
  </si>
  <si>
    <t>Day Off</t>
  </si>
  <si>
    <t>Debi</t>
  </si>
  <si>
    <t>Cleaner</t>
  </si>
  <si>
    <t>Waiter</t>
  </si>
  <si>
    <t>TOTAL WEEKLY PAYROLL</t>
  </si>
  <si>
    <t xml:space="preserve">  MONTHLY PAYROLL PROJECTION</t>
  </si>
  <si>
    <t>x Weeks/Month</t>
  </si>
  <si>
    <t>Monthly ($)</t>
  </si>
  <si>
    <t>IMSS / Benefits %</t>
  </si>
  <si>
    <t>Total Monthly Cost ($)</t>
  </si>
  <si>
    <t>Sous Chef</t>
  </si>
  <si>
    <t>Waiter 1</t>
  </si>
  <si>
    <t>Waiter 2</t>
  </si>
  <si>
    <t>Barista</t>
  </si>
  <si>
    <t>Cashier</t>
  </si>
  <si>
    <t>Kitchen Helper</t>
  </si>
  <si>
    <t>TOTAL MONTHLY PAYROLL COST</t>
  </si>
  <si>
    <t>🚚  LOKA — SUPPLIER ORDERS</t>
  </si>
  <si>
    <t>Track purchase orders from suppliers</t>
  </si>
  <si>
    <t>TOTAL ORDERS</t>
  </si>
  <si>
    <t>PENDING</t>
  </si>
  <si>
    <t>IN TRANSIT</t>
  </si>
  <si>
    <t>RECEIVED</t>
  </si>
  <si>
    <t>MONTH SPEND</t>
  </si>
  <si>
    <t>PENDING VALUE</t>
  </si>
  <si>
    <t>PENDING COUNT</t>
  </si>
  <si>
    <t>📌  Log every supplier order here. Update Status as it progresses: Pending → Confirmed → In Transit → Received. Amount auto-calculates.</t>
  </si>
  <si>
    <t>Order Date</t>
  </si>
  <si>
    <t>Item / Ingredient</t>
  </si>
  <si>
    <t>Supplier</t>
  </si>
  <si>
    <t>Qty</t>
  </si>
  <si>
    <t>Unit Price ($)</t>
  </si>
  <si>
    <t>Expected Date</t>
  </si>
  <si>
    <t>Total ($)</t>
  </si>
  <si>
    <t>Pending</t>
  </si>
  <si>
    <t>📈  LOKA — MONTHLY P&amp;L</t>
  </si>
  <si>
    <t>Revenue &amp; Expense summary — fill monthly totals from Daily Log &amp; Expenses</t>
  </si>
  <si>
    <t>YEAR:</t>
  </si>
  <si>
    <t>P&amp;L Line Item</t>
  </si>
  <si>
    <t>Jan</t>
  </si>
  <si>
    <t>Feb</t>
  </si>
  <si>
    <t>Mar</t>
  </si>
  <si>
    <t>Apr</t>
  </si>
  <si>
    <t>May</t>
  </si>
  <si>
    <t>Jun</t>
  </si>
  <si>
    <t>H1 TOTAL</t>
  </si>
  <si>
    <t xml:space="preserve">  A. REVENUE</t>
  </si>
  <si>
    <t xml:space="preserve">  Total Revenue (from Soft App)</t>
  </si>
  <si>
    <t xml:space="preserve">  B. COST OF GOODS (from Expenses)</t>
  </si>
  <si>
    <t xml:space="preserve">  Ingredient / Food Cost</t>
  </si>
  <si>
    <t xml:space="preserve">  Other Supplies</t>
  </si>
  <si>
    <t>TOTAL COGS</t>
  </si>
  <si>
    <t>GROSS PROFIT</t>
  </si>
  <si>
    <t>GROSS MARGIN %</t>
  </si>
  <si>
    <t xml:space="preserve">  C. OPERATING EXPENSES</t>
  </si>
  <si>
    <t xml:space="preserve">  Staff / Payroll</t>
  </si>
  <si>
    <t xml:space="preserve">  Rent</t>
  </si>
  <si>
    <t xml:space="preserve">  Utilities (Gas, Electric, Water)</t>
  </si>
  <si>
    <t xml:space="preserve">  Marketing</t>
  </si>
  <si>
    <t xml:space="preserve">  Maintenance &amp; Other</t>
  </si>
  <si>
    <t>TOTAL OPEX</t>
  </si>
  <si>
    <t>EBITDA</t>
  </si>
  <si>
    <t>EBITDA MARGIN %</t>
  </si>
  <si>
    <t xml:space="preserve">  Depreciation</t>
  </si>
  <si>
    <t xml:space="preserve">  Taxes (ISR / IVA)</t>
  </si>
  <si>
    <t>NET PROFIT</t>
  </si>
  <si>
    <t>NET MARGIN %</t>
  </si>
  <si>
    <t xml:space="preserve">  D. KEY METRICS</t>
  </si>
  <si>
    <t xml:space="preserve">  Total Orders (from Soft)</t>
  </si>
  <si>
    <t xml:space="preserve">  Avg Ticket ($)</t>
  </si>
  <si>
    <t xml:space="preserve">  Working Days</t>
  </si>
  <si>
    <t xml:space="preserve">  Revenue per Day ($)</t>
  </si>
  <si>
    <t xml:space="preserve">  SECOND HALF  (Jul – Dec)</t>
  </si>
  <si>
    <t>Jul</t>
  </si>
  <si>
    <t>Aug</t>
  </si>
  <si>
    <t>Sep</t>
  </si>
  <si>
    <t>Oct</t>
  </si>
  <si>
    <t>Nov</t>
  </si>
  <si>
    <t>Dec</t>
  </si>
  <si>
    <t>H2 TOTAL</t>
  </si>
  <si>
    <t>Victor</t>
  </si>
  <si>
    <t>TIENDA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</si>
</sst>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;\(#,##0\);&quot;-&quot;"/>
    <numFmt numFmtId="166" formatCode="\$#,##0;&quot;($&quot;#,##0\);\-"/>
    <numFmt numFmtId="167" formatCode="#,##0;\(#,##0\);\-"/>
    <numFmt numFmtId="168" formatCode="0.0%;\(0.0%\);\-"/>
    <numFmt numFmtId="169" formatCode="dd/mm/yyyy\ ddd"/>
    <numFmt numFmtId="170" formatCode="dd/mm/yyyy"/>
  </numFmts>
  <fonts count="7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AAAAA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b/>
      <sz val="20"/>
      <color rgb="FFE8A020"/>
      <name val="Arial"/>
      <charset val="1"/>
    </font>
    <font>
      <i/>
      <sz val="10"/>
      <color rgb="FF888888"/>
      <name val="Arial"/>
      <charset val="1"/>
    </font>
    <font>
      <sz val="9"/>
      <color rgb="FFFFFFFF"/>
      <name val="Arial"/>
      <charset val="1"/>
    </font>
    <font>
      <b/>
      <sz val="10"/>
      <color rgb="FFE8A020"/>
      <name val="Arial"/>
      <charset val="1"/>
    </font>
    <font>
      <b/>
      <sz val="8"/>
      <color rgb="FF555555"/>
      <name val="Arial"/>
      <charset val="1"/>
    </font>
    <font>
      <b/>
      <sz val="20"/>
      <color rgb="FF2E7D32"/>
      <name val="Arial"/>
      <charset val="1"/>
    </font>
    <font>
      <b/>
      <sz val="20"/>
      <color rgb="FF00695C"/>
      <name val="Arial"/>
      <charset val="1"/>
    </font>
    <font>
      <b/>
      <sz val="20"/>
      <color rgb="FF1565C0"/>
      <name val="Arial"/>
      <charset val="1"/>
    </font>
    <font>
      <b/>
      <sz val="20"/>
      <color rgb="FFC62828"/>
      <name val="Arial"/>
      <charset val="1"/>
    </font>
    <font>
      <b/>
      <sz val="20"/>
      <color rgb="FFF9A825"/>
      <name val="Arial"/>
      <charset val="1"/>
    </font>
    <font>
      <b/>
      <sz val="9"/>
      <color rgb="FFFFFFFF"/>
      <name val="Arial"/>
      <charset val="1"/>
    </font>
    <font>
      <sz val="9"/>
      <color rgb="FF1F1F1F"/>
      <name val="Arial"/>
      <charset val="1"/>
    </font>
    <font>
      <sz val="9"/>
      <color rgb="FF666666"/>
      <name val="Arial"/>
      <charset val="1"/>
    </font>
    <font>
      <sz val="9"/>
      <color rgb="FF2E7D32"/>
      <name val="Arial"/>
      <charset val="1"/>
    </font>
    <font>
      <sz val="9"/>
      <color rgb="FF1565C0"/>
      <name val="Arial"/>
      <charset val="1"/>
    </font>
    <font>
      <sz val="9"/>
      <color rgb="FFE8A020"/>
      <name val="Arial"/>
      <charset val="1"/>
    </font>
    <font>
      <sz val="9"/>
      <color rgb="FFC62828"/>
      <name val="Arial"/>
      <charset val="1"/>
    </font>
    <font>
      <sz val="9"/>
      <color rgb="FF00695C"/>
      <name val="Arial"/>
      <charset val="1"/>
    </font>
    <font>
      <sz val="9"/>
      <color rgb="FF777777"/>
      <name val="Arial"/>
      <charset val="1"/>
    </font>
    <font>
      <sz val="9"/>
      <color rgb="FF555555"/>
      <name val="Arial"/>
      <charset val="1"/>
    </font>
    <font>
      <b/>
      <sz val="13"/>
      <color rgb="FFFFFFFF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i/>
      <sz val="8"/>
      <color rgb="FFFFFFFF"/>
      <name val="Arial"/>
    </font>
    <font>
      <b/>
      <sz val="11"/>
      <color rgb="FFFFFFFF"/>
      <name val="Arial"/>
    </font>
    <font>
      <i/>
      <sz val="9"/>
      <color rgb="FF555555"/>
      <name val="Arial"/>
    </font>
    <font>
      <b/>
      <sz val="13"/>
      <color rgb="FFE8A020"/>
      <name val="Arial"/>
      <charset val="1"/>
    </font>
    <font>
      <b/>
      <sz val="13"/>
      <color rgb="FF2E7D32"/>
      <name val="Arial"/>
      <charset val="1"/>
    </font>
    <font>
      <b/>
      <sz val="13"/>
      <color rgb="FF1565C0"/>
      <name val="Arial"/>
      <charset val="1"/>
    </font>
    <font>
      <b/>
      <sz val="13"/>
      <color rgb="FFC62828"/>
      <name val="Arial"/>
      <charset val="1"/>
    </font>
    <font>
      <b/>
      <sz val="13"/>
      <color rgb="FF00695C"/>
      <name val="Arial"/>
      <charset val="1"/>
    </font>
    <font>
      <sz val="10"/>
      <color rgb="FF1565C0"/>
      <name val="Arial"/>
      <charset val="1"/>
    </font>
    <font>
      <i/>
      <sz val="9"/>
      <color rgb="FF666666"/>
      <name val="Arial"/>
      <charset val="1"/>
    </font>
    <font>
      <i/>
      <sz val="9"/>
      <color rgb="FF00695C"/>
      <name val="Arial"/>
      <charset val="1"/>
    </font>
    <font>
      <b/>
      <sz val="11"/>
      <color rgb="FF1565C0"/>
      <name val="Arial"/>
      <charset val="1"/>
    </font>
    <font>
      <sz val="10"/>
      <color rgb="FFE8A020"/>
      <name val="Arial"/>
      <charset val="1"/>
    </font>
    <font>
      <sz val="10"/>
      <color rgb="FFC62828"/>
      <name val="Arial"/>
      <charset val="1"/>
    </font>
    <font>
      <b/>
      <sz val="10"/>
      <color rgb="FF2E7D32"/>
      <name val="Arial"/>
      <charset val="1"/>
    </font>
    <font>
      <sz val="10"/>
      <color rgb="FF00695C"/>
      <name val="Arial"/>
      <charset val="1"/>
    </font>
    <font>
      <i/>
      <sz val="9"/>
      <color rgb="FF555555"/>
      <name val="Arial"/>
      <charset val="1"/>
    </font>
    <font>
      <b/>
      <sz val="9"/>
      <color rgb="FF2E7D32"/>
      <name val="Arial"/>
      <charset val="1"/>
    </font>
    <font>
      <b/>
      <sz val="12"/>
      <color rgb="FFC62828"/>
      <name val="Arial"/>
      <charset val="1"/>
    </font>
    <font>
      <b/>
      <sz val="12"/>
      <color rgb="FFE8A020"/>
      <name val="Arial"/>
      <charset val="1"/>
    </font>
    <font>
      <b/>
      <sz val="12"/>
      <color rgb="FF1565C0"/>
      <name val="Arial"/>
      <charset val="1"/>
    </font>
    <font>
      <b/>
      <sz val="12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1565C0"/>
      <name val="Arial"/>
    </font>
    <font>
      <sz val="10"/>
      <color rgb="FF1565C0"/>
      <name val="Arial"/>
    </font>
    <font>
      <b/>
      <sz val="11"/>
      <color rgb="FF1565C0"/>
      <name val="Arial"/>
    </font>
    <font>
      <sz val="9"/>
      <color rgb="FF777777"/>
      <name val="Arial"/>
    </font>
    <font>
      <sz val="9"/>
      <color rgb="FF555555"/>
      <name val="Arial"/>
    </font>
    <font>
      <b/>
      <sz val="12"/>
      <color rgb="FF1F1F1F"/>
      <name val="Arial"/>
      <charset val="1"/>
    </font>
    <font>
      <b/>
      <sz val="12"/>
      <color rgb="FFF9A825"/>
      <name val="Arial"/>
      <charset val="1"/>
    </font>
    <font>
      <b/>
      <sz val="10"/>
      <color rgb="FF1F1F1F"/>
      <name val="Arial"/>
      <charset val="1"/>
    </font>
    <font>
      <sz val="10"/>
      <color rgb="FF555555"/>
      <name val="Arial"/>
      <charset val="1"/>
    </font>
    <font>
      <b/>
      <sz val="10"/>
      <color rgb="FF00695C"/>
      <name val="Arial"/>
      <charset val="1"/>
    </font>
    <font>
      <sz val="10"/>
      <color rgb="FF1F1F1F"/>
      <name val="Arial"/>
      <charset val="1"/>
    </font>
    <font>
      <i/>
      <sz val="9"/>
      <color rgb="FF777777"/>
      <name val="Arial"/>
      <charset val="1"/>
    </font>
    <font>
      <b/>
      <sz val="11"/>
      <color rgb="FF2E7D32"/>
      <name val="Arial"/>
      <charset val="1"/>
    </font>
    <font>
      <b/>
      <sz val="12"/>
      <color rgb="FFFFFFFF"/>
      <name val="Arial"/>
      <charset val="1"/>
    </font>
    <font>
      <b/>
      <sz val="14"/>
      <color rgb="FFE8A020"/>
      <name val="Arial"/>
      <charset val="1"/>
    </font>
    <font>
      <sz val="10"/>
      <color rgb="FF2E7D32"/>
      <name val="Arial"/>
      <charset val="1"/>
    </font>
    <font>
      <b/>
      <sz val="10"/>
      <color rgb="FFC62828"/>
      <name val="Arial"/>
      <charset val="1"/>
    </font>
    <font>
      <b/>
      <sz val="12"/>
      <color rgb="FF2E7D32"/>
      <name val="Arial"/>
      <charset val="1"/>
    </font>
    <font>
      <b/>
      <sz val="12"/>
      <color rgb="FF00695C"/>
      <name val="Arial"/>
      <charset val="1"/>
    </font>
    <font>
      <b/>
      <sz val="11"/>
      <color rgb="FF00695C"/>
      <name val="Arial"/>
      <charset val="1"/>
    </font>
    <font>
      <b/>
      <sz val="11"/>
      <color rgb="FFC62828"/>
      <name val="Arial"/>
      <charset val="1"/>
    </font>
  </fonts>
  <fills count="42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none"/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1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</borders>
  <cellStyleXfs count="1">
    <xf numFmtId="0" fontId="0" fillId="15" borderId="0"/>
  </cellStyleXfs>
  <cellXfs count="263">
    <xf numFmtId="0" fontId="0" fillId="0" borderId="0" xfId="0" applyFill="1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65" fontId="7" fillId="7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8" fillId="12" borderId="0" xfId="0" applyFont="1" applyFill="1"/>
    <xf numFmtId="0" fontId="19" fillId="12" borderId="9" xfId="0" applyFont="1" applyFill="1" applyBorder="1" applyAlignment="1">
      <alignment horizontal="center" vertical="center" wrapText="1"/>
    </xf>
    <xf numFmtId="169" fontId="20" fillId="22" borderId="9" xfId="0" applyNumberFormat="1" applyFont="1" applyFill="1" applyBorder="1" applyAlignment="1">
      <alignment horizontal="center" vertical="center"/>
    </xf>
    <xf numFmtId="0" fontId="21" fillId="22" borderId="9" xfId="0" applyFont="1" applyFill="1" applyBorder="1" applyAlignment="1">
      <alignment horizontal="center" vertical="center"/>
    </xf>
    <xf numFmtId="166" fontId="22" fillId="22" borderId="9" xfId="0" applyNumberFormat="1" applyFont="1" applyFill="1" applyBorder="1" applyAlignment="1">
      <alignment horizontal="center" vertical="center"/>
    </xf>
    <xf numFmtId="167" fontId="23" fillId="22" borderId="9" xfId="0" applyNumberFormat="1" applyFont="1" applyFill="1" applyBorder="1" applyAlignment="1">
      <alignment horizontal="center" vertical="center"/>
    </xf>
    <xf numFmtId="166" fontId="24" fillId="22" borderId="9" xfId="0" applyNumberFormat="1" applyFont="1" applyFill="1" applyBorder="1" applyAlignment="1">
      <alignment horizontal="center" vertical="center"/>
    </xf>
    <xf numFmtId="166" fontId="25" fillId="22" borderId="9" xfId="0" applyNumberFormat="1" applyFont="1" applyFill="1" applyBorder="1" applyAlignment="1">
      <alignment horizontal="center" vertical="center"/>
    </xf>
    <xf numFmtId="168" fontId="26" fillId="22" borderId="9" xfId="0" applyNumberFormat="1" applyFont="1" applyFill="1" applyBorder="1" applyAlignment="1">
      <alignment horizontal="center" vertical="center"/>
    </xf>
    <xf numFmtId="0" fontId="27" fillId="22" borderId="9" xfId="0" applyFont="1" applyFill="1" applyBorder="1" applyAlignment="1">
      <alignment horizontal="center" vertical="center"/>
    </xf>
    <xf numFmtId="0" fontId="28" fillId="22" borderId="9" xfId="0" applyFont="1" applyFill="1" applyBorder="1" applyAlignment="1">
      <alignment horizontal="center" vertical="center"/>
    </xf>
    <xf numFmtId="169" fontId="20" fillId="23" borderId="9" xfId="0" applyNumberFormat="1" applyFont="1" applyFill="1" applyBorder="1" applyAlignment="1">
      <alignment horizontal="center" vertical="center"/>
    </xf>
    <xf numFmtId="0" fontId="21" fillId="23" borderId="9" xfId="0" applyFont="1" applyFill="1" applyBorder="1" applyAlignment="1">
      <alignment horizontal="center" vertical="center"/>
    </xf>
    <xf numFmtId="166" fontId="22" fillId="23" borderId="9" xfId="0" applyNumberFormat="1" applyFont="1" applyFill="1" applyBorder="1" applyAlignment="1">
      <alignment horizontal="center" vertical="center"/>
    </xf>
    <xf numFmtId="167" fontId="23" fillId="23" borderId="9" xfId="0" applyNumberFormat="1" applyFont="1" applyFill="1" applyBorder="1" applyAlignment="1">
      <alignment horizontal="center" vertical="center"/>
    </xf>
    <xf numFmtId="166" fontId="24" fillId="23" borderId="9" xfId="0" applyNumberFormat="1" applyFont="1" applyFill="1" applyBorder="1" applyAlignment="1">
      <alignment horizontal="center" vertical="center"/>
    </xf>
    <xf numFmtId="166" fontId="25" fillId="23" borderId="9" xfId="0" applyNumberFormat="1" applyFont="1" applyFill="1" applyBorder="1" applyAlignment="1">
      <alignment horizontal="center" vertical="center"/>
    </xf>
    <xf numFmtId="168" fontId="26" fillId="23" borderId="9" xfId="0" applyNumberFormat="1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28" fillId="23" borderId="9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5" fillId="22" borderId="9" xfId="0" applyFont="1" applyFill="1" applyBorder="1" applyAlignment="1">
      <alignment horizontal="center" vertical="center"/>
    </xf>
    <xf numFmtId="166" fontId="36" fillId="22" borderId="9" xfId="0" applyNumberFormat="1" applyFont="1" applyFill="1" applyBorder="1" applyAlignment="1">
      <alignment horizontal="center" vertical="center"/>
    </xf>
    <xf numFmtId="167" fontId="37" fillId="22" borderId="9" xfId="0" applyNumberFormat="1" applyFont="1" applyFill="1" applyBorder="1" applyAlignment="1">
      <alignment horizontal="center" vertical="center"/>
    </xf>
    <xf numFmtId="166" fontId="35" fillId="22" borderId="9" xfId="0" applyNumberFormat="1" applyFont="1" applyFill="1" applyBorder="1" applyAlignment="1">
      <alignment horizontal="center" vertical="center"/>
    </xf>
    <xf numFmtId="166" fontId="38" fillId="22" borderId="9" xfId="0" applyNumberFormat="1" applyFont="1" applyFill="1" applyBorder="1" applyAlignment="1">
      <alignment horizontal="center" vertical="center"/>
    </xf>
    <xf numFmtId="168" fontId="39" fillId="22" borderId="9" xfId="0" applyNumberFormat="1" applyFont="1" applyFill="1" applyBorder="1" applyAlignment="1">
      <alignment horizontal="center" vertical="center"/>
    </xf>
    <xf numFmtId="166" fontId="37" fillId="22" borderId="9" xfId="0" applyNumberFormat="1" applyFont="1" applyFill="1" applyBorder="1" applyAlignment="1">
      <alignment horizontal="center" vertical="center"/>
    </xf>
    <xf numFmtId="169" fontId="40" fillId="22" borderId="11" xfId="0" applyNumberFormat="1" applyFont="1" applyFill="1" applyBorder="1" applyAlignment="1">
      <alignment horizontal="center" vertical="center"/>
    </xf>
    <xf numFmtId="0" fontId="41" fillId="22" borderId="9" xfId="0" applyFont="1" applyFill="1" applyBorder="1" applyAlignment="1">
      <alignment horizontal="center" vertical="center"/>
    </xf>
    <xf numFmtId="0" fontId="42" fillId="22" borderId="9" xfId="0" applyFont="1" applyFill="1" applyBorder="1" applyAlignment="1">
      <alignment horizontal="center" vertical="center"/>
    </xf>
    <xf numFmtId="166" fontId="43" fillId="30" borderId="11" xfId="0" applyNumberFormat="1" applyFont="1" applyFill="1" applyBorder="1" applyAlignment="1">
      <alignment horizontal="center" vertical="center"/>
    </xf>
    <xf numFmtId="167" fontId="43" fillId="19" borderId="11" xfId="0" applyNumberFormat="1" applyFont="1" applyFill="1" applyBorder="1" applyAlignment="1">
      <alignment horizontal="center" vertical="center"/>
    </xf>
    <xf numFmtId="166" fontId="44" fillId="22" borderId="9" xfId="0" applyNumberFormat="1" applyFont="1" applyFill="1" applyBorder="1" applyAlignment="1">
      <alignment horizontal="center" vertical="center"/>
    </xf>
    <xf numFmtId="166" fontId="45" fillId="20" borderId="9" xfId="0" applyNumberFormat="1" applyFont="1" applyFill="1" applyBorder="1" applyAlignment="1">
      <alignment horizontal="center" vertical="center"/>
    </xf>
    <xf numFmtId="166" fontId="46" fillId="22" borderId="9" xfId="0" applyNumberFormat="1" applyFont="1" applyFill="1" applyBorder="1" applyAlignment="1">
      <alignment horizontal="center" vertical="center"/>
    </xf>
    <xf numFmtId="168" fontId="47" fillId="22" borderId="9" xfId="0" applyNumberFormat="1" applyFont="1" applyFill="1" applyBorder="1" applyAlignment="1">
      <alignment horizontal="center" vertical="center"/>
    </xf>
    <xf numFmtId="0" fontId="48" fillId="22" borderId="9" xfId="0" applyFont="1" applyFill="1" applyBorder="1" applyAlignment="1">
      <alignment horizontal="left" vertical="center"/>
    </xf>
    <xf numFmtId="166" fontId="49" fillId="22" borderId="9" xfId="0" applyNumberFormat="1" applyFont="1" applyFill="1" applyBorder="1" applyAlignment="1">
      <alignment horizontal="center" vertical="center"/>
    </xf>
    <xf numFmtId="166" fontId="22" fillId="17" borderId="9" xfId="0" applyNumberFormat="1" applyFont="1" applyFill="1" applyBorder="1" applyAlignment="1">
      <alignment horizontal="center" vertical="center"/>
    </xf>
    <xf numFmtId="166" fontId="25" fillId="20" borderId="9" xfId="0" applyNumberFormat="1" applyFont="1" applyFill="1" applyBorder="1" applyAlignment="1">
      <alignment horizontal="center" vertical="center"/>
    </xf>
    <xf numFmtId="0" fontId="41" fillId="23" borderId="9" xfId="0" applyFont="1" applyFill="1" applyBorder="1" applyAlignment="1">
      <alignment horizontal="center" vertical="center"/>
    </xf>
    <xf numFmtId="0" fontId="42" fillId="23" borderId="9" xfId="0" applyFont="1" applyFill="1" applyBorder="1" applyAlignment="1">
      <alignment horizontal="center" vertical="center"/>
    </xf>
    <xf numFmtId="166" fontId="43" fillId="31" borderId="11" xfId="0" applyNumberFormat="1" applyFont="1" applyFill="1" applyBorder="1" applyAlignment="1">
      <alignment horizontal="center" vertical="center"/>
    </xf>
    <xf numFmtId="167" fontId="43" fillId="32" borderId="11" xfId="0" applyNumberFormat="1" applyFont="1" applyFill="1" applyBorder="1" applyAlignment="1">
      <alignment horizontal="center" vertical="center"/>
    </xf>
    <xf numFmtId="166" fontId="44" fillId="23" borderId="9" xfId="0" applyNumberFormat="1" applyFont="1" applyFill="1" applyBorder="1" applyAlignment="1">
      <alignment horizontal="center" vertical="center"/>
    </xf>
    <xf numFmtId="166" fontId="45" fillId="33" borderId="9" xfId="0" applyNumberFormat="1" applyFont="1" applyFill="1" applyBorder="1" applyAlignment="1">
      <alignment horizontal="center" vertical="center"/>
    </xf>
    <xf numFmtId="166" fontId="46" fillId="23" borderId="9" xfId="0" applyNumberFormat="1" applyFont="1" applyFill="1" applyBorder="1" applyAlignment="1">
      <alignment horizontal="center" vertical="center"/>
    </xf>
    <xf numFmtId="168" fontId="47" fillId="23" borderId="9" xfId="0" applyNumberFormat="1" applyFont="1" applyFill="1" applyBorder="1" applyAlignment="1">
      <alignment horizontal="center" vertical="center"/>
    </xf>
    <xf numFmtId="0" fontId="48" fillId="23" borderId="9" xfId="0" applyFont="1" applyFill="1" applyBorder="1" applyAlignment="1">
      <alignment horizontal="left" vertical="center"/>
    </xf>
    <xf numFmtId="166" fontId="49" fillId="23" borderId="9" xfId="0" applyNumberFormat="1" applyFont="1" applyFill="1" applyBorder="1" applyAlignment="1">
      <alignment horizontal="center" vertical="center"/>
    </xf>
    <xf numFmtId="166" fontId="22" fillId="34" borderId="9" xfId="0" applyNumberFormat="1" applyFont="1" applyFill="1" applyBorder="1" applyAlignment="1">
      <alignment horizontal="center" vertical="center"/>
    </xf>
    <xf numFmtId="166" fontId="25" fillId="35" borderId="9" xfId="0" applyNumberFormat="1" applyFont="1" applyFill="1" applyBorder="1" applyAlignment="1">
      <alignment horizontal="center" vertical="center"/>
    </xf>
    <xf numFmtId="0" fontId="13" fillId="16" borderId="9" xfId="0" applyFont="1" applyFill="1" applyBorder="1" applyAlignment="1">
      <alignment horizontal="center" vertical="center"/>
    </xf>
    <xf numFmtId="166" fontId="50" fillId="20" borderId="9" xfId="0" applyNumberFormat="1" applyFont="1" applyFill="1" applyBorder="1" applyAlignment="1">
      <alignment horizontal="center" vertical="center"/>
    </xf>
    <xf numFmtId="166" fontId="51" fillId="21" borderId="9" xfId="0" applyNumberFormat="1" applyFont="1" applyFill="1" applyBorder="1" applyAlignment="1">
      <alignment horizontal="center" vertical="center"/>
    </xf>
    <xf numFmtId="166" fontId="52" fillId="19" borderId="9" xfId="0" applyNumberFormat="1" applyFont="1" applyFill="1" applyBorder="1" applyAlignment="1">
      <alignment horizontal="center" vertical="center"/>
    </xf>
    <xf numFmtId="166" fontId="53" fillId="36" borderId="9" xfId="0" applyNumberFormat="1" applyFont="1" applyFill="1" applyBorder="1" applyAlignment="1">
      <alignment horizontal="center" vertical="center"/>
    </xf>
    <xf numFmtId="170" fontId="54" fillId="22" borderId="11" xfId="0" applyNumberFormat="1" applyFont="1" applyFill="1" applyBorder="1" applyAlignment="1">
      <alignment horizontal="center" vertical="center"/>
    </xf>
    <xf numFmtId="0" fontId="40" fillId="22" borderId="9" xfId="0" applyFont="1" applyFill="1" applyBorder="1" applyAlignment="1">
      <alignment horizontal="center" vertical="center"/>
    </xf>
    <xf numFmtId="0" fontId="40" fillId="22" borderId="9" xfId="0" applyFont="1" applyFill="1" applyBorder="1" applyAlignment="1">
      <alignment horizontal="left" vertical="center"/>
    </xf>
    <xf numFmtId="166" fontId="43" fillId="20" borderId="11" xfId="0" applyNumberFormat="1" applyFont="1" applyFill="1" applyBorder="1" applyAlignment="1">
      <alignment horizontal="center" vertical="center"/>
    </xf>
    <xf numFmtId="0" fontId="40" fillId="23" borderId="9" xfId="0" applyFont="1" applyFill="1" applyBorder="1" applyAlignment="1">
      <alignment horizontal="left" vertical="center"/>
    </xf>
    <xf numFmtId="0" fontId="40" fillId="23" borderId="9" xfId="0" applyFont="1" applyFill="1" applyBorder="1" applyAlignment="1">
      <alignment horizontal="center" vertical="center"/>
    </xf>
    <xf numFmtId="166" fontId="43" fillId="35" borderId="11" xfId="0" applyNumberFormat="1" applyFont="1" applyFill="1" applyBorder="1" applyAlignment="1">
      <alignment horizontal="center" vertical="center"/>
    </xf>
    <xf numFmtId="170" fontId="54" fillId="22" borderId="11" xfId="0" applyNumberFormat="1" applyFont="1" applyFill="1" applyBorder="1" applyAlignment="1">
      <alignment horizontal="center"/>
    </xf>
    <xf numFmtId="0" fontId="40" fillId="23" borderId="12" xfId="0" applyFont="1" applyFill="1" applyBorder="1" applyAlignment="1">
      <alignment horizontal="center" vertical="center"/>
    </xf>
    <xf numFmtId="170" fontId="55" fillId="22" borderId="11" xfId="0" applyNumberFormat="1" applyFont="1" applyFill="1" applyBorder="1" applyAlignment="1">
      <alignment horizontal="center" vertical="center"/>
    </xf>
    <xf numFmtId="0" fontId="56" fillId="22" borderId="9" xfId="0" applyFont="1" applyFill="1" applyBorder="1" applyAlignment="1">
      <alignment horizontal="center" vertical="center"/>
    </xf>
    <xf numFmtId="0" fontId="56" fillId="22" borderId="9" xfId="0" applyFont="1" applyFill="1" applyBorder="1" applyAlignment="1">
      <alignment horizontal="left" vertical="center"/>
    </xf>
    <xf numFmtId="166" fontId="57" fillId="20" borderId="11" xfId="0" applyNumberFormat="1" applyFont="1" applyFill="1" applyBorder="1" applyAlignment="1">
      <alignment horizontal="center" vertical="center"/>
    </xf>
    <xf numFmtId="0" fontId="58" fillId="22" borderId="9" xfId="0" applyFont="1" applyFill="1" applyBorder="1" applyAlignment="1">
      <alignment horizontal="center" vertical="center"/>
    </xf>
    <xf numFmtId="0" fontId="59" fillId="22" borderId="9" xfId="0" applyFont="1" applyFill="1" applyBorder="1" applyAlignment="1">
      <alignment horizontal="left" vertical="center"/>
    </xf>
    <xf numFmtId="167" fontId="60" fillId="23" borderId="9" xfId="0" applyNumberFormat="1" applyFont="1" applyFill="1" applyBorder="1" applyAlignment="1">
      <alignment horizontal="center" vertical="center"/>
    </xf>
    <xf numFmtId="167" fontId="61" fillId="21" borderId="9" xfId="0" applyNumberFormat="1" applyFont="1" applyFill="1" applyBorder="1" applyAlignment="1">
      <alignment horizontal="center" vertical="center"/>
    </xf>
    <xf numFmtId="167" fontId="50" fillId="20" borderId="9" xfId="0" applyNumberFormat="1" applyFont="1" applyFill="1" applyBorder="1" applyAlignment="1">
      <alignment horizontal="center" vertical="center"/>
    </xf>
    <xf numFmtId="170" fontId="52" fillId="19" borderId="9" xfId="0" applyNumberFormat="1" applyFont="1" applyFill="1" applyBorder="1" applyAlignment="1">
      <alignment horizontal="center" vertical="center"/>
    </xf>
    <xf numFmtId="0" fontId="62" fillId="22" borderId="9" xfId="0" applyFont="1" applyFill="1" applyBorder="1" applyAlignment="1">
      <alignment horizontal="left" vertical="center"/>
    </xf>
    <xf numFmtId="167" fontId="43" fillId="37" borderId="11" xfId="0" applyNumberFormat="1" applyFont="1" applyFill="1" applyBorder="1" applyAlignment="1">
      <alignment horizontal="center" vertical="center"/>
    </xf>
    <xf numFmtId="167" fontId="63" fillId="22" borderId="9" xfId="0" applyNumberFormat="1" applyFont="1" applyFill="1" applyBorder="1" applyAlignment="1">
      <alignment horizontal="center" vertical="center"/>
    </xf>
    <xf numFmtId="166" fontId="40" fillId="22" borderId="9" xfId="0" applyNumberFormat="1" applyFont="1" applyFill="1" applyBorder="1" applyAlignment="1">
      <alignment horizontal="center" vertical="center"/>
    </xf>
    <xf numFmtId="166" fontId="64" fillId="18" borderId="9" xfId="0" applyNumberFormat="1" applyFont="1" applyFill="1" applyBorder="1" applyAlignment="1">
      <alignment horizontal="center" vertical="center"/>
    </xf>
    <xf numFmtId="0" fontId="65" fillId="22" borderId="9" xfId="0" applyFont="1" applyFill="1" applyBorder="1" applyAlignment="1">
      <alignment horizontal="center" vertical="center"/>
    </xf>
    <xf numFmtId="0" fontId="66" fillId="22" borderId="9" xfId="0" applyFont="1" applyFill="1" applyBorder="1" applyAlignment="1">
      <alignment horizontal="left" vertical="center"/>
    </xf>
    <xf numFmtId="0" fontId="62" fillId="23" borderId="9" xfId="0" applyFont="1" applyFill="1" applyBorder="1" applyAlignment="1">
      <alignment horizontal="left" vertical="center"/>
    </xf>
    <xf numFmtId="167" fontId="43" fillId="38" borderId="11" xfId="0" applyNumberFormat="1" applyFont="1" applyFill="1" applyBorder="1" applyAlignment="1">
      <alignment horizontal="center" vertical="center"/>
    </xf>
    <xf numFmtId="167" fontId="63" fillId="23" borderId="9" xfId="0" applyNumberFormat="1" applyFont="1" applyFill="1" applyBorder="1" applyAlignment="1">
      <alignment horizontal="center" vertical="center"/>
    </xf>
    <xf numFmtId="166" fontId="40" fillId="23" borderId="9" xfId="0" applyNumberFormat="1" applyFont="1" applyFill="1" applyBorder="1" applyAlignment="1">
      <alignment horizontal="center" vertical="center"/>
    </xf>
    <xf numFmtId="166" fontId="64" fillId="39" borderId="9" xfId="0" applyNumberFormat="1" applyFont="1" applyFill="1" applyBorder="1" applyAlignment="1">
      <alignment horizontal="center" vertical="center"/>
    </xf>
    <xf numFmtId="0" fontId="65" fillId="23" borderId="9" xfId="0" applyFont="1" applyFill="1" applyBorder="1" applyAlignment="1">
      <alignment horizontal="center" vertical="center"/>
    </xf>
    <xf numFmtId="0" fontId="66" fillId="23" borderId="9" xfId="0" applyFont="1" applyFill="1" applyBorder="1" applyAlignment="1">
      <alignment horizontal="left" vertical="center"/>
    </xf>
    <xf numFmtId="0" fontId="40" fillId="22" borderId="11" xfId="0" applyFont="1" applyFill="1" applyBorder="1" applyAlignment="1">
      <alignment horizontal="left" vertical="center"/>
    </xf>
    <xf numFmtId="0" fontId="63" fillId="22" borderId="9" xfId="0" applyFont="1" applyFill="1" applyBorder="1" applyAlignment="1">
      <alignment horizontal="center" vertical="center"/>
    </xf>
    <xf numFmtId="166" fontId="54" fillId="22" borderId="9" xfId="0" applyNumberFormat="1" applyFont="1" applyFill="1" applyBorder="1" applyAlignment="1">
      <alignment horizontal="center" vertical="center"/>
    </xf>
    <xf numFmtId="0" fontId="20" fillId="22" borderId="9" xfId="0" applyFont="1" applyFill="1" applyBorder="1" applyAlignment="1">
      <alignment horizontal="center" vertical="center"/>
    </xf>
    <xf numFmtId="167" fontId="40" fillId="19" borderId="9" xfId="0" applyNumberFormat="1" applyFont="1" applyFill="1" applyBorder="1" applyAlignment="1">
      <alignment horizontal="center" vertical="center"/>
    </xf>
    <xf numFmtId="166" fontId="67" fillId="17" borderId="9" xfId="0" applyNumberFormat="1" applyFont="1" applyFill="1" applyBorder="1" applyAlignment="1">
      <alignment horizontal="center" vertical="center"/>
    </xf>
    <xf numFmtId="0" fontId="63" fillId="23" borderId="9" xfId="0" applyFont="1" applyFill="1" applyBorder="1" applyAlignment="1">
      <alignment horizontal="center" vertical="center"/>
    </xf>
    <xf numFmtId="166" fontId="54" fillId="23" borderId="9" xfId="0" applyNumberFormat="1" applyFont="1" applyFill="1" applyBorder="1" applyAlignment="1">
      <alignment horizontal="center" vertical="center"/>
    </xf>
    <xf numFmtId="0" fontId="20" fillId="23" borderId="9" xfId="0" applyFont="1" applyFill="1" applyBorder="1" applyAlignment="1">
      <alignment horizontal="center" vertical="center"/>
    </xf>
    <xf numFmtId="167" fontId="40" fillId="40" borderId="9" xfId="0" applyNumberFormat="1" applyFont="1" applyFill="1" applyBorder="1" applyAlignment="1">
      <alignment horizontal="center" vertical="center"/>
    </xf>
    <xf numFmtId="166" fontId="67" fillId="34" borderId="9" xfId="0" applyNumberFormat="1" applyFont="1" applyFill="1" applyBorder="1" applyAlignment="1">
      <alignment horizontal="center" vertical="center"/>
    </xf>
    <xf numFmtId="167" fontId="51" fillId="12" borderId="9" xfId="0" applyNumberFormat="1" applyFont="1" applyFill="1" applyBorder="1" applyAlignment="1">
      <alignment horizontal="center" vertical="center"/>
    </xf>
    <xf numFmtId="166" fontId="69" fillId="12" borderId="9" xfId="0" applyNumberFormat="1" applyFont="1" applyFill="1" applyBorder="1" applyAlignment="1">
      <alignment horizontal="center" vertical="center"/>
    </xf>
    <xf numFmtId="0" fontId="65" fillId="22" borderId="9" xfId="0" applyFont="1" applyFill="1" applyBorder="1" applyAlignment="1">
      <alignment horizontal="left" vertical="center"/>
    </xf>
    <xf numFmtId="166" fontId="70" fillId="22" borderId="9" xfId="0" applyNumberFormat="1" applyFont="1" applyFill="1" applyBorder="1" applyAlignment="1">
      <alignment horizontal="center" vertical="center"/>
    </xf>
    <xf numFmtId="167" fontId="40" fillId="22" borderId="9" xfId="0" applyNumberFormat="1" applyFont="1" applyFill="1" applyBorder="1" applyAlignment="1">
      <alignment horizontal="center" vertical="center"/>
    </xf>
    <xf numFmtId="166" fontId="46" fillId="17" borderId="9" xfId="0" applyNumberFormat="1" applyFont="1" applyFill="1" applyBorder="1" applyAlignment="1">
      <alignment horizontal="center" vertical="center"/>
    </xf>
    <xf numFmtId="168" fontId="40" fillId="22" borderId="9" xfId="0" applyNumberFormat="1" applyFont="1" applyFill="1" applyBorder="1" applyAlignment="1">
      <alignment horizontal="center" vertical="center"/>
    </xf>
    <xf numFmtId="166" fontId="71" fillId="20" borderId="9" xfId="0" applyNumberFormat="1" applyFont="1" applyFill="1" applyBorder="1" applyAlignment="1">
      <alignment horizontal="center" vertical="center"/>
    </xf>
    <xf numFmtId="0" fontId="65" fillId="23" borderId="9" xfId="0" applyFont="1" applyFill="1" applyBorder="1" applyAlignment="1">
      <alignment horizontal="left" vertical="center"/>
    </xf>
    <xf numFmtId="166" fontId="70" fillId="23" borderId="9" xfId="0" applyNumberFormat="1" applyFont="1" applyFill="1" applyBorder="1" applyAlignment="1">
      <alignment horizontal="center" vertical="center"/>
    </xf>
    <xf numFmtId="167" fontId="40" fillId="23" borderId="9" xfId="0" applyNumberFormat="1" applyFont="1" applyFill="1" applyBorder="1" applyAlignment="1">
      <alignment horizontal="center" vertical="center"/>
    </xf>
    <xf numFmtId="166" fontId="46" fillId="34" borderId="9" xfId="0" applyNumberFormat="1" applyFont="1" applyFill="1" applyBorder="1" applyAlignment="1">
      <alignment horizontal="center" vertical="center"/>
    </xf>
    <xf numFmtId="168" fontId="40" fillId="23" borderId="9" xfId="0" applyNumberFormat="1" applyFont="1" applyFill="1" applyBorder="1" applyAlignment="1">
      <alignment horizontal="center" vertical="center"/>
    </xf>
    <xf numFmtId="166" fontId="71" fillId="35" borderId="9" xfId="0" applyNumberFormat="1" applyFont="1" applyFill="1" applyBorder="1" applyAlignment="1">
      <alignment horizontal="center" vertical="center"/>
    </xf>
    <xf numFmtId="167" fontId="51" fillId="21" borderId="9" xfId="0" applyNumberFormat="1" applyFont="1" applyFill="1" applyBorder="1" applyAlignment="1">
      <alignment horizontal="center" vertical="center"/>
    </xf>
    <xf numFmtId="167" fontId="52" fillId="19" borderId="9" xfId="0" applyNumberFormat="1" applyFont="1" applyFill="1" applyBorder="1" applyAlignment="1">
      <alignment horizontal="center" vertical="center"/>
    </xf>
    <xf numFmtId="167" fontId="72" fillId="17" borderId="9" xfId="0" applyNumberFormat="1" applyFont="1" applyFill="1" applyBorder="1" applyAlignment="1">
      <alignment horizontal="center" vertical="center"/>
    </xf>
    <xf numFmtId="166" fontId="73" fillId="18" borderId="9" xfId="0" applyNumberFormat="1" applyFont="1" applyFill="1" applyBorder="1" applyAlignment="1">
      <alignment horizontal="center" vertical="center"/>
    </xf>
    <xf numFmtId="167" fontId="54" fillId="19" borderId="11" xfId="0" applyNumberFormat="1" applyFont="1" applyFill="1" applyBorder="1" applyAlignment="1">
      <alignment horizontal="center" vertical="center"/>
    </xf>
    <xf numFmtId="166" fontId="43" fillId="21" borderId="11" xfId="0" applyNumberFormat="1" applyFont="1" applyFill="1" applyBorder="1" applyAlignment="1">
      <alignment horizontal="center" vertical="center"/>
    </xf>
    <xf numFmtId="170" fontId="40" fillId="22" borderId="9" xfId="0" applyNumberFormat="1" applyFont="1" applyFill="1" applyBorder="1" applyAlignment="1">
      <alignment horizontal="center" vertical="center"/>
    </xf>
    <xf numFmtId="166" fontId="74" fillId="18" borderId="9" xfId="0" applyNumberFormat="1" applyFont="1" applyFill="1" applyBorder="1" applyAlignment="1">
      <alignment horizontal="center" vertical="center"/>
    </xf>
    <xf numFmtId="167" fontId="54" fillId="40" borderId="11" xfId="0" applyNumberFormat="1" applyFont="1" applyFill="1" applyBorder="1" applyAlignment="1">
      <alignment horizontal="center" vertical="center"/>
    </xf>
    <xf numFmtId="166" fontId="43" fillId="41" borderId="11" xfId="0" applyNumberFormat="1" applyFont="1" applyFill="1" applyBorder="1" applyAlignment="1">
      <alignment horizontal="center" vertical="center"/>
    </xf>
    <xf numFmtId="170" fontId="40" fillId="23" borderId="9" xfId="0" applyNumberFormat="1" applyFont="1" applyFill="1" applyBorder="1" applyAlignment="1">
      <alignment horizontal="center" vertical="center"/>
    </xf>
    <xf numFmtId="166" fontId="74" fillId="39" borderId="9" xfId="0" applyNumberFormat="1" applyFont="1" applyFill="1" applyBorder="1" applyAlignment="1">
      <alignment horizontal="center" vertical="center"/>
    </xf>
    <xf numFmtId="0" fontId="62" fillId="16" borderId="9" xfId="0" applyFont="1" applyFill="1" applyBorder="1" applyAlignment="1">
      <alignment horizontal="right" vertical="center"/>
    </xf>
    <xf numFmtId="0" fontId="52" fillId="22" borderId="11" xfId="0" applyFont="1" applyFill="1" applyBorder="1" applyAlignment="1">
      <alignment horizontal="center" vertical="center"/>
    </xf>
    <xf numFmtId="0" fontId="70" fillId="23" borderId="9" xfId="0" applyFont="1" applyFill="1" applyBorder="1" applyAlignment="1">
      <alignment horizontal="left" vertical="center"/>
    </xf>
    <xf numFmtId="0" fontId="45" fillId="23" borderId="9" xfId="0" applyFont="1" applyFill="1" applyBorder="1" applyAlignment="1">
      <alignment horizontal="left" vertical="center"/>
    </xf>
    <xf numFmtId="166" fontId="45" fillId="23" borderId="9" xfId="0" applyNumberFormat="1" applyFont="1" applyFill="1" applyBorder="1" applyAlignment="1">
      <alignment horizontal="center" vertical="center"/>
    </xf>
    <xf numFmtId="0" fontId="45" fillId="22" borderId="9" xfId="0" applyFont="1" applyFill="1" applyBorder="1" applyAlignment="1">
      <alignment horizontal="left" vertical="center"/>
    </xf>
    <xf numFmtId="166" fontId="45" fillId="22" borderId="9" xfId="0" applyNumberFormat="1" applyFont="1" applyFill="1" applyBorder="1" applyAlignment="1">
      <alignment horizontal="center" vertical="center"/>
    </xf>
    <xf numFmtId="0" fontId="75" fillId="20" borderId="9" xfId="0" applyFont="1" applyFill="1" applyBorder="1" applyAlignment="1">
      <alignment horizontal="left" vertical="center"/>
    </xf>
    <xf numFmtId="0" fontId="67" fillId="17" borderId="9" xfId="0" applyFont="1" applyFill="1" applyBorder="1" applyAlignment="1">
      <alignment horizontal="left" vertical="center"/>
    </xf>
    <xf numFmtId="0" fontId="46" fillId="21" borderId="9" xfId="0" applyFont="1" applyFill="1" applyBorder="1" applyAlignment="1">
      <alignment horizontal="left" vertical="center"/>
    </xf>
    <xf numFmtId="168" fontId="70" fillId="21" borderId="9" xfId="0" applyNumberFormat="1" applyFont="1" applyFill="1" applyBorder="1" applyAlignment="1">
      <alignment horizontal="center" vertical="center"/>
    </xf>
    <xf numFmtId="0" fontId="43" fillId="19" borderId="9" xfId="0" applyFont="1" applyFill="1" applyBorder="1" applyAlignment="1">
      <alignment horizontal="left" vertical="center"/>
    </xf>
    <xf numFmtId="166" fontId="54" fillId="19" borderId="9" xfId="0" applyNumberFormat="1" applyFont="1" applyFill="1" applyBorder="1" applyAlignment="1">
      <alignment horizontal="center" vertical="center"/>
    </xf>
    <xf numFmtId="0" fontId="54" fillId="19" borderId="9" xfId="0" applyFont="1" applyFill="1" applyBorder="1" applyAlignment="1">
      <alignment horizontal="left" vertical="center"/>
    </xf>
    <xf numFmtId="168" fontId="40" fillId="19" borderId="9" xfId="0" applyNumberFormat="1" applyFont="1" applyFill="1" applyBorder="1" applyAlignment="1">
      <alignment horizontal="center" vertical="center"/>
    </xf>
    <xf numFmtId="167" fontId="65" fillId="22" borderId="9" xfId="0" applyNumberFormat="1" applyFont="1" applyFill="1" applyBorder="1" applyAlignment="1">
      <alignment horizontal="center" vertical="center"/>
    </xf>
    <xf numFmtId="166" fontId="65" fillId="23" borderId="9" xfId="0" applyNumberFormat="1" applyFont="1" applyFill="1" applyBorder="1" applyAlignment="1">
      <alignment horizontal="center" vertical="center"/>
    </xf>
    <xf numFmtId="166" fontId="40" fillId="20" borderId="9" xfId="0" applyNumberFormat="1" applyFont="1" applyFill="1" applyBorder="1" applyAlignment="1">
      <alignment horizontal="center" vertical="center"/>
    </xf>
    <xf numFmtId="166" fontId="40" fillId="17" borderId="9" xfId="0" applyNumberFormat="1" applyFont="1" applyFill="1" applyBorder="1" applyAlignment="1">
      <alignment horizontal="center" vertical="center"/>
    </xf>
    <xf numFmtId="0" fontId="43" fillId="23" borderId="9" xfId="0" applyFont="1" applyFill="1" applyBorder="1" applyAlignment="1">
      <alignment horizontal="left" vertical="center"/>
    </xf>
    <xf numFmtId="0" fontId="70" fillId="22" borderId="9" xfId="0" applyFont="1" applyFill="1" applyBorder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0" fillId="0" borderId="0" xfId="0" applyFill="1"/>
    <xf numFmtId="0" fontId="10" fillId="12" borderId="0" xfId="0" applyFont="1" applyFill="1" applyAlignment="1">
      <alignment horizontal="right" vertical="center"/>
    </xf>
    <xf numFmtId="0" fontId="8" fillId="13" borderId="0" xfId="0" applyFont="1" applyFill="1" applyAlignment="1">
      <alignment horizontal="center" vertical="center"/>
    </xf>
    <xf numFmtId="0" fontId="11" fillId="14" borderId="2" xfId="0" applyFont="1" applyFill="1" applyBorder="1" applyAlignment="1">
      <alignment horizontal="left" vertical="center" wrapText="1"/>
    </xf>
    <xf numFmtId="0" fontId="0" fillId="0" borderId="3" xfId="0" applyFill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12" fillId="12" borderId="2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0" fontId="0" fillId="0" borderId="5" xfId="0" applyFill="1" applyBorder="1"/>
    <xf numFmtId="166" fontId="14" fillId="17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0" fontId="0" fillId="0" borderId="8" xfId="0" applyFill="1" applyBorder="1"/>
    <xf numFmtId="166" fontId="15" fillId="18" borderId="6" xfId="0" applyNumberFormat="1" applyFont="1" applyFill="1" applyBorder="1" applyAlignment="1">
      <alignment horizontal="center" vertical="center"/>
    </xf>
    <xf numFmtId="166" fontId="16" fillId="19" borderId="6" xfId="0" applyNumberFormat="1" applyFont="1" applyFill="1" applyBorder="1" applyAlignment="1">
      <alignment horizontal="center" vertical="center"/>
    </xf>
    <xf numFmtId="166" fontId="17" fillId="20" borderId="6" xfId="0" applyNumberFormat="1" applyFont="1" applyFill="1" applyBorder="1" applyAlignment="1">
      <alignment horizontal="center" vertical="center"/>
    </xf>
    <xf numFmtId="166" fontId="9" fillId="21" borderId="6" xfId="0" applyNumberFormat="1" applyFont="1" applyFill="1" applyBorder="1" applyAlignment="1">
      <alignment horizontal="center" vertical="center"/>
    </xf>
    <xf numFmtId="167" fontId="16" fillId="19" borderId="6" xfId="0" applyNumberFormat="1" applyFont="1" applyFill="1" applyBorder="1" applyAlignment="1">
      <alignment horizontal="center" vertical="center"/>
    </xf>
    <xf numFmtId="168" fontId="14" fillId="17" borderId="6" xfId="0" applyNumberFormat="1" applyFont="1" applyFill="1" applyBorder="1" applyAlignment="1">
      <alignment horizontal="center" vertical="center"/>
    </xf>
    <xf numFmtId="167" fontId="18" fillId="21" borderId="6" xfId="0" applyNumberFormat="1" applyFont="1" applyFill="1" applyBorder="1" applyAlignment="1">
      <alignment horizontal="center" vertical="center"/>
    </xf>
    <xf numFmtId="167" fontId="9" fillId="21" borderId="6" xfId="0" applyNumberFormat="1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/>
    </xf>
    <xf numFmtId="0" fontId="0" fillId="0" borderId="10" xfId="0" applyFill="1" applyBorder="1"/>
    <xf numFmtId="0" fontId="28" fillId="22" borderId="9" xfId="0" applyFont="1" applyFill="1" applyBorder="1" applyAlignment="1">
      <alignment horizontal="center" vertical="center"/>
    </xf>
    <xf numFmtId="0" fontId="28" fillId="23" borderId="9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 wrapText="1"/>
    </xf>
    <xf numFmtId="0" fontId="20" fillId="22" borderId="4" xfId="0" applyFont="1" applyFill="1" applyBorder="1" applyAlignment="1">
      <alignment horizontal="left" vertical="center"/>
    </xf>
    <xf numFmtId="167" fontId="23" fillId="22" borderId="4" xfId="0" applyNumberFormat="1" applyFont="1" applyFill="1" applyBorder="1" applyAlignment="1">
      <alignment horizontal="center" vertical="center"/>
    </xf>
    <xf numFmtId="167" fontId="27" fillId="22" borderId="4" xfId="0" applyNumberFormat="1" applyFont="1" applyFill="1" applyBorder="1" applyAlignment="1">
      <alignment horizontal="center" vertical="center"/>
    </xf>
    <xf numFmtId="0" fontId="20" fillId="22" borderId="4" xfId="0" applyFont="1" applyFill="1" applyBorder="1" applyAlignment="1">
      <alignment horizontal="center" vertical="center"/>
    </xf>
    <xf numFmtId="0" fontId="20" fillId="23" borderId="4" xfId="0" applyFont="1" applyFill="1" applyBorder="1" applyAlignment="1">
      <alignment horizontal="left" vertical="center"/>
    </xf>
    <xf numFmtId="167" fontId="23" fillId="23" borderId="4" xfId="0" applyNumberFormat="1" applyFont="1" applyFill="1" applyBorder="1" applyAlignment="1">
      <alignment horizontal="center" vertical="center"/>
    </xf>
    <xf numFmtId="167" fontId="27" fillId="23" borderId="4" xfId="0" applyNumberFormat="1" applyFont="1" applyFill="1" applyBorder="1" applyAlignment="1">
      <alignment horizontal="center" vertical="center"/>
    </xf>
    <xf numFmtId="0" fontId="20" fillId="23" borderId="4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left" vertical="center"/>
    </xf>
    <xf numFmtId="0" fontId="30" fillId="24" borderId="1" xfId="0" applyFont="1" applyFill="1" applyBorder="1" applyAlignment="1">
      <alignment horizontal="center" vertical="center"/>
    </xf>
    <xf numFmtId="0" fontId="0" fillId="0" borderId="13" xfId="0" applyFill="1" applyBorder="1"/>
    <xf numFmtId="0" fontId="30" fillId="5" borderId="1" xfId="0" applyFont="1" applyFill="1" applyBorder="1" applyAlignment="1">
      <alignment horizontal="center" vertical="center"/>
    </xf>
    <xf numFmtId="0" fontId="30" fillId="25" borderId="1" xfId="0" applyFont="1" applyFill="1" applyBorder="1" applyAlignment="1">
      <alignment horizontal="center" vertical="center"/>
    </xf>
    <xf numFmtId="0" fontId="30" fillId="26" borderId="1" xfId="0" applyFont="1" applyFill="1" applyBorder="1" applyAlignment="1">
      <alignment horizontal="center" vertical="center"/>
    </xf>
    <xf numFmtId="0" fontId="30" fillId="27" borderId="1" xfId="0" applyFont="1" applyFill="1" applyBorder="1" applyAlignment="1">
      <alignment horizontal="center" vertical="center"/>
    </xf>
    <xf numFmtId="0" fontId="30" fillId="28" borderId="1" xfId="0" applyFont="1" applyFill="1" applyBorder="1" applyAlignment="1">
      <alignment horizontal="center" vertical="center"/>
    </xf>
    <xf numFmtId="165" fontId="31" fillId="24" borderId="1" xfId="0" applyNumberFormat="1" applyFont="1" applyFill="1" applyBorder="1" applyAlignment="1">
      <alignment horizontal="center" vertical="center"/>
    </xf>
    <xf numFmtId="165" fontId="31" fillId="5" borderId="1" xfId="0" applyNumberFormat="1" applyFont="1" applyFill="1" applyBorder="1" applyAlignment="1">
      <alignment horizontal="center" vertical="center"/>
    </xf>
    <xf numFmtId="165" fontId="31" fillId="25" borderId="1" xfId="0" applyNumberFormat="1" applyFont="1" applyFill="1" applyBorder="1" applyAlignment="1">
      <alignment horizontal="center" vertical="center"/>
    </xf>
    <xf numFmtId="165" fontId="31" fillId="26" borderId="1" xfId="0" applyNumberFormat="1" applyFont="1" applyFill="1" applyBorder="1" applyAlignment="1">
      <alignment horizontal="center" vertical="center"/>
    </xf>
    <xf numFmtId="165" fontId="31" fillId="27" borderId="1" xfId="0" applyNumberFormat="1" applyFont="1" applyFill="1" applyBorder="1" applyAlignment="1">
      <alignment horizontal="center" vertical="center"/>
    </xf>
    <xf numFmtId="165" fontId="31" fillId="28" borderId="1" xfId="0" applyNumberFormat="1" applyFont="1" applyFill="1" applyBorder="1" applyAlignment="1">
      <alignment horizontal="center" vertical="center"/>
    </xf>
    <xf numFmtId="0" fontId="32" fillId="24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2" fillId="25" borderId="1" xfId="0" applyFont="1" applyFill="1" applyBorder="1" applyAlignment="1">
      <alignment horizontal="center" vertical="center"/>
    </xf>
    <xf numFmtId="0" fontId="32" fillId="26" borderId="1" xfId="0" applyFont="1" applyFill="1" applyBorder="1" applyAlignment="1">
      <alignment horizontal="center" vertical="center"/>
    </xf>
    <xf numFmtId="0" fontId="32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0" fillId="0" borderId="14" xfId="0" applyFill="1" applyBorder="1"/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4" fillId="29" borderId="1" xfId="0" applyFont="1" applyFill="1" applyBorder="1" applyAlignment="1">
      <alignment horizontal="left" vertical="center" wrapText="1"/>
    </xf>
    <xf numFmtId="0" fontId="48" fillId="21" borderId="4" xfId="0" applyFont="1" applyFill="1" applyBorder="1" applyAlignment="1">
      <alignment horizontal="left" vertical="center"/>
    </xf>
    <xf numFmtId="170" fontId="51" fillId="12" borderId="4" xfId="0" applyNumberFormat="1" applyFont="1" applyFill="1" applyBorder="1" applyAlignment="1">
      <alignment horizontal="left" vertical="center"/>
    </xf>
    <xf numFmtId="0" fontId="68" fillId="1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FCDD2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C8E6C9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  <dxf>
      <font>
        <b/>
        <color rgb="FFF9A825"/>
        <name val="Arial"/>
        <charset val="1"/>
      </font>
      <fill>
        <patternFill>
          <bgColor rgb="FFFFF9C4"/>
        </patternFill>
      </fill>
    </dxf>
    <dxf>
      <font>
        <sz val="10"/>
        <color rgb="FF1F1F1F"/>
        <name val="Arial"/>
        <charset val="1"/>
      </font>
      <fill>
        <patternFill>
          <bgColor rgb="FFB2DFDB"/>
        </patternFill>
      </fill>
    </dxf>
    <dxf>
      <font>
        <sz val="10"/>
        <color rgb="FF1F1F1F"/>
        <name val="Arial"/>
        <charset val="1"/>
      </font>
      <fill>
        <patternFill>
          <bgColor rgb="FFFCE4EC"/>
        </patternFill>
      </fill>
    </dxf>
    <dxf>
      <font>
        <sz val="10"/>
        <color rgb="FF1F1F1F"/>
        <name val="Arial"/>
        <charset val="1"/>
      </font>
      <fill>
        <patternFill>
          <bgColor rgb="FFBBDEFB"/>
        </patternFill>
      </fill>
    </dxf>
    <dxf>
      <font>
        <sz val="10"/>
        <color rgb="FF1F1F1F"/>
        <name val="Arial"/>
        <charset val="1"/>
      </font>
      <fill>
        <patternFill>
          <bgColor rgb="FFF3E5F5"/>
        </patternFill>
      </fill>
    </dxf>
    <dxf>
      <font>
        <sz val="10"/>
        <color rgb="FF1F1F1F"/>
        <name val="Arial"/>
        <charset val="1"/>
      </font>
      <fill>
        <patternFill>
          <bgColor rgb="FFFFF9C4"/>
        </patternFill>
      </fill>
    </dxf>
    <dxf>
      <font>
        <b/>
        <color rgb="FF2E7D32"/>
        <name val="Arial"/>
        <charset val="1"/>
      </font>
      <fill>
        <patternFill>
          <bgColor rgb="FFC8E6C9"/>
        </patternFill>
      </fill>
    </dxf>
    <dxf>
      <font>
        <b/>
        <color rgb="FFC62828"/>
        <name val="Arial"/>
        <charset val="1"/>
      </font>
      <fill>
        <patternFill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3"/>
  <sheetViews>
    <sheetView topLeftCell="A43" zoomScaleNormal="100" workbookViewId="0"/>
  </sheetViews>
  <sheetFormatPr defaultRowHeight="14.4" x14ac:dyDescent="0.3"/>
  <cols>
    <col min="1" max="1" width="3" customWidth="1"/>
    <col min="2" max="2" width="36" customWidth="1"/>
    <col min="3" max="3" width="18" customWidth="1"/>
    <col min="4" max="6" width="20" customWidth="1"/>
    <col min="7" max="7" width="24" customWidth="1"/>
    <col min="8" max="8" width="26" customWidth="1"/>
  </cols>
  <sheetData>
    <row r="1" spans="2:8" ht="36" customHeight="1" x14ac:dyDescent="0.3">
      <c r="B1" s="188" t="s">
        <v>19</v>
      </c>
      <c r="C1" s="183"/>
      <c r="D1" s="183"/>
      <c r="E1" s="183"/>
      <c r="F1" s="183"/>
      <c r="G1" s="183"/>
      <c r="H1" s="183"/>
    </row>
    <row r="2" spans="2:8" ht="24" customHeight="1" x14ac:dyDescent="0.3">
      <c r="B2" s="189" t="s">
        <v>20</v>
      </c>
      <c r="C2" s="183"/>
      <c r="D2" s="183"/>
      <c r="E2" s="183"/>
      <c r="F2" s="183"/>
      <c r="G2" s="183"/>
      <c r="H2" s="183"/>
    </row>
    <row r="4" spans="2:8" ht="25.95" customHeight="1" x14ac:dyDescent="0.3">
      <c r="B4" s="190" t="s">
        <v>21</v>
      </c>
      <c r="C4" s="183"/>
      <c r="D4" s="183"/>
      <c r="E4" s="183"/>
      <c r="F4" s="183"/>
      <c r="G4" s="183"/>
      <c r="H4" s="183"/>
    </row>
    <row r="5" spans="2:8" ht="22.05" customHeight="1" x14ac:dyDescent="0.3"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</row>
    <row r="6" spans="2:8" ht="19.95" customHeight="1" x14ac:dyDescent="0.3">
      <c r="B6" s="2" t="s">
        <v>28</v>
      </c>
      <c r="C6" s="3">
        <v>0.5</v>
      </c>
      <c r="D6" s="4">
        <v>300000</v>
      </c>
      <c r="E6" s="5">
        <f>D47</f>
        <v>28947</v>
      </c>
      <c r="F6" s="5">
        <f>D6-E6</f>
        <v>271053</v>
      </c>
      <c r="G6" s="2" t="s">
        <v>29</v>
      </c>
    </row>
    <row r="7" spans="2:8" ht="19.95" customHeight="1" x14ac:dyDescent="0.3">
      <c r="B7" s="6" t="s">
        <v>30</v>
      </c>
      <c r="C7" s="7">
        <v>0.3</v>
      </c>
      <c r="D7" s="8">
        <v>180000</v>
      </c>
      <c r="E7" s="9">
        <f>D34</f>
        <v>140695</v>
      </c>
      <c r="F7" s="9">
        <f>D7-E7</f>
        <v>39305</v>
      </c>
      <c r="G7" s="6" t="s">
        <v>31</v>
      </c>
    </row>
    <row r="8" spans="2:8" ht="19.95" customHeight="1" x14ac:dyDescent="0.3">
      <c r="B8" s="2" t="s">
        <v>32</v>
      </c>
      <c r="C8" s="3">
        <v>0.2</v>
      </c>
      <c r="D8" s="4">
        <v>120000</v>
      </c>
      <c r="E8" s="5">
        <f>D59</f>
        <v>100000</v>
      </c>
      <c r="F8" s="5">
        <f>D8-E8</f>
        <v>20000</v>
      </c>
      <c r="G8" s="2" t="s">
        <v>33</v>
      </c>
    </row>
    <row r="9" spans="2:8" ht="22.05" customHeight="1" x14ac:dyDescent="0.3">
      <c r="B9" s="10" t="s">
        <v>34</v>
      </c>
      <c r="C9" s="11">
        <f>SUM(C6:C8)</f>
        <v>1</v>
      </c>
      <c r="D9" s="12">
        <f>SUM(D6:D8)</f>
        <v>600000</v>
      </c>
      <c r="E9" s="12">
        <f>SUM(E6:E8)</f>
        <v>269642</v>
      </c>
      <c r="F9" s="12">
        <f>SUM(F6:F8)</f>
        <v>330358</v>
      </c>
      <c r="G9" s="1"/>
    </row>
    <row r="11" spans="2:8" ht="25.95" customHeight="1" x14ac:dyDescent="0.3">
      <c r="B11" s="191" t="s">
        <v>35</v>
      </c>
      <c r="C11" s="183"/>
      <c r="D11" s="183"/>
      <c r="E11" s="183"/>
      <c r="F11" s="183"/>
      <c r="G11" s="183"/>
      <c r="H11" s="183"/>
    </row>
    <row r="12" spans="2:8" ht="22.05" customHeight="1" x14ac:dyDescent="0.3">
      <c r="B12" s="1" t="s">
        <v>36</v>
      </c>
      <c r="C12" s="1" t="s">
        <v>3</v>
      </c>
      <c r="D12" s="1" t="s">
        <v>37</v>
      </c>
      <c r="E12" s="1" t="s">
        <v>38</v>
      </c>
      <c r="F12" s="1" t="s">
        <v>39</v>
      </c>
      <c r="G12" s="1" t="s">
        <v>40</v>
      </c>
    </row>
    <row r="13" spans="2:8" ht="19.95" customHeight="1" x14ac:dyDescent="0.3">
      <c r="B13" s="2" t="s">
        <v>41</v>
      </c>
      <c r="C13" s="13"/>
      <c r="D13" s="4">
        <v>390000</v>
      </c>
      <c r="E13" s="2" t="s">
        <v>42</v>
      </c>
      <c r="F13" s="2" t="s">
        <v>43</v>
      </c>
      <c r="G13" s="2" t="s">
        <v>44</v>
      </c>
    </row>
    <row r="14" spans="2:8" ht="19.95" customHeight="1" x14ac:dyDescent="0.3">
      <c r="B14" s="14" t="s">
        <v>45</v>
      </c>
      <c r="C14" s="15"/>
      <c r="D14" s="16">
        <v>5000</v>
      </c>
      <c r="E14" s="14" t="s">
        <v>28</v>
      </c>
      <c r="F14" s="14" t="s">
        <v>46</v>
      </c>
      <c r="G14" s="14" t="s">
        <v>47</v>
      </c>
    </row>
    <row r="15" spans="2:8" ht="19.95" customHeight="1" x14ac:dyDescent="0.3">
      <c r="B15" s="17" t="s">
        <v>48</v>
      </c>
      <c r="C15" s="18"/>
      <c r="D15" s="19">
        <f>D13-D14</f>
        <v>385000</v>
      </c>
      <c r="E15" s="17" t="s">
        <v>49</v>
      </c>
      <c r="F15" s="17" t="s">
        <v>50</v>
      </c>
      <c r="G15" s="17" t="s">
        <v>51</v>
      </c>
    </row>
    <row r="17" spans="2:8" ht="19.95" customHeight="1" x14ac:dyDescent="0.3">
      <c r="B17" s="192" t="s">
        <v>52</v>
      </c>
      <c r="C17" s="183"/>
      <c r="D17" s="183"/>
      <c r="E17" s="183"/>
      <c r="F17" s="183"/>
      <c r="G17" s="183"/>
      <c r="H17" s="183"/>
    </row>
    <row r="18" spans="2:8" ht="22.05" customHeight="1" x14ac:dyDescent="0.3">
      <c r="B18" s="1" t="s">
        <v>5</v>
      </c>
      <c r="C18" s="1" t="s">
        <v>53</v>
      </c>
      <c r="D18" s="1" t="s">
        <v>37</v>
      </c>
      <c r="E18" s="1" t="s">
        <v>54</v>
      </c>
      <c r="F18" s="1" t="s">
        <v>55</v>
      </c>
      <c r="G18" s="1" t="s">
        <v>40</v>
      </c>
    </row>
    <row r="19" spans="2:8" ht="19.95" customHeight="1" x14ac:dyDescent="0.3">
      <c r="B19" s="2" t="s">
        <v>56</v>
      </c>
      <c r="C19" s="2" t="s">
        <v>30</v>
      </c>
      <c r="D19" s="4">
        <v>125000</v>
      </c>
      <c r="E19" s="3">
        <f>D19/390000</f>
        <v>0.32051282051282054</v>
      </c>
      <c r="F19" s="20">
        <f>D19</f>
        <v>125000</v>
      </c>
      <c r="G19" s="2" t="s">
        <v>57</v>
      </c>
    </row>
    <row r="20" spans="2:8" ht="19.95" customHeight="1" x14ac:dyDescent="0.3">
      <c r="B20" s="6" t="s">
        <v>58</v>
      </c>
      <c r="C20" s="6" t="s">
        <v>59</v>
      </c>
      <c r="D20" s="8">
        <v>100000</v>
      </c>
      <c r="E20" s="7">
        <f>D20/390000</f>
        <v>0.25641025641025639</v>
      </c>
      <c r="F20" s="21">
        <f>D19+D20</f>
        <v>225000</v>
      </c>
      <c r="G20" s="6" t="s">
        <v>60</v>
      </c>
    </row>
    <row r="21" spans="2:8" ht="19.95" customHeight="1" x14ac:dyDescent="0.3">
      <c r="B21" s="2" t="s">
        <v>61</v>
      </c>
      <c r="C21" s="2" t="s">
        <v>28</v>
      </c>
      <c r="D21" s="20">
        <f>390000-D19-D20</f>
        <v>165000</v>
      </c>
      <c r="E21" s="3">
        <f>D21/390000</f>
        <v>0.42307692307692307</v>
      </c>
      <c r="F21" s="20">
        <f>D20+D21</f>
        <v>265000</v>
      </c>
      <c r="G21" s="2" t="s">
        <v>62</v>
      </c>
    </row>
    <row r="22" spans="2:8" ht="19.95" customHeight="1" x14ac:dyDescent="0.3">
      <c r="B22" s="6" t="s">
        <v>63</v>
      </c>
      <c r="C22" s="6" t="s">
        <v>28</v>
      </c>
      <c r="D22" s="8">
        <v>5000</v>
      </c>
      <c r="E22" s="7">
        <f>D22/390000</f>
        <v>1.282051282051282E-2</v>
      </c>
      <c r="F22" s="22" t="s">
        <v>64</v>
      </c>
      <c r="G22" s="6" t="s">
        <v>65</v>
      </c>
    </row>
    <row r="24" spans="2:8" ht="25.95" customHeight="1" x14ac:dyDescent="0.3">
      <c r="B24" s="190" t="s">
        <v>66</v>
      </c>
      <c r="C24" s="183"/>
      <c r="D24" s="183"/>
      <c r="E24" s="183"/>
      <c r="F24" s="183"/>
      <c r="G24" s="183"/>
      <c r="H24" s="183"/>
    </row>
    <row r="25" spans="2:8" ht="22.05" customHeight="1" x14ac:dyDescent="0.3">
      <c r="B25" s="1" t="s">
        <v>36</v>
      </c>
      <c r="C25" s="1" t="s">
        <v>3</v>
      </c>
      <c r="D25" s="1" t="s">
        <v>37</v>
      </c>
      <c r="E25" s="1" t="s">
        <v>67</v>
      </c>
      <c r="F25" s="1" t="s">
        <v>68</v>
      </c>
      <c r="G25" s="1" t="s">
        <v>40</v>
      </c>
    </row>
    <row r="26" spans="2:8" ht="19.95" customHeight="1" x14ac:dyDescent="0.3">
      <c r="B26" s="2" t="s">
        <v>69</v>
      </c>
      <c r="C26" s="13"/>
      <c r="D26" s="4">
        <v>125000</v>
      </c>
      <c r="E26" s="2" t="s">
        <v>70</v>
      </c>
      <c r="F26" s="2" t="s">
        <v>71</v>
      </c>
      <c r="G26" s="2" t="s">
        <v>72</v>
      </c>
    </row>
    <row r="27" spans="2:8" ht="19.95" customHeight="1" x14ac:dyDescent="0.3">
      <c r="B27" s="6" t="s">
        <v>73</v>
      </c>
      <c r="C27" s="22"/>
      <c r="D27" s="8">
        <v>15195</v>
      </c>
      <c r="E27" s="6" t="s">
        <v>74</v>
      </c>
      <c r="F27" s="6" t="s">
        <v>75</v>
      </c>
      <c r="G27" s="6" t="s">
        <v>76</v>
      </c>
    </row>
    <row r="28" spans="2:8" ht="19.95" customHeight="1" x14ac:dyDescent="0.3">
      <c r="B28" s="2" t="s">
        <v>77</v>
      </c>
      <c r="C28" s="13"/>
      <c r="D28" s="4">
        <v>500</v>
      </c>
      <c r="E28" s="2" t="s">
        <v>78</v>
      </c>
      <c r="F28" s="2" t="s">
        <v>79</v>
      </c>
      <c r="G28" s="2" t="s">
        <v>80</v>
      </c>
    </row>
    <row r="29" spans="2:8" ht="19.95" customHeight="1" x14ac:dyDescent="0.3">
      <c r="B29" s="23"/>
      <c r="C29" s="24"/>
      <c r="D29" s="25"/>
      <c r="E29" s="23"/>
      <c r="F29" s="23"/>
      <c r="G29" s="23"/>
    </row>
    <row r="30" spans="2:8" ht="19.95" customHeight="1" x14ac:dyDescent="0.3">
      <c r="B30" s="23"/>
      <c r="C30" s="24"/>
      <c r="D30" s="25"/>
      <c r="E30" s="23"/>
      <c r="F30" s="23"/>
      <c r="G30" s="23"/>
    </row>
    <row r="31" spans="2:8" ht="19.95" customHeight="1" x14ac:dyDescent="0.3">
      <c r="B31" s="23"/>
      <c r="C31" s="24"/>
      <c r="D31" s="25"/>
      <c r="E31" s="23"/>
      <c r="F31" s="23"/>
      <c r="G31" s="23"/>
    </row>
    <row r="32" spans="2:8" ht="19.95" customHeight="1" x14ac:dyDescent="0.3">
      <c r="B32" s="23"/>
      <c r="C32" s="24"/>
      <c r="D32" s="25"/>
      <c r="E32" s="23"/>
      <c r="F32" s="23"/>
      <c r="G32" s="23"/>
    </row>
    <row r="33" spans="2:8" ht="19.95" customHeight="1" x14ac:dyDescent="0.3">
      <c r="B33" s="23"/>
      <c r="C33" s="24"/>
      <c r="D33" s="25"/>
      <c r="E33" s="23"/>
      <c r="F33" s="23"/>
      <c r="G33" s="23"/>
    </row>
    <row r="34" spans="2:8" ht="22.05" customHeight="1" x14ac:dyDescent="0.3">
      <c r="B34" s="10" t="s">
        <v>81</v>
      </c>
      <c r="C34" s="1"/>
      <c r="D34" s="12">
        <f>SUM(D26:D33)</f>
        <v>140695</v>
      </c>
      <c r="E34" s="1"/>
      <c r="F34" s="1"/>
      <c r="G34" s="1"/>
    </row>
    <row r="36" spans="2:8" ht="25.95" customHeight="1" x14ac:dyDescent="0.3">
      <c r="B36" s="190" t="s">
        <v>82</v>
      </c>
      <c r="C36" s="183"/>
      <c r="D36" s="183"/>
      <c r="E36" s="183"/>
      <c r="F36" s="183"/>
      <c r="G36" s="183"/>
      <c r="H36" s="183"/>
    </row>
    <row r="37" spans="2:8" ht="22.05" customHeight="1" x14ac:dyDescent="0.3">
      <c r="B37" s="1" t="s">
        <v>36</v>
      </c>
      <c r="C37" s="1" t="s">
        <v>3</v>
      </c>
      <c r="D37" s="1" t="s">
        <v>37</v>
      </c>
      <c r="E37" s="1" t="s">
        <v>67</v>
      </c>
      <c r="F37" s="1" t="s">
        <v>68</v>
      </c>
      <c r="G37" s="1" t="s">
        <v>40</v>
      </c>
    </row>
    <row r="38" spans="2:8" ht="19.95" customHeight="1" x14ac:dyDescent="0.3">
      <c r="B38" s="2" t="s">
        <v>83</v>
      </c>
      <c r="C38" s="13"/>
      <c r="D38" s="4">
        <v>5000</v>
      </c>
      <c r="E38" s="2" t="s">
        <v>84</v>
      </c>
      <c r="F38" s="2" t="s">
        <v>85</v>
      </c>
      <c r="G38" s="2" t="s">
        <v>86</v>
      </c>
    </row>
    <row r="39" spans="2:8" ht="19.95" customHeight="1" x14ac:dyDescent="0.3">
      <c r="B39" s="6" t="s">
        <v>87</v>
      </c>
      <c r="C39" s="22"/>
      <c r="D39" s="8">
        <v>15797</v>
      </c>
      <c r="E39" s="6" t="s">
        <v>88</v>
      </c>
      <c r="F39" s="6" t="s">
        <v>89</v>
      </c>
      <c r="G39" s="6" t="s">
        <v>90</v>
      </c>
    </row>
    <row r="40" spans="2:8" ht="19.95" customHeight="1" x14ac:dyDescent="0.3">
      <c r="B40" s="2" t="s">
        <v>91</v>
      </c>
      <c r="C40" s="13"/>
      <c r="D40" s="4">
        <v>5150</v>
      </c>
      <c r="E40" s="2" t="s">
        <v>92</v>
      </c>
      <c r="F40" s="2" t="s">
        <v>93</v>
      </c>
      <c r="G40" s="2" t="s">
        <v>94</v>
      </c>
    </row>
    <row r="41" spans="2:8" ht="19.95" customHeight="1" x14ac:dyDescent="0.3">
      <c r="B41" s="6" t="s">
        <v>95</v>
      </c>
      <c r="C41" s="22"/>
      <c r="D41" s="8">
        <v>3000</v>
      </c>
      <c r="E41" s="6" t="s">
        <v>96</v>
      </c>
      <c r="F41" s="6" t="s">
        <v>97</v>
      </c>
      <c r="G41" s="6" t="s">
        <v>98</v>
      </c>
    </row>
    <row r="42" spans="2:8" ht="19.95" customHeight="1" x14ac:dyDescent="0.3">
      <c r="B42" s="23"/>
      <c r="C42" s="24"/>
      <c r="D42" s="25"/>
      <c r="E42" s="23"/>
      <c r="F42" s="23"/>
      <c r="G42" s="23"/>
    </row>
    <row r="43" spans="2:8" ht="19.95" customHeight="1" x14ac:dyDescent="0.3">
      <c r="B43" s="23"/>
      <c r="C43" s="24"/>
      <c r="D43" s="25"/>
      <c r="E43" s="23"/>
      <c r="F43" s="23"/>
      <c r="G43" s="23"/>
    </row>
    <row r="44" spans="2:8" ht="19.95" customHeight="1" x14ac:dyDescent="0.3">
      <c r="B44" s="23"/>
      <c r="C44" s="24"/>
      <c r="D44" s="25"/>
      <c r="E44" s="23"/>
      <c r="F44" s="23"/>
      <c r="G44" s="23"/>
    </row>
    <row r="45" spans="2:8" ht="19.95" customHeight="1" x14ac:dyDescent="0.3">
      <c r="B45" s="23"/>
      <c r="C45" s="24"/>
      <c r="D45" s="25"/>
      <c r="E45" s="23"/>
      <c r="F45" s="23"/>
      <c r="G45" s="23"/>
    </row>
    <row r="46" spans="2:8" ht="19.95" customHeight="1" x14ac:dyDescent="0.3">
      <c r="B46" s="23"/>
      <c r="C46" s="24"/>
      <c r="D46" s="25"/>
      <c r="E46" s="23"/>
      <c r="F46" s="23"/>
      <c r="G46" s="23"/>
    </row>
    <row r="47" spans="2:8" ht="22.05" customHeight="1" x14ac:dyDescent="0.3">
      <c r="B47" s="10" t="s">
        <v>99</v>
      </c>
      <c r="C47" s="1"/>
      <c r="D47" s="12">
        <f>SUM(D38:D46)</f>
        <v>28947</v>
      </c>
      <c r="E47" s="1"/>
      <c r="F47" s="1"/>
      <c r="G47" s="1"/>
    </row>
    <row r="49" spans="2:8" ht="25.95" customHeight="1" x14ac:dyDescent="0.3">
      <c r="B49" s="190" t="s">
        <v>100</v>
      </c>
      <c r="C49" s="183"/>
      <c r="D49" s="183"/>
      <c r="E49" s="183"/>
      <c r="F49" s="183"/>
      <c r="G49" s="183"/>
      <c r="H49" s="183"/>
    </row>
    <row r="50" spans="2:8" ht="22.05" customHeight="1" x14ac:dyDescent="0.3">
      <c r="B50" s="1" t="s">
        <v>36</v>
      </c>
      <c r="C50" s="1" t="s">
        <v>3</v>
      </c>
      <c r="D50" s="1" t="s">
        <v>37</v>
      </c>
      <c r="E50" s="1" t="s">
        <v>67</v>
      </c>
      <c r="F50" s="1" t="s">
        <v>68</v>
      </c>
      <c r="G50" s="1" t="s">
        <v>40</v>
      </c>
    </row>
    <row r="51" spans="2:8" ht="19.95" customHeight="1" x14ac:dyDescent="0.3">
      <c r="B51" s="2" t="s">
        <v>69</v>
      </c>
      <c r="C51" s="13"/>
      <c r="D51" s="4">
        <v>100000</v>
      </c>
      <c r="E51" s="2" t="s">
        <v>70</v>
      </c>
      <c r="F51" s="2" t="s">
        <v>71</v>
      </c>
      <c r="G51" s="2" t="s">
        <v>72</v>
      </c>
    </row>
    <row r="52" spans="2:8" ht="19.95" customHeight="1" x14ac:dyDescent="0.3">
      <c r="B52" s="23"/>
      <c r="C52" s="24"/>
      <c r="D52" s="25"/>
      <c r="E52" s="23"/>
      <c r="F52" s="23"/>
      <c r="G52" s="23"/>
    </row>
    <row r="53" spans="2:8" ht="19.95" customHeight="1" x14ac:dyDescent="0.3">
      <c r="B53" s="23"/>
      <c r="C53" s="24"/>
      <c r="D53" s="25"/>
      <c r="E53" s="23"/>
      <c r="F53" s="23"/>
      <c r="G53" s="23"/>
    </row>
    <row r="54" spans="2:8" ht="19.95" customHeight="1" x14ac:dyDescent="0.3">
      <c r="B54" s="23"/>
      <c r="C54" s="24"/>
      <c r="D54" s="25"/>
      <c r="E54" s="23"/>
      <c r="F54" s="23"/>
      <c r="G54" s="23"/>
    </row>
    <row r="55" spans="2:8" ht="19.95" customHeight="1" x14ac:dyDescent="0.3">
      <c r="B55" s="23"/>
      <c r="C55" s="24"/>
      <c r="D55" s="25"/>
      <c r="E55" s="23"/>
      <c r="F55" s="23"/>
      <c r="G55" s="23"/>
    </row>
    <row r="56" spans="2:8" ht="19.95" customHeight="1" x14ac:dyDescent="0.3">
      <c r="B56" s="23"/>
      <c r="C56" s="24"/>
      <c r="D56" s="25"/>
      <c r="E56" s="23"/>
      <c r="F56" s="23"/>
      <c r="G56" s="23"/>
    </row>
    <row r="57" spans="2:8" ht="19.95" customHeight="1" x14ac:dyDescent="0.3">
      <c r="B57" s="23"/>
      <c r="C57" s="24"/>
      <c r="D57" s="25"/>
      <c r="E57" s="23"/>
      <c r="F57" s="23"/>
      <c r="G57" s="23"/>
    </row>
    <row r="58" spans="2:8" ht="19.95" customHeight="1" x14ac:dyDescent="0.3">
      <c r="B58" s="23"/>
      <c r="C58" s="24"/>
      <c r="D58" s="25"/>
      <c r="E58" s="23"/>
      <c r="F58" s="23"/>
      <c r="G58" s="23"/>
    </row>
    <row r="59" spans="2:8" ht="22.05" customHeight="1" x14ac:dyDescent="0.3">
      <c r="B59" s="10" t="s">
        <v>101</v>
      </c>
      <c r="C59" s="1"/>
      <c r="D59" s="12">
        <f>SUM(D51:D58)</f>
        <v>100000</v>
      </c>
      <c r="E59" s="1"/>
      <c r="F59" s="1"/>
      <c r="G59" s="1"/>
    </row>
    <row r="61" spans="2:8" ht="25.95" customHeight="1" x14ac:dyDescent="0.3">
      <c r="B61" s="190" t="s">
        <v>102</v>
      </c>
      <c r="C61" s="183"/>
      <c r="D61" s="183"/>
      <c r="E61" s="183"/>
      <c r="F61" s="183"/>
      <c r="G61" s="183"/>
      <c r="H61" s="183"/>
    </row>
    <row r="62" spans="2:8" ht="22.05" customHeight="1" x14ac:dyDescent="0.3">
      <c r="B62" s="1" t="s">
        <v>103</v>
      </c>
      <c r="C62" s="1" t="s">
        <v>37</v>
      </c>
      <c r="D62" s="1" t="s">
        <v>104</v>
      </c>
      <c r="E62" s="1" t="s">
        <v>40</v>
      </c>
      <c r="F62" s="1"/>
      <c r="G62" s="1"/>
    </row>
    <row r="63" spans="2:8" ht="19.95" customHeight="1" x14ac:dyDescent="0.3">
      <c r="B63" s="26" t="s">
        <v>105</v>
      </c>
      <c r="C63" s="27">
        <f>SUM(D6:D8)</f>
        <v>600000</v>
      </c>
      <c r="D63" s="28">
        <f t="shared" ref="D63:D73" si="0">C63/$C$63</f>
        <v>1</v>
      </c>
      <c r="E63" s="26" t="s">
        <v>106</v>
      </c>
    </row>
    <row r="64" spans="2:8" ht="19.95" customHeight="1" x14ac:dyDescent="0.3">
      <c r="B64" s="29" t="s">
        <v>107</v>
      </c>
      <c r="C64" s="30">
        <f>D13</f>
        <v>390000</v>
      </c>
      <c r="D64" s="31">
        <f t="shared" si="0"/>
        <v>0.65</v>
      </c>
      <c r="E64" s="29" t="s">
        <v>108</v>
      </c>
    </row>
    <row r="65" spans="2:5" ht="19.95" customHeight="1" x14ac:dyDescent="0.3">
      <c r="B65" s="26" t="s">
        <v>109</v>
      </c>
      <c r="C65" s="27">
        <f>D14</f>
        <v>5000</v>
      </c>
      <c r="D65" s="28">
        <f t="shared" si="0"/>
        <v>8.3333333333333332E-3</v>
      </c>
      <c r="E65" s="26" t="s">
        <v>110</v>
      </c>
    </row>
    <row r="66" spans="2:5" ht="19.95" customHeight="1" x14ac:dyDescent="0.3">
      <c r="B66" s="29" t="s">
        <v>111</v>
      </c>
      <c r="C66" s="30">
        <f>D15</f>
        <v>385000</v>
      </c>
      <c r="D66" s="31">
        <f t="shared" si="0"/>
        <v>0.64166666666666672</v>
      </c>
      <c r="E66" s="29" t="s">
        <v>112</v>
      </c>
    </row>
    <row r="67" spans="2:5" ht="19.95" customHeight="1" x14ac:dyDescent="0.3">
      <c r="B67" s="26" t="s">
        <v>113</v>
      </c>
      <c r="C67" s="27">
        <f>D27+D28</f>
        <v>15695</v>
      </c>
      <c r="D67" s="28">
        <f t="shared" si="0"/>
        <v>2.6158333333333332E-2</v>
      </c>
      <c r="E67" s="26" t="s">
        <v>114</v>
      </c>
    </row>
    <row r="68" spans="2:5" ht="19.95" customHeight="1" x14ac:dyDescent="0.3">
      <c r="B68" s="29" t="s">
        <v>115</v>
      </c>
      <c r="C68" s="30">
        <f>D26</f>
        <v>125000</v>
      </c>
      <c r="D68" s="31">
        <f t="shared" si="0"/>
        <v>0.20833333333333334</v>
      </c>
      <c r="E68" s="29" t="s">
        <v>116</v>
      </c>
    </row>
    <row r="69" spans="2:5" ht="19.95" customHeight="1" x14ac:dyDescent="0.3">
      <c r="B69" s="26" t="s">
        <v>117</v>
      </c>
      <c r="C69" s="27">
        <f>D47</f>
        <v>28947</v>
      </c>
      <c r="D69" s="28">
        <f t="shared" si="0"/>
        <v>4.8245000000000003E-2</v>
      </c>
      <c r="E69" s="26" t="s">
        <v>118</v>
      </c>
    </row>
    <row r="70" spans="2:5" ht="19.95" customHeight="1" x14ac:dyDescent="0.3">
      <c r="B70" s="29" t="s">
        <v>119</v>
      </c>
      <c r="C70" s="30">
        <f>D51</f>
        <v>100000</v>
      </c>
      <c r="D70" s="31">
        <f t="shared" si="0"/>
        <v>0.16666666666666666</v>
      </c>
      <c r="E70" s="29" t="s">
        <v>116</v>
      </c>
    </row>
    <row r="71" spans="2:5" ht="19.95" customHeight="1" x14ac:dyDescent="0.3">
      <c r="B71" s="26" t="s">
        <v>120</v>
      </c>
      <c r="C71" s="27">
        <f>SUM(D52:D58)</f>
        <v>0</v>
      </c>
      <c r="D71" s="28">
        <f t="shared" si="0"/>
        <v>0</v>
      </c>
      <c r="E71" s="26" t="s">
        <v>121</v>
      </c>
    </row>
    <row r="72" spans="2:5" ht="19.95" customHeight="1" x14ac:dyDescent="0.3">
      <c r="B72" s="10" t="s">
        <v>122</v>
      </c>
      <c r="C72" s="12">
        <f>C64+C67+C69+C71</f>
        <v>434642</v>
      </c>
      <c r="D72" s="11">
        <f t="shared" si="0"/>
        <v>0.72440333333333329</v>
      </c>
      <c r="E72" s="10" t="s">
        <v>123</v>
      </c>
    </row>
    <row r="73" spans="2:5" ht="19.95" customHeight="1" x14ac:dyDescent="0.3">
      <c r="B73" s="10" t="s">
        <v>124</v>
      </c>
      <c r="C73" s="12">
        <f>C63-C72</f>
        <v>165358</v>
      </c>
      <c r="D73" s="11">
        <f t="shared" si="0"/>
        <v>0.27559666666666666</v>
      </c>
      <c r="E73" s="10" t="s">
        <v>125</v>
      </c>
    </row>
  </sheetData>
  <mergeCells count="9">
    <mergeCell ref="B24:H24"/>
    <mergeCell ref="B36:H36"/>
    <mergeCell ref="B49:H49"/>
    <mergeCell ref="B61:H61"/>
    <mergeCell ref="B1:H1"/>
    <mergeCell ref="B2:H2"/>
    <mergeCell ref="B4:H4"/>
    <mergeCell ref="B11:H11"/>
    <mergeCell ref="B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020"/>
  </sheetPr>
  <dimension ref="A1:N64"/>
  <sheetViews>
    <sheetView showGridLines="0" topLeftCell="A56" zoomScaleNormal="100" workbookViewId="0"/>
  </sheetViews>
  <sheetFormatPr defaultColWidth="8.6640625" defaultRowHeight="14.4" customHeight="1" x14ac:dyDescent="0.3"/>
  <cols>
    <col min="1" max="1" width="2" customWidth="1"/>
    <col min="2" max="2" width="18" customWidth="1"/>
    <col min="3" max="7" width="14" customWidth="1"/>
    <col min="8" max="8" width="16" customWidth="1"/>
    <col min="9" max="14" width="14" customWidth="1"/>
  </cols>
  <sheetData>
    <row r="1" spans="1:14" ht="4.5" customHeigh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37.5" customHeight="1" x14ac:dyDescent="0.3">
      <c r="A2" s="182" t="s">
        <v>126</v>
      </c>
      <c r="B2" s="183"/>
      <c r="C2" s="183"/>
      <c r="D2" s="183"/>
      <c r="E2" s="183"/>
      <c r="F2" s="183"/>
      <c r="G2" s="183"/>
      <c r="H2" s="184" t="s">
        <v>127</v>
      </c>
      <c r="I2" s="183"/>
      <c r="J2" s="183"/>
      <c r="K2" s="183"/>
      <c r="L2" s="183"/>
      <c r="M2" s="183"/>
      <c r="N2" s="183"/>
    </row>
    <row r="3" spans="1:14" ht="3.75" customHeight="1" x14ac:dyDescent="0.3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</row>
    <row r="4" spans="1:14" ht="7.5" customHeight="1" x14ac:dyDescent="0.3"/>
    <row r="5" spans="1:14" ht="36" customHeight="1" x14ac:dyDescent="0.3">
      <c r="B5" s="186" t="s">
        <v>128</v>
      </c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</row>
    <row r="6" spans="1:14" ht="9.75" customHeight="1" x14ac:dyDescent="0.3"/>
    <row r="7" spans="1:14" ht="19.5" customHeight="1" x14ac:dyDescent="0.3">
      <c r="B7" s="193" t="s">
        <v>129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</row>
    <row r="8" spans="1:14" ht="6" customHeight="1" x14ac:dyDescent="0.3"/>
    <row r="9" spans="1:14" ht="18" customHeight="1" x14ac:dyDescent="0.3">
      <c r="B9" s="194" t="s">
        <v>130</v>
      </c>
      <c r="C9" s="195"/>
      <c r="D9" s="194" t="s">
        <v>12</v>
      </c>
      <c r="E9" s="195"/>
      <c r="F9" s="194" t="s">
        <v>16</v>
      </c>
      <c r="G9" s="195"/>
      <c r="H9" s="194" t="s">
        <v>131</v>
      </c>
      <c r="I9" s="195"/>
      <c r="J9" s="194" t="s">
        <v>132</v>
      </c>
      <c r="K9" s="195"/>
      <c r="L9" s="194" t="s">
        <v>133</v>
      </c>
      <c r="M9" s="195"/>
    </row>
    <row r="10" spans="1:14" ht="19.5" customHeight="1" x14ac:dyDescent="0.3">
      <c r="B10" s="196">
        <f>'📅 Daily Log'!E5</f>
        <v>0</v>
      </c>
      <c r="C10" s="197"/>
      <c r="D10" s="199">
        <f>'📅 Daily Log'!N5</f>
        <v>0</v>
      </c>
      <c r="E10" s="197"/>
      <c r="F10" s="200">
        <f>'📅 Daily Log'!O5</f>
        <v>0</v>
      </c>
      <c r="G10" s="197"/>
      <c r="H10" s="201" t="str">
        <f>'💸 Expenses'!H5</f>
        <v>TODAY TOTAL</v>
      </c>
      <c r="I10" s="197"/>
      <c r="J10" s="196">
        <f ca="1">'💸 Expenses'!H6</f>
        <v>0</v>
      </c>
      <c r="K10" s="197"/>
      <c r="L10" s="202">
        <f>'📅 Daily Log'!G5</f>
        <v>0</v>
      </c>
      <c r="M10" s="197"/>
    </row>
    <row r="11" spans="1:14" ht="19.5" customHeight="1" x14ac:dyDescent="0.3">
      <c r="B11" s="198"/>
      <c r="C11" s="183"/>
      <c r="D11" s="198"/>
      <c r="E11" s="183"/>
      <c r="F11" s="198"/>
      <c r="G11" s="183"/>
      <c r="H11" s="198"/>
      <c r="I11" s="183"/>
      <c r="J11" s="198"/>
      <c r="K11" s="183"/>
      <c r="L11" s="198"/>
      <c r="M11" s="183"/>
    </row>
    <row r="12" spans="1:14" ht="19.5" customHeight="1" x14ac:dyDescent="0.3">
      <c r="B12" s="198"/>
      <c r="C12" s="183"/>
      <c r="D12" s="198"/>
      <c r="E12" s="183"/>
      <c r="F12" s="198"/>
      <c r="G12" s="183"/>
      <c r="H12" s="198"/>
      <c r="I12" s="183"/>
      <c r="J12" s="198"/>
      <c r="K12" s="183"/>
      <c r="L12" s="198"/>
      <c r="M12" s="183"/>
    </row>
    <row r="13" spans="1:14" ht="9.75" customHeight="1" x14ac:dyDescent="0.3"/>
    <row r="14" spans="1:14" ht="19.5" customHeight="1" x14ac:dyDescent="0.3">
      <c r="B14" s="193" t="s">
        <v>134</v>
      </c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</row>
    <row r="15" spans="1:14" ht="6" customHeight="1" x14ac:dyDescent="0.3"/>
    <row r="16" spans="1:14" ht="18" customHeight="1" x14ac:dyDescent="0.3">
      <c r="B16" s="194" t="s">
        <v>135</v>
      </c>
      <c r="C16" s="195"/>
      <c r="D16" s="194" t="s">
        <v>136</v>
      </c>
      <c r="E16" s="195"/>
      <c r="F16" s="194" t="s">
        <v>137</v>
      </c>
      <c r="G16" s="195"/>
      <c r="H16" s="194" t="s">
        <v>138</v>
      </c>
      <c r="I16" s="195"/>
      <c r="J16" s="194" t="s">
        <v>13</v>
      </c>
      <c r="K16" s="195"/>
      <c r="L16" s="194" t="s">
        <v>139</v>
      </c>
      <c r="M16" s="195"/>
    </row>
    <row r="17" spans="2:13" ht="19.5" customHeight="1" x14ac:dyDescent="0.3">
      <c r="B17" s="203">
        <f>'📅 Daily Log'!F5</f>
        <v>0</v>
      </c>
      <c r="C17" s="197"/>
      <c r="D17" s="203">
        <f>'📅 Daily Log'!P5</f>
        <v>0</v>
      </c>
      <c r="E17" s="197"/>
      <c r="F17" s="204">
        <f>IFERROR(('📅 Daily Log'!E5-'💸 Expenses'!H5)/'📅 Daily Log'!E5,0)</f>
        <v>0</v>
      </c>
      <c r="G17" s="197"/>
      <c r="H17" s="205" t="str">
        <f>'📦 Inventory'!H5</f>
        <v>ALERT COUNT</v>
      </c>
      <c r="I17" s="197"/>
      <c r="J17" s="201" t="str">
        <f>'💸 Expenses'!I5</f>
        <v>WEEK TOTAL</v>
      </c>
      <c r="K17" s="197"/>
      <c r="L17" s="206" t="str">
        <f>'🚚 Suppliers'!H5</f>
        <v>PENDING COUNT</v>
      </c>
      <c r="M17" s="197"/>
    </row>
    <row r="18" spans="2:13" ht="19.5" customHeight="1" x14ac:dyDescent="0.3">
      <c r="B18" s="198"/>
      <c r="C18" s="183"/>
      <c r="D18" s="198"/>
      <c r="E18" s="183"/>
      <c r="F18" s="198"/>
      <c r="G18" s="183"/>
      <c r="H18" s="198"/>
      <c r="I18" s="183"/>
      <c r="J18" s="198"/>
      <c r="K18" s="183"/>
      <c r="L18" s="198"/>
      <c r="M18" s="183"/>
    </row>
    <row r="19" spans="2:13" ht="19.5" customHeight="1" x14ac:dyDescent="0.3">
      <c r="B19" s="198"/>
      <c r="C19" s="183"/>
      <c r="D19" s="198"/>
      <c r="E19" s="183"/>
      <c r="F19" s="198"/>
      <c r="G19" s="183"/>
      <c r="H19" s="198"/>
      <c r="I19" s="183"/>
      <c r="J19" s="198"/>
      <c r="K19" s="183"/>
      <c r="L19" s="198"/>
      <c r="M19" s="183"/>
    </row>
    <row r="20" spans="2:13" ht="9.75" customHeight="1" x14ac:dyDescent="0.3"/>
    <row r="21" spans="2:13" ht="19.5" customHeight="1" x14ac:dyDescent="0.3">
      <c r="B21" s="193" t="s">
        <v>140</v>
      </c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</row>
    <row r="22" spans="2:13" ht="27.75" customHeight="1" x14ac:dyDescent="0.3">
      <c r="B22" s="33" t="s">
        <v>3</v>
      </c>
      <c r="C22" s="33" t="s">
        <v>4</v>
      </c>
      <c r="D22" s="33" t="s">
        <v>141</v>
      </c>
      <c r="E22" s="33" t="s">
        <v>142</v>
      </c>
      <c r="F22" s="33" t="s">
        <v>8</v>
      </c>
      <c r="G22" s="33" t="s">
        <v>25</v>
      </c>
      <c r="H22" s="33" t="s">
        <v>143</v>
      </c>
      <c r="I22" s="33" t="s">
        <v>11</v>
      </c>
      <c r="J22" s="33" t="s">
        <v>40</v>
      </c>
      <c r="K22" s="207" t="s">
        <v>144</v>
      </c>
      <c r="L22" s="195"/>
      <c r="M22" s="208"/>
    </row>
    <row r="23" spans="2:13" ht="16.5" customHeight="1" x14ac:dyDescent="0.3">
      <c r="B23" s="34">
        <f>'📅 Daily Log'!B8</f>
        <v>0</v>
      </c>
      <c r="C23" s="35" t="str">
        <f>IFERROR(TEXT('📅 Daily Log'!B8,"DDD"),"")</f>
        <v>Sat</v>
      </c>
      <c r="D23" s="36">
        <f>'📅 Daily Log'!E8</f>
        <v>0</v>
      </c>
      <c r="E23" s="37">
        <f>'📅 Daily Log'!F8</f>
        <v>0</v>
      </c>
      <c r="F23" s="38">
        <f>'📅 Daily Log'!G8</f>
        <v>0</v>
      </c>
      <c r="G23" s="39">
        <f>'📅 Daily Log'!H8</f>
        <v>0</v>
      </c>
      <c r="H23" s="36">
        <f>'📅 Daily Log'!I8</f>
        <v>0</v>
      </c>
      <c r="I23" s="40">
        <f>'📅 Daily Log'!J8</f>
        <v>0</v>
      </c>
      <c r="J23" s="41">
        <f>'📅 Daily Log'!K8</f>
        <v>0</v>
      </c>
      <c r="K23" s="209" t="s">
        <v>49</v>
      </c>
      <c r="L23" s="195"/>
      <c r="M23" s="208"/>
    </row>
    <row r="24" spans="2:13" ht="16.5" customHeight="1" x14ac:dyDescent="0.3">
      <c r="B24" s="43">
        <f>'📅 Daily Log'!B9</f>
        <v>0</v>
      </c>
      <c r="C24" s="44" t="str">
        <f>IFERROR(TEXT('📅 Daily Log'!B9,"DDD"),"")</f>
        <v>Sat</v>
      </c>
      <c r="D24" s="45">
        <f>'📅 Daily Log'!E9</f>
        <v>0</v>
      </c>
      <c r="E24" s="46">
        <f>'📅 Daily Log'!F9</f>
        <v>0</v>
      </c>
      <c r="F24" s="47">
        <f>'📅 Daily Log'!G9</f>
        <v>0</v>
      </c>
      <c r="G24" s="48">
        <f>'📅 Daily Log'!H9</f>
        <v>0</v>
      </c>
      <c r="H24" s="45">
        <f>'📅 Daily Log'!I9</f>
        <v>0</v>
      </c>
      <c r="I24" s="49">
        <f>'📅 Daily Log'!J9</f>
        <v>0</v>
      </c>
      <c r="J24" s="50">
        <f>'📅 Daily Log'!K9</f>
        <v>0</v>
      </c>
      <c r="K24" s="210" t="str">
        <f t="shared" ref="K24:K32" si="0">IFERROR(IF(D24&gt;D23,"▲ +"&amp;TEXT(D24-D23,"$#,##0"),IF(D24&lt;D23,"▼ "&amp;TEXT(D24-D23,"$#,##0"),"— same")),"")</f>
        <v>— same</v>
      </c>
      <c r="L24" s="195"/>
      <c r="M24" s="208"/>
    </row>
    <row r="25" spans="2:13" ht="16.5" customHeight="1" x14ac:dyDescent="0.3">
      <c r="B25" s="34">
        <f>'📅 Daily Log'!B10</f>
        <v>0</v>
      </c>
      <c r="C25" s="35" t="str">
        <f>IFERROR(TEXT('📅 Daily Log'!B10,"DDD"),"")</f>
        <v>Sat</v>
      </c>
      <c r="D25" s="36">
        <f>'📅 Daily Log'!E10</f>
        <v>0</v>
      </c>
      <c r="E25" s="37">
        <f>'📅 Daily Log'!F10</f>
        <v>0</v>
      </c>
      <c r="F25" s="38">
        <f>'📅 Daily Log'!G10</f>
        <v>0</v>
      </c>
      <c r="G25" s="39">
        <f>'📅 Daily Log'!H10</f>
        <v>0</v>
      </c>
      <c r="H25" s="36">
        <f>'📅 Daily Log'!I10</f>
        <v>0</v>
      </c>
      <c r="I25" s="40">
        <f>'📅 Daily Log'!J10</f>
        <v>0</v>
      </c>
      <c r="J25" s="41">
        <f>'📅 Daily Log'!K10</f>
        <v>0</v>
      </c>
      <c r="K25" s="209" t="str">
        <f t="shared" si="0"/>
        <v>— same</v>
      </c>
      <c r="L25" s="195"/>
      <c r="M25" s="208"/>
    </row>
    <row r="26" spans="2:13" ht="16.5" customHeight="1" x14ac:dyDescent="0.3">
      <c r="B26" s="43">
        <f>'📅 Daily Log'!B11</f>
        <v>0</v>
      </c>
      <c r="C26" s="44" t="str">
        <f>IFERROR(TEXT('📅 Daily Log'!B11,"DDD"),"")</f>
        <v>Sat</v>
      </c>
      <c r="D26" s="45">
        <f>'📅 Daily Log'!E11</f>
        <v>0</v>
      </c>
      <c r="E26" s="46">
        <f>'📅 Daily Log'!F11</f>
        <v>0</v>
      </c>
      <c r="F26" s="47">
        <f>'📅 Daily Log'!G11</f>
        <v>0</v>
      </c>
      <c r="G26" s="48">
        <f>'📅 Daily Log'!H11</f>
        <v>0</v>
      </c>
      <c r="H26" s="45">
        <f>'📅 Daily Log'!I11</f>
        <v>0</v>
      </c>
      <c r="I26" s="49">
        <f>'📅 Daily Log'!J11</f>
        <v>0</v>
      </c>
      <c r="J26" s="50">
        <f>'📅 Daily Log'!K11</f>
        <v>0</v>
      </c>
      <c r="K26" s="210" t="str">
        <f t="shared" si="0"/>
        <v>— same</v>
      </c>
      <c r="L26" s="195"/>
      <c r="M26" s="208"/>
    </row>
    <row r="27" spans="2:13" ht="16.5" customHeight="1" x14ac:dyDescent="0.3">
      <c r="B27" s="34">
        <f>'📅 Daily Log'!B12</f>
        <v>0</v>
      </c>
      <c r="C27" s="35" t="str">
        <f>IFERROR(TEXT('📅 Daily Log'!B12,"DDD"),"")</f>
        <v>Sat</v>
      </c>
      <c r="D27" s="36">
        <f>'📅 Daily Log'!E12</f>
        <v>0</v>
      </c>
      <c r="E27" s="37">
        <f>'📅 Daily Log'!F12</f>
        <v>0</v>
      </c>
      <c r="F27" s="38">
        <f>'📅 Daily Log'!G12</f>
        <v>0</v>
      </c>
      <c r="G27" s="39">
        <f>'📅 Daily Log'!H12</f>
        <v>0</v>
      </c>
      <c r="H27" s="36">
        <f>'📅 Daily Log'!I12</f>
        <v>0</v>
      </c>
      <c r="I27" s="40">
        <f>'📅 Daily Log'!J12</f>
        <v>0</v>
      </c>
      <c r="J27" s="41">
        <f>'📅 Daily Log'!K12</f>
        <v>0</v>
      </c>
      <c r="K27" s="209" t="str">
        <f t="shared" si="0"/>
        <v>— same</v>
      </c>
      <c r="L27" s="195"/>
      <c r="M27" s="208"/>
    </row>
    <row r="28" spans="2:13" ht="16.5" customHeight="1" x14ac:dyDescent="0.3">
      <c r="B28" s="43">
        <f>'📅 Daily Log'!B13</f>
        <v>0</v>
      </c>
      <c r="C28" s="44" t="str">
        <f>IFERROR(TEXT('📅 Daily Log'!B13,"DDD"),"")</f>
        <v>Sat</v>
      </c>
      <c r="D28" s="45">
        <f>'📅 Daily Log'!E13</f>
        <v>0</v>
      </c>
      <c r="E28" s="46">
        <f>'📅 Daily Log'!F13</f>
        <v>0</v>
      </c>
      <c r="F28" s="47">
        <f>'📅 Daily Log'!G13</f>
        <v>0</v>
      </c>
      <c r="G28" s="48">
        <f>'📅 Daily Log'!H13</f>
        <v>0</v>
      </c>
      <c r="H28" s="45">
        <f>'📅 Daily Log'!I13</f>
        <v>0</v>
      </c>
      <c r="I28" s="49">
        <f>'📅 Daily Log'!J13</f>
        <v>0</v>
      </c>
      <c r="J28" s="50">
        <f>'📅 Daily Log'!K13</f>
        <v>0</v>
      </c>
      <c r="K28" s="210" t="str">
        <f t="shared" si="0"/>
        <v>— same</v>
      </c>
      <c r="L28" s="195"/>
      <c r="M28" s="208"/>
    </row>
    <row r="29" spans="2:13" ht="16.5" customHeight="1" x14ac:dyDescent="0.3">
      <c r="B29" s="34">
        <f>'📅 Daily Log'!B14</f>
        <v>0</v>
      </c>
      <c r="C29" s="35" t="str">
        <f>IFERROR(TEXT('📅 Daily Log'!B14,"DDD"),"")</f>
        <v>Sat</v>
      </c>
      <c r="D29" s="36">
        <f>'📅 Daily Log'!E14</f>
        <v>0</v>
      </c>
      <c r="E29" s="37">
        <f>'📅 Daily Log'!F14</f>
        <v>0</v>
      </c>
      <c r="F29" s="38">
        <f>'📅 Daily Log'!G14</f>
        <v>0</v>
      </c>
      <c r="G29" s="39">
        <f>'📅 Daily Log'!H14</f>
        <v>0</v>
      </c>
      <c r="H29" s="36">
        <f>'📅 Daily Log'!I14</f>
        <v>0</v>
      </c>
      <c r="I29" s="40">
        <f>'📅 Daily Log'!J14</f>
        <v>0</v>
      </c>
      <c r="J29" s="41">
        <f>'📅 Daily Log'!K14</f>
        <v>0</v>
      </c>
      <c r="K29" s="209" t="str">
        <f t="shared" si="0"/>
        <v>— same</v>
      </c>
      <c r="L29" s="195"/>
      <c r="M29" s="208"/>
    </row>
    <row r="30" spans="2:13" ht="16.5" customHeight="1" x14ac:dyDescent="0.3">
      <c r="B30" s="43">
        <f>'📅 Daily Log'!B15</f>
        <v>0</v>
      </c>
      <c r="C30" s="44" t="str">
        <f>IFERROR(TEXT('📅 Daily Log'!B15,"DDD"),"")</f>
        <v>Sat</v>
      </c>
      <c r="D30" s="45">
        <f>'📅 Daily Log'!E15</f>
        <v>0</v>
      </c>
      <c r="E30" s="46">
        <f>'📅 Daily Log'!F15</f>
        <v>0</v>
      </c>
      <c r="F30" s="47">
        <f>'📅 Daily Log'!G15</f>
        <v>0</v>
      </c>
      <c r="G30" s="48">
        <f>'📅 Daily Log'!H15</f>
        <v>0</v>
      </c>
      <c r="H30" s="45">
        <f>'📅 Daily Log'!I15</f>
        <v>0</v>
      </c>
      <c r="I30" s="49">
        <f>'📅 Daily Log'!J15</f>
        <v>0</v>
      </c>
      <c r="J30" s="50">
        <f>'📅 Daily Log'!K15</f>
        <v>0</v>
      </c>
      <c r="K30" s="210" t="str">
        <f t="shared" si="0"/>
        <v>— same</v>
      </c>
      <c r="L30" s="195"/>
      <c r="M30" s="208"/>
    </row>
    <row r="31" spans="2:13" ht="16.5" customHeight="1" x14ac:dyDescent="0.3">
      <c r="B31" s="34">
        <f>'📅 Daily Log'!B16</f>
        <v>0</v>
      </c>
      <c r="C31" s="35" t="str">
        <f>IFERROR(TEXT('📅 Daily Log'!B16,"DDD"),"")</f>
        <v>Sat</v>
      </c>
      <c r="D31" s="36">
        <f>'📅 Daily Log'!E16</f>
        <v>0</v>
      </c>
      <c r="E31" s="37">
        <f>'📅 Daily Log'!F16</f>
        <v>0</v>
      </c>
      <c r="F31" s="38">
        <f>'📅 Daily Log'!G16</f>
        <v>0</v>
      </c>
      <c r="G31" s="39">
        <f>'📅 Daily Log'!H16</f>
        <v>0</v>
      </c>
      <c r="H31" s="36">
        <f>'📅 Daily Log'!I16</f>
        <v>0</v>
      </c>
      <c r="I31" s="40">
        <f>'📅 Daily Log'!J16</f>
        <v>0</v>
      </c>
      <c r="J31" s="41">
        <f>'📅 Daily Log'!K16</f>
        <v>0</v>
      </c>
      <c r="K31" s="209" t="str">
        <f t="shared" si="0"/>
        <v>— same</v>
      </c>
      <c r="L31" s="195"/>
      <c r="M31" s="208"/>
    </row>
    <row r="32" spans="2:13" ht="16.5" customHeight="1" x14ac:dyDescent="0.3">
      <c r="B32" s="43">
        <f>'📅 Daily Log'!B17</f>
        <v>0</v>
      </c>
      <c r="C32" s="44" t="str">
        <f>IFERROR(TEXT('📅 Daily Log'!B17,"DDD"),"")</f>
        <v>Sat</v>
      </c>
      <c r="D32" s="45">
        <f>'📅 Daily Log'!E17</f>
        <v>0</v>
      </c>
      <c r="E32" s="46">
        <f>'📅 Daily Log'!F17</f>
        <v>0</v>
      </c>
      <c r="F32" s="47">
        <f>'📅 Daily Log'!G17</f>
        <v>0</v>
      </c>
      <c r="G32" s="48">
        <f>'📅 Daily Log'!H17</f>
        <v>0</v>
      </c>
      <c r="H32" s="45">
        <f>'📅 Daily Log'!I17</f>
        <v>0</v>
      </c>
      <c r="I32" s="49">
        <f>'📅 Daily Log'!J17</f>
        <v>0</v>
      </c>
      <c r="J32" s="50">
        <f>'📅 Daily Log'!K17</f>
        <v>0</v>
      </c>
      <c r="K32" s="210" t="str">
        <f t="shared" si="0"/>
        <v>— same</v>
      </c>
      <c r="L32" s="195"/>
      <c r="M32" s="208"/>
    </row>
    <row r="33" spans="2:13" ht="9.75" customHeight="1" x14ac:dyDescent="0.3"/>
    <row r="34" spans="2:13" ht="19.5" customHeight="1" x14ac:dyDescent="0.3">
      <c r="B34" s="193" t="s">
        <v>145</v>
      </c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</row>
    <row r="35" spans="2:13" ht="27.75" customHeight="1" x14ac:dyDescent="0.3">
      <c r="B35" s="211" t="s">
        <v>146</v>
      </c>
      <c r="C35" s="195"/>
      <c r="D35" s="208"/>
      <c r="E35" s="33"/>
      <c r="F35" s="211" t="s">
        <v>147</v>
      </c>
      <c r="G35" s="208"/>
      <c r="H35" s="211" t="s">
        <v>39</v>
      </c>
      <c r="I35" s="208"/>
      <c r="J35" s="211" t="s">
        <v>148</v>
      </c>
      <c r="K35" s="195"/>
      <c r="L35" s="195"/>
      <c r="M35" s="208"/>
    </row>
    <row r="36" spans="2:13" ht="16.5" customHeight="1" x14ac:dyDescent="0.3">
      <c r="B36" s="212" t="str">
        <f>'📦 Inventory'!B9</f>
        <v>Ingredient</v>
      </c>
      <c r="C36" s="195"/>
      <c r="D36" s="195"/>
      <c r="E36" s="213" t="str">
        <f>'📦 Inventory'!E9</f>
        <v>Current Stock</v>
      </c>
      <c r="F36" s="195"/>
      <c r="G36" s="214" t="str">
        <f>'📦 Inventory'!F9</f>
        <v>Min Level</v>
      </c>
      <c r="H36" s="195"/>
      <c r="I36" s="215" t="str">
        <f>'📦 Inventory'!J9</f>
        <v>Status</v>
      </c>
      <c r="J36" s="195"/>
      <c r="K36" s="215" t="str">
        <f>IF('📦 Inventory'!E9=0,"🚫 Order immediately",IF('📦 Inventory'!E9&lt;='📦 Inventory'!F9,"⚠️ Reorder soon","✅ OK"))</f>
        <v>⚠️ Reorder soon</v>
      </c>
      <c r="L36" s="195"/>
      <c r="M36" s="195"/>
    </row>
    <row r="37" spans="2:13" ht="16.5" customHeight="1" x14ac:dyDescent="0.3">
      <c r="B37" s="216" t="str">
        <f>'📦 Inventory'!B10</f>
        <v>Tortillas Blanco</v>
      </c>
      <c r="C37" s="195"/>
      <c r="D37" s="195"/>
      <c r="E37" s="217">
        <f>'📦 Inventory'!E10</f>
        <v>200</v>
      </c>
      <c r="F37" s="195"/>
      <c r="G37" s="218">
        <f>'📦 Inventory'!F10</f>
        <v>100</v>
      </c>
      <c r="H37" s="195"/>
      <c r="I37" s="219" t="str">
        <f>'📦 Inventory'!J10</f>
        <v>✅ OK</v>
      </c>
      <c r="J37" s="195"/>
      <c r="K37" s="219" t="str">
        <f>IF('📦 Inventory'!E10=0,"🚫 Order immediately",IF('📦 Inventory'!E10&lt;='📦 Inventory'!F10,"⚠️ Reorder soon","✅ OK"))</f>
        <v>✅ OK</v>
      </c>
      <c r="L37" s="195"/>
      <c r="M37" s="195"/>
    </row>
    <row r="38" spans="2:13" ht="16.5" customHeight="1" x14ac:dyDescent="0.3">
      <c r="B38" s="212" t="str">
        <f>'📦 Inventory'!B11</f>
        <v>Tortillas de Trigo</v>
      </c>
      <c r="C38" s="195"/>
      <c r="D38" s="195"/>
      <c r="E38" s="213">
        <f>'📦 Inventory'!E11</f>
        <v>100</v>
      </c>
      <c r="F38" s="195"/>
      <c r="G38" s="214">
        <f>'📦 Inventory'!F11</f>
        <v>50</v>
      </c>
      <c r="H38" s="195"/>
      <c r="I38" s="215" t="str">
        <f>'📦 Inventory'!J11</f>
        <v>✅ OK</v>
      </c>
      <c r="J38" s="195"/>
      <c r="K38" s="215" t="str">
        <f>IF('📦 Inventory'!E11=0,"🚫 Order immediately",IF('📦 Inventory'!E11&lt;='📦 Inventory'!F11,"⚠️ Reorder soon","✅ OK"))</f>
        <v>✅ OK</v>
      </c>
      <c r="L38" s="195"/>
      <c r="M38" s="195"/>
    </row>
    <row r="39" spans="2:13" ht="16.5" customHeight="1" x14ac:dyDescent="0.3">
      <c r="B39" s="216" t="str">
        <f>'📦 Inventory'!B12</f>
        <v>Pan Artesanal Masa Madre</v>
      </c>
      <c r="C39" s="195"/>
      <c r="D39" s="195"/>
      <c r="E39" s="217">
        <f>'📦 Inventory'!E12</f>
        <v>30</v>
      </c>
      <c r="F39" s="195"/>
      <c r="G39" s="218">
        <f>'📦 Inventory'!F12</f>
        <v>15</v>
      </c>
      <c r="H39" s="195"/>
      <c r="I39" s="219" t="str">
        <f>'📦 Inventory'!J12</f>
        <v>✅ OK</v>
      </c>
      <c r="J39" s="195"/>
      <c r="K39" s="219" t="str">
        <f>IF('📦 Inventory'!E12=0,"🚫 Order immediately",IF('📦 Inventory'!E12&lt;='📦 Inventory'!F12,"⚠️ Reorder soon","✅ OK"))</f>
        <v>✅ OK</v>
      </c>
      <c r="L39" s="195"/>
      <c r="M39" s="195"/>
    </row>
    <row r="40" spans="2:13" ht="16.5" customHeight="1" x14ac:dyDescent="0.3">
      <c r="B40" s="212" t="str">
        <f>'📦 Inventory'!B13</f>
        <v>Pan Suave Hamburguesa</v>
      </c>
      <c r="C40" s="195"/>
      <c r="D40" s="195"/>
      <c r="E40" s="213">
        <f>'📦 Inventory'!E13</f>
        <v>40</v>
      </c>
      <c r="F40" s="195"/>
      <c r="G40" s="214">
        <f>'📦 Inventory'!F13</f>
        <v>20</v>
      </c>
      <c r="H40" s="195"/>
      <c r="I40" s="215" t="str">
        <f>'📦 Inventory'!J13</f>
        <v>✅ OK</v>
      </c>
      <c r="J40" s="195"/>
      <c r="K40" s="215" t="str">
        <f>IF('📦 Inventory'!E13=0,"🚫 Order immediately",IF('📦 Inventory'!E13&lt;='📦 Inventory'!F13,"⚠️ Reorder soon","✅ OK"))</f>
        <v>✅ OK</v>
      </c>
      <c r="L40" s="195"/>
      <c r="M40" s="195"/>
    </row>
    <row r="41" spans="2:13" ht="7.5" customHeight="1" x14ac:dyDescent="0.3"/>
    <row r="42" spans="2:13" ht="30" customHeight="1" x14ac:dyDescent="0.3">
      <c r="B42" s="220" t="s">
        <v>149</v>
      </c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</row>
    <row r="43" spans="2:13" ht="6" customHeight="1" x14ac:dyDescent="0.3"/>
    <row r="44" spans="2:13" ht="16.05" customHeight="1" x14ac:dyDescent="0.3">
      <c r="B44" s="221" t="s">
        <v>150</v>
      </c>
      <c r="C44" s="222"/>
      <c r="D44" s="223" t="s">
        <v>151</v>
      </c>
      <c r="E44" s="222"/>
      <c r="F44" s="224" t="s">
        <v>152</v>
      </c>
      <c r="G44" s="222"/>
      <c r="H44" s="225" t="s">
        <v>153</v>
      </c>
      <c r="I44" s="222"/>
      <c r="J44" s="226" t="s">
        <v>154</v>
      </c>
      <c r="K44" s="222"/>
      <c r="L44" s="227" t="s">
        <v>155</v>
      </c>
      <c r="M44" s="222"/>
    </row>
    <row r="45" spans="2:13" ht="22.05" customHeight="1" x14ac:dyDescent="0.3">
      <c r="B45" s="228">
        <f>'Capital &amp; Ownership'!C63</f>
        <v>600000</v>
      </c>
      <c r="C45" s="222"/>
      <c r="D45" s="229">
        <f>'Capital &amp; Ownership'!C72</f>
        <v>434642</v>
      </c>
      <c r="E45" s="222"/>
      <c r="F45" s="230">
        <f>'Capital &amp; Ownership'!C73</f>
        <v>165358</v>
      </c>
      <c r="G45" s="222"/>
      <c r="H45" s="231">
        <f>'Capital &amp; Ownership'!C64</f>
        <v>390000</v>
      </c>
      <c r="I45" s="222"/>
      <c r="J45" s="232">
        <f>'Capital &amp; Ownership'!C65</f>
        <v>5000</v>
      </c>
      <c r="K45" s="222"/>
      <c r="L45" s="233">
        <f>'Capital &amp; Ownership'!C66</f>
        <v>385000</v>
      </c>
      <c r="M45" s="222"/>
    </row>
    <row r="46" spans="2:13" ht="16.05" customHeight="1" x14ac:dyDescent="0.3">
      <c r="B46" s="234" t="s">
        <v>156</v>
      </c>
      <c r="C46" s="222"/>
      <c r="D46" s="235" t="s">
        <v>157</v>
      </c>
      <c r="E46" s="222"/>
      <c r="F46" s="236" t="s">
        <v>125</v>
      </c>
      <c r="G46" s="222"/>
      <c r="H46" s="237" t="s">
        <v>158</v>
      </c>
      <c r="I46" s="222"/>
      <c r="J46" s="238" t="s">
        <v>159</v>
      </c>
      <c r="K46" s="222"/>
      <c r="L46" s="239" t="s">
        <v>160</v>
      </c>
      <c r="M46" s="222"/>
    </row>
    <row r="47" spans="2:13" ht="7.95" customHeight="1" x14ac:dyDescent="0.3"/>
    <row r="48" spans="2:13" ht="22.05" customHeight="1" x14ac:dyDescent="0.3">
      <c r="B48" s="240" t="s">
        <v>161</v>
      </c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</row>
    <row r="49" spans="2:13" ht="19.95" customHeight="1" x14ac:dyDescent="0.3">
      <c r="B49" s="241" t="s">
        <v>162</v>
      </c>
      <c r="C49" s="222"/>
      <c r="D49" s="241" t="s">
        <v>163</v>
      </c>
      <c r="E49" s="222"/>
      <c r="F49" s="1" t="s">
        <v>164</v>
      </c>
      <c r="G49" s="1" t="s">
        <v>165</v>
      </c>
      <c r="H49" s="241" t="s">
        <v>166</v>
      </c>
      <c r="I49" s="222"/>
      <c r="J49" s="241" t="s">
        <v>167</v>
      </c>
      <c r="K49" s="222"/>
      <c r="L49" s="241" t="s">
        <v>168</v>
      </c>
      <c r="M49" s="222"/>
    </row>
    <row r="50" spans="2:13" ht="19.95" customHeight="1" x14ac:dyDescent="0.3">
      <c r="B50" s="242" t="str">
        <f>'Capital &amp; Ownership'!B6</f>
        <v>Lohith Reddy</v>
      </c>
      <c r="C50" s="222"/>
      <c r="D50" s="243">
        <f>'Capital &amp; Ownership'!C6</f>
        <v>0.5</v>
      </c>
      <c r="E50" s="222"/>
      <c r="F50" s="27">
        <f>'Capital &amp; Ownership'!D6</f>
        <v>300000</v>
      </c>
      <c r="G50" s="52" t="s">
        <v>29</v>
      </c>
      <c r="H50" s="244">
        <f>'Capital &amp; Ownership'!E6</f>
        <v>28947</v>
      </c>
      <c r="I50" s="222"/>
      <c r="J50" s="244">
        <f>'Capital &amp; Ownership'!F6</f>
        <v>271053</v>
      </c>
      <c r="K50" s="222"/>
      <c r="L50" s="243">
        <f>IFERROR('Capital &amp; Ownership'!E6/'Capital &amp; Ownership'!D6,0)</f>
        <v>9.6490000000000006E-2</v>
      </c>
      <c r="M50" s="222"/>
    </row>
    <row r="51" spans="2:13" ht="19.95" customHeight="1" x14ac:dyDescent="0.3">
      <c r="B51" s="245" t="str">
        <f>'Capital &amp; Ownership'!B7</f>
        <v>Kashigoud Patil</v>
      </c>
      <c r="C51" s="222"/>
      <c r="D51" s="246">
        <f>'Capital &amp; Ownership'!C7</f>
        <v>0.3</v>
      </c>
      <c r="E51" s="222"/>
      <c r="F51" s="30">
        <f>'Capital &amp; Ownership'!D7</f>
        <v>180000</v>
      </c>
      <c r="G51" s="53" t="s">
        <v>31</v>
      </c>
      <c r="H51" s="247">
        <f>'Capital &amp; Ownership'!E7</f>
        <v>140695</v>
      </c>
      <c r="I51" s="222"/>
      <c r="J51" s="247">
        <f>'Capital &amp; Ownership'!F7</f>
        <v>39305</v>
      </c>
      <c r="K51" s="222"/>
      <c r="L51" s="246">
        <f>IFERROR('Capital &amp; Ownership'!E7/'Capital &amp; Ownership'!D7,0)</f>
        <v>0.78163888888888888</v>
      </c>
      <c r="M51" s="222"/>
    </row>
    <row r="52" spans="2:13" ht="19.95" customHeight="1" x14ac:dyDescent="0.3">
      <c r="B52" s="242" t="str">
        <f>'Capital &amp; Ownership'!B8</f>
        <v>Shashirekha Basavaraju</v>
      </c>
      <c r="C52" s="222"/>
      <c r="D52" s="243">
        <f>'Capital &amp; Ownership'!C8</f>
        <v>0.2</v>
      </c>
      <c r="E52" s="222"/>
      <c r="F52" s="27">
        <f>'Capital &amp; Ownership'!D8</f>
        <v>120000</v>
      </c>
      <c r="G52" s="52" t="s">
        <v>33</v>
      </c>
      <c r="H52" s="244">
        <f>'Capital &amp; Ownership'!E8</f>
        <v>100000</v>
      </c>
      <c r="I52" s="222"/>
      <c r="J52" s="244">
        <f>'Capital &amp; Ownership'!F8</f>
        <v>20000</v>
      </c>
      <c r="K52" s="222"/>
      <c r="L52" s="243">
        <f>IFERROR('Capital &amp; Ownership'!E8/'Capital &amp; Ownership'!D8,0)</f>
        <v>0.83333333333333337</v>
      </c>
      <c r="M52" s="222"/>
    </row>
    <row r="53" spans="2:13" ht="22.05" customHeight="1" x14ac:dyDescent="0.3">
      <c r="B53" s="248" t="s">
        <v>34</v>
      </c>
      <c r="C53" s="222"/>
      <c r="D53" s="249">
        <f>'Capital &amp; Ownership'!C9</f>
        <v>1</v>
      </c>
      <c r="E53" s="222"/>
      <c r="F53" s="12">
        <f>'Capital &amp; Ownership'!D9</f>
        <v>600000</v>
      </c>
      <c r="G53" s="1"/>
      <c r="H53" s="250">
        <f>'Capital &amp; Ownership'!E9</f>
        <v>269642</v>
      </c>
      <c r="I53" s="222"/>
      <c r="J53" s="250">
        <f>'Capital &amp; Ownership'!F9</f>
        <v>330358</v>
      </c>
      <c r="K53" s="222"/>
      <c r="L53" s="249">
        <f>IFERROR('Capital &amp; Ownership'!E9/'Capital &amp; Ownership'!D9,0)</f>
        <v>0.44940333333333332</v>
      </c>
      <c r="M53" s="222"/>
    </row>
    <row r="54" spans="2:13" ht="7.95" customHeight="1" x14ac:dyDescent="0.3"/>
    <row r="55" spans="2:13" ht="22.05" customHeight="1" x14ac:dyDescent="0.3">
      <c r="B55" s="240" t="s">
        <v>169</v>
      </c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</row>
    <row r="56" spans="2:13" ht="19.95" customHeight="1" x14ac:dyDescent="0.3">
      <c r="B56" s="241" t="s">
        <v>170</v>
      </c>
      <c r="C56" s="251"/>
      <c r="D56" s="222"/>
      <c r="E56" s="241" t="s">
        <v>171</v>
      </c>
      <c r="F56" s="222"/>
      <c r="G56" s="241" t="s">
        <v>172</v>
      </c>
      <c r="H56" s="222"/>
      <c r="I56" s="241" t="s">
        <v>173</v>
      </c>
      <c r="J56" s="222"/>
      <c r="K56" s="241" t="s">
        <v>174</v>
      </c>
      <c r="L56" s="222"/>
    </row>
    <row r="57" spans="2:13" ht="19.95" customHeight="1" x14ac:dyDescent="0.3">
      <c r="B57" s="252" t="str">
        <f>'Capital &amp; Ownership'!B13</f>
        <v>TOTAL Purchase Price — Previous Owners</v>
      </c>
      <c r="C57" s="251"/>
      <c r="D57" s="222"/>
      <c r="E57" s="253" t="s">
        <v>42</v>
      </c>
      <c r="F57" s="222"/>
      <c r="G57" s="254">
        <f>'Capital &amp; Ownership'!D13</f>
        <v>390000</v>
      </c>
      <c r="H57" s="222"/>
      <c r="I57" s="253" t="s">
        <v>85</v>
      </c>
      <c r="J57" s="222"/>
      <c r="K57" s="253" t="s">
        <v>175</v>
      </c>
      <c r="L57" s="222"/>
    </row>
    <row r="58" spans="2:13" ht="19.95" customHeight="1" x14ac:dyDescent="0.3">
      <c r="B58" s="255" t="str">
        <f>'Capital &amp; Ownership'!B14</f>
        <v>Advance Payment (paid by Lohith)</v>
      </c>
      <c r="C58" s="251"/>
      <c r="D58" s="222"/>
      <c r="E58" s="256" t="s">
        <v>28</v>
      </c>
      <c r="F58" s="222"/>
      <c r="G58" s="257">
        <f>'Capital &amp; Ownership'!D14</f>
        <v>5000</v>
      </c>
      <c r="H58" s="222"/>
      <c r="I58" s="256" t="s">
        <v>176</v>
      </c>
      <c r="J58" s="222"/>
      <c r="K58" s="256" t="s">
        <v>177</v>
      </c>
      <c r="L58" s="222"/>
    </row>
    <row r="59" spans="2:13" ht="19.95" customHeight="1" x14ac:dyDescent="0.3">
      <c r="B59" s="255" t="str">
        <f>'Capital &amp; Ownership'!B27</f>
        <v>Soft Restaurant License &amp; Tools</v>
      </c>
      <c r="C59" s="251"/>
      <c r="D59" s="222"/>
      <c r="E59" s="256" t="s">
        <v>30</v>
      </c>
      <c r="F59" s="222"/>
      <c r="G59" s="257">
        <f>'Capital &amp; Ownership'!D27</f>
        <v>15195</v>
      </c>
      <c r="H59" s="222"/>
      <c r="I59" s="256" t="s">
        <v>75</v>
      </c>
      <c r="J59" s="222"/>
      <c r="K59" s="256" t="s">
        <v>177</v>
      </c>
      <c r="L59" s="222"/>
    </row>
    <row r="60" spans="2:13" ht="19.95" customHeight="1" x14ac:dyDescent="0.3">
      <c r="B60" s="255" t="str">
        <f>'Capital &amp; Ownership'!B28</f>
        <v>Mercado Pago Terminal</v>
      </c>
      <c r="C60" s="251"/>
      <c r="D60" s="222"/>
      <c r="E60" s="256" t="s">
        <v>30</v>
      </c>
      <c r="F60" s="222"/>
      <c r="G60" s="257">
        <f>'Capital &amp; Ownership'!D28</f>
        <v>500</v>
      </c>
      <c r="H60" s="222"/>
      <c r="I60" s="256" t="s">
        <v>79</v>
      </c>
      <c r="J60" s="222"/>
      <c r="K60" s="256" t="s">
        <v>177</v>
      </c>
      <c r="L60" s="222"/>
    </row>
    <row r="61" spans="2:13" ht="19.95" customHeight="1" x14ac:dyDescent="0.3">
      <c r="B61" s="242" t="str">
        <f>'Capital &amp; Ownership'!B39</f>
        <v>Notary Fees</v>
      </c>
      <c r="C61" s="251"/>
      <c r="D61" s="222"/>
      <c r="E61" s="258" t="s">
        <v>28</v>
      </c>
      <c r="F61" s="222"/>
      <c r="G61" s="244">
        <f>'Capital &amp; Ownership'!D39</f>
        <v>15797</v>
      </c>
      <c r="H61" s="222"/>
      <c r="I61" s="258" t="s">
        <v>89</v>
      </c>
      <c r="J61" s="222"/>
      <c r="K61" s="258" t="s">
        <v>177</v>
      </c>
      <c r="L61" s="222"/>
    </row>
    <row r="62" spans="2:13" ht="19.95" customHeight="1" x14ac:dyDescent="0.3">
      <c r="B62" s="242" t="str">
        <f>'Capital &amp; Ownership'!B40</f>
        <v>Poliza Juridica (Legal Policy)</v>
      </c>
      <c r="C62" s="251"/>
      <c r="D62" s="222"/>
      <c r="E62" s="258" t="s">
        <v>28</v>
      </c>
      <c r="F62" s="222"/>
      <c r="G62" s="244">
        <f>'Capital &amp; Ownership'!D40</f>
        <v>5150</v>
      </c>
      <c r="H62" s="222"/>
      <c r="I62" s="258" t="s">
        <v>93</v>
      </c>
      <c r="J62" s="222"/>
      <c r="K62" s="258" t="s">
        <v>177</v>
      </c>
      <c r="L62" s="222"/>
    </row>
    <row r="63" spans="2:13" ht="19.95" customHeight="1" x14ac:dyDescent="0.3">
      <c r="B63" s="242" t="str">
        <f>'Capital &amp; Ownership'!B41</f>
        <v>Alejandra — Documentation Asst.</v>
      </c>
      <c r="C63" s="251"/>
      <c r="D63" s="222"/>
      <c r="E63" s="258" t="s">
        <v>28</v>
      </c>
      <c r="F63" s="222"/>
      <c r="G63" s="244">
        <f>'Capital &amp; Ownership'!D41</f>
        <v>3000</v>
      </c>
      <c r="H63" s="222"/>
      <c r="I63" s="258" t="s">
        <v>97</v>
      </c>
      <c r="J63" s="222"/>
      <c r="K63" s="258" t="s">
        <v>177</v>
      </c>
      <c r="L63" s="222"/>
    </row>
    <row r="64" spans="2:13" ht="19.95" customHeight="1" x14ac:dyDescent="0.3">
      <c r="B64" s="259" t="s">
        <v>178</v>
      </c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22"/>
    </row>
  </sheetData>
  <mergeCells count="159">
    <mergeCell ref="B64:M64"/>
    <mergeCell ref="B62:D62"/>
    <mergeCell ref="E62:F62"/>
    <mergeCell ref="G62:H62"/>
    <mergeCell ref="I62:J62"/>
    <mergeCell ref="K62:L62"/>
    <mergeCell ref="B63:D63"/>
    <mergeCell ref="E63:F63"/>
    <mergeCell ref="G63:H63"/>
    <mergeCell ref="I63:J63"/>
    <mergeCell ref="K63:L63"/>
    <mergeCell ref="B60:D60"/>
    <mergeCell ref="E60:F60"/>
    <mergeCell ref="G60:H60"/>
    <mergeCell ref="I60:J60"/>
    <mergeCell ref="K60:L60"/>
    <mergeCell ref="B61:D61"/>
    <mergeCell ref="E61:F61"/>
    <mergeCell ref="G61:H61"/>
    <mergeCell ref="I61:J61"/>
    <mergeCell ref="K61:L61"/>
    <mergeCell ref="B58:D58"/>
    <mergeCell ref="E58:F58"/>
    <mergeCell ref="G58:H58"/>
    <mergeCell ref="I58:J58"/>
    <mergeCell ref="K58:L58"/>
    <mergeCell ref="B59:D59"/>
    <mergeCell ref="E59:F59"/>
    <mergeCell ref="G59:H59"/>
    <mergeCell ref="I59:J59"/>
    <mergeCell ref="K59:L59"/>
    <mergeCell ref="B55:M55"/>
    <mergeCell ref="B56:D56"/>
    <mergeCell ref="E56:F56"/>
    <mergeCell ref="G56:H56"/>
    <mergeCell ref="I56:J56"/>
    <mergeCell ref="K56:L56"/>
    <mergeCell ref="B57:D57"/>
    <mergeCell ref="E57:F57"/>
    <mergeCell ref="G57:H57"/>
    <mergeCell ref="I57:J57"/>
    <mergeCell ref="K57:L57"/>
    <mergeCell ref="B52:C52"/>
    <mergeCell ref="D52:E52"/>
    <mergeCell ref="H52:I52"/>
    <mergeCell ref="J52:K52"/>
    <mergeCell ref="L52:M52"/>
    <mergeCell ref="B53:C53"/>
    <mergeCell ref="D53:E53"/>
    <mergeCell ref="H53:I53"/>
    <mergeCell ref="J53:K53"/>
    <mergeCell ref="L53:M53"/>
    <mergeCell ref="B50:C50"/>
    <mergeCell ref="D50:E50"/>
    <mergeCell ref="H50:I50"/>
    <mergeCell ref="J50:K50"/>
    <mergeCell ref="L50:M50"/>
    <mergeCell ref="B51:C51"/>
    <mergeCell ref="D51:E51"/>
    <mergeCell ref="H51:I51"/>
    <mergeCell ref="J51:K51"/>
    <mergeCell ref="L51:M51"/>
    <mergeCell ref="B46:C46"/>
    <mergeCell ref="D46:E46"/>
    <mergeCell ref="F46:G46"/>
    <mergeCell ref="H46:I46"/>
    <mergeCell ref="J46:K46"/>
    <mergeCell ref="L46:M46"/>
    <mergeCell ref="B48:M48"/>
    <mergeCell ref="B49:C49"/>
    <mergeCell ref="D49:E49"/>
    <mergeCell ref="H49:I49"/>
    <mergeCell ref="J49:K49"/>
    <mergeCell ref="L49:M49"/>
    <mergeCell ref="B42:M42"/>
    <mergeCell ref="B44:C44"/>
    <mergeCell ref="D44:E44"/>
    <mergeCell ref="F44:G44"/>
    <mergeCell ref="H44:I44"/>
    <mergeCell ref="J44:K44"/>
    <mergeCell ref="L44:M44"/>
    <mergeCell ref="B45:C45"/>
    <mergeCell ref="D45:E45"/>
    <mergeCell ref="F45:G45"/>
    <mergeCell ref="H45:I45"/>
    <mergeCell ref="J45:K45"/>
    <mergeCell ref="L45:M45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34:M34"/>
    <mergeCell ref="B35:D35"/>
    <mergeCell ref="F35:G35"/>
    <mergeCell ref="H35:I35"/>
    <mergeCell ref="J35:M35"/>
    <mergeCell ref="B36:D36"/>
    <mergeCell ref="E36:F36"/>
    <mergeCell ref="G36:H36"/>
    <mergeCell ref="I36:J36"/>
    <mergeCell ref="K36:M36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B17:C19"/>
    <mergeCell ref="D17:E19"/>
    <mergeCell ref="F17:G19"/>
    <mergeCell ref="H17:I19"/>
    <mergeCell ref="J17:K19"/>
    <mergeCell ref="L17:M19"/>
    <mergeCell ref="B21:M21"/>
    <mergeCell ref="K22:M22"/>
    <mergeCell ref="K23:M23"/>
    <mergeCell ref="B10:C12"/>
    <mergeCell ref="D10:E12"/>
    <mergeCell ref="F10:G12"/>
    <mergeCell ref="H10:I12"/>
    <mergeCell ref="J10:K12"/>
    <mergeCell ref="L10:M12"/>
    <mergeCell ref="B14:M14"/>
    <mergeCell ref="B16:C16"/>
    <mergeCell ref="D16:E16"/>
    <mergeCell ref="F16:G16"/>
    <mergeCell ref="H16:I16"/>
    <mergeCell ref="J16:K16"/>
    <mergeCell ref="L16:M16"/>
    <mergeCell ref="A2:G2"/>
    <mergeCell ref="H2:N2"/>
    <mergeCell ref="A3:N3"/>
    <mergeCell ref="B5:M5"/>
    <mergeCell ref="B7:M7"/>
    <mergeCell ref="B9:C9"/>
    <mergeCell ref="D9:E9"/>
    <mergeCell ref="F9:G9"/>
    <mergeCell ref="H9:I9"/>
    <mergeCell ref="J9:K9"/>
    <mergeCell ref="L9:M9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Q372"/>
  <sheetViews>
    <sheetView showGridLines="0" zoomScaleNormal="100" workbookViewId="0">
      <pane ySplit="7" topLeftCell="A8" activePane="bottomLeft" state="frozen"/>
      <selection pane="bottomLeft" activeCell="A3" sqref="A3:P3"/>
    </sheetView>
  </sheetViews>
  <sheetFormatPr defaultColWidth="8.6640625" defaultRowHeight="14.4" customHeight="1" x14ac:dyDescent="0.3"/>
  <cols>
    <col min="1" max="1" width="4" customWidth="1"/>
    <col min="2" max="2" width="18" customWidth="1"/>
    <col min="3" max="5" width="16" customWidth="1"/>
    <col min="6" max="6" width="12" customWidth="1"/>
    <col min="7" max="7" width="14" customWidth="1"/>
    <col min="8" max="9" width="16" customWidth="1"/>
    <col min="10" max="10" width="12" customWidth="1"/>
    <col min="11" max="11" width="30" customWidth="1"/>
    <col min="12" max="17" width="16" customWidth="1"/>
  </cols>
  <sheetData>
    <row r="1" spans="1:17" ht="4.5" customHeigh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7" ht="37.5" customHeight="1" x14ac:dyDescent="0.3">
      <c r="A2" s="182" t="s">
        <v>0</v>
      </c>
      <c r="B2" s="183"/>
      <c r="C2" s="183"/>
      <c r="D2" s="183"/>
      <c r="E2" s="183"/>
      <c r="F2" s="183"/>
      <c r="G2" s="183"/>
      <c r="H2" s="183"/>
      <c r="I2" s="184" t="s">
        <v>1</v>
      </c>
      <c r="J2" s="183"/>
      <c r="K2" s="183"/>
      <c r="L2" s="183"/>
      <c r="M2" s="183"/>
      <c r="N2" s="183"/>
      <c r="O2" s="183"/>
      <c r="P2" s="183"/>
    </row>
    <row r="3" spans="1:17" ht="3.75" customHeight="1" x14ac:dyDescent="0.3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7" ht="7.5" customHeight="1" x14ac:dyDescent="0.3"/>
    <row r="5" spans="1:17" ht="49.5" customHeight="1" x14ac:dyDescent="0.3">
      <c r="B5" s="186" t="s">
        <v>2</v>
      </c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</row>
    <row r="6" spans="1:17" ht="7.5" customHeight="1" x14ac:dyDescent="0.3">
      <c r="B6" s="54" t="str">
        <f>IF(B8&lt;&gt;"",TEXT(B8,"DD/MM DDD"),"—")</f>
        <v>—</v>
      </c>
      <c r="D6" s="55">
        <f t="shared" ref="D6:I6" si="0">IFERROR(E8,0)</f>
        <v>0</v>
      </c>
      <c r="E6" s="56">
        <f t="shared" si="0"/>
        <v>0</v>
      </c>
      <c r="F6" s="57">
        <f t="shared" si="0"/>
        <v>0</v>
      </c>
      <c r="G6" s="58">
        <f t="shared" si="0"/>
        <v>0</v>
      </c>
      <c r="H6" s="55">
        <f t="shared" si="0"/>
        <v>0</v>
      </c>
      <c r="I6" s="59">
        <f t="shared" si="0"/>
        <v>0</v>
      </c>
      <c r="K6" s="55">
        <f>IFERROR(N8,0)</f>
        <v>0</v>
      </c>
      <c r="L6" s="58">
        <f>IFERROR(P8,0)</f>
        <v>0</v>
      </c>
      <c r="M6" s="55">
        <f>IFERROR(Q8,0)</f>
        <v>0</v>
      </c>
      <c r="N6" s="60">
        <f>IFERROR(L8,0)</f>
        <v>0</v>
      </c>
      <c r="O6" s="60">
        <f>IFERROR(O8,0)</f>
        <v>0</v>
      </c>
    </row>
    <row r="7" spans="1:17" ht="27.75" customHeight="1" x14ac:dyDescent="0.3">
      <c r="B7" s="33" t="s">
        <v>3</v>
      </c>
      <c r="C7" s="33" t="s">
        <v>4</v>
      </c>
      <c r="D7" s="33" t="s">
        <v>5</v>
      </c>
      <c r="E7" s="33" t="s">
        <v>6</v>
      </c>
      <c r="F7" s="33" t="s">
        <v>7</v>
      </c>
      <c r="G7" s="33" t="s">
        <v>8</v>
      </c>
      <c r="H7" s="33" t="s">
        <v>9</v>
      </c>
      <c r="I7" s="33" t="s">
        <v>10</v>
      </c>
      <c r="J7" s="33" t="s">
        <v>11</v>
      </c>
      <c r="K7" s="33" t="s">
        <v>12</v>
      </c>
      <c r="L7" s="33" t="s">
        <v>13</v>
      </c>
      <c r="M7" s="33" t="s">
        <v>14</v>
      </c>
      <c r="N7" s="33" t="s">
        <v>15</v>
      </c>
      <c r="O7" s="33" t="s">
        <v>16</v>
      </c>
      <c r="P7" s="33" t="s">
        <v>17</v>
      </c>
      <c r="Q7" s="33" t="s">
        <v>18</v>
      </c>
    </row>
    <row r="8" spans="1:17" ht="16.5" customHeight="1" x14ac:dyDescent="0.3">
      <c r="B8" s="61"/>
      <c r="C8" s="62" t="str">
        <f t="shared" ref="C8:C71" si="1">IF(B8="","",TEXT(B8,"DDD"))</f>
        <v/>
      </c>
      <c r="D8" s="63" t="str">
        <f t="shared" ref="D8:D71" si="2">IF(B8="","","Soft App")</f>
        <v/>
      </c>
      <c r="E8" s="64"/>
      <c r="F8" s="65"/>
      <c r="G8" s="66">
        <f t="shared" ref="G8:G71" si="3">IFERROR(E8/F8,0)</f>
        <v>0</v>
      </c>
      <c r="H8" s="67">
        <f>IFERROR(SUMIF('💸 Expenses'!B9:B508,B8,'💸 Expenses'!F9:F508),0)</f>
        <v>0</v>
      </c>
      <c r="I8" s="68">
        <f t="shared" ref="I8:I71" si="4">IFERROR(E8-H8,0)</f>
        <v>0</v>
      </c>
      <c r="J8" s="69">
        <f t="shared" ref="J8:J71" si="5">IFERROR(I8/E8,0)</f>
        <v>0</v>
      </c>
      <c r="K8" s="70"/>
      <c r="L8" s="36">
        <f>E8</f>
        <v>0</v>
      </c>
      <c r="M8" s="39">
        <f>H8</f>
        <v>0</v>
      </c>
      <c r="N8" s="71">
        <f t="shared" ref="N8:N71" si="6">IFERROR(L8-M8,0)</f>
        <v>0</v>
      </c>
      <c r="O8" s="72">
        <f>IFERROR(SUMIF(B8:B8,"&gt;="&amp;(B8-WEEKDAY(B8,2)+1),E8:E8),0)</f>
        <v>0</v>
      </c>
      <c r="P8" s="73">
        <f>IFERROR(SUMIF(B8:B8,"&gt;="&amp;(B8-WEEKDAY(B8,2)+1),H8:H8),0)</f>
        <v>0</v>
      </c>
      <c r="Q8" s="71">
        <f t="shared" ref="Q8:Q71" si="7">IFERROR(O8-P8,0)</f>
        <v>0</v>
      </c>
    </row>
    <row r="9" spans="1:17" ht="16.5" customHeight="1" x14ac:dyDescent="0.3">
      <c r="B9" s="61"/>
      <c r="C9" s="74" t="str">
        <f t="shared" si="1"/>
        <v/>
      </c>
      <c r="D9" s="75" t="str">
        <f t="shared" si="2"/>
        <v/>
      </c>
      <c r="E9" s="76"/>
      <c r="F9" s="77"/>
      <c r="G9" s="78">
        <f t="shared" si="3"/>
        <v>0</v>
      </c>
      <c r="H9" s="79">
        <f>IFERROR(SUMIF('💸 Expenses'!B9:B508,B9,'💸 Expenses'!F9:F508),0)</f>
        <v>0</v>
      </c>
      <c r="I9" s="80">
        <f t="shared" si="4"/>
        <v>0</v>
      </c>
      <c r="J9" s="81">
        <f t="shared" si="5"/>
        <v>0</v>
      </c>
      <c r="K9" s="82"/>
      <c r="L9" s="45">
        <f t="shared" ref="L9:L72" si="8">IFERROR(L8+E9,0)</f>
        <v>0</v>
      </c>
      <c r="M9" s="48">
        <f t="shared" ref="M9:M72" si="9">IFERROR(M8+H9,0)</f>
        <v>0</v>
      </c>
      <c r="N9" s="83">
        <f t="shared" si="6"/>
        <v>0</v>
      </c>
      <c r="O9" s="84">
        <f>IFERROR(SUMIF(B8:B9,"&gt;="&amp;(B9-WEEKDAY(B9,2)+1),E8:E9),0)</f>
        <v>0</v>
      </c>
      <c r="P9" s="85">
        <f>IFERROR(SUMIF(B8:B9,"&gt;="&amp;(B9-WEEKDAY(B9,2)+1),H8:H9),0)</f>
        <v>0</v>
      </c>
      <c r="Q9" s="83">
        <f t="shared" si="7"/>
        <v>0</v>
      </c>
    </row>
    <row r="10" spans="1:17" ht="16.5" customHeight="1" x14ac:dyDescent="0.3">
      <c r="B10" s="61"/>
      <c r="C10" s="62" t="str">
        <f t="shared" si="1"/>
        <v/>
      </c>
      <c r="D10" s="63" t="str">
        <f t="shared" si="2"/>
        <v/>
      </c>
      <c r="E10" s="64"/>
      <c r="F10" s="65"/>
      <c r="G10" s="66">
        <f t="shared" si="3"/>
        <v>0</v>
      </c>
      <c r="H10" s="67">
        <f>IFERROR(SUMIF('💸 Expenses'!B9:B508,B10,'💸 Expenses'!F9:F508),0)</f>
        <v>0</v>
      </c>
      <c r="I10" s="68">
        <f t="shared" si="4"/>
        <v>0</v>
      </c>
      <c r="J10" s="69">
        <f t="shared" si="5"/>
        <v>0</v>
      </c>
      <c r="K10" s="70"/>
      <c r="L10" s="36">
        <f t="shared" si="8"/>
        <v>0</v>
      </c>
      <c r="M10" s="39">
        <f t="shared" si="9"/>
        <v>0</v>
      </c>
      <c r="N10" s="71">
        <f t="shared" si="6"/>
        <v>0</v>
      </c>
      <c r="O10" s="72">
        <f>IFERROR(SUMIF(B8:B10,"&gt;="&amp;(B10-WEEKDAY(B10,2)+1),E8:E10),0)</f>
        <v>0</v>
      </c>
      <c r="P10" s="73">
        <f>IFERROR(SUMIF(B8:B10,"&gt;="&amp;(B10-WEEKDAY(B10,2)+1),H8:H10),0)</f>
        <v>0</v>
      </c>
      <c r="Q10" s="71">
        <f t="shared" si="7"/>
        <v>0</v>
      </c>
    </row>
    <row r="11" spans="1:17" ht="16.5" customHeight="1" x14ac:dyDescent="0.3">
      <c r="B11" s="61"/>
      <c r="C11" s="74" t="str">
        <f t="shared" si="1"/>
        <v/>
      </c>
      <c r="D11" s="75" t="str">
        <f t="shared" si="2"/>
        <v/>
      </c>
      <c r="E11" s="76"/>
      <c r="F11" s="77"/>
      <c r="G11" s="78">
        <f t="shared" si="3"/>
        <v>0</v>
      </c>
      <c r="H11" s="79">
        <f>IFERROR(SUMIF('💸 Expenses'!B9:B508,B11,'💸 Expenses'!F9:F508),0)</f>
        <v>0</v>
      </c>
      <c r="I11" s="80">
        <f t="shared" si="4"/>
        <v>0</v>
      </c>
      <c r="J11" s="81">
        <f t="shared" si="5"/>
        <v>0</v>
      </c>
      <c r="K11" s="82"/>
      <c r="L11" s="45">
        <f t="shared" si="8"/>
        <v>0</v>
      </c>
      <c r="M11" s="48">
        <f t="shared" si="9"/>
        <v>0</v>
      </c>
      <c r="N11" s="83">
        <f t="shared" si="6"/>
        <v>0</v>
      </c>
      <c r="O11" s="84">
        <f>IFERROR(SUMIF(B8:B11,"&gt;="&amp;(B11-WEEKDAY(B11,2)+1),E8:E11),0)</f>
        <v>0</v>
      </c>
      <c r="P11" s="85">
        <f>IFERROR(SUMIF(B8:B11,"&gt;="&amp;(B11-WEEKDAY(B11,2)+1),H8:H11),0)</f>
        <v>0</v>
      </c>
      <c r="Q11" s="83">
        <f t="shared" si="7"/>
        <v>0</v>
      </c>
    </row>
    <row r="12" spans="1:17" ht="16.5" customHeight="1" x14ac:dyDescent="0.3">
      <c r="B12" s="61"/>
      <c r="C12" s="62" t="str">
        <f t="shared" si="1"/>
        <v/>
      </c>
      <c r="D12" s="63" t="str">
        <f t="shared" si="2"/>
        <v/>
      </c>
      <c r="E12" s="64"/>
      <c r="F12" s="65"/>
      <c r="G12" s="66">
        <f t="shared" si="3"/>
        <v>0</v>
      </c>
      <c r="H12" s="67">
        <f>IFERROR(SUMIF('💸 Expenses'!B9:B508,B12,'💸 Expenses'!F9:F508),0)</f>
        <v>0</v>
      </c>
      <c r="I12" s="68">
        <f t="shared" si="4"/>
        <v>0</v>
      </c>
      <c r="J12" s="69">
        <f t="shared" si="5"/>
        <v>0</v>
      </c>
      <c r="K12" s="70"/>
      <c r="L12" s="36">
        <f t="shared" si="8"/>
        <v>0</v>
      </c>
      <c r="M12" s="39">
        <f t="shared" si="9"/>
        <v>0</v>
      </c>
      <c r="N12" s="71">
        <f t="shared" si="6"/>
        <v>0</v>
      </c>
      <c r="O12" s="72">
        <f>IFERROR(SUMIF(B8:B12,"&gt;="&amp;(B12-WEEKDAY(B12,2)+1),E8:E12),0)</f>
        <v>0</v>
      </c>
      <c r="P12" s="73">
        <f>IFERROR(SUMIF(B8:B12,"&gt;="&amp;(B12-WEEKDAY(B12,2)+1),H8:H12),0)</f>
        <v>0</v>
      </c>
      <c r="Q12" s="71">
        <f t="shared" si="7"/>
        <v>0</v>
      </c>
    </row>
    <row r="13" spans="1:17" ht="16.5" customHeight="1" x14ac:dyDescent="0.3">
      <c r="B13" s="61"/>
      <c r="C13" s="74" t="str">
        <f t="shared" si="1"/>
        <v/>
      </c>
      <c r="D13" s="75" t="str">
        <f t="shared" si="2"/>
        <v/>
      </c>
      <c r="E13" s="76"/>
      <c r="F13" s="77"/>
      <c r="G13" s="78">
        <f t="shared" si="3"/>
        <v>0</v>
      </c>
      <c r="H13" s="79">
        <f>IFERROR(SUMIF('💸 Expenses'!B9:B508,B13,'💸 Expenses'!F9:F508),0)</f>
        <v>0</v>
      </c>
      <c r="I13" s="80">
        <f t="shared" si="4"/>
        <v>0</v>
      </c>
      <c r="J13" s="81">
        <f t="shared" si="5"/>
        <v>0</v>
      </c>
      <c r="K13" s="82"/>
      <c r="L13" s="45">
        <f t="shared" si="8"/>
        <v>0</v>
      </c>
      <c r="M13" s="48">
        <f t="shared" si="9"/>
        <v>0</v>
      </c>
      <c r="N13" s="83">
        <f t="shared" si="6"/>
        <v>0</v>
      </c>
      <c r="O13" s="84">
        <f>IFERROR(SUMIF(B8:B13,"&gt;="&amp;(B13-WEEKDAY(B13,2)+1),E8:E13),0)</f>
        <v>0</v>
      </c>
      <c r="P13" s="85">
        <f>IFERROR(SUMIF(B8:B13,"&gt;="&amp;(B13-WEEKDAY(B13,2)+1),H8:H13),0)</f>
        <v>0</v>
      </c>
      <c r="Q13" s="83">
        <f t="shared" si="7"/>
        <v>0</v>
      </c>
    </row>
    <row r="14" spans="1:17" ht="16.5" customHeight="1" x14ac:dyDescent="0.3">
      <c r="B14" s="61"/>
      <c r="C14" s="62" t="str">
        <f t="shared" si="1"/>
        <v/>
      </c>
      <c r="D14" s="63" t="str">
        <f t="shared" si="2"/>
        <v/>
      </c>
      <c r="E14" s="64"/>
      <c r="F14" s="65"/>
      <c r="G14" s="66">
        <f t="shared" si="3"/>
        <v>0</v>
      </c>
      <c r="H14" s="67">
        <f>IFERROR(SUMIF('💸 Expenses'!B9:B508,B14,'💸 Expenses'!F9:F508),0)</f>
        <v>0</v>
      </c>
      <c r="I14" s="68">
        <f t="shared" si="4"/>
        <v>0</v>
      </c>
      <c r="J14" s="69">
        <f t="shared" si="5"/>
        <v>0</v>
      </c>
      <c r="K14" s="70"/>
      <c r="L14" s="36">
        <f t="shared" si="8"/>
        <v>0</v>
      </c>
      <c r="M14" s="39">
        <f t="shared" si="9"/>
        <v>0</v>
      </c>
      <c r="N14" s="71">
        <f t="shared" si="6"/>
        <v>0</v>
      </c>
      <c r="O14" s="72">
        <f>IFERROR(SUMIF(B8:B14,"&gt;="&amp;(B14-WEEKDAY(B14,2)+1),E8:E14),0)</f>
        <v>0</v>
      </c>
      <c r="P14" s="73">
        <f>IFERROR(SUMIF(B8:B14,"&gt;="&amp;(B14-WEEKDAY(B14,2)+1),H8:H14),0)</f>
        <v>0</v>
      </c>
      <c r="Q14" s="71">
        <f t="shared" si="7"/>
        <v>0</v>
      </c>
    </row>
    <row r="15" spans="1:17" ht="16.5" customHeight="1" x14ac:dyDescent="0.3">
      <c r="B15" s="61"/>
      <c r="C15" s="74" t="str">
        <f t="shared" si="1"/>
        <v/>
      </c>
      <c r="D15" s="75" t="str">
        <f t="shared" si="2"/>
        <v/>
      </c>
      <c r="E15" s="76"/>
      <c r="F15" s="77"/>
      <c r="G15" s="78">
        <f t="shared" si="3"/>
        <v>0</v>
      </c>
      <c r="H15" s="79">
        <f>IFERROR(SUMIF('💸 Expenses'!B9:B508,B15,'💸 Expenses'!F9:F508),0)</f>
        <v>0</v>
      </c>
      <c r="I15" s="80">
        <f t="shared" si="4"/>
        <v>0</v>
      </c>
      <c r="J15" s="81">
        <f t="shared" si="5"/>
        <v>0</v>
      </c>
      <c r="K15" s="82"/>
      <c r="L15" s="45">
        <f t="shared" si="8"/>
        <v>0</v>
      </c>
      <c r="M15" s="48">
        <f t="shared" si="9"/>
        <v>0</v>
      </c>
      <c r="N15" s="83">
        <f t="shared" si="6"/>
        <v>0</v>
      </c>
      <c r="O15" s="84">
        <f>IFERROR(SUMIF(B8:B15,"&gt;="&amp;(B15-WEEKDAY(B15,2)+1),E8:E15),0)</f>
        <v>0</v>
      </c>
      <c r="P15" s="85">
        <f>IFERROR(SUMIF(B8:B15,"&gt;="&amp;(B15-WEEKDAY(B15,2)+1),H8:H15),0)</f>
        <v>0</v>
      </c>
      <c r="Q15" s="83">
        <f t="shared" si="7"/>
        <v>0</v>
      </c>
    </row>
    <row r="16" spans="1:17" ht="16.5" customHeight="1" x14ac:dyDescent="0.3">
      <c r="B16" s="61"/>
      <c r="C16" s="62" t="str">
        <f t="shared" si="1"/>
        <v/>
      </c>
      <c r="D16" s="63" t="str">
        <f t="shared" si="2"/>
        <v/>
      </c>
      <c r="E16" s="64"/>
      <c r="F16" s="65"/>
      <c r="G16" s="66">
        <f t="shared" si="3"/>
        <v>0</v>
      </c>
      <c r="H16" s="67">
        <f>IFERROR(SUMIF('💸 Expenses'!B9:B508,B16,'💸 Expenses'!F9:F508),0)</f>
        <v>0</v>
      </c>
      <c r="I16" s="68">
        <f t="shared" si="4"/>
        <v>0</v>
      </c>
      <c r="J16" s="69">
        <f t="shared" si="5"/>
        <v>0</v>
      </c>
      <c r="K16" s="70"/>
      <c r="L16" s="36">
        <f t="shared" si="8"/>
        <v>0</v>
      </c>
      <c r="M16" s="39">
        <f t="shared" si="9"/>
        <v>0</v>
      </c>
      <c r="N16" s="71">
        <f t="shared" si="6"/>
        <v>0</v>
      </c>
      <c r="O16" s="72">
        <f>IFERROR(SUMIF(B8:B16,"&gt;="&amp;(B16-WEEKDAY(B16,2)+1),E8:E16),0)</f>
        <v>0</v>
      </c>
      <c r="P16" s="73">
        <f>IFERROR(SUMIF(B8:B16,"&gt;="&amp;(B16-WEEKDAY(B16,2)+1),H8:H16),0)</f>
        <v>0</v>
      </c>
      <c r="Q16" s="71">
        <f t="shared" si="7"/>
        <v>0</v>
      </c>
    </row>
    <row r="17" spans="2:17" ht="16.5" customHeight="1" x14ac:dyDescent="0.3">
      <c r="B17" s="61"/>
      <c r="C17" s="74" t="str">
        <f t="shared" si="1"/>
        <v/>
      </c>
      <c r="D17" s="75" t="str">
        <f t="shared" si="2"/>
        <v/>
      </c>
      <c r="E17" s="76"/>
      <c r="F17" s="77"/>
      <c r="G17" s="78">
        <f t="shared" si="3"/>
        <v>0</v>
      </c>
      <c r="H17" s="79">
        <f>IFERROR(SUMIF('💸 Expenses'!B9:B508,B17,'💸 Expenses'!F9:F508),0)</f>
        <v>0</v>
      </c>
      <c r="I17" s="80">
        <f t="shared" si="4"/>
        <v>0</v>
      </c>
      <c r="J17" s="81">
        <f t="shared" si="5"/>
        <v>0</v>
      </c>
      <c r="K17" s="82"/>
      <c r="L17" s="45">
        <f t="shared" si="8"/>
        <v>0</v>
      </c>
      <c r="M17" s="48">
        <f t="shared" si="9"/>
        <v>0</v>
      </c>
      <c r="N17" s="83">
        <f t="shared" si="6"/>
        <v>0</v>
      </c>
      <c r="O17" s="84">
        <f>IFERROR(SUMIF(B8:B17,"&gt;="&amp;(B17-WEEKDAY(B17,2)+1),E8:E17),0)</f>
        <v>0</v>
      </c>
      <c r="P17" s="85">
        <f>IFERROR(SUMIF(B8:B17,"&gt;="&amp;(B17-WEEKDAY(B17,2)+1),H8:H17),0)</f>
        <v>0</v>
      </c>
      <c r="Q17" s="83">
        <f t="shared" si="7"/>
        <v>0</v>
      </c>
    </row>
    <row r="18" spans="2:17" ht="16.5" customHeight="1" x14ac:dyDescent="0.3">
      <c r="B18" s="61"/>
      <c r="C18" s="62" t="str">
        <f t="shared" si="1"/>
        <v/>
      </c>
      <c r="D18" s="63" t="str">
        <f t="shared" si="2"/>
        <v/>
      </c>
      <c r="E18" s="64"/>
      <c r="F18" s="65"/>
      <c r="G18" s="66">
        <f t="shared" si="3"/>
        <v>0</v>
      </c>
      <c r="H18" s="67">
        <f>IFERROR(SUMIF('💸 Expenses'!B9:B508,B18,'💸 Expenses'!F9:F508),0)</f>
        <v>0</v>
      </c>
      <c r="I18" s="68">
        <f t="shared" si="4"/>
        <v>0</v>
      </c>
      <c r="J18" s="69">
        <f t="shared" si="5"/>
        <v>0</v>
      </c>
      <c r="K18" s="70"/>
      <c r="L18" s="36">
        <f t="shared" si="8"/>
        <v>0</v>
      </c>
      <c r="M18" s="39">
        <f t="shared" si="9"/>
        <v>0</v>
      </c>
      <c r="N18" s="71">
        <f t="shared" si="6"/>
        <v>0</v>
      </c>
      <c r="O18" s="72">
        <f>IFERROR(SUMIF(B8:B18,"&gt;="&amp;(B18-WEEKDAY(B18,2)+1),E8:E18),0)</f>
        <v>0</v>
      </c>
      <c r="P18" s="73">
        <f>IFERROR(SUMIF(B8:B18,"&gt;="&amp;(B18-WEEKDAY(B18,2)+1),H8:H18),0)</f>
        <v>0</v>
      </c>
      <c r="Q18" s="71">
        <f t="shared" si="7"/>
        <v>0</v>
      </c>
    </row>
    <row r="19" spans="2:17" ht="16.5" customHeight="1" x14ac:dyDescent="0.3">
      <c r="B19" s="61"/>
      <c r="C19" s="74" t="str">
        <f t="shared" si="1"/>
        <v/>
      </c>
      <c r="D19" s="75" t="str">
        <f t="shared" si="2"/>
        <v/>
      </c>
      <c r="E19" s="76"/>
      <c r="F19" s="77"/>
      <c r="G19" s="78">
        <f t="shared" si="3"/>
        <v>0</v>
      </c>
      <c r="H19" s="79">
        <f>IFERROR(SUMIF('💸 Expenses'!B9:B508,B19,'💸 Expenses'!F9:F508),0)</f>
        <v>0</v>
      </c>
      <c r="I19" s="80">
        <f t="shared" si="4"/>
        <v>0</v>
      </c>
      <c r="J19" s="81">
        <f t="shared" si="5"/>
        <v>0</v>
      </c>
      <c r="K19" s="82"/>
      <c r="L19" s="45">
        <f t="shared" si="8"/>
        <v>0</v>
      </c>
      <c r="M19" s="48">
        <f t="shared" si="9"/>
        <v>0</v>
      </c>
      <c r="N19" s="83">
        <f t="shared" si="6"/>
        <v>0</v>
      </c>
      <c r="O19" s="84">
        <f>IFERROR(SUMIF(B8:B19,"&gt;="&amp;(B19-WEEKDAY(B19,2)+1),E8:E19),0)</f>
        <v>0</v>
      </c>
      <c r="P19" s="85">
        <f>IFERROR(SUMIF(B8:B19,"&gt;="&amp;(B19-WEEKDAY(B19,2)+1),H8:H19),0)</f>
        <v>0</v>
      </c>
      <c r="Q19" s="83">
        <f t="shared" si="7"/>
        <v>0</v>
      </c>
    </row>
    <row r="20" spans="2:17" ht="16.5" customHeight="1" x14ac:dyDescent="0.3">
      <c r="B20" s="61"/>
      <c r="C20" s="62" t="str">
        <f t="shared" si="1"/>
        <v/>
      </c>
      <c r="D20" s="63" t="str">
        <f t="shared" si="2"/>
        <v/>
      </c>
      <c r="E20" s="64"/>
      <c r="F20" s="65"/>
      <c r="G20" s="66">
        <f t="shared" si="3"/>
        <v>0</v>
      </c>
      <c r="H20" s="67">
        <f>IFERROR(SUMIF('💸 Expenses'!B9:B508,B20,'💸 Expenses'!F9:F508),0)</f>
        <v>0</v>
      </c>
      <c r="I20" s="68">
        <f t="shared" si="4"/>
        <v>0</v>
      </c>
      <c r="J20" s="69">
        <f t="shared" si="5"/>
        <v>0</v>
      </c>
      <c r="K20" s="70"/>
      <c r="L20" s="36">
        <f t="shared" si="8"/>
        <v>0</v>
      </c>
      <c r="M20" s="39">
        <f t="shared" si="9"/>
        <v>0</v>
      </c>
      <c r="N20" s="71">
        <f t="shared" si="6"/>
        <v>0</v>
      </c>
      <c r="O20" s="72">
        <f>IFERROR(SUMIF(B8:B20,"&gt;="&amp;(B20-WEEKDAY(B20,2)+1),E8:E20),0)</f>
        <v>0</v>
      </c>
      <c r="P20" s="73">
        <f>IFERROR(SUMIF(B8:B20,"&gt;="&amp;(B20-WEEKDAY(B20,2)+1),H8:H20),0)</f>
        <v>0</v>
      </c>
      <c r="Q20" s="71">
        <f t="shared" si="7"/>
        <v>0</v>
      </c>
    </row>
    <row r="21" spans="2:17" ht="16.5" customHeight="1" x14ac:dyDescent="0.3">
      <c r="B21" s="61"/>
      <c r="C21" s="74" t="str">
        <f t="shared" si="1"/>
        <v/>
      </c>
      <c r="D21" s="75" t="str">
        <f t="shared" si="2"/>
        <v/>
      </c>
      <c r="E21" s="76"/>
      <c r="F21" s="77"/>
      <c r="G21" s="78">
        <f t="shared" si="3"/>
        <v>0</v>
      </c>
      <c r="H21" s="79">
        <f>IFERROR(SUMIF('💸 Expenses'!B9:B508,B21,'💸 Expenses'!F9:F508),0)</f>
        <v>0</v>
      </c>
      <c r="I21" s="80">
        <f t="shared" si="4"/>
        <v>0</v>
      </c>
      <c r="J21" s="81">
        <f t="shared" si="5"/>
        <v>0</v>
      </c>
      <c r="K21" s="82"/>
      <c r="L21" s="45">
        <f t="shared" si="8"/>
        <v>0</v>
      </c>
      <c r="M21" s="48">
        <f t="shared" si="9"/>
        <v>0</v>
      </c>
      <c r="N21" s="83">
        <f t="shared" si="6"/>
        <v>0</v>
      </c>
      <c r="O21" s="84">
        <f>IFERROR(SUMIF(B8:B21,"&gt;="&amp;(B21-WEEKDAY(B21,2)+1),E8:E21),0)</f>
        <v>0</v>
      </c>
      <c r="P21" s="85">
        <f>IFERROR(SUMIF(B8:B21,"&gt;="&amp;(B21-WEEKDAY(B21,2)+1),H8:H21),0)</f>
        <v>0</v>
      </c>
      <c r="Q21" s="83">
        <f t="shared" si="7"/>
        <v>0</v>
      </c>
    </row>
    <row r="22" spans="2:17" ht="16.5" customHeight="1" x14ac:dyDescent="0.3">
      <c r="B22" s="61"/>
      <c r="C22" s="62" t="str">
        <f t="shared" si="1"/>
        <v/>
      </c>
      <c r="D22" s="63" t="str">
        <f t="shared" si="2"/>
        <v/>
      </c>
      <c r="E22" s="64"/>
      <c r="F22" s="65"/>
      <c r="G22" s="66">
        <f t="shared" si="3"/>
        <v>0</v>
      </c>
      <c r="H22" s="67">
        <f>IFERROR(SUMIF('💸 Expenses'!B9:B508,B22,'💸 Expenses'!F9:F508),0)</f>
        <v>0</v>
      </c>
      <c r="I22" s="68">
        <f t="shared" si="4"/>
        <v>0</v>
      </c>
      <c r="J22" s="69">
        <f t="shared" si="5"/>
        <v>0</v>
      </c>
      <c r="K22" s="70"/>
      <c r="L22" s="36">
        <f t="shared" si="8"/>
        <v>0</v>
      </c>
      <c r="M22" s="39">
        <f t="shared" si="9"/>
        <v>0</v>
      </c>
      <c r="N22" s="71">
        <f t="shared" si="6"/>
        <v>0</v>
      </c>
      <c r="O22" s="72">
        <f>IFERROR(SUMIF(B8:B22,"&gt;="&amp;(B22-WEEKDAY(B22,2)+1),E8:E22),0)</f>
        <v>0</v>
      </c>
      <c r="P22" s="73">
        <f>IFERROR(SUMIF(B8:B22,"&gt;="&amp;(B22-WEEKDAY(B22,2)+1),H8:H22),0)</f>
        <v>0</v>
      </c>
      <c r="Q22" s="71">
        <f t="shared" si="7"/>
        <v>0</v>
      </c>
    </row>
    <row r="23" spans="2:17" ht="16.5" customHeight="1" x14ac:dyDescent="0.3">
      <c r="B23" s="61"/>
      <c r="C23" s="74" t="str">
        <f t="shared" si="1"/>
        <v/>
      </c>
      <c r="D23" s="75" t="str">
        <f t="shared" si="2"/>
        <v/>
      </c>
      <c r="E23" s="76"/>
      <c r="F23" s="77"/>
      <c r="G23" s="78">
        <f t="shared" si="3"/>
        <v>0</v>
      </c>
      <c r="H23" s="79">
        <f>IFERROR(SUMIF('💸 Expenses'!B9:B508,B23,'💸 Expenses'!F9:F508),0)</f>
        <v>0</v>
      </c>
      <c r="I23" s="80">
        <f t="shared" si="4"/>
        <v>0</v>
      </c>
      <c r="J23" s="81">
        <f t="shared" si="5"/>
        <v>0</v>
      </c>
      <c r="K23" s="82"/>
      <c r="L23" s="45">
        <f t="shared" si="8"/>
        <v>0</v>
      </c>
      <c r="M23" s="48">
        <f t="shared" si="9"/>
        <v>0</v>
      </c>
      <c r="N23" s="83">
        <f t="shared" si="6"/>
        <v>0</v>
      </c>
      <c r="O23" s="84">
        <f>IFERROR(SUMIF(B8:B23,"&gt;="&amp;(B23-WEEKDAY(B23,2)+1),E8:E23),0)</f>
        <v>0</v>
      </c>
      <c r="P23" s="85">
        <f>IFERROR(SUMIF(B8:B23,"&gt;="&amp;(B23-WEEKDAY(B23,2)+1),H8:H23),0)</f>
        <v>0</v>
      </c>
      <c r="Q23" s="83">
        <f t="shared" si="7"/>
        <v>0</v>
      </c>
    </row>
    <row r="24" spans="2:17" ht="16.5" customHeight="1" x14ac:dyDescent="0.3">
      <c r="B24" s="61"/>
      <c r="C24" s="62" t="str">
        <f t="shared" si="1"/>
        <v/>
      </c>
      <c r="D24" s="63" t="str">
        <f t="shared" si="2"/>
        <v/>
      </c>
      <c r="E24" s="64"/>
      <c r="F24" s="65"/>
      <c r="G24" s="66">
        <f t="shared" si="3"/>
        <v>0</v>
      </c>
      <c r="H24" s="67">
        <f>IFERROR(SUMIF('💸 Expenses'!B9:B508,B24,'💸 Expenses'!F9:F508),0)</f>
        <v>0</v>
      </c>
      <c r="I24" s="68">
        <f t="shared" si="4"/>
        <v>0</v>
      </c>
      <c r="J24" s="69">
        <f t="shared" si="5"/>
        <v>0</v>
      </c>
      <c r="K24" s="70"/>
      <c r="L24" s="36">
        <f t="shared" si="8"/>
        <v>0</v>
      </c>
      <c r="M24" s="39">
        <f t="shared" si="9"/>
        <v>0</v>
      </c>
      <c r="N24" s="71">
        <f t="shared" si="6"/>
        <v>0</v>
      </c>
      <c r="O24" s="72">
        <f>IFERROR(SUMIF(B8:B24,"&gt;="&amp;(B24-WEEKDAY(B24,2)+1),E8:E24),0)</f>
        <v>0</v>
      </c>
      <c r="P24" s="73">
        <f>IFERROR(SUMIF(B8:B24,"&gt;="&amp;(B24-WEEKDAY(B24,2)+1),H8:H24),0)</f>
        <v>0</v>
      </c>
      <c r="Q24" s="71">
        <f t="shared" si="7"/>
        <v>0</v>
      </c>
    </row>
    <row r="25" spans="2:17" ht="16.5" customHeight="1" x14ac:dyDescent="0.3">
      <c r="B25" s="61"/>
      <c r="C25" s="74" t="str">
        <f t="shared" si="1"/>
        <v/>
      </c>
      <c r="D25" s="75" t="str">
        <f t="shared" si="2"/>
        <v/>
      </c>
      <c r="E25" s="76"/>
      <c r="F25" s="77"/>
      <c r="G25" s="78">
        <f t="shared" si="3"/>
        <v>0</v>
      </c>
      <c r="H25" s="79">
        <f>IFERROR(SUMIF('💸 Expenses'!B9:B508,B25,'💸 Expenses'!F9:F508),0)</f>
        <v>0</v>
      </c>
      <c r="I25" s="80">
        <f t="shared" si="4"/>
        <v>0</v>
      </c>
      <c r="J25" s="81">
        <f t="shared" si="5"/>
        <v>0</v>
      </c>
      <c r="K25" s="82"/>
      <c r="L25" s="45">
        <f t="shared" si="8"/>
        <v>0</v>
      </c>
      <c r="M25" s="48">
        <f t="shared" si="9"/>
        <v>0</v>
      </c>
      <c r="N25" s="83">
        <f t="shared" si="6"/>
        <v>0</v>
      </c>
      <c r="O25" s="84">
        <f>IFERROR(SUMIF(B8:B25,"&gt;="&amp;(B25-WEEKDAY(B25,2)+1),E8:E25),0)</f>
        <v>0</v>
      </c>
      <c r="P25" s="85">
        <f>IFERROR(SUMIF(B8:B25,"&gt;="&amp;(B25-WEEKDAY(B25,2)+1),H8:H25),0)</f>
        <v>0</v>
      </c>
      <c r="Q25" s="83">
        <f t="shared" si="7"/>
        <v>0</v>
      </c>
    </row>
    <row r="26" spans="2:17" ht="16.5" customHeight="1" x14ac:dyDescent="0.3">
      <c r="B26" s="61"/>
      <c r="C26" s="62" t="str">
        <f t="shared" si="1"/>
        <v/>
      </c>
      <c r="D26" s="63" t="str">
        <f t="shared" si="2"/>
        <v/>
      </c>
      <c r="E26" s="64"/>
      <c r="F26" s="65"/>
      <c r="G26" s="66">
        <f t="shared" si="3"/>
        <v>0</v>
      </c>
      <c r="H26" s="67">
        <f>IFERROR(SUMIF('💸 Expenses'!B9:B508,B26,'💸 Expenses'!F9:F508),0)</f>
        <v>0</v>
      </c>
      <c r="I26" s="68">
        <f t="shared" si="4"/>
        <v>0</v>
      </c>
      <c r="J26" s="69">
        <f t="shared" si="5"/>
        <v>0</v>
      </c>
      <c r="K26" s="70"/>
      <c r="L26" s="36">
        <f t="shared" si="8"/>
        <v>0</v>
      </c>
      <c r="M26" s="39">
        <f t="shared" si="9"/>
        <v>0</v>
      </c>
      <c r="N26" s="71">
        <f t="shared" si="6"/>
        <v>0</v>
      </c>
      <c r="O26" s="72">
        <f>IFERROR(SUMIF(B8:B26,"&gt;="&amp;(B26-WEEKDAY(B26,2)+1),E8:E26),0)</f>
        <v>0</v>
      </c>
      <c r="P26" s="73">
        <f>IFERROR(SUMIF(B8:B26,"&gt;="&amp;(B26-WEEKDAY(B26,2)+1),H8:H26),0)</f>
        <v>0</v>
      </c>
      <c r="Q26" s="71">
        <f t="shared" si="7"/>
        <v>0</v>
      </c>
    </row>
    <row r="27" spans="2:17" ht="16.5" customHeight="1" x14ac:dyDescent="0.3">
      <c r="B27" s="61"/>
      <c r="C27" s="74" t="str">
        <f t="shared" si="1"/>
        <v/>
      </c>
      <c r="D27" s="75" t="str">
        <f t="shared" si="2"/>
        <v/>
      </c>
      <c r="E27" s="76"/>
      <c r="F27" s="77"/>
      <c r="G27" s="78">
        <f t="shared" si="3"/>
        <v>0</v>
      </c>
      <c r="H27" s="79">
        <f>IFERROR(SUMIF('💸 Expenses'!B9:B508,B27,'💸 Expenses'!F9:F508),0)</f>
        <v>0</v>
      </c>
      <c r="I27" s="80">
        <f t="shared" si="4"/>
        <v>0</v>
      </c>
      <c r="J27" s="81">
        <f t="shared" si="5"/>
        <v>0</v>
      </c>
      <c r="K27" s="82"/>
      <c r="L27" s="45">
        <f t="shared" si="8"/>
        <v>0</v>
      </c>
      <c r="M27" s="48">
        <f t="shared" si="9"/>
        <v>0</v>
      </c>
      <c r="N27" s="83">
        <f t="shared" si="6"/>
        <v>0</v>
      </c>
      <c r="O27" s="84">
        <f>IFERROR(SUMIF(B8:B27,"&gt;="&amp;(B27-WEEKDAY(B27,2)+1),E8:E27),0)</f>
        <v>0</v>
      </c>
      <c r="P27" s="85">
        <f>IFERROR(SUMIF(B8:B27,"&gt;="&amp;(B27-WEEKDAY(B27,2)+1),H8:H27),0)</f>
        <v>0</v>
      </c>
      <c r="Q27" s="83">
        <f t="shared" si="7"/>
        <v>0</v>
      </c>
    </row>
    <row r="28" spans="2:17" ht="16.5" customHeight="1" x14ac:dyDescent="0.3">
      <c r="B28" s="61"/>
      <c r="C28" s="62" t="str">
        <f t="shared" si="1"/>
        <v/>
      </c>
      <c r="D28" s="63" t="str">
        <f t="shared" si="2"/>
        <v/>
      </c>
      <c r="E28" s="64"/>
      <c r="F28" s="65"/>
      <c r="G28" s="66">
        <f t="shared" si="3"/>
        <v>0</v>
      </c>
      <c r="H28" s="67">
        <f>IFERROR(SUMIF('💸 Expenses'!B9:B508,B28,'💸 Expenses'!F9:F508),0)</f>
        <v>0</v>
      </c>
      <c r="I28" s="68">
        <f t="shared" si="4"/>
        <v>0</v>
      </c>
      <c r="J28" s="69">
        <f t="shared" si="5"/>
        <v>0</v>
      </c>
      <c r="K28" s="70"/>
      <c r="L28" s="36">
        <f t="shared" si="8"/>
        <v>0</v>
      </c>
      <c r="M28" s="39">
        <f t="shared" si="9"/>
        <v>0</v>
      </c>
      <c r="N28" s="71">
        <f t="shared" si="6"/>
        <v>0</v>
      </c>
      <c r="O28" s="72">
        <f>IFERROR(SUMIF(B8:B28,"&gt;="&amp;(B28-WEEKDAY(B28,2)+1),E8:E28),0)</f>
        <v>0</v>
      </c>
      <c r="P28" s="73">
        <f>IFERROR(SUMIF(B8:B28,"&gt;="&amp;(B28-WEEKDAY(B28,2)+1),H8:H28),0)</f>
        <v>0</v>
      </c>
      <c r="Q28" s="71">
        <f t="shared" si="7"/>
        <v>0</v>
      </c>
    </row>
    <row r="29" spans="2:17" ht="16.5" customHeight="1" x14ac:dyDescent="0.3">
      <c r="B29" s="61"/>
      <c r="C29" s="74" t="str">
        <f t="shared" si="1"/>
        <v/>
      </c>
      <c r="D29" s="75" t="str">
        <f t="shared" si="2"/>
        <v/>
      </c>
      <c r="E29" s="76"/>
      <c r="F29" s="77"/>
      <c r="G29" s="78">
        <f t="shared" si="3"/>
        <v>0</v>
      </c>
      <c r="H29" s="79">
        <f>IFERROR(SUMIF('💸 Expenses'!B9:B508,B29,'💸 Expenses'!F9:F508),0)</f>
        <v>0</v>
      </c>
      <c r="I29" s="80">
        <f t="shared" si="4"/>
        <v>0</v>
      </c>
      <c r="J29" s="81">
        <f t="shared" si="5"/>
        <v>0</v>
      </c>
      <c r="K29" s="82"/>
      <c r="L29" s="45">
        <f t="shared" si="8"/>
        <v>0</v>
      </c>
      <c r="M29" s="48">
        <f t="shared" si="9"/>
        <v>0</v>
      </c>
      <c r="N29" s="83">
        <f t="shared" si="6"/>
        <v>0</v>
      </c>
      <c r="O29" s="84">
        <f>IFERROR(SUMIF(B8:B29,"&gt;="&amp;(B29-WEEKDAY(B29,2)+1),E8:E29),0)</f>
        <v>0</v>
      </c>
      <c r="P29" s="85">
        <f>IFERROR(SUMIF(B8:B29,"&gt;="&amp;(B29-WEEKDAY(B29,2)+1),H8:H29),0)</f>
        <v>0</v>
      </c>
      <c r="Q29" s="83">
        <f t="shared" si="7"/>
        <v>0</v>
      </c>
    </row>
    <row r="30" spans="2:17" ht="16.5" customHeight="1" x14ac:dyDescent="0.3">
      <c r="B30" s="61"/>
      <c r="C30" s="62" t="str">
        <f t="shared" si="1"/>
        <v/>
      </c>
      <c r="D30" s="63" t="str">
        <f t="shared" si="2"/>
        <v/>
      </c>
      <c r="E30" s="64"/>
      <c r="F30" s="65"/>
      <c r="G30" s="66">
        <f t="shared" si="3"/>
        <v>0</v>
      </c>
      <c r="H30" s="67">
        <f>IFERROR(SUMIF('💸 Expenses'!B9:B508,B30,'💸 Expenses'!F9:F508),0)</f>
        <v>0</v>
      </c>
      <c r="I30" s="68">
        <f t="shared" si="4"/>
        <v>0</v>
      </c>
      <c r="J30" s="69">
        <f t="shared" si="5"/>
        <v>0</v>
      </c>
      <c r="K30" s="70"/>
      <c r="L30" s="36">
        <f t="shared" si="8"/>
        <v>0</v>
      </c>
      <c r="M30" s="39">
        <f t="shared" si="9"/>
        <v>0</v>
      </c>
      <c r="N30" s="71">
        <f t="shared" si="6"/>
        <v>0</v>
      </c>
      <c r="O30" s="72">
        <f>IFERROR(SUMIF(B8:B30,"&gt;="&amp;(B30-WEEKDAY(B30,2)+1),E8:E30),0)</f>
        <v>0</v>
      </c>
      <c r="P30" s="73">
        <f>IFERROR(SUMIF(B8:B30,"&gt;="&amp;(B30-WEEKDAY(B30,2)+1),H8:H30),0)</f>
        <v>0</v>
      </c>
      <c r="Q30" s="71">
        <f t="shared" si="7"/>
        <v>0</v>
      </c>
    </row>
    <row r="31" spans="2:17" ht="16.5" customHeight="1" x14ac:dyDescent="0.3">
      <c r="B31" s="61"/>
      <c r="C31" s="74" t="str">
        <f t="shared" si="1"/>
        <v/>
      </c>
      <c r="D31" s="75" t="str">
        <f t="shared" si="2"/>
        <v/>
      </c>
      <c r="E31" s="76"/>
      <c r="F31" s="77"/>
      <c r="G31" s="78">
        <f t="shared" si="3"/>
        <v>0</v>
      </c>
      <c r="H31" s="79">
        <f>IFERROR(SUMIF('💸 Expenses'!B9:B508,B31,'💸 Expenses'!F9:F508),0)</f>
        <v>0</v>
      </c>
      <c r="I31" s="80">
        <f t="shared" si="4"/>
        <v>0</v>
      </c>
      <c r="J31" s="81">
        <f t="shared" si="5"/>
        <v>0</v>
      </c>
      <c r="K31" s="82"/>
      <c r="L31" s="45">
        <f t="shared" si="8"/>
        <v>0</v>
      </c>
      <c r="M31" s="48">
        <f t="shared" si="9"/>
        <v>0</v>
      </c>
      <c r="N31" s="83">
        <f t="shared" si="6"/>
        <v>0</v>
      </c>
      <c r="O31" s="84">
        <f>IFERROR(SUMIF(B8:B31,"&gt;="&amp;(B31-WEEKDAY(B31,2)+1),E8:E31),0)</f>
        <v>0</v>
      </c>
      <c r="P31" s="85">
        <f>IFERROR(SUMIF(B8:B31,"&gt;="&amp;(B31-WEEKDAY(B31,2)+1),H8:H31),0)</f>
        <v>0</v>
      </c>
      <c r="Q31" s="83">
        <f t="shared" si="7"/>
        <v>0</v>
      </c>
    </row>
    <row r="32" spans="2:17" ht="16.5" customHeight="1" x14ac:dyDescent="0.3">
      <c r="B32" s="61"/>
      <c r="C32" s="62" t="str">
        <f t="shared" si="1"/>
        <v/>
      </c>
      <c r="D32" s="63" t="str">
        <f t="shared" si="2"/>
        <v/>
      </c>
      <c r="E32" s="64"/>
      <c r="F32" s="65"/>
      <c r="G32" s="66">
        <f t="shared" si="3"/>
        <v>0</v>
      </c>
      <c r="H32" s="67">
        <f>IFERROR(SUMIF('💸 Expenses'!B9:B508,B32,'💸 Expenses'!F9:F508),0)</f>
        <v>0</v>
      </c>
      <c r="I32" s="68">
        <f t="shared" si="4"/>
        <v>0</v>
      </c>
      <c r="J32" s="69">
        <f t="shared" si="5"/>
        <v>0</v>
      </c>
      <c r="K32" s="70"/>
      <c r="L32" s="36">
        <f t="shared" si="8"/>
        <v>0</v>
      </c>
      <c r="M32" s="39">
        <f t="shared" si="9"/>
        <v>0</v>
      </c>
      <c r="N32" s="71">
        <f t="shared" si="6"/>
        <v>0</v>
      </c>
      <c r="O32" s="72">
        <f>IFERROR(SUMIF(B8:B32,"&gt;="&amp;(B32-WEEKDAY(B32,2)+1),E8:E32),0)</f>
        <v>0</v>
      </c>
      <c r="P32" s="73">
        <f>IFERROR(SUMIF(B8:B32,"&gt;="&amp;(B32-WEEKDAY(B32,2)+1),H8:H32),0)</f>
        <v>0</v>
      </c>
      <c r="Q32" s="71">
        <f t="shared" si="7"/>
        <v>0</v>
      </c>
    </row>
    <row r="33" spans="2:17" ht="16.5" customHeight="1" x14ac:dyDescent="0.3">
      <c r="B33" s="61"/>
      <c r="C33" s="74" t="str">
        <f t="shared" si="1"/>
        <v/>
      </c>
      <c r="D33" s="75" t="str">
        <f t="shared" si="2"/>
        <v/>
      </c>
      <c r="E33" s="76"/>
      <c r="F33" s="77"/>
      <c r="G33" s="78">
        <f t="shared" si="3"/>
        <v>0</v>
      </c>
      <c r="H33" s="79">
        <f>IFERROR(SUMIF('💸 Expenses'!B9:B508,B33,'💸 Expenses'!F9:F508),0)</f>
        <v>0</v>
      </c>
      <c r="I33" s="80">
        <f t="shared" si="4"/>
        <v>0</v>
      </c>
      <c r="J33" s="81">
        <f t="shared" si="5"/>
        <v>0</v>
      </c>
      <c r="K33" s="82"/>
      <c r="L33" s="45">
        <f t="shared" si="8"/>
        <v>0</v>
      </c>
      <c r="M33" s="48">
        <f t="shared" si="9"/>
        <v>0</v>
      </c>
      <c r="N33" s="83">
        <f t="shared" si="6"/>
        <v>0</v>
      </c>
      <c r="O33" s="84">
        <f>IFERROR(SUMIF(B8:B33,"&gt;="&amp;(B33-WEEKDAY(B33,2)+1),E8:E33),0)</f>
        <v>0</v>
      </c>
      <c r="P33" s="85">
        <f>IFERROR(SUMIF(B8:B33,"&gt;="&amp;(B33-WEEKDAY(B33,2)+1),H8:H33),0)</f>
        <v>0</v>
      </c>
      <c r="Q33" s="83">
        <f t="shared" si="7"/>
        <v>0</v>
      </c>
    </row>
    <row r="34" spans="2:17" ht="16.5" customHeight="1" x14ac:dyDescent="0.3">
      <c r="B34" s="61"/>
      <c r="C34" s="62" t="str">
        <f t="shared" si="1"/>
        <v/>
      </c>
      <c r="D34" s="63" t="str">
        <f t="shared" si="2"/>
        <v/>
      </c>
      <c r="E34" s="64"/>
      <c r="F34" s="65"/>
      <c r="G34" s="66">
        <f t="shared" si="3"/>
        <v>0</v>
      </c>
      <c r="H34" s="67">
        <f>IFERROR(SUMIF('💸 Expenses'!B9:B508,B34,'💸 Expenses'!F9:F508),0)</f>
        <v>0</v>
      </c>
      <c r="I34" s="68">
        <f t="shared" si="4"/>
        <v>0</v>
      </c>
      <c r="J34" s="69">
        <f t="shared" si="5"/>
        <v>0</v>
      </c>
      <c r="K34" s="70"/>
      <c r="L34" s="36">
        <f t="shared" si="8"/>
        <v>0</v>
      </c>
      <c r="M34" s="39">
        <f t="shared" si="9"/>
        <v>0</v>
      </c>
      <c r="N34" s="71">
        <f t="shared" si="6"/>
        <v>0</v>
      </c>
      <c r="O34" s="72">
        <f>IFERROR(SUMIF(B8:B34,"&gt;="&amp;(B34-WEEKDAY(B34,2)+1),E8:E34),0)</f>
        <v>0</v>
      </c>
      <c r="P34" s="73">
        <f>IFERROR(SUMIF(B8:B34,"&gt;="&amp;(B34-WEEKDAY(B34,2)+1),H8:H34),0)</f>
        <v>0</v>
      </c>
      <c r="Q34" s="71">
        <f t="shared" si="7"/>
        <v>0</v>
      </c>
    </row>
    <row r="35" spans="2:17" ht="16.5" customHeight="1" x14ac:dyDescent="0.3">
      <c r="B35" s="61"/>
      <c r="C35" s="74" t="str">
        <f t="shared" si="1"/>
        <v/>
      </c>
      <c r="D35" s="75" t="str">
        <f t="shared" si="2"/>
        <v/>
      </c>
      <c r="E35" s="76"/>
      <c r="F35" s="77"/>
      <c r="G35" s="78">
        <f t="shared" si="3"/>
        <v>0</v>
      </c>
      <c r="H35" s="79">
        <f>IFERROR(SUMIF('💸 Expenses'!B9:B508,B35,'💸 Expenses'!F9:F508),0)</f>
        <v>0</v>
      </c>
      <c r="I35" s="80">
        <f t="shared" si="4"/>
        <v>0</v>
      </c>
      <c r="J35" s="81">
        <f t="shared" si="5"/>
        <v>0</v>
      </c>
      <c r="K35" s="82"/>
      <c r="L35" s="45">
        <f t="shared" si="8"/>
        <v>0</v>
      </c>
      <c r="M35" s="48">
        <f t="shared" si="9"/>
        <v>0</v>
      </c>
      <c r="N35" s="83">
        <f t="shared" si="6"/>
        <v>0</v>
      </c>
      <c r="O35" s="84">
        <f>IFERROR(SUMIF(B8:B35,"&gt;="&amp;(B35-WEEKDAY(B35,2)+1),E8:E35),0)</f>
        <v>0</v>
      </c>
      <c r="P35" s="85">
        <f>IFERROR(SUMIF(B8:B35,"&gt;="&amp;(B35-WEEKDAY(B35,2)+1),H8:H35),0)</f>
        <v>0</v>
      </c>
      <c r="Q35" s="83">
        <f t="shared" si="7"/>
        <v>0</v>
      </c>
    </row>
    <row r="36" spans="2:17" ht="16.5" customHeight="1" x14ac:dyDescent="0.3">
      <c r="B36" s="61"/>
      <c r="C36" s="62" t="str">
        <f t="shared" si="1"/>
        <v/>
      </c>
      <c r="D36" s="63" t="str">
        <f t="shared" si="2"/>
        <v/>
      </c>
      <c r="E36" s="64"/>
      <c r="F36" s="65"/>
      <c r="G36" s="66">
        <f t="shared" si="3"/>
        <v>0</v>
      </c>
      <c r="H36" s="67">
        <f>IFERROR(SUMIF('💸 Expenses'!B9:B508,B36,'💸 Expenses'!F9:F508),0)</f>
        <v>0</v>
      </c>
      <c r="I36" s="68">
        <f t="shared" si="4"/>
        <v>0</v>
      </c>
      <c r="J36" s="69">
        <f t="shared" si="5"/>
        <v>0</v>
      </c>
      <c r="K36" s="70"/>
      <c r="L36" s="36">
        <f t="shared" si="8"/>
        <v>0</v>
      </c>
      <c r="M36" s="39">
        <f t="shared" si="9"/>
        <v>0</v>
      </c>
      <c r="N36" s="71">
        <f t="shared" si="6"/>
        <v>0</v>
      </c>
      <c r="O36" s="72">
        <f>IFERROR(SUMIF(B8:B36,"&gt;="&amp;(B36-WEEKDAY(B36,2)+1),E8:E36),0)</f>
        <v>0</v>
      </c>
      <c r="P36" s="73">
        <f>IFERROR(SUMIF(B8:B36,"&gt;="&amp;(B36-WEEKDAY(B36,2)+1),H8:H36),0)</f>
        <v>0</v>
      </c>
      <c r="Q36" s="71">
        <f t="shared" si="7"/>
        <v>0</v>
      </c>
    </row>
    <row r="37" spans="2:17" ht="16.5" customHeight="1" x14ac:dyDescent="0.3">
      <c r="B37" s="61"/>
      <c r="C37" s="74" t="str">
        <f t="shared" si="1"/>
        <v/>
      </c>
      <c r="D37" s="75" t="str">
        <f t="shared" si="2"/>
        <v/>
      </c>
      <c r="E37" s="76"/>
      <c r="F37" s="77"/>
      <c r="G37" s="78">
        <f t="shared" si="3"/>
        <v>0</v>
      </c>
      <c r="H37" s="79">
        <f>IFERROR(SUMIF('💸 Expenses'!B9:B508,B37,'💸 Expenses'!F9:F508),0)</f>
        <v>0</v>
      </c>
      <c r="I37" s="80">
        <f t="shared" si="4"/>
        <v>0</v>
      </c>
      <c r="J37" s="81">
        <f t="shared" si="5"/>
        <v>0</v>
      </c>
      <c r="K37" s="82"/>
      <c r="L37" s="45">
        <f t="shared" si="8"/>
        <v>0</v>
      </c>
      <c r="M37" s="48">
        <f t="shared" si="9"/>
        <v>0</v>
      </c>
      <c r="N37" s="83">
        <f t="shared" si="6"/>
        <v>0</v>
      </c>
      <c r="O37" s="84">
        <f>IFERROR(SUMIF(B8:B37,"&gt;="&amp;(B37-WEEKDAY(B37,2)+1),E8:E37),0)</f>
        <v>0</v>
      </c>
      <c r="P37" s="85">
        <f>IFERROR(SUMIF(B8:B37,"&gt;="&amp;(B37-WEEKDAY(B37,2)+1),H8:H37),0)</f>
        <v>0</v>
      </c>
      <c r="Q37" s="83">
        <f t="shared" si="7"/>
        <v>0</v>
      </c>
    </row>
    <row r="38" spans="2:17" ht="16.5" customHeight="1" x14ac:dyDescent="0.3">
      <c r="B38" s="61"/>
      <c r="C38" s="62" t="str">
        <f t="shared" si="1"/>
        <v/>
      </c>
      <c r="D38" s="63" t="str">
        <f t="shared" si="2"/>
        <v/>
      </c>
      <c r="E38" s="64"/>
      <c r="F38" s="65"/>
      <c r="G38" s="66">
        <f t="shared" si="3"/>
        <v>0</v>
      </c>
      <c r="H38" s="67">
        <f>IFERROR(SUMIF('💸 Expenses'!B9:B508,B38,'💸 Expenses'!F9:F508),0)</f>
        <v>0</v>
      </c>
      <c r="I38" s="68">
        <f t="shared" si="4"/>
        <v>0</v>
      </c>
      <c r="J38" s="69">
        <f t="shared" si="5"/>
        <v>0</v>
      </c>
      <c r="K38" s="70"/>
      <c r="L38" s="36">
        <f t="shared" si="8"/>
        <v>0</v>
      </c>
      <c r="M38" s="39">
        <f t="shared" si="9"/>
        <v>0</v>
      </c>
      <c r="N38" s="71">
        <f t="shared" si="6"/>
        <v>0</v>
      </c>
      <c r="O38" s="72">
        <f>IFERROR(SUMIF(B8:B38,"&gt;="&amp;(B38-WEEKDAY(B38,2)+1),E8:E38),0)</f>
        <v>0</v>
      </c>
      <c r="P38" s="73">
        <f>IFERROR(SUMIF(B8:B38,"&gt;="&amp;(B38-WEEKDAY(B38,2)+1),H8:H38),0)</f>
        <v>0</v>
      </c>
      <c r="Q38" s="71">
        <f t="shared" si="7"/>
        <v>0</v>
      </c>
    </row>
    <row r="39" spans="2:17" ht="16.5" customHeight="1" x14ac:dyDescent="0.3">
      <c r="B39" s="61"/>
      <c r="C39" s="74" t="str">
        <f t="shared" si="1"/>
        <v/>
      </c>
      <c r="D39" s="75" t="str">
        <f t="shared" si="2"/>
        <v/>
      </c>
      <c r="E39" s="76"/>
      <c r="F39" s="77"/>
      <c r="G39" s="78">
        <f t="shared" si="3"/>
        <v>0</v>
      </c>
      <c r="H39" s="79">
        <f>IFERROR(SUMIF('💸 Expenses'!B9:B508,B39,'💸 Expenses'!F9:F508),0)</f>
        <v>0</v>
      </c>
      <c r="I39" s="80">
        <f t="shared" si="4"/>
        <v>0</v>
      </c>
      <c r="J39" s="81">
        <f t="shared" si="5"/>
        <v>0</v>
      </c>
      <c r="K39" s="82"/>
      <c r="L39" s="45">
        <f t="shared" si="8"/>
        <v>0</v>
      </c>
      <c r="M39" s="48">
        <f t="shared" si="9"/>
        <v>0</v>
      </c>
      <c r="N39" s="83">
        <f t="shared" si="6"/>
        <v>0</v>
      </c>
      <c r="O39" s="84">
        <f>IFERROR(SUMIF(B8:B39,"&gt;="&amp;(B39-WEEKDAY(B39,2)+1),E8:E39),0)</f>
        <v>0</v>
      </c>
      <c r="P39" s="85">
        <f>IFERROR(SUMIF(B8:B39,"&gt;="&amp;(B39-WEEKDAY(B39,2)+1),H8:H39),0)</f>
        <v>0</v>
      </c>
      <c r="Q39" s="83">
        <f t="shared" si="7"/>
        <v>0</v>
      </c>
    </row>
    <row r="40" spans="2:17" ht="16.5" customHeight="1" x14ac:dyDescent="0.3">
      <c r="B40" s="61"/>
      <c r="C40" s="62" t="str">
        <f t="shared" si="1"/>
        <v/>
      </c>
      <c r="D40" s="63" t="str">
        <f t="shared" si="2"/>
        <v/>
      </c>
      <c r="E40" s="64"/>
      <c r="F40" s="65"/>
      <c r="G40" s="66">
        <f t="shared" si="3"/>
        <v>0</v>
      </c>
      <c r="H40" s="67">
        <f>IFERROR(SUMIF('💸 Expenses'!B9:B508,B40,'💸 Expenses'!F9:F508),0)</f>
        <v>0</v>
      </c>
      <c r="I40" s="68">
        <f t="shared" si="4"/>
        <v>0</v>
      </c>
      <c r="J40" s="69">
        <f t="shared" si="5"/>
        <v>0</v>
      </c>
      <c r="K40" s="70"/>
      <c r="L40" s="36">
        <f t="shared" si="8"/>
        <v>0</v>
      </c>
      <c r="M40" s="39">
        <f t="shared" si="9"/>
        <v>0</v>
      </c>
      <c r="N40" s="71">
        <f t="shared" si="6"/>
        <v>0</v>
      </c>
      <c r="O40" s="72">
        <f>IFERROR(SUMIF(B8:B40,"&gt;="&amp;(B40-WEEKDAY(B40,2)+1),E8:E40),0)</f>
        <v>0</v>
      </c>
      <c r="P40" s="73">
        <f>IFERROR(SUMIF(B8:B40,"&gt;="&amp;(B40-WEEKDAY(B40,2)+1),H8:H40),0)</f>
        <v>0</v>
      </c>
      <c r="Q40" s="71">
        <f t="shared" si="7"/>
        <v>0</v>
      </c>
    </row>
    <row r="41" spans="2:17" ht="16.5" customHeight="1" x14ac:dyDescent="0.3">
      <c r="B41" s="61"/>
      <c r="C41" s="74" t="str">
        <f t="shared" si="1"/>
        <v/>
      </c>
      <c r="D41" s="75" t="str">
        <f t="shared" si="2"/>
        <v/>
      </c>
      <c r="E41" s="76"/>
      <c r="F41" s="77"/>
      <c r="G41" s="78">
        <f t="shared" si="3"/>
        <v>0</v>
      </c>
      <c r="H41" s="79">
        <f>IFERROR(SUMIF('💸 Expenses'!B9:B508,B41,'💸 Expenses'!F9:F508),0)</f>
        <v>0</v>
      </c>
      <c r="I41" s="80">
        <f t="shared" si="4"/>
        <v>0</v>
      </c>
      <c r="J41" s="81">
        <f t="shared" si="5"/>
        <v>0</v>
      </c>
      <c r="K41" s="82"/>
      <c r="L41" s="45">
        <f t="shared" si="8"/>
        <v>0</v>
      </c>
      <c r="M41" s="48">
        <f t="shared" si="9"/>
        <v>0</v>
      </c>
      <c r="N41" s="83">
        <f t="shared" si="6"/>
        <v>0</v>
      </c>
      <c r="O41" s="84">
        <f>IFERROR(SUMIF(B8:B41,"&gt;="&amp;(B41-WEEKDAY(B41,2)+1),E8:E41),0)</f>
        <v>0</v>
      </c>
      <c r="P41" s="85">
        <f>IFERROR(SUMIF(B8:B41,"&gt;="&amp;(B41-WEEKDAY(B41,2)+1),H8:H41),0)</f>
        <v>0</v>
      </c>
      <c r="Q41" s="83">
        <f t="shared" si="7"/>
        <v>0</v>
      </c>
    </row>
    <row r="42" spans="2:17" ht="16.5" customHeight="1" x14ac:dyDescent="0.3">
      <c r="B42" s="61"/>
      <c r="C42" s="62" t="str">
        <f t="shared" si="1"/>
        <v/>
      </c>
      <c r="D42" s="63" t="str">
        <f t="shared" si="2"/>
        <v/>
      </c>
      <c r="E42" s="64"/>
      <c r="F42" s="65"/>
      <c r="G42" s="66">
        <f t="shared" si="3"/>
        <v>0</v>
      </c>
      <c r="H42" s="67">
        <f>IFERROR(SUMIF('💸 Expenses'!B9:B508,B42,'💸 Expenses'!F9:F508),0)</f>
        <v>0</v>
      </c>
      <c r="I42" s="68">
        <f t="shared" si="4"/>
        <v>0</v>
      </c>
      <c r="J42" s="69">
        <f t="shared" si="5"/>
        <v>0</v>
      </c>
      <c r="K42" s="70"/>
      <c r="L42" s="36">
        <f t="shared" si="8"/>
        <v>0</v>
      </c>
      <c r="M42" s="39">
        <f t="shared" si="9"/>
        <v>0</v>
      </c>
      <c r="N42" s="71">
        <f t="shared" si="6"/>
        <v>0</v>
      </c>
      <c r="O42" s="72">
        <f>IFERROR(SUMIF(B8:B42,"&gt;="&amp;(B42-WEEKDAY(B42,2)+1),E8:E42),0)</f>
        <v>0</v>
      </c>
      <c r="P42" s="73">
        <f>IFERROR(SUMIF(B8:B42,"&gt;="&amp;(B42-WEEKDAY(B42,2)+1),H8:H42),0)</f>
        <v>0</v>
      </c>
      <c r="Q42" s="71">
        <f t="shared" si="7"/>
        <v>0</v>
      </c>
    </row>
    <row r="43" spans="2:17" ht="16.5" customHeight="1" x14ac:dyDescent="0.3">
      <c r="B43" s="61"/>
      <c r="C43" s="74" t="str">
        <f t="shared" si="1"/>
        <v/>
      </c>
      <c r="D43" s="75" t="str">
        <f t="shared" si="2"/>
        <v/>
      </c>
      <c r="E43" s="76"/>
      <c r="F43" s="77"/>
      <c r="G43" s="78">
        <f t="shared" si="3"/>
        <v>0</v>
      </c>
      <c r="H43" s="79">
        <f>IFERROR(SUMIF('💸 Expenses'!B9:B508,B43,'💸 Expenses'!F9:F508),0)</f>
        <v>0</v>
      </c>
      <c r="I43" s="80">
        <f t="shared" si="4"/>
        <v>0</v>
      </c>
      <c r="J43" s="81">
        <f t="shared" si="5"/>
        <v>0</v>
      </c>
      <c r="K43" s="82"/>
      <c r="L43" s="45">
        <f t="shared" si="8"/>
        <v>0</v>
      </c>
      <c r="M43" s="48">
        <f t="shared" si="9"/>
        <v>0</v>
      </c>
      <c r="N43" s="83">
        <f t="shared" si="6"/>
        <v>0</v>
      </c>
      <c r="O43" s="84">
        <f>IFERROR(SUMIF(B8:B43,"&gt;="&amp;(B43-WEEKDAY(B43,2)+1),E8:E43),0)</f>
        <v>0</v>
      </c>
      <c r="P43" s="85">
        <f>IFERROR(SUMIF(B8:B43,"&gt;="&amp;(B43-WEEKDAY(B43,2)+1),H8:H43),0)</f>
        <v>0</v>
      </c>
      <c r="Q43" s="83">
        <f t="shared" si="7"/>
        <v>0</v>
      </c>
    </row>
    <row r="44" spans="2:17" ht="16.5" customHeight="1" x14ac:dyDescent="0.3">
      <c r="B44" s="61"/>
      <c r="C44" s="62" t="str">
        <f t="shared" si="1"/>
        <v/>
      </c>
      <c r="D44" s="63" t="str">
        <f t="shared" si="2"/>
        <v/>
      </c>
      <c r="E44" s="64"/>
      <c r="F44" s="65"/>
      <c r="G44" s="66">
        <f t="shared" si="3"/>
        <v>0</v>
      </c>
      <c r="H44" s="67">
        <f>IFERROR(SUMIF('💸 Expenses'!B9:B508,B44,'💸 Expenses'!F9:F508),0)</f>
        <v>0</v>
      </c>
      <c r="I44" s="68">
        <f t="shared" si="4"/>
        <v>0</v>
      </c>
      <c r="J44" s="69">
        <f t="shared" si="5"/>
        <v>0</v>
      </c>
      <c r="K44" s="70"/>
      <c r="L44" s="36">
        <f t="shared" si="8"/>
        <v>0</v>
      </c>
      <c r="M44" s="39">
        <f t="shared" si="9"/>
        <v>0</v>
      </c>
      <c r="N44" s="71">
        <f t="shared" si="6"/>
        <v>0</v>
      </c>
      <c r="O44" s="72">
        <f>IFERROR(SUMIF(B8:B44,"&gt;="&amp;(B44-WEEKDAY(B44,2)+1),E8:E44),0)</f>
        <v>0</v>
      </c>
      <c r="P44" s="73">
        <f>IFERROR(SUMIF(B8:B44,"&gt;="&amp;(B44-WEEKDAY(B44,2)+1),H8:H44),0)</f>
        <v>0</v>
      </c>
      <c r="Q44" s="71">
        <f t="shared" si="7"/>
        <v>0</v>
      </c>
    </row>
    <row r="45" spans="2:17" ht="16.5" customHeight="1" x14ac:dyDescent="0.3">
      <c r="B45" s="61"/>
      <c r="C45" s="74" t="str">
        <f t="shared" si="1"/>
        <v/>
      </c>
      <c r="D45" s="75" t="str">
        <f t="shared" si="2"/>
        <v/>
      </c>
      <c r="E45" s="76"/>
      <c r="F45" s="77"/>
      <c r="G45" s="78">
        <f t="shared" si="3"/>
        <v>0</v>
      </c>
      <c r="H45" s="79">
        <f>IFERROR(SUMIF('💸 Expenses'!B9:B508,B45,'💸 Expenses'!F9:F508),0)</f>
        <v>0</v>
      </c>
      <c r="I45" s="80">
        <f t="shared" si="4"/>
        <v>0</v>
      </c>
      <c r="J45" s="81">
        <f t="shared" si="5"/>
        <v>0</v>
      </c>
      <c r="K45" s="82"/>
      <c r="L45" s="45">
        <f t="shared" si="8"/>
        <v>0</v>
      </c>
      <c r="M45" s="48">
        <f t="shared" si="9"/>
        <v>0</v>
      </c>
      <c r="N45" s="83">
        <f t="shared" si="6"/>
        <v>0</v>
      </c>
      <c r="O45" s="84">
        <f>IFERROR(SUMIF(B8:B45,"&gt;="&amp;(B45-WEEKDAY(B45,2)+1),E8:E45),0)</f>
        <v>0</v>
      </c>
      <c r="P45" s="85">
        <f>IFERROR(SUMIF(B8:B45,"&gt;="&amp;(B45-WEEKDAY(B45,2)+1),H8:H45),0)</f>
        <v>0</v>
      </c>
      <c r="Q45" s="83">
        <f t="shared" si="7"/>
        <v>0</v>
      </c>
    </row>
    <row r="46" spans="2:17" ht="16.5" customHeight="1" x14ac:dyDescent="0.3">
      <c r="B46" s="61"/>
      <c r="C46" s="62" t="str">
        <f t="shared" si="1"/>
        <v/>
      </c>
      <c r="D46" s="63" t="str">
        <f t="shared" si="2"/>
        <v/>
      </c>
      <c r="E46" s="64"/>
      <c r="F46" s="65"/>
      <c r="G46" s="66">
        <f t="shared" si="3"/>
        <v>0</v>
      </c>
      <c r="H46" s="67">
        <f>IFERROR(SUMIF('💸 Expenses'!B9:B508,B46,'💸 Expenses'!F9:F508),0)</f>
        <v>0</v>
      </c>
      <c r="I46" s="68">
        <f t="shared" si="4"/>
        <v>0</v>
      </c>
      <c r="J46" s="69">
        <f t="shared" si="5"/>
        <v>0</v>
      </c>
      <c r="K46" s="70"/>
      <c r="L46" s="36">
        <f t="shared" si="8"/>
        <v>0</v>
      </c>
      <c r="M46" s="39">
        <f t="shared" si="9"/>
        <v>0</v>
      </c>
      <c r="N46" s="71">
        <f t="shared" si="6"/>
        <v>0</v>
      </c>
      <c r="O46" s="72">
        <f>IFERROR(SUMIF(B8:B46,"&gt;="&amp;(B46-WEEKDAY(B46,2)+1),E8:E46),0)</f>
        <v>0</v>
      </c>
      <c r="P46" s="73">
        <f>IFERROR(SUMIF(B8:B46,"&gt;="&amp;(B46-WEEKDAY(B46,2)+1),H8:H46),0)</f>
        <v>0</v>
      </c>
      <c r="Q46" s="71">
        <f t="shared" si="7"/>
        <v>0</v>
      </c>
    </row>
    <row r="47" spans="2:17" ht="16.5" customHeight="1" x14ac:dyDescent="0.3">
      <c r="B47" s="61"/>
      <c r="C47" s="74" t="str">
        <f t="shared" si="1"/>
        <v/>
      </c>
      <c r="D47" s="75" t="str">
        <f t="shared" si="2"/>
        <v/>
      </c>
      <c r="E47" s="76"/>
      <c r="F47" s="77"/>
      <c r="G47" s="78">
        <f t="shared" si="3"/>
        <v>0</v>
      </c>
      <c r="H47" s="79">
        <f>IFERROR(SUMIF('💸 Expenses'!B9:B508,B47,'💸 Expenses'!F9:F508),0)</f>
        <v>0</v>
      </c>
      <c r="I47" s="80">
        <f t="shared" si="4"/>
        <v>0</v>
      </c>
      <c r="J47" s="81">
        <f t="shared" si="5"/>
        <v>0</v>
      </c>
      <c r="K47" s="82"/>
      <c r="L47" s="45">
        <f t="shared" si="8"/>
        <v>0</v>
      </c>
      <c r="M47" s="48">
        <f t="shared" si="9"/>
        <v>0</v>
      </c>
      <c r="N47" s="83">
        <f t="shared" si="6"/>
        <v>0</v>
      </c>
      <c r="O47" s="84">
        <f>IFERROR(SUMIF(B8:B47,"&gt;="&amp;(B47-WEEKDAY(B47,2)+1),E8:E47),0)</f>
        <v>0</v>
      </c>
      <c r="P47" s="85">
        <f>IFERROR(SUMIF(B8:B47,"&gt;="&amp;(B47-WEEKDAY(B47,2)+1),H8:H47),0)</f>
        <v>0</v>
      </c>
      <c r="Q47" s="83">
        <f t="shared" si="7"/>
        <v>0</v>
      </c>
    </row>
    <row r="48" spans="2:17" ht="16.5" customHeight="1" x14ac:dyDescent="0.3">
      <c r="B48" s="61"/>
      <c r="C48" s="62" t="str">
        <f t="shared" si="1"/>
        <v/>
      </c>
      <c r="D48" s="63" t="str">
        <f t="shared" si="2"/>
        <v/>
      </c>
      <c r="E48" s="64"/>
      <c r="F48" s="65"/>
      <c r="G48" s="66">
        <f t="shared" si="3"/>
        <v>0</v>
      </c>
      <c r="H48" s="67">
        <f>IFERROR(SUMIF('💸 Expenses'!B9:B508,B48,'💸 Expenses'!F9:F508),0)</f>
        <v>0</v>
      </c>
      <c r="I48" s="68">
        <f t="shared" si="4"/>
        <v>0</v>
      </c>
      <c r="J48" s="69">
        <f t="shared" si="5"/>
        <v>0</v>
      </c>
      <c r="K48" s="70"/>
      <c r="L48" s="36">
        <f t="shared" si="8"/>
        <v>0</v>
      </c>
      <c r="M48" s="39">
        <f t="shared" si="9"/>
        <v>0</v>
      </c>
      <c r="N48" s="71">
        <f t="shared" si="6"/>
        <v>0</v>
      </c>
      <c r="O48" s="72">
        <f>IFERROR(SUMIF(B8:B48,"&gt;="&amp;(B48-WEEKDAY(B48,2)+1),E8:E48),0)</f>
        <v>0</v>
      </c>
      <c r="P48" s="73">
        <f>IFERROR(SUMIF(B8:B48,"&gt;="&amp;(B48-WEEKDAY(B48,2)+1),H8:H48),0)</f>
        <v>0</v>
      </c>
      <c r="Q48" s="71">
        <f t="shared" si="7"/>
        <v>0</v>
      </c>
    </row>
    <row r="49" spans="2:17" ht="16.5" customHeight="1" x14ac:dyDescent="0.3">
      <c r="B49" s="61"/>
      <c r="C49" s="74" t="str">
        <f t="shared" si="1"/>
        <v/>
      </c>
      <c r="D49" s="75" t="str">
        <f t="shared" si="2"/>
        <v/>
      </c>
      <c r="E49" s="76"/>
      <c r="F49" s="77"/>
      <c r="G49" s="78">
        <f t="shared" si="3"/>
        <v>0</v>
      </c>
      <c r="H49" s="79">
        <f>IFERROR(SUMIF('💸 Expenses'!B9:B508,B49,'💸 Expenses'!F9:F508),0)</f>
        <v>0</v>
      </c>
      <c r="I49" s="80">
        <f t="shared" si="4"/>
        <v>0</v>
      </c>
      <c r="J49" s="81">
        <f t="shared" si="5"/>
        <v>0</v>
      </c>
      <c r="K49" s="82"/>
      <c r="L49" s="45">
        <f t="shared" si="8"/>
        <v>0</v>
      </c>
      <c r="M49" s="48">
        <f t="shared" si="9"/>
        <v>0</v>
      </c>
      <c r="N49" s="83">
        <f t="shared" si="6"/>
        <v>0</v>
      </c>
      <c r="O49" s="84">
        <f>IFERROR(SUMIF(B8:B49,"&gt;="&amp;(B49-WEEKDAY(B49,2)+1),E8:E49),0)</f>
        <v>0</v>
      </c>
      <c r="P49" s="85">
        <f>IFERROR(SUMIF(B8:B49,"&gt;="&amp;(B49-WEEKDAY(B49,2)+1),H8:H49),0)</f>
        <v>0</v>
      </c>
      <c r="Q49" s="83">
        <f t="shared" si="7"/>
        <v>0</v>
      </c>
    </row>
    <row r="50" spans="2:17" ht="16.5" customHeight="1" x14ac:dyDescent="0.3">
      <c r="B50" s="61"/>
      <c r="C50" s="62" t="str">
        <f t="shared" si="1"/>
        <v/>
      </c>
      <c r="D50" s="63" t="str">
        <f t="shared" si="2"/>
        <v/>
      </c>
      <c r="E50" s="64"/>
      <c r="F50" s="65"/>
      <c r="G50" s="66">
        <f t="shared" si="3"/>
        <v>0</v>
      </c>
      <c r="H50" s="67">
        <f>IFERROR(SUMIF('💸 Expenses'!B9:B508,B50,'💸 Expenses'!F9:F508),0)</f>
        <v>0</v>
      </c>
      <c r="I50" s="68">
        <f t="shared" si="4"/>
        <v>0</v>
      </c>
      <c r="J50" s="69">
        <f t="shared" si="5"/>
        <v>0</v>
      </c>
      <c r="K50" s="70"/>
      <c r="L50" s="36">
        <f t="shared" si="8"/>
        <v>0</v>
      </c>
      <c r="M50" s="39">
        <f t="shared" si="9"/>
        <v>0</v>
      </c>
      <c r="N50" s="71">
        <f t="shared" si="6"/>
        <v>0</v>
      </c>
      <c r="O50" s="72">
        <f>IFERROR(SUMIF(B8:B50,"&gt;="&amp;(B50-WEEKDAY(B50,2)+1),E8:E50),0)</f>
        <v>0</v>
      </c>
      <c r="P50" s="73">
        <f>IFERROR(SUMIF(B8:B50,"&gt;="&amp;(B50-WEEKDAY(B50,2)+1),H8:H50),0)</f>
        <v>0</v>
      </c>
      <c r="Q50" s="71">
        <f t="shared" si="7"/>
        <v>0</v>
      </c>
    </row>
    <row r="51" spans="2:17" ht="16.5" customHeight="1" x14ac:dyDescent="0.3">
      <c r="B51" s="61"/>
      <c r="C51" s="74" t="str">
        <f t="shared" si="1"/>
        <v/>
      </c>
      <c r="D51" s="75" t="str">
        <f t="shared" si="2"/>
        <v/>
      </c>
      <c r="E51" s="76"/>
      <c r="F51" s="77"/>
      <c r="G51" s="78">
        <f t="shared" si="3"/>
        <v>0</v>
      </c>
      <c r="H51" s="79">
        <f>IFERROR(SUMIF('💸 Expenses'!B9:B508,B51,'💸 Expenses'!F9:F508),0)</f>
        <v>0</v>
      </c>
      <c r="I51" s="80">
        <f t="shared" si="4"/>
        <v>0</v>
      </c>
      <c r="J51" s="81">
        <f t="shared" si="5"/>
        <v>0</v>
      </c>
      <c r="K51" s="82"/>
      <c r="L51" s="45">
        <f t="shared" si="8"/>
        <v>0</v>
      </c>
      <c r="M51" s="48">
        <f t="shared" si="9"/>
        <v>0</v>
      </c>
      <c r="N51" s="83">
        <f t="shared" si="6"/>
        <v>0</v>
      </c>
      <c r="O51" s="84">
        <f>IFERROR(SUMIF(B8:B51,"&gt;="&amp;(B51-WEEKDAY(B51,2)+1),E8:E51),0)</f>
        <v>0</v>
      </c>
      <c r="P51" s="85">
        <f>IFERROR(SUMIF(B8:B51,"&gt;="&amp;(B51-WEEKDAY(B51,2)+1),H8:H51),0)</f>
        <v>0</v>
      </c>
      <c r="Q51" s="83">
        <f t="shared" si="7"/>
        <v>0</v>
      </c>
    </row>
    <row r="52" spans="2:17" ht="16.5" customHeight="1" x14ac:dyDescent="0.3">
      <c r="B52" s="61"/>
      <c r="C52" s="62" t="str">
        <f t="shared" si="1"/>
        <v/>
      </c>
      <c r="D52" s="63" t="str">
        <f t="shared" si="2"/>
        <v/>
      </c>
      <c r="E52" s="64"/>
      <c r="F52" s="65"/>
      <c r="G52" s="66">
        <f t="shared" si="3"/>
        <v>0</v>
      </c>
      <c r="H52" s="67">
        <f>IFERROR(SUMIF('💸 Expenses'!B9:B508,B52,'💸 Expenses'!F9:F508),0)</f>
        <v>0</v>
      </c>
      <c r="I52" s="68">
        <f t="shared" si="4"/>
        <v>0</v>
      </c>
      <c r="J52" s="69">
        <f t="shared" si="5"/>
        <v>0</v>
      </c>
      <c r="K52" s="70"/>
      <c r="L52" s="36">
        <f t="shared" si="8"/>
        <v>0</v>
      </c>
      <c r="M52" s="39">
        <f t="shared" si="9"/>
        <v>0</v>
      </c>
      <c r="N52" s="71">
        <f t="shared" si="6"/>
        <v>0</v>
      </c>
      <c r="O52" s="72">
        <f>IFERROR(SUMIF(B8:B52,"&gt;="&amp;(B52-WEEKDAY(B52,2)+1),E8:E52),0)</f>
        <v>0</v>
      </c>
      <c r="P52" s="73">
        <f>IFERROR(SUMIF(B8:B52,"&gt;="&amp;(B52-WEEKDAY(B52,2)+1),H8:H52),0)</f>
        <v>0</v>
      </c>
      <c r="Q52" s="71">
        <f t="shared" si="7"/>
        <v>0</v>
      </c>
    </row>
    <row r="53" spans="2:17" ht="16.5" customHeight="1" x14ac:dyDescent="0.3">
      <c r="B53" s="61"/>
      <c r="C53" s="74" t="str">
        <f t="shared" si="1"/>
        <v/>
      </c>
      <c r="D53" s="75" t="str">
        <f t="shared" si="2"/>
        <v/>
      </c>
      <c r="E53" s="76"/>
      <c r="F53" s="77"/>
      <c r="G53" s="78">
        <f t="shared" si="3"/>
        <v>0</v>
      </c>
      <c r="H53" s="79">
        <f>IFERROR(SUMIF('💸 Expenses'!B9:B508,B53,'💸 Expenses'!F9:F508),0)</f>
        <v>0</v>
      </c>
      <c r="I53" s="80">
        <f t="shared" si="4"/>
        <v>0</v>
      </c>
      <c r="J53" s="81">
        <f t="shared" si="5"/>
        <v>0</v>
      </c>
      <c r="K53" s="82"/>
      <c r="L53" s="45">
        <f t="shared" si="8"/>
        <v>0</v>
      </c>
      <c r="M53" s="48">
        <f t="shared" si="9"/>
        <v>0</v>
      </c>
      <c r="N53" s="83">
        <f t="shared" si="6"/>
        <v>0</v>
      </c>
      <c r="O53" s="84">
        <f>IFERROR(SUMIF(B8:B53,"&gt;="&amp;(B53-WEEKDAY(B53,2)+1),E8:E53),0)</f>
        <v>0</v>
      </c>
      <c r="P53" s="85">
        <f>IFERROR(SUMIF(B8:B53,"&gt;="&amp;(B53-WEEKDAY(B53,2)+1),H8:H53),0)</f>
        <v>0</v>
      </c>
      <c r="Q53" s="83">
        <f t="shared" si="7"/>
        <v>0</v>
      </c>
    </row>
    <row r="54" spans="2:17" ht="16.5" customHeight="1" x14ac:dyDescent="0.3">
      <c r="B54" s="61"/>
      <c r="C54" s="62" t="str">
        <f t="shared" si="1"/>
        <v/>
      </c>
      <c r="D54" s="63" t="str">
        <f t="shared" si="2"/>
        <v/>
      </c>
      <c r="E54" s="64"/>
      <c r="F54" s="65"/>
      <c r="G54" s="66">
        <f t="shared" si="3"/>
        <v>0</v>
      </c>
      <c r="H54" s="67">
        <f>IFERROR(SUMIF('💸 Expenses'!B9:B508,B54,'💸 Expenses'!F9:F508),0)</f>
        <v>0</v>
      </c>
      <c r="I54" s="68">
        <f t="shared" si="4"/>
        <v>0</v>
      </c>
      <c r="J54" s="69">
        <f t="shared" si="5"/>
        <v>0</v>
      </c>
      <c r="K54" s="70"/>
      <c r="L54" s="36">
        <f t="shared" si="8"/>
        <v>0</v>
      </c>
      <c r="M54" s="39">
        <f t="shared" si="9"/>
        <v>0</v>
      </c>
      <c r="N54" s="71">
        <f t="shared" si="6"/>
        <v>0</v>
      </c>
      <c r="O54" s="72">
        <f>IFERROR(SUMIF(B8:B54,"&gt;="&amp;(B54-WEEKDAY(B54,2)+1),E8:E54),0)</f>
        <v>0</v>
      </c>
      <c r="P54" s="73">
        <f>IFERROR(SUMIF(B8:B54,"&gt;="&amp;(B54-WEEKDAY(B54,2)+1),H8:H54),0)</f>
        <v>0</v>
      </c>
      <c r="Q54" s="71">
        <f t="shared" si="7"/>
        <v>0</v>
      </c>
    </row>
    <row r="55" spans="2:17" ht="16.5" customHeight="1" x14ac:dyDescent="0.3">
      <c r="B55" s="61"/>
      <c r="C55" s="74" t="str">
        <f t="shared" si="1"/>
        <v/>
      </c>
      <c r="D55" s="75" t="str">
        <f t="shared" si="2"/>
        <v/>
      </c>
      <c r="E55" s="76"/>
      <c r="F55" s="77"/>
      <c r="G55" s="78">
        <f t="shared" si="3"/>
        <v>0</v>
      </c>
      <c r="H55" s="79">
        <f>IFERROR(SUMIF('💸 Expenses'!B9:B508,B55,'💸 Expenses'!F9:F508),0)</f>
        <v>0</v>
      </c>
      <c r="I55" s="80">
        <f t="shared" si="4"/>
        <v>0</v>
      </c>
      <c r="J55" s="81">
        <f t="shared" si="5"/>
        <v>0</v>
      </c>
      <c r="K55" s="82"/>
      <c r="L55" s="45">
        <f t="shared" si="8"/>
        <v>0</v>
      </c>
      <c r="M55" s="48">
        <f t="shared" si="9"/>
        <v>0</v>
      </c>
      <c r="N55" s="83">
        <f t="shared" si="6"/>
        <v>0</v>
      </c>
      <c r="O55" s="84">
        <f>IFERROR(SUMIF(B8:B55,"&gt;="&amp;(B55-WEEKDAY(B55,2)+1),E8:E55),0)</f>
        <v>0</v>
      </c>
      <c r="P55" s="85">
        <f>IFERROR(SUMIF(B8:B55,"&gt;="&amp;(B55-WEEKDAY(B55,2)+1),H8:H55),0)</f>
        <v>0</v>
      </c>
      <c r="Q55" s="83">
        <f t="shared" si="7"/>
        <v>0</v>
      </c>
    </row>
    <row r="56" spans="2:17" ht="16.5" customHeight="1" x14ac:dyDescent="0.3">
      <c r="B56" s="61"/>
      <c r="C56" s="62" t="str">
        <f t="shared" si="1"/>
        <v/>
      </c>
      <c r="D56" s="63" t="str">
        <f t="shared" si="2"/>
        <v/>
      </c>
      <c r="E56" s="64"/>
      <c r="F56" s="65"/>
      <c r="G56" s="66">
        <f t="shared" si="3"/>
        <v>0</v>
      </c>
      <c r="H56" s="67">
        <f>IFERROR(SUMIF('💸 Expenses'!B9:B508,B56,'💸 Expenses'!F9:F508),0)</f>
        <v>0</v>
      </c>
      <c r="I56" s="68">
        <f t="shared" si="4"/>
        <v>0</v>
      </c>
      <c r="J56" s="69">
        <f t="shared" si="5"/>
        <v>0</v>
      </c>
      <c r="K56" s="70"/>
      <c r="L56" s="36">
        <f t="shared" si="8"/>
        <v>0</v>
      </c>
      <c r="M56" s="39">
        <f t="shared" si="9"/>
        <v>0</v>
      </c>
      <c r="N56" s="71">
        <f t="shared" si="6"/>
        <v>0</v>
      </c>
      <c r="O56" s="72">
        <f>IFERROR(SUMIF(B8:B56,"&gt;="&amp;(B56-WEEKDAY(B56,2)+1),E8:E56),0)</f>
        <v>0</v>
      </c>
      <c r="P56" s="73">
        <f>IFERROR(SUMIF(B8:B56,"&gt;="&amp;(B56-WEEKDAY(B56,2)+1),H8:H56),0)</f>
        <v>0</v>
      </c>
      <c r="Q56" s="71">
        <f t="shared" si="7"/>
        <v>0</v>
      </c>
    </row>
    <row r="57" spans="2:17" ht="16.5" customHeight="1" x14ac:dyDescent="0.3">
      <c r="B57" s="61"/>
      <c r="C57" s="74" t="str">
        <f t="shared" si="1"/>
        <v/>
      </c>
      <c r="D57" s="75" t="str">
        <f t="shared" si="2"/>
        <v/>
      </c>
      <c r="E57" s="76"/>
      <c r="F57" s="77"/>
      <c r="G57" s="78">
        <f t="shared" si="3"/>
        <v>0</v>
      </c>
      <c r="H57" s="79">
        <f>IFERROR(SUMIF('💸 Expenses'!B9:B508,B57,'💸 Expenses'!F9:F508),0)</f>
        <v>0</v>
      </c>
      <c r="I57" s="80">
        <f t="shared" si="4"/>
        <v>0</v>
      </c>
      <c r="J57" s="81">
        <f t="shared" si="5"/>
        <v>0</v>
      </c>
      <c r="K57" s="82"/>
      <c r="L57" s="45">
        <f t="shared" si="8"/>
        <v>0</v>
      </c>
      <c r="M57" s="48">
        <f t="shared" si="9"/>
        <v>0</v>
      </c>
      <c r="N57" s="83">
        <f t="shared" si="6"/>
        <v>0</v>
      </c>
      <c r="O57" s="84">
        <f>IFERROR(SUMIF(B8:B57,"&gt;="&amp;(B57-WEEKDAY(B57,2)+1),E8:E57),0)</f>
        <v>0</v>
      </c>
      <c r="P57" s="85">
        <f>IFERROR(SUMIF(B8:B57,"&gt;="&amp;(B57-WEEKDAY(B57,2)+1),H8:H57),0)</f>
        <v>0</v>
      </c>
      <c r="Q57" s="83">
        <f t="shared" si="7"/>
        <v>0</v>
      </c>
    </row>
    <row r="58" spans="2:17" ht="16.5" customHeight="1" x14ac:dyDescent="0.3">
      <c r="B58" s="61"/>
      <c r="C58" s="62" t="str">
        <f t="shared" si="1"/>
        <v/>
      </c>
      <c r="D58" s="63" t="str">
        <f t="shared" si="2"/>
        <v/>
      </c>
      <c r="E58" s="64"/>
      <c r="F58" s="65"/>
      <c r="G58" s="66">
        <f t="shared" si="3"/>
        <v>0</v>
      </c>
      <c r="H58" s="67">
        <f>IFERROR(SUMIF('💸 Expenses'!B9:B508,B58,'💸 Expenses'!F9:F508),0)</f>
        <v>0</v>
      </c>
      <c r="I58" s="68">
        <f t="shared" si="4"/>
        <v>0</v>
      </c>
      <c r="J58" s="69">
        <f t="shared" si="5"/>
        <v>0</v>
      </c>
      <c r="K58" s="70"/>
      <c r="L58" s="36">
        <f t="shared" si="8"/>
        <v>0</v>
      </c>
      <c r="M58" s="39">
        <f t="shared" si="9"/>
        <v>0</v>
      </c>
      <c r="N58" s="71">
        <f t="shared" si="6"/>
        <v>0</v>
      </c>
      <c r="O58" s="72">
        <f>IFERROR(SUMIF(B8:B58,"&gt;="&amp;(B58-WEEKDAY(B58,2)+1),E8:E58),0)</f>
        <v>0</v>
      </c>
      <c r="P58" s="73">
        <f>IFERROR(SUMIF(B8:B58,"&gt;="&amp;(B58-WEEKDAY(B58,2)+1),H8:H58),0)</f>
        <v>0</v>
      </c>
      <c r="Q58" s="71">
        <f t="shared" si="7"/>
        <v>0</v>
      </c>
    </row>
    <row r="59" spans="2:17" ht="16.5" customHeight="1" x14ac:dyDescent="0.3">
      <c r="B59" s="61"/>
      <c r="C59" s="74" t="str">
        <f t="shared" si="1"/>
        <v/>
      </c>
      <c r="D59" s="75" t="str">
        <f t="shared" si="2"/>
        <v/>
      </c>
      <c r="E59" s="76"/>
      <c r="F59" s="77"/>
      <c r="G59" s="78">
        <f t="shared" si="3"/>
        <v>0</v>
      </c>
      <c r="H59" s="79">
        <f>IFERROR(SUMIF('💸 Expenses'!B9:B508,B59,'💸 Expenses'!F9:F508),0)</f>
        <v>0</v>
      </c>
      <c r="I59" s="80">
        <f t="shared" si="4"/>
        <v>0</v>
      </c>
      <c r="J59" s="81">
        <f t="shared" si="5"/>
        <v>0</v>
      </c>
      <c r="K59" s="82"/>
      <c r="L59" s="45">
        <f t="shared" si="8"/>
        <v>0</v>
      </c>
      <c r="M59" s="48">
        <f t="shared" si="9"/>
        <v>0</v>
      </c>
      <c r="N59" s="83">
        <f t="shared" si="6"/>
        <v>0</v>
      </c>
      <c r="O59" s="84">
        <f>IFERROR(SUMIF(B8:B59,"&gt;="&amp;(B59-WEEKDAY(B59,2)+1),E8:E59),0)</f>
        <v>0</v>
      </c>
      <c r="P59" s="85">
        <f>IFERROR(SUMIF(B8:B59,"&gt;="&amp;(B59-WEEKDAY(B59,2)+1),H8:H59),0)</f>
        <v>0</v>
      </c>
      <c r="Q59" s="83">
        <f t="shared" si="7"/>
        <v>0</v>
      </c>
    </row>
    <row r="60" spans="2:17" ht="16.5" customHeight="1" x14ac:dyDescent="0.3">
      <c r="B60" s="61"/>
      <c r="C60" s="62" t="str">
        <f t="shared" si="1"/>
        <v/>
      </c>
      <c r="D60" s="63" t="str">
        <f t="shared" si="2"/>
        <v/>
      </c>
      <c r="E60" s="64"/>
      <c r="F60" s="65"/>
      <c r="G60" s="66">
        <f t="shared" si="3"/>
        <v>0</v>
      </c>
      <c r="H60" s="67">
        <f>IFERROR(SUMIF('💸 Expenses'!B9:B508,B60,'💸 Expenses'!F9:F508),0)</f>
        <v>0</v>
      </c>
      <c r="I60" s="68">
        <f t="shared" si="4"/>
        <v>0</v>
      </c>
      <c r="J60" s="69">
        <f t="shared" si="5"/>
        <v>0</v>
      </c>
      <c r="K60" s="70"/>
      <c r="L60" s="36">
        <f t="shared" si="8"/>
        <v>0</v>
      </c>
      <c r="M60" s="39">
        <f t="shared" si="9"/>
        <v>0</v>
      </c>
      <c r="N60" s="71">
        <f t="shared" si="6"/>
        <v>0</v>
      </c>
      <c r="O60" s="72">
        <f>IFERROR(SUMIF(B8:B60,"&gt;="&amp;(B60-WEEKDAY(B60,2)+1),E8:E60),0)</f>
        <v>0</v>
      </c>
      <c r="P60" s="73">
        <f>IFERROR(SUMIF(B8:B60,"&gt;="&amp;(B60-WEEKDAY(B60,2)+1),H8:H60),0)</f>
        <v>0</v>
      </c>
      <c r="Q60" s="71">
        <f t="shared" si="7"/>
        <v>0</v>
      </c>
    </row>
    <row r="61" spans="2:17" ht="16.5" customHeight="1" x14ac:dyDescent="0.3">
      <c r="B61" s="61"/>
      <c r="C61" s="74" t="str">
        <f t="shared" si="1"/>
        <v/>
      </c>
      <c r="D61" s="75" t="str">
        <f t="shared" si="2"/>
        <v/>
      </c>
      <c r="E61" s="76"/>
      <c r="F61" s="77"/>
      <c r="G61" s="78">
        <f t="shared" si="3"/>
        <v>0</v>
      </c>
      <c r="H61" s="79">
        <f>IFERROR(SUMIF('💸 Expenses'!B9:B508,B61,'💸 Expenses'!F9:F508),0)</f>
        <v>0</v>
      </c>
      <c r="I61" s="80">
        <f t="shared" si="4"/>
        <v>0</v>
      </c>
      <c r="J61" s="81">
        <f t="shared" si="5"/>
        <v>0</v>
      </c>
      <c r="K61" s="82"/>
      <c r="L61" s="45">
        <f t="shared" si="8"/>
        <v>0</v>
      </c>
      <c r="M61" s="48">
        <f t="shared" si="9"/>
        <v>0</v>
      </c>
      <c r="N61" s="83">
        <f t="shared" si="6"/>
        <v>0</v>
      </c>
      <c r="O61" s="84">
        <f>IFERROR(SUMIF(B8:B61,"&gt;="&amp;(B61-WEEKDAY(B61,2)+1),E8:E61),0)</f>
        <v>0</v>
      </c>
      <c r="P61" s="85">
        <f>IFERROR(SUMIF(B8:B61,"&gt;="&amp;(B61-WEEKDAY(B61,2)+1),H8:H61),0)</f>
        <v>0</v>
      </c>
      <c r="Q61" s="83">
        <f t="shared" si="7"/>
        <v>0</v>
      </c>
    </row>
    <row r="62" spans="2:17" ht="16.5" customHeight="1" x14ac:dyDescent="0.3">
      <c r="B62" s="61"/>
      <c r="C62" s="62" t="str">
        <f t="shared" si="1"/>
        <v/>
      </c>
      <c r="D62" s="63" t="str">
        <f t="shared" si="2"/>
        <v/>
      </c>
      <c r="E62" s="64"/>
      <c r="F62" s="65"/>
      <c r="G62" s="66">
        <f t="shared" si="3"/>
        <v>0</v>
      </c>
      <c r="H62" s="67">
        <f>IFERROR(SUMIF('💸 Expenses'!B9:B508,B62,'💸 Expenses'!F9:F508),0)</f>
        <v>0</v>
      </c>
      <c r="I62" s="68">
        <f t="shared" si="4"/>
        <v>0</v>
      </c>
      <c r="J62" s="69">
        <f t="shared" si="5"/>
        <v>0</v>
      </c>
      <c r="K62" s="70"/>
      <c r="L62" s="36">
        <f t="shared" si="8"/>
        <v>0</v>
      </c>
      <c r="M62" s="39">
        <f t="shared" si="9"/>
        <v>0</v>
      </c>
      <c r="N62" s="71">
        <f t="shared" si="6"/>
        <v>0</v>
      </c>
      <c r="O62" s="72">
        <f>IFERROR(SUMIF(B8:B62,"&gt;="&amp;(B62-WEEKDAY(B62,2)+1),E8:E62),0)</f>
        <v>0</v>
      </c>
      <c r="P62" s="73">
        <f>IFERROR(SUMIF(B8:B62,"&gt;="&amp;(B62-WEEKDAY(B62,2)+1),H8:H62),0)</f>
        <v>0</v>
      </c>
      <c r="Q62" s="71">
        <f t="shared" si="7"/>
        <v>0</v>
      </c>
    </row>
    <row r="63" spans="2:17" ht="16.5" customHeight="1" x14ac:dyDescent="0.3">
      <c r="B63" s="61"/>
      <c r="C63" s="74" t="str">
        <f t="shared" si="1"/>
        <v/>
      </c>
      <c r="D63" s="75" t="str">
        <f t="shared" si="2"/>
        <v/>
      </c>
      <c r="E63" s="76"/>
      <c r="F63" s="77"/>
      <c r="G63" s="78">
        <f t="shared" si="3"/>
        <v>0</v>
      </c>
      <c r="H63" s="79">
        <f>IFERROR(SUMIF('💸 Expenses'!B9:B508,B63,'💸 Expenses'!F9:F508),0)</f>
        <v>0</v>
      </c>
      <c r="I63" s="80">
        <f t="shared" si="4"/>
        <v>0</v>
      </c>
      <c r="J63" s="81">
        <f t="shared" si="5"/>
        <v>0</v>
      </c>
      <c r="K63" s="82"/>
      <c r="L63" s="45">
        <f t="shared" si="8"/>
        <v>0</v>
      </c>
      <c r="M63" s="48">
        <f t="shared" si="9"/>
        <v>0</v>
      </c>
      <c r="N63" s="83">
        <f t="shared" si="6"/>
        <v>0</v>
      </c>
      <c r="O63" s="84">
        <f>IFERROR(SUMIF(B8:B63,"&gt;="&amp;(B63-WEEKDAY(B63,2)+1),E8:E63),0)</f>
        <v>0</v>
      </c>
      <c r="P63" s="85">
        <f>IFERROR(SUMIF(B8:B63,"&gt;="&amp;(B63-WEEKDAY(B63,2)+1),H8:H63),0)</f>
        <v>0</v>
      </c>
      <c r="Q63" s="83">
        <f t="shared" si="7"/>
        <v>0</v>
      </c>
    </row>
    <row r="64" spans="2:17" ht="16.5" customHeight="1" x14ac:dyDescent="0.3">
      <c r="B64" s="61"/>
      <c r="C64" s="62" t="str">
        <f t="shared" si="1"/>
        <v/>
      </c>
      <c r="D64" s="63" t="str">
        <f t="shared" si="2"/>
        <v/>
      </c>
      <c r="E64" s="64"/>
      <c r="F64" s="65"/>
      <c r="G64" s="66">
        <f t="shared" si="3"/>
        <v>0</v>
      </c>
      <c r="H64" s="67">
        <f>IFERROR(SUMIF('💸 Expenses'!B9:B508,B64,'💸 Expenses'!F9:F508),0)</f>
        <v>0</v>
      </c>
      <c r="I64" s="68">
        <f t="shared" si="4"/>
        <v>0</v>
      </c>
      <c r="J64" s="69">
        <f t="shared" si="5"/>
        <v>0</v>
      </c>
      <c r="K64" s="70"/>
      <c r="L64" s="36">
        <f t="shared" si="8"/>
        <v>0</v>
      </c>
      <c r="M64" s="39">
        <f t="shared" si="9"/>
        <v>0</v>
      </c>
      <c r="N64" s="71">
        <f t="shared" si="6"/>
        <v>0</v>
      </c>
      <c r="O64" s="72">
        <f>IFERROR(SUMIF(B8:B64,"&gt;="&amp;(B64-WEEKDAY(B64,2)+1),E8:E64),0)</f>
        <v>0</v>
      </c>
      <c r="P64" s="73">
        <f>IFERROR(SUMIF(B8:B64,"&gt;="&amp;(B64-WEEKDAY(B64,2)+1),H8:H64),0)</f>
        <v>0</v>
      </c>
      <c r="Q64" s="71">
        <f t="shared" si="7"/>
        <v>0</v>
      </c>
    </row>
    <row r="65" spans="2:17" ht="16.5" customHeight="1" x14ac:dyDescent="0.3">
      <c r="B65" s="61"/>
      <c r="C65" s="74" t="str">
        <f t="shared" si="1"/>
        <v/>
      </c>
      <c r="D65" s="75" t="str">
        <f t="shared" si="2"/>
        <v/>
      </c>
      <c r="E65" s="76"/>
      <c r="F65" s="77"/>
      <c r="G65" s="78">
        <f t="shared" si="3"/>
        <v>0</v>
      </c>
      <c r="H65" s="79">
        <f>IFERROR(SUMIF('💸 Expenses'!B9:B508,B65,'💸 Expenses'!F9:F508),0)</f>
        <v>0</v>
      </c>
      <c r="I65" s="80">
        <f t="shared" si="4"/>
        <v>0</v>
      </c>
      <c r="J65" s="81">
        <f t="shared" si="5"/>
        <v>0</v>
      </c>
      <c r="K65" s="82"/>
      <c r="L65" s="45">
        <f t="shared" si="8"/>
        <v>0</v>
      </c>
      <c r="M65" s="48">
        <f t="shared" si="9"/>
        <v>0</v>
      </c>
      <c r="N65" s="83">
        <f t="shared" si="6"/>
        <v>0</v>
      </c>
      <c r="O65" s="84">
        <f>IFERROR(SUMIF(B8:B65,"&gt;="&amp;(B65-WEEKDAY(B65,2)+1),E8:E65),0)</f>
        <v>0</v>
      </c>
      <c r="P65" s="85">
        <f>IFERROR(SUMIF(B8:B65,"&gt;="&amp;(B65-WEEKDAY(B65,2)+1),H8:H65),0)</f>
        <v>0</v>
      </c>
      <c r="Q65" s="83">
        <f t="shared" si="7"/>
        <v>0</v>
      </c>
    </row>
    <row r="66" spans="2:17" ht="16.5" customHeight="1" x14ac:dyDescent="0.3">
      <c r="B66" s="61"/>
      <c r="C66" s="62" t="str">
        <f t="shared" si="1"/>
        <v/>
      </c>
      <c r="D66" s="63" t="str">
        <f t="shared" si="2"/>
        <v/>
      </c>
      <c r="E66" s="64"/>
      <c r="F66" s="65"/>
      <c r="G66" s="66">
        <f t="shared" si="3"/>
        <v>0</v>
      </c>
      <c r="H66" s="67">
        <f>IFERROR(SUMIF('💸 Expenses'!B9:B508,B66,'💸 Expenses'!F9:F508),0)</f>
        <v>0</v>
      </c>
      <c r="I66" s="68">
        <f t="shared" si="4"/>
        <v>0</v>
      </c>
      <c r="J66" s="69">
        <f t="shared" si="5"/>
        <v>0</v>
      </c>
      <c r="K66" s="70"/>
      <c r="L66" s="36">
        <f t="shared" si="8"/>
        <v>0</v>
      </c>
      <c r="M66" s="39">
        <f t="shared" si="9"/>
        <v>0</v>
      </c>
      <c r="N66" s="71">
        <f t="shared" si="6"/>
        <v>0</v>
      </c>
      <c r="O66" s="72">
        <f>IFERROR(SUMIF(B8:B66,"&gt;="&amp;(B66-WEEKDAY(B66,2)+1),E8:E66),0)</f>
        <v>0</v>
      </c>
      <c r="P66" s="73">
        <f>IFERROR(SUMIF(B8:B66,"&gt;="&amp;(B66-WEEKDAY(B66,2)+1),H8:H66),0)</f>
        <v>0</v>
      </c>
      <c r="Q66" s="71">
        <f t="shared" si="7"/>
        <v>0</v>
      </c>
    </row>
    <row r="67" spans="2:17" ht="16.5" customHeight="1" x14ac:dyDescent="0.3">
      <c r="B67" s="61"/>
      <c r="C67" s="74" t="str">
        <f t="shared" si="1"/>
        <v/>
      </c>
      <c r="D67" s="75" t="str">
        <f t="shared" si="2"/>
        <v/>
      </c>
      <c r="E67" s="76"/>
      <c r="F67" s="77"/>
      <c r="G67" s="78">
        <f t="shared" si="3"/>
        <v>0</v>
      </c>
      <c r="H67" s="79">
        <f>IFERROR(SUMIF('💸 Expenses'!B9:B508,B67,'💸 Expenses'!F9:F508),0)</f>
        <v>0</v>
      </c>
      <c r="I67" s="80">
        <f t="shared" si="4"/>
        <v>0</v>
      </c>
      <c r="J67" s="81">
        <f t="shared" si="5"/>
        <v>0</v>
      </c>
      <c r="K67" s="82"/>
      <c r="L67" s="45">
        <f t="shared" si="8"/>
        <v>0</v>
      </c>
      <c r="M67" s="48">
        <f t="shared" si="9"/>
        <v>0</v>
      </c>
      <c r="N67" s="83">
        <f t="shared" si="6"/>
        <v>0</v>
      </c>
      <c r="O67" s="84">
        <f>IFERROR(SUMIF(B8:B67,"&gt;="&amp;(B67-WEEKDAY(B67,2)+1),E8:E67),0)</f>
        <v>0</v>
      </c>
      <c r="P67" s="85">
        <f>IFERROR(SUMIF(B8:B67,"&gt;="&amp;(B67-WEEKDAY(B67,2)+1),H8:H67),0)</f>
        <v>0</v>
      </c>
      <c r="Q67" s="83">
        <f t="shared" si="7"/>
        <v>0</v>
      </c>
    </row>
    <row r="68" spans="2:17" ht="16.5" customHeight="1" x14ac:dyDescent="0.3">
      <c r="B68" s="61"/>
      <c r="C68" s="62" t="str">
        <f t="shared" si="1"/>
        <v/>
      </c>
      <c r="D68" s="63" t="str">
        <f t="shared" si="2"/>
        <v/>
      </c>
      <c r="E68" s="64"/>
      <c r="F68" s="65"/>
      <c r="G68" s="66">
        <f t="shared" si="3"/>
        <v>0</v>
      </c>
      <c r="H68" s="67">
        <f>IFERROR(SUMIF('💸 Expenses'!B9:B508,B68,'💸 Expenses'!F9:F508),0)</f>
        <v>0</v>
      </c>
      <c r="I68" s="68">
        <f t="shared" si="4"/>
        <v>0</v>
      </c>
      <c r="J68" s="69">
        <f t="shared" si="5"/>
        <v>0</v>
      </c>
      <c r="K68" s="70"/>
      <c r="L68" s="36">
        <f t="shared" si="8"/>
        <v>0</v>
      </c>
      <c r="M68" s="39">
        <f t="shared" si="9"/>
        <v>0</v>
      </c>
      <c r="N68" s="71">
        <f t="shared" si="6"/>
        <v>0</v>
      </c>
      <c r="O68" s="72">
        <f>IFERROR(SUMIF(B8:B68,"&gt;="&amp;(B68-WEEKDAY(B68,2)+1),E8:E68),0)</f>
        <v>0</v>
      </c>
      <c r="P68" s="73">
        <f>IFERROR(SUMIF(B8:B68,"&gt;="&amp;(B68-WEEKDAY(B68,2)+1),H8:H68),0)</f>
        <v>0</v>
      </c>
      <c r="Q68" s="71">
        <f t="shared" si="7"/>
        <v>0</v>
      </c>
    </row>
    <row r="69" spans="2:17" ht="16.5" customHeight="1" x14ac:dyDescent="0.3">
      <c r="B69" s="61"/>
      <c r="C69" s="74" t="str">
        <f t="shared" si="1"/>
        <v/>
      </c>
      <c r="D69" s="75" t="str">
        <f t="shared" si="2"/>
        <v/>
      </c>
      <c r="E69" s="76"/>
      <c r="F69" s="77"/>
      <c r="G69" s="78">
        <f t="shared" si="3"/>
        <v>0</v>
      </c>
      <c r="H69" s="79">
        <f>IFERROR(SUMIF('💸 Expenses'!B9:B508,B69,'💸 Expenses'!F9:F508),0)</f>
        <v>0</v>
      </c>
      <c r="I69" s="80">
        <f t="shared" si="4"/>
        <v>0</v>
      </c>
      <c r="J69" s="81">
        <f t="shared" si="5"/>
        <v>0</v>
      </c>
      <c r="K69" s="82"/>
      <c r="L69" s="45">
        <f t="shared" si="8"/>
        <v>0</v>
      </c>
      <c r="M69" s="48">
        <f t="shared" si="9"/>
        <v>0</v>
      </c>
      <c r="N69" s="83">
        <f t="shared" si="6"/>
        <v>0</v>
      </c>
      <c r="O69" s="84">
        <f>IFERROR(SUMIF(B8:B69,"&gt;="&amp;(B69-WEEKDAY(B69,2)+1),E8:E69),0)</f>
        <v>0</v>
      </c>
      <c r="P69" s="85">
        <f>IFERROR(SUMIF(B8:B69,"&gt;="&amp;(B69-WEEKDAY(B69,2)+1),H8:H69),0)</f>
        <v>0</v>
      </c>
      <c r="Q69" s="83">
        <f t="shared" si="7"/>
        <v>0</v>
      </c>
    </row>
    <row r="70" spans="2:17" ht="16.5" customHeight="1" x14ac:dyDescent="0.3">
      <c r="B70" s="61"/>
      <c r="C70" s="62" t="str">
        <f t="shared" si="1"/>
        <v/>
      </c>
      <c r="D70" s="63" t="str">
        <f t="shared" si="2"/>
        <v/>
      </c>
      <c r="E70" s="64"/>
      <c r="F70" s="65"/>
      <c r="G70" s="66">
        <f t="shared" si="3"/>
        <v>0</v>
      </c>
      <c r="H70" s="67">
        <f>IFERROR(SUMIF('💸 Expenses'!B9:B508,B70,'💸 Expenses'!F9:F508),0)</f>
        <v>0</v>
      </c>
      <c r="I70" s="68">
        <f t="shared" si="4"/>
        <v>0</v>
      </c>
      <c r="J70" s="69">
        <f t="shared" si="5"/>
        <v>0</v>
      </c>
      <c r="K70" s="70"/>
      <c r="L70" s="36">
        <f t="shared" si="8"/>
        <v>0</v>
      </c>
      <c r="M70" s="39">
        <f t="shared" si="9"/>
        <v>0</v>
      </c>
      <c r="N70" s="71">
        <f t="shared" si="6"/>
        <v>0</v>
      </c>
      <c r="O70" s="72">
        <f>IFERROR(SUMIF(B8:B70,"&gt;="&amp;(B70-WEEKDAY(B70,2)+1),E8:E70),0)</f>
        <v>0</v>
      </c>
      <c r="P70" s="73">
        <f>IFERROR(SUMIF(B8:B70,"&gt;="&amp;(B70-WEEKDAY(B70,2)+1),H8:H70),0)</f>
        <v>0</v>
      </c>
      <c r="Q70" s="71">
        <f t="shared" si="7"/>
        <v>0</v>
      </c>
    </row>
    <row r="71" spans="2:17" ht="16.5" customHeight="1" x14ac:dyDescent="0.3">
      <c r="B71" s="61"/>
      <c r="C71" s="74" t="str">
        <f t="shared" si="1"/>
        <v/>
      </c>
      <c r="D71" s="75" t="str">
        <f t="shared" si="2"/>
        <v/>
      </c>
      <c r="E71" s="76"/>
      <c r="F71" s="77"/>
      <c r="G71" s="78">
        <f t="shared" si="3"/>
        <v>0</v>
      </c>
      <c r="H71" s="79">
        <f>IFERROR(SUMIF('💸 Expenses'!B9:B508,B71,'💸 Expenses'!F9:F508),0)</f>
        <v>0</v>
      </c>
      <c r="I71" s="80">
        <f t="shared" si="4"/>
        <v>0</v>
      </c>
      <c r="J71" s="81">
        <f t="shared" si="5"/>
        <v>0</v>
      </c>
      <c r="K71" s="82"/>
      <c r="L71" s="45">
        <f t="shared" si="8"/>
        <v>0</v>
      </c>
      <c r="M71" s="48">
        <f t="shared" si="9"/>
        <v>0</v>
      </c>
      <c r="N71" s="83">
        <f t="shared" si="6"/>
        <v>0</v>
      </c>
      <c r="O71" s="84">
        <f>IFERROR(SUMIF(B8:B71,"&gt;="&amp;(B71-WEEKDAY(B71,2)+1),E8:E71),0)</f>
        <v>0</v>
      </c>
      <c r="P71" s="85">
        <f>IFERROR(SUMIF(B8:B71,"&gt;="&amp;(B71-WEEKDAY(B71,2)+1),H8:H71),0)</f>
        <v>0</v>
      </c>
      <c r="Q71" s="83">
        <f t="shared" si="7"/>
        <v>0</v>
      </c>
    </row>
    <row r="72" spans="2:17" ht="16.5" customHeight="1" x14ac:dyDescent="0.3">
      <c r="B72" s="61"/>
      <c r="C72" s="62" t="str">
        <f t="shared" ref="C72:C135" si="10">IF(B72="","",TEXT(B72,"DDD"))</f>
        <v/>
      </c>
      <c r="D72" s="63" t="str">
        <f t="shared" ref="D72:D135" si="11">IF(B72="","","Soft App")</f>
        <v/>
      </c>
      <c r="E72" s="64"/>
      <c r="F72" s="65"/>
      <c r="G72" s="66">
        <f t="shared" ref="G72:G135" si="12">IFERROR(E72/F72,0)</f>
        <v>0</v>
      </c>
      <c r="H72" s="67">
        <f>IFERROR(SUMIF('💸 Expenses'!B9:B508,B72,'💸 Expenses'!F9:F508),0)</f>
        <v>0</v>
      </c>
      <c r="I72" s="68">
        <f t="shared" ref="I72:I135" si="13">IFERROR(E72-H72,0)</f>
        <v>0</v>
      </c>
      <c r="J72" s="69">
        <f t="shared" ref="J72:J135" si="14">IFERROR(I72/E72,0)</f>
        <v>0</v>
      </c>
      <c r="K72" s="70"/>
      <c r="L72" s="36">
        <f t="shared" si="8"/>
        <v>0</v>
      </c>
      <c r="M72" s="39">
        <f t="shared" si="9"/>
        <v>0</v>
      </c>
      <c r="N72" s="71">
        <f t="shared" ref="N72:N135" si="15">IFERROR(L72-M72,0)</f>
        <v>0</v>
      </c>
      <c r="O72" s="72">
        <f>IFERROR(SUMIF(B8:B72,"&gt;="&amp;(B72-WEEKDAY(B72,2)+1),E8:E72),0)</f>
        <v>0</v>
      </c>
      <c r="P72" s="73">
        <f>IFERROR(SUMIF(B8:B72,"&gt;="&amp;(B72-WEEKDAY(B72,2)+1),H8:H72),0)</f>
        <v>0</v>
      </c>
      <c r="Q72" s="71">
        <f t="shared" ref="Q72:Q135" si="16">IFERROR(O72-P72,0)</f>
        <v>0</v>
      </c>
    </row>
    <row r="73" spans="2:17" ht="16.5" customHeight="1" x14ac:dyDescent="0.3">
      <c r="B73" s="61"/>
      <c r="C73" s="74" t="str">
        <f t="shared" si="10"/>
        <v/>
      </c>
      <c r="D73" s="75" t="str">
        <f t="shared" si="11"/>
        <v/>
      </c>
      <c r="E73" s="76"/>
      <c r="F73" s="77"/>
      <c r="G73" s="78">
        <f t="shared" si="12"/>
        <v>0</v>
      </c>
      <c r="H73" s="79">
        <f>IFERROR(SUMIF('💸 Expenses'!B9:B508,B73,'💸 Expenses'!F9:F508),0)</f>
        <v>0</v>
      </c>
      <c r="I73" s="80">
        <f t="shared" si="13"/>
        <v>0</v>
      </c>
      <c r="J73" s="81">
        <f t="shared" si="14"/>
        <v>0</v>
      </c>
      <c r="K73" s="82"/>
      <c r="L73" s="45">
        <f t="shared" ref="L73:L136" si="17">IFERROR(L72+E73,0)</f>
        <v>0</v>
      </c>
      <c r="M73" s="48">
        <f t="shared" ref="M73:M136" si="18">IFERROR(M72+H73,0)</f>
        <v>0</v>
      </c>
      <c r="N73" s="83">
        <f t="shared" si="15"/>
        <v>0</v>
      </c>
      <c r="O73" s="84">
        <f>IFERROR(SUMIF(B8:B73,"&gt;="&amp;(B73-WEEKDAY(B73,2)+1),E8:E73),0)</f>
        <v>0</v>
      </c>
      <c r="P73" s="85">
        <f>IFERROR(SUMIF(B8:B73,"&gt;="&amp;(B73-WEEKDAY(B73,2)+1),H8:H73),0)</f>
        <v>0</v>
      </c>
      <c r="Q73" s="83">
        <f t="shared" si="16"/>
        <v>0</v>
      </c>
    </row>
    <row r="74" spans="2:17" ht="16.5" customHeight="1" x14ac:dyDescent="0.3">
      <c r="B74" s="61"/>
      <c r="C74" s="62" t="str">
        <f t="shared" si="10"/>
        <v/>
      </c>
      <c r="D74" s="63" t="str">
        <f t="shared" si="11"/>
        <v/>
      </c>
      <c r="E74" s="64"/>
      <c r="F74" s="65"/>
      <c r="G74" s="66">
        <f t="shared" si="12"/>
        <v>0</v>
      </c>
      <c r="H74" s="67">
        <f>IFERROR(SUMIF('💸 Expenses'!B9:B508,B74,'💸 Expenses'!F9:F508),0)</f>
        <v>0</v>
      </c>
      <c r="I74" s="68">
        <f t="shared" si="13"/>
        <v>0</v>
      </c>
      <c r="J74" s="69">
        <f t="shared" si="14"/>
        <v>0</v>
      </c>
      <c r="K74" s="70"/>
      <c r="L74" s="36">
        <f t="shared" si="17"/>
        <v>0</v>
      </c>
      <c r="M74" s="39">
        <f t="shared" si="18"/>
        <v>0</v>
      </c>
      <c r="N74" s="71">
        <f t="shared" si="15"/>
        <v>0</v>
      </c>
      <c r="O74" s="72">
        <f>IFERROR(SUMIF(B8:B74,"&gt;="&amp;(B74-WEEKDAY(B74,2)+1),E8:E74),0)</f>
        <v>0</v>
      </c>
      <c r="P74" s="73">
        <f>IFERROR(SUMIF(B8:B74,"&gt;="&amp;(B74-WEEKDAY(B74,2)+1),H8:H74),0)</f>
        <v>0</v>
      </c>
      <c r="Q74" s="71">
        <f t="shared" si="16"/>
        <v>0</v>
      </c>
    </row>
    <row r="75" spans="2:17" ht="16.5" customHeight="1" x14ac:dyDescent="0.3">
      <c r="B75" s="61"/>
      <c r="C75" s="74" t="str">
        <f t="shared" si="10"/>
        <v/>
      </c>
      <c r="D75" s="75" t="str">
        <f t="shared" si="11"/>
        <v/>
      </c>
      <c r="E75" s="76"/>
      <c r="F75" s="77"/>
      <c r="G75" s="78">
        <f t="shared" si="12"/>
        <v>0</v>
      </c>
      <c r="H75" s="79">
        <f>IFERROR(SUMIF('💸 Expenses'!B9:B508,B75,'💸 Expenses'!F9:F508),0)</f>
        <v>0</v>
      </c>
      <c r="I75" s="80">
        <f t="shared" si="13"/>
        <v>0</v>
      </c>
      <c r="J75" s="81">
        <f t="shared" si="14"/>
        <v>0</v>
      </c>
      <c r="K75" s="82"/>
      <c r="L75" s="45">
        <f t="shared" si="17"/>
        <v>0</v>
      </c>
      <c r="M75" s="48">
        <f t="shared" si="18"/>
        <v>0</v>
      </c>
      <c r="N75" s="83">
        <f t="shared" si="15"/>
        <v>0</v>
      </c>
      <c r="O75" s="84">
        <f>IFERROR(SUMIF(B8:B75,"&gt;="&amp;(B75-WEEKDAY(B75,2)+1),E8:E75),0)</f>
        <v>0</v>
      </c>
      <c r="P75" s="85">
        <f>IFERROR(SUMIF(B8:B75,"&gt;="&amp;(B75-WEEKDAY(B75,2)+1),H8:H75),0)</f>
        <v>0</v>
      </c>
      <c r="Q75" s="83">
        <f t="shared" si="16"/>
        <v>0</v>
      </c>
    </row>
    <row r="76" spans="2:17" ht="16.5" customHeight="1" x14ac:dyDescent="0.3">
      <c r="B76" s="61"/>
      <c r="C76" s="62" t="str">
        <f t="shared" si="10"/>
        <v/>
      </c>
      <c r="D76" s="63" t="str">
        <f t="shared" si="11"/>
        <v/>
      </c>
      <c r="E76" s="64"/>
      <c r="F76" s="65"/>
      <c r="G76" s="66">
        <f t="shared" si="12"/>
        <v>0</v>
      </c>
      <c r="H76" s="67">
        <f>IFERROR(SUMIF('💸 Expenses'!B9:B508,B76,'💸 Expenses'!F9:F508),0)</f>
        <v>0</v>
      </c>
      <c r="I76" s="68">
        <f t="shared" si="13"/>
        <v>0</v>
      </c>
      <c r="J76" s="69">
        <f t="shared" si="14"/>
        <v>0</v>
      </c>
      <c r="K76" s="70"/>
      <c r="L76" s="36">
        <f t="shared" si="17"/>
        <v>0</v>
      </c>
      <c r="M76" s="39">
        <f t="shared" si="18"/>
        <v>0</v>
      </c>
      <c r="N76" s="71">
        <f t="shared" si="15"/>
        <v>0</v>
      </c>
      <c r="O76" s="72">
        <f>IFERROR(SUMIF(B8:B76,"&gt;="&amp;(B76-WEEKDAY(B76,2)+1),E8:E76),0)</f>
        <v>0</v>
      </c>
      <c r="P76" s="73">
        <f>IFERROR(SUMIF(B8:B76,"&gt;="&amp;(B76-WEEKDAY(B76,2)+1),H8:H76),0)</f>
        <v>0</v>
      </c>
      <c r="Q76" s="71">
        <f t="shared" si="16"/>
        <v>0</v>
      </c>
    </row>
    <row r="77" spans="2:17" ht="16.5" customHeight="1" x14ac:dyDescent="0.3">
      <c r="B77" s="61"/>
      <c r="C77" s="74" t="str">
        <f t="shared" si="10"/>
        <v/>
      </c>
      <c r="D77" s="75" t="str">
        <f t="shared" si="11"/>
        <v/>
      </c>
      <c r="E77" s="76"/>
      <c r="F77" s="77"/>
      <c r="G77" s="78">
        <f t="shared" si="12"/>
        <v>0</v>
      </c>
      <c r="H77" s="79">
        <f>IFERROR(SUMIF('💸 Expenses'!B9:B508,B77,'💸 Expenses'!F9:F508),0)</f>
        <v>0</v>
      </c>
      <c r="I77" s="80">
        <f t="shared" si="13"/>
        <v>0</v>
      </c>
      <c r="J77" s="81">
        <f t="shared" si="14"/>
        <v>0</v>
      </c>
      <c r="K77" s="82"/>
      <c r="L77" s="45">
        <f t="shared" si="17"/>
        <v>0</v>
      </c>
      <c r="M77" s="48">
        <f t="shared" si="18"/>
        <v>0</v>
      </c>
      <c r="N77" s="83">
        <f t="shared" si="15"/>
        <v>0</v>
      </c>
      <c r="O77" s="84">
        <f>IFERROR(SUMIF(B8:B77,"&gt;="&amp;(B77-WEEKDAY(B77,2)+1),E8:E77),0)</f>
        <v>0</v>
      </c>
      <c r="P77" s="85">
        <f>IFERROR(SUMIF(B8:B77,"&gt;="&amp;(B77-WEEKDAY(B77,2)+1),H8:H77),0)</f>
        <v>0</v>
      </c>
      <c r="Q77" s="83">
        <f t="shared" si="16"/>
        <v>0</v>
      </c>
    </row>
    <row r="78" spans="2:17" ht="16.5" customHeight="1" x14ac:dyDescent="0.3">
      <c r="B78" s="61"/>
      <c r="C78" s="62" t="str">
        <f t="shared" si="10"/>
        <v/>
      </c>
      <c r="D78" s="63" t="str">
        <f t="shared" si="11"/>
        <v/>
      </c>
      <c r="E78" s="64"/>
      <c r="F78" s="65"/>
      <c r="G78" s="66">
        <f t="shared" si="12"/>
        <v>0</v>
      </c>
      <c r="H78" s="67">
        <f>IFERROR(SUMIF('💸 Expenses'!B9:B508,B78,'💸 Expenses'!F9:F508),0)</f>
        <v>0</v>
      </c>
      <c r="I78" s="68">
        <f t="shared" si="13"/>
        <v>0</v>
      </c>
      <c r="J78" s="69">
        <f t="shared" si="14"/>
        <v>0</v>
      </c>
      <c r="K78" s="70"/>
      <c r="L78" s="36">
        <f t="shared" si="17"/>
        <v>0</v>
      </c>
      <c r="M78" s="39">
        <f t="shared" si="18"/>
        <v>0</v>
      </c>
      <c r="N78" s="71">
        <f t="shared" si="15"/>
        <v>0</v>
      </c>
      <c r="O78" s="72">
        <f>IFERROR(SUMIF(B8:B78,"&gt;="&amp;(B78-WEEKDAY(B78,2)+1),E8:E78),0)</f>
        <v>0</v>
      </c>
      <c r="P78" s="73">
        <f>IFERROR(SUMIF(B8:B78,"&gt;="&amp;(B78-WEEKDAY(B78,2)+1),H8:H78),0)</f>
        <v>0</v>
      </c>
      <c r="Q78" s="71">
        <f t="shared" si="16"/>
        <v>0</v>
      </c>
    </row>
    <row r="79" spans="2:17" ht="16.5" customHeight="1" x14ac:dyDescent="0.3">
      <c r="B79" s="61"/>
      <c r="C79" s="74" t="str">
        <f t="shared" si="10"/>
        <v/>
      </c>
      <c r="D79" s="75" t="str">
        <f t="shared" si="11"/>
        <v/>
      </c>
      <c r="E79" s="76"/>
      <c r="F79" s="77"/>
      <c r="G79" s="78">
        <f t="shared" si="12"/>
        <v>0</v>
      </c>
      <c r="H79" s="79">
        <f>IFERROR(SUMIF('💸 Expenses'!B9:B508,B79,'💸 Expenses'!F9:F508),0)</f>
        <v>0</v>
      </c>
      <c r="I79" s="80">
        <f t="shared" si="13"/>
        <v>0</v>
      </c>
      <c r="J79" s="81">
        <f t="shared" si="14"/>
        <v>0</v>
      </c>
      <c r="K79" s="82"/>
      <c r="L79" s="45">
        <f t="shared" si="17"/>
        <v>0</v>
      </c>
      <c r="M79" s="48">
        <f t="shared" si="18"/>
        <v>0</v>
      </c>
      <c r="N79" s="83">
        <f t="shared" si="15"/>
        <v>0</v>
      </c>
      <c r="O79" s="84">
        <f>IFERROR(SUMIF(B8:B79,"&gt;="&amp;(B79-WEEKDAY(B79,2)+1),E8:E79),0)</f>
        <v>0</v>
      </c>
      <c r="P79" s="85">
        <f>IFERROR(SUMIF(B8:B79,"&gt;="&amp;(B79-WEEKDAY(B79,2)+1),H8:H79),0)</f>
        <v>0</v>
      </c>
      <c r="Q79" s="83">
        <f t="shared" si="16"/>
        <v>0</v>
      </c>
    </row>
    <row r="80" spans="2:17" ht="16.5" customHeight="1" x14ac:dyDescent="0.3">
      <c r="B80" s="61"/>
      <c r="C80" s="62" t="str">
        <f t="shared" si="10"/>
        <v/>
      </c>
      <c r="D80" s="63" t="str">
        <f t="shared" si="11"/>
        <v/>
      </c>
      <c r="E80" s="64"/>
      <c r="F80" s="65"/>
      <c r="G80" s="66">
        <f t="shared" si="12"/>
        <v>0</v>
      </c>
      <c r="H80" s="67">
        <f>IFERROR(SUMIF('💸 Expenses'!B9:B508,B80,'💸 Expenses'!F9:F508),0)</f>
        <v>0</v>
      </c>
      <c r="I80" s="68">
        <f t="shared" si="13"/>
        <v>0</v>
      </c>
      <c r="J80" s="69">
        <f t="shared" si="14"/>
        <v>0</v>
      </c>
      <c r="K80" s="70"/>
      <c r="L80" s="36">
        <f t="shared" si="17"/>
        <v>0</v>
      </c>
      <c r="M80" s="39">
        <f t="shared" si="18"/>
        <v>0</v>
      </c>
      <c r="N80" s="71">
        <f t="shared" si="15"/>
        <v>0</v>
      </c>
      <c r="O80" s="72">
        <f>IFERROR(SUMIF(B8:B80,"&gt;="&amp;(B80-WEEKDAY(B80,2)+1),E8:E80),0)</f>
        <v>0</v>
      </c>
      <c r="P80" s="73">
        <f>IFERROR(SUMIF(B8:B80,"&gt;="&amp;(B80-WEEKDAY(B80,2)+1),H8:H80),0)</f>
        <v>0</v>
      </c>
      <c r="Q80" s="71">
        <f t="shared" si="16"/>
        <v>0</v>
      </c>
    </row>
    <row r="81" spans="2:17" ht="16.5" customHeight="1" x14ac:dyDescent="0.3">
      <c r="B81" s="61"/>
      <c r="C81" s="74" t="str">
        <f t="shared" si="10"/>
        <v/>
      </c>
      <c r="D81" s="75" t="str">
        <f t="shared" si="11"/>
        <v/>
      </c>
      <c r="E81" s="76"/>
      <c r="F81" s="77"/>
      <c r="G81" s="78">
        <f t="shared" si="12"/>
        <v>0</v>
      </c>
      <c r="H81" s="79">
        <f>IFERROR(SUMIF('💸 Expenses'!B9:B508,B81,'💸 Expenses'!F9:F508),0)</f>
        <v>0</v>
      </c>
      <c r="I81" s="80">
        <f t="shared" si="13"/>
        <v>0</v>
      </c>
      <c r="J81" s="81">
        <f t="shared" si="14"/>
        <v>0</v>
      </c>
      <c r="K81" s="82"/>
      <c r="L81" s="45">
        <f t="shared" si="17"/>
        <v>0</v>
      </c>
      <c r="M81" s="48">
        <f t="shared" si="18"/>
        <v>0</v>
      </c>
      <c r="N81" s="83">
        <f t="shared" si="15"/>
        <v>0</v>
      </c>
      <c r="O81" s="84">
        <f>IFERROR(SUMIF(B8:B81,"&gt;="&amp;(B81-WEEKDAY(B81,2)+1),E8:E81),0)</f>
        <v>0</v>
      </c>
      <c r="P81" s="85">
        <f>IFERROR(SUMIF(B8:B81,"&gt;="&amp;(B81-WEEKDAY(B81,2)+1),H8:H81),0)</f>
        <v>0</v>
      </c>
      <c r="Q81" s="83">
        <f t="shared" si="16"/>
        <v>0</v>
      </c>
    </row>
    <row r="82" spans="2:17" ht="16.5" customHeight="1" x14ac:dyDescent="0.3">
      <c r="B82" s="61"/>
      <c r="C82" s="62" t="str">
        <f t="shared" si="10"/>
        <v/>
      </c>
      <c r="D82" s="63" t="str">
        <f t="shared" si="11"/>
        <v/>
      </c>
      <c r="E82" s="64"/>
      <c r="F82" s="65"/>
      <c r="G82" s="66">
        <f t="shared" si="12"/>
        <v>0</v>
      </c>
      <c r="H82" s="67">
        <f>IFERROR(SUMIF('💸 Expenses'!B9:B508,B82,'💸 Expenses'!F9:F508),0)</f>
        <v>0</v>
      </c>
      <c r="I82" s="68">
        <f t="shared" si="13"/>
        <v>0</v>
      </c>
      <c r="J82" s="69">
        <f t="shared" si="14"/>
        <v>0</v>
      </c>
      <c r="K82" s="70"/>
      <c r="L82" s="36">
        <f t="shared" si="17"/>
        <v>0</v>
      </c>
      <c r="M82" s="39">
        <f t="shared" si="18"/>
        <v>0</v>
      </c>
      <c r="N82" s="71">
        <f t="shared" si="15"/>
        <v>0</v>
      </c>
      <c r="O82" s="72">
        <f>IFERROR(SUMIF(B8:B82,"&gt;="&amp;(B82-WEEKDAY(B82,2)+1),E8:E82),0)</f>
        <v>0</v>
      </c>
      <c r="P82" s="73">
        <f>IFERROR(SUMIF(B8:B82,"&gt;="&amp;(B82-WEEKDAY(B82,2)+1),H8:H82),0)</f>
        <v>0</v>
      </c>
      <c r="Q82" s="71">
        <f t="shared" si="16"/>
        <v>0</v>
      </c>
    </row>
    <row r="83" spans="2:17" ht="16.5" customHeight="1" x14ac:dyDescent="0.3">
      <c r="B83" s="61"/>
      <c r="C83" s="74" t="str">
        <f t="shared" si="10"/>
        <v/>
      </c>
      <c r="D83" s="75" t="str">
        <f t="shared" si="11"/>
        <v/>
      </c>
      <c r="E83" s="76"/>
      <c r="F83" s="77"/>
      <c r="G83" s="78">
        <f t="shared" si="12"/>
        <v>0</v>
      </c>
      <c r="H83" s="79">
        <f>IFERROR(SUMIF('💸 Expenses'!B9:B508,B83,'💸 Expenses'!F9:F508),0)</f>
        <v>0</v>
      </c>
      <c r="I83" s="80">
        <f t="shared" si="13"/>
        <v>0</v>
      </c>
      <c r="J83" s="81">
        <f t="shared" si="14"/>
        <v>0</v>
      </c>
      <c r="K83" s="82"/>
      <c r="L83" s="45">
        <f t="shared" si="17"/>
        <v>0</v>
      </c>
      <c r="M83" s="48">
        <f t="shared" si="18"/>
        <v>0</v>
      </c>
      <c r="N83" s="83">
        <f t="shared" si="15"/>
        <v>0</v>
      </c>
      <c r="O83" s="84">
        <f>IFERROR(SUMIF(B8:B83,"&gt;="&amp;(B83-WEEKDAY(B83,2)+1),E8:E83),0)</f>
        <v>0</v>
      </c>
      <c r="P83" s="85">
        <f>IFERROR(SUMIF(B8:B83,"&gt;="&amp;(B83-WEEKDAY(B83,2)+1),H8:H83),0)</f>
        <v>0</v>
      </c>
      <c r="Q83" s="83">
        <f t="shared" si="16"/>
        <v>0</v>
      </c>
    </row>
    <row r="84" spans="2:17" ht="16.5" customHeight="1" x14ac:dyDescent="0.3">
      <c r="B84" s="61"/>
      <c r="C84" s="62" t="str">
        <f t="shared" si="10"/>
        <v/>
      </c>
      <c r="D84" s="63" t="str">
        <f t="shared" si="11"/>
        <v/>
      </c>
      <c r="E84" s="64"/>
      <c r="F84" s="65"/>
      <c r="G84" s="66">
        <f t="shared" si="12"/>
        <v>0</v>
      </c>
      <c r="H84" s="67">
        <f>IFERROR(SUMIF('💸 Expenses'!B9:B508,B84,'💸 Expenses'!F9:F508),0)</f>
        <v>0</v>
      </c>
      <c r="I84" s="68">
        <f t="shared" si="13"/>
        <v>0</v>
      </c>
      <c r="J84" s="69">
        <f t="shared" si="14"/>
        <v>0</v>
      </c>
      <c r="K84" s="70"/>
      <c r="L84" s="36">
        <f t="shared" si="17"/>
        <v>0</v>
      </c>
      <c r="M84" s="39">
        <f t="shared" si="18"/>
        <v>0</v>
      </c>
      <c r="N84" s="71">
        <f t="shared" si="15"/>
        <v>0</v>
      </c>
      <c r="O84" s="72">
        <f>IFERROR(SUMIF(B8:B84,"&gt;="&amp;(B84-WEEKDAY(B84,2)+1),E8:E84),0)</f>
        <v>0</v>
      </c>
      <c r="P84" s="73">
        <f>IFERROR(SUMIF(B8:B84,"&gt;="&amp;(B84-WEEKDAY(B84,2)+1),H8:H84),0)</f>
        <v>0</v>
      </c>
      <c r="Q84" s="71">
        <f t="shared" si="16"/>
        <v>0</v>
      </c>
    </row>
    <row r="85" spans="2:17" ht="16.5" customHeight="1" x14ac:dyDescent="0.3">
      <c r="B85" s="61"/>
      <c r="C85" s="74" t="str">
        <f t="shared" si="10"/>
        <v/>
      </c>
      <c r="D85" s="75" t="str">
        <f t="shared" si="11"/>
        <v/>
      </c>
      <c r="E85" s="76"/>
      <c r="F85" s="77"/>
      <c r="G85" s="78">
        <f t="shared" si="12"/>
        <v>0</v>
      </c>
      <c r="H85" s="79">
        <f>IFERROR(SUMIF('💸 Expenses'!B9:B508,B85,'💸 Expenses'!F9:F508),0)</f>
        <v>0</v>
      </c>
      <c r="I85" s="80">
        <f t="shared" si="13"/>
        <v>0</v>
      </c>
      <c r="J85" s="81">
        <f t="shared" si="14"/>
        <v>0</v>
      </c>
      <c r="K85" s="82"/>
      <c r="L85" s="45">
        <f t="shared" si="17"/>
        <v>0</v>
      </c>
      <c r="M85" s="48">
        <f t="shared" si="18"/>
        <v>0</v>
      </c>
      <c r="N85" s="83">
        <f t="shared" si="15"/>
        <v>0</v>
      </c>
      <c r="O85" s="84">
        <f>IFERROR(SUMIF(B8:B85,"&gt;="&amp;(B85-WEEKDAY(B85,2)+1),E8:E85),0)</f>
        <v>0</v>
      </c>
      <c r="P85" s="85">
        <f>IFERROR(SUMIF(B8:B85,"&gt;="&amp;(B85-WEEKDAY(B85,2)+1),H8:H85),0)</f>
        <v>0</v>
      </c>
      <c r="Q85" s="83">
        <f t="shared" si="16"/>
        <v>0</v>
      </c>
    </row>
    <row r="86" spans="2:17" ht="16.5" customHeight="1" x14ac:dyDescent="0.3">
      <c r="B86" s="61"/>
      <c r="C86" s="62" t="str">
        <f t="shared" si="10"/>
        <v/>
      </c>
      <c r="D86" s="63" t="str">
        <f t="shared" si="11"/>
        <v/>
      </c>
      <c r="E86" s="64"/>
      <c r="F86" s="65"/>
      <c r="G86" s="66">
        <f t="shared" si="12"/>
        <v>0</v>
      </c>
      <c r="H86" s="67">
        <f>IFERROR(SUMIF('💸 Expenses'!B9:B508,B86,'💸 Expenses'!F9:F508),0)</f>
        <v>0</v>
      </c>
      <c r="I86" s="68">
        <f t="shared" si="13"/>
        <v>0</v>
      </c>
      <c r="J86" s="69">
        <f t="shared" si="14"/>
        <v>0</v>
      </c>
      <c r="K86" s="70"/>
      <c r="L86" s="36">
        <f t="shared" si="17"/>
        <v>0</v>
      </c>
      <c r="M86" s="39">
        <f t="shared" si="18"/>
        <v>0</v>
      </c>
      <c r="N86" s="71">
        <f t="shared" si="15"/>
        <v>0</v>
      </c>
      <c r="O86" s="72">
        <f>IFERROR(SUMIF(B8:B86,"&gt;="&amp;(B86-WEEKDAY(B86,2)+1),E8:E86),0)</f>
        <v>0</v>
      </c>
      <c r="P86" s="73">
        <f>IFERROR(SUMIF(B8:B86,"&gt;="&amp;(B86-WEEKDAY(B86,2)+1),H8:H86),0)</f>
        <v>0</v>
      </c>
      <c r="Q86" s="71">
        <f t="shared" si="16"/>
        <v>0</v>
      </c>
    </row>
    <row r="87" spans="2:17" ht="16.5" customHeight="1" x14ac:dyDescent="0.3">
      <c r="B87" s="61"/>
      <c r="C87" s="74" t="str">
        <f t="shared" si="10"/>
        <v/>
      </c>
      <c r="D87" s="75" t="str">
        <f t="shared" si="11"/>
        <v/>
      </c>
      <c r="E87" s="76"/>
      <c r="F87" s="77"/>
      <c r="G87" s="78">
        <f t="shared" si="12"/>
        <v>0</v>
      </c>
      <c r="H87" s="79">
        <f>IFERROR(SUMIF('💸 Expenses'!B9:B508,B87,'💸 Expenses'!F9:F508),0)</f>
        <v>0</v>
      </c>
      <c r="I87" s="80">
        <f t="shared" si="13"/>
        <v>0</v>
      </c>
      <c r="J87" s="81">
        <f t="shared" si="14"/>
        <v>0</v>
      </c>
      <c r="K87" s="82"/>
      <c r="L87" s="45">
        <f t="shared" si="17"/>
        <v>0</v>
      </c>
      <c r="M87" s="48">
        <f t="shared" si="18"/>
        <v>0</v>
      </c>
      <c r="N87" s="83">
        <f t="shared" si="15"/>
        <v>0</v>
      </c>
      <c r="O87" s="84">
        <f>IFERROR(SUMIF(B8:B87,"&gt;="&amp;(B87-WEEKDAY(B87,2)+1),E8:E87),0)</f>
        <v>0</v>
      </c>
      <c r="P87" s="85">
        <f>IFERROR(SUMIF(B8:B87,"&gt;="&amp;(B87-WEEKDAY(B87,2)+1),H8:H87),0)</f>
        <v>0</v>
      </c>
      <c r="Q87" s="83">
        <f t="shared" si="16"/>
        <v>0</v>
      </c>
    </row>
    <row r="88" spans="2:17" ht="16.5" customHeight="1" x14ac:dyDescent="0.3">
      <c r="B88" s="61"/>
      <c r="C88" s="62" t="str">
        <f t="shared" si="10"/>
        <v/>
      </c>
      <c r="D88" s="63" t="str">
        <f t="shared" si="11"/>
        <v/>
      </c>
      <c r="E88" s="64"/>
      <c r="F88" s="65"/>
      <c r="G88" s="66">
        <f t="shared" si="12"/>
        <v>0</v>
      </c>
      <c r="H88" s="67">
        <f>IFERROR(SUMIF('💸 Expenses'!B9:B508,B88,'💸 Expenses'!F9:F508),0)</f>
        <v>0</v>
      </c>
      <c r="I88" s="68">
        <f t="shared" si="13"/>
        <v>0</v>
      </c>
      <c r="J88" s="69">
        <f t="shared" si="14"/>
        <v>0</v>
      </c>
      <c r="K88" s="70"/>
      <c r="L88" s="36">
        <f t="shared" si="17"/>
        <v>0</v>
      </c>
      <c r="M88" s="39">
        <f t="shared" si="18"/>
        <v>0</v>
      </c>
      <c r="N88" s="71">
        <f t="shared" si="15"/>
        <v>0</v>
      </c>
      <c r="O88" s="72">
        <f>IFERROR(SUMIF(B8:B88,"&gt;="&amp;(B88-WEEKDAY(B88,2)+1),E8:E88),0)</f>
        <v>0</v>
      </c>
      <c r="P88" s="73">
        <f>IFERROR(SUMIF(B8:B88,"&gt;="&amp;(B88-WEEKDAY(B88,2)+1),H8:H88),0)</f>
        <v>0</v>
      </c>
      <c r="Q88" s="71">
        <f t="shared" si="16"/>
        <v>0</v>
      </c>
    </row>
    <row r="89" spans="2:17" ht="16.5" customHeight="1" x14ac:dyDescent="0.3">
      <c r="B89" s="61"/>
      <c r="C89" s="74" t="str">
        <f t="shared" si="10"/>
        <v/>
      </c>
      <c r="D89" s="75" t="str">
        <f t="shared" si="11"/>
        <v/>
      </c>
      <c r="E89" s="76"/>
      <c r="F89" s="77"/>
      <c r="G89" s="78">
        <f t="shared" si="12"/>
        <v>0</v>
      </c>
      <c r="H89" s="79">
        <f>IFERROR(SUMIF('💸 Expenses'!B9:B508,B89,'💸 Expenses'!F9:F508),0)</f>
        <v>0</v>
      </c>
      <c r="I89" s="80">
        <f t="shared" si="13"/>
        <v>0</v>
      </c>
      <c r="J89" s="81">
        <f t="shared" si="14"/>
        <v>0</v>
      </c>
      <c r="K89" s="82"/>
      <c r="L89" s="45">
        <f t="shared" si="17"/>
        <v>0</v>
      </c>
      <c r="M89" s="48">
        <f t="shared" si="18"/>
        <v>0</v>
      </c>
      <c r="N89" s="83">
        <f t="shared" si="15"/>
        <v>0</v>
      </c>
      <c r="O89" s="84">
        <f>IFERROR(SUMIF(B8:B89,"&gt;="&amp;(B89-WEEKDAY(B89,2)+1),E8:E89),0)</f>
        <v>0</v>
      </c>
      <c r="P89" s="85">
        <f>IFERROR(SUMIF(B8:B89,"&gt;="&amp;(B89-WEEKDAY(B89,2)+1),H8:H89),0)</f>
        <v>0</v>
      </c>
      <c r="Q89" s="83">
        <f t="shared" si="16"/>
        <v>0</v>
      </c>
    </row>
    <row r="90" spans="2:17" ht="16.5" customHeight="1" x14ac:dyDescent="0.3">
      <c r="B90" s="61"/>
      <c r="C90" s="62" t="str">
        <f t="shared" si="10"/>
        <v/>
      </c>
      <c r="D90" s="63" t="str">
        <f t="shared" si="11"/>
        <v/>
      </c>
      <c r="E90" s="64"/>
      <c r="F90" s="65"/>
      <c r="G90" s="66">
        <f t="shared" si="12"/>
        <v>0</v>
      </c>
      <c r="H90" s="67">
        <f>IFERROR(SUMIF('💸 Expenses'!B9:B508,B90,'💸 Expenses'!F9:F508),0)</f>
        <v>0</v>
      </c>
      <c r="I90" s="68">
        <f t="shared" si="13"/>
        <v>0</v>
      </c>
      <c r="J90" s="69">
        <f t="shared" si="14"/>
        <v>0</v>
      </c>
      <c r="K90" s="70"/>
      <c r="L90" s="36">
        <f t="shared" si="17"/>
        <v>0</v>
      </c>
      <c r="M90" s="39">
        <f t="shared" si="18"/>
        <v>0</v>
      </c>
      <c r="N90" s="71">
        <f t="shared" si="15"/>
        <v>0</v>
      </c>
      <c r="O90" s="72">
        <f>IFERROR(SUMIF(B8:B90,"&gt;="&amp;(B90-WEEKDAY(B90,2)+1),E8:E90),0)</f>
        <v>0</v>
      </c>
      <c r="P90" s="73">
        <f>IFERROR(SUMIF(B8:B90,"&gt;="&amp;(B90-WEEKDAY(B90,2)+1),H8:H90),0)</f>
        <v>0</v>
      </c>
      <c r="Q90" s="71">
        <f t="shared" si="16"/>
        <v>0</v>
      </c>
    </row>
    <row r="91" spans="2:17" ht="16.5" customHeight="1" x14ac:dyDescent="0.3">
      <c r="B91" s="61"/>
      <c r="C91" s="74" t="str">
        <f t="shared" si="10"/>
        <v/>
      </c>
      <c r="D91" s="75" t="str">
        <f t="shared" si="11"/>
        <v/>
      </c>
      <c r="E91" s="76"/>
      <c r="F91" s="77"/>
      <c r="G91" s="78">
        <f t="shared" si="12"/>
        <v>0</v>
      </c>
      <c r="H91" s="79">
        <f>IFERROR(SUMIF('💸 Expenses'!B9:B508,B91,'💸 Expenses'!F9:F508),0)</f>
        <v>0</v>
      </c>
      <c r="I91" s="80">
        <f t="shared" si="13"/>
        <v>0</v>
      </c>
      <c r="J91" s="81">
        <f t="shared" si="14"/>
        <v>0</v>
      </c>
      <c r="K91" s="82"/>
      <c r="L91" s="45">
        <f t="shared" si="17"/>
        <v>0</v>
      </c>
      <c r="M91" s="48">
        <f t="shared" si="18"/>
        <v>0</v>
      </c>
      <c r="N91" s="83">
        <f t="shared" si="15"/>
        <v>0</v>
      </c>
      <c r="O91" s="84">
        <f>IFERROR(SUMIF(B8:B91,"&gt;="&amp;(B91-WEEKDAY(B91,2)+1),E8:E91),0)</f>
        <v>0</v>
      </c>
      <c r="P91" s="85">
        <f>IFERROR(SUMIF(B8:B91,"&gt;="&amp;(B91-WEEKDAY(B91,2)+1),H8:H91),0)</f>
        <v>0</v>
      </c>
      <c r="Q91" s="83">
        <f t="shared" si="16"/>
        <v>0</v>
      </c>
    </row>
    <row r="92" spans="2:17" ht="16.5" customHeight="1" x14ac:dyDescent="0.3">
      <c r="B92" s="61"/>
      <c r="C92" s="62" t="str">
        <f t="shared" si="10"/>
        <v/>
      </c>
      <c r="D92" s="63" t="str">
        <f t="shared" si="11"/>
        <v/>
      </c>
      <c r="E92" s="64"/>
      <c r="F92" s="65"/>
      <c r="G92" s="66">
        <f t="shared" si="12"/>
        <v>0</v>
      </c>
      <c r="H92" s="67">
        <f>IFERROR(SUMIF('💸 Expenses'!B9:B508,B92,'💸 Expenses'!F9:F508),0)</f>
        <v>0</v>
      </c>
      <c r="I92" s="68">
        <f t="shared" si="13"/>
        <v>0</v>
      </c>
      <c r="J92" s="69">
        <f t="shared" si="14"/>
        <v>0</v>
      </c>
      <c r="K92" s="70"/>
      <c r="L92" s="36">
        <f t="shared" si="17"/>
        <v>0</v>
      </c>
      <c r="M92" s="39">
        <f t="shared" si="18"/>
        <v>0</v>
      </c>
      <c r="N92" s="71">
        <f t="shared" si="15"/>
        <v>0</v>
      </c>
      <c r="O92" s="72">
        <f>IFERROR(SUMIF(B8:B92,"&gt;="&amp;(B92-WEEKDAY(B92,2)+1),E8:E92),0)</f>
        <v>0</v>
      </c>
      <c r="P92" s="73">
        <f>IFERROR(SUMIF(B8:B92,"&gt;="&amp;(B92-WEEKDAY(B92,2)+1),H8:H92),0)</f>
        <v>0</v>
      </c>
      <c r="Q92" s="71">
        <f t="shared" si="16"/>
        <v>0</v>
      </c>
    </row>
    <row r="93" spans="2:17" ht="16.5" customHeight="1" x14ac:dyDescent="0.3">
      <c r="B93" s="61"/>
      <c r="C93" s="74" t="str">
        <f t="shared" si="10"/>
        <v/>
      </c>
      <c r="D93" s="75" t="str">
        <f t="shared" si="11"/>
        <v/>
      </c>
      <c r="E93" s="76"/>
      <c r="F93" s="77"/>
      <c r="G93" s="78">
        <f t="shared" si="12"/>
        <v>0</v>
      </c>
      <c r="H93" s="79">
        <f>IFERROR(SUMIF('💸 Expenses'!B9:B508,B93,'💸 Expenses'!F9:F508),0)</f>
        <v>0</v>
      </c>
      <c r="I93" s="80">
        <f t="shared" si="13"/>
        <v>0</v>
      </c>
      <c r="J93" s="81">
        <f t="shared" si="14"/>
        <v>0</v>
      </c>
      <c r="K93" s="82"/>
      <c r="L93" s="45">
        <f t="shared" si="17"/>
        <v>0</v>
      </c>
      <c r="M93" s="48">
        <f t="shared" si="18"/>
        <v>0</v>
      </c>
      <c r="N93" s="83">
        <f t="shared" si="15"/>
        <v>0</v>
      </c>
      <c r="O93" s="84">
        <f>IFERROR(SUMIF(B8:B93,"&gt;="&amp;(B93-WEEKDAY(B93,2)+1),E8:E93),0)</f>
        <v>0</v>
      </c>
      <c r="P93" s="85">
        <f>IFERROR(SUMIF(B8:B93,"&gt;="&amp;(B93-WEEKDAY(B93,2)+1),H8:H93),0)</f>
        <v>0</v>
      </c>
      <c r="Q93" s="83">
        <f t="shared" si="16"/>
        <v>0</v>
      </c>
    </row>
    <row r="94" spans="2:17" ht="16.5" customHeight="1" x14ac:dyDescent="0.3">
      <c r="B94" s="61"/>
      <c r="C94" s="62" t="str">
        <f t="shared" si="10"/>
        <v/>
      </c>
      <c r="D94" s="63" t="str">
        <f t="shared" si="11"/>
        <v/>
      </c>
      <c r="E94" s="64"/>
      <c r="F94" s="65"/>
      <c r="G94" s="66">
        <f t="shared" si="12"/>
        <v>0</v>
      </c>
      <c r="H94" s="67">
        <f>IFERROR(SUMIF('💸 Expenses'!B9:B508,B94,'💸 Expenses'!F9:F508),0)</f>
        <v>0</v>
      </c>
      <c r="I94" s="68">
        <f t="shared" si="13"/>
        <v>0</v>
      </c>
      <c r="J94" s="69">
        <f t="shared" si="14"/>
        <v>0</v>
      </c>
      <c r="K94" s="70"/>
      <c r="L94" s="36">
        <f t="shared" si="17"/>
        <v>0</v>
      </c>
      <c r="M94" s="39">
        <f t="shared" si="18"/>
        <v>0</v>
      </c>
      <c r="N94" s="71">
        <f t="shared" si="15"/>
        <v>0</v>
      </c>
      <c r="O94" s="72">
        <f>IFERROR(SUMIF(B8:B94,"&gt;="&amp;(B94-WEEKDAY(B94,2)+1),E8:E94),0)</f>
        <v>0</v>
      </c>
      <c r="P94" s="73">
        <f>IFERROR(SUMIF(B8:B94,"&gt;="&amp;(B94-WEEKDAY(B94,2)+1),H8:H94),0)</f>
        <v>0</v>
      </c>
      <c r="Q94" s="71">
        <f t="shared" si="16"/>
        <v>0</v>
      </c>
    </row>
    <row r="95" spans="2:17" ht="16.5" customHeight="1" x14ac:dyDescent="0.3">
      <c r="B95" s="61"/>
      <c r="C95" s="74" t="str">
        <f t="shared" si="10"/>
        <v/>
      </c>
      <c r="D95" s="75" t="str">
        <f t="shared" si="11"/>
        <v/>
      </c>
      <c r="E95" s="76"/>
      <c r="F95" s="77"/>
      <c r="G95" s="78">
        <f t="shared" si="12"/>
        <v>0</v>
      </c>
      <c r="H95" s="79">
        <f>IFERROR(SUMIF('💸 Expenses'!B9:B508,B95,'💸 Expenses'!F9:F508),0)</f>
        <v>0</v>
      </c>
      <c r="I95" s="80">
        <f t="shared" si="13"/>
        <v>0</v>
      </c>
      <c r="J95" s="81">
        <f t="shared" si="14"/>
        <v>0</v>
      </c>
      <c r="K95" s="82"/>
      <c r="L95" s="45">
        <f t="shared" si="17"/>
        <v>0</v>
      </c>
      <c r="M95" s="48">
        <f t="shared" si="18"/>
        <v>0</v>
      </c>
      <c r="N95" s="83">
        <f t="shared" si="15"/>
        <v>0</v>
      </c>
      <c r="O95" s="84">
        <f>IFERROR(SUMIF(B8:B95,"&gt;="&amp;(B95-WEEKDAY(B95,2)+1),E8:E95),0)</f>
        <v>0</v>
      </c>
      <c r="P95" s="85">
        <f>IFERROR(SUMIF(B8:B95,"&gt;="&amp;(B95-WEEKDAY(B95,2)+1),H8:H95),0)</f>
        <v>0</v>
      </c>
      <c r="Q95" s="83">
        <f t="shared" si="16"/>
        <v>0</v>
      </c>
    </row>
    <row r="96" spans="2:17" ht="16.5" customHeight="1" x14ac:dyDescent="0.3">
      <c r="B96" s="61"/>
      <c r="C96" s="62" t="str">
        <f t="shared" si="10"/>
        <v/>
      </c>
      <c r="D96" s="63" t="str">
        <f t="shared" si="11"/>
        <v/>
      </c>
      <c r="E96" s="64"/>
      <c r="F96" s="65"/>
      <c r="G96" s="66">
        <f t="shared" si="12"/>
        <v>0</v>
      </c>
      <c r="H96" s="67">
        <f>IFERROR(SUMIF('💸 Expenses'!B9:B508,B96,'💸 Expenses'!F9:F508),0)</f>
        <v>0</v>
      </c>
      <c r="I96" s="68">
        <f t="shared" si="13"/>
        <v>0</v>
      </c>
      <c r="J96" s="69">
        <f t="shared" si="14"/>
        <v>0</v>
      </c>
      <c r="K96" s="70"/>
      <c r="L96" s="36">
        <f t="shared" si="17"/>
        <v>0</v>
      </c>
      <c r="M96" s="39">
        <f t="shared" si="18"/>
        <v>0</v>
      </c>
      <c r="N96" s="71">
        <f t="shared" si="15"/>
        <v>0</v>
      </c>
      <c r="O96" s="72">
        <f>IFERROR(SUMIF(B8:B96,"&gt;="&amp;(B96-WEEKDAY(B96,2)+1),E8:E96),0)</f>
        <v>0</v>
      </c>
      <c r="P96" s="73">
        <f>IFERROR(SUMIF(B8:B96,"&gt;="&amp;(B96-WEEKDAY(B96,2)+1),H8:H96),0)</f>
        <v>0</v>
      </c>
      <c r="Q96" s="71">
        <f t="shared" si="16"/>
        <v>0</v>
      </c>
    </row>
    <row r="97" spans="2:17" ht="16.5" customHeight="1" x14ac:dyDescent="0.3">
      <c r="B97" s="61"/>
      <c r="C97" s="74" t="str">
        <f t="shared" si="10"/>
        <v/>
      </c>
      <c r="D97" s="75" t="str">
        <f t="shared" si="11"/>
        <v/>
      </c>
      <c r="E97" s="76"/>
      <c r="F97" s="77"/>
      <c r="G97" s="78">
        <f t="shared" si="12"/>
        <v>0</v>
      </c>
      <c r="H97" s="79">
        <f>IFERROR(SUMIF('💸 Expenses'!B9:B508,B97,'💸 Expenses'!F9:F508),0)</f>
        <v>0</v>
      </c>
      <c r="I97" s="80">
        <f t="shared" si="13"/>
        <v>0</v>
      </c>
      <c r="J97" s="81">
        <f t="shared" si="14"/>
        <v>0</v>
      </c>
      <c r="K97" s="82"/>
      <c r="L97" s="45">
        <f t="shared" si="17"/>
        <v>0</v>
      </c>
      <c r="M97" s="48">
        <f t="shared" si="18"/>
        <v>0</v>
      </c>
      <c r="N97" s="83">
        <f t="shared" si="15"/>
        <v>0</v>
      </c>
      <c r="O97" s="84">
        <f>IFERROR(SUMIF(B8:B97,"&gt;="&amp;(B97-WEEKDAY(B97,2)+1),E8:E97),0)</f>
        <v>0</v>
      </c>
      <c r="P97" s="85">
        <f>IFERROR(SUMIF(B8:B97,"&gt;="&amp;(B97-WEEKDAY(B97,2)+1),H8:H97),0)</f>
        <v>0</v>
      </c>
      <c r="Q97" s="83">
        <f t="shared" si="16"/>
        <v>0</v>
      </c>
    </row>
    <row r="98" spans="2:17" ht="16.5" customHeight="1" x14ac:dyDescent="0.3">
      <c r="B98" s="61"/>
      <c r="C98" s="62" t="str">
        <f t="shared" si="10"/>
        <v/>
      </c>
      <c r="D98" s="63" t="str">
        <f t="shared" si="11"/>
        <v/>
      </c>
      <c r="E98" s="64"/>
      <c r="F98" s="65"/>
      <c r="G98" s="66">
        <f t="shared" si="12"/>
        <v>0</v>
      </c>
      <c r="H98" s="67">
        <f>IFERROR(SUMIF('💸 Expenses'!B9:B508,B98,'💸 Expenses'!F9:F508),0)</f>
        <v>0</v>
      </c>
      <c r="I98" s="68">
        <f t="shared" si="13"/>
        <v>0</v>
      </c>
      <c r="J98" s="69">
        <f t="shared" si="14"/>
        <v>0</v>
      </c>
      <c r="K98" s="70"/>
      <c r="L98" s="36">
        <f t="shared" si="17"/>
        <v>0</v>
      </c>
      <c r="M98" s="39">
        <f t="shared" si="18"/>
        <v>0</v>
      </c>
      <c r="N98" s="71">
        <f t="shared" si="15"/>
        <v>0</v>
      </c>
      <c r="O98" s="72">
        <f>IFERROR(SUMIF(B8:B98,"&gt;="&amp;(B98-WEEKDAY(B98,2)+1),E8:E98),0)</f>
        <v>0</v>
      </c>
      <c r="P98" s="73">
        <f>IFERROR(SUMIF(B8:B98,"&gt;="&amp;(B98-WEEKDAY(B98,2)+1),H8:H98),0)</f>
        <v>0</v>
      </c>
      <c r="Q98" s="71">
        <f t="shared" si="16"/>
        <v>0</v>
      </c>
    </row>
    <row r="99" spans="2:17" ht="16.5" customHeight="1" x14ac:dyDescent="0.3">
      <c r="B99" s="61"/>
      <c r="C99" s="74" t="str">
        <f t="shared" si="10"/>
        <v/>
      </c>
      <c r="D99" s="75" t="str">
        <f t="shared" si="11"/>
        <v/>
      </c>
      <c r="E99" s="76"/>
      <c r="F99" s="77"/>
      <c r="G99" s="78">
        <f t="shared" si="12"/>
        <v>0</v>
      </c>
      <c r="H99" s="79">
        <f>IFERROR(SUMIF('💸 Expenses'!B9:B508,B99,'💸 Expenses'!F9:F508),0)</f>
        <v>0</v>
      </c>
      <c r="I99" s="80">
        <f t="shared" si="13"/>
        <v>0</v>
      </c>
      <c r="J99" s="81">
        <f t="shared" si="14"/>
        <v>0</v>
      </c>
      <c r="K99" s="82"/>
      <c r="L99" s="45">
        <f t="shared" si="17"/>
        <v>0</v>
      </c>
      <c r="M99" s="48">
        <f t="shared" si="18"/>
        <v>0</v>
      </c>
      <c r="N99" s="83">
        <f t="shared" si="15"/>
        <v>0</v>
      </c>
      <c r="O99" s="84">
        <f>IFERROR(SUMIF(B8:B99,"&gt;="&amp;(B99-WEEKDAY(B99,2)+1),E8:E99),0)</f>
        <v>0</v>
      </c>
      <c r="P99" s="85">
        <f>IFERROR(SUMIF(B8:B99,"&gt;="&amp;(B99-WEEKDAY(B99,2)+1),H8:H99),0)</f>
        <v>0</v>
      </c>
      <c r="Q99" s="83">
        <f t="shared" si="16"/>
        <v>0</v>
      </c>
    </row>
    <row r="100" spans="2:17" ht="16.5" customHeight="1" x14ac:dyDescent="0.3">
      <c r="B100" s="61"/>
      <c r="C100" s="62" t="str">
        <f t="shared" si="10"/>
        <v/>
      </c>
      <c r="D100" s="63" t="str">
        <f t="shared" si="11"/>
        <v/>
      </c>
      <c r="E100" s="64"/>
      <c r="F100" s="65"/>
      <c r="G100" s="66">
        <f t="shared" si="12"/>
        <v>0</v>
      </c>
      <c r="H100" s="67">
        <f>IFERROR(SUMIF('💸 Expenses'!B9:B508,B100,'💸 Expenses'!F9:F508),0)</f>
        <v>0</v>
      </c>
      <c r="I100" s="68">
        <f t="shared" si="13"/>
        <v>0</v>
      </c>
      <c r="J100" s="69">
        <f t="shared" si="14"/>
        <v>0</v>
      </c>
      <c r="K100" s="70"/>
      <c r="L100" s="36">
        <f t="shared" si="17"/>
        <v>0</v>
      </c>
      <c r="M100" s="39">
        <f t="shared" si="18"/>
        <v>0</v>
      </c>
      <c r="N100" s="71">
        <f t="shared" si="15"/>
        <v>0</v>
      </c>
      <c r="O100" s="72">
        <f>IFERROR(SUMIF(B8:B100,"&gt;="&amp;(B100-WEEKDAY(B100,2)+1),E8:E100),0)</f>
        <v>0</v>
      </c>
      <c r="P100" s="73">
        <f>IFERROR(SUMIF(B8:B100,"&gt;="&amp;(B100-WEEKDAY(B100,2)+1),H8:H100),0)</f>
        <v>0</v>
      </c>
      <c r="Q100" s="71">
        <f t="shared" si="16"/>
        <v>0</v>
      </c>
    </row>
    <row r="101" spans="2:17" ht="16.5" customHeight="1" x14ac:dyDescent="0.3">
      <c r="B101" s="61"/>
      <c r="C101" s="74" t="str">
        <f t="shared" si="10"/>
        <v/>
      </c>
      <c r="D101" s="75" t="str">
        <f t="shared" si="11"/>
        <v/>
      </c>
      <c r="E101" s="76"/>
      <c r="F101" s="77"/>
      <c r="G101" s="78">
        <f t="shared" si="12"/>
        <v>0</v>
      </c>
      <c r="H101" s="79">
        <f>IFERROR(SUMIF('💸 Expenses'!B9:B508,B101,'💸 Expenses'!F9:F508),0)</f>
        <v>0</v>
      </c>
      <c r="I101" s="80">
        <f t="shared" si="13"/>
        <v>0</v>
      </c>
      <c r="J101" s="81">
        <f t="shared" si="14"/>
        <v>0</v>
      </c>
      <c r="K101" s="82"/>
      <c r="L101" s="45">
        <f t="shared" si="17"/>
        <v>0</v>
      </c>
      <c r="M101" s="48">
        <f t="shared" si="18"/>
        <v>0</v>
      </c>
      <c r="N101" s="83">
        <f t="shared" si="15"/>
        <v>0</v>
      </c>
      <c r="O101" s="84">
        <f>IFERROR(SUMIF(B8:B101,"&gt;="&amp;(B101-WEEKDAY(B101,2)+1),E8:E101),0)</f>
        <v>0</v>
      </c>
      <c r="P101" s="85">
        <f>IFERROR(SUMIF(B8:B101,"&gt;="&amp;(B101-WEEKDAY(B101,2)+1),H8:H101),0)</f>
        <v>0</v>
      </c>
      <c r="Q101" s="83">
        <f t="shared" si="16"/>
        <v>0</v>
      </c>
    </row>
    <row r="102" spans="2:17" ht="16.5" customHeight="1" x14ac:dyDescent="0.3">
      <c r="B102" s="61"/>
      <c r="C102" s="62" t="str">
        <f t="shared" si="10"/>
        <v/>
      </c>
      <c r="D102" s="63" t="str">
        <f t="shared" si="11"/>
        <v/>
      </c>
      <c r="E102" s="64"/>
      <c r="F102" s="65"/>
      <c r="G102" s="66">
        <f t="shared" si="12"/>
        <v>0</v>
      </c>
      <c r="H102" s="67">
        <f>IFERROR(SUMIF('💸 Expenses'!B9:B508,B102,'💸 Expenses'!F9:F508),0)</f>
        <v>0</v>
      </c>
      <c r="I102" s="68">
        <f t="shared" si="13"/>
        <v>0</v>
      </c>
      <c r="J102" s="69">
        <f t="shared" si="14"/>
        <v>0</v>
      </c>
      <c r="K102" s="70"/>
      <c r="L102" s="36">
        <f t="shared" si="17"/>
        <v>0</v>
      </c>
      <c r="M102" s="39">
        <f t="shared" si="18"/>
        <v>0</v>
      </c>
      <c r="N102" s="71">
        <f t="shared" si="15"/>
        <v>0</v>
      </c>
      <c r="O102" s="72">
        <f>IFERROR(SUMIF(B8:B102,"&gt;="&amp;(B102-WEEKDAY(B102,2)+1),E8:E102),0)</f>
        <v>0</v>
      </c>
      <c r="P102" s="73">
        <f>IFERROR(SUMIF(B8:B102,"&gt;="&amp;(B102-WEEKDAY(B102,2)+1),H8:H102),0)</f>
        <v>0</v>
      </c>
      <c r="Q102" s="71">
        <f t="shared" si="16"/>
        <v>0</v>
      </c>
    </row>
    <row r="103" spans="2:17" ht="16.5" customHeight="1" x14ac:dyDescent="0.3">
      <c r="B103" s="61"/>
      <c r="C103" s="74" t="str">
        <f t="shared" si="10"/>
        <v/>
      </c>
      <c r="D103" s="75" t="str">
        <f t="shared" si="11"/>
        <v/>
      </c>
      <c r="E103" s="76"/>
      <c r="F103" s="77"/>
      <c r="G103" s="78">
        <f t="shared" si="12"/>
        <v>0</v>
      </c>
      <c r="H103" s="79">
        <f>IFERROR(SUMIF('💸 Expenses'!B9:B508,B103,'💸 Expenses'!F9:F508),0)</f>
        <v>0</v>
      </c>
      <c r="I103" s="80">
        <f t="shared" si="13"/>
        <v>0</v>
      </c>
      <c r="J103" s="81">
        <f t="shared" si="14"/>
        <v>0</v>
      </c>
      <c r="K103" s="82"/>
      <c r="L103" s="45">
        <f t="shared" si="17"/>
        <v>0</v>
      </c>
      <c r="M103" s="48">
        <f t="shared" si="18"/>
        <v>0</v>
      </c>
      <c r="N103" s="83">
        <f t="shared" si="15"/>
        <v>0</v>
      </c>
      <c r="O103" s="84">
        <f>IFERROR(SUMIF(B8:B103,"&gt;="&amp;(B103-WEEKDAY(B103,2)+1),E8:E103),0)</f>
        <v>0</v>
      </c>
      <c r="P103" s="85">
        <f>IFERROR(SUMIF(B8:B103,"&gt;="&amp;(B103-WEEKDAY(B103,2)+1),H8:H103),0)</f>
        <v>0</v>
      </c>
      <c r="Q103" s="83">
        <f t="shared" si="16"/>
        <v>0</v>
      </c>
    </row>
    <row r="104" spans="2:17" ht="16.5" customHeight="1" x14ac:dyDescent="0.3">
      <c r="B104" s="61"/>
      <c r="C104" s="62" t="str">
        <f t="shared" si="10"/>
        <v/>
      </c>
      <c r="D104" s="63" t="str">
        <f t="shared" si="11"/>
        <v/>
      </c>
      <c r="E104" s="64"/>
      <c r="F104" s="65"/>
      <c r="G104" s="66">
        <f t="shared" si="12"/>
        <v>0</v>
      </c>
      <c r="H104" s="67">
        <f>IFERROR(SUMIF('💸 Expenses'!B9:B508,B104,'💸 Expenses'!F9:F508),0)</f>
        <v>0</v>
      </c>
      <c r="I104" s="68">
        <f t="shared" si="13"/>
        <v>0</v>
      </c>
      <c r="J104" s="69">
        <f t="shared" si="14"/>
        <v>0</v>
      </c>
      <c r="K104" s="70"/>
      <c r="L104" s="36">
        <f t="shared" si="17"/>
        <v>0</v>
      </c>
      <c r="M104" s="39">
        <f t="shared" si="18"/>
        <v>0</v>
      </c>
      <c r="N104" s="71">
        <f t="shared" si="15"/>
        <v>0</v>
      </c>
      <c r="O104" s="72">
        <f>IFERROR(SUMIF(B8:B104,"&gt;="&amp;(B104-WEEKDAY(B104,2)+1),E8:E104),0)</f>
        <v>0</v>
      </c>
      <c r="P104" s="73">
        <f>IFERROR(SUMIF(B8:B104,"&gt;="&amp;(B104-WEEKDAY(B104,2)+1),H8:H104),0)</f>
        <v>0</v>
      </c>
      <c r="Q104" s="71">
        <f t="shared" si="16"/>
        <v>0</v>
      </c>
    </row>
    <row r="105" spans="2:17" ht="16.5" customHeight="1" x14ac:dyDescent="0.3">
      <c r="B105" s="61"/>
      <c r="C105" s="74" t="str">
        <f t="shared" si="10"/>
        <v/>
      </c>
      <c r="D105" s="75" t="str">
        <f t="shared" si="11"/>
        <v/>
      </c>
      <c r="E105" s="76"/>
      <c r="F105" s="77"/>
      <c r="G105" s="78">
        <f t="shared" si="12"/>
        <v>0</v>
      </c>
      <c r="H105" s="79">
        <f>IFERROR(SUMIF('💸 Expenses'!B9:B508,B105,'💸 Expenses'!F9:F508),0)</f>
        <v>0</v>
      </c>
      <c r="I105" s="80">
        <f t="shared" si="13"/>
        <v>0</v>
      </c>
      <c r="J105" s="81">
        <f t="shared" si="14"/>
        <v>0</v>
      </c>
      <c r="K105" s="82"/>
      <c r="L105" s="45">
        <f t="shared" si="17"/>
        <v>0</v>
      </c>
      <c r="M105" s="48">
        <f t="shared" si="18"/>
        <v>0</v>
      </c>
      <c r="N105" s="83">
        <f t="shared" si="15"/>
        <v>0</v>
      </c>
      <c r="O105" s="84">
        <f>IFERROR(SUMIF(B8:B105,"&gt;="&amp;(B105-WEEKDAY(B105,2)+1),E8:E105),0)</f>
        <v>0</v>
      </c>
      <c r="P105" s="85">
        <f>IFERROR(SUMIF(B8:B105,"&gt;="&amp;(B105-WEEKDAY(B105,2)+1),H8:H105),0)</f>
        <v>0</v>
      </c>
      <c r="Q105" s="83">
        <f t="shared" si="16"/>
        <v>0</v>
      </c>
    </row>
    <row r="106" spans="2:17" ht="16.5" customHeight="1" x14ac:dyDescent="0.3">
      <c r="B106" s="61"/>
      <c r="C106" s="62" t="str">
        <f t="shared" si="10"/>
        <v/>
      </c>
      <c r="D106" s="63" t="str">
        <f t="shared" si="11"/>
        <v/>
      </c>
      <c r="E106" s="64"/>
      <c r="F106" s="65"/>
      <c r="G106" s="66">
        <f t="shared" si="12"/>
        <v>0</v>
      </c>
      <c r="H106" s="67">
        <f>IFERROR(SUMIF('💸 Expenses'!B9:B508,B106,'💸 Expenses'!F9:F508),0)</f>
        <v>0</v>
      </c>
      <c r="I106" s="68">
        <f t="shared" si="13"/>
        <v>0</v>
      </c>
      <c r="J106" s="69">
        <f t="shared" si="14"/>
        <v>0</v>
      </c>
      <c r="K106" s="70"/>
      <c r="L106" s="36">
        <f t="shared" si="17"/>
        <v>0</v>
      </c>
      <c r="M106" s="39">
        <f t="shared" si="18"/>
        <v>0</v>
      </c>
      <c r="N106" s="71">
        <f t="shared" si="15"/>
        <v>0</v>
      </c>
      <c r="O106" s="72">
        <f>IFERROR(SUMIF(B8:B106,"&gt;="&amp;(B106-WEEKDAY(B106,2)+1),E8:E106),0)</f>
        <v>0</v>
      </c>
      <c r="P106" s="73">
        <f>IFERROR(SUMIF(B8:B106,"&gt;="&amp;(B106-WEEKDAY(B106,2)+1),H8:H106),0)</f>
        <v>0</v>
      </c>
      <c r="Q106" s="71">
        <f t="shared" si="16"/>
        <v>0</v>
      </c>
    </row>
    <row r="107" spans="2:17" ht="16.5" customHeight="1" x14ac:dyDescent="0.3">
      <c r="B107" s="61"/>
      <c r="C107" s="74" t="str">
        <f t="shared" si="10"/>
        <v/>
      </c>
      <c r="D107" s="75" t="str">
        <f t="shared" si="11"/>
        <v/>
      </c>
      <c r="E107" s="76"/>
      <c r="F107" s="77"/>
      <c r="G107" s="78">
        <f t="shared" si="12"/>
        <v>0</v>
      </c>
      <c r="H107" s="79">
        <f>IFERROR(SUMIF('💸 Expenses'!B9:B508,B107,'💸 Expenses'!F9:F508),0)</f>
        <v>0</v>
      </c>
      <c r="I107" s="80">
        <f t="shared" si="13"/>
        <v>0</v>
      </c>
      <c r="J107" s="81">
        <f t="shared" si="14"/>
        <v>0</v>
      </c>
      <c r="K107" s="82"/>
      <c r="L107" s="45">
        <f t="shared" si="17"/>
        <v>0</v>
      </c>
      <c r="M107" s="48">
        <f t="shared" si="18"/>
        <v>0</v>
      </c>
      <c r="N107" s="83">
        <f t="shared" si="15"/>
        <v>0</v>
      </c>
      <c r="O107" s="84">
        <f>IFERROR(SUMIF(B8:B107,"&gt;="&amp;(B107-WEEKDAY(B107,2)+1),E8:E107),0)</f>
        <v>0</v>
      </c>
      <c r="P107" s="85">
        <f>IFERROR(SUMIF(B8:B107,"&gt;="&amp;(B107-WEEKDAY(B107,2)+1),H8:H107),0)</f>
        <v>0</v>
      </c>
      <c r="Q107" s="83">
        <f t="shared" si="16"/>
        <v>0</v>
      </c>
    </row>
    <row r="108" spans="2:17" ht="16.5" customHeight="1" x14ac:dyDescent="0.3">
      <c r="B108" s="61"/>
      <c r="C108" s="62" t="str">
        <f t="shared" si="10"/>
        <v/>
      </c>
      <c r="D108" s="63" t="str">
        <f t="shared" si="11"/>
        <v/>
      </c>
      <c r="E108" s="64"/>
      <c r="F108" s="65"/>
      <c r="G108" s="66">
        <f t="shared" si="12"/>
        <v>0</v>
      </c>
      <c r="H108" s="67">
        <f>IFERROR(SUMIF('💸 Expenses'!B9:B508,B108,'💸 Expenses'!F9:F508),0)</f>
        <v>0</v>
      </c>
      <c r="I108" s="68">
        <f t="shared" si="13"/>
        <v>0</v>
      </c>
      <c r="J108" s="69">
        <f t="shared" si="14"/>
        <v>0</v>
      </c>
      <c r="K108" s="70"/>
      <c r="L108" s="36">
        <f t="shared" si="17"/>
        <v>0</v>
      </c>
      <c r="M108" s="39">
        <f t="shared" si="18"/>
        <v>0</v>
      </c>
      <c r="N108" s="71">
        <f t="shared" si="15"/>
        <v>0</v>
      </c>
      <c r="O108" s="72">
        <f>IFERROR(SUMIF(B8:B108,"&gt;="&amp;(B108-WEEKDAY(B108,2)+1),E8:E108),0)</f>
        <v>0</v>
      </c>
      <c r="P108" s="73">
        <f>IFERROR(SUMIF(B8:B108,"&gt;="&amp;(B108-WEEKDAY(B108,2)+1),H8:H108),0)</f>
        <v>0</v>
      </c>
      <c r="Q108" s="71">
        <f t="shared" si="16"/>
        <v>0</v>
      </c>
    </row>
    <row r="109" spans="2:17" ht="16.5" customHeight="1" x14ac:dyDescent="0.3">
      <c r="B109" s="61"/>
      <c r="C109" s="74" t="str">
        <f t="shared" si="10"/>
        <v/>
      </c>
      <c r="D109" s="75" t="str">
        <f t="shared" si="11"/>
        <v/>
      </c>
      <c r="E109" s="76"/>
      <c r="F109" s="77"/>
      <c r="G109" s="78">
        <f t="shared" si="12"/>
        <v>0</v>
      </c>
      <c r="H109" s="79">
        <f>IFERROR(SUMIF('💸 Expenses'!B9:B508,B109,'💸 Expenses'!F9:F508),0)</f>
        <v>0</v>
      </c>
      <c r="I109" s="80">
        <f t="shared" si="13"/>
        <v>0</v>
      </c>
      <c r="J109" s="81">
        <f t="shared" si="14"/>
        <v>0</v>
      </c>
      <c r="K109" s="82"/>
      <c r="L109" s="45">
        <f t="shared" si="17"/>
        <v>0</v>
      </c>
      <c r="M109" s="48">
        <f t="shared" si="18"/>
        <v>0</v>
      </c>
      <c r="N109" s="83">
        <f t="shared" si="15"/>
        <v>0</v>
      </c>
      <c r="O109" s="84">
        <f>IFERROR(SUMIF(B8:B109,"&gt;="&amp;(B109-WEEKDAY(B109,2)+1),E8:E109),0)</f>
        <v>0</v>
      </c>
      <c r="P109" s="85">
        <f>IFERROR(SUMIF(B8:B109,"&gt;="&amp;(B109-WEEKDAY(B109,2)+1),H8:H109),0)</f>
        <v>0</v>
      </c>
      <c r="Q109" s="83">
        <f t="shared" si="16"/>
        <v>0</v>
      </c>
    </row>
    <row r="110" spans="2:17" ht="16.5" customHeight="1" x14ac:dyDescent="0.3">
      <c r="B110" s="61"/>
      <c r="C110" s="62" t="str">
        <f t="shared" si="10"/>
        <v/>
      </c>
      <c r="D110" s="63" t="str">
        <f t="shared" si="11"/>
        <v/>
      </c>
      <c r="E110" s="64"/>
      <c r="F110" s="65"/>
      <c r="G110" s="66">
        <f t="shared" si="12"/>
        <v>0</v>
      </c>
      <c r="H110" s="67">
        <f>IFERROR(SUMIF('💸 Expenses'!B9:B508,B110,'💸 Expenses'!F9:F508),0)</f>
        <v>0</v>
      </c>
      <c r="I110" s="68">
        <f t="shared" si="13"/>
        <v>0</v>
      </c>
      <c r="J110" s="69">
        <f t="shared" si="14"/>
        <v>0</v>
      </c>
      <c r="K110" s="70"/>
      <c r="L110" s="36">
        <f t="shared" si="17"/>
        <v>0</v>
      </c>
      <c r="M110" s="39">
        <f t="shared" si="18"/>
        <v>0</v>
      </c>
      <c r="N110" s="71">
        <f t="shared" si="15"/>
        <v>0</v>
      </c>
      <c r="O110" s="72">
        <f>IFERROR(SUMIF(B8:B110,"&gt;="&amp;(B110-WEEKDAY(B110,2)+1),E8:E110),0)</f>
        <v>0</v>
      </c>
      <c r="P110" s="73">
        <f>IFERROR(SUMIF(B8:B110,"&gt;="&amp;(B110-WEEKDAY(B110,2)+1),H8:H110),0)</f>
        <v>0</v>
      </c>
      <c r="Q110" s="71">
        <f t="shared" si="16"/>
        <v>0</v>
      </c>
    </row>
    <row r="111" spans="2:17" ht="16.5" customHeight="1" x14ac:dyDescent="0.3">
      <c r="B111" s="61"/>
      <c r="C111" s="74" t="str">
        <f t="shared" si="10"/>
        <v/>
      </c>
      <c r="D111" s="75" t="str">
        <f t="shared" si="11"/>
        <v/>
      </c>
      <c r="E111" s="76"/>
      <c r="F111" s="77"/>
      <c r="G111" s="78">
        <f t="shared" si="12"/>
        <v>0</v>
      </c>
      <c r="H111" s="79">
        <f>IFERROR(SUMIF('💸 Expenses'!B9:B508,B111,'💸 Expenses'!F9:F508),0)</f>
        <v>0</v>
      </c>
      <c r="I111" s="80">
        <f t="shared" si="13"/>
        <v>0</v>
      </c>
      <c r="J111" s="81">
        <f t="shared" si="14"/>
        <v>0</v>
      </c>
      <c r="K111" s="82"/>
      <c r="L111" s="45">
        <f t="shared" si="17"/>
        <v>0</v>
      </c>
      <c r="M111" s="48">
        <f t="shared" si="18"/>
        <v>0</v>
      </c>
      <c r="N111" s="83">
        <f t="shared" si="15"/>
        <v>0</v>
      </c>
      <c r="O111" s="84">
        <f>IFERROR(SUMIF(B8:B111,"&gt;="&amp;(B111-WEEKDAY(B111,2)+1),E8:E111),0)</f>
        <v>0</v>
      </c>
      <c r="P111" s="85">
        <f>IFERROR(SUMIF(B8:B111,"&gt;="&amp;(B111-WEEKDAY(B111,2)+1),H8:H111),0)</f>
        <v>0</v>
      </c>
      <c r="Q111" s="83">
        <f t="shared" si="16"/>
        <v>0</v>
      </c>
    </row>
    <row r="112" spans="2:17" ht="16.5" customHeight="1" x14ac:dyDescent="0.3">
      <c r="B112" s="61"/>
      <c r="C112" s="62" t="str">
        <f t="shared" si="10"/>
        <v/>
      </c>
      <c r="D112" s="63" t="str">
        <f t="shared" si="11"/>
        <v/>
      </c>
      <c r="E112" s="64"/>
      <c r="F112" s="65"/>
      <c r="G112" s="66">
        <f t="shared" si="12"/>
        <v>0</v>
      </c>
      <c r="H112" s="67">
        <f>IFERROR(SUMIF('💸 Expenses'!B9:B508,B112,'💸 Expenses'!F9:F508),0)</f>
        <v>0</v>
      </c>
      <c r="I112" s="68">
        <f t="shared" si="13"/>
        <v>0</v>
      </c>
      <c r="J112" s="69">
        <f t="shared" si="14"/>
        <v>0</v>
      </c>
      <c r="K112" s="70"/>
      <c r="L112" s="36">
        <f t="shared" si="17"/>
        <v>0</v>
      </c>
      <c r="M112" s="39">
        <f t="shared" si="18"/>
        <v>0</v>
      </c>
      <c r="N112" s="71">
        <f t="shared" si="15"/>
        <v>0</v>
      </c>
      <c r="O112" s="72">
        <f>IFERROR(SUMIF(B8:B112,"&gt;="&amp;(B112-WEEKDAY(B112,2)+1),E8:E112),0)</f>
        <v>0</v>
      </c>
      <c r="P112" s="73">
        <f>IFERROR(SUMIF(B8:B112,"&gt;="&amp;(B112-WEEKDAY(B112,2)+1),H8:H112),0)</f>
        <v>0</v>
      </c>
      <c r="Q112" s="71">
        <f t="shared" si="16"/>
        <v>0</v>
      </c>
    </row>
    <row r="113" spans="2:17" ht="16.5" customHeight="1" x14ac:dyDescent="0.3">
      <c r="B113" s="61"/>
      <c r="C113" s="74" t="str">
        <f t="shared" si="10"/>
        <v/>
      </c>
      <c r="D113" s="75" t="str">
        <f t="shared" si="11"/>
        <v/>
      </c>
      <c r="E113" s="76"/>
      <c r="F113" s="77"/>
      <c r="G113" s="78">
        <f t="shared" si="12"/>
        <v>0</v>
      </c>
      <c r="H113" s="79">
        <f>IFERROR(SUMIF('💸 Expenses'!B9:B508,B113,'💸 Expenses'!F9:F508),0)</f>
        <v>0</v>
      </c>
      <c r="I113" s="80">
        <f t="shared" si="13"/>
        <v>0</v>
      </c>
      <c r="J113" s="81">
        <f t="shared" si="14"/>
        <v>0</v>
      </c>
      <c r="K113" s="82"/>
      <c r="L113" s="45">
        <f t="shared" si="17"/>
        <v>0</v>
      </c>
      <c r="M113" s="48">
        <f t="shared" si="18"/>
        <v>0</v>
      </c>
      <c r="N113" s="83">
        <f t="shared" si="15"/>
        <v>0</v>
      </c>
      <c r="O113" s="84">
        <f>IFERROR(SUMIF(B8:B113,"&gt;="&amp;(B113-WEEKDAY(B113,2)+1),E8:E113),0)</f>
        <v>0</v>
      </c>
      <c r="P113" s="85">
        <f>IFERROR(SUMIF(B8:B113,"&gt;="&amp;(B113-WEEKDAY(B113,2)+1),H8:H113),0)</f>
        <v>0</v>
      </c>
      <c r="Q113" s="83">
        <f t="shared" si="16"/>
        <v>0</v>
      </c>
    </row>
    <row r="114" spans="2:17" ht="16.5" customHeight="1" x14ac:dyDescent="0.3">
      <c r="B114" s="61"/>
      <c r="C114" s="62" t="str">
        <f t="shared" si="10"/>
        <v/>
      </c>
      <c r="D114" s="63" t="str">
        <f t="shared" si="11"/>
        <v/>
      </c>
      <c r="E114" s="64"/>
      <c r="F114" s="65"/>
      <c r="G114" s="66">
        <f t="shared" si="12"/>
        <v>0</v>
      </c>
      <c r="H114" s="67">
        <f>IFERROR(SUMIF('💸 Expenses'!B9:B508,B114,'💸 Expenses'!F9:F508),0)</f>
        <v>0</v>
      </c>
      <c r="I114" s="68">
        <f t="shared" si="13"/>
        <v>0</v>
      </c>
      <c r="J114" s="69">
        <f t="shared" si="14"/>
        <v>0</v>
      </c>
      <c r="K114" s="70"/>
      <c r="L114" s="36">
        <f t="shared" si="17"/>
        <v>0</v>
      </c>
      <c r="M114" s="39">
        <f t="shared" si="18"/>
        <v>0</v>
      </c>
      <c r="N114" s="71">
        <f t="shared" si="15"/>
        <v>0</v>
      </c>
      <c r="O114" s="72">
        <f>IFERROR(SUMIF(B8:B114,"&gt;="&amp;(B114-WEEKDAY(B114,2)+1),E8:E114),0)</f>
        <v>0</v>
      </c>
      <c r="P114" s="73">
        <f>IFERROR(SUMIF(B8:B114,"&gt;="&amp;(B114-WEEKDAY(B114,2)+1),H8:H114),0)</f>
        <v>0</v>
      </c>
      <c r="Q114" s="71">
        <f t="shared" si="16"/>
        <v>0</v>
      </c>
    </row>
    <row r="115" spans="2:17" ht="16.5" customHeight="1" x14ac:dyDescent="0.3">
      <c r="B115" s="61"/>
      <c r="C115" s="74" t="str">
        <f t="shared" si="10"/>
        <v/>
      </c>
      <c r="D115" s="75" t="str">
        <f t="shared" si="11"/>
        <v/>
      </c>
      <c r="E115" s="76"/>
      <c r="F115" s="77"/>
      <c r="G115" s="78">
        <f t="shared" si="12"/>
        <v>0</v>
      </c>
      <c r="H115" s="79">
        <f>IFERROR(SUMIF('💸 Expenses'!B9:B508,B115,'💸 Expenses'!F9:F508),0)</f>
        <v>0</v>
      </c>
      <c r="I115" s="80">
        <f t="shared" si="13"/>
        <v>0</v>
      </c>
      <c r="J115" s="81">
        <f t="shared" si="14"/>
        <v>0</v>
      </c>
      <c r="K115" s="82"/>
      <c r="L115" s="45">
        <f t="shared" si="17"/>
        <v>0</v>
      </c>
      <c r="M115" s="48">
        <f t="shared" si="18"/>
        <v>0</v>
      </c>
      <c r="N115" s="83">
        <f t="shared" si="15"/>
        <v>0</v>
      </c>
      <c r="O115" s="84">
        <f>IFERROR(SUMIF(B8:B115,"&gt;="&amp;(B115-WEEKDAY(B115,2)+1),E8:E115),0)</f>
        <v>0</v>
      </c>
      <c r="P115" s="85">
        <f>IFERROR(SUMIF(B8:B115,"&gt;="&amp;(B115-WEEKDAY(B115,2)+1),H8:H115),0)</f>
        <v>0</v>
      </c>
      <c r="Q115" s="83">
        <f t="shared" si="16"/>
        <v>0</v>
      </c>
    </row>
    <row r="116" spans="2:17" ht="16.5" customHeight="1" x14ac:dyDescent="0.3">
      <c r="B116" s="61"/>
      <c r="C116" s="62" t="str">
        <f t="shared" si="10"/>
        <v/>
      </c>
      <c r="D116" s="63" t="str">
        <f t="shared" si="11"/>
        <v/>
      </c>
      <c r="E116" s="64"/>
      <c r="F116" s="65"/>
      <c r="G116" s="66">
        <f t="shared" si="12"/>
        <v>0</v>
      </c>
      <c r="H116" s="67">
        <f>IFERROR(SUMIF('💸 Expenses'!B9:B508,B116,'💸 Expenses'!F9:F508),0)</f>
        <v>0</v>
      </c>
      <c r="I116" s="68">
        <f t="shared" si="13"/>
        <v>0</v>
      </c>
      <c r="J116" s="69">
        <f t="shared" si="14"/>
        <v>0</v>
      </c>
      <c r="K116" s="70"/>
      <c r="L116" s="36">
        <f t="shared" si="17"/>
        <v>0</v>
      </c>
      <c r="M116" s="39">
        <f t="shared" si="18"/>
        <v>0</v>
      </c>
      <c r="N116" s="71">
        <f t="shared" si="15"/>
        <v>0</v>
      </c>
      <c r="O116" s="72">
        <f>IFERROR(SUMIF(B8:B116,"&gt;="&amp;(B116-WEEKDAY(B116,2)+1),E8:E116),0)</f>
        <v>0</v>
      </c>
      <c r="P116" s="73">
        <f>IFERROR(SUMIF(B8:B116,"&gt;="&amp;(B116-WEEKDAY(B116,2)+1),H8:H116),0)</f>
        <v>0</v>
      </c>
      <c r="Q116" s="71">
        <f t="shared" si="16"/>
        <v>0</v>
      </c>
    </row>
    <row r="117" spans="2:17" ht="16.5" customHeight="1" x14ac:dyDescent="0.3">
      <c r="B117" s="61"/>
      <c r="C117" s="74" t="str">
        <f t="shared" si="10"/>
        <v/>
      </c>
      <c r="D117" s="75" t="str">
        <f t="shared" si="11"/>
        <v/>
      </c>
      <c r="E117" s="76"/>
      <c r="F117" s="77"/>
      <c r="G117" s="78">
        <f t="shared" si="12"/>
        <v>0</v>
      </c>
      <c r="H117" s="79">
        <f>IFERROR(SUMIF('💸 Expenses'!B9:B508,B117,'💸 Expenses'!F9:F508),0)</f>
        <v>0</v>
      </c>
      <c r="I117" s="80">
        <f t="shared" si="13"/>
        <v>0</v>
      </c>
      <c r="J117" s="81">
        <f t="shared" si="14"/>
        <v>0</v>
      </c>
      <c r="K117" s="82"/>
      <c r="L117" s="45">
        <f t="shared" si="17"/>
        <v>0</v>
      </c>
      <c r="M117" s="48">
        <f t="shared" si="18"/>
        <v>0</v>
      </c>
      <c r="N117" s="83">
        <f t="shared" si="15"/>
        <v>0</v>
      </c>
      <c r="O117" s="84">
        <f>IFERROR(SUMIF(B8:B117,"&gt;="&amp;(B117-WEEKDAY(B117,2)+1),E8:E117),0)</f>
        <v>0</v>
      </c>
      <c r="P117" s="85">
        <f>IFERROR(SUMIF(B8:B117,"&gt;="&amp;(B117-WEEKDAY(B117,2)+1),H8:H117),0)</f>
        <v>0</v>
      </c>
      <c r="Q117" s="83">
        <f t="shared" si="16"/>
        <v>0</v>
      </c>
    </row>
    <row r="118" spans="2:17" ht="16.5" customHeight="1" x14ac:dyDescent="0.3">
      <c r="B118" s="61"/>
      <c r="C118" s="62" t="str">
        <f t="shared" si="10"/>
        <v/>
      </c>
      <c r="D118" s="63" t="str">
        <f t="shared" si="11"/>
        <v/>
      </c>
      <c r="E118" s="64"/>
      <c r="F118" s="65"/>
      <c r="G118" s="66">
        <f t="shared" si="12"/>
        <v>0</v>
      </c>
      <c r="H118" s="67">
        <f>IFERROR(SUMIF('💸 Expenses'!B9:B508,B118,'💸 Expenses'!F9:F508),0)</f>
        <v>0</v>
      </c>
      <c r="I118" s="68">
        <f t="shared" si="13"/>
        <v>0</v>
      </c>
      <c r="J118" s="69">
        <f t="shared" si="14"/>
        <v>0</v>
      </c>
      <c r="K118" s="70"/>
      <c r="L118" s="36">
        <f t="shared" si="17"/>
        <v>0</v>
      </c>
      <c r="M118" s="39">
        <f t="shared" si="18"/>
        <v>0</v>
      </c>
      <c r="N118" s="71">
        <f t="shared" si="15"/>
        <v>0</v>
      </c>
      <c r="O118" s="72">
        <f>IFERROR(SUMIF(B8:B118,"&gt;="&amp;(B118-WEEKDAY(B118,2)+1),E8:E118),0)</f>
        <v>0</v>
      </c>
      <c r="P118" s="73">
        <f>IFERROR(SUMIF(B8:B118,"&gt;="&amp;(B118-WEEKDAY(B118,2)+1),H8:H118),0)</f>
        <v>0</v>
      </c>
      <c r="Q118" s="71">
        <f t="shared" si="16"/>
        <v>0</v>
      </c>
    </row>
    <row r="119" spans="2:17" ht="16.5" customHeight="1" x14ac:dyDescent="0.3">
      <c r="B119" s="61"/>
      <c r="C119" s="74" t="str">
        <f t="shared" si="10"/>
        <v/>
      </c>
      <c r="D119" s="75" t="str">
        <f t="shared" si="11"/>
        <v/>
      </c>
      <c r="E119" s="76"/>
      <c r="F119" s="77"/>
      <c r="G119" s="78">
        <f t="shared" si="12"/>
        <v>0</v>
      </c>
      <c r="H119" s="79">
        <f>IFERROR(SUMIF('💸 Expenses'!B9:B508,B119,'💸 Expenses'!F9:F508),0)</f>
        <v>0</v>
      </c>
      <c r="I119" s="80">
        <f t="shared" si="13"/>
        <v>0</v>
      </c>
      <c r="J119" s="81">
        <f t="shared" si="14"/>
        <v>0</v>
      </c>
      <c r="K119" s="82"/>
      <c r="L119" s="45">
        <f t="shared" si="17"/>
        <v>0</v>
      </c>
      <c r="M119" s="48">
        <f t="shared" si="18"/>
        <v>0</v>
      </c>
      <c r="N119" s="83">
        <f t="shared" si="15"/>
        <v>0</v>
      </c>
      <c r="O119" s="84">
        <f>IFERROR(SUMIF(B8:B119,"&gt;="&amp;(B119-WEEKDAY(B119,2)+1),E8:E119),0)</f>
        <v>0</v>
      </c>
      <c r="P119" s="85">
        <f>IFERROR(SUMIF(B8:B119,"&gt;="&amp;(B119-WEEKDAY(B119,2)+1),H8:H119),0)</f>
        <v>0</v>
      </c>
      <c r="Q119" s="83">
        <f t="shared" si="16"/>
        <v>0</v>
      </c>
    </row>
    <row r="120" spans="2:17" ht="16.5" customHeight="1" x14ac:dyDescent="0.3">
      <c r="B120" s="61"/>
      <c r="C120" s="62" t="str">
        <f t="shared" si="10"/>
        <v/>
      </c>
      <c r="D120" s="63" t="str">
        <f t="shared" si="11"/>
        <v/>
      </c>
      <c r="E120" s="64"/>
      <c r="F120" s="65"/>
      <c r="G120" s="66">
        <f t="shared" si="12"/>
        <v>0</v>
      </c>
      <c r="H120" s="67">
        <f>IFERROR(SUMIF('💸 Expenses'!B9:B508,B120,'💸 Expenses'!F9:F508),0)</f>
        <v>0</v>
      </c>
      <c r="I120" s="68">
        <f t="shared" si="13"/>
        <v>0</v>
      </c>
      <c r="J120" s="69">
        <f t="shared" si="14"/>
        <v>0</v>
      </c>
      <c r="K120" s="70"/>
      <c r="L120" s="36">
        <f t="shared" si="17"/>
        <v>0</v>
      </c>
      <c r="M120" s="39">
        <f t="shared" si="18"/>
        <v>0</v>
      </c>
      <c r="N120" s="71">
        <f t="shared" si="15"/>
        <v>0</v>
      </c>
      <c r="O120" s="72">
        <f>IFERROR(SUMIF(B8:B120,"&gt;="&amp;(B120-WEEKDAY(B120,2)+1),E8:E120),0)</f>
        <v>0</v>
      </c>
      <c r="P120" s="73">
        <f>IFERROR(SUMIF(B8:B120,"&gt;="&amp;(B120-WEEKDAY(B120,2)+1),H8:H120),0)</f>
        <v>0</v>
      </c>
      <c r="Q120" s="71">
        <f t="shared" si="16"/>
        <v>0</v>
      </c>
    </row>
    <row r="121" spans="2:17" ht="16.5" customHeight="1" x14ac:dyDescent="0.3">
      <c r="B121" s="61"/>
      <c r="C121" s="74" t="str">
        <f t="shared" si="10"/>
        <v/>
      </c>
      <c r="D121" s="75" t="str">
        <f t="shared" si="11"/>
        <v/>
      </c>
      <c r="E121" s="76"/>
      <c r="F121" s="77"/>
      <c r="G121" s="78">
        <f t="shared" si="12"/>
        <v>0</v>
      </c>
      <c r="H121" s="79">
        <f>IFERROR(SUMIF('💸 Expenses'!B9:B508,B121,'💸 Expenses'!F9:F508),0)</f>
        <v>0</v>
      </c>
      <c r="I121" s="80">
        <f t="shared" si="13"/>
        <v>0</v>
      </c>
      <c r="J121" s="81">
        <f t="shared" si="14"/>
        <v>0</v>
      </c>
      <c r="K121" s="82"/>
      <c r="L121" s="45">
        <f t="shared" si="17"/>
        <v>0</v>
      </c>
      <c r="M121" s="48">
        <f t="shared" si="18"/>
        <v>0</v>
      </c>
      <c r="N121" s="83">
        <f t="shared" si="15"/>
        <v>0</v>
      </c>
      <c r="O121" s="84">
        <f>IFERROR(SUMIF(B8:B121,"&gt;="&amp;(B121-WEEKDAY(B121,2)+1),E8:E121),0)</f>
        <v>0</v>
      </c>
      <c r="P121" s="85">
        <f>IFERROR(SUMIF(B8:B121,"&gt;="&amp;(B121-WEEKDAY(B121,2)+1),H8:H121),0)</f>
        <v>0</v>
      </c>
      <c r="Q121" s="83">
        <f t="shared" si="16"/>
        <v>0</v>
      </c>
    </row>
    <row r="122" spans="2:17" ht="16.5" customHeight="1" x14ac:dyDescent="0.3">
      <c r="B122" s="61"/>
      <c r="C122" s="62" t="str">
        <f t="shared" si="10"/>
        <v/>
      </c>
      <c r="D122" s="63" t="str">
        <f t="shared" si="11"/>
        <v/>
      </c>
      <c r="E122" s="64"/>
      <c r="F122" s="65"/>
      <c r="G122" s="66">
        <f t="shared" si="12"/>
        <v>0</v>
      </c>
      <c r="H122" s="67">
        <f>IFERROR(SUMIF('💸 Expenses'!B9:B508,B122,'💸 Expenses'!F9:F508),0)</f>
        <v>0</v>
      </c>
      <c r="I122" s="68">
        <f t="shared" si="13"/>
        <v>0</v>
      </c>
      <c r="J122" s="69">
        <f t="shared" si="14"/>
        <v>0</v>
      </c>
      <c r="K122" s="70"/>
      <c r="L122" s="36">
        <f t="shared" si="17"/>
        <v>0</v>
      </c>
      <c r="M122" s="39">
        <f t="shared" si="18"/>
        <v>0</v>
      </c>
      <c r="N122" s="71">
        <f t="shared" si="15"/>
        <v>0</v>
      </c>
      <c r="O122" s="72">
        <f>IFERROR(SUMIF(B8:B122,"&gt;="&amp;(B122-WEEKDAY(B122,2)+1),E8:E122),0)</f>
        <v>0</v>
      </c>
      <c r="P122" s="73">
        <f>IFERROR(SUMIF(B8:B122,"&gt;="&amp;(B122-WEEKDAY(B122,2)+1),H8:H122),0)</f>
        <v>0</v>
      </c>
      <c r="Q122" s="71">
        <f t="shared" si="16"/>
        <v>0</v>
      </c>
    </row>
    <row r="123" spans="2:17" ht="16.5" customHeight="1" x14ac:dyDescent="0.3">
      <c r="B123" s="61"/>
      <c r="C123" s="74" t="str">
        <f t="shared" si="10"/>
        <v/>
      </c>
      <c r="D123" s="75" t="str">
        <f t="shared" si="11"/>
        <v/>
      </c>
      <c r="E123" s="76"/>
      <c r="F123" s="77"/>
      <c r="G123" s="78">
        <f t="shared" si="12"/>
        <v>0</v>
      </c>
      <c r="H123" s="79">
        <f>IFERROR(SUMIF('💸 Expenses'!B9:B508,B123,'💸 Expenses'!F9:F508),0)</f>
        <v>0</v>
      </c>
      <c r="I123" s="80">
        <f t="shared" si="13"/>
        <v>0</v>
      </c>
      <c r="J123" s="81">
        <f t="shared" si="14"/>
        <v>0</v>
      </c>
      <c r="K123" s="82"/>
      <c r="L123" s="45">
        <f t="shared" si="17"/>
        <v>0</v>
      </c>
      <c r="M123" s="48">
        <f t="shared" si="18"/>
        <v>0</v>
      </c>
      <c r="N123" s="83">
        <f t="shared" si="15"/>
        <v>0</v>
      </c>
      <c r="O123" s="84">
        <f>IFERROR(SUMIF(B8:B123,"&gt;="&amp;(B123-WEEKDAY(B123,2)+1),E8:E123),0)</f>
        <v>0</v>
      </c>
      <c r="P123" s="85">
        <f>IFERROR(SUMIF(B8:B123,"&gt;="&amp;(B123-WEEKDAY(B123,2)+1),H8:H123),0)</f>
        <v>0</v>
      </c>
      <c r="Q123" s="83">
        <f t="shared" si="16"/>
        <v>0</v>
      </c>
    </row>
    <row r="124" spans="2:17" ht="16.5" customHeight="1" x14ac:dyDescent="0.3">
      <c r="B124" s="61"/>
      <c r="C124" s="62" t="str">
        <f t="shared" si="10"/>
        <v/>
      </c>
      <c r="D124" s="63" t="str">
        <f t="shared" si="11"/>
        <v/>
      </c>
      <c r="E124" s="64"/>
      <c r="F124" s="65"/>
      <c r="G124" s="66">
        <f t="shared" si="12"/>
        <v>0</v>
      </c>
      <c r="H124" s="67">
        <f>IFERROR(SUMIF('💸 Expenses'!B9:B508,B124,'💸 Expenses'!F9:F508),0)</f>
        <v>0</v>
      </c>
      <c r="I124" s="68">
        <f t="shared" si="13"/>
        <v>0</v>
      </c>
      <c r="J124" s="69">
        <f t="shared" si="14"/>
        <v>0</v>
      </c>
      <c r="K124" s="70"/>
      <c r="L124" s="36">
        <f t="shared" si="17"/>
        <v>0</v>
      </c>
      <c r="M124" s="39">
        <f t="shared" si="18"/>
        <v>0</v>
      </c>
      <c r="N124" s="71">
        <f t="shared" si="15"/>
        <v>0</v>
      </c>
      <c r="O124" s="72">
        <f>IFERROR(SUMIF(B8:B124,"&gt;="&amp;(B124-WEEKDAY(B124,2)+1),E8:E124),0)</f>
        <v>0</v>
      </c>
      <c r="P124" s="73">
        <f>IFERROR(SUMIF(B8:B124,"&gt;="&amp;(B124-WEEKDAY(B124,2)+1),H8:H124),0)</f>
        <v>0</v>
      </c>
      <c r="Q124" s="71">
        <f t="shared" si="16"/>
        <v>0</v>
      </c>
    </row>
    <row r="125" spans="2:17" ht="16.5" customHeight="1" x14ac:dyDescent="0.3">
      <c r="B125" s="61"/>
      <c r="C125" s="74" t="str">
        <f t="shared" si="10"/>
        <v/>
      </c>
      <c r="D125" s="75" t="str">
        <f t="shared" si="11"/>
        <v/>
      </c>
      <c r="E125" s="76"/>
      <c r="F125" s="77"/>
      <c r="G125" s="78">
        <f t="shared" si="12"/>
        <v>0</v>
      </c>
      <c r="H125" s="79">
        <f>IFERROR(SUMIF('💸 Expenses'!B9:B508,B125,'💸 Expenses'!F9:F508),0)</f>
        <v>0</v>
      </c>
      <c r="I125" s="80">
        <f t="shared" si="13"/>
        <v>0</v>
      </c>
      <c r="J125" s="81">
        <f t="shared" si="14"/>
        <v>0</v>
      </c>
      <c r="K125" s="82"/>
      <c r="L125" s="45">
        <f t="shared" si="17"/>
        <v>0</v>
      </c>
      <c r="M125" s="48">
        <f t="shared" si="18"/>
        <v>0</v>
      </c>
      <c r="N125" s="83">
        <f t="shared" si="15"/>
        <v>0</v>
      </c>
      <c r="O125" s="84">
        <f>IFERROR(SUMIF(B8:B125,"&gt;="&amp;(B125-WEEKDAY(B125,2)+1),E8:E125),0)</f>
        <v>0</v>
      </c>
      <c r="P125" s="85">
        <f>IFERROR(SUMIF(B8:B125,"&gt;="&amp;(B125-WEEKDAY(B125,2)+1),H8:H125),0)</f>
        <v>0</v>
      </c>
      <c r="Q125" s="83">
        <f t="shared" si="16"/>
        <v>0</v>
      </c>
    </row>
    <row r="126" spans="2:17" ht="16.5" customHeight="1" x14ac:dyDescent="0.3">
      <c r="B126" s="61"/>
      <c r="C126" s="62" t="str">
        <f t="shared" si="10"/>
        <v/>
      </c>
      <c r="D126" s="63" t="str">
        <f t="shared" si="11"/>
        <v/>
      </c>
      <c r="E126" s="64"/>
      <c r="F126" s="65"/>
      <c r="G126" s="66">
        <f t="shared" si="12"/>
        <v>0</v>
      </c>
      <c r="H126" s="67">
        <f>IFERROR(SUMIF('💸 Expenses'!B9:B508,B126,'💸 Expenses'!F9:F508),0)</f>
        <v>0</v>
      </c>
      <c r="I126" s="68">
        <f t="shared" si="13"/>
        <v>0</v>
      </c>
      <c r="J126" s="69">
        <f t="shared" si="14"/>
        <v>0</v>
      </c>
      <c r="K126" s="70"/>
      <c r="L126" s="36">
        <f t="shared" si="17"/>
        <v>0</v>
      </c>
      <c r="M126" s="39">
        <f t="shared" si="18"/>
        <v>0</v>
      </c>
      <c r="N126" s="71">
        <f t="shared" si="15"/>
        <v>0</v>
      </c>
      <c r="O126" s="72">
        <f>IFERROR(SUMIF(B8:B126,"&gt;="&amp;(B126-WEEKDAY(B126,2)+1),E8:E126),0)</f>
        <v>0</v>
      </c>
      <c r="P126" s="73">
        <f>IFERROR(SUMIF(B8:B126,"&gt;="&amp;(B126-WEEKDAY(B126,2)+1),H8:H126),0)</f>
        <v>0</v>
      </c>
      <c r="Q126" s="71">
        <f t="shared" si="16"/>
        <v>0</v>
      </c>
    </row>
    <row r="127" spans="2:17" ht="16.5" customHeight="1" x14ac:dyDescent="0.3">
      <c r="B127" s="61"/>
      <c r="C127" s="74" t="str">
        <f t="shared" si="10"/>
        <v/>
      </c>
      <c r="D127" s="75" t="str">
        <f t="shared" si="11"/>
        <v/>
      </c>
      <c r="E127" s="76"/>
      <c r="F127" s="77"/>
      <c r="G127" s="78">
        <f t="shared" si="12"/>
        <v>0</v>
      </c>
      <c r="H127" s="79">
        <f>IFERROR(SUMIF('💸 Expenses'!B9:B508,B127,'💸 Expenses'!F9:F508),0)</f>
        <v>0</v>
      </c>
      <c r="I127" s="80">
        <f t="shared" si="13"/>
        <v>0</v>
      </c>
      <c r="J127" s="81">
        <f t="shared" si="14"/>
        <v>0</v>
      </c>
      <c r="K127" s="82"/>
      <c r="L127" s="45">
        <f t="shared" si="17"/>
        <v>0</v>
      </c>
      <c r="M127" s="48">
        <f t="shared" si="18"/>
        <v>0</v>
      </c>
      <c r="N127" s="83">
        <f t="shared" si="15"/>
        <v>0</v>
      </c>
      <c r="O127" s="84">
        <f>IFERROR(SUMIF(B8:B127,"&gt;="&amp;(B127-WEEKDAY(B127,2)+1),E8:E127),0)</f>
        <v>0</v>
      </c>
      <c r="P127" s="85">
        <f>IFERROR(SUMIF(B8:B127,"&gt;="&amp;(B127-WEEKDAY(B127,2)+1),H8:H127),0)</f>
        <v>0</v>
      </c>
      <c r="Q127" s="83">
        <f t="shared" si="16"/>
        <v>0</v>
      </c>
    </row>
    <row r="128" spans="2:17" ht="16.5" customHeight="1" x14ac:dyDescent="0.3">
      <c r="B128" s="61"/>
      <c r="C128" s="62" t="str">
        <f t="shared" si="10"/>
        <v/>
      </c>
      <c r="D128" s="63" t="str">
        <f t="shared" si="11"/>
        <v/>
      </c>
      <c r="E128" s="64"/>
      <c r="F128" s="65"/>
      <c r="G128" s="66">
        <f t="shared" si="12"/>
        <v>0</v>
      </c>
      <c r="H128" s="67">
        <f>IFERROR(SUMIF('💸 Expenses'!B9:B508,B128,'💸 Expenses'!F9:F508),0)</f>
        <v>0</v>
      </c>
      <c r="I128" s="68">
        <f t="shared" si="13"/>
        <v>0</v>
      </c>
      <c r="J128" s="69">
        <f t="shared" si="14"/>
        <v>0</v>
      </c>
      <c r="K128" s="70"/>
      <c r="L128" s="36">
        <f t="shared" si="17"/>
        <v>0</v>
      </c>
      <c r="M128" s="39">
        <f t="shared" si="18"/>
        <v>0</v>
      </c>
      <c r="N128" s="71">
        <f t="shared" si="15"/>
        <v>0</v>
      </c>
      <c r="O128" s="72">
        <f>IFERROR(SUMIF(B8:B128,"&gt;="&amp;(B128-WEEKDAY(B128,2)+1),E8:E128),0)</f>
        <v>0</v>
      </c>
      <c r="P128" s="73">
        <f>IFERROR(SUMIF(B8:B128,"&gt;="&amp;(B128-WEEKDAY(B128,2)+1),H8:H128),0)</f>
        <v>0</v>
      </c>
      <c r="Q128" s="71">
        <f t="shared" si="16"/>
        <v>0</v>
      </c>
    </row>
    <row r="129" spans="2:17" ht="16.5" customHeight="1" x14ac:dyDescent="0.3">
      <c r="B129" s="61"/>
      <c r="C129" s="74" t="str">
        <f t="shared" si="10"/>
        <v/>
      </c>
      <c r="D129" s="75" t="str">
        <f t="shared" si="11"/>
        <v/>
      </c>
      <c r="E129" s="76"/>
      <c r="F129" s="77"/>
      <c r="G129" s="78">
        <f t="shared" si="12"/>
        <v>0</v>
      </c>
      <c r="H129" s="79">
        <f>IFERROR(SUMIF('💸 Expenses'!B9:B508,B129,'💸 Expenses'!F9:F508),0)</f>
        <v>0</v>
      </c>
      <c r="I129" s="80">
        <f t="shared" si="13"/>
        <v>0</v>
      </c>
      <c r="J129" s="81">
        <f t="shared" si="14"/>
        <v>0</v>
      </c>
      <c r="K129" s="82"/>
      <c r="L129" s="45">
        <f t="shared" si="17"/>
        <v>0</v>
      </c>
      <c r="M129" s="48">
        <f t="shared" si="18"/>
        <v>0</v>
      </c>
      <c r="N129" s="83">
        <f t="shared" si="15"/>
        <v>0</v>
      </c>
      <c r="O129" s="84">
        <f>IFERROR(SUMIF(B8:B129,"&gt;="&amp;(B129-WEEKDAY(B129,2)+1),E8:E129),0)</f>
        <v>0</v>
      </c>
      <c r="P129" s="85">
        <f>IFERROR(SUMIF(B8:B129,"&gt;="&amp;(B129-WEEKDAY(B129,2)+1),H8:H129),0)</f>
        <v>0</v>
      </c>
      <c r="Q129" s="83">
        <f t="shared" si="16"/>
        <v>0</v>
      </c>
    </row>
    <row r="130" spans="2:17" ht="16.5" customHeight="1" x14ac:dyDescent="0.3">
      <c r="B130" s="61"/>
      <c r="C130" s="62" t="str">
        <f t="shared" si="10"/>
        <v/>
      </c>
      <c r="D130" s="63" t="str">
        <f t="shared" si="11"/>
        <v/>
      </c>
      <c r="E130" s="64"/>
      <c r="F130" s="65"/>
      <c r="G130" s="66">
        <f t="shared" si="12"/>
        <v>0</v>
      </c>
      <c r="H130" s="67">
        <f>IFERROR(SUMIF('💸 Expenses'!B9:B508,B130,'💸 Expenses'!F9:F508),0)</f>
        <v>0</v>
      </c>
      <c r="I130" s="68">
        <f t="shared" si="13"/>
        <v>0</v>
      </c>
      <c r="J130" s="69">
        <f t="shared" si="14"/>
        <v>0</v>
      </c>
      <c r="K130" s="70"/>
      <c r="L130" s="36">
        <f t="shared" si="17"/>
        <v>0</v>
      </c>
      <c r="M130" s="39">
        <f t="shared" si="18"/>
        <v>0</v>
      </c>
      <c r="N130" s="71">
        <f t="shared" si="15"/>
        <v>0</v>
      </c>
      <c r="O130" s="72">
        <f>IFERROR(SUMIF(B8:B130,"&gt;="&amp;(B130-WEEKDAY(B130,2)+1),E8:E130),0)</f>
        <v>0</v>
      </c>
      <c r="P130" s="73">
        <f>IFERROR(SUMIF(B8:B130,"&gt;="&amp;(B130-WEEKDAY(B130,2)+1),H8:H130),0)</f>
        <v>0</v>
      </c>
      <c r="Q130" s="71">
        <f t="shared" si="16"/>
        <v>0</v>
      </c>
    </row>
    <row r="131" spans="2:17" ht="16.5" customHeight="1" x14ac:dyDescent="0.3">
      <c r="B131" s="61"/>
      <c r="C131" s="74" t="str">
        <f t="shared" si="10"/>
        <v/>
      </c>
      <c r="D131" s="75" t="str">
        <f t="shared" si="11"/>
        <v/>
      </c>
      <c r="E131" s="76"/>
      <c r="F131" s="77"/>
      <c r="G131" s="78">
        <f t="shared" si="12"/>
        <v>0</v>
      </c>
      <c r="H131" s="79">
        <f>IFERROR(SUMIF('💸 Expenses'!B9:B508,B131,'💸 Expenses'!F9:F508),0)</f>
        <v>0</v>
      </c>
      <c r="I131" s="80">
        <f t="shared" si="13"/>
        <v>0</v>
      </c>
      <c r="J131" s="81">
        <f t="shared" si="14"/>
        <v>0</v>
      </c>
      <c r="K131" s="82"/>
      <c r="L131" s="45">
        <f t="shared" si="17"/>
        <v>0</v>
      </c>
      <c r="M131" s="48">
        <f t="shared" si="18"/>
        <v>0</v>
      </c>
      <c r="N131" s="83">
        <f t="shared" si="15"/>
        <v>0</v>
      </c>
      <c r="O131" s="84">
        <f>IFERROR(SUMIF(B8:B131,"&gt;="&amp;(B131-WEEKDAY(B131,2)+1),E8:E131),0)</f>
        <v>0</v>
      </c>
      <c r="P131" s="85">
        <f>IFERROR(SUMIF(B8:B131,"&gt;="&amp;(B131-WEEKDAY(B131,2)+1),H8:H131),0)</f>
        <v>0</v>
      </c>
      <c r="Q131" s="83">
        <f t="shared" si="16"/>
        <v>0</v>
      </c>
    </row>
    <row r="132" spans="2:17" ht="16.5" customHeight="1" x14ac:dyDescent="0.3">
      <c r="B132" s="61"/>
      <c r="C132" s="62" t="str">
        <f t="shared" si="10"/>
        <v/>
      </c>
      <c r="D132" s="63" t="str">
        <f t="shared" si="11"/>
        <v/>
      </c>
      <c r="E132" s="64"/>
      <c r="F132" s="65"/>
      <c r="G132" s="66">
        <f t="shared" si="12"/>
        <v>0</v>
      </c>
      <c r="H132" s="67">
        <f>IFERROR(SUMIF('💸 Expenses'!B9:B508,B132,'💸 Expenses'!F9:F508),0)</f>
        <v>0</v>
      </c>
      <c r="I132" s="68">
        <f t="shared" si="13"/>
        <v>0</v>
      </c>
      <c r="J132" s="69">
        <f t="shared" si="14"/>
        <v>0</v>
      </c>
      <c r="K132" s="70"/>
      <c r="L132" s="36">
        <f t="shared" si="17"/>
        <v>0</v>
      </c>
      <c r="M132" s="39">
        <f t="shared" si="18"/>
        <v>0</v>
      </c>
      <c r="N132" s="71">
        <f t="shared" si="15"/>
        <v>0</v>
      </c>
      <c r="O132" s="72">
        <f>IFERROR(SUMIF(B8:B132,"&gt;="&amp;(B132-WEEKDAY(B132,2)+1),E8:E132),0)</f>
        <v>0</v>
      </c>
      <c r="P132" s="73">
        <f>IFERROR(SUMIF(B8:B132,"&gt;="&amp;(B132-WEEKDAY(B132,2)+1),H8:H132),0)</f>
        <v>0</v>
      </c>
      <c r="Q132" s="71">
        <f t="shared" si="16"/>
        <v>0</v>
      </c>
    </row>
    <row r="133" spans="2:17" ht="16.5" customHeight="1" x14ac:dyDescent="0.3">
      <c r="B133" s="61"/>
      <c r="C133" s="74" t="str">
        <f t="shared" si="10"/>
        <v/>
      </c>
      <c r="D133" s="75" t="str">
        <f t="shared" si="11"/>
        <v/>
      </c>
      <c r="E133" s="76"/>
      <c r="F133" s="77"/>
      <c r="G133" s="78">
        <f t="shared" si="12"/>
        <v>0</v>
      </c>
      <c r="H133" s="79">
        <f>IFERROR(SUMIF('💸 Expenses'!B9:B508,B133,'💸 Expenses'!F9:F508),0)</f>
        <v>0</v>
      </c>
      <c r="I133" s="80">
        <f t="shared" si="13"/>
        <v>0</v>
      </c>
      <c r="J133" s="81">
        <f t="shared" si="14"/>
        <v>0</v>
      </c>
      <c r="K133" s="82"/>
      <c r="L133" s="45">
        <f t="shared" si="17"/>
        <v>0</v>
      </c>
      <c r="M133" s="48">
        <f t="shared" si="18"/>
        <v>0</v>
      </c>
      <c r="N133" s="83">
        <f t="shared" si="15"/>
        <v>0</v>
      </c>
      <c r="O133" s="84">
        <f>IFERROR(SUMIF(B8:B133,"&gt;="&amp;(B133-WEEKDAY(B133,2)+1),E8:E133),0)</f>
        <v>0</v>
      </c>
      <c r="P133" s="85">
        <f>IFERROR(SUMIF(B8:B133,"&gt;="&amp;(B133-WEEKDAY(B133,2)+1),H8:H133),0)</f>
        <v>0</v>
      </c>
      <c r="Q133" s="83">
        <f t="shared" si="16"/>
        <v>0</v>
      </c>
    </row>
    <row r="134" spans="2:17" ht="16.5" customHeight="1" x14ac:dyDescent="0.3">
      <c r="B134" s="61"/>
      <c r="C134" s="62" t="str">
        <f t="shared" si="10"/>
        <v/>
      </c>
      <c r="D134" s="63" t="str">
        <f t="shared" si="11"/>
        <v/>
      </c>
      <c r="E134" s="64"/>
      <c r="F134" s="65"/>
      <c r="G134" s="66">
        <f t="shared" si="12"/>
        <v>0</v>
      </c>
      <c r="H134" s="67">
        <f>IFERROR(SUMIF('💸 Expenses'!B9:B508,B134,'💸 Expenses'!F9:F508),0)</f>
        <v>0</v>
      </c>
      <c r="I134" s="68">
        <f t="shared" si="13"/>
        <v>0</v>
      </c>
      <c r="J134" s="69">
        <f t="shared" si="14"/>
        <v>0</v>
      </c>
      <c r="K134" s="70"/>
      <c r="L134" s="36">
        <f t="shared" si="17"/>
        <v>0</v>
      </c>
      <c r="M134" s="39">
        <f t="shared" si="18"/>
        <v>0</v>
      </c>
      <c r="N134" s="71">
        <f t="shared" si="15"/>
        <v>0</v>
      </c>
      <c r="O134" s="72">
        <f>IFERROR(SUMIF(B8:B134,"&gt;="&amp;(B134-WEEKDAY(B134,2)+1),E8:E134),0)</f>
        <v>0</v>
      </c>
      <c r="P134" s="73">
        <f>IFERROR(SUMIF(B8:B134,"&gt;="&amp;(B134-WEEKDAY(B134,2)+1),H8:H134),0)</f>
        <v>0</v>
      </c>
      <c r="Q134" s="71">
        <f t="shared" si="16"/>
        <v>0</v>
      </c>
    </row>
    <row r="135" spans="2:17" ht="16.5" customHeight="1" x14ac:dyDescent="0.3">
      <c r="B135" s="61"/>
      <c r="C135" s="74" t="str">
        <f t="shared" si="10"/>
        <v/>
      </c>
      <c r="D135" s="75" t="str">
        <f t="shared" si="11"/>
        <v/>
      </c>
      <c r="E135" s="76"/>
      <c r="F135" s="77"/>
      <c r="G135" s="78">
        <f t="shared" si="12"/>
        <v>0</v>
      </c>
      <c r="H135" s="79">
        <f>IFERROR(SUMIF('💸 Expenses'!B9:B508,B135,'💸 Expenses'!F9:F508),0)</f>
        <v>0</v>
      </c>
      <c r="I135" s="80">
        <f t="shared" si="13"/>
        <v>0</v>
      </c>
      <c r="J135" s="81">
        <f t="shared" si="14"/>
        <v>0</v>
      </c>
      <c r="K135" s="82"/>
      <c r="L135" s="45">
        <f t="shared" si="17"/>
        <v>0</v>
      </c>
      <c r="M135" s="48">
        <f t="shared" si="18"/>
        <v>0</v>
      </c>
      <c r="N135" s="83">
        <f t="shared" si="15"/>
        <v>0</v>
      </c>
      <c r="O135" s="84">
        <f>IFERROR(SUMIF(B8:B135,"&gt;="&amp;(B135-WEEKDAY(B135,2)+1),E8:E135),0)</f>
        <v>0</v>
      </c>
      <c r="P135" s="85">
        <f>IFERROR(SUMIF(B8:B135,"&gt;="&amp;(B135-WEEKDAY(B135,2)+1),H8:H135),0)</f>
        <v>0</v>
      </c>
      <c r="Q135" s="83">
        <f t="shared" si="16"/>
        <v>0</v>
      </c>
    </row>
    <row r="136" spans="2:17" ht="16.5" customHeight="1" x14ac:dyDescent="0.3">
      <c r="B136" s="61"/>
      <c r="C136" s="62" t="str">
        <f t="shared" ref="C136:C199" si="19">IF(B136="","",TEXT(B136,"DDD"))</f>
        <v/>
      </c>
      <c r="D136" s="63" t="str">
        <f t="shared" ref="D136:D199" si="20">IF(B136="","","Soft App")</f>
        <v/>
      </c>
      <c r="E136" s="64"/>
      <c r="F136" s="65"/>
      <c r="G136" s="66">
        <f t="shared" ref="G136:G199" si="21">IFERROR(E136/F136,0)</f>
        <v>0</v>
      </c>
      <c r="H136" s="67">
        <f>IFERROR(SUMIF('💸 Expenses'!B9:B508,B136,'💸 Expenses'!F9:F508),0)</f>
        <v>0</v>
      </c>
      <c r="I136" s="68">
        <f t="shared" ref="I136:I199" si="22">IFERROR(E136-H136,0)</f>
        <v>0</v>
      </c>
      <c r="J136" s="69">
        <f t="shared" ref="J136:J199" si="23">IFERROR(I136/E136,0)</f>
        <v>0</v>
      </c>
      <c r="K136" s="70"/>
      <c r="L136" s="36">
        <f t="shared" si="17"/>
        <v>0</v>
      </c>
      <c r="M136" s="39">
        <f t="shared" si="18"/>
        <v>0</v>
      </c>
      <c r="N136" s="71">
        <f t="shared" ref="N136:N199" si="24">IFERROR(L136-M136,0)</f>
        <v>0</v>
      </c>
      <c r="O136" s="72">
        <f>IFERROR(SUMIF(B8:B136,"&gt;="&amp;(B136-WEEKDAY(B136,2)+1),E8:E136),0)</f>
        <v>0</v>
      </c>
      <c r="P136" s="73">
        <f>IFERROR(SUMIF(B8:B136,"&gt;="&amp;(B136-WEEKDAY(B136,2)+1),H8:H136),0)</f>
        <v>0</v>
      </c>
      <c r="Q136" s="71">
        <f t="shared" ref="Q136:Q199" si="25">IFERROR(O136-P136,0)</f>
        <v>0</v>
      </c>
    </row>
    <row r="137" spans="2:17" ht="16.5" customHeight="1" x14ac:dyDescent="0.3">
      <c r="B137" s="61"/>
      <c r="C137" s="74" t="str">
        <f t="shared" si="19"/>
        <v/>
      </c>
      <c r="D137" s="75" t="str">
        <f t="shared" si="20"/>
        <v/>
      </c>
      <c r="E137" s="76"/>
      <c r="F137" s="77"/>
      <c r="G137" s="78">
        <f t="shared" si="21"/>
        <v>0</v>
      </c>
      <c r="H137" s="79">
        <f>IFERROR(SUMIF('💸 Expenses'!B9:B508,B137,'💸 Expenses'!F9:F508),0)</f>
        <v>0</v>
      </c>
      <c r="I137" s="80">
        <f t="shared" si="22"/>
        <v>0</v>
      </c>
      <c r="J137" s="81">
        <f t="shared" si="23"/>
        <v>0</v>
      </c>
      <c r="K137" s="82"/>
      <c r="L137" s="45">
        <f t="shared" ref="L137:L200" si="26">IFERROR(L136+E137,0)</f>
        <v>0</v>
      </c>
      <c r="M137" s="48">
        <f t="shared" ref="M137:M200" si="27">IFERROR(M136+H137,0)</f>
        <v>0</v>
      </c>
      <c r="N137" s="83">
        <f t="shared" si="24"/>
        <v>0</v>
      </c>
      <c r="O137" s="84">
        <f>IFERROR(SUMIF(B8:B137,"&gt;="&amp;(B137-WEEKDAY(B137,2)+1),E8:E137),0)</f>
        <v>0</v>
      </c>
      <c r="P137" s="85">
        <f>IFERROR(SUMIF(B8:B137,"&gt;="&amp;(B137-WEEKDAY(B137,2)+1),H8:H137),0)</f>
        <v>0</v>
      </c>
      <c r="Q137" s="83">
        <f t="shared" si="25"/>
        <v>0</v>
      </c>
    </row>
    <row r="138" spans="2:17" ht="16.5" customHeight="1" x14ac:dyDescent="0.3">
      <c r="B138" s="61"/>
      <c r="C138" s="62" t="str">
        <f t="shared" si="19"/>
        <v/>
      </c>
      <c r="D138" s="63" t="str">
        <f t="shared" si="20"/>
        <v/>
      </c>
      <c r="E138" s="64"/>
      <c r="F138" s="65"/>
      <c r="G138" s="66">
        <f t="shared" si="21"/>
        <v>0</v>
      </c>
      <c r="H138" s="67">
        <f>IFERROR(SUMIF('💸 Expenses'!B9:B508,B138,'💸 Expenses'!F9:F508),0)</f>
        <v>0</v>
      </c>
      <c r="I138" s="68">
        <f t="shared" si="22"/>
        <v>0</v>
      </c>
      <c r="J138" s="69">
        <f t="shared" si="23"/>
        <v>0</v>
      </c>
      <c r="K138" s="70"/>
      <c r="L138" s="36">
        <f t="shared" si="26"/>
        <v>0</v>
      </c>
      <c r="M138" s="39">
        <f t="shared" si="27"/>
        <v>0</v>
      </c>
      <c r="N138" s="71">
        <f t="shared" si="24"/>
        <v>0</v>
      </c>
      <c r="O138" s="72">
        <f>IFERROR(SUMIF(B8:B138,"&gt;="&amp;(B138-WEEKDAY(B138,2)+1),E8:E138),0)</f>
        <v>0</v>
      </c>
      <c r="P138" s="73">
        <f>IFERROR(SUMIF(B8:B138,"&gt;="&amp;(B138-WEEKDAY(B138,2)+1),H8:H138),0)</f>
        <v>0</v>
      </c>
      <c r="Q138" s="71">
        <f t="shared" si="25"/>
        <v>0</v>
      </c>
    </row>
    <row r="139" spans="2:17" ht="16.5" customHeight="1" x14ac:dyDescent="0.3">
      <c r="B139" s="61"/>
      <c r="C139" s="74" t="str">
        <f t="shared" si="19"/>
        <v/>
      </c>
      <c r="D139" s="75" t="str">
        <f t="shared" si="20"/>
        <v/>
      </c>
      <c r="E139" s="76"/>
      <c r="F139" s="77"/>
      <c r="G139" s="78">
        <f t="shared" si="21"/>
        <v>0</v>
      </c>
      <c r="H139" s="79">
        <f>IFERROR(SUMIF('💸 Expenses'!B9:B508,B139,'💸 Expenses'!F9:F508),0)</f>
        <v>0</v>
      </c>
      <c r="I139" s="80">
        <f t="shared" si="22"/>
        <v>0</v>
      </c>
      <c r="J139" s="81">
        <f t="shared" si="23"/>
        <v>0</v>
      </c>
      <c r="K139" s="82"/>
      <c r="L139" s="45">
        <f t="shared" si="26"/>
        <v>0</v>
      </c>
      <c r="M139" s="48">
        <f t="shared" si="27"/>
        <v>0</v>
      </c>
      <c r="N139" s="83">
        <f t="shared" si="24"/>
        <v>0</v>
      </c>
      <c r="O139" s="84">
        <f>IFERROR(SUMIF(B8:B139,"&gt;="&amp;(B139-WEEKDAY(B139,2)+1),E8:E139),0)</f>
        <v>0</v>
      </c>
      <c r="P139" s="85">
        <f>IFERROR(SUMIF(B8:B139,"&gt;="&amp;(B139-WEEKDAY(B139,2)+1),H8:H139),0)</f>
        <v>0</v>
      </c>
      <c r="Q139" s="83">
        <f t="shared" si="25"/>
        <v>0</v>
      </c>
    </row>
    <row r="140" spans="2:17" ht="16.5" customHeight="1" x14ac:dyDescent="0.3">
      <c r="B140" s="61"/>
      <c r="C140" s="62" t="str">
        <f t="shared" si="19"/>
        <v/>
      </c>
      <c r="D140" s="63" t="str">
        <f t="shared" si="20"/>
        <v/>
      </c>
      <c r="E140" s="64"/>
      <c r="F140" s="65"/>
      <c r="G140" s="66">
        <f t="shared" si="21"/>
        <v>0</v>
      </c>
      <c r="H140" s="67">
        <f>IFERROR(SUMIF('💸 Expenses'!B9:B508,B140,'💸 Expenses'!F9:F508),0)</f>
        <v>0</v>
      </c>
      <c r="I140" s="68">
        <f t="shared" si="22"/>
        <v>0</v>
      </c>
      <c r="J140" s="69">
        <f t="shared" si="23"/>
        <v>0</v>
      </c>
      <c r="K140" s="70"/>
      <c r="L140" s="36">
        <f t="shared" si="26"/>
        <v>0</v>
      </c>
      <c r="M140" s="39">
        <f t="shared" si="27"/>
        <v>0</v>
      </c>
      <c r="N140" s="71">
        <f t="shared" si="24"/>
        <v>0</v>
      </c>
      <c r="O140" s="72">
        <f>IFERROR(SUMIF(B8:B140,"&gt;="&amp;(B140-WEEKDAY(B140,2)+1),E8:E140),0)</f>
        <v>0</v>
      </c>
      <c r="P140" s="73">
        <f>IFERROR(SUMIF(B8:B140,"&gt;="&amp;(B140-WEEKDAY(B140,2)+1),H8:H140),0)</f>
        <v>0</v>
      </c>
      <c r="Q140" s="71">
        <f t="shared" si="25"/>
        <v>0</v>
      </c>
    </row>
    <row r="141" spans="2:17" ht="16.5" customHeight="1" x14ac:dyDescent="0.3">
      <c r="B141" s="61"/>
      <c r="C141" s="74" t="str">
        <f t="shared" si="19"/>
        <v/>
      </c>
      <c r="D141" s="75" t="str">
        <f t="shared" si="20"/>
        <v/>
      </c>
      <c r="E141" s="76"/>
      <c r="F141" s="77"/>
      <c r="G141" s="78">
        <f t="shared" si="21"/>
        <v>0</v>
      </c>
      <c r="H141" s="79">
        <f>IFERROR(SUMIF('💸 Expenses'!B9:B508,B141,'💸 Expenses'!F9:F508),0)</f>
        <v>0</v>
      </c>
      <c r="I141" s="80">
        <f t="shared" si="22"/>
        <v>0</v>
      </c>
      <c r="J141" s="81">
        <f t="shared" si="23"/>
        <v>0</v>
      </c>
      <c r="K141" s="82"/>
      <c r="L141" s="45">
        <f t="shared" si="26"/>
        <v>0</v>
      </c>
      <c r="M141" s="48">
        <f t="shared" si="27"/>
        <v>0</v>
      </c>
      <c r="N141" s="83">
        <f t="shared" si="24"/>
        <v>0</v>
      </c>
      <c r="O141" s="84">
        <f>IFERROR(SUMIF(B8:B141,"&gt;="&amp;(B141-WEEKDAY(B141,2)+1),E8:E141),0)</f>
        <v>0</v>
      </c>
      <c r="P141" s="85">
        <f>IFERROR(SUMIF(B8:B141,"&gt;="&amp;(B141-WEEKDAY(B141,2)+1),H8:H141),0)</f>
        <v>0</v>
      </c>
      <c r="Q141" s="83">
        <f t="shared" si="25"/>
        <v>0</v>
      </c>
    </row>
    <row r="142" spans="2:17" ht="16.5" customHeight="1" x14ac:dyDescent="0.3">
      <c r="B142" s="61"/>
      <c r="C142" s="62" t="str">
        <f t="shared" si="19"/>
        <v/>
      </c>
      <c r="D142" s="63" t="str">
        <f t="shared" si="20"/>
        <v/>
      </c>
      <c r="E142" s="64"/>
      <c r="F142" s="65"/>
      <c r="G142" s="66">
        <f t="shared" si="21"/>
        <v>0</v>
      </c>
      <c r="H142" s="67">
        <f>IFERROR(SUMIF('💸 Expenses'!B9:B508,B142,'💸 Expenses'!F9:F508),0)</f>
        <v>0</v>
      </c>
      <c r="I142" s="68">
        <f t="shared" si="22"/>
        <v>0</v>
      </c>
      <c r="J142" s="69">
        <f t="shared" si="23"/>
        <v>0</v>
      </c>
      <c r="K142" s="70"/>
      <c r="L142" s="36">
        <f t="shared" si="26"/>
        <v>0</v>
      </c>
      <c r="M142" s="39">
        <f t="shared" si="27"/>
        <v>0</v>
      </c>
      <c r="N142" s="71">
        <f t="shared" si="24"/>
        <v>0</v>
      </c>
      <c r="O142" s="72">
        <f>IFERROR(SUMIF(B8:B142,"&gt;="&amp;(B142-WEEKDAY(B142,2)+1),E8:E142),0)</f>
        <v>0</v>
      </c>
      <c r="P142" s="73">
        <f>IFERROR(SUMIF(B8:B142,"&gt;="&amp;(B142-WEEKDAY(B142,2)+1),H8:H142),0)</f>
        <v>0</v>
      </c>
      <c r="Q142" s="71">
        <f t="shared" si="25"/>
        <v>0</v>
      </c>
    </row>
    <row r="143" spans="2:17" ht="16.5" customHeight="1" x14ac:dyDescent="0.3">
      <c r="B143" s="61"/>
      <c r="C143" s="74" t="str">
        <f t="shared" si="19"/>
        <v/>
      </c>
      <c r="D143" s="75" t="str">
        <f t="shared" si="20"/>
        <v/>
      </c>
      <c r="E143" s="76"/>
      <c r="F143" s="77"/>
      <c r="G143" s="78">
        <f t="shared" si="21"/>
        <v>0</v>
      </c>
      <c r="H143" s="79">
        <f>IFERROR(SUMIF('💸 Expenses'!B9:B508,B143,'💸 Expenses'!F9:F508),0)</f>
        <v>0</v>
      </c>
      <c r="I143" s="80">
        <f t="shared" si="22"/>
        <v>0</v>
      </c>
      <c r="J143" s="81">
        <f t="shared" si="23"/>
        <v>0</v>
      </c>
      <c r="K143" s="82"/>
      <c r="L143" s="45">
        <f t="shared" si="26"/>
        <v>0</v>
      </c>
      <c r="M143" s="48">
        <f t="shared" si="27"/>
        <v>0</v>
      </c>
      <c r="N143" s="83">
        <f t="shared" si="24"/>
        <v>0</v>
      </c>
      <c r="O143" s="84">
        <f>IFERROR(SUMIF(B8:B143,"&gt;="&amp;(B143-WEEKDAY(B143,2)+1),E8:E143),0)</f>
        <v>0</v>
      </c>
      <c r="P143" s="85">
        <f>IFERROR(SUMIF(B8:B143,"&gt;="&amp;(B143-WEEKDAY(B143,2)+1),H8:H143),0)</f>
        <v>0</v>
      </c>
      <c r="Q143" s="83">
        <f t="shared" si="25"/>
        <v>0</v>
      </c>
    </row>
    <row r="144" spans="2:17" ht="16.5" customHeight="1" x14ac:dyDescent="0.3">
      <c r="B144" s="61"/>
      <c r="C144" s="62" t="str">
        <f t="shared" si="19"/>
        <v/>
      </c>
      <c r="D144" s="63" t="str">
        <f t="shared" si="20"/>
        <v/>
      </c>
      <c r="E144" s="64"/>
      <c r="F144" s="65"/>
      <c r="G144" s="66">
        <f t="shared" si="21"/>
        <v>0</v>
      </c>
      <c r="H144" s="67">
        <f>IFERROR(SUMIF('💸 Expenses'!B9:B508,B144,'💸 Expenses'!F9:F508),0)</f>
        <v>0</v>
      </c>
      <c r="I144" s="68">
        <f t="shared" si="22"/>
        <v>0</v>
      </c>
      <c r="J144" s="69">
        <f t="shared" si="23"/>
        <v>0</v>
      </c>
      <c r="K144" s="70"/>
      <c r="L144" s="36">
        <f t="shared" si="26"/>
        <v>0</v>
      </c>
      <c r="M144" s="39">
        <f t="shared" si="27"/>
        <v>0</v>
      </c>
      <c r="N144" s="71">
        <f t="shared" si="24"/>
        <v>0</v>
      </c>
      <c r="O144" s="72">
        <f>IFERROR(SUMIF(B8:B144,"&gt;="&amp;(B144-WEEKDAY(B144,2)+1),E8:E144),0)</f>
        <v>0</v>
      </c>
      <c r="P144" s="73">
        <f>IFERROR(SUMIF(B8:B144,"&gt;="&amp;(B144-WEEKDAY(B144,2)+1),H8:H144),0)</f>
        <v>0</v>
      </c>
      <c r="Q144" s="71">
        <f t="shared" si="25"/>
        <v>0</v>
      </c>
    </row>
    <row r="145" spans="2:17" ht="16.5" customHeight="1" x14ac:dyDescent="0.3">
      <c r="B145" s="61"/>
      <c r="C145" s="74" t="str">
        <f t="shared" si="19"/>
        <v/>
      </c>
      <c r="D145" s="75" t="str">
        <f t="shared" si="20"/>
        <v/>
      </c>
      <c r="E145" s="76"/>
      <c r="F145" s="77"/>
      <c r="G145" s="78">
        <f t="shared" si="21"/>
        <v>0</v>
      </c>
      <c r="H145" s="79">
        <f>IFERROR(SUMIF('💸 Expenses'!B9:B508,B145,'💸 Expenses'!F9:F508),0)</f>
        <v>0</v>
      </c>
      <c r="I145" s="80">
        <f t="shared" si="22"/>
        <v>0</v>
      </c>
      <c r="J145" s="81">
        <f t="shared" si="23"/>
        <v>0</v>
      </c>
      <c r="K145" s="82"/>
      <c r="L145" s="45">
        <f t="shared" si="26"/>
        <v>0</v>
      </c>
      <c r="M145" s="48">
        <f t="shared" si="27"/>
        <v>0</v>
      </c>
      <c r="N145" s="83">
        <f t="shared" si="24"/>
        <v>0</v>
      </c>
      <c r="O145" s="84">
        <f>IFERROR(SUMIF(B8:B145,"&gt;="&amp;(B145-WEEKDAY(B145,2)+1),E8:E145),0)</f>
        <v>0</v>
      </c>
      <c r="P145" s="85">
        <f>IFERROR(SUMIF(B8:B145,"&gt;="&amp;(B145-WEEKDAY(B145,2)+1),H8:H145),0)</f>
        <v>0</v>
      </c>
      <c r="Q145" s="83">
        <f t="shared" si="25"/>
        <v>0</v>
      </c>
    </row>
    <row r="146" spans="2:17" ht="16.5" customHeight="1" x14ac:dyDescent="0.3">
      <c r="B146" s="61"/>
      <c r="C146" s="62" t="str">
        <f t="shared" si="19"/>
        <v/>
      </c>
      <c r="D146" s="63" t="str">
        <f t="shared" si="20"/>
        <v/>
      </c>
      <c r="E146" s="64"/>
      <c r="F146" s="65"/>
      <c r="G146" s="66">
        <f t="shared" si="21"/>
        <v>0</v>
      </c>
      <c r="H146" s="67">
        <f>IFERROR(SUMIF('💸 Expenses'!B9:B508,B146,'💸 Expenses'!F9:F508),0)</f>
        <v>0</v>
      </c>
      <c r="I146" s="68">
        <f t="shared" si="22"/>
        <v>0</v>
      </c>
      <c r="J146" s="69">
        <f t="shared" si="23"/>
        <v>0</v>
      </c>
      <c r="K146" s="70"/>
      <c r="L146" s="36">
        <f t="shared" si="26"/>
        <v>0</v>
      </c>
      <c r="M146" s="39">
        <f t="shared" si="27"/>
        <v>0</v>
      </c>
      <c r="N146" s="71">
        <f t="shared" si="24"/>
        <v>0</v>
      </c>
      <c r="O146" s="72">
        <f>IFERROR(SUMIF(B8:B146,"&gt;="&amp;(B146-WEEKDAY(B146,2)+1),E8:E146),0)</f>
        <v>0</v>
      </c>
      <c r="P146" s="73">
        <f>IFERROR(SUMIF(B8:B146,"&gt;="&amp;(B146-WEEKDAY(B146,2)+1),H8:H146),0)</f>
        <v>0</v>
      </c>
      <c r="Q146" s="71">
        <f t="shared" si="25"/>
        <v>0</v>
      </c>
    </row>
    <row r="147" spans="2:17" ht="16.5" customHeight="1" x14ac:dyDescent="0.3">
      <c r="B147" s="61"/>
      <c r="C147" s="74" t="str">
        <f t="shared" si="19"/>
        <v/>
      </c>
      <c r="D147" s="75" t="str">
        <f t="shared" si="20"/>
        <v/>
      </c>
      <c r="E147" s="76"/>
      <c r="F147" s="77"/>
      <c r="G147" s="78">
        <f t="shared" si="21"/>
        <v>0</v>
      </c>
      <c r="H147" s="79">
        <f>IFERROR(SUMIF('💸 Expenses'!B9:B508,B147,'💸 Expenses'!F9:F508),0)</f>
        <v>0</v>
      </c>
      <c r="I147" s="80">
        <f t="shared" si="22"/>
        <v>0</v>
      </c>
      <c r="J147" s="81">
        <f t="shared" si="23"/>
        <v>0</v>
      </c>
      <c r="K147" s="82"/>
      <c r="L147" s="45">
        <f t="shared" si="26"/>
        <v>0</v>
      </c>
      <c r="M147" s="48">
        <f t="shared" si="27"/>
        <v>0</v>
      </c>
      <c r="N147" s="83">
        <f t="shared" si="24"/>
        <v>0</v>
      </c>
      <c r="O147" s="84">
        <f>IFERROR(SUMIF(B8:B147,"&gt;="&amp;(B147-WEEKDAY(B147,2)+1),E8:E147),0)</f>
        <v>0</v>
      </c>
      <c r="P147" s="85">
        <f>IFERROR(SUMIF(B8:B147,"&gt;="&amp;(B147-WEEKDAY(B147,2)+1),H8:H147),0)</f>
        <v>0</v>
      </c>
      <c r="Q147" s="83">
        <f t="shared" si="25"/>
        <v>0</v>
      </c>
    </row>
    <row r="148" spans="2:17" ht="16.5" customHeight="1" x14ac:dyDescent="0.3">
      <c r="B148" s="61"/>
      <c r="C148" s="62" t="str">
        <f t="shared" si="19"/>
        <v/>
      </c>
      <c r="D148" s="63" t="str">
        <f t="shared" si="20"/>
        <v/>
      </c>
      <c r="E148" s="64"/>
      <c r="F148" s="65"/>
      <c r="G148" s="66">
        <f t="shared" si="21"/>
        <v>0</v>
      </c>
      <c r="H148" s="67">
        <f>IFERROR(SUMIF('💸 Expenses'!B9:B508,B148,'💸 Expenses'!F9:F508),0)</f>
        <v>0</v>
      </c>
      <c r="I148" s="68">
        <f t="shared" si="22"/>
        <v>0</v>
      </c>
      <c r="J148" s="69">
        <f t="shared" si="23"/>
        <v>0</v>
      </c>
      <c r="K148" s="70"/>
      <c r="L148" s="36">
        <f t="shared" si="26"/>
        <v>0</v>
      </c>
      <c r="M148" s="39">
        <f t="shared" si="27"/>
        <v>0</v>
      </c>
      <c r="N148" s="71">
        <f t="shared" si="24"/>
        <v>0</v>
      </c>
      <c r="O148" s="72">
        <f>IFERROR(SUMIF(B8:B148,"&gt;="&amp;(B148-WEEKDAY(B148,2)+1),E8:E148),0)</f>
        <v>0</v>
      </c>
      <c r="P148" s="73">
        <f>IFERROR(SUMIF(B8:B148,"&gt;="&amp;(B148-WEEKDAY(B148,2)+1),H8:H148),0)</f>
        <v>0</v>
      </c>
      <c r="Q148" s="71">
        <f t="shared" si="25"/>
        <v>0</v>
      </c>
    </row>
    <row r="149" spans="2:17" ht="16.5" customHeight="1" x14ac:dyDescent="0.3">
      <c r="B149" s="61"/>
      <c r="C149" s="74" t="str">
        <f t="shared" si="19"/>
        <v/>
      </c>
      <c r="D149" s="75" t="str">
        <f t="shared" si="20"/>
        <v/>
      </c>
      <c r="E149" s="76"/>
      <c r="F149" s="77"/>
      <c r="G149" s="78">
        <f t="shared" si="21"/>
        <v>0</v>
      </c>
      <c r="H149" s="79">
        <f>IFERROR(SUMIF('💸 Expenses'!B9:B508,B149,'💸 Expenses'!F9:F508),0)</f>
        <v>0</v>
      </c>
      <c r="I149" s="80">
        <f t="shared" si="22"/>
        <v>0</v>
      </c>
      <c r="J149" s="81">
        <f t="shared" si="23"/>
        <v>0</v>
      </c>
      <c r="K149" s="82"/>
      <c r="L149" s="45">
        <f t="shared" si="26"/>
        <v>0</v>
      </c>
      <c r="M149" s="48">
        <f t="shared" si="27"/>
        <v>0</v>
      </c>
      <c r="N149" s="83">
        <f t="shared" si="24"/>
        <v>0</v>
      </c>
      <c r="O149" s="84">
        <f>IFERROR(SUMIF(B8:B149,"&gt;="&amp;(B149-WEEKDAY(B149,2)+1),E8:E149),0)</f>
        <v>0</v>
      </c>
      <c r="P149" s="85">
        <f>IFERROR(SUMIF(B8:B149,"&gt;="&amp;(B149-WEEKDAY(B149,2)+1),H8:H149),0)</f>
        <v>0</v>
      </c>
      <c r="Q149" s="83">
        <f t="shared" si="25"/>
        <v>0</v>
      </c>
    </row>
    <row r="150" spans="2:17" ht="16.5" customHeight="1" x14ac:dyDescent="0.3">
      <c r="B150" s="61"/>
      <c r="C150" s="62" t="str">
        <f t="shared" si="19"/>
        <v/>
      </c>
      <c r="D150" s="63" t="str">
        <f t="shared" si="20"/>
        <v/>
      </c>
      <c r="E150" s="64"/>
      <c r="F150" s="65"/>
      <c r="G150" s="66">
        <f t="shared" si="21"/>
        <v>0</v>
      </c>
      <c r="H150" s="67">
        <f>IFERROR(SUMIF('💸 Expenses'!B9:B508,B150,'💸 Expenses'!F9:F508),0)</f>
        <v>0</v>
      </c>
      <c r="I150" s="68">
        <f t="shared" si="22"/>
        <v>0</v>
      </c>
      <c r="J150" s="69">
        <f t="shared" si="23"/>
        <v>0</v>
      </c>
      <c r="K150" s="70"/>
      <c r="L150" s="36">
        <f t="shared" si="26"/>
        <v>0</v>
      </c>
      <c r="M150" s="39">
        <f t="shared" si="27"/>
        <v>0</v>
      </c>
      <c r="N150" s="71">
        <f t="shared" si="24"/>
        <v>0</v>
      </c>
      <c r="O150" s="72">
        <f>IFERROR(SUMIF(B8:B150,"&gt;="&amp;(B150-WEEKDAY(B150,2)+1),E8:E150),0)</f>
        <v>0</v>
      </c>
      <c r="P150" s="73">
        <f>IFERROR(SUMIF(B8:B150,"&gt;="&amp;(B150-WEEKDAY(B150,2)+1),H8:H150),0)</f>
        <v>0</v>
      </c>
      <c r="Q150" s="71">
        <f t="shared" si="25"/>
        <v>0</v>
      </c>
    </row>
    <row r="151" spans="2:17" ht="16.5" customHeight="1" x14ac:dyDescent="0.3">
      <c r="B151" s="61"/>
      <c r="C151" s="74" t="str">
        <f t="shared" si="19"/>
        <v/>
      </c>
      <c r="D151" s="75" t="str">
        <f t="shared" si="20"/>
        <v/>
      </c>
      <c r="E151" s="76"/>
      <c r="F151" s="77"/>
      <c r="G151" s="78">
        <f t="shared" si="21"/>
        <v>0</v>
      </c>
      <c r="H151" s="79">
        <f>IFERROR(SUMIF('💸 Expenses'!B9:B508,B151,'💸 Expenses'!F9:F508),0)</f>
        <v>0</v>
      </c>
      <c r="I151" s="80">
        <f t="shared" si="22"/>
        <v>0</v>
      </c>
      <c r="J151" s="81">
        <f t="shared" si="23"/>
        <v>0</v>
      </c>
      <c r="K151" s="82"/>
      <c r="L151" s="45">
        <f t="shared" si="26"/>
        <v>0</v>
      </c>
      <c r="M151" s="48">
        <f t="shared" si="27"/>
        <v>0</v>
      </c>
      <c r="N151" s="83">
        <f t="shared" si="24"/>
        <v>0</v>
      </c>
      <c r="O151" s="84">
        <f>IFERROR(SUMIF(B8:B151,"&gt;="&amp;(B151-WEEKDAY(B151,2)+1),E8:E151),0)</f>
        <v>0</v>
      </c>
      <c r="P151" s="85">
        <f>IFERROR(SUMIF(B8:B151,"&gt;="&amp;(B151-WEEKDAY(B151,2)+1),H8:H151),0)</f>
        <v>0</v>
      </c>
      <c r="Q151" s="83">
        <f t="shared" si="25"/>
        <v>0</v>
      </c>
    </row>
    <row r="152" spans="2:17" ht="16.5" customHeight="1" x14ac:dyDescent="0.3">
      <c r="B152" s="61"/>
      <c r="C152" s="62" t="str">
        <f t="shared" si="19"/>
        <v/>
      </c>
      <c r="D152" s="63" t="str">
        <f t="shared" si="20"/>
        <v/>
      </c>
      <c r="E152" s="64"/>
      <c r="F152" s="65"/>
      <c r="G152" s="66">
        <f t="shared" si="21"/>
        <v>0</v>
      </c>
      <c r="H152" s="67">
        <f>IFERROR(SUMIF('💸 Expenses'!B9:B508,B152,'💸 Expenses'!F9:F508),0)</f>
        <v>0</v>
      </c>
      <c r="I152" s="68">
        <f t="shared" si="22"/>
        <v>0</v>
      </c>
      <c r="J152" s="69">
        <f t="shared" si="23"/>
        <v>0</v>
      </c>
      <c r="K152" s="70"/>
      <c r="L152" s="36">
        <f t="shared" si="26"/>
        <v>0</v>
      </c>
      <c r="M152" s="39">
        <f t="shared" si="27"/>
        <v>0</v>
      </c>
      <c r="N152" s="71">
        <f t="shared" si="24"/>
        <v>0</v>
      </c>
      <c r="O152" s="72">
        <f>IFERROR(SUMIF(B8:B152,"&gt;="&amp;(B152-WEEKDAY(B152,2)+1),E8:E152),0)</f>
        <v>0</v>
      </c>
      <c r="P152" s="73">
        <f>IFERROR(SUMIF(B8:B152,"&gt;="&amp;(B152-WEEKDAY(B152,2)+1),H8:H152),0)</f>
        <v>0</v>
      </c>
      <c r="Q152" s="71">
        <f t="shared" si="25"/>
        <v>0</v>
      </c>
    </row>
    <row r="153" spans="2:17" ht="16.5" customHeight="1" x14ac:dyDescent="0.3">
      <c r="B153" s="61"/>
      <c r="C153" s="74" t="str">
        <f t="shared" si="19"/>
        <v/>
      </c>
      <c r="D153" s="75" t="str">
        <f t="shared" si="20"/>
        <v/>
      </c>
      <c r="E153" s="76"/>
      <c r="F153" s="77"/>
      <c r="G153" s="78">
        <f t="shared" si="21"/>
        <v>0</v>
      </c>
      <c r="H153" s="79">
        <f>IFERROR(SUMIF('💸 Expenses'!B9:B508,B153,'💸 Expenses'!F9:F508),0)</f>
        <v>0</v>
      </c>
      <c r="I153" s="80">
        <f t="shared" si="22"/>
        <v>0</v>
      </c>
      <c r="J153" s="81">
        <f t="shared" si="23"/>
        <v>0</v>
      </c>
      <c r="K153" s="82"/>
      <c r="L153" s="45">
        <f t="shared" si="26"/>
        <v>0</v>
      </c>
      <c r="M153" s="48">
        <f t="shared" si="27"/>
        <v>0</v>
      </c>
      <c r="N153" s="83">
        <f t="shared" si="24"/>
        <v>0</v>
      </c>
      <c r="O153" s="84">
        <f>IFERROR(SUMIF(B8:B153,"&gt;="&amp;(B153-WEEKDAY(B153,2)+1),E8:E153),0)</f>
        <v>0</v>
      </c>
      <c r="P153" s="85">
        <f>IFERROR(SUMIF(B8:B153,"&gt;="&amp;(B153-WEEKDAY(B153,2)+1),H8:H153),0)</f>
        <v>0</v>
      </c>
      <c r="Q153" s="83">
        <f t="shared" si="25"/>
        <v>0</v>
      </c>
    </row>
    <row r="154" spans="2:17" ht="16.5" customHeight="1" x14ac:dyDescent="0.3">
      <c r="B154" s="61"/>
      <c r="C154" s="62" t="str">
        <f t="shared" si="19"/>
        <v/>
      </c>
      <c r="D154" s="63" t="str">
        <f t="shared" si="20"/>
        <v/>
      </c>
      <c r="E154" s="64"/>
      <c r="F154" s="65"/>
      <c r="G154" s="66">
        <f t="shared" si="21"/>
        <v>0</v>
      </c>
      <c r="H154" s="67">
        <f>IFERROR(SUMIF('💸 Expenses'!B9:B508,B154,'💸 Expenses'!F9:F508),0)</f>
        <v>0</v>
      </c>
      <c r="I154" s="68">
        <f t="shared" si="22"/>
        <v>0</v>
      </c>
      <c r="J154" s="69">
        <f t="shared" si="23"/>
        <v>0</v>
      </c>
      <c r="K154" s="70"/>
      <c r="L154" s="36">
        <f t="shared" si="26"/>
        <v>0</v>
      </c>
      <c r="M154" s="39">
        <f t="shared" si="27"/>
        <v>0</v>
      </c>
      <c r="N154" s="71">
        <f t="shared" si="24"/>
        <v>0</v>
      </c>
      <c r="O154" s="72">
        <f>IFERROR(SUMIF(B8:B154,"&gt;="&amp;(B154-WEEKDAY(B154,2)+1),E8:E154),0)</f>
        <v>0</v>
      </c>
      <c r="P154" s="73">
        <f>IFERROR(SUMIF(B8:B154,"&gt;="&amp;(B154-WEEKDAY(B154,2)+1),H8:H154),0)</f>
        <v>0</v>
      </c>
      <c r="Q154" s="71">
        <f t="shared" si="25"/>
        <v>0</v>
      </c>
    </row>
    <row r="155" spans="2:17" ht="16.5" customHeight="1" x14ac:dyDescent="0.3">
      <c r="B155" s="61"/>
      <c r="C155" s="74" t="str">
        <f t="shared" si="19"/>
        <v/>
      </c>
      <c r="D155" s="75" t="str">
        <f t="shared" si="20"/>
        <v/>
      </c>
      <c r="E155" s="76"/>
      <c r="F155" s="77"/>
      <c r="G155" s="78">
        <f t="shared" si="21"/>
        <v>0</v>
      </c>
      <c r="H155" s="79">
        <f>IFERROR(SUMIF('💸 Expenses'!B9:B508,B155,'💸 Expenses'!F9:F508),0)</f>
        <v>0</v>
      </c>
      <c r="I155" s="80">
        <f t="shared" si="22"/>
        <v>0</v>
      </c>
      <c r="J155" s="81">
        <f t="shared" si="23"/>
        <v>0</v>
      </c>
      <c r="K155" s="82"/>
      <c r="L155" s="45">
        <f t="shared" si="26"/>
        <v>0</v>
      </c>
      <c r="M155" s="48">
        <f t="shared" si="27"/>
        <v>0</v>
      </c>
      <c r="N155" s="83">
        <f t="shared" si="24"/>
        <v>0</v>
      </c>
      <c r="O155" s="84">
        <f>IFERROR(SUMIF(B8:B155,"&gt;="&amp;(B155-WEEKDAY(B155,2)+1),E8:E155),0)</f>
        <v>0</v>
      </c>
      <c r="P155" s="85">
        <f>IFERROR(SUMIF(B8:B155,"&gt;="&amp;(B155-WEEKDAY(B155,2)+1),H8:H155),0)</f>
        <v>0</v>
      </c>
      <c r="Q155" s="83">
        <f t="shared" si="25"/>
        <v>0</v>
      </c>
    </row>
    <row r="156" spans="2:17" ht="16.5" customHeight="1" x14ac:dyDescent="0.3">
      <c r="B156" s="61"/>
      <c r="C156" s="62" t="str">
        <f t="shared" si="19"/>
        <v/>
      </c>
      <c r="D156" s="63" t="str">
        <f t="shared" si="20"/>
        <v/>
      </c>
      <c r="E156" s="64"/>
      <c r="F156" s="65"/>
      <c r="G156" s="66">
        <f t="shared" si="21"/>
        <v>0</v>
      </c>
      <c r="H156" s="67">
        <f>IFERROR(SUMIF('💸 Expenses'!B9:B508,B156,'💸 Expenses'!F9:F508),0)</f>
        <v>0</v>
      </c>
      <c r="I156" s="68">
        <f t="shared" si="22"/>
        <v>0</v>
      </c>
      <c r="J156" s="69">
        <f t="shared" si="23"/>
        <v>0</v>
      </c>
      <c r="K156" s="70"/>
      <c r="L156" s="36">
        <f t="shared" si="26"/>
        <v>0</v>
      </c>
      <c r="M156" s="39">
        <f t="shared" si="27"/>
        <v>0</v>
      </c>
      <c r="N156" s="71">
        <f t="shared" si="24"/>
        <v>0</v>
      </c>
      <c r="O156" s="72">
        <f>IFERROR(SUMIF(B8:B156,"&gt;="&amp;(B156-WEEKDAY(B156,2)+1),E8:E156),0)</f>
        <v>0</v>
      </c>
      <c r="P156" s="73">
        <f>IFERROR(SUMIF(B8:B156,"&gt;="&amp;(B156-WEEKDAY(B156,2)+1),H8:H156),0)</f>
        <v>0</v>
      </c>
      <c r="Q156" s="71">
        <f t="shared" si="25"/>
        <v>0</v>
      </c>
    </row>
    <row r="157" spans="2:17" ht="16.5" customHeight="1" x14ac:dyDescent="0.3">
      <c r="B157" s="61"/>
      <c r="C157" s="74" t="str">
        <f t="shared" si="19"/>
        <v/>
      </c>
      <c r="D157" s="75" t="str">
        <f t="shared" si="20"/>
        <v/>
      </c>
      <c r="E157" s="76"/>
      <c r="F157" s="77"/>
      <c r="G157" s="78">
        <f t="shared" si="21"/>
        <v>0</v>
      </c>
      <c r="H157" s="79">
        <f>IFERROR(SUMIF('💸 Expenses'!B9:B508,B157,'💸 Expenses'!F9:F508),0)</f>
        <v>0</v>
      </c>
      <c r="I157" s="80">
        <f t="shared" si="22"/>
        <v>0</v>
      </c>
      <c r="J157" s="81">
        <f t="shared" si="23"/>
        <v>0</v>
      </c>
      <c r="K157" s="82"/>
      <c r="L157" s="45">
        <f t="shared" si="26"/>
        <v>0</v>
      </c>
      <c r="M157" s="48">
        <f t="shared" si="27"/>
        <v>0</v>
      </c>
      <c r="N157" s="83">
        <f t="shared" si="24"/>
        <v>0</v>
      </c>
      <c r="O157" s="84">
        <f>IFERROR(SUMIF(B8:B157,"&gt;="&amp;(B157-WEEKDAY(B157,2)+1),E8:E157),0)</f>
        <v>0</v>
      </c>
      <c r="P157" s="85">
        <f>IFERROR(SUMIF(B8:B157,"&gt;="&amp;(B157-WEEKDAY(B157,2)+1),H8:H157),0)</f>
        <v>0</v>
      </c>
      <c r="Q157" s="83">
        <f t="shared" si="25"/>
        <v>0</v>
      </c>
    </row>
    <row r="158" spans="2:17" ht="16.5" customHeight="1" x14ac:dyDescent="0.3">
      <c r="B158" s="61"/>
      <c r="C158" s="62" t="str">
        <f t="shared" si="19"/>
        <v/>
      </c>
      <c r="D158" s="63" t="str">
        <f t="shared" si="20"/>
        <v/>
      </c>
      <c r="E158" s="64"/>
      <c r="F158" s="65"/>
      <c r="G158" s="66">
        <f t="shared" si="21"/>
        <v>0</v>
      </c>
      <c r="H158" s="67">
        <f>IFERROR(SUMIF('💸 Expenses'!B9:B508,B158,'💸 Expenses'!F9:F508),0)</f>
        <v>0</v>
      </c>
      <c r="I158" s="68">
        <f t="shared" si="22"/>
        <v>0</v>
      </c>
      <c r="J158" s="69">
        <f t="shared" si="23"/>
        <v>0</v>
      </c>
      <c r="K158" s="70"/>
      <c r="L158" s="36">
        <f t="shared" si="26"/>
        <v>0</v>
      </c>
      <c r="M158" s="39">
        <f t="shared" si="27"/>
        <v>0</v>
      </c>
      <c r="N158" s="71">
        <f t="shared" si="24"/>
        <v>0</v>
      </c>
      <c r="O158" s="72">
        <f>IFERROR(SUMIF(B8:B158,"&gt;="&amp;(B158-WEEKDAY(B158,2)+1),E8:E158),0)</f>
        <v>0</v>
      </c>
      <c r="P158" s="73">
        <f>IFERROR(SUMIF(B8:B158,"&gt;="&amp;(B158-WEEKDAY(B158,2)+1),H8:H158),0)</f>
        <v>0</v>
      </c>
      <c r="Q158" s="71">
        <f t="shared" si="25"/>
        <v>0</v>
      </c>
    </row>
    <row r="159" spans="2:17" ht="16.5" customHeight="1" x14ac:dyDescent="0.3">
      <c r="B159" s="61"/>
      <c r="C159" s="74" t="str">
        <f t="shared" si="19"/>
        <v/>
      </c>
      <c r="D159" s="75" t="str">
        <f t="shared" si="20"/>
        <v/>
      </c>
      <c r="E159" s="76"/>
      <c r="F159" s="77"/>
      <c r="G159" s="78">
        <f t="shared" si="21"/>
        <v>0</v>
      </c>
      <c r="H159" s="79">
        <f>IFERROR(SUMIF('💸 Expenses'!B9:B508,B159,'💸 Expenses'!F9:F508),0)</f>
        <v>0</v>
      </c>
      <c r="I159" s="80">
        <f t="shared" si="22"/>
        <v>0</v>
      </c>
      <c r="J159" s="81">
        <f t="shared" si="23"/>
        <v>0</v>
      </c>
      <c r="K159" s="82"/>
      <c r="L159" s="45">
        <f t="shared" si="26"/>
        <v>0</v>
      </c>
      <c r="M159" s="48">
        <f t="shared" si="27"/>
        <v>0</v>
      </c>
      <c r="N159" s="83">
        <f t="shared" si="24"/>
        <v>0</v>
      </c>
      <c r="O159" s="84">
        <f>IFERROR(SUMIF(B8:B159,"&gt;="&amp;(B159-WEEKDAY(B159,2)+1),E8:E159),0)</f>
        <v>0</v>
      </c>
      <c r="P159" s="85">
        <f>IFERROR(SUMIF(B8:B159,"&gt;="&amp;(B159-WEEKDAY(B159,2)+1),H8:H159),0)</f>
        <v>0</v>
      </c>
      <c r="Q159" s="83">
        <f t="shared" si="25"/>
        <v>0</v>
      </c>
    </row>
    <row r="160" spans="2:17" ht="16.5" customHeight="1" x14ac:dyDescent="0.3">
      <c r="B160" s="61"/>
      <c r="C160" s="62" t="str">
        <f t="shared" si="19"/>
        <v/>
      </c>
      <c r="D160" s="63" t="str">
        <f t="shared" si="20"/>
        <v/>
      </c>
      <c r="E160" s="64"/>
      <c r="F160" s="65"/>
      <c r="G160" s="66">
        <f t="shared" si="21"/>
        <v>0</v>
      </c>
      <c r="H160" s="67">
        <f>IFERROR(SUMIF('💸 Expenses'!B9:B508,B160,'💸 Expenses'!F9:F508),0)</f>
        <v>0</v>
      </c>
      <c r="I160" s="68">
        <f t="shared" si="22"/>
        <v>0</v>
      </c>
      <c r="J160" s="69">
        <f t="shared" si="23"/>
        <v>0</v>
      </c>
      <c r="K160" s="70"/>
      <c r="L160" s="36">
        <f t="shared" si="26"/>
        <v>0</v>
      </c>
      <c r="M160" s="39">
        <f t="shared" si="27"/>
        <v>0</v>
      </c>
      <c r="N160" s="71">
        <f t="shared" si="24"/>
        <v>0</v>
      </c>
      <c r="O160" s="72">
        <f>IFERROR(SUMIF(B8:B160,"&gt;="&amp;(B160-WEEKDAY(B160,2)+1),E8:E160),0)</f>
        <v>0</v>
      </c>
      <c r="P160" s="73">
        <f>IFERROR(SUMIF(B8:B160,"&gt;="&amp;(B160-WEEKDAY(B160,2)+1),H8:H160),0)</f>
        <v>0</v>
      </c>
      <c r="Q160" s="71">
        <f t="shared" si="25"/>
        <v>0</v>
      </c>
    </row>
    <row r="161" spans="2:17" ht="16.5" customHeight="1" x14ac:dyDescent="0.3">
      <c r="B161" s="61"/>
      <c r="C161" s="74" t="str">
        <f t="shared" si="19"/>
        <v/>
      </c>
      <c r="D161" s="75" t="str">
        <f t="shared" si="20"/>
        <v/>
      </c>
      <c r="E161" s="76"/>
      <c r="F161" s="77"/>
      <c r="G161" s="78">
        <f t="shared" si="21"/>
        <v>0</v>
      </c>
      <c r="H161" s="79">
        <f>IFERROR(SUMIF('💸 Expenses'!B9:B508,B161,'💸 Expenses'!F9:F508),0)</f>
        <v>0</v>
      </c>
      <c r="I161" s="80">
        <f t="shared" si="22"/>
        <v>0</v>
      </c>
      <c r="J161" s="81">
        <f t="shared" si="23"/>
        <v>0</v>
      </c>
      <c r="K161" s="82"/>
      <c r="L161" s="45">
        <f t="shared" si="26"/>
        <v>0</v>
      </c>
      <c r="M161" s="48">
        <f t="shared" si="27"/>
        <v>0</v>
      </c>
      <c r="N161" s="83">
        <f t="shared" si="24"/>
        <v>0</v>
      </c>
      <c r="O161" s="84">
        <f>IFERROR(SUMIF(B8:B161,"&gt;="&amp;(B161-WEEKDAY(B161,2)+1),E8:E161),0)</f>
        <v>0</v>
      </c>
      <c r="P161" s="85">
        <f>IFERROR(SUMIF(B8:B161,"&gt;="&amp;(B161-WEEKDAY(B161,2)+1),H8:H161),0)</f>
        <v>0</v>
      </c>
      <c r="Q161" s="83">
        <f t="shared" si="25"/>
        <v>0</v>
      </c>
    </row>
    <row r="162" spans="2:17" ht="16.5" customHeight="1" x14ac:dyDescent="0.3">
      <c r="B162" s="61"/>
      <c r="C162" s="62" t="str">
        <f t="shared" si="19"/>
        <v/>
      </c>
      <c r="D162" s="63" t="str">
        <f t="shared" si="20"/>
        <v/>
      </c>
      <c r="E162" s="64"/>
      <c r="F162" s="65"/>
      <c r="G162" s="66">
        <f t="shared" si="21"/>
        <v>0</v>
      </c>
      <c r="H162" s="67">
        <f>IFERROR(SUMIF('💸 Expenses'!B9:B508,B162,'💸 Expenses'!F9:F508),0)</f>
        <v>0</v>
      </c>
      <c r="I162" s="68">
        <f t="shared" si="22"/>
        <v>0</v>
      </c>
      <c r="J162" s="69">
        <f t="shared" si="23"/>
        <v>0</v>
      </c>
      <c r="K162" s="70"/>
      <c r="L162" s="36">
        <f t="shared" si="26"/>
        <v>0</v>
      </c>
      <c r="M162" s="39">
        <f t="shared" si="27"/>
        <v>0</v>
      </c>
      <c r="N162" s="71">
        <f t="shared" si="24"/>
        <v>0</v>
      </c>
      <c r="O162" s="72">
        <f>IFERROR(SUMIF(B8:B162,"&gt;="&amp;(B162-WEEKDAY(B162,2)+1),E8:E162),0)</f>
        <v>0</v>
      </c>
      <c r="P162" s="73">
        <f>IFERROR(SUMIF(B8:B162,"&gt;="&amp;(B162-WEEKDAY(B162,2)+1),H8:H162),0)</f>
        <v>0</v>
      </c>
      <c r="Q162" s="71">
        <f t="shared" si="25"/>
        <v>0</v>
      </c>
    </row>
    <row r="163" spans="2:17" ht="16.5" customHeight="1" x14ac:dyDescent="0.3">
      <c r="B163" s="61"/>
      <c r="C163" s="74" t="str">
        <f t="shared" si="19"/>
        <v/>
      </c>
      <c r="D163" s="75" t="str">
        <f t="shared" si="20"/>
        <v/>
      </c>
      <c r="E163" s="76"/>
      <c r="F163" s="77"/>
      <c r="G163" s="78">
        <f t="shared" si="21"/>
        <v>0</v>
      </c>
      <c r="H163" s="79">
        <f>IFERROR(SUMIF('💸 Expenses'!B9:B508,B163,'💸 Expenses'!F9:F508),0)</f>
        <v>0</v>
      </c>
      <c r="I163" s="80">
        <f t="shared" si="22"/>
        <v>0</v>
      </c>
      <c r="J163" s="81">
        <f t="shared" si="23"/>
        <v>0</v>
      </c>
      <c r="K163" s="82"/>
      <c r="L163" s="45">
        <f t="shared" si="26"/>
        <v>0</v>
      </c>
      <c r="M163" s="48">
        <f t="shared" si="27"/>
        <v>0</v>
      </c>
      <c r="N163" s="83">
        <f t="shared" si="24"/>
        <v>0</v>
      </c>
      <c r="O163" s="84">
        <f>IFERROR(SUMIF(B8:B163,"&gt;="&amp;(B163-WEEKDAY(B163,2)+1),E8:E163),0)</f>
        <v>0</v>
      </c>
      <c r="P163" s="85">
        <f>IFERROR(SUMIF(B8:B163,"&gt;="&amp;(B163-WEEKDAY(B163,2)+1),H8:H163),0)</f>
        <v>0</v>
      </c>
      <c r="Q163" s="83">
        <f t="shared" si="25"/>
        <v>0</v>
      </c>
    </row>
    <row r="164" spans="2:17" ht="16.5" customHeight="1" x14ac:dyDescent="0.3">
      <c r="B164" s="61"/>
      <c r="C164" s="62" t="str">
        <f t="shared" si="19"/>
        <v/>
      </c>
      <c r="D164" s="63" t="str">
        <f t="shared" si="20"/>
        <v/>
      </c>
      <c r="E164" s="64"/>
      <c r="F164" s="65"/>
      <c r="G164" s="66">
        <f t="shared" si="21"/>
        <v>0</v>
      </c>
      <c r="H164" s="67">
        <f>IFERROR(SUMIF('💸 Expenses'!B9:B508,B164,'💸 Expenses'!F9:F508),0)</f>
        <v>0</v>
      </c>
      <c r="I164" s="68">
        <f t="shared" si="22"/>
        <v>0</v>
      </c>
      <c r="J164" s="69">
        <f t="shared" si="23"/>
        <v>0</v>
      </c>
      <c r="K164" s="70"/>
      <c r="L164" s="36">
        <f t="shared" si="26"/>
        <v>0</v>
      </c>
      <c r="M164" s="39">
        <f t="shared" si="27"/>
        <v>0</v>
      </c>
      <c r="N164" s="71">
        <f t="shared" si="24"/>
        <v>0</v>
      </c>
      <c r="O164" s="72">
        <f>IFERROR(SUMIF(B8:B164,"&gt;="&amp;(B164-WEEKDAY(B164,2)+1),E8:E164),0)</f>
        <v>0</v>
      </c>
      <c r="P164" s="73">
        <f>IFERROR(SUMIF(B8:B164,"&gt;="&amp;(B164-WEEKDAY(B164,2)+1),H8:H164),0)</f>
        <v>0</v>
      </c>
      <c r="Q164" s="71">
        <f t="shared" si="25"/>
        <v>0</v>
      </c>
    </row>
    <row r="165" spans="2:17" ht="16.5" customHeight="1" x14ac:dyDescent="0.3">
      <c r="B165" s="61"/>
      <c r="C165" s="74" t="str">
        <f t="shared" si="19"/>
        <v/>
      </c>
      <c r="D165" s="75" t="str">
        <f t="shared" si="20"/>
        <v/>
      </c>
      <c r="E165" s="76"/>
      <c r="F165" s="77"/>
      <c r="G165" s="78">
        <f t="shared" si="21"/>
        <v>0</v>
      </c>
      <c r="H165" s="79">
        <f>IFERROR(SUMIF('💸 Expenses'!B9:B508,B165,'💸 Expenses'!F9:F508),0)</f>
        <v>0</v>
      </c>
      <c r="I165" s="80">
        <f t="shared" si="22"/>
        <v>0</v>
      </c>
      <c r="J165" s="81">
        <f t="shared" si="23"/>
        <v>0</v>
      </c>
      <c r="K165" s="82"/>
      <c r="L165" s="45">
        <f t="shared" si="26"/>
        <v>0</v>
      </c>
      <c r="M165" s="48">
        <f t="shared" si="27"/>
        <v>0</v>
      </c>
      <c r="N165" s="83">
        <f t="shared" si="24"/>
        <v>0</v>
      </c>
      <c r="O165" s="84">
        <f>IFERROR(SUMIF(B8:B165,"&gt;="&amp;(B165-WEEKDAY(B165,2)+1),E8:E165),0)</f>
        <v>0</v>
      </c>
      <c r="P165" s="85">
        <f>IFERROR(SUMIF(B8:B165,"&gt;="&amp;(B165-WEEKDAY(B165,2)+1),H8:H165),0)</f>
        <v>0</v>
      </c>
      <c r="Q165" s="83">
        <f t="shared" si="25"/>
        <v>0</v>
      </c>
    </row>
    <row r="166" spans="2:17" ht="16.5" customHeight="1" x14ac:dyDescent="0.3">
      <c r="B166" s="61"/>
      <c r="C166" s="62" t="str">
        <f t="shared" si="19"/>
        <v/>
      </c>
      <c r="D166" s="63" t="str">
        <f t="shared" si="20"/>
        <v/>
      </c>
      <c r="E166" s="64"/>
      <c r="F166" s="65"/>
      <c r="G166" s="66">
        <f t="shared" si="21"/>
        <v>0</v>
      </c>
      <c r="H166" s="67">
        <f>IFERROR(SUMIF('💸 Expenses'!B9:B508,B166,'💸 Expenses'!F9:F508),0)</f>
        <v>0</v>
      </c>
      <c r="I166" s="68">
        <f t="shared" si="22"/>
        <v>0</v>
      </c>
      <c r="J166" s="69">
        <f t="shared" si="23"/>
        <v>0</v>
      </c>
      <c r="K166" s="70"/>
      <c r="L166" s="36">
        <f t="shared" si="26"/>
        <v>0</v>
      </c>
      <c r="M166" s="39">
        <f t="shared" si="27"/>
        <v>0</v>
      </c>
      <c r="N166" s="71">
        <f t="shared" si="24"/>
        <v>0</v>
      </c>
      <c r="O166" s="72">
        <f>IFERROR(SUMIF(B8:B166,"&gt;="&amp;(B166-WEEKDAY(B166,2)+1),E8:E166),0)</f>
        <v>0</v>
      </c>
      <c r="P166" s="73">
        <f>IFERROR(SUMIF(B8:B166,"&gt;="&amp;(B166-WEEKDAY(B166,2)+1),H8:H166),0)</f>
        <v>0</v>
      </c>
      <c r="Q166" s="71">
        <f t="shared" si="25"/>
        <v>0</v>
      </c>
    </row>
    <row r="167" spans="2:17" ht="16.5" customHeight="1" x14ac:dyDescent="0.3">
      <c r="B167" s="61"/>
      <c r="C167" s="74" t="str">
        <f t="shared" si="19"/>
        <v/>
      </c>
      <c r="D167" s="75" t="str">
        <f t="shared" si="20"/>
        <v/>
      </c>
      <c r="E167" s="76"/>
      <c r="F167" s="77"/>
      <c r="G167" s="78">
        <f t="shared" si="21"/>
        <v>0</v>
      </c>
      <c r="H167" s="79">
        <f>IFERROR(SUMIF('💸 Expenses'!B9:B508,B167,'💸 Expenses'!F9:F508),0)</f>
        <v>0</v>
      </c>
      <c r="I167" s="80">
        <f t="shared" si="22"/>
        <v>0</v>
      </c>
      <c r="J167" s="81">
        <f t="shared" si="23"/>
        <v>0</v>
      </c>
      <c r="K167" s="82"/>
      <c r="L167" s="45">
        <f t="shared" si="26"/>
        <v>0</v>
      </c>
      <c r="M167" s="48">
        <f t="shared" si="27"/>
        <v>0</v>
      </c>
      <c r="N167" s="83">
        <f t="shared" si="24"/>
        <v>0</v>
      </c>
      <c r="O167" s="84">
        <f>IFERROR(SUMIF(B8:B167,"&gt;="&amp;(B167-WEEKDAY(B167,2)+1),E8:E167),0)</f>
        <v>0</v>
      </c>
      <c r="P167" s="85">
        <f>IFERROR(SUMIF(B8:B167,"&gt;="&amp;(B167-WEEKDAY(B167,2)+1),H8:H167),0)</f>
        <v>0</v>
      </c>
      <c r="Q167" s="83">
        <f t="shared" si="25"/>
        <v>0</v>
      </c>
    </row>
    <row r="168" spans="2:17" ht="16.5" customHeight="1" x14ac:dyDescent="0.3">
      <c r="B168" s="61"/>
      <c r="C168" s="62" t="str">
        <f t="shared" si="19"/>
        <v/>
      </c>
      <c r="D168" s="63" t="str">
        <f t="shared" si="20"/>
        <v/>
      </c>
      <c r="E168" s="64"/>
      <c r="F168" s="65"/>
      <c r="G168" s="66">
        <f t="shared" si="21"/>
        <v>0</v>
      </c>
      <c r="H168" s="67">
        <f>IFERROR(SUMIF('💸 Expenses'!B9:B508,B168,'💸 Expenses'!F9:F508),0)</f>
        <v>0</v>
      </c>
      <c r="I168" s="68">
        <f t="shared" si="22"/>
        <v>0</v>
      </c>
      <c r="J168" s="69">
        <f t="shared" si="23"/>
        <v>0</v>
      </c>
      <c r="K168" s="70"/>
      <c r="L168" s="36">
        <f t="shared" si="26"/>
        <v>0</v>
      </c>
      <c r="M168" s="39">
        <f t="shared" si="27"/>
        <v>0</v>
      </c>
      <c r="N168" s="71">
        <f t="shared" si="24"/>
        <v>0</v>
      </c>
      <c r="O168" s="72">
        <f>IFERROR(SUMIF(B8:B168,"&gt;="&amp;(B168-WEEKDAY(B168,2)+1),E8:E168),0)</f>
        <v>0</v>
      </c>
      <c r="P168" s="73">
        <f>IFERROR(SUMIF(B8:B168,"&gt;="&amp;(B168-WEEKDAY(B168,2)+1),H8:H168),0)</f>
        <v>0</v>
      </c>
      <c r="Q168" s="71">
        <f t="shared" si="25"/>
        <v>0</v>
      </c>
    </row>
    <row r="169" spans="2:17" ht="16.5" customHeight="1" x14ac:dyDescent="0.3">
      <c r="B169" s="61"/>
      <c r="C169" s="74" t="str">
        <f t="shared" si="19"/>
        <v/>
      </c>
      <c r="D169" s="75" t="str">
        <f t="shared" si="20"/>
        <v/>
      </c>
      <c r="E169" s="76"/>
      <c r="F169" s="77"/>
      <c r="G169" s="78">
        <f t="shared" si="21"/>
        <v>0</v>
      </c>
      <c r="H169" s="79">
        <f>IFERROR(SUMIF('💸 Expenses'!B9:B508,B169,'💸 Expenses'!F9:F508),0)</f>
        <v>0</v>
      </c>
      <c r="I169" s="80">
        <f t="shared" si="22"/>
        <v>0</v>
      </c>
      <c r="J169" s="81">
        <f t="shared" si="23"/>
        <v>0</v>
      </c>
      <c r="K169" s="82"/>
      <c r="L169" s="45">
        <f t="shared" si="26"/>
        <v>0</v>
      </c>
      <c r="M169" s="48">
        <f t="shared" si="27"/>
        <v>0</v>
      </c>
      <c r="N169" s="83">
        <f t="shared" si="24"/>
        <v>0</v>
      </c>
      <c r="O169" s="84">
        <f>IFERROR(SUMIF(B8:B169,"&gt;="&amp;(B169-WEEKDAY(B169,2)+1),E8:E169),0)</f>
        <v>0</v>
      </c>
      <c r="P169" s="85">
        <f>IFERROR(SUMIF(B8:B169,"&gt;="&amp;(B169-WEEKDAY(B169,2)+1),H8:H169),0)</f>
        <v>0</v>
      </c>
      <c r="Q169" s="83">
        <f t="shared" si="25"/>
        <v>0</v>
      </c>
    </row>
    <row r="170" spans="2:17" ht="16.5" customHeight="1" x14ac:dyDescent="0.3">
      <c r="B170" s="61"/>
      <c r="C170" s="62" t="str">
        <f t="shared" si="19"/>
        <v/>
      </c>
      <c r="D170" s="63" t="str">
        <f t="shared" si="20"/>
        <v/>
      </c>
      <c r="E170" s="64"/>
      <c r="F170" s="65"/>
      <c r="G170" s="66">
        <f t="shared" si="21"/>
        <v>0</v>
      </c>
      <c r="H170" s="67">
        <f>IFERROR(SUMIF('💸 Expenses'!B9:B508,B170,'💸 Expenses'!F9:F508),0)</f>
        <v>0</v>
      </c>
      <c r="I170" s="68">
        <f t="shared" si="22"/>
        <v>0</v>
      </c>
      <c r="J170" s="69">
        <f t="shared" si="23"/>
        <v>0</v>
      </c>
      <c r="K170" s="70"/>
      <c r="L170" s="36">
        <f t="shared" si="26"/>
        <v>0</v>
      </c>
      <c r="M170" s="39">
        <f t="shared" si="27"/>
        <v>0</v>
      </c>
      <c r="N170" s="71">
        <f t="shared" si="24"/>
        <v>0</v>
      </c>
      <c r="O170" s="72">
        <f>IFERROR(SUMIF(B8:B170,"&gt;="&amp;(B170-WEEKDAY(B170,2)+1),E8:E170),0)</f>
        <v>0</v>
      </c>
      <c r="P170" s="73">
        <f>IFERROR(SUMIF(B8:B170,"&gt;="&amp;(B170-WEEKDAY(B170,2)+1),H8:H170),0)</f>
        <v>0</v>
      </c>
      <c r="Q170" s="71">
        <f t="shared" si="25"/>
        <v>0</v>
      </c>
    </row>
    <row r="171" spans="2:17" ht="16.5" customHeight="1" x14ac:dyDescent="0.3">
      <c r="B171" s="61"/>
      <c r="C171" s="74" t="str">
        <f t="shared" si="19"/>
        <v/>
      </c>
      <c r="D171" s="75" t="str">
        <f t="shared" si="20"/>
        <v/>
      </c>
      <c r="E171" s="76"/>
      <c r="F171" s="77"/>
      <c r="G171" s="78">
        <f t="shared" si="21"/>
        <v>0</v>
      </c>
      <c r="H171" s="79">
        <f>IFERROR(SUMIF('💸 Expenses'!B9:B508,B171,'💸 Expenses'!F9:F508),0)</f>
        <v>0</v>
      </c>
      <c r="I171" s="80">
        <f t="shared" si="22"/>
        <v>0</v>
      </c>
      <c r="J171" s="81">
        <f t="shared" si="23"/>
        <v>0</v>
      </c>
      <c r="K171" s="82"/>
      <c r="L171" s="45">
        <f t="shared" si="26"/>
        <v>0</v>
      </c>
      <c r="M171" s="48">
        <f t="shared" si="27"/>
        <v>0</v>
      </c>
      <c r="N171" s="83">
        <f t="shared" si="24"/>
        <v>0</v>
      </c>
      <c r="O171" s="84">
        <f>IFERROR(SUMIF(B8:B171,"&gt;="&amp;(B171-WEEKDAY(B171,2)+1),E8:E171),0)</f>
        <v>0</v>
      </c>
      <c r="P171" s="85">
        <f>IFERROR(SUMIF(B8:B171,"&gt;="&amp;(B171-WEEKDAY(B171,2)+1),H8:H171),0)</f>
        <v>0</v>
      </c>
      <c r="Q171" s="83">
        <f t="shared" si="25"/>
        <v>0</v>
      </c>
    </row>
    <row r="172" spans="2:17" ht="16.5" customHeight="1" x14ac:dyDescent="0.3">
      <c r="B172" s="61"/>
      <c r="C172" s="62" t="str">
        <f t="shared" si="19"/>
        <v/>
      </c>
      <c r="D172" s="63" t="str">
        <f t="shared" si="20"/>
        <v/>
      </c>
      <c r="E172" s="64"/>
      <c r="F172" s="65"/>
      <c r="G172" s="66">
        <f t="shared" si="21"/>
        <v>0</v>
      </c>
      <c r="H172" s="67">
        <f>IFERROR(SUMIF('💸 Expenses'!B9:B508,B172,'💸 Expenses'!F9:F508),0)</f>
        <v>0</v>
      </c>
      <c r="I172" s="68">
        <f t="shared" si="22"/>
        <v>0</v>
      </c>
      <c r="J172" s="69">
        <f t="shared" si="23"/>
        <v>0</v>
      </c>
      <c r="K172" s="70"/>
      <c r="L172" s="36">
        <f t="shared" si="26"/>
        <v>0</v>
      </c>
      <c r="M172" s="39">
        <f t="shared" si="27"/>
        <v>0</v>
      </c>
      <c r="N172" s="71">
        <f t="shared" si="24"/>
        <v>0</v>
      </c>
      <c r="O172" s="72">
        <f>IFERROR(SUMIF(B8:B172,"&gt;="&amp;(B172-WEEKDAY(B172,2)+1),E8:E172),0)</f>
        <v>0</v>
      </c>
      <c r="P172" s="73">
        <f>IFERROR(SUMIF(B8:B172,"&gt;="&amp;(B172-WEEKDAY(B172,2)+1),H8:H172),0)</f>
        <v>0</v>
      </c>
      <c r="Q172" s="71">
        <f t="shared" si="25"/>
        <v>0</v>
      </c>
    </row>
    <row r="173" spans="2:17" ht="16.5" customHeight="1" x14ac:dyDescent="0.3">
      <c r="B173" s="61"/>
      <c r="C173" s="74" t="str">
        <f t="shared" si="19"/>
        <v/>
      </c>
      <c r="D173" s="75" t="str">
        <f t="shared" si="20"/>
        <v/>
      </c>
      <c r="E173" s="76"/>
      <c r="F173" s="77"/>
      <c r="G173" s="78">
        <f t="shared" si="21"/>
        <v>0</v>
      </c>
      <c r="H173" s="79">
        <f>IFERROR(SUMIF('💸 Expenses'!B9:B508,B173,'💸 Expenses'!F9:F508),0)</f>
        <v>0</v>
      </c>
      <c r="I173" s="80">
        <f t="shared" si="22"/>
        <v>0</v>
      </c>
      <c r="J173" s="81">
        <f t="shared" si="23"/>
        <v>0</v>
      </c>
      <c r="K173" s="82"/>
      <c r="L173" s="45">
        <f t="shared" si="26"/>
        <v>0</v>
      </c>
      <c r="M173" s="48">
        <f t="shared" si="27"/>
        <v>0</v>
      </c>
      <c r="N173" s="83">
        <f t="shared" si="24"/>
        <v>0</v>
      </c>
      <c r="O173" s="84">
        <f>IFERROR(SUMIF(B8:B173,"&gt;="&amp;(B173-WEEKDAY(B173,2)+1),E8:E173),0)</f>
        <v>0</v>
      </c>
      <c r="P173" s="85">
        <f>IFERROR(SUMIF(B8:B173,"&gt;="&amp;(B173-WEEKDAY(B173,2)+1),H8:H173),0)</f>
        <v>0</v>
      </c>
      <c r="Q173" s="83">
        <f t="shared" si="25"/>
        <v>0</v>
      </c>
    </row>
    <row r="174" spans="2:17" ht="16.5" customHeight="1" x14ac:dyDescent="0.3">
      <c r="B174" s="61"/>
      <c r="C174" s="62" t="str">
        <f t="shared" si="19"/>
        <v/>
      </c>
      <c r="D174" s="63" t="str">
        <f t="shared" si="20"/>
        <v/>
      </c>
      <c r="E174" s="64"/>
      <c r="F174" s="65"/>
      <c r="G174" s="66">
        <f t="shared" si="21"/>
        <v>0</v>
      </c>
      <c r="H174" s="67">
        <f>IFERROR(SUMIF('💸 Expenses'!B9:B508,B174,'💸 Expenses'!F9:F508),0)</f>
        <v>0</v>
      </c>
      <c r="I174" s="68">
        <f t="shared" si="22"/>
        <v>0</v>
      </c>
      <c r="J174" s="69">
        <f t="shared" si="23"/>
        <v>0</v>
      </c>
      <c r="K174" s="70"/>
      <c r="L174" s="36">
        <f t="shared" si="26"/>
        <v>0</v>
      </c>
      <c r="M174" s="39">
        <f t="shared" si="27"/>
        <v>0</v>
      </c>
      <c r="N174" s="71">
        <f t="shared" si="24"/>
        <v>0</v>
      </c>
      <c r="O174" s="72">
        <f>IFERROR(SUMIF(B8:B174,"&gt;="&amp;(B174-WEEKDAY(B174,2)+1),E8:E174),0)</f>
        <v>0</v>
      </c>
      <c r="P174" s="73">
        <f>IFERROR(SUMIF(B8:B174,"&gt;="&amp;(B174-WEEKDAY(B174,2)+1),H8:H174),0)</f>
        <v>0</v>
      </c>
      <c r="Q174" s="71">
        <f t="shared" si="25"/>
        <v>0</v>
      </c>
    </row>
    <row r="175" spans="2:17" ht="16.5" customHeight="1" x14ac:dyDescent="0.3">
      <c r="B175" s="61"/>
      <c r="C175" s="74" t="str">
        <f t="shared" si="19"/>
        <v/>
      </c>
      <c r="D175" s="75" t="str">
        <f t="shared" si="20"/>
        <v/>
      </c>
      <c r="E175" s="76"/>
      <c r="F175" s="77"/>
      <c r="G175" s="78">
        <f t="shared" si="21"/>
        <v>0</v>
      </c>
      <c r="H175" s="79">
        <f>IFERROR(SUMIF('💸 Expenses'!B9:B508,B175,'💸 Expenses'!F9:F508),0)</f>
        <v>0</v>
      </c>
      <c r="I175" s="80">
        <f t="shared" si="22"/>
        <v>0</v>
      </c>
      <c r="J175" s="81">
        <f t="shared" si="23"/>
        <v>0</v>
      </c>
      <c r="K175" s="82"/>
      <c r="L175" s="45">
        <f t="shared" si="26"/>
        <v>0</v>
      </c>
      <c r="M175" s="48">
        <f t="shared" si="27"/>
        <v>0</v>
      </c>
      <c r="N175" s="83">
        <f t="shared" si="24"/>
        <v>0</v>
      </c>
      <c r="O175" s="84">
        <f>IFERROR(SUMIF(B8:B175,"&gt;="&amp;(B175-WEEKDAY(B175,2)+1),E8:E175),0)</f>
        <v>0</v>
      </c>
      <c r="P175" s="85">
        <f>IFERROR(SUMIF(B8:B175,"&gt;="&amp;(B175-WEEKDAY(B175,2)+1),H8:H175),0)</f>
        <v>0</v>
      </c>
      <c r="Q175" s="83">
        <f t="shared" si="25"/>
        <v>0</v>
      </c>
    </row>
    <row r="176" spans="2:17" ht="16.5" customHeight="1" x14ac:dyDescent="0.3">
      <c r="B176" s="61"/>
      <c r="C176" s="62" t="str">
        <f t="shared" si="19"/>
        <v/>
      </c>
      <c r="D176" s="63" t="str">
        <f t="shared" si="20"/>
        <v/>
      </c>
      <c r="E176" s="64"/>
      <c r="F176" s="65"/>
      <c r="G176" s="66">
        <f t="shared" si="21"/>
        <v>0</v>
      </c>
      <c r="H176" s="67">
        <f>IFERROR(SUMIF('💸 Expenses'!B9:B508,B176,'💸 Expenses'!F9:F508),0)</f>
        <v>0</v>
      </c>
      <c r="I176" s="68">
        <f t="shared" si="22"/>
        <v>0</v>
      </c>
      <c r="J176" s="69">
        <f t="shared" si="23"/>
        <v>0</v>
      </c>
      <c r="K176" s="70"/>
      <c r="L176" s="36">
        <f t="shared" si="26"/>
        <v>0</v>
      </c>
      <c r="M176" s="39">
        <f t="shared" si="27"/>
        <v>0</v>
      </c>
      <c r="N176" s="71">
        <f t="shared" si="24"/>
        <v>0</v>
      </c>
      <c r="O176" s="72">
        <f>IFERROR(SUMIF(B8:B176,"&gt;="&amp;(B176-WEEKDAY(B176,2)+1),E8:E176),0)</f>
        <v>0</v>
      </c>
      <c r="P176" s="73">
        <f>IFERROR(SUMIF(B8:B176,"&gt;="&amp;(B176-WEEKDAY(B176,2)+1),H8:H176),0)</f>
        <v>0</v>
      </c>
      <c r="Q176" s="71">
        <f t="shared" si="25"/>
        <v>0</v>
      </c>
    </row>
    <row r="177" spans="2:17" ht="16.5" customHeight="1" x14ac:dyDescent="0.3">
      <c r="B177" s="61"/>
      <c r="C177" s="74" t="str">
        <f t="shared" si="19"/>
        <v/>
      </c>
      <c r="D177" s="75" t="str">
        <f t="shared" si="20"/>
        <v/>
      </c>
      <c r="E177" s="76"/>
      <c r="F177" s="77"/>
      <c r="G177" s="78">
        <f t="shared" si="21"/>
        <v>0</v>
      </c>
      <c r="H177" s="79">
        <f>IFERROR(SUMIF('💸 Expenses'!B9:B508,B177,'💸 Expenses'!F9:F508),0)</f>
        <v>0</v>
      </c>
      <c r="I177" s="80">
        <f t="shared" si="22"/>
        <v>0</v>
      </c>
      <c r="J177" s="81">
        <f t="shared" si="23"/>
        <v>0</v>
      </c>
      <c r="K177" s="82"/>
      <c r="L177" s="45">
        <f t="shared" si="26"/>
        <v>0</v>
      </c>
      <c r="M177" s="48">
        <f t="shared" si="27"/>
        <v>0</v>
      </c>
      <c r="N177" s="83">
        <f t="shared" si="24"/>
        <v>0</v>
      </c>
      <c r="O177" s="84">
        <f>IFERROR(SUMIF(B8:B177,"&gt;="&amp;(B177-WEEKDAY(B177,2)+1),E8:E177),0)</f>
        <v>0</v>
      </c>
      <c r="P177" s="85">
        <f>IFERROR(SUMIF(B8:B177,"&gt;="&amp;(B177-WEEKDAY(B177,2)+1),H8:H177),0)</f>
        <v>0</v>
      </c>
      <c r="Q177" s="83">
        <f t="shared" si="25"/>
        <v>0</v>
      </c>
    </row>
    <row r="178" spans="2:17" ht="16.5" customHeight="1" x14ac:dyDescent="0.3">
      <c r="B178" s="61"/>
      <c r="C178" s="62" t="str">
        <f t="shared" si="19"/>
        <v/>
      </c>
      <c r="D178" s="63" t="str">
        <f t="shared" si="20"/>
        <v/>
      </c>
      <c r="E178" s="64"/>
      <c r="F178" s="65"/>
      <c r="G178" s="66">
        <f t="shared" si="21"/>
        <v>0</v>
      </c>
      <c r="H178" s="67">
        <f>IFERROR(SUMIF('💸 Expenses'!B9:B508,B178,'💸 Expenses'!F9:F508),0)</f>
        <v>0</v>
      </c>
      <c r="I178" s="68">
        <f t="shared" si="22"/>
        <v>0</v>
      </c>
      <c r="J178" s="69">
        <f t="shared" si="23"/>
        <v>0</v>
      </c>
      <c r="K178" s="70"/>
      <c r="L178" s="36">
        <f t="shared" si="26"/>
        <v>0</v>
      </c>
      <c r="M178" s="39">
        <f t="shared" si="27"/>
        <v>0</v>
      </c>
      <c r="N178" s="71">
        <f t="shared" si="24"/>
        <v>0</v>
      </c>
      <c r="O178" s="72">
        <f>IFERROR(SUMIF(B8:B178,"&gt;="&amp;(B178-WEEKDAY(B178,2)+1),E8:E178),0)</f>
        <v>0</v>
      </c>
      <c r="P178" s="73">
        <f>IFERROR(SUMIF(B8:B178,"&gt;="&amp;(B178-WEEKDAY(B178,2)+1),H8:H178),0)</f>
        <v>0</v>
      </c>
      <c r="Q178" s="71">
        <f t="shared" si="25"/>
        <v>0</v>
      </c>
    </row>
    <row r="179" spans="2:17" ht="16.5" customHeight="1" x14ac:dyDescent="0.3">
      <c r="B179" s="61"/>
      <c r="C179" s="74" t="str">
        <f t="shared" si="19"/>
        <v/>
      </c>
      <c r="D179" s="75" t="str">
        <f t="shared" si="20"/>
        <v/>
      </c>
      <c r="E179" s="76"/>
      <c r="F179" s="77"/>
      <c r="G179" s="78">
        <f t="shared" si="21"/>
        <v>0</v>
      </c>
      <c r="H179" s="79">
        <f>IFERROR(SUMIF('💸 Expenses'!B9:B508,B179,'💸 Expenses'!F9:F508),0)</f>
        <v>0</v>
      </c>
      <c r="I179" s="80">
        <f t="shared" si="22"/>
        <v>0</v>
      </c>
      <c r="J179" s="81">
        <f t="shared" si="23"/>
        <v>0</v>
      </c>
      <c r="K179" s="82"/>
      <c r="L179" s="45">
        <f t="shared" si="26"/>
        <v>0</v>
      </c>
      <c r="M179" s="48">
        <f t="shared" si="27"/>
        <v>0</v>
      </c>
      <c r="N179" s="83">
        <f t="shared" si="24"/>
        <v>0</v>
      </c>
      <c r="O179" s="84">
        <f>IFERROR(SUMIF(B8:B179,"&gt;="&amp;(B179-WEEKDAY(B179,2)+1),E8:E179),0)</f>
        <v>0</v>
      </c>
      <c r="P179" s="85">
        <f>IFERROR(SUMIF(B8:B179,"&gt;="&amp;(B179-WEEKDAY(B179,2)+1),H8:H179),0)</f>
        <v>0</v>
      </c>
      <c r="Q179" s="83">
        <f t="shared" si="25"/>
        <v>0</v>
      </c>
    </row>
    <row r="180" spans="2:17" ht="16.5" customHeight="1" x14ac:dyDescent="0.3">
      <c r="B180" s="61"/>
      <c r="C180" s="62" t="str">
        <f t="shared" si="19"/>
        <v/>
      </c>
      <c r="D180" s="63" t="str">
        <f t="shared" si="20"/>
        <v/>
      </c>
      <c r="E180" s="64"/>
      <c r="F180" s="65"/>
      <c r="G180" s="66">
        <f t="shared" si="21"/>
        <v>0</v>
      </c>
      <c r="H180" s="67">
        <f>IFERROR(SUMIF('💸 Expenses'!B9:B508,B180,'💸 Expenses'!F9:F508),0)</f>
        <v>0</v>
      </c>
      <c r="I180" s="68">
        <f t="shared" si="22"/>
        <v>0</v>
      </c>
      <c r="J180" s="69">
        <f t="shared" si="23"/>
        <v>0</v>
      </c>
      <c r="K180" s="70"/>
      <c r="L180" s="36">
        <f t="shared" si="26"/>
        <v>0</v>
      </c>
      <c r="M180" s="39">
        <f t="shared" si="27"/>
        <v>0</v>
      </c>
      <c r="N180" s="71">
        <f t="shared" si="24"/>
        <v>0</v>
      </c>
      <c r="O180" s="72">
        <f>IFERROR(SUMIF(B8:B180,"&gt;="&amp;(B180-WEEKDAY(B180,2)+1),E8:E180),0)</f>
        <v>0</v>
      </c>
      <c r="P180" s="73">
        <f>IFERROR(SUMIF(B8:B180,"&gt;="&amp;(B180-WEEKDAY(B180,2)+1),H8:H180),0)</f>
        <v>0</v>
      </c>
      <c r="Q180" s="71">
        <f t="shared" si="25"/>
        <v>0</v>
      </c>
    </row>
    <row r="181" spans="2:17" ht="16.5" customHeight="1" x14ac:dyDescent="0.3">
      <c r="B181" s="61"/>
      <c r="C181" s="74" t="str">
        <f t="shared" si="19"/>
        <v/>
      </c>
      <c r="D181" s="75" t="str">
        <f t="shared" si="20"/>
        <v/>
      </c>
      <c r="E181" s="76"/>
      <c r="F181" s="77"/>
      <c r="G181" s="78">
        <f t="shared" si="21"/>
        <v>0</v>
      </c>
      <c r="H181" s="79">
        <f>IFERROR(SUMIF('💸 Expenses'!B9:B508,B181,'💸 Expenses'!F9:F508),0)</f>
        <v>0</v>
      </c>
      <c r="I181" s="80">
        <f t="shared" si="22"/>
        <v>0</v>
      </c>
      <c r="J181" s="81">
        <f t="shared" si="23"/>
        <v>0</v>
      </c>
      <c r="K181" s="82"/>
      <c r="L181" s="45">
        <f t="shared" si="26"/>
        <v>0</v>
      </c>
      <c r="M181" s="48">
        <f t="shared" si="27"/>
        <v>0</v>
      </c>
      <c r="N181" s="83">
        <f t="shared" si="24"/>
        <v>0</v>
      </c>
      <c r="O181" s="84">
        <f>IFERROR(SUMIF(B8:B181,"&gt;="&amp;(B181-WEEKDAY(B181,2)+1),E8:E181),0)</f>
        <v>0</v>
      </c>
      <c r="P181" s="85">
        <f>IFERROR(SUMIF(B8:B181,"&gt;="&amp;(B181-WEEKDAY(B181,2)+1),H8:H181),0)</f>
        <v>0</v>
      </c>
      <c r="Q181" s="83">
        <f t="shared" si="25"/>
        <v>0</v>
      </c>
    </row>
    <row r="182" spans="2:17" ht="16.5" customHeight="1" x14ac:dyDescent="0.3">
      <c r="B182" s="61"/>
      <c r="C182" s="62" t="str">
        <f t="shared" si="19"/>
        <v/>
      </c>
      <c r="D182" s="63" t="str">
        <f t="shared" si="20"/>
        <v/>
      </c>
      <c r="E182" s="64"/>
      <c r="F182" s="65"/>
      <c r="G182" s="66">
        <f t="shared" si="21"/>
        <v>0</v>
      </c>
      <c r="H182" s="67">
        <f>IFERROR(SUMIF('💸 Expenses'!B9:B508,B182,'💸 Expenses'!F9:F508),0)</f>
        <v>0</v>
      </c>
      <c r="I182" s="68">
        <f t="shared" si="22"/>
        <v>0</v>
      </c>
      <c r="J182" s="69">
        <f t="shared" si="23"/>
        <v>0</v>
      </c>
      <c r="K182" s="70"/>
      <c r="L182" s="36">
        <f t="shared" si="26"/>
        <v>0</v>
      </c>
      <c r="M182" s="39">
        <f t="shared" si="27"/>
        <v>0</v>
      </c>
      <c r="N182" s="71">
        <f t="shared" si="24"/>
        <v>0</v>
      </c>
      <c r="O182" s="72">
        <f>IFERROR(SUMIF(B8:B182,"&gt;="&amp;(B182-WEEKDAY(B182,2)+1),E8:E182),0)</f>
        <v>0</v>
      </c>
      <c r="P182" s="73">
        <f>IFERROR(SUMIF(B8:B182,"&gt;="&amp;(B182-WEEKDAY(B182,2)+1),H8:H182),0)</f>
        <v>0</v>
      </c>
      <c r="Q182" s="71">
        <f t="shared" si="25"/>
        <v>0</v>
      </c>
    </row>
    <row r="183" spans="2:17" ht="16.5" customHeight="1" x14ac:dyDescent="0.3">
      <c r="B183" s="61"/>
      <c r="C183" s="74" t="str">
        <f t="shared" si="19"/>
        <v/>
      </c>
      <c r="D183" s="75" t="str">
        <f t="shared" si="20"/>
        <v/>
      </c>
      <c r="E183" s="76"/>
      <c r="F183" s="77"/>
      <c r="G183" s="78">
        <f t="shared" si="21"/>
        <v>0</v>
      </c>
      <c r="H183" s="79">
        <f>IFERROR(SUMIF('💸 Expenses'!B9:B508,B183,'💸 Expenses'!F9:F508),0)</f>
        <v>0</v>
      </c>
      <c r="I183" s="80">
        <f t="shared" si="22"/>
        <v>0</v>
      </c>
      <c r="J183" s="81">
        <f t="shared" si="23"/>
        <v>0</v>
      </c>
      <c r="K183" s="82"/>
      <c r="L183" s="45">
        <f t="shared" si="26"/>
        <v>0</v>
      </c>
      <c r="M183" s="48">
        <f t="shared" si="27"/>
        <v>0</v>
      </c>
      <c r="N183" s="83">
        <f t="shared" si="24"/>
        <v>0</v>
      </c>
      <c r="O183" s="84">
        <f>IFERROR(SUMIF(B8:B183,"&gt;="&amp;(B183-WEEKDAY(B183,2)+1),E8:E183),0)</f>
        <v>0</v>
      </c>
      <c r="P183" s="85">
        <f>IFERROR(SUMIF(B8:B183,"&gt;="&amp;(B183-WEEKDAY(B183,2)+1),H8:H183),0)</f>
        <v>0</v>
      </c>
      <c r="Q183" s="83">
        <f t="shared" si="25"/>
        <v>0</v>
      </c>
    </row>
    <row r="184" spans="2:17" ht="16.5" customHeight="1" x14ac:dyDescent="0.3">
      <c r="B184" s="61"/>
      <c r="C184" s="62" t="str">
        <f t="shared" si="19"/>
        <v/>
      </c>
      <c r="D184" s="63" t="str">
        <f t="shared" si="20"/>
        <v/>
      </c>
      <c r="E184" s="64"/>
      <c r="F184" s="65"/>
      <c r="G184" s="66">
        <f t="shared" si="21"/>
        <v>0</v>
      </c>
      <c r="H184" s="67">
        <f>IFERROR(SUMIF('💸 Expenses'!B9:B508,B184,'💸 Expenses'!F9:F508),0)</f>
        <v>0</v>
      </c>
      <c r="I184" s="68">
        <f t="shared" si="22"/>
        <v>0</v>
      </c>
      <c r="J184" s="69">
        <f t="shared" si="23"/>
        <v>0</v>
      </c>
      <c r="K184" s="70"/>
      <c r="L184" s="36">
        <f t="shared" si="26"/>
        <v>0</v>
      </c>
      <c r="M184" s="39">
        <f t="shared" si="27"/>
        <v>0</v>
      </c>
      <c r="N184" s="71">
        <f t="shared" si="24"/>
        <v>0</v>
      </c>
      <c r="O184" s="72">
        <f>IFERROR(SUMIF(B8:B184,"&gt;="&amp;(B184-WEEKDAY(B184,2)+1),E8:E184),0)</f>
        <v>0</v>
      </c>
      <c r="P184" s="73">
        <f>IFERROR(SUMIF(B8:B184,"&gt;="&amp;(B184-WEEKDAY(B184,2)+1),H8:H184),0)</f>
        <v>0</v>
      </c>
      <c r="Q184" s="71">
        <f t="shared" si="25"/>
        <v>0</v>
      </c>
    </row>
    <row r="185" spans="2:17" ht="16.5" customHeight="1" x14ac:dyDescent="0.3">
      <c r="B185" s="61"/>
      <c r="C185" s="74" t="str">
        <f t="shared" si="19"/>
        <v/>
      </c>
      <c r="D185" s="75" t="str">
        <f t="shared" si="20"/>
        <v/>
      </c>
      <c r="E185" s="76"/>
      <c r="F185" s="77"/>
      <c r="G185" s="78">
        <f t="shared" si="21"/>
        <v>0</v>
      </c>
      <c r="H185" s="79">
        <f>IFERROR(SUMIF('💸 Expenses'!B9:B508,B185,'💸 Expenses'!F9:F508),0)</f>
        <v>0</v>
      </c>
      <c r="I185" s="80">
        <f t="shared" si="22"/>
        <v>0</v>
      </c>
      <c r="J185" s="81">
        <f t="shared" si="23"/>
        <v>0</v>
      </c>
      <c r="K185" s="82"/>
      <c r="L185" s="45">
        <f t="shared" si="26"/>
        <v>0</v>
      </c>
      <c r="M185" s="48">
        <f t="shared" si="27"/>
        <v>0</v>
      </c>
      <c r="N185" s="83">
        <f t="shared" si="24"/>
        <v>0</v>
      </c>
      <c r="O185" s="84">
        <f>IFERROR(SUMIF(B8:B185,"&gt;="&amp;(B185-WEEKDAY(B185,2)+1),E8:E185),0)</f>
        <v>0</v>
      </c>
      <c r="P185" s="85">
        <f>IFERROR(SUMIF(B8:B185,"&gt;="&amp;(B185-WEEKDAY(B185,2)+1),H8:H185),0)</f>
        <v>0</v>
      </c>
      <c r="Q185" s="83">
        <f t="shared" si="25"/>
        <v>0</v>
      </c>
    </row>
    <row r="186" spans="2:17" ht="16.5" customHeight="1" x14ac:dyDescent="0.3">
      <c r="B186" s="61"/>
      <c r="C186" s="62" t="str">
        <f t="shared" si="19"/>
        <v/>
      </c>
      <c r="D186" s="63" t="str">
        <f t="shared" si="20"/>
        <v/>
      </c>
      <c r="E186" s="64"/>
      <c r="F186" s="65"/>
      <c r="G186" s="66">
        <f t="shared" si="21"/>
        <v>0</v>
      </c>
      <c r="H186" s="67">
        <f>IFERROR(SUMIF('💸 Expenses'!B9:B508,B186,'💸 Expenses'!F9:F508),0)</f>
        <v>0</v>
      </c>
      <c r="I186" s="68">
        <f t="shared" si="22"/>
        <v>0</v>
      </c>
      <c r="J186" s="69">
        <f t="shared" si="23"/>
        <v>0</v>
      </c>
      <c r="K186" s="70"/>
      <c r="L186" s="36">
        <f t="shared" si="26"/>
        <v>0</v>
      </c>
      <c r="M186" s="39">
        <f t="shared" si="27"/>
        <v>0</v>
      </c>
      <c r="N186" s="71">
        <f t="shared" si="24"/>
        <v>0</v>
      </c>
      <c r="O186" s="72">
        <f>IFERROR(SUMIF(B8:B186,"&gt;="&amp;(B186-WEEKDAY(B186,2)+1),E8:E186),0)</f>
        <v>0</v>
      </c>
      <c r="P186" s="73">
        <f>IFERROR(SUMIF(B8:B186,"&gt;="&amp;(B186-WEEKDAY(B186,2)+1),H8:H186),0)</f>
        <v>0</v>
      </c>
      <c r="Q186" s="71">
        <f t="shared" si="25"/>
        <v>0</v>
      </c>
    </row>
    <row r="187" spans="2:17" ht="16.5" customHeight="1" x14ac:dyDescent="0.3">
      <c r="B187" s="61"/>
      <c r="C187" s="74" t="str">
        <f t="shared" si="19"/>
        <v/>
      </c>
      <c r="D187" s="75" t="str">
        <f t="shared" si="20"/>
        <v/>
      </c>
      <c r="E187" s="76"/>
      <c r="F187" s="77"/>
      <c r="G187" s="78">
        <f t="shared" si="21"/>
        <v>0</v>
      </c>
      <c r="H187" s="79">
        <f>IFERROR(SUMIF('💸 Expenses'!B9:B508,B187,'💸 Expenses'!F9:F508),0)</f>
        <v>0</v>
      </c>
      <c r="I187" s="80">
        <f t="shared" si="22"/>
        <v>0</v>
      </c>
      <c r="J187" s="81">
        <f t="shared" si="23"/>
        <v>0</v>
      </c>
      <c r="K187" s="82"/>
      <c r="L187" s="45">
        <f t="shared" si="26"/>
        <v>0</v>
      </c>
      <c r="M187" s="48">
        <f t="shared" si="27"/>
        <v>0</v>
      </c>
      <c r="N187" s="83">
        <f t="shared" si="24"/>
        <v>0</v>
      </c>
      <c r="O187" s="84">
        <f>IFERROR(SUMIF(B8:B187,"&gt;="&amp;(B187-WEEKDAY(B187,2)+1),E8:E187),0)</f>
        <v>0</v>
      </c>
      <c r="P187" s="85">
        <f>IFERROR(SUMIF(B8:B187,"&gt;="&amp;(B187-WEEKDAY(B187,2)+1),H8:H187),0)</f>
        <v>0</v>
      </c>
      <c r="Q187" s="83">
        <f t="shared" si="25"/>
        <v>0</v>
      </c>
    </row>
    <row r="188" spans="2:17" ht="16.5" customHeight="1" x14ac:dyDescent="0.3">
      <c r="B188" s="61"/>
      <c r="C188" s="62" t="str">
        <f t="shared" si="19"/>
        <v/>
      </c>
      <c r="D188" s="63" t="str">
        <f t="shared" si="20"/>
        <v/>
      </c>
      <c r="E188" s="64"/>
      <c r="F188" s="65"/>
      <c r="G188" s="66">
        <f t="shared" si="21"/>
        <v>0</v>
      </c>
      <c r="H188" s="67">
        <f>IFERROR(SUMIF('💸 Expenses'!B9:B508,B188,'💸 Expenses'!F9:F508),0)</f>
        <v>0</v>
      </c>
      <c r="I188" s="68">
        <f t="shared" si="22"/>
        <v>0</v>
      </c>
      <c r="J188" s="69">
        <f t="shared" si="23"/>
        <v>0</v>
      </c>
      <c r="K188" s="70"/>
      <c r="L188" s="36">
        <f t="shared" si="26"/>
        <v>0</v>
      </c>
      <c r="M188" s="39">
        <f t="shared" si="27"/>
        <v>0</v>
      </c>
      <c r="N188" s="71">
        <f t="shared" si="24"/>
        <v>0</v>
      </c>
      <c r="O188" s="72">
        <f>IFERROR(SUMIF(B8:B188,"&gt;="&amp;(B188-WEEKDAY(B188,2)+1),E8:E188),0)</f>
        <v>0</v>
      </c>
      <c r="P188" s="73">
        <f>IFERROR(SUMIF(B8:B188,"&gt;="&amp;(B188-WEEKDAY(B188,2)+1),H8:H188),0)</f>
        <v>0</v>
      </c>
      <c r="Q188" s="71">
        <f t="shared" si="25"/>
        <v>0</v>
      </c>
    </row>
    <row r="189" spans="2:17" ht="16.5" customHeight="1" x14ac:dyDescent="0.3">
      <c r="B189" s="61"/>
      <c r="C189" s="74" t="str">
        <f t="shared" si="19"/>
        <v/>
      </c>
      <c r="D189" s="75" t="str">
        <f t="shared" si="20"/>
        <v/>
      </c>
      <c r="E189" s="76"/>
      <c r="F189" s="77"/>
      <c r="G189" s="78">
        <f t="shared" si="21"/>
        <v>0</v>
      </c>
      <c r="H189" s="79">
        <f>IFERROR(SUMIF('💸 Expenses'!B9:B508,B189,'💸 Expenses'!F9:F508),0)</f>
        <v>0</v>
      </c>
      <c r="I189" s="80">
        <f t="shared" si="22"/>
        <v>0</v>
      </c>
      <c r="J189" s="81">
        <f t="shared" si="23"/>
        <v>0</v>
      </c>
      <c r="K189" s="82"/>
      <c r="L189" s="45">
        <f t="shared" si="26"/>
        <v>0</v>
      </c>
      <c r="M189" s="48">
        <f t="shared" si="27"/>
        <v>0</v>
      </c>
      <c r="N189" s="83">
        <f t="shared" si="24"/>
        <v>0</v>
      </c>
      <c r="O189" s="84">
        <f>IFERROR(SUMIF(B8:B189,"&gt;="&amp;(B189-WEEKDAY(B189,2)+1),E8:E189),0)</f>
        <v>0</v>
      </c>
      <c r="P189" s="85">
        <f>IFERROR(SUMIF(B8:B189,"&gt;="&amp;(B189-WEEKDAY(B189,2)+1),H8:H189),0)</f>
        <v>0</v>
      </c>
      <c r="Q189" s="83">
        <f t="shared" si="25"/>
        <v>0</v>
      </c>
    </row>
    <row r="190" spans="2:17" ht="16.5" customHeight="1" x14ac:dyDescent="0.3">
      <c r="B190" s="61"/>
      <c r="C190" s="62" t="str">
        <f t="shared" si="19"/>
        <v/>
      </c>
      <c r="D190" s="63" t="str">
        <f t="shared" si="20"/>
        <v/>
      </c>
      <c r="E190" s="64"/>
      <c r="F190" s="65"/>
      <c r="G190" s="66">
        <f t="shared" si="21"/>
        <v>0</v>
      </c>
      <c r="H190" s="67">
        <f>IFERROR(SUMIF('💸 Expenses'!B9:B508,B190,'💸 Expenses'!F9:F508),0)</f>
        <v>0</v>
      </c>
      <c r="I190" s="68">
        <f t="shared" si="22"/>
        <v>0</v>
      </c>
      <c r="J190" s="69">
        <f t="shared" si="23"/>
        <v>0</v>
      </c>
      <c r="K190" s="70"/>
      <c r="L190" s="36">
        <f t="shared" si="26"/>
        <v>0</v>
      </c>
      <c r="M190" s="39">
        <f t="shared" si="27"/>
        <v>0</v>
      </c>
      <c r="N190" s="71">
        <f t="shared" si="24"/>
        <v>0</v>
      </c>
      <c r="O190" s="72">
        <f>IFERROR(SUMIF(B8:B190,"&gt;="&amp;(B190-WEEKDAY(B190,2)+1),E8:E190),0)</f>
        <v>0</v>
      </c>
      <c r="P190" s="73">
        <f>IFERROR(SUMIF(B8:B190,"&gt;="&amp;(B190-WEEKDAY(B190,2)+1),H8:H190),0)</f>
        <v>0</v>
      </c>
      <c r="Q190" s="71">
        <f t="shared" si="25"/>
        <v>0</v>
      </c>
    </row>
    <row r="191" spans="2:17" ht="16.5" customHeight="1" x14ac:dyDescent="0.3">
      <c r="B191" s="61"/>
      <c r="C191" s="74" t="str">
        <f t="shared" si="19"/>
        <v/>
      </c>
      <c r="D191" s="75" t="str">
        <f t="shared" si="20"/>
        <v/>
      </c>
      <c r="E191" s="76"/>
      <c r="F191" s="77"/>
      <c r="G191" s="78">
        <f t="shared" si="21"/>
        <v>0</v>
      </c>
      <c r="H191" s="79">
        <f>IFERROR(SUMIF('💸 Expenses'!B9:B508,B191,'💸 Expenses'!F9:F508),0)</f>
        <v>0</v>
      </c>
      <c r="I191" s="80">
        <f t="shared" si="22"/>
        <v>0</v>
      </c>
      <c r="J191" s="81">
        <f t="shared" si="23"/>
        <v>0</v>
      </c>
      <c r="K191" s="82"/>
      <c r="L191" s="45">
        <f t="shared" si="26"/>
        <v>0</v>
      </c>
      <c r="M191" s="48">
        <f t="shared" si="27"/>
        <v>0</v>
      </c>
      <c r="N191" s="83">
        <f t="shared" si="24"/>
        <v>0</v>
      </c>
      <c r="O191" s="84">
        <f>IFERROR(SUMIF(B8:B191,"&gt;="&amp;(B191-WEEKDAY(B191,2)+1),E8:E191),0)</f>
        <v>0</v>
      </c>
      <c r="P191" s="85">
        <f>IFERROR(SUMIF(B8:B191,"&gt;="&amp;(B191-WEEKDAY(B191,2)+1),H8:H191),0)</f>
        <v>0</v>
      </c>
      <c r="Q191" s="83">
        <f t="shared" si="25"/>
        <v>0</v>
      </c>
    </row>
    <row r="192" spans="2:17" ht="16.5" customHeight="1" x14ac:dyDescent="0.3">
      <c r="B192" s="61"/>
      <c r="C192" s="62" t="str">
        <f t="shared" si="19"/>
        <v/>
      </c>
      <c r="D192" s="63" t="str">
        <f t="shared" si="20"/>
        <v/>
      </c>
      <c r="E192" s="64"/>
      <c r="F192" s="65"/>
      <c r="G192" s="66">
        <f t="shared" si="21"/>
        <v>0</v>
      </c>
      <c r="H192" s="67">
        <f>IFERROR(SUMIF('💸 Expenses'!B9:B508,B192,'💸 Expenses'!F9:F508),0)</f>
        <v>0</v>
      </c>
      <c r="I192" s="68">
        <f t="shared" si="22"/>
        <v>0</v>
      </c>
      <c r="J192" s="69">
        <f t="shared" si="23"/>
        <v>0</v>
      </c>
      <c r="K192" s="70"/>
      <c r="L192" s="36">
        <f t="shared" si="26"/>
        <v>0</v>
      </c>
      <c r="M192" s="39">
        <f t="shared" si="27"/>
        <v>0</v>
      </c>
      <c r="N192" s="71">
        <f t="shared" si="24"/>
        <v>0</v>
      </c>
      <c r="O192" s="72">
        <f>IFERROR(SUMIF(B8:B192,"&gt;="&amp;(B192-WEEKDAY(B192,2)+1),E8:E192),0)</f>
        <v>0</v>
      </c>
      <c r="P192" s="73">
        <f>IFERROR(SUMIF(B8:B192,"&gt;="&amp;(B192-WEEKDAY(B192,2)+1),H8:H192),0)</f>
        <v>0</v>
      </c>
      <c r="Q192" s="71">
        <f t="shared" si="25"/>
        <v>0</v>
      </c>
    </row>
    <row r="193" spans="2:17" ht="16.5" customHeight="1" x14ac:dyDescent="0.3">
      <c r="B193" s="61"/>
      <c r="C193" s="74" t="str">
        <f t="shared" si="19"/>
        <v/>
      </c>
      <c r="D193" s="75" t="str">
        <f t="shared" si="20"/>
        <v/>
      </c>
      <c r="E193" s="76"/>
      <c r="F193" s="77"/>
      <c r="G193" s="78">
        <f t="shared" si="21"/>
        <v>0</v>
      </c>
      <c r="H193" s="79">
        <f>IFERROR(SUMIF('💸 Expenses'!B9:B508,B193,'💸 Expenses'!F9:F508),0)</f>
        <v>0</v>
      </c>
      <c r="I193" s="80">
        <f t="shared" si="22"/>
        <v>0</v>
      </c>
      <c r="J193" s="81">
        <f t="shared" si="23"/>
        <v>0</v>
      </c>
      <c r="K193" s="82"/>
      <c r="L193" s="45">
        <f t="shared" si="26"/>
        <v>0</v>
      </c>
      <c r="M193" s="48">
        <f t="shared" si="27"/>
        <v>0</v>
      </c>
      <c r="N193" s="83">
        <f t="shared" si="24"/>
        <v>0</v>
      </c>
      <c r="O193" s="84">
        <f>IFERROR(SUMIF(B8:B193,"&gt;="&amp;(B193-WEEKDAY(B193,2)+1),E8:E193),0)</f>
        <v>0</v>
      </c>
      <c r="P193" s="85">
        <f>IFERROR(SUMIF(B8:B193,"&gt;="&amp;(B193-WEEKDAY(B193,2)+1),H8:H193),0)</f>
        <v>0</v>
      </c>
      <c r="Q193" s="83">
        <f t="shared" si="25"/>
        <v>0</v>
      </c>
    </row>
    <row r="194" spans="2:17" ht="16.5" customHeight="1" x14ac:dyDescent="0.3">
      <c r="B194" s="61"/>
      <c r="C194" s="62" t="str">
        <f t="shared" si="19"/>
        <v/>
      </c>
      <c r="D194" s="63" t="str">
        <f t="shared" si="20"/>
        <v/>
      </c>
      <c r="E194" s="64"/>
      <c r="F194" s="65"/>
      <c r="G194" s="66">
        <f t="shared" si="21"/>
        <v>0</v>
      </c>
      <c r="H194" s="67">
        <f>IFERROR(SUMIF('💸 Expenses'!B9:B508,B194,'💸 Expenses'!F9:F508),0)</f>
        <v>0</v>
      </c>
      <c r="I194" s="68">
        <f t="shared" si="22"/>
        <v>0</v>
      </c>
      <c r="J194" s="69">
        <f t="shared" si="23"/>
        <v>0</v>
      </c>
      <c r="K194" s="70"/>
      <c r="L194" s="36">
        <f t="shared" si="26"/>
        <v>0</v>
      </c>
      <c r="M194" s="39">
        <f t="shared" si="27"/>
        <v>0</v>
      </c>
      <c r="N194" s="71">
        <f t="shared" si="24"/>
        <v>0</v>
      </c>
      <c r="O194" s="72">
        <f>IFERROR(SUMIF(B8:B194,"&gt;="&amp;(B194-WEEKDAY(B194,2)+1),E8:E194),0)</f>
        <v>0</v>
      </c>
      <c r="P194" s="73">
        <f>IFERROR(SUMIF(B8:B194,"&gt;="&amp;(B194-WEEKDAY(B194,2)+1),H8:H194),0)</f>
        <v>0</v>
      </c>
      <c r="Q194" s="71">
        <f t="shared" si="25"/>
        <v>0</v>
      </c>
    </row>
    <row r="195" spans="2:17" ht="16.5" customHeight="1" x14ac:dyDescent="0.3">
      <c r="B195" s="61"/>
      <c r="C195" s="74" t="str">
        <f t="shared" si="19"/>
        <v/>
      </c>
      <c r="D195" s="75" t="str">
        <f t="shared" si="20"/>
        <v/>
      </c>
      <c r="E195" s="76"/>
      <c r="F195" s="77"/>
      <c r="G195" s="78">
        <f t="shared" si="21"/>
        <v>0</v>
      </c>
      <c r="H195" s="79">
        <f>IFERROR(SUMIF('💸 Expenses'!B9:B508,B195,'💸 Expenses'!F9:F508),0)</f>
        <v>0</v>
      </c>
      <c r="I195" s="80">
        <f t="shared" si="22"/>
        <v>0</v>
      </c>
      <c r="J195" s="81">
        <f t="shared" si="23"/>
        <v>0</v>
      </c>
      <c r="K195" s="82"/>
      <c r="L195" s="45">
        <f t="shared" si="26"/>
        <v>0</v>
      </c>
      <c r="M195" s="48">
        <f t="shared" si="27"/>
        <v>0</v>
      </c>
      <c r="N195" s="83">
        <f t="shared" si="24"/>
        <v>0</v>
      </c>
      <c r="O195" s="84">
        <f>IFERROR(SUMIF(B8:B195,"&gt;="&amp;(B195-WEEKDAY(B195,2)+1),E8:E195),0)</f>
        <v>0</v>
      </c>
      <c r="P195" s="85">
        <f>IFERROR(SUMIF(B8:B195,"&gt;="&amp;(B195-WEEKDAY(B195,2)+1),H8:H195),0)</f>
        <v>0</v>
      </c>
      <c r="Q195" s="83">
        <f t="shared" si="25"/>
        <v>0</v>
      </c>
    </row>
    <row r="196" spans="2:17" ht="16.5" customHeight="1" x14ac:dyDescent="0.3">
      <c r="B196" s="61"/>
      <c r="C196" s="62" t="str">
        <f t="shared" si="19"/>
        <v/>
      </c>
      <c r="D196" s="63" t="str">
        <f t="shared" si="20"/>
        <v/>
      </c>
      <c r="E196" s="64"/>
      <c r="F196" s="65"/>
      <c r="G196" s="66">
        <f t="shared" si="21"/>
        <v>0</v>
      </c>
      <c r="H196" s="67">
        <f>IFERROR(SUMIF('💸 Expenses'!B9:B508,B196,'💸 Expenses'!F9:F508),0)</f>
        <v>0</v>
      </c>
      <c r="I196" s="68">
        <f t="shared" si="22"/>
        <v>0</v>
      </c>
      <c r="J196" s="69">
        <f t="shared" si="23"/>
        <v>0</v>
      </c>
      <c r="K196" s="70"/>
      <c r="L196" s="36">
        <f t="shared" si="26"/>
        <v>0</v>
      </c>
      <c r="M196" s="39">
        <f t="shared" si="27"/>
        <v>0</v>
      </c>
      <c r="N196" s="71">
        <f t="shared" si="24"/>
        <v>0</v>
      </c>
      <c r="O196" s="72">
        <f>IFERROR(SUMIF(B8:B196,"&gt;="&amp;(B196-WEEKDAY(B196,2)+1),E8:E196),0)</f>
        <v>0</v>
      </c>
      <c r="P196" s="73">
        <f>IFERROR(SUMIF(B8:B196,"&gt;="&amp;(B196-WEEKDAY(B196,2)+1),H8:H196),0)</f>
        <v>0</v>
      </c>
      <c r="Q196" s="71">
        <f t="shared" si="25"/>
        <v>0</v>
      </c>
    </row>
    <row r="197" spans="2:17" ht="16.5" customHeight="1" x14ac:dyDescent="0.3">
      <c r="B197" s="61"/>
      <c r="C197" s="74" t="str">
        <f t="shared" si="19"/>
        <v/>
      </c>
      <c r="D197" s="75" t="str">
        <f t="shared" si="20"/>
        <v/>
      </c>
      <c r="E197" s="76"/>
      <c r="F197" s="77"/>
      <c r="G197" s="78">
        <f t="shared" si="21"/>
        <v>0</v>
      </c>
      <c r="H197" s="79">
        <f>IFERROR(SUMIF('💸 Expenses'!B9:B508,B197,'💸 Expenses'!F9:F508),0)</f>
        <v>0</v>
      </c>
      <c r="I197" s="80">
        <f t="shared" si="22"/>
        <v>0</v>
      </c>
      <c r="J197" s="81">
        <f t="shared" si="23"/>
        <v>0</v>
      </c>
      <c r="K197" s="82"/>
      <c r="L197" s="45">
        <f t="shared" si="26"/>
        <v>0</v>
      </c>
      <c r="M197" s="48">
        <f t="shared" si="27"/>
        <v>0</v>
      </c>
      <c r="N197" s="83">
        <f t="shared" si="24"/>
        <v>0</v>
      </c>
      <c r="O197" s="84">
        <f>IFERROR(SUMIF(B8:B197,"&gt;="&amp;(B197-WEEKDAY(B197,2)+1),E8:E197),0)</f>
        <v>0</v>
      </c>
      <c r="P197" s="85">
        <f>IFERROR(SUMIF(B8:B197,"&gt;="&amp;(B197-WEEKDAY(B197,2)+1),H8:H197),0)</f>
        <v>0</v>
      </c>
      <c r="Q197" s="83">
        <f t="shared" si="25"/>
        <v>0</v>
      </c>
    </row>
    <row r="198" spans="2:17" ht="16.5" customHeight="1" x14ac:dyDescent="0.3">
      <c r="B198" s="61"/>
      <c r="C198" s="62" t="str">
        <f t="shared" si="19"/>
        <v/>
      </c>
      <c r="D198" s="63" t="str">
        <f t="shared" si="20"/>
        <v/>
      </c>
      <c r="E198" s="64"/>
      <c r="F198" s="65"/>
      <c r="G198" s="66">
        <f t="shared" si="21"/>
        <v>0</v>
      </c>
      <c r="H198" s="67">
        <f>IFERROR(SUMIF('💸 Expenses'!B9:B508,B198,'💸 Expenses'!F9:F508),0)</f>
        <v>0</v>
      </c>
      <c r="I198" s="68">
        <f t="shared" si="22"/>
        <v>0</v>
      </c>
      <c r="J198" s="69">
        <f t="shared" si="23"/>
        <v>0</v>
      </c>
      <c r="K198" s="70"/>
      <c r="L198" s="36">
        <f t="shared" si="26"/>
        <v>0</v>
      </c>
      <c r="M198" s="39">
        <f t="shared" si="27"/>
        <v>0</v>
      </c>
      <c r="N198" s="71">
        <f t="shared" si="24"/>
        <v>0</v>
      </c>
      <c r="O198" s="72">
        <f>IFERROR(SUMIF(B8:B198,"&gt;="&amp;(B198-WEEKDAY(B198,2)+1),E8:E198),0)</f>
        <v>0</v>
      </c>
      <c r="P198" s="73">
        <f>IFERROR(SUMIF(B8:B198,"&gt;="&amp;(B198-WEEKDAY(B198,2)+1),H8:H198),0)</f>
        <v>0</v>
      </c>
      <c r="Q198" s="71">
        <f t="shared" si="25"/>
        <v>0</v>
      </c>
    </row>
    <row r="199" spans="2:17" ht="16.5" customHeight="1" x14ac:dyDescent="0.3">
      <c r="B199" s="61"/>
      <c r="C199" s="74" t="str">
        <f t="shared" si="19"/>
        <v/>
      </c>
      <c r="D199" s="75" t="str">
        <f t="shared" si="20"/>
        <v/>
      </c>
      <c r="E199" s="76"/>
      <c r="F199" s="77"/>
      <c r="G199" s="78">
        <f t="shared" si="21"/>
        <v>0</v>
      </c>
      <c r="H199" s="79">
        <f>IFERROR(SUMIF('💸 Expenses'!B9:B508,B199,'💸 Expenses'!F9:F508),0)</f>
        <v>0</v>
      </c>
      <c r="I199" s="80">
        <f t="shared" si="22"/>
        <v>0</v>
      </c>
      <c r="J199" s="81">
        <f t="shared" si="23"/>
        <v>0</v>
      </c>
      <c r="K199" s="82"/>
      <c r="L199" s="45">
        <f t="shared" si="26"/>
        <v>0</v>
      </c>
      <c r="M199" s="48">
        <f t="shared" si="27"/>
        <v>0</v>
      </c>
      <c r="N199" s="83">
        <f t="shared" si="24"/>
        <v>0</v>
      </c>
      <c r="O199" s="84">
        <f>IFERROR(SUMIF(B8:B199,"&gt;="&amp;(B199-WEEKDAY(B199,2)+1),E8:E199),0)</f>
        <v>0</v>
      </c>
      <c r="P199" s="85">
        <f>IFERROR(SUMIF(B8:B199,"&gt;="&amp;(B199-WEEKDAY(B199,2)+1),H8:H199),0)</f>
        <v>0</v>
      </c>
      <c r="Q199" s="83">
        <f t="shared" si="25"/>
        <v>0</v>
      </c>
    </row>
    <row r="200" spans="2:17" ht="16.5" customHeight="1" x14ac:dyDescent="0.3">
      <c r="B200" s="61"/>
      <c r="C200" s="62" t="str">
        <f t="shared" ref="C200:C263" si="28">IF(B200="","",TEXT(B200,"DDD"))</f>
        <v/>
      </c>
      <c r="D200" s="63" t="str">
        <f t="shared" ref="D200:D263" si="29">IF(B200="","","Soft App")</f>
        <v/>
      </c>
      <c r="E200" s="64"/>
      <c r="F200" s="65"/>
      <c r="G200" s="66">
        <f t="shared" ref="G200:G263" si="30">IFERROR(E200/F200,0)</f>
        <v>0</v>
      </c>
      <c r="H200" s="67">
        <f>IFERROR(SUMIF('💸 Expenses'!B9:B508,B200,'💸 Expenses'!F9:F508),0)</f>
        <v>0</v>
      </c>
      <c r="I200" s="68">
        <f t="shared" ref="I200:I263" si="31">IFERROR(E200-H200,0)</f>
        <v>0</v>
      </c>
      <c r="J200" s="69">
        <f t="shared" ref="J200:J263" si="32">IFERROR(I200/E200,0)</f>
        <v>0</v>
      </c>
      <c r="K200" s="70"/>
      <c r="L200" s="36">
        <f t="shared" si="26"/>
        <v>0</v>
      </c>
      <c r="M200" s="39">
        <f t="shared" si="27"/>
        <v>0</v>
      </c>
      <c r="N200" s="71">
        <f t="shared" ref="N200:N263" si="33">IFERROR(L200-M200,0)</f>
        <v>0</v>
      </c>
      <c r="O200" s="72">
        <f>IFERROR(SUMIF(B8:B200,"&gt;="&amp;(B200-WEEKDAY(B200,2)+1),E8:E200),0)</f>
        <v>0</v>
      </c>
      <c r="P200" s="73">
        <f>IFERROR(SUMIF(B8:B200,"&gt;="&amp;(B200-WEEKDAY(B200,2)+1),H8:H200),0)</f>
        <v>0</v>
      </c>
      <c r="Q200" s="71">
        <f t="shared" ref="Q200:Q263" si="34">IFERROR(O200-P200,0)</f>
        <v>0</v>
      </c>
    </row>
    <row r="201" spans="2:17" ht="16.5" customHeight="1" x14ac:dyDescent="0.3">
      <c r="B201" s="61"/>
      <c r="C201" s="74" t="str">
        <f t="shared" si="28"/>
        <v/>
      </c>
      <c r="D201" s="75" t="str">
        <f t="shared" si="29"/>
        <v/>
      </c>
      <c r="E201" s="76"/>
      <c r="F201" s="77"/>
      <c r="G201" s="78">
        <f t="shared" si="30"/>
        <v>0</v>
      </c>
      <c r="H201" s="79">
        <f>IFERROR(SUMIF('💸 Expenses'!B9:B508,B201,'💸 Expenses'!F9:F508),0)</f>
        <v>0</v>
      </c>
      <c r="I201" s="80">
        <f t="shared" si="31"/>
        <v>0</v>
      </c>
      <c r="J201" s="81">
        <f t="shared" si="32"/>
        <v>0</v>
      </c>
      <c r="K201" s="82"/>
      <c r="L201" s="45">
        <f t="shared" ref="L201:L264" si="35">IFERROR(L200+E201,0)</f>
        <v>0</v>
      </c>
      <c r="M201" s="48">
        <f t="shared" ref="M201:M264" si="36">IFERROR(M200+H201,0)</f>
        <v>0</v>
      </c>
      <c r="N201" s="83">
        <f t="shared" si="33"/>
        <v>0</v>
      </c>
      <c r="O201" s="84">
        <f>IFERROR(SUMIF(B8:B201,"&gt;="&amp;(B201-WEEKDAY(B201,2)+1),E8:E201),0)</f>
        <v>0</v>
      </c>
      <c r="P201" s="85">
        <f>IFERROR(SUMIF(B8:B201,"&gt;="&amp;(B201-WEEKDAY(B201,2)+1),H8:H201),0)</f>
        <v>0</v>
      </c>
      <c r="Q201" s="83">
        <f t="shared" si="34"/>
        <v>0</v>
      </c>
    </row>
    <row r="202" spans="2:17" ht="16.5" customHeight="1" x14ac:dyDescent="0.3">
      <c r="B202" s="61"/>
      <c r="C202" s="62" t="str">
        <f t="shared" si="28"/>
        <v/>
      </c>
      <c r="D202" s="63" t="str">
        <f t="shared" si="29"/>
        <v/>
      </c>
      <c r="E202" s="64"/>
      <c r="F202" s="65"/>
      <c r="G202" s="66">
        <f t="shared" si="30"/>
        <v>0</v>
      </c>
      <c r="H202" s="67">
        <f>IFERROR(SUMIF('💸 Expenses'!B9:B508,B202,'💸 Expenses'!F9:F508),0)</f>
        <v>0</v>
      </c>
      <c r="I202" s="68">
        <f t="shared" si="31"/>
        <v>0</v>
      </c>
      <c r="J202" s="69">
        <f t="shared" si="32"/>
        <v>0</v>
      </c>
      <c r="K202" s="70"/>
      <c r="L202" s="36">
        <f t="shared" si="35"/>
        <v>0</v>
      </c>
      <c r="M202" s="39">
        <f t="shared" si="36"/>
        <v>0</v>
      </c>
      <c r="N202" s="71">
        <f t="shared" si="33"/>
        <v>0</v>
      </c>
      <c r="O202" s="72">
        <f>IFERROR(SUMIF(B8:B202,"&gt;="&amp;(B202-WEEKDAY(B202,2)+1),E8:E202),0)</f>
        <v>0</v>
      </c>
      <c r="P202" s="73">
        <f>IFERROR(SUMIF(B8:B202,"&gt;="&amp;(B202-WEEKDAY(B202,2)+1),H8:H202),0)</f>
        <v>0</v>
      </c>
      <c r="Q202" s="71">
        <f t="shared" si="34"/>
        <v>0</v>
      </c>
    </row>
    <row r="203" spans="2:17" ht="16.5" customHeight="1" x14ac:dyDescent="0.3">
      <c r="B203" s="61"/>
      <c r="C203" s="74" t="str">
        <f t="shared" si="28"/>
        <v/>
      </c>
      <c r="D203" s="75" t="str">
        <f t="shared" si="29"/>
        <v/>
      </c>
      <c r="E203" s="76"/>
      <c r="F203" s="77"/>
      <c r="G203" s="78">
        <f t="shared" si="30"/>
        <v>0</v>
      </c>
      <c r="H203" s="79">
        <f>IFERROR(SUMIF('💸 Expenses'!B9:B508,B203,'💸 Expenses'!F9:F508),0)</f>
        <v>0</v>
      </c>
      <c r="I203" s="80">
        <f t="shared" si="31"/>
        <v>0</v>
      </c>
      <c r="J203" s="81">
        <f t="shared" si="32"/>
        <v>0</v>
      </c>
      <c r="K203" s="82"/>
      <c r="L203" s="45">
        <f t="shared" si="35"/>
        <v>0</v>
      </c>
      <c r="M203" s="48">
        <f t="shared" si="36"/>
        <v>0</v>
      </c>
      <c r="N203" s="83">
        <f t="shared" si="33"/>
        <v>0</v>
      </c>
      <c r="O203" s="84">
        <f>IFERROR(SUMIF(B8:B203,"&gt;="&amp;(B203-WEEKDAY(B203,2)+1),E8:E203),0)</f>
        <v>0</v>
      </c>
      <c r="P203" s="85">
        <f>IFERROR(SUMIF(B8:B203,"&gt;="&amp;(B203-WEEKDAY(B203,2)+1),H8:H203),0)</f>
        <v>0</v>
      </c>
      <c r="Q203" s="83">
        <f t="shared" si="34"/>
        <v>0</v>
      </c>
    </row>
    <row r="204" spans="2:17" ht="16.5" customHeight="1" x14ac:dyDescent="0.3">
      <c r="B204" s="61"/>
      <c r="C204" s="62" t="str">
        <f t="shared" si="28"/>
        <v/>
      </c>
      <c r="D204" s="63" t="str">
        <f t="shared" si="29"/>
        <v/>
      </c>
      <c r="E204" s="64"/>
      <c r="F204" s="65"/>
      <c r="G204" s="66">
        <f t="shared" si="30"/>
        <v>0</v>
      </c>
      <c r="H204" s="67">
        <f>IFERROR(SUMIF('💸 Expenses'!B9:B508,B204,'💸 Expenses'!F9:F508),0)</f>
        <v>0</v>
      </c>
      <c r="I204" s="68">
        <f t="shared" si="31"/>
        <v>0</v>
      </c>
      <c r="J204" s="69">
        <f t="shared" si="32"/>
        <v>0</v>
      </c>
      <c r="K204" s="70"/>
      <c r="L204" s="36">
        <f t="shared" si="35"/>
        <v>0</v>
      </c>
      <c r="M204" s="39">
        <f t="shared" si="36"/>
        <v>0</v>
      </c>
      <c r="N204" s="71">
        <f t="shared" si="33"/>
        <v>0</v>
      </c>
      <c r="O204" s="72">
        <f>IFERROR(SUMIF(B8:B204,"&gt;="&amp;(B204-WEEKDAY(B204,2)+1),E8:E204),0)</f>
        <v>0</v>
      </c>
      <c r="P204" s="73">
        <f>IFERROR(SUMIF(B8:B204,"&gt;="&amp;(B204-WEEKDAY(B204,2)+1),H8:H204),0)</f>
        <v>0</v>
      </c>
      <c r="Q204" s="71">
        <f t="shared" si="34"/>
        <v>0</v>
      </c>
    </row>
    <row r="205" spans="2:17" ht="16.5" customHeight="1" x14ac:dyDescent="0.3">
      <c r="B205" s="61"/>
      <c r="C205" s="74" t="str">
        <f t="shared" si="28"/>
        <v/>
      </c>
      <c r="D205" s="75" t="str">
        <f t="shared" si="29"/>
        <v/>
      </c>
      <c r="E205" s="76"/>
      <c r="F205" s="77"/>
      <c r="G205" s="78">
        <f t="shared" si="30"/>
        <v>0</v>
      </c>
      <c r="H205" s="79">
        <f>IFERROR(SUMIF('💸 Expenses'!B9:B508,B205,'💸 Expenses'!F9:F508),0)</f>
        <v>0</v>
      </c>
      <c r="I205" s="80">
        <f t="shared" si="31"/>
        <v>0</v>
      </c>
      <c r="J205" s="81">
        <f t="shared" si="32"/>
        <v>0</v>
      </c>
      <c r="K205" s="82"/>
      <c r="L205" s="45">
        <f t="shared" si="35"/>
        <v>0</v>
      </c>
      <c r="M205" s="48">
        <f t="shared" si="36"/>
        <v>0</v>
      </c>
      <c r="N205" s="83">
        <f t="shared" si="33"/>
        <v>0</v>
      </c>
      <c r="O205" s="84">
        <f>IFERROR(SUMIF(B8:B205,"&gt;="&amp;(B205-WEEKDAY(B205,2)+1),E8:E205),0)</f>
        <v>0</v>
      </c>
      <c r="P205" s="85">
        <f>IFERROR(SUMIF(B8:B205,"&gt;="&amp;(B205-WEEKDAY(B205,2)+1),H8:H205),0)</f>
        <v>0</v>
      </c>
      <c r="Q205" s="83">
        <f t="shared" si="34"/>
        <v>0</v>
      </c>
    </row>
    <row r="206" spans="2:17" ht="16.5" customHeight="1" x14ac:dyDescent="0.3">
      <c r="B206" s="61"/>
      <c r="C206" s="62" t="str">
        <f t="shared" si="28"/>
        <v/>
      </c>
      <c r="D206" s="63" t="str">
        <f t="shared" si="29"/>
        <v/>
      </c>
      <c r="E206" s="64"/>
      <c r="F206" s="65"/>
      <c r="G206" s="66">
        <f t="shared" si="30"/>
        <v>0</v>
      </c>
      <c r="H206" s="67">
        <f>IFERROR(SUMIF('💸 Expenses'!B9:B508,B206,'💸 Expenses'!F9:F508),0)</f>
        <v>0</v>
      </c>
      <c r="I206" s="68">
        <f t="shared" si="31"/>
        <v>0</v>
      </c>
      <c r="J206" s="69">
        <f t="shared" si="32"/>
        <v>0</v>
      </c>
      <c r="K206" s="70"/>
      <c r="L206" s="36">
        <f t="shared" si="35"/>
        <v>0</v>
      </c>
      <c r="M206" s="39">
        <f t="shared" si="36"/>
        <v>0</v>
      </c>
      <c r="N206" s="71">
        <f t="shared" si="33"/>
        <v>0</v>
      </c>
      <c r="O206" s="72">
        <f>IFERROR(SUMIF(B8:B206,"&gt;="&amp;(B206-WEEKDAY(B206,2)+1),E8:E206),0)</f>
        <v>0</v>
      </c>
      <c r="P206" s="73">
        <f>IFERROR(SUMIF(B8:B206,"&gt;="&amp;(B206-WEEKDAY(B206,2)+1),H8:H206),0)</f>
        <v>0</v>
      </c>
      <c r="Q206" s="71">
        <f t="shared" si="34"/>
        <v>0</v>
      </c>
    </row>
    <row r="207" spans="2:17" ht="16.5" customHeight="1" x14ac:dyDescent="0.3">
      <c r="B207" s="61"/>
      <c r="C207" s="74" t="str">
        <f t="shared" si="28"/>
        <v/>
      </c>
      <c r="D207" s="75" t="str">
        <f t="shared" si="29"/>
        <v/>
      </c>
      <c r="E207" s="76"/>
      <c r="F207" s="77"/>
      <c r="G207" s="78">
        <f t="shared" si="30"/>
        <v>0</v>
      </c>
      <c r="H207" s="79">
        <f>IFERROR(SUMIF('💸 Expenses'!B9:B508,B207,'💸 Expenses'!F9:F508),0)</f>
        <v>0</v>
      </c>
      <c r="I207" s="80">
        <f t="shared" si="31"/>
        <v>0</v>
      </c>
      <c r="J207" s="81">
        <f t="shared" si="32"/>
        <v>0</v>
      </c>
      <c r="K207" s="82"/>
      <c r="L207" s="45">
        <f t="shared" si="35"/>
        <v>0</v>
      </c>
      <c r="M207" s="48">
        <f t="shared" si="36"/>
        <v>0</v>
      </c>
      <c r="N207" s="83">
        <f t="shared" si="33"/>
        <v>0</v>
      </c>
      <c r="O207" s="84">
        <f>IFERROR(SUMIF(B8:B207,"&gt;="&amp;(B207-WEEKDAY(B207,2)+1),E8:E207),0)</f>
        <v>0</v>
      </c>
      <c r="P207" s="85">
        <f>IFERROR(SUMIF(B8:B207,"&gt;="&amp;(B207-WEEKDAY(B207,2)+1),H8:H207),0)</f>
        <v>0</v>
      </c>
      <c r="Q207" s="83">
        <f t="shared" si="34"/>
        <v>0</v>
      </c>
    </row>
    <row r="208" spans="2:17" ht="16.5" customHeight="1" x14ac:dyDescent="0.3">
      <c r="B208" s="61"/>
      <c r="C208" s="62" t="str">
        <f t="shared" si="28"/>
        <v/>
      </c>
      <c r="D208" s="63" t="str">
        <f t="shared" si="29"/>
        <v/>
      </c>
      <c r="E208" s="64"/>
      <c r="F208" s="65"/>
      <c r="G208" s="66">
        <f t="shared" si="30"/>
        <v>0</v>
      </c>
      <c r="H208" s="67">
        <f>IFERROR(SUMIF('💸 Expenses'!B9:B508,B208,'💸 Expenses'!F9:F508),0)</f>
        <v>0</v>
      </c>
      <c r="I208" s="68">
        <f t="shared" si="31"/>
        <v>0</v>
      </c>
      <c r="J208" s="69">
        <f t="shared" si="32"/>
        <v>0</v>
      </c>
      <c r="K208" s="70"/>
      <c r="L208" s="36">
        <f t="shared" si="35"/>
        <v>0</v>
      </c>
      <c r="M208" s="39">
        <f t="shared" si="36"/>
        <v>0</v>
      </c>
      <c r="N208" s="71">
        <f t="shared" si="33"/>
        <v>0</v>
      </c>
      <c r="O208" s="72">
        <f>IFERROR(SUMIF(B8:B208,"&gt;="&amp;(B208-WEEKDAY(B208,2)+1),E8:E208),0)</f>
        <v>0</v>
      </c>
      <c r="P208" s="73">
        <f>IFERROR(SUMIF(B8:B208,"&gt;="&amp;(B208-WEEKDAY(B208,2)+1),H8:H208),0)</f>
        <v>0</v>
      </c>
      <c r="Q208" s="71">
        <f t="shared" si="34"/>
        <v>0</v>
      </c>
    </row>
    <row r="209" spans="2:17" ht="16.5" customHeight="1" x14ac:dyDescent="0.3">
      <c r="B209" s="61"/>
      <c r="C209" s="74" t="str">
        <f t="shared" si="28"/>
        <v/>
      </c>
      <c r="D209" s="75" t="str">
        <f t="shared" si="29"/>
        <v/>
      </c>
      <c r="E209" s="76"/>
      <c r="F209" s="77"/>
      <c r="G209" s="78">
        <f t="shared" si="30"/>
        <v>0</v>
      </c>
      <c r="H209" s="79">
        <f>IFERROR(SUMIF('💸 Expenses'!B9:B508,B209,'💸 Expenses'!F9:F508),0)</f>
        <v>0</v>
      </c>
      <c r="I209" s="80">
        <f t="shared" si="31"/>
        <v>0</v>
      </c>
      <c r="J209" s="81">
        <f t="shared" si="32"/>
        <v>0</v>
      </c>
      <c r="K209" s="82"/>
      <c r="L209" s="45">
        <f t="shared" si="35"/>
        <v>0</v>
      </c>
      <c r="M209" s="48">
        <f t="shared" si="36"/>
        <v>0</v>
      </c>
      <c r="N209" s="83">
        <f t="shared" si="33"/>
        <v>0</v>
      </c>
      <c r="O209" s="84">
        <f>IFERROR(SUMIF(B8:B209,"&gt;="&amp;(B209-WEEKDAY(B209,2)+1),E8:E209),0)</f>
        <v>0</v>
      </c>
      <c r="P209" s="85">
        <f>IFERROR(SUMIF(B8:B209,"&gt;="&amp;(B209-WEEKDAY(B209,2)+1),H8:H209),0)</f>
        <v>0</v>
      </c>
      <c r="Q209" s="83">
        <f t="shared" si="34"/>
        <v>0</v>
      </c>
    </row>
    <row r="210" spans="2:17" ht="16.5" customHeight="1" x14ac:dyDescent="0.3">
      <c r="B210" s="61"/>
      <c r="C210" s="62" t="str">
        <f t="shared" si="28"/>
        <v/>
      </c>
      <c r="D210" s="63" t="str">
        <f t="shared" si="29"/>
        <v/>
      </c>
      <c r="E210" s="64"/>
      <c r="F210" s="65"/>
      <c r="G210" s="66">
        <f t="shared" si="30"/>
        <v>0</v>
      </c>
      <c r="H210" s="67">
        <f>IFERROR(SUMIF('💸 Expenses'!B9:B508,B210,'💸 Expenses'!F9:F508),0)</f>
        <v>0</v>
      </c>
      <c r="I210" s="68">
        <f t="shared" si="31"/>
        <v>0</v>
      </c>
      <c r="J210" s="69">
        <f t="shared" si="32"/>
        <v>0</v>
      </c>
      <c r="K210" s="70"/>
      <c r="L210" s="36">
        <f t="shared" si="35"/>
        <v>0</v>
      </c>
      <c r="M210" s="39">
        <f t="shared" si="36"/>
        <v>0</v>
      </c>
      <c r="N210" s="71">
        <f t="shared" si="33"/>
        <v>0</v>
      </c>
      <c r="O210" s="72">
        <f>IFERROR(SUMIF(B8:B210,"&gt;="&amp;(B210-WEEKDAY(B210,2)+1),E8:E210),0)</f>
        <v>0</v>
      </c>
      <c r="P210" s="73">
        <f>IFERROR(SUMIF(B8:B210,"&gt;="&amp;(B210-WEEKDAY(B210,2)+1),H8:H210),0)</f>
        <v>0</v>
      </c>
      <c r="Q210" s="71">
        <f t="shared" si="34"/>
        <v>0</v>
      </c>
    </row>
    <row r="211" spans="2:17" ht="16.5" customHeight="1" x14ac:dyDescent="0.3">
      <c r="B211" s="61"/>
      <c r="C211" s="74" t="str">
        <f t="shared" si="28"/>
        <v/>
      </c>
      <c r="D211" s="75" t="str">
        <f t="shared" si="29"/>
        <v/>
      </c>
      <c r="E211" s="76"/>
      <c r="F211" s="77"/>
      <c r="G211" s="78">
        <f t="shared" si="30"/>
        <v>0</v>
      </c>
      <c r="H211" s="79">
        <f>IFERROR(SUMIF('💸 Expenses'!B9:B508,B211,'💸 Expenses'!F9:F508),0)</f>
        <v>0</v>
      </c>
      <c r="I211" s="80">
        <f t="shared" si="31"/>
        <v>0</v>
      </c>
      <c r="J211" s="81">
        <f t="shared" si="32"/>
        <v>0</v>
      </c>
      <c r="K211" s="82"/>
      <c r="L211" s="45">
        <f t="shared" si="35"/>
        <v>0</v>
      </c>
      <c r="M211" s="48">
        <f t="shared" si="36"/>
        <v>0</v>
      </c>
      <c r="N211" s="83">
        <f t="shared" si="33"/>
        <v>0</v>
      </c>
      <c r="O211" s="84">
        <f>IFERROR(SUMIF(B8:B211,"&gt;="&amp;(B211-WEEKDAY(B211,2)+1),E8:E211),0)</f>
        <v>0</v>
      </c>
      <c r="P211" s="85">
        <f>IFERROR(SUMIF(B8:B211,"&gt;="&amp;(B211-WEEKDAY(B211,2)+1),H8:H211),0)</f>
        <v>0</v>
      </c>
      <c r="Q211" s="83">
        <f t="shared" si="34"/>
        <v>0</v>
      </c>
    </row>
    <row r="212" spans="2:17" ht="16.5" customHeight="1" x14ac:dyDescent="0.3">
      <c r="B212" s="61"/>
      <c r="C212" s="62" t="str">
        <f t="shared" si="28"/>
        <v/>
      </c>
      <c r="D212" s="63" t="str">
        <f t="shared" si="29"/>
        <v/>
      </c>
      <c r="E212" s="64"/>
      <c r="F212" s="65"/>
      <c r="G212" s="66">
        <f t="shared" si="30"/>
        <v>0</v>
      </c>
      <c r="H212" s="67">
        <f>IFERROR(SUMIF('💸 Expenses'!B9:B508,B212,'💸 Expenses'!F9:F508),0)</f>
        <v>0</v>
      </c>
      <c r="I212" s="68">
        <f t="shared" si="31"/>
        <v>0</v>
      </c>
      <c r="J212" s="69">
        <f t="shared" si="32"/>
        <v>0</v>
      </c>
      <c r="K212" s="70"/>
      <c r="L212" s="36">
        <f t="shared" si="35"/>
        <v>0</v>
      </c>
      <c r="M212" s="39">
        <f t="shared" si="36"/>
        <v>0</v>
      </c>
      <c r="N212" s="71">
        <f t="shared" si="33"/>
        <v>0</v>
      </c>
      <c r="O212" s="72">
        <f>IFERROR(SUMIF(B8:B212,"&gt;="&amp;(B212-WEEKDAY(B212,2)+1),E8:E212),0)</f>
        <v>0</v>
      </c>
      <c r="P212" s="73">
        <f>IFERROR(SUMIF(B8:B212,"&gt;="&amp;(B212-WEEKDAY(B212,2)+1),H8:H212),0)</f>
        <v>0</v>
      </c>
      <c r="Q212" s="71">
        <f t="shared" si="34"/>
        <v>0</v>
      </c>
    </row>
    <row r="213" spans="2:17" ht="16.5" customHeight="1" x14ac:dyDescent="0.3">
      <c r="B213" s="61"/>
      <c r="C213" s="74" t="str">
        <f t="shared" si="28"/>
        <v/>
      </c>
      <c r="D213" s="75" t="str">
        <f t="shared" si="29"/>
        <v/>
      </c>
      <c r="E213" s="76"/>
      <c r="F213" s="77"/>
      <c r="G213" s="78">
        <f t="shared" si="30"/>
        <v>0</v>
      </c>
      <c r="H213" s="79">
        <f>IFERROR(SUMIF('💸 Expenses'!B9:B508,B213,'💸 Expenses'!F9:F508),0)</f>
        <v>0</v>
      </c>
      <c r="I213" s="80">
        <f t="shared" si="31"/>
        <v>0</v>
      </c>
      <c r="J213" s="81">
        <f t="shared" si="32"/>
        <v>0</v>
      </c>
      <c r="K213" s="82"/>
      <c r="L213" s="45">
        <f t="shared" si="35"/>
        <v>0</v>
      </c>
      <c r="M213" s="48">
        <f t="shared" si="36"/>
        <v>0</v>
      </c>
      <c r="N213" s="83">
        <f t="shared" si="33"/>
        <v>0</v>
      </c>
      <c r="O213" s="84">
        <f>IFERROR(SUMIF(B8:B213,"&gt;="&amp;(B213-WEEKDAY(B213,2)+1),E8:E213),0)</f>
        <v>0</v>
      </c>
      <c r="P213" s="85">
        <f>IFERROR(SUMIF(B8:B213,"&gt;="&amp;(B213-WEEKDAY(B213,2)+1),H8:H213),0)</f>
        <v>0</v>
      </c>
      <c r="Q213" s="83">
        <f t="shared" si="34"/>
        <v>0</v>
      </c>
    </row>
    <row r="214" spans="2:17" ht="16.5" customHeight="1" x14ac:dyDescent="0.3">
      <c r="B214" s="61"/>
      <c r="C214" s="62" t="str">
        <f t="shared" si="28"/>
        <v/>
      </c>
      <c r="D214" s="63" t="str">
        <f t="shared" si="29"/>
        <v/>
      </c>
      <c r="E214" s="64"/>
      <c r="F214" s="65"/>
      <c r="G214" s="66">
        <f t="shared" si="30"/>
        <v>0</v>
      </c>
      <c r="H214" s="67">
        <f>IFERROR(SUMIF('💸 Expenses'!B9:B508,B214,'💸 Expenses'!F9:F508),0)</f>
        <v>0</v>
      </c>
      <c r="I214" s="68">
        <f t="shared" si="31"/>
        <v>0</v>
      </c>
      <c r="J214" s="69">
        <f t="shared" si="32"/>
        <v>0</v>
      </c>
      <c r="K214" s="70"/>
      <c r="L214" s="36">
        <f t="shared" si="35"/>
        <v>0</v>
      </c>
      <c r="M214" s="39">
        <f t="shared" si="36"/>
        <v>0</v>
      </c>
      <c r="N214" s="71">
        <f t="shared" si="33"/>
        <v>0</v>
      </c>
      <c r="O214" s="72">
        <f>IFERROR(SUMIF(B8:B214,"&gt;="&amp;(B214-WEEKDAY(B214,2)+1),E8:E214),0)</f>
        <v>0</v>
      </c>
      <c r="P214" s="73">
        <f>IFERROR(SUMIF(B8:B214,"&gt;="&amp;(B214-WEEKDAY(B214,2)+1),H8:H214),0)</f>
        <v>0</v>
      </c>
      <c r="Q214" s="71">
        <f t="shared" si="34"/>
        <v>0</v>
      </c>
    </row>
    <row r="215" spans="2:17" ht="16.5" customHeight="1" x14ac:dyDescent="0.3">
      <c r="B215" s="61"/>
      <c r="C215" s="74" t="str">
        <f t="shared" si="28"/>
        <v/>
      </c>
      <c r="D215" s="75" t="str">
        <f t="shared" si="29"/>
        <v/>
      </c>
      <c r="E215" s="76"/>
      <c r="F215" s="77"/>
      <c r="G215" s="78">
        <f t="shared" si="30"/>
        <v>0</v>
      </c>
      <c r="H215" s="79">
        <f>IFERROR(SUMIF('💸 Expenses'!B9:B508,B215,'💸 Expenses'!F9:F508),0)</f>
        <v>0</v>
      </c>
      <c r="I215" s="80">
        <f t="shared" si="31"/>
        <v>0</v>
      </c>
      <c r="J215" s="81">
        <f t="shared" si="32"/>
        <v>0</v>
      </c>
      <c r="K215" s="82"/>
      <c r="L215" s="45">
        <f t="shared" si="35"/>
        <v>0</v>
      </c>
      <c r="M215" s="48">
        <f t="shared" si="36"/>
        <v>0</v>
      </c>
      <c r="N215" s="83">
        <f t="shared" si="33"/>
        <v>0</v>
      </c>
      <c r="O215" s="84">
        <f>IFERROR(SUMIF(B8:B215,"&gt;="&amp;(B215-WEEKDAY(B215,2)+1),E8:E215),0)</f>
        <v>0</v>
      </c>
      <c r="P215" s="85">
        <f>IFERROR(SUMIF(B8:B215,"&gt;="&amp;(B215-WEEKDAY(B215,2)+1),H8:H215),0)</f>
        <v>0</v>
      </c>
      <c r="Q215" s="83">
        <f t="shared" si="34"/>
        <v>0</v>
      </c>
    </row>
    <row r="216" spans="2:17" ht="16.5" customHeight="1" x14ac:dyDescent="0.3">
      <c r="B216" s="61"/>
      <c r="C216" s="62" t="str">
        <f t="shared" si="28"/>
        <v/>
      </c>
      <c r="D216" s="63" t="str">
        <f t="shared" si="29"/>
        <v/>
      </c>
      <c r="E216" s="64"/>
      <c r="F216" s="65"/>
      <c r="G216" s="66">
        <f t="shared" si="30"/>
        <v>0</v>
      </c>
      <c r="H216" s="67">
        <f>IFERROR(SUMIF('💸 Expenses'!B9:B508,B216,'💸 Expenses'!F9:F508),0)</f>
        <v>0</v>
      </c>
      <c r="I216" s="68">
        <f t="shared" si="31"/>
        <v>0</v>
      </c>
      <c r="J216" s="69">
        <f t="shared" si="32"/>
        <v>0</v>
      </c>
      <c r="K216" s="70"/>
      <c r="L216" s="36">
        <f t="shared" si="35"/>
        <v>0</v>
      </c>
      <c r="M216" s="39">
        <f t="shared" si="36"/>
        <v>0</v>
      </c>
      <c r="N216" s="71">
        <f t="shared" si="33"/>
        <v>0</v>
      </c>
      <c r="O216" s="72">
        <f>IFERROR(SUMIF(B8:B216,"&gt;="&amp;(B216-WEEKDAY(B216,2)+1),E8:E216),0)</f>
        <v>0</v>
      </c>
      <c r="P216" s="73">
        <f>IFERROR(SUMIF(B8:B216,"&gt;="&amp;(B216-WEEKDAY(B216,2)+1),H8:H216),0)</f>
        <v>0</v>
      </c>
      <c r="Q216" s="71">
        <f t="shared" si="34"/>
        <v>0</v>
      </c>
    </row>
    <row r="217" spans="2:17" ht="16.5" customHeight="1" x14ac:dyDescent="0.3">
      <c r="B217" s="61"/>
      <c r="C217" s="74" t="str">
        <f t="shared" si="28"/>
        <v/>
      </c>
      <c r="D217" s="75" t="str">
        <f t="shared" si="29"/>
        <v/>
      </c>
      <c r="E217" s="76"/>
      <c r="F217" s="77"/>
      <c r="G217" s="78">
        <f t="shared" si="30"/>
        <v>0</v>
      </c>
      <c r="H217" s="79">
        <f>IFERROR(SUMIF('💸 Expenses'!B9:B508,B217,'💸 Expenses'!F9:F508),0)</f>
        <v>0</v>
      </c>
      <c r="I217" s="80">
        <f t="shared" si="31"/>
        <v>0</v>
      </c>
      <c r="J217" s="81">
        <f t="shared" si="32"/>
        <v>0</v>
      </c>
      <c r="K217" s="82"/>
      <c r="L217" s="45">
        <f t="shared" si="35"/>
        <v>0</v>
      </c>
      <c r="M217" s="48">
        <f t="shared" si="36"/>
        <v>0</v>
      </c>
      <c r="N217" s="83">
        <f t="shared" si="33"/>
        <v>0</v>
      </c>
      <c r="O217" s="84">
        <f>IFERROR(SUMIF(B8:B217,"&gt;="&amp;(B217-WEEKDAY(B217,2)+1),E8:E217),0)</f>
        <v>0</v>
      </c>
      <c r="P217" s="85">
        <f>IFERROR(SUMIF(B8:B217,"&gt;="&amp;(B217-WEEKDAY(B217,2)+1),H8:H217),0)</f>
        <v>0</v>
      </c>
      <c r="Q217" s="83">
        <f t="shared" si="34"/>
        <v>0</v>
      </c>
    </row>
    <row r="218" spans="2:17" ht="16.5" customHeight="1" x14ac:dyDescent="0.3">
      <c r="B218" s="61"/>
      <c r="C218" s="62" t="str">
        <f t="shared" si="28"/>
        <v/>
      </c>
      <c r="D218" s="63" t="str">
        <f t="shared" si="29"/>
        <v/>
      </c>
      <c r="E218" s="64"/>
      <c r="F218" s="65"/>
      <c r="G218" s="66">
        <f t="shared" si="30"/>
        <v>0</v>
      </c>
      <c r="H218" s="67">
        <f>IFERROR(SUMIF('💸 Expenses'!B9:B508,B218,'💸 Expenses'!F9:F508),0)</f>
        <v>0</v>
      </c>
      <c r="I218" s="68">
        <f t="shared" si="31"/>
        <v>0</v>
      </c>
      <c r="J218" s="69">
        <f t="shared" si="32"/>
        <v>0</v>
      </c>
      <c r="K218" s="70"/>
      <c r="L218" s="36">
        <f t="shared" si="35"/>
        <v>0</v>
      </c>
      <c r="M218" s="39">
        <f t="shared" si="36"/>
        <v>0</v>
      </c>
      <c r="N218" s="71">
        <f t="shared" si="33"/>
        <v>0</v>
      </c>
      <c r="O218" s="72">
        <f>IFERROR(SUMIF(B8:B218,"&gt;="&amp;(B218-WEEKDAY(B218,2)+1),E8:E218),0)</f>
        <v>0</v>
      </c>
      <c r="P218" s="73">
        <f>IFERROR(SUMIF(B8:B218,"&gt;="&amp;(B218-WEEKDAY(B218,2)+1),H8:H218),0)</f>
        <v>0</v>
      </c>
      <c r="Q218" s="71">
        <f t="shared" si="34"/>
        <v>0</v>
      </c>
    </row>
    <row r="219" spans="2:17" ht="16.5" customHeight="1" x14ac:dyDescent="0.3">
      <c r="B219" s="61"/>
      <c r="C219" s="74" t="str">
        <f t="shared" si="28"/>
        <v/>
      </c>
      <c r="D219" s="75" t="str">
        <f t="shared" si="29"/>
        <v/>
      </c>
      <c r="E219" s="76"/>
      <c r="F219" s="77"/>
      <c r="G219" s="78">
        <f t="shared" si="30"/>
        <v>0</v>
      </c>
      <c r="H219" s="79">
        <f>IFERROR(SUMIF('💸 Expenses'!B9:B508,B219,'💸 Expenses'!F9:F508),0)</f>
        <v>0</v>
      </c>
      <c r="I219" s="80">
        <f t="shared" si="31"/>
        <v>0</v>
      </c>
      <c r="J219" s="81">
        <f t="shared" si="32"/>
        <v>0</v>
      </c>
      <c r="K219" s="82"/>
      <c r="L219" s="45">
        <f t="shared" si="35"/>
        <v>0</v>
      </c>
      <c r="M219" s="48">
        <f t="shared" si="36"/>
        <v>0</v>
      </c>
      <c r="N219" s="83">
        <f t="shared" si="33"/>
        <v>0</v>
      </c>
      <c r="O219" s="84">
        <f>IFERROR(SUMIF(B8:B219,"&gt;="&amp;(B219-WEEKDAY(B219,2)+1),E8:E219),0)</f>
        <v>0</v>
      </c>
      <c r="P219" s="85">
        <f>IFERROR(SUMIF(B8:B219,"&gt;="&amp;(B219-WEEKDAY(B219,2)+1),H8:H219),0)</f>
        <v>0</v>
      </c>
      <c r="Q219" s="83">
        <f t="shared" si="34"/>
        <v>0</v>
      </c>
    </row>
    <row r="220" spans="2:17" ht="16.5" customHeight="1" x14ac:dyDescent="0.3">
      <c r="B220" s="61"/>
      <c r="C220" s="62" t="str">
        <f t="shared" si="28"/>
        <v/>
      </c>
      <c r="D220" s="63" t="str">
        <f t="shared" si="29"/>
        <v/>
      </c>
      <c r="E220" s="64"/>
      <c r="F220" s="65"/>
      <c r="G220" s="66">
        <f t="shared" si="30"/>
        <v>0</v>
      </c>
      <c r="H220" s="67">
        <f>IFERROR(SUMIF('💸 Expenses'!B9:B508,B220,'💸 Expenses'!F9:F508),0)</f>
        <v>0</v>
      </c>
      <c r="I220" s="68">
        <f t="shared" si="31"/>
        <v>0</v>
      </c>
      <c r="J220" s="69">
        <f t="shared" si="32"/>
        <v>0</v>
      </c>
      <c r="K220" s="70"/>
      <c r="L220" s="36">
        <f t="shared" si="35"/>
        <v>0</v>
      </c>
      <c r="M220" s="39">
        <f t="shared" si="36"/>
        <v>0</v>
      </c>
      <c r="N220" s="71">
        <f t="shared" si="33"/>
        <v>0</v>
      </c>
      <c r="O220" s="72">
        <f>IFERROR(SUMIF(B8:B220,"&gt;="&amp;(B220-WEEKDAY(B220,2)+1),E8:E220),0)</f>
        <v>0</v>
      </c>
      <c r="P220" s="73">
        <f>IFERROR(SUMIF(B8:B220,"&gt;="&amp;(B220-WEEKDAY(B220,2)+1),H8:H220),0)</f>
        <v>0</v>
      </c>
      <c r="Q220" s="71">
        <f t="shared" si="34"/>
        <v>0</v>
      </c>
    </row>
    <row r="221" spans="2:17" ht="16.5" customHeight="1" x14ac:dyDescent="0.3">
      <c r="B221" s="61"/>
      <c r="C221" s="74" t="str">
        <f t="shared" si="28"/>
        <v/>
      </c>
      <c r="D221" s="75" t="str">
        <f t="shared" si="29"/>
        <v/>
      </c>
      <c r="E221" s="76"/>
      <c r="F221" s="77"/>
      <c r="G221" s="78">
        <f t="shared" si="30"/>
        <v>0</v>
      </c>
      <c r="H221" s="79">
        <f>IFERROR(SUMIF('💸 Expenses'!B9:B508,B221,'💸 Expenses'!F9:F508),0)</f>
        <v>0</v>
      </c>
      <c r="I221" s="80">
        <f t="shared" si="31"/>
        <v>0</v>
      </c>
      <c r="J221" s="81">
        <f t="shared" si="32"/>
        <v>0</v>
      </c>
      <c r="K221" s="82"/>
      <c r="L221" s="45">
        <f t="shared" si="35"/>
        <v>0</v>
      </c>
      <c r="M221" s="48">
        <f t="shared" si="36"/>
        <v>0</v>
      </c>
      <c r="N221" s="83">
        <f t="shared" si="33"/>
        <v>0</v>
      </c>
      <c r="O221" s="84">
        <f>IFERROR(SUMIF(B8:B221,"&gt;="&amp;(B221-WEEKDAY(B221,2)+1),E8:E221),0)</f>
        <v>0</v>
      </c>
      <c r="P221" s="85">
        <f>IFERROR(SUMIF(B8:B221,"&gt;="&amp;(B221-WEEKDAY(B221,2)+1),H8:H221),0)</f>
        <v>0</v>
      </c>
      <c r="Q221" s="83">
        <f t="shared" si="34"/>
        <v>0</v>
      </c>
    </row>
    <row r="222" spans="2:17" ht="16.5" customHeight="1" x14ac:dyDescent="0.3">
      <c r="B222" s="61"/>
      <c r="C222" s="62" t="str">
        <f t="shared" si="28"/>
        <v/>
      </c>
      <c r="D222" s="63" t="str">
        <f t="shared" si="29"/>
        <v/>
      </c>
      <c r="E222" s="64"/>
      <c r="F222" s="65"/>
      <c r="G222" s="66">
        <f t="shared" si="30"/>
        <v>0</v>
      </c>
      <c r="H222" s="67">
        <f>IFERROR(SUMIF('💸 Expenses'!B9:B508,B222,'💸 Expenses'!F9:F508),0)</f>
        <v>0</v>
      </c>
      <c r="I222" s="68">
        <f t="shared" si="31"/>
        <v>0</v>
      </c>
      <c r="J222" s="69">
        <f t="shared" si="32"/>
        <v>0</v>
      </c>
      <c r="K222" s="70"/>
      <c r="L222" s="36">
        <f t="shared" si="35"/>
        <v>0</v>
      </c>
      <c r="M222" s="39">
        <f t="shared" si="36"/>
        <v>0</v>
      </c>
      <c r="N222" s="71">
        <f t="shared" si="33"/>
        <v>0</v>
      </c>
      <c r="O222" s="72">
        <f>IFERROR(SUMIF(B8:B222,"&gt;="&amp;(B222-WEEKDAY(B222,2)+1),E8:E222),0)</f>
        <v>0</v>
      </c>
      <c r="P222" s="73">
        <f>IFERROR(SUMIF(B8:B222,"&gt;="&amp;(B222-WEEKDAY(B222,2)+1),H8:H222),0)</f>
        <v>0</v>
      </c>
      <c r="Q222" s="71">
        <f t="shared" si="34"/>
        <v>0</v>
      </c>
    </row>
    <row r="223" spans="2:17" ht="16.5" customHeight="1" x14ac:dyDescent="0.3">
      <c r="B223" s="61"/>
      <c r="C223" s="74" t="str">
        <f t="shared" si="28"/>
        <v/>
      </c>
      <c r="D223" s="75" t="str">
        <f t="shared" si="29"/>
        <v/>
      </c>
      <c r="E223" s="76"/>
      <c r="F223" s="77"/>
      <c r="G223" s="78">
        <f t="shared" si="30"/>
        <v>0</v>
      </c>
      <c r="H223" s="79">
        <f>IFERROR(SUMIF('💸 Expenses'!B9:B508,B223,'💸 Expenses'!F9:F508),0)</f>
        <v>0</v>
      </c>
      <c r="I223" s="80">
        <f t="shared" si="31"/>
        <v>0</v>
      </c>
      <c r="J223" s="81">
        <f t="shared" si="32"/>
        <v>0</v>
      </c>
      <c r="K223" s="82"/>
      <c r="L223" s="45">
        <f t="shared" si="35"/>
        <v>0</v>
      </c>
      <c r="M223" s="48">
        <f t="shared" si="36"/>
        <v>0</v>
      </c>
      <c r="N223" s="83">
        <f t="shared" si="33"/>
        <v>0</v>
      </c>
      <c r="O223" s="84">
        <f>IFERROR(SUMIF(B8:B223,"&gt;="&amp;(B223-WEEKDAY(B223,2)+1),E8:E223),0)</f>
        <v>0</v>
      </c>
      <c r="P223" s="85">
        <f>IFERROR(SUMIF(B8:B223,"&gt;="&amp;(B223-WEEKDAY(B223,2)+1),H8:H223),0)</f>
        <v>0</v>
      </c>
      <c r="Q223" s="83">
        <f t="shared" si="34"/>
        <v>0</v>
      </c>
    </row>
    <row r="224" spans="2:17" ht="16.5" customHeight="1" x14ac:dyDescent="0.3">
      <c r="B224" s="61"/>
      <c r="C224" s="62" t="str">
        <f t="shared" si="28"/>
        <v/>
      </c>
      <c r="D224" s="63" t="str">
        <f t="shared" si="29"/>
        <v/>
      </c>
      <c r="E224" s="64"/>
      <c r="F224" s="65"/>
      <c r="G224" s="66">
        <f t="shared" si="30"/>
        <v>0</v>
      </c>
      <c r="H224" s="67">
        <f>IFERROR(SUMIF('💸 Expenses'!B9:B508,B224,'💸 Expenses'!F9:F508),0)</f>
        <v>0</v>
      </c>
      <c r="I224" s="68">
        <f t="shared" si="31"/>
        <v>0</v>
      </c>
      <c r="J224" s="69">
        <f t="shared" si="32"/>
        <v>0</v>
      </c>
      <c r="K224" s="70"/>
      <c r="L224" s="36">
        <f t="shared" si="35"/>
        <v>0</v>
      </c>
      <c r="M224" s="39">
        <f t="shared" si="36"/>
        <v>0</v>
      </c>
      <c r="N224" s="71">
        <f t="shared" si="33"/>
        <v>0</v>
      </c>
      <c r="O224" s="72">
        <f>IFERROR(SUMIF(B8:B224,"&gt;="&amp;(B224-WEEKDAY(B224,2)+1),E8:E224),0)</f>
        <v>0</v>
      </c>
      <c r="P224" s="73">
        <f>IFERROR(SUMIF(B8:B224,"&gt;="&amp;(B224-WEEKDAY(B224,2)+1),H8:H224),0)</f>
        <v>0</v>
      </c>
      <c r="Q224" s="71">
        <f t="shared" si="34"/>
        <v>0</v>
      </c>
    </row>
    <row r="225" spans="2:17" ht="16.5" customHeight="1" x14ac:dyDescent="0.3">
      <c r="B225" s="61"/>
      <c r="C225" s="74" t="str">
        <f t="shared" si="28"/>
        <v/>
      </c>
      <c r="D225" s="75" t="str">
        <f t="shared" si="29"/>
        <v/>
      </c>
      <c r="E225" s="76"/>
      <c r="F225" s="77"/>
      <c r="G225" s="78">
        <f t="shared" si="30"/>
        <v>0</v>
      </c>
      <c r="H225" s="79">
        <f>IFERROR(SUMIF('💸 Expenses'!B9:B508,B225,'💸 Expenses'!F9:F508),0)</f>
        <v>0</v>
      </c>
      <c r="I225" s="80">
        <f t="shared" si="31"/>
        <v>0</v>
      </c>
      <c r="J225" s="81">
        <f t="shared" si="32"/>
        <v>0</v>
      </c>
      <c r="K225" s="82"/>
      <c r="L225" s="45">
        <f t="shared" si="35"/>
        <v>0</v>
      </c>
      <c r="M225" s="48">
        <f t="shared" si="36"/>
        <v>0</v>
      </c>
      <c r="N225" s="83">
        <f t="shared" si="33"/>
        <v>0</v>
      </c>
      <c r="O225" s="84">
        <f>IFERROR(SUMIF(B8:B225,"&gt;="&amp;(B225-WEEKDAY(B225,2)+1),E8:E225),0)</f>
        <v>0</v>
      </c>
      <c r="P225" s="85">
        <f>IFERROR(SUMIF(B8:B225,"&gt;="&amp;(B225-WEEKDAY(B225,2)+1),H8:H225),0)</f>
        <v>0</v>
      </c>
      <c r="Q225" s="83">
        <f t="shared" si="34"/>
        <v>0</v>
      </c>
    </row>
    <row r="226" spans="2:17" ht="16.5" customHeight="1" x14ac:dyDescent="0.3">
      <c r="B226" s="61"/>
      <c r="C226" s="62" t="str">
        <f t="shared" si="28"/>
        <v/>
      </c>
      <c r="D226" s="63" t="str">
        <f t="shared" si="29"/>
        <v/>
      </c>
      <c r="E226" s="64"/>
      <c r="F226" s="65"/>
      <c r="G226" s="66">
        <f t="shared" si="30"/>
        <v>0</v>
      </c>
      <c r="H226" s="67">
        <f>IFERROR(SUMIF('💸 Expenses'!B9:B508,B226,'💸 Expenses'!F9:F508),0)</f>
        <v>0</v>
      </c>
      <c r="I226" s="68">
        <f t="shared" si="31"/>
        <v>0</v>
      </c>
      <c r="J226" s="69">
        <f t="shared" si="32"/>
        <v>0</v>
      </c>
      <c r="K226" s="70"/>
      <c r="L226" s="36">
        <f t="shared" si="35"/>
        <v>0</v>
      </c>
      <c r="M226" s="39">
        <f t="shared" si="36"/>
        <v>0</v>
      </c>
      <c r="N226" s="71">
        <f t="shared" si="33"/>
        <v>0</v>
      </c>
      <c r="O226" s="72">
        <f>IFERROR(SUMIF(B8:B226,"&gt;="&amp;(B226-WEEKDAY(B226,2)+1),E8:E226),0)</f>
        <v>0</v>
      </c>
      <c r="P226" s="73">
        <f>IFERROR(SUMIF(B8:B226,"&gt;="&amp;(B226-WEEKDAY(B226,2)+1),H8:H226),0)</f>
        <v>0</v>
      </c>
      <c r="Q226" s="71">
        <f t="shared" si="34"/>
        <v>0</v>
      </c>
    </row>
    <row r="227" spans="2:17" ht="16.5" customHeight="1" x14ac:dyDescent="0.3">
      <c r="B227" s="61"/>
      <c r="C227" s="74" t="str">
        <f t="shared" si="28"/>
        <v/>
      </c>
      <c r="D227" s="75" t="str">
        <f t="shared" si="29"/>
        <v/>
      </c>
      <c r="E227" s="76"/>
      <c r="F227" s="77"/>
      <c r="G227" s="78">
        <f t="shared" si="30"/>
        <v>0</v>
      </c>
      <c r="H227" s="79">
        <f>IFERROR(SUMIF('💸 Expenses'!B9:B508,B227,'💸 Expenses'!F9:F508),0)</f>
        <v>0</v>
      </c>
      <c r="I227" s="80">
        <f t="shared" si="31"/>
        <v>0</v>
      </c>
      <c r="J227" s="81">
        <f t="shared" si="32"/>
        <v>0</v>
      </c>
      <c r="K227" s="82"/>
      <c r="L227" s="45">
        <f t="shared" si="35"/>
        <v>0</v>
      </c>
      <c r="M227" s="48">
        <f t="shared" si="36"/>
        <v>0</v>
      </c>
      <c r="N227" s="83">
        <f t="shared" si="33"/>
        <v>0</v>
      </c>
      <c r="O227" s="84">
        <f>IFERROR(SUMIF(B8:B227,"&gt;="&amp;(B227-WEEKDAY(B227,2)+1),E8:E227),0)</f>
        <v>0</v>
      </c>
      <c r="P227" s="85">
        <f>IFERROR(SUMIF(B8:B227,"&gt;="&amp;(B227-WEEKDAY(B227,2)+1),H8:H227),0)</f>
        <v>0</v>
      </c>
      <c r="Q227" s="83">
        <f t="shared" si="34"/>
        <v>0</v>
      </c>
    </row>
    <row r="228" spans="2:17" ht="16.5" customHeight="1" x14ac:dyDescent="0.3">
      <c r="B228" s="61"/>
      <c r="C228" s="62" t="str">
        <f t="shared" si="28"/>
        <v/>
      </c>
      <c r="D228" s="63" t="str">
        <f t="shared" si="29"/>
        <v/>
      </c>
      <c r="E228" s="64"/>
      <c r="F228" s="65"/>
      <c r="G228" s="66">
        <f t="shared" si="30"/>
        <v>0</v>
      </c>
      <c r="H228" s="67">
        <f>IFERROR(SUMIF('💸 Expenses'!B9:B508,B228,'💸 Expenses'!F9:F508),0)</f>
        <v>0</v>
      </c>
      <c r="I228" s="68">
        <f t="shared" si="31"/>
        <v>0</v>
      </c>
      <c r="J228" s="69">
        <f t="shared" si="32"/>
        <v>0</v>
      </c>
      <c r="K228" s="70"/>
      <c r="L228" s="36">
        <f t="shared" si="35"/>
        <v>0</v>
      </c>
      <c r="M228" s="39">
        <f t="shared" si="36"/>
        <v>0</v>
      </c>
      <c r="N228" s="71">
        <f t="shared" si="33"/>
        <v>0</v>
      </c>
      <c r="O228" s="72">
        <f>IFERROR(SUMIF(B8:B228,"&gt;="&amp;(B228-WEEKDAY(B228,2)+1),E8:E228),0)</f>
        <v>0</v>
      </c>
      <c r="P228" s="73">
        <f>IFERROR(SUMIF(B8:B228,"&gt;="&amp;(B228-WEEKDAY(B228,2)+1),H8:H228),0)</f>
        <v>0</v>
      </c>
      <c r="Q228" s="71">
        <f t="shared" si="34"/>
        <v>0</v>
      </c>
    </row>
    <row r="229" spans="2:17" ht="16.5" customHeight="1" x14ac:dyDescent="0.3">
      <c r="B229" s="61"/>
      <c r="C229" s="74" t="str">
        <f t="shared" si="28"/>
        <v/>
      </c>
      <c r="D229" s="75" t="str">
        <f t="shared" si="29"/>
        <v/>
      </c>
      <c r="E229" s="76"/>
      <c r="F229" s="77"/>
      <c r="G229" s="78">
        <f t="shared" si="30"/>
        <v>0</v>
      </c>
      <c r="H229" s="79">
        <f>IFERROR(SUMIF('💸 Expenses'!B9:B508,B229,'💸 Expenses'!F9:F508),0)</f>
        <v>0</v>
      </c>
      <c r="I229" s="80">
        <f t="shared" si="31"/>
        <v>0</v>
      </c>
      <c r="J229" s="81">
        <f t="shared" si="32"/>
        <v>0</v>
      </c>
      <c r="K229" s="82"/>
      <c r="L229" s="45">
        <f t="shared" si="35"/>
        <v>0</v>
      </c>
      <c r="M229" s="48">
        <f t="shared" si="36"/>
        <v>0</v>
      </c>
      <c r="N229" s="83">
        <f t="shared" si="33"/>
        <v>0</v>
      </c>
      <c r="O229" s="84">
        <f>IFERROR(SUMIF(B8:B229,"&gt;="&amp;(B229-WEEKDAY(B229,2)+1),E8:E229),0)</f>
        <v>0</v>
      </c>
      <c r="P229" s="85">
        <f>IFERROR(SUMIF(B8:B229,"&gt;="&amp;(B229-WEEKDAY(B229,2)+1),H8:H229),0)</f>
        <v>0</v>
      </c>
      <c r="Q229" s="83">
        <f t="shared" si="34"/>
        <v>0</v>
      </c>
    </row>
    <row r="230" spans="2:17" ht="16.5" customHeight="1" x14ac:dyDescent="0.3">
      <c r="B230" s="61"/>
      <c r="C230" s="62" t="str">
        <f t="shared" si="28"/>
        <v/>
      </c>
      <c r="D230" s="63" t="str">
        <f t="shared" si="29"/>
        <v/>
      </c>
      <c r="E230" s="64"/>
      <c r="F230" s="65"/>
      <c r="G230" s="66">
        <f t="shared" si="30"/>
        <v>0</v>
      </c>
      <c r="H230" s="67">
        <f>IFERROR(SUMIF('💸 Expenses'!B9:B508,B230,'💸 Expenses'!F9:F508),0)</f>
        <v>0</v>
      </c>
      <c r="I230" s="68">
        <f t="shared" si="31"/>
        <v>0</v>
      </c>
      <c r="J230" s="69">
        <f t="shared" si="32"/>
        <v>0</v>
      </c>
      <c r="K230" s="70"/>
      <c r="L230" s="36">
        <f t="shared" si="35"/>
        <v>0</v>
      </c>
      <c r="M230" s="39">
        <f t="shared" si="36"/>
        <v>0</v>
      </c>
      <c r="N230" s="71">
        <f t="shared" si="33"/>
        <v>0</v>
      </c>
      <c r="O230" s="72">
        <f>IFERROR(SUMIF(B8:B230,"&gt;="&amp;(B230-WEEKDAY(B230,2)+1),E8:E230),0)</f>
        <v>0</v>
      </c>
      <c r="P230" s="73">
        <f>IFERROR(SUMIF(B8:B230,"&gt;="&amp;(B230-WEEKDAY(B230,2)+1),H8:H230),0)</f>
        <v>0</v>
      </c>
      <c r="Q230" s="71">
        <f t="shared" si="34"/>
        <v>0</v>
      </c>
    </row>
    <row r="231" spans="2:17" ht="16.5" customHeight="1" x14ac:dyDescent="0.3">
      <c r="B231" s="61"/>
      <c r="C231" s="74" t="str">
        <f t="shared" si="28"/>
        <v/>
      </c>
      <c r="D231" s="75" t="str">
        <f t="shared" si="29"/>
        <v/>
      </c>
      <c r="E231" s="76"/>
      <c r="F231" s="77"/>
      <c r="G231" s="78">
        <f t="shared" si="30"/>
        <v>0</v>
      </c>
      <c r="H231" s="79">
        <f>IFERROR(SUMIF('💸 Expenses'!B9:B508,B231,'💸 Expenses'!F9:F508),0)</f>
        <v>0</v>
      </c>
      <c r="I231" s="80">
        <f t="shared" si="31"/>
        <v>0</v>
      </c>
      <c r="J231" s="81">
        <f t="shared" si="32"/>
        <v>0</v>
      </c>
      <c r="K231" s="82"/>
      <c r="L231" s="45">
        <f t="shared" si="35"/>
        <v>0</v>
      </c>
      <c r="M231" s="48">
        <f t="shared" si="36"/>
        <v>0</v>
      </c>
      <c r="N231" s="83">
        <f t="shared" si="33"/>
        <v>0</v>
      </c>
      <c r="O231" s="84">
        <f>IFERROR(SUMIF(B8:B231,"&gt;="&amp;(B231-WEEKDAY(B231,2)+1),E8:E231),0)</f>
        <v>0</v>
      </c>
      <c r="P231" s="85">
        <f>IFERROR(SUMIF(B8:B231,"&gt;="&amp;(B231-WEEKDAY(B231,2)+1),H8:H231),0)</f>
        <v>0</v>
      </c>
      <c r="Q231" s="83">
        <f t="shared" si="34"/>
        <v>0</v>
      </c>
    </row>
    <row r="232" spans="2:17" ht="16.5" customHeight="1" x14ac:dyDescent="0.3">
      <c r="B232" s="61"/>
      <c r="C232" s="62" t="str">
        <f t="shared" si="28"/>
        <v/>
      </c>
      <c r="D232" s="63" t="str">
        <f t="shared" si="29"/>
        <v/>
      </c>
      <c r="E232" s="64"/>
      <c r="F232" s="65"/>
      <c r="G232" s="66">
        <f t="shared" si="30"/>
        <v>0</v>
      </c>
      <c r="H232" s="67">
        <f>IFERROR(SUMIF('💸 Expenses'!B9:B508,B232,'💸 Expenses'!F9:F508),0)</f>
        <v>0</v>
      </c>
      <c r="I232" s="68">
        <f t="shared" si="31"/>
        <v>0</v>
      </c>
      <c r="J232" s="69">
        <f t="shared" si="32"/>
        <v>0</v>
      </c>
      <c r="K232" s="70"/>
      <c r="L232" s="36">
        <f t="shared" si="35"/>
        <v>0</v>
      </c>
      <c r="M232" s="39">
        <f t="shared" si="36"/>
        <v>0</v>
      </c>
      <c r="N232" s="71">
        <f t="shared" si="33"/>
        <v>0</v>
      </c>
      <c r="O232" s="72">
        <f>IFERROR(SUMIF(B8:B232,"&gt;="&amp;(B232-WEEKDAY(B232,2)+1),E8:E232),0)</f>
        <v>0</v>
      </c>
      <c r="P232" s="73">
        <f>IFERROR(SUMIF(B8:B232,"&gt;="&amp;(B232-WEEKDAY(B232,2)+1),H8:H232),0)</f>
        <v>0</v>
      </c>
      <c r="Q232" s="71">
        <f t="shared" si="34"/>
        <v>0</v>
      </c>
    </row>
    <row r="233" spans="2:17" ht="16.5" customHeight="1" x14ac:dyDescent="0.3">
      <c r="B233" s="61"/>
      <c r="C233" s="74" t="str">
        <f t="shared" si="28"/>
        <v/>
      </c>
      <c r="D233" s="75" t="str">
        <f t="shared" si="29"/>
        <v/>
      </c>
      <c r="E233" s="76"/>
      <c r="F233" s="77"/>
      <c r="G233" s="78">
        <f t="shared" si="30"/>
        <v>0</v>
      </c>
      <c r="H233" s="79">
        <f>IFERROR(SUMIF('💸 Expenses'!B9:B508,B233,'💸 Expenses'!F9:F508),0)</f>
        <v>0</v>
      </c>
      <c r="I233" s="80">
        <f t="shared" si="31"/>
        <v>0</v>
      </c>
      <c r="J233" s="81">
        <f t="shared" si="32"/>
        <v>0</v>
      </c>
      <c r="K233" s="82"/>
      <c r="L233" s="45">
        <f t="shared" si="35"/>
        <v>0</v>
      </c>
      <c r="M233" s="48">
        <f t="shared" si="36"/>
        <v>0</v>
      </c>
      <c r="N233" s="83">
        <f t="shared" si="33"/>
        <v>0</v>
      </c>
      <c r="O233" s="84">
        <f>IFERROR(SUMIF(B8:B233,"&gt;="&amp;(B233-WEEKDAY(B233,2)+1),E8:E233),0)</f>
        <v>0</v>
      </c>
      <c r="P233" s="85">
        <f>IFERROR(SUMIF(B8:B233,"&gt;="&amp;(B233-WEEKDAY(B233,2)+1),H8:H233),0)</f>
        <v>0</v>
      </c>
      <c r="Q233" s="83">
        <f t="shared" si="34"/>
        <v>0</v>
      </c>
    </row>
    <row r="234" spans="2:17" ht="16.5" customHeight="1" x14ac:dyDescent="0.3">
      <c r="B234" s="61"/>
      <c r="C234" s="62" t="str">
        <f t="shared" si="28"/>
        <v/>
      </c>
      <c r="D234" s="63" t="str">
        <f t="shared" si="29"/>
        <v/>
      </c>
      <c r="E234" s="64"/>
      <c r="F234" s="65"/>
      <c r="G234" s="66">
        <f t="shared" si="30"/>
        <v>0</v>
      </c>
      <c r="H234" s="67">
        <f>IFERROR(SUMIF('💸 Expenses'!B9:B508,B234,'💸 Expenses'!F9:F508),0)</f>
        <v>0</v>
      </c>
      <c r="I234" s="68">
        <f t="shared" si="31"/>
        <v>0</v>
      </c>
      <c r="J234" s="69">
        <f t="shared" si="32"/>
        <v>0</v>
      </c>
      <c r="K234" s="70"/>
      <c r="L234" s="36">
        <f t="shared" si="35"/>
        <v>0</v>
      </c>
      <c r="M234" s="39">
        <f t="shared" si="36"/>
        <v>0</v>
      </c>
      <c r="N234" s="71">
        <f t="shared" si="33"/>
        <v>0</v>
      </c>
      <c r="O234" s="72">
        <f>IFERROR(SUMIF(B8:B234,"&gt;="&amp;(B234-WEEKDAY(B234,2)+1),E8:E234),0)</f>
        <v>0</v>
      </c>
      <c r="P234" s="73">
        <f>IFERROR(SUMIF(B8:B234,"&gt;="&amp;(B234-WEEKDAY(B234,2)+1),H8:H234),0)</f>
        <v>0</v>
      </c>
      <c r="Q234" s="71">
        <f t="shared" si="34"/>
        <v>0</v>
      </c>
    </row>
    <row r="235" spans="2:17" ht="16.5" customHeight="1" x14ac:dyDescent="0.3">
      <c r="B235" s="61"/>
      <c r="C235" s="74" t="str">
        <f t="shared" si="28"/>
        <v/>
      </c>
      <c r="D235" s="75" t="str">
        <f t="shared" si="29"/>
        <v/>
      </c>
      <c r="E235" s="76"/>
      <c r="F235" s="77"/>
      <c r="G235" s="78">
        <f t="shared" si="30"/>
        <v>0</v>
      </c>
      <c r="H235" s="79">
        <f>IFERROR(SUMIF('💸 Expenses'!B9:B508,B235,'💸 Expenses'!F9:F508),0)</f>
        <v>0</v>
      </c>
      <c r="I235" s="80">
        <f t="shared" si="31"/>
        <v>0</v>
      </c>
      <c r="J235" s="81">
        <f t="shared" si="32"/>
        <v>0</v>
      </c>
      <c r="K235" s="82"/>
      <c r="L235" s="45">
        <f t="shared" si="35"/>
        <v>0</v>
      </c>
      <c r="M235" s="48">
        <f t="shared" si="36"/>
        <v>0</v>
      </c>
      <c r="N235" s="83">
        <f t="shared" si="33"/>
        <v>0</v>
      </c>
      <c r="O235" s="84">
        <f>IFERROR(SUMIF(B8:B235,"&gt;="&amp;(B235-WEEKDAY(B235,2)+1),E8:E235),0)</f>
        <v>0</v>
      </c>
      <c r="P235" s="85">
        <f>IFERROR(SUMIF(B8:B235,"&gt;="&amp;(B235-WEEKDAY(B235,2)+1),H8:H235),0)</f>
        <v>0</v>
      </c>
      <c r="Q235" s="83">
        <f t="shared" si="34"/>
        <v>0</v>
      </c>
    </row>
    <row r="236" spans="2:17" ht="16.5" customHeight="1" x14ac:dyDescent="0.3">
      <c r="B236" s="61"/>
      <c r="C236" s="62" t="str">
        <f t="shared" si="28"/>
        <v/>
      </c>
      <c r="D236" s="63" t="str">
        <f t="shared" si="29"/>
        <v/>
      </c>
      <c r="E236" s="64"/>
      <c r="F236" s="65"/>
      <c r="G236" s="66">
        <f t="shared" si="30"/>
        <v>0</v>
      </c>
      <c r="H236" s="67">
        <f>IFERROR(SUMIF('💸 Expenses'!B9:B508,B236,'💸 Expenses'!F9:F508),0)</f>
        <v>0</v>
      </c>
      <c r="I236" s="68">
        <f t="shared" si="31"/>
        <v>0</v>
      </c>
      <c r="J236" s="69">
        <f t="shared" si="32"/>
        <v>0</v>
      </c>
      <c r="K236" s="70"/>
      <c r="L236" s="36">
        <f t="shared" si="35"/>
        <v>0</v>
      </c>
      <c r="M236" s="39">
        <f t="shared" si="36"/>
        <v>0</v>
      </c>
      <c r="N236" s="71">
        <f t="shared" si="33"/>
        <v>0</v>
      </c>
      <c r="O236" s="72">
        <f>IFERROR(SUMIF(B8:B236,"&gt;="&amp;(B236-WEEKDAY(B236,2)+1),E8:E236),0)</f>
        <v>0</v>
      </c>
      <c r="P236" s="73">
        <f>IFERROR(SUMIF(B8:B236,"&gt;="&amp;(B236-WEEKDAY(B236,2)+1),H8:H236),0)</f>
        <v>0</v>
      </c>
      <c r="Q236" s="71">
        <f t="shared" si="34"/>
        <v>0</v>
      </c>
    </row>
    <row r="237" spans="2:17" ht="16.5" customHeight="1" x14ac:dyDescent="0.3">
      <c r="B237" s="61"/>
      <c r="C237" s="74" t="str">
        <f t="shared" si="28"/>
        <v/>
      </c>
      <c r="D237" s="75" t="str">
        <f t="shared" si="29"/>
        <v/>
      </c>
      <c r="E237" s="76"/>
      <c r="F237" s="77"/>
      <c r="G237" s="78">
        <f t="shared" si="30"/>
        <v>0</v>
      </c>
      <c r="H237" s="79">
        <f>IFERROR(SUMIF('💸 Expenses'!B9:B508,B237,'💸 Expenses'!F9:F508),0)</f>
        <v>0</v>
      </c>
      <c r="I237" s="80">
        <f t="shared" si="31"/>
        <v>0</v>
      </c>
      <c r="J237" s="81">
        <f t="shared" si="32"/>
        <v>0</v>
      </c>
      <c r="K237" s="82"/>
      <c r="L237" s="45">
        <f t="shared" si="35"/>
        <v>0</v>
      </c>
      <c r="M237" s="48">
        <f t="shared" si="36"/>
        <v>0</v>
      </c>
      <c r="N237" s="83">
        <f t="shared" si="33"/>
        <v>0</v>
      </c>
      <c r="O237" s="84">
        <f>IFERROR(SUMIF(B8:B237,"&gt;="&amp;(B237-WEEKDAY(B237,2)+1),E8:E237),0)</f>
        <v>0</v>
      </c>
      <c r="P237" s="85">
        <f>IFERROR(SUMIF(B8:B237,"&gt;="&amp;(B237-WEEKDAY(B237,2)+1),H8:H237),0)</f>
        <v>0</v>
      </c>
      <c r="Q237" s="83">
        <f t="shared" si="34"/>
        <v>0</v>
      </c>
    </row>
    <row r="238" spans="2:17" ht="16.5" customHeight="1" x14ac:dyDescent="0.3">
      <c r="B238" s="61"/>
      <c r="C238" s="62" t="str">
        <f t="shared" si="28"/>
        <v/>
      </c>
      <c r="D238" s="63" t="str">
        <f t="shared" si="29"/>
        <v/>
      </c>
      <c r="E238" s="64"/>
      <c r="F238" s="65"/>
      <c r="G238" s="66">
        <f t="shared" si="30"/>
        <v>0</v>
      </c>
      <c r="H238" s="67">
        <f>IFERROR(SUMIF('💸 Expenses'!B9:B508,B238,'💸 Expenses'!F9:F508),0)</f>
        <v>0</v>
      </c>
      <c r="I238" s="68">
        <f t="shared" si="31"/>
        <v>0</v>
      </c>
      <c r="J238" s="69">
        <f t="shared" si="32"/>
        <v>0</v>
      </c>
      <c r="K238" s="70"/>
      <c r="L238" s="36">
        <f t="shared" si="35"/>
        <v>0</v>
      </c>
      <c r="M238" s="39">
        <f t="shared" si="36"/>
        <v>0</v>
      </c>
      <c r="N238" s="71">
        <f t="shared" si="33"/>
        <v>0</v>
      </c>
      <c r="O238" s="72">
        <f>IFERROR(SUMIF(B8:B238,"&gt;="&amp;(B238-WEEKDAY(B238,2)+1),E8:E238),0)</f>
        <v>0</v>
      </c>
      <c r="P238" s="73">
        <f>IFERROR(SUMIF(B8:B238,"&gt;="&amp;(B238-WEEKDAY(B238,2)+1),H8:H238),0)</f>
        <v>0</v>
      </c>
      <c r="Q238" s="71">
        <f t="shared" si="34"/>
        <v>0</v>
      </c>
    </row>
    <row r="239" spans="2:17" ht="16.5" customHeight="1" x14ac:dyDescent="0.3">
      <c r="B239" s="61"/>
      <c r="C239" s="74" t="str">
        <f t="shared" si="28"/>
        <v/>
      </c>
      <c r="D239" s="75" t="str">
        <f t="shared" si="29"/>
        <v/>
      </c>
      <c r="E239" s="76"/>
      <c r="F239" s="77"/>
      <c r="G239" s="78">
        <f t="shared" si="30"/>
        <v>0</v>
      </c>
      <c r="H239" s="79">
        <f>IFERROR(SUMIF('💸 Expenses'!B9:B508,B239,'💸 Expenses'!F9:F508),0)</f>
        <v>0</v>
      </c>
      <c r="I239" s="80">
        <f t="shared" si="31"/>
        <v>0</v>
      </c>
      <c r="J239" s="81">
        <f t="shared" si="32"/>
        <v>0</v>
      </c>
      <c r="K239" s="82"/>
      <c r="L239" s="45">
        <f t="shared" si="35"/>
        <v>0</v>
      </c>
      <c r="M239" s="48">
        <f t="shared" si="36"/>
        <v>0</v>
      </c>
      <c r="N239" s="83">
        <f t="shared" si="33"/>
        <v>0</v>
      </c>
      <c r="O239" s="84">
        <f>IFERROR(SUMIF(B8:B239,"&gt;="&amp;(B239-WEEKDAY(B239,2)+1),E8:E239),0)</f>
        <v>0</v>
      </c>
      <c r="P239" s="85">
        <f>IFERROR(SUMIF(B8:B239,"&gt;="&amp;(B239-WEEKDAY(B239,2)+1),H8:H239),0)</f>
        <v>0</v>
      </c>
      <c r="Q239" s="83">
        <f t="shared" si="34"/>
        <v>0</v>
      </c>
    </row>
    <row r="240" spans="2:17" ht="16.5" customHeight="1" x14ac:dyDescent="0.3">
      <c r="B240" s="61"/>
      <c r="C240" s="62" t="str">
        <f t="shared" si="28"/>
        <v/>
      </c>
      <c r="D240" s="63" t="str">
        <f t="shared" si="29"/>
        <v/>
      </c>
      <c r="E240" s="64"/>
      <c r="F240" s="65"/>
      <c r="G240" s="66">
        <f t="shared" si="30"/>
        <v>0</v>
      </c>
      <c r="H240" s="67">
        <f>IFERROR(SUMIF('💸 Expenses'!B9:B508,B240,'💸 Expenses'!F9:F508),0)</f>
        <v>0</v>
      </c>
      <c r="I240" s="68">
        <f t="shared" si="31"/>
        <v>0</v>
      </c>
      <c r="J240" s="69">
        <f t="shared" si="32"/>
        <v>0</v>
      </c>
      <c r="K240" s="70"/>
      <c r="L240" s="36">
        <f t="shared" si="35"/>
        <v>0</v>
      </c>
      <c r="M240" s="39">
        <f t="shared" si="36"/>
        <v>0</v>
      </c>
      <c r="N240" s="71">
        <f t="shared" si="33"/>
        <v>0</v>
      </c>
      <c r="O240" s="72">
        <f>IFERROR(SUMIF(B8:B240,"&gt;="&amp;(B240-WEEKDAY(B240,2)+1),E8:E240),0)</f>
        <v>0</v>
      </c>
      <c r="P240" s="73">
        <f>IFERROR(SUMIF(B8:B240,"&gt;="&amp;(B240-WEEKDAY(B240,2)+1),H8:H240),0)</f>
        <v>0</v>
      </c>
      <c r="Q240" s="71">
        <f t="shared" si="34"/>
        <v>0</v>
      </c>
    </row>
    <row r="241" spans="2:17" ht="16.5" customHeight="1" x14ac:dyDescent="0.3">
      <c r="B241" s="61"/>
      <c r="C241" s="74" t="str">
        <f t="shared" si="28"/>
        <v/>
      </c>
      <c r="D241" s="75" t="str">
        <f t="shared" si="29"/>
        <v/>
      </c>
      <c r="E241" s="76"/>
      <c r="F241" s="77"/>
      <c r="G241" s="78">
        <f t="shared" si="30"/>
        <v>0</v>
      </c>
      <c r="H241" s="79">
        <f>IFERROR(SUMIF('💸 Expenses'!B9:B508,B241,'💸 Expenses'!F9:F508),0)</f>
        <v>0</v>
      </c>
      <c r="I241" s="80">
        <f t="shared" si="31"/>
        <v>0</v>
      </c>
      <c r="J241" s="81">
        <f t="shared" si="32"/>
        <v>0</v>
      </c>
      <c r="K241" s="82"/>
      <c r="L241" s="45">
        <f t="shared" si="35"/>
        <v>0</v>
      </c>
      <c r="M241" s="48">
        <f t="shared" si="36"/>
        <v>0</v>
      </c>
      <c r="N241" s="83">
        <f t="shared" si="33"/>
        <v>0</v>
      </c>
      <c r="O241" s="84">
        <f>IFERROR(SUMIF(B8:B241,"&gt;="&amp;(B241-WEEKDAY(B241,2)+1),E8:E241),0)</f>
        <v>0</v>
      </c>
      <c r="P241" s="85">
        <f>IFERROR(SUMIF(B8:B241,"&gt;="&amp;(B241-WEEKDAY(B241,2)+1),H8:H241),0)</f>
        <v>0</v>
      </c>
      <c r="Q241" s="83">
        <f t="shared" si="34"/>
        <v>0</v>
      </c>
    </row>
    <row r="242" spans="2:17" ht="16.5" customHeight="1" x14ac:dyDescent="0.3">
      <c r="B242" s="61"/>
      <c r="C242" s="62" t="str">
        <f t="shared" si="28"/>
        <v/>
      </c>
      <c r="D242" s="63" t="str">
        <f t="shared" si="29"/>
        <v/>
      </c>
      <c r="E242" s="64"/>
      <c r="F242" s="65"/>
      <c r="G242" s="66">
        <f t="shared" si="30"/>
        <v>0</v>
      </c>
      <c r="H242" s="67">
        <f>IFERROR(SUMIF('💸 Expenses'!B9:B508,B242,'💸 Expenses'!F9:F508),0)</f>
        <v>0</v>
      </c>
      <c r="I242" s="68">
        <f t="shared" si="31"/>
        <v>0</v>
      </c>
      <c r="J242" s="69">
        <f t="shared" si="32"/>
        <v>0</v>
      </c>
      <c r="K242" s="70"/>
      <c r="L242" s="36">
        <f t="shared" si="35"/>
        <v>0</v>
      </c>
      <c r="M242" s="39">
        <f t="shared" si="36"/>
        <v>0</v>
      </c>
      <c r="N242" s="71">
        <f t="shared" si="33"/>
        <v>0</v>
      </c>
      <c r="O242" s="72">
        <f>IFERROR(SUMIF(B8:B242,"&gt;="&amp;(B242-WEEKDAY(B242,2)+1),E8:E242),0)</f>
        <v>0</v>
      </c>
      <c r="P242" s="73">
        <f>IFERROR(SUMIF(B8:B242,"&gt;="&amp;(B242-WEEKDAY(B242,2)+1),H8:H242),0)</f>
        <v>0</v>
      </c>
      <c r="Q242" s="71">
        <f t="shared" si="34"/>
        <v>0</v>
      </c>
    </row>
    <row r="243" spans="2:17" ht="16.5" customHeight="1" x14ac:dyDescent="0.3">
      <c r="B243" s="61"/>
      <c r="C243" s="74" t="str">
        <f t="shared" si="28"/>
        <v/>
      </c>
      <c r="D243" s="75" t="str">
        <f t="shared" si="29"/>
        <v/>
      </c>
      <c r="E243" s="76"/>
      <c r="F243" s="77"/>
      <c r="G243" s="78">
        <f t="shared" si="30"/>
        <v>0</v>
      </c>
      <c r="H243" s="79">
        <f>IFERROR(SUMIF('💸 Expenses'!B9:B508,B243,'💸 Expenses'!F9:F508),0)</f>
        <v>0</v>
      </c>
      <c r="I243" s="80">
        <f t="shared" si="31"/>
        <v>0</v>
      </c>
      <c r="J243" s="81">
        <f t="shared" si="32"/>
        <v>0</v>
      </c>
      <c r="K243" s="82"/>
      <c r="L243" s="45">
        <f t="shared" si="35"/>
        <v>0</v>
      </c>
      <c r="M243" s="48">
        <f t="shared" si="36"/>
        <v>0</v>
      </c>
      <c r="N243" s="83">
        <f t="shared" si="33"/>
        <v>0</v>
      </c>
      <c r="O243" s="84">
        <f>IFERROR(SUMIF(B8:B243,"&gt;="&amp;(B243-WEEKDAY(B243,2)+1),E8:E243),0)</f>
        <v>0</v>
      </c>
      <c r="P243" s="85">
        <f>IFERROR(SUMIF(B8:B243,"&gt;="&amp;(B243-WEEKDAY(B243,2)+1),H8:H243),0)</f>
        <v>0</v>
      </c>
      <c r="Q243" s="83">
        <f t="shared" si="34"/>
        <v>0</v>
      </c>
    </row>
    <row r="244" spans="2:17" ht="16.5" customHeight="1" x14ac:dyDescent="0.3">
      <c r="B244" s="61"/>
      <c r="C244" s="62" t="str">
        <f t="shared" si="28"/>
        <v/>
      </c>
      <c r="D244" s="63" t="str">
        <f t="shared" si="29"/>
        <v/>
      </c>
      <c r="E244" s="64"/>
      <c r="F244" s="65"/>
      <c r="G244" s="66">
        <f t="shared" si="30"/>
        <v>0</v>
      </c>
      <c r="H244" s="67">
        <f>IFERROR(SUMIF('💸 Expenses'!B9:B508,B244,'💸 Expenses'!F9:F508),0)</f>
        <v>0</v>
      </c>
      <c r="I244" s="68">
        <f t="shared" si="31"/>
        <v>0</v>
      </c>
      <c r="J244" s="69">
        <f t="shared" si="32"/>
        <v>0</v>
      </c>
      <c r="K244" s="70"/>
      <c r="L244" s="36">
        <f t="shared" si="35"/>
        <v>0</v>
      </c>
      <c r="M244" s="39">
        <f t="shared" si="36"/>
        <v>0</v>
      </c>
      <c r="N244" s="71">
        <f t="shared" si="33"/>
        <v>0</v>
      </c>
      <c r="O244" s="72">
        <f>IFERROR(SUMIF(B8:B244,"&gt;="&amp;(B244-WEEKDAY(B244,2)+1),E8:E244),0)</f>
        <v>0</v>
      </c>
      <c r="P244" s="73">
        <f>IFERROR(SUMIF(B8:B244,"&gt;="&amp;(B244-WEEKDAY(B244,2)+1),H8:H244),0)</f>
        <v>0</v>
      </c>
      <c r="Q244" s="71">
        <f t="shared" si="34"/>
        <v>0</v>
      </c>
    </row>
    <row r="245" spans="2:17" ht="16.5" customHeight="1" x14ac:dyDescent="0.3">
      <c r="B245" s="61"/>
      <c r="C245" s="74" t="str">
        <f t="shared" si="28"/>
        <v/>
      </c>
      <c r="D245" s="75" t="str">
        <f t="shared" si="29"/>
        <v/>
      </c>
      <c r="E245" s="76"/>
      <c r="F245" s="77"/>
      <c r="G245" s="78">
        <f t="shared" si="30"/>
        <v>0</v>
      </c>
      <c r="H245" s="79">
        <f>IFERROR(SUMIF('💸 Expenses'!B9:B508,B245,'💸 Expenses'!F9:F508),0)</f>
        <v>0</v>
      </c>
      <c r="I245" s="80">
        <f t="shared" si="31"/>
        <v>0</v>
      </c>
      <c r="J245" s="81">
        <f t="shared" si="32"/>
        <v>0</v>
      </c>
      <c r="K245" s="82"/>
      <c r="L245" s="45">
        <f t="shared" si="35"/>
        <v>0</v>
      </c>
      <c r="M245" s="48">
        <f t="shared" si="36"/>
        <v>0</v>
      </c>
      <c r="N245" s="83">
        <f t="shared" si="33"/>
        <v>0</v>
      </c>
      <c r="O245" s="84">
        <f>IFERROR(SUMIF(B8:B245,"&gt;="&amp;(B245-WEEKDAY(B245,2)+1),E8:E245),0)</f>
        <v>0</v>
      </c>
      <c r="P245" s="85">
        <f>IFERROR(SUMIF(B8:B245,"&gt;="&amp;(B245-WEEKDAY(B245,2)+1),H8:H245),0)</f>
        <v>0</v>
      </c>
      <c r="Q245" s="83">
        <f t="shared" si="34"/>
        <v>0</v>
      </c>
    </row>
    <row r="246" spans="2:17" ht="16.5" customHeight="1" x14ac:dyDescent="0.3">
      <c r="B246" s="61"/>
      <c r="C246" s="62" t="str">
        <f t="shared" si="28"/>
        <v/>
      </c>
      <c r="D246" s="63" t="str">
        <f t="shared" si="29"/>
        <v/>
      </c>
      <c r="E246" s="64"/>
      <c r="F246" s="65"/>
      <c r="G246" s="66">
        <f t="shared" si="30"/>
        <v>0</v>
      </c>
      <c r="H246" s="67">
        <f>IFERROR(SUMIF('💸 Expenses'!B9:B508,B246,'💸 Expenses'!F9:F508),0)</f>
        <v>0</v>
      </c>
      <c r="I246" s="68">
        <f t="shared" si="31"/>
        <v>0</v>
      </c>
      <c r="J246" s="69">
        <f t="shared" si="32"/>
        <v>0</v>
      </c>
      <c r="K246" s="70"/>
      <c r="L246" s="36">
        <f t="shared" si="35"/>
        <v>0</v>
      </c>
      <c r="M246" s="39">
        <f t="shared" si="36"/>
        <v>0</v>
      </c>
      <c r="N246" s="71">
        <f t="shared" si="33"/>
        <v>0</v>
      </c>
      <c r="O246" s="72">
        <f>IFERROR(SUMIF(B8:B246,"&gt;="&amp;(B246-WEEKDAY(B246,2)+1),E8:E246),0)</f>
        <v>0</v>
      </c>
      <c r="P246" s="73">
        <f>IFERROR(SUMIF(B8:B246,"&gt;="&amp;(B246-WEEKDAY(B246,2)+1),H8:H246),0)</f>
        <v>0</v>
      </c>
      <c r="Q246" s="71">
        <f t="shared" si="34"/>
        <v>0</v>
      </c>
    </row>
    <row r="247" spans="2:17" ht="16.5" customHeight="1" x14ac:dyDescent="0.3">
      <c r="B247" s="61"/>
      <c r="C247" s="74" t="str">
        <f t="shared" si="28"/>
        <v/>
      </c>
      <c r="D247" s="75" t="str">
        <f t="shared" si="29"/>
        <v/>
      </c>
      <c r="E247" s="76"/>
      <c r="F247" s="77"/>
      <c r="G247" s="78">
        <f t="shared" si="30"/>
        <v>0</v>
      </c>
      <c r="H247" s="79">
        <f>IFERROR(SUMIF('💸 Expenses'!B9:B508,B247,'💸 Expenses'!F9:F508),0)</f>
        <v>0</v>
      </c>
      <c r="I247" s="80">
        <f t="shared" si="31"/>
        <v>0</v>
      </c>
      <c r="J247" s="81">
        <f t="shared" si="32"/>
        <v>0</v>
      </c>
      <c r="K247" s="82"/>
      <c r="L247" s="45">
        <f t="shared" si="35"/>
        <v>0</v>
      </c>
      <c r="M247" s="48">
        <f t="shared" si="36"/>
        <v>0</v>
      </c>
      <c r="N247" s="83">
        <f t="shared" si="33"/>
        <v>0</v>
      </c>
      <c r="O247" s="84">
        <f>IFERROR(SUMIF(B8:B247,"&gt;="&amp;(B247-WEEKDAY(B247,2)+1),E8:E247),0)</f>
        <v>0</v>
      </c>
      <c r="P247" s="85">
        <f>IFERROR(SUMIF(B8:B247,"&gt;="&amp;(B247-WEEKDAY(B247,2)+1),H8:H247),0)</f>
        <v>0</v>
      </c>
      <c r="Q247" s="83">
        <f t="shared" si="34"/>
        <v>0</v>
      </c>
    </row>
    <row r="248" spans="2:17" ht="16.5" customHeight="1" x14ac:dyDescent="0.3">
      <c r="B248" s="61"/>
      <c r="C248" s="62" t="str">
        <f t="shared" si="28"/>
        <v/>
      </c>
      <c r="D248" s="63" t="str">
        <f t="shared" si="29"/>
        <v/>
      </c>
      <c r="E248" s="64"/>
      <c r="F248" s="65"/>
      <c r="G248" s="66">
        <f t="shared" si="30"/>
        <v>0</v>
      </c>
      <c r="H248" s="67">
        <f>IFERROR(SUMIF('💸 Expenses'!B9:B508,B248,'💸 Expenses'!F9:F508),0)</f>
        <v>0</v>
      </c>
      <c r="I248" s="68">
        <f t="shared" si="31"/>
        <v>0</v>
      </c>
      <c r="J248" s="69">
        <f t="shared" si="32"/>
        <v>0</v>
      </c>
      <c r="K248" s="70"/>
      <c r="L248" s="36">
        <f t="shared" si="35"/>
        <v>0</v>
      </c>
      <c r="M248" s="39">
        <f t="shared" si="36"/>
        <v>0</v>
      </c>
      <c r="N248" s="71">
        <f t="shared" si="33"/>
        <v>0</v>
      </c>
      <c r="O248" s="72">
        <f>IFERROR(SUMIF(B8:B248,"&gt;="&amp;(B248-WEEKDAY(B248,2)+1),E8:E248),0)</f>
        <v>0</v>
      </c>
      <c r="P248" s="73">
        <f>IFERROR(SUMIF(B8:B248,"&gt;="&amp;(B248-WEEKDAY(B248,2)+1),H8:H248),0)</f>
        <v>0</v>
      </c>
      <c r="Q248" s="71">
        <f t="shared" si="34"/>
        <v>0</v>
      </c>
    </row>
    <row r="249" spans="2:17" ht="16.5" customHeight="1" x14ac:dyDescent="0.3">
      <c r="B249" s="61"/>
      <c r="C249" s="74" t="str">
        <f t="shared" si="28"/>
        <v/>
      </c>
      <c r="D249" s="75" t="str">
        <f t="shared" si="29"/>
        <v/>
      </c>
      <c r="E249" s="76"/>
      <c r="F249" s="77"/>
      <c r="G249" s="78">
        <f t="shared" si="30"/>
        <v>0</v>
      </c>
      <c r="H249" s="79">
        <f>IFERROR(SUMIF('💸 Expenses'!B9:B508,B249,'💸 Expenses'!F9:F508),0)</f>
        <v>0</v>
      </c>
      <c r="I249" s="80">
        <f t="shared" si="31"/>
        <v>0</v>
      </c>
      <c r="J249" s="81">
        <f t="shared" si="32"/>
        <v>0</v>
      </c>
      <c r="K249" s="82"/>
      <c r="L249" s="45">
        <f t="shared" si="35"/>
        <v>0</v>
      </c>
      <c r="M249" s="48">
        <f t="shared" si="36"/>
        <v>0</v>
      </c>
      <c r="N249" s="83">
        <f t="shared" si="33"/>
        <v>0</v>
      </c>
      <c r="O249" s="84">
        <f>IFERROR(SUMIF(B8:B249,"&gt;="&amp;(B249-WEEKDAY(B249,2)+1),E8:E249),0)</f>
        <v>0</v>
      </c>
      <c r="P249" s="85">
        <f>IFERROR(SUMIF(B8:B249,"&gt;="&amp;(B249-WEEKDAY(B249,2)+1),H8:H249),0)</f>
        <v>0</v>
      </c>
      <c r="Q249" s="83">
        <f t="shared" si="34"/>
        <v>0</v>
      </c>
    </row>
    <row r="250" spans="2:17" ht="16.5" customHeight="1" x14ac:dyDescent="0.3">
      <c r="B250" s="61"/>
      <c r="C250" s="62" t="str">
        <f t="shared" si="28"/>
        <v/>
      </c>
      <c r="D250" s="63" t="str">
        <f t="shared" si="29"/>
        <v/>
      </c>
      <c r="E250" s="64"/>
      <c r="F250" s="65"/>
      <c r="G250" s="66">
        <f t="shared" si="30"/>
        <v>0</v>
      </c>
      <c r="H250" s="67">
        <f>IFERROR(SUMIF('💸 Expenses'!B9:B508,B250,'💸 Expenses'!F9:F508),0)</f>
        <v>0</v>
      </c>
      <c r="I250" s="68">
        <f t="shared" si="31"/>
        <v>0</v>
      </c>
      <c r="J250" s="69">
        <f t="shared" si="32"/>
        <v>0</v>
      </c>
      <c r="K250" s="70"/>
      <c r="L250" s="36">
        <f t="shared" si="35"/>
        <v>0</v>
      </c>
      <c r="M250" s="39">
        <f t="shared" si="36"/>
        <v>0</v>
      </c>
      <c r="N250" s="71">
        <f t="shared" si="33"/>
        <v>0</v>
      </c>
      <c r="O250" s="72">
        <f>IFERROR(SUMIF(B8:B250,"&gt;="&amp;(B250-WEEKDAY(B250,2)+1),E8:E250),0)</f>
        <v>0</v>
      </c>
      <c r="P250" s="73">
        <f>IFERROR(SUMIF(B8:B250,"&gt;="&amp;(B250-WEEKDAY(B250,2)+1),H8:H250),0)</f>
        <v>0</v>
      </c>
      <c r="Q250" s="71">
        <f t="shared" si="34"/>
        <v>0</v>
      </c>
    </row>
    <row r="251" spans="2:17" ht="16.5" customHeight="1" x14ac:dyDescent="0.3">
      <c r="B251" s="61"/>
      <c r="C251" s="74" t="str">
        <f t="shared" si="28"/>
        <v/>
      </c>
      <c r="D251" s="75" t="str">
        <f t="shared" si="29"/>
        <v/>
      </c>
      <c r="E251" s="76"/>
      <c r="F251" s="77"/>
      <c r="G251" s="78">
        <f t="shared" si="30"/>
        <v>0</v>
      </c>
      <c r="H251" s="79">
        <f>IFERROR(SUMIF('💸 Expenses'!B9:B508,B251,'💸 Expenses'!F9:F508),0)</f>
        <v>0</v>
      </c>
      <c r="I251" s="80">
        <f t="shared" si="31"/>
        <v>0</v>
      </c>
      <c r="J251" s="81">
        <f t="shared" si="32"/>
        <v>0</v>
      </c>
      <c r="K251" s="82"/>
      <c r="L251" s="45">
        <f t="shared" si="35"/>
        <v>0</v>
      </c>
      <c r="M251" s="48">
        <f t="shared" si="36"/>
        <v>0</v>
      </c>
      <c r="N251" s="83">
        <f t="shared" si="33"/>
        <v>0</v>
      </c>
      <c r="O251" s="84">
        <f>IFERROR(SUMIF(B8:B251,"&gt;="&amp;(B251-WEEKDAY(B251,2)+1),E8:E251),0)</f>
        <v>0</v>
      </c>
      <c r="P251" s="85">
        <f>IFERROR(SUMIF(B8:B251,"&gt;="&amp;(B251-WEEKDAY(B251,2)+1),H8:H251),0)</f>
        <v>0</v>
      </c>
      <c r="Q251" s="83">
        <f t="shared" si="34"/>
        <v>0</v>
      </c>
    </row>
    <row r="252" spans="2:17" ht="16.5" customHeight="1" x14ac:dyDescent="0.3">
      <c r="B252" s="61"/>
      <c r="C252" s="62" t="str">
        <f t="shared" si="28"/>
        <v/>
      </c>
      <c r="D252" s="63" t="str">
        <f t="shared" si="29"/>
        <v/>
      </c>
      <c r="E252" s="64"/>
      <c r="F252" s="65"/>
      <c r="G252" s="66">
        <f t="shared" si="30"/>
        <v>0</v>
      </c>
      <c r="H252" s="67">
        <f>IFERROR(SUMIF('💸 Expenses'!B9:B508,B252,'💸 Expenses'!F9:F508),0)</f>
        <v>0</v>
      </c>
      <c r="I252" s="68">
        <f t="shared" si="31"/>
        <v>0</v>
      </c>
      <c r="J252" s="69">
        <f t="shared" si="32"/>
        <v>0</v>
      </c>
      <c r="K252" s="70"/>
      <c r="L252" s="36">
        <f t="shared" si="35"/>
        <v>0</v>
      </c>
      <c r="M252" s="39">
        <f t="shared" si="36"/>
        <v>0</v>
      </c>
      <c r="N252" s="71">
        <f t="shared" si="33"/>
        <v>0</v>
      </c>
      <c r="O252" s="72">
        <f>IFERROR(SUMIF(B8:B252,"&gt;="&amp;(B252-WEEKDAY(B252,2)+1),E8:E252),0)</f>
        <v>0</v>
      </c>
      <c r="P252" s="73">
        <f>IFERROR(SUMIF(B8:B252,"&gt;="&amp;(B252-WEEKDAY(B252,2)+1),H8:H252),0)</f>
        <v>0</v>
      </c>
      <c r="Q252" s="71">
        <f t="shared" si="34"/>
        <v>0</v>
      </c>
    </row>
    <row r="253" spans="2:17" ht="16.5" customHeight="1" x14ac:dyDescent="0.3">
      <c r="B253" s="61"/>
      <c r="C253" s="74" t="str">
        <f t="shared" si="28"/>
        <v/>
      </c>
      <c r="D253" s="75" t="str">
        <f t="shared" si="29"/>
        <v/>
      </c>
      <c r="E253" s="76"/>
      <c r="F253" s="77"/>
      <c r="G253" s="78">
        <f t="shared" si="30"/>
        <v>0</v>
      </c>
      <c r="H253" s="79">
        <f>IFERROR(SUMIF('💸 Expenses'!B9:B508,B253,'💸 Expenses'!F9:F508),0)</f>
        <v>0</v>
      </c>
      <c r="I253" s="80">
        <f t="shared" si="31"/>
        <v>0</v>
      </c>
      <c r="J253" s="81">
        <f t="shared" si="32"/>
        <v>0</v>
      </c>
      <c r="K253" s="82"/>
      <c r="L253" s="45">
        <f t="shared" si="35"/>
        <v>0</v>
      </c>
      <c r="M253" s="48">
        <f t="shared" si="36"/>
        <v>0</v>
      </c>
      <c r="N253" s="83">
        <f t="shared" si="33"/>
        <v>0</v>
      </c>
      <c r="O253" s="84">
        <f>IFERROR(SUMIF(B8:B253,"&gt;="&amp;(B253-WEEKDAY(B253,2)+1),E8:E253),0)</f>
        <v>0</v>
      </c>
      <c r="P253" s="85">
        <f>IFERROR(SUMIF(B8:B253,"&gt;="&amp;(B253-WEEKDAY(B253,2)+1),H8:H253),0)</f>
        <v>0</v>
      </c>
      <c r="Q253" s="83">
        <f t="shared" si="34"/>
        <v>0</v>
      </c>
    </row>
    <row r="254" spans="2:17" ht="16.5" customHeight="1" x14ac:dyDescent="0.3">
      <c r="B254" s="61"/>
      <c r="C254" s="62" t="str">
        <f t="shared" si="28"/>
        <v/>
      </c>
      <c r="D254" s="63" t="str">
        <f t="shared" si="29"/>
        <v/>
      </c>
      <c r="E254" s="64"/>
      <c r="F254" s="65"/>
      <c r="G254" s="66">
        <f t="shared" si="30"/>
        <v>0</v>
      </c>
      <c r="H254" s="67">
        <f>IFERROR(SUMIF('💸 Expenses'!B9:B508,B254,'💸 Expenses'!F9:F508),0)</f>
        <v>0</v>
      </c>
      <c r="I254" s="68">
        <f t="shared" si="31"/>
        <v>0</v>
      </c>
      <c r="J254" s="69">
        <f t="shared" si="32"/>
        <v>0</v>
      </c>
      <c r="K254" s="70"/>
      <c r="L254" s="36">
        <f t="shared" si="35"/>
        <v>0</v>
      </c>
      <c r="M254" s="39">
        <f t="shared" si="36"/>
        <v>0</v>
      </c>
      <c r="N254" s="71">
        <f t="shared" si="33"/>
        <v>0</v>
      </c>
      <c r="O254" s="72">
        <f>IFERROR(SUMIF(B8:B254,"&gt;="&amp;(B254-WEEKDAY(B254,2)+1),E8:E254),0)</f>
        <v>0</v>
      </c>
      <c r="P254" s="73">
        <f>IFERROR(SUMIF(B8:B254,"&gt;="&amp;(B254-WEEKDAY(B254,2)+1),H8:H254),0)</f>
        <v>0</v>
      </c>
      <c r="Q254" s="71">
        <f t="shared" si="34"/>
        <v>0</v>
      </c>
    </row>
    <row r="255" spans="2:17" ht="16.5" customHeight="1" x14ac:dyDescent="0.3">
      <c r="B255" s="61"/>
      <c r="C255" s="74" t="str">
        <f t="shared" si="28"/>
        <v/>
      </c>
      <c r="D255" s="75" t="str">
        <f t="shared" si="29"/>
        <v/>
      </c>
      <c r="E255" s="76"/>
      <c r="F255" s="77"/>
      <c r="G255" s="78">
        <f t="shared" si="30"/>
        <v>0</v>
      </c>
      <c r="H255" s="79">
        <f>IFERROR(SUMIF('💸 Expenses'!B9:B508,B255,'💸 Expenses'!F9:F508),0)</f>
        <v>0</v>
      </c>
      <c r="I255" s="80">
        <f t="shared" si="31"/>
        <v>0</v>
      </c>
      <c r="J255" s="81">
        <f t="shared" si="32"/>
        <v>0</v>
      </c>
      <c r="K255" s="82"/>
      <c r="L255" s="45">
        <f t="shared" si="35"/>
        <v>0</v>
      </c>
      <c r="M255" s="48">
        <f t="shared" si="36"/>
        <v>0</v>
      </c>
      <c r="N255" s="83">
        <f t="shared" si="33"/>
        <v>0</v>
      </c>
      <c r="O255" s="84">
        <f>IFERROR(SUMIF(B8:B255,"&gt;="&amp;(B255-WEEKDAY(B255,2)+1),E8:E255),0)</f>
        <v>0</v>
      </c>
      <c r="P255" s="85">
        <f>IFERROR(SUMIF(B8:B255,"&gt;="&amp;(B255-WEEKDAY(B255,2)+1),H8:H255),0)</f>
        <v>0</v>
      </c>
      <c r="Q255" s="83">
        <f t="shared" si="34"/>
        <v>0</v>
      </c>
    </row>
    <row r="256" spans="2:17" ht="16.5" customHeight="1" x14ac:dyDescent="0.3">
      <c r="B256" s="61"/>
      <c r="C256" s="62" t="str">
        <f t="shared" si="28"/>
        <v/>
      </c>
      <c r="D256" s="63" t="str">
        <f t="shared" si="29"/>
        <v/>
      </c>
      <c r="E256" s="64"/>
      <c r="F256" s="65"/>
      <c r="G256" s="66">
        <f t="shared" si="30"/>
        <v>0</v>
      </c>
      <c r="H256" s="67">
        <f>IFERROR(SUMIF('💸 Expenses'!B9:B508,B256,'💸 Expenses'!F9:F508),0)</f>
        <v>0</v>
      </c>
      <c r="I256" s="68">
        <f t="shared" si="31"/>
        <v>0</v>
      </c>
      <c r="J256" s="69">
        <f t="shared" si="32"/>
        <v>0</v>
      </c>
      <c r="K256" s="70"/>
      <c r="L256" s="36">
        <f t="shared" si="35"/>
        <v>0</v>
      </c>
      <c r="M256" s="39">
        <f t="shared" si="36"/>
        <v>0</v>
      </c>
      <c r="N256" s="71">
        <f t="shared" si="33"/>
        <v>0</v>
      </c>
      <c r="O256" s="72">
        <f>IFERROR(SUMIF(B8:B256,"&gt;="&amp;(B256-WEEKDAY(B256,2)+1),E8:E256),0)</f>
        <v>0</v>
      </c>
      <c r="P256" s="73">
        <f>IFERROR(SUMIF(B8:B256,"&gt;="&amp;(B256-WEEKDAY(B256,2)+1),H8:H256),0)</f>
        <v>0</v>
      </c>
      <c r="Q256" s="71">
        <f t="shared" si="34"/>
        <v>0</v>
      </c>
    </row>
    <row r="257" spans="2:17" ht="16.5" customHeight="1" x14ac:dyDescent="0.3">
      <c r="B257" s="61"/>
      <c r="C257" s="74" t="str">
        <f t="shared" si="28"/>
        <v/>
      </c>
      <c r="D257" s="75" t="str">
        <f t="shared" si="29"/>
        <v/>
      </c>
      <c r="E257" s="76"/>
      <c r="F257" s="77"/>
      <c r="G257" s="78">
        <f t="shared" si="30"/>
        <v>0</v>
      </c>
      <c r="H257" s="79">
        <f>IFERROR(SUMIF('💸 Expenses'!B9:B508,B257,'💸 Expenses'!F9:F508),0)</f>
        <v>0</v>
      </c>
      <c r="I257" s="80">
        <f t="shared" si="31"/>
        <v>0</v>
      </c>
      <c r="J257" s="81">
        <f t="shared" si="32"/>
        <v>0</v>
      </c>
      <c r="K257" s="82"/>
      <c r="L257" s="45">
        <f t="shared" si="35"/>
        <v>0</v>
      </c>
      <c r="M257" s="48">
        <f t="shared" si="36"/>
        <v>0</v>
      </c>
      <c r="N257" s="83">
        <f t="shared" si="33"/>
        <v>0</v>
      </c>
      <c r="O257" s="84">
        <f>IFERROR(SUMIF(B8:B257,"&gt;="&amp;(B257-WEEKDAY(B257,2)+1),E8:E257),0)</f>
        <v>0</v>
      </c>
      <c r="P257" s="85">
        <f>IFERROR(SUMIF(B8:B257,"&gt;="&amp;(B257-WEEKDAY(B257,2)+1),H8:H257),0)</f>
        <v>0</v>
      </c>
      <c r="Q257" s="83">
        <f t="shared" si="34"/>
        <v>0</v>
      </c>
    </row>
    <row r="258" spans="2:17" ht="16.5" customHeight="1" x14ac:dyDescent="0.3">
      <c r="B258" s="61"/>
      <c r="C258" s="62" t="str">
        <f t="shared" si="28"/>
        <v/>
      </c>
      <c r="D258" s="63" t="str">
        <f t="shared" si="29"/>
        <v/>
      </c>
      <c r="E258" s="64"/>
      <c r="F258" s="65"/>
      <c r="G258" s="66">
        <f t="shared" si="30"/>
        <v>0</v>
      </c>
      <c r="H258" s="67">
        <f>IFERROR(SUMIF('💸 Expenses'!B9:B508,B258,'💸 Expenses'!F9:F508),0)</f>
        <v>0</v>
      </c>
      <c r="I258" s="68">
        <f t="shared" si="31"/>
        <v>0</v>
      </c>
      <c r="J258" s="69">
        <f t="shared" si="32"/>
        <v>0</v>
      </c>
      <c r="K258" s="70"/>
      <c r="L258" s="36">
        <f t="shared" si="35"/>
        <v>0</v>
      </c>
      <c r="M258" s="39">
        <f t="shared" si="36"/>
        <v>0</v>
      </c>
      <c r="N258" s="71">
        <f t="shared" si="33"/>
        <v>0</v>
      </c>
      <c r="O258" s="72">
        <f>IFERROR(SUMIF(B8:B258,"&gt;="&amp;(B258-WEEKDAY(B258,2)+1),E8:E258),0)</f>
        <v>0</v>
      </c>
      <c r="P258" s="73">
        <f>IFERROR(SUMIF(B8:B258,"&gt;="&amp;(B258-WEEKDAY(B258,2)+1),H8:H258),0)</f>
        <v>0</v>
      </c>
      <c r="Q258" s="71">
        <f t="shared" si="34"/>
        <v>0</v>
      </c>
    </row>
    <row r="259" spans="2:17" ht="16.5" customHeight="1" x14ac:dyDescent="0.3">
      <c r="B259" s="61"/>
      <c r="C259" s="74" t="str">
        <f t="shared" si="28"/>
        <v/>
      </c>
      <c r="D259" s="75" t="str">
        <f t="shared" si="29"/>
        <v/>
      </c>
      <c r="E259" s="76"/>
      <c r="F259" s="77"/>
      <c r="G259" s="78">
        <f t="shared" si="30"/>
        <v>0</v>
      </c>
      <c r="H259" s="79">
        <f>IFERROR(SUMIF('💸 Expenses'!B9:B508,B259,'💸 Expenses'!F9:F508),0)</f>
        <v>0</v>
      </c>
      <c r="I259" s="80">
        <f t="shared" si="31"/>
        <v>0</v>
      </c>
      <c r="J259" s="81">
        <f t="shared" si="32"/>
        <v>0</v>
      </c>
      <c r="K259" s="82"/>
      <c r="L259" s="45">
        <f t="shared" si="35"/>
        <v>0</v>
      </c>
      <c r="M259" s="48">
        <f t="shared" si="36"/>
        <v>0</v>
      </c>
      <c r="N259" s="83">
        <f t="shared" si="33"/>
        <v>0</v>
      </c>
      <c r="O259" s="84">
        <f>IFERROR(SUMIF(B8:B259,"&gt;="&amp;(B259-WEEKDAY(B259,2)+1),E8:E259),0)</f>
        <v>0</v>
      </c>
      <c r="P259" s="85">
        <f>IFERROR(SUMIF(B8:B259,"&gt;="&amp;(B259-WEEKDAY(B259,2)+1),H8:H259),0)</f>
        <v>0</v>
      </c>
      <c r="Q259" s="83">
        <f t="shared" si="34"/>
        <v>0</v>
      </c>
    </row>
    <row r="260" spans="2:17" ht="16.5" customHeight="1" x14ac:dyDescent="0.3">
      <c r="B260" s="61"/>
      <c r="C260" s="62" t="str">
        <f t="shared" si="28"/>
        <v/>
      </c>
      <c r="D260" s="63" t="str">
        <f t="shared" si="29"/>
        <v/>
      </c>
      <c r="E260" s="64"/>
      <c r="F260" s="65"/>
      <c r="G260" s="66">
        <f t="shared" si="30"/>
        <v>0</v>
      </c>
      <c r="H260" s="67">
        <f>IFERROR(SUMIF('💸 Expenses'!B9:B508,B260,'💸 Expenses'!F9:F508),0)</f>
        <v>0</v>
      </c>
      <c r="I260" s="68">
        <f t="shared" si="31"/>
        <v>0</v>
      </c>
      <c r="J260" s="69">
        <f t="shared" si="32"/>
        <v>0</v>
      </c>
      <c r="K260" s="70"/>
      <c r="L260" s="36">
        <f t="shared" si="35"/>
        <v>0</v>
      </c>
      <c r="M260" s="39">
        <f t="shared" si="36"/>
        <v>0</v>
      </c>
      <c r="N260" s="71">
        <f t="shared" si="33"/>
        <v>0</v>
      </c>
      <c r="O260" s="72">
        <f>IFERROR(SUMIF(B8:B260,"&gt;="&amp;(B260-WEEKDAY(B260,2)+1),E8:E260),0)</f>
        <v>0</v>
      </c>
      <c r="P260" s="73">
        <f>IFERROR(SUMIF(B8:B260,"&gt;="&amp;(B260-WEEKDAY(B260,2)+1),H8:H260),0)</f>
        <v>0</v>
      </c>
      <c r="Q260" s="71">
        <f t="shared" si="34"/>
        <v>0</v>
      </c>
    </row>
    <row r="261" spans="2:17" ht="16.5" customHeight="1" x14ac:dyDescent="0.3">
      <c r="B261" s="61"/>
      <c r="C261" s="74" t="str">
        <f t="shared" si="28"/>
        <v/>
      </c>
      <c r="D261" s="75" t="str">
        <f t="shared" si="29"/>
        <v/>
      </c>
      <c r="E261" s="76"/>
      <c r="F261" s="77"/>
      <c r="G261" s="78">
        <f t="shared" si="30"/>
        <v>0</v>
      </c>
      <c r="H261" s="79">
        <f>IFERROR(SUMIF('💸 Expenses'!B9:B508,B261,'💸 Expenses'!F9:F508),0)</f>
        <v>0</v>
      </c>
      <c r="I261" s="80">
        <f t="shared" si="31"/>
        <v>0</v>
      </c>
      <c r="J261" s="81">
        <f t="shared" si="32"/>
        <v>0</v>
      </c>
      <c r="K261" s="82"/>
      <c r="L261" s="45">
        <f t="shared" si="35"/>
        <v>0</v>
      </c>
      <c r="M261" s="48">
        <f t="shared" si="36"/>
        <v>0</v>
      </c>
      <c r="N261" s="83">
        <f t="shared" si="33"/>
        <v>0</v>
      </c>
      <c r="O261" s="84">
        <f>IFERROR(SUMIF(B8:B261,"&gt;="&amp;(B261-WEEKDAY(B261,2)+1),E8:E261),0)</f>
        <v>0</v>
      </c>
      <c r="P261" s="85">
        <f>IFERROR(SUMIF(B8:B261,"&gt;="&amp;(B261-WEEKDAY(B261,2)+1),H8:H261),0)</f>
        <v>0</v>
      </c>
      <c r="Q261" s="83">
        <f t="shared" si="34"/>
        <v>0</v>
      </c>
    </row>
    <row r="262" spans="2:17" ht="16.5" customHeight="1" x14ac:dyDescent="0.3">
      <c r="B262" s="61"/>
      <c r="C262" s="62" t="str">
        <f t="shared" si="28"/>
        <v/>
      </c>
      <c r="D262" s="63" t="str">
        <f t="shared" si="29"/>
        <v/>
      </c>
      <c r="E262" s="64"/>
      <c r="F262" s="65"/>
      <c r="G262" s="66">
        <f t="shared" si="30"/>
        <v>0</v>
      </c>
      <c r="H262" s="67">
        <f>IFERROR(SUMIF('💸 Expenses'!B9:B508,B262,'💸 Expenses'!F9:F508),0)</f>
        <v>0</v>
      </c>
      <c r="I262" s="68">
        <f t="shared" si="31"/>
        <v>0</v>
      </c>
      <c r="J262" s="69">
        <f t="shared" si="32"/>
        <v>0</v>
      </c>
      <c r="K262" s="70"/>
      <c r="L262" s="36">
        <f t="shared" si="35"/>
        <v>0</v>
      </c>
      <c r="M262" s="39">
        <f t="shared" si="36"/>
        <v>0</v>
      </c>
      <c r="N262" s="71">
        <f t="shared" si="33"/>
        <v>0</v>
      </c>
      <c r="O262" s="72">
        <f>IFERROR(SUMIF(B8:B262,"&gt;="&amp;(B262-WEEKDAY(B262,2)+1),E8:E262),0)</f>
        <v>0</v>
      </c>
      <c r="P262" s="73">
        <f>IFERROR(SUMIF(B8:B262,"&gt;="&amp;(B262-WEEKDAY(B262,2)+1),H8:H262),0)</f>
        <v>0</v>
      </c>
      <c r="Q262" s="71">
        <f t="shared" si="34"/>
        <v>0</v>
      </c>
    </row>
    <row r="263" spans="2:17" ht="16.5" customHeight="1" x14ac:dyDescent="0.3">
      <c r="B263" s="61"/>
      <c r="C263" s="74" t="str">
        <f t="shared" si="28"/>
        <v/>
      </c>
      <c r="D263" s="75" t="str">
        <f t="shared" si="29"/>
        <v/>
      </c>
      <c r="E263" s="76"/>
      <c r="F263" s="77"/>
      <c r="G263" s="78">
        <f t="shared" si="30"/>
        <v>0</v>
      </c>
      <c r="H263" s="79">
        <f>IFERROR(SUMIF('💸 Expenses'!B9:B508,B263,'💸 Expenses'!F9:F508),0)</f>
        <v>0</v>
      </c>
      <c r="I263" s="80">
        <f t="shared" si="31"/>
        <v>0</v>
      </c>
      <c r="J263" s="81">
        <f t="shared" si="32"/>
        <v>0</v>
      </c>
      <c r="K263" s="82"/>
      <c r="L263" s="45">
        <f t="shared" si="35"/>
        <v>0</v>
      </c>
      <c r="M263" s="48">
        <f t="shared" si="36"/>
        <v>0</v>
      </c>
      <c r="N263" s="83">
        <f t="shared" si="33"/>
        <v>0</v>
      </c>
      <c r="O263" s="84">
        <f>IFERROR(SUMIF(B8:B263,"&gt;="&amp;(B263-WEEKDAY(B263,2)+1),E8:E263),0)</f>
        <v>0</v>
      </c>
      <c r="P263" s="85">
        <f>IFERROR(SUMIF(B8:B263,"&gt;="&amp;(B263-WEEKDAY(B263,2)+1),H8:H263),0)</f>
        <v>0</v>
      </c>
      <c r="Q263" s="83">
        <f t="shared" si="34"/>
        <v>0</v>
      </c>
    </row>
    <row r="264" spans="2:17" ht="16.5" customHeight="1" x14ac:dyDescent="0.3">
      <c r="B264" s="61"/>
      <c r="C264" s="62" t="str">
        <f t="shared" ref="C264:C327" si="37">IF(B264="","",TEXT(B264,"DDD"))</f>
        <v/>
      </c>
      <c r="D264" s="63" t="str">
        <f t="shared" ref="D264:D327" si="38">IF(B264="","","Soft App")</f>
        <v/>
      </c>
      <c r="E264" s="64"/>
      <c r="F264" s="65"/>
      <c r="G264" s="66">
        <f t="shared" ref="G264:G327" si="39">IFERROR(E264/F264,0)</f>
        <v>0</v>
      </c>
      <c r="H264" s="67">
        <f>IFERROR(SUMIF('💸 Expenses'!B9:B508,B264,'💸 Expenses'!F9:F508),0)</f>
        <v>0</v>
      </c>
      <c r="I264" s="68">
        <f t="shared" ref="I264:I327" si="40">IFERROR(E264-H264,0)</f>
        <v>0</v>
      </c>
      <c r="J264" s="69">
        <f t="shared" ref="J264:J327" si="41">IFERROR(I264/E264,0)</f>
        <v>0</v>
      </c>
      <c r="K264" s="70"/>
      <c r="L264" s="36">
        <f t="shared" si="35"/>
        <v>0</v>
      </c>
      <c r="M264" s="39">
        <f t="shared" si="36"/>
        <v>0</v>
      </c>
      <c r="N264" s="71">
        <f t="shared" ref="N264:N327" si="42">IFERROR(L264-M264,0)</f>
        <v>0</v>
      </c>
      <c r="O264" s="72">
        <f>IFERROR(SUMIF(B8:B264,"&gt;="&amp;(B264-WEEKDAY(B264,2)+1),E8:E264),0)</f>
        <v>0</v>
      </c>
      <c r="P264" s="73">
        <f>IFERROR(SUMIF(B8:B264,"&gt;="&amp;(B264-WEEKDAY(B264,2)+1),H8:H264),0)</f>
        <v>0</v>
      </c>
      <c r="Q264" s="71">
        <f t="shared" ref="Q264:Q327" si="43">IFERROR(O264-P264,0)</f>
        <v>0</v>
      </c>
    </row>
    <row r="265" spans="2:17" ht="16.5" customHeight="1" x14ac:dyDescent="0.3">
      <c r="B265" s="61"/>
      <c r="C265" s="74" t="str">
        <f t="shared" si="37"/>
        <v/>
      </c>
      <c r="D265" s="75" t="str">
        <f t="shared" si="38"/>
        <v/>
      </c>
      <c r="E265" s="76"/>
      <c r="F265" s="77"/>
      <c r="G265" s="78">
        <f t="shared" si="39"/>
        <v>0</v>
      </c>
      <c r="H265" s="79">
        <f>IFERROR(SUMIF('💸 Expenses'!B9:B508,B265,'💸 Expenses'!F9:F508),0)</f>
        <v>0</v>
      </c>
      <c r="I265" s="80">
        <f t="shared" si="40"/>
        <v>0</v>
      </c>
      <c r="J265" s="81">
        <f t="shared" si="41"/>
        <v>0</v>
      </c>
      <c r="K265" s="82"/>
      <c r="L265" s="45">
        <f t="shared" ref="L265:L328" si="44">IFERROR(L264+E265,0)</f>
        <v>0</v>
      </c>
      <c r="M265" s="48">
        <f t="shared" ref="M265:M328" si="45">IFERROR(M264+H265,0)</f>
        <v>0</v>
      </c>
      <c r="N265" s="83">
        <f t="shared" si="42"/>
        <v>0</v>
      </c>
      <c r="O265" s="84">
        <f>IFERROR(SUMIF(B8:B265,"&gt;="&amp;(B265-WEEKDAY(B265,2)+1),E8:E265),0)</f>
        <v>0</v>
      </c>
      <c r="P265" s="85">
        <f>IFERROR(SUMIF(B8:B265,"&gt;="&amp;(B265-WEEKDAY(B265,2)+1),H8:H265),0)</f>
        <v>0</v>
      </c>
      <c r="Q265" s="83">
        <f t="shared" si="43"/>
        <v>0</v>
      </c>
    </row>
    <row r="266" spans="2:17" ht="16.5" customHeight="1" x14ac:dyDescent="0.3">
      <c r="B266" s="61"/>
      <c r="C266" s="62" t="str">
        <f t="shared" si="37"/>
        <v/>
      </c>
      <c r="D266" s="63" t="str">
        <f t="shared" si="38"/>
        <v/>
      </c>
      <c r="E266" s="64"/>
      <c r="F266" s="65"/>
      <c r="G266" s="66">
        <f t="shared" si="39"/>
        <v>0</v>
      </c>
      <c r="H266" s="67">
        <f>IFERROR(SUMIF('💸 Expenses'!B9:B508,B266,'💸 Expenses'!F9:F508),0)</f>
        <v>0</v>
      </c>
      <c r="I266" s="68">
        <f t="shared" si="40"/>
        <v>0</v>
      </c>
      <c r="J266" s="69">
        <f t="shared" si="41"/>
        <v>0</v>
      </c>
      <c r="K266" s="70"/>
      <c r="L266" s="36">
        <f t="shared" si="44"/>
        <v>0</v>
      </c>
      <c r="M266" s="39">
        <f t="shared" si="45"/>
        <v>0</v>
      </c>
      <c r="N266" s="71">
        <f t="shared" si="42"/>
        <v>0</v>
      </c>
      <c r="O266" s="72">
        <f>IFERROR(SUMIF(B8:B266,"&gt;="&amp;(B266-WEEKDAY(B266,2)+1),E8:E266),0)</f>
        <v>0</v>
      </c>
      <c r="P266" s="73">
        <f>IFERROR(SUMIF(B8:B266,"&gt;="&amp;(B266-WEEKDAY(B266,2)+1),H8:H266),0)</f>
        <v>0</v>
      </c>
      <c r="Q266" s="71">
        <f t="shared" si="43"/>
        <v>0</v>
      </c>
    </row>
    <row r="267" spans="2:17" ht="16.5" customHeight="1" x14ac:dyDescent="0.3">
      <c r="B267" s="61"/>
      <c r="C267" s="74" t="str">
        <f t="shared" si="37"/>
        <v/>
      </c>
      <c r="D267" s="75" t="str">
        <f t="shared" si="38"/>
        <v/>
      </c>
      <c r="E267" s="76"/>
      <c r="F267" s="77"/>
      <c r="G267" s="78">
        <f t="shared" si="39"/>
        <v>0</v>
      </c>
      <c r="H267" s="79">
        <f>IFERROR(SUMIF('💸 Expenses'!B9:B508,B267,'💸 Expenses'!F9:F508),0)</f>
        <v>0</v>
      </c>
      <c r="I267" s="80">
        <f t="shared" si="40"/>
        <v>0</v>
      </c>
      <c r="J267" s="81">
        <f t="shared" si="41"/>
        <v>0</v>
      </c>
      <c r="K267" s="82"/>
      <c r="L267" s="45">
        <f t="shared" si="44"/>
        <v>0</v>
      </c>
      <c r="M267" s="48">
        <f t="shared" si="45"/>
        <v>0</v>
      </c>
      <c r="N267" s="83">
        <f t="shared" si="42"/>
        <v>0</v>
      </c>
      <c r="O267" s="84">
        <f>IFERROR(SUMIF(B8:B267,"&gt;="&amp;(B267-WEEKDAY(B267,2)+1),E8:E267),0)</f>
        <v>0</v>
      </c>
      <c r="P267" s="85">
        <f>IFERROR(SUMIF(B8:B267,"&gt;="&amp;(B267-WEEKDAY(B267,2)+1),H8:H267),0)</f>
        <v>0</v>
      </c>
      <c r="Q267" s="83">
        <f t="shared" si="43"/>
        <v>0</v>
      </c>
    </row>
    <row r="268" spans="2:17" ht="16.5" customHeight="1" x14ac:dyDescent="0.3">
      <c r="B268" s="61"/>
      <c r="C268" s="62" t="str">
        <f t="shared" si="37"/>
        <v/>
      </c>
      <c r="D268" s="63" t="str">
        <f t="shared" si="38"/>
        <v/>
      </c>
      <c r="E268" s="64"/>
      <c r="F268" s="65"/>
      <c r="G268" s="66">
        <f t="shared" si="39"/>
        <v>0</v>
      </c>
      <c r="H268" s="67">
        <f>IFERROR(SUMIF('💸 Expenses'!B9:B508,B268,'💸 Expenses'!F9:F508),0)</f>
        <v>0</v>
      </c>
      <c r="I268" s="68">
        <f t="shared" si="40"/>
        <v>0</v>
      </c>
      <c r="J268" s="69">
        <f t="shared" si="41"/>
        <v>0</v>
      </c>
      <c r="K268" s="70"/>
      <c r="L268" s="36">
        <f t="shared" si="44"/>
        <v>0</v>
      </c>
      <c r="M268" s="39">
        <f t="shared" si="45"/>
        <v>0</v>
      </c>
      <c r="N268" s="71">
        <f t="shared" si="42"/>
        <v>0</v>
      </c>
      <c r="O268" s="72">
        <f>IFERROR(SUMIF(B8:B268,"&gt;="&amp;(B268-WEEKDAY(B268,2)+1),E8:E268),0)</f>
        <v>0</v>
      </c>
      <c r="P268" s="73">
        <f>IFERROR(SUMIF(B8:B268,"&gt;="&amp;(B268-WEEKDAY(B268,2)+1),H8:H268),0)</f>
        <v>0</v>
      </c>
      <c r="Q268" s="71">
        <f t="shared" si="43"/>
        <v>0</v>
      </c>
    </row>
    <row r="269" spans="2:17" ht="16.5" customHeight="1" x14ac:dyDescent="0.3">
      <c r="B269" s="61"/>
      <c r="C269" s="74" t="str">
        <f t="shared" si="37"/>
        <v/>
      </c>
      <c r="D269" s="75" t="str">
        <f t="shared" si="38"/>
        <v/>
      </c>
      <c r="E269" s="76"/>
      <c r="F269" s="77"/>
      <c r="G269" s="78">
        <f t="shared" si="39"/>
        <v>0</v>
      </c>
      <c r="H269" s="79">
        <f>IFERROR(SUMIF('💸 Expenses'!B9:B508,B269,'💸 Expenses'!F9:F508),0)</f>
        <v>0</v>
      </c>
      <c r="I269" s="80">
        <f t="shared" si="40"/>
        <v>0</v>
      </c>
      <c r="J269" s="81">
        <f t="shared" si="41"/>
        <v>0</v>
      </c>
      <c r="K269" s="82"/>
      <c r="L269" s="45">
        <f t="shared" si="44"/>
        <v>0</v>
      </c>
      <c r="M269" s="48">
        <f t="shared" si="45"/>
        <v>0</v>
      </c>
      <c r="N269" s="83">
        <f t="shared" si="42"/>
        <v>0</v>
      </c>
      <c r="O269" s="84">
        <f>IFERROR(SUMIF(B8:B269,"&gt;="&amp;(B269-WEEKDAY(B269,2)+1),E8:E269),0)</f>
        <v>0</v>
      </c>
      <c r="P269" s="85">
        <f>IFERROR(SUMIF(B8:B269,"&gt;="&amp;(B269-WEEKDAY(B269,2)+1),H8:H269),0)</f>
        <v>0</v>
      </c>
      <c r="Q269" s="83">
        <f t="shared" si="43"/>
        <v>0</v>
      </c>
    </row>
    <row r="270" spans="2:17" ht="16.5" customHeight="1" x14ac:dyDescent="0.3">
      <c r="B270" s="61"/>
      <c r="C270" s="62" t="str">
        <f t="shared" si="37"/>
        <v/>
      </c>
      <c r="D270" s="63" t="str">
        <f t="shared" si="38"/>
        <v/>
      </c>
      <c r="E270" s="64"/>
      <c r="F270" s="65"/>
      <c r="G270" s="66">
        <f t="shared" si="39"/>
        <v>0</v>
      </c>
      <c r="H270" s="67">
        <f>IFERROR(SUMIF('💸 Expenses'!B9:B508,B270,'💸 Expenses'!F9:F508),0)</f>
        <v>0</v>
      </c>
      <c r="I270" s="68">
        <f t="shared" si="40"/>
        <v>0</v>
      </c>
      <c r="J270" s="69">
        <f t="shared" si="41"/>
        <v>0</v>
      </c>
      <c r="K270" s="70"/>
      <c r="L270" s="36">
        <f t="shared" si="44"/>
        <v>0</v>
      </c>
      <c r="M270" s="39">
        <f t="shared" si="45"/>
        <v>0</v>
      </c>
      <c r="N270" s="71">
        <f t="shared" si="42"/>
        <v>0</v>
      </c>
      <c r="O270" s="72">
        <f>IFERROR(SUMIF(B8:B270,"&gt;="&amp;(B270-WEEKDAY(B270,2)+1),E8:E270),0)</f>
        <v>0</v>
      </c>
      <c r="P270" s="73">
        <f>IFERROR(SUMIF(B8:B270,"&gt;="&amp;(B270-WEEKDAY(B270,2)+1),H8:H270),0)</f>
        <v>0</v>
      </c>
      <c r="Q270" s="71">
        <f t="shared" si="43"/>
        <v>0</v>
      </c>
    </row>
    <row r="271" spans="2:17" ht="16.5" customHeight="1" x14ac:dyDescent="0.3">
      <c r="B271" s="61"/>
      <c r="C271" s="74" t="str">
        <f t="shared" si="37"/>
        <v/>
      </c>
      <c r="D271" s="75" t="str">
        <f t="shared" si="38"/>
        <v/>
      </c>
      <c r="E271" s="76"/>
      <c r="F271" s="77"/>
      <c r="G271" s="78">
        <f t="shared" si="39"/>
        <v>0</v>
      </c>
      <c r="H271" s="79">
        <f>IFERROR(SUMIF('💸 Expenses'!B9:B508,B271,'💸 Expenses'!F9:F508),0)</f>
        <v>0</v>
      </c>
      <c r="I271" s="80">
        <f t="shared" si="40"/>
        <v>0</v>
      </c>
      <c r="J271" s="81">
        <f t="shared" si="41"/>
        <v>0</v>
      </c>
      <c r="K271" s="82"/>
      <c r="L271" s="45">
        <f t="shared" si="44"/>
        <v>0</v>
      </c>
      <c r="M271" s="48">
        <f t="shared" si="45"/>
        <v>0</v>
      </c>
      <c r="N271" s="83">
        <f t="shared" si="42"/>
        <v>0</v>
      </c>
      <c r="O271" s="84">
        <f>IFERROR(SUMIF(B8:B271,"&gt;="&amp;(B271-WEEKDAY(B271,2)+1),E8:E271),0)</f>
        <v>0</v>
      </c>
      <c r="P271" s="85">
        <f>IFERROR(SUMIF(B8:B271,"&gt;="&amp;(B271-WEEKDAY(B271,2)+1),H8:H271),0)</f>
        <v>0</v>
      </c>
      <c r="Q271" s="83">
        <f t="shared" si="43"/>
        <v>0</v>
      </c>
    </row>
    <row r="272" spans="2:17" ht="16.5" customHeight="1" x14ac:dyDescent="0.3">
      <c r="B272" s="61"/>
      <c r="C272" s="62" t="str">
        <f t="shared" si="37"/>
        <v/>
      </c>
      <c r="D272" s="63" t="str">
        <f t="shared" si="38"/>
        <v/>
      </c>
      <c r="E272" s="64"/>
      <c r="F272" s="65"/>
      <c r="G272" s="66">
        <f t="shared" si="39"/>
        <v>0</v>
      </c>
      <c r="H272" s="67">
        <f>IFERROR(SUMIF('💸 Expenses'!B9:B508,B272,'💸 Expenses'!F9:F508),0)</f>
        <v>0</v>
      </c>
      <c r="I272" s="68">
        <f t="shared" si="40"/>
        <v>0</v>
      </c>
      <c r="J272" s="69">
        <f t="shared" si="41"/>
        <v>0</v>
      </c>
      <c r="K272" s="70"/>
      <c r="L272" s="36">
        <f t="shared" si="44"/>
        <v>0</v>
      </c>
      <c r="M272" s="39">
        <f t="shared" si="45"/>
        <v>0</v>
      </c>
      <c r="N272" s="71">
        <f t="shared" si="42"/>
        <v>0</v>
      </c>
      <c r="O272" s="72">
        <f>IFERROR(SUMIF(B8:B272,"&gt;="&amp;(B272-WEEKDAY(B272,2)+1),E8:E272),0)</f>
        <v>0</v>
      </c>
      <c r="P272" s="73">
        <f>IFERROR(SUMIF(B8:B272,"&gt;="&amp;(B272-WEEKDAY(B272,2)+1),H8:H272),0)</f>
        <v>0</v>
      </c>
      <c r="Q272" s="71">
        <f t="shared" si="43"/>
        <v>0</v>
      </c>
    </row>
    <row r="273" spans="2:17" ht="16.5" customHeight="1" x14ac:dyDescent="0.3">
      <c r="B273" s="61"/>
      <c r="C273" s="74" t="str">
        <f t="shared" si="37"/>
        <v/>
      </c>
      <c r="D273" s="75" t="str">
        <f t="shared" si="38"/>
        <v/>
      </c>
      <c r="E273" s="76"/>
      <c r="F273" s="77"/>
      <c r="G273" s="78">
        <f t="shared" si="39"/>
        <v>0</v>
      </c>
      <c r="H273" s="79">
        <f>IFERROR(SUMIF('💸 Expenses'!B9:B508,B273,'💸 Expenses'!F9:F508),0)</f>
        <v>0</v>
      </c>
      <c r="I273" s="80">
        <f t="shared" si="40"/>
        <v>0</v>
      </c>
      <c r="J273" s="81">
        <f t="shared" si="41"/>
        <v>0</v>
      </c>
      <c r="K273" s="82"/>
      <c r="L273" s="45">
        <f t="shared" si="44"/>
        <v>0</v>
      </c>
      <c r="M273" s="48">
        <f t="shared" si="45"/>
        <v>0</v>
      </c>
      <c r="N273" s="83">
        <f t="shared" si="42"/>
        <v>0</v>
      </c>
      <c r="O273" s="84">
        <f>IFERROR(SUMIF(B8:B273,"&gt;="&amp;(B273-WEEKDAY(B273,2)+1),E8:E273),0)</f>
        <v>0</v>
      </c>
      <c r="P273" s="85">
        <f>IFERROR(SUMIF(B8:B273,"&gt;="&amp;(B273-WEEKDAY(B273,2)+1),H8:H273),0)</f>
        <v>0</v>
      </c>
      <c r="Q273" s="83">
        <f t="shared" si="43"/>
        <v>0</v>
      </c>
    </row>
    <row r="274" spans="2:17" ht="16.5" customHeight="1" x14ac:dyDescent="0.3">
      <c r="B274" s="61"/>
      <c r="C274" s="62" t="str">
        <f t="shared" si="37"/>
        <v/>
      </c>
      <c r="D274" s="63" t="str">
        <f t="shared" si="38"/>
        <v/>
      </c>
      <c r="E274" s="64"/>
      <c r="F274" s="65"/>
      <c r="G274" s="66">
        <f t="shared" si="39"/>
        <v>0</v>
      </c>
      <c r="H274" s="67">
        <f>IFERROR(SUMIF('💸 Expenses'!B9:B508,B274,'💸 Expenses'!F9:F508),0)</f>
        <v>0</v>
      </c>
      <c r="I274" s="68">
        <f t="shared" si="40"/>
        <v>0</v>
      </c>
      <c r="J274" s="69">
        <f t="shared" si="41"/>
        <v>0</v>
      </c>
      <c r="K274" s="70"/>
      <c r="L274" s="36">
        <f t="shared" si="44"/>
        <v>0</v>
      </c>
      <c r="M274" s="39">
        <f t="shared" si="45"/>
        <v>0</v>
      </c>
      <c r="N274" s="71">
        <f t="shared" si="42"/>
        <v>0</v>
      </c>
      <c r="O274" s="72">
        <f>IFERROR(SUMIF(B8:B274,"&gt;="&amp;(B274-WEEKDAY(B274,2)+1),E8:E274),0)</f>
        <v>0</v>
      </c>
      <c r="P274" s="73">
        <f>IFERROR(SUMIF(B8:B274,"&gt;="&amp;(B274-WEEKDAY(B274,2)+1),H8:H274),0)</f>
        <v>0</v>
      </c>
      <c r="Q274" s="71">
        <f t="shared" si="43"/>
        <v>0</v>
      </c>
    </row>
    <row r="275" spans="2:17" ht="16.5" customHeight="1" x14ac:dyDescent="0.3">
      <c r="B275" s="61"/>
      <c r="C275" s="74" t="str">
        <f t="shared" si="37"/>
        <v/>
      </c>
      <c r="D275" s="75" t="str">
        <f t="shared" si="38"/>
        <v/>
      </c>
      <c r="E275" s="76"/>
      <c r="F275" s="77"/>
      <c r="G275" s="78">
        <f t="shared" si="39"/>
        <v>0</v>
      </c>
      <c r="H275" s="79">
        <f>IFERROR(SUMIF('💸 Expenses'!B9:B508,B275,'💸 Expenses'!F9:F508),0)</f>
        <v>0</v>
      </c>
      <c r="I275" s="80">
        <f t="shared" si="40"/>
        <v>0</v>
      </c>
      <c r="J275" s="81">
        <f t="shared" si="41"/>
        <v>0</v>
      </c>
      <c r="K275" s="82"/>
      <c r="L275" s="45">
        <f t="shared" si="44"/>
        <v>0</v>
      </c>
      <c r="M275" s="48">
        <f t="shared" si="45"/>
        <v>0</v>
      </c>
      <c r="N275" s="83">
        <f t="shared" si="42"/>
        <v>0</v>
      </c>
      <c r="O275" s="84">
        <f>IFERROR(SUMIF(B8:B275,"&gt;="&amp;(B275-WEEKDAY(B275,2)+1),E8:E275),0)</f>
        <v>0</v>
      </c>
      <c r="P275" s="85">
        <f>IFERROR(SUMIF(B8:B275,"&gt;="&amp;(B275-WEEKDAY(B275,2)+1),H8:H275),0)</f>
        <v>0</v>
      </c>
      <c r="Q275" s="83">
        <f t="shared" si="43"/>
        <v>0</v>
      </c>
    </row>
    <row r="276" spans="2:17" ht="16.5" customHeight="1" x14ac:dyDescent="0.3">
      <c r="B276" s="61"/>
      <c r="C276" s="62" t="str">
        <f t="shared" si="37"/>
        <v/>
      </c>
      <c r="D276" s="63" t="str">
        <f t="shared" si="38"/>
        <v/>
      </c>
      <c r="E276" s="64"/>
      <c r="F276" s="65"/>
      <c r="G276" s="66">
        <f t="shared" si="39"/>
        <v>0</v>
      </c>
      <c r="H276" s="67">
        <f>IFERROR(SUMIF('💸 Expenses'!B9:B508,B276,'💸 Expenses'!F9:F508),0)</f>
        <v>0</v>
      </c>
      <c r="I276" s="68">
        <f t="shared" si="40"/>
        <v>0</v>
      </c>
      <c r="J276" s="69">
        <f t="shared" si="41"/>
        <v>0</v>
      </c>
      <c r="K276" s="70"/>
      <c r="L276" s="36">
        <f t="shared" si="44"/>
        <v>0</v>
      </c>
      <c r="M276" s="39">
        <f t="shared" si="45"/>
        <v>0</v>
      </c>
      <c r="N276" s="71">
        <f t="shared" si="42"/>
        <v>0</v>
      </c>
      <c r="O276" s="72">
        <f>IFERROR(SUMIF(B8:B276,"&gt;="&amp;(B276-WEEKDAY(B276,2)+1),E8:E276),0)</f>
        <v>0</v>
      </c>
      <c r="P276" s="73">
        <f>IFERROR(SUMIF(B8:B276,"&gt;="&amp;(B276-WEEKDAY(B276,2)+1),H8:H276),0)</f>
        <v>0</v>
      </c>
      <c r="Q276" s="71">
        <f t="shared" si="43"/>
        <v>0</v>
      </c>
    </row>
    <row r="277" spans="2:17" ht="16.5" customHeight="1" x14ac:dyDescent="0.3">
      <c r="B277" s="61"/>
      <c r="C277" s="74" t="str">
        <f t="shared" si="37"/>
        <v/>
      </c>
      <c r="D277" s="75" t="str">
        <f t="shared" si="38"/>
        <v/>
      </c>
      <c r="E277" s="76"/>
      <c r="F277" s="77"/>
      <c r="G277" s="78">
        <f t="shared" si="39"/>
        <v>0</v>
      </c>
      <c r="H277" s="79">
        <f>IFERROR(SUMIF('💸 Expenses'!B9:B508,B277,'💸 Expenses'!F9:F508),0)</f>
        <v>0</v>
      </c>
      <c r="I277" s="80">
        <f t="shared" si="40"/>
        <v>0</v>
      </c>
      <c r="J277" s="81">
        <f t="shared" si="41"/>
        <v>0</v>
      </c>
      <c r="K277" s="82"/>
      <c r="L277" s="45">
        <f t="shared" si="44"/>
        <v>0</v>
      </c>
      <c r="M277" s="48">
        <f t="shared" si="45"/>
        <v>0</v>
      </c>
      <c r="N277" s="83">
        <f t="shared" si="42"/>
        <v>0</v>
      </c>
      <c r="O277" s="84">
        <f>IFERROR(SUMIF(B8:B277,"&gt;="&amp;(B277-WEEKDAY(B277,2)+1),E8:E277),0)</f>
        <v>0</v>
      </c>
      <c r="P277" s="85">
        <f>IFERROR(SUMIF(B8:B277,"&gt;="&amp;(B277-WEEKDAY(B277,2)+1),H8:H277),0)</f>
        <v>0</v>
      </c>
      <c r="Q277" s="83">
        <f t="shared" si="43"/>
        <v>0</v>
      </c>
    </row>
    <row r="278" spans="2:17" ht="16.5" customHeight="1" x14ac:dyDescent="0.3">
      <c r="B278" s="61"/>
      <c r="C278" s="62" t="str">
        <f t="shared" si="37"/>
        <v/>
      </c>
      <c r="D278" s="63" t="str">
        <f t="shared" si="38"/>
        <v/>
      </c>
      <c r="E278" s="64"/>
      <c r="F278" s="65"/>
      <c r="G278" s="66">
        <f t="shared" si="39"/>
        <v>0</v>
      </c>
      <c r="H278" s="67">
        <f>IFERROR(SUMIF('💸 Expenses'!B9:B508,B278,'💸 Expenses'!F9:F508),0)</f>
        <v>0</v>
      </c>
      <c r="I278" s="68">
        <f t="shared" si="40"/>
        <v>0</v>
      </c>
      <c r="J278" s="69">
        <f t="shared" si="41"/>
        <v>0</v>
      </c>
      <c r="K278" s="70"/>
      <c r="L278" s="36">
        <f t="shared" si="44"/>
        <v>0</v>
      </c>
      <c r="M278" s="39">
        <f t="shared" si="45"/>
        <v>0</v>
      </c>
      <c r="N278" s="71">
        <f t="shared" si="42"/>
        <v>0</v>
      </c>
      <c r="O278" s="72">
        <f>IFERROR(SUMIF(B8:B278,"&gt;="&amp;(B278-WEEKDAY(B278,2)+1),E8:E278),0)</f>
        <v>0</v>
      </c>
      <c r="P278" s="73">
        <f>IFERROR(SUMIF(B8:B278,"&gt;="&amp;(B278-WEEKDAY(B278,2)+1),H8:H278),0)</f>
        <v>0</v>
      </c>
      <c r="Q278" s="71">
        <f t="shared" si="43"/>
        <v>0</v>
      </c>
    </row>
    <row r="279" spans="2:17" ht="16.5" customHeight="1" x14ac:dyDescent="0.3">
      <c r="B279" s="61"/>
      <c r="C279" s="74" t="str">
        <f t="shared" si="37"/>
        <v/>
      </c>
      <c r="D279" s="75" t="str">
        <f t="shared" si="38"/>
        <v/>
      </c>
      <c r="E279" s="76"/>
      <c r="F279" s="77"/>
      <c r="G279" s="78">
        <f t="shared" si="39"/>
        <v>0</v>
      </c>
      <c r="H279" s="79">
        <f>IFERROR(SUMIF('💸 Expenses'!B9:B508,B279,'💸 Expenses'!F9:F508),0)</f>
        <v>0</v>
      </c>
      <c r="I279" s="80">
        <f t="shared" si="40"/>
        <v>0</v>
      </c>
      <c r="J279" s="81">
        <f t="shared" si="41"/>
        <v>0</v>
      </c>
      <c r="K279" s="82"/>
      <c r="L279" s="45">
        <f t="shared" si="44"/>
        <v>0</v>
      </c>
      <c r="M279" s="48">
        <f t="shared" si="45"/>
        <v>0</v>
      </c>
      <c r="N279" s="83">
        <f t="shared" si="42"/>
        <v>0</v>
      </c>
      <c r="O279" s="84">
        <f>IFERROR(SUMIF(B8:B279,"&gt;="&amp;(B279-WEEKDAY(B279,2)+1),E8:E279),0)</f>
        <v>0</v>
      </c>
      <c r="P279" s="85">
        <f>IFERROR(SUMIF(B8:B279,"&gt;="&amp;(B279-WEEKDAY(B279,2)+1),H8:H279),0)</f>
        <v>0</v>
      </c>
      <c r="Q279" s="83">
        <f t="shared" si="43"/>
        <v>0</v>
      </c>
    </row>
    <row r="280" spans="2:17" ht="16.5" customHeight="1" x14ac:dyDescent="0.3">
      <c r="B280" s="61"/>
      <c r="C280" s="62" t="str">
        <f t="shared" si="37"/>
        <v/>
      </c>
      <c r="D280" s="63" t="str">
        <f t="shared" si="38"/>
        <v/>
      </c>
      <c r="E280" s="64"/>
      <c r="F280" s="65"/>
      <c r="G280" s="66">
        <f t="shared" si="39"/>
        <v>0</v>
      </c>
      <c r="H280" s="67">
        <f>IFERROR(SUMIF('💸 Expenses'!B9:B508,B280,'💸 Expenses'!F9:F508),0)</f>
        <v>0</v>
      </c>
      <c r="I280" s="68">
        <f t="shared" si="40"/>
        <v>0</v>
      </c>
      <c r="J280" s="69">
        <f t="shared" si="41"/>
        <v>0</v>
      </c>
      <c r="K280" s="70"/>
      <c r="L280" s="36">
        <f t="shared" si="44"/>
        <v>0</v>
      </c>
      <c r="M280" s="39">
        <f t="shared" si="45"/>
        <v>0</v>
      </c>
      <c r="N280" s="71">
        <f t="shared" si="42"/>
        <v>0</v>
      </c>
      <c r="O280" s="72">
        <f>IFERROR(SUMIF(B8:B280,"&gt;="&amp;(B280-WEEKDAY(B280,2)+1),E8:E280),0)</f>
        <v>0</v>
      </c>
      <c r="P280" s="73">
        <f>IFERROR(SUMIF(B8:B280,"&gt;="&amp;(B280-WEEKDAY(B280,2)+1),H8:H280),0)</f>
        <v>0</v>
      </c>
      <c r="Q280" s="71">
        <f t="shared" si="43"/>
        <v>0</v>
      </c>
    </row>
    <row r="281" spans="2:17" ht="16.5" customHeight="1" x14ac:dyDescent="0.3">
      <c r="B281" s="61"/>
      <c r="C281" s="74" t="str">
        <f t="shared" si="37"/>
        <v/>
      </c>
      <c r="D281" s="75" t="str">
        <f t="shared" si="38"/>
        <v/>
      </c>
      <c r="E281" s="76"/>
      <c r="F281" s="77"/>
      <c r="G281" s="78">
        <f t="shared" si="39"/>
        <v>0</v>
      </c>
      <c r="H281" s="79">
        <f>IFERROR(SUMIF('💸 Expenses'!B9:B508,B281,'💸 Expenses'!F9:F508),0)</f>
        <v>0</v>
      </c>
      <c r="I281" s="80">
        <f t="shared" si="40"/>
        <v>0</v>
      </c>
      <c r="J281" s="81">
        <f t="shared" si="41"/>
        <v>0</v>
      </c>
      <c r="K281" s="82"/>
      <c r="L281" s="45">
        <f t="shared" si="44"/>
        <v>0</v>
      </c>
      <c r="M281" s="48">
        <f t="shared" si="45"/>
        <v>0</v>
      </c>
      <c r="N281" s="83">
        <f t="shared" si="42"/>
        <v>0</v>
      </c>
      <c r="O281" s="84">
        <f>IFERROR(SUMIF(B8:B281,"&gt;="&amp;(B281-WEEKDAY(B281,2)+1),E8:E281),0)</f>
        <v>0</v>
      </c>
      <c r="P281" s="85">
        <f>IFERROR(SUMIF(B8:B281,"&gt;="&amp;(B281-WEEKDAY(B281,2)+1),H8:H281),0)</f>
        <v>0</v>
      </c>
      <c r="Q281" s="83">
        <f t="shared" si="43"/>
        <v>0</v>
      </c>
    </row>
    <row r="282" spans="2:17" ht="16.5" customHeight="1" x14ac:dyDescent="0.3">
      <c r="B282" s="61"/>
      <c r="C282" s="62" t="str">
        <f t="shared" si="37"/>
        <v/>
      </c>
      <c r="D282" s="63" t="str">
        <f t="shared" si="38"/>
        <v/>
      </c>
      <c r="E282" s="64"/>
      <c r="F282" s="65"/>
      <c r="G282" s="66">
        <f t="shared" si="39"/>
        <v>0</v>
      </c>
      <c r="H282" s="67">
        <f>IFERROR(SUMIF('💸 Expenses'!B9:B508,B282,'💸 Expenses'!F9:F508),0)</f>
        <v>0</v>
      </c>
      <c r="I282" s="68">
        <f t="shared" si="40"/>
        <v>0</v>
      </c>
      <c r="J282" s="69">
        <f t="shared" si="41"/>
        <v>0</v>
      </c>
      <c r="K282" s="70"/>
      <c r="L282" s="36">
        <f t="shared" si="44"/>
        <v>0</v>
      </c>
      <c r="M282" s="39">
        <f t="shared" si="45"/>
        <v>0</v>
      </c>
      <c r="N282" s="71">
        <f t="shared" si="42"/>
        <v>0</v>
      </c>
      <c r="O282" s="72">
        <f>IFERROR(SUMIF(B8:B282,"&gt;="&amp;(B282-WEEKDAY(B282,2)+1),E8:E282),0)</f>
        <v>0</v>
      </c>
      <c r="P282" s="73">
        <f>IFERROR(SUMIF(B8:B282,"&gt;="&amp;(B282-WEEKDAY(B282,2)+1),H8:H282),0)</f>
        <v>0</v>
      </c>
      <c r="Q282" s="71">
        <f t="shared" si="43"/>
        <v>0</v>
      </c>
    </row>
    <row r="283" spans="2:17" ht="16.5" customHeight="1" x14ac:dyDescent="0.3">
      <c r="B283" s="61"/>
      <c r="C283" s="74" t="str">
        <f t="shared" si="37"/>
        <v/>
      </c>
      <c r="D283" s="75" t="str">
        <f t="shared" si="38"/>
        <v/>
      </c>
      <c r="E283" s="76"/>
      <c r="F283" s="77"/>
      <c r="G283" s="78">
        <f t="shared" si="39"/>
        <v>0</v>
      </c>
      <c r="H283" s="79">
        <f>IFERROR(SUMIF('💸 Expenses'!B9:B508,B283,'💸 Expenses'!F9:F508),0)</f>
        <v>0</v>
      </c>
      <c r="I283" s="80">
        <f t="shared" si="40"/>
        <v>0</v>
      </c>
      <c r="J283" s="81">
        <f t="shared" si="41"/>
        <v>0</v>
      </c>
      <c r="K283" s="82"/>
      <c r="L283" s="45">
        <f t="shared" si="44"/>
        <v>0</v>
      </c>
      <c r="M283" s="48">
        <f t="shared" si="45"/>
        <v>0</v>
      </c>
      <c r="N283" s="83">
        <f t="shared" si="42"/>
        <v>0</v>
      </c>
      <c r="O283" s="84">
        <f>IFERROR(SUMIF(B8:B283,"&gt;="&amp;(B283-WEEKDAY(B283,2)+1),E8:E283),0)</f>
        <v>0</v>
      </c>
      <c r="P283" s="85">
        <f>IFERROR(SUMIF(B8:B283,"&gt;="&amp;(B283-WEEKDAY(B283,2)+1),H8:H283),0)</f>
        <v>0</v>
      </c>
      <c r="Q283" s="83">
        <f t="shared" si="43"/>
        <v>0</v>
      </c>
    </row>
    <row r="284" spans="2:17" ht="16.5" customHeight="1" x14ac:dyDescent="0.3">
      <c r="B284" s="61"/>
      <c r="C284" s="62" t="str">
        <f t="shared" si="37"/>
        <v/>
      </c>
      <c r="D284" s="63" t="str">
        <f t="shared" si="38"/>
        <v/>
      </c>
      <c r="E284" s="64"/>
      <c r="F284" s="65"/>
      <c r="G284" s="66">
        <f t="shared" si="39"/>
        <v>0</v>
      </c>
      <c r="H284" s="67">
        <f>IFERROR(SUMIF('💸 Expenses'!B9:B508,B284,'💸 Expenses'!F9:F508),0)</f>
        <v>0</v>
      </c>
      <c r="I284" s="68">
        <f t="shared" si="40"/>
        <v>0</v>
      </c>
      <c r="J284" s="69">
        <f t="shared" si="41"/>
        <v>0</v>
      </c>
      <c r="K284" s="70"/>
      <c r="L284" s="36">
        <f t="shared" si="44"/>
        <v>0</v>
      </c>
      <c r="M284" s="39">
        <f t="shared" si="45"/>
        <v>0</v>
      </c>
      <c r="N284" s="71">
        <f t="shared" si="42"/>
        <v>0</v>
      </c>
      <c r="O284" s="72">
        <f>IFERROR(SUMIF(B8:B284,"&gt;="&amp;(B284-WEEKDAY(B284,2)+1),E8:E284),0)</f>
        <v>0</v>
      </c>
      <c r="P284" s="73">
        <f>IFERROR(SUMIF(B8:B284,"&gt;="&amp;(B284-WEEKDAY(B284,2)+1),H8:H284),0)</f>
        <v>0</v>
      </c>
      <c r="Q284" s="71">
        <f t="shared" si="43"/>
        <v>0</v>
      </c>
    </row>
    <row r="285" spans="2:17" ht="16.5" customHeight="1" x14ac:dyDescent="0.3">
      <c r="B285" s="61"/>
      <c r="C285" s="74" t="str">
        <f t="shared" si="37"/>
        <v/>
      </c>
      <c r="D285" s="75" t="str">
        <f t="shared" si="38"/>
        <v/>
      </c>
      <c r="E285" s="76"/>
      <c r="F285" s="77"/>
      <c r="G285" s="78">
        <f t="shared" si="39"/>
        <v>0</v>
      </c>
      <c r="H285" s="79">
        <f>IFERROR(SUMIF('💸 Expenses'!B9:B508,B285,'💸 Expenses'!F9:F508),0)</f>
        <v>0</v>
      </c>
      <c r="I285" s="80">
        <f t="shared" si="40"/>
        <v>0</v>
      </c>
      <c r="J285" s="81">
        <f t="shared" si="41"/>
        <v>0</v>
      </c>
      <c r="K285" s="82"/>
      <c r="L285" s="45">
        <f t="shared" si="44"/>
        <v>0</v>
      </c>
      <c r="M285" s="48">
        <f t="shared" si="45"/>
        <v>0</v>
      </c>
      <c r="N285" s="83">
        <f t="shared" si="42"/>
        <v>0</v>
      </c>
      <c r="O285" s="84">
        <f>IFERROR(SUMIF(B8:B285,"&gt;="&amp;(B285-WEEKDAY(B285,2)+1),E8:E285),0)</f>
        <v>0</v>
      </c>
      <c r="P285" s="85">
        <f>IFERROR(SUMIF(B8:B285,"&gt;="&amp;(B285-WEEKDAY(B285,2)+1),H8:H285),0)</f>
        <v>0</v>
      </c>
      <c r="Q285" s="83">
        <f t="shared" si="43"/>
        <v>0</v>
      </c>
    </row>
    <row r="286" spans="2:17" ht="16.5" customHeight="1" x14ac:dyDescent="0.3">
      <c r="B286" s="61"/>
      <c r="C286" s="62" t="str">
        <f t="shared" si="37"/>
        <v/>
      </c>
      <c r="D286" s="63" t="str">
        <f t="shared" si="38"/>
        <v/>
      </c>
      <c r="E286" s="64"/>
      <c r="F286" s="65"/>
      <c r="G286" s="66">
        <f t="shared" si="39"/>
        <v>0</v>
      </c>
      <c r="H286" s="67">
        <f>IFERROR(SUMIF('💸 Expenses'!B9:B508,B286,'💸 Expenses'!F9:F508),0)</f>
        <v>0</v>
      </c>
      <c r="I286" s="68">
        <f t="shared" si="40"/>
        <v>0</v>
      </c>
      <c r="J286" s="69">
        <f t="shared" si="41"/>
        <v>0</v>
      </c>
      <c r="K286" s="70"/>
      <c r="L286" s="36">
        <f t="shared" si="44"/>
        <v>0</v>
      </c>
      <c r="M286" s="39">
        <f t="shared" si="45"/>
        <v>0</v>
      </c>
      <c r="N286" s="71">
        <f t="shared" si="42"/>
        <v>0</v>
      </c>
      <c r="O286" s="72">
        <f>IFERROR(SUMIF(B8:B286,"&gt;="&amp;(B286-WEEKDAY(B286,2)+1),E8:E286),0)</f>
        <v>0</v>
      </c>
      <c r="P286" s="73">
        <f>IFERROR(SUMIF(B8:B286,"&gt;="&amp;(B286-WEEKDAY(B286,2)+1),H8:H286),0)</f>
        <v>0</v>
      </c>
      <c r="Q286" s="71">
        <f t="shared" si="43"/>
        <v>0</v>
      </c>
    </row>
    <row r="287" spans="2:17" ht="16.5" customHeight="1" x14ac:dyDescent="0.3">
      <c r="B287" s="61"/>
      <c r="C287" s="74" t="str">
        <f t="shared" si="37"/>
        <v/>
      </c>
      <c r="D287" s="75" t="str">
        <f t="shared" si="38"/>
        <v/>
      </c>
      <c r="E287" s="76"/>
      <c r="F287" s="77"/>
      <c r="G287" s="78">
        <f t="shared" si="39"/>
        <v>0</v>
      </c>
      <c r="H287" s="79">
        <f>IFERROR(SUMIF('💸 Expenses'!B9:B508,B287,'💸 Expenses'!F9:F508),0)</f>
        <v>0</v>
      </c>
      <c r="I287" s="80">
        <f t="shared" si="40"/>
        <v>0</v>
      </c>
      <c r="J287" s="81">
        <f t="shared" si="41"/>
        <v>0</v>
      </c>
      <c r="K287" s="82"/>
      <c r="L287" s="45">
        <f t="shared" si="44"/>
        <v>0</v>
      </c>
      <c r="M287" s="48">
        <f t="shared" si="45"/>
        <v>0</v>
      </c>
      <c r="N287" s="83">
        <f t="shared" si="42"/>
        <v>0</v>
      </c>
      <c r="O287" s="84">
        <f>IFERROR(SUMIF(B8:B287,"&gt;="&amp;(B287-WEEKDAY(B287,2)+1),E8:E287),0)</f>
        <v>0</v>
      </c>
      <c r="P287" s="85">
        <f>IFERROR(SUMIF(B8:B287,"&gt;="&amp;(B287-WEEKDAY(B287,2)+1),H8:H287),0)</f>
        <v>0</v>
      </c>
      <c r="Q287" s="83">
        <f t="shared" si="43"/>
        <v>0</v>
      </c>
    </row>
    <row r="288" spans="2:17" ht="16.5" customHeight="1" x14ac:dyDescent="0.3">
      <c r="B288" s="61"/>
      <c r="C288" s="62" t="str">
        <f t="shared" si="37"/>
        <v/>
      </c>
      <c r="D288" s="63" t="str">
        <f t="shared" si="38"/>
        <v/>
      </c>
      <c r="E288" s="64"/>
      <c r="F288" s="65"/>
      <c r="G288" s="66">
        <f t="shared" si="39"/>
        <v>0</v>
      </c>
      <c r="H288" s="67">
        <f>IFERROR(SUMIF('💸 Expenses'!B9:B508,B288,'💸 Expenses'!F9:F508),0)</f>
        <v>0</v>
      </c>
      <c r="I288" s="68">
        <f t="shared" si="40"/>
        <v>0</v>
      </c>
      <c r="J288" s="69">
        <f t="shared" si="41"/>
        <v>0</v>
      </c>
      <c r="K288" s="70"/>
      <c r="L288" s="36">
        <f t="shared" si="44"/>
        <v>0</v>
      </c>
      <c r="M288" s="39">
        <f t="shared" si="45"/>
        <v>0</v>
      </c>
      <c r="N288" s="71">
        <f t="shared" si="42"/>
        <v>0</v>
      </c>
      <c r="O288" s="72">
        <f>IFERROR(SUMIF(B8:B288,"&gt;="&amp;(B288-WEEKDAY(B288,2)+1),E8:E288),0)</f>
        <v>0</v>
      </c>
      <c r="P288" s="73">
        <f>IFERROR(SUMIF(B8:B288,"&gt;="&amp;(B288-WEEKDAY(B288,2)+1),H8:H288),0)</f>
        <v>0</v>
      </c>
      <c r="Q288" s="71">
        <f t="shared" si="43"/>
        <v>0</v>
      </c>
    </row>
    <row r="289" spans="2:17" ht="16.5" customHeight="1" x14ac:dyDescent="0.3">
      <c r="B289" s="61"/>
      <c r="C289" s="74" t="str">
        <f t="shared" si="37"/>
        <v/>
      </c>
      <c r="D289" s="75" t="str">
        <f t="shared" si="38"/>
        <v/>
      </c>
      <c r="E289" s="76"/>
      <c r="F289" s="77"/>
      <c r="G289" s="78">
        <f t="shared" si="39"/>
        <v>0</v>
      </c>
      <c r="H289" s="79">
        <f>IFERROR(SUMIF('💸 Expenses'!B9:B508,B289,'💸 Expenses'!F9:F508),0)</f>
        <v>0</v>
      </c>
      <c r="I289" s="80">
        <f t="shared" si="40"/>
        <v>0</v>
      </c>
      <c r="J289" s="81">
        <f t="shared" si="41"/>
        <v>0</v>
      </c>
      <c r="K289" s="82"/>
      <c r="L289" s="45">
        <f t="shared" si="44"/>
        <v>0</v>
      </c>
      <c r="M289" s="48">
        <f t="shared" si="45"/>
        <v>0</v>
      </c>
      <c r="N289" s="83">
        <f t="shared" si="42"/>
        <v>0</v>
      </c>
      <c r="O289" s="84">
        <f>IFERROR(SUMIF(B8:B289,"&gt;="&amp;(B289-WEEKDAY(B289,2)+1),E8:E289),0)</f>
        <v>0</v>
      </c>
      <c r="P289" s="85">
        <f>IFERROR(SUMIF(B8:B289,"&gt;="&amp;(B289-WEEKDAY(B289,2)+1),H8:H289),0)</f>
        <v>0</v>
      </c>
      <c r="Q289" s="83">
        <f t="shared" si="43"/>
        <v>0</v>
      </c>
    </row>
    <row r="290" spans="2:17" ht="16.5" customHeight="1" x14ac:dyDescent="0.3">
      <c r="B290" s="61"/>
      <c r="C290" s="62" t="str">
        <f t="shared" si="37"/>
        <v/>
      </c>
      <c r="D290" s="63" t="str">
        <f t="shared" si="38"/>
        <v/>
      </c>
      <c r="E290" s="64"/>
      <c r="F290" s="65"/>
      <c r="G290" s="66">
        <f t="shared" si="39"/>
        <v>0</v>
      </c>
      <c r="H290" s="67">
        <f>IFERROR(SUMIF('💸 Expenses'!B9:B508,B290,'💸 Expenses'!F9:F508),0)</f>
        <v>0</v>
      </c>
      <c r="I290" s="68">
        <f t="shared" si="40"/>
        <v>0</v>
      </c>
      <c r="J290" s="69">
        <f t="shared" si="41"/>
        <v>0</v>
      </c>
      <c r="K290" s="70"/>
      <c r="L290" s="36">
        <f t="shared" si="44"/>
        <v>0</v>
      </c>
      <c r="M290" s="39">
        <f t="shared" si="45"/>
        <v>0</v>
      </c>
      <c r="N290" s="71">
        <f t="shared" si="42"/>
        <v>0</v>
      </c>
      <c r="O290" s="72">
        <f>IFERROR(SUMIF(B8:B290,"&gt;="&amp;(B290-WEEKDAY(B290,2)+1),E8:E290),0)</f>
        <v>0</v>
      </c>
      <c r="P290" s="73">
        <f>IFERROR(SUMIF(B8:B290,"&gt;="&amp;(B290-WEEKDAY(B290,2)+1),H8:H290),0)</f>
        <v>0</v>
      </c>
      <c r="Q290" s="71">
        <f t="shared" si="43"/>
        <v>0</v>
      </c>
    </row>
    <row r="291" spans="2:17" ht="16.5" customHeight="1" x14ac:dyDescent="0.3">
      <c r="B291" s="61"/>
      <c r="C291" s="74" t="str">
        <f t="shared" si="37"/>
        <v/>
      </c>
      <c r="D291" s="75" t="str">
        <f t="shared" si="38"/>
        <v/>
      </c>
      <c r="E291" s="76"/>
      <c r="F291" s="77"/>
      <c r="G291" s="78">
        <f t="shared" si="39"/>
        <v>0</v>
      </c>
      <c r="H291" s="79">
        <f>IFERROR(SUMIF('💸 Expenses'!B9:B508,B291,'💸 Expenses'!F9:F508),0)</f>
        <v>0</v>
      </c>
      <c r="I291" s="80">
        <f t="shared" si="40"/>
        <v>0</v>
      </c>
      <c r="J291" s="81">
        <f t="shared" si="41"/>
        <v>0</v>
      </c>
      <c r="K291" s="82"/>
      <c r="L291" s="45">
        <f t="shared" si="44"/>
        <v>0</v>
      </c>
      <c r="M291" s="48">
        <f t="shared" si="45"/>
        <v>0</v>
      </c>
      <c r="N291" s="83">
        <f t="shared" si="42"/>
        <v>0</v>
      </c>
      <c r="O291" s="84">
        <f>IFERROR(SUMIF(B8:B291,"&gt;="&amp;(B291-WEEKDAY(B291,2)+1),E8:E291),0)</f>
        <v>0</v>
      </c>
      <c r="P291" s="85">
        <f>IFERROR(SUMIF(B8:B291,"&gt;="&amp;(B291-WEEKDAY(B291,2)+1),H8:H291),0)</f>
        <v>0</v>
      </c>
      <c r="Q291" s="83">
        <f t="shared" si="43"/>
        <v>0</v>
      </c>
    </row>
    <row r="292" spans="2:17" ht="16.5" customHeight="1" x14ac:dyDescent="0.3">
      <c r="B292" s="61"/>
      <c r="C292" s="62" t="str">
        <f t="shared" si="37"/>
        <v/>
      </c>
      <c r="D292" s="63" t="str">
        <f t="shared" si="38"/>
        <v/>
      </c>
      <c r="E292" s="64"/>
      <c r="F292" s="65"/>
      <c r="G292" s="66">
        <f t="shared" si="39"/>
        <v>0</v>
      </c>
      <c r="H292" s="67">
        <f>IFERROR(SUMIF('💸 Expenses'!B9:B508,B292,'💸 Expenses'!F9:F508),0)</f>
        <v>0</v>
      </c>
      <c r="I292" s="68">
        <f t="shared" si="40"/>
        <v>0</v>
      </c>
      <c r="J292" s="69">
        <f t="shared" si="41"/>
        <v>0</v>
      </c>
      <c r="K292" s="70"/>
      <c r="L292" s="36">
        <f t="shared" si="44"/>
        <v>0</v>
      </c>
      <c r="M292" s="39">
        <f t="shared" si="45"/>
        <v>0</v>
      </c>
      <c r="N292" s="71">
        <f t="shared" si="42"/>
        <v>0</v>
      </c>
      <c r="O292" s="72">
        <f>IFERROR(SUMIF(B8:B292,"&gt;="&amp;(B292-WEEKDAY(B292,2)+1),E8:E292),0)</f>
        <v>0</v>
      </c>
      <c r="P292" s="73">
        <f>IFERROR(SUMIF(B8:B292,"&gt;="&amp;(B292-WEEKDAY(B292,2)+1),H8:H292),0)</f>
        <v>0</v>
      </c>
      <c r="Q292" s="71">
        <f t="shared" si="43"/>
        <v>0</v>
      </c>
    </row>
    <row r="293" spans="2:17" ht="16.5" customHeight="1" x14ac:dyDescent="0.3">
      <c r="B293" s="61"/>
      <c r="C293" s="74" t="str">
        <f t="shared" si="37"/>
        <v/>
      </c>
      <c r="D293" s="75" t="str">
        <f t="shared" si="38"/>
        <v/>
      </c>
      <c r="E293" s="76"/>
      <c r="F293" s="77"/>
      <c r="G293" s="78">
        <f t="shared" si="39"/>
        <v>0</v>
      </c>
      <c r="H293" s="79">
        <f>IFERROR(SUMIF('💸 Expenses'!B9:B508,B293,'💸 Expenses'!F9:F508),0)</f>
        <v>0</v>
      </c>
      <c r="I293" s="80">
        <f t="shared" si="40"/>
        <v>0</v>
      </c>
      <c r="J293" s="81">
        <f t="shared" si="41"/>
        <v>0</v>
      </c>
      <c r="K293" s="82"/>
      <c r="L293" s="45">
        <f t="shared" si="44"/>
        <v>0</v>
      </c>
      <c r="M293" s="48">
        <f t="shared" si="45"/>
        <v>0</v>
      </c>
      <c r="N293" s="83">
        <f t="shared" si="42"/>
        <v>0</v>
      </c>
      <c r="O293" s="84">
        <f>IFERROR(SUMIF(B8:B293,"&gt;="&amp;(B293-WEEKDAY(B293,2)+1),E8:E293),0)</f>
        <v>0</v>
      </c>
      <c r="P293" s="85">
        <f>IFERROR(SUMIF(B8:B293,"&gt;="&amp;(B293-WEEKDAY(B293,2)+1),H8:H293),0)</f>
        <v>0</v>
      </c>
      <c r="Q293" s="83">
        <f t="shared" si="43"/>
        <v>0</v>
      </c>
    </row>
    <row r="294" spans="2:17" ht="16.5" customHeight="1" x14ac:dyDescent="0.3">
      <c r="B294" s="61"/>
      <c r="C294" s="62" t="str">
        <f t="shared" si="37"/>
        <v/>
      </c>
      <c r="D294" s="63" t="str">
        <f t="shared" si="38"/>
        <v/>
      </c>
      <c r="E294" s="64"/>
      <c r="F294" s="65"/>
      <c r="G294" s="66">
        <f t="shared" si="39"/>
        <v>0</v>
      </c>
      <c r="H294" s="67">
        <f>IFERROR(SUMIF('💸 Expenses'!B9:B508,B294,'💸 Expenses'!F9:F508),0)</f>
        <v>0</v>
      </c>
      <c r="I294" s="68">
        <f t="shared" si="40"/>
        <v>0</v>
      </c>
      <c r="J294" s="69">
        <f t="shared" si="41"/>
        <v>0</v>
      </c>
      <c r="K294" s="70"/>
      <c r="L294" s="36">
        <f t="shared" si="44"/>
        <v>0</v>
      </c>
      <c r="M294" s="39">
        <f t="shared" si="45"/>
        <v>0</v>
      </c>
      <c r="N294" s="71">
        <f t="shared" si="42"/>
        <v>0</v>
      </c>
      <c r="O294" s="72">
        <f>IFERROR(SUMIF(B8:B294,"&gt;="&amp;(B294-WEEKDAY(B294,2)+1),E8:E294),0)</f>
        <v>0</v>
      </c>
      <c r="P294" s="73">
        <f>IFERROR(SUMIF(B8:B294,"&gt;="&amp;(B294-WEEKDAY(B294,2)+1),H8:H294),0)</f>
        <v>0</v>
      </c>
      <c r="Q294" s="71">
        <f t="shared" si="43"/>
        <v>0</v>
      </c>
    </row>
    <row r="295" spans="2:17" ht="16.5" customHeight="1" x14ac:dyDescent="0.3">
      <c r="B295" s="61"/>
      <c r="C295" s="74" t="str">
        <f t="shared" si="37"/>
        <v/>
      </c>
      <c r="D295" s="75" t="str">
        <f t="shared" si="38"/>
        <v/>
      </c>
      <c r="E295" s="76"/>
      <c r="F295" s="77"/>
      <c r="G295" s="78">
        <f t="shared" si="39"/>
        <v>0</v>
      </c>
      <c r="H295" s="79">
        <f>IFERROR(SUMIF('💸 Expenses'!B9:B508,B295,'💸 Expenses'!F9:F508),0)</f>
        <v>0</v>
      </c>
      <c r="I295" s="80">
        <f t="shared" si="40"/>
        <v>0</v>
      </c>
      <c r="J295" s="81">
        <f t="shared" si="41"/>
        <v>0</v>
      </c>
      <c r="K295" s="82"/>
      <c r="L295" s="45">
        <f t="shared" si="44"/>
        <v>0</v>
      </c>
      <c r="M295" s="48">
        <f t="shared" si="45"/>
        <v>0</v>
      </c>
      <c r="N295" s="83">
        <f t="shared" si="42"/>
        <v>0</v>
      </c>
      <c r="O295" s="84">
        <f>IFERROR(SUMIF(B8:B295,"&gt;="&amp;(B295-WEEKDAY(B295,2)+1),E8:E295),0)</f>
        <v>0</v>
      </c>
      <c r="P295" s="85">
        <f>IFERROR(SUMIF(B8:B295,"&gt;="&amp;(B295-WEEKDAY(B295,2)+1),H8:H295),0)</f>
        <v>0</v>
      </c>
      <c r="Q295" s="83">
        <f t="shared" si="43"/>
        <v>0</v>
      </c>
    </row>
    <row r="296" spans="2:17" ht="16.5" customHeight="1" x14ac:dyDescent="0.3">
      <c r="B296" s="61"/>
      <c r="C296" s="62" t="str">
        <f t="shared" si="37"/>
        <v/>
      </c>
      <c r="D296" s="63" t="str">
        <f t="shared" si="38"/>
        <v/>
      </c>
      <c r="E296" s="64"/>
      <c r="F296" s="65"/>
      <c r="G296" s="66">
        <f t="shared" si="39"/>
        <v>0</v>
      </c>
      <c r="H296" s="67">
        <f>IFERROR(SUMIF('💸 Expenses'!B9:B508,B296,'💸 Expenses'!F9:F508),0)</f>
        <v>0</v>
      </c>
      <c r="I296" s="68">
        <f t="shared" si="40"/>
        <v>0</v>
      </c>
      <c r="J296" s="69">
        <f t="shared" si="41"/>
        <v>0</v>
      </c>
      <c r="K296" s="70"/>
      <c r="L296" s="36">
        <f t="shared" si="44"/>
        <v>0</v>
      </c>
      <c r="M296" s="39">
        <f t="shared" si="45"/>
        <v>0</v>
      </c>
      <c r="N296" s="71">
        <f t="shared" si="42"/>
        <v>0</v>
      </c>
      <c r="O296" s="72">
        <f>IFERROR(SUMIF(B8:B296,"&gt;="&amp;(B296-WEEKDAY(B296,2)+1),E8:E296),0)</f>
        <v>0</v>
      </c>
      <c r="P296" s="73">
        <f>IFERROR(SUMIF(B8:B296,"&gt;="&amp;(B296-WEEKDAY(B296,2)+1),H8:H296),0)</f>
        <v>0</v>
      </c>
      <c r="Q296" s="71">
        <f t="shared" si="43"/>
        <v>0</v>
      </c>
    </row>
    <row r="297" spans="2:17" ht="16.5" customHeight="1" x14ac:dyDescent="0.3">
      <c r="B297" s="61"/>
      <c r="C297" s="74" t="str">
        <f t="shared" si="37"/>
        <v/>
      </c>
      <c r="D297" s="75" t="str">
        <f t="shared" si="38"/>
        <v/>
      </c>
      <c r="E297" s="76"/>
      <c r="F297" s="77"/>
      <c r="G297" s="78">
        <f t="shared" si="39"/>
        <v>0</v>
      </c>
      <c r="H297" s="79">
        <f>IFERROR(SUMIF('💸 Expenses'!B9:B508,B297,'💸 Expenses'!F9:F508),0)</f>
        <v>0</v>
      </c>
      <c r="I297" s="80">
        <f t="shared" si="40"/>
        <v>0</v>
      </c>
      <c r="J297" s="81">
        <f t="shared" si="41"/>
        <v>0</v>
      </c>
      <c r="K297" s="82"/>
      <c r="L297" s="45">
        <f t="shared" si="44"/>
        <v>0</v>
      </c>
      <c r="M297" s="48">
        <f t="shared" si="45"/>
        <v>0</v>
      </c>
      <c r="N297" s="83">
        <f t="shared" si="42"/>
        <v>0</v>
      </c>
      <c r="O297" s="84">
        <f>IFERROR(SUMIF(B8:B297,"&gt;="&amp;(B297-WEEKDAY(B297,2)+1),E8:E297),0)</f>
        <v>0</v>
      </c>
      <c r="P297" s="85">
        <f>IFERROR(SUMIF(B8:B297,"&gt;="&amp;(B297-WEEKDAY(B297,2)+1),H8:H297),0)</f>
        <v>0</v>
      </c>
      <c r="Q297" s="83">
        <f t="shared" si="43"/>
        <v>0</v>
      </c>
    </row>
    <row r="298" spans="2:17" ht="16.5" customHeight="1" x14ac:dyDescent="0.3">
      <c r="B298" s="61"/>
      <c r="C298" s="62" t="str">
        <f t="shared" si="37"/>
        <v/>
      </c>
      <c r="D298" s="63" t="str">
        <f t="shared" si="38"/>
        <v/>
      </c>
      <c r="E298" s="64"/>
      <c r="F298" s="65"/>
      <c r="G298" s="66">
        <f t="shared" si="39"/>
        <v>0</v>
      </c>
      <c r="H298" s="67">
        <f>IFERROR(SUMIF('💸 Expenses'!B9:B508,B298,'💸 Expenses'!F9:F508),0)</f>
        <v>0</v>
      </c>
      <c r="I298" s="68">
        <f t="shared" si="40"/>
        <v>0</v>
      </c>
      <c r="J298" s="69">
        <f t="shared" si="41"/>
        <v>0</v>
      </c>
      <c r="K298" s="70"/>
      <c r="L298" s="36">
        <f t="shared" si="44"/>
        <v>0</v>
      </c>
      <c r="M298" s="39">
        <f t="shared" si="45"/>
        <v>0</v>
      </c>
      <c r="N298" s="71">
        <f t="shared" si="42"/>
        <v>0</v>
      </c>
      <c r="O298" s="72">
        <f>IFERROR(SUMIF(B8:B298,"&gt;="&amp;(B298-WEEKDAY(B298,2)+1),E8:E298),0)</f>
        <v>0</v>
      </c>
      <c r="P298" s="73">
        <f>IFERROR(SUMIF(B8:B298,"&gt;="&amp;(B298-WEEKDAY(B298,2)+1),H8:H298),0)</f>
        <v>0</v>
      </c>
      <c r="Q298" s="71">
        <f t="shared" si="43"/>
        <v>0</v>
      </c>
    </row>
    <row r="299" spans="2:17" ht="16.5" customHeight="1" x14ac:dyDescent="0.3">
      <c r="B299" s="61"/>
      <c r="C299" s="74" t="str">
        <f t="shared" si="37"/>
        <v/>
      </c>
      <c r="D299" s="75" t="str">
        <f t="shared" si="38"/>
        <v/>
      </c>
      <c r="E299" s="76"/>
      <c r="F299" s="77"/>
      <c r="G299" s="78">
        <f t="shared" si="39"/>
        <v>0</v>
      </c>
      <c r="H299" s="79">
        <f>IFERROR(SUMIF('💸 Expenses'!B9:B508,B299,'💸 Expenses'!F9:F508),0)</f>
        <v>0</v>
      </c>
      <c r="I299" s="80">
        <f t="shared" si="40"/>
        <v>0</v>
      </c>
      <c r="J299" s="81">
        <f t="shared" si="41"/>
        <v>0</v>
      </c>
      <c r="K299" s="82"/>
      <c r="L299" s="45">
        <f t="shared" si="44"/>
        <v>0</v>
      </c>
      <c r="M299" s="48">
        <f t="shared" si="45"/>
        <v>0</v>
      </c>
      <c r="N299" s="83">
        <f t="shared" si="42"/>
        <v>0</v>
      </c>
      <c r="O299" s="84">
        <f>IFERROR(SUMIF(B8:B299,"&gt;="&amp;(B299-WEEKDAY(B299,2)+1),E8:E299),0)</f>
        <v>0</v>
      </c>
      <c r="P299" s="85">
        <f>IFERROR(SUMIF(B8:B299,"&gt;="&amp;(B299-WEEKDAY(B299,2)+1),H8:H299),0)</f>
        <v>0</v>
      </c>
      <c r="Q299" s="83">
        <f t="shared" si="43"/>
        <v>0</v>
      </c>
    </row>
    <row r="300" spans="2:17" ht="16.5" customHeight="1" x14ac:dyDescent="0.3">
      <c r="B300" s="61"/>
      <c r="C300" s="62" t="str">
        <f t="shared" si="37"/>
        <v/>
      </c>
      <c r="D300" s="63" t="str">
        <f t="shared" si="38"/>
        <v/>
      </c>
      <c r="E300" s="64"/>
      <c r="F300" s="65"/>
      <c r="G300" s="66">
        <f t="shared" si="39"/>
        <v>0</v>
      </c>
      <c r="H300" s="67">
        <f>IFERROR(SUMIF('💸 Expenses'!B9:B508,B300,'💸 Expenses'!F9:F508),0)</f>
        <v>0</v>
      </c>
      <c r="I300" s="68">
        <f t="shared" si="40"/>
        <v>0</v>
      </c>
      <c r="J300" s="69">
        <f t="shared" si="41"/>
        <v>0</v>
      </c>
      <c r="K300" s="70"/>
      <c r="L300" s="36">
        <f t="shared" si="44"/>
        <v>0</v>
      </c>
      <c r="M300" s="39">
        <f t="shared" si="45"/>
        <v>0</v>
      </c>
      <c r="N300" s="71">
        <f t="shared" si="42"/>
        <v>0</v>
      </c>
      <c r="O300" s="72">
        <f>IFERROR(SUMIF(B8:B300,"&gt;="&amp;(B300-WEEKDAY(B300,2)+1),E8:E300),0)</f>
        <v>0</v>
      </c>
      <c r="P300" s="73">
        <f>IFERROR(SUMIF(B8:B300,"&gt;="&amp;(B300-WEEKDAY(B300,2)+1),H8:H300),0)</f>
        <v>0</v>
      </c>
      <c r="Q300" s="71">
        <f t="shared" si="43"/>
        <v>0</v>
      </c>
    </row>
    <row r="301" spans="2:17" ht="16.5" customHeight="1" x14ac:dyDescent="0.3">
      <c r="B301" s="61"/>
      <c r="C301" s="74" t="str">
        <f t="shared" si="37"/>
        <v/>
      </c>
      <c r="D301" s="75" t="str">
        <f t="shared" si="38"/>
        <v/>
      </c>
      <c r="E301" s="76"/>
      <c r="F301" s="77"/>
      <c r="G301" s="78">
        <f t="shared" si="39"/>
        <v>0</v>
      </c>
      <c r="H301" s="79">
        <f>IFERROR(SUMIF('💸 Expenses'!B9:B508,B301,'💸 Expenses'!F9:F508),0)</f>
        <v>0</v>
      </c>
      <c r="I301" s="80">
        <f t="shared" si="40"/>
        <v>0</v>
      </c>
      <c r="J301" s="81">
        <f t="shared" si="41"/>
        <v>0</v>
      </c>
      <c r="K301" s="82"/>
      <c r="L301" s="45">
        <f t="shared" si="44"/>
        <v>0</v>
      </c>
      <c r="M301" s="48">
        <f t="shared" si="45"/>
        <v>0</v>
      </c>
      <c r="N301" s="83">
        <f t="shared" si="42"/>
        <v>0</v>
      </c>
      <c r="O301" s="84">
        <f>IFERROR(SUMIF(B8:B301,"&gt;="&amp;(B301-WEEKDAY(B301,2)+1),E8:E301),0)</f>
        <v>0</v>
      </c>
      <c r="P301" s="85">
        <f>IFERROR(SUMIF(B8:B301,"&gt;="&amp;(B301-WEEKDAY(B301,2)+1),H8:H301),0)</f>
        <v>0</v>
      </c>
      <c r="Q301" s="83">
        <f t="shared" si="43"/>
        <v>0</v>
      </c>
    </row>
    <row r="302" spans="2:17" ht="16.5" customHeight="1" x14ac:dyDescent="0.3">
      <c r="B302" s="61"/>
      <c r="C302" s="62" t="str">
        <f t="shared" si="37"/>
        <v/>
      </c>
      <c r="D302" s="63" t="str">
        <f t="shared" si="38"/>
        <v/>
      </c>
      <c r="E302" s="64"/>
      <c r="F302" s="65"/>
      <c r="G302" s="66">
        <f t="shared" si="39"/>
        <v>0</v>
      </c>
      <c r="H302" s="67">
        <f>IFERROR(SUMIF('💸 Expenses'!B9:B508,B302,'💸 Expenses'!F9:F508),0)</f>
        <v>0</v>
      </c>
      <c r="I302" s="68">
        <f t="shared" si="40"/>
        <v>0</v>
      </c>
      <c r="J302" s="69">
        <f t="shared" si="41"/>
        <v>0</v>
      </c>
      <c r="K302" s="70"/>
      <c r="L302" s="36">
        <f t="shared" si="44"/>
        <v>0</v>
      </c>
      <c r="M302" s="39">
        <f t="shared" si="45"/>
        <v>0</v>
      </c>
      <c r="N302" s="71">
        <f t="shared" si="42"/>
        <v>0</v>
      </c>
      <c r="O302" s="72">
        <f>IFERROR(SUMIF(B8:B302,"&gt;="&amp;(B302-WEEKDAY(B302,2)+1),E8:E302),0)</f>
        <v>0</v>
      </c>
      <c r="P302" s="73">
        <f>IFERROR(SUMIF(B8:B302,"&gt;="&amp;(B302-WEEKDAY(B302,2)+1),H8:H302),0)</f>
        <v>0</v>
      </c>
      <c r="Q302" s="71">
        <f t="shared" si="43"/>
        <v>0</v>
      </c>
    </row>
    <row r="303" spans="2:17" ht="16.5" customHeight="1" x14ac:dyDescent="0.3">
      <c r="B303" s="61"/>
      <c r="C303" s="74" t="str">
        <f t="shared" si="37"/>
        <v/>
      </c>
      <c r="D303" s="75" t="str">
        <f t="shared" si="38"/>
        <v/>
      </c>
      <c r="E303" s="76"/>
      <c r="F303" s="77"/>
      <c r="G303" s="78">
        <f t="shared" si="39"/>
        <v>0</v>
      </c>
      <c r="H303" s="79">
        <f>IFERROR(SUMIF('💸 Expenses'!B9:B508,B303,'💸 Expenses'!F9:F508),0)</f>
        <v>0</v>
      </c>
      <c r="I303" s="80">
        <f t="shared" si="40"/>
        <v>0</v>
      </c>
      <c r="J303" s="81">
        <f t="shared" si="41"/>
        <v>0</v>
      </c>
      <c r="K303" s="82"/>
      <c r="L303" s="45">
        <f t="shared" si="44"/>
        <v>0</v>
      </c>
      <c r="M303" s="48">
        <f t="shared" si="45"/>
        <v>0</v>
      </c>
      <c r="N303" s="83">
        <f t="shared" si="42"/>
        <v>0</v>
      </c>
      <c r="O303" s="84">
        <f>IFERROR(SUMIF(B8:B303,"&gt;="&amp;(B303-WEEKDAY(B303,2)+1),E8:E303),0)</f>
        <v>0</v>
      </c>
      <c r="P303" s="85">
        <f>IFERROR(SUMIF(B8:B303,"&gt;="&amp;(B303-WEEKDAY(B303,2)+1),H8:H303),0)</f>
        <v>0</v>
      </c>
      <c r="Q303" s="83">
        <f t="shared" si="43"/>
        <v>0</v>
      </c>
    </row>
    <row r="304" spans="2:17" ht="16.5" customHeight="1" x14ac:dyDescent="0.3">
      <c r="B304" s="61"/>
      <c r="C304" s="62" t="str">
        <f t="shared" si="37"/>
        <v/>
      </c>
      <c r="D304" s="63" t="str">
        <f t="shared" si="38"/>
        <v/>
      </c>
      <c r="E304" s="64"/>
      <c r="F304" s="65"/>
      <c r="G304" s="66">
        <f t="shared" si="39"/>
        <v>0</v>
      </c>
      <c r="H304" s="67">
        <f>IFERROR(SUMIF('💸 Expenses'!B9:B508,B304,'💸 Expenses'!F9:F508),0)</f>
        <v>0</v>
      </c>
      <c r="I304" s="68">
        <f t="shared" si="40"/>
        <v>0</v>
      </c>
      <c r="J304" s="69">
        <f t="shared" si="41"/>
        <v>0</v>
      </c>
      <c r="K304" s="70"/>
      <c r="L304" s="36">
        <f t="shared" si="44"/>
        <v>0</v>
      </c>
      <c r="M304" s="39">
        <f t="shared" si="45"/>
        <v>0</v>
      </c>
      <c r="N304" s="71">
        <f t="shared" si="42"/>
        <v>0</v>
      </c>
      <c r="O304" s="72">
        <f>IFERROR(SUMIF(B8:B304,"&gt;="&amp;(B304-WEEKDAY(B304,2)+1),E8:E304),0)</f>
        <v>0</v>
      </c>
      <c r="P304" s="73">
        <f>IFERROR(SUMIF(B8:B304,"&gt;="&amp;(B304-WEEKDAY(B304,2)+1),H8:H304),0)</f>
        <v>0</v>
      </c>
      <c r="Q304" s="71">
        <f t="shared" si="43"/>
        <v>0</v>
      </c>
    </row>
    <row r="305" spans="2:17" ht="16.5" customHeight="1" x14ac:dyDescent="0.3">
      <c r="B305" s="61"/>
      <c r="C305" s="74" t="str">
        <f t="shared" si="37"/>
        <v/>
      </c>
      <c r="D305" s="75" t="str">
        <f t="shared" si="38"/>
        <v/>
      </c>
      <c r="E305" s="76"/>
      <c r="F305" s="77"/>
      <c r="G305" s="78">
        <f t="shared" si="39"/>
        <v>0</v>
      </c>
      <c r="H305" s="79">
        <f>IFERROR(SUMIF('💸 Expenses'!B9:B508,B305,'💸 Expenses'!F9:F508),0)</f>
        <v>0</v>
      </c>
      <c r="I305" s="80">
        <f t="shared" si="40"/>
        <v>0</v>
      </c>
      <c r="J305" s="81">
        <f t="shared" si="41"/>
        <v>0</v>
      </c>
      <c r="K305" s="82"/>
      <c r="L305" s="45">
        <f t="shared" si="44"/>
        <v>0</v>
      </c>
      <c r="M305" s="48">
        <f t="shared" si="45"/>
        <v>0</v>
      </c>
      <c r="N305" s="83">
        <f t="shared" si="42"/>
        <v>0</v>
      </c>
      <c r="O305" s="84">
        <f>IFERROR(SUMIF(B8:B305,"&gt;="&amp;(B305-WEEKDAY(B305,2)+1),E8:E305),0)</f>
        <v>0</v>
      </c>
      <c r="P305" s="85">
        <f>IFERROR(SUMIF(B8:B305,"&gt;="&amp;(B305-WEEKDAY(B305,2)+1),H8:H305),0)</f>
        <v>0</v>
      </c>
      <c r="Q305" s="83">
        <f t="shared" si="43"/>
        <v>0</v>
      </c>
    </row>
    <row r="306" spans="2:17" ht="16.5" customHeight="1" x14ac:dyDescent="0.3">
      <c r="B306" s="61"/>
      <c r="C306" s="62" t="str">
        <f t="shared" si="37"/>
        <v/>
      </c>
      <c r="D306" s="63" t="str">
        <f t="shared" si="38"/>
        <v/>
      </c>
      <c r="E306" s="64"/>
      <c r="F306" s="65"/>
      <c r="G306" s="66">
        <f t="shared" si="39"/>
        <v>0</v>
      </c>
      <c r="H306" s="67">
        <f>IFERROR(SUMIF('💸 Expenses'!B9:B508,B306,'💸 Expenses'!F9:F508),0)</f>
        <v>0</v>
      </c>
      <c r="I306" s="68">
        <f t="shared" si="40"/>
        <v>0</v>
      </c>
      <c r="J306" s="69">
        <f t="shared" si="41"/>
        <v>0</v>
      </c>
      <c r="K306" s="70"/>
      <c r="L306" s="36">
        <f t="shared" si="44"/>
        <v>0</v>
      </c>
      <c r="M306" s="39">
        <f t="shared" si="45"/>
        <v>0</v>
      </c>
      <c r="N306" s="71">
        <f t="shared" si="42"/>
        <v>0</v>
      </c>
      <c r="O306" s="72">
        <f>IFERROR(SUMIF(B8:B306,"&gt;="&amp;(B306-WEEKDAY(B306,2)+1),E8:E306),0)</f>
        <v>0</v>
      </c>
      <c r="P306" s="73">
        <f>IFERROR(SUMIF(B8:B306,"&gt;="&amp;(B306-WEEKDAY(B306,2)+1),H8:H306),0)</f>
        <v>0</v>
      </c>
      <c r="Q306" s="71">
        <f t="shared" si="43"/>
        <v>0</v>
      </c>
    </row>
    <row r="307" spans="2:17" ht="16.5" customHeight="1" x14ac:dyDescent="0.3">
      <c r="B307" s="61"/>
      <c r="C307" s="74" t="str">
        <f t="shared" si="37"/>
        <v/>
      </c>
      <c r="D307" s="75" t="str">
        <f t="shared" si="38"/>
        <v/>
      </c>
      <c r="E307" s="76"/>
      <c r="F307" s="77"/>
      <c r="G307" s="78">
        <f t="shared" si="39"/>
        <v>0</v>
      </c>
      <c r="H307" s="79">
        <f>IFERROR(SUMIF('💸 Expenses'!B9:B508,B307,'💸 Expenses'!F9:F508),0)</f>
        <v>0</v>
      </c>
      <c r="I307" s="80">
        <f t="shared" si="40"/>
        <v>0</v>
      </c>
      <c r="J307" s="81">
        <f t="shared" si="41"/>
        <v>0</v>
      </c>
      <c r="K307" s="82"/>
      <c r="L307" s="45">
        <f t="shared" si="44"/>
        <v>0</v>
      </c>
      <c r="M307" s="48">
        <f t="shared" si="45"/>
        <v>0</v>
      </c>
      <c r="N307" s="83">
        <f t="shared" si="42"/>
        <v>0</v>
      </c>
      <c r="O307" s="84">
        <f>IFERROR(SUMIF(B8:B307,"&gt;="&amp;(B307-WEEKDAY(B307,2)+1),E8:E307),0)</f>
        <v>0</v>
      </c>
      <c r="P307" s="85">
        <f>IFERROR(SUMIF(B8:B307,"&gt;="&amp;(B307-WEEKDAY(B307,2)+1),H8:H307),0)</f>
        <v>0</v>
      </c>
      <c r="Q307" s="83">
        <f t="shared" si="43"/>
        <v>0</v>
      </c>
    </row>
    <row r="308" spans="2:17" ht="16.5" customHeight="1" x14ac:dyDescent="0.3">
      <c r="B308" s="61"/>
      <c r="C308" s="62" t="str">
        <f t="shared" si="37"/>
        <v/>
      </c>
      <c r="D308" s="63" t="str">
        <f t="shared" si="38"/>
        <v/>
      </c>
      <c r="E308" s="64"/>
      <c r="F308" s="65"/>
      <c r="G308" s="66">
        <f t="shared" si="39"/>
        <v>0</v>
      </c>
      <c r="H308" s="67">
        <f>IFERROR(SUMIF('💸 Expenses'!B9:B508,B308,'💸 Expenses'!F9:F508),0)</f>
        <v>0</v>
      </c>
      <c r="I308" s="68">
        <f t="shared" si="40"/>
        <v>0</v>
      </c>
      <c r="J308" s="69">
        <f t="shared" si="41"/>
        <v>0</v>
      </c>
      <c r="K308" s="70"/>
      <c r="L308" s="36">
        <f t="shared" si="44"/>
        <v>0</v>
      </c>
      <c r="M308" s="39">
        <f t="shared" si="45"/>
        <v>0</v>
      </c>
      <c r="N308" s="71">
        <f t="shared" si="42"/>
        <v>0</v>
      </c>
      <c r="O308" s="72">
        <f>IFERROR(SUMIF(B8:B308,"&gt;="&amp;(B308-WEEKDAY(B308,2)+1),E8:E308),0)</f>
        <v>0</v>
      </c>
      <c r="P308" s="73">
        <f>IFERROR(SUMIF(B8:B308,"&gt;="&amp;(B308-WEEKDAY(B308,2)+1),H8:H308),0)</f>
        <v>0</v>
      </c>
      <c r="Q308" s="71">
        <f t="shared" si="43"/>
        <v>0</v>
      </c>
    </row>
    <row r="309" spans="2:17" ht="16.5" customHeight="1" x14ac:dyDescent="0.3">
      <c r="B309" s="61"/>
      <c r="C309" s="74" t="str">
        <f t="shared" si="37"/>
        <v/>
      </c>
      <c r="D309" s="75" t="str">
        <f t="shared" si="38"/>
        <v/>
      </c>
      <c r="E309" s="76"/>
      <c r="F309" s="77"/>
      <c r="G309" s="78">
        <f t="shared" si="39"/>
        <v>0</v>
      </c>
      <c r="H309" s="79">
        <f>IFERROR(SUMIF('💸 Expenses'!B9:B508,B309,'💸 Expenses'!F9:F508),0)</f>
        <v>0</v>
      </c>
      <c r="I309" s="80">
        <f t="shared" si="40"/>
        <v>0</v>
      </c>
      <c r="J309" s="81">
        <f t="shared" si="41"/>
        <v>0</v>
      </c>
      <c r="K309" s="82"/>
      <c r="L309" s="45">
        <f t="shared" si="44"/>
        <v>0</v>
      </c>
      <c r="M309" s="48">
        <f t="shared" si="45"/>
        <v>0</v>
      </c>
      <c r="N309" s="83">
        <f t="shared" si="42"/>
        <v>0</v>
      </c>
      <c r="O309" s="84">
        <f>IFERROR(SUMIF(B8:B309,"&gt;="&amp;(B309-WEEKDAY(B309,2)+1),E8:E309),0)</f>
        <v>0</v>
      </c>
      <c r="P309" s="85">
        <f>IFERROR(SUMIF(B8:B309,"&gt;="&amp;(B309-WEEKDAY(B309,2)+1),H8:H309),0)</f>
        <v>0</v>
      </c>
      <c r="Q309" s="83">
        <f t="shared" si="43"/>
        <v>0</v>
      </c>
    </row>
    <row r="310" spans="2:17" ht="16.5" customHeight="1" x14ac:dyDescent="0.3">
      <c r="B310" s="61"/>
      <c r="C310" s="62" t="str">
        <f t="shared" si="37"/>
        <v/>
      </c>
      <c r="D310" s="63" t="str">
        <f t="shared" si="38"/>
        <v/>
      </c>
      <c r="E310" s="64"/>
      <c r="F310" s="65"/>
      <c r="G310" s="66">
        <f t="shared" si="39"/>
        <v>0</v>
      </c>
      <c r="H310" s="67">
        <f>IFERROR(SUMIF('💸 Expenses'!B9:B508,B310,'💸 Expenses'!F9:F508),0)</f>
        <v>0</v>
      </c>
      <c r="I310" s="68">
        <f t="shared" si="40"/>
        <v>0</v>
      </c>
      <c r="J310" s="69">
        <f t="shared" si="41"/>
        <v>0</v>
      </c>
      <c r="K310" s="70"/>
      <c r="L310" s="36">
        <f t="shared" si="44"/>
        <v>0</v>
      </c>
      <c r="M310" s="39">
        <f t="shared" si="45"/>
        <v>0</v>
      </c>
      <c r="N310" s="71">
        <f t="shared" si="42"/>
        <v>0</v>
      </c>
      <c r="O310" s="72">
        <f>IFERROR(SUMIF(B8:B310,"&gt;="&amp;(B310-WEEKDAY(B310,2)+1),E8:E310),0)</f>
        <v>0</v>
      </c>
      <c r="P310" s="73">
        <f>IFERROR(SUMIF(B8:B310,"&gt;="&amp;(B310-WEEKDAY(B310,2)+1),H8:H310),0)</f>
        <v>0</v>
      </c>
      <c r="Q310" s="71">
        <f t="shared" si="43"/>
        <v>0</v>
      </c>
    </row>
    <row r="311" spans="2:17" ht="16.5" customHeight="1" x14ac:dyDescent="0.3">
      <c r="B311" s="61"/>
      <c r="C311" s="74" t="str">
        <f t="shared" si="37"/>
        <v/>
      </c>
      <c r="D311" s="75" t="str">
        <f t="shared" si="38"/>
        <v/>
      </c>
      <c r="E311" s="76"/>
      <c r="F311" s="77"/>
      <c r="G311" s="78">
        <f t="shared" si="39"/>
        <v>0</v>
      </c>
      <c r="H311" s="79">
        <f>IFERROR(SUMIF('💸 Expenses'!B9:B508,B311,'💸 Expenses'!F9:F508),0)</f>
        <v>0</v>
      </c>
      <c r="I311" s="80">
        <f t="shared" si="40"/>
        <v>0</v>
      </c>
      <c r="J311" s="81">
        <f t="shared" si="41"/>
        <v>0</v>
      </c>
      <c r="K311" s="82"/>
      <c r="L311" s="45">
        <f t="shared" si="44"/>
        <v>0</v>
      </c>
      <c r="M311" s="48">
        <f t="shared" si="45"/>
        <v>0</v>
      </c>
      <c r="N311" s="83">
        <f t="shared" si="42"/>
        <v>0</v>
      </c>
      <c r="O311" s="84">
        <f>IFERROR(SUMIF(B8:B311,"&gt;="&amp;(B311-WEEKDAY(B311,2)+1),E8:E311),0)</f>
        <v>0</v>
      </c>
      <c r="P311" s="85">
        <f>IFERROR(SUMIF(B8:B311,"&gt;="&amp;(B311-WEEKDAY(B311,2)+1),H8:H311),0)</f>
        <v>0</v>
      </c>
      <c r="Q311" s="83">
        <f t="shared" si="43"/>
        <v>0</v>
      </c>
    </row>
    <row r="312" spans="2:17" ht="16.5" customHeight="1" x14ac:dyDescent="0.3">
      <c r="B312" s="61"/>
      <c r="C312" s="62" t="str">
        <f t="shared" si="37"/>
        <v/>
      </c>
      <c r="D312" s="63" t="str">
        <f t="shared" si="38"/>
        <v/>
      </c>
      <c r="E312" s="64"/>
      <c r="F312" s="65"/>
      <c r="G312" s="66">
        <f t="shared" si="39"/>
        <v>0</v>
      </c>
      <c r="H312" s="67">
        <f>IFERROR(SUMIF('💸 Expenses'!B9:B508,B312,'💸 Expenses'!F9:F508),0)</f>
        <v>0</v>
      </c>
      <c r="I312" s="68">
        <f t="shared" si="40"/>
        <v>0</v>
      </c>
      <c r="J312" s="69">
        <f t="shared" si="41"/>
        <v>0</v>
      </c>
      <c r="K312" s="70"/>
      <c r="L312" s="36">
        <f t="shared" si="44"/>
        <v>0</v>
      </c>
      <c r="M312" s="39">
        <f t="shared" si="45"/>
        <v>0</v>
      </c>
      <c r="N312" s="71">
        <f t="shared" si="42"/>
        <v>0</v>
      </c>
      <c r="O312" s="72">
        <f>IFERROR(SUMIF(B8:B312,"&gt;="&amp;(B312-WEEKDAY(B312,2)+1),E8:E312),0)</f>
        <v>0</v>
      </c>
      <c r="P312" s="73">
        <f>IFERROR(SUMIF(B8:B312,"&gt;="&amp;(B312-WEEKDAY(B312,2)+1),H8:H312),0)</f>
        <v>0</v>
      </c>
      <c r="Q312" s="71">
        <f t="shared" si="43"/>
        <v>0</v>
      </c>
    </row>
    <row r="313" spans="2:17" ht="16.5" customHeight="1" x14ac:dyDescent="0.3">
      <c r="B313" s="61"/>
      <c r="C313" s="74" t="str">
        <f t="shared" si="37"/>
        <v/>
      </c>
      <c r="D313" s="75" t="str">
        <f t="shared" si="38"/>
        <v/>
      </c>
      <c r="E313" s="76"/>
      <c r="F313" s="77"/>
      <c r="G313" s="78">
        <f t="shared" si="39"/>
        <v>0</v>
      </c>
      <c r="H313" s="79">
        <f>IFERROR(SUMIF('💸 Expenses'!B9:B508,B313,'💸 Expenses'!F9:F508),0)</f>
        <v>0</v>
      </c>
      <c r="I313" s="80">
        <f t="shared" si="40"/>
        <v>0</v>
      </c>
      <c r="J313" s="81">
        <f t="shared" si="41"/>
        <v>0</v>
      </c>
      <c r="K313" s="82"/>
      <c r="L313" s="45">
        <f t="shared" si="44"/>
        <v>0</v>
      </c>
      <c r="M313" s="48">
        <f t="shared" si="45"/>
        <v>0</v>
      </c>
      <c r="N313" s="83">
        <f t="shared" si="42"/>
        <v>0</v>
      </c>
      <c r="O313" s="84">
        <f>IFERROR(SUMIF(B8:B313,"&gt;="&amp;(B313-WEEKDAY(B313,2)+1),E8:E313),0)</f>
        <v>0</v>
      </c>
      <c r="P313" s="85">
        <f>IFERROR(SUMIF(B8:B313,"&gt;="&amp;(B313-WEEKDAY(B313,2)+1),H8:H313),0)</f>
        <v>0</v>
      </c>
      <c r="Q313" s="83">
        <f t="shared" si="43"/>
        <v>0</v>
      </c>
    </row>
    <row r="314" spans="2:17" ht="16.5" customHeight="1" x14ac:dyDescent="0.3">
      <c r="B314" s="61"/>
      <c r="C314" s="62" t="str">
        <f t="shared" si="37"/>
        <v/>
      </c>
      <c r="D314" s="63" t="str">
        <f t="shared" si="38"/>
        <v/>
      </c>
      <c r="E314" s="64"/>
      <c r="F314" s="65"/>
      <c r="G314" s="66">
        <f t="shared" si="39"/>
        <v>0</v>
      </c>
      <c r="H314" s="67">
        <f>IFERROR(SUMIF('💸 Expenses'!B9:B508,B314,'💸 Expenses'!F9:F508),0)</f>
        <v>0</v>
      </c>
      <c r="I314" s="68">
        <f t="shared" si="40"/>
        <v>0</v>
      </c>
      <c r="J314" s="69">
        <f t="shared" si="41"/>
        <v>0</v>
      </c>
      <c r="K314" s="70"/>
      <c r="L314" s="36">
        <f t="shared" si="44"/>
        <v>0</v>
      </c>
      <c r="M314" s="39">
        <f t="shared" si="45"/>
        <v>0</v>
      </c>
      <c r="N314" s="71">
        <f t="shared" si="42"/>
        <v>0</v>
      </c>
      <c r="O314" s="72">
        <f>IFERROR(SUMIF(B8:B314,"&gt;="&amp;(B314-WEEKDAY(B314,2)+1),E8:E314),0)</f>
        <v>0</v>
      </c>
      <c r="P314" s="73">
        <f>IFERROR(SUMIF(B8:B314,"&gt;="&amp;(B314-WEEKDAY(B314,2)+1),H8:H314),0)</f>
        <v>0</v>
      </c>
      <c r="Q314" s="71">
        <f t="shared" si="43"/>
        <v>0</v>
      </c>
    </row>
    <row r="315" spans="2:17" ht="16.5" customHeight="1" x14ac:dyDescent="0.3">
      <c r="B315" s="61"/>
      <c r="C315" s="74" t="str">
        <f t="shared" si="37"/>
        <v/>
      </c>
      <c r="D315" s="75" t="str">
        <f t="shared" si="38"/>
        <v/>
      </c>
      <c r="E315" s="76"/>
      <c r="F315" s="77"/>
      <c r="G315" s="78">
        <f t="shared" si="39"/>
        <v>0</v>
      </c>
      <c r="H315" s="79">
        <f>IFERROR(SUMIF('💸 Expenses'!B9:B508,B315,'💸 Expenses'!F9:F508),0)</f>
        <v>0</v>
      </c>
      <c r="I315" s="80">
        <f t="shared" si="40"/>
        <v>0</v>
      </c>
      <c r="J315" s="81">
        <f t="shared" si="41"/>
        <v>0</v>
      </c>
      <c r="K315" s="82"/>
      <c r="L315" s="45">
        <f t="shared" si="44"/>
        <v>0</v>
      </c>
      <c r="M315" s="48">
        <f t="shared" si="45"/>
        <v>0</v>
      </c>
      <c r="N315" s="83">
        <f t="shared" si="42"/>
        <v>0</v>
      </c>
      <c r="O315" s="84">
        <f>IFERROR(SUMIF(B8:B315,"&gt;="&amp;(B315-WEEKDAY(B315,2)+1),E8:E315),0)</f>
        <v>0</v>
      </c>
      <c r="P315" s="85">
        <f>IFERROR(SUMIF(B8:B315,"&gt;="&amp;(B315-WEEKDAY(B315,2)+1),H8:H315),0)</f>
        <v>0</v>
      </c>
      <c r="Q315" s="83">
        <f t="shared" si="43"/>
        <v>0</v>
      </c>
    </row>
    <row r="316" spans="2:17" ht="16.5" customHeight="1" x14ac:dyDescent="0.3">
      <c r="B316" s="61"/>
      <c r="C316" s="62" t="str">
        <f t="shared" si="37"/>
        <v/>
      </c>
      <c r="D316" s="63" t="str">
        <f t="shared" si="38"/>
        <v/>
      </c>
      <c r="E316" s="64"/>
      <c r="F316" s="65"/>
      <c r="G316" s="66">
        <f t="shared" si="39"/>
        <v>0</v>
      </c>
      <c r="H316" s="67">
        <f>IFERROR(SUMIF('💸 Expenses'!B9:B508,B316,'💸 Expenses'!F9:F508),0)</f>
        <v>0</v>
      </c>
      <c r="I316" s="68">
        <f t="shared" si="40"/>
        <v>0</v>
      </c>
      <c r="J316" s="69">
        <f t="shared" si="41"/>
        <v>0</v>
      </c>
      <c r="K316" s="70"/>
      <c r="L316" s="36">
        <f t="shared" si="44"/>
        <v>0</v>
      </c>
      <c r="M316" s="39">
        <f t="shared" si="45"/>
        <v>0</v>
      </c>
      <c r="N316" s="71">
        <f t="shared" si="42"/>
        <v>0</v>
      </c>
      <c r="O316" s="72">
        <f>IFERROR(SUMIF(B8:B316,"&gt;="&amp;(B316-WEEKDAY(B316,2)+1),E8:E316),0)</f>
        <v>0</v>
      </c>
      <c r="P316" s="73">
        <f>IFERROR(SUMIF(B8:B316,"&gt;="&amp;(B316-WEEKDAY(B316,2)+1),H8:H316),0)</f>
        <v>0</v>
      </c>
      <c r="Q316" s="71">
        <f t="shared" si="43"/>
        <v>0</v>
      </c>
    </row>
    <row r="317" spans="2:17" ht="16.5" customHeight="1" x14ac:dyDescent="0.3">
      <c r="B317" s="61"/>
      <c r="C317" s="74" t="str">
        <f t="shared" si="37"/>
        <v/>
      </c>
      <c r="D317" s="75" t="str">
        <f t="shared" si="38"/>
        <v/>
      </c>
      <c r="E317" s="76"/>
      <c r="F317" s="77"/>
      <c r="G317" s="78">
        <f t="shared" si="39"/>
        <v>0</v>
      </c>
      <c r="H317" s="79">
        <f>IFERROR(SUMIF('💸 Expenses'!B9:B508,B317,'💸 Expenses'!F9:F508),0)</f>
        <v>0</v>
      </c>
      <c r="I317" s="80">
        <f t="shared" si="40"/>
        <v>0</v>
      </c>
      <c r="J317" s="81">
        <f t="shared" si="41"/>
        <v>0</v>
      </c>
      <c r="K317" s="82"/>
      <c r="L317" s="45">
        <f t="shared" si="44"/>
        <v>0</v>
      </c>
      <c r="M317" s="48">
        <f t="shared" si="45"/>
        <v>0</v>
      </c>
      <c r="N317" s="83">
        <f t="shared" si="42"/>
        <v>0</v>
      </c>
      <c r="O317" s="84">
        <f>IFERROR(SUMIF(B8:B317,"&gt;="&amp;(B317-WEEKDAY(B317,2)+1),E8:E317),0)</f>
        <v>0</v>
      </c>
      <c r="P317" s="85">
        <f>IFERROR(SUMIF(B8:B317,"&gt;="&amp;(B317-WEEKDAY(B317,2)+1),H8:H317),0)</f>
        <v>0</v>
      </c>
      <c r="Q317" s="83">
        <f t="shared" si="43"/>
        <v>0</v>
      </c>
    </row>
    <row r="318" spans="2:17" ht="16.5" customHeight="1" x14ac:dyDescent="0.3">
      <c r="B318" s="61"/>
      <c r="C318" s="62" t="str">
        <f t="shared" si="37"/>
        <v/>
      </c>
      <c r="D318" s="63" t="str">
        <f t="shared" si="38"/>
        <v/>
      </c>
      <c r="E318" s="64"/>
      <c r="F318" s="65"/>
      <c r="G318" s="66">
        <f t="shared" si="39"/>
        <v>0</v>
      </c>
      <c r="H318" s="67">
        <f>IFERROR(SUMIF('💸 Expenses'!B9:B508,B318,'💸 Expenses'!F9:F508),0)</f>
        <v>0</v>
      </c>
      <c r="I318" s="68">
        <f t="shared" si="40"/>
        <v>0</v>
      </c>
      <c r="J318" s="69">
        <f t="shared" si="41"/>
        <v>0</v>
      </c>
      <c r="K318" s="70"/>
      <c r="L318" s="36">
        <f t="shared" si="44"/>
        <v>0</v>
      </c>
      <c r="M318" s="39">
        <f t="shared" si="45"/>
        <v>0</v>
      </c>
      <c r="N318" s="71">
        <f t="shared" si="42"/>
        <v>0</v>
      </c>
      <c r="O318" s="72">
        <f>IFERROR(SUMIF(B8:B318,"&gt;="&amp;(B318-WEEKDAY(B318,2)+1),E8:E318),0)</f>
        <v>0</v>
      </c>
      <c r="P318" s="73">
        <f>IFERROR(SUMIF(B8:B318,"&gt;="&amp;(B318-WEEKDAY(B318,2)+1),H8:H318),0)</f>
        <v>0</v>
      </c>
      <c r="Q318" s="71">
        <f t="shared" si="43"/>
        <v>0</v>
      </c>
    </row>
    <row r="319" spans="2:17" ht="16.5" customHeight="1" x14ac:dyDescent="0.3">
      <c r="B319" s="61"/>
      <c r="C319" s="74" t="str">
        <f t="shared" si="37"/>
        <v/>
      </c>
      <c r="D319" s="75" t="str">
        <f t="shared" si="38"/>
        <v/>
      </c>
      <c r="E319" s="76"/>
      <c r="F319" s="77"/>
      <c r="G319" s="78">
        <f t="shared" si="39"/>
        <v>0</v>
      </c>
      <c r="H319" s="79">
        <f>IFERROR(SUMIF('💸 Expenses'!B9:B508,B319,'💸 Expenses'!F9:F508),0)</f>
        <v>0</v>
      </c>
      <c r="I319" s="80">
        <f t="shared" si="40"/>
        <v>0</v>
      </c>
      <c r="J319" s="81">
        <f t="shared" si="41"/>
        <v>0</v>
      </c>
      <c r="K319" s="82"/>
      <c r="L319" s="45">
        <f t="shared" si="44"/>
        <v>0</v>
      </c>
      <c r="M319" s="48">
        <f t="shared" si="45"/>
        <v>0</v>
      </c>
      <c r="N319" s="83">
        <f t="shared" si="42"/>
        <v>0</v>
      </c>
      <c r="O319" s="84">
        <f>IFERROR(SUMIF(B8:B319,"&gt;="&amp;(B319-WEEKDAY(B319,2)+1),E8:E319),0)</f>
        <v>0</v>
      </c>
      <c r="P319" s="85">
        <f>IFERROR(SUMIF(B8:B319,"&gt;="&amp;(B319-WEEKDAY(B319,2)+1),H8:H319),0)</f>
        <v>0</v>
      </c>
      <c r="Q319" s="83">
        <f t="shared" si="43"/>
        <v>0</v>
      </c>
    </row>
    <row r="320" spans="2:17" ht="16.5" customHeight="1" x14ac:dyDescent="0.3">
      <c r="B320" s="61"/>
      <c r="C320" s="62" t="str">
        <f t="shared" si="37"/>
        <v/>
      </c>
      <c r="D320" s="63" t="str">
        <f t="shared" si="38"/>
        <v/>
      </c>
      <c r="E320" s="64"/>
      <c r="F320" s="65"/>
      <c r="G320" s="66">
        <f t="shared" si="39"/>
        <v>0</v>
      </c>
      <c r="H320" s="67">
        <f>IFERROR(SUMIF('💸 Expenses'!B9:B508,B320,'💸 Expenses'!F9:F508),0)</f>
        <v>0</v>
      </c>
      <c r="I320" s="68">
        <f t="shared" si="40"/>
        <v>0</v>
      </c>
      <c r="J320" s="69">
        <f t="shared" si="41"/>
        <v>0</v>
      </c>
      <c r="K320" s="70"/>
      <c r="L320" s="36">
        <f t="shared" si="44"/>
        <v>0</v>
      </c>
      <c r="M320" s="39">
        <f t="shared" si="45"/>
        <v>0</v>
      </c>
      <c r="N320" s="71">
        <f t="shared" si="42"/>
        <v>0</v>
      </c>
      <c r="O320" s="72">
        <f>IFERROR(SUMIF(B8:B320,"&gt;="&amp;(B320-WEEKDAY(B320,2)+1),E8:E320),0)</f>
        <v>0</v>
      </c>
      <c r="P320" s="73">
        <f>IFERROR(SUMIF(B8:B320,"&gt;="&amp;(B320-WEEKDAY(B320,2)+1),H8:H320),0)</f>
        <v>0</v>
      </c>
      <c r="Q320" s="71">
        <f t="shared" si="43"/>
        <v>0</v>
      </c>
    </row>
    <row r="321" spans="2:17" ht="16.5" customHeight="1" x14ac:dyDescent="0.3">
      <c r="B321" s="61"/>
      <c r="C321" s="74" t="str">
        <f t="shared" si="37"/>
        <v/>
      </c>
      <c r="D321" s="75" t="str">
        <f t="shared" si="38"/>
        <v/>
      </c>
      <c r="E321" s="76"/>
      <c r="F321" s="77"/>
      <c r="G321" s="78">
        <f t="shared" si="39"/>
        <v>0</v>
      </c>
      <c r="H321" s="79">
        <f>IFERROR(SUMIF('💸 Expenses'!B9:B508,B321,'💸 Expenses'!F9:F508),0)</f>
        <v>0</v>
      </c>
      <c r="I321" s="80">
        <f t="shared" si="40"/>
        <v>0</v>
      </c>
      <c r="J321" s="81">
        <f t="shared" si="41"/>
        <v>0</v>
      </c>
      <c r="K321" s="82"/>
      <c r="L321" s="45">
        <f t="shared" si="44"/>
        <v>0</v>
      </c>
      <c r="M321" s="48">
        <f t="shared" si="45"/>
        <v>0</v>
      </c>
      <c r="N321" s="83">
        <f t="shared" si="42"/>
        <v>0</v>
      </c>
      <c r="O321" s="84">
        <f>IFERROR(SUMIF(B8:B321,"&gt;="&amp;(B321-WEEKDAY(B321,2)+1),E8:E321),0)</f>
        <v>0</v>
      </c>
      <c r="P321" s="85">
        <f>IFERROR(SUMIF(B8:B321,"&gt;="&amp;(B321-WEEKDAY(B321,2)+1),H8:H321),0)</f>
        <v>0</v>
      </c>
      <c r="Q321" s="83">
        <f t="shared" si="43"/>
        <v>0</v>
      </c>
    </row>
    <row r="322" spans="2:17" ht="16.5" customHeight="1" x14ac:dyDescent="0.3">
      <c r="B322" s="61"/>
      <c r="C322" s="62" t="str">
        <f t="shared" si="37"/>
        <v/>
      </c>
      <c r="D322" s="63" t="str">
        <f t="shared" si="38"/>
        <v/>
      </c>
      <c r="E322" s="64"/>
      <c r="F322" s="65"/>
      <c r="G322" s="66">
        <f t="shared" si="39"/>
        <v>0</v>
      </c>
      <c r="H322" s="67">
        <f>IFERROR(SUMIF('💸 Expenses'!B9:B508,B322,'💸 Expenses'!F9:F508),0)</f>
        <v>0</v>
      </c>
      <c r="I322" s="68">
        <f t="shared" si="40"/>
        <v>0</v>
      </c>
      <c r="J322" s="69">
        <f t="shared" si="41"/>
        <v>0</v>
      </c>
      <c r="K322" s="70"/>
      <c r="L322" s="36">
        <f t="shared" si="44"/>
        <v>0</v>
      </c>
      <c r="M322" s="39">
        <f t="shared" si="45"/>
        <v>0</v>
      </c>
      <c r="N322" s="71">
        <f t="shared" si="42"/>
        <v>0</v>
      </c>
      <c r="O322" s="72">
        <f>IFERROR(SUMIF(B8:B322,"&gt;="&amp;(B322-WEEKDAY(B322,2)+1),E8:E322),0)</f>
        <v>0</v>
      </c>
      <c r="P322" s="73">
        <f>IFERROR(SUMIF(B8:B322,"&gt;="&amp;(B322-WEEKDAY(B322,2)+1),H8:H322),0)</f>
        <v>0</v>
      </c>
      <c r="Q322" s="71">
        <f t="shared" si="43"/>
        <v>0</v>
      </c>
    </row>
    <row r="323" spans="2:17" ht="16.5" customHeight="1" x14ac:dyDescent="0.3">
      <c r="B323" s="61"/>
      <c r="C323" s="74" t="str">
        <f t="shared" si="37"/>
        <v/>
      </c>
      <c r="D323" s="75" t="str">
        <f t="shared" si="38"/>
        <v/>
      </c>
      <c r="E323" s="76"/>
      <c r="F323" s="77"/>
      <c r="G323" s="78">
        <f t="shared" si="39"/>
        <v>0</v>
      </c>
      <c r="H323" s="79">
        <f>IFERROR(SUMIF('💸 Expenses'!B9:B508,B323,'💸 Expenses'!F9:F508),0)</f>
        <v>0</v>
      </c>
      <c r="I323" s="80">
        <f t="shared" si="40"/>
        <v>0</v>
      </c>
      <c r="J323" s="81">
        <f t="shared" si="41"/>
        <v>0</v>
      </c>
      <c r="K323" s="82"/>
      <c r="L323" s="45">
        <f t="shared" si="44"/>
        <v>0</v>
      </c>
      <c r="M323" s="48">
        <f t="shared" si="45"/>
        <v>0</v>
      </c>
      <c r="N323" s="83">
        <f t="shared" si="42"/>
        <v>0</v>
      </c>
      <c r="O323" s="84">
        <f>IFERROR(SUMIF(B8:B323,"&gt;="&amp;(B323-WEEKDAY(B323,2)+1),E8:E323),0)</f>
        <v>0</v>
      </c>
      <c r="P323" s="85">
        <f>IFERROR(SUMIF(B8:B323,"&gt;="&amp;(B323-WEEKDAY(B323,2)+1),H8:H323),0)</f>
        <v>0</v>
      </c>
      <c r="Q323" s="83">
        <f t="shared" si="43"/>
        <v>0</v>
      </c>
    </row>
    <row r="324" spans="2:17" ht="16.5" customHeight="1" x14ac:dyDescent="0.3">
      <c r="B324" s="61"/>
      <c r="C324" s="62" t="str">
        <f t="shared" si="37"/>
        <v/>
      </c>
      <c r="D324" s="63" t="str">
        <f t="shared" si="38"/>
        <v/>
      </c>
      <c r="E324" s="64"/>
      <c r="F324" s="65"/>
      <c r="G324" s="66">
        <f t="shared" si="39"/>
        <v>0</v>
      </c>
      <c r="H324" s="67">
        <f>IFERROR(SUMIF('💸 Expenses'!B9:B508,B324,'💸 Expenses'!F9:F508),0)</f>
        <v>0</v>
      </c>
      <c r="I324" s="68">
        <f t="shared" si="40"/>
        <v>0</v>
      </c>
      <c r="J324" s="69">
        <f t="shared" si="41"/>
        <v>0</v>
      </c>
      <c r="K324" s="70"/>
      <c r="L324" s="36">
        <f t="shared" si="44"/>
        <v>0</v>
      </c>
      <c r="M324" s="39">
        <f t="shared" si="45"/>
        <v>0</v>
      </c>
      <c r="N324" s="71">
        <f t="shared" si="42"/>
        <v>0</v>
      </c>
      <c r="O324" s="72">
        <f>IFERROR(SUMIF(B8:B324,"&gt;="&amp;(B324-WEEKDAY(B324,2)+1),E8:E324),0)</f>
        <v>0</v>
      </c>
      <c r="P324" s="73">
        <f>IFERROR(SUMIF(B8:B324,"&gt;="&amp;(B324-WEEKDAY(B324,2)+1),H8:H324),0)</f>
        <v>0</v>
      </c>
      <c r="Q324" s="71">
        <f t="shared" si="43"/>
        <v>0</v>
      </c>
    </row>
    <row r="325" spans="2:17" ht="16.5" customHeight="1" x14ac:dyDescent="0.3">
      <c r="B325" s="61"/>
      <c r="C325" s="74" t="str">
        <f t="shared" si="37"/>
        <v/>
      </c>
      <c r="D325" s="75" t="str">
        <f t="shared" si="38"/>
        <v/>
      </c>
      <c r="E325" s="76"/>
      <c r="F325" s="77"/>
      <c r="G325" s="78">
        <f t="shared" si="39"/>
        <v>0</v>
      </c>
      <c r="H325" s="79">
        <f>IFERROR(SUMIF('💸 Expenses'!B9:B508,B325,'💸 Expenses'!F9:F508),0)</f>
        <v>0</v>
      </c>
      <c r="I325" s="80">
        <f t="shared" si="40"/>
        <v>0</v>
      </c>
      <c r="J325" s="81">
        <f t="shared" si="41"/>
        <v>0</v>
      </c>
      <c r="K325" s="82"/>
      <c r="L325" s="45">
        <f t="shared" si="44"/>
        <v>0</v>
      </c>
      <c r="M325" s="48">
        <f t="shared" si="45"/>
        <v>0</v>
      </c>
      <c r="N325" s="83">
        <f t="shared" si="42"/>
        <v>0</v>
      </c>
      <c r="O325" s="84">
        <f>IFERROR(SUMIF(B8:B325,"&gt;="&amp;(B325-WEEKDAY(B325,2)+1),E8:E325),0)</f>
        <v>0</v>
      </c>
      <c r="P325" s="85">
        <f>IFERROR(SUMIF(B8:B325,"&gt;="&amp;(B325-WEEKDAY(B325,2)+1),H8:H325),0)</f>
        <v>0</v>
      </c>
      <c r="Q325" s="83">
        <f t="shared" si="43"/>
        <v>0</v>
      </c>
    </row>
    <row r="326" spans="2:17" ht="16.5" customHeight="1" x14ac:dyDescent="0.3">
      <c r="B326" s="61"/>
      <c r="C326" s="62" t="str">
        <f t="shared" si="37"/>
        <v/>
      </c>
      <c r="D326" s="63" t="str">
        <f t="shared" si="38"/>
        <v/>
      </c>
      <c r="E326" s="64"/>
      <c r="F326" s="65"/>
      <c r="G326" s="66">
        <f t="shared" si="39"/>
        <v>0</v>
      </c>
      <c r="H326" s="67">
        <f>IFERROR(SUMIF('💸 Expenses'!B9:B508,B326,'💸 Expenses'!F9:F508),0)</f>
        <v>0</v>
      </c>
      <c r="I326" s="68">
        <f t="shared" si="40"/>
        <v>0</v>
      </c>
      <c r="J326" s="69">
        <f t="shared" si="41"/>
        <v>0</v>
      </c>
      <c r="K326" s="70"/>
      <c r="L326" s="36">
        <f t="shared" si="44"/>
        <v>0</v>
      </c>
      <c r="M326" s="39">
        <f t="shared" si="45"/>
        <v>0</v>
      </c>
      <c r="N326" s="71">
        <f t="shared" si="42"/>
        <v>0</v>
      </c>
      <c r="O326" s="72">
        <f>IFERROR(SUMIF(B8:B326,"&gt;="&amp;(B326-WEEKDAY(B326,2)+1),E8:E326),0)</f>
        <v>0</v>
      </c>
      <c r="P326" s="73">
        <f>IFERROR(SUMIF(B8:B326,"&gt;="&amp;(B326-WEEKDAY(B326,2)+1),H8:H326),0)</f>
        <v>0</v>
      </c>
      <c r="Q326" s="71">
        <f t="shared" si="43"/>
        <v>0</v>
      </c>
    </row>
    <row r="327" spans="2:17" ht="16.5" customHeight="1" x14ac:dyDescent="0.3">
      <c r="B327" s="61"/>
      <c r="C327" s="74" t="str">
        <f t="shared" si="37"/>
        <v/>
      </c>
      <c r="D327" s="75" t="str">
        <f t="shared" si="38"/>
        <v/>
      </c>
      <c r="E327" s="76"/>
      <c r="F327" s="77"/>
      <c r="G327" s="78">
        <f t="shared" si="39"/>
        <v>0</v>
      </c>
      <c r="H327" s="79">
        <f>IFERROR(SUMIF('💸 Expenses'!B9:B508,B327,'💸 Expenses'!F9:F508),0)</f>
        <v>0</v>
      </c>
      <c r="I327" s="80">
        <f t="shared" si="40"/>
        <v>0</v>
      </c>
      <c r="J327" s="81">
        <f t="shared" si="41"/>
        <v>0</v>
      </c>
      <c r="K327" s="82"/>
      <c r="L327" s="45">
        <f t="shared" si="44"/>
        <v>0</v>
      </c>
      <c r="M327" s="48">
        <f t="shared" si="45"/>
        <v>0</v>
      </c>
      <c r="N327" s="83">
        <f t="shared" si="42"/>
        <v>0</v>
      </c>
      <c r="O327" s="84">
        <f>IFERROR(SUMIF(B8:B327,"&gt;="&amp;(B327-WEEKDAY(B327,2)+1),E8:E327),0)</f>
        <v>0</v>
      </c>
      <c r="P327" s="85">
        <f>IFERROR(SUMIF(B8:B327,"&gt;="&amp;(B327-WEEKDAY(B327,2)+1),H8:H327),0)</f>
        <v>0</v>
      </c>
      <c r="Q327" s="83">
        <f t="shared" si="43"/>
        <v>0</v>
      </c>
    </row>
    <row r="328" spans="2:17" ht="16.5" customHeight="1" x14ac:dyDescent="0.3">
      <c r="B328" s="61"/>
      <c r="C328" s="62" t="str">
        <f t="shared" ref="C328:C391" si="46">IF(B328="","",TEXT(B328,"DDD"))</f>
        <v/>
      </c>
      <c r="D328" s="63" t="str">
        <f t="shared" ref="D328:D372" si="47">IF(B328="","","Soft App")</f>
        <v/>
      </c>
      <c r="E328" s="64"/>
      <c r="F328" s="65"/>
      <c r="G328" s="66">
        <f t="shared" ref="G328:G391" si="48">IFERROR(E328/F328,0)</f>
        <v>0</v>
      </c>
      <c r="H328" s="67">
        <f>IFERROR(SUMIF('💸 Expenses'!B9:B508,B328,'💸 Expenses'!F9:F508),0)</f>
        <v>0</v>
      </c>
      <c r="I328" s="68">
        <f t="shared" ref="I328:I391" si="49">IFERROR(E328-H328,0)</f>
        <v>0</v>
      </c>
      <c r="J328" s="69">
        <f t="shared" ref="J328:J391" si="50">IFERROR(I328/E328,0)</f>
        <v>0</v>
      </c>
      <c r="K328" s="70"/>
      <c r="L328" s="36">
        <f t="shared" si="44"/>
        <v>0</v>
      </c>
      <c r="M328" s="39">
        <f t="shared" si="45"/>
        <v>0</v>
      </c>
      <c r="N328" s="71">
        <f t="shared" ref="N328:N391" si="51">IFERROR(L328-M328,0)</f>
        <v>0</v>
      </c>
      <c r="O328" s="72">
        <f>IFERROR(SUMIF(B8:B328,"&gt;="&amp;(B328-WEEKDAY(B328,2)+1),E8:E328),0)</f>
        <v>0</v>
      </c>
      <c r="P328" s="73">
        <f>IFERROR(SUMIF(B8:B328,"&gt;="&amp;(B328-WEEKDAY(B328,2)+1),H8:H328),0)</f>
        <v>0</v>
      </c>
      <c r="Q328" s="71">
        <f t="shared" ref="Q328:Q391" si="52">IFERROR(O328-P328,0)</f>
        <v>0</v>
      </c>
    </row>
    <row r="329" spans="2:17" ht="16.5" customHeight="1" x14ac:dyDescent="0.3">
      <c r="B329" s="61"/>
      <c r="C329" s="74" t="str">
        <f t="shared" si="46"/>
        <v/>
      </c>
      <c r="D329" s="75" t="str">
        <f t="shared" si="47"/>
        <v/>
      </c>
      <c r="E329" s="76"/>
      <c r="F329" s="77"/>
      <c r="G329" s="78">
        <f t="shared" si="48"/>
        <v>0</v>
      </c>
      <c r="H329" s="79">
        <f>IFERROR(SUMIF('💸 Expenses'!B9:B508,B329,'💸 Expenses'!F9:F508),0)</f>
        <v>0</v>
      </c>
      <c r="I329" s="80">
        <f t="shared" si="49"/>
        <v>0</v>
      </c>
      <c r="J329" s="81">
        <f t="shared" si="50"/>
        <v>0</v>
      </c>
      <c r="K329" s="82"/>
      <c r="L329" s="45">
        <f t="shared" ref="L329:L372" si="53">IFERROR(L328+E329,0)</f>
        <v>0</v>
      </c>
      <c r="M329" s="48">
        <f t="shared" ref="M329:M372" si="54">IFERROR(M328+H329,0)</f>
        <v>0</v>
      </c>
      <c r="N329" s="83">
        <f t="shared" si="51"/>
        <v>0</v>
      </c>
      <c r="O329" s="84">
        <f>IFERROR(SUMIF(B8:B329,"&gt;="&amp;(B329-WEEKDAY(B329,2)+1),E8:E329),0)</f>
        <v>0</v>
      </c>
      <c r="P329" s="85">
        <f>IFERROR(SUMIF(B8:B329,"&gt;="&amp;(B329-WEEKDAY(B329,2)+1),H8:H329),0)</f>
        <v>0</v>
      </c>
      <c r="Q329" s="83">
        <f t="shared" si="52"/>
        <v>0</v>
      </c>
    </row>
    <row r="330" spans="2:17" ht="16.5" customHeight="1" x14ac:dyDescent="0.3">
      <c r="B330" s="61"/>
      <c r="C330" s="62" t="str">
        <f t="shared" si="46"/>
        <v/>
      </c>
      <c r="D330" s="63" t="str">
        <f t="shared" si="47"/>
        <v/>
      </c>
      <c r="E330" s="64"/>
      <c r="F330" s="65"/>
      <c r="G330" s="66">
        <f t="shared" si="48"/>
        <v>0</v>
      </c>
      <c r="H330" s="67">
        <f>IFERROR(SUMIF('💸 Expenses'!B9:B508,B330,'💸 Expenses'!F9:F508),0)</f>
        <v>0</v>
      </c>
      <c r="I330" s="68">
        <f t="shared" si="49"/>
        <v>0</v>
      </c>
      <c r="J330" s="69">
        <f t="shared" si="50"/>
        <v>0</v>
      </c>
      <c r="K330" s="70"/>
      <c r="L330" s="36">
        <f t="shared" si="53"/>
        <v>0</v>
      </c>
      <c r="M330" s="39">
        <f t="shared" si="54"/>
        <v>0</v>
      </c>
      <c r="N330" s="71">
        <f t="shared" si="51"/>
        <v>0</v>
      </c>
      <c r="O330" s="72">
        <f>IFERROR(SUMIF(B8:B330,"&gt;="&amp;(B330-WEEKDAY(B330,2)+1),E8:E330),0)</f>
        <v>0</v>
      </c>
      <c r="P330" s="73">
        <f>IFERROR(SUMIF(B8:B330,"&gt;="&amp;(B330-WEEKDAY(B330,2)+1),H8:H330),0)</f>
        <v>0</v>
      </c>
      <c r="Q330" s="71">
        <f t="shared" si="52"/>
        <v>0</v>
      </c>
    </row>
    <row r="331" spans="2:17" ht="16.5" customHeight="1" x14ac:dyDescent="0.3">
      <c r="B331" s="61"/>
      <c r="C331" s="74" t="str">
        <f t="shared" si="46"/>
        <v/>
      </c>
      <c r="D331" s="75" t="str">
        <f t="shared" si="47"/>
        <v/>
      </c>
      <c r="E331" s="76"/>
      <c r="F331" s="77"/>
      <c r="G331" s="78">
        <f t="shared" si="48"/>
        <v>0</v>
      </c>
      <c r="H331" s="79">
        <f>IFERROR(SUMIF('💸 Expenses'!B9:B508,B331,'💸 Expenses'!F9:F508),0)</f>
        <v>0</v>
      </c>
      <c r="I331" s="80">
        <f t="shared" si="49"/>
        <v>0</v>
      </c>
      <c r="J331" s="81">
        <f t="shared" si="50"/>
        <v>0</v>
      </c>
      <c r="K331" s="82"/>
      <c r="L331" s="45">
        <f t="shared" si="53"/>
        <v>0</v>
      </c>
      <c r="M331" s="48">
        <f t="shared" si="54"/>
        <v>0</v>
      </c>
      <c r="N331" s="83">
        <f t="shared" si="51"/>
        <v>0</v>
      </c>
      <c r="O331" s="84">
        <f>IFERROR(SUMIF(B8:B331,"&gt;="&amp;(B331-WEEKDAY(B331,2)+1),E8:E331),0)</f>
        <v>0</v>
      </c>
      <c r="P331" s="85">
        <f>IFERROR(SUMIF(B8:B331,"&gt;="&amp;(B331-WEEKDAY(B331,2)+1),H8:H331),0)</f>
        <v>0</v>
      </c>
      <c r="Q331" s="83">
        <f t="shared" si="52"/>
        <v>0</v>
      </c>
    </row>
    <row r="332" spans="2:17" ht="16.5" customHeight="1" x14ac:dyDescent="0.3">
      <c r="B332" s="61"/>
      <c r="C332" s="62" t="str">
        <f t="shared" si="46"/>
        <v/>
      </c>
      <c r="D332" s="63" t="str">
        <f t="shared" si="47"/>
        <v/>
      </c>
      <c r="E332" s="64"/>
      <c r="F332" s="65"/>
      <c r="G332" s="66">
        <f t="shared" si="48"/>
        <v>0</v>
      </c>
      <c r="H332" s="67">
        <f>IFERROR(SUMIF('💸 Expenses'!B9:B508,B332,'💸 Expenses'!F9:F508),0)</f>
        <v>0</v>
      </c>
      <c r="I332" s="68">
        <f t="shared" si="49"/>
        <v>0</v>
      </c>
      <c r="J332" s="69">
        <f t="shared" si="50"/>
        <v>0</v>
      </c>
      <c r="K332" s="70"/>
      <c r="L332" s="36">
        <f t="shared" si="53"/>
        <v>0</v>
      </c>
      <c r="M332" s="39">
        <f t="shared" si="54"/>
        <v>0</v>
      </c>
      <c r="N332" s="71">
        <f t="shared" si="51"/>
        <v>0</v>
      </c>
      <c r="O332" s="72">
        <f>IFERROR(SUMIF(B8:B332,"&gt;="&amp;(B332-WEEKDAY(B332,2)+1),E8:E332),0)</f>
        <v>0</v>
      </c>
      <c r="P332" s="73">
        <f>IFERROR(SUMIF(B8:B332,"&gt;="&amp;(B332-WEEKDAY(B332,2)+1),H8:H332),0)</f>
        <v>0</v>
      </c>
      <c r="Q332" s="71">
        <f t="shared" si="52"/>
        <v>0</v>
      </c>
    </row>
    <row r="333" spans="2:17" ht="16.5" customHeight="1" x14ac:dyDescent="0.3">
      <c r="B333" s="61"/>
      <c r="C333" s="74" t="str">
        <f t="shared" si="46"/>
        <v/>
      </c>
      <c r="D333" s="75" t="str">
        <f t="shared" si="47"/>
        <v/>
      </c>
      <c r="E333" s="76"/>
      <c r="F333" s="77"/>
      <c r="G333" s="78">
        <f t="shared" si="48"/>
        <v>0</v>
      </c>
      <c r="H333" s="79">
        <f>IFERROR(SUMIF('💸 Expenses'!B9:B508,B333,'💸 Expenses'!F9:F508),0)</f>
        <v>0</v>
      </c>
      <c r="I333" s="80">
        <f t="shared" si="49"/>
        <v>0</v>
      </c>
      <c r="J333" s="81">
        <f t="shared" si="50"/>
        <v>0</v>
      </c>
      <c r="K333" s="82"/>
      <c r="L333" s="45">
        <f t="shared" si="53"/>
        <v>0</v>
      </c>
      <c r="M333" s="48">
        <f t="shared" si="54"/>
        <v>0</v>
      </c>
      <c r="N333" s="83">
        <f t="shared" si="51"/>
        <v>0</v>
      </c>
      <c r="O333" s="84">
        <f>IFERROR(SUMIF(B8:B333,"&gt;="&amp;(B333-WEEKDAY(B333,2)+1),E8:E333),0)</f>
        <v>0</v>
      </c>
      <c r="P333" s="85">
        <f>IFERROR(SUMIF(B8:B333,"&gt;="&amp;(B333-WEEKDAY(B333,2)+1),H8:H333),0)</f>
        <v>0</v>
      </c>
      <c r="Q333" s="83">
        <f t="shared" si="52"/>
        <v>0</v>
      </c>
    </row>
    <row r="334" spans="2:17" ht="16.5" customHeight="1" x14ac:dyDescent="0.3">
      <c r="B334" s="61"/>
      <c r="C334" s="62" t="str">
        <f t="shared" si="46"/>
        <v/>
      </c>
      <c r="D334" s="63" t="str">
        <f t="shared" si="47"/>
        <v/>
      </c>
      <c r="E334" s="64"/>
      <c r="F334" s="65"/>
      <c r="G334" s="66">
        <f t="shared" si="48"/>
        <v>0</v>
      </c>
      <c r="H334" s="67">
        <f>IFERROR(SUMIF('💸 Expenses'!B9:B508,B334,'💸 Expenses'!F9:F508),0)</f>
        <v>0</v>
      </c>
      <c r="I334" s="68">
        <f t="shared" si="49"/>
        <v>0</v>
      </c>
      <c r="J334" s="69">
        <f t="shared" si="50"/>
        <v>0</v>
      </c>
      <c r="K334" s="70"/>
      <c r="L334" s="36">
        <f t="shared" si="53"/>
        <v>0</v>
      </c>
      <c r="M334" s="39">
        <f t="shared" si="54"/>
        <v>0</v>
      </c>
      <c r="N334" s="71">
        <f t="shared" si="51"/>
        <v>0</v>
      </c>
      <c r="O334" s="72">
        <f>IFERROR(SUMIF(B8:B334,"&gt;="&amp;(B334-WEEKDAY(B334,2)+1),E8:E334),0)</f>
        <v>0</v>
      </c>
      <c r="P334" s="73">
        <f>IFERROR(SUMIF(B8:B334,"&gt;="&amp;(B334-WEEKDAY(B334,2)+1),H8:H334),0)</f>
        <v>0</v>
      </c>
      <c r="Q334" s="71">
        <f t="shared" si="52"/>
        <v>0</v>
      </c>
    </row>
    <row r="335" spans="2:17" ht="16.5" customHeight="1" x14ac:dyDescent="0.3">
      <c r="B335" s="61"/>
      <c r="C335" s="74" t="str">
        <f t="shared" si="46"/>
        <v/>
      </c>
      <c r="D335" s="75" t="str">
        <f t="shared" si="47"/>
        <v/>
      </c>
      <c r="E335" s="76"/>
      <c r="F335" s="77"/>
      <c r="G335" s="78">
        <f t="shared" si="48"/>
        <v>0</v>
      </c>
      <c r="H335" s="79">
        <f>IFERROR(SUMIF('💸 Expenses'!B9:B508,B335,'💸 Expenses'!F9:F508),0)</f>
        <v>0</v>
      </c>
      <c r="I335" s="80">
        <f t="shared" si="49"/>
        <v>0</v>
      </c>
      <c r="J335" s="81">
        <f t="shared" si="50"/>
        <v>0</v>
      </c>
      <c r="K335" s="82"/>
      <c r="L335" s="45">
        <f t="shared" si="53"/>
        <v>0</v>
      </c>
      <c r="M335" s="48">
        <f t="shared" si="54"/>
        <v>0</v>
      </c>
      <c r="N335" s="83">
        <f t="shared" si="51"/>
        <v>0</v>
      </c>
      <c r="O335" s="84">
        <f>IFERROR(SUMIF(B8:B335,"&gt;="&amp;(B335-WEEKDAY(B335,2)+1),E8:E335),0)</f>
        <v>0</v>
      </c>
      <c r="P335" s="85">
        <f>IFERROR(SUMIF(B8:B335,"&gt;="&amp;(B335-WEEKDAY(B335,2)+1),H8:H335),0)</f>
        <v>0</v>
      </c>
      <c r="Q335" s="83">
        <f t="shared" si="52"/>
        <v>0</v>
      </c>
    </row>
    <row r="336" spans="2:17" ht="16.5" customHeight="1" x14ac:dyDescent="0.3">
      <c r="B336" s="61"/>
      <c r="C336" s="62" t="str">
        <f t="shared" si="46"/>
        <v/>
      </c>
      <c r="D336" s="63" t="str">
        <f t="shared" si="47"/>
        <v/>
      </c>
      <c r="E336" s="64"/>
      <c r="F336" s="65"/>
      <c r="G336" s="66">
        <f t="shared" si="48"/>
        <v>0</v>
      </c>
      <c r="H336" s="67">
        <f>IFERROR(SUMIF('💸 Expenses'!B9:B508,B336,'💸 Expenses'!F9:F508),0)</f>
        <v>0</v>
      </c>
      <c r="I336" s="68">
        <f t="shared" si="49"/>
        <v>0</v>
      </c>
      <c r="J336" s="69">
        <f t="shared" si="50"/>
        <v>0</v>
      </c>
      <c r="K336" s="70"/>
      <c r="L336" s="36">
        <f t="shared" si="53"/>
        <v>0</v>
      </c>
      <c r="M336" s="39">
        <f t="shared" si="54"/>
        <v>0</v>
      </c>
      <c r="N336" s="71">
        <f t="shared" si="51"/>
        <v>0</v>
      </c>
      <c r="O336" s="72">
        <f>IFERROR(SUMIF(B8:B336,"&gt;="&amp;(B336-WEEKDAY(B336,2)+1),E8:E336),0)</f>
        <v>0</v>
      </c>
      <c r="P336" s="73">
        <f>IFERROR(SUMIF(B8:B336,"&gt;="&amp;(B336-WEEKDAY(B336,2)+1),H8:H336),0)</f>
        <v>0</v>
      </c>
      <c r="Q336" s="71">
        <f t="shared" si="52"/>
        <v>0</v>
      </c>
    </row>
    <row r="337" spans="2:17" ht="16.5" customHeight="1" x14ac:dyDescent="0.3">
      <c r="B337" s="61"/>
      <c r="C337" s="74" t="str">
        <f t="shared" si="46"/>
        <v/>
      </c>
      <c r="D337" s="75" t="str">
        <f t="shared" si="47"/>
        <v/>
      </c>
      <c r="E337" s="76"/>
      <c r="F337" s="77"/>
      <c r="G337" s="78">
        <f t="shared" si="48"/>
        <v>0</v>
      </c>
      <c r="H337" s="79">
        <f>IFERROR(SUMIF('💸 Expenses'!B9:B508,B337,'💸 Expenses'!F9:F508),0)</f>
        <v>0</v>
      </c>
      <c r="I337" s="80">
        <f t="shared" si="49"/>
        <v>0</v>
      </c>
      <c r="J337" s="81">
        <f t="shared" si="50"/>
        <v>0</v>
      </c>
      <c r="K337" s="82"/>
      <c r="L337" s="45">
        <f t="shared" si="53"/>
        <v>0</v>
      </c>
      <c r="M337" s="48">
        <f t="shared" si="54"/>
        <v>0</v>
      </c>
      <c r="N337" s="83">
        <f t="shared" si="51"/>
        <v>0</v>
      </c>
      <c r="O337" s="84">
        <f>IFERROR(SUMIF(B8:B337,"&gt;="&amp;(B337-WEEKDAY(B337,2)+1),E8:E337),0)</f>
        <v>0</v>
      </c>
      <c r="P337" s="85">
        <f>IFERROR(SUMIF(B8:B337,"&gt;="&amp;(B337-WEEKDAY(B337,2)+1),H8:H337),0)</f>
        <v>0</v>
      </c>
      <c r="Q337" s="83">
        <f t="shared" si="52"/>
        <v>0</v>
      </c>
    </row>
    <row r="338" spans="2:17" ht="16.5" customHeight="1" x14ac:dyDescent="0.3">
      <c r="B338" s="61"/>
      <c r="C338" s="62" t="str">
        <f t="shared" si="46"/>
        <v/>
      </c>
      <c r="D338" s="63" t="str">
        <f t="shared" si="47"/>
        <v/>
      </c>
      <c r="E338" s="64"/>
      <c r="F338" s="65"/>
      <c r="G338" s="66">
        <f t="shared" si="48"/>
        <v>0</v>
      </c>
      <c r="H338" s="67">
        <f>IFERROR(SUMIF('💸 Expenses'!B9:B508,B338,'💸 Expenses'!F9:F508),0)</f>
        <v>0</v>
      </c>
      <c r="I338" s="68">
        <f t="shared" si="49"/>
        <v>0</v>
      </c>
      <c r="J338" s="69">
        <f t="shared" si="50"/>
        <v>0</v>
      </c>
      <c r="K338" s="70"/>
      <c r="L338" s="36">
        <f t="shared" si="53"/>
        <v>0</v>
      </c>
      <c r="M338" s="39">
        <f t="shared" si="54"/>
        <v>0</v>
      </c>
      <c r="N338" s="71">
        <f t="shared" si="51"/>
        <v>0</v>
      </c>
      <c r="O338" s="72">
        <f>IFERROR(SUMIF(B8:B338,"&gt;="&amp;(B338-WEEKDAY(B338,2)+1),E8:E338),0)</f>
        <v>0</v>
      </c>
      <c r="P338" s="73">
        <f>IFERROR(SUMIF(B8:B338,"&gt;="&amp;(B338-WEEKDAY(B338,2)+1),H8:H338),0)</f>
        <v>0</v>
      </c>
      <c r="Q338" s="71">
        <f t="shared" si="52"/>
        <v>0</v>
      </c>
    </row>
    <row r="339" spans="2:17" ht="16.5" customHeight="1" x14ac:dyDescent="0.3">
      <c r="B339" s="61"/>
      <c r="C339" s="74" t="str">
        <f t="shared" si="46"/>
        <v/>
      </c>
      <c r="D339" s="75" t="str">
        <f t="shared" si="47"/>
        <v/>
      </c>
      <c r="E339" s="76"/>
      <c r="F339" s="77"/>
      <c r="G339" s="78">
        <f t="shared" si="48"/>
        <v>0</v>
      </c>
      <c r="H339" s="79">
        <f>IFERROR(SUMIF('💸 Expenses'!B9:B508,B339,'💸 Expenses'!F9:F508),0)</f>
        <v>0</v>
      </c>
      <c r="I339" s="80">
        <f t="shared" si="49"/>
        <v>0</v>
      </c>
      <c r="J339" s="81">
        <f t="shared" si="50"/>
        <v>0</v>
      </c>
      <c r="K339" s="82"/>
      <c r="L339" s="45">
        <f t="shared" si="53"/>
        <v>0</v>
      </c>
      <c r="M339" s="48">
        <f t="shared" si="54"/>
        <v>0</v>
      </c>
      <c r="N339" s="83">
        <f t="shared" si="51"/>
        <v>0</v>
      </c>
      <c r="O339" s="84">
        <f>IFERROR(SUMIF(B8:B339,"&gt;="&amp;(B339-WEEKDAY(B339,2)+1),E8:E339),0)</f>
        <v>0</v>
      </c>
      <c r="P339" s="85">
        <f>IFERROR(SUMIF(B8:B339,"&gt;="&amp;(B339-WEEKDAY(B339,2)+1),H8:H339),0)</f>
        <v>0</v>
      </c>
      <c r="Q339" s="83">
        <f t="shared" si="52"/>
        <v>0</v>
      </c>
    </row>
    <row r="340" spans="2:17" ht="16.5" customHeight="1" x14ac:dyDescent="0.3">
      <c r="B340" s="61"/>
      <c r="C340" s="62" t="str">
        <f t="shared" si="46"/>
        <v/>
      </c>
      <c r="D340" s="63" t="str">
        <f t="shared" si="47"/>
        <v/>
      </c>
      <c r="E340" s="64"/>
      <c r="F340" s="65"/>
      <c r="G340" s="66">
        <f t="shared" si="48"/>
        <v>0</v>
      </c>
      <c r="H340" s="67">
        <f>IFERROR(SUMIF('💸 Expenses'!B9:B508,B340,'💸 Expenses'!F9:F508),0)</f>
        <v>0</v>
      </c>
      <c r="I340" s="68">
        <f t="shared" si="49"/>
        <v>0</v>
      </c>
      <c r="J340" s="69">
        <f t="shared" si="50"/>
        <v>0</v>
      </c>
      <c r="K340" s="70"/>
      <c r="L340" s="36">
        <f t="shared" si="53"/>
        <v>0</v>
      </c>
      <c r="M340" s="39">
        <f t="shared" si="54"/>
        <v>0</v>
      </c>
      <c r="N340" s="71">
        <f t="shared" si="51"/>
        <v>0</v>
      </c>
      <c r="O340" s="72">
        <f>IFERROR(SUMIF(B8:B340,"&gt;="&amp;(B340-WEEKDAY(B340,2)+1),E8:E340),0)</f>
        <v>0</v>
      </c>
      <c r="P340" s="73">
        <f>IFERROR(SUMIF(B8:B340,"&gt;="&amp;(B340-WEEKDAY(B340,2)+1),H8:H340),0)</f>
        <v>0</v>
      </c>
      <c r="Q340" s="71">
        <f t="shared" si="52"/>
        <v>0</v>
      </c>
    </row>
    <row r="341" spans="2:17" ht="16.5" customHeight="1" x14ac:dyDescent="0.3">
      <c r="B341" s="61"/>
      <c r="C341" s="74" t="str">
        <f t="shared" si="46"/>
        <v/>
      </c>
      <c r="D341" s="75" t="str">
        <f t="shared" si="47"/>
        <v/>
      </c>
      <c r="E341" s="76"/>
      <c r="F341" s="77"/>
      <c r="G341" s="78">
        <f t="shared" si="48"/>
        <v>0</v>
      </c>
      <c r="H341" s="79">
        <f>IFERROR(SUMIF('💸 Expenses'!B9:B508,B341,'💸 Expenses'!F9:F508),0)</f>
        <v>0</v>
      </c>
      <c r="I341" s="80">
        <f t="shared" si="49"/>
        <v>0</v>
      </c>
      <c r="J341" s="81">
        <f t="shared" si="50"/>
        <v>0</v>
      </c>
      <c r="K341" s="82"/>
      <c r="L341" s="45">
        <f t="shared" si="53"/>
        <v>0</v>
      </c>
      <c r="M341" s="48">
        <f t="shared" si="54"/>
        <v>0</v>
      </c>
      <c r="N341" s="83">
        <f t="shared" si="51"/>
        <v>0</v>
      </c>
      <c r="O341" s="84">
        <f>IFERROR(SUMIF(B8:B341,"&gt;="&amp;(B341-WEEKDAY(B341,2)+1),E8:E341),0)</f>
        <v>0</v>
      </c>
      <c r="P341" s="85">
        <f>IFERROR(SUMIF(B8:B341,"&gt;="&amp;(B341-WEEKDAY(B341,2)+1),H8:H341),0)</f>
        <v>0</v>
      </c>
      <c r="Q341" s="83">
        <f t="shared" si="52"/>
        <v>0</v>
      </c>
    </row>
    <row r="342" spans="2:17" ht="16.5" customHeight="1" x14ac:dyDescent="0.3">
      <c r="B342" s="61"/>
      <c r="C342" s="62" t="str">
        <f t="shared" si="46"/>
        <v/>
      </c>
      <c r="D342" s="63" t="str">
        <f t="shared" si="47"/>
        <v/>
      </c>
      <c r="E342" s="64"/>
      <c r="F342" s="65"/>
      <c r="G342" s="66">
        <f t="shared" si="48"/>
        <v>0</v>
      </c>
      <c r="H342" s="67">
        <f>IFERROR(SUMIF('💸 Expenses'!B9:B508,B342,'💸 Expenses'!F9:F508),0)</f>
        <v>0</v>
      </c>
      <c r="I342" s="68">
        <f t="shared" si="49"/>
        <v>0</v>
      </c>
      <c r="J342" s="69">
        <f t="shared" si="50"/>
        <v>0</v>
      </c>
      <c r="K342" s="70"/>
      <c r="L342" s="36">
        <f t="shared" si="53"/>
        <v>0</v>
      </c>
      <c r="M342" s="39">
        <f t="shared" si="54"/>
        <v>0</v>
      </c>
      <c r="N342" s="71">
        <f t="shared" si="51"/>
        <v>0</v>
      </c>
      <c r="O342" s="72">
        <f>IFERROR(SUMIF(B8:B342,"&gt;="&amp;(B342-WEEKDAY(B342,2)+1),E8:E342),0)</f>
        <v>0</v>
      </c>
      <c r="P342" s="73">
        <f>IFERROR(SUMIF(B8:B342,"&gt;="&amp;(B342-WEEKDAY(B342,2)+1),H8:H342),0)</f>
        <v>0</v>
      </c>
      <c r="Q342" s="71">
        <f t="shared" si="52"/>
        <v>0</v>
      </c>
    </row>
    <row r="343" spans="2:17" ht="16.5" customHeight="1" x14ac:dyDescent="0.3">
      <c r="B343" s="61"/>
      <c r="C343" s="74" t="str">
        <f t="shared" si="46"/>
        <v/>
      </c>
      <c r="D343" s="75" t="str">
        <f t="shared" si="47"/>
        <v/>
      </c>
      <c r="E343" s="76"/>
      <c r="F343" s="77"/>
      <c r="G343" s="78">
        <f t="shared" si="48"/>
        <v>0</v>
      </c>
      <c r="H343" s="79">
        <f>IFERROR(SUMIF('💸 Expenses'!B9:B508,B343,'💸 Expenses'!F9:F508),0)</f>
        <v>0</v>
      </c>
      <c r="I343" s="80">
        <f t="shared" si="49"/>
        <v>0</v>
      </c>
      <c r="J343" s="81">
        <f t="shared" si="50"/>
        <v>0</v>
      </c>
      <c r="K343" s="82"/>
      <c r="L343" s="45">
        <f t="shared" si="53"/>
        <v>0</v>
      </c>
      <c r="M343" s="48">
        <f t="shared" si="54"/>
        <v>0</v>
      </c>
      <c r="N343" s="83">
        <f t="shared" si="51"/>
        <v>0</v>
      </c>
      <c r="O343" s="84">
        <f>IFERROR(SUMIF(B8:B343,"&gt;="&amp;(B343-WEEKDAY(B343,2)+1),E8:E343),0)</f>
        <v>0</v>
      </c>
      <c r="P343" s="85">
        <f>IFERROR(SUMIF(B8:B343,"&gt;="&amp;(B343-WEEKDAY(B343,2)+1),H8:H343),0)</f>
        <v>0</v>
      </c>
      <c r="Q343" s="83">
        <f t="shared" si="52"/>
        <v>0</v>
      </c>
    </row>
    <row r="344" spans="2:17" ht="16.5" customHeight="1" x14ac:dyDescent="0.3">
      <c r="B344" s="61"/>
      <c r="C344" s="62" t="str">
        <f t="shared" si="46"/>
        <v/>
      </c>
      <c r="D344" s="63" t="str">
        <f t="shared" si="47"/>
        <v/>
      </c>
      <c r="E344" s="64"/>
      <c r="F344" s="65"/>
      <c r="G344" s="66">
        <f t="shared" si="48"/>
        <v>0</v>
      </c>
      <c r="H344" s="67">
        <f>IFERROR(SUMIF('💸 Expenses'!B9:B508,B344,'💸 Expenses'!F9:F508),0)</f>
        <v>0</v>
      </c>
      <c r="I344" s="68">
        <f t="shared" si="49"/>
        <v>0</v>
      </c>
      <c r="J344" s="69">
        <f t="shared" si="50"/>
        <v>0</v>
      </c>
      <c r="K344" s="70"/>
      <c r="L344" s="36">
        <f t="shared" si="53"/>
        <v>0</v>
      </c>
      <c r="M344" s="39">
        <f t="shared" si="54"/>
        <v>0</v>
      </c>
      <c r="N344" s="71">
        <f t="shared" si="51"/>
        <v>0</v>
      </c>
      <c r="O344" s="72">
        <f>IFERROR(SUMIF(B8:B344,"&gt;="&amp;(B344-WEEKDAY(B344,2)+1),E8:E344),0)</f>
        <v>0</v>
      </c>
      <c r="P344" s="73">
        <f>IFERROR(SUMIF(B8:B344,"&gt;="&amp;(B344-WEEKDAY(B344,2)+1),H8:H344),0)</f>
        <v>0</v>
      </c>
      <c r="Q344" s="71">
        <f t="shared" si="52"/>
        <v>0</v>
      </c>
    </row>
    <row r="345" spans="2:17" ht="16.5" customHeight="1" x14ac:dyDescent="0.3">
      <c r="B345" s="61"/>
      <c r="C345" s="74" t="str">
        <f t="shared" si="46"/>
        <v/>
      </c>
      <c r="D345" s="75" t="str">
        <f t="shared" si="47"/>
        <v/>
      </c>
      <c r="E345" s="76"/>
      <c r="F345" s="77"/>
      <c r="G345" s="78">
        <f t="shared" si="48"/>
        <v>0</v>
      </c>
      <c r="H345" s="79">
        <f>IFERROR(SUMIF('💸 Expenses'!B9:B508,B345,'💸 Expenses'!F9:F508),0)</f>
        <v>0</v>
      </c>
      <c r="I345" s="80">
        <f t="shared" si="49"/>
        <v>0</v>
      </c>
      <c r="J345" s="81">
        <f t="shared" si="50"/>
        <v>0</v>
      </c>
      <c r="K345" s="82"/>
      <c r="L345" s="45">
        <f t="shared" si="53"/>
        <v>0</v>
      </c>
      <c r="M345" s="48">
        <f t="shared" si="54"/>
        <v>0</v>
      </c>
      <c r="N345" s="83">
        <f t="shared" si="51"/>
        <v>0</v>
      </c>
      <c r="O345" s="84">
        <f>IFERROR(SUMIF(B8:B345,"&gt;="&amp;(B345-WEEKDAY(B345,2)+1),E8:E345),0)</f>
        <v>0</v>
      </c>
      <c r="P345" s="85">
        <f>IFERROR(SUMIF(B8:B345,"&gt;="&amp;(B345-WEEKDAY(B345,2)+1),H8:H345),0)</f>
        <v>0</v>
      </c>
      <c r="Q345" s="83">
        <f t="shared" si="52"/>
        <v>0</v>
      </c>
    </row>
    <row r="346" spans="2:17" ht="16.5" customHeight="1" x14ac:dyDescent="0.3">
      <c r="B346" s="61"/>
      <c r="C346" s="62" t="str">
        <f t="shared" si="46"/>
        <v/>
      </c>
      <c r="D346" s="63" t="str">
        <f t="shared" si="47"/>
        <v/>
      </c>
      <c r="E346" s="64"/>
      <c r="F346" s="65"/>
      <c r="G346" s="66">
        <f t="shared" si="48"/>
        <v>0</v>
      </c>
      <c r="H346" s="67">
        <f>IFERROR(SUMIF('💸 Expenses'!B9:B508,B346,'💸 Expenses'!F9:F508),0)</f>
        <v>0</v>
      </c>
      <c r="I346" s="68">
        <f t="shared" si="49"/>
        <v>0</v>
      </c>
      <c r="J346" s="69">
        <f t="shared" si="50"/>
        <v>0</v>
      </c>
      <c r="K346" s="70"/>
      <c r="L346" s="36">
        <f t="shared" si="53"/>
        <v>0</v>
      </c>
      <c r="M346" s="39">
        <f t="shared" si="54"/>
        <v>0</v>
      </c>
      <c r="N346" s="71">
        <f t="shared" si="51"/>
        <v>0</v>
      </c>
      <c r="O346" s="72">
        <f>IFERROR(SUMIF(B8:B346,"&gt;="&amp;(B346-WEEKDAY(B346,2)+1),E8:E346),0)</f>
        <v>0</v>
      </c>
      <c r="P346" s="73">
        <f>IFERROR(SUMIF(B8:B346,"&gt;="&amp;(B346-WEEKDAY(B346,2)+1),H8:H346),0)</f>
        <v>0</v>
      </c>
      <c r="Q346" s="71">
        <f t="shared" si="52"/>
        <v>0</v>
      </c>
    </row>
    <row r="347" spans="2:17" ht="16.5" customHeight="1" x14ac:dyDescent="0.3">
      <c r="B347" s="61"/>
      <c r="C347" s="74" t="str">
        <f t="shared" si="46"/>
        <v/>
      </c>
      <c r="D347" s="75" t="str">
        <f t="shared" si="47"/>
        <v/>
      </c>
      <c r="E347" s="76"/>
      <c r="F347" s="77"/>
      <c r="G347" s="78">
        <f t="shared" si="48"/>
        <v>0</v>
      </c>
      <c r="H347" s="79">
        <f>IFERROR(SUMIF('💸 Expenses'!B9:B508,B347,'💸 Expenses'!F9:F508),0)</f>
        <v>0</v>
      </c>
      <c r="I347" s="80">
        <f t="shared" si="49"/>
        <v>0</v>
      </c>
      <c r="J347" s="81">
        <f t="shared" si="50"/>
        <v>0</v>
      </c>
      <c r="K347" s="82"/>
      <c r="L347" s="45">
        <f t="shared" si="53"/>
        <v>0</v>
      </c>
      <c r="M347" s="48">
        <f t="shared" si="54"/>
        <v>0</v>
      </c>
      <c r="N347" s="83">
        <f t="shared" si="51"/>
        <v>0</v>
      </c>
      <c r="O347" s="84">
        <f>IFERROR(SUMIF(B8:B347,"&gt;="&amp;(B347-WEEKDAY(B347,2)+1),E8:E347),0)</f>
        <v>0</v>
      </c>
      <c r="P347" s="85">
        <f>IFERROR(SUMIF(B8:B347,"&gt;="&amp;(B347-WEEKDAY(B347,2)+1),H8:H347),0)</f>
        <v>0</v>
      </c>
      <c r="Q347" s="83">
        <f t="shared" si="52"/>
        <v>0</v>
      </c>
    </row>
    <row r="348" spans="2:17" ht="16.5" customHeight="1" x14ac:dyDescent="0.3">
      <c r="B348" s="61"/>
      <c r="C348" s="62" t="str">
        <f t="shared" si="46"/>
        <v/>
      </c>
      <c r="D348" s="63" t="str">
        <f t="shared" si="47"/>
        <v/>
      </c>
      <c r="E348" s="64"/>
      <c r="F348" s="65"/>
      <c r="G348" s="66">
        <f t="shared" si="48"/>
        <v>0</v>
      </c>
      <c r="H348" s="67">
        <f>IFERROR(SUMIF('💸 Expenses'!B9:B508,B348,'💸 Expenses'!F9:F508),0)</f>
        <v>0</v>
      </c>
      <c r="I348" s="68">
        <f t="shared" si="49"/>
        <v>0</v>
      </c>
      <c r="J348" s="69">
        <f t="shared" si="50"/>
        <v>0</v>
      </c>
      <c r="K348" s="70"/>
      <c r="L348" s="36">
        <f t="shared" si="53"/>
        <v>0</v>
      </c>
      <c r="M348" s="39">
        <f t="shared" si="54"/>
        <v>0</v>
      </c>
      <c r="N348" s="71">
        <f t="shared" si="51"/>
        <v>0</v>
      </c>
      <c r="O348" s="72">
        <f>IFERROR(SUMIF(B8:B348,"&gt;="&amp;(B348-WEEKDAY(B348,2)+1),E8:E348),0)</f>
        <v>0</v>
      </c>
      <c r="P348" s="73">
        <f>IFERROR(SUMIF(B8:B348,"&gt;="&amp;(B348-WEEKDAY(B348,2)+1),H8:H348),0)</f>
        <v>0</v>
      </c>
      <c r="Q348" s="71">
        <f t="shared" si="52"/>
        <v>0</v>
      </c>
    </row>
    <row r="349" spans="2:17" ht="16.5" customHeight="1" x14ac:dyDescent="0.3">
      <c r="B349" s="61"/>
      <c r="C349" s="74" t="str">
        <f t="shared" si="46"/>
        <v/>
      </c>
      <c r="D349" s="75" t="str">
        <f t="shared" si="47"/>
        <v/>
      </c>
      <c r="E349" s="76"/>
      <c r="F349" s="77"/>
      <c r="G349" s="78">
        <f t="shared" si="48"/>
        <v>0</v>
      </c>
      <c r="H349" s="79">
        <f>IFERROR(SUMIF('💸 Expenses'!B9:B508,B349,'💸 Expenses'!F9:F508),0)</f>
        <v>0</v>
      </c>
      <c r="I349" s="80">
        <f t="shared" si="49"/>
        <v>0</v>
      </c>
      <c r="J349" s="81">
        <f t="shared" si="50"/>
        <v>0</v>
      </c>
      <c r="K349" s="82"/>
      <c r="L349" s="45">
        <f t="shared" si="53"/>
        <v>0</v>
      </c>
      <c r="M349" s="48">
        <f t="shared" si="54"/>
        <v>0</v>
      </c>
      <c r="N349" s="83">
        <f t="shared" si="51"/>
        <v>0</v>
      </c>
      <c r="O349" s="84">
        <f>IFERROR(SUMIF(B8:B349,"&gt;="&amp;(B349-WEEKDAY(B349,2)+1),E8:E349),0)</f>
        <v>0</v>
      </c>
      <c r="P349" s="85">
        <f>IFERROR(SUMIF(B8:B349,"&gt;="&amp;(B349-WEEKDAY(B349,2)+1),H8:H349),0)</f>
        <v>0</v>
      </c>
      <c r="Q349" s="83">
        <f t="shared" si="52"/>
        <v>0</v>
      </c>
    </row>
    <row r="350" spans="2:17" ht="16.5" customHeight="1" x14ac:dyDescent="0.3">
      <c r="B350" s="61"/>
      <c r="C350" s="62" t="str">
        <f t="shared" si="46"/>
        <v/>
      </c>
      <c r="D350" s="63" t="str">
        <f t="shared" si="47"/>
        <v/>
      </c>
      <c r="E350" s="64"/>
      <c r="F350" s="65"/>
      <c r="G350" s="66">
        <f t="shared" si="48"/>
        <v>0</v>
      </c>
      <c r="H350" s="67">
        <f>IFERROR(SUMIF('💸 Expenses'!B9:B508,B350,'💸 Expenses'!F9:F508),0)</f>
        <v>0</v>
      </c>
      <c r="I350" s="68">
        <f t="shared" si="49"/>
        <v>0</v>
      </c>
      <c r="J350" s="69">
        <f t="shared" si="50"/>
        <v>0</v>
      </c>
      <c r="K350" s="70"/>
      <c r="L350" s="36">
        <f t="shared" si="53"/>
        <v>0</v>
      </c>
      <c r="M350" s="39">
        <f t="shared" si="54"/>
        <v>0</v>
      </c>
      <c r="N350" s="71">
        <f t="shared" si="51"/>
        <v>0</v>
      </c>
      <c r="O350" s="72">
        <f>IFERROR(SUMIF(B8:B350,"&gt;="&amp;(B350-WEEKDAY(B350,2)+1),E8:E350),0)</f>
        <v>0</v>
      </c>
      <c r="P350" s="73">
        <f>IFERROR(SUMIF(B8:B350,"&gt;="&amp;(B350-WEEKDAY(B350,2)+1),H8:H350),0)</f>
        <v>0</v>
      </c>
      <c r="Q350" s="71">
        <f t="shared" si="52"/>
        <v>0</v>
      </c>
    </row>
    <row r="351" spans="2:17" ht="16.5" customHeight="1" x14ac:dyDescent="0.3">
      <c r="B351" s="61"/>
      <c r="C351" s="74" t="str">
        <f t="shared" si="46"/>
        <v/>
      </c>
      <c r="D351" s="75" t="str">
        <f t="shared" si="47"/>
        <v/>
      </c>
      <c r="E351" s="76"/>
      <c r="F351" s="77"/>
      <c r="G351" s="78">
        <f t="shared" si="48"/>
        <v>0</v>
      </c>
      <c r="H351" s="79">
        <f>IFERROR(SUMIF('💸 Expenses'!B9:B508,B351,'💸 Expenses'!F9:F508),0)</f>
        <v>0</v>
      </c>
      <c r="I351" s="80">
        <f t="shared" si="49"/>
        <v>0</v>
      </c>
      <c r="J351" s="81">
        <f t="shared" si="50"/>
        <v>0</v>
      </c>
      <c r="K351" s="82"/>
      <c r="L351" s="45">
        <f t="shared" si="53"/>
        <v>0</v>
      </c>
      <c r="M351" s="48">
        <f t="shared" si="54"/>
        <v>0</v>
      </c>
      <c r="N351" s="83">
        <f t="shared" si="51"/>
        <v>0</v>
      </c>
      <c r="O351" s="84">
        <f>IFERROR(SUMIF(B8:B351,"&gt;="&amp;(B351-WEEKDAY(B351,2)+1),E8:E351),0)</f>
        <v>0</v>
      </c>
      <c r="P351" s="85">
        <f>IFERROR(SUMIF(B8:B351,"&gt;="&amp;(B351-WEEKDAY(B351,2)+1),H8:H351),0)</f>
        <v>0</v>
      </c>
      <c r="Q351" s="83">
        <f t="shared" si="52"/>
        <v>0</v>
      </c>
    </row>
    <row r="352" spans="2:17" ht="16.5" customHeight="1" x14ac:dyDescent="0.3">
      <c r="B352" s="61"/>
      <c r="C352" s="62" t="str">
        <f t="shared" si="46"/>
        <v/>
      </c>
      <c r="D352" s="63" t="str">
        <f t="shared" si="47"/>
        <v/>
      </c>
      <c r="E352" s="64"/>
      <c r="F352" s="65"/>
      <c r="G352" s="66">
        <f t="shared" si="48"/>
        <v>0</v>
      </c>
      <c r="H352" s="67">
        <f>IFERROR(SUMIF('💸 Expenses'!B9:B508,B352,'💸 Expenses'!F9:F508),0)</f>
        <v>0</v>
      </c>
      <c r="I352" s="68">
        <f t="shared" si="49"/>
        <v>0</v>
      </c>
      <c r="J352" s="69">
        <f t="shared" si="50"/>
        <v>0</v>
      </c>
      <c r="K352" s="70"/>
      <c r="L352" s="36">
        <f t="shared" si="53"/>
        <v>0</v>
      </c>
      <c r="M352" s="39">
        <f t="shared" si="54"/>
        <v>0</v>
      </c>
      <c r="N352" s="71">
        <f t="shared" si="51"/>
        <v>0</v>
      </c>
      <c r="O352" s="72">
        <f>IFERROR(SUMIF(B8:B352,"&gt;="&amp;(B352-WEEKDAY(B352,2)+1),E8:E352),0)</f>
        <v>0</v>
      </c>
      <c r="P352" s="73">
        <f>IFERROR(SUMIF(B8:B352,"&gt;="&amp;(B352-WEEKDAY(B352,2)+1),H8:H352),0)</f>
        <v>0</v>
      </c>
      <c r="Q352" s="71">
        <f t="shared" si="52"/>
        <v>0</v>
      </c>
    </row>
    <row r="353" spans="2:17" ht="16.5" customHeight="1" x14ac:dyDescent="0.3">
      <c r="B353" s="61"/>
      <c r="C353" s="74" t="str">
        <f t="shared" si="46"/>
        <v/>
      </c>
      <c r="D353" s="75" t="str">
        <f t="shared" si="47"/>
        <v/>
      </c>
      <c r="E353" s="76"/>
      <c r="F353" s="77"/>
      <c r="G353" s="78">
        <f t="shared" si="48"/>
        <v>0</v>
      </c>
      <c r="H353" s="79">
        <f>IFERROR(SUMIF('💸 Expenses'!B9:B508,B353,'💸 Expenses'!F9:F508),0)</f>
        <v>0</v>
      </c>
      <c r="I353" s="80">
        <f t="shared" si="49"/>
        <v>0</v>
      </c>
      <c r="J353" s="81">
        <f t="shared" si="50"/>
        <v>0</v>
      </c>
      <c r="K353" s="82"/>
      <c r="L353" s="45">
        <f t="shared" si="53"/>
        <v>0</v>
      </c>
      <c r="M353" s="48">
        <f t="shared" si="54"/>
        <v>0</v>
      </c>
      <c r="N353" s="83">
        <f t="shared" si="51"/>
        <v>0</v>
      </c>
      <c r="O353" s="84">
        <f>IFERROR(SUMIF(B8:B353,"&gt;="&amp;(B353-WEEKDAY(B353,2)+1),E8:E353),0)</f>
        <v>0</v>
      </c>
      <c r="P353" s="85">
        <f>IFERROR(SUMIF(B8:B353,"&gt;="&amp;(B353-WEEKDAY(B353,2)+1),H8:H353),0)</f>
        <v>0</v>
      </c>
      <c r="Q353" s="83">
        <f t="shared" si="52"/>
        <v>0</v>
      </c>
    </row>
    <row r="354" spans="2:17" ht="16.5" customHeight="1" x14ac:dyDescent="0.3">
      <c r="B354" s="61"/>
      <c r="C354" s="62" t="str">
        <f t="shared" si="46"/>
        <v/>
      </c>
      <c r="D354" s="63" t="str">
        <f t="shared" si="47"/>
        <v/>
      </c>
      <c r="E354" s="64"/>
      <c r="F354" s="65"/>
      <c r="G354" s="66">
        <f t="shared" si="48"/>
        <v>0</v>
      </c>
      <c r="H354" s="67">
        <f>IFERROR(SUMIF('💸 Expenses'!B9:B508,B354,'💸 Expenses'!F9:F508),0)</f>
        <v>0</v>
      </c>
      <c r="I354" s="68">
        <f t="shared" si="49"/>
        <v>0</v>
      </c>
      <c r="J354" s="69">
        <f t="shared" si="50"/>
        <v>0</v>
      </c>
      <c r="K354" s="70"/>
      <c r="L354" s="36">
        <f t="shared" si="53"/>
        <v>0</v>
      </c>
      <c r="M354" s="39">
        <f t="shared" si="54"/>
        <v>0</v>
      </c>
      <c r="N354" s="71">
        <f t="shared" si="51"/>
        <v>0</v>
      </c>
      <c r="O354" s="72">
        <f>IFERROR(SUMIF(B8:B354,"&gt;="&amp;(B354-WEEKDAY(B354,2)+1),E8:E354),0)</f>
        <v>0</v>
      </c>
      <c r="P354" s="73">
        <f>IFERROR(SUMIF(B8:B354,"&gt;="&amp;(B354-WEEKDAY(B354,2)+1),H8:H354),0)</f>
        <v>0</v>
      </c>
      <c r="Q354" s="71">
        <f t="shared" si="52"/>
        <v>0</v>
      </c>
    </row>
    <row r="355" spans="2:17" ht="16.5" customHeight="1" x14ac:dyDescent="0.3">
      <c r="B355" s="61"/>
      <c r="C355" s="74" t="str">
        <f t="shared" si="46"/>
        <v/>
      </c>
      <c r="D355" s="75" t="str">
        <f t="shared" si="47"/>
        <v/>
      </c>
      <c r="E355" s="76"/>
      <c r="F355" s="77"/>
      <c r="G355" s="78">
        <f t="shared" si="48"/>
        <v>0</v>
      </c>
      <c r="H355" s="79">
        <f>IFERROR(SUMIF('💸 Expenses'!B9:B508,B355,'💸 Expenses'!F9:F508),0)</f>
        <v>0</v>
      </c>
      <c r="I355" s="80">
        <f t="shared" si="49"/>
        <v>0</v>
      </c>
      <c r="J355" s="81">
        <f t="shared" si="50"/>
        <v>0</v>
      </c>
      <c r="K355" s="82"/>
      <c r="L355" s="45">
        <f t="shared" si="53"/>
        <v>0</v>
      </c>
      <c r="M355" s="48">
        <f t="shared" si="54"/>
        <v>0</v>
      </c>
      <c r="N355" s="83">
        <f t="shared" si="51"/>
        <v>0</v>
      </c>
      <c r="O355" s="84">
        <f>IFERROR(SUMIF(B8:B355,"&gt;="&amp;(B355-WEEKDAY(B355,2)+1),E8:E355),0)</f>
        <v>0</v>
      </c>
      <c r="P355" s="85">
        <f>IFERROR(SUMIF(B8:B355,"&gt;="&amp;(B355-WEEKDAY(B355,2)+1),H8:H355),0)</f>
        <v>0</v>
      </c>
      <c r="Q355" s="83">
        <f t="shared" si="52"/>
        <v>0</v>
      </c>
    </row>
    <row r="356" spans="2:17" ht="16.5" customHeight="1" x14ac:dyDescent="0.3">
      <c r="B356" s="61"/>
      <c r="C356" s="62" t="str">
        <f t="shared" si="46"/>
        <v/>
      </c>
      <c r="D356" s="63" t="str">
        <f t="shared" si="47"/>
        <v/>
      </c>
      <c r="E356" s="64"/>
      <c r="F356" s="65"/>
      <c r="G356" s="66">
        <f t="shared" si="48"/>
        <v>0</v>
      </c>
      <c r="H356" s="67">
        <f>IFERROR(SUMIF('💸 Expenses'!B9:B508,B356,'💸 Expenses'!F9:F508),0)</f>
        <v>0</v>
      </c>
      <c r="I356" s="68">
        <f t="shared" si="49"/>
        <v>0</v>
      </c>
      <c r="J356" s="69">
        <f t="shared" si="50"/>
        <v>0</v>
      </c>
      <c r="K356" s="70"/>
      <c r="L356" s="36">
        <f t="shared" si="53"/>
        <v>0</v>
      </c>
      <c r="M356" s="39">
        <f t="shared" si="54"/>
        <v>0</v>
      </c>
      <c r="N356" s="71">
        <f t="shared" si="51"/>
        <v>0</v>
      </c>
      <c r="O356" s="72">
        <f>IFERROR(SUMIF(B8:B356,"&gt;="&amp;(B356-WEEKDAY(B356,2)+1),E8:E356),0)</f>
        <v>0</v>
      </c>
      <c r="P356" s="73">
        <f>IFERROR(SUMIF(B8:B356,"&gt;="&amp;(B356-WEEKDAY(B356,2)+1),H8:H356),0)</f>
        <v>0</v>
      </c>
      <c r="Q356" s="71">
        <f t="shared" si="52"/>
        <v>0</v>
      </c>
    </row>
    <row r="357" spans="2:17" ht="16.5" customHeight="1" x14ac:dyDescent="0.3">
      <c r="B357" s="61"/>
      <c r="C357" s="74" t="str">
        <f t="shared" si="46"/>
        <v/>
      </c>
      <c r="D357" s="75" t="str">
        <f t="shared" si="47"/>
        <v/>
      </c>
      <c r="E357" s="76"/>
      <c r="F357" s="77"/>
      <c r="G357" s="78">
        <f t="shared" si="48"/>
        <v>0</v>
      </c>
      <c r="H357" s="79">
        <f>IFERROR(SUMIF('💸 Expenses'!B9:B508,B357,'💸 Expenses'!F9:F508),0)</f>
        <v>0</v>
      </c>
      <c r="I357" s="80">
        <f t="shared" si="49"/>
        <v>0</v>
      </c>
      <c r="J357" s="81">
        <f t="shared" si="50"/>
        <v>0</v>
      </c>
      <c r="K357" s="82"/>
      <c r="L357" s="45">
        <f t="shared" si="53"/>
        <v>0</v>
      </c>
      <c r="M357" s="48">
        <f t="shared" si="54"/>
        <v>0</v>
      </c>
      <c r="N357" s="83">
        <f t="shared" si="51"/>
        <v>0</v>
      </c>
      <c r="O357" s="84">
        <f>IFERROR(SUMIF(B8:B357,"&gt;="&amp;(B357-WEEKDAY(B357,2)+1),E8:E357),0)</f>
        <v>0</v>
      </c>
      <c r="P357" s="85">
        <f>IFERROR(SUMIF(B8:B357,"&gt;="&amp;(B357-WEEKDAY(B357,2)+1),H8:H357),0)</f>
        <v>0</v>
      </c>
      <c r="Q357" s="83">
        <f t="shared" si="52"/>
        <v>0</v>
      </c>
    </row>
    <row r="358" spans="2:17" ht="16.5" customHeight="1" x14ac:dyDescent="0.3">
      <c r="B358" s="61"/>
      <c r="C358" s="62" t="str">
        <f t="shared" si="46"/>
        <v/>
      </c>
      <c r="D358" s="63" t="str">
        <f t="shared" si="47"/>
        <v/>
      </c>
      <c r="E358" s="64"/>
      <c r="F358" s="65"/>
      <c r="G358" s="66">
        <f t="shared" si="48"/>
        <v>0</v>
      </c>
      <c r="H358" s="67">
        <f>IFERROR(SUMIF('💸 Expenses'!B9:B508,B358,'💸 Expenses'!F9:F508),0)</f>
        <v>0</v>
      </c>
      <c r="I358" s="68">
        <f t="shared" si="49"/>
        <v>0</v>
      </c>
      <c r="J358" s="69">
        <f t="shared" si="50"/>
        <v>0</v>
      </c>
      <c r="K358" s="70"/>
      <c r="L358" s="36">
        <f t="shared" si="53"/>
        <v>0</v>
      </c>
      <c r="M358" s="39">
        <f t="shared" si="54"/>
        <v>0</v>
      </c>
      <c r="N358" s="71">
        <f t="shared" si="51"/>
        <v>0</v>
      </c>
      <c r="O358" s="72">
        <f>IFERROR(SUMIF(B8:B358,"&gt;="&amp;(B358-WEEKDAY(B358,2)+1),E8:E358),0)</f>
        <v>0</v>
      </c>
      <c r="P358" s="73">
        <f>IFERROR(SUMIF(B8:B358,"&gt;="&amp;(B358-WEEKDAY(B358,2)+1),H8:H358),0)</f>
        <v>0</v>
      </c>
      <c r="Q358" s="71">
        <f t="shared" si="52"/>
        <v>0</v>
      </c>
    </row>
    <row r="359" spans="2:17" ht="16.5" customHeight="1" x14ac:dyDescent="0.3">
      <c r="B359" s="61"/>
      <c r="C359" s="74" t="str">
        <f t="shared" si="46"/>
        <v/>
      </c>
      <c r="D359" s="75" t="str">
        <f t="shared" si="47"/>
        <v/>
      </c>
      <c r="E359" s="76"/>
      <c r="F359" s="77"/>
      <c r="G359" s="78">
        <f t="shared" si="48"/>
        <v>0</v>
      </c>
      <c r="H359" s="79">
        <f>IFERROR(SUMIF('💸 Expenses'!B9:B508,B359,'💸 Expenses'!F9:F508),0)</f>
        <v>0</v>
      </c>
      <c r="I359" s="80">
        <f t="shared" si="49"/>
        <v>0</v>
      </c>
      <c r="J359" s="81">
        <f t="shared" si="50"/>
        <v>0</v>
      </c>
      <c r="K359" s="82"/>
      <c r="L359" s="45">
        <f t="shared" si="53"/>
        <v>0</v>
      </c>
      <c r="M359" s="48">
        <f t="shared" si="54"/>
        <v>0</v>
      </c>
      <c r="N359" s="83">
        <f t="shared" si="51"/>
        <v>0</v>
      </c>
      <c r="O359" s="84">
        <f>IFERROR(SUMIF(B8:B359,"&gt;="&amp;(B359-WEEKDAY(B359,2)+1),E8:E359),0)</f>
        <v>0</v>
      </c>
      <c r="P359" s="85">
        <f>IFERROR(SUMIF(B8:B359,"&gt;="&amp;(B359-WEEKDAY(B359,2)+1),H8:H359),0)</f>
        <v>0</v>
      </c>
      <c r="Q359" s="83">
        <f t="shared" si="52"/>
        <v>0</v>
      </c>
    </row>
    <row r="360" spans="2:17" ht="16.5" customHeight="1" x14ac:dyDescent="0.3">
      <c r="B360" s="61"/>
      <c r="C360" s="62" t="str">
        <f t="shared" si="46"/>
        <v/>
      </c>
      <c r="D360" s="63" t="str">
        <f t="shared" si="47"/>
        <v/>
      </c>
      <c r="E360" s="64"/>
      <c r="F360" s="65"/>
      <c r="G360" s="66">
        <f t="shared" si="48"/>
        <v>0</v>
      </c>
      <c r="H360" s="67">
        <f>IFERROR(SUMIF('💸 Expenses'!B9:B508,B360,'💸 Expenses'!F9:F508),0)</f>
        <v>0</v>
      </c>
      <c r="I360" s="68">
        <f t="shared" si="49"/>
        <v>0</v>
      </c>
      <c r="J360" s="69">
        <f t="shared" si="50"/>
        <v>0</v>
      </c>
      <c r="K360" s="70"/>
      <c r="L360" s="36">
        <f t="shared" si="53"/>
        <v>0</v>
      </c>
      <c r="M360" s="39">
        <f t="shared" si="54"/>
        <v>0</v>
      </c>
      <c r="N360" s="71">
        <f t="shared" si="51"/>
        <v>0</v>
      </c>
      <c r="O360" s="72">
        <f>IFERROR(SUMIF(B8:B360,"&gt;="&amp;(B360-WEEKDAY(B360,2)+1),E8:E360),0)</f>
        <v>0</v>
      </c>
      <c r="P360" s="73">
        <f>IFERROR(SUMIF(B8:B360,"&gt;="&amp;(B360-WEEKDAY(B360,2)+1),H8:H360),0)</f>
        <v>0</v>
      </c>
      <c r="Q360" s="71">
        <f t="shared" si="52"/>
        <v>0</v>
      </c>
    </row>
    <row r="361" spans="2:17" ht="16.5" customHeight="1" x14ac:dyDescent="0.3">
      <c r="B361" s="61"/>
      <c r="C361" s="74" t="str">
        <f t="shared" si="46"/>
        <v/>
      </c>
      <c r="D361" s="75" t="str">
        <f t="shared" si="47"/>
        <v/>
      </c>
      <c r="E361" s="76"/>
      <c r="F361" s="77"/>
      <c r="G361" s="78">
        <f t="shared" si="48"/>
        <v>0</v>
      </c>
      <c r="H361" s="79">
        <f>IFERROR(SUMIF('💸 Expenses'!B9:B508,B361,'💸 Expenses'!F9:F508),0)</f>
        <v>0</v>
      </c>
      <c r="I361" s="80">
        <f t="shared" si="49"/>
        <v>0</v>
      </c>
      <c r="J361" s="81">
        <f t="shared" si="50"/>
        <v>0</v>
      </c>
      <c r="K361" s="82"/>
      <c r="L361" s="45">
        <f t="shared" si="53"/>
        <v>0</v>
      </c>
      <c r="M361" s="48">
        <f t="shared" si="54"/>
        <v>0</v>
      </c>
      <c r="N361" s="83">
        <f t="shared" si="51"/>
        <v>0</v>
      </c>
      <c r="O361" s="84">
        <f>IFERROR(SUMIF(B8:B361,"&gt;="&amp;(B361-WEEKDAY(B361,2)+1),E8:E361),0)</f>
        <v>0</v>
      </c>
      <c r="P361" s="85">
        <f>IFERROR(SUMIF(B8:B361,"&gt;="&amp;(B361-WEEKDAY(B361,2)+1),H8:H361),0)</f>
        <v>0</v>
      </c>
      <c r="Q361" s="83">
        <f t="shared" si="52"/>
        <v>0</v>
      </c>
    </row>
    <row r="362" spans="2:17" ht="16.5" customHeight="1" x14ac:dyDescent="0.3">
      <c r="B362" s="61"/>
      <c r="C362" s="62" t="str">
        <f t="shared" si="46"/>
        <v/>
      </c>
      <c r="D362" s="63" t="str">
        <f t="shared" si="47"/>
        <v/>
      </c>
      <c r="E362" s="64"/>
      <c r="F362" s="65"/>
      <c r="G362" s="66">
        <f t="shared" si="48"/>
        <v>0</v>
      </c>
      <c r="H362" s="67">
        <f>IFERROR(SUMIF('💸 Expenses'!B9:B508,B362,'💸 Expenses'!F9:F508),0)</f>
        <v>0</v>
      </c>
      <c r="I362" s="68">
        <f t="shared" si="49"/>
        <v>0</v>
      </c>
      <c r="J362" s="69">
        <f t="shared" si="50"/>
        <v>0</v>
      </c>
      <c r="K362" s="70"/>
      <c r="L362" s="36">
        <f t="shared" si="53"/>
        <v>0</v>
      </c>
      <c r="M362" s="39">
        <f t="shared" si="54"/>
        <v>0</v>
      </c>
      <c r="N362" s="71">
        <f t="shared" si="51"/>
        <v>0</v>
      </c>
      <c r="O362" s="72">
        <f>IFERROR(SUMIF(B8:B362,"&gt;="&amp;(B362-WEEKDAY(B362,2)+1),E8:E362),0)</f>
        <v>0</v>
      </c>
      <c r="P362" s="73">
        <f>IFERROR(SUMIF(B8:B362,"&gt;="&amp;(B362-WEEKDAY(B362,2)+1),H8:H362),0)</f>
        <v>0</v>
      </c>
      <c r="Q362" s="71">
        <f t="shared" si="52"/>
        <v>0</v>
      </c>
    </row>
    <row r="363" spans="2:17" ht="16.5" customHeight="1" x14ac:dyDescent="0.3">
      <c r="B363" s="61"/>
      <c r="C363" s="74" t="str">
        <f t="shared" si="46"/>
        <v/>
      </c>
      <c r="D363" s="75" t="str">
        <f t="shared" si="47"/>
        <v/>
      </c>
      <c r="E363" s="76"/>
      <c r="F363" s="77"/>
      <c r="G363" s="78">
        <f t="shared" si="48"/>
        <v>0</v>
      </c>
      <c r="H363" s="79">
        <f>IFERROR(SUMIF('💸 Expenses'!B9:B508,B363,'💸 Expenses'!F9:F508),0)</f>
        <v>0</v>
      </c>
      <c r="I363" s="80">
        <f t="shared" si="49"/>
        <v>0</v>
      </c>
      <c r="J363" s="81">
        <f t="shared" si="50"/>
        <v>0</v>
      </c>
      <c r="K363" s="82"/>
      <c r="L363" s="45">
        <f t="shared" si="53"/>
        <v>0</v>
      </c>
      <c r="M363" s="48">
        <f t="shared" si="54"/>
        <v>0</v>
      </c>
      <c r="N363" s="83">
        <f t="shared" si="51"/>
        <v>0</v>
      </c>
      <c r="O363" s="84">
        <f>IFERROR(SUMIF(B8:B363,"&gt;="&amp;(B363-WEEKDAY(B363,2)+1),E8:E363),0)</f>
        <v>0</v>
      </c>
      <c r="P363" s="85">
        <f>IFERROR(SUMIF(B8:B363,"&gt;="&amp;(B363-WEEKDAY(B363,2)+1),H8:H363),0)</f>
        <v>0</v>
      </c>
      <c r="Q363" s="83">
        <f t="shared" si="52"/>
        <v>0</v>
      </c>
    </row>
    <row r="364" spans="2:17" ht="16.5" customHeight="1" x14ac:dyDescent="0.3">
      <c r="B364" s="61"/>
      <c r="C364" s="62" t="str">
        <f t="shared" si="46"/>
        <v/>
      </c>
      <c r="D364" s="63" t="str">
        <f t="shared" si="47"/>
        <v/>
      </c>
      <c r="E364" s="64"/>
      <c r="F364" s="65"/>
      <c r="G364" s="66">
        <f t="shared" si="48"/>
        <v>0</v>
      </c>
      <c r="H364" s="67">
        <f>IFERROR(SUMIF('💸 Expenses'!B9:B508,B364,'💸 Expenses'!F9:F508),0)</f>
        <v>0</v>
      </c>
      <c r="I364" s="68">
        <f t="shared" si="49"/>
        <v>0</v>
      </c>
      <c r="J364" s="69">
        <f t="shared" si="50"/>
        <v>0</v>
      </c>
      <c r="K364" s="70"/>
      <c r="L364" s="36">
        <f t="shared" si="53"/>
        <v>0</v>
      </c>
      <c r="M364" s="39">
        <f t="shared" si="54"/>
        <v>0</v>
      </c>
      <c r="N364" s="71">
        <f t="shared" si="51"/>
        <v>0</v>
      </c>
      <c r="O364" s="72">
        <f>IFERROR(SUMIF(B8:B364,"&gt;="&amp;(B364-WEEKDAY(B364,2)+1),E8:E364),0)</f>
        <v>0</v>
      </c>
      <c r="P364" s="73">
        <f>IFERROR(SUMIF(B8:B364,"&gt;="&amp;(B364-WEEKDAY(B364,2)+1),H8:H364),0)</f>
        <v>0</v>
      </c>
      <c r="Q364" s="71">
        <f t="shared" si="52"/>
        <v>0</v>
      </c>
    </row>
    <row r="365" spans="2:17" ht="16.5" customHeight="1" x14ac:dyDescent="0.3">
      <c r="B365" s="61"/>
      <c r="C365" s="74" t="str">
        <f t="shared" si="46"/>
        <v/>
      </c>
      <c r="D365" s="75" t="str">
        <f t="shared" si="47"/>
        <v/>
      </c>
      <c r="E365" s="76"/>
      <c r="F365" s="77"/>
      <c r="G365" s="78">
        <f t="shared" si="48"/>
        <v>0</v>
      </c>
      <c r="H365" s="79">
        <f>IFERROR(SUMIF('💸 Expenses'!B9:B508,B365,'💸 Expenses'!F9:F508),0)</f>
        <v>0</v>
      </c>
      <c r="I365" s="80">
        <f t="shared" si="49"/>
        <v>0</v>
      </c>
      <c r="J365" s="81">
        <f t="shared" si="50"/>
        <v>0</v>
      </c>
      <c r="K365" s="82"/>
      <c r="L365" s="45">
        <f t="shared" si="53"/>
        <v>0</v>
      </c>
      <c r="M365" s="48">
        <f t="shared" si="54"/>
        <v>0</v>
      </c>
      <c r="N365" s="83">
        <f t="shared" si="51"/>
        <v>0</v>
      </c>
      <c r="O365" s="84">
        <f>IFERROR(SUMIF(B8:B365,"&gt;="&amp;(B365-WEEKDAY(B365,2)+1),E8:E365),0)</f>
        <v>0</v>
      </c>
      <c r="P365" s="85">
        <f>IFERROR(SUMIF(B8:B365,"&gt;="&amp;(B365-WEEKDAY(B365,2)+1),H8:H365),0)</f>
        <v>0</v>
      </c>
      <c r="Q365" s="83">
        <f t="shared" si="52"/>
        <v>0</v>
      </c>
    </row>
    <row r="366" spans="2:17" ht="16.5" customHeight="1" x14ac:dyDescent="0.3">
      <c r="B366" s="61"/>
      <c r="C366" s="62" t="str">
        <f t="shared" si="46"/>
        <v/>
      </c>
      <c r="D366" s="63" t="str">
        <f t="shared" si="47"/>
        <v/>
      </c>
      <c r="E366" s="64"/>
      <c r="F366" s="65"/>
      <c r="G366" s="66">
        <f t="shared" si="48"/>
        <v>0</v>
      </c>
      <c r="H366" s="67">
        <f>IFERROR(SUMIF('💸 Expenses'!B9:B508,B366,'💸 Expenses'!F9:F508),0)</f>
        <v>0</v>
      </c>
      <c r="I366" s="68">
        <f t="shared" si="49"/>
        <v>0</v>
      </c>
      <c r="J366" s="69">
        <f t="shared" si="50"/>
        <v>0</v>
      </c>
      <c r="K366" s="70"/>
      <c r="L366" s="36">
        <f t="shared" si="53"/>
        <v>0</v>
      </c>
      <c r="M366" s="39">
        <f t="shared" si="54"/>
        <v>0</v>
      </c>
      <c r="N366" s="71">
        <f t="shared" si="51"/>
        <v>0</v>
      </c>
      <c r="O366" s="72">
        <f>IFERROR(SUMIF(B8:B366,"&gt;="&amp;(B366-WEEKDAY(B366,2)+1),E8:E366),0)</f>
        <v>0</v>
      </c>
      <c r="P366" s="73">
        <f>IFERROR(SUMIF(B8:B366,"&gt;="&amp;(B366-WEEKDAY(B366,2)+1),H8:H366),0)</f>
        <v>0</v>
      </c>
      <c r="Q366" s="71">
        <f t="shared" si="52"/>
        <v>0</v>
      </c>
    </row>
    <row r="367" spans="2:17" ht="16.5" customHeight="1" x14ac:dyDescent="0.3">
      <c r="B367" s="61"/>
      <c r="C367" s="74" t="str">
        <f t="shared" si="46"/>
        <v/>
      </c>
      <c r="D367" s="75" t="str">
        <f t="shared" si="47"/>
        <v/>
      </c>
      <c r="E367" s="76"/>
      <c r="F367" s="77"/>
      <c r="G367" s="78">
        <f t="shared" si="48"/>
        <v>0</v>
      </c>
      <c r="H367" s="79">
        <f>IFERROR(SUMIF('💸 Expenses'!B9:B508,B367,'💸 Expenses'!F9:F508),0)</f>
        <v>0</v>
      </c>
      <c r="I367" s="80">
        <f t="shared" si="49"/>
        <v>0</v>
      </c>
      <c r="J367" s="81">
        <f t="shared" si="50"/>
        <v>0</v>
      </c>
      <c r="K367" s="82"/>
      <c r="L367" s="45">
        <f t="shared" si="53"/>
        <v>0</v>
      </c>
      <c r="M367" s="48">
        <f t="shared" si="54"/>
        <v>0</v>
      </c>
      <c r="N367" s="83">
        <f t="shared" si="51"/>
        <v>0</v>
      </c>
      <c r="O367" s="84">
        <f>IFERROR(SUMIF(B8:B367,"&gt;="&amp;(B367-WEEKDAY(B367,2)+1),E8:E367),0)</f>
        <v>0</v>
      </c>
      <c r="P367" s="85">
        <f>IFERROR(SUMIF(B8:B367,"&gt;="&amp;(B367-WEEKDAY(B367,2)+1),H8:H367),0)</f>
        <v>0</v>
      </c>
      <c r="Q367" s="83">
        <f t="shared" si="52"/>
        <v>0</v>
      </c>
    </row>
    <row r="368" spans="2:17" ht="16.5" customHeight="1" x14ac:dyDescent="0.3">
      <c r="B368" s="61"/>
      <c r="C368" s="62" t="str">
        <f t="shared" si="46"/>
        <v/>
      </c>
      <c r="D368" s="63" t="str">
        <f t="shared" si="47"/>
        <v/>
      </c>
      <c r="E368" s="64"/>
      <c r="F368" s="65"/>
      <c r="G368" s="66">
        <f t="shared" si="48"/>
        <v>0</v>
      </c>
      <c r="H368" s="67">
        <f>IFERROR(SUMIF('💸 Expenses'!B9:B508,B368,'💸 Expenses'!F9:F508),0)</f>
        <v>0</v>
      </c>
      <c r="I368" s="68">
        <f t="shared" si="49"/>
        <v>0</v>
      </c>
      <c r="J368" s="69">
        <f t="shared" si="50"/>
        <v>0</v>
      </c>
      <c r="K368" s="70"/>
      <c r="L368" s="36">
        <f t="shared" si="53"/>
        <v>0</v>
      </c>
      <c r="M368" s="39">
        <f t="shared" si="54"/>
        <v>0</v>
      </c>
      <c r="N368" s="71">
        <f t="shared" si="51"/>
        <v>0</v>
      </c>
      <c r="O368" s="72">
        <f>IFERROR(SUMIF(B8:B368,"&gt;="&amp;(B368-WEEKDAY(B368,2)+1),E8:E368),0)</f>
        <v>0</v>
      </c>
      <c r="P368" s="73">
        <f>IFERROR(SUMIF(B8:B368,"&gt;="&amp;(B368-WEEKDAY(B368,2)+1),H8:H368),0)</f>
        <v>0</v>
      </c>
      <c r="Q368" s="71">
        <f t="shared" si="52"/>
        <v>0</v>
      </c>
    </row>
    <row r="369" spans="2:17" ht="16.5" customHeight="1" x14ac:dyDescent="0.3">
      <c r="B369" s="61"/>
      <c r="C369" s="74" t="str">
        <f t="shared" si="46"/>
        <v/>
      </c>
      <c r="D369" s="75" t="str">
        <f t="shared" si="47"/>
        <v/>
      </c>
      <c r="E369" s="76"/>
      <c r="F369" s="77"/>
      <c r="G369" s="78">
        <f t="shared" si="48"/>
        <v>0</v>
      </c>
      <c r="H369" s="79">
        <f>IFERROR(SUMIF('💸 Expenses'!B9:B508,B369,'💸 Expenses'!F9:F508),0)</f>
        <v>0</v>
      </c>
      <c r="I369" s="80">
        <f t="shared" si="49"/>
        <v>0</v>
      </c>
      <c r="J369" s="81">
        <f t="shared" si="50"/>
        <v>0</v>
      </c>
      <c r="K369" s="82"/>
      <c r="L369" s="45">
        <f t="shared" si="53"/>
        <v>0</v>
      </c>
      <c r="M369" s="48">
        <f t="shared" si="54"/>
        <v>0</v>
      </c>
      <c r="N369" s="83">
        <f t="shared" si="51"/>
        <v>0</v>
      </c>
      <c r="O369" s="84">
        <f>IFERROR(SUMIF(B8:B369,"&gt;="&amp;(B369-WEEKDAY(B369,2)+1),E8:E369),0)</f>
        <v>0</v>
      </c>
      <c r="P369" s="85">
        <f>IFERROR(SUMIF(B8:B369,"&gt;="&amp;(B369-WEEKDAY(B369,2)+1),H8:H369),0)</f>
        <v>0</v>
      </c>
      <c r="Q369" s="83">
        <f t="shared" si="52"/>
        <v>0</v>
      </c>
    </row>
    <row r="370" spans="2:17" ht="16.5" customHeight="1" x14ac:dyDescent="0.3">
      <c r="B370" s="61"/>
      <c r="C370" s="62" t="str">
        <f t="shared" si="46"/>
        <v/>
      </c>
      <c r="D370" s="63" t="str">
        <f t="shared" si="47"/>
        <v/>
      </c>
      <c r="E370" s="64"/>
      <c r="F370" s="65"/>
      <c r="G370" s="66">
        <f t="shared" si="48"/>
        <v>0</v>
      </c>
      <c r="H370" s="67">
        <f>IFERROR(SUMIF('💸 Expenses'!B9:B508,B370,'💸 Expenses'!F9:F508),0)</f>
        <v>0</v>
      </c>
      <c r="I370" s="68">
        <f t="shared" si="49"/>
        <v>0</v>
      </c>
      <c r="J370" s="69">
        <f t="shared" si="50"/>
        <v>0</v>
      </c>
      <c r="K370" s="70"/>
      <c r="L370" s="36">
        <f t="shared" si="53"/>
        <v>0</v>
      </c>
      <c r="M370" s="39">
        <f t="shared" si="54"/>
        <v>0</v>
      </c>
      <c r="N370" s="71">
        <f t="shared" si="51"/>
        <v>0</v>
      </c>
      <c r="O370" s="72">
        <f>IFERROR(SUMIF(B8:B370,"&gt;="&amp;(B370-WEEKDAY(B370,2)+1),E8:E370),0)</f>
        <v>0</v>
      </c>
      <c r="P370" s="73">
        <f>IFERROR(SUMIF(B8:B370,"&gt;="&amp;(B370-WEEKDAY(B370,2)+1),H8:H370),0)</f>
        <v>0</v>
      </c>
      <c r="Q370" s="71">
        <f t="shared" si="52"/>
        <v>0</v>
      </c>
    </row>
    <row r="371" spans="2:17" ht="16.5" customHeight="1" x14ac:dyDescent="0.3">
      <c r="B371" s="61"/>
      <c r="C371" s="74" t="str">
        <f t="shared" si="46"/>
        <v/>
      </c>
      <c r="D371" s="75" t="str">
        <f t="shared" si="47"/>
        <v/>
      </c>
      <c r="E371" s="76"/>
      <c r="F371" s="77"/>
      <c r="G371" s="78">
        <f t="shared" si="48"/>
        <v>0</v>
      </c>
      <c r="H371" s="79">
        <f>IFERROR(SUMIF('💸 Expenses'!B9:B508,B371,'💸 Expenses'!F9:F508),0)</f>
        <v>0</v>
      </c>
      <c r="I371" s="80">
        <f t="shared" si="49"/>
        <v>0</v>
      </c>
      <c r="J371" s="81">
        <f t="shared" si="50"/>
        <v>0</v>
      </c>
      <c r="K371" s="82"/>
      <c r="L371" s="45">
        <f t="shared" si="53"/>
        <v>0</v>
      </c>
      <c r="M371" s="48">
        <f t="shared" si="54"/>
        <v>0</v>
      </c>
      <c r="N371" s="83">
        <f t="shared" si="51"/>
        <v>0</v>
      </c>
      <c r="O371" s="84">
        <f>IFERROR(SUMIF(B8:B371,"&gt;="&amp;(B371-WEEKDAY(B371,2)+1),E8:E371),0)</f>
        <v>0</v>
      </c>
      <c r="P371" s="85">
        <f>IFERROR(SUMIF(B8:B371,"&gt;="&amp;(B371-WEEKDAY(B371,2)+1),H8:H371),0)</f>
        <v>0</v>
      </c>
      <c r="Q371" s="83">
        <f t="shared" si="52"/>
        <v>0</v>
      </c>
    </row>
    <row r="372" spans="2:17" ht="16.5" customHeight="1" x14ac:dyDescent="0.3">
      <c r="B372" s="61"/>
      <c r="C372" s="62" t="str">
        <f t="shared" si="46"/>
        <v/>
      </c>
      <c r="D372" s="63" t="str">
        <f t="shared" si="47"/>
        <v/>
      </c>
      <c r="E372" s="64"/>
      <c r="F372" s="65"/>
      <c r="G372" s="66">
        <f t="shared" si="48"/>
        <v>0</v>
      </c>
      <c r="H372" s="67">
        <f>IFERROR(SUMIF('💸 Expenses'!B9:B508,B372,'💸 Expenses'!F9:F508),0)</f>
        <v>0</v>
      </c>
      <c r="I372" s="68">
        <f t="shared" si="49"/>
        <v>0</v>
      </c>
      <c r="J372" s="69">
        <f t="shared" si="50"/>
        <v>0</v>
      </c>
      <c r="K372" s="70"/>
      <c r="L372" s="36">
        <f t="shared" si="53"/>
        <v>0</v>
      </c>
      <c r="M372" s="39">
        <f t="shared" si="54"/>
        <v>0</v>
      </c>
      <c r="N372" s="71">
        <f t="shared" si="51"/>
        <v>0</v>
      </c>
      <c r="O372" s="72">
        <f>IFERROR(SUMIF(B8:B372,"&gt;="&amp;(B372-WEEKDAY(B372,2)+1),E8:E372),0)</f>
        <v>0</v>
      </c>
      <c r="P372" s="73">
        <f>IFERROR(SUMIF(B8:B372,"&gt;="&amp;(B372-WEEKDAY(B372,2)+1),H8:H372),0)</f>
        <v>0</v>
      </c>
      <c r="Q372" s="71">
        <f t="shared" si="52"/>
        <v>0</v>
      </c>
    </row>
  </sheetData>
  <mergeCells count="4">
    <mergeCell ref="A2:H2"/>
    <mergeCell ref="I2:P2"/>
    <mergeCell ref="A3:P3"/>
    <mergeCell ref="B5:P5"/>
  </mergeCells>
  <conditionalFormatting sqref="I8:I372">
    <cfRule type="expression" dxfId="13" priority="2">
      <formula>I8&lt;0</formula>
    </cfRule>
    <cfRule type="expression" dxfId="12" priority="3">
      <formula>I8&gt;0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2828"/>
  </sheetPr>
  <dimension ref="A1:I509"/>
  <sheetViews>
    <sheetView showGridLines="0" tabSelected="1" zoomScaleNormal="100" workbookViewId="0">
      <pane ySplit="8" topLeftCell="A31" activePane="bottomLeft" state="frozen"/>
      <selection pane="bottomLeft" activeCell="E39" sqref="E39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4" customWidth="1"/>
    <col min="4" max="4" width="22" customWidth="1"/>
    <col min="5" max="5" width="19.77734375" customWidth="1"/>
    <col min="6" max="6" width="16" customWidth="1"/>
    <col min="7" max="7" width="14" customWidth="1"/>
    <col min="8" max="8" width="16" customWidth="1"/>
    <col min="9" max="9" width="18" customWidth="1"/>
  </cols>
  <sheetData>
    <row r="1" spans="1:9" ht="4.5" customHeight="1" x14ac:dyDescent="0.3">
      <c r="A1" s="32"/>
      <c r="B1" s="32"/>
      <c r="C1" s="32"/>
      <c r="D1" s="32"/>
      <c r="E1" s="32"/>
      <c r="F1" s="32"/>
      <c r="G1" s="32"/>
      <c r="H1" s="32"/>
      <c r="I1" s="32"/>
    </row>
    <row r="2" spans="1:9" ht="37.5" customHeight="1" x14ac:dyDescent="0.3">
      <c r="A2" s="182" t="s">
        <v>179</v>
      </c>
      <c r="B2" s="183"/>
      <c r="C2" s="183"/>
      <c r="D2" s="183"/>
      <c r="E2" s="184" t="s">
        <v>180</v>
      </c>
      <c r="F2" s="183"/>
      <c r="G2" s="183"/>
      <c r="H2" s="183"/>
      <c r="I2" s="183"/>
    </row>
    <row r="3" spans="1:9" ht="3.75" customHeight="1" x14ac:dyDescent="0.3">
      <c r="A3" s="185"/>
      <c r="B3" s="183"/>
      <c r="C3" s="183"/>
      <c r="D3" s="183"/>
      <c r="E3" s="183"/>
      <c r="F3" s="183"/>
      <c r="G3" s="183"/>
      <c r="H3" s="183"/>
      <c r="I3" s="183"/>
    </row>
    <row r="4" spans="1:9" ht="7.5" customHeight="1" x14ac:dyDescent="0.3"/>
    <row r="5" spans="1:9" ht="18" customHeight="1" x14ac:dyDescent="0.3">
      <c r="B5" s="86" t="s">
        <v>181</v>
      </c>
      <c r="C5" s="86" t="s">
        <v>182</v>
      </c>
      <c r="D5" s="86" t="s">
        <v>183</v>
      </c>
      <c r="E5" s="86" t="s">
        <v>184</v>
      </c>
      <c r="F5" s="86" t="s">
        <v>185</v>
      </c>
      <c r="G5" s="86" t="s">
        <v>186</v>
      </c>
      <c r="H5" s="86" t="s">
        <v>187</v>
      </c>
      <c r="I5" s="86" t="s">
        <v>188</v>
      </c>
    </row>
    <row r="6" spans="1:9" ht="25.5" customHeight="1" x14ac:dyDescent="0.3">
      <c r="B6" s="87">
        <f ca="1">SUMIF(B9:B508,TODAY(),F9:F508)</f>
        <v>0</v>
      </c>
      <c r="C6" s="88">
        <f ca="1">SUMIF(B9:B508,"&gt;="&amp;(TODAY()-WEEKDAY(TODAY(),2)+1),F9:F508)</f>
        <v>10326.5</v>
      </c>
      <c r="D6" s="89">
        <f ca="1">SUMIFS(F9:F508,B9:B508,"&gt;="&amp;DATE(YEAR(TODAY()),MONTH(TODAY()),1),B9:B508,"&lt;="&amp;TODAY())</f>
        <v>10326.5</v>
      </c>
      <c r="E6" s="88">
        <f>SUMIF(C9:C508,"Ingredients",F9:F508)</f>
        <v>8291.5</v>
      </c>
      <c r="F6" s="90">
        <f>SUMIF(C9:C508,"Staff",F9:F508)</f>
        <v>500</v>
      </c>
      <c r="G6" s="89">
        <f>SUMIF(C9:C508,"Utilities",F9:F508)</f>
        <v>0</v>
      </c>
      <c r="H6" s="87">
        <f ca="1">SUMIF(B9:B508,TODAY(),F9:F508)</f>
        <v>0</v>
      </c>
      <c r="I6" s="87">
        <f ca="1">SUMIF(B9:B508,"&gt;="&amp;(TODAY()-WEEKDAY(TODAY(),2)+1),F9:F508)</f>
        <v>10326.5</v>
      </c>
    </row>
    <row r="7" spans="1:9" ht="7.5" customHeight="1" x14ac:dyDescent="0.3"/>
    <row r="8" spans="1:9" ht="19.5" customHeight="1" x14ac:dyDescent="0.3">
      <c r="B8" s="260" t="s">
        <v>189</v>
      </c>
      <c r="C8" s="195"/>
      <c r="D8" s="195"/>
      <c r="E8" s="195"/>
      <c r="F8" s="195"/>
      <c r="G8" s="195"/>
      <c r="H8" s="195"/>
      <c r="I8" s="195"/>
    </row>
    <row r="9" spans="1:9" ht="27.75" customHeight="1" x14ac:dyDescent="0.3">
      <c r="B9" s="33" t="s">
        <v>3</v>
      </c>
      <c r="C9" s="33" t="s">
        <v>68</v>
      </c>
      <c r="D9" s="33" t="s">
        <v>190</v>
      </c>
      <c r="E9" s="33" t="s">
        <v>191</v>
      </c>
      <c r="F9" s="33" t="s">
        <v>37</v>
      </c>
      <c r="G9" s="33" t="s">
        <v>192</v>
      </c>
      <c r="H9" s="33" t="s">
        <v>38</v>
      </c>
      <c r="I9" s="33" t="s">
        <v>40</v>
      </c>
    </row>
    <row r="10" spans="1:9" ht="15.75" customHeight="1" x14ac:dyDescent="0.3">
      <c r="B10" s="91">
        <v>46160</v>
      </c>
      <c r="C10" s="92" t="s">
        <v>193</v>
      </c>
      <c r="D10" s="93" t="s">
        <v>194</v>
      </c>
      <c r="E10" s="92" t="s">
        <v>195</v>
      </c>
      <c r="F10" s="94">
        <v>90</v>
      </c>
      <c r="G10" s="41"/>
      <c r="H10" s="41" t="s">
        <v>28</v>
      </c>
      <c r="I10" s="70"/>
    </row>
    <row r="11" spans="1:9" ht="15.75" customHeight="1" x14ac:dyDescent="0.3">
      <c r="B11" s="91">
        <v>46160</v>
      </c>
      <c r="C11" s="92" t="s">
        <v>193</v>
      </c>
      <c r="D11" s="95" t="s">
        <v>196</v>
      </c>
      <c r="E11" s="96" t="s">
        <v>195</v>
      </c>
      <c r="F11" s="97">
        <v>420</v>
      </c>
      <c r="G11" s="50"/>
      <c r="H11" s="50" t="s">
        <v>28</v>
      </c>
      <c r="I11" s="82"/>
    </row>
    <row r="12" spans="1:9" ht="15.75" customHeight="1" x14ac:dyDescent="0.3">
      <c r="B12" s="91">
        <v>46160</v>
      </c>
      <c r="C12" s="92" t="s">
        <v>197</v>
      </c>
      <c r="D12" s="93" t="s">
        <v>198</v>
      </c>
      <c r="E12" s="92" t="s">
        <v>199</v>
      </c>
      <c r="F12" s="94">
        <v>1068</v>
      </c>
      <c r="G12" s="41"/>
      <c r="H12" s="41" t="s">
        <v>28</v>
      </c>
      <c r="I12" s="70"/>
    </row>
    <row r="13" spans="1:9" ht="15.75" customHeight="1" x14ac:dyDescent="0.3">
      <c r="B13" s="91">
        <v>46160</v>
      </c>
      <c r="C13" s="96" t="s">
        <v>193</v>
      </c>
      <c r="D13" s="95" t="s">
        <v>200</v>
      </c>
      <c r="E13" s="96" t="s">
        <v>199</v>
      </c>
      <c r="F13" s="97">
        <v>522</v>
      </c>
      <c r="G13" s="50"/>
      <c r="H13" s="50" t="s">
        <v>28</v>
      </c>
      <c r="I13" s="82"/>
    </row>
    <row r="14" spans="1:9" ht="15.75" customHeight="1" x14ac:dyDescent="0.3">
      <c r="B14" s="91">
        <v>46160</v>
      </c>
      <c r="C14" s="92" t="s">
        <v>193</v>
      </c>
      <c r="D14" s="93" t="s">
        <v>201</v>
      </c>
      <c r="E14" s="92"/>
      <c r="F14" s="94">
        <v>129</v>
      </c>
      <c r="G14" s="41"/>
      <c r="H14" s="41" t="s">
        <v>28</v>
      </c>
      <c r="I14" s="70"/>
    </row>
    <row r="15" spans="1:9" ht="15.75" customHeight="1" x14ac:dyDescent="0.3">
      <c r="B15" s="91">
        <v>46160</v>
      </c>
      <c r="C15" s="96" t="s">
        <v>193</v>
      </c>
      <c r="D15" s="95" t="s">
        <v>194</v>
      </c>
      <c r="E15" s="96" t="s">
        <v>199</v>
      </c>
      <c r="F15" s="97">
        <v>400</v>
      </c>
      <c r="G15" s="50"/>
      <c r="H15" s="50" t="s">
        <v>202</v>
      </c>
      <c r="I15" s="82"/>
    </row>
    <row r="16" spans="1:9" ht="15.75" customHeight="1" x14ac:dyDescent="0.3">
      <c r="B16" s="91">
        <v>46161</v>
      </c>
      <c r="C16" s="92" t="s">
        <v>193</v>
      </c>
      <c r="D16" s="95" t="s">
        <v>203</v>
      </c>
      <c r="E16" s="92" t="s">
        <v>204</v>
      </c>
      <c r="F16" s="94">
        <v>30</v>
      </c>
      <c r="G16" s="41"/>
      <c r="H16" s="41" t="s">
        <v>28</v>
      </c>
      <c r="I16" s="70"/>
    </row>
    <row r="17" spans="2:9" ht="15.75" customHeight="1" x14ac:dyDescent="0.3">
      <c r="B17" s="91">
        <v>46162</v>
      </c>
      <c r="C17" s="92" t="s">
        <v>193</v>
      </c>
      <c r="D17" s="95" t="s">
        <v>203</v>
      </c>
      <c r="E17" s="92" t="s">
        <v>204</v>
      </c>
      <c r="F17" s="97">
        <v>90</v>
      </c>
      <c r="G17" s="50"/>
      <c r="H17" s="50" t="s">
        <v>28</v>
      </c>
      <c r="I17" s="82"/>
    </row>
    <row r="18" spans="2:9" ht="15.75" customHeight="1" x14ac:dyDescent="0.3">
      <c r="B18" s="91">
        <v>46162</v>
      </c>
      <c r="C18" s="92" t="s">
        <v>193</v>
      </c>
      <c r="D18" s="93" t="s">
        <v>205</v>
      </c>
      <c r="E18" s="96" t="s">
        <v>195</v>
      </c>
      <c r="F18" s="94">
        <v>65</v>
      </c>
      <c r="G18" s="41"/>
      <c r="H18" s="41" t="s">
        <v>28</v>
      </c>
      <c r="I18" s="70"/>
    </row>
    <row r="19" spans="2:9" ht="15.75" customHeight="1" x14ac:dyDescent="0.3">
      <c r="B19" s="91">
        <v>46162</v>
      </c>
      <c r="C19" s="92" t="s">
        <v>193</v>
      </c>
      <c r="D19" s="95" t="s">
        <v>206</v>
      </c>
      <c r="E19" s="96" t="s">
        <v>195</v>
      </c>
      <c r="F19" s="97">
        <v>26</v>
      </c>
      <c r="G19" s="50"/>
      <c r="H19" s="50" t="s">
        <v>28</v>
      </c>
      <c r="I19" s="82"/>
    </row>
    <row r="20" spans="2:9" ht="15.75" customHeight="1" x14ac:dyDescent="0.3">
      <c r="B20" s="91">
        <v>46162</v>
      </c>
      <c r="C20" s="92" t="s">
        <v>193</v>
      </c>
      <c r="D20" s="93" t="s">
        <v>207</v>
      </c>
      <c r="E20" s="92" t="s">
        <v>208</v>
      </c>
      <c r="F20" s="94">
        <v>88</v>
      </c>
      <c r="G20" s="41"/>
      <c r="H20" s="41" t="s">
        <v>28</v>
      </c>
      <c r="I20" s="70"/>
    </row>
    <row r="21" spans="2:9" ht="15.75" customHeight="1" x14ac:dyDescent="0.3">
      <c r="B21" s="91">
        <v>46162</v>
      </c>
      <c r="C21" s="92" t="s">
        <v>193</v>
      </c>
      <c r="D21" s="95" t="s">
        <v>196</v>
      </c>
      <c r="E21" s="96" t="s">
        <v>195</v>
      </c>
      <c r="F21" s="97">
        <v>1104</v>
      </c>
      <c r="G21" s="50"/>
      <c r="H21" s="50" t="s">
        <v>28</v>
      </c>
      <c r="I21" s="82"/>
    </row>
    <row r="22" spans="2:9" ht="15.75" customHeight="1" x14ac:dyDescent="0.3">
      <c r="B22" s="91">
        <v>46162</v>
      </c>
      <c r="C22" s="92" t="s">
        <v>193</v>
      </c>
      <c r="D22" s="93" t="s">
        <v>209</v>
      </c>
      <c r="E22" s="92" t="s">
        <v>195</v>
      </c>
      <c r="F22" s="94">
        <v>397</v>
      </c>
      <c r="G22" s="41"/>
      <c r="H22" s="41" t="s">
        <v>28</v>
      </c>
      <c r="I22" s="70"/>
    </row>
    <row r="23" spans="2:9" ht="15.75" customHeight="1" x14ac:dyDescent="0.3">
      <c r="B23" s="91">
        <v>46162</v>
      </c>
      <c r="C23" s="92" t="s">
        <v>193</v>
      </c>
      <c r="D23" s="95" t="s">
        <v>210</v>
      </c>
      <c r="E23" s="96" t="s">
        <v>211</v>
      </c>
      <c r="F23" s="97">
        <v>935</v>
      </c>
      <c r="G23" s="50"/>
      <c r="H23" s="50" t="s">
        <v>28</v>
      </c>
      <c r="I23" s="82"/>
    </row>
    <row r="24" spans="2:9" ht="15.75" customHeight="1" x14ac:dyDescent="0.3">
      <c r="B24" s="91">
        <v>46162</v>
      </c>
      <c r="C24" s="92" t="s">
        <v>193</v>
      </c>
      <c r="D24" s="93" t="s">
        <v>212</v>
      </c>
      <c r="E24" s="92" t="s">
        <v>213</v>
      </c>
      <c r="F24" s="94">
        <v>272</v>
      </c>
      <c r="G24" s="41"/>
      <c r="H24" s="41" t="s">
        <v>202</v>
      </c>
      <c r="I24" s="70"/>
    </row>
    <row r="25" spans="2:9" ht="15.75" customHeight="1" x14ac:dyDescent="0.3">
      <c r="B25" s="91">
        <v>46162</v>
      </c>
      <c r="C25" s="92" t="s">
        <v>193</v>
      </c>
      <c r="D25" s="95" t="s">
        <v>214</v>
      </c>
      <c r="E25" s="96" t="s">
        <v>215</v>
      </c>
      <c r="F25" s="97">
        <v>300</v>
      </c>
      <c r="G25" s="50"/>
      <c r="H25" s="50" t="s">
        <v>202</v>
      </c>
      <c r="I25" s="82"/>
    </row>
    <row r="26" spans="2:9" ht="15.75" customHeight="1" x14ac:dyDescent="0.3">
      <c r="B26" s="91">
        <v>46162</v>
      </c>
      <c r="C26" s="92" t="s">
        <v>216</v>
      </c>
      <c r="D26" s="93" t="s">
        <v>217</v>
      </c>
      <c r="E26" s="92" t="s">
        <v>218</v>
      </c>
      <c r="F26" s="94">
        <v>500</v>
      </c>
      <c r="G26" s="41"/>
      <c r="H26" s="41" t="s">
        <v>202</v>
      </c>
      <c r="I26" s="70"/>
    </row>
    <row r="27" spans="2:9" ht="15.75" customHeight="1" x14ac:dyDescent="0.3">
      <c r="B27" s="98">
        <v>46163</v>
      </c>
      <c r="C27" s="96" t="s">
        <v>193</v>
      </c>
      <c r="D27" s="95" t="s">
        <v>219</v>
      </c>
      <c r="E27" s="99" t="s">
        <v>195</v>
      </c>
      <c r="F27" s="97">
        <v>213</v>
      </c>
      <c r="G27" s="50"/>
      <c r="H27" s="50" t="s">
        <v>202</v>
      </c>
      <c r="I27" s="82"/>
    </row>
    <row r="28" spans="2:9" ht="15.75" customHeight="1" x14ac:dyDescent="0.3">
      <c r="B28" s="98">
        <v>46163</v>
      </c>
      <c r="C28" s="96" t="s">
        <v>193</v>
      </c>
      <c r="D28" s="93" t="s">
        <v>201</v>
      </c>
      <c r="E28" s="96"/>
      <c r="F28" s="94">
        <v>232</v>
      </c>
      <c r="G28" s="41"/>
      <c r="H28" s="41" t="s">
        <v>202</v>
      </c>
      <c r="I28" s="70"/>
    </row>
    <row r="29" spans="2:9" ht="15.75" customHeight="1" x14ac:dyDescent="0.3">
      <c r="B29" s="98">
        <v>46163</v>
      </c>
      <c r="C29" s="96" t="s">
        <v>193</v>
      </c>
      <c r="D29" s="95" t="s">
        <v>220</v>
      </c>
      <c r="E29" s="96" t="s">
        <v>204</v>
      </c>
      <c r="F29" s="97">
        <v>24</v>
      </c>
      <c r="G29" s="50"/>
      <c r="H29" s="50" t="s">
        <v>202</v>
      </c>
      <c r="I29" s="82"/>
    </row>
    <row r="30" spans="2:9" ht="15.75" customHeight="1" x14ac:dyDescent="0.3">
      <c r="B30" s="98">
        <v>46163</v>
      </c>
      <c r="C30" s="96" t="s">
        <v>193</v>
      </c>
      <c r="D30" s="93" t="s">
        <v>221</v>
      </c>
      <c r="E30" s="92" t="s">
        <v>222</v>
      </c>
      <c r="F30" s="94">
        <v>572</v>
      </c>
      <c r="G30" s="41"/>
      <c r="H30" s="41" t="s">
        <v>202</v>
      </c>
      <c r="I30" s="70"/>
    </row>
    <row r="31" spans="2:9" ht="15.75" customHeight="1" x14ac:dyDescent="0.3">
      <c r="B31" s="98">
        <v>46163</v>
      </c>
      <c r="C31" s="96" t="s">
        <v>193</v>
      </c>
      <c r="D31" s="95" t="s">
        <v>223</v>
      </c>
      <c r="E31" s="96"/>
      <c r="F31" s="97">
        <v>82</v>
      </c>
      <c r="G31" s="50"/>
      <c r="H31" s="50" t="s">
        <v>202</v>
      </c>
      <c r="I31" s="82"/>
    </row>
    <row r="32" spans="2:9" ht="15.75" customHeight="1" x14ac:dyDescent="0.3">
      <c r="B32" s="98">
        <v>46163</v>
      </c>
      <c r="C32" s="96" t="s">
        <v>193</v>
      </c>
      <c r="D32" s="93" t="s">
        <v>194</v>
      </c>
      <c r="E32" s="92" t="s">
        <v>199</v>
      </c>
      <c r="F32" s="94">
        <v>148</v>
      </c>
      <c r="G32" s="41"/>
      <c r="H32" s="41" t="s">
        <v>202</v>
      </c>
      <c r="I32" s="70"/>
    </row>
    <row r="33" spans="2:9" ht="15.75" customHeight="1" x14ac:dyDescent="0.3">
      <c r="B33" s="98">
        <v>46163</v>
      </c>
      <c r="C33" s="96" t="s">
        <v>193</v>
      </c>
      <c r="D33" s="95" t="s">
        <v>224</v>
      </c>
      <c r="E33" s="92" t="s">
        <v>199</v>
      </c>
      <c r="F33" s="97">
        <v>130</v>
      </c>
      <c r="G33" s="50"/>
      <c r="H33" s="50" t="s">
        <v>202</v>
      </c>
      <c r="I33" s="82"/>
    </row>
    <row r="34" spans="2:9" ht="15.75" customHeight="1" x14ac:dyDescent="0.3">
      <c r="B34" s="98">
        <v>46163</v>
      </c>
      <c r="C34" s="96" t="s">
        <v>193</v>
      </c>
      <c r="D34" s="93" t="s">
        <v>194</v>
      </c>
      <c r="E34" s="92" t="s">
        <v>199</v>
      </c>
      <c r="F34" s="94">
        <v>207</v>
      </c>
      <c r="G34" s="41"/>
      <c r="H34" s="41" t="s">
        <v>202</v>
      </c>
      <c r="I34" s="70"/>
    </row>
    <row r="35" spans="2:9" ht="15.75" customHeight="1" x14ac:dyDescent="0.3">
      <c r="B35" s="98">
        <v>46163</v>
      </c>
      <c r="C35" s="96" t="s">
        <v>193</v>
      </c>
      <c r="D35" s="93" t="s">
        <v>194</v>
      </c>
      <c r="E35" s="92" t="s">
        <v>199</v>
      </c>
      <c r="F35" s="97">
        <v>185</v>
      </c>
      <c r="G35" s="50"/>
      <c r="H35" s="50" t="s">
        <v>202</v>
      </c>
      <c r="I35" s="82"/>
    </row>
    <row r="36" spans="2:9" ht="15.75" customHeight="1" x14ac:dyDescent="0.3">
      <c r="B36" s="98">
        <v>46163</v>
      </c>
      <c r="C36" s="96" t="s">
        <v>193</v>
      </c>
      <c r="D36" s="93" t="s">
        <v>225</v>
      </c>
      <c r="E36" s="92" t="s">
        <v>199</v>
      </c>
      <c r="F36" s="94">
        <v>108</v>
      </c>
      <c r="G36" s="41"/>
      <c r="H36" s="41" t="s">
        <v>202</v>
      </c>
      <c r="I36" s="70"/>
    </row>
    <row r="37" spans="2:9" ht="15.75" customHeight="1" x14ac:dyDescent="0.3">
      <c r="B37" s="98">
        <v>46163</v>
      </c>
      <c r="C37" s="96" t="s">
        <v>193</v>
      </c>
      <c r="D37" s="95" t="s">
        <v>226</v>
      </c>
      <c r="E37" s="96" t="s">
        <v>227</v>
      </c>
      <c r="F37" s="97">
        <v>196</v>
      </c>
      <c r="G37" s="50"/>
      <c r="H37" s="50" t="s">
        <v>202</v>
      </c>
      <c r="I37" s="82"/>
    </row>
    <row r="38" spans="2:9" ht="15.75" customHeight="1" x14ac:dyDescent="0.3">
      <c r="B38" s="100">
        <v>46163</v>
      </c>
      <c r="C38" s="101" t="s">
        <v>228</v>
      </c>
      <c r="D38" s="102" t="s">
        <v>229</v>
      </c>
      <c r="E38" s="101" t="s">
        <v>420</v>
      </c>
      <c r="F38" s="103">
        <v>337</v>
      </c>
      <c r="G38" s="104"/>
      <c r="H38" s="104" t="s">
        <v>28</v>
      </c>
      <c r="I38" s="105"/>
    </row>
    <row r="39" spans="2:9" ht="15.75" customHeight="1" x14ac:dyDescent="0.3">
      <c r="B39" s="91">
        <v>46164</v>
      </c>
      <c r="C39" s="96" t="s">
        <v>193</v>
      </c>
      <c r="D39" s="95" t="s">
        <v>220</v>
      </c>
      <c r="E39" s="96" t="s">
        <v>204</v>
      </c>
      <c r="F39" s="97">
        <v>24</v>
      </c>
      <c r="G39" s="50"/>
      <c r="H39" s="50" t="s">
        <v>202</v>
      </c>
      <c r="I39" s="82"/>
    </row>
    <row r="40" spans="2:9" ht="15.75" customHeight="1" x14ac:dyDescent="0.3">
      <c r="B40" s="91">
        <v>46164</v>
      </c>
      <c r="C40" s="92" t="s">
        <v>193</v>
      </c>
      <c r="D40" s="93" t="s">
        <v>230</v>
      </c>
      <c r="E40" s="92" t="s">
        <v>231</v>
      </c>
      <c r="F40" s="94">
        <v>404.5</v>
      </c>
      <c r="G40" s="41"/>
      <c r="H40" s="41" t="s">
        <v>202</v>
      </c>
      <c r="I40" s="70"/>
    </row>
    <row r="41" spans="2:9" ht="15.75" customHeight="1" x14ac:dyDescent="0.3">
      <c r="B41" s="91">
        <v>46164</v>
      </c>
      <c r="C41" s="96" t="s">
        <v>193</v>
      </c>
      <c r="D41" s="95" t="s">
        <v>232</v>
      </c>
      <c r="E41" s="96" t="s">
        <v>204</v>
      </c>
      <c r="F41" s="97">
        <v>312</v>
      </c>
      <c r="G41" s="50"/>
      <c r="H41" s="50" t="s">
        <v>202</v>
      </c>
      <c r="I41" s="82"/>
    </row>
    <row r="42" spans="2:9" ht="15.75" customHeight="1" x14ac:dyDescent="0.3">
      <c r="B42" s="91">
        <v>46164</v>
      </c>
      <c r="C42" s="92" t="s">
        <v>193</v>
      </c>
      <c r="D42" s="93" t="s">
        <v>232</v>
      </c>
      <c r="E42" s="92" t="s">
        <v>204</v>
      </c>
      <c r="F42" s="94">
        <v>52</v>
      </c>
      <c r="G42" s="41"/>
      <c r="H42" s="41" t="s">
        <v>202</v>
      </c>
      <c r="I42" s="70"/>
    </row>
    <row r="43" spans="2:9" ht="15.75" customHeight="1" x14ac:dyDescent="0.3">
      <c r="B43" s="91">
        <v>46164</v>
      </c>
      <c r="C43" s="96" t="s">
        <v>193</v>
      </c>
      <c r="D43" s="95" t="s">
        <v>233</v>
      </c>
      <c r="E43" s="96" t="s">
        <v>204</v>
      </c>
      <c r="F43" s="97">
        <v>44</v>
      </c>
      <c r="G43" s="50"/>
      <c r="H43" s="50" t="s">
        <v>202</v>
      </c>
      <c r="I43" s="82"/>
    </row>
    <row r="44" spans="2:9" ht="15.75" customHeight="1" x14ac:dyDescent="0.3">
      <c r="B44" s="91">
        <v>46164</v>
      </c>
      <c r="C44" s="92" t="s">
        <v>193</v>
      </c>
      <c r="D44" s="93" t="s">
        <v>234</v>
      </c>
      <c r="E44" s="92" t="s">
        <v>235</v>
      </c>
      <c r="F44" s="94">
        <v>490</v>
      </c>
      <c r="G44" s="41"/>
      <c r="H44" s="41" t="s">
        <v>202</v>
      </c>
      <c r="I44" s="70"/>
    </row>
    <row r="45" spans="2:9" ht="15.75" customHeight="1" x14ac:dyDescent="0.3">
      <c r="B45" s="91">
        <v>46164</v>
      </c>
      <c r="C45" s="96" t="s">
        <v>197</v>
      </c>
      <c r="D45" s="95" t="s">
        <v>236</v>
      </c>
      <c r="E45" s="96"/>
      <c r="F45" s="97">
        <v>100</v>
      </c>
      <c r="G45" s="50"/>
      <c r="H45" s="50" t="s">
        <v>202</v>
      </c>
      <c r="I45" s="82"/>
    </row>
    <row r="46" spans="2:9" ht="15.75" customHeight="1" x14ac:dyDescent="0.3">
      <c r="B46" s="91">
        <v>46164</v>
      </c>
      <c r="C46" s="92" t="s">
        <v>197</v>
      </c>
      <c r="D46" s="93" t="s">
        <v>237</v>
      </c>
      <c r="E46" s="92"/>
      <c r="F46" s="94">
        <v>30</v>
      </c>
      <c r="G46" s="41"/>
      <c r="H46" s="41" t="s">
        <v>28</v>
      </c>
      <c r="I46" s="70"/>
    </row>
    <row r="47" spans="2:9" ht="15.75" customHeight="1" x14ac:dyDescent="0.3">
      <c r="B47" s="91"/>
      <c r="C47" s="96"/>
      <c r="D47" s="95"/>
      <c r="E47" s="96"/>
      <c r="F47" s="97"/>
      <c r="G47" s="50"/>
      <c r="H47" s="50"/>
      <c r="I47" s="82"/>
    </row>
    <row r="48" spans="2:9" ht="15.75" customHeight="1" x14ac:dyDescent="0.3">
      <c r="B48" s="91"/>
      <c r="C48" s="92"/>
      <c r="D48" s="93"/>
      <c r="E48" s="92"/>
      <c r="F48" s="94"/>
      <c r="G48" s="41"/>
      <c r="H48" s="41"/>
      <c r="I48" s="70"/>
    </row>
    <row r="49" spans="2:9" ht="15.75" customHeight="1" x14ac:dyDescent="0.3">
      <c r="B49" s="91"/>
      <c r="C49" s="96"/>
      <c r="D49" s="95"/>
      <c r="E49" s="96"/>
      <c r="F49" s="97"/>
      <c r="G49" s="50"/>
      <c r="H49" s="50"/>
      <c r="I49" s="82"/>
    </row>
    <row r="50" spans="2:9" ht="15.75" customHeight="1" x14ac:dyDescent="0.3">
      <c r="B50" s="91"/>
      <c r="C50" s="92"/>
      <c r="D50" s="93"/>
      <c r="E50" s="92"/>
      <c r="F50" s="94"/>
      <c r="G50" s="41"/>
      <c r="H50" s="41"/>
      <c r="I50" s="70"/>
    </row>
    <row r="51" spans="2:9" ht="15.75" customHeight="1" x14ac:dyDescent="0.3">
      <c r="B51" s="91"/>
      <c r="C51" s="96"/>
      <c r="D51" s="95"/>
      <c r="E51" s="96"/>
      <c r="F51" s="97"/>
      <c r="G51" s="50"/>
      <c r="H51" s="50"/>
      <c r="I51" s="82"/>
    </row>
    <row r="52" spans="2:9" ht="15.75" customHeight="1" x14ac:dyDescent="0.3">
      <c r="B52" s="91"/>
      <c r="C52" s="92"/>
      <c r="D52" s="93"/>
      <c r="E52" s="92"/>
      <c r="F52" s="94"/>
      <c r="G52" s="41"/>
      <c r="H52" s="41"/>
      <c r="I52" s="70"/>
    </row>
    <row r="53" spans="2:9" ht="15.75" customHeight="1" x14ac:dyDescent="0.3">
      <c r="B53" s="91"/>
      <c r="C53" s="96"/>
      <c r="D53" s="95"/>
      <c r="E53" s="96"/>
      <c r="F53" s="97"/>
      <c r="G53" s="50"/>
      <c r="H53" s="50"/>
      <c r="I53" s="82"/>
    </row>
    <row r="54" spans="2:9" ht="15.75" customHeight="1" x14ac:dyDescent="0.3">
      <c r="B54" s="91"/>
      <c r="C54" s="92"/>
      <c r="D54" s="93"/>
      <c r="E54" s="92"/>
      <c r="F54" s="94"/>
      <c r="G54" s="41"/>
      <c r="H54" s="41"/>
      <c r="I54" s="70"/>
    </row>
    <row r="55" spans="2:9" ht="15.75" customHeight="1" x14ac:dyDescent="0.3">
      <c r="B55" s="91"/>
      <c r="C55" s="96"/>
      <c r="D55" s="95"/>
      <c r="E55" s="96"/>
      <c r="F55" s="97"/>
      <c r="G55" s="50"/>
      <c r="H55" s="50"/>
      <c r="I55" s="82"/>
    </row>
    <row r="56" spans="2:9" ht="15.75" customHeight="1" x14ac:dyDescent="0.3">
      <c r="B56" s="91"/>
      <c r="C56" s="92"/>
      <c r="D56" s="93"/>
      <c r="E56" s="92"/>
      <c r="F56" s="94"/>
      <c r="G56" s="41"/>
      <c r="H56" s="41"/>
      <c r="I56" s="70"/>
    </row>
    <row r="57" spans="2:9" ht="15.75" customHeight="1" x14ac:dyDescent="0.3">
      <c r="B57" s="91"/>
      <c r="C57" s="96"/>
      <c r="D57" s="95"/>
      <c r="E57" s="96"/>
      <c r="F57" s="97"/>
      <c r="G57" s="50"/>
      <c r="H57" s="50"/>
      <c r="I57" s="82"/>
    </row>
    <row r="58" spans="2:9" ht="15.75" customHeight="1" x14ac:dyDescent="0.3">
      <c r="B58" s="91"/>
      <c r="C58" s="92"/>
      <c r="D58" s="93"/>
      <c r="E58" s="92"/>
      <c r="F58" s="94"/>
      <c r="G58" s="41"/>
      <c r="H58" s="41"/>
      <c r="I58" s="70"/>
    </row>
    <row r="59" spans="2:9" ht="15.75" customHeight="1" x14ac:dyDescent="0.3">
      <c r="B59" s="91"/>
      <c r="C59" s="96"/>
      <c r="D59" s="95"/>
      <c r="E59" s="96"/>
      <c r="F59" s="97"/>
      <c r="G59" s="50"/>
      <c r="H59" s="50"/>
      <c r="I59" s="82"/>
    </row>
    <row r="60" spans="2:9" ht="15.75" customHeight="1" x14ac:dyDescent="0.3">
      <c r="B60" s="91"/>
      <c r="C60" s="92"/>
      <c r="D60" s="93"/>
      <c r="E60" s="92"/>
      <c r="F60" s="94"/>
      <c r="G60" s="41"/>
      <c r="H60" s="41"/>
      <c r="I60" s="70"/>
    </row>
    <row r="61" spans="2:9" ht="15.75" customHeight="1" x14ac:dyDescent="0.3">
      <c r="B61" s="91"/>
      <c r="C61" s="96"/>
      <c r="D61" s="95"/>
      <c r="E61" s="96"/>
      <c r="F61" s="97"/>
      <c r="G61" s="50"/>
      <c r="H61" s="50"/>
      <c r="I61" s="82"/>
    </row>
    <row r="62" spans="2:9" ht="15.75" customHeight="1" x14ac:dyDescent="0.3">
      <c r="B62" s="91"/>
      <c r="C62" s="92"/>
      <c r="D62" s="93"/>
      <c r="E62" s="92"/>
      <c r="F62" s="94"/>
      <c r="G62" s="41"/>
      <c r="H62" s="41"/>
      <c r="I62" s="70"/>
    </row>
    <row r="63" spans="2:9" ht="15.75" customHeight="1" x14ac:dyDescent="0.3">
      <c r="B63" s="91"/>
      <c r="C63" s="96"/>
      <c r="D63" s="95"/>
      <c r="E63" s="96"/>
      <c r="F63" s="97"/>
      <c r="G63" s="50"/>
      <c r="H63" s="50"/>
      <c r="I63" s="82"/>
    </row>
    <row r="64" spans="2:9" ht="15.75" customHeight="1" x14ac:dyDescent="0.3">
      <c r="B64" s="91"/>
      <c r="C64" s="92"/>
      <c r="D64" s="93"/>
      <c r="E64" s="92"/>
      <c r="F64" s="94"/>
      <c r="G64" s="41"/>
      <c r="H64" s="41"/>
      <c r="I64" s="70"/>
    </row>
    <row r="65" spans="2:9" ht="15.75" customHeight="1" x14ac:dyDescent="0.3">
      <c r="B65" s="91"/>
      <c r="C65" s="96"/>
      <c r="D65" s="95"/>
      <c r="E65" s="96"/>
      <c r="F65" s="97"/>
      <c r="G65" s="50"/>
      <c r="H65" s="50"/>
      <c r="I65" s="82"/>
    </row>
    <row r="66" spans="2:9" ht="15.75" customHeight="1" x14ac:dyDescent="0.3">
      <c r="B66" s="91"/>
      <c r="C66" s="92"/>
      <c r="D66" s="93"/>
      <c r="E66" s="92"/>
      <c r="F66" s="94"/>
      <c r="G66" s="41"/>
      <c r="H66" s="41"/>
      <c r="I66" s="70"/>
    </row>
    <row r="67" spans="2:9" ht="15.75" customHeight="1" x14ac:dyDescent="0.3">
      <c r="B67" s="91"/>
      <c r="C67" s="96"/>
      <c r="D67" s="95"/>
      <c r="E67" s="96"/>
      <c r="F67" s="97"/>
      <c r="G67" s="50"/>
      <c r="H67" s="50"/>
      <c r="I67" s="82"/>
    </row>
    <row r="68" spans="2:9" ht="15.75" customHeight="1" x14ac:dyDescent="0.3">
      <c r="B68" s="91"/>
      <c r="C68" s="92"/>
      <c r="D68" s="93"/>
      <c r="E68" s="92"/>
      <c r="F68" s="94"/>
      <c r="G68" s="41"/>
      <c r="H68" s="41"/>
      <c r="I68" s="70"/>
    </row>
    <row r="69" spans="2:9" ht="15.75" customHeight="1" x14ac:dyDescent="0.3">
      <c r="B69" s="91"/>
      <c r="C69" s="96"/>
      <c r="D69" s="95"/>
      <c r="E69" s="96"/>
      <c r="F69" s="97"/>
      <c r="G69" s="50"/>
      <c r="H69" s="50"/>
      <c r="I69" s="82"/>
    </row>
    <row r="70" spans="2:9" ht="15.75" customHeight="1" x14ac:dyDescent="0.3">
      <c r="B70" s="91"/>
      <c r="C70" s="92"/>
      <c r="D70" s="93"/>
      <c r="E70" s="92"/>
      <c r="F70" s="94"/>
      <c r="G70" s="41"/>
      <c r="H70" s="41"/>
      <c r="I70" s="70"/>
    </row>
    <row r="71" spans="2:9" ht="15.75" customHeight="1" x14ac:dyDescent="0.3">
      <c r="B71" s="91"/>
      <c r="C71" s="96"/>
      <c r="D71" s="95"/>
      <c r="E71" s="96"/>
      <c r="F71" s="97"/>
      <c r="G71" s="50"/>
      <c r="H71" s="50"/>
      <c r="I71" s="82"/>
    </row>
    <row r="72" spans="2:9" ht="15.75" customHeight="1" x14ac:dyDescent="0.3">
      <c r="B72" s="91"/>
      <c r="C72" s="92"/>
      <c r="D72" s="93"/>
      <c r="E72" s="92"/>
      <c r="F72" s="94"/>
      <c r="G72" s="41"/>
      <c r="H72" s="41"/>
      <c r="I72" s="70"/>
    </row>
    <row r="73" spans="2:9" ht="15.75" customHeight="1" x14ac:dyDescent="0.3">
      <c r="B73" s="91"/>
      <c r="C73" s="96"/>
      <c r="D73" s="95"/>
      <c r="E73" s="96"/>
      <c r="F73" s="97"/>
      <c r="G73" s="50"/>
      <c r="H73" s="50"/>
      <c r="I73" s="82"/>
    </row>
    <row r="74" spans="2:9" ht="15.75" customHeight="1" x14ac:dyDescent="0.3">
      <c r="B74" s="91"/>
      <c r="C74" s="92"/>
      <c r="D74" s="93"/>
      <c r="E74" s="92"/>
      <c r="F74" s="94"/>
      <c r="G74" s="41"/>
      <c r="H74" s="41"/>
      <c r="I74" s="70"/>
    </row>
    <row r="75" spans="2:9" ht="15.75" customHeight="1" x14ac:dyDescent="0.3">
      <c r="B75" s="91"/>
      <c r="C75" s="96"/>
      <c r="D75" s="95"/>
      <c r="E75" s="96"/>
      <c r="F75" s="97"/>
      <c r="G75" s="50"/>
      <c r="H75" s="50"/>
      <c r="I75" s="82"/>
    </row>
    <row r="76" spans="2:9" ht="15.75" customHeight="1" x14ac:dyDescent="0.3">
      <c r="B76" s="91"/>
      <c r="C76" s="92"/>
      <c r="D76" s="93"/>
      <c r="E76" s="92"/>
      <c r="F76" s="94"/>
      <c r="G76" s="41"/>
      <c r="H76" s="41"/>
      <c r="I76" s="70"/>
    </row>
    <row r="77" spans="2:9" ht="15.75" customHeight="1" x14ac:dyDescent="0.3">
      <c r="B77" s="91"/>
      <c r="C77" s="96"/>
      <c r="D77" s="95"/>
      <c r="E77" s="96"/>
      <c r="F77" s="97"/>
      <c r="G77" s="50"/>
      <c r="H77" s="50"/>
      <c r="I77" s="82"/>
    </row>
    <row r="78" spans="2:9" ht="15.75" customHeight="1" x14ac:dyDescent="0.3">
      <c r="B78" s="91"/>
      <c r="C78" s="92"/>
      <c r="D78" s="93"/>
      <c r="E78" s="92"/>
      <c r="F78" s="94"/>
      <c r="G78" s="41"/>
      <c r="H78" s="41"/>
      <c r="I78" s="70"/>
    </row>
    <row r="79" spans="2:9" ht="15.75" customHeight="1" x14ac:dyDescent="0.3">
      <c r="B79" s="91"/>
      <c r="C79" s="96"/>
      <c r="D79" s="95"/>
      <c r="E79" s="96"/>
      <c r="F79" s="97"/>
      <c r="G79" s="50"/>
      <c r="H79" s="50"/>
      <c r="I79" s="82"/>
    </row>
    <row r="80" spans="2:9" ht="15.75" customHeight="1" x14ac:dyDescent="0.3">
      <c r="B80" s="91"/>
      <c r="C80" s="92"/>
      <c r="D80" s="93"/>
      <c r="E80" s="92"/>
      <c r="F80" s="94"/>
      <c r="G80" s="41"/>
      <c r="H80" s="41"/>
      <c r="I80" s="70"/>
    </row>
    <row r="81" spans="2:9" ht="15.75" customHeight="1" x14ac:dyDescent="0.3">
      <c r="B81" s="91"/>
      <c r="C81" s="96"/>
      <c r="D81" s="95"/>
      <c r="E81" s="96"/>
      <c r="F81" s="97"/>
      <c r="G81" s="50"/>
      <c r="H81" s="50"/>
      <c r="I81" s="82"/>
    </row>
    <row r="82" spans="2:9" ht="15.75" customHeight="1" x14ac:dyDescent="0.3">
      <c r="B82" s="91"/>
      <c r="C82" s="92"/>
      <c r="D82" s="93"/>
      <c r="E82" s="92"/>
      <c r="F82" s="94"/>
      <c r="G82" s="41"/>
      <c r="H82" s="41"/>
      <c r="I82" s="70"/>
    </row>
    <row r="83" spans="2:9" ht="15.75" customHeight="1" x14ac:dyDescent="0.3">
      <c r="B83" s="91"/>
      <c r="C83" s="96"/>
      <c r="D83" s="95"/>
      <c r="E83" s="96"/>
      <c r="F83" s="97"/>
      <c r="G83" s="50"/>
      <c r="H83" s="50"/>
      <c r="I83" s="82"/>
    </row>
    <row r="84" spans="2:9" ht="15.75" customHeight="1" x14ac:dyDescent="0.3">
      <c r="B84" s="91"/>
      <c r="C84" s="92"/>
      <c r="D84" s="93"/>
      <c r="E84" s="92"/>
      <c r="F84" s="94"/>
      <c r="G84" s="41"/>
      <c r="H84" s="41"/>
      <c r="I84" s="70"/>
    </row>
    <row r="85" spans="2:9" ht="15.75" customHeight="1" x14ac:dyDescent="0.3">
      <c r="B85" s="91"/>
      <c r="C85" s="96"/>
      <c r="D85" s="95"/>
      <c r="E85" s="96"/>
      <c r="F85" s="97"/>
      <c r="G85" s="50"/>
      <c r="H85" s="50"/>
      <c r="I85" s="82"/>
    </row>
    <row r="86" spans="2:9" ht="15.75" customHeight="1" x14ac:dyDescent="0.3">
      <c r="B86" s="91"/>
      <c r="C86" s="92"/>
      <c r="D86" s="93"/>
      <c r="E86" s="92"/>
      <c r="F86" s="94"/>
      <c r="G86" s="41"/>
      <c r="H86" s="41"/>
      <c r="I86" s="70"/>
    </row>
    <row r="87" spans="2:9" ht="15.75" customHeight="1" x14ac:dyDescent="0.3">
      <c r="B87" s="91"/>
      <c r="C87" s="96"/>
      <c r="D87" s="95"/>
      <c r="E87" s="96"/>
      <c r="F87" s="97"/>
      <c r="G87" s="50"/>
      <c r="H87" s="50"/>
      <c r="I87" s="82"/>
    </row>
    <row r="88" spans="2:9" ht="15.75" customHeight="1" x14ac:dyDescent="0.3">
      <c r="B88" s="91"/>
      <c r="C88" s="92"/>
      <c r="D88" s="93"/>
      <c r="E88" s="92"/>
      <c r="F88" s="94"/>
      <c r="G88" s="41"/>
      <c r="H88" s="41"/>
      <c r="I88" s="70"/>
    </row>
    <row r="89" spans="2:9" ht="15.75" customHeight="1" x14ac:dyDescent="0.3">
      <c r="B89" s="91"/>
      <c r="C89" s="96"/>
      <c r="D89" s="95"/>
      <c r="E89" s="96"/>
      <c r="F89" s="97"/>
      <c r="G89" s="50"/>
      <c r="H89" s="50"/>
      <c r="I89" s="82"/>
    </row>
    <row r="90" spans="2:9" ht="15.75" customHeight="1" x14ac:dyDescent="0.3">
      <c r="B90" s="91"/>
      <c r="C90" s="92"/>
      <c r="D90" s="93"/>
      <c r="E90" s="92"/>
      <c r="F90" s="94"/>
      <c r="G90" s="41"/>
      <c r="H90" s="41"/>
      <c r="I90" s="70"/>
    </row>
    <row r="91" spans="2:9" ht="15.75" customHeight="1" x14ac:dyDescent="0.3">
      <c r="B91" s="91"/>
      <c r="C91" s="96"/>
      <c r="D91" s="95"/>
      <c r="E91" s="96"/>
      <c r="F91" s="97"/>
      <c r="G91" s="50"/>
      <c r="H91" s="50"/>
      <c r="I91" s="82"/>
    </row>
    <row r="92" spans="2:9" ht="15.75" customHeight="1" x14ac:dyDescent="0.3">
      <c r="B92" s="91"/>
      <c r="C92" s="92"/>
      <c r="D92" s="93"/>
      <c r="E92" s="92"/>
      <c r="F92" s="94"/>
      <c r="G92" s="41"/>
      <c r="H92" s="41"/>
      <c r="I92" s="70"/>
    </row>
    <row r="93" spans="2:9" ht="15.75" customHeight="1" x14ac:dyDescent="0.3">
      <c r="B93" s="91"/>
      <c r="C93" s="96"/>
      <c r="D93" s="95"/>
      <c r="E93" s="96"/>
      <c r="F93" s="97"/>
      <c r="G93" s="50"/>
      <c r="H93" s="50"/>
      <c r="I93" s="82"/>
    </row>
    <row r="94" spans="2:9" ht="15.75" customHeight="1" x14ac:dyDescent="0.3">
      <c r="B94" s="91"/>
      <c r="C94" s="92"/>
      <c r="D94" s="93"/>
      <c r="E94" s="92"/>
      <c r="F94" s="94"/>
      <c r="G94" s="41"/>
      <c r="H94" s="41"/>
      <c r="I94" s="70"/>
    </row>
    <row r="95" spans="2:9" ht="15.75" customHeight="1" x14ac:dyDescent="0.3">
      <c r="B95" s="91"/>
      <c r="C95" s="96"/>
      <c r="D95" s="95"/>
      <c r="E95" s="96"/>
      <c r="F95" s="97"/>
      <c r="G95" s="50"/>
      <c r="H95" s="50"/>
      <c r="I95" s="82"/>
    </row>
    <row r="96" spans="2:9" ht="15.75" customHeight="1" x14ac:dyDescent="0.3">
      <c r="B96" s="91"/>
      <c r="C96" s="92"/>
      <c r="D96" s="93"/>
      <c r="E96" s="92"/>
      <c r="F96" s="94"/>
      <c r="G96" s="41"/>
      <c r="H96" s="41"/>
      <c r="I96" s="70"/>
    </row>
    <row r="97" spans="2:9" ht="15.75" customHeight="1" x14ac:dyDescent="0.3">
      <c r="B97" s="91"/>
      <c r="C97" s="96"/>
      <c r="D97" s="95"/>
      <c r="E97" s="96"/>
      <c r="F97" s="97"/>
      <c r="G97" s="50"/>
      <c r="H97" s="50"/>
      <c r="I97" s="82"/>
    </row>
    <row r="98" spans="2:9" ht="15.75" customHeight="1" x14ac:dyDescent="0.3">
      <c r="B98" s="91"/>
      <c r="C98" s="92"/>
      <c r="D98" s="93"/>
      <c r="E98" s="92"/>
      <c r="F98" s="94"/>
      <c r="G98" s="41"/>
      <c r="H98" s="41"/>
      <c r="I98" s="70"/>
    </row>
    <row r="99" spans="2:9" ht="15.75" customHeight="1" x14ac:dyDescent="0.3">
      <c r="B99" s="91"/>
      <c r="C99" s="96"/>
      <c r="D99" s="95"/>
      <c r="E99" s="96"/>
      <c r="F99" s="97"/>
      <c r="G99" s="50"/>
      <c r="H99" s="50"/>
      <c r="I99" s="82"/>
    </row>
    <row r="100" spans="2:9" ht="15.75" customHeight="1" x14ac:dyDescent="0.3">
      <c r="B100" s="91"/>
      <c r="C100" s="92"/>
      <c r="D100" s="93"/>
      <c r="E100" s="92"/>
      <c r="F100" s="94"/>
      <c r="G100" s="41"/>
      <c r="H100" s="41"/>
      <c r="I100" s="70"/>
    </row>
    <row r="101" spans="2:9" ht="15.75" customHeight="1" x14ac:dyDescent="0.3">
      <c r="B101" s="91"/>
      <c r="C101" s="96"/>
      <c r="D101" s="95"/>
      <c r="E101" s="96"/>
      <c r="F101" s="97"/>
      <c r="G101" s="50"/>
      <c r="H101" s="50"/>
      <c r="I101" s="82"/>
    </row>
    <row r="102" spans="2:9" ht="15.75" customHeight="1" x14ac:dyDescent="0.3">
      <c r="B102" s="91"/>
      <c r="C102" s="92"/>
      <c r="D102" s="93"/>
      <c r="E102" s="92"/>
      <c r="F102" s="94"/>
      <c r="G102" s="41"/>
      <c r="H102" s="41"/>
      <c r="I102" s="70"/>
    </row>
    <row r="103" spans="2:9" ht="15.75" customHeight="1" x14ac:dyDescent="0.3">
      <c r="B103" s="91"/>
      <c r="C103" s="96"/>
      <c r="D103" s="95"/>
      <c r="E103" s="96"/>
      <c r="F103" s="97"/>
      <c r="G103" s="50"/>
      <c r="H103" s="50"/>
      <c r="I103" s="82"/>
    </row>
    <row r="104" spans="2:9" ht="15.75" customHeight="1" x14ac:dyDescent="0.3">
      <c r="B104" s="91"/>
      <c r="C104" s="92"/>
      <c r="D104" s="93"/>
      <c r="E104" s="92"/>
      <c r="F104" s="94"/>
      <c r="G104" s="41"/>
      <c r="H104" s="41"/>
      <c r="I104" s="70"/>
    </row>
    <row r="105" spans="2:9" ht="15.75" customHeight="1" x14ac:dyDescent="0.3">
      <c r="B105" s="91"/>
      <c r="C105" s="96"/>
      <c r="D105" s="95"/>
      <c r="E105" s="96"/>
      <c r="F105" s="97"/>
      <c r="G105" s="50"/>
      <c r="H105" s="50"/>
      <c r="I105" s="82"/>
    </row>
    <row r="106" spans="2:9" ht="15.75" customHeight="1" x14ac:dyDescent="0.3">
      <c r="B106" s="91"/>
      <c r="C106" s="92"/>
      <c r="D106" s="93"/>
      <c r="E106" s="92"/>
      <c r="F106" s="94"/>
      <c r="G106" s="41"/>
      <c r="H106" s="41"/>
      <c r="I106" s="70"/>
    </row>
    <row r="107" spans="2:9" ht="15.75" customHeight="1" x14ac:dyDescent="0.3">
      <c r="B107" s="91"/>
      <c r="C107" s="96"/>
      <c r="D107" s="95"/>
      <c r="E107" s="96"/>
      <c r="F107" s="97"/>
      <c r="G107" s="50"/>
      <c r="H107" s="50"/>
      <c r="I107" s="82"/>
    </row>
    <row r="108" spans="2:9" ht="15.75" customHeight="1" x14ac:dyDescent="0.3">
      <c r="B108" s="91"/>
      <c r="C108" s="92"/>
      <c r="D108" s="93"/>
      <c r="E108" s="92"/>
      <c r="F108" s="94"/>
      <c r="G108" s="41"/>
      <c r="H108" s="41"/>
      <c r="I108" s="70"/>
    </row>
    <row r="109" spans="2:9" ht="15.75" customHeight="1" x14ac:dyDescent="0.3">
      <c r="B109" s="91"/>
      <c r="C109" s="96"/>
      <c r="D109" s="95"/>
      <c r="E109" s="96"/>
      <c r="F109" s="97"/>
      <c r="G109" s="50"/>
      <c r="H109" s="50"/>
      <c r="I109" s="82"/>
    </row>
    <row r="110" spans="2:9" ht="15.75" customHeight="1" x14ac:dyDescent="0.3">
      <c r="B110" s="91"/>
      <c r="C110" s="92"/>
      <c r="D110" s="93"/>
      <c r="E110" s="92"/>
      <c r="F110" s="94"/>
      <c r="G110" s="41"/>
      <c r="H110" s="41"/>
      <c r="I110" s="70"/>
    </row>
    <row r="111" spans="2:9" ht="15.75" customHeight="1" x14ac:dyDescent="0.3">
      <c r="B111" s="91"/>
      <c r="C111" s="96"/>
      <c r="D111" s="95"/>
      <c r="E111" s="96"/>
      <c r="F111" s="97"/>
      <c r="G111" s="50"/>
      <c r="H111" s="50"/>
      <c r="I111" s="82"/>
    </row>
    <row r="112" spans="2:9" ht="15.75" customHeight="1" x14ac:dyDescent="0.3">
      <c r="B112" s="91"/>
      <c r="C112" s="92"/>
      <c r="D112" s="93"/>
      <c r="E112" s="92"/>
      <c r="F112" s="94"/>
      <c r="G112" s="41"/>
      <c r="H112" s="41"/>
      <c r="I112" s="70"/>
    </row>
    <row r="113" spans="2:9" ht="15.75" customHeight="1" x14ac:dyDescent="0.3">
      <c r="B113" s="91"/>
      <c r="C113" s="96"/>
      <c r="D113" s="95"/>
      <c r="E113" s="96"/>
      <c r="F113" s="97"/>
      <c r="G113" s="50"/>
      <c r="H113" s="50"/>
      <c r="I113" s="82"/>
    </row>
    <row r="114" spans="2:9" ht="15.75" customHeight="1" x14ac:dyDescent="0.3">
      <c r="B114" s="91"/>
      <c r="C114" s="92"/>
      <c r="D114" s="93"/>
      <c r="E114" s="92"/>
      <c r="F114" s="94"/>
      <c r="G114" s="41"/>
      <c r="H114" s="41"/>
      <c r="I114" s="70"/>
    </row>
    <row r="115" spans="2:9" ht="15.75" customHeight="1" x14ac:dyDescent="0.3">
      <c r="B115" s="91"/>
      <c r="C115" s="96"/>
      <c r="D115" s="95"/>
      <c r="E115" s="96"/>
      <c r="F115" s="97"/>
      <c r="G115" s="50"/>
      <c r="H115" s="50"/>
      <c r="I115" s="82"/>
    </row>
    <row r="116" spans="2:9" ht="15.75" customHeight="1" x14ac:dyDescent="0.3">
      <c r="B116" s="91"/>
      <c r="C116" s="92"/>
      <c r="D116" s="93"/>
      <c r="E116" s="92"/>
      <c r="F116" s="94"/>
      <c r="G116" s="41"/>
      <c r="H116" s="41"/>
      <c r="I116" s="70"/>
    </row>
    <row r="117" spans="2:9" ht="15.75" customHeight="1" x14ac:dyDescent="0.3">
      <c r="B117" s="91"/>
      <c r="C117" s="96"/>
      <c r="D117" s="95"/>
      <c r="E117" s="96"/>
      <c r="F117" s="97"/>
      <c r="G117" s="50"/>
      <c r="H117" s="50"/>
      <c r="I117" s="82"/>
    </row>
    <row r="118" spans="2:9" ht="15.75" customHeight="1" x14ac:dyDescent="0.3">
      <c r="B118" s="91"/>
      <c r="C118" s="92"/>
      <c r="D118" s="93"/>
      <c r="E118" s="92"/>
      <c r="F118" s="94"/>
      <c r="G118" s="41"/>
      <c r="H118" s="41"/>
      <c r="I118" s="70"/>
    </row>
    <row r="119" spans="2:9" ht="15.75" customHeight="1" x14ac:dyDescent="0.3">
      <c r="B119" s="91"/>
      <c r="C119" s="96"/>
      <c r="D119" s="95"/>
      <c r="E119" s="96"/>
      <c r="F119" s="97"/>
      <c r="G119" s="50"/>
      <c r="H119" s="50"/>
      <c r="I119" s="82"/>
    </row>
    <row r="120" spans="2:9" ht="15.75" customHeight="1" x14ac:dyDescent="0.3">
      <c r="B120" s="91"/>
      <c r="C120" s="92"/>
      <c r="D120" s="93"/>
      <c r="E120" s="92"/>
      <c r="F120" s="94"/>
      <c r="G120" s="41"/>
      <c r="H120" s="41"/>
      <c r="I120" s="70"/>
    </row>
    <row r="121" spans="2:9" ht="15.75" customHeight="1" x14ac:dyDescent="0.3">
      <c r="B121" s="91"/>
      <c r="C121" s="96"/>
      <c r="D121" s="95"/>
      <c r="E121" s="96"/>
      <c r="F121" s="97"/>
      <c r="G121" s="50"/>
      <c r="H121" s="50"/>
      <c r="I121" s="82"/>
    </row>
    <row r="122" spans="2:9" ht="15.75" customHeight="1" x14ac:dyDescent="0.3">
      <c r="B122" s="91"/>
      <c r="C122" s="92"/>
      <c r="D122" s="93"/>
      <c r="E122" s="92"/>
      <c r="F122" s="94"/>
      <c r="G122" s="41"/>
      <c r="H122" s="41"/>
      <c r="I122" s="70"/>
    </row>
    <row r="123" spans="2:9" ht="15.75" customHeight="1" x14ac:dyDescent="0.3">
      <c r="B123" s="91"/>
      <c r="C123" s="96"/>
      <c r="D123" s="95"/>
      <c r="E123" s="96"/>
      <c r="F123" s="97"/>
      <c r="G123" s="50"/>
      <c r="H123" s="50"/>
      <c r="I123" s="82"/>
    </row>
    <row r="124" spans="2:9" ht="15.75" customHeight="1" x14ac:dyDescent="0.3">
      <c r="B124" s="91"/>
      <c r="C124" s="92"/>
      <c r="D124" s="93"/>
      <c r="E124" s="92"/>
      <c r="F124" s="94"/>
      <c r="G124" s="41"/>
      <c r="H124" s="41"/>
      <c r="I124" s="70"/>
    </row>
    <row r="125" spans="2:9" ht="15.75" customHeight="1" x14ac:dyDescent="0.3">
      <c r="B125" s="91"/>
      <c r="C125" s="96"/>
      <c r="D125" s="95"/>
      <c r="E125" s="96"/>
      <c r="F125" s="97"/>
      <c r="G125" s="50"/>
      <c r="H125" s="50"/>
      <c r="I125" s="82"/>
    </row>
    <row r="126" spans="2:9" ht="15.75" customHeight="1" x14ac:dyDescent="0.3">
      <c r="B126" s="91"/>
      <c r="C126" s="92"/>
      <c r="D126" s="93"/>
      <c r="E126" s="92"/>
      <c r="F126" s="94"/>
      <c r="G126" s="41"/>
      <c r="H126" s="41"/>
      <c r="I126" s="70"/>
    </row>
    <row r="127" spans="2:9" ht="15.75" customHeight="1" x14ac:dyDescent="0.3">
      <c r="B127" s="91"/>
      <c r="C127" s="96"/>
      <c r="D127" s="95"/>
      <c r="E127" s="96"/>
      <c r="F127" s="97"/>
      <c r="G127" s="50"/>
      <c r="H127" s="50"/>
      <c r="I127" s="82"/>
    </row>
    <row r="128" spans="2:9" ht="15.75" customHeight="1" x14ac:dyDescent="0.3">
      <c r="B128" s="91"/>
      <c r="C128" s="92"/>
      <c r="D128" s="93"/>
      <c r="E128" s="92"/>
      <c r="F128" s="94"/>
      <c r="G128" s="41"/>
      <c r="H128" s="41"/>
      <c r="I128" s="70"/>
    </row>
    <row r="129" spans="2:9" ht="15.75" customHeight="1" x14ac:dyDescent="0.3">
      <c r="B129" s="91"/>
      <c r="C129" s="96"/>
      <c r="D129" s="95"/>
      <c r="E129" s="96"/>
      <c r="F129" s="97"/>
      <c r="G129" s="50"/>
      <c r="H129" s="50"/>
      <c r="I129" s="82"/>
    </row>
    <row r="130" spans="2:9" ht="15.75" customHeight="1" x14ac:dyDescent="0.3">
      <c r="B130" s="91"/>
      <c r="C130" s="92"/>
      <c r="D130" s="93"/>
      <c r="E130" s="92"/>
      <c r="F130" s="94"/>
      <c r="G130" s="41"/>
      <c r="H130" s="41"/>
      <c r="I130" s="70"/>
    </row>
    <row r="131" spans="2:9" ht="15.75" customHeight="1" x14ac:dyDescent="0.3">
      <c r="B131" s="91"/>
      <c r="C131" s="96"/>
      <c r="D131" s="95"/>
      <c r="E131" s="96"/>
      <c r="F131" s="97"/>
      <c r="G131" s="50"/>
      <c r="H131" s="50"/>
      <c r="I131" s="82"/>
    </row>
    <row r="132" spans="2:9" ht="15.75" customHeight="1" x14ac:dyDescent="0.3">
      <c r="B132" s="91"/>
      <c r="C132" s="92"/>
      <c r="D132" s="93"/>
      <c r="E132" s="92"/>
      <c r="F132" s="94"/>
      <c r="G132" s="41"/>
      <c r="H132" s="41"/>
      <c r="I132" s="70"/>
    </row>
    <row r="133" spans="2:9" ht="15.75" customHeight="1" x14ac:dyDescent="0.3">
      <c r="B133" s="91"/>
      <c r="C133" s="96"/>
      <c r="D133" s="95"/>
      <c r="E133" s="96"/>
      <c r="F133" s="97"/>
      <c r="G133" s="50"/>
      <c r="H133" s="50"/>
      <c r="I133" s="82"/>
    </row>
    <row r="134" spans="2:9" ht="15.75" customHeight="1" x14ac:dyDescent="0.3">
      <c r="B134" s="91"/>
      <c r="C134" s="92"/>
      <c r="D134" s="93"/>
      <c r="E134" s="92"/>
      <c r="F134" s="94"/>
      <c r="G134" s="41"/>
      <c r="H134" s="41"/>
      <c r="I134" s="70"/>
    </row>
    <row r="135" spans="2:9" ht="15.75" customHeight="1" x14ac:dyDescent="0.3">
      <c r="B135" s="91"/>
      <c r="C135" s="96"/>
      <c r="D135" s="95"/>
      <c r="E135" s="96"/>
      <c r="F135" s="97"/>
      <c r="G135" s="50"/>
      <c r="H135" s="50"/>
      <c r="I135" s="82"/>
    </row>
    <row r="136" spans="2:9" ht="15.75" customHeight="1" x14ac:dyDescent="0.3">
      <c r="B136" s="91"/>
      <c r="C136" s="92"/>
      <c r="D136" s="93"/>
      <c r="E136" s="92"/>
      <c r="F136" s="94"/>
      <c r="G136" s="41"/>
      <c r="H136" s="41"/>
      <c r="I136" s="70"/>
    </row>
    <row r="137" spans="2:9" ht="15.75" customHeight="1" x14ac:dyDescent="0.3">
      <c r="B137" s="91"/>
      <c r="C137" s="96"/>
      <c r="D137" s="95"/>
      <c r="E137" s="96"/>
      <c r="F137" s="97"/>
      <c r="G137" s="50"/>
      <c r="H137" s="50"/>
      <c r="I137" s="82"/>
    </row>
    <row r="138" spans="2:9" ht="15.75" customHeight="1" x14ac:dyDescent="0.3">
      <c r="B138" s="91"/>
      <c r="C138" s="92"/>
      <c r="D138" s="93"/>
      <c r="E138" s="92"/>
      <c r="F138" s="94"/>
      <c r="G138" s="41"/>
      <c r="H138" s="41"/>
      <c r="I138" s="70"/>
    </row>
    <row r="139" spans="2:9" ht="15.75" customHeight="1" x14ac:dyDescent="0.3">
      <c r="B139" s="91"/>
      <c r="C139" s="96"/>
      <c r="D139" s="95"/>
      <c r="E139" s="96"/>
      <c r="F139" s="97"/>
      <c r="G139" s="50"/>
      <c r="H139" s="50"/>
      <c r="I139" s="82"/>
    </row>
    <row r="140" spans="2:9" ht="15.75" customHeight="1" x14ac:dyDescent="0.3">
      <c r="B140" s="91"/>
      <c r="C140" s="92"/>
      <c r="D140" s="93"/>
      <c r="E140" s="92"/>
      <c r="F140" s="94"/>
      <c r="G140" s="41"/>
      <c r="H140" s="41"/>
      <c r="I140" s="70"/>
    </row>
    <row r="141" spans="2:9" ht="15.75" customHeight="1" x14ac:dyDescent="0.3">
      <c r="B141" s="91"/>
      <c r="C141" s="96"/>
      <c r="D141" s="95"/>
      <c r="E141" s="96"/>
      <c r="F141" s="97"/>
      <c r="G141" s="50"/>
      <c r="H141" s="50"/>
      <c r="I141" s="82"/>
    </row>
    <row r="142" spans="2:9" ht="15.75" customHeight="1" x14ac:dyDescent="0.3">
      <c r="B142" s="91"/>
      <c r="C142" s="92"/>
      <c r="D142" s="93"/>
      <c r="E142" s="92"/>
      <c r="F142" s="94"/>
      <c r="G142" s="41"/>
      <c r="H142" s="41"/>
      <c r="I142" s="70"/>
    </row>
    <row r="143" spans="2:9" ht="15.75" customHeight="1" x14ac:dyDescent="0.3">
      <c r="B143" s="91"/>
      <c r="C143" s="96"/>
      <c r="D143" s="95"/>
      <c r="E143" s="96"/>
      <c r="F143" s="97"/>
      <c r="G143" s="50"/>
      <c r="H143" s="50"/>
      <c r="I143" s="82"/>
    </row>
    <row r="144" spans="2:9" ht="15.75" customHeight="1" x14ac:dyDescent="0.3">
      <c r="B144" s="91"/>
      <c r="C144" s="92"/>
      <c r="D144" s="93"/>
      <c r="E144" s="92"/>
      <c r="F144" s="94"/>
      <c r="G144" s="41"/>
      <c r="H144" s="41"/>
      <c r="I144" s="70"/>
    </row>
    <row r="145" spans="2:9" ht="15.75" customHeight="1" x14ac:dyDescent="0.3">
      <c r="B145" s="91"/>
      <c r="C145" s="96"/>
      <c r="D145" s="95"/>
      <c r="E145" s="96"/>
      <c r="F145" s="97"/>
      <c r="G145" s="50"/>
      <c r="H145" s="50"/>
      <c r="I145" s="82"/>
    </row>
    <row r="146" spans="2:9" ht="15.75" customHeight="1" x14ac:dyDescent="0.3">
      <c r="B146" s="91"/>
      <c r="C146" s="92"/>
      <c r="D146" s="93"/>
      <c r="E146" s="92"/>
      <c r="F146" s="94"/>
      <c r="G146" s="41"/>
      <c r="H146" s="41"/>
      <c r="I146" s="70"/>
    </row>
    <row r="147" spans="2:9" ht="15.75" customHeight="1" x14ac:dyDescent="0.3">
      <c r="B147" s="91"/>
      <c r="C147" s="96"/>
      <c r="D147" s="95"/>
      <c r="E147" s="96"/>
      <c r="F147" s="97"/>
      <c r="G147" s="50"/>
      <c r="H147" s="50"/>
      <c r="I147" s="82"/>
    </row>
    <row r="148" spans="2:9" ht="15.75" customHeight="1" x14ac:dyDescent="0.3">
      <c r="B148" s="91"/>
      <c r="C148" s="92"/>
      <c r="D148" s="93"/>
      <c r="E148" s="92"/>
      <c r="F148" s="94"/>
      <c r="G148" s="41"/>
      <c r="H148" s="41"/>
      <c r="I148" s="70"/>
    </row>
    <row r="149" spans="2:9" ht="15.75" customHeight="1" x14ac:dyDescent="0.3">
      <c r="B149" s="91"/>
      <c r="C149" s="96"/>
      <c r="D149" s="95"/>
      <c r="E149" s="96"/>
      <c r="F149" s="97"/>
      <c r="G149" s="50"/>
      <c r="H149" s="50"/>
      <c r="I149" s="82"/>
    </row>
    <row r="150" spans="2:9" ht="15.75" customHeight="1" x14ac:dyDescent="0.3">
      <c r="B150" s="91"/>
      <c r="C150" s="92"/>
      <c r="D150" s="93"/>
      <c r="E150" s="92"/>
      <c r="F150" s="94"/>
      <c r="G150" s="41"/>
      <c r="H150" s="41"/>
      <c r="I150" s="70"/>
    </row>
    <row r="151" spans="2:9" ht="15.75" customHeight="1" x14ac:dyDescent="0.3">
      <c r="B151" s="91"/>
      <c r="C151" s="96"/>
      <c r="D151" s="95"/>
      <c r="E151" s="96"/>
      <c r="F151" s="97"/>
      <c r="G151" s="50"/>
      <c r="H151" s="50"/>
      <c r="I151" s="82"/>
    </row>
    <row r="152" spans="2:9" ht="15.75" customHeight="1" x14ac:dyDescent="0.3">
      <c r="B152" s="91"/>
      <c r="C152" s="92"/>
      <c r="D152" s="93"/>
      <c r="E152" s="92"/>
      <c r="F152" s="94"/>
      <c r="G152" s="41"/>
      <c r="H152" s="41"/>
      <c r="I152" s="70"/>
    </row>
    <row r="153" spans="2:9" ht="15.75" customHeight="1" x14ac:dyDescent="0.3">
      <c r="B153" s="91"/>
      <c r="C153" s="96"/>
      <c r="D153" s="95"/>
      <c r="E153" s="96"/>
      <c r="F153" s="97"/>
      <c r="G153" s="50"/>
      <c r="H153" s="50"/>
      <c r="I153" s="82"/>
    </row>
    <row r="154" spans="2:9" ht="15.75" customHeight="1" x14ac:dyDescent="0.3">
      <c r="B154" s="91"/>
      <c r="C154" s="92"/>
      <c r="D154" s="93"/>
      <c r="E154" s="92"/>
      <c r="F154" s="94"/>
      <c r="G154" s="41"/>
      <c r="H154" s="41"/>
      <c r="I154" s="70"/>
    </row>
    <row r="155" spans="2:9" ht="15.75" customHeight="1" x14ac:dyDescent="0.3">
      <c r="B155" s="91"/>
      <c r="C155" s="96"/>
      <c r="D155" s="95"/>
      <c r="E155" s="96"/>
      <c r="F155" s="97"/>
      <c r="G155" s="50"/>
      <c r="H155" s="50"/>
      <c r="I155" s="82"/>
    </row>
    <row r="156" spans="2:9" ht="15.75" customHeight="1" x14ac:dyDescent="0.3">
      <c r="B156" s="91"/>
      <c r="C156" s="92"/>
      <c r="D156" s="93"/>
      <c r="E156" s="92"/>
      <c r="F156" s="94"/>
      <c r="G156" s="41"/>
      <c r="H156" s="41"/>
      <c r="I156" s="70"/>
    </row>
    <row r="157" spans="2:9" ht="15.75" customHeight="1" x14ac:dyDescent="0.3">
      <c r="B157" s="91"/>
      <c r="C157" s="96"/>
      <c r="D157" s="95"/>
      <c r="E157" s="96"/>
      <c r="F157" s="97"/>
      <c r="G157" s="50"/>
      <c r="H157" s="50"/>
      <c r="I157" s="82"/>
    </row>
    <row r="158" spans="2:9" ht="15.75" customHeight="1" x14ac:dyDescent="0.3">
      <c r="B158" s="91"/>
      <c r="C158" s="92"/>
      <c r="D158" s="93"/>
      <c r="E158" s="92"/>
      <c r="F158" s="94"/>
      <c r="G158" s="41"/>
      <c r="H158" s="41"/>
      <c r="I158" s="70"/>
    </row>
    <row r="159" spans="2:9" ht="15.75" customHeight="1" x14ac:dyDescent="0.3">
      <c r="B159" s="91"/>
      <c r="C159" s="96"/>
      <c r="D159" s="95"/>
      <c r="E159" s="96"/>
      <c r="F159" s="97"/>
      <c r="G159" s="50"/>
      <c r="H159" s="50"/>
      <c r="I159" s="82"/>
    </row>
    <row r="160" spans="2:9" ht="15.75" customHeight="1" x14ac:dyDescent="0.3">
      <c r="B160" s="91"/>
      <c r="C160" s="92"/>
      <c r="D160" s="93"/>
      <c r="E160" s="92"/>
      <c r="F160" s="94"/>
      <c r="G160" s="41"/>
      <c r="H160" s="41"/>
      <c r="I160" s="70"/>
    </row>
    <row r="161" spans="2:9" ht="15.75" customHeight="1" x14ac:dyDescent="0.3">
      <c r="B161" s="91"/>
      <c r="C161" s="96"/>
      <c r="D161" s="95"/>
      <c r="E161" s="96"/>
      <c r="F161" s="97"/>
      <c r="G161" s="50"/>
      <c r="H161" s="50"/>
      <c r="I161" s="82"/>
    </row>
    <row r="162" spans="2:9" ht="15.75" customHeight="1" x14ac:dyDescent="0.3">
      <c r="B162" s="91"/>
      <c r="C162" s="92"/>
      <c r="D162" s="93"/>
      <c r="E162" s="92"/>
      <c r="F162" s="94"/>
      <c r="G162" s="41"/>
      <c r="H162" s="41"/>
      <c r="I162" s="70"/>
    </row>
    <row r="163" spans="2:9" ht="15.75" customHeight="1" x14ac:dyDescent="0.3">
      <c r="B163" s="91"/>
      <c r="C163" s="96"/>
      <c r="D163" s="95"/>
      <c r="E163" s="96"/>
      <c r="F163" s="97"/>
      <c r="G163" s="50"/>
      <c r="H163" s="50"/>
      <c r="I163" s="82"/>
    </row>
    <row r="164" spans="2:9" ht="15.75" customHeight="1" x14ac:dyDescent="0.3">
      <c r="B164" s="91"/>
      <c r="C164" s="92"/>
      <c r="D164" s="93"/>
      <c r="E164" s="92"/>
      <c r="F164" s="94"/>
      <c r="G164" s="41"/>
      <c r="H164" s="41"/>
      <c r="I164" s="70"/>
    </row>
    <row r="165" spans="2:9" ht="15.75" customHeight="1" x14ac:dyDescent="0.3">
      <c r="B165" s="91"/>
      <c r="C165" s="96"/>
      <c r="D165" s="95"/>
      <c r="E165" s="96"/>
      <c r="F165" s="97"/>
      <c r="G165" s="50"/>
      <c r="H165" s="50"/>
      <c r="I165" s="82"/>
    </row>
    <row r="166" spans="2:9" ht="15.75" customHeight="1" x14ac:dyDescent="0.3">
      <c r="B166" s="91"/>
      <c r="C166" s="92"/>
      <c r="D166" s="93"/>
      <c r="E166" s="92"/>
      <c r="F166" s="94"/>
      <c r="G166" s="41"/>
      <c r="H166" s="41"/>
      <c r="I166" s="70"/>
    </row>
    <row r="167" spans="2:9" ht="15.75" customHeight="1" x14ac:dyDescent="0.3">
      <c r="B167" s="91"/>
      <c r="C167" s="96"/>
      <c r="D167" s="95"/>
      <c r="E167" s="96"/>
      <c r="F167" s="97"/>
      <c r="G167" s="50"/>
      <c r="H167" s="50"/>
      <c r="I167" s="82"/>
    </row>
    <row r="168" spans="2:9" ht="15.75" customHeight="1" x14ac:dyDescent="0.3">
      <c r="B168" s="91"/>
      <c r="C168" s="92"/>
      <c r="D168" s="93"/>
      <c r="E168" s="92"/>
      <c r="F168" s="94"/>
      <c r="G168" s="41"/>
      <c r="H168" s="41"/>
      <c r="I168" s="70"/>
    </row>
    <row r="169" spans="2:9" ht="15.75" customHeight="1" x14ac:dyDescent="0.3">
      <c r="B169" s="91"/>
      <c r="C169" s="96"/>
      <c r="D169" s="95"/>
      <c r="E169" s="96"/>
      <c r="F169" s="97"/>
      <c r="G169" s="50"/>
      <c r="H169" s="50"/>
      <c r="I169" s="82"/>
    </row>
    <row r="170" spans="2:9" ht="15.75" customHeight="1" x14ac:dyDescent="0.3">
      <c r="B170" s="91"/>
      <c r="C170" s="92"/>
      <c r="D170" s="93"/>
      <c r="E170" s="92"/>
      <c r="F170" s="94"/>
      <c r="G170" s="41"/>
      <c r="H170" s="41"/>
      <c r="I170" s="70"/>
    </row>
    <row r="171" spans="2:9" ht="15.75" customHeight="1" x14ac:dyDescent="0.3">
      <c r="B171" s="91"/>
      <c r="C171" s="96"/>
      <c r="D171" s="95"/>
      <c r="E171" s="96"/>
      <c r="F171" s="97"/>
      <c r="G171" s="50"/>
      <c r="H171" s="50"/>
      <c r="I171" s="82"/>
    </row>
    <row r="172" spans="2:9" ht="15.75" customHeight="1" x14ac:dyDescent="0.3">
      <c r="B172" s="91"/>
      <c r="C172" s="92"/>
      <c r="D172" s="93"/>
      <c r="E172" s="92"/>
      <c r="F172" s="94"/>
      <c r="G172" s="41"/>
      <c r="H172" s="41"/>
      <c r="I172" s="70"/>
    </row>
    <row r="173" spans="2:9" ht="15.75" customHeight="1" x14ac:dyDescent="0.3">
      <c r="B173" s="91"/>
      <c r="C173" s="96"/>
      <c r="D173" s="95"/>
      <c r="E173" s="96"/>
      <c r="F173" s="97"/>
      <c r="G173" s="50"/>
      <c r="H173" s="50"/>
      <c r="I173" s="82"/>
    </row>
    <row r="174" spans="2:9" ht="15.75" customHeight="1" x14ac:dyDescent="0.3">
      <c r="B174" s="91"/>
      <c r="C174" s="92"/>
      <c r="D174" s="93"/>
      <c r="E174" s="92"/>
      <c r="F174" s="94"/>
      <c r="G174" s="41"/>
      <c r="H174" s="41"/>
      <c r="I174" s="70"/>
    </row>
    <row r="175" spans="2:9" ht="15.75" customHeight="1" x14ac:dyDescent="0.3">
      <c r="B175" s="91"/>
      <c r="C175" s="96"/>
      <c r="D175" s="95"/>
      <c r="E175" s="96"/>
      <c r="F175" s="97"/>
      <c r="G175" s="50"/>
      <c r="H175" s="50"/>
      <c r="I175" s="82"/>
    </row>
    <row r="176" spans="2:9" ht="15.75" customHeight="1" x14ac:dyDescent="0.3">
      <c r="B176" s="91"/>
      <c r="C176" s="92"/>
      <c r="D176" s="93"/>
      <c r="E176" s="92"/>
      <c r="F176" s="94"/>
      <c r="G176" s="41"/>
      <c r="H176" s="41"/>
      <c r="I176" s="70"/>
    </row>
    <row r="177" spans="2:9" ht="15.75" customHeight="1" x14ac:dyDescent="0.3">
      <c r="B177" s="91"/>
      <c r="C177" s="96"/>
      <c r="D177" s="95"/>
      <c r="E177" s="96"/>
      <c r="F177" s="97"/>
      <c r="G177" s="50"/>
      <c r="H177" s="50"/>
      <c r="I177" s="82"/>
    </row>
    <row r="178" spans="2:9" ht="15.75" customHeight="1" x14ac:dyDescent="0.3">
      <c r="B178" s="91"/>
      <c r="C178" s="92"/>
      <c r="D178" s="93"/>
      <c r="E178" s="92"/>
      <c r="F178" s="94"/>
      <c r="G178" s="41"/>
      <c r="H178" s="41"/>
      <c r="I178" s="70"/>
    </row>
    <row r="179" spans="2:9" ht="15.75" customHeight="1" x14ac:dyDescent="0.3">
      <c r="B179" s="91"/>
      <c r="C179" s="96"/>
      <c r="D179" s="95"/>
      <c r="E179" s="96"/>
      <c r="F179" s="97"/>
      <c r="G179" s="50"/>
      <c r="H179" s="50"/>
      <c r="I179" s="82"/>
    </row>
    <row r="180" spans="2:9" ht="15.75" customHeight="1" x14ac:dyDescent="0.3">
      <c r="B180" s="91"/>
      <c r="C180" s="92"/>
      <c r="D180" s="93"/>
      <c r="E180" s="92"/>
      <c r="F180" s="94"/>
      <c r="G180" s="41"/>
      <c r="H180" s="41"/>
      <c r="I180" s="70"/>
    </row>
    <row r="181" spans="2:9" ht="15.75" customHeight="1" x14ac:dyDescent="0.3">
      <c r="B181" s="91"/>
      <c r="C181" s="96"/>
      <c r="D181" s="95"/>
      <c r="E181" s="96"/>
      <c r="F181" s="97"/>
      <c r="G181" s="50"/>
      <c r="H181" s="50"/>
      <c r="I181" s="82"/>
    </row>
    <row r="182" spans="2:9" ht="15.75" customHeight="1" x14ac:dyDescent="0.3">
      <c r="B182" s="91"/>
      <c r="C182" s="92"/>
      <c r="D182" s="93"/>
      <c r="E182" s="92"/>
      <c r="F182" s="94"/>
      <c r="G182" s="41"/>
      <c r="H182" s="41"/>
      <c r="I182" s="70"/>
    </row>
    <row r="183" spans="2:9" ht="15.75" customHeight="1" x14ac:dyDescent="0.3">
      <c r="B183" s="91"/>
      <c r="C183" s="96"/>
      <c r="D183" s="95"/>
      <c r="E183" s="96"/>
      <c r="F183" s="97"/>
      <c r="G183" s="50"/>
      <c r="H183" s="50"/>
      <c r="I183" s="82"/>
    </row>
    <row r="184" spans="2:9" ht="15.75" customHeight="1" x14ac:dyDescent="0.3">
      <c r="B184" s="91"/>
      <c r="C184" s="92"/>
      <c r="D184" s="93"/>
      <c r="E184" s="92"/>
      <c r="F184" s="94"/>
      <c r="G184" s="41"/>
      <c r="H184" s="41"/>
      <c r="I184" s="70"/>
    </row>
    <row r="185" spans="2:9" ht="15.75" customHeight="1" x14ac:dyDescent="0.3">
      <c r="B185" s="91"/>
      <c r="C185" s="96"/>
      <c r="D185" s="95"/>
      <c r="E185" s="96"/>
      <c r="F185" s="97"/>
      <c r="G185" s="50"/>
      <c r="H185" s="50"/>
      <c r="I185" s="82"/>
    </row>
    <row r="186" spans="2:9" ht="15.75" customHeight="1" x14ac:dyDescent="0.3">
      <c r="B186" s="91"/>
      <c r="C186" s="92"/>
      <c r="D186" s="93"/>
      <c r="E186" s="92"/>
      <c r="F186" s="94"/>
      <c r="G186" s="41"/>
      <c r="H186" s="41"/>
      <c r="I186" s="70"/>
    </row>
    <row r="187" spans="2:9" ht="15.75" customHeight="1" x14ac:dyDescent="0.3">
      <c r="B187" s="91"/>
      <c r="C187" s="96"/>
      <c r="D187" s="95"/>
      <c r="E187" s="96"/>
      <c r="F187" s="97"/>
      <c r="G187" s="50"/>
      <c r="H187" s="50"/>
      <c r="I187" s="82"/>
    </row>
    <row r="188" spans="2:9" ht="15.75" customHeight="1" x14ac:dyDescent="0.3">
      <c r="B188" s="91"/>
      <c r="C188" s="92"/>
      <c r="D188" s="93"/>
      <c r="E188" s="92"/>
      <c r="F188" s="94"/>
      <c r="G188" s="41"/>
      <c r="H188" s="41"/>
      <c r="I188" s="70"/>
    </row>
    <row r="189" spans="2:9" ht="15.75" customHeight="1" x14ac:dyDescent="0.3">
      <c r="B189" s="91"/>
      <c r="C189" s="96"/>
      <c r="D189" s="95"/>
      <c r="E189" s="96"/>
      <c r="F189" s="97"/>
      <c r="G189" s="50"/>
      <c r="H189" s="50"/>
      <c r="I189" s="82"/>
    </row>
    <row r="190" spans="2:9" ht="15.75" customHeight="1" x14ac:dyDescent="0.3">
      <c r="B190" s="91"/>
      <c r="C190" s="92"/>
      <c r="D190" s="93"/>
      <c r="E190" s="92"/>
      <c r="F190" s="94"/>
      <c r="G190" s="41"/>
      <c r="H190" s="41"/>
      <c r="I190" s="70"/>
    </row>
    <row r="191" spans="2:9" ht="15.75" customHeight="1" x14ac:dyDescent="0.3">
      <c r="B191" s="91"/>
      <c r="C191" s="96"/>
      <c r="D191" s="95"/>
      <c r="E191" s="96"/>
      <c r="F191" s="97"/>
      <c r="G191" s="50"/>
      <c r="H191" s="50"/>
      <c r="I191" s="82"/>
    </row>
    <row r="192" spans="2:9" ht="15.75" customHeight="1" x14ac:dyDescent="0.3">
      <c r="B192" s="91"/>
      <c r="C192" s="92"/>
      <c r="D192" s="93"/>
      <c r="E192" s="92"/>
      <c r="F192" s="94"/>
      <c r="G192" s="41"/>
      <c r="H192" s="41"/>
      <c r="I192" s="70"/>
    </row>
    <row r="193" spans="2:9" ht="15.75" customHeight="1" x14ac:dyDescent="0.3">
      <c r="B193" s="91"/>
      <c r="C193" s="96"/>
      <c r="D193" s="95"/>
      <c r="E193" s="96"/>
      <c r="F193" s="97"/>
      <c r="G193" s="50"/>
      <c r="H193" s="50"/>
      <c r="I193" s="82"/>
    </row>
    <row r="194" spans="2:9" ht="15.75" customHeight="1" x14ac:dyDescent="0.3">
      <c r="B194" s="91"/>
      <c r="C194" s="92"/>
      <c r="D194" s="93"/>
      <c r="E194" s="92"/>
      <c r="F194" s="94"/>
      <c r="G194" s="41"/>
      <c r="H194" s="41"/>
      <c r="I194" s="70"/>
    </row>
    <row r="195" spans="2:9" ht="15.75" customHeight="1" x14ac:dyDescent="0.3">
      <c r="B195" s="91"/>
      <c r="C195" s="96"/>
      <c r="D195" s="95"/>
      <c r="E195" s="96"/>
      <c r="F195" s="97"/>
      <c r="G195" s="50"/>
      <c r="H195" s="50"/>
      <c r="I195" s="82"/>
    </row>
    <row r="196" spans="2:9" ht="15.75" customHeight="1" x14ac:dyDescent="0.3">
      <c r="B196" s="91"/>
      <c r="C196" s="92"/>
      <c r="D196" s="93"/>
      <c r="E196" s="92"/>
      <c r="F196" s="94"/>
      <c r="G196" s="41"/>
      <c r="H196" s="41"/>
      <c r="I196" s="70"/>
    </row>
    <row r="197" spans="2:9" ht="15.75" customHeight="1" x14ac:dyDescent="0.3">
      <c r="B197" s="91"/>
      <c r="C197" s="96"/>
      <c r="D197" s="95"/>
      <c r="E197" s="96"/>
      <c r="F197" s="97"/>
      <c r="G197" s="50"/>
      <c r="H197" s="50"/>
      <c r="I197" s="82"/>
    </row>
    <row r="198" spans="2:9" ht="15.75" customHeight="1" x14ac:dyDescent="0.3">
      <c r="B198" s="91"/>
      <c r="C198" s="92"/>
      <c r="D198" s="93"/>
      <c r="E198" s="92"/>
      <c r="F198" s="94"/>
      <c r="G198" s="41"/>
      <c r="H198" s="41"/>
      <c r="I198" s="70"/>
    </row>
    <row r="199" spans="2:9" ht="15.75" customHeight="1" x14ac:dyDescent="0.3">
      <c r="B199" s="91"/>
      <c r="C199" s="96"/>
      <c r="D199" s="95"/>
      <c r="E199" s="96"/>
      <c r="F199" s="97"/>
      <c r="G199" s="50"/>
      <c r="H199" s="50"/>
      <c r="I199" s="82"/>
    </row>
    <row r="200" spans="2:9" ht="15.75" customHeight="1" x14ac:dyDescent="0.3">
      <c r="B200" s="91"/>
      <c r="C200" s="92"/>
      <c r="D200" s="93"/>
      <c r="E200" s="92"/>
      <c r="F200" s="94"/>
      <c r="G200" s="41"/>
      <c r="H200" s="41"/>
      <c r="I200" s="70"/>
    </row>
    <row r="201" spans="2:9" ht="15.75" customHeight="1" x14ac:dyDescent="0.3">
      <c r="B201" s="91"/>
      <c r="C201" s="96"/>
      <c r="D201" s="95"/>
      <c r="E201" s="96"/>
      <c r="F201" s="97"/>
      <c r="G201" s="50"/>
      <c r="H201" s="50"/>
      <c r="I201" s="82"/>
    </row>
    <row r="202" spans="2:9" ht="15.75" customHeight="1" x14ac:dyDescent="0.3">
      <c r="B202" s="91"/>
      <c r="C202" s="92"/>
      <c r="D202" s="93"/>
      <c r="E202" s="92"/>
      <c r="F202" s="94"/>
      <c r="G202" s="41"/>
      <c r="H202" s="41"/>
      <c r="I202" s="70"/>
    </row>
    <row r="203" spans="2:9" ht="15.75" customHeight="1" x14ac:dyDescent="0.3">
      <c r="B203" s="91"/>
      <c r="C203" s="96"/>
      <c r="D203" s="95"/>
      <c r="E203" s="96"/>
      <c r="F203" s="97"/>
      <c r="G203" s="50"/>
      <c r="H203" s="50"/>
      <c r="I203" s="82"/>
    </row>
    <row r="204" spans="2:9" ht="15.75" customHeight="1" x14ac:dyDescent="0.3">
      <c r="B204" s="91"/>
      <c r="C204" s="92"/>
      <c r="D204" s="93"/>
      <c r="E204" s="92"/>
      <c r="F204" s="94"/>
      <c r="G204" s="41"/>
      <c r="H204" s="41"/>
      <c r="I204" s="70"/>
    </row>
    <row r="205" spans="2:9" ht="15.75" customHeight="1" x14ac:dyDescent="0.3">
      <c r="B205" s="91"/>
      <c r="C205" s="96"/>
      <c r="D205" s="95"/>
      <c r="E205" s="96"/>
      <c r="F205" s="97"/>
      <c r="G205" s="50"/>
      <c r="H205" s="50"/>
      <c r="I205" s="82"/>
    </row>
    <row r="206" spans="2:9" ht="15.75" customHeight="1" x14ac:dyDescent="0.3">
      <c r="B206" s="91"/>
      <c r="C206" s="92"/>
      <c r="D206" s="93"/>
      <c r="E206" s="92"/>
      <c r="F206" s="94"/>
      <c r="G206" s="41"/>
      <c r="H206" s="41"/>
      <c r="I206" s="70"/>
    </row>
    <row r="207" spans="2:9" ht="15.75" customHeight="1" x14ac:dyDescent="0.3">
      <c r="B207" s="91"/>
      <c r="C207" s="96"/>
      <c r="D207" s="95"/>
      <c r="E207" s="96"/>
      <c r="F207" s="97"/>
      <c r="G207" s="50"/>
      <c r="H207" s="50"/>
      <c r="I207" s="82"/>
    </row>
    <row r="208" spans="2:9" ht="15.75" customHeight="1" x14ac:dyDescent="0.3">
      <c r="B208" s="91"/>
      <c r="C208" s="92"/>
      <c r="D208" s="93"/>
      <c r="E208" s="92"/>
      <c r="F208" s="94"/>
      <c r="G208" s="41"/>
      <c r="H208" s="41"/>
      <c r="I208" s="70"/>
    </row>
    <row r="209" spans="2:9" ht="15.75" customHeight="1" x14ac:dyDescent="0.3">
      <c r="B209" s="91"/>
      <c r="C209" s="96"/>
      <c r="D209" s="95"/>
      <c r="E209" s="96"/>
      <c r="F209" s="97"/>
      <c r="G209" s="50"/>
      <c r="H209" s="50"/>
      <c r="I209" s="82"/>
    </row>
    <row r="210" spans="2:9" ht="15.75" customHeight="1" x14ac:dyDescent="0.3">
      <c r="B210" s="91"/>
      <c r="C210" s="92"/>
      <c r="D210" s="93"/>
      <c r="E210" s="92"/>
      <c r="F210" s="94"/>
      <c r="G210" s="41"/>
      <c r="H210" s="41"/>
      <c r="I210" s="70"/>
    </row>
    <row r="211" spans="2:9" ht="15.75" customHeight="1" x14ac:dyDescent="0.3">
      <c r="B211" s="91"/>
      <c r="C211" s="96"/>
      <c r="D211" s="95"/>
      <c r="E211" s="96"/>
      <c r="F211" s="97"/>
      <c r="G211" s="50"/>
      <c r="H211" s="50"/>
      <c r="I211" s="82"/>
    </row>
    <row r="212" spans="2:9" ht="15.75" customHeight="1" x14ac:dyDescent="0.3">
      <c r="B212" s="91"/>
      <c r="C212" s="92"/>
      <c r="D212" s="93"/>
      <c r="E212" s="92"/>
      <c r="F212" s="94"/>
      <c r="G212" s="41"/>
      <c r="H212" s="41"/>
      <c r="I212" s="70"/>
    </row>
    <row r="213" spans="2:9" ht="15.75" customHeight="1" x14ac:dyDescent="0.3">
      <c r="B213" s="91"/>
      <c r="C213" s="96"/>
      <c r="D213" s="95"/>
      <c r="E213" s="96"/>
      <c r="F213" s="97"/>
      <c r="G213" s="50"/>
      <c r="H213" s="50"/>
      <c r="I213" s="82"/>
    </row>
    <row r="214" spans="2:9" ht="15.75" customHeight="1" x14ac:dyDescent="0.3">
      <c r="B214" s="91"/>
      <c r="C214" s="92"/>
      <c r="D214" s="93"/>
      <c r="E214" s="92"/>
      <c r="F214" s="94"/>
      <c r="G214" s="41"/>
      <c r="H214" s="41"/>
      <c r="I214" s="70"/>
    </row>
    <row r="215" spans="2:9" ht="15.75" customHeight="1" x14ac:dyDescent="0.3">
      <c r="B215" s="91"/>
      <c r="C215" s="96"/>
      <c r="D215" s="95"/>
      <c r="E215" s="96"/>
      <c r="F215" s="97"/>
      <c r="G215" s="50"/>
      <c r="H215" s="50"/>
      <c r="I215" s="82"/>
    </row>
    <row r="216" spans="2:9" ht="15.75" customHeight="1" x14ac:dyDescent="0.3">
      <c r="B216" s="91"/>
      <c r="C216" s="92"/>
      <c r="D216" s="93"/>
      <c r="E216" s="92"/>
      <c r="F216" s="94"/>
      <c r="G216" s="41"/>
      <c r="H216" s="41"/>
      <c r="I216" s="70"/>
    </row>
    <row r="217" spans="2:9" ht="15.75" customHeight="1" x14ac:dyDescent="0.3">
      <c r="B217" s="91"/>
      <c r="C217" s="96"/>
      <c r="D217" s="95"/>
      <c r="E217" s="96"/>
      <c r="F217" s="97"/>
      <c r="G217" s="50"/>
      <c r="H217" s="50"/>
      <c r="I217" s="82"/>
    </row>
    <row r="218" spans="2:9" ht="15.75" customHeight="1" x14ac:dyDescent="0.3">
      <c r="B218" s="91"/>
      <c r="C218" s="92"/>
      <c r="D218" s="93"/>
      <c r="E218" s="92"/>
      <c r="F218" s="94"/>
      <c r="G218" s="41"/>
      <c r="H218" s="41"/>
      <c r="I218" s="70"/>
    </row>
    <row r="219" spans="2:9" ht="15.75" customHeight="1" x14ac:dyDescent="0.3">
      <c r="B219" s="91"/>
      <c r="C219" s="96"/>
      <c r="D219" s="95"/>
      <c r="E219" s="96"/>
      <c r="F219" s="97"/>
      <c r="G219" s="50"/>
      <c r="H219" s="50"/>
      <c r="I219" s="82"/>
    </row>
    <row r="220" spans="2:9" ht="15.75" customHeight="1" x14ac:dyDescent="0.3">
      <c r="B220" s="91"/>
      <c r="C220" s="92"/>
      <c r="D220" s="93"/>
      <c r="E220" s="92"/>
      <c r="F220" s="94"/>
      <c r="G220" s="41"/>
      <c r="H220" s="41"/>
      <c r="I220" s="70"/>
    </row>
    <row r="221" spans="2:9" ht="15.75" customHeight="1" x14ac:dyDescent="0.3">
      <c r="B221" s="91"/>
      <c r="C221" s="96"/>
      <c r="D221" s="95"/>
      <c r="E221" s="96"/>
      <c r="F221" s="97"/>
      <c r="G221" s="50"/>
      <c r="H221" s="50"/>
      <c r="I221" s="82"/>
    </row>
    <row r="222" spans="2:9" ht="15.75" customHeight="1" x14ac:dyDescent="0.3">
      <c r="B222" s="91"/>
      <c r="C222" s="92"/>
      <c r="D222" s="93"/>
      <c r="E222" s="92"/>
      <c r="F222" s="94"/>
      <c r="G222" s="41"/>
      <c r="H222" s="41"/>
      <c r="I222" s="70"/>
    </row>
    <row r="223" spans="2:9" ht="15.75" customHeight="1" x14ac:dyDescent="0.3">
      <c r="B223" s="91"/>
      <c r="C223" s="96"/>
      <c r="D223" s="95"/>
      <c r="E223" s="96"/>
      <c r="F223" s="97"/>
      <c r="G223" s="50"/>
      <c r="H223" s="50"/>
      <c r="I223" s="82"/>
    </row>
    <row r="224" spans="2:9" ht="15.75" customHeight="1" x14ac:dyDescent="0.3">
      <c r="B224" s="91"/>
      <c r="C224" s="92"/>
      <c r="D224" s="93"/>
      <c r="E224" s="92"/>
      <c r="F224" s="94"/>
      <c r="G224" s="41"/>
      <c r="H224" s="41"/>
      <c r="I224" s="70"/>
    </row>
    <row r="225" spans="2:9" ht="15.75" customHeight="1" x14ac:dyDescent="0.3">
      <c r="B225" s="91"/>
      <c r="C225" s="96"/>
      <c r="D225" s="95"/>
      <c r="E225" s="96"/>
      <c r="F225" s="97"/>
      <c r="G225" s="50"/>
      <c r="H225" s="50"/>
      <c r="I225" s="82"/>
    </row>
    <row r="226" spans="2:9" ht="15.75" customHeight="1" x14ac:dyDescent="0.3">
      <c r="B226" s="91"/>
      <c r="C226" s="92"/>
      <c r="D226" s="93"/>
      <c r="E226" s="92"/>
      <c r="F226" s="94"/>
      <c r="G226" s="41"/>
      <c r="H226" s="41"/>
      <c r="I226" s="70"/>
    </row>
    <row r="227" spans="2:9" ht="15.75" customHeight="1" x14ac:dyDescent="0.3">
      <c r="B227" s="91"/>
      <c r="C227" s="96"/>
      <c r="D227" s="95"/>
      <c r="E227" s="96"/>
      <c r="F227" s="97"/>
      <c r="G227" s="50"/>
      <c r="H227" s="50"/>
      <c r="I227" s="82"/>
    </row>
    <row r="228" spans="2:9" ht="15.75" customHeight="1" x14ac:dyDescent="0.3">
      <c r="B228" s="91"/>
      <c r="C228" s="92"/>
      <c r="D228" s="93"/>
      <c r="E228" s="92"/>
      <c r="F228" s="94"/>
      <c r="G228" s="41"/>
      <c r="H228" s="41"/>
      <c r="I228" s="70"/>
    </row>
    <row r="229" spans="2:9" ht="15.75" customHeight="1" x14ac:dyDescent="0.3">
      <c r="B229" s="91"/>
      <c r="C229" s="96"/>
      <c r="D229" s="95"/>
      <c r="E229" s="96"/>
      <c r="F229" s="97"/>
      <c r="G229" s="50"/>
      <c r="H229" s="50"/>
      <c r="I229" s="82"/>
    </row>
    <row r="230" spans="2:9" ht="15.75" customHeight="1" x14ac:dyDescent="0.3">
      <c r="B230" s="91"/>
      <c r="C230" s="92"/>
      <c r="D230" s="93"/>
      <c r="E230" s="92"/>
      <c r="F230" s="94"/>
      <c r="G230" s="41"/>
      <c r="H230" s="41"/>
      <c r="I230" s="70"/>
    </row>
    <row r="231" spans="2:9" ht="15.75" customHeight="1" x14ac:dyDescent="0.3">
      <c r="B231" s="91"/>
      <c r="C231" s="96"/>
      <c r="D231" s="95"/>
      <c r="E231" s="96"/>
      <c r="F231" s="97"/>
      <c r="G231" s="50"/>
      <c r="H231" s="50"/>
      <c r="I231" s="82"/>
    </row>
    <row r="232" spans="2:9" ht="15.75" customHeight="1" x14ac:dyDescent="0.3">
      <c r="B232" s="91"/>
      <c r="C232" s="92"/>
      <c r="D232" s="93"/>
      <c r="E232" s="92"/>
      <c r="F232" s="94"/>
      <c r="G232" s="41"/>
      <c r="H232" s="41"/>
      <c r="I232" s="70"/>
    </row>
    <row r="233" spans="2:9" ht="15.75" customHeight="1" x14ac:dyDescent="0.3">
      <c r="B233" s="91"/>
      <c r="C233" s="96"/>
      <c r="D233" s="95"/>
      <c r="E233" s="96"/>
      <c r="F233" s="97"/>
      <c r="G233" s="50"/>
      <c r="H233" s="50"/>
      <c r="I233" s="82"/>
    </row>
    <row r="234" spans="2:9" ht="15.75" customHeight="1" x14ac:dyDescent="0.3">
      <c r="B234" s="91"/>
      <c r="C234" s="92"/>
      <c r="D234" s="93"/>
      <c r="E234" s="92"/>
      <c r="F234" s="94"/>
      <c r="G234" s="41"/>
      <c r="H234" s="41"/>
      <c r="I234" s="70"/>
    </row>
    <row r="235" spans="2:9" ht="15.75" customHeight="1" x14ac:dyDescent="0.3">
      <c r="B235" s="91"/>
      <c r="C235" s="96"/>
      <c r="D235" s="95"/>
      <c r="E235" s="96"/>
      <c r="F235" s="97"/>
      <c r="G235" s="50"/>
      <c r="H235" s="50"/>
      <c r="I235" s="82"/>
    </row>
    <row r="236" spans="2:9" ht="15.75" customHeight="1" x14ac:dyDescent="0.3">
      <c r="B236" s="91"/>
      <c r="C236" s="92"/>
      <c r="D236" s="93"/>
      <c r="E236" s="92"/>
      <c r="F236" s="94"/>
      <c r="G236" s="41"/>
      <c r="H236" s="41"/>
      <c r="I236" s="70"/>
    </row>
    <row r="237" spans="2:9" ht="15.75" customHeight="1" x14ac:dyDescent="0.3">
      <c r="B237" s="91"/>
      <c r="C237" s="96"/>
      <c r="D237" s="95"/>
      <c r="E237" s="96"/>
      <c r="F237" s="97"/>
      <c r="G237" s="50"/>
      <c r="H237" s="50"/>
      <c r="I237" s="82"/>
    </row>
    <row r="238" spans="2:9" ht="15.75" customHeight="1" x14ac:dyDescent="0.3">
      <c r="B238" s="91"/>
      <c r="C238" s="92"/>
      <c r="D238" s="93"/>
      <c r="E238" s="92"/>
      <c r="F238" s="94"/>
      <c r="G238" s="41"/>
      <c r="H238" s="41"/>
      <c r="I238" s="70"/>
    </row>
    <row r="239" spans="2:9" ht="15.75" customHeight="1" x14ac:dyDescent="0.3">
      <c r="B239" s="91"/>
      <c r="C239" s="96"/>
      <c r="D239" s="95"/>
      <c r="E239" s="96"/>
      <c r="F239" s="97"/>
      <c r="G239" s="50"/>
      <c r="H239" s="50"/>
      <c r="I239" s="82"/>
    </row>
    <row r="240" spans="2:9" ht="15.75" customHeight="1" x14ac:dyDescent="0.3">
      <c r="B240" s="91"/>
      <c r="C240" s="92"/>
      <c r="D240" s="93"/>
      <c r="E240" s="92"/>
      <c r="F240" s="94"/>
      <c r="G240" s="41"/>
      <c r="H240" s="41"/>
      <c r="I240" s="70"/>
    </row>
    <row r="241" spans="2:9" ht="15.75" customHeight="1" x14ac:dyDescent="0.3">
      <c r="B241" s="91"/>
      <c r="C241" s="96"/>
      <c r="D241" s="95"/>
      <c r="E241" s="96"/>
      <c r="F241" s="97"/>
      <c r="G241" s="50"/>
      <c r="H241" s="50"/>
      <c r="I241" s="82"/>
    </row>
    <row r="242" spans="2:9" ht="15.75" customHeight="1" x14ac:dyDescent="0.3">
      <c r="B242" s="91"/>
      <c r="C242" s="92"/>
      <c r="D242" s="93"/>
      <c r="E242" s="92"/>
      <c r="F242" s="94"/>
      <c r="G242" s="41"/>
      <c r="H242" s="41"/>
      <c r="I242" s="70"/>
    </row>
    <row r="243" spans="2:9" ht="15.75" customHeight="1" x14ac:dyDescent="0.3">
      <c r="B243" s="91"/>
      <c r="C243" s="96"/>
      <c r="D243" s="95"/>
      <c r="E243" s="96"/>
      <c r="F243" s="97"/>
      <c r="G243" s="50"/>
      <c r="H243" s="50"/>
      <c r="I243" s="82"/>
    </row>
    <row r="244" spans="2:9" ht="15.75" customHeight="1" x14ac:dyDescent="0.3">
      <c r="B244" s="91"/>
      <c r="C244" s="92"/>
      <c r="D244" s="93"/>
      <c r="E244" s="92"/>
      <c r="F244" s="94"/>
      <c r="G244" s="41"/>
      <c r="H244" s="41"/>
      <c r="I244" s="70"/>
    </row>
    <row r="245" spans="2:9" ht="15.75" customHeight="1" x14ac:dyDescent="0.3">
      <c r="B245" s="91"/>
      <c r="C245" s="96"/>
      <c r="D245" s="95"/>
      <c r="E245" s="96"/>
      <c r="F245" s="97"/>
      <c r="G245" s="50"/>
      <c r="H245" s="50"/>
      <c r="I245" s="82"/>
    </row>
    <row r="246" spans="2:9" ht="15.75" customHeight="1" x14ac:dyDescent="0.3">
      <c r="B246" s="91"/>
      <c r="C246" s="92"/>
      <c r="D246" s="93"/>
      <c r="E246" s="92"/>
      <c r="F246" s="94"/>
      <c r="G246" s="41"/>
      <c r="H246" s="41"/>
      <c r="I246" s="70"/>
    </row>
    <row r="247" spans="2:9" ht="15.75" customHeight="1" x14ac:dyDescent="0.3">
      <c r="B247" s="91"/>
      <c r="C247" s="96"/>
      <c r="D247" s="95"/>
      <c r="E247" s="96"/>
      <c r="F247" s="97"/>
      <c r="G247" s="50"/>
      <c r="H247" s="50"/>
      <c r="I247" s="82"/>
    </row>
    <row r="248" spans="2:9" ht="15.75" customHeight="1" x14ac:dyDescent="0.3">
      <c r="B248" s="91"/>
      <c r="C248" s="92"/>
      <c r="D248" s="93"/>
      <c r="E248" s="92"/>
      <c r="F248" s="94"/>
      <c r="G248" s="41"/>
      <c r="H248" s="41"/>
      <c r="I248" s="70"/>
    </row>
    <row r="249" spans="2:9" ht="15.75" customHeight="1" x14ac:dyDescent="0.3">
      <c r="B249" s="91"/>
      <c r="C249" s="96"/>
      <c r="D249" s="95"/>
      <c r="E249" s="96"/>
      <c r="F249" s="97"/>
      <c r="G249" s="50"/>
      <c r="H249" s="50"/>
      <c r="I249" s="82"/>
    </row>
    <row r="250" spans="2:9" ht="15.75" customHeight="1" x14ac:dyDescent="0.3">
      <c r="B250" s="91"/>
      <c r="C250" s="92"/>
      <c r="D250" s="93"/>
      <c r="E250" s="92"/>
      <c r="F250" s="94"/>
      <c r="G250" s="41"/>
      <c r="H250" s="41"/>
      <c r="I250" s="70"/>
    </row>
    <row r="251" spans="2:9" ht="15.75" customHeight="1" x14ac:dyDescent="0.3">
      <c r="B251" s="91"/>
      <c r="C251" s="96"/>
      <c r="D251" s="95"/>
      <c r="E251" s="96"/>
      <c r="F251" s="97"/>
      <c r="G251" s="50"/>
      <c r="H251" s="50"/>
      <c r="I251" s="82"/>
    </row>
    <row r="252" spans="2:9" ht="15.75" customHeight="1" x14ac:dyDescent="0.3">
      <c r="B252" s="91"/>
      <c r="C252" s="92"/>
      <c r="D252" s="93"/>
      <c r="E252" s="92"/>
      <c r="F252" s="94"/>
      <c r="G252" s="41"/>
      <c r="H252" s="41"/>
      <c r="I252" s="70"/>
    </row>
    <row r="253" spans="2:9" ht="15.75" customHeight="1" x14ac:dyDescent="0.3">
      <c r="B253" s="91"/>
      <c r="C253" s="96"/>
      <c r="D253" s="95"/>
      <c r="E253" s="96"/>
      <c r="F253" s="97"/>
      <c r="G253" s="50"/>
      <c r="H253" s="50"/>
      <c r="I253" s="82"/>
    </row>
    <row r="254" spans="2:9" ht="15.75" customHeight="1" x14ac:dyDescent="0.3">
      <c r="B254" s="91"/>
      <c r="C254" s="92"/>
      <c r="D254" s="93"/>
      <c r="E254" s="92"/>
      <c r="F254" s="94"/>
      <c r="G254" s="41"/>
      <c r="H254" s="41"/>
      <c r="I254" s="70"/>
    </row>
    <row r="255" spans="2:9" ht="15.75" customHeight="1" x14ac:dyDescent="0.3">
      <c r="B255" s="91"/>
      <c r="C255" s="96"/>
      <c r="D255" s="95"/>
      <c r="E255" s="96"/>
      <c r="F255" s="97"/>
      <c r="G255" s="50"/>
      <c r="H255" s="50"/>
      <c r="I255" s="82"/>
    </row>
    <row r="256" spans="2:9" ht="15.75" customHeight="1" x14ac:dyDescent="0.3">
      <c r="B256" s="91"/>
      <c r="C256" s="92"/>
      <c r="D256" s="93"/>
      <c r="E256" s="92"/>
      <c r="F256" s="94"/>
      <c r="G256" s="41"/>
      <c r="H256" s="41"/>
      <c r="I256" s="70"/>
    </row>
    <row r="257" spans="2:9" ht="15.75" customHeight="1" x14ac:dyDescent="0.3">
      <c r="B257" s="91"/>
      <c r="C257" s="96"/>
      <c r="D257" s="95"/>
      <c r="E257" s="96"/>
      <c r="F257" s="97"/>
      <c r="G257" s="50"/>
      <c r="H257" s="50"/>
      <c r="I257" s="82"/>
    </row>
    <row r="258" spans="2:9" ht="15.75" customHeight="1" x14ac:dyDescent="0.3">
      <c r="B258" s="91"/>
      <c r="C258" s="92"/>
      <c r="D258" s="93"/>
      <c r="E258" s="92"/>
      <c r="F258" s="94"/>
      <c r="G258" s="41"/>
      <c r="H258" s="41"/>
      <c r="I258" s="70"/>
    </row>
    <row r="259" spans="2:9" ht="15.75" customHeight="1" x14ac:dyDescent="0.3">
      <c r="B259" s="91"/>
      <c r="C259" s="96"/>
      <c r="D259" s="95"/>
      <c r="E259" s="96"/>
      <c r="F259" s="97"/>
      <c r="G259" s="50"/>
      <c r="H259" s="50"/>
      <c r="I259" s="82"/>
    </row>
    <row r="260" spans="2:9" ht="15.75" customHeight="1" x14ac:dyDescent="0.3">
      <c r="B260" s="91"/>
      <c r="C260" s="92"/>
      <c r="D260" s="93"/>
      <c r="E260" s="92"/>
      <c r="F260" s="94"/>
      <c r="G260" s="41"/>
      <c r="H260" s="41"/>
      <c r="I260" s="70"/>
    </row>
    <row r="261" spans="2:9" ht="15.75" customHeight="1" x14ac:dyDescent="0.3">
      <c r="B261" s="91"/>
      <c r="C261" s="96"/>
      <c r="D261" s="95"/>
      <c r="E261" s="96"/>
      <c r="F261" s="97"/>
      <c r="G261" s="50"/>
      <c r="H261" s="50"/>
      <c r="I261" s="82"/>
    </row>
    <row r="262" spans="2:9" ht="15.75" customHeight="1" x14ac:dyDescent="0.3">
      <c r="B262" s="91"/>
      <c r="C262" s="92"/>
      <c r="D262" s="93"/>
      <c r="E262" s="92"/>
      <c r="F262" s="94"/>
      <c r="G262" s="41"/>
      <c r="H262" s="41"/>
      <c r="I262" s="70"/>
    </row>
    <row r="263" spans="2:9" ht="15.75" customHeight="1" x14ac:dyDescent="0.3">
      <c r="B263" s="91"/>
      <c r="C263" s="96"/>
      <c r="D263" s="95"/>
      <c r="E263" s="96"/>
      <c r="F263" s="97"/>
      <c r="G263" s="50"/>
      <c r="H263" s="50"/>
      <c r="I263" s="82"/>
    </row>
    <row r="264" spans="2:9" ht="15.75" customHeight="1" x14ac:dyDescent="0.3">
      <c r="B264" s="91"/>
      <c r="C264" s="92"/>
      <c r="D264" s="93"/>
      <c r="E264" s="92"/>
      <c r="F264" s="94"/>
      <c r="G264" s="41"/>
      <c r="H264" s="41"/>
      <c r="I264" s="70"/>
    </row>
    <row r="265" spans="2:9" ht="15.75" customHeight="1" x14ac:dyDescent="0.3">
      <c r="B265" s="91"/>
      <c r="C265" s="96"/>
      <c r="D265" s="95"/>
      <c r="E265" s="96"/>
      <c r="F265" s="97"/>
      <c r="G265" s="50"/>
      <c r="H265" s="50"/>
      <c r="I265" s="82"/>
    </row>
    <row r="266" spans="2:9" ht="15.75" customHeight="1" x14ac:dyDescent="0.3">
      <c r="B266" s="91"/>
      <c r="C266" s="92"/>
      <c r="D266" s="93"/>
      <c r="E266" s="92"/>
      <c r="F266" s="94"/>
      <c r="G266" s="41"/>
      <c r="H266" s="41"/>
      <c r="I266" s="70"/>
    </row>
    <row r="267" spans="2:9" ht="15.75" customHeight="1" x14ac:dyDescent="0.3">
      <c r="B267" s="91"/>
      <c r="C267" s="96"/>
      <c r="D267" s="95"/>
      <c r="E267" s="96"/>
      <c r="F267" s="97"/>
      <c r="G267" s="50"/>
      <c r="H267" s="50"/>
      <c r="I267" s="82"/>
    </row>
    <row r="268" spans="2:9" ht="15.75" customHeight="1" x14ac:dyDescent="0.3">
      <c r="B268" s="91"/>
      <c r="C268" s="92"/>
      <c r="D268" s="93"/>
      <c r="E268" s="92"/>
      <c r="F268" s="94"/>
      <c r="G268" s="41"/>
      <c r="H268" s="41"/>
      <c r="I268" s="70"/>
    </row>
    <row r="269" spans="2:9" ht="15.75" customHeight="1" x14ac:dyDescent="0.3">
      <c r="B269" s="91"/>
      <c r="C269" s="96"/>
      <c r="D269" s="95"/>
      <c r="E269" s="96"/>
      <c r="F269" s="97"/>
      <c r="G269" s="50"/>
      <c r="H269" s="50"/>
      <c r="I269" s="82"/>
    </row>
    <row r="270" spans="2:9" ht="15.75" customHeight="1" x14ac:dyDescent="0.3">
      <c r="B270" s="91"/>
      <c r="C270" s="92"/>
      <c r="D270" s="93"/>
      <c r="E270" s="92"/>
      <c r="F270" s="94"/>
      <c r="G270" s="41"/>
      <c r="H270" s="41"/>
      <c r="I270" s="70"/>
    </row>
    <row r="271" spans="2:9" ht="15.75" customHeight="1" x14ac:dyDescent="0.3">
      <c r="B271" s="91"/>
      <c r="C271" s="96"/>
      <c r="D271" s="95"/>
      <c r="E271" s="96"/>
      <c r="F271" s="97"/>
      <c r="G271" s="50"/>
      <c r="H271" s="50"/>
      <c r="I271" s="82"/>
    </row>
    <row r="272" spans="2:9" ht="15.75" customHeight="1" x14ac:dyDescent="0.3">
      <c r="B272" s="91"/>
      <c r="C272" s="92"/>
      <c r="D272" s="93"/>
      <c r="E272" s="92"/>
      <c r="F272" s="94"/>
      <c r="G272" s="41"/>
      <c r="H272" s="41"/>
      <c r="I272" s="70"/>
    </row>
    <row r="273" spans="2:9" ht="15.75" customHeight="1" x14ac:dyDescent="0.3">
      <c r="B273" s="91"/>
      <c r="C273" s="96"/>
      <c r="D273" s="95"/>
      <c r="E273" s="96"/>
      <c r="F273" s="97"/>
      <c r="G273" s="50"/>
      <c r="H273" s="50"/>
      <c r="I273" s="82"/>
    </row>
    <row r="274" spans="2:9" ht="15.75" customHeight="1" x14ac:dyDescent="0.3">
      <c r="B274" s="91"/>
      <c r="C274" s="92"/>
      <c r="D274" s="93"/>
      <c r="E274" s="92"/>
      <c r="F274" s="94"/>
      <c r="G274" s="41"/>
      <c r="H274" s="41"/>
      <c r="I274" s="70"/>
    </row>
    <row r="275" spans="2:9" ht="15.75" customHeight="1" x14ac:dyDescent="0.3">
      <c r="B275" s="91"/>
      <c r="C275" s="96"/>
      <c r="D275" s="95"/>
      <c r="E275" s="96"/>
      <c r="F275" s="97"/>
      <c r="G275" s="50"/>
      <c r="H275" s="50"/>
      <c r="I275" s="82"/>
    </row>
    <row r="276" spans="2:9" ht="15.75" customHeight="1" x14ac:dyDescent="0.3">
      <c r="B276" s="91"/>
      <c r="C276" s="92"/>
      <c r="D276" s="93"/>
      <c r="E276" s="92"/>
      <c r="F276" s="94"/>
      <c r="G276" s="41"/>
      <c r="H276" s="41"/>
      <c r="I276" s="70"/>
    </row>
    <row r="277" spans="2:9" ht="15.75" customHeight="1" x14ac:dyDescent="0.3">
      <c r="B277" s="91"/>
      <c r="C277" s="96"/>
      <c r="D277" s="95"/>
      <c r="E277" s="96"/>
      <c r="F277" s="97"/>
      <c r="G277" s="50"/>
      <c r="H277" s="50"/>
      <c r="I277" s="82"/>
    </row>
    <row r="278" spans="2:9" ht="15.75" customHeight="1" x14ac:dyDescent="0.3">
      <c r="B278" s="91"/>
      <c r="C278" s="92"/>
      <c r="D278" s="93"/>
      <c r="E278" s="92"/>
      <c r="F278" s="94"/>
      <c r="G278" s="41"/>
      <c r="H278" s="41"/>
      <c r="I278" s="70"/>
    </row>
    <row r="279" spans="2:9" ht="15.75" customHeight="1" x14ac:dyDescent="0.3">
      <c r="B279" s="91"/>
      <c r="C279" s="96"/>
      <c r="D279" s="95"/>
      <c r="E279" s="96"/>
      <c r="F279" s="97"/>
      <c r="G279" s="50"/>
      <c r="H279" s="50"/>
      <c r="I279" s="82"/>
    </row>
    <row r="280" spans="2:9" ht="15.75" customHeight="1" x14ac:dyDescent="0.3">
      <c r="B280" s="91"/>
      <c r="C280" s="92"/>
      <c r="D280" s="93"/>
      <c r="E280" s="92"/>
      <c r="F280" s="94"/>
      <c r="G280" s="41"/>
      <c r="H280" s="41"/>
      <c r="I280" s="70"/>
    </row>
    <row r="281" spans="2:9" ht="15.75" customHeight="1" x14ac:dyDescent="0.3">
      <c r="B281" s="91"/>
      <c r="C281" s="96"/>
      <c r="D281" s="95"/>
      <c r="E281" s="96"/>
      <c r="F281" s="97"/>
      <c r="G281" s="50"/>
      <c r="H281" s="50"/>
      <c r="I281" s="82"/>
    </row>
    <row r="282" spans="2:9" ht="15.75" customHeight="1" x14ac:dyDescent="0.3">
      <c r="B282" s="91"/>
      <c r="C282" s="92"/>
      <c r="D282" s="93"/>
      <c r="E282" s="92"/>
      <c r="F282" s="94"/>
      <c r="G282" s="41"/>
      <c r="H282" s="41"/>
      <c r="I282" s="70"/>
    </row>
    <row r="283" spans="2:9" ht="15.75" customHeight="1" x14ac:dyDescent="0.3">
      <c r="B283" s="91"/>
      <c r="C283" s="96"/>
      <c r="D283" s="95"/>
      <c r="E283" s="96"/>
      <c r="F283" s="97"/>
      <c r="G283" s="50"/>
      <c r="H283" s="50"/>
      <c r="I283" s="82"/>
    </row>
    <row r="284" spans="2:9" ht="15.75" customHeight="1" x14ac:dyDescent="0.3">
      <c r="B284" s="91"/>
      <c r="C284" s="92"/>
      <c r="D284" s="93"/>
      <c r="E284" s="92"/>
      <c r="F284" s="94"/>
      <c r="G284" s="41"/>
      <c r="H284" s="41"/>
      <c r="I284" s="70"/>
    </row>
    <row r="285" spans="2:9" ht="15.75" customHeight="1" x14ac:dyDescent="0.3">
      <c r="B285" s="91"/>
      <c r="C285" s="96"/>
      <c r="D285" s="95"/>
      <c r="E285" s="96"/>
      <c r="F285" s="97"/>
      <c r="G285" s="50"/>
      <c r="H285" s="50"/>
      <c r="I285" s="82"/>
    </row>
    <row r="286" spans="2:9" ht="15.75" customHeight="1" x14ac:dyDescent="0.3">
      <c r="B286" s="91"/>
      <c r="C286" s="92"/>
      <c r="D286" s="93"/>
      <c r="E286" s="92"/>
      <c r="F286" s="94"/>
      <c r="G286" s="41"/>
      <c r="H286" s="41"/>
      <c r="I286" s="70"/>
    </row>
    <row r="287" spans="2:9" ht="15.75" customHeight="1" x14ac:dyDescent="0.3">
      <c r="B287" s="91"/>
      <c r="C287" s="96"/>
      <c r="D287" s="95"/>
      <c r="E287" s="96"/>
      <c r="F287" s="97"/>
      <c r="G287" s="50"/>
      <c r="H287" s="50"/>
      <c r="I287" s="82"/>
    </row>
    <row r="288" spans="2:9" ht="15.75" customHeight="1" x14ac:dyDescent="0.3">
      <c r="B288" s="91"/>
      <c r="C288" s="92"/>
      <c r="D288" s="93"/>
      <c r="E288" s="92"/>
      <c r="F288" s="94"/>
      <c r="G288" s="41"/>
      <c r="H288" s="41"/>
      <c r="I288" s="70"/>
    </row>
    <row r="289" spans="2:9" ht="15.75" customHeight="1" x14ac:dyDescent="0.3">
      <c r="B289" s="91"/>
      <c r="C289" s="96"/>
      <c r="D289" s="95"/>
      <c r="E289" s="96"/>
      <c r="F289" s="97"/>
      <c r="G289" s="50"/>
      <c r="H289" s="50"/>
      <c r="I289" s="82"/>
    </row>
    <row r="290" spans="2:9" ht="15.75" customHeight="1" x14ac:dyDescent="0.3">
      <c r="B290" s="91"/>
      <c r="C290" s="92"/>
      <c r="D290" s="93"/>
      <c r="E290" s="92"/>
      <c r="F290" s="94"/>
      <c r="G290" s="41"/>
      <c r="H290" s="41"/>
      <c r="I290" s="70"/>
    </row>
    <row r="291" spans="2:9" ht="15.75" customHeight="1" x14ac:dyDescent="0.3">
      <c r="B291" s="91"/>
      <c r="C291" s="96"/>
      <c r="D291" s="95"/>
      <c r="E291" s="96"/>
      <c r="F291" s="97"/>
      <c r="G291" s="50"/>
      <c r="H291" s="50"/>
      <c r="I291" s="82"/>
    </row>
    <row r="292" spans="2:9" ht="15.75" customHeight="1" x14ac:dyDescent="0.3">
      <c r="B292" s="91"/>
      <c r="C292" s="92"/>
      <c r="D292" s="93"/>
      <c r="E292" s="92"/>
      <c r="F292" s="94"/>
      <c r="G292" s="41"/>
      <c r="H292" s="41"/>
      <c r="I292" s="70"/>
    </row>
    <row r="293" spans="2:9" ht="15.75" customHeight="1" x14ac:dyDescent="0.3">
      <c r="B293" s="91"/>
      <c r="C293" s="96"/>
      <c r="D293" s="95"/>
      <c r="E293" s="96"/>
      <c r="F293" s="97"/>
      <c r="G293" s="50"/>
      <c r="H293" s="50"/>
      <c r="I293" s="82"/>
    </row>
    <row r="294" spans="2:9" ht="15.75" customHeight="1" x14ac:dyDescent="0.3">
      <c r="B294" s="91"/>
      <c r="C294" s="92"/>
      <c r="D294" s="93"/>
      <c r="E294" s="92"/>
      <c r="F294" s="94"/>
      <c r="G294" s="41"/>
      <c r="H294" s="41"/>
      <c r="I294" s="70"/>
    </row>
    <row r="295" spans="2:9" ht="15.75" customHeight="1" x14ac:dyDescent="0.3">
      <c r="B295" s="91"/>
      <c r="C295" s="96"/>
      <c r="D295" s="95"/>
      <c r="E295" s="96"/>
      <c r="F295" s="97"/>
      <c r="G295" s="50"/>
      <c r="H295" s="50"/>
      <c r="I295" s="82"/>
    </row>
    <row r="296" spans="2:9" ht="15.75" customHeight="1" x14ac:dyDescent="0.3">
      <c r="B296" s="91"/>
      <c r="C296" s="92"/>
      <c r="D296" s="93"/>
      <c r="E296" s="92"/>
      <c r="F296" s="94"/>
      <c r="G296" s="41"/>
      <c r="H296" s="41"/>
      <c r="I296" s="70"/>
    </row>
    <row r="297" spans="2:9" ht="15.75" customHeight="1" x14ac:dyDescent="0.3">
      <c r="B297" s="91"/>
      <c r="C297" s="96"/>
      <c r="D297" s="95"/>
      <c r="E297" s="96"/>
      <c r="F297" s="97"/>
      <c r="G297" s="50"/>
      <c r="H297" s="50"/>
      <c r="I297" s="82"/>
    </row>
    <row r="298" spans="2:9" ht="15.75" customHeight="1" x14ac:dyDescent="0.3">
      <c r="B298" s="91"/>
      <c r="C298" s="92"/>
      <c r="D298" s="93"/>
      <c r="E298" s="92"/>
      <c r="F298" s="94"/>
      <c r="G298" s="41"/>
      <c r="H298" s="41"/>
      <c r="I298" s="70"/>
    </row>
    <row r="299" spans="2:9" ht="15.75" customHeight="1" x14ac:dyDescent="0.3">
      <c r="B299" s="91"/>
      <c r="C299" s="96"/>
      <c r="D299" s="95"/>
      <c r="E299" s="96"/>
      <c r="F299" s="97"/>
      <c r="G299" s="50"/>
      <c r="H299" s="50"/>
      <c r="I299" s="82"/>
    </row>
    <row r="300" spans="2:9" ht="15.75" customHeight="1" x14ac:dyDescent="0.3">
      <c r="B300" s="91"/>
      <c r="C300" s="92"/>
      <c r="D300" s="93"/>
      <c r="E300" s="92"/>
      <c r="F300" s="94"/>
      <c r="G300" s="41"/>
      <c r="H300" s="41"/>
      <c r="I300" s="70"/>
    </row>
    <row r="301" spans="2:9" ht="15.75" customHeight="1" x14ac:dyDescent="0.3">
      <c r="B301" s="91"/>
      <c r="C301" s="96"/>
      <c r="D301" s="95"/>
      <c r="E301" s="96"/>
      <c r="F301" s="97"/>
      <c r="G301" s="50"/>
      <c r="H301" s="50"/>
      <c r="I301" s="82"/>
    </row>
    <row r="302" spans="2:9" ht="15.75" customHeight="1" x14ac:dyDescent="0.3">
      <c r="B302" s="91"/>
      <c r="C302" s="92"/>
      <c r="D302" s="93"/>
      <c r="E302" s="92"/>
      <c r="F302" s="94"/>
      <c r="G302" s="41"/>
      <c r="H302" s="41"/>
      <c r="I302" s="70"/>
    </row>
    <row r="303" spans="2:9" ht="15.75" customHeight="1" x14ac:dyDescent="0.3">
      <c r="B303" s="91"/>
      <c r="C303" s="96"/>
      <c r="D303" s="95"/>
      <c r="E303" s="96"/>
      <c r="F303" s="97"/>
      <c r="G303" s="50"/>
      <c r="H303" s="50"/>
      <c r="I303" s="82"/>
    </row>
    <row r="304" spans="2:9" ht="15.75" customHeight="1" x14ac:dyDescent="0.3">
      <c r="B304" s="91"/>
      <c r="C304" s="92"/>
      <c r="D304" s="93"/>
      <c r="E304" s="92"/>
      <c r="F304" s="94"/>
      <c r="G304" s="41"/>
      <c r="H304" s="41"/>
      <c r="I304" s="70"/>
    </row>
    <row r="305" spans="2:9" ht="15.75" customHeight="1" x14ac:dyDescent="0.3">
      <c r="B305" s="91"/>
      <c r="C305" s="96"/>
      <c r="D305" s="95"/>
      <c r="E305" s="96"/>
      <c r="F305" s="97"/>
      <c r="G305" s="50"/>
      <c r="H305" s="50"/>
      <c r="I305" s="82"/>
    </row>
    <row r="306" spans="2:9" ht="15.75" customHeight="1" x14ac:dyDescent="0.3">
      <c r="B306" s="91"/>
      <c r="C306" s="92"/>
      <c r="D306" s="93"/>
      <c r="E306" s="92"/>
      <c r="F306" s="94"/>
      <c r="G306" s="41"/>
      <c r="H306" s="41"/>
      <c r="I306" s="70"/>
    </row>
    <row r="307" spans="2:9" ht="15.75" customHeight="1" x14ac:dyDescent="0.3">
      <c r="B307" s="91"/>
      <c r="C307" s="96"/>
      <c r="D307" s="95"/>
      <c r="E307" s="96"/>
      <c r="F307" s="97"/>
      <c r="G307" s="50"/>
      <c r="H307" s="50"/>
      <c r="I307" s="82"/>
    </row>
    <row r="308" spans="2:9" ht="15.75" customHeight="1" x14ac:dyDescent="0.3">
      <c r="B308" s="91"/>
      <c r="C308" s="92"/>
      <c r="D308" s="93"/>
      <c r="E308" s="92"/>
      <c r="F308" s="94"/>
      <c r="G308" s="41"/>
      <c r="H308" s="41"/>
      <c r="I308" s="70"/>
    </row>
    <row r="309" spans="2:9" ht="15.75" customHeight="1" x14ac:dyDescent="0.3">
      <c r="B309" s="91"/>
      <c r="C309" s="96"/>
      <c r="D309" s="95"/>
      <c r="E309" s="96"/>
      <c r="F309" s="97"/>
      <c r="G309" s="50"/>
      <c r="H309" s="50"/>
      <c r="I309" s="82"/>
    </row>
    <row r="310" spans="2:9" ht="15.75" customHeight="1" x14ac:dyDescent="0.3">
      <c r="B310" s="91"/>
      <c r="C310" s="92"/>
      <c r="D310" s="93"/>
      <c r="E310" s="92"/>
      <c r="F310" s="94"/>
      <c r="G310" s="41"/>
      <c r="H310" s="41"/>
      <c r="I310" s="70"/>
    </row>
    <row r="311" spans="2:9" ht="15.75" customHeight="1" x14ac:dyDescent="0.3">
      <c r="B311" s="91"/>
      <c r="C311" s="96"/>
      <c r="D311" s="95"/>
      <c r="E311" s="96"/>
      <c r="F311" s="97"/>
      <c r="G311" s="50"/>
      <c r="H311" s="50"/>
      <c r="I311" s="82"/>
    </row>
    <row r="312" spans="2:9" ht="15.75" customHeight="1" x14ac:dyDescent="0.3">
      <c r="B312" s="91"/>
      <c r="C312" s="92"/>
      <c r="D312" s="93"/>
      <c r="E312" s="92"/>
      <c r="F312" s="94"/>
      <c r="G312" s="41"/>
      <c r="H312" s="41"/>
      <c r="I312" s="70"/>
    </row>
    <row r="313" spans="2:9" ht="15.75" customHeight="1" x14ac:dyDescent="0.3">
      <c r="B313" s="91"/>
      <c r="C313" s="96"/>
      <c r="D313" s="95"/>
      <c r="E313" s="96"/>
      <c r="F313" s="97"/>
      <c r="G313" s="50"/>
      <c r="H313" s="50"/>
      <c r="I313" s="82"/>
    </row>
    <row r="314" spans="2:9" ht="15.75" customHeight="1" x14ac:dyDescent="0.3">
      <c r="B314" s="91"/>
      <c r="C314" s="92"/>
      <c r="D314" s="93"/>
      <c r="E314" s="92"/>
      <c r="F314" s="94"/>
      <c r="G314" s="41"/>
      <c r="H314" s="41"/>
      <c r="I314" s="70"/>
    </row>
    <row r="315" spans="2:9" ht="15.75" customHeight="1" x14ac:dyDescent="0.3">
      <c r="B315" s="91"/>
      <c r="C315" s="96"/>
      <c r="D315" s="95"/>
      <c r="E315" s="96"/>
      <c r="F315" s="97"/>
      <c r="G315" s="50"/>
      <c r="H315" s="50"/>
      <c r="I315" s="82"/>
    </row>
    <row r="316" spans="2:9" ht="15.75" customHeight="1" x14ac:dyDescent="0.3">
      <c r="B316" s="91"/>
      <c r="C316" s="92"/>
      <c r="D316" s="93"/>
      <c r="E316" s="92"/>
      <c r="F316" s="94"/>
      <c r="G316" s="41"/>
      <c r="H316" s="41"/>
      <c r="I316" s="70"/>
    </row>
    <row r="317" spans="2:9" ht="15.75" customHeight="1" x14ac:dyDescent="0.3">
      <c r="B317" s="91"/>
      <c r="C317" s="96"/>
      <c r="D317" s="95"/>
      <c r="E317" s="96"/>
      <c r="F317" s="97"/>
      <c r="G317" s="50"/>
      <c r="H317" s="50"/>
      <c r="I317" s="82"/>
    </row>
    <row r="318" spans="2:9" ht="15.75" customHeight="1" x14ac:dyDescent="0.3">
      <c r="B318" s="91"/>
      <c r="C318" s="92"/>
      <c r="D318" s="93"/>
      <c r="E318" s="92"/>
      <c r="F318" s="94"/>
      <c r="G318" s="41"/>
      <c r="H318" s="41"/>
      <c r="I318" s="70"/>
    </row>
    <row r="319" spans="2:9" ht="15.75" customHeight="1" x14ac:dyDescent="0.3">
      <c r="B319" s="91"/>
      <c r="C319" s="96"/>
      <c r="D319" s="95"/>
      <c r="E319" s="96"/>
      <c r="F319" s="97"/>
      <c r="G319" s="50"/>
      <c r="H319" s="50"/>
      <c r="I319" s="82"/>
    </row>
    <row r="320" spans="2:9" ht="15.75" customHeight="1" x14ac:dyDescent="0.3">
      <c r="B320" s="91"/>
      <c r="C320" s="92"/>
      <c r="D320" s="93"/>
      <c r="E320" s="92"/>
      <c r="F320" s="94"/>
      <c r="G320" s="41"/>
      <c r="H320" s="41"/>
      <c r="I320" s="70"/>
    </row>
    <row r="321" spans="2:9" ht="15.75" customHeight="1" x14ac:dyDescent="0.3">
      <c r="B321" s="91"/>
      <c r="C321" s="96"/>
      <c r="D321" s="95"/>
      <c r="E321" s="96"/>
      <c r="F321" s="97"/>
      <c r="G321" s="50"/>
      <c r="H321" s="50"/>
      <c r="I321" s="82"/>
    </row>
    <row r="322" spans="2:9" ht="15.75" customHeight="1" x14ac:dyDescent="0.3">
      <c r="B322" s="91"/>
      <c r="C322" s="92"/>
      <c r="D322" s="93"/>
      <c r="E322" s="92"/>
      <c r="F322" s="94"/>
      <c r="G322" s="41"/>
      <c r="H322" s="41"/>
      <c r="I322" s="70"/>
    </row>
    <row r="323" spans="2:9" ht="15.75" customHeight="1" x14ac:dyDescent="0.3">
      <c r="B323" s="91"/>
      <c r="C323" s="96"/>
      <c r="D323" s="95"/>
      <c r="E323" s="96"/>
      <c r="F323" s="97"/>
      <c r="G323" s="50"/>
      <c r="H323" s="50"/>
      <c r="I323" s="82"/>
    </row>
    <row r="324" spans="2:9" ht="15.75" customHeight="1" x14ac:dyDescent="0.3">
      <c r="B324" s="91"/>
      <c r="C324" s="92"/>
      <c r="D324" s="93"/>
      <c r="E324" s="92"/>
      <c r="F324" s="94"/>
      <c r="G324" s="41"/>
      <c r="H324" s="41"/>
      <c r="I324" s="70"/>
    </row>
    <row r="325" spans="2:9" ht="15.75" customHeight="1" x14ac:dyDescent="0.3">
      <c r="B325" s="91"/>
      <c r="C325" s="96"/>
      <c r="D325" s="95"/>
      <c r="E325" s="96"/>
      <c r="F325" s="97"/>
      <c r="G325" s="50"/>
      <c r="H325" s="50"/>
      <c r="I325" s="82"/>
    </row>
    <row r="326" spans="2:9" ht="15.75" customHeight="1" x14ac:dyDescent="0.3">
      <c r="B326" s="91"/>
      <c r="C326" s="92"/>
      <c r="D326" s="93"/>
      <c r="E326" s="92"/>
      <c r="F326" s="94"/>
      <c r="G326" s="41"/>
      <c r="H326" s="41"/>
      <c r="I326" s="70"/>
    </row>
    <row r="327" spans="2:9" ht="15.75" customHeight="1" x14ac:dyDescent="0.3">
      <c r="B327" s="91"/>
      <c r="C327" s="96"/>
      <c r="D327" s="95"/>
      <c r="E327" s="96"/>
      <c r="F327" s="97"/>
      <c r="G327" s="50"/>
      <c r="H327" s="50"/>
      <c r="I327" s="82"/>
    </row>
    <row r="328" spans="2:9" ht="15.75" customHeight="1" x14ac:dyDescent="0.3">
      <c r="B328" s="91"/>
      <c r="C328" s="92"/>
      <c r="D328" s="93"/>
      <c r="E328" s="92"/>
      <c r="F328" s="94"/>
      <c r="G328" s="41"/>
      <c r="H328" s="41"/>
      <c r="I328" s="70"/>
    </row>
    <row r="329" spans="2:9" ht="15.75" customHeight="1" x14ac:dyDescent="0.3">
      <c r="B329" s="91"/>
      <c r="C329" s="96"/>
      <c r="D329" s="95"/>
      <c r="E329" s="96"/>
      <c r="F329" s="97"/>
      <c r="G329" s="50"/>
      <c r="H329" s="50"/>
      <c r="I329" s="82"/>
    </row>
    <row r="330" spans="2:9" ht="15.75" customHeight="1" x14ac:dyDescent="0.3">
      <c r="B330" s="91"/>
      <c r="C330" s="92"/>
      <c r="D330" s="93"/>
      <c r="E330" s="92"/>
      <c r="F330" s="94"/>
      <c r="G330" s="41"/>
      <c r="H330" s="41"/>
      <c r="I330" s="70"/>
    </row>
    <row r="331" spans="2:9" ht="15.75" customHeight="1" x14ac:dyDescent="0.3">
      <c r="B331" s="91"/>
      <c r="C331" s="96"/>
      <c r="D331" s="95"/>
      <c r="E331" s="96"/>
      <c r="F331" s="97"/>
      <c r="G331" s="50"/>
      <c r="H331" s="50"/>
      <c r="I331" s="82"/>
    </row>
    <row r="332" spans="2:9" ht="15.75" customHeight="1" x14ac:dyDescent="0.3">
      <c r="B332" s="91"/>
      <c r="C332" s="92"/>
      <c r="D332" s="93"/>
      <c r="E332" s="92"/>
      <c r="F332" s="94"/>
      <c r="G332" s="41"/>
      <c r="H332" s="41"/>
      <c r="I332" s="70"/>
    </row>
    <row r="333" spans="2:9" ht="15.75" customHeight="1" x14ac:dyDescent="0.3">
      <c r="B333" s="91"/>
      <c r="C333" s="96"/>
      <c r="D333" s="95"/>
      <c r="E333" s="96"/>
      <c r="F333" s="97"/>
      <c r="G333" s="50"/>
      <c r="H333" s="50"/>
      <c r="I333" s="82"/>
    </row>
    <row r="334" spans="2:9" ht="15.75" customHeight="1" x14ac:dyDescent="0.3">
      <c r="B334" s="91"/>
      <c r="C334" s="92"/>
      <c r="D334" s="93"/>
      <c r="E334" s="92"/>
      <c r="F334" s="94"/>
      <c r="G334" s="41"/>
      <c r="H334" s="41"/>
      <c r="I334" s="70"/>
    </row>
    <row r="335" spans="2:9" ht="15.75" customHeight="1" x14ac:dyDescent="0.3">
      <c r="B335" s="91"/>
      <c r="C335" s="96"/>
      <c r="D335" s="95"/>
      <c r="E335" s="96"/>
      <c r="F335" s="97"/>
      <c r="G335" s="50"/>
      <c r="H335" s="50"/>
      <c r="I335" s="82"/>
    </row>
    <row r="336" spans="2:9" ht="15.75" customHeight="1" x14ac:dyDescent="0.3">
      <c r="B336" s="91"/>
      <c r="C336" s="92"/>
      <c r="D336" s="93"/>
      <c r="E336" s="92"/>
      <c r="F336" s="94"/>
      <c r="G336" s="41"/>
      <c r="H336" s="41"/>
      <c r="I336" s="70"/>
    </row>
    <row r="337" spans="2:9" ht="15.75" customHeight="1" x14ac:dyDescent="0.3">
      <c r="B337" s="91"/>
      <c r="C337" s="96"/>
      <c r="D337" s="95"/>
      <c r="E337" s="96"/>
      <c r="F337" s="97"/>
      <c r="G337" s="50"/>
      <c r="H337" s="50"/>
      <c r="I337" s="82"/>
    </row>
    <row r="338" spans="2:9" ht="15.75" customHeight="1" x14ac:dyDescent="0.3">
      <c r="B338" s="91"/>
      <c r="C338" s="92"/>
      <c r="D338" s="93"/>
      <c r="E338" s="92"/>
      <c r="F338" s="94"/>
      <c r="G338" s="41"/>
      <c r="H338" s="41"/>
      <c r="I338" s="70"/>
    </row>
    <row r="339" spans="2:9" ht="15.75" customHeight="1" x14ac:dyDescent="0.3">
      <c r="B339" s="91"/>
      <c r="C339" s="96"/>
      <c r="D339" s="95"/>
      <c r="E339" s="96"/>
      <c r="F339" s="97"/>
      <c r="G339" s="50"/>
      <c r="H339" s="50"/>
      <c r="I339" s="82"/>
    </row>
    <row r="340" spans="2:9" ht="15.75" customHeight="1" x14ac:dyDescent="0.3">
      <c r="B340" s="91"/>
      <c r="C340" s="92"/>
      <c r="D340" s="93"/>
      <c r="E340" s="92"/>
      <c r="F340" s="94"/>
      <c r="G340" s="41"/>
      <c r="H340" s="41"/>
      <c r="I340" s="70"/>
    </row>
    <row r="341" spans="2:9" ht="15.75" customHeight="1" x14ac:dyDescent="0.3">
      <c r="B341" s="91"/>
      <c r="C341" s="96"/>
      <c r="D341" s="95"/>
      <c r="E341" s="96"/>
      <c r="F341" s="97"/>
      <c r="G341" s="50"/>
      <c r="H341" s="50"/>
      <c r="I341" s="82"/>
    </row>
    <row r="342" spans="2:9" ht="15.75" customHeight="1" x14ac:dyDescent="0.3">
      <c r="B342" s="91"/>
      <c r="C342" s="92"/>
      <c r="D342" s="93"/>
      <c r="E342" s="92"/>
      <c r="F342" s="94"/>
      <c r="G342" s="41"/>
      <c r="H342" s="41"/>
      <c r="I342" s="70"/>
    </row>
    <row r="343" spans="2:9" ht="15.75" customHeight="1" x14ac:dyDescent="0.3">
      <c r="B343" s="91"/>
      <c r="C343" s="96"/>
      <c r="D343" s="95"/>
      <c r="E343" s="96"/>
      <c r="F343" s="97"/>
      <c r="G343" s="50"/>
      <c r="H343" s="50"/>
      <c r="I343" s="82"/>
    </row>
    <row r="344" spans="2:9" ht="15.75" customHeight="1" x14ac:dyDescent="0.3">
      <c r="B344" s="91"/>
      <c r="C344" s="92"/>
      <c r="D344" s="93"/>
      <c r="E344" s="92"/>
      <c r="F344" s="94"/>
      <c r="G344" s="41"/>
      <c r="H344" s="41"/>
      <c r="I344" s="70"/>
    </row>
    <row r="345" spans="2:9" ht="15.75" customHeight="1" x14ac:dyDescent="0.3">
      <c r="B345" s="91"/>
      <c r="C345" s="96"/>
      <c r="D345" s="95"/>
      <c r="E345" s="96"/>
      <c r="F345" s="97"/>
      <c r="G345" s="50"/>
      <c r="H345" s="50"/>
      <c r="I345" s="82"/>
    </row>
    <row r="346" spans="2:9" ht="15.75" customHeight="1" x14ac:dyDescent="0.3">
      <c r="B346" s="91"/>
      <c r="C346" s="92"/>
      <c r="D346" s="93"/>
      <c r="E346" s="92"/>
      <c r="F346" s="94"/>
      <c r="G346" s="41"/>
      <c r="H346" s="41"/>
      <c r="I346" s="70"/>
    </row>
    <row r="347" spans="2:9" ht="15.75" customHeight="1" x14ac:dyDescent="0.3">
      <c r="B347" s="91"/>
      <c r="C347" s="96"/>
      <c r="D347" s="95"/>
      <c r="E347" s="96"/>
      <c r="F347" s="97"/>
      <c r="G347" s="50"/>
      <c r="H347" s="50"/>
      <c r="I347" s="82"/>
    </row>
    <row r="348" spans="2:9" ht="15.75" customHeight="1" x14ac:dyDescent="0.3">
      <c r="B348" s="91"/>
      <c r="C348" s="92"/>
      <c r="D348" s="93"/>
      <c r="E348" s="92"/>
      <c r="F348" s="94"/>
      <c r="G348" s="41"/>
      <c r="H348" s="41"/>
      <c r="I348" s="70"/>
    </row>
    <row r="349" spans="2:9" ht="15.75" customHeight="1" x14ac:dyDescent="0.3">
      <c r="B349" s="91"/>
      <c r="C349" s="96"/>
      <c r="D349" s="95"/>
      <c r="E349" s="96"/>
      <c r="F349" s="97"/>
      <c r="G349" s="50"/>
      <c r="H349" s="50"/>
      <c r="I349" s="82"/>
    </row>
    <row r="350" spans="2:9" ht="15.75" customHeight="1" x14ac:dyDescent="0.3">
      <c r="B350" s="91"/>
      <c r="C350" s="92"/>
      <c r="D350" s="93"/>
      <c r="E350" s="92"/>
      <c r="F350" s="94"/>
      <c r="G350" s="41"/>
      <c r="H350" s="41"/>
      <c r="I350" s="70"/>
    </row>
    <row r="351" spans="2:9" ht="15.75" customHeight="1" x14ac:dyDescent="0.3">
      <c r="B351" s="91"/>
      <c r="C351" s="96"/>
      <c r="D351" s="95"/>
      <c r="E351" s="96"/>
      <c r="F351" s="97"/>
      <c r="G351" s="50"/>
      <c r="H351" s="50"/>
      <c r="I351" s="82"/>
    </row>
    <row r="352" spans="2:9" ht="15.75" customHeight="1" x14ac:dyDescent="0.3">
      <c r="B352" s="91"/>
      <c r="C352" s="92"/>
      <c r="D352" s="93"/>
      <c r="E352" s="92"/>
      <c r="F352" s="94"/>
      <c r="G352" s="41"/>
      <c r="H352" s="41"/>
      <c r="I352" s="70"/>
    </row>
    <row r="353" spans="2:9" ht="15.75" customHeight="1" x14ac:dyDescent="0.3">
      <c r="B353" s="91"/>
      <c r="C353" s="96"/>
      <c r="D353" s="95"/>
      <c r="E353" s="96"/>
      <c r="F353" s="97"/>
      <c r="G353" s="50"/>
      <c r="H353" s="50"/>
      <c r="I353" s="82"/>
    </row>
    <row r="354" spans="2:9" ht="15.75" customHeight="1" x14ac:dyDescent="0.3">
      <c r="B354" s="91"/>
      <c r="C354" s="92"/>
      <c r="D354" s="93"/>
      <c r="E354" s="92"/>
      <c r="F354" s="94"/>
      <c r="G354" s="41"/>
      <c r="H354" s="41"/>
      <c r="I354" s="70"/>
    </row>
    <row r="355" spans="2:9" ht="15.75" customHeight="1" x14ac:dyDescent="0.3">
      <c r="B355" s="91"/>
      <c r="C355" s="96"/>
      <c r="D355" s="95"/>
      <c r="E355" s="96"/>
      <c r="F355" s="97"/>
      <c r="G355" s="50"/>
      <c r="H355" s="50"/>
      <c r="I355" s="82"/>
    </row>
    <row r="356" spans="2:9" ht="15.75" customHeight="1" x14ac:dyDescent="0.3">
      <c r="B356" s="91"/>
      <c r="C356" s="92"/>
      <c r="D356" s="93"/>
      <c r="E356" s="92"/>
      <c r="F356" s="94"/>
      <c r="G356" s="41"/>
      <c r="H356" s="41"/>
      <c r="I356" s="70"/>
    </row>
    <row r="357" spans="2:9" ht="15.75" customHeight="1" x14ac:dyDescent="0.3">
      <c r="B357" s="91"/>
      <c r="C357" s="96"/>
      <c r="D357" s="95"/>
      <c r="E357" s="96"/>
      <c r="F357" s="97"/>
      <c r="G357" s="50"/>
      <c r="H357" s="50"/>
      <c r="I357" s="82"/>
    </row>
    <row r="358" spans="2:9" ht="15.75" customHeight="1" x14ac:dyDescent="0.3">
      <c r="B358" s="91"/>
      <c r="C358" s="92"/>
      <c r="D358" s="93"/>
      <c r="E358" s="92"/>
      <c r="F358" s="94"/>
      <c r="G358" s="41"/>
      <c r="H358" s="41"/>
      <c r="I358" s="70"/>
    </row>
    <row r="359" spans="2:9" ht="15.75" customHeight="1" x14ac:dyDescent="0.3">
      <c r="B359" s="91"/>
      <c r="C359" s="96"/>
      <c r="D359" s="95"/>
      <c r="E359" s="96"/>
      <c r="F359" s="97"/>
      <c r="G359" s="50"/>
      <c r="H359" s="50"/>
      <c r="I359" s="82"/>
    </row>
    <row r="360" spans="2:9" ht="15.75" customHeight="1" x14ac:dyDescent="0.3">
      <c r="B360" s="91"/>
      <c r="C360" s="92"/>
      <c r="D360" s="93"/>
      <c r="E360" s="92"/>
      <c r="F360" s="94"/>
      <c r="G360" s="41"/>
      <c r="H360" s="41"/>
      <c r="I360" s="70"/>
    </row>
    <row r="361" spans="2:9" ht="15.75" customHeight="1" x14ac:dyDescent="0.3">
      <c r="B361" s="91"/>
      <c r="C361" s="96"/>
      <c r="D361" s="95"/>
      <c r="E361" s="96"/>
      <c r="F361" s="97"/>
      <c r="G361" s="50"/>
      <c r="H361" s="50"/>
      <c r="I361" s="82"/>
    </row>
    <row r="362" spans="2:9" ht="15.75" customHeight="1" x14ac:dyDescent="0.3">
      <c r="B362" s="91"/>
      <c r="C362" s="92"/>
      <c r="D362" s="93"/>
      <c r="E362" s="92"/>
      <c r="F362" s="94"/>
      <c r="G362" s="41"/>
      <c r="H362" s="41"/>
      <c r="I362" s="70"/>
    </row>
    <row r="363" spans="2:9" ht="15.75" customHeight="1" x14ac:dyDescent="0.3">
      <c r="B363" s="91"/>
      <c r="C363" s="96"/>
      <c r="D363" s="95"/>
      <c r="E363" s="96"/>
      <c r="F363" s="97"/>
      <c r="G363" s="50"/>
      <c r="H363" s="50"/>
      <c r="I363" s="82"/>
    </row>
    <row r="364" spans="2:9" ht="15.75" customHeight="1" x14ac:dyDescent="0.3">
      <c r="B364" s="91"/>
      <c r="C364" s="92"/>
      <c r="D364" s="93"/>
      <c r="E364" s="92"/>
      <c r="F364" s="94"/>
      <c r="G364" s="41"/>
      <c r="H364" s="41"/>
      <c r="I364" s="70"/>
    </row>
    <row r="365" spans="2:9" ht="15.75" customHeight="1" x14ac:dyDescent="0.3">
      <c r="B365" s="91"/>
      <c r="C365" s="96"/>
      <c r="D365" s="95"/>
      <c r="E365" s="96"/>
      <c r="F365" s="97"/>
      <c r="G365" s="50"/>
      <c r="H365" s="50"/>
      <c r="I365" s="82"/>
    </row>
    <row r="366" spans="2:9" ht="15.75" customHeight="1" x14ac:dyDescent="0.3">
      <c r="B366" s="91"/>
      <c r="C366" s="92"/>
      <c r="D366" s="93"/>
      <c r="E366" s="92"/>
      <c r="F366" s="94"/>
      <c r="G366" s="41"/>
      <c r="H366" s="41"/>
      <c r="I366" s="70"/>
    </row>
    <row r="367" spans="2:9" ht="15.75" customHeight="1" x14ac:dyDescent="0.3">
      <c r="B367" s="91"/>
      <c r="C367" s="96"/>
      <c r="D367" s="95"/>
      <c r="E367" s="96"/>
      <c r="F367" s="97"/>
      <c r="G367" s="50"/>
      <c r="H367" s="50"/>
      <c r="I367" s="82"/>
    </row>
    <row r="368" spans="2:9" ht="15.75" customHeight="1" x14ac:dyDescent="0.3">
      <c r="B368" s="91"/>
      <c r="C368" s="92"/>
      <c r="D368" s="93"/>
      <c r="E368" s="92"/>
      <c r="F368" s="94"/>
      <c r="G368" s="41"/>
      <c r="H368" s="41"/>
      <c r="I368" s="70"/>
    </row>
    <row r="369" spans="2:9" ht="15.75" customHeight="1" x14ac:dyDescent="0.3">
      <c r="B369" s="91"/>
      <c r="C369" s="96"/>
      <c r="D369" s="95"/>
      <c r="E369" s="96"/>
      <c r="F369" s="97"/>
      <c r="G369" s="50"/>
      <c r="H369" s="50"/>
      <c r="I369" s="82"/>
    </row>
    <row r="370" spans="2:9" ht="15.75" customHeight="1" x14ac:dyDescent="0.3">
      <c r="B370" s="91"/>
      <c r="C370" s="92"/>
      <c r="D370" s="93"/>
      <c r="E370" s="92"/>
      <c r="F370" s="94"/>
      <c r="G370" s="41"/>
      <c r="H370" s="41"/>
      <c r="I370" s="70"/>
    </row>
    <row r="371" spans="2:9" ht="15.75" customHeight="1" x14ac:dyDescent="0.3">
      <c r="B371" s="91"/>
      <c r="C371" s="96"/>
      <c r="D371" s="95"/>
      <c r="E371" s="96"/>
      <c r="F371" s="97"/>
      <c r="G371" s="50"/>
      <c r="H371" s="50"/>
      <c r="I371" s="82"/>
    </row>
    <row r="372" spans="2:9" ht="15.75" customHeight="1" x14ac:dyDescent="0.3">
      <c r="B372" s="91"/>
      <c r="C372" s="92"/>
      <c r="D372" s="93"/>
      <c r="E372" s="92"/>
      <c r="F372" s="94"/>
      <c r="G372" s="41"/>
      <c r="H372" s="41"/>
      <c r="I372" s="70"/>
    </row>
    <row r="373" spans="2:9" ht="15.75" customHeight="1" x14ac:dyDescent="0.3">
      <c r="B373" s="91"/>
      <c r="C373" s="96"/>
      <c r="D373" s="95"/>
      <c r="E373" s="96"/>
      <c r="F373" s="97"/>
      <c r="G373" s="50"/>
      <c r="H373" s="50"/>
      <c r="I373" s="82"/>
    </row>
    <row r="374" spans="2:9" ht="15.75" customHeight="1" x14ac:dyDescent="0.3">
      <c r="B374" s="91"/>
      <c r="C374" s="92"/>
      <c r="D374" s="93"/>
      <c r="E374" s="92"/>
      <c r="F374" s="94"/>
      <c r="G374" s="41"/>
      <c r="H374" s="41"/>
      <c r="I374" s="70"/>
    </row>
    <row r="375" spans="2:9" ht="15.75" customHeight="1" x14ac:dyDescent="0.3">
      <c r="B375" s="91"/>
      <c r="C375" s="96"/>
      <c r="D375" s="95"/>
      <c r="E375" s="96"/>
      <c r="F375" s="97"/>
      <c r="G375" s="50"/>
      <c r="H375" s="50"/>
      <c r="I375" s="82"/>
    </row>
    <row r="376" spans="2:9" ht="15.75" customHeight="1" x14ac:dyDescent="0.3">
      <c r="B376" s="91"/>
      <c r="C376" s="92"/>
      <c r="D376" s="93"/>
      <c r="E376" s="92"/>
      <c r="F376" s="94"/>
      <c r="G376" s="41"/>
      <c r="H376" s="41"/>
      <c r="I376" s="70"/>
    </row>
    <row r="377" spans="2:9" ht="15.75" customHeight="1" x14ac:dyDescent="0.3">
      <c r="B377" s="91"/>
      <c r="C377" s="96"/>
      <c r="D377" s="95"/>
      <c r="E377" s="96"/>
      <c r="F377" s="97"/>
      <c r="G377" s="50"/>
      <c r="H377" s="50"/>
      <c r="I377" s="82"/>
    </row>
    <row r="378" spans="2:9" ht="15.75" customHeight="1" x14ac:dyDescent="0.3">
      <c r="B378" s="91"/>
      <c r="C378" s="92"/>
      <c r="D378" s="93"/>
      <c r="E378" s="92"/>
      <c r="F378" s="94"/>
      <c r="G378" s="41"/>
      <c r="H378" s="41"/>
      <c r="I378" s="70"/>
    </row>
    <row r="379" spans="2:9" ht="15.75" customHeight="1" x14ac:dyDescent="0.3">
      <c r="B379" s="91"/>
      <c r="C379" s="96"/>
      <c r="D379" s="95"/>
      <c r="E379" s="96"/>
      <c r="F379" s="97"/>
      <c r="G379" s="50"/>
      <c r="H379" s="50"/>
      <c r="I379" s="82"/>
    </row>
    <row r="380" spans="2:9" ht="15.75" customHeight="1" x14ac:dyDescent="0.3">
      <c r="B380" s="91"/>
      <c r="C380" s="92"/>
      <c r="D380" s="93"/>
      <c r="E380" s="92"/>
      <c r="F380" s="94"/>
      <c r="G380" s="41"/>
      <c r="H380" s="41"/>
      <c r="I380" s="70"/>
    </row>
    <row r="381" spans="2:9" ht="15.75" customHeight="1" x14ac:dyDescent="0.3">
      <c r="B381" s="91"/>
      <c r="C381" s="96"/>
      <c r="D381" s="95"/>
      <c r="E381" s="96"/>
      <c r="F381" s="97"/>
      <c r="G381" s="50"/>
      <c r="H381" s="50"/>
      <c r="I381" s="82"/>
    </row>
    <row r="382" spans="2:9" ht="15.75" customHeight="1" x14ac:dyDescent="0.3">
      <c r="B382" s="91"/>
      <c r="C382" s="92"/>
      <c r="D382" s="93"/>
      <c r="E382" s="92"/>
      <c r="F382" s="94"/>
      <c r="G382" s="41"/>
      <c r="H382" s="41"/>
      <c r="I382" s="70"/>
    </row>
    <row r="383" spans="2:9" ht="15.75" customHeight="1" x14ac:dyDescent="0.3">
      <c r="B383" s="91"/>
      <c r="C383" s="96"/>
      <c r="D383" s="95"/>
      <c r="E383" s="96"/>
      <c r="F383" s="97"/>
      <c r="G383" s="50"/>
      <c r="H383" s="50"/>
      <c r="I383" s="82"/>
    </row>
    <row r="384" spans="2:9" ht="15.75" customHeight="1" x14ac:dyDescent="0.3">
      <c r="B384" s="91"/>
      <c r="C384" s="92"/>
      <c r="D384" s="93"/>
      <c r="E384" s="92"/>
      <c r="F384" s="94"/>
      <c r="G384" s="41"/>
      <c r="H384" s="41"/>
      <c r="I384" s="70"/>
    </row>
    <row r="385" spans="2:9" ht="15.75" customHeight="1" x14ac:dyDescent="0.3">
      <c r="B385" s="91"/>
      <c r="C385" s="96"/>
      <c r="D385" s="95"/>
      <c r="E385" s="96"/>
      <c r="F385" s="97"/>
      <c r="G385" s="50"/>
      <c r="H385" s="50"/>
      <c r="I385" s="82"/>
    </row>
    <row r="386" spans="2:9" ht="15.75" customHeight="1" x14ac:dyDescent="0.3">
      <c r="B386" s="91"/>
      <c r="C386" s="92"/>
      <c r="D386" s="93"/>
      <c r="E386" s="92"/>
      <c r="F386" s="94"/>
      <c r="G386" s="41"/>
      <c r="H386" s="41"/>
      <c r="I386" s="70"/>
    </row>
    <row r="387" spans="2:9" ht="15.75" customHeight="1" x14ac:dyDescent="0.3">
      <c r="B387" s="91"/>
      <c r="C387" s="96"/>
      <c r="D387" s="95"/>
      <c r="E387" s="96"/>
      <c r="F387" s="97"/>
      <c r="G387" s="50"/>
      <c r="H387" s="50"/>
      <c r="I387" s="82"/>
    </row>
    <row r="388" spans="2:9" ht="15.75" customHeight="1" x14ac:dyDescent="0.3">
      <c r="B388" s="91"/>
      <c r="C388" s="92"/>
      <c r="D388" s="93"/>
      <c r="E388" s="92"/>
      <c r="F388" s="94"/>
      <c r="G388" s="41"/>
      <c r="H388" s="41"/>
      <c r="I388" s="70"/>
    </row>
    <row r="389" spans="2:9" ht="15.75" customHeight="1" x14ac:dyDescent="0.3">
      <c r="B389" s="91"/>
      <c r="C389" s="96"/>
      <c r="D389" s="95"/>
      <c r="E389" s="96"/>
      <c r="F389" s="97"/>
      <c r="G389" s="50"/>
      <c r="H389" s="50"/>
      <c r="I389" s="82"/>
    </row>
    <row r="390" spans="2:9" ht="15.75" customHeight="1" x14ac:dyDescent="0.3">
      <c r="B390" s="91"/>
      <c r="C390" s="92"/>
      <c r="D390" s="93"/>
      <c r="E390" s="92"/>
      <c r="F390" s="94"/>
      <c r="G390" s="41"/>
      <c r="H390" s="41"/>
      <c r="I390" s="70"/>
    </row>
    <row r="391" spans="2:9" ht="15.75" customHeight="1" x14ac:dyDescent="0.3">
      <c r="B391" s="91"/>
      <c r="C391" s="96"/>
      <c r="D391" s="95"/>
      <c r="E391" s="96"/>
      <c r="F391" s="97"/>
      <c r="G391" s="50"/>
      <c r="H391" s="50"/>
      <c r="I391" s="82"/>
    </row>
    <row r="392" spans="2:9" ht="15.75" customHeight="1" x14ac:dyDescent="0.3">
      <c r="B392" s="91"/>
      <c r="C392" s="92"/>
      <c r="D392" s="93"/>
      <c r="E392" s="92"/>
      <c r="F392" s="94"/>
      <c r="G392" s="41"/>
      <c r="H392" s="41"/>
      <c r="I392" s="70"/>
    </row>
    <row r="393" spans="2:9" ht="15.75" customHeight="1" x14ac:dyDescent="0.3">
      <c r="B393" s="91"/>
      <c r="C393" s="96"/>
      <c r="D393" s="95"/>
      <c r="E393" s="96"/>
      <c r="F393" s="97"/>
      <c r="G393" s="50"/>
      <c r="H393" s="50"/>
      <c r="I393" s="82"/>
    </row>
    <row r="394" spans="2:9" ht="15.75" customHeight="1" x14ac:dyDescent="0.3">
      <c r="B394" s="91"/>
      <c r="C394" s="92"/>
      <c r="D394" s="93"/>
      <c r="E394" s="92"/>
      <c r="F394" s="94"/>
      <c r="G394" s="41"/>
      <c r="H394" s="41"/>
      <c r="I394" s="70"/>
    </row>
    <row r="395" spans="2:9" ht="15.75" customHeight="1" x14ac:dyDescent="0.3">
      <c r="B395" s="91"/>
      <c r="C395" s="96"/>
      <c r="D395" s="95"/>
      <c r="E395" s="96"/>
      <c r="F395" s="97"/>
      <c r="G395" s="50"/>
      <c r="H395" s="50"/>
      <c r="I395" s="82"/>
    </row>
    <row r="396" spans="2:9" ht="15.75" customHeight="1" x14ac:dyDescent="0.3">
      <c r="B396" s="91"/>
      <c r="C396" s="92"/>
      <c r="D396" s="93"/>
      <c r="E396" s="92"/>
      <c r="F396" s="94"/>
      <c r="G396" s="41"/>
      <c r="H396" s="41"/>
      <c r="I396" s="70"/>
    </row>
    <row r="397" spans="2:9" ht="15.75" customHeight="1" x14ac:dyDescent="0.3">
      <c r="B397" s="91"/>
      <c r="C397" s="96"/>
      <c r="D397" s="95"/>
      <c r="E397" s="96"/>
      <c r="F397" s="97"/>
      <c r="G397" s="50"/>
      <c r="H397" s="50"/>
      <c r="I397" s="82"/>
    </row>
    <row r="398" spans="2:9" ht="15.75" customHeight="1" x14ac:dyDescent="0.3">
      <c r="B398" s="91"/>
      <c r="C398" s="92"/>
      <c r="D398" s="93"/>
      <c r="E398" s="92"/>
      <c r="F398" s="94"/>
      <c r="G398" s="41"/>
      <c r="H398" s="41"/>
      <c r="I398" s="70"/>
    </row>
    <row r="399" spans="2:9" ht="15.75" customHeight="1" x14ac:dyDescent="0.3">
      <c r="B399" s="91"/>
      <c r="C399" s="96"/>
      <c r="D399" s="95"/>
      <c r="E399" s="96"/>
      <c r="F399" s="97"/>
      <c r="G399" s="50"/>
      <c r="H399" s="50"/>
      <c r="I399" s="82"/>
    </row>
    <row r="400" spans="2:9" ht="15.75" customHeight="1" x14ac:dyDescent="0.3">
      <c r="B400" s="91"/>
      <c r="C400" s="92"/>
      <c r="D400" s="93"/>
      <c r="E400" s="92"/>
      <c r="F400" s="94"/>
      <c r="G400" s="41"/>
      <c r="H400" s="41"/>
      <c r="I400" s="70"/>
    </row>
    <row r="401" spans="2:9" ht="15.75" customHeight="1" x14ac:dyDescent="0.3">
      <c r="B401" s="91"/>
      <c r="C401" s="96"/>
      <c r="D401" s="95"/>
      <c r="E401" s="96"/>
      <c r="F401" s="97"/>
      <c r="G401" s="50"/>
      <c r="H401" s="50"/>
      <c r="I401" s="82"/>
    </row>
    <row r="402" spans="2:9" ht="15.75" customHeight="1" x14ac:dyDescent="0.3">
      <c r="B402" s="91"/>
      <c r="C402" s="92"/>
      <c r="D402" s="93"/>
      <c r="E402" s="92"/>
      <c r="F402" s="94"/>
      <c r="G402" s="41"/>
      <c r="H402" s="41"/>
      <c r="I402" s="70"/>
    </row>
    <row r="403" spans="2:9" ht="15.75" customHeight="1" x14ac:dyDescent="0.3">
      <c r="B403" s="91"/>
      <c r="C403" s="96"/>
      <c r="D403" s="95"/>
      <c r="E403" s="96"/>
      <c r="F403" s="97"/>
      <c r="G403" s="50"/>
      <c r="H403" s="50"/>
      <c r="I403" s="82"/>
    </row>
    <row r="404" spans="2:9" ht="15.75" customHeight="1" x14ac:dyDescent="0.3">
      <c r="B404" s="91"/>
      <c r="C404" s="92"/>
      <c r="D404" s="93"/>
      <c r="E404" s="92"/>
      <c r="F404" s="94"/>
      <c r="G404" s="41"/>
      <c r="H404" s="41"/>
      <c r="I404" s="70"/>
    </row>
    <row r="405" spans="2:9" ht="15.75" customHeight="1" x14ac:dyDescent="0.3">
      <c r="B405" s="91"/>
      <c r="C405" s="96"/>
      <c r="D405" s="95"/>
      <c r="E405" s="96"/>
      <c r="F405" s="97"/>
      <c r="G405" s="50"/>
      <c r="H405" s="50"/>
      <c r="I405" s="82"/>
    </row>
    <row r="406" spans="2:9" ht="15.75" customHeight="1" x14ac:dyDescent="0.3">
      <c r="B406" s="91"/>
      <c r="C406" s="92"/>
      <c r="D406" s="93"/>
      <c r="E406" s="92"/>
      <c r="F406" s="94"/>
      <c r="G406" s="41"/>
      <c r="H406" s="41"/>
      <c r="I406" s="70"/>
    </row>
    <row r="407" spans="2:9" ht="15.75" customHeight="1" x14ac:dyDescent="0.3">
      <c r="B407" s="91"/>
      <c r="C407" s="96"/>
      <c r="D407" s="95"/>
      <c r="E407" s="96"/>
      <c r="F407" s="97"/>
      <c r="G407" s="50"/>
      <c r="H407" s="50"/>
      <c r="I407" s="82"/>
    </row>
    <row r="408" spans="2:9" ht="15.75" customHeight="1" x14ac:dyDescent="0.3">
      <c r="B408" s="91"/>
      <c r="C408" s="92"/>
      <c r="D408" s="93"/>
      <c r="E408" s="92"/>
      <c r="F408" s="94"/>
      <c r="G408" s="41"/>
      <c r="H408" s="41"/>
      <c r="I408" s="70"/>
    </row>
    <row r="409" spans="2:9" ht="15.75" customHeight="1" x14ac:dyDescent="0.3">
      <c r="B409" s="91"/>
      <c r="C409" s="96"/>
      <c r="D409" s="95"/>
      <c r="E409" s="96"/>
      <c r="F409" s="97"/>
      <c r="G409" s="50"/>
      <c r="H409" s="50"/>
      <c r="I409" s="82"/>
    </row>
    <row r="410" spans="2:9" ht="15.75" customHeight="1" x14ac:dyDescent="0.3">
      <c r="B410" s="91"/>
      <c r="C410" s="92"/>
      <c r="D410" s="93"/>
      <c r="E410" s="92"/>
      <c r="F410" s="94"/>
      <c r="G410" s="41"/>
      <c r="H410" s="41"/>
      <c r="I410" s="70"/>
    </row>
    <row r="411" spans="2:9" ht="15.75" customHeight="1" x14ac:dyDescent="0.3">
      <c r="B411" s="91"/>
      <c r="C411" s="96"/>
      <c r="D411" s="95"/>
      <c r="E411" s="96"/>
      <c r="F411" s="97"/>
      <c r="G411" s="50"/>
      <c r="H411" s="50"/>
      <c r="I411" s="82"/>
    </row>
    <row r="412" spans="2:9" ht="15.75" customHeight="1" x14ac:dyDescent="0.3">
      <c r="B412" s="91"/>
      <c r="C412" s="92"/>
      <c r="D412" s="93"/>
      <c r="E412" s="92"/>
      <c r="F412" s="94"/>
      <c r="G412" s="41"/>
      <c r="H412" s="41"/>
      <c r="I412" s="70"/>
    </row>
    <row r="413" spans="2:9" ht="15.75" customHeight="1" x14ac:dyDescent="0.3">
      <c r="B413" s="91"/>
      <c r="C413" s="96"/>
      <c r="D413" s="95"/>
      <c r="E413" s="96"/>
      <c r="F413" s="97"/>
      <c r="G413" s="50"/>
      <c r="H413" s="50"/>
      <c r="I413" s="82"/>
    </row>
    <row r="414" spans="2:9" ht="15.75" customHeight="1" x14ac:dyDescent="0.3">
      <c r="B414" s="91"/>
      <c r="C414" s="92"/>
      <c r="D414" s="93"/>
      <c r="E414" s="92"/>
      <c r="F414" s="94"/>
      <c r="G414" s="41"/>
      <c r="H414" s="41"/>
      <c r="I414" s="70"/>
    </row>
    <row r="415" spans="2:9" ht="15.75" customHeight="1" x14ac:dyDescent="0.3">
      <c r="B415" s="91"/>
      <c r="C415" s="96"/>
      <c r="D415" s="95"/>
      <c r="E415" s="96"/>
      <c r="F415" s="97"/>
      <c r="G415" s="50"/>
      <c r="H415" s="50"/>
      <c r="I415" s="82"/>
    </row>
    <row r="416" spans="2:9" ht="15.75" customHeight="1" x14ac:dyDescent="0.3">
      <c r="B416" s="91"/>
      <c r="C416" s="92"/>
      <c r="D416" s="93"/>
      <c r="E416" s="92"/>
      <c r="F416" s="94"/>
      <c r="G416" s="41"/>
      <c r="H416" s="41"/>
      <c r="I416" s="70"/>
    </row>
    <row r="417" spans="2:9" ht="15.75" customHeight="1" x14ac:dyDescent="0.3">
      <c r="B417" s="91"/>
      <c r="C417" s="96"/>
      <c r="D417" s="95"/>
      <c r="E417" s="96"/>
      <c r="F417" s="97"/>
      <c r="G417" s="50"/>
      <c r="H417" s="50"/>
      <c r="I417" s="82"/>
    </row>
    <row r="418" spans="2:9" ht="15.75" customHeight="1" x14ac:dyDescent="0.3">
      <c r="B418" s="91"/>
      <c r="C418" s="92"/>
      <c r="D418" s="93"/>
      <c r="E418" s="92"/>
      <c r="F418" s="94"/>
      <c r="G418" s="41"/>
      <c r="H418" s="41"/>
      <c r="I418" s="70"/>
    </row>
    <row r="419" spans="2:9" ht="15.75" customHeight="1" x14ac:dyDescent="0.3">
      <c r="B419" s="91"/>
      <c r="C419" s="96"/>
      <c r="D419" s="95"/>
      <c r="E419" s="96"/>
      <c r="F419" s="97"/>
      <c r="G419" s="50"/>
      <c r="H419" s="50"/>
      <c r="I419" s="82"/>
    </row>
    <row r="420" spans="2:9" ht="15.75" customHeight="1" x14ac:dyDescent="0.3">
      <c r="B420" s="91"/>
      <c r="C420" s="92"/>
      <c r="D420" s="93"/>
      <c r="E420" s="92"/>
      <c r="F420" s="94"/>
      <c r="G420" s="41"/>
      <c r="H420" s="41"/>
      <c r="I420" s="70"/>
    </row>
    <row r="421" spans="2:9" ht="15.75" customHeight="1" x14ac:dyDescent="0.3">
      <c r="B421" s="91"/>
      <c r="C421" s="96"/>
      <c r="D421" s="95"/>
      <c r="E421" s="96"/>
      <c r="F421" s="97"/>
      <c r="G421" s="50"/>
      <c r="H421" s="50"/>
      <c r="I421" s="82"/>
    </row>
    <row r="422" spans="2:9" ht="15.75" customHeight="1" x14ac:dyDescent="0.3">
      <c r="B422" s="91"/>
      <c r="C422" s="92"/>
      <c r="D422" s="93"/>
      <c r="E422" s="92"/>
      <c r="F422" s="94"/>
      <c r="G422" s="41"/>
      <c r="H422" s="41"/>
      <c r="I422" s="70"/>
    </row>
    <row r="423" spans="2:9" ht="15.75" customHeight="1" x14ac:dyDescent="0.3">
      <c r="B423" s="91"/>
      <c r="C423" s="96"/>
      <c r="D423" s="95"/>
      <c r="E423" s="96"/>
      <c r="F423" s="97"/>
      <c r="G423" s="50"/>
      <c r="H423" s="50"/>
      <c r="I423" s="82"/>
    </row>
    <row r="424" spans="2:9" ht="15.75" customHeight="1" x14ac:dyDescent="0.3">
      <c r="B424" s="91"/>
      <c r="C424" s="92"/>
      <c r="D424" s="93"/>
      <c r="E424" s="92"/>
      <c r="F424" s="94"/>
      <c r="G424" s="41"/>
      <c r="H424" s="41"/>
      <c r="I424" s="70"/>
    </row>
    <row r="425" spans="2:9" ht="15.75" customHeight="1" x14ac:dyDescent="0.3">
      <c r="B425" s="91"/>
      <c r="C425" s="96"/>
      <c r="D425" s="95"/>
      <c r="E425" s="96"/>
      <c r="F425" s="97"/>
      <c r="G425" s="50"/>
      <c r="H425" s="50"/>
      <c r="I425" s="82"/>
    </row>
    <row r="426" spans="2:9" ht="15.75" customHeight="1" x14ac:dyDescent="0.3">
      <c r="B426" s="91"/>
      <c r="C426" s="92"/>
      <c r="D426" s="93"/>
      <c r="E426" s="92"/>
      <c r="F426" s="94"/>
      <c r="G426" s="41"/>
      <c r="H426" s="41"/>
      <c r="I426" s="70"/>
    </row>
    <row r="427" spans="2:9" ht="15.75" customHeight="1" x14ac:dyDescent="0.3">
      <c r="B427" s="91"/>
      <c r="C427" s="96"/>
      <c r="D427" s="95"/>
      <c r="E427" s="96"/>
      <c r="F427" s="97"/>
      <c r="G427" s="50"/>
      <c r="H427" s="50"/>
      <c r="I427" s="82"/>
    </row>
    <row r="428" spans="2:9" ht="15.75" customHeight="1" x14ac:dyDescent="0.3">
      <c r="B428" s="91"/>
      <c r="C428" s="92"/>
      <c r="D428" s="93"/>
      <c r="E428" s="92"/>
      <c r="F428" s="94"/>
      <c r="G428" s="41"/>
      <c r="H428" s="41"/>
      <c r="I428" s="70"/>
    </row>
    <row r="429" spans="2:9" ht="15.75" customHeight="1" x14ac:dyDescent="0.3">
      <c r="B429" s="91"/>
      <c r="C429" s="96"/>
      <c r="D429" s="95"/>
      <c r="E429" s="96"/>
      <c r="F429" s="97"/>
      <c r="G429" s="50"/>
      <c r="H429" s="50"/>
      <c r="I429" s="82"/>
    </row>
    <row r="430" spans="2:9" ht="15.75" customHeight="1" x14ac:dyDescent="0.3">
      <c r="B430" s="91"/>
      <c r="C430" s="92"/>
      <c r="D430" s="93"/>
      <c r="E430" s="92"/>
      <c r="F430" s="94"/>
      <c r="G430" s="41"/>
      <c r="H430" s="41"/>
      <c r="I430" s="70"/>
    </row>
    <row r="431" spans="2:9" ht="15.75" customHeight="1" x14ac:dyDescent="0.3">
      <c r="B431" s="91"/>
      <c r="C431" s="96"/>
      <c r="D431" s="95"/>
      <c r="E431" s="96"/>
      <c r="F431" s="97"/>
      <c r="G431" s="50"/>
      <c r="H431" s="50"/>
      <c r="I431" s="82"/>
    </row>
    <row r="432" spans="2:9" ht="15.75" customHeight="1" x14ac:dyDescent="0.3">
      <c r="B432" s="91"/>
      <c r="C432" s="92"/>
      <c r="D432" s="93"/>
      <c r="E432" s="92"/>
      <c r="F432" s="94"/>
      <c r="G432" s="41"/>
      <c r="H432" s="41"/>
      <c r="I432" s="70"/>
    </row>
    <row r="433" spans="2:9" ht="15.75" customHeight="1" x14ac:dyDescent="0.3">
      <c r="B433" s="91"/>
      <c r="C433" s="96"/>
      <c r="D433" s="95"/>
      <c r="E433" s="96"/>
      <c r="F433" s="97"/>
      <c r="G433" s="50"/>
      <c r="H433" s="50"/>
      <c r="I433" s="82"/>
    </row>
    <row r="434" spans="2:9" ht="15.75" customHeight="1" x14ac:dyDescent="0.3">
      <c r="B434" s="91"/>
      <c r="C434" s="92"/>
      <c r="D434" s="93"/>
      <c r="E434" s="92"/>
      <c r="F434" s="94"/>
      <c r="G434" s="41"/>
      <c r="H434" s="41"/>
      <c r="I434" s="70"/>
    </row>
    <row r="435" spans="2:9" ht="15.75" customHeight="1" x14ac:dyDescent="0.3">
      <c r="B435" s="91"/>
      <c r="C435" s="96"/>
      <c r="D435" s="95"/>
      <c r="E435" s="96"/>
      <c r="F435" s="97"/>
      <c r="G435" s="50"/>
      <c r="H435" s="50"/>
      <c r="I435" s="82"/>
    </row>
    <row r="436" spans="2:9" ht="15.75" customHeight="1" x14ac:dyDescent="0.3">
      <c r="B436" s="91"/>
      <c r="C436" s="92"/>
      <c r="D436" s="93"/>
      <c r="E436" s="92"/>
      <c r="F436" s="94"/>
      <c r="G436" s="41"/>
      <c r="H436" s="41"/>
      <c r="I436" s="70"/>
    </row>
    <row r="437" spans="2:9" ht="15.75" customHeight="1" x14ac:dyDescent="0.3">
      <c r="B437" s="91"/>
      <c r="C437" s="96"/>
      <c r="D437" s="95"/>
      <c r="E437" s="96"/>
      <c r="F437" s="97"/>
      <c r="G437" s="50"/>
      <c r="H437" s="50"/>
      <c r="I437" s="82"/>
    </row>
    <row r="438" spans="2:9" ht="15.75" customHeight="1" x14ac:dyDescent="0.3">
      <c r="B438" s="91"/>
      <c r="C438" s="92"/>
      <c r="D438" s="93"/>
      <c r="E438" s="92"/>
      <c r="F438" s="94"/>
      <c r="G438" s="41"/>
      <c r="H438" s="41"/>
      <c r="I438" s="70"/>
    </row>
    <row r="439" spans="2:9" ht="15.75" customHeight="1" x14ac:dyDescent="0.3">
      <c r="B439" s="91"/>
      <c r="C439" s="96"/>
      <c r="D439" s="95"/>
      <c r="E439" s="96"/>
      <c r="F439" s="97"/>
      <c r="G439" s="50"/>
      <c r="H439" s="50"/>
      <c r="I439" s="82"/>
    </row>
    <row r="440" spans="2:9" ht="15.75" customHeight="1" x14ac:dyDescent="0.3">
      <c r="B440" s="91"/>
      <c r="C440" s="92"/>
      <c r="D440" s="93"/>
      <c r="E440" s="92"/>
      <c r="F440" s="94"/>
      <c r="G440" s="41"/>
      <c r="H440" s="41"/>
      <c r="I440" s="70"/>
    </row>
    <row r="441" spans="2:9" ht="15.75" customHeight="1" x14ac:dyDescent="0.3">
      <c r="B441" s="91"/>
      <c r="C441" s="96"/>
      <c r="D441" s="95"/>
      <c r="E441" s="96"/>
      <c r="F441" s="97"/>
      <c r="G441" s="50"/>
      <c r="H441" s="50"/>
      <c r="I441" s="82"/>
    </row>
    <row r="442" spans="2:9" ht="15.75" customHeight="1" x14ac:dyDescent="0.3">
      <c r="B442" s="91"/>
      <c r="C442" s="92"/>
      <c r="D442" s="93"/>
      <c r="E442" s="92"/>
      <c r="F442" s="94"/>
      <c r="G442" s="41"/>
      <c r="H442" s="41"/>
      <c r="I442" s="70"/>
    </row>
    <row r="443" spans="2:9" ht="15.75" customHeight="1" x14ac:dyDescent="0.3">
      <c r="B443" s="91"/>
      <c r="C443" s="96"/>
      <c r="D443" s="95"/>
      <c r="E443" s="96"/>
      <c r="F443" s="97"/>
      <c r="G443" s="50"/>
      <c r="H443" s="50"/>
      <c r="I443" s="82"/>
    </row>
    <row r="444" spans="2:9" ht="15.75" customHeight="1" x14ac:dyDescent="0.3">
      <c r="B444" s="91"/>
      <c r="C444" s="92"/>
      <c r="D444" s="93"/>
      <c r="E444" s="92"/>
      <c r="F444" s="94"/>
      <c r="G444" s="41"/>
      <c r="H444" s="41"/>
      <c r="I444" s="70"/>
    </row>
    <row r="445" spans="2:9" ht="15.75" customHeight="1" x14ac:dyDescent="0.3">
      <c r="B445" s="91"/>
      <c r="C445" s="96"/>
      <c r="D445" s="95"/>
      <c r="E445" s="96"/>
      <c r="F445" s="97"/>
      <c r="G445" s="50"/>
      <c r="H445" s="50"/>
      <c r="I445" s="82"/>
    </row>
    <row r="446" spans="2:9" ht="15.75" customHeight="1" x14ac:dyDescent="0.3">
      <c r="B446" s="91"/>
      <c r="C446" s="92"/>
      <c r="D446" s="93"/>
      <c r="E446" s="92"/>
      <c r="F446" s="94"/>
      <c r="G446" s="41"/>
      <c r="H446" s="41"/>
      <c r="I446" s="70"/>
    </row>
    <row r="447" spans="2:9" ht="15.75" customHeight="1" x14ac:dyDescent="0.3">
      <c r="B447" s="91"/>
      <c r="C447" s="96"/>
      <c r="D447" s="95"/>
      <c r="E447" s="96"/>
      <c r="F447" s="97"/>
      <c r="G447" s="50"/>
      <c r="H447" s="50"/>
      <c r="I447" s="82"/>
    </row>
    <row r="448" spans="2:9" ht="15.75" customHeight="1" x14ac:dyDescent="0.3">
      <c r="B448" s="91"/>
      <c r="C448" s="92"/>
      <c r="D448" s="93"/>
      <c r="E448" s="92"/>
      <c r="F448" s="94"/>
      <c r="G448" s="41"/>
      <c r="H448" s="41"/>
      <c r="I448" s="70"/>
    </row>
    <row r="449" spans="2:9" ht="15.75" customHeight="1" x14ac:dyDescent="0.3">
      <c r="B449" s="91"/>
      <c r="C449" s="96"/>
      <c r="D449" s="95"/>
      <c r="E449" s="96"/>
      <c r="F449" s="97"/>
      <c r="G449" s="50"/>
      <c r="H449" s="50"/>
      <c r="I449" s="82"/>
    </row>
    <row r="450" spans="2:9" ht="15.75" customHeight="1" x14ac:dyDescent="0.3">
      <c r="B450" s="91"/>
      <c r="C450" s="92"/>
      <c r="D450" s="93"/>
      <c r="E450" s="92"/>
      <c r="F450" s="94"/>
      <c r="G450" s="41"/>
      <c r="H450" s="41"/>
      <c r="I450" s="70"/>
    </row>
    <row r="451" spans="2:9" ht="15.75" customHeight="1" x14ac:dyDescent="0.3">
      <c r="B451" s="91"/>
      <c r="C451" s="96"/>
      <c r="D451" s="95"/>
      <c r="E451" s="96"/>
      <c r="F451" s="97"/>
      <c r="G451" s="50"/>
      <c r="H451" s="50"/>
      <c r="I451" s="82"/>
    </row>
    <row r="452" spans="2:9" ht="15.75" customHeight="1" x14ac:dyDescent="0.3">
      <c r="B452" s="91"/>
      <c r="C452" s="92"/>
      <c r="D452" s="93"/>
      <c r="E452" s="92"/>
      <c r="F452" s="94"/>
      <c r="G452" s="41"/>
      <c r="H452" s="41"/>
      <c r="I452" s="70"/>
    </row>
    <row r="453" spans="2:9" ht="15.75" customHeight="1" x14ac:dyDescent="0.3">
      <c r="B453" s="91"/>
      <c r="C453" s="96"/>
      <c r="D453" s="95"/>
      <c r="E453" s="96"/>
      <c r="F453" s="97"/>
      <c r="G453" s="50"/>
      <c r="H453" s="50"/>
      <c r="I453" s="82"/>
    </row>
    <row r="454" spans="2:9" ht="15.75" customHeight="1" x14ac:dyDescent="0.3">
      <c r="B454" s="91"/>
      <c r="C454" s="92"/>
      <c r="D454" s="93"/>
      <c r="E454" s="92"/>
      <c r="F454" s="94"/>
      <c r="G454" s="41"/>
      <c r="H454" s="41"/>
      <c r="I454" s="70"/>
    </row>
    <row r="455" spans="2:9" ht="15.75" customHeight="1" x14ac:dyDescent="0.3">
      <c r="B455" s="91"/>
      <c r="C455" s="96"/>
      <c r="D455" s="95"/>
      <c r="E455" s="96"/>
      <c r="F455" s="97"/>
      <c r="G455" s="50"/>
      <c r="H455" s="50"/>
      <c r="I455" s="82"/>
    </row>
    <row r="456" spans="2:9" ht="15.75" customHeight="1" x14ac:dyDescent="0.3">
      <c r="B456" s="91"/>
      <c r="C456" s="92"/>
      <c r="D456" s="93"/>
      <c r="E456" s="92"/>
      <c r="F456" s="94"/>
      <c r="G456" s="41"/>
      <c r="H456" s="41"/>
      <c r="I456" s="70"/>
    </row>
    <row r="457" spans="2:9" ht="15.75" customHeight="1" x14ac:dyDescent="0.3">
      <c r="B457" s="91"/>
      <c r="C457" s="96"/>
      <c r="D457" s="95"/>
      <c r="E457" s="96"/>
      <c r="F457" s="97"/>
      <c r="G457" s="50"/>
      <c r="H457" s="50"/>
      <c r="I457" s="82"/>
    </row>
    <row r="458" spans="2:9" ht="15.75" customHeight="1" x14ac:dyDescent="0.3">
      <c r="B458" s="91"/>
      <c r="C458" s="92"/>
      <c r="D458" s="93"/>
      <c r="E458" s="92"/>
      <c r="F458" s="94"/>
      <c r="G458" s="41"/>
      <c r="H458" s="41"/>
      <c r="I458" s="70"/>
    </row>
    <row r="459" spans="2:9" ht="15.75" customHeight="1" x14ac:dyDescent="0.3">
      <c r="B459" s="91"/>
      <c r="C459" s="96"/>
      <c r="D459" s="95"/>
      <c r="E459" s="96"/>
      <c r="F459" s="97"/>
      <c r="G459" s="50"/>
      <c r="H459" s="50"/>
      <c r="I459" s="82"/>
    </row>
    <row r="460" spans="2:9" ht="15.75" customHeight="1" x14ac:dyDescent="0.3">
      <c r="B460" s="91"/>
      <c r="C460" s="92"/>
      <c r="D460" s="93"/>
      <c r="E460" s="92"/>
      <c r="F460" s="94"/>
      <c r="G460" s="41"/>
      <c r="H460" s="41"/>
      <c r="I460" s="70"/>
    </row>
    <row r="461" spans="2:9" ht="15.75" customHeight="1" x14ac:dyDescent="0.3">
      <c r="B461" s="91"/>
      <c r="C461" s="96"/>
      <c r="D461" s="95"/>
      <c r="E461" s="96"/>
      <c r="F461" s="97"/>
      <c r="G461" s="50"/>
      <c r="H461" s="50"/>
      <c r="I461" s="82"/>
    </row>
    <row r="462" spans="2:9" ht="15.75" customHeight="1" x14ac:dyDescent="0.3">
      <c r="B462" s="91"/>
      <c r="C462" s="92"/>
      <c r="D462" s="93"/>
      <c r="E462" s="92"/>
      <c r="F462" s="94"/>
      <c r="G462" s="41"/>
      <c r="H462" s="41"/>
      <c r="I462" s="70"/>
    </row>
    <row r="463" spans="2:9" ht="15.75" customHeight="1" x14ac:dyDescent="0.3">
      <c r="B463" s="91"/>
      <c r="C463" s="96"/>
      <c r="D463" s="95"/>
      <c r="E463" s="96"/>
      <c r="F463" s="97"/>
      <c r="G463" s="50"/>
      <c r="H463" s="50"/>
      <c r="I463" s="82"/>
    </row>
    <row r="464" spans="2:9" ht="15.75" customHeight="1" x14ac:dyDescent="0.3">
      <c r="B464" s="91"/>
      <c r="C464" s="92"/>
      <c r="D464" s="93"/>
      <c r="E464" s="92"/>
      <c r="F464" s="94"/>
      <c r="G464" s="41"/>
      <c r="H464" s="41"/>
      <c r="I464" s="70"/>
    </row>
    <row r="465" spans="2:9" ht="15.75" customHeight="1" x14ac:dyDescent="0.3">
      <c r="B465" s="91"/>
      <c r="C465" s="96"/>
      <c r="D465" s="95"/>
      <c r="E465" s="96"/>
      <c r="F465" s="97"/>
      <c r="G465" s="50"/>
      <c r="H465" s="50"/>
      <c r="I465" s="82"/>
    </row>
    <row r="466" spans="2:9" ht="15.75" customHeight="1" x14ac:dyDescent="0.3">
      <c r="B466" s="91"/>
      <c r="C466" s="92"/>
      <c r="D466" s="93"/>
      <c r="E466" s="92"/>
      <c r="F466" s="94"/>
      <c r="G466" s="41"/>
      <c r="H466" s="41"/>
      <c r="I466" s="70"/>
    </row>
    <row r="467" spans="2:9" ht="15.75" customHeight="1" x14ac:dyDescent="0.3">
      <c r="B467" s="91"/>
      <c r="C467" s="96"/>
      <c r="D467" s="95"/>
      <c r="E467" s="96"/>
      <c r="F467" s="97"/>
      <c r="G467" s="50"/>
      <c r="H467" s="50"/>
      <c r="I467" s="82"/>
    </row>
    <row r="468" spans="2:9" ht="15.75" customHeight="1" x14ac:dyDescent="0.3">
      <c r="B468" s="91"/>
      <c r="C468" s="92"/>
      <c r="D468" s="93"/>
      <c r="E468" s="92"/>
      <c r="F468" s="94"/>
      <c r="G468" s="41"/>
      <c r="H468" s="41"/>
      <c r="I468" s="70"/>
    </row>
    <row r="469" spans="2:9" ht="15.75" customHeight="1" x14ac:dyDescent="0.3">
      <c r="B469" s="91"/>
      <c r="C469" s="96"/>
      <c r="D469" s="95"/>
      <c r="E469" s="96"/>
      <c r="F469" s="97"/>
      <c r="G469" s="50"/>
      <c r="H469" s="50"/>
      <c r="I469" s="82"/>
    </row>
    <row r="470" spans="2:9" ht="15.75" customHeight="1" x14ac:dyDescent="0.3">
      <c r="B470" s="91"/>
      <c r="C470" s="92"/>
      <c r="D470" s="93"/>
      <c r="E470" s="92"/>
      <c r="F470" s="94"/>
      <c r="G470" s="41"/>
      <c r="H470" s="41"/>
      <c r="I470" s="70"/>
    </row>
    <row r="471" spans="2:9" ht="15.75" customHeight="1" x14ac:dyDescent="0.3">
      <c r="B471" s="91"/>
      <c r="C471" s="96"/>
      <c r="D471" s="95"/>
      <c r="E471" s="96"/>
      <c r="F471" s="97"/>
      <c r="G471" s="50"/>
      <c r="H471" s="50"/>
      <c r="I471" s="82"/>
    </row>
    <row r="472" spans="2:9" ht="15.75" customHeight="1" x14ac:dyDescent="0.3">
      <c r="B472" s="91"/>
      <c r="C472" s="92"/>
      <c r="D472" s="93"/>
      <c r="E472" s="92"/>
      <c r="F472" s="94"/>
      <c r="G472" s="41"/>
      <c r="H472" s="41"/>
      <c r="I472" s="70"/>
    </row>
    <row r="473" spans="2:9" ht="15.75" customHeight="1" x14ac:dyDescent="0.3">
      <c r="B473" s="91"/>
      <c r="C473" s="96"/>
      <c r="D473" s="95"/>
      <c r="E473" s="96"/>
      <c r="F473" s="97"/>
      <c r="G473" s="50"/>
      <c r="H473" s="50"/>
      <c r="I473" s="82"/>
    </row>
    <row r="474" spans="2:9" ht="15.75" customHeight="1" x14ac:dyDescent="0.3">
      <c r="B474" s="91"/>
      <c r="C474" s="92"/>
      <c r="D474" s="93"/>
      <c r="E474" s="92"/>
      <c r="F474" s="94"/>
      <c r="G474" s="41"/>
      <c r="H474" s="41"/>
      <c r="I474" s="70"/>
    </row>
    <row r="475" spans="2:9" ht="15.75" customHeight="1" x14ac:dyDescent="0.3">
      <c r="B475" s="91"/>
      <c r="C475" s="96"/>
      <c r="D475" s="95"/>
      <c r="E475" s="96"/>
      <c r="F475" s="97"/>
      <c r="G475" s="50"/>
      <c r="H475" s="50"/>
      <c r="I475" s="82"/>
    </row>
    <row r="476" spans="2:9" ht="15.75" customHeight="1" x14ac:dyDescent="0.3">
      <c r="B476" s="91"/>
      <c r="C476" s="92"/>
      <c r="D476" s="93"/>
      <c r="E476" s="92"/>
      <c r="F476" s="94"/>
      <c r="G476" s="41"/>
      <c r="H476" s="41"/>
      <c r="I476" s="70"/>
    </row>
    <row r="477" spans="2:9" ht="15.75" customHeight="1" x14ac:dyDescent="0.3">
      <c r="B477" s="91"/>
      <c r="C477" s="96"/>
      <c r="D477" s="95"/>
      <c r="E477" s="96"/>
      <c r="F477" s="97"/>
      <c r="G477" s="50"/>
      <c r="H477" s="50"/>
      <c r="I477" s="82"/>
    </row>
    <row r="478" spans="2:9" ht="15.75" customHeight="1" x14ac:dyDescent="0.3">
      <c r="B478" s="91"/>
      <c r="C478" s="92"/>
      <c r="D478" s="93"/>
      <c r="E478" s="92"/>
      <c r="F478" s="94"/>
      <c r="G478" s="41"/>
      <c r="H478" s="41"/>
      <c r="I478" s="70"/>
    </row>
    <row r="479" spans="2:9" ht="15.75" customHeight="1" x14ac:dyDescent="0.3">
      <c r="B479" s="91"/>
      <c r="C479" s="96"/>
      <c r="D479" s="95"/>
      <c r="E479" s="96"/>
      <c r="F479" s="97"/>
      <c r="G479" s="50"/>
      <c r="H479" s="50"/>
      <c r="I479" s="82"/>
    </row>
    <row r="480" spans="2:9" ht="15.75" customHeight="1" x14ac:dyDescent="0.3">
      <c r="B480" s="91"/>
      <c r="C480" s="92"/>
      <c r="D480" s="93"/>
      <c r="E480" s="92"/>
      <c r="F480" s="94"/>
      <c r="G480" s="41"/>
      <c r="H480" s="41"/>
      <c r="I480" s="70"/>
    </row>
    <row r="481" spans="2:9" ht="15.75" customHeight="1" x14ac:dyDescent="0.3">
      <c r="B481" s="91"/>
      <c r="C481" s="96"/>
      <c r="D481" s="95"/>
      <c r="E481" s="96"/>
      <c r="F481" s="97"/>
      <c r="G481" s="50"/>
      <c r="H481" s="50"/>
      <c r="I481" s="82"/>
    </row>
    <row r="482" spans="2:9" ht="15.75" customHeight="1" x14ac:dyDescent="0.3">
      <c r="B482" s="91"/>
      <c r="C482" s="92"/>
      <c r="D482" s="93"/>
      <c r="E482" s="92"/>
      <c r="F482" s="94"/>
      <c r="G482" s="41"/>
      <c r="H482" s="41"/>
      <c r="I482" s="70"/>
    </row>
    <row r="483" spans="2:9" ht="15.75" customHeight="1" x14ac:dyDescent="0.3">
      <c r="B483" s="91"/>
      <c r="C483" s="96"/>
      <c r="D483" s="95"/>
      <c r="E483" s="96"/>
      <c r="F483" s="97"/>
      <c r="G483" s="50"/>
      <c r="H483" s="50"/>
      <c r="I483" s="82"/>
    </row>
    <row r="484" spans="2:9" ht="15.75" customHeight="1" x14ac:dyDescent="0.3">
      <c r="B484" s="91"/>
      <c r="C484" s="92"/>
      <c r="D484" s="93"/>
      <c r="E484" s="92"/>
      <c r="F484" s="94"/>
      <c r="G484" s="41"/>
      <c r="H484" s="41"/>
      <c r="I484" s="70"/>
    </row>
    <row r="485" spans="2:9" ht="15.75" customHeight="1" x14ac:dyDescent="0.3">
      <c r="B485" s="91"/>
      <c r="C485" s="96"/>
      <c r="D485" s="95"/>
      <c r="E485" s="96"/>
      <c r="F485" s="97"/>
      <c r="G485" s="50"/>
      <c r="H485" s="50"/>
      <c r="I485" s="82"/>
    </row>
    <row r="486" spans="2:9" ht="15.75" customHeight="1" x14ac:dyDescent="0.3">
      <c r="B486" s="91"/>
      <c r="C486" s="92"/>
      <c r="D486" s="93"/>
      <c r="E486" s="92"/>
      <c r="F486" s="94"/>
      <c r="G486" s="41"/>
      <c r="H486" s="41"/>
      <c r="I486" s="70"/>
    </row>
    <row r="487" spans="2:9" ht="15.75" customHeight="1" x14ac:dyDescent="0.3">
      <c r="B487" s="91"/>
      <c r="C487" s="96"/>
      <c r="D487" s="95"/>
      <c r="E487" s="96"/>
      <c r="F487" s="97"/>
      <c r="G487" s="50"/>
      <c r="H487" s="50"/>
      <c r="I487" s="82"/>
    </row>
    <row r="488" spans="2:9" ht="15.75" customHeight="1" x14ac:dyDescent="0.3">
      <c r="B488" s="91"/>
      <c r="C488" s="92"/>
      <c r="D488" s="93"/>
      <c r="E488" s="92"/>
      <c r="F488" s="94"/>
      <c r="G488" s="41"/>
      <c r="H488" s="41"/>
      <c r="I488" s="70"/>
    </row>
    <row r="489" spans="2:9" ht="15.75" customHeight="1" x14ac:dyDescent="0.3">
      <c r="B489" s="91"/>
      <c r="C489" s="96"/>
      <c r="D489" s="95"/>
      <c r="E489" s="96"/>
      <c r="F489" s="97"/>
      <c r="G489" s="50"/>
      <c r="H489" s="50"/>
      <c r="I489" s="82"/>
    </row>
    <row r="490" spans="2:9" ht="15.75" customHeight="1" x14ac:dyDescent="0.3">
      <c r="B490" s="91"/>
      <c r="C490" s="92"/>
      <c r="D490" s="93"/>
      <c r="E490" s="92"/>
      <c r="F490" s="94"/>
      <c r="G490" s="41"/>
      <c r="H490" s="41"/>
      <c r="I490" s="70"/>
    </row>
    <row r="491" spans="2:9" ht="15.75" customHeight="1" x14ac:dyDescent="0.3">
      <c r="B491" s="91"/>
      <c r="C491" s="96"/>
      <c r="D491" s="95"/>
      <c r="E491" s="96"/>
      <c r="F491" s="97"/>
      <c r="G491" s="50"/>
      <c r="H491" s="50"/>
      <c r="I491" s="82"/>
    </row>
    <row r="492" spans="2:9" ht="15.75" customHeight="1" x14ac:dyDescent="0.3">
      <c r="B492" s="91"/>
      <c r="C492" s="92"/>
      <c r="D492" s="93"/>
      <c r="E492" s="92"/>
      <c r="F492" s="94"/>
      <c r="G492" s="41"/>
      <c r="H492" s="41"/>
      <c r="I492" s="70"/>
    </row>
    <row r="493" spans="2:9" ht="15.75" customHeight="1" x14ac:dyDescent="0.3">
      <c r="B493" s="91"/>
      <c r="C493" s="96"/>
      <c r="D493" s="95"/>
      <c r="E493" s="96"/>
      <c r="F493" s="97"/>
      <c r="G493" s="50"/>
      <c r="H493" s="50"/>
      <c r="I493" s="82"/>
    </row>
    <row r="494" spans="2:9" ht="15.75" customHeight="1" x14ac:dyDescent="0.3">
      <c r="B494" s="91"/>
      <c r="C494" s="92"/>
      <c r="D494" s="93"/>
      <c r="E494" s="92"/>
      <c r="F494" s="94"/>
      <c r="G494" s="41"/>
      <c r="H494" s="41"/>
      <c r="I494" s="70"/>
    </row>
    <row r="495" spans="2:9" ht="15.75" customHeight="1" x14ac:dyDescent="0.3">
      <c r="B495" s="91"/>
      <c r="C495" s="96"/>
      <c r="D495" s="95"/>
      <c r="E495" s="96"/>
      <c r="F495" s="97"/>
      <c r="G495" s="50"/>
      <c r="H495" s="50"/>
      <c r="I495" s="82"/>
    </row>
    <row r="496" spans="2:9" ht="15.75" customHeight="1" x14ac:dyDescent="0.3">
      <c r="B496" s="91"/>
      <c r="C496" s="92"/>
      <c r="D496" s="93"/>
      <c r="E496" s="92"/>
      <c r="F496" s="94"/>
      <c r="G496" s="41"/>
      <c r="H496" s="41"/>
      <c r="I496" s="70"/>
    </row>
    <row r="497" spans="2:9" ht="15.75" customHeight="1" x14ac:dyDescent="0.3">
      <c r="B497" s="91"/>
      <c r="C497" s="96"/>
      <c r="D497" s="95"/>
      <c r="E497" s="96"/>
      <c r="F497" s="97"/>
      <c r="G497" s="50"/>
      <c r="H497" s="50"/>
      <c r="I497" s="82"/>
    </row>
    <row r="498" spans="2:9" ht="15.75" customHeight="1" x14ac:dyDescent="0.3">
      <c r="B498" s="91"/>
      <c r="C498" s="92"/>
      <c r="D498" s="93"/>
      <c r="E498" s="92"/>
      <c r="F498" s="94"/>
      <c r="G498" s="41"/>
      <c r="H498" s="41"/>
      <c r="I498" s="70"/>
    </row>
    <row r="499" spans="2:9" ht="15.75" customHeight="1" x14ac:dyDescent="0.3">
      <c r="B499" s="91"/>
      <c r="C499" s="96"/>
      <c r="D499" s="95"/>
      <c r="E499" s="96"/>
      <c r="F499" s="97"/>
      <c r="G499" s="50"/>
      <c r="H499" s="50"/>
      <c r="I499" s="82"/>
    </row>
    <row r="500" spans="2:9" ht="15.75" customHeight="1" x14ac:dyDescent="0.3">
      <c r="B500" s="91"/>
      <c r="C500" s="92"/>
      <c r="D500" s="93"/>
      <c r="E500" s="92"/>
      <c r="F500" s="94"/>
      <c r="G500" s="41"/>
      <c r="H500" s="41"/>
      <c r="I500" s="70"/>
    </row>
    <row r="501" spans="2:9" ht="15.75" customHeight="1" x14ac:dyDescent="0.3">
      <c r="B501" s="91"/>
      <c r="C501" s="96"/>
      <c r="D501" s="95"/>
      <c r="E501" s="96"/>
      <c r="F501" s="97"/>
      <c r="G501" s="50"/>
      <c r="H501" s="50"/>
      <c r="I501" s="82"/>
    </row>
    <row r="502" spans="2:9" ht="15.75" customHeight="1" x14ac:dyDescent="0.3">
      <c r="B502" s="91"/>
      <c r="C502" s="92"/>
      <c r="D502" s="93"/>
      <c r="E502" s="92"/>
      <c r="F502" s="94"/>
      <c r="G502" s="41"/>
      <c r="H502" s="41"/>
      <c r="I502" s="70"/>
    </row>
    <row r="503" spans="2:9" ht="15.75" customHeight="1" x14ac:dyDescent="0.3">
      <c r="B503" s="91"/>
      <c r="C503" s="96"/>
      <c r="D503" s="95"/>
      <c r="E503" s="96"/>
      <c r="F503" s="97"/>
      <c r="G503" s="50"/>
      <c r="H503" s="50"/>
      <c r="I503" s="82"/>
    </row>
    <row r="504" spans="2:9" ht="15.75" customHeight="1" x14ac:dyDescent="0.3">
      <c r="B504" s="91"/>
      <c r="C504" s="92"/>
      <c r="D504" s="93"/>
      <c r="E504" s="92"/>
      <c r="F504" s="94"/>
      <c r="G504" s="41"/>
      <c r="H504" s="41"/>
      <c r="I504" s="70"/>
    </row>
    <row r="505" spans="2:9" ht="15.75" customHeight="1" x14ac:dyDescent="0.3">
      <c r="B505" s="91"/>
      <c r="C505" s="96"/>
      <c r="D505" s="95"/>
      <c r="E505" s="96"/>
      <c r="F505" s="97"/>
      <c r="G505" s="50"/>
      <c r="H505" s="50"/>
      <c r="I505" s="82"/>
    </row>
    <row r="506" spans="2:9" ht="15.75" customHeight="1" x14ac:dyDescent="0.3">
      <c r="B506" s="91"/>
      <c r="C506" s="92"/>
      <c r="D506" s="93"/>
      <c r="E506" s="92"/>
      <c r="F506" s="94"/>
      <c r="G506" s="41"/>
      <c r="H506" s="41"/>
      <c r="I506" s="70"/>
    </row>
    <row r="507" spans="2:9" ht="15.75" customHeight="1" x14ac:dyDescent="0.3">
      <c r="B507" s="91"/>
      <c r="C507" s="96"/>
      <c r="D507" s="95"/>
      <c r="E507" s="96"/>
      <c r="F507" s="97"/>
      <c r="G507" s="50"/>
      <c r="H507" s="50"/>
      <c r="I507" s="82"/>
    </row>
    <row r="508" spans="2:9" ht="15.75" customHeight="1" x14ac:dyDescent="0.3">
      <c r="B508" s="91"/>
      <c r="C508" s="92"/>
      <c r="D508" s="93"/>
      <c r="E508" s="92"/>
      <c r="F508" s="94"/>
      <c r="G508" s="41"/>
      <c r="H508" s="41"/>
      <c r="I508" s="70"/>
    </row>
    <row r="509" spans="2:9" ht="15.75" customHeight="1" x14ac:dyDescent="0.3">
      <c r="B509" s="91"/>
      <c r="C509" s="96"/>
      <c r="D509" s="95"/>
      <c r="E509" s="96"/>
      <c r="F509" s="97"/>
      <c r="G509" s="50"/>
      <c r="H509" s="50"/>
      <c r="I509" s="82"/>
    </row>
  </sheetData>
  <mergeCells count="4">
    <mergeCell ref="A2:D2"/>
    <mergeCell ref="E2:I2"/>
    <mergeCell ref="A3:I3"/>
    <mergeCell ref="B8:I8"/>
  </mergeCells>
  <conditionalFormatting sqref="C10:C508">
    <cfRule type="expression" dxfId="11" priority="2">
      <formula>C10="Ingredients"</formula>
    </cfRule>
    <cfRule type="expression" dxfId="10" priority="3">
      <formula>C10="Staff"</formula>
    </cfRule>
    <cfRule type="expression" dxfId="9" priority="4">
      <formula>C10="Utilities"</formula>
    </cfRule>
    <cfRule type="expression" dxfId="8" priority="5">
      <formula>C10="Rent"</formula>
    </cfRule>
    <cfRule type="expression" dxfId="7" priority="6">
      <formula>C10="Supplies"</formula>
    </cfRule>
  </conditionalFormatting>
  <dataValidations count="1">
    <dataValidation type="list" showInputMessage="1" showErrorMessage="1" sqref="C10:C508" xr:uid="{00000000-0002-0000-0300-000000000000}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95C"/>
  </sheetPr>
  <dimension ref="A1:K67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defaultColWidth="8.6640625" defaultRowHeight="14.4" customHeight="1" x14ac:dyDescent="0.3"/>
  <cols>
    <col min="1" max="1" width="4" customWidth="1"/>
    <col min="2" max="2" width="26" customWidth="1"/>
    <col min="3" max="3" width="16" customWidth="1"/>
    <col min="4" max="4" width="10" customWidth="1"/>
    <col min="5" max="5" width="14" customWidth="1"/>
    <col min="6" max="7" width="12" customWidth="1"/>
    <col min="8" max="8" width="14" customWidth="1"/>
    <col min="9" max="9" width="16" customWidth="1"/>
    <col min="10" max="10" width="20" customWidth="1"/>
    <col min="11" max="11" width="18" customWidth="1"/>
  </cols>
  <sheetData>
    <row r="1" spans="1:11" ht="4.5" customHeigh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37.5" customHeight="1" x14ac:dyDescent="0.3">
      <c r="A2" s="182" t="s">
        <v>238</v>
      </c>
      <c r="B2" s="183"/>
      <c r="C2" s="183"/>
      <c r="D2" s="183"/>
      <c r="E2" s="183"/>
      <c r="F2" s="184" t="s">
        <v>239</v>
      </c>
      <c r="G2" s="183"/>
      <c r="H2" s="183"/>
      <c r="I2" s="183"/>
      <c r="J2" s="183"/>
      <c r="K2" s="183"/>
    </row>
    <row r="3" spans="1:11" ht="3.75" customHeight="1" x14ac:dyDescent="0.3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</row>
    <row r="4" spans="1:11" ht="7.5" customHeight="1" x14ac:dyDescent="0.3"/>
    <row r="5" spans="1:11" ht="18" customHeight="1" x14ac:dyDescent="0.3">
      <c r="B5" s="86" t="s">
        <v>240</v>
      </c>
      <c r="D5" s="86" t="s">
        <v>241</v>
      </c>
      <c r="E5" s="86" t="s">
        <v>242</v>
      </c>
      <c r="F5" s="86" t="s">
        <v>243</v>
      </c>
      <c r="H5" s="86" t="s">
        <v>244</v>
      </c>
      <c r="J5" s="86" t="s">
        <v>245</v>
      </c>
    </row>
    <row r="6" spans="1:11" ht="25.5" customHeight="1" x14ac:dyDescent="0.3">
      <c r="B6" s="106">
        <f>COUNTA(B9:B200)</f>
        <v>59</v>
      </c>
      <c r="D6" s="107">
        <f>COUNTIF(J9:J200,"⚠️ LOW STOCK")</f>
        <v>0</v>
      </c>
      <c r="E6" s="107">
        <f>COUNTIF(J9:J200,"⚠️ LOW STOCK")+COUNTIF(J9:J200,"🚫 OUT OF STOCK")</f>
        <v>0</v>
      </c>
      <c r="F6" s="108">
        <f>COUNTIF(J9:J200,"🚫 OUT OF STOCK")</f>
        <v>0</v>
      </c>
      <c r="H6" s="108">
        <f>COUNTIF(J9:J200,"⚠️ LOW STOCK")+COUNTIF(J9:J200,"🚫 OUT OF STOCK")</f>
        <v>0</v>
      </c>
      <c r="J6" s="109">
        <f ca="1">TODAY()</f>
        <v>46165</v>
      </c>
    </row>
    <row r="7" spans="1:11" ht="7.5" customHeight="1" x14ac:dyDescent="0.3"/>
    <row r="8" spans="1:11" ht="19.5" customHeight="1" x14ac:dyDescent="0.3">
      <c r="B8" s="260" t="s">
        <v>246</v>
      </c>
      <c r="C8" s="195"/>
      <c r="D8" s="195"/>
      <c r="E8" s="195"/>
      <c r="F8" s="195"/>
      <c r="G8" s="195"/>
      <c r="H8" s="195"/>
      <c r="I8" s="195"/>
      <c r="J8" s="195"/>
      <c r="K8" s="195"/>
    </row>
    <row r="9" spans="1:11" ht="27.75" customHeight="1" x14ac:dyDescent="0.3">
      <c r="B9" s="33" t="s">
        <v>146</v>
      </c>
      <c r="C9" s="33" t="s">
        <v>68</v>
      </c>
      <c r="D9" s="33" t="s">
        <v>247</v>
      </c>
      <c r="E9" s="33" t="s">
        <v>248</v>
      </c>
      <c r="F9" s="33" t="s">
        <v>147</v>
      </c>
      <c r="G9" s="33" t="s">
        <v>249</v>
      </c>
      <c r="H9" s="33" t="s">
        <v>250</v>
      </c>
      <c r="I9" s="33" t="s">
        <v>251</v>
      </c>
      <c r="J9" s="33" t="s">
        <v>39</v>
      </c>
      <c r="K9" s="33" t="s">
        <v>252</v>
      </c>
    </row>
    <row r="10" spans="1:11" ht="15.75" customHeight="1" x14ac:dyDescent="0.3">
      <c r="B10" s="110" t="s">
        <v>253</v>
      </c>
      <c r="C10" s="42" t="s">
        <v>254</v>
      </c>
      <c r="D10" s="41" t="s">
        <v>255</v>
      </c>
      <c r="E10" s="111">
        <v>200</v>
      </c>
      <c r="F10" s="112">
        <v>100</v>
      </c>
      <c r="G10" s="113">
        <v>1.5</v>
      </c>
      <c r="H10" s="112">
        <v>200</v>
      </c>
      <c r="I10" s="114">
        <f t="shared" ref="I10:I41" si="0">E10*G10</f>
        <v>300</v>
      </c>
      <c r="J10" s="115" t="str">
        <f t="shared" ref="J10:J41" si="1">IF(E10=0,"🚫 OUT OF STOCK",IF(E10&lt;=F10,"⚠️ LOW STOCK","✅ OK"))</f>
        <v>✅ OK</v>
      </c>
      <c r="K10" s="116"/>
    </row>
    <row r="11" spans="1:11" ht="15.75" customHeight="1" x14ac:dyDescent="0.3">
      <c r="B11" s="117" t="s">
        <v>256</v>
      </c>
      <c r="C11" s="51" t="s">
        <v>254</v>
      </c>
      <c r="D11" s="50" t="s">
        <v>255</v>
      </c>
      <c r="E11" s="118">
        <v>100</v>
      </c>
      <c r="F11" s="119">
        <v>50</v>
      </c>
      <c r="G11" s="120">
        <v>2</v>
      </c>
      <c r="H11" s="119">
        <v>100</v>
      </c>
      <c r="I11" s="121">
        <f t="shared" si="0"/>
        <v>200</v>
      </c>
      <c r="J11" s="122" t="str">
        <f t="shared" si="1"/>
        <v>✅ OK</v>
      </c>
      <c r="K11" s="123"/>
    </row>
    <row r="12" spans="1:11" ht="15.75" customHeight="1" x14ac:dyDescent="0.3">
      <c r="B12" s="110" t="s">
        <v>257</v>
      </c>
      <c r="C12" s="42" t="s">
        <v>258</v>
      </c>
      <c r="D12" s="41" t="s">
        <v>255</v>
      </c>
      <c r="E12" s="111">
        <v>30</v>
      </c>
      <c r="F12" s="112">
        <v>15</v>
      </c>
      <c r="G12" s="113">
        <v>18</v>
      </c>
      <c r="H12" s="112">
        <v>30</v>
      </c>
      <c r="I12" s="114">
        <f t="shared" si="0"/>
        <v>540</v>
      </c>
      <c r="J12" s="115" t="str">
        <f t="shared" si="1"/>
        <v>✅ OK</v>
      </c>
      <c r="K12" s="116"/>
    </row>
    <row r="13" spans="1:11" ht="15.75" customHeight="1" x14ac:dyDescent="0.3">
      <c r="B13" s="117" t="s">
        <v>259</v>
      </c>
      <c r="C13" s="51" t="s">
        <v>258</v>
      </c>
      <c r="D13" s="50" t="s">
        <v>255</v>
      </c>
      <c r="E13" s="118">
        <v>40</v>
      </c>
      <c r="F13" s="119">
        <v>20</v>
      </c>
      <c r="G13" s="120">
        <v>8</v>
      </c>
      <c r="H13" s="119">
        <v>40</v>
      </c>
      <c r="I13" s="121">
        <f t="shared" si="0"/>
        <v>320</v>
      </c>
      <c r="J13" s="122" t="str">
        <f t="shared" si="1"/>
        <v>✅ OK</v>
      </c>
      <c r="K13" s="123"/>
    </row>
    <row r="14" spans="1:11" ht="15.75" customHeight="1" x14ac:dyDescent="0.3">
      <c r="B14" s="110" t="s">
        <v>260</v>
      </c>
      <c r="C14" s="42" t="s">
        <v>258</v>
      </c>
      <c r="D14" s="41" t="s">
        <v>255</v>
      </c>
      <c r="E14" s="111">
        <v>25</v>
      </c>
      <c r="F14" s="112">
        <v>10</v>
      </c>
      <c r="G14" s="113">
        <v>20</v>
      </c>
      <c r="H14" s="112">
        <v>25</v>
      </c>
      <c r="I14" s="114">
        <f t="shared" si="0"/>
        <v>500</v>
      </c>
      <c r="J14" s="115" t="str">
        <f t="shared" si="1"/>
        <v>✅ OK</v>
      </c>
      <c r="K14" s="116"/>
    </row>
    <row r="15" spans="1:11" ht="15.75" customHeight="1" x14ac:dyDescent="0.3">
      <c r="B15" s="117" t="s">
        <v>261</v>
      </c>
      <c r="C15" s="51" t="s">
        <v>258</v>
      </c>
      <c r="D15" s="50" t="s">
        <v>262</v>
      </c>
      <c r="E15" s="118">
        <v>3</v>
      </c>
      <c r="F15" s="119">
        <v>1</v>
      </c>
      <c r="G15" s="120">
        <v>45</v>
      </c>
      <c r="H15" s="119">
        <v>5</v>
      </c>
      <c r="I15" s="121">
        <f t="shared" si="0"/>
        <v>135</v>
      </c>
      <c r="J15" s="122" t="str">
        <f t="shared" si="1"/>
        <v>✅ OK</v>
      </c>
      <c r="K15" s="123"/>
    </row>
    <row r="16" spans="1:11" ht="15.75" customHeight="1" x14ac:dyDescent="0.3">
      <c r="B16" s="110" t="s">
        <v>263</v>
      </c>
      <c r="C16" s="42" t="s">
        <v>264</v>
      </c>
      <c r="D16" s="41" t="s">
        <v>262</v>
      </c>
      <c r="E16" s="111">
        <v>8</v>
      </c>
      <c r="F16" s="112">
        <v>3</v>
      </c>
      <c r="G16" s="113">
        <v>85</v>
      </c>
      <c r="H16" s="112">
        <v>10</v>
      </c>
      <c r="I16" s="114">
        <f t="shared" si="0"/>
        <v>680</v>
      </c>
      <c r="J16" s="115" t="str">
        <f t="shared" si="1"/>
        <v>✅ OK</v>
      </c>
      <c r="K16" s="116"/>
    </row>
    <row r="17" spans="2:11" ht="15.75" customHeight="1" x14ac:dyDescent="0.3">
      <c r="B17" s="117" t="s">
        <v>265</v>
      </c>
      <c r="C17" s="51" t="s">
        <v>264</v>
      </c>
      <c r="D17" s="50" t="s">
        <v>262</v>
      </c>
      <c r="E17" s="118">
        <v>5</v>
      </c>
      <c r="F17" s="119">
        <v>2</v>
      </c>
      <c r="G17" s="120">
        <v>130</v>
      </c>
      <c r="H17" s="119">
        <v>8</v>
      </c>
      <c r="I17" s="121">
        <f t="shared" si="0"/>
        <v>650</v>
      </c>
      <c r="J17" s="122" t="str">
        <f t="shared" si="1"/>
        <v>✅ OK</v>
      </c>
      <c r="K17" s="123"/>
    </row>
    <row r="18" spans="2:11" ht="15.75" customHeight="1" x14ac:dyDescent="0.3">
      <c r="B18" s="110" t="s">
        <v>266</v>
      </c>
      <c r="C18" s="42" t="s">
        <v>264</v>
      </c>
      <c r="D18" s="41" t="s">
        <v>262</v>
      </c>
      <c r="E18" s="111">
        <v>3</v>
      </c>
      <c r="F18" s="112">
        <v>1</v>
      </c>
      <c r="G18" s="113">
        <v>160</v>
      </c>
      <c r="H18" s="112">
        <v>5</v>
      </c>
      <c r="I18" s="114">
        <f t="shared" si="0"/>
        <v>480</v>
      </c>
      <c r="J18" s="115" t="str">
        <f t="shared" si="1"/>
        <v>✅ OK</v>
      </c>
      <c r="K18" s="116"/>
    </row>
    <row r="19" spans="2:11" ht="15.75" customHeight="1" x14ac:dyDescent="0.3">
      <c r="B19" s="117" t="s">
        <v>267</v>
      </c>
      <c r="C19" s="51" t="s">
        <v>264</v>
      </c>
      <c r="D19" s="50" t="s">
        <v>262</v>
      </c>
      <c r="E19" s="118">
        <v>4</v>
      </c>
      <c r="F19" s="119">
        <v>2</v>
      </c>
      <c r="G19" s="120">
        <v>120</v>
      </c>
      <c r="H19" s="119">
        <v>6</v>
      </c>
      <c r="I19" s="121">
        <f t="shared" si="0"/>
        <v>480</v>
      </c>
      <c r="J19" s="122" t="str">
        <f t="shared" si="1"/>
        <v>✅ OK</v>
      </c>
      <c r="K19" s="123"/>
    </row>
    <row r="20" spans="2:11" ht="15.75" customHeight="1" x14ac:dyDescent="0.3">
      <c r="B20" s="110" t="s">
        <v>268</v>
      </c>
      <c r="C20" s="42" t="s">
        <v>264</v>
      </c>
      <c r="D20" s="41" t="s">
        <v>262</v>
      </c>
      <c r="E20" s="111">
        <v>2</v>
      </c>
      <c r="F20" s="112">
        <v>1</v>
      </c>
      <c r="G20" s="113">
        <v>95</v>
      </c>
      <c r="H20" s="112">
        <v>3</v>
      </c>
      <c r="I20" s="114">
        <f t="shared" si="0"/>
        <v>190</v>
      </c>
      <c r="J20" s="115" t="str">
        <f t="shared" si="1"/>
        <v>✅ OK</v>
      </c>
      <c r="K20" s="116"/>
    </row>
    <row r="21" spans="2:11" ht="15.75" customHeight="1" x14ac:dyDescent="0.3">
      <c r="B21" s="117" t="s">
        <v>269</v>
      </c>
      <c r="C21" s="51" t="s">
        <v>264</v>
      </c>
      <c r="D21" s="50" t="s">
        <v>262</v>
      </c>
      <c r="E21" s="118">
        <v>2</v>
      </c>
      <c r="F21" s="119">
        <v>1</v>
      </c>
      <c r="G21" s="120">
        <v>80</v>
      </c>
      <c r="H21" s="119">
        <v>3</v>
      </c>
      <c r="I21" s="121">
        <f t="shared" si="0"/>
        <v>160</v>
      </c>
      <c r="J21" s="122" t="str">
        <f t="shared" si="1"/>
        <v>✅ OK</v>
      </c>
      <c r="K21" s="123"/>
    </row>
    <row r="22" spans="2:11" ht="15.75" customHeight="1" x14ac:dyDescent="0.3">
      <c r="B22" s="110" t="s">
        <v>270</v>
      </c>
      <c r="C22" s="42" t="s">
        <v>264</v>
      </c>
      <c r="D22" s="41" t="s">
        <v>262</v>
      </c>
      <c r="E22" s="111">
        <v>1</v>
      </c>
      <c r="F22" s="112">
        <v>0.5</v>
      </c>
      <c r="G22" s="113">
        <v>220</v>
      </c>
      <c r="H22" s="112">
        <v>2</v>
      </c>
      <c r="I22" s="114">
        <f t="shared" si="0"/>
        <v>220</v>
      </c>
      <c r="J22" s="115" t="str">
        <f t="shared" si="1"/>
        <v>✅ OK</v>
      </c>
      <c r="K22" s="116"/>
    </row>
    <row r="23" spans="2:11" ht="15.75" customHeight="1" x14ac:dyDescent="0.3">
      <c r="B23" s="117" t="s">
        <v>271</v>
      </c>
      <c r="C23" s="51" t="s">
        <v>264</v>
      </c>
      <c r="D23" s="50" t="s">
        <v>262</v>
      </c>
      <c r="E23" s="118">
        <v>2</v>
      </c>
      <c r="F23" s="119">
        <v>1</v>
      </c>
      <c r="G23" s="120">
        <v>280</v>
      </c>
      <c r="H23" s="119">
        <v>3</v>
      </c>
      <c r="I23" s="121">
        <f t="shared" si="0"/>
        <v>560</v>
      </c>
      <c r="J23" s="122" t="str">
        <f t="shared" si="1"/>
        <v>✅ OK</v>
      </c>
      <c r="K23" s="123"/>
    </row>
    <row r="24" spans="2:11" ht="15.75" customHeight="1" x14ac:dyDescent="0.3">
      <c r="B24" s="110" t="s">
        <v>272</v>
      </c>
      <c r="C24" s="42" t="s">
        <v>264</v>
      </c>
      <c r="D24" s="41" t="s">
        <v>273</v>
      </c>
      <c r="E24" s="111">
        <v>20</v>
      </c>
      <c r="F24" s="112">
        <v>10</v>
      </c>
      <c r="G24" s="113">
        <v>28</v>
      </c>
      <c r="H24" s="112">
        <v>20</v>
      </c>
      <c r="I24" s="114">
        <f t="shared" si="0"/>
        <v>560</v>
      </c>
      <c r="J24" s="115" t="str">
        <f t="shared" si="1"/>
        <v>✅ OK</v>
      </c>
      <c r="K24" s="116"/>
    </row>
    <row r="25" spans="2:11" ht="15.75" customHeight="1" x14ac:dyDescent="0.3">
      <c r="B25" s="117" t="s">
        <v>274</v>
      </c>
      <c r="C25" s="51" t="s">
        <v>264</v>
      </c>
      <c r="D25" s="50" t="s">
        <v>262</v>
      </c>
      <c r="E25" s="118">
        <v>1.5</v>
      </c>
      <c r="F25" s="119">
        <v>0.5</v>
      </c>
      <c r="G25" s="120">
        <v>95</v>
      </c>
      <c r="H25" s="119">
        <v>2</v>
      </c>
      <c r="I25" s="121">
        <f t="shared" si="0"/>
        <v>142.5</v>
      </c>
      <c r="J25" s="122" t="str">
        <f t="shared" si="1"/>
        <v>✅ OK</v>
      </c>
      <c r="K25" s="123"/>
    </row>
    <row r="26" spans="2:11" ht="15.75" customHeight="1" x14ac:dyDescent="0.3">
      <c r="B26" s="110" t="s">
        <v>275</v>
      </c>
      <c r="C26" s="42" t="s">
        <v>276</v>
      </c>
      <c r="D26" s="41" t="s">
        <v>255</v>
      </c>
      <c r="E26" s="111">
        <v>120</v>
      </c>
      <c r="F26" s="112">
        <v>60</v>
      </c>
      <c r="G26" s="113">
        <v>3.5</v>
      </c>
      <c r="H26" s="112">
        <v>120</v>
      </c>
      <c r="I26" s="114">
        <f t="shared" si="0"/>
        <v>420</v>
      </c>
      <c r="J26" s="115" t="str">
        <f t="shared" si="1"/>
        <v>✅ OK</v>
      </c>
      <c r="K26" s="116"/>
    </row>
    <row r="27" spans="2:11" ht="15.75" customHeight="1" x14ac:dyDescent="0.3">
      <c r="B27" s="117" t="s">
        <v>277</v>
      </c>
      <c r="C27" s="51" t="s">
        <v>276</v>
      </c>
      <c r="D27" s="50" t="s">
        <v>278</v>
      </c>
      <c r="E27" s="118">
        <v>10</v>
      </c>
      <c r="F27" s="119">
        <v>5</v>
      </c>
      <c r="G27" s="120">
        <v>22</v>
      </c>
      <c r="H27" s="119">
        <v>10</v>
      </c>
      <c r="I27" s="121">
        <f t="shared" si="0"/>
        <v>220</v>
      </c>
      <c r="J27" s="122" t="str">
        <f t="shared" si="1"/>
        <v>✅ OK</v>
      </c>
      <c r="K27" s="123"/>
    </row>
    <row r="28" spans="2:11" ht="15.75" customHeight="1" x14ac:dyDescent="0.3">
      <c r="B28" s="110" t="s">
        <v>233</v>
      </c>
      <c r="C28" s="42" t="s">
        <v>276</v>
      </c>
      <c r="D28" s="41" t="s">
        <v>278</v>
      </c>
      <c r="E28" s="111">
        <v>5</v>
      </c>
      <c r="F28" s="112">
        <v>2</v>
      </c>
      <c r="G28" s="113">
        <v>26</v>
      </c>
      <c r="H28" s="112">
        <v>6</v>
      </c>
      <c r="I28" s="114">
        <f t="shared" si="0"/>
        <v>130</v>
      </c>
      <c r="J28" s="115" t="str">
        <f t="shared" si="1"/>
        <v>✅ OK</v>
      </c>
      <c r="K28" s="116"/>
    </row>
    <row r="29" spans="2:11" ht="15.75" customHeight="1" x14ac:dyDescent="0.3">
      <c r="B29" s="117" t="s">
        <v>279</v>
      </c>
      <c r="C29" s="51" t="s">
        <v>276</v>
      </c>
      <c r="D29" s="50" t="s">
        <v>278</v>
      </c>
      <c r="E29" s="118">
        <v>3</v>
      </c>
      <c r="F29" s="119">
        <v>1</v>
      </c>
      <c r="G29" s="120">
        <v>55</v>
      </c>
      <c r="H29" s="119">
        <v>4</v>
      </c>
      <c r="I29" s="121">
        <f t="shared" si="0"/>
        <v>165</v>
      </c>
      <c r="J29" s="122" t="str">
        <f t="shared" si="1"/>
        <v>✅ OK</v>
      </c>
      <c r="K29" s="123"/>
    </row>
    <row r="30" spans="2:11" ht="15.75" customHeight="1" x14ac:dyDescent="0.3">
      <c r="B30" s="110" t="s">
        <v>280</v>
      </c>
      <c r="C30" s="42" t="s">
        <v>276</v>
      </c>
      <c r="D30" s="41" t="s">
        <v>278</v>
      </c>
      <c r="E30" s="111">
        <v>3</v>
      </c>
      <c r="F30" s="112">
        <v>1</v>
      </c>
      <c r="G30" s="113">
        <v>60</v>
      </c>
      <c r="H30" s="112">
        <v>4</v>
      </c>
      <c r="I30" s="114">
        <f t="shared" si="0"/>
        <v>180</v>
      </c>
      <c r="J30" s="115" t="str">
        <f t="shared" si="1"/>
        <v>✅ OK</v>
      </c>
      <c r="K30" s="116"/>
    </row>
    <row r="31" spans="2:11" ht="15.75" customHeight="1" x14ac:dyDescent="0.3">
      <c r="B31" s="117" t="s">
        <v>281</v>
      </c>
      <c r="C31" s="51" t="s">
        <v>276</v>
      </c>
      <c r="D31" s="50" t="s">
        <v>278</v>
      </c>
      <c r="E31" s="118">
        <v>3</v>
      </c>
      <c r="F31" s="119">
        <v>1</v>
      </c>
      <c r="G31" s="120">
        <v>38</v>
      </c>
      <c r="H31" s="119">
        <v>3</v>
      </c>
      <c r="I31" s="121">
        <f t="shared" si="0"/>
        <v>114</v>
      </c>
      <c r="J31" s="122" t="str">
        <f t="shared" si="1"/>
        <v>✅ OK</v>
      </c>
      <c r="K31" s="123"/>
    </row>
    <row r="32" spans="2:11" ht="15.75" customHeight="1" x14ac:dyDescent="0.3">
      <c r="B32" s="110" t="s">
        <v>282</v>
      </c>
      <c r="C32" s="42" t="s">
        <v>276</v>
      </c>
      <c r="D32" s="41" t="s">
        <v>262</v>
      </c>
      <c r="E32" s="111">
        <v>2</v>
      </c>
      <c r="F32" s="112">
        <v>1</v>
      </c>
      <c r="G32" s="113">
        <v>85</v>
      </c>
      <c r="H32" s="112">
        <v>3</v>
      </c>
      <c r="I32" s="114">
        <f t="shared" si="0"/>
        <v>170</v>
      </c>
      <c r="J32" s="115" t="str">
        <f t="shared" si="1"/>
        <v>✅ OK</v>
      </c>
      <c r="K32" s="116"/>
    </row>
    <row r="33" spans="2:11" ht="15.75" customHeight="1" x14ac:dyDescent="0.3">
      <c r="B33" s="117" t="s">
        <v>283</v>
      </c>
      <c r="C33" s="51" t="s">
        <v>276</v>
      </c>
      <c r="D33" s="50" t="s">
        <v>262</v>
      </c>
      <c r="E33" s="118">
        <v>1.5</v>
      </c>
      <c r="F33" s="119">
        <v>0.5</v>
      </c>
      <c r="G33" s="120">
        <v>120</v>
      </c>
      <c r="H33" s="119">
        <v>2</v>
      </c>
      <c r="I33" s="121">
        <f t="shared" si="0"/>
        <v>180</v>
      </c>
      <c r="J33" s="122" t="str">
        <f t="shared" si="1"/>
        <v>✅ OK</v>
      </c>
      <c r="K33" s="123"/>
    </row>
    <row r="34" spans="2:11" ht="15.75" customHeight="1" x14ac:dyDescent="0.3">
      <c r="B34" s="110" t="s">
        <v>284</v>
      </c>
      <c r="C34" s="42" t="s">
        <v>276</v>
      </c>
      <c r="D34" s="41" t="s">
        <v>262</v>
      </c>
      <c r="E34" s="111">
        <v>1.5</v>
      </c>
      <c r="F34" s="112">
        <v>0.5</v>
      </c>
      <c r="G34" s="113">
        <v>110</v>
      </c>
      <c r="H34" s="112">
        <v>2</v>
      </c>
      <c r="I34" s="114">
        <f t="shared" si="0"/>
        <v>165</v>
      </c>
      <c r="J34" s="115" t="str">
        <f t="shared" si="1"/>
        <v>✅ OK</v>
      </c>
      <c r="K34" s="116"/>
    </row>
    <row r="35" spans="2:11" ht="15.75" customHeight="1" x14ac:dyDescent="0.3">
      <c r="B35" s="117" t="s">
        <v>285</v>
      </c>
      <c r="C35" s="51" t="s">
        <v>276</v>
      </c>
      <c r="D35" s="50" t="s">
        <v>262</v>
      </c>
      <c r="E35" s="118">
        <v>1</v>
      </c>
      <c r="F35" s="119">
        <v>0.5</v>
      </c>
      <c r="G35" s="120">
        <v>130</v>
      </c>
      <c r="H35" s="119">
        <v>2</v>
      </c>
      <c r="I35" s="121">
        <f t="shared" si="0"/>
        <v>130</v>
      </c>
      <c r="J35" s="122" t="str">
        <f t="shared" si="1"/>
        <v>✅ OK</v>
      </c>
      <c r="K35" s="123"/>
    </row>
    <row r="36" spans="2:11" ht="15.75" customHeight="1" x14ac:dyDescent="0.3">
      <c r="B36" s="110" t="s">
        <v>286</v>
      </c>
      <c r="C36" s="42" t="s">
        <v>276</v>
      </c>
      <c r="D36" s="41" t="s">
        <v>262</v>
      </c>
      <c r="E36" s="111">
        <v>0.5</v>
      </c>
      <c r="F36" s="112">
        <v>0.2</v>
      </c>
      <c r="G36" s="113">
        <v>180</v>
      </c>
      <c r="H36" s="112">
        <v>1</v>
      </c>
      <c r="I36" s="114">
        <f t="shared" si="0"/>
        <v>90</v>
      </c>
      <c r="J36" s="115" t="str">
        <f t="shared" si="1"/>
        <v>✅ OK</v>
      </c>
      <c r="K36" s="116"/>
    </row>
    <row r="37" spans="2:11" ht="15.75" customHeight="1" x14ac:dyDescent="0.3">
      <c r="B37" s="117" t="s">
        <v>287</v>
      </c>
      <c r="C37" s="51" t="s">
        <v>288</v>
      </c>
      <c r="D37" s="50" t="s">
        <v>262</v>
      </c>
      <c r="E37" s="118">
        <v>5</v>
      </c>
      <c r="F37" s="119">
        <v>2</v>
      </c>
      <c r="G37" s="120">
        <v>55</v>
      </c>
      <c r="H37" s="119">
        <v>6</v>
      </c>
      <c r="I37" s="121">
        <f t="shared" si="0"/>
        <v>275</v>
      </c>
      <c r="J37" s="122" t="str">
        <f t="shared" si="1"/>
        <v>✅ OK</v>
      </c>
      <c r="K37" s="123"/>
    </row>
    <row r="38" spans="2:11" ht="15.75" customHeight="1" x14ac:dyDescent="0.3">
      <c r="B38" s="110" t="s">
        <v>289</v>
      </c>
      <c r="C38" s="42" t="s">
        <v>288</v>
      </c>
      <c r="D38" s="41" t="s">
        <v>262</v>
      </c>
      <c r="E38" s="111">
        <v>4</v>
      </c>
      <c r="F38" s="112">
        <v>2</v>
      </c>
      <c r="G38" s="113">
        <v>32</v>
      </c>
      <c r="H38" s="112">
        <v>5</v>
      </c>
      <c r="I38" s="114">
        <f t="shared" si="0"/>
        <v>128</v>
      </c>
      <c r="J38" s="115" t="str">
        <f t="shared" si="1"/>
        <v>✅ OK</v>
      </c>
      <c r="K38" s="116"/>
    </row>
    <row r="39" spans="2:11" ht="15.75" customHeight="1" x14ac:dyDescent="0.3">
      <c r="B39" s="117" t="s">
        <v>205</v>
      </c>
      <c r="C39" s="51" t="s">
        <v>288</v>
      </c>
      <c r="D39" s="50" t="s">
        <v>290</v>
      </c>
      <c r="E39" s="118">
        <v>8</v>
      </c>
      <c r="F39" s="119">
        <v>4</v>
      </c>
      <c r="G39" s="120">
        <v>18</v>
      </c>
      <c r="H39" s="119">
        <v>10</v>
      </c>
      <c r="I39" s="121">
        <f t="shared" si="0"/>
        <v>144</v>
      </c>
      <c r="J39" s="122" t="str">
        <f t="shared" si="1"/>
        <v>✅ OK</v>
      </c>
      <c r="K39" s="123"/>
    </row>
    <row r="40" spans="2:11" ht="15.75" customHeight="1" x14ac:dyDescent="0.3">
      <c r="B40" s="110" t="s">
        <v>291</v>
      </c>
      <c r="C40" s="42" t="s">
        <v>288</v>
      </c>
      <c r="D40" s="41" t="s">
        <v>262</v>
      </c>
      <c r="E40" s="111">
        <v>3</v>
      </c>
      <c r="F40" s="112">
        <v>1</v>
      </c>
      <c r="G40" s="113">
        <v>22</v>
      </c>
      <c r="H40" s="112">
        <v>4</v>
      </c>
      <c r="I40" s="114">
        <f t="shared" si="0"/>
        <v>66</v>
      </c>
      <c r="J40" s="115" t="str">
        <f t="shared" si="1"/>
        <v>✅ OK</v>
      </c>
      <c r="K40" s="116"/>
    </row>
    <row r="41" spans="2:11" ht="15.75" customHeight="1" x14ac:dyDescent="0.3">
      <c r="B41" s="117" t="s">
        <v>292</v>
      </c>
      <c r="C41" s="51" t="s">
        <v>288</v>
      </c>
      <c r="D41" s="50" t="s">
        <v>262</v>
      </c>
      <c r="E41" s="118">
        <v>1.5</v>
      </c>
      <c r="F41" s="119">
        <v>0.5</v>
      </c>
      <c r="G41" s="120">
        <v>75</v>
      </c>
      <c r="H41" s="119">
        <v>2</v>
      </c>
      <c r="I41" s="121">
        <f t="shared" si="0"/>
        <v>112.5</v>
      </c>
      <c r="J41" s="122" t="str">
        <f t="shared" si="1"/>
        <v>✅ OK</v>
      </c>
      <c r="K41" s="123"/>
    </row>
    <row r="42" spans="2:11" ht="15.75" customHeight="1" x14ac:dyDescent="0.3">
      <c r="B42" s="110" t="s">
        <v>293</v>
      </c>
      <c r="C42" s="42" t="s">
        <v>288</v>
      </c>
      <c r="D42" s="41" t="s">
        <v>262</v>
      </c>
      <c r="E42" s="111">
        <v>1</v>
      </c>
      <c r="F42" s="112">
        <v>0.5</v>
      </c>
      <c r="G42" s="113">
        <v>45</v>
      </c>
      <c r="H42" s="112">
        <v>2</v>
      </c>
      <c r="I42" s="114">
        <f t="shared" ref="I42:I67" si="2">E42*G42</f>
        <v>45</v>
      </c>
      <c r="J42" s="115" t="str">
        <f t="shared" ref="J42:J67" si="3">IF(E42=0,"🚫 OUT OF STOCK",IF(E42&lt;=F42,"⚠️ LOW STOCK","✅ OK"))</f>
        <v>✅ OK</v>
      </c>
      <c r="K42" s="116"/>
    </row>
    <row r="43" spans="2:11" ht="15.75" customHeight="1" x14ac:dyDescent="0.3">
      <c r="B43" s="117" t="s">
        <v>294</v>
      </c>
      <c r="C43" s="51" t="s">
        <v>288</v>
      </c>
      <c r="D43" s="50" t="s">
        <v>290</v>
      </c>
      <c r="E43" s="118">
        <v>15</v>
      </c>
      <c r="F43" s="119">
        <v>8</v>
      </c>
      <c r="G43" s="120">
        <v>8</v>
      </c>
      <c r="H43" s="119">
        <v>20</v>
      </c>
      <c r="I43" s="121">
        <f t="shared" si="2"/>
        <v>120</v>
      </c>
      <c r="J43" s="122" t="str">
        <f t="shared" si="3"/>
        <v>✅ OK</v>
      </c>
      <c r="K43" s="123"/>
    </row>
    <row r="44" spans="2:11" ht="15.75" customHeight="1" x14ac:dyDescent="0.3">
      <c r="B44" s="110" t="s">
        <v>295</v>
      </c>
      <c r="C44" s="42" t="s">
        <v>288</v>
      </c>
      <c r="D44" s="41" t="s">
        <v>262</v>
      </c>
      <c r="E44" s="111">
        <v>8</v>
      </c>
      <c r="F44" s="112">
        <v>4</v>
      </c>
      <c r="G44" s="113">
        <v>18</v>
      </c>
      <c r="H44" s="112">
        <v>10</v>
      </c>
      <c r="I44" s="114">
        <f t="shared" si="2"/>
        <v>144</v>
      </c>
      <c r="J44" s="115" t="str">
        <f t="shared" si="3"/>
        <v>✅ OK</v>
      </c>
      <c r="K44" s="116"/>
    </row>
    <row r="45" spans="2:11" ht="15.75" customHeight="1" x14ac:dyDescent="0.3">
      <c r="B45" s="117" t="s">
        <v>296</v>
      </c>
      <c r="C45" s="51" t="s">
        <v>288</v>
      </c>
      <c r="D45" s="50" t="s">
        <v>262</v>
      </c>
      <c r="E45" s="118">
        <v>3</v>
      </c>
      <c r="F45" s="119">
        <v>1.5</v>
      </c>
      <c r="G45" s="120">
        <v>60</v>
      </c>
      <c r="H45" s="119">
        <v>4</v>
      </c>
      <c r="I45" s="121">
        <f t="shared" si="2"/>
        <v>180</v>
      </c>
      <c r="J45" s="122" t="str">
        <f t="shared" si="3"/>
        <v>✅ OK</v>
      </c>
      <c r="K45" s="123"/>
    </row>
    <row r="46" spans="2:11" ht="15.75" customHeight="1" x14ac:dyDescent="0.3">
      <c r="B46" s="110" t="s">
        <v>297</v>
      </c>
      <c r="C46" s="42" t="s">
        <v>288</v>
      </c>
      <c r="D46" s="41" t="s">
        <v>262</v>
      </c>
      <c r="E46" s="111">
        <v>1</v>
      </c>
      <c r="F46" s="112">
        <v>0.5</v>
      </c>
      <c r="G46" s="113">
        <v>95</v>
      </c>
      <c r="H46" s="112">
        <v>2</v>
      </c>
      <c r="I46" s="114">
        <f t="shared" si="2"/>
        <v>95</v>
      </c>
      <c r="J46" s="115" t="str">
        <f t="shared" si="3"/>
        <v>✅ OK</v>
      </c>
      <c r="K46" s="116"/>
    </row>
    <row r="47" spans="2:11" ht="15.75" customHeight="1" x14ac:dyDescent="0.3">
      <c r="B47" s="117" t="s">
        <v>298</v>
      </c>
      <c r="C47" s="51" t="s">
        <v>288</v>
      </c>
      <c r="D47" s="50" t="s">
        <v>262</v>
      </c>
      <c r="E47" s="118">
        <v>1</v>
      </c>
      <c r="F47" s="119">
        <v>0.5</v>
      </c>
      <c r="G47" s="120">
        <v>55</v>
      </c>
      <c r="H47" s="119">
        <v>2</v>
      </c>
      <c r="I47" s="121">
        <f t="shared" si="2"/>
        <v>55</v>
      </c>
      <c r="J47" s="122" t="str">
        <f t="shared" si="3"/>
        <v>✅ OK</v>
      </c>
      <c r="K47" s="123"/>
    </row>
    <row r="48" spans="2:11" ht="15.75" customHeight="1" x14ac:dyDescent="0.3">
      <c r="B48" s="110" t="s">
        <v>299</v>
      </c>
      <c r="C48" s="42" t="s">
        <v>288</v>
      </c>
      <c r="D48" s="41" t="s">
        <v>262</v>
      </c>
      <c r="E48" s="111">
        <v>0.5</v>
      </c>
      <c r="F48" s="112">
        <v>0.2</v>
      </c>
      <c r="G48" s="113">
        <v>85</v>
      </c>
      <c r="H48" s="112">
        <v>1</v>
      </c>
      <c r="I48" s="114">
        <f t="shared" si="2"/>
        <v>42.5</v>
      </c>
      <c r="J48" s="115" t="str">
        <f t="shared" si="3"/>
        <v>✅ OK</v>
      </c>
      <c r="K48" s="116"/>
    </row>
    <row r="49" spans="2:11" ht="15.75" customHeight="1" x14ac:dyDescent="0.3">
      <c r="B49" s="117" t="s">
        <v>300</v>
      </c>
      <c r="C49" s="51" t="s">
        <v>228</v>
      </c>
      <c r="D49" s="50" t="s">
        <v>262</v>
      </c>
      <c r="E49" s="118">
        <v>3</v>
      </c>
      <c r="F49" s="119">
        <v>1</v>
      </c>
      <c r="G49" s="120">
        <v>220</v>
      </c>
      <c r="H49" s="119">
        <v>3</v>
      </c>
      <c r="I49" s="121">
        <f t="shared" si="2"/>
        <v>660</v>
      </c>
      <c r="J49" s="122" t="str">
        <f t="shared" si="3"/>
        <v>✅ OK</v>
      </c>
      <c r="K49" s="123"/>
    </row>
    <row r="50" spans="2:11" ht="15.75" customHeight="1" x14ac:dyDescent="0.3">
      <c r="B50" s="110" t="s">
        <v>301</v>
      </c>
      <c r="C50" s="42" t="s">
        <v>228</v>
      </c>
      <c r="D50" s="41" t="s">
        <v>262</v>
      </c>
      <c r="E50" s="111">
        <v>1</v>
      </c>
      <c r="F50" s="112">
        <v>0.5</v>
      </c>
      <c r="G50" s="113">
        <v>95</v>
      </c>
      <c r="H50" s="112">
        <v>2</v>
      </c>
      <c r="I50" s="114">
        <f t="shared" si="2"/>
        <v>95</v>
      </c>
      <c r="J50" s="115" t="str">
        <f t="shared" si="3"/>
        <v>✅ OK</v>
      </c>
      <c r="K50" s="116"/>
    </row>
    <row r="51" spans="2:11" ht="15.75" customHeight="1" x14ac:dyDescent="0.3">
      <c r="B51" s="117" t="s">
        <v>302</v>
      </c>
      <c r="C51" s="51" t="s">
        <v>228</v>
      </c>
      <c r="D51" s="50" t="s">
        <v>303</v>
      </c>
      <c r="E51" s="118">
        <v>3</v>
      </c>
      <c r="F51" s="119">
        <v>1</v>
      </c>
      <c r="G51" s="120">
        <v>85</v>
      </c>
      <c r="H51" s="119">
        <v>3</v>
      </c>
      <c r="I51" s="121">
        <f t="shared" si="2"/>
        <v>255</v>
      </c>
      <c r="J51" s="122" t="str">
        <f t="shared" si="3"/>
        <v>✅ OK</v>
      </c>
      <c r="K51" s="123"/>
    </row>
    <row r="52" spans="2:11" ht="15.75" customHeight="1" x14ac:dyDescent="0.3">
      <c r="B52" s="110" t="s">
        <v>304</v>
      </c>
      <c r="C52" s="42" t="s">
        <v>228</v>
      </c>
      <c r="D52" s="41" t="s">
        <v>262</v>
      </c>
      <c r="E52" s="111">
        <v>1</v>
      </c>
      <c r="F52" s="112">
        <v>0.5</v>
      </c>
      <c r="G52" s="113">
        <v>180</v>
      </c>
      <c r="H52" s="112">
        <v>2</v>
      </c>
      <c r="I52" s="114">
        <f t="shared" si="2"/>
        <v>180</v>
      </c>
      <c r="J52" s="115" t="str">
        <f t="shared" si="3"/>
        <v>✅ OK</v>
      </c>
      <c r="K52" s="116"/>
    </row>
    <row r="53" spans="2:11" ht="15.75" customHeight="1" x14ac:dyDescent="0.3">
      <c r="B53" s="117" t="s">
        <v>305</v>
      </c>
      <c r="C53" s="51" t="s">
        <v>228</v>
      </c>
      <c r="D53" s="50" t="s">
        <v>262</v>
      </c>
      <c r="E53" s="118">
        <v>0.3</v>
      </c>
      <c r="F53" s="119">
        <v>0.1</v>
      </c>
      <c r="G53" s="120">
        <v>450</v>
      </c>
      <c r="H53" s="119">
        <v>0.5</v>
      </c>
      <c r="I53" s="121">
        <f t="shared" si="2"/>
        <v>135</v>
      </c>
      <c r="J53" s="122" t="str">
        <f t="shared" si="3"/>
        <v>✅ OK</v>
      </c>
      <c r="K53" s="123"/>
    </row>
    <row r="54" spans="2:11" ht="15.75" customHeight="1" x14ac:dyDescent="0.3">
      <c r="B54" s="110" t="s">
        <v>306</v>
      </c>
      <c r="C54" s="42" t="s">
        <v>228</v>
      </c>
      <c r="D54" s="41" t="s">
        <v>262</v>
      </c>
      <c r="E54" s="111">
        <v>0.3</v>
      </c>
      <c r="F54" s="112">
        <v>0.1</v>
      </c>
      <c r="G54" s="113">
        <v>380</v>
      </c>
      <c r="H54" s="112">
        <v>0.5</v>
      </c>
      <c r="I54" s="114">
        <f t="shared" si="2"/>
        <v>114</v>
      </c>
      <c r="J54" s="115" t="str">
        <f t="shared" si="3"/>
        <v>✅ OK</v>
      </c>
      <c r="K54" s="116"/>
    </row>
    <row r="55" spans="2:11" ht="15.75" customHeight="1" x14ac:dyDescent="0.3">
      <c r="B55" s="117" t="s">
        <v>307</v>
      </c>
      <c r="C55" s="51" t="s">
        <v>308</v>
      </c>
      <c r="D55" s="50" t="s">
        <v>262</v>
      </c>
      <c r="E55" s="118">
        <v>5</v>
      </c>
      <c r="F55" s="119">
        <v>2</v>
      </c>
      <c r="G55" s="120">
        <v>22</v>
      </c>
      <c r="H55" s="119">
        <v>5</v>
      </c>
      <c r="I55" s="121">
        <f t="shared" si="2"/>
        <v>110</v>
      </c>
      <c r="J55" s="122" t="str">
        <f t="shared" si="3"/>
        <v>✅ OK</v>
      </c>
      <c r="K55" s="123"/>
    </row>
    <row r="56" spans="2:11" ht="15.75" customHeight="1" x14ac:dyDescent="0.3">
      <c r="B56" s="110" t="s">
        <v>309</v>
      </c>
      <c r="C56" s="42" t="s">
        <v>308</v>
      </c>
      <c r="D56" s="41" t="s">
        <v>262</v>
      </c>
      <c r="E56" s="111">
        <v>5</v>
      </c>
      <c r="F56" s="112">
        <v>2</v>
      </c>
      <c r="G56" s="113">
        <v>18</v>
      </c>
      <c r="H56" s="112">
        <v>5</v>
      </c>
      <c r="I56" s="114">
        <f t="shared" si="2"/>
        <v>90</v>
      </c>
      <c r="J56" s="115" t="str">
        <f t="shared" si="3"/>
        <v>✅ OK</v>
      </c>
      <c r="K56" s="116"/>
    </row>
    <row r="57" spans="2:11" ht="15.75" customHeight="1" x14ac:dyDescent="0.3">
      <c r="B57" s="117" t="s">
        <v>232</v>
      </c>
      <c r="C57" s="51" t="s">
        <v>308</v>
      </c>
      <c r="D57" s="50" t="s">
        <v>278</v>
      </c>
      <c r="E57" s="118">
        <v>5</v>
      </c>
      <c r="F57" s="119">
        <v>2</v>
      </c>
      <c r="G57" s="120">
        <v>38</v>
      </c>
      <c r="H57" s="119">
        <v>5</v>
      </c>
      <c r="I57" s="121">
        <f t="shared" si="2"/>
        <v>190</v>
      </c>
      <c r="J57" s="122" t="str">
        <f t="shared" si="3"/>
        <v>✅ OK</v>
      </c>
      <c r="K57" s="123"/>
    </row>
    <row r="58" spans="2:11" ht="15.75" customHeight="1" x14ac:dyDescent="0.3">
      <c r="B58" s="110" t="s">
        <v>310</v>
      </c>
      <c r="C58" s="42" t="s">
        <v>311</v>
      </c>
      <c r="D58" s="41" t="s">
        <v>278</v>
      </c>
      <c r="E58" s="111">
        <v>3</v>
      </c>
      <c r="F58" s="112">
        <v>1</v>
      </c>
      <c r="G58" s="113">
        <v>25</v>
      </c>
      <c r="H58" s="112">
        <v>3</v>
      </c>
      <c r="I58" s="114">
        <f t="shared" si="2"/>
        <v>75</v>
      </c>
      <c r="J58" s="115" t="str">
        <f t="shared" si="3"/>
        <v>✅ OK</v>
      </c>
      <c r="K58" s="116"/>
    </row>
    <row r="59" spans="2:11" ht="15.75" customHeight="1" x14ac:dyDescent="0.3">
      <c r="B59" s="117" t="s">
        <v>312</v>
      </c>
      <c r="C59" s="51" t="s">
        <v>311</v>
      </c>
      <c r="D59" s="50" t="s">
        <v>262</v>
      </c>
      <c r="E59" s="118">
        <v>3</v>
      </c>
      <c r="F59" s="119">
        <v>1</v>
      </c>
      <c r="G59" s="120">
        <v>20</v>
      </c>
      <c r="H59" s="119">
        <v>3</v>
      </c>
      <c r="I59" s="121">
        <f t="shared" si="2"/>
        <v>60</v>
      </c>
      <c r="J59" s="122" t="str">
        <f t="shared" si="3"/>
        <v>✅ OK</v>
      </c>
      <c r="K59" s="123"/>
    </row>
    <row r="60" spans="2:11" ht="15.75" customHeight="1" x14ac:dyDescent="0.3">
      <c r="B60" s="110" t="s">
        <v>313</v>
      </c>
      <c r="C60" s="42" t="s">
        <v>311</v>
      </c>
      <c r="D60" s="41" t="s">
        <v>262</v>
      </c>
      <c r="E60" s="111">
        <v>1</v>
      </c>
      <c r="F60" s="112">
        <v>0.5</v>
      </c>
      <c r="G60" s="113">
        <v>55</v>
      </c>
      <c r="H60" s="112">
        <v>2</v>
      </c>
      <c r="I60" s="114">
        <f t="shared" si="2"/>
        <v>55</v>
      </c>
      <c r="J60" s="115" t="str">
        <f t="shared" si="3"/>
        <v>✅ OK</v>
      </c>
      <c r="K60" s="116"/>
    </row>
    <row r="61" spans="2:11" ht="15.75" customHeight="1" x14ac:dyDescent="0.3">
      <c r="B61" s="117" t="s">
        <v>314</v>
      </c>
      <c r="C61" s="51" t="s">
        <v>276</v>
      </c>
      <c r="D61" s="50" t="s">
        <v>262</v>
      </c>
      <c r="E61" s="118">
        <v>1</v>
      </c>
      <c r="F61" s="119">
        <v>0.5</v>
      </c>
      <c r="G61" s="120">
        <v>65</v>
      </c>
      <c r="H61" s="119">
        <v>2</v>
      </c>
      <c r="I61" s="121">
        <f t="shared" si="2"/>
        <v>65</v>
      </c>
      <c r="J61" s="122" t="str">
        <f t="shared" si="3"/>
        <v>✅ OK</v>
      </c>
      <c r="K61" s="123"/>
    </row>
    <row r="62" spans="2:11" ht="15.75" customHeight="1" x14ac:dyDescent="0.3">
      <c r="B62" s="110" t="s">
        <v>315</v>
      </c>
      <c r="C62" s="42" t="s">
        <v>308</v>
      </c>
      <c r="D62" s="41" t="s">
        <v>262</v>
      </c>
      <c r="E62" s="111">
        <v>1</v>
      </c>
      <c r="F62" s="112">
        <v>0.5</v>
      </c>
      <c r="G62" s="113">
        <v>45</v>
      </c>
      <c r="H62" s="112">
        <v>2</v>
      </c>
      <c r="I62" s="114">
        <f t="shared" si="2"/>
        <v>45</v>
      </c>
      <c r="J62" s="115" t="str">
        <f t="shared" si="3"/>
        <v>✅ OK</v>
      </c>
      <c r="K62" s="116"/>
    </row>
    <row r="63" spans="2:11" ht="15.75" customHeight="1" x14ac:dyDescent="0.3">
      <c r="B63" s="117" t="s">
        <v>316</v>
      </c>
      <c r="C63" s="51" t="s">
        <v>308</v>
      </c>
      <c r="D63" s="50" t="s">
        <v>262</v>
      </c>
      <c r="E63" s="118">
        <v>0.5</v>
      </c>
      <c r="F63" s="119">
        <v>0.1</v>
      </c>
      <c r="G63" s="120">
        <v>180</v>
      </c>
      <c r="H63" s="119">
        <v>1</v>
      </c>
      <c r="I63" s="121">
        <f t="shared" si="2"/>
        <v>90</v>
      </c>
      <c r="J63" s="122" t="str">
        <f t="shared" si="3"/>
        <v>✅ OK</v>
      </c>
      <c r="K63" s="123"/>
    </row>
    <row r="64" spans="2:11" ht="15.75" customHeight="1" x14ac:dyDescent="0.3">
      <c r="B64" s="110" t="s">
        <v>317</v>
      </c>
      <c r="C64" s="42" t="s">
        <v>197</v>
      </c>
      <c r="D64" s="41" t="s">
        <v>318</v>
      </c>
      <c r="E64" s="111">
        <v>5</v>
      </c>
      <c r="F64" s="112">
        <v>2</v>
      </c>
      <c r="G64" s="113">
        <v>42</v>
      </c>
      <c r="H64" s="112">
        <v>6</v>
      </c>
      <c r="I64" s="114">
        <f t="shared" si="2"/>
        <v>210</v>
      </c>
      <c r="J64" s="115" t="str">
        <f t="shared" si="3"/>
        <v>✅ OK</v>
      </c>
      <c r="K64" s="116"/>
    </row>
    <row r="65" spans="2:11" ht="15.75" customHeight="1" x14ac:dyDescent="0.3">
      <c r="B65" s="117" t="s">
        <v>319</v>
      </c>
      <c r="C65" s="51" t="s">
        <v>197</v>
      </c>
      <c r="D65" s="50" t="s">
        <v>290</v>
      </c>
      <c r="E65" s="118">
        <v>20</v>
      </c>
      <c r="F65" s="119">
        <v>10</v>
      </c>
      <c r="G65" s="120">
        <v>18</v>
      </c>
      <c r="H65" s="119">
        <v>24</v>
      </c>
      <c r="I65" s="121">
        <f t="shared" si="2"/>
        <v>360</v>
      </c>
      <c r="J65" s="122" t="str">
        <f t="shared" si="3"/>
        <v>✅ OK</v>
      </c>
      <c r="K65" s="123"/>
    </row>
    <row r="66" spans="2:11" ht="15.75" customHeight="1" x14ac:dyDescent="0.3">
      <c r="B66" s="110" t="s">
        <v>320</v>
      </c>
      <c r="C66" s="42" t="s">
        <v>288</v>
      </c>
      <c r="D66" s="41" t="s">
        <v>290</v>
      </c>
      <c r="E66" s="111">
        <v>4</v>
      </c>
      <c r="F66" s="112">
        <v>2</v>
      </c>
      <c r="G66" s="113">
        <v>35</v>
      </c>
      <c r="H66" s="112">
        <v>6</v>
      </c>
      <c r="I66" s="114">
        <f t="shared" si="2"/>
        <v>140</v>
      </c>
      <c r="J66" s="115" t="str">
        <f t="shared" si="3"/>
        <v>✅ OK</v>
      </c>
      <c r="K66" s="116"/>
    </row>
    <row r="67" spans="2:11" ht="15.75" customHeight="1" x14ac:dyDescent="0.3">
      <c r="B67" s="117" t="s">
        <v>321</v>
      </c>
      <c r="C67" s="51" t="s">
        <v>288</v>
      </c>
      <c r="D67" s="50" t="s">
        <v>262</v>
      </c>
      <c r="E67" s="118">
        <v>0.3</v>
      </c>
      <c r="F67" s="119">
        <v>0.1</v>
      </c>
      <c r="G67" s="120">
        <v>220</v>
      </c>
      <c r="H67" s="119">
        <v>0.5</v>
      </c>
      <c r="I67" s="121">
        <f t="shared" si="2"/>
        <v>66</v>
      </c>
      <c r="J67" s="122" t="str">
        <f t="shared" si="3"/>
        <v>✅ OK</v>
      </c>
      <c r="K67" s="123"/>
    </row>
  </sheetData>
  <mergeCells count="4">
    <mergeCell ref="A2:E2"/>
    <mergeCell ref="F2:K2"/>
    <mergeCell ref="A3:K3"/>
    <mergeCell ref="B8:K8"/>
  </mergeCells>
  <conditionalFormatting sqref="E10:E67">
    <cfRule type="expression" dxfId="6" priority="4">
      <formula>E10&lt;=F10</formula>
    </cfRule>
  </conditionalFormatting>
  <conditionalFormatting sqref="J10:J67">
    <cfRule type="expression" dxfId="5" priority="2">
      <formula>J10="🚫 OUT OF STOCK"</formula>
    </cfRule>
    <cfRule type="expression" dxfId="4" priority="3">
      <formula>J10="⚠️ LOW STOCK"</formula>
    </cfRule>
  </conditionalFormatting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M29"/>
  <sheetViews>
    <sheetView showGridLines="0" zoomScaleNormal="100" workbookViewId="0">
      <selection activeCell="E11" sqref="E11"/>
    </sheetView>
  </sheetViews>
  <sheetFormatPr defaultColWidth="8.6640625" defaultRowHeight="14.4" customHeight="1" x14ac:dyDescent="0.3"/>
  <cols>
    <col min="1" max="1" width="4" customWidth="1"/>
    <col min="2" max="2" width="20" customWidth="1"/>
    <col min="3" max="3" width="14" customWidth="1"/>
    <col min="4" max="4" width="13" customWidth="1"/>
    <col min="5" max="11" width="11" customWidth="1"/>
    <col min="12" max="12" width="13" customWidth="1"/>
    <col min="13" max="13" width="16" customWidth="1"/>
  </cols>
  <sheetData>
    <row r="1" spans="1:13" ht="4.5" customHeigh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37.5" customHeight="1" x14ac:dyDescent="0.3">
      <c r="A2" s="182" t="s">
        <v>322</v>
      </c>
      <c r="B2" s="183"/>
      <c r="C2" s="183"/>
      <c r="D2" s="183"/>
      <c r="E2" s="183"/>
      <c r="F2" s="183"/>
      <c r="G2" s="184" t="s">
        <v>323</v>
      </c>
      <c r="H2" s="183"/>
      <c r="I2" s="183"/>
      <c r="J2" s="183"/>
      <c r="K2" s="183"/>
      <c r="L2" s="183"/>
      <c r="M2" s="183"/>
    </row>
    <row r="3" spans="1:13" ht="3.75" customHeight="1" x14ac:dyDescent="0.3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</row>
    <row r="4" spans="1:13" ht="7.5" customHeight="1" x14ac:dyDescent="0.3"/>
    <row r="5" spans="1:13" ht="7.5" customHeight="1" x14ac:dyDescent="0.3"/>
    <row r="6" spans="1:13" ht="21.75" customHeight="1" x14ac:dyDescent="0.3">
      <c r="B6" s="193" t="s">
        <v>324</v>
      </c>
      <c r="C6" s="187"/>
      <c r="D6" s="187"/>
      <c r="E6" s="261">
        <f ca="1">TODAY()-WEEKDAY(TODAY(),2)+1</f>
        <v>46160</v>
      </c>
      <c r="F6" s="195"/>
      <c r="G6" s="195"/>
      <c r="H6" s="195"/>
      <c r="I6" s="195"/>
      <c r="J6" s="195"/>
      <c r="K6" s="195"/>
      <c r="L6" s="195"/>
      <c r="M6" s="195"/>
    </row>
    <row r="7" spans="1:13" ht="27.75" customHeight="1" x14ac:dyDescent="0.3">
      <c r="B7" s="33" t="s">
        <v>325</v>
      </c>
      <c r="C7" s="33" t="s">
        <v>326</v>
      </c>
      <c r="D7" s="33" t="s">
        <v>327</v>
      </c>
      <c r="E7" s="33" t="s">
        <v>328</v>
      </c>
      <c r="F7" s="33" t="s">
        <v>329</v>
      </c>
      <c r="G7" s="33" t="s">
        <v>330</v>
      </c>
      <c r="H7" s="33" t="s">
        <v>331</v>
      </c>
      <c r="I7" s="33" t="s">
        <v>332</v>
      </c>
      <c r="J7" s="33" t="s">
        <v>333</v>
      </c>
      <c r="K7" s="33" t="s">
        <v>334</v>
      </c>
      <c r="L7" s="33" t="s">
        <v>335</v>
      </c>
      <c r="M7" s="33" t="s">
        <v>336</v>
      </c>
    </row>
    <row r="8" spans="1:13" ht="19.5" customHeight="1" x14ac:dyDescent="0.3">
      <c r="B8" s="124" t="s">
        <v>217</v>
      </c>
      <c r="C8" s="125" t="s">
        <v>337</v>
      </c>
      <c r="D8" s="126">
        <v>450</v>
      </c>
      <c r="E8" s="127" t="s">
        <v>338</v>
      </c>
      <c r="F8" s="127" t="s">
        <v>338</v>
      </c>
      <c r="G8" s="127" t="s">
        <v>338</v>
      </c>
      <c r="H8" s="127" t="s">
        <v>338</v>
      </c>
      <c r="I8" s="127" t="s">
        <v>338</v>
      </c>
      <c r="J8" s="127" t="s">
        <v>338</v>
      </c>
      <c r="K8" s="127" t="s">
        <v>339</v>
      </c>
      <c r="L8" s="128">
        <f>COUNTIF(E8:K8,"Full Day")+COUNTIF(E8:K8,"Morning")*0.5+COUNTIF(E8:K8,"Afternoon")*0.5</f>
        <v>6</v>
      </c>
      <c r="M8" s="129">
        <f>COUNTIF(E8:K8,"Full Day")*D8+COUNTIF(E8:K8,"Morning")*D8*0.5+COUNTIF(E8:K8,"Afternoon")*D8*0.5</f>
        <v>2700</v>
      </c>
    </row>
    <row r="9" spans="1:13" ht="19.5" customHeight="1" x14ac:dyDescent="0.3">
      <c r="B9" s="124" t="s">
        <v>340</v>
      </c>
      <c r="C9" s="130" t="s">
        <v>341</v>
      </c>
      <c r="D9" s="131">
        <v>220</v>
      </c>
      <c r="E9" s="132" t="s">
        <v>338</v>
      </c>
      <c r="F9" s="132" t="s">
        <v>338</v>
      </c>
      <c r="G9" s="132" t="s">
        <v>338</v>
      </c>
      <c r="H9" s="132" t="s">
        <v>338</v>
      </c>
      <c r="I9" s="132" t="s">
        <v>338</v>
      </c>
      <c r="J9" s="132" t="s">
        <v>338</v>
      </c>
      <c r="K9" s="132" t="s">
        <v>339</v>
      </c>
      <c r="L9" s="133">
        <f>COUNTIF(E9:K9,"Full Day")+COUNTIF(E9:K9,"Morning")*0.5+COUNTIF(E9:K9,"Afternoon")*0.5</f>
        <v>6</v>
      </c>
      <c r="M9" s="134">
        <f>COUNTIF(E9:K9,"Full Day")*D9+COUNTIF(E9:K9,"Morning")*D9*0.5+COUNTIF(E9:K9,"Afternoon")*D9*0.5</f>
        <v>1320</v>
      </c>
    </row>
    <row r="10" spans="1:13" ht="19.5" customHeight="1" x14ac:dyDescent="0.3">
      <c r="B10" s="124" t="s">
        <v>419</v>
      </c>
      <c r="C10" s="125" t="s">
        <v>342</v>
      </c>
      <c r="D10" s="131">
        <v>333.33</v>
      </c>
      <c r="E10" s="127" t="s">
        <v>338</v>
      </c>
      <c r="F10" s="127" t="s">
        <v>338</v>
      </c>
      <c r="G10" s="127" t="s">
        <v>338</v>
      </c>
      <c r="H10" s="127" t="s">
        <v>338</v>
      </c>
      <c r="I10" s="127" t="s">
        <v>338</v>
      </c>
      <c r="J10" s="127" t="s">
        <v>338</v>
      </c>
      <c r="K10" s="127" t="s">
        <v>339</v>
      </c>
      <c r="L10" s="128">
        <f>COUNTIF(E10:K10,"Full Day")+COUNTIF(E10:K10,"Morning")*0.5+COUNTIF(E10:K10,"Afternoon")*0.5</f>
        <v>6</v>
      </c>
      <c r="M10" s="129">
        <f>COUNTIF(E10:K10,"Full Day")*D10+COUNTIF(E10:K10,"Morning")*D10*0.5+COUNTIF(E10:K10,"Afternoon")*D10*0.5</f>
        <v>1999.98</v>
      </c>
    </row>
    <row r="11" spans="1:13" ht="19.5" customHeight="1" x14ac:dyDescent="0.3">
      <c r="B11" s="124"/>
      <c r="C11" s="130"/>
      <c r="D11" s="131"/>
      <c r="E11" s="132"/>
      <c r="F11" s="132"/>
      <c r="G11" s="132"/>
      <c r="H11" s="132"/>
      <c r="I11" s="132"/>
      <c r="J11" s="132"/>
      <c r="K11" s="132"/>
      <c r="L11" s="133"/>
      <c r="M11" s="134"/>
    </row>
    <row r="12" spans="1:13" ht="19.5" customHeight="1" x14ac:dyDescent="0.3">
      <c r="B12" s="124"/>
      <c r="C12" s="125"/>
      <c r="D12" s="126"/>
      <c r="E12" s="127"/>
      <c r="F12" s="127"/>
      <c r="G12" s="127"/>
      <c r="H12" s="127"/>
      <c r="I12" s="127"/>
      <c r="J12" s="127"/>
      <c r="K12" s="127"/>
      <c r="L12" s="128"/>
      <c r="M12" s="129"/>
    </row>
    <row r="13" spans="1:13" ht="19.5" customHeight="1" x14ac:dyDescent="0.3">
      <c r="B13" s="124"/>
      <c r="C13" s="130"/>
      <c r="D13" s="131"/>
      <c r="E13" s="132"/>
      <c r="F13" s="132"/>
      <c r="G13" s="132"/>
      <c r="H13" s="132"/>
      <c r="I13" s="132"/>
      <c r="J13" s="132"/>
      <c r="K13" s="132"/>
      <c r="L13" s="133"/>
      <c r="M13" s="134"/>
    </row>
    <row r="14" spans="1:13" ht="19.5" customHeight="1" x14ac:dyDescent="0.3">
      <c r="B14" s="124"/>
      <c r="C14" s="125"/>
      <c r="D14" s="126"/>
      <c r="E14" s="127"/>
      <c r="F14" s="127"/>
      <c r="G14" s="127"/>
      <c r="H14" s="127"/>
      <c r="I14" s="127"/>
      <c r="J14" s="127"/>
      <c r="K14" s="127"/>
      <c r="L14" s="128"/>
      <c r="M14" s="129"/>
    </row>
    <row r="15" spans="1:13" ht="19.5" customHeight="1" x14ac:dyDescent="0.3">
      <c r="B15" s="124"/>
      <c r="C15" s="130"/>
      <c r="D15" s="131"/>
      <c r="E15" s="132"/>
      <c r="F15" s="132"/>
      <c r="G15" s="132"/>
      <c r="H15" s="132"/>
      <c r="I15" s="132"/>
      <c r="J15" s="132"/>
      <c r="K15" s="132"/>
      <c r="L15" s="133"/>
      <c r="M15" s="134"/>
    </row>
    <row r="16" spans="1:13" ht="21.75" customHeight="1" x14ac:dyDescent="0.3">
      <c r="B16" s="262" t="s">
        <v>343</v>
      </c>
      <c r="C16" s="195"/>
      <c r="D16" s="195"/>
      <c r="E16" s="195"/>
      <c r="F16" s="195"/>
      <c r="G16" s="195"/>
      <c r="H16" s="195"/>
      <c r="I16" s="195"/>
      <c r="J16" s="195"/>
      <c r="K16" s="195"/>
      <c r="L16" s="135">
        <f>SUM(L8:L15)</f>
        <v>18</v>
      </c>
      <c r="M16" s="136">
        <f>SUM(M8:M15)</f>
        <v>6019.98</v>
      </c>
    </row>
    <row r="18" spans="2:13" ht="7.5" customHeight="1" x14ac:dyDescent="0.3"/>
    <row r="19" spans="2:13" ht="19.5" customHeight="1" x14ac:dyDescent="0.3">
      <c r="B19" s="193" t="s">
        <v>344</v>
      </c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</row>
    <row r="20" spans="2:13" ht="27.75" customHeight="1" x14ac:dyDescent="0.3">
      <c r="B20" s="33" t="s">
        <v>325</v>
      </c>
      <c r="C20" s="33" t="s">
        <v>326</v>
      </c>
      <c r="D20" s="33" t="s">
        <v>336</v>
      </c>
      <c r="E20" s="33" t="s">
        <v>345</v>
      </c>
      <c r="F20" s="33" t="s">
        <v>346</v>
      </c>
      <c r="G20" s="33" t="s">
        <v>347</v>
      </c>
      <c r="H20" s="33" t="s">
        <v>348</v>
      </c>
      <c r="I20" s="33" t="s">
        <v>40</v>
      </c>
    </row>
    <row r="21" spans="2:13" ht="18" customHeight="1" x14ac:dyDescent="0.3">
      <c r="B21" s="137" t="str">
        <f t="shared" ref="B21:B28" si="0">B8</f>
        <v>John</v>
      </c>
      <c r="C21" s="42" t="s">
        <v>337</v>
      </c>
      <c r="D21" s="138">
        <f t="shared" ref="D21:D28" si="1">M8</f>
        <v>2700</v>
      </c>
      <c r="E21" s="139">
        <v>4</v>
      </c>
      <c r="F21" s="140">
        <f t="shared" ref="F21:F28" si="2">D21*E21</f>
        <v>10800</v>
      </c>
      <c r="G21" s="141">
        <v>0.08</v>
      </c>
      <c r="H21" s="142">
        <f t="shared" ref="H21:H28" si="3">F21*(1+G21)</f>
        <v>11664</v>
      </c>
      <c r="I21" s="116"/>
    </row>
    <row r="22" spans="2:13" ht="18" customHeight="1" x14ac:dyDescent="0.3">
      <c r="B22" s="143" t="str">
        <f t="shared" si="0"/>
        <v>Debi</v>
      </c>
      <c r="C22" s="51" t="s">
        <v>349</v>
      </c>
      <c r="D22" s="144">
        <f t="shared" si="1"/>
        <v>1320</v>
      </c>
      <c r="E22" s="145">
        <v>4</v>
      </c>
      <c r="F22" s="146">
        <f t="shared" si="2"/>
        <v>5280</v>
      </c>
      <c r="G22" s="147">
        <v>0.08</v>
      </c>
      <c r="H22" s="148">
        <f t="shared" si="3"/>
        <v>5702.4000000000005</v>
      </c>
      <c r="I22" s="123"/>
    </row>
    <row r="23" spans="2:13" ht="18" customHeight="1" x14ac:dyDescent="0.3">
      <c r="B23" s="137" t="str">
        <f t="shared" si="0"/>
        <v>Victor</v>
      </c>
      <c r="C23" s="42" t="s">
        <v>350</v>
      </c>
      <c r="D23" s="138">
        <f t="shared" si="1"/>
        <v>1999.98</v>
      </c>
      <c r="E23" s="139">
        <v>4</v>
      </c>
      <c r="F23" s="140">
        <f t="shared" si="2"/>
        <v>7999.92</v>
      </c>
      <c r="G23" s="141">
        <v>0.08</v>
      </c>
      <c r="H23" s="142">
        <f t="shared" si="3"/>
        <v>8639.9135999999999</v>
      </c>
      <c r="I23" s="116"/>
    </row>
    <row r="24" spans="2:13" ht="18" customHeight="1" x14ac:dyDescent="0.3">
      <c r="B24" s="143">
        <f t="shared" si="0"/>
        <v>0</v>
      </c>
      <c r="C24" s="51" t="s">
        <v>351</v>
      </c>
      <c r="D24" s="144">
        <f t="shared" si="1"/>
        <v>0</v>
      </c>
      <c r="E24" s="145">
        <v>4</v>
      </c>
      <c r="F24" s="146">
        <f t="shared" si="2"/>
        <v>0</v>
      </c>
      <c r="G24" s="147">
        <v>0.08</v>
      </c>
      <c r="H24" s="148">
        <f t="shared" si="3"/>
        <v>0</v>
      </c>
      <c r="I24" s="123"/>
    </row>
    <row r="25" spans="2:13" ht="18" customHeight="1" x14ac:dyDescent="0.3">
      <c r="B25" s="137">
        <f t="shared" si="0"/>
        <v>0</v>
      </c>
      <c r="C25" s="42" t="s">
        <v>352</v>
      </c>
      <c r="D25" s="138">
        <f t="shared" si="1"/>
        <v>0</v>
      </c>
      <c r="E25" s="139">
        <v>4</v>
      </c>
      <c r="F25" s="140">
        <f t="shared" si="2"/>
        <v>0</v>
      </c>
      <c r="G25" s="141">
        <v>0.08</v>
      </c>
      <c r="H25" s="142">
        <f t="shared" si="3"/>
        <v>0</v>
      </c>
      <c r="I25" s="116"/>
    </row>
    <row r="26" spans="2:13" ht="18" customHeight="1" x14ac:dyDescent="0.3">
      <c r="B26" s="143">
        <f t="shared" si="0"/>
        <v>0</v>
      </c>
      <c r="C26" s="51" t="s">
        <v>353</v>
      </c>
      <c r="D26" s="144">
        <f t="shared" si="1"/>
        <v>0</v>
      </c>
      <c r="E26" s="145">
        <v>4</v>
      </c>
      <c r="F26" s="146">
        <f t="shared" si="2"/>
        <v>0</v>
      </c>
      <c r="G26" s="147">
        <v>0.08</v>
      </c>
      <c r="H26" s="148">
        <f t="shared" si="3"/>
        <v>0</v>
      </c>
      <c r="I26" s="123"/>
    </row>
    <row r="27" spans="2:13" ht="18" customHeight="1" x14ac:dyDescent="0.3">
      <c r="B27" s="137">
        <f t="shared" si="0"/>
        <v>0</v>
      </c>
      <c r="C27" s="42" t="s">
        <v>354</v>
      </c>
      <c r="D27" s="138">
        <f t="shared" si="1"/>
        <v>0</v>
      </c>
      <c r="E27" s="139">
        <v>4</v>
      </c>
      <c r="F27" s="140">
        <f t="shared" si="2"/>
        <v>0</v>
      </c>
      <c r="G27" s="141">
        <v>0.08</v>
      </c>
      <c r="H27" s="142">
        <f t="shared" si="3"/>
        <v>0</v>
      </c>
      <c r="I27" s="116"/>
    </row>
    <row r="28" spans="2:13" ht="18" customHeight="1" x14ac:dyDescent="0.3">
      <c r="B28" s="143">
        <f t="shared" si="0"/>
        <v>0</v>
      </c>
      <c r="C28" s="51" t="s">
        <v>341</v>
      </c>
      <c r="D28" s="144">
        <f t="shared" si="1"/>
        <v>0</v>
      </c>
      <c r="E28" s="145">
        <v>4</v>
      </c>
      <c r="F28" s="146">
        <f t="shared" si="2"/>
        <v>0</v>
      </c>
      <c r="G28" s="147">
        <v>0.08</v>
      </c>
      <c r="H28" s="148">
        <f t="shared" si="3"/>
        <v>0</v>
      </c>
      <c r="I28" s="123"/>
    </row>
    <row r="29" spans="2:13" ht="21.75" customHeight="1" x14ac:dyDescent="0.3">
      <c r="B29" s="262" t="s">
        <v>355</v>
      </c>
      <c r="C29" s="195"/>
      <c r="D29" s="195"/>
      <c r="E29" s="195"/>
      <c r="F29" s="195"/>
      <c r="G29" s="195"/>
      <c r="H29" s="136">
        <f>SUM(H21:H28)</f>
        <v>26006.313600000001</v>
      </c>
    </row>
  </sheetData>
  <mergeCells count="8">
    <mergeCell ref="B16:K16"/>
    <mergeCell ref="B19:M19"/>
    <mergeCell ref="B29:G29"/>
    <mergeCell ref="A2:F2"/>
    <mergeCell ref="G2:M2"/>
    <mergeCell ref="A3:M3"/>
    <mergeCell ref="B6:D6"/>
    <mergeCell ref="E6:M6"/>
  </mergeCells>
  <dataValidations count="1">
    <dataValidation type="list" showInputMessage="1" showErrorMessage="1" sqref="E8:K50" xr:uid="{00000000-0002-0000-0500-000000000000}">
      <formula1>"Full Day,Morning,Afternoon,Day Off"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695C"/>
  </sheetPr>
  <dimension ref="A1:K309"/>
  <sheetViews>
    <sheetView showGridLines="0" zoomScaleNormal="100" workbookViewId="0">
      <pane ySplit="8" topLeftCell="A9" activePane="bottomLeft" state="frozen"/>
      <selection pane="bottomLeft"/>
    </sheetView>
  </sheetViews>
  <sheetFormatPr defaultColWidth="8.6640625" defaultRowHeight="14.4" customHeight="1" x14ac:dyDescent="0.3"/>
  <cols>
    <col min="1" max="1" width="4" customWidth="1"/>
    <col min="2" max="2" width="14" customWidth="1"/>
    <col min="3" max="3" width="22" customWidth="1"/>
    <col min="4" max="4" width="20" customWidth="1"/>
    <col min="5" max="5" width="12" customWidth="1"/>
    <col min="6" max="6" width="10" customWidth="1"/>
    <col min="7" max="7" width="12" customWidth="1"/>
    <col min="8" max="9" width="14" customWidth="1"/>
    <col min="10" max="10" width="18" customWidth="1"/>
    <col min="11" max="11" width="16" customWidth="1"/>
  </cols>
  <sheetData>
    <row r="1" spans="1:11" ht="4.5" customHeight="1" x14ac:dyDescent="0.3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37.5" customHeight="1" x14ac:dyDescent="0.3">
      <c r="A2" s="182" t="s">
        <v>356</v>
      </c>
      <c r="B2" s="183"/>
      <c r="C2" s="183"/>
      <c r="D2" s="183"/>
      <c r="E2" s="183"/>
      <c r="F2" s="184" t="s">
        <v>357</v>
      </c>
      <c r="G2" s="183"/>
      <c r="H2" s="183"/>
      <c r="I2" s="183"/>
      <c r="J2" s="183"/>
      <c r="K2" s="183"/>
    </row>
    <row r="3" spans="1:11" ht="3.75" customHeight="1" x14ac:dyDescent="0.3">
      <c r="A3" s="185"/>
      <c r="B3" s="183"/>
      <c r="C3" s="183"/>
      <c r="D3" s="183"/>
      <c r="E3" s="183"/>
      <c r="F3" s="183"/>
      <c r="G3" s="183"/>
      <c r="H3" s="183"/>
      <c r="I3" s="183"/>
      <c r="J3" s="183"/>
      <c r="K3" s="183"/>
    </row>
    <row r="4" spans="1:11" ht="7.5" customHeight="1" x14ac:dyDescent="0.3"/>
    <row r="5" spans="1:11" ht="18" customHeight="1" x14ac:dyDescent="0.3">
      <c r="B5" s="86" t="s">
        <v>358</v>
      </c>
      <c r="C5" s="86" t="s">
        <v>359</v>
      </c>
      <c r="D5" s="86" t="s">
        <v>360</v>
      </c>
      <c r="E5" s="86" t="s">
        <v>361</v>
      </c>
      <c r="F5" s="86" t="s">
        <v>362</v>
      </c>
      <c r="G5" s="86" t="s">
        <v>363</v>
      </c>
      <c r="H5" s="86" t="s">
        <v>364</v>
      </c>
    </row>
    <row r="6" spans="1:11" ht="25.5" customHeight="1" x14ac:dyDescent="0.3">
      <c r="B6" s="106">
        <f>COUNTA(C9:C308)-1</f>
        <v>0</v>
      </c>
      <c r="C6" s="149">
        <f>COUNTIF(K9:K308,"Pending")</f>
        <v>299</v>
      </c>
      <c r="D6" s="150">
        <f>COUNTIF(K9:K308,"In Transit")</f>
        <v>0</v>
      </c>
      <c r="E6" s="151">
        <f>COUNTIF(K9:K308,"Received")</f>
        <v>0</v>
      </c>
      <c r="F6" s="152">
        <f>SUMIF(K9:K308,"Received",J9:J308)</f>
        <v>0</v>
      </c>
      <c r="G6" s="88">
        <f>SUMIF(K9:K308,"Pending",J9:J308)</f>
        <v>0</v>
      </c>
      <c r="H6" s="149">
        <f>COUNTIF(K9:K308,"Pending")+COUNTIF(K9:K308,"In Transit")</f>
        <v>299</v>
      </c>
    </row>
    <row r="7" spans="1:11" ht="7.5" customHeight="1" x14ac:dyDescent="0.3"/>
    <row r="8" spans="1:11" ht="19.5" customHeight="1" x14ac:dyDescent="0.3">
      <c r="B8" s="260" t="s">
        <v>365</v>
      </c>
      <c r="C8" s="195"/>
      <c r="D8" s="195"/>
      <c r="E8" s="195"/>
      <c r="F8" s="195"/>
      <c r="G8" s="195"/>
      <c r="H8" s="195"/>
      <c r="I8" s="195"/>
      <c r="J8" s="195"/>
      <c r="K8" s="195"/>
    </row>
    <row r="9" spans="1:11" ht="27.75" customHeight="1" x14ac:dyDescent="0.3">
      <c r="B9" s="33" t="s">
        <v>366</v>
      </c>
      <c r="C9" s="33" t="s">
        <v>367</v>
      </c>
      <c r="D9" s="33" t="s">
        <v>368</v>
      </c>
      <c r="E9" s="33" t="s">
        <v>68</v>
      </c>
      <c r="F9" s="33" t="s">
        <v>369</v>
      </c>
      <c r="G9" s="33" t="s">
        <v>247</v>
      </c>
      <c r="H9" s="33" t="s">
        <v>370</v>
      </c>
      <c r="I9" s="33" t="s">
        <v>371</v>
      </c>
      <c r="J9" s="33" t="s">
        <v>372</v>
      </c>
      <c r="K9" s="33" t="s">
        <v>39</v>
      </c>
    </row>
    <row r="10" spans="1:11" ht="15.75" customHeight="1" x14ac:dyDescent="0.3">
      <c r="B10" s="91"/>
      <c r="C10" s="93"/>
      <c r="D10" s="92"/>
      <c r="E10" s="92"/>
      <c r="F10" s="153"/>
      <c r="G10" s="41"/>
      <c r="H10" s="154"/>
      <c r="I10" s="155"/>
      <c r="J10" s="156" t="str">
        <f t="shared" ref="J10:J73" si="0">IFERROR(IF(F10*H10=0,"",F10*H10),"")</f>
        <v/>
      </c>
      <c r="K10" s="115" t="s">
        <v>373</v>
      </c>
    </row>
    <row r="11" spans="1:11" ht="15.75" customHeight="1" x14ac:dyDescent="0.3">
      <c r="B11" s="91"/>
      <c r="C11" s="95"/>
      <c r="D11" s="96"/>
      <c r="E11" s="96"/>
      <c r="F11" s="157"/>
      <c r="G11" s="50"/>
      <c r="H11" s="158"/>
      <c r="I11" s="159"/>
      <c r="J11" s="160" t="str">
        <f t="shared" si="0"/>
        <v/>
      </c>
      <c r="K11" s="122" t="s">
        <v>373</v>
      </c>
    </row>
    <row r="12" spans="1:11" ht="15.75" customHeight="1" x14ac:dyDescent="0.3">
      <c r="B12" s="91"/>
      <c r="C12" s="93"/>
      <c r="D12" s="92"/>
      <c r="E12" s="92"/>
      <c r="F12" s="153"/>
      <c r="G12" s="41"/>
      <c r="H12" s="154"/>
      <c r="I12" s="155"/>
      <c r="J12" s="156" t="str">
        <f t="shared" si="0"/>
        <v/>
      </c>
      <c r="K12" s="115" t="s">
        <v>373</v>
      </c>
    </row>
    <row r="13" spans="1:11" ht="15.75" customHeight="1" x14ac:dyDescent="0.3">
      <c r="B13" s="91"/>
      <c r="C13" s="95"/>
      <c r="D13" s="96"/>
      <c r="E13" s="96"/>
      <c r="F13" s="157"/>
      <c r="G13" s="50"/>
      <c r="H13" s="158"/>
      <c r="I13" s="159"/>
      <c r="J13" s="160" t="str">
        <f t="shared" si="0"/>
        <v/>
      </c>
      <c r="K13" s="122" t="s">
        <v>373</v>
      </c>
    </row>
    <row r="14" spans="1:11" ht="15.75" customHeight="1" x14ac:dyDescent="0.3">
      <c r="B14" s="91"/>
      <c r="C14" s="93"/>
      <c r="D14" s="92"/>
      <c r="E14" s="92"/>
      <c r="F14" s="153"/>
      <c r="G14" s="41"/>
      <c r="H14" s="154"/>
      <c r="I14" s="155"/>
      <c r="J14" s="156" t="str">
        <f t="shared" si="0"/>
        <v/>
      </c>
      <c r="K14" s="115" t="s">
        <v>373</v>
      </c>
    </row>
    <row r="15" spans="1:11" ht="15.75" customHeight="1" x14ac:dyDescent="0.3">
      <c r="B15" s="91"/>
      <c r="C15" s="95"/>
      <c r="D15" s="96"/>
      <c r="E15" s="96"/>
      <c r="F15" s="157"/>
      <c r="G15" s="50"/>
      <c r="H15" s="158"/>
      <c r="I15" s="159"/>
      <c r="J15" s="160" t="str">
        <f t="shared" si="0"/>
        <v/>
      </c>
      <c r="K15" s="122" t="s">
        <v>373</v>
      </c>
    </row>
    <row r="16" spans="1:11" ht="15.75" customHeight="1" x14ac:dyDescent="0.3">
      <c r="B16" s="91"/>
      <c r="C16" s="93"/>
      <c r="D16" s="92"/>
      <c r="E16" s="92"/>
      <c r="F16" s="153"/>
      <c r="G16" s="41"/>
      <c r="H16" s="154"/>
      <c r="I16" s="155"/>
      <c r="J16" s="156" t="str">
        <f t="shared" si="0"/>
        <v/>
      </c>
      <c r="K16" s="115" t="s">
        <v>373</v>
      </c>
    </row>
    <row r="17" spans="2:11" ht="15.75" customHeight="1" x14ac:dyDescent="0.3">
      <c r="B17" s="91"/>
      <c r="C17" s="95"/>
      <c r="D17" s="96"/>
      <c r="E17" s="96"/>
      <c r="F17" s="157"/>
      <c r="G17" s="50"/>
      <c r="H17" s="158"/>
      <c r="I17" s="159"/>
      <c r="J17" s="160" t="str">
        <f t="shared" si="0"/>
        <v/>
      </c>
      <c r="K17" s="122" t="s">
        <v>373</v>
      </c>
    </row>
    <row r="18" spans="2:11" ht="15.75" customHeight="1" x14ac:dyDescent="0.3">
      <c r="B18" s="91"/>
      <c r="C18" s="93"/>
      <c r="D18" s="92"/>
      <c r="E18" s="92"/>
      <c r="F18" s="153"/>
      <c r="G18" s="41"/>
      <c r="H18" s="154"/>
      <c r="I18" s="155"/>
      <c r="J18" s="156" t="str">
        <f t="shared" si="0"/>
        <v/>
      </c>
      <c r="K18" s="115" t="s">
        <v>373</v>
      </c>
    </row>
    <row r="19" spans="2:11" ht="15.75" customHeight="1" x14ac:dyDescent="0.3">
      <c r="B19" s="91"/>
      <c r="C19" s="95"/>
      <c r="D19" s="96"/>
      <c r="E19" s="96"/>
      <c r="F19" s="157"/>
      <c r="G19" s="50"/>
      <c r="H19" s="158"/>
      <c r="I19" s="159"/>
      <c r="J19" s="160" t="str">
        <f t="shared" si="0"/>
        <v/>
      </c>
      <c r="K19" s="122" t="s">
        <v>373</v>
      </c>
    </row>
    <row r="20" spans="2:11" ht="15.75" customHeight="1" x14ac:dyDescent="0.3">
      <c r="B20" s="91"/>
      <c r="C20" s="93"/>
      <c r="D20" s="92"/>
      <c r="E20" s="92"/>
      <c r="F20" s="153"/>
      <c r="G20" s="41"/>
      <c r="H20" s="154"/>
      <c r="I20" s="155"/>
      <c r="J20" s="156" t="str">
        <f t="shared" si="0"/>
        <v/>
      </c>
      <c r="K20" s="115" t="s">
        <v>373</v>
      </c>
    </row>
    <row r="21" spans="2:11" ht="15.75" customHeight="1" x14ac:dyDescent="0.3">
      <c r="B21" s="91"/>
      <c r="C21" s="95"/>
      <c r="D21" s="96"/>
      <c r="E21" s="96"/>
      <c r="F21" s="157"/>
      <c r="G21" s="50"/>
      <c r="H21" s="158"/>
      <c r="I21" s="159"/>
      <c r="J21" s="160" t="str">
        <f t="shared" si="0"/>
        <v/>
      </c>
      <c r="K21" s="122" t="s">
        <v>373</v>
      </c>
    </row>
    <row r="22" spans="2:11" ht="15.75" customHeight="1" x14ac:dyDescent="0.3">
      <c r="B22" s="91"/>
      <c r="C22" s="93"/>
      <c r="D22" s="92"/>
      <c r="E22" s="92"/>
      <c r="F22" s="153"/>
      <c r="G22" s="41"/>
      <c r="H22" s="154"/>
      <c r="I22" s="155"/>
      <c r="J22" s="156" t="str">
        <f t="shared" si="0"/>
        <v/>
      </c>
      <c r="K22" s="115" t="s">
        <v>373</v>
      </c>
    </row>
    <row r="23" spans="2:11" ht="15.75" customHeight="1" x14ac:dyDescent="0.3">
      <c r="B23" s="91"/>
      <c r="C23" s="95"/>
      <c r="D23" s="96"/>
      <c r="E23" s="96"/>
      <c r="F23" s="157"/>
      <c r="G23" s="50"/>
      <c r="H23" s="158"/>
      <c r="I23" s="159"/>
      <c r="J23" s="160" t="str">
        <f t="shared" si="0"/>
        <v/>
      </c>
      <c r="K23" s="122" t="s">
        <v>373</v>
      </c>
    </row>
    <row r="24" spans="2:11" ht="15.75" customHeight="1" x14ac:dyDescent="0.3">
      <c r="B24" s="91"/>
      <c r="C24" s="93"/>
      <c r="D24" s="92"/>
      <c r="E24" s="92"/>
      <c r="F24" s="153"/>
      <c r="G24" s="41"/>
      <c r="H24" s="154"/>
      <c r="I24" s="155"/>
      <c r="J24" s="156" t="str">
        <f t="shared" si="0"/>
        <v/>
      </c>
      <c r="K24" s="115" t="s">
        <v>373</v>
      </c>
    </row>
    <row r="25" spans="2:11" ht="15.75" customHeight="1" x14ac:dyDescent="0.3">
      <c r="B25" s="91"/>
      <c r="C25" s="95"/>
      <c r="D25" s="96"/>
      <c r="E25" s="96"/>
      <c r="F25" s="157"/>
      <c r="G25" s="50"/>
      <c r="H25" s="158"/>
      <c r="I25" s="159"/>
      <c r="J25" s="160" t="str">
        <f t="shared" si="0"/>
        <v/>
      </c>
      <c r="K25" s="122" t="s">
        <v>373</v>
      </c>
    </row>
    <row r="26" spans="2:11" ht="15.75" customHeight="1" x14ac:dyDescent="0.3">
      <c r="B26" s="91"/>
      <c r="C26" s="93"/>
      <c r="D26" s="92"/>
      <c r="E26" s="92"/>
      <c r="F26" s="153"/>
      <c r="G26" s="41"/>
      <c r="H26" s="154"/>
      <c r="I26" s="155"/>
      <c r="J26" s="156" t="str">
        <f t="shared" si="0"/>
        <v/>
      </c>
      <c r="K26" s="115" t="s">
        <v>373</v>
      </c>
    </row>
    <row r="27" spans="2:11" ht="15.75" customHeight="1" x14ac:dyDescent="0.3">
      <c r="B27" s="91"/>
      <c r="C27" s="95"/>
      <c r="D27" s="96"/>
      <c r="E27" s="96"/>
      <c r="F27" s="157"/>
      <c r="G27" s="50"/>
      <c r="H27" s="158"/>
      <c r="I27" s="159"/>
      <c r="J27" s="160" t="str">
        <f t="shared" si="0"/>
        <v/>
      </c>
      <c r="K27" s="122" t="s">
        <v>373</v>
      </c>
    </row>
    <row r="28" spans="2:11" ht="15.75" customHeight="1" x14ac:dyDescent="0.3">
      <c r="B28" s="91"/>
      <c r="C28" s="93"/>
      <c r="D28" s="92"/>
      <c r="E28" s="92"/>
      <c r="F28" s="153"/>
      <c r="G28" s="41"/>
      <c r="H28" s="154"/>
      <c r="I28" s="155"/>
      <c r="J28" s="156" t="str">
        <f t="shared" si="0"/>
        <v/>
      </c>
      <c r="K28" s="115" t="s">
        <v>373</v>
      </c>
    </row>
    <row r="29" spans="2:11" ht="15.75" customHeight="1" x14ac:dyDescent="0.3">
      <c r="B29" s="91"/>
      <c r="C29" s="95"/>
      <c r="D29" s="96"/>
      <c r="E29" s="96"/>
      <c r="F29" s="157"/>
      <c r="G29" s="50"/>
      <c r="H29" s="158"/>
      <c r="I29" s="159"/>
      <c r="J29" s="160" t="str">
        <f t="shared" si="0"/>
        <v/>
      </c>
      <c r="K29" s="122" t="s">
        <v>373</v>
      </c>
    </row>
    <row r="30" spans="2:11" ht="15.75" customHeight="1" x14ac:dyDescent="0.3">
      <c r="B30" s="91"/>
      <c r="C30" s="93"/>
      <c r="D30" s="92"/>
      <c r="E30" s="92"/>
      <c r="F30" s="153"/>
      <c r="G30" s="41"/>
      <c r="H30" s="154"/>
      <c r="I30" s="155"/>
      <c r="J30" s="156" t="str">
        <f t="shared" si="0"/>
        <v/>
      </c>
      <c r="K30" s="115" t="s">
        <v>373</v>
      </c>
    </row>
    <row r="31" spans="2:11" ht="15.75" customHeight="1" x14ac:dyDescent="0.3">
      <c r="B31" s="91"/>
      <c r="C31" s="95"/>
      <c r="D31" s="96"/>
      <c r="E31" s="96"/>
      <c r="F31" s="157"/>
      <c r="G31" s="50"/>
      <c r="H31" s="158"/>
      <c r="I31" s="159"/>
      <c r="J31" s="160" t="str">
        <f t="shared" si="0"/>
        <v/>
      </c>
      <c r="K31" s="122" t="s">
        <v>373</v>
      </c>
    </row>
    <row r="32" spans="2:11" ht="15.75" customHeight="1" x14ac:dyDescent="0.3">
      <c r="B32" s="91"/>
      <c r="C32" s="93"/>
      <c r="D32" s="92"/>
      <c r="E32" s="92"/>
      <c r="F32" s="153"/>
      <c r="G32" s="41"/>
      <c r="H32" s="154"/>
      <c r="I32" s="155"/>
      <c r="J32" s="156" t="str">
        <f t="shared" si="0"/>
        <v/>
      </c>
      <c r="K32" s="115" t="s">
        <v>373</v>
      </c>
    </row>
    <row r="33" spans="2:11" ht="15.75" customHeight="1" x14ac:dyDescent="0.3">
      <c r="B33" s="91"/>
      <c r="C33" s="95"/>
      <c r="D33" s="96"/>
      <c r="E33" s="96"/>
      <c r="F33" s="157"/>
      <c r="G33" s="50"/>
      <c r="H33" s="158"/>
      <c r="I33" s="159"/>
      <c r="J33" s="160" t="str">
        <f t="shared" si="0"/>
        <v/>
      </c>
      <c r="K33" s="122" t="s">
        <v>373</v>
      </c>
    </row>
    <row r="34" spans="2:11" ht="15.75" customHeight="1" x14ac:dyDescent="0.3">
      <c r="B34" s="91"/>
      <c r="C34" s="93"/>
      <c r="D34" s="92"/>
      <c r="E34" s="92"/>
      <c r="F34" s="153"/>
      <c r="G34" s="41"/>
      <c r="H34" s="154"/>
      <c r="I34" s="155"/>
      <c r="J34" s="156" t="str">
        <f t="shared" si="0"/>
        <v/>
      </c>
      <c r="K34" s="115" t="s">
        <v>373</v>
      </c>
    </row>
    <row r="35" spans="2:11" ht="15.75" customHeight="1" x14ac:dyDescent="0.3">
      <c r="B35" s="91"/>
      <c r="C35" s="95"/>
      <c r="D35" s="96"/>
      <c r="E35" s="96"/>
      <c r="F35" s="157"/>
      <c r="G35" s="50"/>
      <c r="H35" s="158"/>
      <c r="I35" s="159"/>
      <c r="J35" s="160" t="str">
        <f t="shared" si="0"/>
        <v/>
      </c>
      <c r="K35" s="122" t="s">
        <v>373</v>
      </c>
    </row>
    <row r="36" spans="2:11" ht="15.75" customHeight="1" x14ac:dyDescent="0.3">
      <c r="B36" s="91"/>
      <c r="C36" s="93"/>
      <c r="D36" s="92"/>
      <c r="E36" s="92"/>
      <c r="F36" s="153"/>
      <c r="G36" s="41"/>
      <c r="H36" s="154"/>
      <c r="I36" s="155"/>
      <c r="J36" s="156" t="str">
        <f t="shared" si="0"/>
        <v/>
      </c>
      <c r="K36" s="115" t="s">
        <v>373</v>
      </c>
    </row>
    <row r="37" spans="2:11" ht="15.75" customHeight="1" x14ac:dyDescent="0.3">
      <c r="B37" s="91"/>
      <c r="C37" s="95"/>
      <c r="D37" s="96"/>
      <c r="E37" s="96"/>
      <c r="F37" s="157"/>
      <c r="G37" s="50"/>
      <c r="H37" s="158"/>
      <c r="I37" s="159"/>
      <c r="J37" s="160" t="str">
        <f t="shared" si="0"/>
        <v/>
      </c>
      <c r="K37" s="122" t="s">
        <v>373</v>
      </c>
    </row>
    <row r="38" spans="2:11" ht="15.75" customHeight="1" x14ac:dyDescent="0.3">
      <c r="B38" s="91"/>
      <c r="C38" s="93"/>
      <c r="D38" s="92"/>
      <c r="E38" s="92"/>
      <c r="F38" s="153"/>
      <c r="G38" s="41"/>
      <c r="H38" s="154"/>
      <c r="I38" s="155"/>
      <c r="J38" s="156" t="str">
        <f t="shared" si="0"/>
        <v/>
      </c>
      <c r="K38" s="115" t="s">
        <v>373</v>
      </c>
    </row>
    <row r="39" spans="2:11" ht="15.75" customHeight="1" x14ac:dyDescent="0.3">
      <c r="B39" s="91"/>
      <c r="C39" s="95"/>
      <c r="D39" s="96"/>
      <c r="E39" s="96"/>
      <c r="F39" s="157"/>
      <c r="G39" s="50"/>
      <c r="H39" s="158"/>
      <c r="I39" s="159"/>
      <c r="J39" s="160" t="str">
        <f t="shared" si="0"/>
        <v/>
      </c>
      <c r="K39" s="122" t="s">
        <v>373</v>
      </c>
    </row>
    <row r="40" spans="2:11" ht="15.75" customHeight="1" x14ac:dyDescent="0.3">
      <c r="B40" s="91"/>
      <c r="C40" s="93"/>
      <c r="D40" s="92"/>
      <c r="E40" s="92"/>
      <c r="F40" s="153"/>
      <c r="G40" s="41"/>
      <c r="H40" s="154"/>
      <c r="I40" s="155"/>
      <c r="J40" s="156" t="str">
        <f t="shared" si="0"/>
        <v/>
      </c>
      <c r="K40" s="115" t="s">
        <v>373</v>
      </c>
    </row>
    <row r="41" spans="2:11" ht="15.75" customHeight="1" x14ac:dyDescent="0.3">
      <c r="B41" s="91"/>
      <c r="C41" s="95"/>
      <c r="D41" s="96"/>
      <c r="E41" s="96"/>
      <c r="F41" s="157"/>
      <c r="G41" s="50"/>
      <c r="H41" s="158"/>
      <c r="I41" s="159"/>
      <c r="J41" s="160" t="str">
        <f t="shared" si="0"/>
        <v/>
      </c>
      <c r="K41" s="122" t="s">
        <v>373</v>
      </c>
    </row>
    <row r="42" spans="2:11" ht="15.75" customHeight="1" x14ac:dyDescent="0.3">
      <c r="B42" s="91"/>
      <c r="C42" s="93"/>
      <c r="D42" s="92"/>
      <c r="E42" s="92"/>
      <c r="F42" s="153"/>
      <c r="G42" s="41"/>
      <c r="H42" s="154"/>
      <c r="I42" s="155"/>
      <c r="J42" s="156" t="str">
        <f t="shared" si="0"/>
        <v/>
      </c>
      <c r="K42" s="115" t="s">
        <v>373</v>
      </c>
    </row>
    <row r="43" spans="2:11" ht="15.75" customHeight="1" x14ac:dyDescent="0.3">
      <c r="B43" s="91"/>
      <c r="C43" s="95"/>
      <c r="D43" s="96"/>
      <c r="E43" s="96"/>
      <c r="F43" s="157"/>
      <c r="G43" s="50"/>
      <c r="H43" s="158"/>
      <c r="I43" s="159"/>
      <c r="J43" s="160" t="str">
        <f t="shared" si="0"/>
        <v/>
      </c>
      <c r="K43" s="122" t="s">
        <v>373</v>
      </c>
    </row>
    <row r="44" spans="2:11" ht="15.75" customHeight="1" x14ac:dyDescent="0.3">
      <c r="B44" s="91"/>
      <c r="C44" s="93"/>
      <c r="D44" s="92"/>
      <c r="E44" s="92"/>
      <c r="F44" s="153"/>
      <c r="G44" s="41"/>
      <c r="H44" s="154"/>
      <c r="I44" s="155"/>
      <c r="J44" s="156" t="str">
        <f t="shared" si="0"/>
        <v/>
      </c>
      <c r="K44" s="115" t="s">
        <v>373</v>
      </c>
    </row>
    <row r="45" spans="2:11" ht="15.75" customHeight="1" x14ac:dyDescent="0.3">
      <c r="B45" s="91"/>
      <c r="C45" s="95"/>
      <c r="D45" s="96"/>
      <c r="E45" s="96"/>
      <c r="F45" s="157"/>
      <c r="G45" s="50"/>
      <c r="H45" s="158"/>
      <c r="I45" s="159"/>
      <c r="J45" s="160" t="str">
        <f t="shared" si="0"/>
        <v/>
      </c>
      <c r="K45" s="122" t="s">
        <v>373</v>
      </c>
    </row>
    <row r="46" spans="2:11" ht="15.75" customHeight="1" x14ac:dyDescent="0.3">
      <c r="B46" s="91"/>
      <c r="C46" s="93"/>
      <c r="D46" s="92"/>
      <c r="E46" s="92"/>
      <c r="F46" s="153"/>
      <c r="G46" s="41"/>
      <c r="H46" s="154"/>
      <c r="I46" s="155"/>
      <c r="J46" s="156" t="str">
        <f t="shared" si="0"/>
        <v/>
      </c>
      <c r="K46" s="115" t="s">
        <v>373</v>
      </c>
    </row>
    <row r="47" spans="2:11" ht="15.75" customHeight="1" x14ac:dyDescent="0.3">
      <c r="B47" s="91"/>
      <c r="C47" s="95"/>
      <c r="D47" s="96"/>
      <c r="E47" s="96"/>
      <c r="F47" s="157"/>
      <c r="G47" s="50"/>
      <c r="H47" s="158"/>
      <c r="I47" s="159"/>
      <c r="J47" s="160" t="str">
        <f t="shared" si="0"/>
        <v/>
      </c>
      <c r="K47" s="122" t="s">
        <v>373</v>
      </c>
    </row>
    <row r="48" spans="2:11" ht="15.75" customHeight="1" x14ac:dyDescent="0.3">
      <c r="B48" s="91"/>
      <c r="C48" s="93"/>
      <c r="D48" s="92"/>
      <c r="E48" s="92"/>
      <c r="F48" s="153"/>
      <c r="G48" s="41"/>
      <c r="H48" s="154"/>
      <c r="I48" s="155"/>
      <c r="J48" s="156" t="str">
        <f t="shared" si="0"/>
        <v/>
      </c>
      <c r="K48" s="115" t="s">
        <v>373</v>
      </c>
    </row>
    <row r="49" spans="2:11" ht="15.75" customHeight="1" x14ac:dyDescent="0.3">
      <c r="B49" s="91"/>
      <c r="C49" s="95"/>
      <c r="D49" s="96"/>
      <c r="E49" s="96"/>
      <c r="F49" s="157"/>
      <c r="G49" s="50"/>
      <c r="H49" s="158"/>
      <c r="I49" s="159"/>
      <c r="J49" s="160" t="str">
        <f t="shared" si="0"/>
        <v/>
      </c>
      <c r="K49" s="122" t="s">
        <v>373</v>
      </c>
    </row>
    <row r="50" spans="2:11" ht="15.75" customHeight="1" x14ac:dyDescent="0.3">
      <c r="B50" s="91"/>
      <c r="C50" s="93"/>
      <c r="D50" s="92"/>
      <c r="E50" s="92"/>
      <c r="F50" s="153"/>
      <c r="G50" s="41"/>
      <c r="H50" s="154"/>
      <c r="I50" s="155"/>
      <c r="J50" s="156" t="str">
        <f t="shared" si="0"/>
        <v/>
      </c>
      <c r="K50" s="115" t="s">
        <v>373</v>
      </c>
    </row>
    <row r="51" spans="2:11" ht="15.75" customHeight="1" x14ac:dyDescent="0.3">
      <c r="B51" s="91"/>
      <c r="C51" s="95"/>
      <c r="D51" s="96"/>
      <c r="E51" s="96"/>
      <c r="F51" s="157"/>
      <c r="G51" s="50"/>
      <c r="H51" s="158"/>
      <c r="I51" s="159"/>
      <c r="J51" s="160" t="str">
        <f t="shared" si="0"/>
        <v/>
      </c>
      <c r="K51" s="122" t="s">
        <v>373</v>
      </c>
    </row>
    <row r="52" spans="2:11" ht="15.75" customHeight="1" x14ac:dyDescent="0.3">
      <c r="B52" s="91"/>
      <c r="C52" s="93"/>
      <c r="D52" s="92"/>
      <c r="E52" s="92"/>
      <c r="F52" s="153"/>
      <c r="G52" s="41"/>
      <c r="H52" s="154"/>
      <c r="I52" s="155"/>
      <c r="J52" s="156" t="str">
        <f t="shared" si="0"/>
        <v/>
      </c>
      <c r="K52" s="115" t="s">
        <v>373</v>
      </c>
    </row>
    <row r="53" spans="2:11" ht="15.75" customHeight="1" x14ac:dyDescent="0.3">
      <c r="B53" s="91"/>
      <c r="C53" s="95"/>
      <c r="D53" s="96"/>
      <c r="E53" s="96"/>
      <c r="F53" s="157"/>
      <c r="G53" s="50"/>
      <c r="H53" s="158"/>
      <c r="I53" s="159"/>
      <c r="J53" s="160" t="str">
        <f t="shared" si="0"/>
        <v/>
      </c>
      <c r="K53" s="122" t="s">
        <v>373</v>
      </c>
    </row>
    <row r="54" spans="2:11" ht="15.75" customHeight="1" x14ac:dyDescent="0.3">
      <c r="B54" s="91"/>
      <c r="C54" s="93"/>
      <c r="D54" s="92"/>
      <c r="E54" s="92"/>
      <c r="F54" s="153"/>
      <c r="G54" s="41"/>
      <c r="H54" s="154"/>
      <c r="I54" s="155"/>
      <c r="J54" s="156" t="str">
        <f t="shared" si="0"/>
        <v/>
      </c>
      <c r="K54" s="115" t="s">
        <v>373</v>
      </c>
    </row>
    <row r="55" spans="2:11" ht="15.75" customHeight="1" x14ac:dyDescent="0.3">
      <c r="B55" s="91"/>
      <c r="C55" s="95"/>
      <c r="D55" s="96"/>
      <c r="E55" s="96"/>
      <c r="F55" s="157"/>
      <c r="G55" s="50"/>
      <c r="H55" s="158"/>
      <c r="I55" s="159"/>
      <c r="J55" s="160" t="str">
        <f t="shared" si="0"/>
        <v/>
      </c>
      <c r="K55" s="122" t="s">
        <v>373</v>
      </c>
    </row>
    <row r="56" spans="2:11" ht="15.75" customHeight="1" x14ac:dyDescent="0.3">
      <c r="B56" s="91"/>
      <c r="C56" s="93"/>
      <c r="D56" s="92"/>
      <c r="E56" s="92"/>
      <c r="F56" s="153"/>
      <c r="G56" s="41"/>
      <c r="H56" s="154"/>
      <c r="I56" s="155"/>
      <c r="J56" s="156" t="str">
        <f t="shared" si="0"/>
        <v/>
      </c>
      <c r="K56" s="115" t="s">
        <v>373</v>
      </c>
    </row>
    <row r="57" spans="2:11" ht="15.75" customHeight="1" x14ac:dyDescent="0.3">
      <c r="B57" s="91"/>
      <c r="C57" s="95"/>
      <c r="D57" s="96"/>
      <c r="E57" s="96"/>
      <c r="F57" s="157"/>
      <c r="G57" s="50"/>
      <c r="H57" s="158"/>
      <c r="I57" s="159"/>
      <c r="J57" s="160" t="str">
        <f t="shared" si="0"/>
        <v/>
      </c>
      <c r="K57" s="122" t="s">
        <v>373</v>
      </c>
    </row>
    <row r="58" spans="2:11" ht="15.75" customHeight="1" x14ac:dyDescent="0.3">
      <c r="B58" s="91"/>
      <c r="C58" s="93"/>
      <c r="D58" s="92"/>
      <c r="E58" s="92"/>
      <c r="F58" s="153"/>
      <c r="G58" s="41"/>
      <c r="H58" s="154"/>
      <c r="I58" s="155"/>
      <c r="J58" s="156" t="str">
        <f t="shared" si="0"/>
        <v/>
      </c>
      <c r="K58" s="115" t="s">
        <v>373</v>
      </c>
    </row>
    <row r="59" spans="2:11" ht="15.75" customHeight="1" x14ac:dyDescent="0.3">
      <c r="B59" s="91"/>
      <c r="C59" s="95"/>
      <c r="D59" s="96"/>
      <c r="E59" s="96"/>
      <c r="F59" s="157"/>
      <c r="G59" s="50"/>
      <c r="H59" s="158"/>
      <c r="I59" s="159"/>
      <c r="J59" s="160" t="str">
        <f t="shared" si="0"/>
        <v/>
      </c>
      <c r="K59" s="122" t="s">
        <v>373</v>
      </c>
    </row>
    <row r="60" spans="2:11" ht="15.75" customHeight="1" x14ac:dyDescent="0.3">
      <c r="B60" s="91"/>
      <c r="C60" s="93"/>
      <c r="D60" s="92"/>
      <c r="E60" s="92"/>
      <c r="F60" s="153"/>
      <c r="G60" s="41"/>
      <c r="H60" s="154"/>
      <c r="I60" s="155"/>
      <c r="J60" s="156" t="str">
        <f t="shared" si="0"/>
        <v/>
      </c>
      <c r="K60" s="115" t="s">
        <v>373</v>
      </c>
    </row>
    <row r="61" spans="2:11" ht="15.75" customHeight="1" x14ac:dyDescent="0.3">
      <c r="B61" s="91"/>
      <c r="C61" s="95"/>
      <c r="D61" s="96"/>
      <c r="E61" s="96"/>
      <c r="F61" s="157"/>
      <c r="G61" s="50"/>
      <c r="H61" s="158"/>
      <c r="I61" s="159"/>
      <c r="J61" s="160" t="str">
        <f t="shared" si="0"/>
        <v/>
      </c>
      <c r="K61" s="122" t="s">
        <v>373</v>
      </c>
    </row>
    <row r="62" spans="2:11" ht="15.75" customHeight="1" x14ac:dyDescent="0.3">
      <c r="B62" s="91"/>
      <c r="C62" s="93"/>
      <c r="D62" s="92"/>
      <c r="E62" s="92"/>
      <c r="F62" s="153"/>
      <c r="G62" s="41"/>
      <c r="H62" s="154"/>
      <c r="I62" s="155"/>
      <c r="J62" s="156" t="str">
        <f t="shared" si="0"/>
        <v/>
      </c>
      <c r="K62" s="115" t="s">
        <v>373</v>
      </c>
    </row>
    <row r="63" spans="2:11" ht="15.75" customHeight="1" x14ac:dyDescent="0.3">
      <c r="B63" s="91"/>
      <c r="C63" s="95"/>
      <c r="D63" s="96"/>
      <c r="E63" s="96"/>
      <c r="F63" s="157"/>
      <c r="G63" s="50"/>
      <c r="H63" s="158"/>
      <c r="I63" s="159"/>
      <c r="J63" s="160" t="str">
        <f t="shared" si="0"/>
        <v/>
      </c>
      <c r="K63" s="122" t="s">
        <v>373</v>
      </c>
    </row>
    <row r="64" spans="2:11" ht="15.75" customHeight="1" x14ac:dyDescent="0.3">
      <c r="B64" s="91"/>
      <c r="C64" s="93"/>
      <c r="D64" s="92"/>
      <c r="E64" s="92"/>
      <c r="F64" s="153"/>
      <c r="G64" s="41"/>
      <c r="H64" s="154"/>
      <c r="I64" s="155"/>
      <c r="J64" s="156" t="str">
        <f t="shared" si="0"/>
        <v/>
      </c>
      <c r="K64" s="115" t="s">
        <v>373</v>
      </c>
    </row>
    <row r="65" spans="2:11" ht="15.75" customHeight="1" x14ac:dyDescent="0.3">
      <c r="B65" s="91"/>
      <c r="C65" s="95"/>
      <c r="D65" s="96"/>
      <c r="E65" s="96"/>
      <c r="F65" s="157"/>
      <c r="G65" s="50"/>
      <c r="H65" s="158"/>
      <c r="I65" s="159"/>
      <c r="J65" s="160" t="str">
        <f t="shared" si="0"/>
        <v/>
      </c>
      <c r="K65" s="122" t="s">
        <v>373</v>
      </c>
    </row>
    <row r="66" spans="2:11" ht="15.75" customHeight="1" x14ac:dyDescent="0.3">
      <c r="B66" s="91"/>
      <c r="C66" s="93"/>
      <c r="D66" s="92"/>
      <c r="E66" s="92"/>
      <c r="F66" s="153"/>
      <c r="G66" s="41"/>
      <c r="H66" s="154"/>
      <c r="I66" s="155"/>
      <c r="J66" s="156" t="str">
        <f t="shared" si="0"/>
        <v/>
      </c>
      <c r="K66" s="115" t="s">
        <v>373</v>
      </c>
    </row>
    <row r="67" spans="2:11" ht="15.75" customHeight="1" x14ac:dyDescent="0.3">
      <c r="B67" s="91"/>
      <c r="C67" s="95"/>
      <c r="D67" s="96"/>
      <c r="E67" s="96"/>
      <c r="F67" s="157"/>
      <c r="G67" s="50"/>
      <c r="H67" s="158"/>
      <c r="I67" s="159"/>
      <c r="J67" s="160" t="str">
        <f t="shared" si="0"/>
        <v/>
      </c>
      <c r="K67" s="122" t="s">
        <v>373</v>
      </c>
    </row>
    <row r="68" spans="2:11" ht="15.75" customHeight="1" x14ac:dyDescent="0.3">
      <c r="B68" s="91"/>
      <c r="C68" s="93"/>
      <c r="D68" s="92"/>
      <c r="E68" s="92"/>
      <c r="F68" s="153"/>
      <c r="G68" s="41"/>
      <c r="H68" s="154"/>
      <c r="I68" s="155"/>
      <c r="J68" s="156" t="str">
        <f t="shared" si="0"/>
        <v/>
      </c>
      <c r="K68" s="115" t="s">
        <v>373</v>
      </c>
    </row>
    <row r="69" spans="2:11" ht="15.75" customHeight="1" x14ac:dyDescent="0.3">
      <c r="B69" s="91"/>
      <c r="C69" s="95"/>
      <c r="D69" s="96"/>
      <c r="E69" s="96"/>
      <c r="F69" s="157"/>
      <c r="G69" s="50"/>
      <c r="H69" s="158"/>
      <c r="I69" s="159"/>
      <c r="J69" s="160" t="str">
        <f t="shared" si="0"/>
        <v/>
      </c>
      <c r="K69" s="122" t="s">
        <v>373</v>
      </c>
    </row>
    <row r="70" spans="2:11" ht="15.75" customHeight="1" x14ac:dyDescent="0.3">
      <c r="B70" s="91"/>
      <c r="C70" s="93"/>
      <c r="D70" s="92"/>
      <c r="E70" s="92"/>
      <c r="F70" s="153"/>
      <c r="G70" s="41"/>
      <c r="H70" s="154"/>
      <c r="I70" s="155"/>
      <c r="J70" s="156" t="str">
        <f t="shared" si="0"/>
        <v/>
      </c>
      <c r="K70" s="115" t="s">
        <v>373</v>
      </c>
    </row>
    <row r="71" spans="2:11" ht="15.75" customHeight="1" x14ac:dyDescent="0.3">
      <c r="B71" s="91"/>
      <c r="C71" s="95"/>
      <c r="D71" s="96"/>
      <c r="E71" s="96"/>
      <c r="F71" s="157"/>
      <c r="G71" s="50"/>
      <c r="H71" s="158"/>
      <c r="I71" s="159"/>
      <c r="J71" s="160" t="str">
        <f t="shared" si="0"/>
        <v/>
      </c>
      <c r="K71" s="122" t="s">
        <v>373</v>
      </c>
    </row>
    <row r="72" spans="2:11" ht="15.75" customHeight="1" x14ac:dyDescent="0.3">
      <c r="B72" s="91"/>
      <c r="C72" s="93"/>
      <c r="D72" s="92"/>
      <c r="E72" s="92"/>
      <c r="F72" s="153"/>
      <c r="G72" s="41"/>
      <c r="H72" s="154"/>
      <c r="I72" s="155"/>
      <c r="J72" s="156" t="str">
        <f t="shared" si="0"/>
        <v/>
      </c>
      <c r="K72" s="115" t="s">
        <v>373</v>
      </c>
    </row>
    <row r="73" spans="2:11" ht="15.75" customHeight="1" x14ac:dyDescent="0.3">
      <c r="B73" s="91"/>
      <c r="C73" s="95"/>
      <c r="D73" s="96"/>
      <c r="E73" s="96"/>
      <c r="F73" s="157"/>
      <c r="G73" s="50"/>
      <c r="H73" s="158"/>
      <c r="I73" s="159"/>
      <c r="J73" s="160" t="str">
        <f t="shared" si="0"/>
        <v/>
      </c>
      <c r="K73" s="122" t="s">
        <v>373</v>
      </c>
    </row>
    <row r="74" spans="2:11" ht="15.75" customHeight="1" x14ac:dyDescent="0.3">
      <c r="B74" s="91"/>
      <c r="C74" s="93"/>
      <c r="D74" s="92"/>
      <c r="E74" s="92"/>
      <c r="F74" s="153"/>
      <c r="G74" s="41"/>
      <c r="H74" s="154"/>
      <c r="I74" s="155"/>
      <c r="J74" s="156" t="str">
        <f t="shared" ref="J74:J137" si="1">IFERROR(IF(F74*H74=0,"",F74*H74),"")</f>
        <v/>
      </c>
      <c r="K74" s="115" t="s">
        <v>373</v>
      </c>
    </row>
    <row r="75" spans="2:11" ht="15.75" customHeight="1" x14ac:dyDescent="0.3">
      <c r="B75" s="91"/>
      <c r="C75" s="95"/>
      <c r="D75" s="96"/>
      <c r="E75" s="96"/>
      <c r="F75" s="157"/>
      <c r="G75" s="50"/>
      <c r="H75" s="158"/>
      <c r="I75" s="159"/>
      <c r="J75" s="160" t="str">
        <f t="shared" si="1"/>
        <v/>
      </c>
      <c r="K75" s="122" t="s">
        <v>373</v>
      </c>
    </row>
    <row r="76" spans="2:11" ht="15.75" customHeight="1" x14ac:dyDescent="0.3">
      <c r="B76" s="91"/>
      <c r="C76" s="93"/>
      <c r="D76" s="92"/>
      <c r="E76" s="92"/>
      <c r="F76" s="153"/>
      <c r="G76" s="41"/>
      <c r="H76" s="154"/>
      <c r="I76" s="155"/>
      <c r="J76" s="156" t="str">
        <f t="shared" si="1"/>
        <v/>
      </c>
      <c r="K76" s="115" t="s">
        <v>373</v>
      </c>
    </row>
    <row r="77" spans="2:11" ht="15.75" customHeight="1" x14ac:dyDescent="0.3">
      <c r="B77" s="91"/>
      <c r="C77" s="95"/>
      <c r="D77" s="96"/>
      <c r="E77" s="96"/>
      <c r="F77" s="157"/>
      <c r="G77" s="50"/>
      <c r="H77" s="158"/>
      <c r="I77" s="159"/>
      <c r="J77" s="160" t="str">
        <f t="shared" si="1"/>
        <v/>
      </c>
      <c r="K77" s="122" t="s">
        <v>373</v>
      </c>
    </row>
    <row r="78" spans="2:11" ht="15.75" customHeight="1" x14ac:dyDescent="0.3">
      <c r="B78" s="91"/>
      <c r="C78" s="93"/>
      <c r="D78" s="92"/>
      <c r="E78" s="92"/>
      <c r="F78" s="153"/>
      <c r="G78" s="41"/>
      <c r="H78" s="154"/>
      <c r="I78" s="155"/>
      <c r="J78" s="156" t="str">
        <f t="shared" si="1"/>
        <v/>
      </c>
      <c r="K78" s="115" t="s">
        <v>373</v>
      </c>
    </row>
    <row r="79" spans="2:11" ht="15.75" customHeight="1" x14ac:dyDescent="0.3">
      <c r="B79" s="91"/>
      <c r="C79" s="95"/>
      <c r="D79" s="96"/>
      <c r="E79" s="96"/>
      <c r="F79" s="157"/>
      <c r="G79" s="50"/>
      <c r="H79" s="158"/>
      <c r="I79" s="159"/>
      <c r="J79" s="160" t="str">
        <f t="shared" si="1"/>
        <v/>
      </c>
      <c r="K79" s="122" t="s">
        <v>373</v>
      </c>
    </row>
    <row r="80" spans="2:11" ht="15.75" customHeight="1" x14ac:dyDescent="0.3">
      <c r="B80" s="91"/>
      <c r="C80" s="93"/>
      <c r="D80" s="92"/>
      <c r="E80" s="92"/>
      <c r="F80" s="153"/>
      <c r="G80" s="41"/>
      <c r="H80" s="154"/>
      <c r="I80" s="155"/>
      <c r="J80" s="156" t="str">
        <f t="shared" si="1"/>
        <v/>
      </c>
      <c r="K80" s="115" t="s">
        <v>373</v>
      </c>
    </row>
    <row r="81" spans="2:11" ht="15.75" customHeight="1" x14ac:dyDescent="0.3">
      <c r="B81" s="91"/>
      <c r="C81" s="95"/>
      <c r="D81" s="96"/>
      <c r="E81" s="96"/>
      <c r="F81" s="157"/>
      <c r="G81" s="50"/>
      <c r="H81" s="158"/>
      <c r="I81" s="159"/>
      <c r="J81" s="160" t="str">
        <f t="shared" si="1"/>
        <v/>
      </c>
      <c r="K81" s="122" t="s">
        <v>373</v>
      </c>
    </row>
    <row r="82" spans="2:11" ht="15.75" customHeight="1" x14ac:dyDescent="0.3">
      <c r="B82" s="91"/>
      <c r="C82" s="93"/>
      <c r="D82" s="92"/>
      <c r="E82" s="92"/>
      <c r="F82" s="153"/>
      <c r="G82" s="41"/>
      <c r="H82" s="154"/>
      <c r="I82" s="155"/>
      <c r="J82" s="156" t="str">
        <f t="shared" si="1"/>
        <v/>
      </c>
      <c r="K82" s="115" t="s">
        <v>373</v>
      </c>
    </row>
    <row r="83" spans="2:11" ht="15.75" customHeight="1" x14ac:dyDescent="0.3">
      <c r="B83" s="91"/>
      <c r="C83" s="95"/>
      <c r="D83" s="96"/>
      <c r="E83" s="96"/>
      <c r="F83" s="157"/>
      <c r="G83" s="50"/>
      <c r="H83" s="158"/>
      <c r="I83" s="159"/>
      <c r="J83" s="160" t="str">
        <f t="shared" si="1"/>
        <v/>
      </c>
      <c r="K83" s="122" t="s">
        <v>373</v>
      </c>
    </row>
    <row r="84" spans="2:11" ht="15.75" customHeight="1" x14ac:dyDescent="0.3">
      <c r="B84" s="91"/>
      <c r="C84" s="93"/>
      <c r="D84" s="92"/>
      <c r="E84" s="92"/>
      <c r="F84" s="153"/>
      <c r="G84" s="41"/>
      <c r="H84" s="154"/>
      <c r="I84" s="155"/>
      <c r="J84" s="156" t="str">
        <f t="shared" si="1"/>
        <v/>
      </c>
      <c r="K84" s="115" t="s">
        <v>373</v>
      </c>
    </row>
    <row r="85" spans="2:11" ht="15.75" customHeight="1" x14ac:dyDescent="0.3">
      <c r="B85" s="91"/>
      <c r="C85" s="95"/>
      <c r="D85" s="96"/>
      <c r="E85" s="96"/>
      <c r="F85" s="157"/>
      <c r="G85" s="50"/>
      <c r="H85" s="158"/>
      <c r="I85" s="159"/>
      <c r="J85" s="160" t="str">
        <f t="shared" si="1"/>
        <v/>
      </c>
      <c r="K85" s="122" t="s">
        <v>373</v>
      </c>
    </row>
    <row r="86" spans="2:11" ht="15.75" customHeight="1" x14ac:dyDescent="0.3">
      <c r="B86" s="91"/>
      <c r="C86" s="93"/>
      <c r="D86" s="92"/>
      <c r="E86" s="92"/>
      <c r="F86" s="153"/>
      <c r="G86" s="41"/>
      <c r="H86" s="154"/>
      <c r="I86" s="155"/>
      <c r="J86" s="156" t="str">
        <f t="shared" si="1"/>
        <v/>
      </c>
      <c r="K86" s="115" t="s">
        <v>373</v>
      </c>
    </row>
    <row r="87" spans="2:11" ht="15.75" customHeight="1" x14ac:dyDescent="0.3">
      <c r="B87" s="91"/>
      <c r="C87" s="95"/>
      <c r="D87" s="96"/>
      <c r="E87" s="96"/>
      <c r="F87" s="157"/>
      <c r="G87" s="50"/>
      <c r="H87" s="158"/>
      <c r="I87" s="159"/>
      <c r="J87" s="160" t="str">
        <f t="shared" si="1"/>
        <v/>
      </c>
      <c r="K87" s="122" t="s">
        <v>373</v>
      </c>
    </row>
    <row r="88" spans="2:11" ht="15.75" customHeight="1" x14ac:dyDescent="0.3">
      <c r="B88" s="91"/>
      <c r="C88" s="93"/>
      <c r="D88" s="92"/>
      <c r="E88" s="92"/>
      <c r="F88" s="153"/>
      <c r="G88" s="41"/>
      <c r="H88" s="154"/>
      <c r="I88" s="155"/>
      <c r="J88" s="156" t="str">
        <f t="shared" si="1"/>
        <v/>
      </c>
      <c r="K88" s="115" t="s">
        <v>373</v>
      </c>
    </row>
    <row r="89" spans="2:11" ht="15.75" customHeight="1" x14ac:dyDescent="0.3">
      <c r="B89" s="91"/>
      <c r="C89" s="95"/>
      <c r="D89" s="96"/>
      <c r="E89" s="96"/>
      <c r="F89" s="157"/>
      <c r="G89" s="50"/>
      <c r="H89" s="158"/>
      <c r="I89" s="159"/>
      <c r="J89" s="160" t="str">
        <f t="shared" si="1"/>
        <v/>
      </c>
      <c r="K89" s="122" t="s">
        <v>373</v>
      </c>
    </row>
    <row r="90" spans="2:11" ht="15.75" customHeight="1" x14ac:dyDescent="0.3">
      <c r="B90" s="91"/>
      <c r="C90" s="93"/>
      <c r="D90" s="92"/>
      <c r="E90" s="92"/>
      <c r="F90" s="153"/>
      <c r="G90" s="41"/>
      <c r="H90" s="154"/>
      <c r="I90" s="155"/>
      <c r="J90" s="156" t="str">
        <f t="shared" si="1"/>
        <v/>
      </c>
      <c r="K90" s="115" t="s">
        <v>373</v>
      </c>
    </row>
    <row r="91" spans="2:11" ht="15.75" customHeight="1" x14ac:dyDescent="0.3">
      <c r="B91" s="91"/>
      <c r="C91" s="95"/>
      <c r="D91" s="96"/>
      <c r="E91" s="96"/>
      <c r="F91" s="157"/>
      <c r="G91" s="50"/>
      <c r="H91" s="158"/>
      <c r="I91" s="159"/>
      <c r="J91" s="160" t="str">
        <f t="shared" si="1"/>
        <v/>
      </c>
      <c r="K91" s="122" t="s">
        <v>373</v>
      </c>
    </row>
    <row r="92" spans="2:11" ht="15.75" customHeight="1" x14ac:dyDescent="0.3">
      <c r="B92" s="91"/>
      <c r="C92" s="93"/>
      <c r="D92" s="92"/>
      <c r="E92" s="92"/>
      <c r="F92" s="153"/>
      <c r="G92" s="41"/>
      <c r="H92" s="154"/>
      <c r="I92" s="155"/>
      <c r="J92" s="156" t="str">
        <f t="shared" si="1"/>
        <v/>
      </c>
      <c r="K92" s="115" t="s">
        <v>373</v>
      </c>
    </row>
    <row r="93" spans="2:11" ht="15.75" customHeight="1" x14ac:dyDescent="0.3">
      <c r="B93" s="91"/>
      <c r="C93" s="95"/>
      <c r="D93" s="96"/>
      <c r="E93" s="96"/>
      <c r="F93" s="157"/>
      <c r="G93" s="50"/>
      <c r="H93" s="158"/>
      <c r="I93" s="159"/>
      <c r="J93" s="160" t="str">
        <f t="shared" si="1"/>
        <v/>
      </c>
      <c r="K93" s="122" t="s">
        <v>373</v>
      </c>
    </row>
    <row r="94" spans="2:11" ht="15.75" customHeight="1" x14ac:dyDescent="0.3">
      <c r="B94" s="91"/>
      <c r="C94" s="93"/>
      <c r="D94" s="92"/>
      <c r="E94" s="92"/>
      <c r="F94" s="153"/>
      <c r="G94" s="41"/>
      <c r="H94" s="154"/>
      <c r="I94" s="155"/>
      <c r="J94" s="156" t="str">
        <f t="shared" si="1"/>
        <v/>
      </c>
      <c r="K94" s="115" t="s">
        <v>373</v>
      </c>
    </row>
    <row r="95" spans="2:11" ht="15.75" customHeight="1" x14ac:dyDescent="0.3">
      <c r="B95" s="91"/>
      <c r="C95" s="95"/>
      <c r="D95" s="96"/>
      <c r="E95" s="96"/>
      <c r="F95" s="157"/>
      <c r="G95" s="50"/>
      <c r="H95" s="158"/>
      <c r="I95" s="159"/>
      <c r="J95" s="160" t="str">
        <f t="shared" si="1"/>
        <v/>
      </c>
      <c r="K95" s="122" t="s">
        <v>373</v>
      </c>
    </row>
    <row r="96" spans="2:11" ht="15.75" customHeight="1" x14ac:dyDescent="0.3">
      <c r="B96" s="91"/>
      <c r="C96" s="93"/>
      <c r="D96" s="92"/>
      <c r="E96" s="92"/>
      <c r="F96" s="153"/>
      <c r="G96" s="41"/>
      <c r="H96" s="154"/>
      <c r="I96" s="155"/>
      <c r="J96" s="156" t="str">
        <f t="shared" si="1"/>
        <v/>
      </c>
      <c r="K96" s="115" t="s">
        <v>373</v>
      </c>
    </row>
    <row r="97" spans="2:11" ht="15.75" customHeight="1" x14ac:dyDescent="0.3">
      <c r="B97" s="91"/>
      <c r="C97" s="95"/>
      <c r="D97" s="96"/>
      <c r="E97" s="96"/>
      <c r="F97" s="157"/>
      <c r="G97" s="50"/>
      <c r="H97" s="158"/>
      <c r="I97" s="159"/>
      <c r="J97" s="160" t="str">
        <f t="shared" si="1"/>
        <v/>
      </c>
      <c r="K97" s="122" t="s">
        <v>373</v>
      </c>
    </row>
    <row r="98" spans="2:11" ht="15.75" customHeight="1" x14ac:dyDescent="0.3">
      <c r="B98" s="91"/>
      <c r="C98" s="93"/>
      <c r="D98" s="92"/>
      <c r="E98" s="92"/>
      <c r="F98" s="153"/>
      <c r="G98" s="41"/>
      <c r="H98" s="154"/>
      <c r="I98" s="155"/>
      <c r="J98" s="156" t="str">
        <f t="shared" si="1"/>
        <v/>
      </c>
      <c r="K98" s="115" t="s">
        <v>373</v>
      </c>
    </row>
    <row r="99" spans="2:11" ht="15.75" customHeight="1" x14ac:dyDescent="0.3">
      <c r="B99" s="91"/>
      <c r="C99" s="95"/>
      <c r="D99" s="96"/>
      <c r="E99" s="96"/>
      <c r="F99" s="157"/>
      <c r="G99" s="50"/>
      <c r="H99" s="158"/>
      <c r="I99" s="159"/>
      <c r="J99" s="160" t="str">
        <f t="shared" si="1"/>
        <v/>
      </c>
      <c r="K99" s="122" t="s">
        <v>373</v>
      </c>
    </row>
    <row r="100" spans="2:11" ht="15.75" customHeight="1" x14ac:dyDescent="0.3">
      <c r="B100" s="91"/>
      <c r="C100" s="93"/>
      <c r="D100" s="92"/>
      <c r="E100" s="92"/>
      <c r="F100" s="153"/>
      <c r="G100" s="41"/>
      <c r="H100" s="154"/>
      <c r="I100" s="155"/>
      <c r="J100" s="156" t="str">
        <f t="shared" si="1"/>
        <v/>
      </c>
      <c r="K100" s="115" t="s">
        <v>373</v>
      </c>
    </row>
    <row r="101" spans="2:11" ht="15.75" customHeight="1" x14ac:dyDescent="0.3">
      <c r="B101" s="91"/>
      <c r="C101" s="95"/>
      <c r="D101" s="96"/>
      <c r="E101" s="96"/>
      <c r="F101" s="157"/>
      <c r="G101" s="50"/>
      <c r="H101" s="158"/>
      <c r="I101" s="159"/>
      <c r="J101" s="160" t="str">
        <f t="shared" si="1"/>
        <v/>
      </c>
      <c r="K101" s="122" t="s">
        <v>373</v>
      </c>
    </row>
    <row r="102" spans="2:11" ht="15.75" customHeight="1" x14ac:dyDescent="0.3">
      <c r="B102" s="91"/>
      <c r="C102" s="93"/>
      <c r="D102" s="92"/>
      <c r="E102" s="92"/>
      <c r="F102" s="153"/>
      <c r="G102" s="41"/>
      <c r="H102" s="154"/>
      <c r="I102" s="155"/>
      <c r="J102" s="156" t="str">
        <f t="shared" si="1"/>
        <v/>
      </c>
      <c r="K102" s="115" t="s">
        <v>373</v>
      </c>
    </row>
    <row r="103" spans="2:11" ht="15.75" customHeight="1" x14ac:dyDescent="0.3">
      <c r="B103" s="91"/>
      <c r="C103" s="95"/>
      <c r="D103" s="96"/>
      <c r="E103" s="96"/>
      <c r="F103" s="157"/>
      <c r="G103" s="50"/>
      <c r="H103" s="158"/>
      <c r="I103" s="159"/>
      <c r="J103" s="160" t="str">
        <f t="shared" si="1"/>
        <v/>
      </c>
      <c r="K103" s="122" t="s">
        <v>373</v>
      </c>
    </row>
    <row r="104" spans="2:11" ht="15.75" customHeight="1" x14ac:dyDescent="0.3">
      <c r="B104" s="91"/>
      <c r="C104" s="93"/>
      <c r="D104" s="92"/>
      <c r="E104" s="92"/>
      <c r="F104" s="153"/>
      <c r="G104" s="41"/>
      <c r="H104" s="154"/>
      <c r="I104" s="155"/>
      <c r="J104" s="156" t="str">
        <f t="shared" si="1"/>
        <v/>
      </c>
      <c r="K104" s="115" t="s">
        <v>373</v>
      </c>
    </row>
    <row r="105" spans="2:11" ht="15.75" customHeight="1" x14ac:dyDescent="0.3">
      <c r="B105" s="91"/>
      <c r="C105" s="95"/>
      <c r="D105" s="96"/>
      <c r="E105" s="96"/>
      <c r="F105" s="157"/>
      <c r="G105" s="50"/>
      <c r="H105" s="158"/>
      <c r="I105" s="159"/>
      <c r="J105" s="160" t="str">
        <f t="shared" si="1"/>
        <v/>
      </c>
      <c r="K105" s="122" t="s">
        <v>373</v>
      </c>
    </row>
    <row r="106" spans="2:11" ht="15.75" customHeight="1" x14ac:dyDescent="0.3">
      <c r="B106" s="91"/>
      <c r="C106" s="93"/>
      <c r="D106" s="92"/>
      <c r="E106" s="92"/>
      <c r="F106" s="153"/>
      <c r="G106" s="41"/>
      <c r="H106" s="154"/>
      <c r="I106" s="155"/>
      <c r="J106" s="156" t="str">
        <f t="shared" si="1"/>
        <v/>
      </c>
      <c r="K106" s="115" t="s">
        <v>373</v>
      </c>
    </row>
    <row r="107" spans="2:11" ht="15.75" customHeight="1" x14ac:dyDescent="0.3">
      <c r="B107" s="91"/>
      <c r="C107" s="95"/>
      <c r="D107" s="96"/>
      <c r="E107" s="96"/>
      <c r="F107" s="157"/>
      <c r="G107" s="50"/>
      <c r="H107" s="158"/>
      <c r="I107" s="159"/>
      <c r="J107" s="160" t="str">
        <f t="shared" si="1"/>
        <v/>
      </c>
      <c r="K107" s="122" t="s">
        <v>373</v>
      </c>
    </row>
    <row r="108" spans="2:11" ht="15.75" customHeight="1" x14ac:dyDescent="0.3">
      <c r="B108" s="91"/>
      <c r="C108" s="93"/>
      <c r="D108" s="92"/>
      <c r="E108" s="92"/>
      <c r="F108" s="153"/>
      <c r="G108" s="41"/>
      <c r="H108" s="154"/>
      <c r="I108" s="155"/>
      <c r="J108" s="156" t="str">
        <f t="shared" si="1"/>
        <v/>
      </c>
      <c r="K108" s="115" t="s">
        <v>373</v>
      </c>
    </row>
    <row r="109" spans="2:11" ht="15.75" customHeight="1" x14ac:dyDescent="0.3">
      <c r="B109" s="91"/>
      <c r="C109" s="95"/>
      <c r="D109" s="96"/>
      <c r="E109" s="96"/>
      <c r="F109" s="157"/>
      <c r="G109" s="50"/>
      <c r="H109" s="158"/>
      <c r="I109" s="159"/>
      <c r="J109" s="160" t="str">
        <f t="shared" si="1"/>
        <v/>
      </c>
      <c r="K109" s="122" t="s">
        <v>373</v>
      </c>
    </row>
    <row r="110" spans="2:11" ht="15.75" customHeight="1" x14ac:dyDescent="0.3">
      <c r="B110" s="91"/>
      <c r="C110" s="93"/>
      <c r="D110" s="92"/>
      <c r="E110" s="92"/>
      <c r="F110" s="153"/>
      <c r="G110" s="41"/>
      <c r="H110" s="154"/>
      <c r="I110" s="155"/>
      <c r="J110" s="156" t="str">
        <f t="shared" si="1"/>
        <v/>
      </c>
      <c r="K110" s="115" t="s">
        <v>373</v>
      </c>
    </row>
    <row r="111" spans="2:11" ht="15.75" customHeight="1" x14ac:dyDescent="0.3">
      <c r="B111" s="91"/>
      <c r="C111" s="95"/>
      <c r="D111" s="96"/>
      <c r="E111" s="96"/>
      <c r="F111" s="157"/>
      <c r="G111" s="50"/>
      <c r="H111" s="158"/>
      <c r="I111" s="159"/>
      <c r="J111" s="160" t="str">
        <f t="shared" si="1"/>
        <v/>
      </c>
      <c r="K111" s="122" t="s">
        <v>373</v>
      </c>
    </row>
    <row r="112" spans="2:11" ht="15.75" customHeight="1" x14ac:dyDescent="0.3">
      <c r="B112" s="91"/>
      <c r="C112" s="93"/>
      <c r="D112" s="92"/>
      <c r="E112" s="92"/>
      <c r="F112" s="153"/>
      <c r="G112" s="41"/>
      <c r="H112" s="154"/>
      <c r="I112" s="155"/>
      <c r="J112" s="156" t="str">
        <f t="shared" si="1"/>
        <v/>
      </c>
      <c r="K112" s="115" t="s">
        <v>373</v>
      </c>
    </row>
    <row r="113" spans="2:11" ht="15.75" customHeight="1" x14ac:dyDescent="0.3">
      <c r="B113" s="91"/>
      <c r="C113" s="95"/>
      <c r="D113" s="96"/>
      <c r="E113" s="96"/>
      <c r="F113" s="157"/>
      <c r="G113" s="50"/>
      <c r="H113" s="158"/>
      <c r="I113" s="159"/>
      <c r="J113" s="160" t="str">
        <f t="shared" si="1"/>
        <v/>
      </c>
      <c r="K113" s="122" t="s">
        <v>373</v>
      </c>
    </row>
    <row r="114" spans="2:11" ht="15.75" customHeight="1" x14ac:dyDescent="0.3">
      <c r="B114" s="91"/>
      <c r="C114" s="93"/>
      <c r="D114" s="92"/>
      <c r="E114" s="92"/>
      <c r="F114" s="153"/>
      <c r="G114" s="41"/>
      <c r="H114" s="154"/>
      <c r="I114" s="155"/>
      <c r="J114" s="156" t="str">
        <f t="shared" si="1"/>
        <v/>
      </c>
      <c r="K114" s="115" t="s">
        <v>373</v>
      </c>
    </row>
    <row r="115" spans="2:11" ht="15.75" customHeight="1" x14ac:dyDescent="0.3">
      <c r="B115" s="91"/>
      <c r="C115" s="95"/>
      <c r="D115" s="96"/>
      <c r="E115" s="96"/>
      <c r="F115" s="157"/>
      <c r="G115" s="50"/>
      <c r="H115" s="158"/>
      <c r="I115" s="159"/>
      <c r="J115" s="160" t="str">
        <f t="shared" si="1"/>
        <v/>
      </c>
      <c r="K115" s="122" t="s">
        <v>373</v>
      </c>
    </row>
    <row r="116" spans="2:11" ht="15.75" customHeight="1" x14ac:dyDescent="0.3">
      <c r="B116" s="91"/>
      <c r="C116" s="93"/>
      <c r="D116" s="92"/>
      <c r="E116" s="92"/>
      <c r="F116" s="153"/>
      <c r="G116" s="41"/>
      <c r="H116" s="154"/>
      <c r="I116" s="155"/>
      <c r="J116" s="156" t="str">
        <f t="shared" si="1"/>
        <v/>
      </c>
      <c r="K116" s="115" t="s">
        <v>373</v>
      </c>
    </row>
    <row r="117" spans="2:11" ht="15.75" customHeight="1" x14ac:dyDescent="0.3">
      <c r="B117" s="91"/>
      <c r="C117" s="95"/>
      <c r="D117" s="96"/>
      <c r="E117" s="96"/>
      <c r="F117" s="157"/>
      <c r="G117" s="50"/>
      <c r="H117" s="158"/>
      <c r="I117" s="159"/>
      <c r="J117" s="160" t="str">
        <f t="shared" si="1"/>
        <v/>
      </c>
      <c r="K117" s="122" t="s">
        <v>373</v>
      </c>
    </row>
    <row r="118" spans="2:11" ht="15.75" customHeight="1" x14ac:dyDescent="0.3">
      <c r="B118" s="91"/>
      <c r="C118" s="93"/>
      <c r="D118" s="92"/>
      <c r="E118" s="92"/>
      <c r="F118" s="153"/>
      <c r="G118" s="41"/>
      <c r="H118" s="154"/>
      <c r="I118" s="155"/>
      <c r="J118" s="156" t="str">
        <f t="shared" si="1"/>
        <v/>
      </c>
      <c r="K118" s="115" t="s">
        <v>373</v>
      </c>
    </row>
    <row r="119" spans="2:11" ht="15.75" customHeight="1" x14ac:dyDescent="0.3">
      <c r="B119" s="91"/>
      <c r="C119" s="95"/>
      <c r="D119" s="96"/>
      <c r="E119" s="96"/>
      <c r="F119" s="157"/>
      <c r="G119" s="50"/>
      <c r="H119" s="158"/>
      <c r="I119" s="159"/>
      <c r="J119" s="160" t="str">
        <f t="shared" si="1"/>
        <v/>
      </c>
      <c r="K119" s="122" t="s">
        <v>373</v>
      </c>
    </row>
    <row r="120" spans="2:11" ht="15.75" customHeight="1" x14ac:dyDescent="0.3">
      <c r="B120" s="91"/>
      <c r="C120" s="93"/>
      <c r="D120" s="92"/>
      <c r="E120" s="92"/>
      <c r="F120" s="153"/>
      <c r="G120" s="41"/>
      <c r="H120" s="154"/>
      <c r="I120" s="155"/>
      <c r="J120" s="156" t="str">
        <f t="shared" si="1"/>
        <v/>
      </c>
      <c r="K120" s="115" t="s">
        <v>373</v>
      </c>
    </row>
    <row r="121" spans="2:11" ht="15.75" customHeight="1" x14ac:dyDescent="0.3">
      <c r="B121" s="91"/>
      <c r="C121" s="95"/>
      <c r="D121" s="96"/>
      <c r="E121" s="96"/>
      <c r="F121" s="157"/>
      <c r="G121" s="50"/>
      <c r="H121" s="158"/>
      <c r="I121" s="159"/>
      <c r="J121" s="160" t="str">
        <f t="shared" si="1"/>
        <v/>
      </c>
      <c r="K121" s="122" t="s">
        <v>373</v>
      </c>
    </row>
    <row r="122" spans="2:11" ht="15.75" customHeight="1" x14ac:dyDescent="0.3">
      <c r="B122" s="91"/>
      <c r="C122" s="93"/>
      <c r="D122" s="92"/>
      <c r="E122" s="92"/>
      <c r="F122" s="153"/>
      <c r="G122" s="41"/>
      <c r="H122" s="154"/>
      <c r="I122" s="155"/>
      <c r="J122" s="156" t="str">
        <f t="shared" si="1"/>
        <v/>
      </c>
      <c r="K122" s="115" t="s">
        <v>373</v>
      </c>
    </row>
    <row r="123" spans="2:11" ht="15.75" customHeight="1" x14ac:dyDescent="0.3">
      <c r="B123" s="91"/>
      <c r="C123" s="95"/>
      <c r="D123" s="96"/>
      <c r="E123" s="96"/>
      <c r="F123" s="157"/>
      <c r="G123" s="50"/>
      <c r="H123" s="158"/>
      <c r="I123" s="159"/>
      <c r="J123" s="160" t="str">
        <f t="shared" si="1"/>
        <v/>
      </c>
      <c r="K123" s="122" t="s">
        <v>373</v>
      </c>
    </row>
    <row r="124" spans="2:11" ht="15.75" customHeight="1" x14ac:dyDescent="0.3">
      <c r="B124" s="91"/>
      <c r="C124" s="93"/>
      <c r="D124" s="92"/>
      <c r="E124" s="92"/>
      <c r="F124" s="153"/>
      <c r="G124" s="41"/>
      <c r="H124" s="154"/>
      <c r="I124" s="155"/>
      <c r="J124" s="156" t="str">
        <f t="shared" si="1"/>
        <v/>
      </c>
      <c r="K124" s="115" t="s">
        <v>373</v>
      </c>
    </row>
    <row r="125" spans="2:11" ht="15.75" customHeight="1" x14ac:dyDescent="0.3">
      <c r="B125" s="91"/>
      <c r="C125" s="95"/>
      <c r="D125" s="96"/>
      <c r="E125" s="96"/>
      <c r="F125" s="157"/>
      <c r="G125" s="50"/>
      <c r="H125" s="158"/>
      <c r="I125" s="159"/>
      <c r="J125" s="160" t="str">
        <f t="shared" si="1"/>
        <v/>
      </c>
      <c r="K125" s="122" t="s">
        <v>373</v>
      </c>
    </row>
    <row r="126" spans="2:11" ht="15.75" customHeight="1" x14ac:dyDescent="0.3">
      <c r="B126" s="91"/>
      <c r="C126" s="93"/>
      <c r="D126" s="92"/>
      <c r="E126" s="92"/>
      <c r="F126" s="153"/>
      <c r="G126" s="41"/>
      <c r="H126" s="154"/>
      <c r="I126" s="155"/>
      <c r="J126" s="156" t="str">
        <f t="shared" si="1"/>
        <v/>
      </c>
      <c r="K126" s="115" t="s">
        <v>373</v>
      </c>
    </row>
    <row r="127" spans="2:11" ht="15.75" customHeight="1" x14ac:dyDescent="0.3">
      <c r="B127" s="91"/>
      <c r="C127" s="95"/>
      <c r="D127" s="96"/>
      <c r="E127" s="96"/>
      <c r="F127" s="157"/>
      <c r="G127" s="50"/>
      <c r="H127" s="158"/>
      <c r="I127" s="159"/>
      <c r="J127" s="160" t="str">
        <f t="shared" si="1"/>
        <v/>
      </c>
      <c r="K127" s="122" t="s">
        <v>373</v>
      </c>
    </row>
    <row r="128" spans="2:11" ht="15.75" customHeight="1" x14ac:dyDescent="0.3">
      <c r="B128" s="91"/>
      <c r="C128" s="93"/>
      <c r="D128" s="92"/>
      <c r="E128" s="92"/>
      <c r="F128" s="153"/>
      <c r="G128" s="41"/>
      <c r="H128" s="154"/>
      <c r="I128" s="155"/>
      <c r="J128" s="156" t="str">
        <f t="shared" si="1"/>
        <v/>
      </c>
      <c r="K128" s="115" t="s">
        <v>373</v>
      </c>
    </row>
    <row r="129" spans="2:11" ht="15.75" customHeight="1" x14ac:dyDescent="0.3">
      <c r="B129" s="91"/>
      <c r="C129" s="95"/>
      <c r="D129" s="96"/>
      <c r="E129" s="96"/>
      <c r="F129" s="157"/>
      <c r="G129" s="50"/>
      <c r="H129" s="158"/>
      <c r="I129" s="159"/>
      <c r="J129" s="160" t="str">
        <f t="shared" si="1"/>
        <v/>
      </c>
      <c r="K129" s="122" t="s">
        <v>373</v>
      </c>
    </row>
    <row r="130" spans="2:11" ht="15.75" customHeight="1" x14ac:dyDescent="0.3">
      <c r="B130" s="91"/>
      <c r="C130" s="93"/>
      <c r="D130" s="92"/>
      <c r="E130" s="92"/>
      <c r="F130" s="153"/>
      <c r="G130" s="41"/>
      <c r="H130" s="154"/>
      <c r="I130" s="155"/>
      <c r="J130" s="156" t="str">
        <f t="shared" si="1"/>
        <v/>
      </c>
      <c r="K130" s="115" t="s">
        <v>373</v>
      </c>
    </row>
    <row r="131" spans="2:11" ht="15.75" customHeight="1" x14ac:dyDescent="0.3">
      <c r="B131" s="91"/>
      <c r="C131" s="95"/>
      <c r="D131" s="96"/>
      <c r="E131" s="96"/>
      <c r="F131" s="157"/>
      <c r="G131" s="50"/>
      <c r="H131" s="158"/>
      <c r="I131" s="159"/>
      <c r="J131" s="160" t="str">
        <f t="shared" si="1"/>
        <v/>
      </c>
      <c r="K131" s="122" t="s">
        <v>373</v>
      </c>
    </row>
    <row r="132" spans="2:11" ht="15.75" customHeight="1" x14ac:dyDescent="0.3">
      <c r="B132" s="91"/>
      <c r="C132" s="93"/>
      <c r="D132" s="92"/>
      <c r="E132" s="92"/>
      <c r="F132" s="153"/>
      <c r="G132" s="41"/>
      <c r="H132" s="154"/>
      <c r="I132" s="155"/>
      <c r="J132" s="156" t="str">
        <f t="shared" si="1"/>
        <v/>
      </c>
      <c r="K132" s="115" t="s">
        <v>373</v>
      </c>
    </row>
    <row r="133" spans="2:11" ht="15.75" customHeight="1" x14ac:dyDescent="0.3">
      <c r="B133" s="91"/>
      <c r="C133" s="95"/>
      <c r="D133" s="96"/>
      <c r="E133" s="96"/>
      <c r="F133" s="157"/>
      <c r="G133" s="50"/>
      <c r="H133" s="158"/>
      <c r="I133" s="159"/>
      <c r="J133" s="160" t="str">
        <f t="shared" si="1"/>
        <v/>
      </c>
      <c r="K133" s="122" t="s">
        <v>373</v>
      </c>
    </row>
    <row r="134" spans="2:11" ht="15.75" customHeight="1" x14ac:dyDescent="0.3">
      <c r="B134" s="91"/>
      <c r="C134" s="93"/>
      <c r="D134" s="92"/>
      <c r="E134" s="92"/>
      <c r="F134" s="153"/>
      <c r="G134" s="41"/>
      <c r="H134" s="154"/>
      <c r="I134" s="155"/>
      <c r="J134" s="156" t="str">
        <f t="shared" si="1"/>
        <v/>
      </c>
      <c r="K134" s="115" t="s">
        <v>373</v>
      </c>
    </row>
    <row r="135" spans="2:11" ht="15.75" customHeight="1" x14ac:dyDescent="0.3">
      <c r="B135" s="91"/>
      <c r="C135" s="95"/>
      <c r="D135" s="96"/>
      <c r="E135" s="96"/>
      <c r="F135" s="157"/>
      <c r="G135" s="50"/>
      <c r="H135" s="158"/>
      <c r="I135" s="159"/>
      <c r="J135" s="160" t="str">
        <f t="shared" si="1"/>
        <v/>
      </c>
      <c r="K135" s="122" t="s">
        <v>373</v>
      </c>
    </row>
    <row r="136" spans="2:11" ht="15.75" customHeight="1" x14ac:dyDescent="0.3">
      <c r="B136" s="91"/>
      <c r="C136" s="93"/>
      <c r="D136" s="92"/>
      <c r="E136" s="92"/>
      <c r="F136" s="153"/>
      <c r="G136" s="41"/>
      <c r="H136" s="154"/>
      <c r="I136" s="155"/>
      <c r="J136" s="156" t="str">
        <f t="shared" si="1"/>
        <v/>
      </c>
      <c r="K136" s="115" t="s">
        <v>373</v>
      </c>
    </row>
    <row r="137" spans="2:11" ht="15.75" customHeight="1" x14ac:dyDescent="0.3">
      <c r="B137" s="91"/>
      <c r="C137" s="95"/>
      <c r="D137" s="96"/>
      <c r="E137" s="96"/>
      <c r="F137" s="157"/>
      <c r="G137" s="50"/>
      <c r="H137" s="158"/>
      <c r="I137" s="159"/>
      <c r="J137" s="160" t="str">
        <f t="shared" si="1"/>
        <v/>
      </c>
      <c r="K137" s="122" t="s">
        <v>373</v>
      </c>
    </row>
    <row r="138" spans="2:11" ht="15.75" customHeight="1" x14ac:dyDescent="0.3">
      <c r="B138" s="91"/>
      <c r="C138" s="93"/>
      <c r="D138" s="92"/>
      <c r="E138" s="92"/>
      <c r="F138" s="153"/>
      <c r="G138" s="41"/>
      <c r="H138" s="154"/>
      <c r="I138" s="155"/>
      <c r="J138" s="156" t="str">
        <f t="shared" ref="J138:J201" si="2">IFERROR(IF(F138*H138=0,"",F138*H138),"")</f>
        <v/>
      </c>
      <c r="K138" s="115" t="s">
        <v>373</v>
      </c>
    </row>
    <row r="139" spans="2:11" ht="15.75" customHeight="1" x14ac:dyDescent="0.3">
      <c r="B139" s="91"/>
      <c r="C139" s="95"/>
      <c r="D139" s="96"/>
      <c r="E139" s="96"/>
      <c r="F139" s="157"/>
      <c r="G139" s="50"/>
      <c r="H139" s="158"/>
      <c r="I139" s="159"/>
      <c r="J139" s="160" t="str">
        <f t="shared" si="2"/>
        <v/>
      </c>
      <c r="K139" s="122" t="s">
        <v>373</v>
      </c>
    </row>
    <row r="140" spans="2:11" ht="15.75" customHeight="1" x14ac:dyDescent="0.3">
      <c r="B140" s="91"/>
      <c r="C140" s="93"/>
      <c r="D140" s="92"/>
      <c r="E140" s="92"/>
      <c r="F140" s="153"/>
      <c r="G140" s="41"/>
      <c r="H140" s="154"/>
      <c r="I140" s="155"/>
      <c r="J140" s="156" t="str">
        <f t="shared" si="2"/>
        <v/>
      </c>
      <c r="K140" s="115" t="s">
        <v>373</v>
      </c>
    </row>
    <row r="141" spans="2:11" ht="15.75" customHeight="1" x14ac:dyDescent="0.3">
      <c r="B141" s="91"/>
      <c r="C141" s="95"/>
      <c r="D141" s="96"/>
      <c r="E141" s="96"/>
      <c r="F141" s="157"/>
      <c r="G141" s="50"/>
      <c r="H141" s="158"/>
      <c r="I141" s="159"/>
      <c r="J141" s="160" t="str">
        <f t="shared" si="2"/>
        <v/>
      </c>
      <c r="K141" s="122" t="s">
        <v>373</v>
      </c>
    </row>
    <row r="142" spans="2:11" ht="15.75" customHeight="1" x14ac:dyDescent="0.3">
      <c r="B142" s="91"/>
      <c r="C142" s="93"/>
      <c r="D142" s="92"/>
      <c r="E142" s="92"/>
      <c r="F142" s="153"/>
      <c r="G142" s="41"/>
      <c r="H142" s="154"/>
      <c r="I142" s="155"/>
      <c r="J142" s="156" t="str">
        <f t="shared" si="2"/>
        <v/>
      </c>
      <c r="K142" s="115" t="s">
        <v>373</v>
      </c>
    </row>
    <row r="143" spans="2:11" ht="15.75" customHeight="1" x14ac:dyDescent="0.3">
      <c r="B143" s="91"/>
      <c r="C143" s="95"/>
      <c r="D143" s="96"/>
      <c r="E143" s="96"/>
      <c r="F143" s="157"/>
      <c r="G143" s="50"/>
      <c r="H143" s="158"/>
      <c r="I143" s="159"/>
      <c r="J143" s="160" t="str">
        <f t="shared" si="2"/>
        <v/>
      </c>
      <c r="K143" s="122" t="s">
        <v>373</v>
      </c>
    </row>
    <row r="144" spans="2:11" ht="15.75" customHeight="1" x14ac:dyDescent="0.3">
      <c r="B144" s="91"/>
      <c r="C144" s="93"/>
      <c r="D144" s="92"/>
      <c r="E144" s="92"/>
      <c r="F144" s="153"/>
      <c r="G144" s="41"/>
      <c r="H144" s="154"/>
      <c r="I144" s="155"/>
      <c r="J144" s="156" t="str">
        <f t="shared" si="2"/>
        <v/>
      </c>
      <c r="K144" s="115" t="s">
        <v>373</v>
      </c>
    </row>
    <row r="145" spans="2:11" ht="15.75" customHeight="1" x14ac:dyDescent="0.3">
      <c r="B145" s="91"/>
      <c r="C145" s="95"/>
      <c r="D145" s="96"/>
      <c r="E145" s="96"/>
      <c r="F145" s="157"/>
      <c r="G145" s="50"/>
      <c r="H145" s="158"/>
      <c r="I145" s="159"/>
      <c r="J145" s="160" t="str">
        <f t="shared" si="2"/>
        <v/>
      </c>
      <c r="K145" s="122" t="s">
        <v>373</v>
      </c>
    </row>
    <row r="146" spans="2:11" ht="15.75" customHeight="1" x14ac:dyDescent="0.3">
      <c r="B146" s="91"/>
      <c r="C146" s="93"/>
      <c r="D146" s="92"/>
      <c r="E146" s="92"/>
      <c r="F146" s="153"/>
      <c r="G146" s="41"/>
      <c r="H146" s="154"/>
      <c r="I146" s="155"/>
      <c r="J146" s="156" t="str">
        <f t="shared" si="2"/>
        <v/>
      </c>
      <c r="K146" s="115" t="s">
        <v>373</v>
      </c>
    </row>
    <row r="147" spans="2:11" ht="15.75" customHeight="1" x14ac:dyDescent="0.3">
      <c r="B147" s="91"/>
      <c r="C147" s="95"/>
      <c r="D147" s="96"/>
      <c r="E147" s="96"/>
      <c r="F147" s="157"/>
      <c r="G147" s="50"/>
      <c r="H147" s="158"/>
      <c r="I147" s="159"/>
      <c r="J147" s="160" t="str">
        <f t="shared" si="2"/>
        <v/>
      </c>
      <c r="K147" s="122" t="s">
        <v>373</v>
      </c>
    </row>
    <row r="148" spans="2:11" ht="15.75" customHeight="1" x14ac:dyDescent="0.3">
      <c r="B148" s="91"/>
      <c r="C148" s="93"/>
      <c r="D148" s="92"/>
      <c r="E148" s="92"/>
      <c r="F148" s="153"/>
      <c r="G148" s="41"/>
      <c r="H148" s="154"/>
      <c r="I148" s="155"/>
      <c r="J148" s="156" t="str">
        <f t="shared" si="2"/>
        <v/>
      </c>
      <c r="K148" s="115" t="s">
        <v>373</v>
      </c>
    </row>
    <row r="149" spans="2:11" ht="15.75" customHeight="1" x14ac:dyDescent="0.3">
      <c r="B149" s="91"/>
      <c r="C149" s="95"/>
      <c r="D149" s="96"/>
      <c r="E149" s="96"/>
      <c r="F149" s="157"/>
      <c r="G149" s="50"/>
      <c r="H149" s="158"/>
      <c r="I149" s="159"/>
      <c r="J149" s="160" t="str">
        <f t="shared" si="2"/>
        <v/>
      </c>
      <c r="K149" s="122" t="s">
        <v>373</v>
      </c>
    </row>
    <row r="150" spans="2:11" ht="15.75" customHeight="1" x14ac:dyDescent="0.3">
      <c r="B150" s="91"/>
      <c r="C150" s="93"/>
      <c r="D150" s="92"/>
      <c r="E150" s="92"/>
      <c r="F150" s="153"/>
      <c r="G150" s="41"/>
      <c r="H150" s="154"/>
      <c r="I150" s="155"/>
      <c r="J150" s="156" t="str">
        <f t="shared" si="2"/>
        <v/>
      </c>
      <c r="K150" s="115" t="s">
        <v>373</v>
      </c>
    </row>
    <row r="151" spans="2:11" ht="15.75" customHeight="1" x14ac:dyDescent="0.3">
      <c r="B151" s="91"/>
      <c r="C151" s="95"/>
      <c r="D151" s="96"/>
      <c r="E151" s="96"/>
      <c r="F151" s="157"/>
      <c r="G151" s="50"/>
      <c r="H151" s="158"/>
      <c r="I151" s="159"/>
      <c r="J151" s="160" t="str">
        <f t="shared" si="2"/>
        <v/>
      </c>
      <c r="K151" s="122" t="s">
        <v>373</v>
      </c>
    </row>
    <row r="152" spans="2:11" ht="15.75" customHeight="1" x14ac:dyDescent="0.3">
      <c r="B152" s="91"/>
      <c r="C152" s="93"/>
      <c r="D152" s="92"/>
      <c r="E152" s="92"/>
      <c r="F152" s="153"/>
      <c r="G152" s="41"/>
      <c r="H152" s="154"/>
      <c r="I152" s="155"/>
      <c r="J152" s="156" t="str">
        <f t="shared" si="2"/>
        <v/>
      </c>
      <c r="K152" s="115" t="s">
        <v>373</v>
      </c>
    </row>
    <row r="153" spans="2:11" ht="15.75" customHeight="1" x14ac:dyDescent="0.3">
      <c r="B153" s="91"/>
      <c r="C153" s="95"/>
      <c r="D153" s="96"/>
      <c r="E153" s="96"/>
      <c r="F153" s="157"/>
      <c r="G153" s="50"/>
      <c r="H153" s="158"/>
      <c r="I153" s="159"/>
      <c r="J153" s="160" t="str">
        <f t="shared" si="2"/>
        <v/>
      </c>
      <c r="K153" s="122" t="s">
        <v>373</v>
      </c>
    </row>
    <row r="154" spans="2:11" ht="15.75" customHeight="1" x14ac:dyDescent="0.3">
      <c r="B154" s="91"/>
      <c r="C154" s="93"/>
      <c r="D154" s="92"/>
      <c r="E154" s="92"/>
      <c r="F154" s="153"/>
      <c r="G154" s="41"/>
      <c r="H154" s="154"/>
      <c r="I154" s="155"/>
      <c r="J154" s="156" t="str">
        <f t="shared" si="2"/>
        <v/>
      </c>
      <c r="K154" s="115" t="s">
        <v>373</v>
      </c>
    </row>
    <row r="155" spans="2:11" ht="15.75" customHeight="1" x14ac:dyDescent="0.3">
      <c r="B155" s="91"/>
      <c r="C155" s="95"/>
      <c r="D155" s="96"/>
      <c r="E155" s="96"/>
      <c r="F155" s="157"/>
      <c r="G155" s="50"/>
      <c r="H155" s="158"/>
      <c r="I155" s="159"/>
      <c r="J155" s="160" t="str">
        <f t="shared" si="2"/>
        <v/>
      </c>
      <c r="K155" s="122" t="s">
        <v>373</v>
      </c>
    </row>
    <row r="156" spans="2:11" ht="15.75" customHeight="1" x14ac:dyDescent="0.3">
      <c r="B156" s="91"/>
      <c r="C156" s="93"/>
      <c r="D156" s="92"/>
      <c r="E156" s="92"/>
      <c r="F156" s="153"/>
      <c r="G156" s="41"/>
      <c r="H156" s="154"/>
      <c r="I156" s="155"/>
      <c r="J156" s="156" t="str">
        <f t="shared" si="2"/>
        <v/>
      </c>
      <c r="K156" s="115" t="s">
        <v>373</v>
      </c>
    </row>
    <row r="157" spans="2:11" ht="15.75" customHeight="1" x14ac:dyDescent="0.3">
      <c r="B157" s="91"/>
      <c r="C157" s="95"/>
      <c r="D157" s="96"/>
      <c r="E157" s="96"/>
      <c r="F157" s="157"/>
      <c r="G157" s="50"/>
      <c r="H157" s="158"/>
      <c r="I157" s="159"/>
      <c r="J157" s="160" t="str">
        <f t="shared" si="2"/>
        <v/>
      </c>
      <c r="K157" s="122" t="s">
        <v>373</v>
      </c>
    </row>
    <row r="158" spans="2:11" ht="15.75" customHeight="1" x14ac:dyDescent="0.3">
      <c r="B158" s="91"/>
      <c r="C158" s="93"/>
      <c r="D158" s="92"/>
      <c r="E158" s="92"/>
      <c r="F158" s="153"/>
      <c r="G158" s="41"/>
      <c r="H158" s="154"/>
      <c r="I158" s="155"/>
      <c r="J158" s="156" t="str">
        <f t="shared" si="2"/>
        <v/>
      </c>
      <c r="K158" s="115" t="s">
        <v>373</v>
      </c>
    </row>
    <row r="159" spans="2:11" ht="15.75" customHeight="1" x14ac:dyDescent="0.3">
      <c r="B159" s="91"/>
      <c r="C159" s="95"/>
      <c r="D159" s="96"/>
      <c r="E159" s="96"/>
      <c r="F159" s="157"/>
      <c r="G159" s="50"/>
      <c r="H159" s="158"/>
      <c r="I159" s="159"/>
      <c r="J159" s="160" t="str">
        <f t="shared" si="2"/>
        <v/>
      </c>
      <c r="K159" s="122" t="s">
        <v>373</v>
      </c>
    </row>
    <row r="160" spans="2:11" ht="15.75" customHeight="1" x14ac:dyDescent="0.3">
      <c r="B160" s="91"/>
      <c r="C160" s="93"/>
      <c r="D160" s="92"/>
      <c r="E160" s="92"/>
      <c r="F160" s="153"/>
      <c r="G160" s="41"/>
      <c r="H160" s="154"/>
      <c r="I160" s="155"/>
      <c r="J160" s="156" t="str">
        <f t="shared" si="2"/>
        <v/>
      </c>
      <c r="K160" s="115" t="s">
        <v>373</v>
      </c>
    </row>
    <row r="161" spans="2:11" ht="15.75" customHeight="1" x14ac:dyDescent="0.3">
      <c r="B161" s="91"/>
      <c r="C161" s="95"/>
      <c r="D161" s="96"/>
      <c r="E161" s="96"/>
      <c r="F161" s="157"/>
      <c r="G161" s="50"/>
      <c r="H161" s="158"/>
      <c r="I161" s="159"/>
      <c r="J161" s="160" t="str">
        <f t="shared" si="2"/>
        <v/>
      </c>
      <c r="K161" s="122" t="s">
        <v>373</v>
      </c>
    </row>
    <row r="162" spans="2:11" ht="15.75" customHeight="1" x14ac:dyDescent="0.3">
      <c r="B162" s="91"/>
      <c r="C162" s="93"/>
      <c r="D162" s="92"/>
      <c r="E162" s="92"/>
      <c r="F162" s="153"/>
      <c r="G162" s="41"/>
      <c r="H162" s="154"/>
      <c r="I162" s="155"/>
      <c r="J162" s="156" t="str">
        <f t="shared" si="2"/>
        <v/>
      </c>
      <c r="K162" s="115" t="s">
        <v>373</v>
      </c>
    </row>
    <row r="163" spans="2:11" ht="15.75" customHeight="1" x14ac:dyDescent="0.3">
      <c r="B163" s="91"/>
      <c r="C163" s="95"/>
      <c r="D163" s="96"/>
      <c r="E163" s="96"/>
      <c r="F163" s="157"/>
      <c r="G163" s="50"/>
      <c r="H163" s="158"/>
      <c r="I163" s="159"/>
      <c r="J163" s="160" t="str">
        <f t="shared" si="2"/>
        <v/>
      </c>
      <c r="K163" s="122" t="s">
        <v>373</v>
      </c>
    </row>
    <row r="164" spans="2:11" ht="15.75" customHeight="1" x14ac:dyDescent="0.3">
      <c r="B164" s="91"/>
      <c r="C164" s="93"/>
      <c r="D164" s="92"/>
      <c r="E164" s="92"/>
      <c r="F164" s="153"/>
      <c r="G164" s="41"/>
      <c r="H164" s="154"/>
      <c r="I164" s="155"/>
      <c r="J164" s="156" t="str">
        <f t="shared" si="2"/>
        <v/>
      </c>
      <c r="K164" s="115" t="s">
        <v>373</v>
      </c>
    </row>
    <row r="165" spans="2:11" ht="15.75" customHeight="1" x14ac:dyDescent="0.3">
      <c r="B165" s="91"/>
      <c r="C165" s="95"/>
      <c r="D165" s="96"/>
      <c r="E165" s="96"/>
      <c r="F165" s="157"/>
      <c r="G165" s="50"/>
      <c r="H165" s="158"/>
      <c r="I165" s="159"/>
      <c r="J165" s="160" t="str">
        <f t="shared" si="2"/>
        <v/>
      </c>
      <c r="K165" s="122" t="s">
        <v>373</v>
      </c>
    </row>
    <row r="166" spans="2:11" ht="15.75" customHeight="1" x14ac:dyDescent="0.3">
      <c r="B166" s="91"/>
      <c r="C166" s="93"/>
      <c r="D166" s="92"/>
      <c r="E166" s="92"/>
      <c r="F166" s="153"/>
      <c r="G166" s="41"/>
      <c r="H166" s="154"/>
      <c r="I166" s="155"/>
      <c r="J166" s="156" t="str">
        <f t="shared" si="2"/>
        <v/>
      </c>
      <c r="K166" s="115" t="s">
        <v>373</v>
      </c>
    </row>
    <row r="167" spans="2:11" ht="15.75" customHeight="1" x14ac:dyDescent="0.3">
      <c r="B167" s="91"/>
      <c r="C167" s="95"/>
      <c r="D167" s="96"/>
      <c r="E167" s="96"/>
      <c r="F167" s="157"/>
      <c r="G167" s="50"/>
      <c r="H167" s="158"/>
      <c r="I167" s="159"/>
      <c r="J167" s="160" t="str">
        <f t="shared" si="2"/>
        <v/>
      </c>
      <c r="K167" s="122" t="s">
        <v>373</v>
      </c>
    </row>
    <row r="168" spans="2:11" ht="15.75" customHeight="1" x14ac:dyDescent="0.3">
      <c r="B168" s="91"/>
      <c r="C168" s="93"/>
      <c r="D168" s="92"/>
      <c r="E168" s="92"/>
      <c r="F168" s="153"/>
      <c r="G168" s="41"/>
      <c r="H168" s="154"/>
      <c r="I168" s="155"/>
      <c r="J168" s="156" t="str">
        <f t="shared" si="2"/>
        <v/>
      </c>
      <c r="K168" s="115" t="s">
        <v>373</v>
      </c>
    </row>
    <row r="169" spans="2:11" ht="15.75" customHeight="1" x14ac:dyDescent="0.3">
      <c r="B169" s="91"/>
      <c r="C169" s="95"/>
      <c r="D169" s="96"/>
      <c r="E169" s="96"/>
      <c r="F169" s="157"/>
      <c r="G169" s="50"/>
      <c r="H169" s="158"/>
      <c r="I169" s="159"/>
      <c r="J169" s="160" t="str">
        <f t="shared" si="2"/>
        <v/>
      </c>
      <c r="K169" s="122" t="s">
        <v>373</v>
      </c>
    </row>
    <row r="170" spans="2:11" ht="15.75" customHeight="1" x14ac:dyDescent="0.3">
      <c r="B170" s="91"/>
      <c r="C170" s="93"/>
      <c r="D170" s="92"/>
      <c r="E170" s="92"/>
      <c r="F170" s="153"/>
      <c r="G170" s="41"/>
      <c r="H170" s="154"/>
      <c r="I170" s="155"/>
      <c r="J170" s="156" t="str">
        <f t="shared" si="2"/>
        <v/>
      </c>
      <c r="K170" s="115" t="s">
        <v>373</v>
      </c>
    </row>
    <row r="171" spans="2:11" ht="15.75" customHeight="1" x14ac:dyDescent="0.3">
      <c r="B171" s="91"/>
      <c r="C171" s="95"/>
      <c r="D171" s="96"/>
      <c r="E171" s="96"/>
      <c r="F171" s="157"/>
      <c r="G171" s="50"/>
      <c r="H171" s="158"/>
      <c r="I171" s="159"/>
      <c r="J171" s="160" t="str">
        <f t="shared" si="2"/>
        <v/>
      </c>
      <c r="K171" s="122" t="s">
        <v>373</v>
      </c>
    </row>
    <row r="172" spans="2:11" ht="15.75" customHeight="1" x14ac:dyDescent="0.3">
      <c r="B172" s="91"/>
      <c r="C172" s="93"/>
      <c r="D172" s="92"/>
      <c r="E172" s="92"/>
      <c r="F172" s="153"/>
      <c r="G172" s="41"/>
      <c r="H172" s="154"/>
      <c r="I172" s="155"/>
      <c r="J172" s="156" t="str">
        <f t="shared" si="2"/>
        <v/>
      </c>
      <c r="K172" s="115" t="s">
        <v>373</v>
      </c>
    </row>
    <row r="173" spans="2:11" ht="15.75" customHeight="1" x14ac:dyDescent="0.3">
      <c r="B173" s="91"/>
      <c r="C173" s="95"/>
      <c r="D173" s="96"/>
      <c r="E173" s="96"/>
      <c r="F173" s="157"/>
      <c r="G173" s="50"/>
      <c r="H173" s="158"/>
      <c r="I173" s="159"/>
      <c r="J173" s="160" t="str">
        <f t="shared" si="2"/>
        <v/>
      </c>
      <c r="K173" s="122" t="s">
        <v>373</v>
      </c>
    </row>
    <row r="174" spans="2:11" ht="15.75" customHeight="1" x14ac:dyDescent="0.3">
      <c r="B174" s="91"/>
      <c r="C174" s="93"/>
      <c r="D174" s="92"/>
      <c r="E174" s="92"/>
      <c r="F174" s="153"/>
      <c r="G174" s="41"/>
      <c r="H174" s="154"/>
      <c r="I174" s="155"/>
      <c r="J174" s="156" t="str">
        <f t="shared" si="2"/>
        <v/>
      </c>
      <c r="K174" s="115" t="s">
        <v>373</v>
      </c>
    </row>
    <row r="175" spans="2:11" ht="15.75" customHeight="1" x14ac:dyDescent="0.3">
      <c r="B175" s="91"/>
      <c r="C175" s="95"/>
      <c r="D175" s="96"/>
      <c r="E175" s="96"/>
      <c r="F175" s="157"/>
      <c r="G175" s="50"/>
      <c r="H175" s="158"/>
      <c r="I175" s="159"/>
      <c r="J175" s="160" t="str">
        <f t="shared" si="2"/>
        <v/>
      </c>
      <c r="K175" s="122" t="s">
        <v>373</v>
      </c>
    </row>
    <row r="176" spans="2:11" ht="15.75" customHeight="1" x14ac:dyDescent="0.3">
      <c r="B176" s="91"/>
      <c r="C176" s="93"/>
      <c r="D176" s="92"/>
      <c r="E176" s="92"/>
      <c r="F176" s="153"/>
      <c r="G176" s="41"/>
      <c r="H176" s="154"/>
      <c r="I176" s="155"/>
      <c r="J176" s="156" t="str">
        <f t="shared" si="2"/>
        <v/>
      </c>
      <c r="K176" s="115" t="s">
        <v>373</v>
      </c>
    </row>
    <row r="177" spans="2:11" ht="15.75" customHeight="1" x14ac:dyDescent="0.3">
      <c r="B177" s="91"/>
      <c r="C177" s="95"/>
      <c r="D177" s="96"/>
      <c r="E177" s="96"/>
      <c r="F177" s="157"/>
      <c r="G177" s="50"/>
      <c r="H177" s="158"/>
      <c r="I177" s="159"/>
      <c r="J177" s="160" t="str">
        <f t="shared" si="2"/>
        <v/>
      </c>
      <c r="K177" s="122" t="s">
        <v>373</v>
      </c>
    </row>
    <row r="178" spans="2:11" ht="15.75" customHeight="1" x14ac:dyDescent="0.3">
      <c r="B178" s="91"/>
      <c r="C178" s="93"/>
      <c r="D178" s="92"/>
      <c r="E178" s="92"/>
      <c r="F178" s="153"/>
      <c r="G178" s="41"/>
      <c r="H178" s="154"/>
      <c r="I178" s="155"/>
      <c r="J178" s="156" t="str">
        <f t="shared" si="2"/>
        <v/>
      </c>
      <c r="K178" s="115" t="s">
        <v>373</v>
      </c>
    </row>
    <row r="179" spans="2:11" ht="15.75" customHeight="1" x14ac:dyDescent="0.3">
      <c r="B179" s="91"/>
      <c r="C179" s="95"/>
      <c r="D179" s="96"/>
      <c r="E179" s="96"/>
      <c r="F179" s="157"/>
      <c r="G179" s="50"/>
      <c r="H179" s="158"/>
      <c r="I179" s="159"/>
      <c r="J179" s="160" t="str">
        <f t="shared" si="2"/>
        <v/>
      </c>
      <c r="K179" s="122" t="s">
        <v>373</v>
      </c>
    </row>
    <row r="180" spans="2:11" ht="15.75" customHeight="1" x14ac:dyDescent="0.3">
      <c r="B180" s="91"/>
      <c r="C180" s="93"/>
      <c r="D180" s="92"/>
      <c r="E180" s="92"/>
      <c r="F180" s="153"/>
      <c r="G180" s="41"/>
      <c r="H180" s="154"/>
      <c r="I180" s="155"/>
      <c r="J180" s="156" t="str">
        <f t="shared" si="2"/>
        <v/>
      </c>
      <c r="K180" s="115" t="s">
        <v>373</v>
      </c>
    </row>
    <row r="181" spans="2:11" ht="15.75" customHeight="1" x14ac:dyDescent="0.3">
      <c r="B181" s="91"/>
      <c r="C181" s="95"/>
      <c r="D181" s="96"/>
      <c r="E181" s="96"/>
      <c r="F181" s="157"/>
      <c r="G181" s="50"/>
      <c r="H181" s="158"/>
      <c r="I181" s="159"/>
      <c r="J181" s="160" t="str">
        <f t="shared" si="2"/>
        <v/>
      </c>
      <c r="K181" s="122" t="s">
        <v>373</v>
      </c>
    </row>
    <row r="182" spans="2:11" ht="15.75" customHeight="1" x14ac:dyDescent="0.3">
      <c r="B182" s="91"/>
      <c r="C182" s="93"/>
      <c r="D182" s="92"/>
      <c r="E182" s="92"/>
      <c r="F182" s="153"/>
      <c r="G182" s="41"/>
      <c r="H182" s="154"/>
      <c r="I182" s="155"/>
      <c r="J182" s="156" t="str">
        <f t="shared" si="2"/>
        <v/>
      </c>
      <c r="K182" s="115" t="s">
        <v>373</v>
      </c>
    </row>
    <row r="183" spans="2:11" ht="15.75" customHeight="1" x14ac:dyDescent="0.3">
      <c r="B183" s="91"/>
      <c r="C183" s="95"/>
      <c r="D183" s="96"/>
      <c r="E183" s="96"/>
      <c r="F183" s="157"/>
      <c r="G183" s="50"/>
      <c r="H183" s="158"/>
      <c r="I183" s="159"/>
      <c r="J183" s="160" t="str">
        <f t="shared" si="2"/>
        <v/>
      </c>
      <c r="K183" s="122" t="s">
        <v>373</v>
      </c>
    </row>
    <row r="184" spans="2:11" ht="15.75" customHeight="1" x14ac:dyDescent="0.3">
      <c r="B184" s="91"/>
      <c r="C184" s="93"/>
      <c r="D184" s="92"/>
      <c r="E184" s="92"/>
      <c r="F184" s="153"/>
      <c r="G184" s="41"/>
      <c r="H184" s="154"/>
      <c r="I184" s="155"/>
      <c r="J184" s="156" t="str">
        <f t="shared" si="2"/>
        <v/>
      </c>
      <c r="K184" s="115" t="s">
        <v>373</v>
      </c>
    </row>
    <row r="185" spans="2:11" ht="15.75" customHeight="1" x14ac:dyDescent="0.3">
      <c r="B185" s="91"/>
      <c r="C185" s="95"/>
      <c r="D185" s="96"/>
      <c r="E185" s="96"/>
      <c r="F185" s="157"/>
      <c r="G185" s="50"/>
      <c r="H185" s="158"/>
      <c r="I185" s="159"/>
      <c r="J185" s="160" t="str">
        <f t="shared" si="2"/>
        <v/>
      </c>
      <c r="K185" s="122" t="s">
        <v>373</v>
      </c>
    </row>
    <row r="186" spans="2:11" ht="15.75" customHeight="1" x14ac:dyDescent="0.3">
      <c r="B186" s="91"/>
      <c r="C186" s="93"/>
      <c r="D186" s="92"/>
      <c r="E186" s="92"/>
      <c r="F186" s="153"/>
      <c r="G186" s="41"/>
      <c r="H186" s="154"/>
      <c r="I186" s="155"/>
      <c r="J186" s="156" t="str">
        <f t="shared" si="2"/>
        <v/>
      </c>
      <c r="K186" s="115" t="s">
        <v>373</v>
      </c>
    </row>
    <row r="187" spans="2:11" ht="15.75" customHeight="1" x14ac:dyDescent="0.3">
      <c r="B187" s="91"/>
      <c r="C187" s="95"/>
      <c r="D187" s="96"/>
      <c r="E187" s="96"/>
      <c r="F187" s="157"/>
      <c r="G187" s="50"/>
      <c r="H187" s="158"/>
      <c r="I187" s="159"/>
      <c r="J187" s="160" t="str">
        <f t="shared" si="2"/>
        <v/>
      </c>
      <c r="K187" s="122" t="s">
        <v>373</v>
      </c>
    </row>
    <row r="188" spans="2:11" ht="15.75" customHeight="1" x14ac:dyDescent="0.3">
      <c r="B188" s="91"/>
      <c r="C188" s="93"/>
      <c r="D188" s="92"/>
      <c r="E188" s="92"/>
      <c r="F188" s="153"/>
      <c r="G188" s="41"/>
      <c r="H188" s="154"/>
      <c r="I188" s="155"/>
      <c r="J188" s="156" t="str">
        <f t="shared" si="2"/>
        <v/>
      </c>
      <c r="K188" s="115" t="s">
        <v>373</v>
      </c>
    </row>
    <row r="189" spans="2:11" ht="15.75" customHeight="1" x14ac:dyDescent="0.3">
      <c r="B189" s="91"/>
      <c r="C189" s="95"/>
      <c r="D189" s="96"/>
      <c r="E189" s="96"/>
      <c r="F189" s="157"/>
      <c r="G189" s="50"/>
      <c r="H189" s="158"/>
      <c r="I189" s="159"/>
      <c r="J189" s="160" t="str">
        <f t="shared" si="2"/>
        <v/>
      </c>
      <c r="K189" s="122" t="s">
        <v>373</v>
      </c>
    </row>
    <row r="190" spans="2:11" ht="15.75" customHeight="1" x14ac:dyDescent="0.3">
      <c r="B190" s="91"/>
      <c r="C190" s="93"/>
      <c r="D190" s="92"/>
      <c r="E190" s="92"/>
      <c r="F190" s="153"/>
      <c r="G190" s="41"/>
      <c r="H190" s="154"/>
      <c r="I190" s="155"/>
      <c r="J190" s="156" t="str">
        <f t="shared" si="2"/>
        <v/>
      </c>
      <c r="K190" s="115" t="s">
        <v>373</v>
      </c>
    </row>
    <row r="191" spans="2:11" ht="15.75" customHeight="1" x14ac:dyDescent="0.3">
      <c r="B191" s="91"/>
      <c r="C191" s="95"/>
      <c r="D191" s="96"/>
      <c r="E191" s="96"/>
      <c r="F191" s="157"/>
      <c r="G191" s="50"/>
      <c r="H191" s="158"/>
      <c r="I191" s="159"/>
      <c r="J191" s="160" t="str">
        <f t="shared" si="2"/>
        <v/>
      </c>
      <c r="K191" s="122" t="s">
        <v>373</v>
      </c>
    </row>
    <row r="192" spans="2:11" ht="15.75" customHeight="1" x14ac:dyDescent="0.3">
      <c r="B192" s="91"/>
      <c r="C192" s="93"/>
      <c r="D192" s="92"/>
      <c r="E192" s="92"/>
      <c r="F192" s="153"/>
      <c r="G192" s="41"/>
      <c r="H192" s="154"/>
      <c r="I192" s="155"/>
      <c r="J192" s="156" t="str">
        <f t="shared" si="2"/>
        <v/>
      </c>
      <c r="K192" s="115" t="s">
        <v>373</v>
      </c>
    </row>
    <row r="193" spans="2:11" ht="15.75" customHeight="1" x14ac:dyDescent="0.3">
      <c r="B193" s="91"/>
      <c r="C193" s="95"/>
      <c r="D193" s="96"/>
      <c r="E193" s="96"/>
      <c r="F193" s="157"/>
      <c r="G193" s="50"/>
      <c r="H193" s="158"/>
      <c r="I193" s="159"/>
      <c r="J193" s="160" t="str">
        <f t="shared" si="2"/>
        <v/>
      </c>
      <c r="K193" s="122" t="s">
        <v>373</v>
      </c>
    </row>
    <row r="194" spans="2:11" ht="15.75" customHeight="1" x14ac:dyDescent="0.3">
      <c r="B194" s="91"/>
      <c r="C194" s="93"/>
      <c r="D194" s="92"/>
      <c r="E194" s="92"/>
      <c r="F194" s="153"/>
      <c r="G194" s="41"/>
      <c r="H194" s="154"/>
      <c r="I194" s="155"/>
      <c r="J194" s="156" t="str">
        <f t="shared" si="2"/>
        <v/>
      </c>
      <c r="K194" s="115" t="s">
        <v>373</v>
      </c>
    </row>
    <row r="195" spans="2:11" ht="15.75" customHeight="1" x14ac:dyDescent="0.3">
      <c r="B195" s="91"/>
      <c r="C195" s="95"/>
      <c r="D195" s="96"/>
      <c r="E195" s="96"/>
      <c r="F195" s="157"/>
      <c r="G195" s="50"/>
      <c r="H195" s="158"/>
      <c r="I195" s="159"/>
      <c r="J195" s="160" t="str">
        <f t="shared" si="2"/>
        <v/>
      </c>
      <c r="K195" s="122" t="s">
        <v>373</v>
      </c>
    </row>
    <row r="196" spans="2:11" ht="15.75" customHeight="1" x14ac:dyDescent="0.3">
      <c r="B196" s="91"/>
      <c r="C196" s="93"/>
      <c r="D196" s="92"/>
      <c r="E196" s="92"/>
      <c r="F196" s="153"/>
      <c r="G196" s="41"/>
      <c r="H196" s="154"/>
      <c r="I196" s="155"/>
      <c r="J196" s="156" t="str">
        <f t="shared" si="2"/>
        <v/>
      </c>
      <c r="K196" s="115" t="s">
        <v>373</v>
      </c>
    </row>
    <row r="197" spans="2:11" ht="15.75" customHeight="1" x14ac:dyDescent="0.3">
      <c r="B197" s="91"/>
      <c r="C197" s="95"/>
      <c r="D197" s="96"/>
      <c r="E197" s="96"/>
      <c r="F197" s="157"/>
      <c r="G197" s="50"/>
      <c r="H197" s="158"/>
      <c r="I197" s="159"/>
      <c r="J197" s="160" t="str">
        <f t="shared" si="2"/>
        <v/>
      </c>
      <c r="K197" s="122" t="s">
        <v>373</v>
      </c>
    </row>
    <row r="198" spans="2:11" ht="15.75" customHeight="1" x14ac:dyDescent="0.3">
      <c r="B198" s="91"/>
      <c r="C198" s="93"/>
      <c r="D198" s="92"/>
      <c r="E198" s="92"/>
      <c r="F198" s="153"/>
      <c r="G198" s="41"/>
      <c r="H198" s="154"/>
      <c r="I198" s="155"/>
      <c r="J198" s="156" t="str">
        <f t="shared" si="2"/>
        <v/>
      </c>
      <c r="K198" s="115" t="s">
        <v>373</v>
      </c>
    </row>
    <row r="199" spans="2:11" ht="15.75" customHeight="1" x14ac:dyDescent="0.3">
      <c r="B199" s="91"/>
      <c r="C199" s="95"/>
      <c r="D199" s="96"/>
      <c r="E199" s="96"/>
      <c r="F199" s="157"/>
      <c r="G199" s="50"/>
      <c r="H199" s="158"/>
      <c r="I199" s="159"/>
      <c r="J199" s="160" t="str">
        <f t="shared" si="2"/>
        <v/>
      </c>
      <c r="K199" s="122" t="s">
        <v>373</v>
      </c>
    </row>
    <row r="200" spans="2:11" ht="15.75" customHeight="1" x14ac:dyDescent="0.3">
      <c r="B200" s="91"/>
      <c r="C200" s="93"/>
      <c r="D200" s="92"/>
      <c r="E200" s="92"/>
      <c r="F200" s="153"/>
      <c r="G200" s="41"/>
      <c r="H200" s="154"/>
      <c r="I200" s="155"/>
      <c r="J200" s="156" t="str">
        <f t="shared" si="2"/>
        <v/>
      </c>
      <c r="K200" s="115" t="s">
        <v>373</v>
      </c>
    </row>
    <row r="201" spans="2:11" ht="15.75" customHeight="1" x14ac:dyDescent="0.3">
      <c r="B201" s="91"/>
      <c r="C201" s="95"/>
      <c r="D201" s="96"/>
      <c r="E201" s="96"/>
      <c r="F201" s="157"/>
      <c r="G201" s="50"/>
      <c r="H201" s="158"/>
      <c r="I201" s="159"/>
      <c r="J201" s="160" t="str">
        <f t="shared" si="2"/>
        <v/>
      </c>
      <c r="K201" s="122" t="s">
        <v>373</v>
      </c>
    </row>
    <row r="202" spans="2:11" ht="15.75" customHeight="1" x14ac:dyDescent="0.3">
      <c r="B202" s="91"/>
      <c r="C202" s="93"/>
      <c r="D202" s="92"/>
      <c r="E202" s="92"/>
      <c r="F202" s="153"/>
      <c r="G202" s="41"/>
      <c r="H202" s="154"/>
      <c r="I202" s="155"/>
      <c r="J202" s="156" t="str">
        <f t="shared" ref="J202:J265" si="3">IFERROR(IF(F202*H202=0,"",F202*H202),"")</f>
        <v/>
      </c>
      <c r="K202" s="115" t="s">
        <v>373</v>
      </c>
    </row>
    <row r="203" spans="2:11" ht="15.75" customHeight="1" x14ac:dyDescent="0.3">
      <c r="B203" s="91"/>
      <c r="C203" s="95"/>
      <c r="D203" s="96"/>
      <c r="E203" s="96"/>
      <c r="F203" s="157"/>
      <c r="G203" s="50"/>
      <c r="H203" s="158"/>
      <c r="I203" s="159"/>
      <c r="J203" s="160" t="str">
        <f t="shared" si="3"/>
        <v/>
      </c>
      <c r="K203" s="122" t="s">
        <v>373</v>
      </c>
    </row>
    <row r="204" spans="2:11" ht="15.75" customHeight="1" x14ac:dyDescent="0.3">
      <c r="B204" s="91"/>
      <c r="C204" s="93"/>
      <c r="D204" s="92"/>
      <c r="E204" s="92"/>
      <c r="F204" s="153"/>
      <c r="G204" s="41"/>
      <c r="H204" s="154"/>
      <c r="I204" s="155"/>
      <c r="J204" s="156" t="str">
        <f t="shared" si="3"/>
        <v/>
      </c>
      <c r="K204" s="115" t="s">
        <v>373</v>
      </c>
    </row>
    <row r="205" spans="2:11" ht="15.75" customHeight="1" x14ac:dyDescent="0.3">
      <c r="B205" s="91"/>
      <c r="C205" s="95"/>
      <c r="D205" s="96"/>
      <c r="E205" s="96"/>
      <c r="F205" s="157"/>
      <c r="G205" s="50"/>
      <c r="H205" s="158"/>
      <c r="I205" s="159"/>
      <c r="J205" s="160" t="str">
        <f t="shared" si="3"/>
        <v/>
      </c>
      <c r="K205" s="122" t="s">
        <v>373</v>
      </c>
    </row>
    <row r="206" spans="2:11" ht="15.75" customHeight="1" x14ac:dyDescent="0.3">
      <c r="B206" s="91"/>
      <c r="C206" s="93"/>
      <c r="D206" s="92"/>
      <c r="E206" s="92"/>
      <c r="F206" s="153"/>
      <c r="G206" s="41"/>
      <c r="H206" s="154"/>
      <c r="I206" s="155"/>
      <c r="J206" s="156" t="str">
        <f t="shared" si="3"/>
        <v/>
      </c>
      <c r="K206" s="115" t="s">
        <v>373</v>
      </c>
    </row>
    <row r="207" spans="2:11" ht="15.75" customHeight="1" x14ac:dyDescent="0.3">
      <c r="B207" s="91"/>
      <c r="C207" s="95"/>
      <c r="D207" s="96"/>
      <c r="E207" s="96"/>
      <c r="F207" s="157"/>
      <c r="G207" s="50"/>
      <c r="H207" s="158"/>
      <c r="I207" s="159"/>
      <c r="J207" s="160" t="str">
        <f t="shared" si="3"/>
        <v/>
      </c>
      <c r="K207" s="122" t="s">
        <v>373</v>
      </c>
    </row>
    <row r="208" spans="2:11" ht="15.75" customHeight="1" x14ac:dyDescent="0.3">
      <c r="B208" s="91"/>
      <c r="C208" s="93"/>
      <c r="D208" s="92"/>
      <c r="E208" s="92"/>
      <c r="F208" s="153"/>
      <c r="G208" s="41"/>
      <c r="H208" s="154"/>
      <c r="I208" s="155"/>
      <c r="J208" s="156" t="str">
        <f t="shared" si="3"/>
        <v/>
      </c>
      <c r="K208" s="115" t="s">
        <v>373</v>
      </c>
    </row>
    <row r="209" spans="2:11" ht="15.75" customHeight="1" x14ac:dyDescent="0.3">
      <c r="B209" s="91"/>
      <c r="C209" s="95"/>
      <c r="D209" s="96"/>
      <c r="E209" s="96"/>
      <c r="F209" s="157"/>
      <c r="G209" s="50"/>
      <c r="H209" s="158"/>
      <c r="I209" s="159"/>
      <c r="J209" s="160" t="str">
        <f t="shared" si="3"/>
        <v/>
      </c>
      <c r="K209" s="122" t="s">
        <v>373</v>
      </c>
    </row>
    <row r="210" spans="2:11" ht="15.75" customHeight="1" x14ac:dyDescent="0.3">
      <c r="B210" s="91"/>
      <c r="C210" s="93"/>
      <c r="D210" s="92"/>
      <c r="E210" s="92"/>
      <c r="F210" s="153"/>
      <c r="G210" s="41"/>
      <c r="H210" s="154"/>
      <c r="I210" s="155"/>
      <c r="J210" s="156" t="str">
        <f t="shared" si="3"/>
        <v/>
      </c>
      <c r="K210" s="115" t="s">
        <v>373</v>
      </c>
    </row>
    <row r="211" spans="2:11" ht="15.75" customHeight="1" x14ac:dyDescent="0.3">
      <c r="B211" s="91"/>
      <c r="C211" s="95"/>
      <c r="D211" s="96"/>
      <c r="E211" s="96"/>
      <c r="F211" s="157"/>
      <c r="G211" s="50"/>
      <c r="H211" s="158"/>
      <c r="I211" s="159"/>
      <c r="J211" s="160" t="str">
        <f t="shared" si="3"/>
        <v/>
      </c>
      <c r="K211" s="122" t="s">
        <v>373</v>
      </c>
    </row>
    <row r="212" spans="2:11" ht="15.75" customHeight="1" x14ac:dyDescent="0.3">
      <c r="B212" s="91"/>
      <c r="C212" s="93"/>
      <c r="D212" s="92"/>
      <c r="E212" s="92"/>
      <c r="F212" s="153"/>
      <c r="G212" s="41"/>
      <c r="H212" s="154"/>
      <c r="I212" s="155"/>
      <c r="J212" s="156" t="str">
        <f t="shared" si="3"/>
        <v/>
      </c>
      <c r="K212" s="115" t="s">
        <v>373</v>
      </c>
    </row>
    <row r="213" spans="2:11" ht="15.75" customHeight="1" x14ac:dyDescent="0.3">
      <c r="B213" s="91"/>
      <c r="C213" s="95"/>
      <c r="D213" s="96"/>
      <c r="E213" s="96"/>
      <c r="F213" s="157"/>
      <c r="G213" s="50"/>
      <c r="H213" s="158"/>
      <c r="I213" s="159"/>
      <c r="J213" s="160" t="str">
        <f t="shared" si="3"/>
        <v/>
      </c>
      <c r="K213" s="122" t="s">
        <v>373</v>
      </c>
    </row>
    <row r="214" spans="2:11" ht="15.75" customHeight="1" x14ac:dyDescent="0.3">
      <c r="B214" s="91"/>
      <c r="C214" s="93"/>
      <c r="D214" s="92"/>
      <c r="E214" s="92"/>
      <c r="F214" s="153"/>
      <c r="G214" s="41"/>
      <c r="H214" s="154"/>
      <c r="I214" s="155"/>
      <c r="J214" s="156" t="str">
        <f t="shared" si="3"/>
        <v/>
      </c>
      <c r="K214" s="115" t="s">
        <v>373</v>
      </c>
    </row>
    <row r="215" spans="2:11" ht="15.75" customHeight="1" x14ac:dyDescent="0.3">
      <c r="B215" s="91"/>
      <c r="C215" s="95"/>
      <c r="D215" s="96"/>
      <c r="E215" s="96"/>
      <c r="F215" s="157"/>
      <c r="G215" s="50"/>
      <c r="H215" s="158"/>
      <c r="I215" s="159"/>
      <c r="J215" s="160" t="str">
        <f t="shared" si="3"/>
        <v/>
      </c>
      <c r="K215" s="122" t="s">
        <v>373</v>
      </c>
    </row>
    <row r="216" spans="2:11" ht="15.75" customHeight="1" x14ac:dyDescent="0.3">
      <c r="B216" s="91"/>
      <c r="C216" s="93"/>
      <c r="D216" s="92"/>
      <c r="E216" s="92"/>
      <c r="F216" s="153"/>
      <c r="G216" s="41"/>
      <c r="H216" s="154"/>
      <c r="I216" s="155"/>
      <c r="J216" s="156" t="str">
        <f t="shared" si="3"/>
        <v/>
      </c>
      <c r="K216" s="115" t="s">
        <v>373</v>
      </c>
    </row>
    <row r="217" spans="2:11" ht="15.75" customHeight="1" x14ac:dyDescent="0.3">
      <c r="B217" s="91"/>
      <c r="C217" s="95"/>
      <c r="D217" s="96"/>
      <c r="E217" s="96"/>
      <c r="F217" s="157"/>
      <c r="G217" s="50"/>
      <c r="H217" s="158"/>
      <c r="I217" s="159"/>
      <c r="J217" s="160" t="str">
        <f t="shared" si="3"/>
        <v/>
      </c>
      <c r="K217" s="122" t="s">
        <v>373</v>
      </c>
    </row>
    <row r="218" spans="2:11" ht="15.75" customHeight="1" x14ac:dyDescent="0.3">
      <c r="B218" s="91"/>
      <c r="C218" s="93"/>
      <c r="D218" s="92"/>
      <c r="E218" s="92"/>
      <c r="F218" s="153"/>
      <c r="G218" s="41"/>
      <c r="H218" s="154"/>
      <c r="I218" s="155"/>
      <c r="J218" s="156" t="str">
        <f t="shared" si="3"/>
        <v/>
      </c>
      <c r="K218" s="115" t="s">
        <v>373</v>
      </c>
    </row>
    <row r="219" spans="2:11" ht="15.75" customHeight="1" x14ac:dyDescent="0.3">
      <c r="B219" s="91"/>
      <c r="C219" s="95"/>
      <c r="D219" s="96"/>
      <c r="E219" s="96"/>
      <c r="F219" s="157"/>
      <c r="G219" s="50"/>
      <c r="H219" s="158"/>
      <c r="I219" s="159"/>
      <c r="J219" s="160" t="str">
        <f t="shared" si="3"/>
        <v/>
      </c>
      <c r="K219" s="122" t="s">
        <v>373</v>
      </c>
    </row>
    <row r="220" spans="2:11" ht="15.75" customHeight="1" x14ac:dyDescent="0.3">
      <c r="B220" s="91"/>
      <c r="C220" s="93"/>
      <c r="D220" s="92"/>
      <c r="E220" s="92"/>
      <c r="F220" s="153"/>
      <c r="G220" s="41"/>
      <c r="H220" s="154"/>
      <c r="I220" s="155"/>
      <c r="J220" s="156" t="str">
        <f t="shared" si="3"/>
        <v/>
      </c>
      <c r="K220" s="115" t="s">
        <v>373</v>
      </c>
    </row>
    <row r="221" spans="2:11" ht="15.75" customHeight="1" x14ac:dyDescent="0.3">
      <c r="B221" s="91"/>
      <c r="C221" s="95"/>
      <c r="D221" s="96"/>
      <c r="E221" s="96"/>
      <c r="F221" s="157"/>
      <c r="G221" s="50"/>
      <c r="H221" s="158"/>
      <c r="I221" s="159"/>
      <c r="J221" s="160" t="str">
        <f t="shared" si="3"/>
        <v/>
      </c>
      <c r="K221" s="122" t="s">
        <v>373</v>
      </c>
    </row>
    <row r="222" spans="2:11" ht="15.75" customHeight="1" x14ac:dyDescent="0.3">
      <c r="B222" s="91"/>
      <c r="C222" s="93"/>
      <c r="D222" s="92"/>
      <c r="E222" s="92"/>
      <c r="F222" s="153"/>
      <c r="G222" s="41"/>
      <c r="H222" s="154"/>
      <c r="I222" s="155"/>
      <c r="J222" s="156" t="str">
        <f t="shared" si="3"/>
        <v/>
      </c>
      <c r="K222" s="115" t="s">
        <v>373</v>
      </c>
    </row>
    <row r="223" spans="2:11" ht="15.75" customHeight="1" x14ac:dyDescent="0.3">
      <c r="B223" s="91"/>
      <c r="C223" s="95"/>
      <c r="D223" s="96"/>
      <c r="E223" s="96"/>
      <c r="F223" s="157"/>
      <c r="G223" s="50"/>
      <c r="H223" s="158"/>
      <c r="I223" s="159"/>
      <c r="J223" s="160" t="str">
        <f t="shared" si="3"/>
        <v/>
      </c>
      <c r="K223" s="122" t="s">
        <v>373</v>
      </c>
    </row>
    <row r="224" spans="2:11" ht="15.75" customHeight="1" x14ac:dyDescent="0.3">
      <c r="B224" s="91"/>
      <c r="C224" s="93"/>
      <c r="D224" s="92"/>
      <c r="E224" s="92"/>
      <c r="F224" s="153"/>
      <c r="G224" s="41"/>
      <c r="H224" s="154"/>
      <c r="I224" s="155"/>
      <c r="J224" s="156" t="str">
        <f t="shared" si="3"/>
        <v/>
      </c>
      <c r="K224" s="115" t="s">
        <v>373</v>
      </c>
    </row>
    <row r="225" spans="2:11" ht="15.75" customHeight="1" x14ac:dyDescent="0.3">
      <c r="B225" s="91"/>
      <c r="C225" s="95"/>
      <c r="D225" s="96"/>
      <c r="E225" s="96"/>
      <c r="F225" s="157"/>
      <c r="G225" s="50"/>
      <c r="H225" s="158"/>
      <c r="I225" s="159"/>
      <c r="J225" s="160" t="str">
        <f t="shared" si="3"/>
        <v/>
      </c>
      <c r="K225" s="122" t="s">
        <v>373</v>
      </c>
    </row>
    <row r="226" spans="2:11" ht="15.75" customHeight="1" x14ac:dyDescent="0.3">
      <c r="B226" s="91"/>
      <c r="C226" s="93"/>
      <c r="D226" s="92"/>
      <c r="E226" s="92"/>
      <c r="F226" s="153"/>
      <c r="G226" s="41"/>
      <c r="H226" s="154"/>
      <c r="I226" s="155"/>
      <c r="J226" s="156" t="str">
        <f t="shared" si="3"/>
        <v/>
      </c>
      <c r="K226" s="115" t="s">
        <v>373</v>
      </c>
    </row>
    <row r="227" spans="2:11" ht="15.75" customHeight="1" x14ac:dyDescent="0.3">
      <c r="B227" s="91"/>
      <c r="C227" s="95"/>
      <c r="D227" s="96"/>
      <c r="E227" s="96"/>
      <c r="F227" s="157"/>
      <c r="G227" s="50"/>
      <c r="H227" s="158"/>
      <c r="I227" s="159"/>
      <c r="J227" s="160" t="str">
        <f t="shared" si="3"/>
        <v/>
      </c>
      <c r="K227" s="122" t="s">
        <v>373</v>
      </c>
    </row>
    <row r="228" spans="2:11" ht="15.75" customHeight="1" x14ac:dyDescent="0.3">
      <c r="B228" s="91"/>
      <c r="C228" s="93"/>
      <c r="D228" s="92"/>
      <c r="E228" s="92"/>
      <c r="F228" s="153"/>
      <c r="G228" s="41"/>
      <c r="H228" s="154"/>
      <c r="I228" s="155"/>
      <c r="J228" s="156" t="str">
        <f t="shared" si="3"/>
        <v/>
      </c>
      <c r="K228" s="115" t="s">
        <v>373</v>
      </c>
    </row>
    <row r="229" spans="2:11" ht="15.75" customHeight="1" x14ac:dyDescent="0.3">
      <c r="B229" s="91"/>
      <c r="C229" s="95"/>
      <c r="D229" s="96"/>
      <c r="E229" s="96"/>
      <c r="F229" s="157"/>
      <c r="G229" s="50"/>
      <c r="H229" s="158"/>
      <c r="I229" s="159"/>
      <c r="J229" s="160" t="str">
        <f t="shared" si="3"/>
        <v/>
      </c>
      <c r="K229" s="122" t="s">
        <v>373</v>
      </c>
    </row>
    <row r="230" spans="2:11" ht="15.75" customHeight="1" x14ac:dyDescent="0.3">
      <c r="B230" s="91"/>
      <c r="C230" s="93"/>
      <c r="D230" s="92"/>
      <c r="E230" s="92"/>
      <c r="F230" s="153"/>
      <c r="G230" s="41"/>
      <c r="H230" s="154"/>
      <c r="I230" s="155"/>
      <c r="J230" s="156" t="str">
        <f t="shared" si="3"/>
        <v/>
      </c>
      <c r="K230" s="115" t="s">
        <v>373</v>
      </c>
    </row>
    <row r="231" spans="2:11" ht="15.75" customHeight="1" x14ac:dyDescent="0.3">
      <c r="B231" s="91"/>
      <c r="C231" s="95"/>
      <c r="D231" s="96"/>
      <c r="E231" s="96"/>
      <c r="F231" s="157"/>
      <c r="G231" s="50"/>
      <c r="H231" s="158"/>
      <c r="I231" s="159"/>
      <c r="J231" s="160" t="str">
        <f t="shared" si="3"/>
        <v/>
      </c>
      <c r="K231" s="122" t="s">
        <v>373</v>
      </c>
    </row>
    <row r="232" spans="2:11" ht="15.75" customHeight="1" x14ac:dyDescent="0.3">
      <c r="B232" s="91"/>
      <c r="C232" s="93"/>
      <c r="D232" s="92"/>
      <c r="E232" s="92"/>
      <c r="F232" s="153"/>
      <c r="G232" s="41"/>
      <c r="H232" s="154"/>
      <c r="I232" s="155"/>
      <c r="J232" s="156" t="str">
        <f t="shared" si="3"/>
        <v/>
      </c>
      <c r="K232" s="115" t="s">
        <v>373</v>
      </c>
    </row>
    <row r="233" spans="2:11" ht="15.75" customHeight="1" x14ac:dyDescent="0.3">
      <c r="B233" s="91"/>
      <c r="C233" s="95"/>
      <c r="D233" s="96"/>
      <c r="E233" s="96"/>
      <c r="F233" s="157"/>
      <c r="G233" s="50"/>
      <c r="H233" s="158"/>
      <c r="I233" s="159"/>
      <c r="J233" s="160" t="str">
        <f t="shared" si="3"/>
        <v/>
      </c>
      <c r="K233" s="122" t="s">
        <v>373</v>
      </c>
    </row>
    <row r="234" spans="2:11" ht="15.75" customHeight="1" x14ac:dyDescent="0.3">
      <c r="B234" s="91"/>
      <c r="C234" s="93"/>
      <c r="D234" s="92"/>
      <c r="E234" s="92"/>
      <c r="F234" s="153"/>
      <c r="G234" s="41"/>
      <c r="H234" s="154"/>
      <c r="I234" s="155"/>
      <c r="J234" s="156" t="str">
        <f t="shared" si="3"/>
        <v/>
      </c>
      <c r="K234" s="115" t="s">
        <v>373</v>
      </c>
    </row>
    <row r="235" spans="2:11" ht="15.75" customHeight="1" x14ac:dyDescent="0.3">
      <c r="B235" s="91"/>
      <c r="C235" s="95"/>
      <c r="D235" s="96"/>
      <c r="E235" s="96"/>
      <c r="F235" s="157"/>
      <c r="G235" s="50"/>
      <c r="H235" s="158"/>
      <c r="I235" s="159"/>
      <c r="J235" s="160" t="str">
        <f t="shared" si="3"/>
        <v/>
      </c>
      <c r="K235" s="122" t="s">
        <v>373</v>
      </c>
    </row>
    <row r="236" spans="2:11" ht="15.75" customHeight="1" x14ac:dyDescent="0.3">
      <c r="B236" s="91"/>
      <c r="C236" s="93"/>
      <c r="D236" s="92"/>
      <c r="E236" s="92"/>
      <c r="F236" s="153"/>
      <c r="G236" s="41"/>
      <c r="H236" s="154"/>
      <c r="I236" s="155"/>
      <c r="J236" s="156" t="str">
        <f t="shared" si="3"/>
        <v/>
      </c>
      <c r="K236" s="115" t="s">
        <v>373</v>
      </c>
    </row>
    <row r="237" spans="2:11" ht="15.75" customHeight="1" x14ac:dyDescent="0.3">
      <c r="B237" s="91"/>
      <c r="C237" s="95"/>
      <c r="D237" s="96"/>
      <c r="E237" s="96"/>
      <c r="F237" s="157"/>
      <c r="G237" s="50"/>
      <c r="H237" s="158"/>
      <c r="I237" s="159"/>
      <c r="J237" s="160" t="str">
        <f t="shared" si="3"/>
        <v/>
      </c>
      <c r="K237" s="122" t="s">
        <v>373</v>
      </c>
    </row>
    <row r="238" spans="2:11" ht="15.75" customHeight="1" x14ac:dyDescent="0.3">
      <c r="B238" s="91"/>
      <c r="C238" s="93"/>
      <c r="D238" s="92"/>
      <c r="E238" s="92"/>
      <c r="F238" s="153"/>
      <c r="G238" s="41"/>
      <c r="H238" s="154"/>
      <c r="I238" s="155"/>
      <c r="J238" s="156" t="str">
        <f t="shared" si="3"/>
        <v/>
      </c>
      <c r="K238" s="115" t="s">
        <v>373</v>
      </c>
    </row>
    <row r="239" spans="2:11" ht="15.75" customHeight="1" x14ac:dyDescent="0.3">
      <c r="B239" s="91"/>
      <c r="C239" s="95"/>
      <c r="D239" s="96"/>
      <c r="E239" s="96"/>
      <c r="F239" s="157"/>
      <c r="G239" s="50"/>
      <c r="H239" s="158"/>
      <c r="I239" s="159"/>
      <c r="J239" s="160" t="str">
        <f t="shared" si="3"/>
        <v/>
      </c>
      <c r="K239" s="122" t="s">
        <v>373</v>
      </c>
    </row>
    <row r="240" spans="2:11" ht="15.75" customHeight="1" x14ac:dyDescent="0.3">
      <c r="B240" s="91"/>
      <c r="C240" s="93"/>
      <c r="D240" s="92"/>
      <c r="E240" s="92"/>
      <c r="F240" s="153"/>
      <c r="G240" s="41"/>
      <c r="H240" s="154"/>
      <c r="I240" s="155"/>
      <c r="J240" s="156" t="str">
        <f t="shared" si="3"/>
        <v/>
      </c>
      <c r="K240" s="115" t="s">
        <v>373</v>
      </c>
    </row>
    <row r="241" spans="2:11" ht="15.75" customHeight="1" x14ac:dyDescent="0.3">
      <c r="B241" s="91"/>
      <c r="C241" s="95"/>
      <c r="D241" s="96"/>
      <c r="E241" s="96"/>
      <c r="F241" s="157"/>
      <c r="G241" s="50"/>
      <c r="H241" s="158"/>
      <c r="I241" s="159"/>
      <c r="J241" s="160" t="str">
        <f t="shared" si="3"/>
        <v/>
      </c>
      <c r="K241" s="122" t="s">
        <v>373</v>
      </c>
    </row>
    <row r="242" spans="2:11" ht="15.75" customHeight="1" x14ac:dyDescent="0.3">
      <c r="B242" s="91"/>
      <c r="C242" s="93"/>
      <c r="D242" s="92"/>
      <c r="E242" s="92"/>
      <c r="F242" s="153"/>
      <c r="G242" s="41"/>
      <c r="H242" s="154"/>
      <c r="I242" s="155"/>
      <c r="J242" s="156" t="str">
        <f t="shared" si="3"/>
        <v/>
      </c>
      <c r="K242" s="115" t="s">
        <v>373</v>
      </c>
    </row>
    <row r="243" spans="2:11" ht="15.75" customHeight="1" x14ac:dyDescent="0.3">
      <c r="B243" s="91"/>
      <c r="C243" s="95"/>
      <c r="D243" s="96"/>
      <c r="E243" s="96"/>
      <c r="F243" s="157"/>
      <c r="G243" s="50"/>
      <c r="H243" s="158"/>
      <c r="I243" s="159"/>
      <c r="J243" s="160" t="str">
        <f t="shared" si="3"/>
        <v/>
      </c>
      <c r="K243" s="122" t="s">
        <v>373</v>
      </c>
    </row>
    <row r="244" spans="2:11" ht="15.75" customHeight="1" x14ac:dyDescent="0.3">
      <c r="B244" s="91"/>
      <c r="C244" s="93"/>
      <c r="D244" s="92"/>
      <c r="E244" s="92"/>
      <c r="F244" s="153"/>
      <c r="G244" s="41"/>
      <c r="H244" s="154"/>
      <c r="I244" s="155"/>
      <c r="J244" s="156" t="str">
        <f t="shared" si="3"/>
        <v/>
      </c>
      <c r="K244" s="115" t="s">
        <v>373</v>
      </c>
    </row>
    <row r="245" spans="2:11" ht="15.75" customHeight="1" x14ac:dyDescent="0.3">
      <c r="B245" s="91"/>
      <c r="C245" s="95"/>
      <c r="D245" s="96"/>
      <c r="E245" s="96"/>
      <c r="F245" s="157"/>
      <c r="G245" s="50"/>
      <c r="H245" s="158"/>
      <c r="I245" s="159"/>
      <c r="J245" s="160" t="str">
        <f t="shared" si="3"/>
        <v/>
      </c>
      <c r="K245" s="122" t="s">
        <v>373</v>
      </c>
    </row>
    <row r="246" spans="2:11" ht="15.75" customHeight="1" x14ac:dyDescent="0.3">
      <c r="B246" s="91"/>
      <c r="C246" s="93"/>
      <c r="D246" s="92"/>
      <c r="E246" s="92"/>
      <c r="F246" s="153"/>
      <c r="G246" s="41"/>
      <c r="H246" s="154"/>
      <c r="I246" s="155"/>
      <c r="J246" s="156" t="str">
        <f t="shared" si="3"/>
        <v/>
      </c>
      <c r="K246" s="115" t="s">
        <v>373</v>
      </c>
    </row>
    <row r="247" spans="2:11" ht="15.75" customHeight="1" x14ac:dyDescent="0.3">
      <c r="B247" s="91"/>
      <c r="C247" s="95"/>
      <c r="D247" s="96"/>
      <c r="E247" s="96"/>
      <c r="F247" s="157"/>
      <c r="G247" s="50"/>
      <c r="H247" s="158"/>
      <c r="I247" s="159"/>
      <c r="J247" s="160" t="str">
        <f t="shared" si="3"/>
        <v/>
      </c>
      <c r="K247" s="122" t="s">
        <v>373</v>
      </c>
    </row>
    <row r="248" spans="2:11" ht="15.75" customHeight="1" x14ac:dyDescent="0.3">
      <c r="B248" s="91"/>
      <c r="C248" s="93"/>
      <c r="D248" s="92"/>
      <c r="E248" s="92"/>
      <c r="F248" s="153"/>
      <c r="G248" s="41"/>
      <c r="H248" s="154"/>
      <c r="I248" s="155"/>
      <c r="J248" s="156" t="str">
        <f t="shared" si="3"/>
        <v/>
      </c>
      <c r="K248" s="115" t="s">
        <v>373</v>
      </c>
    </row>
    <row r="249" spans="2:11" ht="15.75" customHeight="1" x14ac:dyDescent="0.3">
      <c r="B249" s="91"/>
      <c r="C249" s="95"/>
      <c r="D249" s="96"/>
      <c r="E249" s="96"/>
      <c r="F249" s="157"/>
      <c r="G249" s="50"/>
      <c r="H249" s="158"/>
      <c r="I249" s="159"/>
      <c r="J249" s="160" t="str">
        <f t="shared" si="3"/>
        <v/>
      </c>
      <c r="K249" s="122" t="s">
        <v>373</v>
      </c>
    </row>
    <row r="250" spans="2:11" ht="15.75" customHeight="1" x14ac:dyDescent="0.3">
      <c r="B250" s="91"/>
      <c r="C250" s="93"/>
      <c r="D250" s="92"/>
      <c r="E250" s="92"/>
      <c r="F250" s="153"/>
      <c r="G250" s="41"/>
      <c r="H250" s="154"/>
      <c r="I250" s="155"/>
      <c r="J250" s="156" t="str">
        <f t="shared" si="3"/>
        <v/>
      </c>
      <c r="K250" s="115" t="s">
        <v>373</v>
      </c>
    </row>
    <row r="251" spans="2:11" ht="15.75" customHeight="1" x14ac:dyDescent="0.3">
      <c r="B251" s="91"/>
      <c r="C251" s="95"/>
      <c r="D251" s="96"/>
      <c r="E251" s="96"/>
      <c r="F251" s="157"/>
      <c r="G251" s="50"/>
      <c r="H251" s="158"/>
      <c r="I251" s="159"/>
      <c r="J251" s="160" t="str">
        <f t="shared" si="3"/>
        <v/>
      </c>
      <c r="K251" s="122" t="s">
        <v>373</v>
      </c>
    </row>
    <row r="252" spans="2:11" ht="15.75" customHeight="1" x14ac:dyDescent="0.3">
      <c r="B252" s="91"/>
      <c r="C252" s="93"/>
      <c r="D252" s="92"/>
      <c r="E252" s="92"/>
      <c r="F252" s="153"/>
      <c r="G252" s="41"/>
      <c r="H252" s="154"/>
      <c r="I252" s="155"/>
      <c r="J252" s="156" t="str">
        <f t="shared" si="3"/>
        <v/>
      </c>
      <c r="K252" s="115" t="s">
        <v>373</v>
      </c>
    </row>
    <row r="253" spans="2:11" ht="15.75" customHeight="1" x14ac:dyDescent="0.3">
      <c r="B253" s="91"/>
      <c r="C253" s="95"/>
      <c r="D253" s="96"/>
      <c r="E253" s="96"/>
      <c r="F253" s="157"/>
      <c r="G253" s="50"/>
      <c r="H253" s="158"/>
      <c r="I253" s="159"/>
      <c r="J253" s="160" t="str">
        <f t="shared" si="3"/>
        <v/>
      </c>
      <c r="K253" s="122" t="s">
        <v>373</v>
      </c>
    </row>
    <row r="254" spans="2:11" ht="15.75" customHeight="1" x14ac:dyDescent="0.3">
      <c r="B254" s="91"/>
      <c r="C254" s="93"/>
      <c r="D254" s="92"/>
      <c r="E254" s="92"/>
      <c r="F254" s="153"/>
      <c r="G254" s="41"/>
      <c r="H254" s="154"/>
      <c r="I254" s="155"/>
      <c r="J254" s="156" t="str">
        <f t="shared" si="3"/>
        <v/>
      </c>
      <c r="K254" s="115" t="s">
        <v>373</v>
      </c>
    </row>
    <row r="255" spans="2:11" ht="15.75" customHeight="1" x14ac:dyDescent="0.3">
      <c r="B255" s="91"/>
      <c r="C255" s="95"/>
      <c r="D255" s="96"/>
      <c r="E255" s="96"/>
      <c r="F255" s="157"/>
      <c r="G255" s="50"/>
      <c r="H255" s="158"/>
      <c r="I255" s="159"/>
      <c r="J255" s="160" t="str">
        <f t="shared" si="3"/>
        <v/>
      </c>
      <c r="K255" s="122" t="s">
        <v>373</v>
      </c>
    </row>
    <row r="256" spans="2:11" ht="15.75" customHeight="1" x14ac:dyDescent="0.3">
      <c r="B256" s="91"/>
      <c r="C256" s="93"/>
      <c r="D256" s="92"/>
      <c r="E256" s="92"/>
      <c r="F256" s="153"/>
      <c r="G256" s="41"/>
      <c r="H256" s="154"/>
      <c r="I256" s="155"/>
      <c r="J256" s="156" t="str">
        <f t="shared" si="3"/>
        <v/>
      </c>
      <c r="K256" s="115" t="s">
        <v>373</v>
      </c>
    </row>
    <row r="257" spans="2:11" ht="15.75" customHeight="1" x14ac:dyDescent="0.3">
      <c r="B257" s="91"/>
      <c r="C257" s="95"/>
      <c r="D257" s="96"/>
      <c r="E257" s="96"/>
      <c r="F257" s="157"/>
      <c r="G257" s="50"/>
      <c r="H257" s="158"/>
      <c r="I257" s="159"/>
      <c r="J257" s="160" t="str">
        <f t="shared" si="3"/>
        <v/>
      </c>
      <c r="K257" s="122" t="s">
        <v>373</v>
      </c>
    </row>
    <row r="258" spans="2:11" ht="15.75" customHeight="1" x14ac:dyDescent="0.3">
      <c r="B258" s="91"/>
      <c r="C258" s="93"/>
      <c r="D258" s="92"/>
      <c r="E258" s="92"/>
      <c r="F258" s="153"/>
      <c r="G258" s="41"/>
      <c r="H258" s="154"/>
      <c r="I258" s="155"/>
      <c r="J258" s="156" t="str">
        <f t="shared" si="3"/>
        <v/>
      </c>
      <c r="K258" s="115" t="s">
        <v>373</v>
      </c>
    </row>
    <row r="259" spans="2:11" ht="15.75" customHeight="1" x14ac:dyDescent="0.3">
      <c r="B259" s="91"/>
      <c r="C259" s="95"/>
      <c r="D259" s="96"/>
      <c r="E259" s="96"/>
      <c r="F259" s="157"/>
      <c r="G259" s="50"/>
      <c r="H259" s="158"/>
      <c r="I259" s="159"/>
      <c r="J259" s="160" t="str">
        <f t="shared" si="3"/>
        <v/>
      </c>
      <c r="K259" s="122" t="s">
        <v>373</v>
      </c>
    </row>
    <row r="260" spans="2:11" ht="15.75" customHeight="1" x14ac:dyDescent="0.3">
      <c r="B260" s="91"/>
      <c r="C260" s="93"/>
      <c r="D260" s="92"/>
      <c r="E260" s="92"/>
      <c r="F260" s="153"/>
      <c r="G260" s="41"/>
      <c r="H260" s="154"/>
      <c r="I260" s="155"/>
      <c r="J260" s="156" t="str">
        <f t="shared" si="3"/>
        <v/>
      </c>
      <c r="K260" s="115" t="s">
        <v>373</v>
      </c>
    </row>
    <row r="261" spans="2:11" ht="15.75" customHeight="1" x14ac:dyDescent="0.3">
      <c r="B261" s="91"/>
      <c r="C261" s="95"/>
      <c r="D261" s="96"/>
      <c r="E261" s="96"/>
      <c r="F261" s="157"/>
      <c r="G261" s="50"/>
      <c r="H261" s="158"/>
      <c r="I261" s="159"/>
      <c r="J261" s="160" t="str">
        <f t="shared" si="3"/>
        <v/>
      </c>
      <c r="K261" s="122" t="s">
        <v>373</v>
      </c>
    </row>
    <row r="262" spans="2:11" ht="15.75" customHeight="1" x14ac:dyDescent="0.3">
      <c r="B262" s="91"/>
      <c r="C262" s="93"/>
      <c r="D262" s="92"/>
      <c r="E262" s="92"/>
      <c r="F262" s="153"/>
      <c r="G262" s="41"/>
      <c r="H262" s="154"/>
      <c r="I262" s="155"/>
      <c r="J262" s="156" t="str">
        <f t="shared" si="3"/>
        <v/>
      </c>
      <c r="K262" s="115" t="s">
        <v>373</v>
      </c>
    </row>
    <row r="263" spans="2:11" ht="15.75" customHeight="1" x14ac:dyDescent="0.3">
      <c r="B263" s="91"/>
      <c r="C263" s="95"/>
      <c r="D263" s="96"/>
      <c r="E263" s="96"/>
      <c r="F263" s="157"/>
      <c r="G263" s="50"/>
      <c r="H263" s="158"/>
      <c r="I263" s="159"/>
      <c r="J263" s="160" t="str">
        <f t="shared" si="3"/>
        <v/>
      </c>
      <c r="K263" s="122" t="s">
        <v>373</v>
      </c>
    </row>
    <row r="264" spans="2:11" ht="15.75" customHeight="1" x14ac:dyDescent="0.3">
      <c r="B264" s="91"/>
      <c r="C264" s="93"/>
      <c r="D264" s="92"/>
      <c r="E264" s="92"/>
      <c r="F264" s="153"/>
      <c r="G264" s="41"/>
      <c r="H264" s="154"/>
      <c r="I264" s="155"/>
      <c r="J264" s="156" t="str">
        <f t="shared" si="3"/>
        <v/>
      </c>
      <c r="K264" s="115" t="s">
        <v>373</v>
      </c>
    </row>
    <row r="265" spans="2:11" ht="15.75" customHeight="1" x14ac:dyDescent="0.3">
      <c r="B265" s="91"/>
      <c r="C265" s="95"/>
      <c r="D265" s="96"/>
      <c r="E265" s="96"/>
      <c r="F265" s="157"/>
      <c r="G265" s="50"/>
      <c r="H265" s="158"/>
      <c r="I265" s="159"/>
      <c r="J265" s="160" t="str">
        <f t="shared" si="3"/>
        <v/>
      </c>
      <c r="K265" s="122" t="s">
        <v>373</v>
      </c>
    </row>
    <row r="266" spans="2:11" ht="15.75" customHeight="1" x14ac:dyDescent="0.3">
      <c r="B266" s="91"/>
      <c r="C266" s="93"/>
      <c r="D266" s="92"/>
      <c r="E266" s="92"/>
      <c r="F266" s="153"/>
      <c r="G266" s="41"/>
      <c r="H266" s="154"/>
      <c r="I266" s="155"/>
      <c r="J266" s="156" t="str">
        <f t="shared" ref="J266:J309" si="4">IFERROR(IF(F266*H266=0,"",F266*H266),"")</f>
        <v/>
      </c>
      <c r="K266" s="115" t="s">
        <v>373</v>
      </c>
    </row>
    <row r="267" spans="2:11" ht="15.75" customHeight="1" x14ac:dyDescent="0.3">
      <c r="B267" s="91"/>
      <c r="C267" s="95"/>
      <c r="D267" s="96"/>
      <c r="E267" s="96"/>
      <c r="F267" s="157"/>
      <c r="G267" s="50"/>
      <c r="H267" s="158"/>
      <c r="I267" s="159"/>
      <c r="J267" s="160" t="str">
        <f t="shared" si="4"/>
        <v/>
      </c>
      <c r="K267" s="122" t="s">
        <v>373</v>
      </c>
    </row>
    <row r="268" spans="2:11" ht="15.75" customHeight="1" x14ac:dyDescent="0.3">
      <c r="B268" s="91"/>
      <c r="C268" s="93"/>
      <c r="D268" s="92"/>
      <c r="E268" s="92"/>
      <c r="F268" s="153"/>
      <c r="G268" s="41"/>
      <c r="H268" s="154"/>
      <c r="I268" s="155"/>
      <c r="J268" s="156" t="str">
        <f t="shared" si="4"/>
        <v/>
      </c>
      <c r="K268" s="115" t="s">
        <v>373</v>
      </c>
    </row>
    <row r="269" spans="2:11" ht="15.75" customHeight="1" x14ac:dyDescent="0.3">
      <c r="B269" s="91"/>
      <c r="C269" s="95"/>
      <c r="D269" s="96"/>
      <c r="E269" s="96"/>
      <c r="F269" s="157"/>
      <c r="G269" s="50"/>
      <c r="H269" s="158"/>
      <c r="I269" s="159"/>
      <c r="J269" s="160" t="str">
        <f t="shared" si="4"/>
        <v/>
      </c>
      <c r="K269" s="122" t="s">
        <v>373</v>
      </c>
    </row>
    <row r="270" spans="2:11" ht="15.75" customHeight="1" x14ac:dyDescent="0.3">
      <c r="B270" s="91"/>
      <c r="C270" s="93"/>
      <c r="D270" s="92"/>
      <c r="E270" s="92"/>
      <c r="F270" s="153"/>
      <c r="G270" s="41"/>
      <c r="H270" s="154"/>
      <c r="I270" s="155"/>
      <c r="J270" s="156" t="str">
        <f t="shared" si="4"/>
        <v/>
      </c>
      <c r="K270" s="115" t="s">
        <v>373</v>
      </c>
    </row>
    <row r="271" spans="2:11" ht="15.75" customHeight="1" x14ac:dyDescent="0.3">
      <c r="B271" s="91"/>
      <c r="C271" s="95"/>
      <c r="D271" s="96"/>
      <c r="E271" s="96"/>
      <c r="F271" s="157"/>
      <c r="G271" s="50"/>
      <c r="H271" s="158"/>
      <c r="I271" s="159"/>
      <c r="J271" s="160" t="str">
        <f t="shared" si="4"/>
        <v/>
      </c>
      <c r="K271" s="122" t="s">
        <v>373</v>
      </c>
    </row>
    <row r="272" spans="2:11" ht="15.75" customHeight="1" x14ac:dyDescent="0.3">
      <c r="B272" s="91"/>
      <c r="C272" s="93"/>
      <c r="D272" s="92"/>
      <c r="E272" s="92"/>
      <c r="F272" s="153"/>
      <c r="G272" s="41"/>
      <c r="H272" s="154"/>
      <c r="I272" s="155"/>
      <c r="J272" s="156" t="str">
        <f t="shared" si="4"/>
        <v/>
      </c>
      <c r="K272" s="115" t="s">
        <v>373</v>
      </c>
    </row>
    <row r="273" spans="2:11" ht="15.75" customHeight="1" x14ac:dyDescent="0.3">
      <c r="B273" s="91"/>
      <c r="C273" s="95"/>
      <c r="D273" s="96"/>
      <c r="E273" s="96"/>
      <c r="F273" s="157"/>
      <c r="G273" s="50"/>
      <c r="H273" s="158"/>
      <c r="I273" s="159"/>
      <c r="J273" s="160" t="str">
        <f t="shared" si="4"/>
        <v/>
      </c>
      <c r="K273" s="122" t="s">
        <v>373</v>
      </c>
    </row>
    <row r="274" spans="2:11" ht="15.75" customHeight="1" x14ac:dyDescent="0.3">
      <c r="B274" s="91"/>
      <c r="C274" s="93"/>
      <c r="D274" s="92"/>
      <c r="E274" s="92"/>
      <c r="F274" s="153"/>
      <c r="G274" s="41"/>
      <c r="H274" s="154"/>
      <c r="I274" s="155"/>
      <c r="J274" s="156" t="str">
        <f t="shared" si="4"/>
        <v/>
      </c>
      <c r="K274" s="115" t="s">
        <v>373</v>
      </c>
    </row>
    <row r="275" spans="2:11" ht="15.75" customHeight="1" x14ac:dyDescent="0.3">
      <c r="B275" s="91"/>
      <c r="C275" s="95"/>
      <c r="D275" s="96"/>
      <c r="E275" s="96"/>
      <c r="F275" s="157"/>
      <c r="G275" s="50"/>
      <c r="H275" s="158"/>
      <c r="I275" s="159"/>
      <c r="J275" s="160" t="str">
        <f t="shared" si="4"/>
        <v/>
      </c>
      <c r="K275" s="122" t="s">
        <v>373</v>
      </c>
    </row>
    <row r="276" spans="2:11" ht="15.75" customHeight="1" x14ac:dyDescent="0.3">
      <c r="B276" s="91"/>
      <c r="C276" s="93"/>
      <c r="D276" s="92"/>
      <c r="E276" s="92"/>
      <c r="F276" s="153"/>
      <c r="G276" s="41"/>
      <c r="H276" s="154"/>
      <c r="I276" s="155"/>
      <c r="J276" s="156" t="str">
        <f t="shared" si="4"/>
        <v/>
      </c>
      <c r="K276" s="115" t="s">
        <v>373</v>
      </c>
    </row>
    <row r="277" spans="2:11" ht="15.75" customHeight="1" x14ac:dyDescent="0.3">
      <c r="B277" s="91"/>
      <c r="C277" s="95"/>
      <c r="D277" s="96"/>
      <c r="E277" s="96"/>
      <c r="F277" s="157"/>
      <c r="G277" s="50"/>
      <c r="H277" s="158"/>
      <c r="I277" s="159"/>
      <c r="J277" s="160" t="str">
        <f t="shared" si="4"/>
        <v/>
      </c>
      <c r="K277" s="122" t="s">
        <v>373</v>
      </c>
    </row>
    <row r="278" spans="2:11" ht="15.75" customHeight="1" x14ac:dyDescent="0.3">
      <c r="B278" s="91"/>
      <c r="C278" s="93"/>
      <c r="D278" s="92"/>
      <c r="E278" s="92"/>
      <c r="F278" s="153"/>
      <c r="G278" s="41"/>
      <c r="H278" s="154"/>
      <c r="I278" s="155"/>
      <c r="J278" s="156" t="str">
        <f t="shared" si="4"/>
        <v/>
      </c>
      <c r="K278" s="115" t="s">
        <v>373</v>
      </c>
    </row>
    <row r="279" spans="2:11" ht="15.75" customHeight="1" x14ac:dyDescent="0.3">
      <c r="B279" s="91"/>
      <c r="C279" s="95"/>
      <c r="D279" s="96"/>
      <c r="E279" s="96"/>
      <c r="F279" s="157"/>
      <c r="G279" s="50"/>
      <c r="H279" s="158"/>
      <c r="I279" s="159"/>
      <c r="J279" s="160" t="str">
        <f t="shared" si="4"/>
        <v/>
      </c>
      <c r="K279" s="122" t="s">
        <v>373</v>
      </c>
    </row>
    <row r="280" spans="2:11" ht="15.75" customHeight="1" x14ac:dyDescent="0.3">
      <c r="B280" s="91"/>
      <c r="C280" s="93"/>
      <c r="D280" s="92"/>
      <c r="E280" s="92"/>
      <c r="F280" s="153"/>
      <c r="G280" s="41"/>
      <c r="H280" s="154"/>
      <c r="I280" s="155"/>
      <c r="J280" s="156" t="str">
        <f t="shared" si="4"/>
        <v/>
      </c>
      <c r="K280" s="115" t="s">
        <v>373</v>
      </c>
    </row>
    <row r="281" spans="2:11" ht="15.75" customHeight="1" x14ac:dyDescent="0.3">
      <c r="B281" s="91"/>
      <c r="C281" s="95"/>
      <c r="D281" s="96"/>
      <c r="E281" s="96"/>
      <c r="F281" s="157"/>
      <c r="G281" s="50"/>
      <c r="H281" s="158"/>
      <c r="I281" s="159"/>
      <c r="J281" s="160" t="str">
        <f t="shared" si="4"/>
        <v/>
      </c>
      <c r="K281" s="122" t="s">
        <v>373</v>
      </c>
    </row>
    <row r="282" spans="2:11" ht="15.75" customHeight="1" x14ac:dyDescent="0.3">
      <c r="B282" s="91"/>
      <c r="C282" s="93"/>
      <c r="D282" s="92"/>
      <c r="E282" s="92"/>
      <c r="F282" s="153"/>
      <c r="G282" s="41"/>
      <c r="H282" s="154"/>
      <c r="I282" s="155"/>
      <c r="J282" s="156" t="str">
        <f t="shared" si="4"/>
        <v/>
      </c>
      <c r="K282" s="115" t="s">
        <v>373</v>
      </c>
    </row>
    <row r="283" spans="2:11" ht="15.75" customHeight="1" x14ac:dyDescent="0.3">
      <c r="B283" s="91"/>
      <c r="C283" s="95"/>
      <c r="D283" s="96"/>
      <c r="E283" s="96"/>
      <c r="F283" s="157"/>
      <c r="G283" s="50"/>
      <c r="H283" s="158"/>
      <c r="I283" s="159"/>
      <c r="J283" s="160" t="str">
        <f t="shared" si="4"/>
        <v/>
      </c>
      <c r="K283" s="122" t="s">
        <v>373</v>
      </c>
    </row>
    <row r="284" spans="2:11" ht="15.75" customHeight="1" x14ac:dyDescent="0.3">
      <c r="B284" s="91"/>
      <c r="C284" s="93"/>
      <c r="D284" s="92"/>
      <c r="E284" s="92"/>
      <c r="F284" s="153"/>
      <c r="G284" s="41"/>
      <c r="H284" s="154"/>
      <c r="I284" s="155"/>
      <c r="J284" s="156" t="str">
        <f t="shared" si="4"/>
        <v/>
      </c>
      <c r="K284" s="115" t="s">
        <v>373</v>
      </c>
    </row>
    <row r="285" spans="2:11" ht="15.75" customHeight="1" x14ac:dyDescent="0.3">
      <c r="B285" s="91"/>
      <c r="C285" s="95"/>
      <c r="D285" s="96"/>
      <c r="E285" s="96"/>
      <c r="F285" s="157"/>
      <c r="G285" s="50"/>
      <c r="H285" s="158"/>
      <c r="I285" s="159"/>
      <c r="J285" s="160" t="str">
        <f t="shared" si="4"/>
        <v/>
      </c>
      <c r="K285" s="122" t="s">
        <v>373</v>
      </c>
    </row>
    <row r="286" spans="2:11" ht="15.75" customHeight="1" x14ac:dyDescent="0.3">
      <c r="B286" s="91"/>
      <c r="C286" s="93"/>
      <c r="D286" s="92"/>
      <c r="E286" s="92"/>
      <c r="F286" s="153"/>
      <c r="G286" s="41"/>
      <c r="H286" s="154"/>
      <c r="I286" s="155"/>
      <c r="J286" s="156" t="str">
        <f t="shared" si="4"/>
        <v/>
      </c>
      <c r="K286" s="115" t="s">
        <v>373</v>
      </c>
    </row>
    <row r="287" spans="2:11" ht="15.75" customHeight="1" x14ac:dyDescent="0.3">
      <c r="B287" s="91"/>
      <c r="C287" s="95"/>
      <c r="D287" s="96"/>
      <c r="E287" s="96"/>
      <c r="F287" s="157"/>
      <c r="G287" s="50"/>
      <c r="H287" s="158"/>
      <c r="I287" s="159"/>
      <c r="J287" s="160" t="str">
        <f t="shared" si="4"/>
        <v/>
      </c>
      <c r="K287" s="122" t="s">
        <v>373</v>
      </c>
    </row>
    <row r="288" spans="2:11" ht="15.75" customHeight="1" x14ac:dyDescent="0.3">
      <c r="B288" s="91"/>
      <c r="C288" s="93"/>
      <c r="D288" s="92"/>
      <c r="E288" s="92"/>
      <c r="F288" s="153"/>
      <c r="G288" s="41"/>
      <c r="H288" s="154"/>
      <c r="I288" s="155"/>
      <c r="J288" s="156" t="str">
        <f t="shared" si="4"/>
        <v/>
      </c>
      <c r="K288" s="115" t="s">
        <v>373</v>
      </c>
    </row>
    <row r="289" spans="2:11" ht="15.75" customHeight="1" x14ac:dyDescent="0.3">
      <c r="B289" s="91"/>
      <c r="C289" s="95"/>
      <c r="D289" s="96"/>
      <c r="E289" s="96"/>
      <c r="F289" s="157"/>
      <c r="G289" s="50"/>
      <c r="H289" s="158"/>
      <c r="I289" s="159"/>
      <c r="J289" s="160" t="str">
        <f t="shared" si="4"/>
        <v/>
      </c>
      <c r="K289" s="122" t="s">
        <v>373</v>
      </c>
    </row>
    <row r="290" spans="2:11" ht="15.75" customHeight="1" x14ac:dyDescent="0.3">
      <c r="B290" s="91"/>
      <c r="C290" s="93"/>
      <c r="D290" s="92"/>
      <c r="E290" s="92"/>
      <c r="F290" s="153"/>
      <c r="G290" s="41"/>
      <c r="H290" s="154"/>
      <c r="I290" s="155"/>
      <c r="J290" s="156" t="str">
        <f t="shared" si="4"/>
        <v/>
      </c>
      <c r="K290" s="115" t="s">
        <v>373</v>
      </c>
    </row>
    <row r="291" spans="2:11" ht="15.75" customHeight="1" x14ac:dyDescent="0.3">
      <c r="B291" s="91"/>
      <c r="C291" s="95"/>
      <c r="D291" s="96"/>
      <c r="E291" s="96"/>
      <c r="F291" s="157"/>
      <c r="G291" s="50"/>
      <c r="H291" s="158"/>
      <c r="I291" s="159"/>
      <c r="J291" s="160" t="str">
        <f t="shared" si="4"/>
        <v/>
      </c>
      <c r="K291" s="122" t="s">
        <v>373</v>
      </c>
    </row>
    <row r="292" spans="2:11" ht="15.75" customHeight="1" x14ac:dyDescent="0.3">
      <c r="B292" s="91"/>
      <c r="C292" s="93"/>
      <c r="D292" s="92"/>
      <c r="E292" s="92"/>
      <c r="F292" s="153"/>
      <c r="G292" s="41"/>
      <c r="H292" s="154"/>
      <c r="I292" s="155"/>
      <c r="J292" s="156" t="str">
        <f t="shared" si="4"/>
        <v/>
      </c>
      <c r="K292" s="115" t="s">
        <v>373</v>
      </c>
    </row>
    <row r="293" spans="2:11" ht="15.75" customHeight="1" x14ac:dyDescent="0.3">
      <c r="B293" s="91"/>
      <c r="C293" s="95"/>
      <c r="D293" s="96"/>
      <c r="E293" s="96"/>
      <c r="F293" s="157"/>
      <c r="G293" s="50"/>
      <c r="H293" s="158"/>
      <c r="I293" s="159"/>
      <c r="J293" s="160" t="str">
        <f t="shared" si="4"/>
        <v/>
      </c>
      <c r="K293" s="122" t="s">
        <v>373</v>
      </c>
    </row>
    <row r="294" spans="2:11" ht="15.75" customHeight="1" x14ac:dyDescent="0.3">
      <c r="B294" s="91"/>
      <c r="C294" s="93"/>
      <c r="D294" s="92"/>
      <c r="E294" s="92"/>
      <c r="F294" s="153"/>
      <c r="G294" s="41"/>
      <c r="H294" s="154"/>
      <c r="I294" s="155"/>
      <c r="J294" s="156" t="str">
        <f t="shared" si="4"/>
        <v/>
      </c>
      <c r="K294" s="115" t="s">
        <v>373</v>
      </c>
    </row>
    <row r="295" spans="2:11" ht="15.75" customHeight="1" x14ac:dyDescent="0.3">
      <c r="B295" s="91"/>
      <c r="C295" s="95"/>
      <c r="D295" s="96"/>
      <c r="E295" s="96"/>
      <c r="F295" s="157"/>
      <c r="G295" s="50"/>
      <c r="H295" s="158"/>
      <c r="I295" s="159"/>
      <c r="J295" s="160" t="str">
        <f t="shared" si="4"/>
        <v/>
      </c>
      <c r="K295" s="122" t="s">
        <v>373</v>
      </c>
    </row>
    <row r="296" spans="2:11" ht="15.75" customHeight="1" x14ac:dyDescent="0.3">
      <c r="B296" s="91"/>
      <c r="C296" s="93"/>
      <c r="D296" s="92"/>
      <c r="E296" s="92"/>
      <c r="F296" s="153"/>
      <c r="G296" s="41"/>
      <c r="H296" s="154"/>
      <c r="I296" s="155"/>
      <c r="J296" s="156" t="str">
        <f t="shared" si="4"/>
        <v/>
      </c>
      <c r="K296" s="115" t="s">
        <v>373</v>
      </c>
    </row>
    <row r="297" spans="2:11" ht="15.75" customHeight="1" x14ac:dyDescent="0.3">
      <c r="B297" s="91"/>
      <c r="C297" s="95"/>
      <c r="D297" s="96"/>
      <c r="E297" s="96"/>
      <c r="F297" s="157"/>
      <c r="G297" s="50"/>
      <c r="H297" s="158"/>
      <c r="I297" s="159"/>
      <c r="J297" s="160" t="str">
        <f t="shared" si="4"/>
        <v/>
      </c>
      <c r="K297" s="122" t="s">
        <v>373</v>
      </c>
    </row>
    <row r="298" spans="2:11" ht="15.75" customHeight="1" x14ac:dyDescent="0.3">
      <c r="B298" s="91"/>
      <c r="C298" s="93"/>
      <c r="D298" s="92"/>
      <c r="E298" s="92"/>
      <c r="F298" s="153"/>
      <c r="G298" s="41"/>
      <c r="H298" s="154"/>
      <c r="I298" s="155"/>
      <c r="J298" s="156" t="str">
        <f t="shared" si="4"/>
        <v/>
      </c>
      <c r="K298" s="115" t="s">
        <v>373</v>
      </c>
    </row>
    <row r="299" spans="2:11" ht="15.75" customHeight="1" x14ac:dyDescent="0.3">
      <c r="B299" s="91"/>
      <c r="C299" s="95"/>
      <c r="D299" s="96"/>
      <c r="E299" s="96"/>
      <c r="F299" s="157"/>
      <c r="G299" s="50"/>
      <c r="H299" s="158"/>
      <c r="I299" s="159"/>
      <c r="J299" s="160" t="str">
        <f t="shared" si="4"/>
        <v/>
      </c>
      <c r="K299" s="122" t="s">
        <v>373</v>
      </c>
    </row>
    <row r="300" spans="2:11" ht="15.75" customHeight="1" x14ac:dyDescent="0.3">
      <c r="B300" s="91"/>
      <c r="C300" s="93"/>
      <c r="D300" s="92"/>
      <c r="E300" s="92"/>
      <c r="F300" s="153"/>
      <c r="G300" s="41"/>
      <c r="H300" s="154"/>
      <c r="I300" s="155"/>
      <c r="J300" s="156" t="str">
        <f t="shared" si="4"/>
        <v/>
      </c>
      <c r="K300" s="115" t="s">
        <v>373</v>
      </c>
    </row>
    <row r="301" spans="2:11" ht="15.75" customHeight="1" x14ac:dyDescent="0.3">
      <c r="B301" s="91"/>
      <c r="C301" s="95"/>
      <c r="D301" s="96"/>
      <c r="E301" s="96"/>
      <c r="F301" s="157"/>
      <c r="G301" s="50"/>
      <c r="H301" s="158"/>
      <c r="I301" s="159"/>
      <c r="J301" s="160" t="str">
        <f t="shared" si="4"/>
        <v/>
      </c>
      <c r="K301" s="122" t="s">
        <v>373</v>
      </c>
    </row>
    <row r="302" spans="2:11" ht="15.75" customHeight="1" x14ac:dyDescent="0.3">
      <c r="B302" s="91"/>
      <c r="C302" s="93"/>
      <c r="D302" s="92"/>
      <c r="E302" s="92"/>
      <c r="F302" s="153"/>
      <c r="G302" s="41"/>
      <c r="H302" s="154"/>
      <c r="I302" s="155"/>
      <c r="J302" s="156" t="str">
        <f t="shared" si="4"/>
        <v/>
      </c>
      <c r="K302" s="115" t="s">
        <v>373</v>
      </c>
    </row>
    <row r="303" spans="2:11" ht="15.75" customHeight="1" x14ac:dyDescent="0.3">
      <c r="B303" s="91"/>
      <c r="C303" s="95"/>
      <c r="D303" s="96"/>
      <c r="E303" s="96"/>
      <c r="F303" s="157"/>
      <c r="G303" s="50"/>
      <c r="H303" s="158"/>
      <c r="I303" s="159"/>
      <c r="J303" s="160" t="str">
        <f t="shared" si="4"/>
        <v/>
      </c>
      <c r="K303" s="122" t="s">
        <v>373</v>
      </c>
    </row>
    <row r="304" spans="2:11" ht="15.75" customHeight="1" x14ac:dyDescent="0.3">
      <c r="B304" s="91"/>
      <c r="C304" s="93"/>
      <c r="D304" s="92"/>
      <c r="E304" s="92"/>
      <c r="F304" s="153"/>
      <c r="G304" s="41"/>
      <c r="H304" s="154"/>
      <c r="I304" s="155"/>
      <c r="J304" s="156" t="str">
        <f t="shared" si="4"/>
        <v/>
      </c>
      <c r="K304" s="115" t="s">
        <v>373</v>
      </c>
    </row>
    <row r="305" spans="2:11" ht="15.75" customHeight="1" x14ac:dyDescent="0.3">
      <c r="B305" s="91"/>
      <c r="C305" s="95"/>
      <c r="D305" s="96"/>
      <c r="E305" s="96"/>
      <c r="F305" s="157"/>
      <c r="G305" s="50"/>
      <c r="H305" s="158"/>
      <c r="I305" s="159"/>
      <c r="J305" s="160" t="str">
        <f t="shared" si="4"/>
        <v/>
      </c>
      <c r="K305" s="122" t="s">
        <v>373</v>
      </c>
    </row>
    <row r="306" spans="2:11" ht="15.75" customHeight="1" x14ac:dyDescent="0.3">
      <c r="B306" s="91"/>
      <c r="C306" s="93"/>
      <c r="D306" s="92"/>
      <c r="E306" s="92"/>
      <c r="F306" s="153"/>
      <c r="G306" s="41"/>
      <c r="H306" s="154"/>
      <c r="I306" s="155"/>
      <c r="J306" s="156" t="str">
        <f t="shared" si="4"/>
        <v/>
      </c>
      <c r="K306" s="115" t="s">
        <v>373</v>
      </c>
    </row>
    <row r="307" spans="2:11" ht="15.75" customHeight="1" x14ac:dyDescent="0.3">
      <c r="B307" s="91"/>
      <c r="C307" s="95"/>
      <c r="D307" s="96"/>
      <c r="E307" s="96"/>
      <c r="F307" s="157"/>
      <c r="G307" s="50"/>
      <c r="H307" s="158"/>
      <c r="I307" s="159"/>
      <c r="J307" s="160" t="str">
        <f t="shared" si="4"/>
        <v/>
      </c>
      <c r="K307" s="122" t="s">
        <v>373</v>
      </c>
    </row>
    <row r="308" spans="2:11" ht="15.75" customHeight="1" x14ac:dyDescent="0.3">
      <c r="B308" s="91"/>
      <c r="C308" s="93"/>
      <c r="D308" s="92"/>
      <c r="E308" s="92"/>
      <c r="F308" s="153"/>
      <c r="G308" s="41"/>
      <c r="H308" s="154"/>
      <c r="I308" s="155"/>
      <c r="J308" s="156" t="str">
        <f t="shared" si="4"/>
        <v/>
      </c>
      <c r="K308" s="115" t="s">
        <v>373</v>
      </c>
    </row>
    <row r="309" spans="2:11" ht="15.75" customHeight="1" x14ac:dyDescent="0.3">
      <c r="B309" s="91"/>
      <c r="C309" s="95"/>
      <c r="D309" s="96"/>
      <c r="E309" s="96"/>
      <c r="F309" s="157"/>
      <c r="G309" s="50"/>
      <c r="H309" s="158"/>
      <c r="I309" s="159"/>
      <c r="J309" s="160" t="str">
        <f t="shared" si="4"/>
        <v/>
      </c>
      <c r="K309" s="122" t="s">
        <v>373</v>
      </c>
    </row>
  </sheetData>
  <mergeCells count="4">
    <mergeCell ref="A2:E2"/>
    <mergeCell ref="F2:K2"/>
    <mergeCell ref="A3:K3"/>
    <mergeCell ref="B8:K8"/>
  </mergeCells>
  <conditionalFormatting sqref="K10:K308">
    <cfRule type="expression" dxfId="3" priority="2">
      <formula>K10="Received"</formula>
    </cfRule>
    <cfRule type="expression" dxfId="2" priority="3">
      <formula>K10="Pending"</formula>
    </cfRule>
    <cfRule type="expression" dxfId="1" priority="4">
      <formula>K10="Cancelled"</formula>
    </cfRule>
    <cfRule type="expression" dxfId="0" priority="5">
      <formula>K10="In Transit"</formula>
    </cfRule>
  </conditionalFormatting>
  <dataValidations count="2">
    <dataValidation type="list" showInputMessage="1" showErrorMessage="1" sqref="E10:E308" xr:uid="{00000000-0002-0000-0600-000000000000}">
      <formula1>"Proteins,Produce,Dairy,Grains,Bakery,Beverages,Dry Goods,Sauces,Supplies,Other"</formula1>
      <formula2>0</formula2>
    </dataValidation>
    <dataValidation type="list" showInputMessage="1" showErrorMessage="1" sqref="K10:K308" xr:uid="{00000000-0002-0000-0600-000001000000}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paperSize="9"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A1B9A"/>
  </sheetPr>
  <dimension ref="A1:I59"/>
  <sheetViews>
    <sheetView showGridLines="0" zoomScaleNormal="100" workbookViewId="0"/>
  </sheetViews>
  <sheetFormatPr defaultColWidth="8.6640625" defaultRowHeight="14.4" customHeight="1" x14ac:dyDescent="0.3"/>
  <cols>
    <col min="1" max="1" width="4" customWidth="1"/>
    <col min="2" max="2" width="30" customWidth="1"/>
    <col min="3" max="8" width="16" customWidth="1"/>
    <col min="9" max="9" width="18" customWidth="1"/>
  </cols>
  <sheetData>
    <row r="1" spans="1:9" ht="4.5" customHeight="1" x14ac:dyDescent="0.3">
      <c r="A1" s="32"/>
      <c r="B1" s="32"/>
      <c r="C1" s="32"/>
      <c r="D1" s="32"/>
      <c r="E1" s="32"/>
      <c r="F1" s="32"/>
      <c r="G1" s="32"/>
      <c r="H1" s="32"/>
      <c r="I1" s="32"/>
    </row>
    <row r="2" spans="1:9" ht="37.5" customHeight="1" x14ac:dyDescent="0.3">
      <c r="A2" s="182" t="s">
        <v>374</v>
      </c>
      <c r="B2" s="183"/>
      <c r="C2" s="183"/>
      <c r="D2" s="183"/>
      <c r="E2" s="184" t="s">
        <v>375</v>
      </c>
      <c r="F2" s="183"/>
      <c r="G2" s="183"/>
      <c r="H2" s="183"/>
      <c r="I2" s="183"/>
    </row>
    <row r="3" spans="1:9" ht="3.75" customHeight="1" x14ac:dyDescent="0.3">
      <c r="A3" s="185"/>
      <c r="B3" s="183"/>
      <c r="C3" s="183"/>
      <c r="D3" s="183"/>
      <c r="E3" s="183"/>
      <c r="F3" s="183"/>
      <c r="G3" s="183"/>
      <c r="H3" s="183"/>
      <c r="I3" s="183"/>
    </row>
    <row r="4" spans="1:9" ht="7.5" customHeight="1" x14ac:dyDescent="0.3"/>
    <row r="5" spans="1:9" ht="9.75" customHeight="1" x14ac:dyDescent="0.3"/>
    <row r="6" spans="1:9" ht="21.75" customHeight="1" x14ac:dyDescent="0.3">
      <c r="B6" s="161" t="s">
        <v>376</v>
      </c>
      <c r="C6" s="162">
        <v>2025</v>
      </c>
    </row>
    <row r="7" spans="1:9" ht="7.5" customHeight="1" x14ac:dyDescent="0.3">
      <c r="C7">
        <v>2026</v>
      </c>
    </row>
    <row r="8" spans="1:9" ht="27.75" customHeight="1" x14ac:dyDescent="0.3">
      <c r="B8" s="33" t="s">
        <v>377</v>
      </c>
      <c r="C8" s="33" t="s">
        <v>378</v>
      </c>
      <c r="D8" s="33" t="s">
        <v>379</v>
      </c>
      <c r="E8" s="33" t="s">
        <v>380</v>
      </c>
      <c r="F8" s="33" t="s">
        <v>381</v>
      </c>
      <c r="G8" s="33" t="s">
        <v>382</v>
      </c>
      <c r="H8" s="33" t="s">
        <v>383</v>
      </c>
      <c r="I8" s="33" t="s">
        <v>384</v>
      </c>
    </row>
    <row r="9" spans="1:9" ht="19.5" customHeight="1" x14ac:dyDescent="0.3">
      <c r="B9" s="193" t="s">
        <v>385</v>
      </c>
      <c r="C9" s="187"/>
      <c r="D9" s="187"/>
      <c r="E9" s="187"/>
      <c r="F9" s="187"/>
      <c r="G9" s="187"/>
      <c r="H9" s="187"/>
      <c r="I9" s="187"/>
    </row>
    <row r="10" spans="1:9" ht="18" customHeight="1" x14ac:dyDescent="0.3">
      <c r="B10" s="163" t="s">
        <v>386</v>
      </c>
      <c r="C10" s="120">
        <v>0</v>
      </c>
      <c r="D10" s="120">
        <v>0</v>
      </c>
      <c r="E10" s="120">
        <v>0</v>
      </c>
      <c r="F10" s="120">
        <v>0</v>
      </c>
      <c r="G10" s="120">
        <v>0</v>
      </c>
      <c r="H10" s="120">
        <v>0</v>
      </c>
      <c r="I10" s="144">
        <f>SUM(C10:H10)</f>
        <v>0</v>
      </c>
    </row>
    <row r="11" spans="1:9" ht="19.5" customHeight="1" x14ac:dyDescent="0.3">
      <c r="B11" s="193" t="s">
        <v>387</v>
      </c>
      <c r="C11" s="187"/>
      <c r="D11" s="187"/>
      <c r="E11" s="187"/>
      <c r="F11" s="187"/>
      <c r="G11" s="187"/>
      <c r="H11" s="187"/>
      <c r="I11" s="187"/>
    </row>
    <row r="12" spans="1:9" ht="18" customHeight="1" x14ac:dyDescent="0.3">
      <c r="B12" s="164" t="s">
        <v>388</v>
      </c>
      <c r="C12" s="120">
        <v>0</v>
      </c>
      <c r="D12" s="120">
        <v>0</v>
      </c>
      <c r="E12" s="120">
        <v>0</v>
      </c>
      <c r="F12" s="120">
        <v>0</v>
      </c>
      <c r="G12" s="120">
        <v>0</v>
      </c>
      <c r="H12" s="120">
        <v>0</v>
      </c>
      <c r="I12" s="165">
        <f>SUM(C12:H12)</f>
        <v>0</v>
      </c>
    </row>
    <row r="13" spans="1:9" ht="18" customHeight="1" x14ac:dyDescent="0.3">
      <c r="B13" s="166" t="s">
        <v>389</v>
      </c>
      <c r="C13" s="113">
        <v>0</v>
      </c>
      <c r="D13" s="113">
        <v>0</v>
      </c>
      <c r="E13" s="113">
        <v>0</v>
      </c>
      <c r="F13" s="113">
        <v>0</v>
      </c>
      <c r="G13" s="113">
        <v>0</v>
      </c>
      <c r="H13" s="113">
        <v>0</v>
      </c>
      <c r="I13" s="167">
        <f>SUM(C13:H13)</f>
        <v>0</v>
      </c>
    </row>
    <row r="14" spans="1:9" ht="18" customHeight="1" x14ac:dyDescent="0.3">
      <c r="B14" s="168" t="s">
        <v>390</v>
      </c>
      <c r="C14" s="142">
        <f t="shared" ref="C14:H14" si="0">C12+C13</f>
        <v>0</v>
      </c>
      <c r="D14" s="142">
        <f t="shared" si="0"/>
        <v>0</v>
      </c>
      <c r="E14" s="142">
        <f t="shared" si="0"/>
        <v>0</v>
      </c>
      <c r="F14" s="142">
        <f t="shared" si="0"/>
        <v>0</v>
      </c>
      <c r="G14" s="142">
        <f t="shared" si="0"/>
        <v>0</v>
      </c>
      <c r="H14" s="142">
        <f t="shared" si="0"/>
        <v>0</v>
      </c>
      <c r="I14" s="142">
        <f>SUM(C14:H14)</f>
        <v>0</v>
      </c>
    </row>
    <row r="15" spans="1:9" ht="18" customHeight="1" x14ac:dyDescent="0.3">
      <c r="B15" s="169" t="s">
        <v>391</v>
      </c>
      <c r="C15" s="140">
        <f t="shared" ref="C15:H15" si="1">C10-C14</f>
        <v>0</v>
      </c>
      <c r="D15" s="140">
        <f t="shared" si="1"/>
        <v>0</v>
      </c>
      <c r="E15" s="140">
        <f t="shared" si="1"/>
        <v>0</v>
      </c>
      <c r="F15" s="140">
        <f t="shared" si="1"/>
        <v>0</v>
      </c>
      <c r="G15" s="140">
        <f t="shared" si="1"/>
        <v>0</v>
      </c>
      <c r="H15" s="140">
        <f t="shared" si="1"/>
        <v>0</v>
      </c>
      <c r="I15" s="140">
        <f>SUM(C15:H15)</f>
        <v>0</v>
      </c>
    </row>
    <row r="16" spans="1:9" ht="18" customHeight="1" x14ac:dyDescent="0.3">
      <c r="B16" s="170" t="s">
        <v>392</v>
      </c>
      <c r="C16" s="171">
        <f t="shared" ref="C16:H16" si="2">IFERROR(C15/C10,0)</f>
        <v>0</v>
      </c>
      <c r="D16" s="171">
        <f t="shared" si="2"/>
        <v>0</v>
      </c>
      <c r="E16" s="171">
        <f t="shared" si="2"/>
        <v>0</v>
      </c>
      <c r="F16" s="171">
        <f t="shared" si="2"/>
        <v>0</v>
      </c>
      <c r="G16" s="171">
        <f t="shared" si="2"/>
        <v>0</v>
      </c>
      <c r="H16" s="171">
        <f t="shared" si="2"/>
        <v>0</v>
      </c>
      <c r="I16" s="171">
        <f>IFERROR(AVERAGE(C16:H16),0)</f>
        <v>0</v>
      </c>
    </row>
    <row r="17" spans="2:9" ht="19.5" customHeight="1" x14ac:dyDescent="0.3">
      <c r="B17" s="193" t="s">
        <v>393</v>
      </c>
      <c r="C17" s="187"/>
      <c r="D17" s="187"/>
      <c r="E17" s="187"/>
      <c r="F17" s="187"/>
      <c r="G17" s="187"/>
      <c r="H17" s="187"/>
      <c r="I17" s="187"/>
    </row>
    <row r="18" spans="2:9" ht="18" customHeight="1" x14ac:dyDescent="0.3">
      <c r="B18" s="164" t="s">
        <v>394</v>
      </c>
      <c r="C18" s="120">
        <v>0</v>
      </c>
      <c r="D18" s="120">
        <v>0</v>
      </c>
      <c r="E18" s="120">
        <v>0</v>
      </c>
      <c r="F18" s="120">
        <v>0</v>
      </c>
      <c r="G18" s="120">
        <v>0</v>
      </c>
      <c r="H18" s="120">
        <v>0</v>
      </c>
      <c r="I18" s="165">
        <f t="shared" ref="I18:I24" si="3">SUM(C18:H18)</f>
        <v>0</v>
      </c>
    </row>
    <row r="19" spans="2:9" ht="18" customHeight="1" x14ac:dyDescent="0.3">
      <c r="B19" s="166" t="s">
        <v>395</v>
      </c>
      <c r="C19" s="113">
        <v>0</v>
      </c>
      <c r="D19" s="113">
        <v>0</v>
      </c>
      <c r="E19" s="113">
        <v>0</v>
      </c>
      <c r="F19" s="113">
        <v>0</v>
      </c>
      <c r="G19" s="113">
        <v>0</v>
      </c>
      <c r="H19" s="113">
        <v>0</v>
      </c>
      <c r="I19" s="167">
        <f t="shared" si="3"/>
        <v>0</v>
      </c>
    </row>
    <row r="20" spans="2:9" ht="18" customHeight="1" x14ac:dyDescent="0.3">
      <c r="B20" s="164" t="s">
        <v>396</v>
      </c>
      <c r="C20" s="120">
        <v>0</v>
      </c>
      <c r="D20" s="120">
        <v>0</v>
      </c>
      <c r="E20" s="120">
        <v>0</v>
      </c>
      <c r="F20" s="120">
        <v>0</v>
      </c>
      <c r="G20" s="120">
        <v>0</v>
      </c>
      <c r="H20" s="120">
        <v>0</v>
      </c>
      <c r="I20" s="165">
        <f t="shared" si="3"/>
        <v>0</v>
      </c>
    </row>
    <row r="21" spans="2:9" ht="18" customHeight="1" x14ac:dyDescent="0.3">
      <c r="B21" s="166" t="s">
        <v>397</v>
      </c>
      <c r="C21" s="113">
        <v>0</v>
      </c>
      <c r="D21" s="113">
        <v>0</v>
      </c>
      <c r="E21" s="113">
        <v>0</v>
      </c>
      <c r="F21" s="113">
        <v>0</v>
      </c>
      <c r="G21" s="113">
        <v>0</v>
      </c>
      <c r="H21" s="113">
        <v>0</v>
      </c>
      <c r="I21" s="167">
        <f t="shared" si="3"/>
        <v>0</v>
      </c>
    </row>
    <row r="22" spans="2:9" ht="18" customHeight="1" x14ac:dyDescent="0.3">
      <c r="B22" s="164" t="s">
        <v>398</v>
      </c>
      <c r="C22" s="120">
        <v>0</v>
      </c>
      <c r="D22" s="120">
        <v>0</v>
      </c>
      <c r="E22" s="120">
        <v>0</v>
      </c>
      <c r="F22" s="120">
        <v>0</v>
      </c>
      <c r="G22" s="120">
        <v>0</v>
      </c>
      <c r="H22" s="120">
        <v>0</v>
      </c>
      <c r="I22" s="165">
        <f t="shared" si="3"/>
        <v>0</v>
      </c>
    </row>
    <row r="23" spans="2:9" ht="18" customHeight="1" x14ac:dyDescent="0.3">
      <c r="B23" s="168" t="s">
        <v>399</v>
      </c>
      <c r="C23" s="142">
        <f t="shared" ref="C23:H23" si="4">SUM(C18:C22)</f>
        <v>0</v>
      </c>
      <c r="D23" s="142">
        <f t="shared" si="4"/>
        <v>0</v>
      </c>
      <c r="E23" s="142">
        <f t="shared" si="4"/>
        <v>0</v>
      </c>
      <c r="F23" s="142">
        <f t="shared" si="4"/>
        <v>0</v>
      </c>
      <c r="G23" s="142">
        <f t="shared" si="4"/>
        <v>0</v>
      </c>
      <c r="H23" s="142">
        <f t="shared" si="4"/>
        <v>0</v>
      </c>
      <c r="I23" s="142">
        <f t="shared" si="3"/>
        <v>0</v>
      </c>
    </row>
    <row r="24" spans="2:9" ht="18" customHeight="1" x14ac:dyDescent="0.3">
      <c r="B24" s="172" t="s">
        <v>400</v>
      </c>
      <c r="C24" s="173">
        <f t="shared" ref="C24:H24" si="5">C15-C23</f>
        <v>0</v>
      </c>
      <c r="D24" s="173">
        <f t="shared" si="5"/>
        <v>0</v>
      </c>
      <c r="E24" s="173">
        <f t="shared" si="5"/>
        <v>0</v>
      </c>
      <c r="F24" s="173">
        <f t="shared" si="5"/>
        <v>0</v>
      </c>
      <c r="G24" s="173">
        <f t="shared" si="5"/>
        <v>0</v>
      </c>
      <c r="H24" s="173">
        <f t="shared" si="5"/>
        <v>0</v>
      </c>
      <c r="I24" s="173">
        <f t="shared" si="3"/>
        <v>0</v>
      </c>
    </row>
    <row r="25" spans="2:9" ht="18" customHeight="1" x14ac:dyDescent="0.3">
      <c r="B25" s="174" t="s">
        <v>401</v>
      </c>
      <c r="C25" s="175">
        <f t="shared" ref="C25:H25" si="6">IFERROR(C24/C10,0)</f>
        <v>0</v>
      </c>
      <c r="D25" s="175">
        <f t="shared" si="6"/>
        <v>0</v>
      </c>
      <c r="E25" s="175">
        <f t="shared" si="6"/>
        <v>0</v>
      </c>
      <c r="F25" s="175">
        <f t="shared" si="6"/>
        <v>0</v>
      </c>
      <c r="G25" s="175">
        <f t="shared" si="6"/>
        <v>0</v>
      </c>
      <c r="H25" s="175">
        <f t="shared" si="6"/>
        <v>0</v>
      </c>
      <c r="I25" s="175">
        <f>IFERROR(AVERAGE(C25:H25),0)</f>
        <v>0</v>
      </c>
    </row>
    <row r="26" spans="2:9" ht="18" customHeight="1" x14ac:dyDescent="0.3">
      <c r="B26" s="164" t="s">
        <v>402</v>
      </c>
      <c r="C26" s="120">
        <v>0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65">
        <f>SUM(C26:H26)</f>
        <v>0</v>
      </c>
    </row>
    <row r="27" spans="2:9" ht="18" customHeight="1" x14ac:dyDescent="0.3">
      <c r="B27" s="166" t="s">
        <v>403</v>
      </c>
      <c r="C27" s="113">
        <v>0</v>
      </c>
      <c r="D27" s="113">
        <v>0</v>
      </c>
      <c r="E27" s="113">
        <v>0</v>
      </c>
      <c r="F27" s="113">
        <v>0</v>
      </c>
      <c r="G27" s="113">
        <v>0</v>
      </c>
      <c r="H27" s="113">
        <v>0</v>
      </c>
      <c r="I27" s="167">
        <f>SUM(C27:H27)</f>
        <v>0</v>
      </c>
    </row>
    <row r="28" spans="2:9" ht="18" customHeight="1" x14ac:dyDescent="0.3">
      <c r="B28" s="169" t="s">
        <v>404</v>
      </c>
      <c r="C28" s="140">
        <f t="shared" ref="C28:H28" si="7">C24-C26-C27</f>
        <v>0</v>
      </c>
      <c r="D28" s="140">
        <f t="shared" si="7"/>
        <v>0</v>
      </c>
      <c r="E28" s="140">
        <f t="shared" si="7"/>
        <v>0</v>
      </c>
      <c r="F28" s="140">
        <f t="shared" si="7"/>
        <v>0</v>
      </c>
      <c r="G28" s="140">
        <f t="shared" si="7"/>
        <v>0</v>
      </c>
      <c r="H28" s="140">
        <f t="shared" si="7"/>
        <v>0</v>
      </c>
      <c r="I28" s="140">
        <f>SUM(C28:H28)</f>
        <v>0</v>
      </c>
    </row>
    <row r="29" spans="2:9" ht="18" customHeight="1" x14ac:dyDescent="0.3">
      <c r="B29" s="170" t="s">
        <v>405</v>
      </c>
      <c r="C29" s="171">
        <f t="shared" ref="C29:H29" si="8">IFERROR(C28/C10,0)</f>
        <v>0</v>
      </c>
      <c r="D29" s="171">
        <f t="shared" si="8"/>
        <v>0</v>
      </c>
      <c r="E29" s="171">
        <f t="shared" si="8"/>
        <v>0</v>
      </c>
      <c r="F29" s="171">
        <f t="shared" si="8"/>
        <v>0</v>
      </c>
      <c r="G29" s="171">
        <f t="shared" si="8"/>
        <v>0</v>
      </c>
      <c r="H29" s="171">
        <f t="shared" si="8"/>
        <v>0</v>
      </c>
      <c r="I29" s="171">
        <f>IFERROR(AVERAGE(C29:H29),0)</f>
        <v>0</v>
      </c>
    </row>
    <row r="30" spans="2:9" ht="19.5" customHeight="1" x14ac:dyDescent="0.3">
      <c r="B30" s="193" t="s">
        <v>406</v>
      </c>
      <c r="C30" s="187"/>
      <c r="D30" s="187"/>
      <c r="E30" s="187"/>
      <c r="F30" s="187"/>
      <c r="G30" s="187"/>
      <c r="H30" s="187"/>
      <c r="I30" s="187"/>
    </row>
    <row r="31" spans="2:9" ht="18" customHeight="1" x14ac:dyDescent="0.3">
      <c r="B31" s="137" t="s">
        <v>407</v>
      </c>
      <c r="C31" s="139">
        <v>0</v>
      </c>
      <c r="D31" s="139">
        <v>0</v>
      </c>
      <c r="E31" s="139">
        <v>0</v>
      </c>
      <c r="F31" s="139">
        <v>0</v>
      </c>
      <c r="G31" s="139">
        <v>0</v>
      </c>
      <c r="H31" s="139">
        <v>0</v>
      </c>
      <c r="I31" s="176">
        <f>SUM(C31:H31)</f>
        <v>0</v>
      </c>
    </row>
    <row r="32" spans="2:9" ht="18" customHeight="1" x14ac:dyDescent="0.3">
      <c r="B32" s="143" t="s">
        <v>408</v>
      </c>
      <c r="C32" s="177">
        <f t="shared" ref="C32:H32" si="9">IFERROR(C10/C31,0)</f>
        <v>0</v>
      </c>
      <c r="D32" s="177">
        <f t="shared" si="9"/>
        <v>0</v>
      </c>
      <c r="E32" s="177">
        <f t="shared" si="9"/>
        <v>0</v>
      </c>
      <c r="F32" s="177">
        <f t="shared" si="9"/>
        <v>0</v>
      </c>
      <c r="G32" s="177">
        <f t="shared" si="9"/>
        <v>0</v>
      </c>
      <c r="H32" s="177">
        <f t="shared" si="9"/>
        <v>0</v>
      </c>
      <c r="I32" s="177">
        <f>IFERROR(AVERAGE(C32:H32),0)</f>
        <v>0</v>
      </c>
    </row>
    <row r="33" spans="2:9" ht="18" customHeight="1" x14ac:dyDescent="0.3">
      <c r="B33" s="137" t="s">
        <v>409</v>
      </c>
      <c r="C33" s="139">
        <v>0</v>
      </c>
      <c r="D33" s="139">
        <v>0</v>
      </c>
      <c r="E33" s="139">
        <v>0</v>
      </c>
      <c r="F33" s="139">
        <v>0</v>
      </c>
      <c r="G33" s="139">
        <v>0</v>
      </c>
      <c r="H33" s="139">
        <v>0</v>
      </c>
      <c r="I33" s="176">
        <f>SUM(C33:H33)</f>
        <v>0</v>
      </c>
    </row>
    <row r="34" spans="2:9" ht="18" customHeight="1" x14ac:dyDescent="0.3">
      <c r="B34" s="143" t="s">
        <v>410</v>
      </c>
      <c r="C34" s="177">
        <f t="shared" ref="C34:H34" si="10">IFERROR(C10/C33,0)</f>
        <v>0</v>
      </c>
      <c r="D34" s="177">
        <f t="shared" si="10"/>
        <v>0</v>
      </c>
      <c r="E34" s="177">
        <f t="shared" si="10"/>
        <v>0</v>
      </c>
      <c r="F34" s="177">
        <f t="shared" si="10"/>
        <v>0</v>
      </c>
      <c r="G34" s="177">
        <f t="shared" si="10"/>
        <v>0</v>
      </c>
      <c r="H34" s="177">
        <f t="shared" si="10"/>
        <v>0</v>
      </c>
      <c r="I34" s="177">
        <f>IFERROR(AVERAGE(C34:H34),0)</f>
        <v>0</v>
      </c>
    </row>
    <row r="35" spans="2:9" ht="7.5" customHeight="1" x14ac:dyDescent="0.3"/>
    <row r="36" spans="2:9" ht="19.5" customHeight="1" x14ac:dyDescent="0.3">
      <c r="B36" s="193" t="s">
        <v>411</v>
      </c>
      <c r="C36" s="187"/>
      <c r="D36" s="187"/>
      <c r="E36" s="187"/>
      <c r="F36" s="187"/>
      <c r="G36" s="187"/>
      <c r="H36" s="187"/>
      <c r="I36" s="187"/>
    </row>
    <row r="37" spans="2:9" ht="27.75" customHeight="1" x14ac:dyDescent="0.3">
      <c r="B37" s="33" t="s">
        <v>377</v>
      </c>
      <c r="C37" s="33" t="s">
        <v>412</v>
      </c>
      <c r="D37" s="33" t="s">
        <v>413</v>
      </c>
      <c r="E37" s="33" t="s">
        <v>414</v>
      </c>
      <c r="F37" s="33" t="s">
        <v>415</v>
      </c>
      <c r="G37" s="33" t="s">
        <v>416</v>
      </c>
      <c r="H37" s="33" t="s">
        <v>417</v>
      </c>
      <c r="I37" s="33" t="s">
        <v>418</v>
      </c>
    </row>
    <row r="38" spans="2:9" ht="18" customHeight="1" x14ac:dyDescent="0.3">
      <c r="B38" s="163" t="s">
        <v>386</v>
      </c>
      <c r="C38" s="120">
        <v>0</v>
      </c>
      <c r="D38" s="120">
        <v>0</v>
      </c>
      <c r="E38" s="120">
        <v>0</v>
      </c>
      <c r="F38" s="120">
        <v>0</v>
      </c>
      <c r="G38" s="120">
        <v>0</v>
      </c>
      <c r="H38" s="120">
        <v>0</v>
      </c>
      <c r="I38" s="120">
        <f>SUM(C38:H38)</f>
        <v>0</v>
      </c>
    </row>
    <row r="39" spans="2:9" ht="18" customHeight="1" x14ac:dyDescent="0.3">
      <c r="B39" s="164" t="s">
        <v>388</v>
      </c>
      <c r="C39" s="120">
        <v>0</v>
      </c>
      <c r="D39" s="120">
        <v>0</v>
      </c>
      <c r="E39" s="120">
        <v>0</v>
      </c>
      <c r="F39" s="120">
        <v>0</v>
      </c>
      <c r="G39" s="120">
        <v>0</v>
      </c>
      <c r="H39" s="120">
        <v>0</v>
      </c>
      <c r="I39" s="120">
        <f>SUM(C39:H39)</f>
        <v>0</v>
      </c>
    </row>
    <row r="40" spans="2:9" ht="18" customHeight="1" x14ac:dyDescent="0.3">
      <c r="B40" s="166" t="s">
        <v>389</v>
      </c>
      <c r="C40" s="113">
        <v>0</v>
      </c>
      <c r="D40" s="113">
        <v>0</v>
      </c>
      <c r="E40" s="113">
        <v>0</v>
      </c>
      <c r="F40" s="113">
        <v>0</v>
      </c>
      <c r="G40" s="113">
        <v>0</v>
      </c>
      <c r="H40" s="113">
        <v>0</v>
      </c>
      <c r="I40" s="113">
        <f>SUM(C40:H40)</f>
        <v>0</v>
      </c>
    </row>
    <row r="41" spans="2:9" ht="18" customHeight="1" x14ac:dyDescent="0.3">
      <c r="B41" s="168" t="s">
        <v>390</v>
      </c>
      <c r="C41" s="178">
        <f t="shared" ref="C41:H41" si="11">C39+C40</f>
        <v>0</v>
      </c>
      <c r="D41" s="178">
        <f t="shared" si="11"/>
        <v>0</v>
      </c>
      <c r="E41" s="178">
        <f t="shared" si="11"/>
        <v>0</v>
      </c>
      <c r="F41" s="178">
        <f t="shared" si="11"/>
        <v>0</v>
      </c>
      <c r="G41" s="178">
        <f t="shared" si="11"/>
        <v>0</v>
      </c>
      <c r="H41" s="178">
        <f t="shared" si="11"/>
        <v>0</v>
      </c>
      <c r="I41" s="178">
        <f>SUM(C41:H41)</f>
        <v>0</v>
      </c>
    </row>
    <row r="42" spans="2:9" ht="18" customHeight="1" x14ac:dyDescent="0.3">
      <c r="B42" s="169" t="s">
        <v>391</v>
      </c>
      <c r="C42" s="179">
        <f t="shared" ref="C42:H42" si="12">C38-C41</f>
        <v>0</v>
      </c>
      <c r="D42" s="179">
        <f t="shared" si="12"/>
        <v>0</v>
      </c>
      <c r="E42" s="179">
        <f t="shared" si="12"/>
        <v>0</v>
      </c>
      <c r="F42" s="179">
        <f t="shared" si="12"/>
        <v>0</v>
      </c>
      <c r="G42" s="179">
        <f t="shared" si="12"/>
        <v>0</v>
      </c>
      <c r="H42" s="179">
        <f t="shared" si="12"/>
        <v>0</v>
      </c>
      <c r="I42" s="179">
        <f>SUM(C42:H42)</f>
        <v>0</v>
      </c>
    </row>
    <row r="43" spans="2:9" ht="18" customHeight="1" x14ac:dyDescent="0.3">
      <c r="B43" s="163" t="s">
        <v>392</v>
      </c>
      <c r="C43" s="147">
        <f t="shared" ref="C43:H43" si="13">IFERROR(C42/C38,0)</f>
        <v>0</v>
      </c>
      <c r="D43" s="147">
        <f t="shared" si="13"/>
        <v>0</v>
      </c>
      <c r="E43" s="147">
        <f t="shared" si="13"/>
        <v>0</v>
      </c>
      <c r="F43" s="147">
        <f t="shared" si="13"/>
        <v>0</v>
      </c>
      <c r="G43" s="147">
        <f t="shared" si="13"/>
        <v>0</v>
      </c>
      <c r="H43" s="147">
        <f t="shared" si="13"/>
        <v>0</v>
      </c>
      <c r="I43" s="147">
        <f>IFERROR(AVERAGE(C43:H43),0)</f>
        <v>0</v>
      </c>
    </row>
    <row r="44" spans="2:9" ht="18" customHeight="1" x14ac:dyDescent="0.3">
      <c r="B44" s="164" t="s">
        <v>394</v>
      </c>
      <c r="C44" s="120">
        <v>0</v>
      </c>
      <c r="D44" s="120">
        <v>0</v>
      </c>
      <c r="E44" s="120">
        <v>0</v>
      </c>
      <c r="F44" s="120">
        <v>0</v>
      </c>
      <c r="G44" s="120">
        <v>0</v>
      </c>
      <c r="H44" s="120">
        <v>0</v>
      </c>
      <c r="I44" s="120">
        <f t="shared" ref="I44:I50" si="14">SUM(C44:H44)</f>
        <v>0</v>
      </c>
    </row>
    <row r="45" spans="2:9" ht="18" customHeight="1" x14ac:dyDescent="0.3">
      <c r="B45" s="166" t="s">
        <v>395</v>
      </c>
      <c r="C45" s="113">
        <v>0</v>
      </c>
      <c r="D45" s="113">
        <v>0</v>
      </c>
      <c r="E45" s="113">
        <v>0</v>
      </c>
      <c r="F45" s="113">
        <v>0</v>
      </c>
      <c r="G45" s="113">
        <v>0</v>
      </c>
      <c r="H45" s="113">
        <v>0</v>
      </c>
      <c r="I45" s="113">
        <f t="shared" si="14"/>
        <v>0</v>
      </c>
    </row>
    <row r="46" spans="2:9" ht="18" customHeight="1" x14ac:dyDescent="0.3">
      <c r="B46" s="164" t="s">
        <v>396</v>
      </c>
      <c r="C46" s="120">
        <v>0</v>
      </c>
      <c r="D46" s="120">
        <v>0</v>
      </c>
      <c r="E46" s="120">
        <v>0</v>
      </c>
      <c r="F46" s="120">
        <v>0</v>
      </c>
      <c r="G46" s="120">
        <v>0</v>
      </c>
      <c r="H46" s="120">
        <v>0</v>
      </c>
      <c r="I46" s="120">
        <f t="shared" si="14"/>
        <v>0</v>
      </c>
    </row>
    <row r="47" spans="2:9" ht="18" customHeight="1" x14ac:dyDescent="0.3">
      <c r="B47" s="166" t="s">
        <v>397</v>
      </c>
      <c r="C47" s="113">
        <v>0</v>
      </c>
      <c r="D47" s="113">
        <v>0</v>
      </c>
      <c r="E47" s="113">
        <v>0</v>
      </c>
      <c r="F47" s="113">
        <v>0</v>
      </c>
      <c r="G47" s="113">
        <v>0</v>
      </c>
      <c r="H47" s="113">
        <v>0</v>
      </c>
      <c r="I47" s="113">
        <f t="shared" si="14"/>
        <v>0</v>
      </c>
    </row>
    <row r="48" spans="2:9" ht="18" customHeight="1" x14ac:dyDescent="0.3">
      <c r="B48" s="164" t="s">
        <v>398</v>
      </c>
      <c r="C48" s="120">
        <v>0</v>
      </c>
      <c r="D48" s="120">
        <v>0</v>
      </c>
      <c r="E48" s="120">
        <v>0</v>
      </c>
      <c r="F48" s="120">
        <v>0</v>
      </c>
      <c r="G48" s="120">
        <v>0</v>
      </c>
      <c r="H48" s="120">
        <v>0</v>
      </c>
      <c r="I48" s="120">
        <f t="shared" si="14"/>
        <v>0</v>
      </c>
    </row>
    <row r="49" spans="2:9" ht="18" customHeight="1" x14ac:dyDescent="0.3">
      <c r="B49" s="168" t="s">
        <v>399</v>
      </c>
      <c r="C49" s="178">
        <f t="shared" ref="C49:H49" si="15">SUM(C44:C48)</f>
        <v>0</v>
      </c>
      <c r="D49" s="178">
        <f t="shared" si="15"/>
        <v>0</v>
      </c>
      <c r="E49" s="178">
        <f t="shared" si="15"/>
        <v>0</v>
      </c>
      <c r="F49" s="178">
        <f t="shared" si="15"/>
        <v>0</v>
      </c>
      <c r="G49" s="178">
        <f t="shared" si="15"/>
        <v>0</v>
      </c>
      <c r="H49" s="178">
        <f t="shared" si="15"/>
        <v>0</v>
      </c>
      <c r="I49" s="178">
        <f t="shared" si="14"/>
        <v>0</v>
      </c>
    </row>
    <row r="50" spans="2:9" ht="18" customHeight="1" x14ac:dyDescent="0.3">
      <c r="B50" s="180" t="s">
        <v>400</v>
      </c>
      <c r="C50" s="120">
        <f t="shared" ref="C50:H50" si="16">C42-C49</f>
        <v>0</v>
      </c>
      <c r="D50" s="120">
        <f t="shared" si="16"/>
        <v>0</v>
      </c>
      <c r="E50" s="120">
        <f t="shared" si="16"/>
        <v>0</v>
      </c>
      <c r="F50" s="120">
        <f t="shared" si="16"/>
        <v>0</v>
      </c>
      <c r="G50" s="120">
        <f t="shared" si="16"/>
        <v>0</v>
      </c>
      <c r="H50" s="120">
        <f t="shared" si="16"/>
        <v>0</v>
      </c>
      <c r="I50" s="120">
        <f t="shared" si="14"/>
        <v>0</v>
      </c>
    </row>
    <row r="51" spans="2:9" ht="18" customHeight="1" x14ac:dyDescent="0.3">
      <c r="B51" s="93" t="s">
        <v>401</v>
      </c>
      <c r="C51" s="141">
        <f t="shared" ref="C51:H51" si="17">IFERROR(C50/C38,0)</f>
        <v>0</v>
      </c>
      <c r="D51" s="141">
        <f t="shared" si="17"/>
        <v>0</v>
      </c>
      <c r="E51" s="141">
        <f t="shared" si="17"/>
        <v>0</v>
      </c>
      <c r="F51" s="141">
        <f t="shared" si="17"/>
        <v>0</v>
      </c>
      <c r="G51" s="141">
        <f t="shared" si="17"/>
        <v>0</v>
      </c>
      <c r="H51" s="141">
        <f t="shared" si="17"/>
        <v>0</v>
      </c>
      <c r="I51" s="141">
        <f>IFERROR(AVERAGE(C51:H51),0)</f>
        <v>0</v>
      </c>
    </row>
    <row r="52" spans="2:9" ht="18" customHeight="1" x14ac:dyDescent="0.3">
      <c r="B52" s="164" t="s">
        <v>402</v>
      </c>
      <c r="C52" s="120">
        <v>0</v>
      </c>
      <c r="D52" s="120">
        <v>0</v>
      </c>
      <c r="E52" s="120">
        <v>0</v>
      </c>
      <c r="F52" s="120">
        <v>0</v>
      </c>
      <c r="G52" s="120">
        <v>0</v>
      </c>
      <c r="H52" s="120">
        <v>0</v>
      </c>
      <c r="I52" s="120">
        <f>SUM(C52:H52)</f>
        <v>0</v>
      </c>
    </row>
    <row r="53" spans="2:9" ht="18" customHeight="1" x14ac:dyDescent="0.3">
      <c r="B53" s="166" t="s">
        <v>403</v>
      </c>
      <c r="C53" s="113">
        <v>0</v>
      </c>
      <c r="D53" s="113">
        <v>0</v>
      </c>
      <c r="E53" s="113">
        <v>0</v>
      </c>
      <c r="F53" s="113">
        <v>0</v>
      </c>
      <c r="G53" s="113">
        <v>0</v>
      </c>
      <c r="H53" s="113">
        <v>0</v>
      </c>
      <c r="I53" s="113">
        <f>SUM(C53:H53)</f>
        <v>0</v>
      </c>
    </row>
    <row r="54" spans="2:9" ht="18" customHeight="1" x14ac:dyDescent="0.3">
      <c r="B54" s="169" t="s">
        <v>404</v>
      </c>
      <c r="C54" s="179">
        <f t="shared" ref="C54:H54" si="18">C50-C52-C53</f>
        <v>0</v>
      </c>
      <c r="D54" s="179">
        <f t="shared" si="18"/>
        <v>0</v>
      </c>
      <c r="E54" s="179">
        <f t="shared" si="18"/>
        <v>0</v>
      </c>
      <c r="F54" s="179">
        <f t="shared" si="18"/>
        <v>0</v>
      </c>
      <c r="G54" s="179">
        <f t="shared" si="18"/>
        <v>0</v>
      </c>
      <c r="H54" s="179">
        <f t="shared" si="18"/>
        <v>0</v>
      </c>
      <c r="I54" s="179">
        <f>SUM(C54:H54)</f>
        <v>0</v>
      </c>
    </row>
    <row r="55" spans="2:9" ht="18" customHeight="1" x14ac:dyDescent="0.3">
      <c r="B55" s="181" t="s">
        <v>405</v>
      </c>
      <c r="C55" s="141">
        <f t="shared" ref="C55:H55" si="19">IFERROR(C54/C38,0)</f>
        <v>0</v>
      </c>
      <c r="D55" s="141">
        <f t="shared" si="19"/>
        <v>0</v>
      </c>
      <c r="E55" s="141">
        <f t="shared" si="19"/>
        <v>0</v>
      </c>
      <c r="F55" s="141">
        <f t="shared" si="19"/>
        <v>0</v>
      </c>
      <c r="G55" s="141">
        <f t="shared" si="19"/>
        <v>0</v>
      </c>
      <c r="H55" s="141">
        <f t="shared" si="19"/>
        <v>0</v>
      </c>
      <c r="I55" s="141">
        <f>IFERROR(AVERAGE(C55:H55),0)</f>
        <v>0</v>
      </c>
    </row>
    <row r="56" spans="2:9" ht="18" customHeight="1" x14ac:dyDescent="0.3">
      <c r="B56" s="137" t="s">
        <v>407</v>
      </c>
      <c r="C56" s="139">
        <v>0</v>
      </c>
      <c r="D56" s="139">
        <v>0</v>
      </c>
      <c r="E56" s="139">
        <v>0</v>
      </c>
      <c r="F56" s="139">
        <v>0</v>
      </c>
      <c r="G56" s="139">
        <v>0</v>
      </c>
      <c r="H56" s="139">
        <v>0</v>
      </c>
      <c r="I56" s="139">
        <f>SUM(C56:H56)</f>
        <v>0</v>
      </c>
    </row>
    <row r="57" spans="2:9" ht="18" customHeight="1" x14ac:dyDescent="0.3">
      <c r="B57" s="143" t="s">
        <v>408</v>
      </c>
      <c r="C57" s="120">
        <f t="shared" ref="C57:H57" si="20">IFERROR(C38/C56,0)</f>
        <v>0</v>
      </c>
      <c r="D57" s="120">
        <f t="shared" si="20"/>
        <v>0</v>
      </c>
      <c r="E57" s="120">
        <f t="shared" si="20"/>
        <v>0</v>
      </c>
      <c r="F57" s="120">
        <f t="shared" si="20"/>
        <v>0</v>
      </c>
      <c r="G57" s="120">
        <f t="shared" si="20"/>
        <v>0</v>
      </c>
      <c r="H57" s="120">
        <f t="shared" si="20"/>
        <v>0</v>
      </c>
      <c r="I57" s="120">
        <f>IFERROR(AVERAGE(C57:H57),0)</f>
        <v>0</v>
      </c>
    </row>
    <row r="58" spans="2:9" ht="18" customHeight="1" x14ac:dyDescent="0.3">
      <c r="B58" s="137" t="s">
        <v>409</v>
      </c>
      <c r="C58" s="139">
        <v>0</v>
      </c>
      <c r="D58" s="139">
        <v>0</v>
      </c>
      <c r="E58" s="139">
        <v>0</v>
      </c>
      <c r="F58" s="139">
        <v>0</v>
      </c>
      <c r="G58" s="139">
        <v>0</v>
      </c>
      <c r="H58" s="139">
        <v>0</v>
      </c>
      <c r="I58" s="139">
        <f>SUM(C58:H58)</f>
        <v>0</v>
      </c>
    </row>
    <row r="59" spans="2:9" ht="18" customHeight="1" x14ac:dyDescent="0.3">
      <c r="B59" s="143" t="s">
        <v>410</v>
      </c>
      <c r="C59" s="120">
        <f t="shared" ref="C59:H59" si="21">IFERROR(C38/C58,0)</f>
        <v>0</v>
      </c>
      <c r="D59" s="120">
        <f t="shared" si="21"/>
        <v>0</v>
      </c>
      <c r="E59" s="120">
        <f t="shared" si="21"/>
        <v>0</v>
      </c>
      <c r="F59" s="120">
        <f t="shared" si="21"/>
        <v>0</v>
      </c>
      <c r="G59" s="120">
        <f t="shared" si="21"/>
        <v>0</v>
      </c>
      <c r="H59" s="120">
        <f t="shared" si="21"/>
        <v>0</v>
      </c>
      <c r="I59" s="120">
        <f>IFERROR(AVERAGE(C59:H59),0)</f>
        <v>0</v>
      </c>
    </row>
  </sheetData>
  <mergeCells count="8">
    <mergeCell ref="B17:I17"/>
    <mergeCell ref="B30:I30"/>
    <mergeCell ref="B36:I36"/>
    <mergeCell ref="A2:D2"/>
    <mergeCell ref="E2:I2"/>
    <mergeCell ref="A3:I3"/>
    <mergeCell ref="B9:I9"/>
    <mergeCell ref="B11:I11"/>
  </mergeCells>
  <pageMargins left="0.75" right="0.75" top="1" bottom="1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Capital &amp; Ownership</vt:lpstr>
      <vt:lpstr>📊 Dashboard</vt:lpstr>
      <vt:lpstr>📅 Daily Log</vt:lpstr>
      <vt:lpstr>💸 Expenses</vt:lpstr>
      <vt:lpstr>📦 Inventory</vt:lpstr>
      <vt:lpstr>👥 Staff &amp; Payroll</vt:lpstr>
      <vt:lpstr>🚚 Suppliers</vt:lpstr>
      <vt:lpstr>📈 Monthly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LOHITH REDDY</cp:lastModifiedBy>
  <dcterms:created xsi:type="dcterms:W3CDTF">2026-05-19T05:24:03Z</dcterms:created>
  <dcterms:modified xsi:type="dcterms:W3CDTF">2026-05-23T12:30:39Z</dcterms:modified>
  <dc:language>en-US</dc:language>
</cp:coreProperties>
</file>