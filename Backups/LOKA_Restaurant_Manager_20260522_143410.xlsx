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📈 Monthly P&amp;L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#,##0;(#,##0);&quot;-&quot;"/>
    <numFmt numFmtId="166" formatCode="$#,##0;&quot;($&quot;#,##0);-"/>
    <numFmt numFmtId="167" formatCode="#,##0;(#,##0);-"/>
    <numFmt numFmtId="168" formatCode="0.0%;(0.0%);-"/>
    <numFmt numFmtId="169" formatCode="dd/mm/yyyy ddd"/>
    <numFmt numFmtId="170" formatCode="DD/MM/YYYY"/>
    <numFmt numFmtId="171" formatCode="dd/mm/yyyy"/>
  </numFmts>
  <fonts count="7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1"/>
    </font>
    <font>
      <name val="Arial"/>
      <color rgb="000000FF"/>
      <sz val="11"/>
    </font>
    <font>
      <name val="Calibri"/>
      <charset val="1"/>
      <family val="2"/>
      <color theme="1"/>
      <sz val="11"/>
    </font>
    <font>
      <name val="Arial"/>
      <color rgb="00000000"/>
      <sz val="10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3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E94560"/>
        <bgColor rgb="00E94560"/>
      </patternFill>
    </fill>
    <fill>
      <patternFill patternType="solid">
        <fgColor rgb="002C3E50"/>
        <bgColor rgb="002C3E50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5D6D7E"/>
        <bgColor rgb="005D6D7E"/>
      </patternFill>
    </fill>
    <fill>
      <patternFill patternType="solid">
        <fgColor rgb="00FFFF00"/>
        <bgColor rgb="00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/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1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medium">
        <color rgb="FF999999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15" borderId="0"/>
  </cellStyleXfs>
  <cellXfs count="2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165" fontId="7" fillId="11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7" fillId="12" borderId="0" pivotButton="0" quotePrefix="0" xfId="0"/>
    <xf numFmtId="0" fontId="9" fillId="12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right" vertical="center"/>
    </xf>
    <xf numFmtId="0" fontId="7" fillId="13" borderId="0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 wrapText="1"/>
    </xf>
    <xf numFmtId="0" fontId="7" fillId="15" borderId="3" pivotButton="0" quotePrefix="0" xfId="0"/>
    <xf numFmtId="0" fontId="12" fillId="12" borderId="2" applyAlignment="1" pivotButton="0" quotePrefix="0" xfId="0">
      <alignment horizontal="center" vertical="center"/>
    </xf>
    <xf numFmtId="0" fontId="13" fillId="16" borderId="4" applyAlignment="1" pivotButton="0" quotePrefix="0" xfId="0">
      <alignment horizontal="center" vertical="center"/>
    </xf>
    <xf numFmtId="0" fontId="7" fillId="15" borderId="5" pivotButton="0" quotePrefix="0" xfId="0"/>
    <xf numFmtId="166" fontId="14" fillId="17" borderId="6" applyAlignment="1" pivotButton="0" quotePrefix="0" xfId="0">
      <alignment horizontal="center" vertical="center"/>
    </xf>
    <xf numFmtId="0" fontId="7" fillId="15" borderId="7" pivotButton="0" quotePrefix="0" xfId="0"/>
    <xf numFmtId="166" fontId="15" fillId="18" borderId="6" applyAlignment="1" pivotButton="0" quotePrefix="0" xfId="0">
      <alignment horizontal="center" vertical="center"/>
    </xf>
    <xf numFmtId="166" fontId="16" fillId="19" borderId="6" applyAlignment="1" pivotButton="0" quotePrefix="0" xfId="0">
      <alignment horizontal="center" vertical="center"/>
    </xf>
    <xf numFmtId="166" fontId="17" fillId="20" borderId="6" applyAlignment="1" pivotButton="0" quotePrefix="0" xfId="0">
      <alignment horizontal="center" vertical="center"/>
    </xf>
    <xf numFmtId="166" fontId="9" fillId="21" borderId="6" applyAlignment="1" pivotButton="0" quotePrefix="0" xfId="0">
      <alignment horizontal="center" vertical="center"/>
    </xf>
    <xf numFmtId="0" fontId="7" fillId="15" borderId="8" pivotButton="0" quotePrefix="0" xfId="0"/>
    <xf numFmtId="167" fontId="16" fillId="19" borderId="6" applyAlignment="1" pivotButton="0" quotePrefix="0" xfId="0">
      <alignment horizontal="center" vertical="center"/>
    </xf>
    <xf numFmtId="168" fontId="14" fillId="17" borderId="6" applyAlignment="1" pivotButton="0" quotePrefix="0" xfId="0">
      <alignment horizontal="center" vertical="center"/>
    </xf>
    <xf numFmtId="167" fontId="18" fillId="21" borderId="6" applyAlignment="1" pivotButton="0" quotePrefix="0" xfId="0">
      <alignment horizontal="center" vertical="center"/>
    </xf>
    <xf numFmtId="167" fontId="9" fillId="21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19" fillId="12" borderId="9" applyAlignment="1" pivotButton="0" quotePrefix="0" xfId="0">
      <alignment horizontal="center" vertical="center"/>
    </xf>
    <xf numFmtId="0" fontId="7" fillId="15" borderId="10" pivotButton="0" quotePrefix="0" xfId="0"/>
    <xf numFmtId="169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6" fontId="22" fillId="22" borderId="9" applyAlignment="1" pivotButton="0" quotePrefix="0" xfId="0">
      <alignment horizontal="center" vertical="center"/>
    </xf>
    <xf numFmtId="167" fontId="23" fillId="22" borderId="9" applyAlignment="1" pivotButton="0" quotePrefix="0" xfId="0">
      <alignment horizontal="center" vertical="center"/>
    </xf>
    <xf numFmtId="166" fontId="24" fillId="22" borderId="9" applyAlignment="1" pivotButton="0" quotePrefix="0" xfId="0">
      <alignment horizontal="center" vertical="center"/>
    </xf>
    <xf numFmtId="166" fontId="25" fillId="22" borderId="9" applyAlignment="1" pivotButton="0" quotePrefix="0" xfId="0">
      <alignment horizontal="center" vertical="center"/>
    </xf>
    <xf numFmtId="168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169" fontId="20" fillId="23" borderId="9" applyAlignment="1" pivotButton="0" quotePrefix="0" xfId="0">
      <alignment horizontal="center" vertical="center"/>
    </xf>
    <xf numFmtId="0" fontId="21" fillId="23" borderId="9" applyAlignment="1" pivotButton="0" quotePrefix="0" xfId="0">
      <alignment horizontal="center" vertical="center"/>
    </xf>
    <xf numFmtId="166" fontId="22" fillId="23" borderId="9" applyAlignment="1" pivotButton="0" quotePrefix="0" xfId="0">
      <alignment horizontal="center" vertical="center"/>
    </xf>
    <xf numFmtId="167" fontId="23" fillId="23" borderId="9" applyAlignment="1" pivotButton="0" quotePrefix="0" xfId="0">
      <alignment horizontal="center" vertical="center"/>
    </xf>
    <xf numFmtId="166" fontId="24" fillId="23" borderId="9" applyAlignment="1" pivotButton="0" quotePrefix="0" xfId="0">
      <alignment horizontal="center" vertical="center"/>
    </xf>
    <xf numFmtId="166" fontId="25" fillId="23" borderId="9" applyAlignment="1" pivotButton="0" quotePrefix="0" xfId="0">
      <alignment horizontal="center" vertical="center"/>
    </xf>
    <xf numFmtId="168" fontId="26" fillId="23" borderId="9" applyAlignment="1" pivotButton="0" quotePrefix="0" xfId="0">
      <alignment horizontal="center" vertical="center"/>
    </xf>
    <xf numFmtId="0" fontId="27" fillId="23" borderId="9" applyAlignment="1" pivotButton="0" quotePrefix="0" xfId="0">
      <alignment horizontal="center" vertical="center"/>
    </xf>
    <xf numFmtId="0" fontId="28" fillId="23" borderId="9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167" fontId="23" fillId="22" borderId="4" applyAlignment="1" pivotButton="0" quotePrefix="0" xfId="0">
      <alignment horizontal="center" vertical="center"/>
    </xf>
    <xf numFmtId="167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20" fillId="23" borderId="4" applyAlignment="1" pivotButton="0" quotePrefix="0" xfId="0">
      <alignment horizontal="left" vertical="center"/>
    </xf>
    <xf numFmtId="167" fontId="23" fillId="23" borderId="4" applyAlignment="1" pivotButton="0" quotePrefix="0" xfId="0">
      <alignment horizontal="center" vertical="center"/>
    </xf>
    <xf numFmtId="167" fontId="27" fillId="23" borderId="4" applyAlignment="1" pivotButton="0" quotePrefix="0" xfId="0">
      <alignment horizontal="center" vertical="center"/>
    </xf>
    <xf numFmtId="0" fontId="20" fillId="23" borderId="4" applyAlignment="1" pivotButton="0" quotePrefix="0" xfId="0">
      <alignment horizontal="center" vertical="center"/>
    </xf>
    <xf numFmtId="0" fontId="29" fillId="22" borderId="9" applyAlignment="1" pivotButton="0" quotePrefix="0" xfId="0">
      <alignment horizontal="center" vertical="center"/>
    </xf>
    <xf numFmtId="166" fontId="30" fillId="22" borderId="9" applyAlignment="1" pivotButton="0" quotePrefix="0" xfId="0">
      <alignment horizontal="center" vertical="center"/>
    </xf>
    <xf numFmtId="167" fontId="31" fillId="22" borderId="9" applyAlignment="1" pivotButton="0" quotePrefix="0" xfId="0">
      <alignment horizontal="center" vertical="center"/>
    </xf>
    <xf numFmtId="166" fontId="29" fillId="22" borderId="9" applyAlignment="1" pivotButton="0" quotePrefix="0" xfId="0">
      <alignment horizontal="center" vertical="center"/>
    </xf>
    <xf numFmtId="166" fontId="32" fillId="22" borderId="9" applyAlignment="1" pivotButton="0" quotePrefix="0" xfId="0">
      <alignment horizontal="center" vertical="center"/>
    </xf>
    <xf numFmtId="168" fontId="33" fillId="22" borderId="9" applyAlignment="1" pivotButton="0" quotePrefix="0" xfId="0">
      <alignment horizontal="center" vertical="center"/>
    </xf>
    <xf numFmtId="166" fontId="31" fillId="22" borderId="9" applyAlignment="1" pivotButton="0" quotePrefix="0" xfId="0">
      <alignment horizontal="center" vertical="center"/>
    </xf>
    <xf numFmtId="169" fontId="34" fillId="22" borderId="11" applyAlignment="1" pivotButton="0" quotePrefix="0" xfId="0">
      <alignment horizontal="center" vertical="center"/>
    </xf>
    <xf numFmtId="0" fontId="35" fillId="22" borderId="9" applyAlignment="1" pivotButton="0" quotePrefix="0" xfId="0">
      <alignment horizontal="center" vertical="center"/>
    </xf>
    <xf numFmtId="0" fontId="36" fillId="22" borderId="9" applyAlignment="1" pivotButton="0" quotePrefix="0" xfId="0">
      <alignment horizontal="center" vertical="center"/>
    </xf>
    <xf numFmtId="166" fontId="37" fillId="24" borderId="11" applyAlignment="1" pivotButton="0" quotePrefix="0" xfId="0">
      <alignment horizontal="center" vertical="center"/>
    </xf>
    <xf numFmtId="167" fontId="37" fillId="19" borderId="11" applyAlignment="1" pivotButton="0" quotePrefix="0" xfId="0">
      <alignment horizontal="center" vertical="center"/>
    </xf>
    <xf numFmtId="166" fontId="38" fillId="22" borderId="9" applyAlignment="1" pivotButton="0" quotePrefix="0" xfId="0">
      <alignment horizontal="center" vertical="center"/>
    </xf>
    <xf numFmtId="166" fontId="39" fillId="20" borderId="9" applyAlignment="1" pivotButton="0" quotePrefix="0" xfId="0">
      <alignment horizontal="center" vertical="center"/>
    </xf>
    <xf numFmtId="166" fontId="40" fillId="22" borderId="9" applyAlignment="1" pivotButton="0" quotePrefix="0" xfId="0">
      <alignment horizontal="center" vertical="center"/>
    </xf>
    <xf numFmtId="168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left" vertical="center"/>
    </xf>
    <xf numFmtId="166" fontId="43" fillId="22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166" fontId="25" fillId="20" borderId="9" applyAlignment="1" pivotButton="0" quotePrefix="0" xfId="0">
      <alignment horizontal="center" vertical="center"/>
    </xf>
    <xf numFmtId="0" fontId="35" fillId="23" borderId="9" applyAlignment="1" pivotButton="0" quotePrefix="0" xfId="0">
      <alignment horizontal="center" vertical="center"/>
    </xf>
    <xf numFmtId="0" fontId="36" fillId="23" borderId="9" applyAlignment="1" pivotButton="0" quotePrefix="0" xfId="0">
      <alignment horizontal="center" vertical="center"/>
    </xf>
    <xf numFmtId="166" fontId="37" fillId="25" borderId="11" applyAlignment="1" pivotButton="0" quotePrefix="0" xfId="0">
      <alignment horizontal="center" vertical="center"/>
    </xf>
    <xf numFmtId="167" fontId="37" fillId="26" borderId="11" applyAlignment="1" pivotButton="0" quotePrefix="0" xfId="0">
      <alignment horizontal="center" vertical="center"/>
    </xf>
    <xf numFmtId="166" fontId="38" fillId="23" borderId="9" applyAlignment="1" pivotButton="0" quotePrefix="0" xfId="0">
      <alignment horizontal="center" vertical="center"/>
    </xf>
    <xf numFmtId="166" fontId="39" fillId="27" borderId="9" applyAlignment="1" pivotButton="0" quotePrefix="0" xfId="0">
      <alignment horizontal="center" vertical="center"/>
    </xf>
    <xf numFmtId="166" fontId="40" fillId="23" borderId="9" applyAlignment="1" pivotButton="0" quotePrefix="0" xfId="0">
      <alignment horizontal="center" vertical="center"/>
    </xf>
    <xf numFmtId="168" fontId="41" fillId="23" borderId="9" applyAlignment="1" pivotButton="0" quotePrefix="0" xfId="0">
      <alignment horizontal="center" vertical="center"/>
    </xf>
    <xf numFmtId="0" fontId="42" fillId="23" borderId="9" applyAlignment="1" pivotButton="0" quotePrefix="0" xfId="0">
      <alignment horizontal="left" vertical="center"/>
    </xf>
    <xf numFmtId="166" fontId="43" fillId="23" borderId="9" applyAlignment="1" pivotButton="0" quotePrefix="0" xfId="0">
      <alignment horizontal="center" vertical="center"/>
    </xf>
    <xf numFmtId="166" fontId="22" fillId="28" borderId="9" applyAlignment="1" pivotButton="0" quotePrefix="0" xfId="0">
      <alignment horizontal="center" vertical="center"/>
    </xf>
    <xf numFmtId="166" fontId="25" fillId="29" borderId="9" applyAlignment="1" pivotButton="0" quotePrefix="0" xfId="0">
      <alignment horizontal="center" vertical="center"/>
    </xf>
    <xf numFmtId="0" fontId="13" fillId="16" borderId="9" applyAlignment="1" pivotButton="0" quotePrefix="0" xfId="0">
      <alignment horizontal="center" vertical="center"/>
    </xf>
    <xf numFmtId="166" fontId="44" fillId="20" borderId="9" applyAlignment="1" pivotButton="0" quotePrefix="0" xfId="0">
      <alignment horizontal="center" vertical="center"/>
    </xf>
    <xf numFmtId="166" fontId="45" fillId="21" borderId="9" applyAlignment="1" pivotButton="0" quotePrefix="0" xfId="0">
      <alignment horizontal="center" vertical="center"/>
    </xf>
    <xf numFmtId="166" fontId="46" fillId="19" borderId="9" applyAlignment="1" pivotButton="0" quotePrefix="0" xfId="0">
      <alignment horizontal="center" vertical="center"/>
    </xf>
    <xf numFmtId="166" fontId="47" fillId="30" borderId="9" applyAlignment="1" pivotButton="0" quotePrefix="0" xfId="0">
      <alignment horizontal="center" vertical="center"/>
    </xf>
    <xf numFmtId="0" fontId="42" fillId="21" borderId="4" applyAlignment="1" pivotButton="0" quotePrefix="0" xfId="0">
      <alignment horizontal="left" vertical="center"/>
    </xf>
    <xf numFmtId="170" fontId="48" fillId="22" borderId="11" applyAlignment="1" pivotButton="0" quotePrefix="0" xfId="0">
      <alignment horizontal="center" vertical="center"/>
    </xf>
    <xf numFmtId="0" fontId="34" fillId="22" borderId="9" applyAlignment="1" pivotButton="0" quotePrefix="0" xfId="0">
      <alignment horizontal="center" vertical="center"/>
    </xf>
    <xf numFmtId="0" fontId="34" fillId="22" borderId="9" applyAlignment="1" pivotButton="0" quotePrefix="0" xfId="0">
      <alignment horizontal="left" vertical="center"/>
    </xf>
    <xf numFmtId="166" fontId="37" fillId="20" borderId="11" applyAlignment="1" pivotButton="0" quotePrefix="0" xfId="0">
      <alignment horizontal="center" vertical="center"/>
    </xf>
    <xf numFmtId="0" fontId="34" fillId="23" borderId="9" applyAlignment="1" pivotButton="0" quotePrefix="0" xfId="0">
      <alignment horizontal="left" vertical="center"/>
    </xf>
    <xf numFmtId="0" fontId="34" fillId="23" borderId="9" applyAlignment="1" pivotButton="0" quotePrefix="0" xfId="0">
      <alignment horizontal="center" vertical="center"/>
    </xf>
    <xf numFmtId="166" fontId="37" fillId="29" borderId="11" applyAlignment="1" pivotButton="0" quotePrefix="0" xfId="0">
      <alignment horizontal="center" vertical="center"/>
    </xf>
    <xf numFmtId="170" fontId="48" fillId="22" borderId="11" applyAlignment="1" pivotButton="0" quotePrefix="0" xfId="0">
      <alignment horizontal="center"/>
    </xf>
    <xf numFmtId="0" fontId="34" fillId="23" borderId="12" applyAlignment="1" pivotButton="0" quotePrefix="0" xfId="0">
      <alignment horizontal="center" vertical="center"/>
    </xf>
    <xf numFmtId="170" fontId="49" fillId="22" borderId="11" applyAlignment="1" pivotButton="0" quotePrefix="0" xfId="0">
      <alignment horizontal="center" vertical="center"/>
    </xf>
    <xf numFmtId="0" fontId="50" fillId="22" borderId="9" applyAlignment="1" pivotButton="0" quotePrefix="0" xfId="0">
      <alignment horizontal="center" vertical="center"/>
    </xf>
    <xf numFmtId="0" fontId="50" fillId="22" borderId="9" applyAlignment="1" pivotButton="0" quotePrefix="0" xfId="0">
      <alignment horizontal="left" vertical="center"/>
    </xf>
    <xf numFmtId="166" fontId="51" fillId="20" borderId="11" applyAlignment="1" pivotButton="0" quotePrefix="0" xfId="0">
      <alignment horizontal="center" vertical="center"/>
    </xf>
    <xf numFmtId="0" fontId="52" fillId="22" borderId="9" applyAlignment="1" pivotButton="0" quotePrefix="0" xfId="0">
      <alignment horizontal="center" vertical="center"/>
    </xf>
    <xf numFmtId="0" fontId="53" fillId="22" borderId="9" applyAlignment="1" pivotButton="0" quotePrefix="0" xfId="0">
      <alignment horizontal="left" vertical="center"/>
    </xf>
    <xf numFmtId="171" fontId="48" fillId="22" borderId="11" applyAlignment="1" pivotButton="0" quotePrefix="0" xfId="0">
      <alignment horizontal="center" vertical="center"/>
    </xf>
    <xf numFmtId="167" fontId="54" fillId="23" borderId="9" applyAlignment="1" pivotButton="0" quotePrefix="0" xfId="0">
      <alignment horizontal="center" vertical="center"/>
    </xf>
    <xf numFmtId="167" fontId="55" fillId="21" borderId="9" applyAlignment="1" pivotButton="0" quotePrefix="0" xfId="0">
      <alignment horizontal="center" vertical="center"/>
    </xf>
    <xf numFmtId="167" fontId="44" fillId="20" borderId="9" applyAlignment="1" pivotButton="0" quotePrefix="0" xfId="0">
      <alignment horizontal="center" vertical="center"/>
    </xf>
    <xf numFmtId="171" fontId="46" fillId="19" borderId="9" applyAlignment="1" pivotButton="0" quotePrefix="0" xfId="0">
      <alignment horizontal="center" vertical="center"/>
    </xf>
    <xf numFmtId="0" fontId="56" fillId="22" borderId="9" applyAlignment="1" pivotButton="0" quotePrefix="0" xfId="0">
      <alignment horizontal="left" vertical="center"/>
    </xf>
    <xf numFmtId="167" fontId="37" fillId="31" borderId="11" applyAlignment="1" pivotButton="0" quotePrefix="0" xfId="0">
      <alignment horizontal="center" vertical="center"/>
    </xf>
    <xf numFmtId="167" fontId="57" fillId="22" borderId="9" applyAlignment="1" pivotButton="0" quotePrefix="0" xfId="0">
      <alignment horizontal="center" vertical="center"/>
    </xf>
    <xf numFmtId="166" fontId="34" fillId="22" borderId="9" applyAlignment="1" pivotButton="0" quotePrefix="0" xfId="0">
      <alignment horizontal="center" vertical="center"/>
    </xf>
    <xf numFmtId="166" fontId="58" fillId="18" borderId="9" applyAlignment="1" pivotButton="0" quotePrefix="0" xfId="0">
      <alignment horizontal="center" vertical="center"/>
    </xf>
    <xf numFmtId="0" fontId="59" fillId="22" borderId="9" applyAlignment="1" pivotButton="0" quotePrefix="0" xfId="0">
      <alignment horizontal="center" vertical="center"/>
    </xf>
    <xf numFmtId="0" fontId="60" fillId="22" borderId="9" applyAlignment="1" pivotButton="0" quotePrefix="0" xfId="0">
      <alignment horizontal="left" vertical="center"/>
    </xf>
    <xf numFmtId="0" fontId="56" fillId="23" borderId="9" applyAlignment="1" pivotButton="0" quotePrefix="0" xfId="0">
      <alignment horizontal="left" vertical="center"/>
    </xf>
    <xf numFmtId="167" fontId="37" fillId="32" borderId="11" applyAlignment="1" pivotButton="0" quotePrefix="0" xfId="0">
      <alignment horizontal="center" vertical="center"/>
    </xf>
    <xf numFmtId="167" fontId="57" fillId="23" borderId="9" applyAlignment="1" pivotButton="0" quotePrefix="0" xfId="0">
      <alignment horizontal="center" vertical="center"/>
    </xf>
    <xf numFmtId="166" fontId="34" fillId="23" borderId="9" applyAlignment="1" pivotButton="0" quotePrefix="0" xfId="0">
      <alignment horizontal="center" vertical="center"/>
    </xf>
    <xf numFmtId="166" fontId="58" fillId="33" borderId="9" applyAlignment="1" pivotButton="0" quotePrefix="0" xfId="0">
      <alignment horizontal="center" vertical="center"/>
    </xf>
    <xf numFmtId="0" fontId="59" fillId="23" borderId="9" applyAlignment="1" pivotButton="0" quotePrefix="0" xfId="0">
      <alignment horizontal="center" vertical="center"/>
    </xf>
    <xf numFmtId="0" fontId="60" fillId="23" borderId="9" applyAlignment="1" pivotButton="0" quotePrefix="0" xfId="0">
      <alignment horizontal="left" vertical="center"/>
    </xf>
    <xf numFmtId="171" fontId="45" fillId="12" borderId="4" applyAlignment="1" pivotButton="0" quotePrefix="0" xfId="0">
      <alignment horizontal="left" vertical="center"/>
    </xf>
    <xf numFmtId="0" fontId="34" fillId="22" borderId="11" applyAlignment="1" pivotButton="0" quotePrefix="0" xfId="0">
      <alignment horizontal="left" vertical="center"/>
    </xf>
    <xf numFmtId="0" fontId="57" fillId="22" borderId="9" applyAlignment="1" pivotButton="0" quotePrefix="0" xfId="0">
      <alignment horizontal="center" vertical="center"/>
    </xf>
    <xf numFmtId="166" fontId="48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61" fillId="17" borderId="9" applyAlignment="1" pivotButton="0" quotePrefix="0" xfId="0">
      <alignment horizontal="center" vertical="center"/>
    </xf>
    <xf numFmtId="0" fontId="57" fillId="23" borderId="9" applyAlignment="1" pivotButton="0" quotePrefix="0" xfId="0">
      <alignment horizontal="center" vertical="center"/>
    </xf>
    <xf numFmtId="166" fontId="48" fillId="23" borderId="9" applyAlignment="1" pivotButton="0" quotePrefix="0" xfId="0">
      <alignment horizontal="center" vertical="center"/>
    </xf>
    <xf numFmtId="0" fontId="20" fillId="23" borderId="9" applyAlignment="1" pivotButton="0" quotePrefix="0" xfId="0">
      <alignment horizontal="center" vertical="center"/>
    </xf>
    <xf numFmtId="167" fontId="34" fillId="34" borderId="9" applyAlignment="1" pivotButton="0" quotePrefix="0" xfId="0">
      <alignment horizontal="center" vertical="center"/>
    </xf>
    <xf numFmtId="166" fontId="61" fillId="28" borderId="9" applyAlignment="1" pivotButton="0" quotePrefix="0" xfId="0">
      <alignment horizontal="center" vertical="center"/>
    </xf>
    <xf numFmtId="0" fontId="62" fillId="12" borderId="4" applyAlignment="1" pivotButton="0" quotePrefix="0" xfId="0">
      <alignment horizontal="center" vertical="center"/>
    </xf>
    <xf numFmtId="167" fontId="45" fillId="12" borderId="9" applyAlignment="1" pivotButton="0" quotePrefix="0" xfId="0">
      <alignment horizontal="center" vertical="center"/>
    </xf>
    <xf numFmtId="166" fontId="63" fillId="12" borderId="9" applyAlignment="1" pivotButton="0" quotePrefix="0" xfId="0">
      <alignment horizontal="center" vertical="center"/>
    </xf>
    <xf numFmtId="0" fontId="59" fillId="22" borderId="9" applyAlignment="1" pivotButton="0" quotePrefix="0" xfId="0">
      <alignment horizontal="left" vertical="center"/>
    </xf>
    <xf numFmtId="166" fontId="64" fillId="22" borderId="9" applyAlignment="1" pivotButton="0" quotePrefix="0" xfId="0">
      <alignment horizontal="center" vertical="center"/>
    </xf>
    <xf numFmtId="167" fontId="34" fillId="22" borderId="9" applyAlignment="1" pivotButton="0" quotePrefix="0" xfId="0">
      <alignment horizontal="center" vertical="center"/>
    </xf>
    <xf numFmtId="166" fontId="40" fillId="17" borderId="9" applyAlignment="1" pivotButton="0" quotePrefix="0" xfId="0">
      <alignment horizontal="center" vertical="center"/>
    </xf>
    <xf numFmtId="168" fontId="34" fillId="22" borderId="9" applyAlignment="1" pivotButton="0" quotePrefix="0" xfId="0">
      <alignment horizontal="center" vertical="center"/>
    </xf>
    <xf numFmtId="166" fontId="65" fillId="20" borderId="9" applyAlignment="1" pivotButton="0" quotePrefix="0" xfId="0">
      <alignment horizontal="center" vertical="center"/>
    </xf>
    <xf numFmtId="0" fontId="59" fillId="23" borderId="9" applyAlignment="1" pivotButton="0" quotePrefix="0" xfId="0">
      <alignment horizontal="left" vertical="center"/>
    </xf>
    <xf numFmtId="166" fontId="64" fillId="23" borderId="9" applyAlignment="1" pivotButton="0" quotePrefix="0" xfId="0">
      <alignment horizontal="center" vertical="center"/>
    </xf>
    <xf numFmtId="167" fontId="34" fillId="23" borderId="9" applyAlignment="1" pivotButton="0" quotePrefix="0" xfId="0">
      <alignment horizontal="center" vertical="center"/>
    </xf>
    <xf numFmtId="166" fontId="40" fillId="28" borderId="9" applyAlignment="1" pivotButton="0" quotePrefix="0" xfId="0">
      <alignment horizontal="center" vertical="center"/>
    </xf>
    <xf numFmtId="168" fontId="34" fillId="23" borderId="9" applyAlignment="1" pivotButton="0" quotePrefix="0" xfId="0">
      <alignment horizontal="center" vertical="center"/>
    </xf>
    <xf numFmtId="166" fontId="65" fillId="29" borderId="9" applyAlignment="1" pivotButton="0" quotePrefix="0" xfId="0">
      <alignment horizontal="center" vertical="center"/>
    </xf>
    <xf numFmtId="167" fontId="45" fillId="21" borderId="9" applyAlignment="1" pivotButton="0" quotePrefix="0" xfId="0">
      <alignment horizontal="center" vertical="center"/>
    </xf>
    <xf numFmtId="167" fontId="46" fillId="19" borderId="9" applyAlignment="1" pivotButton="0" quotePrefix="0" xfId="0">
      <alignment horizontal="center" vertical="center"/>
    </xf>
    <xf numFmtId="167" fontId="66" fillId="17" borderId="9" applyAlignment="1" pivotButton="0" quotePrefix="0" xfId="0">
      <alignment horizontal="center" vertical="center"/>
    </xf>
    <xf numFmtId="166" fontId="67" fillId="18" borderId="9" applyAlignment="1" pivotButton="0" quotePrefix="0" xfId="0">
      <alignment horizontal="center" vertical="center"/>
    </xf>
    <xf numFmtId="167" fontId="48" fillId="19" borderId="11" applyAlignment="1" pivotButton="0" quotePrefix="0" xfId="0">
      <alignment horizontal="center" vertical="center"/>
    </xf>
    <xf numFmtId="166" fontId="37" fillId="21" borderId="11" applyAlignment="1" pivotButton="0" quotePrefix="0" xfId="0">
      <alignment horizontal="center" vertical="center"/>
    </xf>
    <xf numFmtId="171" fontId="34" fillId="22" borderId="9" applyAlignment="1" pivotButton="0" quotePrefix="0" xfId="0">
      <alignment horizontal="center" vertical="center"/>
    </xf>
    <xf numFmtId="166" fontId="68" fillId="18" borderId="9" applyAlignment="1" pivotButton="0" quotePrefix="0" xfId="0">
      <alignment horizontal="center" vertical="center"/>
    </xf>
    <xf numFmtId="167" fontId="48" fillId="34" borderId="11" applyAlignment="1" pivotButton="0" quotePrefix="0" xfId="0">
      <alignment horizontal="center" vertical="center"/>
    </xf>
    <xf numFmtId="166" fontId="37" fillId="35" borderId="11" applyAlignment="1" pivotButton="0" quotePrefix="0" xfId="0">
      <alignment horizontal="center" vertical="center"/>
    </xf>
    <xf numFmtId="171" fontId="34" fillId="23" borderId="9" applyAlignment="1" pivotButton="0" quotePrefix="0" xfId="0">
      <alignment horizontal="center" vertical="center"/>
    </xf>
    <xf numFmtId="166" fontId="68" fillId="33" borderId="9" applyAlignment="1" pivotButton="0" quotePrefix="0" xfId="0">
      <alignment horizontal="center" vertical="center"/>
    </xf>
    <xf numFmtId="0" fontId="56" fillId="16" borderId="9" applyAlignment="1" pivotButton="0" quotePrefix="0" xfId="0">
      <alignment horizontal="right" vertical="center"/>
    </xf>
    <xf numFmtId="0" fontId="46" fillId="22" borderId="11" applyAlignment="1" pivotButton="0" quotePrefix="0" xfId="0">
      <alignment horizontal="center" vertical="center"/>
    </xf>
    <xf numFmtId="0" fontId="64" fillId="23" borderId="9" applyAlignment="1" pivotButton="0" quotePrefix="0" xfId="0">
      <alignment horizontal="left" vertical="center"/>
    </xf>
    <xf numFmtId="0" fontId="39" fillId="23" borderId="9" applyAlignment="1" pivotButton="0" quotePrefix="0" xfId="0">
      <alignment horizontal="left" vertical="center"/>
    </xf>
    <xf numFmtId="166" fontId="39" fillId="23" borderId="9" applyAlignment="1" pivotButton="0" quotePrefix="0" xfId="0">
      <alignment horizontal="center" vertical="center"/>
    </xf>
    <xf numFmtId="0" fontId="39" fillId="22" borderId="9" applyAlignment="1" pivotButton="0" quotePrefix="0" xfId="0">
      <alignment horizontal="left" vertical="center"/>
    </xf>
    <xf numFmtId="166" fontId="39" fillId="22" borderId="9" applyAlignment="1" pivotButton="0" quotePrefix="0" xfId="0">
      <alignment horizontal="center" vertical="center"/>
    </xf>
    <xf numFmtId="0" fontId="69" fillId="20" borderId="9" applyAlignment="1" pivotButton="0" quotePrefix="0" xfId="0">
      <alignment horizontal="left" vertical="center"/>
    </xf>
    <xf numFmtId="0" fontId="61" fillId="17" borderId="9" applyAlignment="1" pivotButton="0" quotePrefix="0" xfId="0">
      <alignment horizontal="left" vertical="center"/>
    </xf>
    <xf numFmtId="0" fontId="40" fillId="21" borderId="9" applyAlignment="1" pivotButton="0" quotePrefix="0" xfId="0">
      <alignment horizontal="left" vertical="center"/>
    </xf>
    <xf numFmtId="168" fontId="64" fillId="21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8" fillId="19" borderId="9" applyAlignment="1" pivotButton="0" quotePrefix="0" xfId="0">
      <alignment horizontal="center" vertical="center"/>
    </xf>
    <xf numFmtId="0" fontId="48" fillId="19" borderId="9" applyAlignment="1" pivotButton="0" quotePrefix="0" xfId="0">
      <alignment horizontal="left" vertical="center"/>
    </xf>
    <xf numFmtId="168" fontId="34" fillId="19" borderId="9" applyAlignment="1" pivotButton="0" quotePrefix="0" xfId="0">
      <alignment horizontal="center" vertical="center"/>
    </xf>
    <xf numFmtId="167" fontId="59" fillId="22" borderId="9" applyAlignment="1" pivotButton="0" quotePrefix="0" xfId="0">
      <alignment horizontal="center" vertical="center"/>
    </xf>
    <xf numFmtId="166" fontId="59" fillId="23" borderId="9" applyAlignment="1" pivotButton="0" quotePrefix="0" xfId="0">
      <alignment horizontal="center" vertical="center"/>
    </xf>
    <xf numFmtId="166" fontId="34" fillId="20" borderId="9" applyAlignment="1" pivotButton="0" quotePrefix="0" xfId="0">
      <alignment horizontal="center" vertical="center"/>
    </xf>
    <xf numFmtId="166" fontId="34" fillId="17" borderId="9" applyAlignment="1" pivotButton="0" quotePrefix="0" xfId="0">
      <alignment horizontal="center" vertical="center"/>
    </xf>
    <xf numFmtId="0" fontId="37" fillId="23" borderId="9" applyAlignment="1" pivotButton="0" quotePrefix="0" xfId="0">
      <alignment horizontal="left" vertical="center"/>
    </xf>
    <xf numFmtId="0" fontId="64" fillId="22" borderId="9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5" applyAlignment="1" pivotButton="0" quotePrefix="0" xfId="0">
      <alignment horizontal="center" vertical="center"/>
    </xf>
    <xf numFmtId="0" fontId="5" fillId="6" borderId="15" applyAlignment="1" pivotButton="0" quotePrefix="0" xfId="0">
      <alignment horizontal="left" vertical="center"/>
    </xf>
    <xf numFmtId="164" fontId="5" fillId="6" borderId="15" applyAlignment="1" pivotButton="0" quotePrefix="0" xfId="0">
      <alignment horizontal="center" vertical="center"/>
    </xf>
    <xf numFmtId="165" fontId="6" fillId="6" borderId="15" applyAlignment="1" pivotButton="0" quotePrefix="0" xfId="0">
      <alignment horizontal="center" vertical="center"/>
    </xf>
    <xf numFmtId="165" fontId="5" fillId="6" borderId="15" applyAlignment="1" pivotButton="0" quotePrefix="0" xfId="0">
      <alignment horizontal="left" vertical="center"/>
    </xf>
    <xf numFmtId="0" fontId="5" fillId="7" borderId="15" applyAlignment="1" pivotButton="0" quotePrefix="0" xfId="0">
      <alignment horizontal="left" vertical="center"/>
    </xf>
    <xf numFmtId="164" fontId="5" fillId="7" borderId="15" applyAlignment="1" pivotButton="0" quotePrefix="0" xfId="0">
      <alignment horizontal="center" vertical="center"/>
    </xf>
    <xf numFmtId="165" fontId="6" fillId="7" borderId="15" applyAlignment="1" pivotButton="0" quotePrefix="0" xfId="0">
      <alignment horizontal="center" vertical="center"/>
    </xf>
    <xf numFmtId="165" fontId="5" fillId="7" borderId="15" applyAlignment="1" pivotButton="0" quotePrefix="0" xfId="0">
      <alignment horizontal="left" vertical="center"/>
    </xf>
    <xf numFmtId="0" fontId="4" fillId="5" borderId="15" applyAlignment="1" pivotButton="0" quotePrefix="0" xfId="0">
      <alignment horizontal="left" vertical="center"/>
    </xf>
    <xf numFmtId="164" fontId="4" fillId="5" borderId="15" applyAlignment="1" pivotButton="0" quotePrefix="0" xfId="0">
      <alignment horizontal="center" vertical="center"/>
    </xf>
    <xf numFmtId="165" fontId="4" fillId="5" borderId="15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5" fillId="6" borderId="15" applyAlignment="1" pivotButton="0" quotePrefix="0" xfId="0">
      <alignment horizontal="center" vertical="center"/>
    </xf>
    <xf numFmtId="0" fontId="5" fillId="8" borderId="15" applyAlignment="1" pivotButton="0" quotePrefix="0" xfId="0">
      <alignment horizontal="left" vertical="center"/>
    </xf>
    <xf numFmtId="0" fontId="5" fillId="8" borderId="15" applyAlignment="1" pivotButton="0" quotePrefix="0" xfId="0">
      <alignment horizontal="center" vertical="center"/>
    </xf>
    <xf numFmtId="165" fontId="5" fillId="8" borderId="15" applyAlignment="1" pivotButton="0" quotePrefix="0" xfId="0">
      <alignment horizontal="center" vertical="center"/>
    </xf>
    <xf numFmtId="0" fontId="5" fillId="9" borderId="15" applyAlignment="1" pivotButton="0" quotePrefix="0" xfId="0">
      <alignment horizontal="left" vertical="center"/>
    </xf>
    <xf numFmtId="0" fontId="5" fillId="9" borderId="15" applyAlignment="1" pivotButton="0" quotePrefix="0" xfId="0">
      <alignment horizontal="center" vertical="center"/>
    </xf>
    <xf numFmtId="165" fontId="5" fillId="9" borderId="15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165" fontId="5" fillId="6" borderId="15" applyAlignment="1" pivotButton="0" quotePrefix="0" xfId="0">
      <alignment horizontal="center" vertical="center"/>
    </xf>
    <xf numFmtId="165" fontId="5" fillId="7" borderId="15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0" fillId="11" borderId="15" applyAlignment="1" pivotButton="0" quotePrefix="0" xfId="0">
      <alignment horizontal="left" vertical="center"/>
    </xf>
    <xf numFmtId="0" fontId="0" fillId="11" borderId="15" applyAlignment="1" pivotButton="0" quotePrefix="0" xfId="0">
      <alignment horizontal="center" vertical="center"/>
    </xf>
    <xf numFmtId="165" fontId="0" fillId="11" borderId="15" applyAlignment="1" pivotButton="0" quotePrefix="0" xfId="0">
      <alignment horizontal="center" vertical="center"/>
    </xf>
    <xf numFmtId="0" fontId="8" fillId="6" borderId="15" applyAlignment="1" pivotButton="0" quotePrefix="0" xfId="0">
      <alignment horizontal="left" vertical="center"/>
    </xf>
    <xf numFmtId="165" fontId="8" fillId="6" borderId="15" applyAlignment="1" pivotButton="0" quotePrefix="0" xfId="0">
      <alignment horizontal="center" vertical="center"/>
    </xf>
    <xf numFmtId="164" fontId="8" fillId="6" borderId="15" applyAlignment="1" pivotButton="0" quotePrefix="0" xfId="0">
      <alignment horizontal="center" vertical="center"/>
    </xf>
    <xf numFmtId="0" fontId="8" fillId="7" borderId="15" applyAlignment="1" pivotButton="0" quotePrefix="0" xfId="0">
      <alignment horizontal="left" vertical="center"/>
    </xf>
    <xf numFmtId="165" fontId="8" fillId="7" borderId="15" applyAlignment="1" pivotButton="0" quotePrefix="0" xfId="0">
      <alignment horizontal="center" vertical="center"/>
    </xf>
    <xf numFmtId="164" fontId="8" fillId="7" borderId="1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</cellXfs>
  <cellStyles count="1">
    <cellStyle name="Normal" xfId="0" builtinId="0"/>
  </cellStyles>
  <dxfs count="14"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73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20" customWidth="1" min="4" max="4"/>
    <col width="20" customWidth="1" min="5" max="5"/>
    <col width="20" customWidth="1" min="6" max="6"/>
    <col width="24" customWidth="1" min="7" max="7"/>
    <col width="26" customWidth="1" min="8" max="8"/>
  </cols>
  <sheetData>
    <row r="1" ht="36" customHeight="1">
      <c r="B1" s="216" t="inlineStr">
        <is>
          <t>LOKA  —  CAPITAL, OWNERSHIP &amp; PRE-OPENING EXPENSES</t>
        </is>
      </c>
    </row>
    <row r="2" ht="24" customHeight="1">
      <c r="B2" s="2" t="inlineStr">
        <is>
          <t>Last updated: 22 May 2026 14:13  |  Blue = hardcoded inputs   Yellow = add new expenses here</t>
        </is>
      </c>
    </row>
    <row r="4" ht="26" customHeight="1">
      <c r="B4" s="217" t="inlineStr">
        <is>
          <t xml:space="preserve">  A.  OWNERSHIP STRUCTURE</t>
        </is>
      </c>
    </row>
    <row r="5" ht="22" customHeight="1">
      <c r="B5" s="218" t="inlineStr">
        <is>
          <t>Owner</t>
        </is>
      </c>
      <c r="C5" s="218" t="inlineStr">
        <is>
          <t>Share %</t>
        </is>
      </c>
      <c r="D5" s="218" t="inlineStr">
        <is>
          <t>Capital ($)</t>
        </is>
      </c>
      <c r="E5" s="218" t="inlineStr">
        <is>
          <t>Expenses ($)</t>
        </is>
      </c>
      <c r="F5" s="218" t="inlineStr">
        <is>
          <t>Remaining ($)</t>
        </is>
      </c>
      <c r="G5" s="218" t="inlineStr">
        <is>
          <t>Role / Notes</t>
        </is>
      </c>
    </row>
    <row r="6" ht="20" customHeight="1">
      <c r="B6" s="219" t="inlineStr">
        <is>
          <t>Lohith Reddy</t>
        </is>
      </c>
      <c r="C6" s="220" t="n">
        <v>0.5</v>
      </c>
      <c r="D6" s="221" t="n">
        <v>300000</v>
      </c>
      <c r="E6" s="222">
        <f>D47</f>
        <v/>
      </c>
      <c r="F6" s="222">
        <f>D6-E6</f>
        <v/>
      </c>
      <c r="G6" s="219" t="inlineStr">
        <is>
          <t>50% — Managing Partner</t>
        </is>
      </c>
    </row>
    <row r="7" ht="20" customHeight="1">
      <c r="B7" s="223" t="inlineStr">
        <is>
          <t>Kashigoud Patil</t>
        </is>
      </c>
      <c r="C7" s="224" t="n">
        <v>0.3</v>
      </c>
      <c r="D7" s="225" t="n">
        <v>180000</v>
      </c>
      <c r="E7" s="226">
        <f>D34</f>
        <v/>
      </c>
      <c r="F7" s="226">
        <f>D7-E7</f>
        <v/>
      </c>
      <c r="G7" s="223" t="inlineStr">
        <is>
          <t>30% — Partner</t>
        </is>
      </c>
    </row>
    <row r="8" ht="20" customHeight="1">
      <c r="B8" s="219" t="inlineStr">
        <is>
          <t>Shashirekha Basavaraju</t>
        </is>
      </c>
      <c r="C8" s="220" t="n">
        <v>0.2</v>
      </c>
      <c r="D8" s="221" t="n">
        <v>120000</v>
      </c>
      <c r="E8" s="222">
        <f>D59</f>
        <v/>
      </c>
      <c r="F8" s="222">
        <f>D8-E8</f>
        <v/>
      </c>
      <c r="G8" s="219" t="inlineStr">
        <is>
          <t>20% — Partner</t>
        </is>
      </c>
    </row>
    <row r="9" ht="22" customHeight="1">
      <c r="B9" s="227" t="inlineStr">
        <is>
          <t>TOTAL</t>
        </is>
      </c>
      <c r="C9" s="228">
        <f>SUM(C6:C8)</f>
        <v/>
      </c>
      <c r="D9" s="229">
        <f>SUM(D6:D8)</f>
        <v/>
      </c>
      <c r="E9" s="229">
        <f>SUM(E6:E8)</f>
        <v/>
      </c>
      <c r="F9" s="229">
        <f>SUM(F6:F8)</f>
        <v/>
      </c>
      <c r="G9" s="218" t="inlineStr"/>
    </row>
    <row r="11" ht="26" customHeight="1">
      <c r="B11" s="230" t="inlineStr">
        <is>
          <t xml:space="preserve">  B.  RESTAURANT ACQUISITION  —  $390,000 TOTAL</t>
        </is>
      </c>
    </row>
    <row r="12" ht="22" customHeight="1">
      <c r="B12" s="218" t="inlineStr">
        <is>
          <t>Description</t>
        </is>
      </c>
      <c r="C12" s="218" t="inlineStr">
        <is>
          <t>Date</t>
        </is>
      </c>
      <c r="D12" s="218" t="inlineStr">
        <is>
          <t>Amount ($)</t>
        </is>
      </c>
      <c r="E12" s="218" t="inlineStr">
        <is>
          <t>Paid By</t>
        </is>
      </c>
      <c r="F12" s="218" t="inlineStr">
        <is>
          <t>Status</t>
        </is>
      </c>
      <c r="G12" s="218" t="inlineStr">
        <is>
          <t>Notes</t>
        </is>
      </c>
    </row>
    <row r="13" ht="20" customHeight="1">
      <c r="B13" s="219" t="inlineStr">
        <is>
          <t>TOTAL Purchase Price — Previous Owners</t>
        </is>
      </c>
      <c r="C13" s="231" t="n"/>
      <c r="D13" s="221" t="n">
        <v>390000</v>
      </c>
      <c r="E13" s="219" t="inlineStr">
        <is>
          <t>All Partners</t>
        </is>
      </c>
      <c r="F13" s="219" t="inlineStr">
        <is>
          <t>⚠️ NOT YET FULLY PAID</t>
        </is>
      </c>
      <c r="G13" s="219" t="inlineStr">
        <is>
          <t>Full acquisition amount</t>
        </is>
      </c>
    </row>
    <row r="14" ht="20" customHeight="1">
      <c r="B14" s="232" t="inlineStr">
        <is>
          <t>Advance Payment (paid by Lohith)</t>
        </is>
      </c>
      <c r="C14" s="233" t="n"/>
      <c r="D14" s="234" t="n">
        <v>5000</v>
      </c>
      <c r="E14" s="232" t="inlineStr">
        <is>
          <t>Lohith Reddy</t>
        </is>
      </c>
      <c r="F14" s="232" t="inlineStr">
        <is>
          <t>✅ PAID</t>
        </is>
      </c>
      <c r="G14" s="232" t="inlineStr">
        <is>
          <t>Advance to previous owners</t>
        </is>
      </c>
    </row>
    <row r="15" ht="20" customHeight="1">
      <c r="B15" s="235" t="inlineStr">
        <is>
          <t>Balance Remaining</t>
        </is>
      </c>
      <c r="C15" s="236" t="n"/>
      <c r="D15" s="237">
        <f>D13-D14</f>
        <v/>
      </c>
      <c r="E15" s="235" t="inlineStr">
        <is>
          <t>—</t>
        </is>
      </c>
      <c r="F15" s="235" t="inlineStr">
        <is>
          <t>⏳ PENDING</t>
        </is>
      </c>
      <c r="G15" s="235" t="inlineStr">
        <is>
          <t>Funded by partner transfers</t>
        </is>
      </c>
    </row>
    <row r="17" ht="20" customHeight="1">
      <c r="B17" s="238" t="inlineStr">
        <is>
          <t xml:space="preserve">  PAYMENT BREAKDOWN  —  How the $390,000 will be funded</t>
        </is>
      </c>
    </row>
    <row r="18" ht="22" customHeight="1">
      <c r="B18" s="218" t="inlineStr">
        <is>
          <t>Source</t>
        </is>
      </c>
      <c r="C18" s="218" t="inlineStr">
        <is>
          <t>From</t>
        </is>
      </c>
      <c r="D18" s="218" t="inlineStr">
        <is>
          <t>Amount ($)</t>
        </is>
      </c>
      <c r="E18" s="218" t="inlineStr">
        <is>
          <t>Toward %</t>
        </is>
      </c>
      <c r="F18" s="218" t="inlineStr">
        <is>
          <t>Cumulative</t>
        </is>
      </c>
      <c r="G18" s="218" t="inlineStr">
        <is>
          <t>Notes</t>
        </is>
      </c>
    </row>
    <row r="19" ht="20" customHeight="1">
      <c r="B19" s="219" t="inlineStr">
        <is>
          <t>Kashigoud Transfer to Lohith</t>
        </is>
      </c>
      <c r="C19" s="219" t="inlineStr">
        <is>
          <t>Kashigoud Patil</t>
        </is>
      </c>
      <c r="D19" s="221" t="n">
        <v>125000</v>
      </c>
      <c r="E19" s="220">
        <f>D19/390000</f>
        <v/>
      </c>
      <c r="F19" s="239">
        <f>D19</f>
        <v/>
      </c>
      <c r="G19" s="219" t="inlineStr">
        <is>
          <t>Full Kashi transfer</t>
        </is>
      </c>
    </row>
    <row r="20" ht="20" customHeight="1">
      <c r="B20" s="223" t="inlineStr">
        <is>
          <t>Shashirekha Transfer to Lohith</t>
        </is>
      </c>
      <c r="C20" s="223" t="inlineStr">
        <is>
          <t>Shashirekha B.</t>
        </is>
      </c>
      <c r="D20" s="225" t="n">
        <v>100000</v>
      </c>
      <c r="E20" s="224">
        <f>D20/390000</f>
        <v/>
      </c>
      <c r="F20" s="240">
        <f>D19+D20</f>
        <v/>
      </c>
      <c r="G20" s="223" t="inlineStr">
        <is>
          <t>Full Shashi transfer</t>
        </is>
      </c>
    </row>
    <row r="21" ht="20" customHeight="1">
      <c r="B21" s="219" t="inlineStr">
        <is>
          <t>Lohith Reddy (own funds)</t>
        </is>
      </c>
      <c r="C21" s="219" t="inlineStr">
        <is>
          <t>Lohith Reddy</t>
        </is>
      </c>
      <c r="D21" s="239">
        <f>390000-D19-D20</f>
        <v/>
      </c>
      <c r="E21" s="220">
        <f>D21/390000</f>
        <v/>
      </c>
      <c r="F21" s="239">
        <f>D20+D21</f>
        <v/>
      </c>
      <c r="G21" s="219" t="inlineStr">
        <is>
          <t>Balance from Lohith</t>
        </is>
      </c>
    </row>
    <row r="22" ht="20" customHeight="1">
      <c r="B22" s="223" t="inlineStr">
        <is>
          <t>Advance Already Paid</t>
        </is>
      </c>
      <c r="C22" s="223" t="inlineStr">
        <is>
          <t>Lohith Reddy</t>
        </is>
      </c>
      <c r="D22" s="225" t="n">
        <v>5000</v>
      </c>
      <c r="E22" s="224">
        <f>D22/390000</f>
        <v/>
      </c>
      <c r="F22" s="241" t="inlineStr">
        <is>
          <t>Paid ✅</t>
        </is>
      </c>
      <c r="G22" s="223" t="inlineStr">
        <is>
          <t>Already paid</t>
        </is>
      </c>
    </row>
    <row r="24" ht="26" customHeight="1">
      <c r="B24" s="217" t="inlineStr">
        <is>
          <t xml:space="preserve">  C.  PRE-OPENING EXPENSES — KASHIGOUD PATIL</t>
        </is>
      </c>
    </row>
    <row r="25" ht="22" customHeight="1">
      <c r="B25" s="218" t="inlineStr">
        <is>
          <t>Description</t>
        </is>
      </c>
      <c r="C25" s="218" t="inlineStr">
        <is>
          <t>Date</t>
        </is>
      </c>
      <c r="D25" s="218" t="inlineStr">
        <is>
          <t>Amount ($)</t>
        </is>
      </c>
      <c r="E25" s="218" t="inlineStr">
        <is>
          <t>Paid To</t>
        </is>
      </c>
      <c r="F25" s="218" t="inlineStr">
        <is>
          <t>Category</t>
        </is>
      </c>
      <c r="G25" s="218" t="inlineStr">
        <is>
          <t>Notes</t>
        </is>
      </c>
    </row>
    <row r="26" ht="20" customHeight="1">
      <c r="B26" s="219" t="inlineStr">
        <is>
          <t>Transfer to Lohith Reddy (capital allocation)</t>
        </is>
      </c>
      <c r="C26" s="231" t="n"/>
      <c r="D26" s="221" t="n">
        <v>125000</v>
      </c>
      <c r="E26" s="219" t="inlineStr">
        <is>
          <t>Bank → Lohith</t>
        </is>
      </c>
      <c r="F26" s="219" t="inlineStr">
        <is>
          <t>Internal Transfer</t>
        </is>
      </c>
      <c r="G26" s="219" t="inlineStr">
        <is>
          <t>For acquisition &amp; expenses</t>
        </is>
      </c>
    </row>
    <row r="27" ht="20" customHeight="1">
      <c r="B27" s="223" t="inlineStr">
        <is>
          <t>Soft Restaurant License &amp; Tools</t>
        </is>
      </c>
      <c r="C27" s="241" t="n"/>
      <c r="D27" s="225" t="n">
        <v>15195</v>
      </c>
      <c r="E27" s="223" t="inlineStr">
        <is>
          <t>Soft App</t>
        </is>
      </c>
      <c r="F27" s="223" t="inlineStr">
        <is>
          <t>Software / License</t>
        </is>
      </c>
      <c r="G27" s="223" t="inlineStr">
        <is>
          <t>POS + mgmt tools</t>
        </is>
      </c>
    </row>
    <row r="28" ht="20" customHeight="1">
      <c r="B28" s="219" t="inlineStr">
        <is>
          <t>Mercado Pago Terminal</t>
        </is>
      </c>
      <c r="C28" s="231" t="n"/>
      <c r="D28" s="221" t="n">
        <v>500</v>
      </c>
      <c r="E28" s="219" t="inlineStr">
        <is>
          <t>Mercado Pago</t>
        </is>
      </c>
      <c r="F28" s="219" t="inlineStr">
        <is>
          <t>Equipment</t>
        </is>
      </c>
      <c r="G28" s="219" t="inlineStr">
        <is>
          <t>Card payment terminal</t>
        </is>
      </c>
    </row>
    <row r="29" ht="20" customHeight="1">
      <c r="B29" s="242" t="n"/>
      <c r="C29" s="243" t="n"/>
      <c r="D29" s="244" t="n"/>
      <c r="E29" s="242" t="n"/>
      <c r="F29" s="242" t="n"/>
      <c r="G29" s="242" t="n"/>
    </row>
    <row r="30" ht="20" customHeight="1">
      <c r="B30" s="242" t="n"/>
      <c r="C30" s="243" t="n"/>
      <c r="D30" s="244" t="n"/>
      <c r="E30" s="242" t="n"/>
      <c r="F30" s="242" t="n"/>
      <c r="G30" s="242" t="n"/>
    </row>
    <row r="31" ht="20" customHeight="1">
      <c r="B31" s="242" t="n"/>
      <c r="C31" s="243" t="n"/>
      <c r="D31" s="244" t="n"/>
      <c r="E31" s="242" t="n"/>
      <c r="F31" s="242" t="n"/>
      <c r="G31" s="242" t="n"/>
    </row>
    <row r="32" ht="20" customHeight="1">
      <c r="B32" s="242" t="n"/>
      <c r="C32" s="243" t="n"/>
      <c r="D32" s="244" t="n"/>
      <c r="E32" s="242" t="n"/>
      <c r="F32" s="242" t="n"/>
      <c r="G32" s="242" t="n"/>
    </row>
    <row r="33" ht="20" customHeight="1">
      <c r="B33" s="242" t="n"/>
      <c r="C33" s="243" t="n"/>
      <c r="D33" s="244" t="n"/>
      <c r="E33" s="242" t="n"/>
      <c r="F33" s="242" t="n"/>
      <c r="G33" s="242" t="n"/>
    </row>
    <row r="34" ht="22" customHeight="1">
      <c r="B34" s="227" t="inlineStr">
        <is>
          <t>KASHIGOUD TOTAL</t>
        </is>
      </c>
      <c r="C34" s="218" t="inlineStr"/>
      <c r="D34" s="229">
        <f>SUM(D26:D33)</f>
        <v/>
      </c>
      <c r="E34" s="218" t="inlineStr"/>
      <c r="F34" s="218" t="inlineStr"/>
      <c r="G34" s="218" t="inlineStr"/>
    </row>
    <row r="36" ht="26" customHeight="1">
      <c r="B36" s="217" t="inlineStr">
        <is>
          <t xml:space="preserve">  D.  PRE-OPENING EXPENSES — LOHITH REDDY</t>
        </is>
      </c>
    </row>
    <row r="37" ht="22" customHeight="1">
      <c r="B37" s="218" t="inlineStr">
        <is>
          <t>Description</t>
        </is>
      </c>
      <c r="C37" s="218" t="inlineStr">
        <is>
          <t>Date</t>
        </is>
      </c>
      <c r="D37" s="218" t="inlineStr">
        <is>
          <t>Amount ($)</t>
        </is>
      </c>
      <c r="E37" s="218" t="inlineStr">
        <is>
          <t>Paid To</t>
        </is>
      </c>
      <c r="F37" s="218" t="inlineStr">
        <is>
          <t>Category</t>
        </is>
      </c>
      <c r="G37" s="218" t="inlineStr">
        <is>
          <t>Notes</t>
        </is>
      </c>
    </row>
    <row r="38" ht="20" customHeight="1">
      <c r="B38" s="219" t="inlineStr">
        <is>
          <t>Advance Payment to Previous Owners</t>
        </is>
      </c>
      <c r="C38" s="231" t="n"/>
      <c r="D38" s="221" t="n">
        <v>5000</v>
      </c>
      <c r="E38" s="219" t="inlineStr">
        <is>
          <t>Previous Owners</t>
        </is>
      </c>
      <c r="F38" s="219" t="inlineStr">
        <is>
          <t>Acquisition</t>
        </is>
      </c>
      <c r="G38" s="219" t="inlineStr">
        <is>
          <t>5k advance on 390k purchase</t>
        </is>
      </c>
    </row>
    <row r="39" ht="20" customHeight="1">
      <c r="B39" s="223" t="inlineStr">
        <is>
          <t>Notary Fees</t>
        </is>
      </c>
      <c r="C39" s="241" t="n"/>
      <c r="D39" s="225" t="n">
        <v>15797</v>
      </c>
      <c r="E39" s="223" t="inlineStr">
        <is>
          <t>Notary Office</t>
        </is>
      </c>
      <c r="F39" s="223" t="inlineStr">
        <is>
          <t>Legal / Notary</t>
        </is>
      </c>
      <c r="G39" s="223" t="inlineStr">
        <is>
          <t>Notarization of purchase docs</t>
        </is>
      </c>
    </row>
    <row r="40" ht="20" customHeight="1">
      <c r="B40" s="219" t="inlineStr">
        <is>
          <t>Poliza Juridica (Legal Policy)</t>
        </is>
      </c>
      <c r="C40" s="231" t="n"/>
      <c r="D40" s="221" t="n">
        <v>5150</v>
      </c>
      <c r="E40" s="219" t="inlineStr">
        <is>
          <t>Legal Office</t>
        </is>
      </c>
      <c r="F40" s="219" t="inlineStr">
        <is>
          <t>Legal / Insurance</t>
        </is>
      </c>
      <c r="G40" s="219" t="inlineStr">
        <is>
          <t>Juridical property policy</t>
        </is>
      </c>
    </row>
    <row r="41" ht="20" customHeight="1">
      <c r="B41" s="223" t="inlineStr">
        <is>
          <t>Alejandra — Documentation Asst.</t>
        </is>
      </c>
      <c r="C41" s="241" t="n"/>
      <c r="D41" s="225" t="n">
        <v>3000</v>
      </c>
      <c r="E41" s="223" t="inlineStr">
        <is>
          <t>Alejandra</t>
        </is>
      </c>
      <c r="F41" s="223" t="inlineStr">
        <is>
          <t>Professional Services</t>
        </is>
      </c>
      <c r="G41" s="223" t="inlineStr">
        <is>
          <t>Paperwork &amp; documentation</t>
        </is>
      </c>
    </row>
    <row r="42" ht="20" customHeight="1">
      <c r="B42" s="242" t="n"/>
      <c r="C42" s="243" t="n"/>
      <c r="D42" s="244" t="n"/>
      <c r="E42" s="242" t="n"/>
      <c r="F42" s="242" t="n"/>
      <c r="G42" s="242" t="n"/>
    </row>
    <row r="43" ht="20" customHeight="1">
      <c r="B43" s="242" t="n"/>
      <c r="C43" s="243" t="n"/>
      <c r="D43" s="244" t="n"/>
      <c r="E43" s="242" t="n"/>
      <c r="F43" s="242" t="n"/>
      <c r="G43" s="242" t="n"/>
    </row>
    <row r="44" ht="20" customHeight="1">
      <c r="B44" s="242" t="n"/>
      <c r="C44" s="243" t="n"/>
      <c r="D44" s="244" t="n"/>
      <c r="E44" s="242" t="n"/>
      <c r="F44" s="242" t="n"/>
      <c r="G44" s="242" t="n"/>
    </row>
    <row r="45" ht="20" customHeight="1">
      <c r="B45" s="242" t="n"/>
      <c r="C45" s="243" t="n"/>
      <c r="D45" s="244" t="n"/>
      <c r="E45" s="242" t="n"/>
      <c r="F45" s="242" t="n"/>
      <c r="G45" s="242" t="n"/>
    </row>
    <row r="46" ht="20" customHeight="1">
      <c r="B46" s="242" t="n"/>
      <c r="C46" s="243" t="n"/>
      <c r="D46" s="244" t="n"/>
      <c r="E46" s="242" t="n"/>
      <c r="F46" s="242" t="n"/>
      <c r="G46" s="242" t="n"/>
    </row>
    <row r="47" ht="22" customHeight="1">
      <c r="B47" s="227" t="inlineStr">
        <is>
          <t>LOHITH TOTAL</t>
        </is>
      </c>
      <c r="C47" s="218" t="inlineStr"/>
      <c r="D47" s="229">
        <f>SUM(D38:D46)</f>
        <v/>
      </c>
      <c r="E47" s="218" t="inlineStr"/>
      <c r="F47" s="218" t="inlineStr"/>
      <c r="G47" s="218" t="inlineStr"/>
    </row>
    <row r="49" ht="26" customHeight="1">
      <c r="B49" s="217" t="inlineStr">
        <is>
          <t xml:space="preserve">  E.  PRE-OPENING EXPENSES — SHASHIREKHA BASAVARAJU</t>
        </is>
      </c>
    </row>
    <row r="50" ht="22" customHeight="1">
      <c r="B50" s="218" t="inlineStr">
        <is>
          <t>Description</t>
        </is>
      </c>
      <c r="C50" s="218" t="inlineStr">
        <is>
          <t>Date</t>
        </is>
      </c>
      <c r="D50" s="218" t="inlineStr">
        <is>
          <t>Amount ($)</t>
        </is>
      </c>
      <c r="E50" s="218" t="inlineStr">
        <is>
          <t>Paid To</t>
        </is>
      </c>
      <c r="F50" s="218" t="inlineStr">
        <is>
          <t>Category</t>
        </is>
      </c>
      <c r="G50" s="218" t="inlineStr">
        <is>
          <t>Notes</t>
        </is>
      </c>
    </row>
    <row r="51" ht="20" customHeight="1">
      <c r="B51" s="219" t="inlineStr">
        <is>
          <t>Transfer to Lohith Reddy (capital allocation)</t>
        </is>
      </c>
      <c r="C51" s="231" t="n"/>
      <c r="D51" s="221" t="n">
        <v>100000</v>
      </c>
      <c r="E51" s="219" t="inlineStr">
        <is>
          <t>Bank → Lohith</t>
        </is>
      </c>
      <c r="F51" s="219" t="inlineStr">
        <is>
          <t>Internal Transfer</t>
        </is>
      </c>
      <c r="G51" s="219" t="inlineStr">
        <is>
          <t>For acquisition &amp; expenses</t>
        </is>
      </c>
    </row>
    <row r="52" ht="20" customHeight="1">
      <c r="B52" s="242" t="n"/>
      <c r="C52" s="243" t="n"/>
      <c r="D52" s="244" t="n"/>
      <c r="E52" s="242" t="n"/>
      <c r="F52" s="242" t="n"/>
      <c r="G52" s="242" t="n"/>
    </row>
    <row r="53" ht="20" customHeight="1">
      <c r="B53" s="242" t="n"/>
      <c r="C53" s="243" t="n"/>
      <c r="D53" s="244" t="n"/>
      <c r="E53" s="242" t="n"/>
      <c r="F53" s="242" t="n"/>
      <c r="G53" s="242" t="n"/>
    </row>
    <row r="54" ht="20" customHeight="1">
      <c r="B54" s="242" t="n"/>
      <c r="C54" s="243" t="n"/>
      <c r="D54" s="244" t="n"/>
      <c r="E54" s="242" t="n"/>
      <c r="F54" s="242" t="n"/>
      <c r="G54" s="242" t="n"/>
    </row>
    <row r="55" ht="20" customHeight="1">
      <c r="B55" s="242" t="n"/>
      <c r="C55" s="243" t="n"/>
      <c r="D55" s="244" t="n"/>
      <c r="E55" s="242" t="n"/>
      <c r="F55" s="242" t="n"/>
      <c r="G55" s="242" t="n"/>
    </row>
    <row r="56" ht="20" customHeight="1">
      <c r="B56" s="242" t="n"/>
      <c r="C56" s="243" t="n"/>
      <c r="D56" s="244" t="n"/>
      <c r="E56" s="242" t="n"/>
      <c r="F56" s="242" t="n"/>
      <c r="G56" s="242" t="n"/>
    </row>
    <row r="57" ht="20" customHeight="1">
      <c r="B57" s="242" t="n"/>
      <c r="C57" s="243" t="n"/>
      <c r="D57" s="244" t="n"/>
      <c r="E57" s="242" t="n"/>
      <c r="F57" s="242" t="n"/>
      <c r="G57" s="242" t="n"/>
    </row>
    <row r="58" ht="20" customHeight="1">
      <c r="B58" s="242" t="n"/>
      <c r="C58" s="243" t="n"/>
      <c r="D58" s="244" t="n"/>
      <c r="E58" s="242" t="n"/>
      <c r="F58" s="242" t="n"/>
      <c r="G58" s="242" t="n"/>
    </row>
    <row r="59" ht="22" customHeight="1">
      <c r="B59" s="227" t="inlineStr">
        <is>
          <t>SHASHIREKHA TOTAL</t>
        </is>
      </c>
      <c r="C59" s="218" t="inlineStr"/>
      <c r="D59" s="229">
        <f>SUM(D51:D58)</f>
        <v/>
      </c>
      <c r="E59" s="218" t="inlineStr"/>
      <c r="F59" s="218" t="inlineStr"/>
      <c r="G59" s="218" t="inlineStr"/>
    </row>
    <row r="61" ht="26" customHeight="1">
      <c r="B61" s="217" t="inlineStr">
        <is>
          <t xml:space="preserve">  F.  GRAND SUMMARY — CAPITAL DEPLOYMENT</t>
        </is>
      </c>
    </row>
    <row r="62" ht="22" customHeight="1">
      <c r="B62" s="218" t="inlineStr">
        <is>
          <t>Line Item</t>
        </is>
      </c>
      <c r="C62" s="218" t="inlineStr">
        <is>
          <t>Amount ($)</t>
        </is>
      </c>
      <c r="D62" s="218" t="inlineStr">
        <is>
          <t>% of Budget</t>
        </is>
      </c>
      <c r="E62" s="218" t="inlineStr">
        <is>
          <t>Notes</t>
        </is>
      </c>
      <c r="F62" s="218" t="inlineStr"/>
      <c r="G62" s="218" t="inlineStr"/>
    </row>
    <row r="63" ht="20" customHeight="1">
      <c r="B63" s="245" t="inlineStr">
        <is>
          <t>Total Budget (All Partners)</t>
        </is>
      </c>
      <c r="C63" s="246">
        <f>SUM(D6:D8)</f>
        <v/>
      </c>
      <c r="D63" s="247">
        <f>C63/$C$63</f>
        <v/>
      </c>
      <c r="E63" s="245" t="inlineStr">
        <is>
          <t>100% of committed capital</t>
        </is>
      </c>
    </row>
    <row r="64" ht="20" customHeight="1">
      <c r="B64" s="248" t="inlineStr">
        <is>
          <t>Restaurant Acquisition — Full Price</t>
        </is>
      </c>
      <c r="C64" s="249">
        <f>D13</f>
        <v/>
      </c>
      <c r="D64" s="250">
        <f>C64/$C$63</f>
        <v/>
      </c>
      <c r="E64" s="248" t="inlineStr">
        <is>
          <t>To be paid to previous owners</t>
        </is>
      </c>
    </row>
    <row r="65" ht="20" customHeight="1">
      <c r="B65" s="245" t="inlineStr">
        <is>
          <t xml:space="preserve">  → Advance Paid (by Lohith)</t>
        </is>
      </c>
      <c r="C65" s="246">
        <f>D14</f>
        <v/>
      </c>
      <c r="D65" s="247">
        <f>C65/$C$63</f>
        <v/>
      </c>
      <c r="E65" s="245" t="inlineStr">
        <is>
          <t>✅ Already paid</t>
        </is>
      </c>
    </row>
    <row r="66" ht="20" customHeight="1">
      <c r="B66" s="248" t="inlineStr">
        <is>
          <t xml:space="preserve">  → Balance Remaining</t>
        </is>
      </c>
      <c r="C66" s="249">
        <f>D15</f>
        <v/>
      </c>
      <c r="D66" s="250">
        <f>C66/$C$63</f>
        <v/>
      </c>
      <c r="E66" s="248" t="inlineStr">
        <is>
          <t>⏳ Pending — funded by transfers</t>
        </is>
      </c>
    </row>
    <row r="67" ht="20" customHeight="1">
      <c r="B67" s="245" t="inlineStr">
        <is>
          <t>Kashigoud — Ops Expenses (excl. transfer)</t>
        </is>
      </c>
      <c r="C67" s="246">
        <f>D27+D28</f>
        <v/>
      </c>
      <c r="D67" s="247">
        <f>C67/$C$63</f>
        <v/>
      </c>
      <c r="E67" s="245" t="inlineStr">
        <is>
          <t>Soft license + terminal</t>
        </is>
      </c>
    </row>
    <row r="68" ht="20" customHeight="1">
      <c r="B68" s="248" t="inlineStr">
        <is>
          <t>Kashigoud → Lohith Transfer</t>
        </is>
      </c>
      <c r="C68" s="249">
        <f>D26</f>
        <v/>
      </c>
      <c r="D68" s="250">
        <f>C68/$C$63</f>
        <v/>
      </c>
      <c r="E68" s="248" t="inlineStr">
        <is>
          <t>Toward acquisition</t>
        </is>
      </c>
    </row>
    <row r="69" ht="20" customHeight="1">
      <c r="B69" s="245" t="inlineStr">
        <is>
          <t>Lohith — All Pre-Opening Expenses</t>
        </is>
      </c>
      <c r="C69" s="246">
        <f>D47</f>
        <v/>
      </c>
      <c r="D69" s="247">
        <f>C69/$C$63</f>
        <v/>
      </c>
      <c r="E69" s="245" t="inlineStr">
        <is>
          <t>Advance + Notary + Poliza + Alejandra</t>
        </is>
      </c>
    </row>
    <row r="70" ht="20" customHeight="1">
      <c r="B70" s="248" t="inlineStr">
        <is>
          <t>Shashirekha → Lohith Transfer</t>
        </is>
      </c>
      <c r="C70" s="249">
        <f>D51</f>
        <v/>
      </c>
      <c r="D70" s="250">
        <f>C70/$C$63</f>
        <v/>
      </c>
      <c r="E70" s="248" t="inlineStr">
        <is>
          <t>Toward acquisition</t>
        </is>
      </c>
    </row>
    <row r="71" ht="20" customHeight="1">
      <c r="B71" s="245" t="inlineStr">
        <is>
          <t>Shashirekha — Other Expenses</t>
        </is>
      </c>
      <c r="C71" s="246">
        <f>SUM(D52:D58)</f>
        <v/>
      </c>
      <c r="D71" s="247">
        <f>C71/$C$63</f>
        <v/>
      </c>
      <c r="E71" s="245" t="inlineStr">
        <is>
          <t>Yellow rows above</t>
        </is>
      </c>
    </row>
    <row r="72" ht="20" customHeight="1">
      <c r="B72" s="227" t="inlineStr">
        <is>
          <t>TOTAL CASH OUT (excl. internal transfers)</t>
        </is>
      </c>
      <c r="C72" s="229">
        <f>C64+C67+C69+C71</f>
        <v/>
      </c>
      <c r="D72" s="228">
        <f>C72/$C$63</f>
        <v/>
      </c>
      <c r="E72" s="227" t="inlineStr">
        <is>
          <t>Actual cash leaving the partnership</t>
        </is>
      </c>
    </row>
    <row r="73" ht="20" customHeight="1">
      <c r="B73" s="227" t="inlineStr">
        <is>
          <t>REMAINING UNALLOCATED BUDGET</t>
        </is>
      </c>
      <c r="C73" s="229">
        <f>C63-C72</f>
        <v/>
      </c>
      <c r="D73" s="228">
        <f>C73/$C$63</f>
        <v/>
      </c>
      <c r="E73" s="227" t="inlineStr">
        <is>
          <t>Available for operations</t>
        </is>
      </c>
    </row>
  </sheetData>
  <mergeCells count="9">
    <mergeCell ref="B1:H1"/>
    <mergeCell ref="B2:H2"/>
    <mergeCell ref="B4:H4"/>
    <mergeCell ref="B11:H11"/>
    <mergeCell ref="B17:H17"/>
    <mergeCell ref="B24:H24"/>
    <mergeCell ref="B36:H36"/>
    <mergeCell ref="B49:H49"/>
    <mergeCell ref="B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40"/>
  <sheetViews>
    <sheetView showGridLines="0" zoomScale="100" zoomScaleNormal="100" workbookViewId="0">
      <selection activeCell="A1" sqref="A1"/>
    </sheetView>
  </sheetViews>
  <sheetFormatPr baseColWidth="8" defaultColWidth="8.6640625" defaultRowHeight="14.4" customHeight="1" outlineLevelRow="0"/>
  <cols>
    <col width="2" customWidth="1" min="1" max="1"/>
    <col width="16" customWidth="1" min="2" max="2"/>
    <col width="14" customWidth="1" min="3" max="6"/>
    <col width="2" customWidth="1" min="7" max="7"/>
    <col width="16" customWidth="1" min="8" max="8"/>
    <col width="14" customWidth="1" min="9" max="12"/>
    <col width="2" customWidth="1" min="13" max="14"/>
  </cols>
  <sheetData>
    <row r="1" ht="4.5" customHeight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37.5" customHeight="1">
      <c r="A2" s="36" t="inlineStr">
        <is>
          <t>🍽️  LOKA Cafe Restaurante</t>
        </is>
      </c>
      <c r="H2" s="37" t="inlineStr">
        <is>
          <t>Restaurant Manager — powered by Soft + Excel</t>
        </is>
      </c>
    </row>
    <row r="3" ht="3.75" customHeight="1">
      <c r="A3" s="38" t="n"/>
    </row>
    <row r="4" ht="7.5" customHeight="1"/>
    <row r="5" ht="36" customHeight="1">
      <c r="B5" s="39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51" t="n"/>
      <c r="D5" s="251" t="n"/>
      <c r="E5" s="251" t="n"/>
      <c r="F5" s="251" t="n"/>
      <c r="G5" s="251" t="n"/>
      <c r="H5" s="251" t="n"/>
      <c r="I5" s="251" t="n"/>
      <c r="J5" s="251" t="n"/>
      <c r="K5" s="251" t="n"/>
      <c r="L5" s="251" t="n"/>
      <c r="M5" s="251" t="n"/>
    </row>
    <row r="6" ht="9.75" customHeight="1"/>
    <row r="7" ht="19.5" customHeight="1">
      <c r="B7" s="41" t="inlineStr">
        <is>
          <t xml:space="preserve">  💰  REVENUE  (auto-pulled from Daily Log)</t>
        </is>
      </c>
      <c r="C7" s="251" t="n"/>
      <c r="D7" s="251" t="n"/>
      <c r="E7" s="251" t="n"/>
      <c r="F7" s="251" t="n"/>
      <c r="G7" s="251" t="n"/>
      <c r="H7" s="251" t="n"/>
      <c r="I7" s="251" t="n"/>
      <c r="J7" s="251" t="n"/>
      <c r="K7" s="251" t="n"/>
      <c r="L7" s="251" t="n"/>
      <c r="M7" s="251" t="n"/>
    </row>
    <row r="8" ht="6" customHeight="1"/>
    <row r="9" ht="18" customHeight="1">
      <c r="B9" s="42" t="inlineStr">
        <is>
          <t>TODAY'S REVENUE</t>
        </is>
      </c>
      <c r="C9" s="252" t="n"/>
      <c r="D9" s="42" t="inlineStr">
        <is>
          <t>WEEK REVENUE</t>
        </is>
      </c>
      <c r="E9" s="252" t="n"/>
      <c r="F9" s="42" t="inlineStr">
        <is>
          <t>MONTH REVENUE</t>
        </is>
      </c>
      <c r="G9" s="252" t="n"/>
      <c r="H9" s="42" t="inlineStr">
        <is>
          <t>TODAY'S EXPENSES</t>
        </is>
      </c>
      <c r="I9" s="252" t="n"/>
      <c r="J9" s="42" t="inlineStr">
        <is>
          <t>TODAY'S NET PROFIT</t>
        </is>
      </c>
      <c r="K9" s="252" t="n"/>
      <c r="L9" s="42" t="inlineStr">
        <is>
          <t>AVG TICKET</t>
        </is>
      </c>
      <c r="M9" s="252" t="n"/>
    </row>
    <row r="10" ht="19.5" customHeight="1">
      <c r="B10" s="44">
        <f>'📅 Daily Log'!E5</f>
        <v/>
      </c>
      <c r="C10" s="253" t="n"/>
      <c r="D10" s="46">
        <f>'📅 Daily Log'!N5</f>
        <v/>
      </c>
      <c r="E10" s="253" t="n"/>
      <c r="F10" s="47">
        <f>'📅 Daily Log'!O5</f>
        <v/>
      </c>
      <c r="G10" s="253" t="n"/>
      <c r="H10" s="48">
        <f>'💸 Expenses'!H5</f>
        <v/>
      </c>
      <c r="I10" s="253" t="n"/>
      <c r="J10" s="44">
        <f>'💸 Expenses'!H6</f>
        <v/>
      </c>
      <c r="K10" s="253" t="n"/>
      <c r="L10" s="49">
        <f>'📅 Daily Log'!G5</f>
        <v/>
      </c>
      <c r="M10" s="253" t="n"/>
    </row>
    <row r="11" ht="19.5" customHeight="1">
      <c r="B11" s="254" t="n"/>
      <c r="D11" s="254" t="n"/>
      <c r="F11" s="254" t="n"/>
      <c r="H11" s="254" t="n"/>
      <c r="J11" s="254" t="n"/>
      <c r="L11" s="254" t="n"/>
    </row>
    <row r="12" ht="19.5" customHeight="1">
      <c r="B12" s="254" t="n"/>
      <c r="D12" s="254" t="n"/>
      <c r="F12" s="254" t="n"/>
      <c r="H12" s="254" t="n"/>
      <c r="J12" s="254" t="n"/>
      <c r="L12" s="254" t="n"/>
    </row>
    <row r="13" ht="9.75" customHeight="1"/>
    <row r="14" ht="19.5" customHeight="1">
      <c r="B14" s="41" t="inlineStr">
        <is>
          <t xml:space="preserve">  📊  OPERATIONS</t>
        </is>
      </c>
      <c r="C14" s="251" t="n"/>
      <c r="D14" s="251" t="n"/>
      <c r="E14" s="251" t="n"/>
      <c r="F14" s="251" t="n"/>
      <c r="G14" s="251" t="n"/>
      <c r="H14" s="251" t="n"/>
      <c r="I14" s="251" t="n"/>
      <c r="J14" s="251" t="n"/>
      <c r="K14" s="251" t="n"/>
      <c r="L14" s="251" t="n"/>
      <c r="M14" s="251" t="n"/>
    </row>
    <row r="15" ht="6" customHeight="1"/>
    <row r="16" ht="18" customHeight="1">
      <c r="B16" s="42" t="inlineStr">
        <is>
          <t>TODAY'S ORDERS</t>
        </is>
      </c>
      <c r="C16" s="252" t="n"/>
      <c r="D16" s="42" t="inlineStr">
        <is>
          <t>WEEK ORDERS</t>
        </is>
      </c>
      <c r="E16" s="252" t="n"/>
      <c r="F16" s="42" t="inlineStr">
        <is>
          <t>PROFIT MARGIN %</t>
        </is>
      </c>
      <c r="G16" s="252" t="n"/>
      <c r="H16" s="42" t="inlineStr">
        <is>
          <t>LOW STOCK ITEMS</t>
        </is>
      </c>
      <c r="I16" s="252" t="n"/>
      <c r="J16" s="42" t="inlineStr">
        <is>
          <t>WEEK EXPENSES</t>
        </is>
      </c>
      <c r="K16" s="252" t="n"/>
      <c r="L16" s="42" t="inlineStr">
        <is>
          <t>PENDING ORDERS</t>
        </is>
      </c>
      <c r="M16" s="252" t="n"/>
    </row>
    <row r="17" ht="19.5" customHeight="1">
      <c r="B17" s="51">
        <f>'📅 Daily Log'!F5</f>
        <v/>
      </c>
      <c r="C17" s="253" t="n"/>
      <c r="D17" s="51">
        <f>'📅 Daily Log'!P5</f>
        <v/>
      </c>
      <c r="E17" s="253" t="n"/>
      <c r="F17" s="52">
        <f>IFERROR(('📅 Daily Log'!E5-'💸 Expenses'!H5)/'📅 Daily Log'!E5,0)</f>
        <v/>
      </c>
      <c r="G17" s="253" t="n"/>
      <c r="H17" s="53">
        <f>'📦 Inventory'!H5</f>
        <v/>
      </c>
      <c r="I17" s="253" t="n"/>
      <c r="J17" s="48">
        <f>'💸 Expenses'!I5</f>
        <v/>
      </c>
      <c r="K17" s="253" t="n"/>
      <c r="L17" s="54">
        <f>'🚚 Suppliers'!H5</f>
        <v/>
      </c>
      <c r="M17" s="253" t="n"/>
    </row>
    <row r="18" ht="19.5" customHeight="1">
      <c r="B18" s="254" t="n"/>
      <c r="D18" s="254" t="n"/>
      <c r="F18" s="254" t="n"/>
      <c r="H18" s="254" t="n"/>
      <c r="J18" s="254" t="n"/>
      <c r="L18" s="254" t="n"/>
    </row>
    <row r="19" ht="19.5" customHeight="1">
      <c r="B19" s="254" t="n"/>
      <c r="D19" s="254" t="n"/>
      <c r="F19" s="254" t="n"/>
      <c r="H19" s="254" t="n"/>
      <c r="J19" s="254" t="n"/>
      <c r="L19" s="254" t="n"/>
    </row>
    <row r="20" ht="9.75" customHeight="1"/>
    <row r="21" ht="19.5" customHeight="1">
      <c r="B21" s="41" t="inlineStr">
        <is>
          <t xml:space="preserve">  📅  LAST 10 DAYS  (from Daily Log — updates automatically)</t>
        </is>
      </c>
      <c r="C21" s="251" t="n"/>
      <c r="D21" s="251" t="n"/>
      <c r="E21" s="251" t="n"/>
      <c r="F21" s="251" t="n"/>
      <c r="G21" s="251" t="n"/>
      <c r="H21" s="251" t="n"/>
      <c r="I21" s="251" t="n"/>
      <c r="J21" s="251" t="n"/>
      <c r="K21" s="251" t="n"/>
      <c r="L21" s="251" t="n"/>
      <c r="M21" s="251" t="n"/>
    </row>
    <row r="22" ht="27.75" customHeight="1">
      <c r="B22" s="55" t="inlineStr">
        <is>
          <t>Date</t>
        </is>
      </c>
      <c r="C22" s="55" t="inlineStr">
        <is>
          <t>Day</t>
        </is>
      </c>
      <c r="D22" s="55" t="inlineStr">
        <is>
          <t>Revenue ($)</t>
        </is>
      </c>
      <c r="E22" s="55" t="inlineStr">
        <is>
          <t>Orders</t>
        </is>
      </c>
      <c r="F22" s="55" t="inlineStr">
        <is>
          <t>Avg Ticket</t>
        </is>
      </c>
      <c r="G22" s="55" t="inlineStr">
        <is>
          <t>Expenses ($)</t>
        </is>
      </c>
      <c r="H22" s="55" t="inlineStr">
        <is>
          <t>Net Profit ($)</t>
        </is>
      </c>
      <c r="I22" s="55" t="inlineStr">
        <is>
          <t>Margin %</t>
        </is>
      </c>
      <c r="J22" s="55" t="inlineStr">
        <is>
          <t>Notes</t>
        </is>
      </c>
      <c r="K22" s="56" t="inlineStr">
        <is>
          <t>vs Prev Day</t>
        </is>
      </c>
      <c r="L22" s="252" t="n"/>
      <c r="M22" s="255" t="n"/>
    </row>
    <row r="23" ht="16.5" customHeight="1">
      <c r="B23" s="58">
        <f>'📅 Daily Log'!B8</f>
        <v/>
      </c>
      <c r="C23" s="59">
        <f>IFERROR(TEXT('📅 Daily Log'!B8,"DDD"),"")</f>
        <v/>
      </c>
      <c r="D23" s="60">
        <f>'📅 Daily Log'!E8</f>
        <v/>
      </c>
      <c r="E23" s="61">
        <f>'📅 Daily Log'!F8</f>
        <v/>
      </c>
      <c r="F23" s="62">
        <f>'📅 Daily Log'!G8</f>
        <v/>
      </c>
      <c r="G23" s="63">
        <f>'📅 Daily Log'!H8</f>
        <v/>
      </c>
      <c r="H23" s="60">
        <f>'📅 Daily Log'!I8</f>
        <v/>
      </c>
      <c r="I23" s="64">
        <f>'📅 Daily Log'!J8</f>
        <v/>
      </c>
      <c r="J23" s="65">
        <f>'📅 Daily Log'!K8</f>
        <v/>
      </c>
      <c r="K23" s="66" t="inlineStr">
        <is>
          <t>—</t>
        </is>
      </c>
      <c r="L23" s="252" t="n"/>
      <c r="M23" s="255" t="n"/>
    </row>
    <row r="24" ht="16.5" customHeight="1">
      <c r="B24" s="67">
        <f>'📅 Daily Log'!B9</f>
        <v/>
      </c>
      <c r="C24" s="68">
        <f>IFERROR(TEXT('📅 Daily Log'!B9,"DDD"),"")</f>
        <v/>
      </c>
      <c r="D24" s="69">
        <f>'📅 Daily Log'!E9</f>
        <v/>
      </c>
      <c r="E24" s="70">
        <f>'📅 Daily Log'!F9</f>
        <v/>
      </c>
      <c r="F24" s="71">
        <f>'📅 Daily Log'!G9</f>
        <v/>
      </c>
      <c r="G24" s="72">
        <f>'📅 Daily Log'!H9</f>
        <v/>
      </c>
      <c r="H24" s="69">
        <f>'📅 Daily Log'!I9</f>
        <v/>
      </c>
      <c r="I24" s="73">
        <f>'📅 Daily Log'!J9</f>
        <v/>
      </c>
      <c r="J24" s="74">
        <f>'📅 Daily Log'!K9</f>
        <v/>
      </c>
      <c r="K24" s="75">
        <f>IFERROR(IF(D24&gt;D23,"▲ +"&amp;TEXT(D24-D23,"$#,##0"),IF(D24&lt;D23,"▼ "&amp;TEXT(D24-D23,"$#,##0"),"— same")),"")</f>
        <v/>
      </c>
      <c r="L24" s="252" t="n"/>
      <c r="M24" s="255" t="n"/>
    </row>
    <row r="25" ht="16.5" customHeight="1">
      <c r="B25" s="58">
        <f>'📅 Daily Log'!B10</f>
        <v/>
      </c>
      <c r="C25" s="59">
        <f>IFERROR(TEXT('📅 Daily Log'!B10,"DDD"),"")</f>
        <v/>
      </c>
      <c r="D25" s="60">
        <f>'📅 Daily Log'!E10</f>
        <v/>
      </c>
      <c r="E25" s="61">
        <f>'📅 Daily Log'!F10</f>
        <v/>
      </c>
      <c r="F25" s="62">
        <f>'📅 Daily Log'!G10</f>
        <v/>
      </c>
      <c r="G25" s="63">
        <f>'📅 Daily Log'!H10</f>
        <v/>
      </c>
      <c r="H25" s="60">
        <f>'📅 Daily Log'!I10</f>
        <v/>
      </c>
      <c r="I25" s="64">
        <f>'📅 Daily Log'!J10</f>
        <v/>
      </c>
      <c r="J25" s="65">
        <f>'📅 Daily Log'!K10</f>
        <v/>
      </c>
      <c r="K25" s="66">
        <f>IFERROR(IF(D25&gt;D24,"▲ +"&amp;TEXT(D25-D24,"$#,##0"),IF(D25&lt;D24,"▼ "&amp;TEXT(D25-D24,"$#,##0"),"— same")),"")</f>
        <v/>
      </c>
      <c r="L25" s="252" t="n"/>
      <c r="M25" s="255" t="n"/>
    </row>
    <row r="26" ht="16.5" customHeight="1">
      <c r="B26" s="67">
        <f>'📅 Daily Log'!B11</f>
        <v/>
      </c>
      <c r="C26" s="68">
        <f>IFERROR(TEXT('📅 Daily Log'!B11,"DDD"),"")</f>
        <v/>
      </c>
      <c r="D26" s="69">
        <f>'📅 Daily Log'!E11</f>
        <v/>
      </c>
      <c r="E26" s="70">
        <f>'📅 Daily Log'!F11</f>
        <v/>
      </c>
      <c r="F26" s="71">
        <f>'📅 Daily Log'!G11</f>
        <v/>
      </c>
      <c r="G26" s="72">
        <f>'📅 Daily Log'!H11</f>
        <v/>
      </c>
      <c r="H26" s="69">
        <f>'📅 Daily Log'!I11</f>
        <v/>
      </c>
      <c r="I26" s="73">
        <f>'📅 Daily Log'!J11</f>
        <v/>
      </c>
      <c r="J26" s="74">
        <f>'📅 Daily Log'!K11</f>
        <v/>
      </c>
      <c r="K26" s="75">
        <f>IFERROR(IF(D26&gt;D25,"▲ +"&amp;TEXT(D26-D25,"$#,##0"),IF(D26&lt;D25,"▼ "&amp;TEXT(D26-D25,"$#,##0"),"— same")),"")</f>
        <v/>
      </c>
      <c r="L26" s="252" t="n"/>
      <c r="M26" s="255" t="n"/>
    </row>
    <row r="27" ht="16.5" customHeight="1">
      <c r="B27" s="58">
        <f>'📅 Daily Log'!B12</f>
        <v/>
      </c>
      <c r="C27" s="59">
        <f>IFERROR(TEXT('📅 Daily Log'!B12,"DDD"),"")</f>
        <v/>
      </c>
      <c r="D27" s="60">
        <f>'📅 Daily Log'!E12</f>
        <v/>
      </c>
      <c r="E27" s="61">
        <f>'📅 Daily Log'!F12</f>
        <v/>
      </c>
      <c r="F27" s="62">
        <f>'📅 Daily Log'!G12</f>
        <v/>
      </c>
      <c r="G27" s="63">
        <f>'📅 Daily Log'!H12</f>
        <v/>
      </c>
      <c r="H27" s="60">
        <f>'📅 Daily Log'!I12</f>
        <v/>
      </c>
      <c r="I27" s="64">
        <f>'📅 Daily Log'!J12</f>
        <v/>
      </c>
      <c r="J27" s="65">
        <f>'📅 Daily Log'!K12</f>
        <v/>
      </c>
      <c r="K27" s="66">
        <f>IFERROR(IF(D27&gt;D26,"▲ +"&amp;TEXT(D27-D26,"$#,##0"),IF(D27&lt;D26,"▼ "&amp;TEXT(D27-D26,"$#,##0"),"— same")),"")</f>
        <v/>
      </c>
      <c r="L27" s="252" t="n"/>
      <c r="M27" s="255" t="n"/>
    </row>
    <row r="28" ht="16.5" customHeight="1">
      <c r="B28" s="67">
        <f>'📅 Daily Log'!B13</f>
        <v/>
      </c>
      <c r="C28" s="68">
        <f>IFERROR(TEXT('📅 Daily Log'!B13,"DDD"),"")</f>
        <v/>
      </c>
      <c r="D28" s="69">
        <f>'📅 Daily Log'!E13</f>
        <v/>
      </c>
      <c r="E28" s="70">
        <f>'📅 Daily Log'!F13</f>
        <v/>
      </c>
      <c r="F28" s="71">
        <f>'📅 Daily Log'!G13</f>
        <v/>
      </c>
      <c r="G28" s="72">
        <f>'📅 Daily Log'!H13</f>
        <v/>
      </c>
      <c r="H28" s="69">
        <f>'📅 Daily Log'!I13</f>
        <v/>
      </c>
      <c r="I28" s="73">
        <f>'📅 Daily Log'!J13</f>
        <v/>
      </c>
      <c r="J28" s="74">
        <f>'📅 Daily Log'!K13</f>
        <v/>
      </c>
      <c r="K28" s="75">
        <f>IFERROR(IF(D28&gt;D27,"▲ +"&amp;TEXT(D28-D27,"$#,##0"),IF(D28&lt;D27,"▼ "&amp;TEXT(D28-D27,"$#,##0"),"— same")),"")</f>
        <v/>
      </c>
      <c r="L28" s="252" t="n"/>
      <c r="M28" s="255" t="n"/>
    </row>
    <row r="29" ht="16.5" customHeight="1">
      <c r="B29" s="58">
        <f>'📅 Daily Log'!B14</f>
        <v/>
      </c>
      <c r="C29" s="59">
        <f>IFERROR(TEXT('📅 Daily Log'!B14,"DDD"),"")</f>
        <v/>
      </c>
      <c r="D29" s="60">
        <f>'📅 Daily Log'!E14</f>
        <v/>
      </c>
      <c r="E29" s="61">
        <f>'📅 Daily Log'!F14</f>
        <v/>
      </c>
      <c r="F29" s="62">
        <f>'📅 Daily Log'!G14</f>
        <v/>
      </c>
      <c r="G29" s="63">
        <f>'📅 Daily Log'!H14</f>
        <v/>
      </c>
      <c r="H29" s="60">
        <f>'📅 Daily Log'!I14</f>
        <v/>
      </c>
      <c r="I29" s="64">
        <f>'📅 Daily Log'!J14</f>
        <v/>
      </c>
      <c r="J29" s="65">
        <f>'📅 Daily Log'!K14</f>
        <v/>
      </c>
      <c r="K29" s="66">
        <f>IFERROR(IF(D29&gt;D28,"▲ +"&amp;TEXT(D29-D28,"$#,##0"),IF(D29&lt;D28,"▼ "&amp;TEXT(D29-D28,"$#,##0"),"— same")),"")</f>
        <v/>
      </c>
      <c r="L29" s="252" t="n"/>
      <c r="M29" s="255" t="n"/>
    </row>
    <row r="30" ht="16.5" customHeight="1">
      <c r="B30" s="67">
        <f>'📅 Daily Log'!B15</f>
        <v/>
      </c>
      <c r="C30" s="68">
        <f>IFERROR(TEXT('📅 Daily Log'!B15,"DDD"),"")</f>
        <v/>
      </c>
      <c r="D30" s="69">
        <f>'📅 Daily Log'!E15</f>
        <v/>
      </c>
      <c r="E30" s="70">
        <f>'📅 Daily Log'!F15</f>
        <v/>
      </c>
      <c r="F30" s="71">
        <f>'📅 Daily Log'!G15</f>
        <v/>
      </c>
      <c r="G30" s="72">
        <f>'📅 Daily Log'!H15</f>
        <v/>
      </c>
      <c r="H30" s="69">
        <f>'📅 Daily Log'!I15</f>
        <v/>
      </c>
      <c r="I30" s="73">
        <f>'📅 Daily Log'!J15</f>
        <v/>
      </c>
      <c r="J30" s="74">
        <f>'📅 Daily Log'!K15</f>
        <v/>
      </c>
      <c r="K30" s="75">
        <f>IFERROR(IF(D30&gt;D29,"▲ +"&amp;TEXT(D30-D29,"$#,##0"),IF(D30&lt;D29,"▼ "&amp;TEXT(D30-D29,"$#,##0"),"— same")),"")</f>
        <v/>
      </c>
      <c r="L30" s="252" t="n"/>
      <c r="M30" s="255" t="n"/>
    </row>
    <row r="31" ht="16.5" customHeight="1">
      <c r="B31" s="58">
        <f>'📅 Daily Log'!B16</f>
        <v/>
      </c>
      <c r="C31" s="59">
        <f>IFERROR(TEXT('📅 Daily Log'!B16,"DDD"),"")</f>
        <v/>
      </c>
      <c r="D31" s="60">
        <f>'📅 Daily Log'!E16</f>
        <v/>
      </c>
      <c r="E31" s="61">
        <f>'📅 Daily Log'!F16</f>
        <v/>
      </c>
      <c r="F31" s="62">
        <f>'📅 Daily Log'!G16</f>
        <v/>
      </c>
      <c r="G31" s="63">
        <f>'📅 Daily Log'!H16</f>
        <v/>
      </c>
      <c r="H31" s="60">
        <f>'📅 Daily Log'!I16</f>
        <v/>
      </c>
      <c r="I31" s="64">
        <f>'📅 Daily Log'!J16</f>
        <v/>
      </c>
      <c r="J31" s="65">
        <f>'📅 Daily Log'!K16</f>
        <v/>
      </c>
      <c r="K31" s="66">
        <f>IFERROR(IF(D31&gt;D30,"▲ +"&amp;TEXT(D31-D30,"$#,##0"),IF(D31&lt;D30,"▼ "&amp;TEXT(D31-D30,"$#,##0"),"— same")),"")</f>
        <v/>
      </c>
      <c r="L31" s="252" t="n"/>
      <c r="M31" s="255" t="n"/>
    </row>
    <row r="32" ht="16.5" customHeight="1">
      <c r="B32" s="67">
        <f>'📅 Daily Log'!B17</f>
        <v/>
      </c>
      <c r="C32" s="68">
        <f>IFERROR(TEXT('📅 Daily Log'!B17,"DDD"),"")</f>
        <v/>
      </c>
      <c r="D32" s="69">
        <f>'📅 Daily Log'!E17</f>
        <v/>
      </c>
      <c r="E32" s="70">
        <f>'📅 Daily Log'!F17</f>
        <v/>
      </c>
      <c r="F32" s="71">
        <f>'📅 Daily Log'!G17</f>
        <v/>
      </c>
      <c r="G32" s="72">
        <f>'📅 Daily Log'!H17</f>
        <v/>
      </c>
      <c r="H32" s="69">
        <f>'📅 Daily Log'!I17</f>
        <v/>
      </c>
      <c r="I32" s="73">
        <f>'📅 Daily Log'!J17</f>
        <v/>
      </c>
      <c r="J32" s="74">
        <f>'📅 Daily Log'!K17</f>
        <v/>
      </c>
      <c r="K32" s="75">
        <f>IFERROR(IF(D32&gt;D31,"▲ +"&amp;TEXT(D32-D31,"$#,##0"),IF(D32&lt;D31,"▼ "&amp;TEXT(D32-D31,"$#,##0"),"— same")),"")</f>
        <v/>
      </c>
      <c r="L32" s="252" t="n"/>
      <c r="M32" s="255" t="n"/>
    </row>
    <row r="33" ht="9.75" customHeight="1"/>
    <row r="34" ht="19.5" customHeight="1">
      <c r="B34" s="41" t="inlineStr">
        <is>
          <t xml:space="preserve">  ⚠️  INVENTORY ALERTS  (from Inventory sheet)</t>
        </is>
      </c>
      <c r="C34" s="251" t="n"/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251" t="n"/>
      <c r="M34" s="251" t="n"/>
    </row>
    <row r="35" ht="27.75" customHeight="1">
      <c r="B35" s="55" t="inlineStr">
        <is>
          <t>Ingredient</t>
        </is>
      </c>
      <c r="C35" s="252" t="n"/>
      <c r="D35" s="255" t="n"/>
      <c r="E35" s="55" t="n"/>
      <c r="F35" s="55" t="inlineStr">
        <is>
          <t>Min Level</t>
        </is>
      </c>
      <c r="G35" s="255" t="n"/>
      <c r="H35" s="55" t="inlineStr">
        <is>
          <t>Status</t>
        </is>
      </c>
      <c r="I35" s="255" t="n"/>
      <c r="J35" s="55" t="inlineStr">
        <is>
          <t>Action Needed</t>
        </is>
      </c>
      <c r="K35" s="252" t="n"/>
      <c r="L35" s="252" t="n"/>
      <c r="M35" s="255" t="n"/>
    </row>
    <row r="36" ht="16.5" customHeight="1">
      <c r="B36" s="76">
        <f>'📦 Inventory'!B9</f>
        <v/>
      </c>
      <c r="C36" s="252" t="n"/>
      <c r="D36" s="252" t="n"/>
      <c r="E36" s="77">
        <f>'📦 Inventory'!E9</f>
        <v/>
      </c>
      <c r="F36" s="252" t="n"/>
      <c r="G36" s="78">
        <f>'📦 Inventory'!F9</f>
        <v/>
      </c>
      <c r="H36" s="252" t="n"/>
      <c r="I36" s="79">
        <f>'📦 Inventory'!J9</f>
        <v/>
      </c>
      <c r="J36" s="252" t="n"/>
      <c r="K36" s="79">
        <f>IF('📦 Inventory'!E9=0,"🚫 Order immediately",IF('📦 Inventory'!E9&lt;='📦 Inventory'!F9,"⚠️ Reorder soon","✅ OK"))</f>
        <v/>
      </c>
      <c r="L36" s="252" t="n"/>
      <c r="M36" s="252" t="n"/>
    </row>
    <row r="37" ht="16.5" customHeight="1">
      <c r="B37" s="80">
        <f>'📦 Inventory'!B10</f>
        <v/>
      </c>
      <c r="C37" s="252" t="n"/>
      <c r="D37" s="252" t="n"/>
      <c r="E37" s="81">
        <f>'📦 Inventory'!E10</f>
        <v/>
      </c>
      <c r="F37" s="252" t="n"/>
      <c r="G37" s="82">
        <f>'📦 Inventory'!F10</f>
        <v/>
      </c>
      <c r="H37" s="252" t="n"/>
      <c r="I37" s="83">
        <f>'📦 Inventory'!J10</f>
        <v/>
      </c>
      <c r="J37" s="252" t="n"/>
      <c r="K37" s="83">
        <f>IF('📦 Inventory'!E10=0,"🚫 Order immediately",IF('📦 Inventory'!E10&lt;='📦 Inventory'!F10,"⚠️ Reorder soon","✅ OK"))</f>
        <v/>
      </c>
      <c r="L37" s="252" t="n"/>
      <c r="M37" s="252" t="n"/>
    </row>
    <row r="38" ht="16.5" customHeight="1">
      <c r="B38" s="76">
        <f>'📦 Inventory'!B11</f>
        <v/>
      </c>
      <c r="C38" s="252" t="n"/>
      <c r="D38" s="252" t="n"/>
      <c r="E38" s="77">
        <f>'📦 Inventory'!E11</f>
        <v/>
      </c>
      <c r="F38" s="252" t="n"/>
      <c r="G38" s="78">
        <f>'📦 Inventory'!F11</f>
        <v/>
      </c>
      <c r="H38" s="252" t="n"/>
      <c r="I38" s="79">
        <f>'📦 Inventory'!J11</f>
        <v/>
      </c>
      <c r="J38" s="252" t="n"/>
      <c r="K38" s="79">
        <f>IF('📦 Inventory'!E11=0,"🚫 Order immediately",IF('📦 Inventory'!E11&lt;='📦 Inventory'!F11,"⚠️ Reorder soon","✅ OK"))</f>
        <v/>
      </c>
      <c r="L38" s="252" t="n"/>
      <c r="M38" s="252" t="n"/>
    </row>
    <row r="39" ht="16.5" customHeight="1">
      <c r="B39" s="80">
        <f>'📦 Inventory'!B12</f>
        <v/>
      </c>
      <c r="C39" s="252" t="n"/>
      <c r="D39" s="252" t="n"/>
      <c r="E39" s="81">
        <f>'📦 Inventory'!E12</f>
        <v/>
      </c>
      <c r="F39" s="252" t="n"/>
      <c r="G39" s="82">
        <f>'📦 Inventory'!F12</f>
        <v/>
      </c>
      <c r="H39" s="252" t="n"/>
      <c r="I39" s="83">
        <f>'📦 Inventory'!J12</f>
        <v/>
      </c>
      <c r="J39" s="252" t="n"/>
      <c r="K39" s="83">
        <f>IF('📦 Inventory'!E12=0,"🚫 Order immediately",IF('📦 Inventory'!E12&lt;='📦 Inventory'!F12,"⚠️ Reorder soon","✅ OK"))</f>
        <v/>
      </c>
      <c r="L39" s="252" t="n"/>
      <c r="M39" s="252" t="n"/>
    </row>
    <row r="40" ht="16.5" customHeight="1">
      <c r="B40" s="76">
        <f>'📦 Inventory'!B13</f>
        <v/>
      </c>
      <c r="C40" s="252" t="n"/>
      <c r="D40" s="252" t="n"/>
      <c r="E40" s="77">
        <f>'📦 Inventory'!E13</f>
        <v/>
      </c>
      <c r="F40" s="252" t="n"/>
      <c r="G40" s="78">
        <f>'📦 Inventory'!F13</f>
        <v/>
      </c>
      <c r="H40" s="252" t="n"/>
      <c r="I40" s="79">
        <f>'📦 Inventory'!J13</f>
        <v/>
      </c>
      <c r="J40" s="252" t="n"/>
      <c r="K40" s="79">
        <f>IF('📦 Inventory'!E13=0,"🚫 Order immediately",IF('📦 Inventory'!E13&lt;='📦 Inventory'!F13,"⚠️ Reorder soon","✅ OK"))</f>
        <v/>
      </c>
      <c r="L40" s="252" t="n"/>
      <c r="M40" s="252" t="n"/>
    </row>
    <row r="41" ht="7.5" customHeight="1"/>
  </sheetData>
  <mergeCells count="72">
    <mergeCell ref="A2:G2"/>
    <mergeCell ref="H2:N2"/>
    <mergeCell ref="A3:N3"/>
    <mergeCell ref="B5:M5"/>
    <mergeCell ref="B7:M7"/>
    <mergeCell ref="B9:C9"/>
    <mergeCell ref="D9:E9"/>
    <mergeCell ref="F9:G9"/>
    <mergeCell ref="H9:I9"/>
    <mergeCell ref="J9:K9"/>
    <mergeCell ref="L9:M9"/>
    <mergeCell ref="B10:C12"/>
    <mergeCell ref="D10:E12"/>
    <mergeCell ref="F10:G12"/>
    <mergeCell ref="H10:I12"/>
    <mergeCell ref="J10:K12"/>
    <mergeCell ref="L10:M12"/>
    <mergeCell ref="B14:M14"/>
    <mergeCell ref="B16:C16"/>
    <mergeCell ref="D16:E16"/>
    <mergeCell ref="F16:G16"/>
    <mergeCell ref="H16:I16"/>
    <mergeCell ref="J16:K16"/>
    <mergeCell ref="L16:M16"/>
    <mergeCell ref="B17:C19"/>
    <mergeCell ref="D17:E19"/>
    <mergeCell ref="F17:G19"/>
    <mergeCell ref="H17:I19"/>
    <mergeCell ref="J17:K19"/>
    <mergeCell ref="L17:M19"/>
    <mergeCell ref="B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B34:M34"/>
    <mergeCell ref="B35:D35"/>
    <mergeCell ref="F35:G35"/>
    <mergeCell ref="H35:I35"/>
    <mergeCell ref="J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="100" zoomScaleNormal="100" workbookViewId="0">
      <pane ySplit="7" topLeftCell="A8" activePane="bottomLeft" state="frozen"/>
      <selection pane="bottomLeft" activeCell="A3" sqref="A3"/>
    </sheetView>
  </sheetViews>
  <sheetFormatPr baseColWidth="8" defaultColWidth="8.6640625" defaultRowHeight="14.4" customHeight="1" outlineLevelRow="0"/>
  <cols>
    <col width="4" customWidth="1" min="1" max="1"/>
    <col width="18" customWidth="1" min="2" max="2"/>
    <col width="16" customWidth="1" min="3" max="5"/>
    <col width="12" customWidth="1" min="6" max="6"/>
    <col width="14" customWidth="1" min="7" max="7"/>
    <col width="16" customWidth="1" min="8" max="9"/>
    <col width="12" customWidth="1" min="10" max="10"/>
    <col width="30" customWidth="1" min="11" max="11"/>
    <col width="16" customWidth="1" min="12" max="17"/>
  </cols>
  <sheetData>
    <row r="1" ht="4.5" customHeight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</row>
    <row r="2" ht="37.5" customHeight="1">
      <c r="A2" s="36" t="inlineStr">
        <is>
          <t>📅  LOKA — DAILY LOG</t>
        </is>
      </c>
      <c r="I2" s="37" t="inlineStr">
        <is>
          <t>Enter 2 values from Soft App each day → everything else calculates</t>
        </is>
      </c>
    </row>
    <row r="3" ht="3.75" customHeight="1">
      <c r="A3" s="38" t="n"/>
    </row>
    <row r="4" ht="7.5" customHeight="1"/>
    <row r="5" ht="49.5" customHeight="1">
      <c r="B5" s="39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51" t="n"/>
      <c r="D5" s="251" t="n"/>
      <c r="E5" s="251" t="n"/>
      <c r="F5" s="251" t="n"/>
      <c r="G5" s="251" t="n"/>
      <c r="H5" s="251" t="n"/>
      <c r="I5" s="251" t="n"/>
      <c r="J5" s="251" t="n"/>
      <c r="K5" s="251" t="n"/>
      <c r="L5" s="251" t="n"/>
      <c r="M5" s="251" t="n"/>
      <c r="N5" s="251" t="n"/>
      <c r="O5" s="251" t="n"/>
      <c r="P5" s="251" t="n"/>
    </row>
    <row r="6" ht="7.5" customHeight="1">
      <c r="B6" s="84">
        <f>IF(B8&lt;&gt;"",TEXT(B8,"DD/MM DDD"),"—")</f>
        <v/>
      </c>
      <c r="D6" s="85">
        <f>IFERROR(E8,0)</f>
        <v/>
      </c>
      <c r="E6" s="86">
        <f>IFERROR(F8,0)</f>
        <v/>
      </c>
      <c r="F6" s="87">
        <f>IFERROR(G8,0)</f>
        <v/>
      </c>
      <c r="G6" s="88">
        <f>IFERROR(H8,0)</f>
        <v/>
      </c>
      <c r="H6" s="85">
        <f>IFERROR(I8,0)</f>
        <v/>
      </c>
      <c r="I6" s="89">
        <f>IFERROR(J8,0)</f>
        <v/>
      </c>
      <c r="K6" s="85">
        <f>IFERROR(N8,0)</f>
        <v/>
      </c>
      <c r="L6" s="88">
        <f>IFERROR(P8,0)</f>
        <v/>
      </c>
      <c r="M6" s="85">
        <f>IFERROR(Q8,0)</f>
        <v/>
      </c>
      <c r="N6" s="90">
        <f>IFERROR(L8,0)</f>
        <v/>
      </c>
      <c r="O6" s="90">
        <f>IFERROR(O8,0)</f>
        <v/>
      </c>
    </row>
    <row r="7" ht="27.75" customHeight="1">
      <c r="B7" s="55" t="inlineStr">
        <is>
          <t>Date</t>
        </is>
      </c>
      <c r="C7" s="55" t="inlineStr">
        <is>
          <t>Day</t>
        </is>
      </c>
      <c r="D7" s="55" t="inlineStr">
        <is>
          <t>Source</t>
        </is>
      </c>
      <c r="E7" s="55" t="inlineStr">
        <is>
          <t>Revenue $ ← Soft</t>
        </is>
      </c>
      <c r="F7" s="55" t="inlineStr">
        <is>
          <t>Orders ← Soft</t>
        </is>
      </c>
      <c r="G7" s="55" t="inlineStr">
        <is>
          <t>Avg Ticket</t>
        </is>
      </c>
      <c r="H7" s="55" t="inlineStr">
        <is>
          <t>Expenses $</t>
        </is>
      </c>
      <c r="I7" s="55" t="inlineStr">
        <is>
          <t>Net Profit $</t>
        </is>
      </c>
      <c r="J7" s="55" t="inlineStr">
        <is>
          <t>Margin %</t>
        </is>
      </c>
      <c r="K7" s="55" t="inlineStr">
        <is>
          <t>WEEK REVENUE</t>
        </is>
      </c>
      <c r="L7" s="55" t="inlineStr">
        <is>
          <t>WEEK EXPENSES</t>
        </is>
      </c>
      <c r="M7" s="55" t="inlineStr">
        <is>
          <t>WEEK PROFIT</t>
        </is>
      </c>
      <c r="N7" s="55" t="inlineStr">
        <is>
          <t>CUMUL. REVENUE</t>
        </is>
      </c>
      <c r="O7" s="55" t="inlineStr">
        <is>
          <t>MONTH REVENUE</t>
        </is>
      </c>
      <c r="P7" s="55" t="inlineStr">
        <is>
          <t>Week Expenses</t>
        </is>
      </c>
      <c r="Q7" s="55" t="inlineStr">
        <is>
          <t>Week Profit</t>
        </is>
      </c>
    </row>
    <row r="8" ht="16.5" customHeight="1">
      <c r="B8" s="91" t="n"/>
      <c r="C8" s="92">
        <f>IF(B8="","",TEXT(B8,"DDD"))</f>
        <v/>
      </c>
      <c r="D8" s="93">
        <f>IF(B8="","","Soft App")</f>
        <v/>
      </c>
      <c r="E8" s="94" t="n"/>
      <c r="F8" s="95" t="n"/>
      <c r="G8" s="96">
        <f>IFERROR(E8/F8,0)</f>
        <v/>
      </c>
      <c r="H8" s="97">
        <f>IFERROR(SUMIF('💸 Expenses'!B9:B508,B8,'💸 Expenses'!F9:F508),0)</f>
        <v/>
      </c>
      <c r="I8" s="98">
        <f>IFERROR(E8-H8,0)</f>
        <v/>
      </c>
      <c r="J8" s="99">
        <f>IFERROR(I8/E8,0)</f>
        <v/>
      </c>
      <c r="K8" s="100" t="n"/>
      <c r="L8" s="60">
        <f>E8</f>
        <v/>
      </c>
      <c r="M8" s="63">
        <f>H8</f>
        <v/>
      </c>
      <c r="N8" s="101">
        <f>IFERROR(L8-M8,0)</f>
        <v/>
      </c>
      <c r="O8" s="102">
        <f>IFERROR(SUMIF(B8:B8,"&gt;="&amp;(B8-WEEKDAY(B8,2)+1),E8:E8),0)</f>
        <v/>
      </c>
      <c r="P8" s="103">
        <f>IFERROR(SUMIF(B8:B8,"&gt;="&amp;(B8-WEEKDAY(B8,2)+1),H8:H8),0)</f>
        <v/>
      </c>
      <c r="Q8" s="101">
        <f>IFERROR(O8-P8,0)</f>
        <v/>
      </c>
    </row>
    <row r="9" ht="16.5" customHeight="1">
      <c r="B9" s="91" t="n"/>
      <c r="C9" s="104">
        <f>IF(B9="","",TEXT(B9,"DDD"))</f>
        <v/>
      </c>
      <c r="D9" s="105">
        <f>IF(B9="","","Soft App")</f>
        <v/>
      </c>
      <c r="E9" s="106" t="n"/>
      <c r="F9" s="107" t="n"/>
      <c r="G9" s="108">
        <f>IFERROR(E9/F9,0)</f>
        <v/>
      </c>
      <c r="H9" s="109">
        <f>IFERROR(SUMIF('💸 Expenses'!B9:B508,B9,'💸 Expenses'!F9:F508),0)</f>
        <v/>
      </c>
      <c r="I9" s="110">
        <f>IFERROR(E9-H9,0)</f>
        <v/>
      </c>
      <c r="J9" s="111">
        <f>IFERROR(I9/E9,0)</f>
        <v/>
      </c>
      <c r="K9" s="112" t="n"/>
      <c r="L9" s="69">
        <f>IFERROR(L8+E9,0)</f>
        <v/>
      </c>
      <c r="M9" s="72">
        <f>IFERROR(M8+H9,0)</f>
        <v/>
      </c>
      <c r="N9" s="113">
        <f>IFERROR(L9-M9,0)</f>
        <v/>
      </c>
      <c r="O9" s="114">
        <f>IFERROR(SUMIF(B8:B9,"&gt;="&amp;(B9-WEEKDAY(B9,2)+1),E8:E9),0)</f>
        <v/>
      </c>
      <c r="P9" s="115">
        <f>IFERROR(SUMIF(B8:B9,"&gt;="&amp;(B9-WEEKDAY(B9,2)+1),H8:H9),0)</f>
        <v/>
      </c>
      <c r="Q9" s="113">
        <f>IFERROR(O9-P9,0)</f>
        <v/>
      </c>
    </row>
    <row r="10" ht="16.5" customHeight="1">
      <c r="B10" s="91" t="n"/>
      <c r="C10" s="92">
        <f>IF(B10="","",TEXT(B10,"DDD"))</f>
        <v/>
      </c>
      <c r="D10" s="93">
        <f>IF(B10="","","Soft App")</f>
        <v/>
      </c>
      <c r="E10" s="94" t="n"/>
      <c r="F10" s="95" t="n"/>
      <c r="G10" s="96">
        <f>IFERROR(E10/F10,0)</f>
        <v/>
      </c>
      <c r="H10" s="97">
        <f>IFERROR(SUMIF('💸 Expenses'!B9:B508,B10,'💸 Expenses'!F9:F508),0)</f>
        <v/>
      </c>
      <c r="I10" s="98">
        <f>IFERROR(E10-H10,0)</f>
        <v/>
      </c>
      <c r="J10" s="99">
        <f>IFERROR(I10/E10,0)</f>
        <v/>
      </c>
      <c r="K10" s="100" t="n"/>
      <c r="L10" s="60">
        <f>IFERROR(L9+E10,0)</f>
        <v/>
      </c>
      <c r="M10" s="63">
        <f>IFERROR(M9+H10,0)</f>
        <v/>
      </c>
      <c r="N10" s="101">
        <f>IFERROR(L10-M10,0)</f>
        <v/>
      </c>
      <c r="O10" s="102">
        <f>IFERROR(SUMIF(B8:B10,"&gt;="&amp;(B10-WEEKDAY(B10,2)+1),E8:E10),0)</f>
        <v/>
      </c>
      <c r="P10" s="103">
        <f>IFERROR(SUMIF(B8:B10,"&gt;="&amp;(B10-WEEKDAY(B10,2)+1),H8:H10),0)</f>
        <v/>
      </c>
      <c r="Q10" s="101">
        <f>IFERROR(O10-P10,0)</f>
        <v/>
      </c>
    </row>
    <row r="11" ht="16.5" customHeight="1">
      <c r="B11" s="91" t="n"/>
      <c r="C11" s="104">
        <f>IF(B11="","",TEXT(B11,"DDD"))</f>
        <v/>
      </c>
      <c r="D11" s="105">
        <f>IF(B11="","","Soft App")</f>
        <v/>
      </c>
      <c r="E11" s="106" t="n"/>
      <c r="F11" s="107" t="n"/>
      <c r="G11" s="108">
        <f>IFERROR(E11/F11,0)</f>
        <v/>
      </c>
      <c r="H11" s="109">
        <f>IFERROR(SUMIF('💸 Expenses'!B9:B508,B11,'💸 Expenses'!F9:F508),0)</f>
        <v/>
      </c>
      <c r="I11" s="110">
        <f>IFERROR(E11-H11,0)</f>
        <v/>
      </c>
      <c r="J11" s="111">
        <f>IFERROR(I11/E11,0)</f>
        <v/>
      </c>
      <c r="K11" s="112" t="n"/>
      <c r="L11" s="69">
        <f>IFERROR(L10+E11,0)</f>
        <v/>
      </c>
      <c r="M11" s="72">
        <f>IFERROR(M10+H11,0)</f>
        <v/>
      </c>
      <c r="N11" s="113">
        <f>IFERROR(L11-M11,0)</f>
        <v/>
      </c>
      <c r="O11" s="114">
        <f>IFERROR(SUMIF(B8:B11,"&gt;="&amp;(B11-WEEKDAY(B11,2)+1),E8:E11),0)</f>
        <v/>
      </c>
      <c r="P11" s="115">
        <f>IFERROR(SUMIF(B8:B11,"&gt;="&amp;(B11-WEEKDAY(B11,2)+1),H8:H11),0)</f>
        <v/>
      </c>
      <c r="Q11" s="113">
        <f>IFERROR(O11-P11,0)</f>
        <v/>
      </c>
    </row>
    <row r="12" ht="16.5" customHeight="1">
      <c r="B12" s="91" t="n"/>
      <c r="C12" s="92">
        <f>IF(B12="","",TEXT(B12,"DDD"))</f>
        <v/>
      </c>
      <c r="D12" s="93">
        <f>IF(B12="","","Soft App")</f>
        <v/>
      </c>
      <c r="E12" s="94" t="n"/>
      <c r="F12" s="95" t="n"/>
      <c r="G12" s="96">
        <f>IFERROR(E12/F12,0)</f>
        <v/>
      </c>
      <c r="H12" s="97">
        <f>IFERROR(SUMIF('💸 Expenses'!B9:B508,B12,'💸 Expenses'!F9:F508),0)</f>
        <v/>
      </c>
      <c r="I12" s="98">
        <f>IFERROR(E12-H12,0)</f>
        <v/>
      </c>
      <c r="J12" s="99">
        <f>IFERROR(I12/E12,0)</f>
        <v/>
      </c>
      <c r="K12" s="100" t="n"/>
      <c r="L12" s="60">
        <f>IFERROR(L11+E12,0)</f>
        <v/>
      </c>
      <c r="M12" s="63">
        <f>IFERROR(M11+H12,0)</f>
        <v/>
      </c>
      <c r="N12" s="101">
        <f>IFERROR(L12-M12,0)</f>
        <v/>
      </c>
      <c r="O12" s="102">
        <f>IFERROR(SUMIF(B8:B12,"&gt;="&amp;(B12-WEEKDAY(B12,2)+1),E8:E12),0)</f>
        <v/>
      </c>
      <c r="P12" s="103">
        <f>IFERROR(SUMIF(B8:B12,"&gt;="&amp;(B12-WEEKDAY(B12,2)+1),H8:H12),0)</f>
        <v/>
      </c>
      <c r="Q12" s="101">
        <f>IFERROR(O12-P12,0)</f>
        <v/>
      </c>
    </row>
    <row r="13" ht="16.5" customHeight="1">
      <c r="B13" s="91" t="n"/>
      <c r="C13" s="104">
        <f>IF(B13="","",TEXT(B13,"DDD"))</f>
        <v/>
      </c>
      <c r="D13" s="105">
        <f>IF(B13="","","Soft App")</f>
        <v/>
      </c>
      <c r="E13" s="106" t="n"/>
      <c r="F13" s="107" t="n"/>
      <c r="G13" s="108">
        <f>IFERROR(E13/F13,0)</f>
        <v/>
      </c>
      <c r="H13" s="109">
        <f>IFERROR(SUMIF('💸 Expenses'!B9:B508,B13,'💸 Expenses'!F9:F508),0)</f>
        <v/>
      </c>
      <c r="I13" s="110">
        <f>IFERROR(E13-H13,0)</f>
        <v/>
      </c>
      <c r="J13" s="111">
        <f>IFERROR(I13/E13,0)</f>
        <v/>
      </c>
      <c r="K13" s="112" t="n"/>
      <c r="L13" s="69">
        <f>IFERROR(L12+E13,0)</f>
        <v/>
      </c>
      <c r="M13" s="72">
        <f>IFERROR(M12+H13,0)</f>
        <v/>
      </c>
      <c r="N13" s="113">
        <f>IFERROR(L13-M13,0)</f>
        <v/>
      </c>
      <c r="O13" s="114">
        <f>IFERROR(SUMIF(B8:B13,"&gt;="&amp;(B13-WEEKDAY(B13,2)+1),E8:E13),0)</f>
        <v/>
      </c>
      <c r="P13" s="115">
        <f>IFERROR(SUMIF(B8:B13,"&gt;="&amp;(B13-WEEKDAY(B13,2)+1),H8:H13),0)</f>
        <v/>
      </c>
      <c r="Q13" s="113">
        <f>IFERROR(O13-P13,0)</f>
        <v/>
      </c>
    </row>
    <row r="14" ht="16.5" customHeight="1">
      <c r="B14" s="91" t="n"/>
      <c r="C14" s="92">
        <f>IF(B14="","",TEXT(B14,"DDD"))</f>
        <v/>
      </c>
      <c r="D14" s="93">
        <f>IF(B14="","","Soft App")</f>
        <v/>
      </c>
      <c r="E14" s="94" t="n"/>
      <c r="F14" s="95" t="n"/>
      <c r="G14" s="96">
        <f>IFERROR(E14/F14,0)</f>
        <v/>
      </c>
      <c r="H14" s="97">
        <f>IFERROR(SUMIF('💸 Expenses'!B9:B508,B14,'💸 Expenses'!F9:F508),0)</f>
        <v/>
      </c>
      <c r="I14" s="98">
        <f>IFERROR(E14-H14,0)</f>
        <v/>
      </c>
      <c r="J14" s="99">
        <f>IFERROR(I14/E14,0)</f>
        <v/>
      </c>
      <c r="K14" s="100" t="n"/>
      <c r="L14" s="60">
        <f>IFERROR(L13+E14,0)</f>
        <v/>
      </c>
      <c r="M14" s="63">
        <f>IFERROR(M13+H14,0)</f>
        <v/>
      </c>
      <c r="N14" s="101">
        <f>IFERROR(L14-M14,0)</f>
        <v/>
      </c>
      <c r="O14" s="102">
        <f>IFERROR(SUMIF(B8:B14,"&gt;="&amp;(B14-WEEKDAY(B14,2)+1),E8:E14),0)</f>
        <v/>
      </c>
      <c r="P14" s="103">
        <f>IFERROR(SUMIF(B8:B14,"&gt;="&amp;(B14-WEEKDAY(B14,2)+1),H8:H14),0)</f>
        <v/>
      </c>
      <c r="Q14" s="101">
        <f>IFERROR(O14-P14,0)</f>
        <v/>
      </c>
    </row>
    <row r="15" ht="16.5" customHeight="1">
      <c r="B15" s="91" t="n"/>
      <c r="C15" s="104">
        <f>IF(B15="","",TEXT(B15,"DDD"))</f>
        <v/>
      </c>
      <c r="D15" s="105">
        <f>IF(B15="","","Soft App")</f>
        <v/>
      </c>
      <c r="E15" s="106" t="n"/>
      <c r="F15" s="107" t="n"/>
      <c r="G15" s="108">
        <f>IFERROR(E15/F15,0)</f>
        <v/>
      </c>
      <c r="H15" s="109">
        <f>IFERROR(SUMIF('💸 Expenses'!B9:B508,B15,'💸 Expenses'!F9:F508),0)</f>
        <v/>
      </c>
      <c r="I15" s="110">
        <f>IFERROR(E15-H15,0)</f>
        <v/>
      </c>
      <c r="J15" s="111">
        <f>IFERROR(I15/E15,0)</f>
        <v/>
      </c>
      <c r="K15" s="112" t="n"/>
      <c r="L15" s="69">
        <f>IFERROR(L14+E15,0)</f>
        <v/>
      </c>
      <c r="M15" s="72">
        <f>IFERROR(M14+H15,0)</f>
        <v/>
      </c>
      <c r="N15" s="113">
        <f>IFERROR(L15-M15,0)</f>
        <v/>
      </c>
      <c r="O15" s="114">
        <f>IFERROR(SUMIF(B8:B15,"&gt;="&amp;(B15-WEEKDAY(B15,2)+1),E8:E15),0)</f>
        <v/>
      </c>
      <c r="P15" s="115">
        <f>IFERROR(SUMIF(B8:B15,"&gt;="&amp;(B15-WEEKDAY(B15,2)+1),H8:H15),0)</f>
        <v/>
      </c>
      <c r="Q15" s="113">
        <f>IFERROR(O15-P15,0)</f>
        <v/>
      </c>
    </row>
    <row r="16" ht="16.5" customHeight="1">
      <c r="B16" s="91" t="n"/>
      <c r="C16" s="92">
        <f>IF(B16="","",TEXT(B16,"DDD"))</f>
        <v/>
      </c>
      <c r="D16" s="93">
        <f>IF(B16="","","Soft App")</f>
        <v/>
      </c>
      <c r="E16" s="94" t="n"/>
      <c r="F16" s="95" t="n"/>
      <c r="G16" s="96">
        <f>IFERROR(E16/F16,0)</f>
        <v/>
      </c>
      <c r="H16" s="97">
        <f>IFERROR(SUMIF('💸 Expenses'!B9:B508,B16,'💸 Expenses'!F9:F508),0)</f>
        <v/>
      </c>
      <c r="I16" s="98">
        <f>IFERROR(E16-H16,0)</f>
        <v/>
      </c>
      <c r="J16" s="99">
        <f>IFERROR(I16/E16,0)</f>
        <v/>
      </c>
      <c r="K16" s="100" t="n"/>
      <c r="L16" s="60">
        <f>IFERROR(L15+E16,0)</f>
        <v/>
      </c>
      <c r="M16" s="63">
        <f>IFERROR(M15+H16,0)</f>
        <v/>
      </c>
      <c r="N16" s="101">
        <f>IFERROR(L16-M16,0)</f>
        <v/>
      </c>
      <c r="O16" s="102">
        <f>IFERROR(SUMIF(B8:B16,"&gt;="&amp;(B16-WEEKDAY(B16,2)+1),E8:E16),0)</f>
        <v/>
      </c>
      <c r="P16" s="103">
        <f>IFERROR(SUMIF(B8:B16,"&gt;="&amp;(B16-WEEKDAY(B16,2)+1),H8:H16),0)</f>
        <v/>
      </c>
      <c r="Q16" s="101">
        <f>IFERROR(O16-P16,0)</f>
        <v/>
      </c>
    </row>
    <row r="17" ht="16.5" customHeight="1">
      <c r="B17" s="91" t="n"/>
      <c r="C17" s="104">
        <f>IF(B17="","",TEXT(B17,"DDD"))</f>
        <v/>
      </c>
      <c r="D17" s="105">
        <f>IF(B17="","","Soft App")</f>
        <v/>
      </c>
      <c r="E17" s="106" t="n"/>
      <c r="F17" s="107" t="n"/>
      <c r="G17" s="108">
        <f>IFERROR(E17/F17,0)</f>
        <v/>
      </c>
      <c r="H17" s="109">
        <f>IFERROR(SUMIF('💸 Expenses'!B9:B508,B17,'💸 Expenses'!F9:F508),0)</f>
        <v/>
      </c>
      <c r="I17" s="110">
        <f>IFERROR(E17-H17,0)</f>
        <v/>
      </c>
      <c r="J17" s="111">
        <f>IFERROR(I17/E17,0)</f>
        <v/>
      </c>
      <c r="K17" s="112" t="n"/>
      <c r="L17" s="69">
        <f>IFERROR(L16+E17,0)</f>
        <v/>
      </c>
      <c r="M17" s="72">
        <f>IFERROR(M16+H17,0)</f>
        <v/>
      </c>
      <c r="N17" s="113">
        <f>IFERROR(L17-M17,0)</f>
        <v/>
      </c>
      <c r="O17" s="114">
        <f>IFERROR(SUMIF(B8:B17,"&gt;="&amp;(B17-WEEKDAY(B17,2)+1),E8:E17),0)</f>
        <v/>
      </c>
      <c r="P17" s="115">
        <f>IFERROR(SUMIF(B8:B17,"&gt;="&amp;(B17-WEEKDAY(B17,2)+1),H8:H17),0)</f>
        <v/>
      </c>
      <c r="Q17" s="113">
        <f>IFERROR(O17-P17,0)</f>
        <v/>
      </c>
    </row>
    <row r="18" ht="16.5" customHeight="1">
      <c r="B18" s="91" t="n"/>
      <c r="C18" s="92">
        <f>IF(B18="","",TEXT(B18,"DDD"))</f>
        <v/>
      </c>
      <c r="D18" s="93">
        <f>IF(B18="","","Soft App")</f>
        <v/>
      </c>
      <c r="E18" s="94" t="n"/>
      <c r="F18" s="95" t="n"/>
      <c r="G18" s="96">
        <f>IFERROR(E18/F18,0)</f>
        <v/>
      </c>
      <c r="H18" s="97">
        <f>IFERROR(SUMIF('💸 Expenses'!B9:B508,B18,'💸 Expenses'!F9:F508),0)</f>
        <v/>
      </c>
      <c r="I18" s="98">
        <f>IFERROR(E18-H18,0)</f>
        <v/>
      </c>
      <c r="J18" s="99">
        <f>IFERROR(I18/E18,0)</f>
        <v/>
      </c>
      <c r="K18" s="100" t="n"/>
      <c r="L18" s="60">
        <f>IFERROR(L17+E18,0)</f>
        <v/>
      </c>
      <c r="M18" s="63">
        <f>IFERROR(M17+H18,0)</f>
        <v/>
      </c>
      <c r="N18" s="101">
        <f>IFERROR(L18-M18,0)</f>
        <v/>
      </c>
      <c r="O18" s="102">
        <f>IFERROR(SUMIF(B8:B18,"&gt;="&amp;(B18-WEEKDAY(B18,2)+1),E8:E18),0)</f>
        <v/>
      </c>
      <c r="P18" s="103">
        <f>IFERROR(SUMIF(B8:B18,"&gt;="&amp;(B18-WEEKDAY(B18,2)+1),H8:H18),0)</f>
        <v/>
      </c>
      <c r="Q18" s="101">
        <f>IFERROR(O18-P18,0)</f>
        <v/>
      </c>
    </row>
    <row r="19" ht="16.5" customHeight="1">
      <c r="B19" s="91" t="n"/>
      <c r="C19" s="104">
        <f>IF(B19="","",TEXT(B19,"DDD"))</f>
        <v/>
      </c>
      <c r="D19" s="105">
        <f>IF(B19="","","Soft App")</f>
        <v/>
      </c>
      <c r="E19" s="106" t="n"/>
      <c r="F19" s="107" t="n"/>
      <c r="G19" s="108">
        <f>IFERROR(E19/F19,0)</f>
        <v/>
      </c>
      <c r="H19" s="109">
        <f>IFERROR(SUMIF('💸 Expenses'!B9:B508,B19,'💸 Expenses'!F9:F508),0)</f>
        <v/>
      </c>
      <c r="I19" s="110">
        <f>IFERROR(E19-H19,0)</f>
        <v/>
      </c>
      <c r="J19" s="111">
        <f>IFERROR(I19/E19,0)</f>
        <v/>
      </c>
      <c r="K19" s="112" t="n"/>
      <c r="L19" s="69">
        <f>IFERROR(L18+E19,0)</f>
        <v/>
      </c>
      <c r="M19" s="72">
        <f>IFERROR(M18+H19,0)</f>
        <v/>
      </c>
      <c r="N19" s="113">
        <f>IFERROR(L19-M19,0)</f>
        <v/>
      </c>
      <c r="O19" s="114">
        <f>IFERROR(SUMIF(B8:B19,"&gt;="&amp;(B19-WEEKDAY(B19,2)+1),E8:E19),0)</f>
        <v/>
      </c>
      <c r="P19" s="115">
        <f>IFERROR(SUMIF(B8:B19,"&gt;="&amp;(B19-WEEKDAY(B19,2)+1),H8:H19),0)</f>
        <v/>
      </c>
      <c r="Q19" s="113">
        <f>IFERROR(O19-P19,0)</f>
        <v/>
      </c>
    </row>
    <row r="20" ht="16.5" customHeight="1">
      <c r="B20" s="91" t="n"/>
      <c r="C20" s="92">
        <f>IF(B20="","",TEXT(B20,"DDD"))</f>
        <v/>
      </c>
      <c r="D20" s="93">
        <f>IF(B20="","","Soft App")</f>
        <v/>
      </c>
      <c r="E20" s="94" t="n"/>
      <c r="F20" s="95" t="n"/>
      <c r="G20" s="96">
        <f>IFERROR(E20/F20,0)</f>
        <v/>
      </c>
      <c r="H20" s="97">
        <f>IFERROR(SUMIF('💸 Expenses'!B9:B508,B20,'💸 Expenses'!F9:F508),0)</f>
        <v/>
      </c>
      <c r="I20" s="98">
        <f>IFERROR(E20-H20,0)</f>
        <v/>
      </c>
      <c r="J20" s="99">
        <f>IFERROR(I20/E20,0)</f>
        <v/>
      </c>
      <c r="K20" s="100" t="n"/>
      <c r="L20" s="60">
        <f>IFERROR(L19+E20,0)</f>
        <v/>
      </c>
      <c r="M20" s="63">
        <f>IFERROR(M19+H20,0)</f>
        <v/>
      </c>
      <c r="N20" s="101">
        <f>IFERROR(L20-M20,0)</f>
        <v/>
      </c>
      <c r="O20" s="102">
        <f>IFERROR(SUMIF(B8:B20,"&gt;="&amp;(B20-WEEKDAY(B20,2)+1),E8:E20),0)</f>
        <v/>
      </c>
      <c r="P20" s="103">
        <f>IFERROR(SUMIF(B8:B20,"&gt;="&amp;(B20-WEEKDAY(B20,2)+1),H8:H20),0)</f>
        <v/>
      </c>
      <c r="Q20" s="101">
        <f>IFERROR(O20-P20,0)</f>
        <v/>
      </c>
    </row>
    <row r="21" ht="16.5" customHeight="1">
      <c r="B21" s="91" t="n"/>
      <c r="C21" s="104">
        <f>IF(B21="","",TEXT(B21,"DDD"))</f>
        <v/>
      </c>
      <c r="D21" s="105">
        <f>IF(B21="","","Soft App")</f>
        <v/>
      </c>
      <c r="E21" s="106" t="n"/>
      <c r="F21" s="107" t="n"/>
      <c r="G21" s="108">
        <f>IFERROR(E21/F21,0)</f>
        <v/>
      </c>
      <c r="H21" s="109">
        <f>IFERROR(SUMIF('💸 Expenses'!B9:B508,B21,'💸 Expenses'!F9:F508),0)</f>
        <v/>
      </c>
      <c r="I21" s="110">
        <f>IFERROR(E21-H21,0)</f>
        <v/>
      </c>
      <c r="J21" s="111">
        <f>IFERROR(I21/E21,0)</f>
        <v/>
      </c>
      <c r="K21" s="112" t="n"/>
      <c r="L21" s="69">
        <f>IFERROR(L20+E21,0)</f>
        <v/>
      </c>
      <c r="M21" s="72">
        <f>IFERROR(M20+H21,0)</f>
        <v/>
      </c>
      <c r="N21" s="113">
        <f>IFERROR(L21-M21,0)</f>
        <v/>
      </c>
      <c r="O21" s="114">
        <f>IFERROR(SUMIF(B8:B21,"&gt;="&amp;(B21-WEEKDAY(B21,2)+1),E8:E21),0)</f>
        <v/>
      </c>
      <c r="P21" s="115">
        <f>IFERROR(SUMIF(B8:B21,"&gt;="&amp;(B21-WEEKDAY(B21,2)+1),H8:H21),0)</f>
        <v/>
      </c>
      <c r="Q21" s="113">
        <f>IFERROR(O21-P21,0)</f>
        <v/>
      </c>
    </row>
    <row r="22" ht="16.5" customHeight="1">
      <c r="B22" s="91" t="n"/>
      <c r="C22" s="92">
        <f>IF(B22="","",TEXT(B22,"DDD"))</f>
        <v/>
      </c>
      <c r="D22" s="93">
        <f>IF(B22="","","Soft App")</f>
        <v/>
      </c>
      <c r="E22" s="94" t="n"/>
      <c r="F22" s="95" t="n"/>
      <c r="G22" s="96">
        <f>IFERROR(E22/F22,0)</f>
        <v/>
      </c>
      <c r="H22" s="97">
        <f>IFERROR(SUMIF('💸 Expenses'!B9:B508,B22,'💸 Expenses'!F9:F508),0)</f>
        <v/>
      </c>
      <c r="I22" s="98">
        <f>IFERROR(E22-H22,0)</f>
        <v/>
      </c>
      <c r="J22" s="99">
        <f>IFERROR(I22/E22,0)</f>
        <v/>
      </c>
      <c r="K22" s="100" t="n"/>
      <c r="L22" s="60">
        <f>IFERROR(L21+E22,0)</f>
        <v/>
      </c>
      <c r="M22" s="63">
        <f>IFERROR(M21+H22,0)</f>
        <v/>
      </c>
      <c r="N22" s="101">
        <f>IFERROR(L22-M22,0)</f>
        <v/>
      </c>
      <c r="O22" s="102">
        <f>IFERROR(SUMIF(B8:B22,"&gt;="&amp;(B22-WEEKDAY(B22,2)+1),E8:E22),0)</f>
        <v/>
      </c>
      <c r="P22" s="103">
        <f>IFERROR(SUMIF(B8:B22,"&gt;="&amp;(B22-WEEKDAY(B22,2)+1),H8:H22),0)</f>
        <v/>
      </c>
      <c r="Q22" s="101">
        <f>IFERROR(O22-P22,0)</f>
        <v/>
      </c>
    </row>
    <row r="23" ht="16.5" customHeight="1">
      <c r="B23" s="91" t="n"/>
      <c r="C23" s="104">
        <f>IF(B23="","",TEXT(B23,"DDD"))</f>
        <v/>
      </c>
      <c r="D23" s="105">
        <f>IF(B23="","","Soft App")</f>
        <v/>
      </c>
      <c r="E23" s="106" t="n"/>
      <c r="F23" s="107" t="n"/>
      <c r="G23" s="108">
        <f>IFERROR(E23/F23,0)</f>
        <v/>
      </c>
      <c r="H23" s="109">
        <f>IFERROR(SUMIF('💸 Expenses'!B9:B508,B23,'💸 Expenses'!F9:F508),0)</f>
        <v/>
      </c>
      <c r="I23" s="110">
        <f>IFERROR(E23-H23,0)</f>
        <v/>
      </c>
      <c r="J23" s="111">
        <f>IFERROR(I23/E23,0)</f>
        <v/>
      </c>
      <c r="K23" s="112" t="n"/>
      <c r="L23" s="69">
        <f>IFERROR(L22+E23,0)</f>
        <v/>
      </c>
      <c r="M23" s="72">
        <f>IFERROR(M22+H23,0)</f>
        <v/>
      </c>
      <c r="N23" s="113">
        <f>IFERROR(L23-M23,0)</f>
        <v/>
      </c>
      <c r="O23" s="114">
        <f>IFERROR(SUMIF(B8:B23,"&gt;="&amp;(B23-WEEKDAY(B23,2)+1),E8:E23),0)</f>
        <v/>
      </c>
      <c r="P23" s="115">
        <f>IFERROR(SUMIF(B8:B23,"&gt;="&amp;(B23-WEEKDAY(B23,2)+1),H8:H23),0)</f>
        <v/>
      </c>
      <c r="Q23" s="113">
        <f>IFERROR(O23-P23,0)</f>
        <v/>
      </c>
    </row>
    <row r="24" ht="16.5" customHeight="1">
      <c r="B24" s="91" t="n"/>
      <c r="C24" s="92">
        <f>IF(B24="","",TEXT(B24,"DDD"))</f>
        <v/>
      </c>
      <c r="D24" s="93">
        <f>IF(B24="","","Soft App")</f>
        <v/>
      </c>
      <c r="E24" s="94" t="n"/>
      <c r="F24" s="95" t="n"/>
      <c r="G24" s="96">
        <f>IFERROR(E24/F24,0)</f>
        <v/>
      </c>
      <c r="H24" s="97">
        <f>IFERROR(SUMIF('💸 Expenses'!B9:B508,B24,'💸 Expenses'!F9:F508),0)</f>
        <v/>
      </c>
      <c r="I24" s="98">
        <f>IFERROR(E24-H24,0)</f>
        <v/>
      </c>
      <c r="J24" s="99">
        <f>IFERROR(I24/E24,0)</f>
        <v/>
      </c>
      <c r="K24" s="100" t="n"/>
      <c r="L24" s="60">
        <f>IFERROR(L23+E24,0)</f>
        <v/>
      </c>
      <c r="M24" s="63">
        <f>IFERROR(M23+H24,0)</f>
        <v/>
      </c>
      <c r="N24" s="101">
        <f>IFERROR(L24-M24,0)</f>
        <v/>
      </c>
      <c r="O24" s="102">
        <f>IFERROR(SUMIF(B8:B24,"&gt;="&amp;(B24-WEEKDAY(B24,2)+1),E8:E24),0)</f>
        <v/>
      </c>
      <c r="P24" s="103">
        <f>IFERROR(SUMIF(B8:B24,"&gt;="&amp;(B24-WEEKDAY(B24,2)+1),H8:H24),0)</f>
        <v/>
      </c>
      <c r="Q24" s="101">
        <f>IFERROR(O24-P24,0)</f>
        <v/>
      </c>
    </row>
    <row r="25" ht="16.5" customHeight="1">
      <c r="B25" s="91" t="n"/>
      <c r="C25" s="104">
        <f>IF(B25="","",TEXT(B25,"DDD"))</f>
        <v/>
      </c>
      <c r="D25" s="105">
        <f>IF(B25="","","Soft App")</f>
        <v/>
      </c>
      <c r="E25" s="106" t="n"/>
      <c r="F25" s="107" t="n"/>
      <c r="G25" s="108">
        <f>IFERROR(E25/F25,0)</f>
        <v/>
      </c>
      <c r="H25" s="109">
        <f>IFERROR(SUMIF('💸 Expenses'!B9:B508,B25,'💸 Expenses'!F9:F508),0)</f>
        <v/>
      </c>
      <c r="I25" s="110">
        <f>IFERROR(E25-H25,0)</f>
        <v/>
      </c>
      <c r="J25" s="111">
        <f>IFERROR(I25/E25,0)</f>
        <v/>
      </c>
      <c r="K25" s="112" t="n"/>
      <c r="L25" s="69">
        <f>IFERROR(L24+E25,0)</f>
        <v/>
      </c>
      <c r="M25" s="72">
        <f>IFERROR(M24+H25,0)</f>
        <v/>
      </c>
      <c r="N25" s="113">
        <f>IFERROR(L25-M25,0)</f>
        <v/>
      </c>
      <c r="O25" s="114">
        <f>IFERROR(SUMIF(B8:B25,"&gt;="&amp;(B25-WEEKDAY(B25,2)+1),E8:E25),0)</f>
        <v/>
      </c>
      <c r="P25" s="115">
        <f>IFERROR(SUMIF(B8:B25,"&gt;="&amp;(B25-WEEKDAY(B25,2)+1),H8:H25),0)</f>
        <v/>
      </c>
      <c r="Q25" s="113">
        <f>IFERROR(O25-P25,0)</f>
        <v/>
      </c>
    </row>
    <row r="26" ht="16.5" customHeight="1">
      <c r="B26" s="91" t="n"/>
      <c r="C26" s="92">
        <f>IF(B26="","",TEXT(B26,"DDD"))</f>
        <v/>
      </c>
      <c r="D26" s="93">
        <f>IF(B26="","","Soft App")</f>
        <v/>
      </c>
      <c r="E26" s="94" t="n"/>
      <c r="F26" s="95" t="n"/>
      <c r="G26" s="96">
        <f>IFERROR(E26/F26,0)</f>
        <v/>
      </c>
      <c r="H26" s="97">
        <f>IFERROR(SUMIF('💸 Expenses'!B9:B508,B26,'💸 Expenses'!F9:F508),0)</f>
        <v/>
      </c>
      <c r="I26" s="98">
        <f>IFERROR(E26-H26,0)</f>
        <v/>
      </c>
      <c r="J26" s="99">
        <f>IFERROR(I26/E26,0)</f>
        <v/>
      </c>
      <c r="K26" s="100" t="n"/>
      <c r="L26" s="60">
        <f>IFERROR(L25+E26,0)</f>
        <v/>
      </c>
      <c r="M26" s="63">
        <f>IFERROR(M25+H26,0)</f>
        <v/>
      </c>
      <c r="N26" s="101">
        <f>IFERROR(L26-M26,0)</f>
        <v/>
      </c>
      <c r="O26" s="102">
        <f>IFERROR(SUMIF(B8:B26,"&gt;="&amp;(B26-WEEKDAY(B26,2)+1),E8:E26),0)</f>
        <v/>
      </c>
      <c r="P26" s="103">
        <f>IFERROR(SUMIF(B8:B26,"&gt;="&amp;(B26-WEEKDAY(B26,2)+1),H8:H26),0)</f>
        <v/>
      </c>
      <c r="Q26" s="101">
        <f>IFERROR(O26-P26,0)</f>
        <v/>
      </c>
    </row>
    <row r="27" ht="16.5" customHeight="1">
      <c r="B27" s="91" t="n"/>
      <c r="C27" s="104">
        <f>IF(B27="","",TEXT(B27,"DDD"))</f>
        <v/>
      </c>
      <c r="D27" s="105">
        <f>IF(B27="","","Soft App")</f>
        <v/>
      </c>
      <c r="E27" s="106" t="n"/>
      <c r="F27" s="107" t="n"/>
      <c r="G27" s="108">
        <f>IFERROR(E27/F27,0)</f>
        <v/>
      </c>
      <c r="H27" s="109">
        <f>IFERROR(SUMIF('💸 Expenses'!B9:B508,B27,'💸 Expenses'!F9:F508),0)</f>
        <v/>
      </c>
      <c r="I27" s="110">
        <f>IFERROR(E27-H27,0)</f>
        <v/>
      </c>
      <c r="J27" s="111">
        <f>IFERROR(I27/E27,0)</f>
        <v/>
      </c>
      <c r="K27" s="112" t="n"/>
      <c r="L27" s="69">
        <f>IFERROR(L26+E27,0)</f>
        <v/>
      </c>
      <c r="M27" s="72">
        <f>IFERROR(M26+H27,0)</f>
        <v/>
      </c>
      <c r="N27" s="113">
        <f>IFERROR(L27-M27,0)</f>
        <v/>
      </c>
      <c r="O27" s="114">
        <f>IFERROR(SUMIF(B8:B27,"&gt;="&amp;(B27-WEEKDAY(B27,2)+1),E8:E27),0)</f>
        <v/>
      </c>
      <c r="P27" s="115">
        <f>IFERROR(SUMIF(B8:B27,"&gt;="&amp;(B27-WEEKDAY(B27,2)+1),H8:H27),0)</f>
        <v/>
      </c>
      <c r="Q27" s="113">
        <f>IFERROR(O27-P27,0)</f>
        <v/>
      </c>
    </row>
    <row r="28" ht="16.5" customHeight="1">
      <c r="B28" s="91" t="n"/>
      <c r="C28" s="92">
        <f>IF(B28="","",TEXT(B28,"DDD"))</f>
        <v/>
      </c>
      <c r="D28" s="93">
        <f>IF(B28="","","Soft App")</f>
        <v/>
      </c>
      <c r="E28" s="94" t="n"/>
      <c r="F28" s="95" t="n"/>
      <c r="G28" s="96">
        <f>IFERROR(E28/F28,0)</f>
        <v/>
      </c>
      <c r="H28" s="97">
        <f>IFERROR(SUMIF('💸 Expenses'!B9:B508,B28,'💸 Expenses'!F9:F508),0)</f>
        <v/>
      </c>
      <c r="I28" s="98">
        <f>IFERROR(E28-H28,0)</f>
        <v/>
      </c>
      <c r="J28" s="99">
        <f>IFERROR(I28/E28,0)</f>
        <v/>
      </c>
      <c r="K28" s="100" t="n"/>
      <c r="L28" s="60">
        <f>IFERROR(L27+E28,0)</f>
        <v/>
      </c>
      <c r="M28" s="63">
        <f>IFERROR(M27+H28,0)</f>
        <v/>
      </c>
      <c r="N28" s="101">
        <f>IFERROR(L28-M28,0)</f>
        <v/>
      </c>
      <c r="O28" s="102">
        <f>IFERROR(SUMIF(B8:B28,"&gt;="&amp;(B28-WEEKDAY(B28,2)+1),E8:E28),0)</f>
        <v/>
      </c>
      <c r="P28" s="103">
        <f>IFERROR(SUMIF(B8:B28,"&gt;="&amp;(B28-WEEKDAY(B28,2)+1),H8:H28),0)</f>
        <v/>
      </c>
      <c r="Q28" s="101">
        <f>IFERROR(O28-P28,0)</f>
        <v/>
      </c>
    </row>
    <row r="29" ht="16.5" customHeight="1">
      <c r="B29" s="91" t="n"/>
      <c r="C29" s="104">
        <f>IF(B29="","",TEXT(B29,"DDD"))</f>
        <v/>
      </c>
      <c r="D29" s="105">
        <f>IF(B29="","","Soft App")</f>
        <v/>
      </c>
      <c r="E29" s="106" t="n"/>
      <c r="F29" s="107" t="n"/>
      <c r="G29" s="108">
        <f>IFERROR(E29/F29,0)</f>
        <v/>
      </c>
      <c r="H29" s="109">
        <f>IFERROR(SUMIF('💸 Expenses'!B9:B508,B29,'💸 Expenses'!F9:F508),0)</f>
        <v/>
      </c>
      <c r="I29" s="110">
        <f>IFERROR(E29-H29,0)</f>
        <v/>
      </c>
      <c r="J29" s="111">
        <f>IFERROR(I29/E29,0)</f>
        <v/>
      </c>
      <c r="K29" s="112" t="n"/>
      <c r="L29" s="69">
        <f>IFERROR(L28+E29,0)</f>
        <v/>
      </c>
      <c r="M29" s="72">
        <f>IFERROR(M28+H29,0)</f>
        <v/>
      </c>
      <c r="N29" s="113">
        <f>IFERROR(L29-M29,0)</f>
        <v/>
      </c>
      <c r="O29" s="114">
        <f>IFERROR(SUMIF(B8:B29,"&gt;="&amp;(B29-WEEKDAY(B29,2)+1),E8:E29),0)</f>
        <v/>
      </c>
      <c r="P29" s="115">
        <f>IFERROR(SUMIF(B8:B29,"&gt;="&amp;(B29-WEEKDAY(B29,2)+1),H8:H29),0)</f>
        <v/>
      </c>
      <c r="Q29" s="113">
        <f>IFERROR(O29-P29,0)</f>
        <v/>
      </c>
    </row>
    <row r="30" ht="16.5" customHeight="1">
      <c r="B30" s="91" t="n"/>
      <c r="C30" s="92">
        <f>IF(B30="","",TEXT(B30,"DDD"))</f>
        <v/>
      </c>
      <c r="D30" s="93">
        <f>IF(B30="","","Soft App")</f>
        <v/>
      </c>
      <c r="E30" s="94" t="n"/>
      <c r="F30" s="95" t="n"/>
      <c r="G30" s="96">
        <f>IFERROR(E30/F30,0)</f>
        <v/>
      </c>
      <c r="H30" s="97">
        <f>IFERROR(SUMIF('💸 Expenses'!B9:B508,B30,'💸 Expenses'!F9:F508),0)</f>
        <v/>
      </c>
      <c r="I30" s="98">
        <f>IFERROR(E30-H30,0)</f>
        <v/>
      </c>
      <c r="J30" s="99">
        <f>IFERROR(I30/E30,0)</f>
        <v/>
      </c>
      <c r="K30" s="100" t="n"/>
      <c r="L30" s="60">
        <f>IFERROR(L29+E30,0)</f>
        <v/>
      </c>
      <c r="M30" s="63">
        <f>IFERROR(M29+H30,0)</f>
        <v/>
      </c>
      <c r="N30" s="101">
        <f>IFERROR(L30-M30,0)</f>
        <v/>
      </c>
      <c r="O30" s="102">
        <f>IFERROR(SUMIF(B8:B30,"&gt;="&amp;(B30-WEEKDAY(B30,2)+1),E8:E30),0)</f>
        <v/>
      </c>
      <c r="P30" s="103">
        <f>IFERROR(SUMIF(B8:B30,"&gt;="&amp;(B30-WEEKDAY(B30,2)+1),H8:H30),0)</f>
        <v/>
      </c>
      <c r="Q30" s="101">
        <f>IFERROR(O30-P30,0)</f>
        <v/>
      </c>
    </row>
    <row r="31" ht="16.5" customHeight="1">
      <c r="B31" s="91" t="n"/>
      <c r="C31" s="104">
        <f>IF(B31="","",TEXT(B31,"DDD"))</f>
        <v/>
      </c>
      <c r="D31" s="105">
        <f>IF(B31="","","Soft App")</f>
        <v/>
      </c>
      <c r="E31" s="106" t="n"/>
      <c r="F31" s="107" t="n"/>
      <c r="G31" s="108">
        <f>IFERROR(E31/F31,0)</f>
        <v/>
      </c>
      <c r="H31" s="109">
        <f>IFERROR(SUMIF('💸 Expenses'!B9:B508,B31,'💸 Expenses'!F9:F508),0)</f>
        <v/>
      </c>
      <c r="I31" s="110">
        <f>IFERROR(E31-H31,0)</f>
        <v/>
      </c>
      <c r="J31" s="111">
        <f>IFERROR(I31/E31,0)</f>
        <v/>
      </c>
      <c r="K31" s="112" t="n"/>
      <c r="L31" s="69">
        <f>IFERROR(L30+E31,0)</f>
        <v/>
      </c>
      <c r="M31" s="72">
        <f>IFERROR(M30+H31,0)</f>
        <v/>
      </c>
      <c r="N31" s="113">
        <f>IFERROR(L31-M31,0)</f>
        <v/>
      </c>
      <c r="O31" s="114">
        <f>IFERROR(SUMIF(B8:B31,"&gt;="&amp;(B31-WEEKDAY(B31,2)+1),E8:E31),0)</f>
        <v/>
      </c>
      <c r="P31" s="115">
        <f>IFERROR(SUMIF(B8:B31,"&gt;="&amp;(B31-WEEKDAY(B31,2)+1),H8:H31),0)</f>
        <v/>
      </c>
      <c r="Q31" s="113">
        <f>IFERROR(O31-P31,0)</f>
        <v/>
      </c>
    </row>
    <row r="32" ht="16.5" customHeight="1">
      <c r="B32" s="91" t="n"/>
      <c r="C32" s="92">
        <f>IF(B32="","",TEXT(B32,"DDD"))</f>
        <v/>
      </c>
      <c r="D32" s="93">
        <f>IF(B32="","","Soft App")</f>
        <v/>
      </c>
      <c r="E32" s="94" t="n"/>
      <c r="F32" s="95" t="n"/>
      <c r="G32" s="96">
        <f>IFERROR(E32/F32,0)</f>
        <v/>
      </c>
      <c r="H32" s="97">
        <f>IFERROR(SUMIF('💸 Expenses'!B9:B508,B32,'💸 Expenses'!F9:F508),0)</f>
        <v/>
      </c>
      <c r="I32" s="98">
        <f>IFERROR(E32-H32,0)</f>
        <v/>
      </c>
      <c r="J32" s="99">
        <f>IFERROR(I32/E32,0)</f>
        <v/>
      </c>
      <c r="K32" s="100" t="n"/>
      <c r="L32" s="60">
        <f>IFERROR(L31+E32,0)</f>
        <v/>
      </c>
      <c r="M32" s="63">
        <f>IFERROR(M31+H32,0)</f>
        <v/>
      </c>
      <c r="N32" s="101">
        <f>IFERROR(L32-M32,0)</f>
        <v/>
      </c>
      <c r="O32" s="102">
        <f>IFERROR(SUMIF(B8:B32,"&gt;="&amp;(B32-WEEKDAY(B32,2)+1),E8:E32),0)</f>
        <v/>
      </c>
      <c r="P32" s="103">
        <f>IFERROR(SUMIF(B8:B32,"&gt;="&amp;(B32-WEEKDAY(B32,2)+1),H8:H32),0)</f>
        <v/>
      </c>
      <c r="Q32" s="101">
        <f>IFERROR(O32-P32,0)</f>
        <v/>
      </c>
    </row>
    <row r="33" ht="16.5" customHeight="1">
      <c r="B33" s="91" t="n"/>
      <c r="C33" s="104">
        <f>IF(B33="","",TEXT(B33,"DDD"))</f>
        <v/>
      </c>
      <c r="D33" s="105">
        <f>IF(B33="","","Soft App")</f>
        <v/>
      </c>
      <c r="E33" s="106" t="n"/>
      <c r="F33" s="107" t="n"/>
      <c r="G33" s="108">
        <f>IFERROR(E33/F33,0)</f>
        <v/>
      </c>
      <c r="H33" s="109">
        <f>IFERROR(SUMIF('💸 Expenses'!B9:B508,B33,'💸 Expenses'!F9:F508),0)</f>
        <v/>
      </c>
      <c r="I33" s="110">
        <f>IFERROR(E33-H33,0)</f>
        <v/>
      </c>
      <c r="J33" s="111">
        <f>IFERROR(I33/E33,0)</f>
        <v/>
      </c>
      <c r="K33" s="112" t="n"/>
      <c r="L33" s="69">
        <f>IFERROR(L32+E33,0)</f>
        <v/>
      </c>
      <c r="M33" s="72">
        <f>IFERROR(M32+H33,0)</f>
        <v/>
      </c>
      <c r="N33" s="113">
        <f>IFERROR(L33-M33,0)</f>
        <v/>
      </c>
      <c r="O33" s="114">
        <f>IFERROR(SUMIF(B8:B33,"&gt;="&amp;(B33-WEEKDAY(B33,2)+1),E8:E33),0)</f>
        <v/>
      </c>
      <c r="P33" s="115">
        <f>IFERROR(SUMIF(B8:B33,"&gt;="&amp;(B33-WEEKDAY(B33,2)+1),H8:H33),0)</f>
        <v/>
      </c>
      <c r="Q33" s="113">
        <f>IFERROR(O33-P33,0)</f>
        <v/>
      </c>
    </row>
    <row r="34" ht="16.5" customHeight="1">
      <c r="B34" s="91" t="n"/>
      <c r="C34" s="92">
        <f>IF(B34="","",TEXT(B34,"DDD"))</f>
        <v/>
      </c>
      <c r="D34" s="93">
        <f>IF(B34="","","Soft App")</f>
        <v/>
      </c>
      <c r="E34" s="94" t="n"/>
      <c r="F34" s="95" t="n"/>
      <c r="G34" s="96">
        <f>IFERROR(E34/F34,0)</f>
        <v/>
      </c>
      <c r="H34" s="97">
        <f>IFERROR(SUMIF('💸 Expenses'!B9:B508,B34,'💸 Expenses'!F9:F508),0)</f>
        <v/>
      </c>
      <c r="I34" s="98">
        <f>IFERROR(E34-H34,0)</f>
        <v/>
      </c>
      <c r="J34" s="99">
        <f>IFERROR(I34/E34,0)</f>
        <v/>
      </c>
      <c r="K34" s="100" t="n"/>
      <c r="L34" s="60">
        <f>IFERROR(L33+E34,0)</f>
        <v/>
      </c>
      <c r="M34" s="63">
        <f>IFERROR(M33+H34,0)</f>
        <v/>
      </c>
      <c r="N34" s="101">
        <f>IFERROR(L34-M34,0)</f>
        <v/>
      </c>
      <c r="O34" s="102">
        <f>IFERROR(SUMIF(B8:B34,"&gt;="&amp;(B34-WEEKDAY(B34,2)+1),E8:E34),0)</f>
        <v/>
      </c>
      <c r="P34" s="103">
        <f>IFERROR(SUMIF(B8:B34,"&gt;="&amp;(B34-WEEKDAY(B34,2)+1),H8:H34),0)</f>
        <v/>
      </c>
      <c r="Q34" s="101">
        <f>IFERROR(O34-P34,0)</f>
        <v/>
      </c>
    </row>
    <row r="35" ht="16.5" customHeight="1">
      <c r="B35" s="91" t="n"/>
      <c r="C35" s="104">
        <f>IF(B35="","",TEXT(B35,"DDD"))</f>
        <v/>
      </c>
      <c r="D35" s="105">
        <f>IF(B35="","","Soft App")</f>
        <v/>
      </c>
      <c r="E35" s="106" t="n"/>
      <c r="F35" s="107" t="n"/>
      <c r="G35" s="108">
        <f>IFERROR(E35/F35,0)</f>
        <v/>
      </c>
      <c r="H35" s="109">
        <f>IFERROR(SUMIF('💸 Expenses'!B9:B508,B35,'💸 Expenses'!F9:F508),0)</f>
        <v/>
      </c>
      <c r="I35" s="110">
        <f>IFERROR(E35-H35,0)</f>
        <v/>
      </c>
      <c r="J35" s="111">
        <f>IFERROR(I35/E35,0)</f>
        <v/>
      </c>
      <c r="K35" s="112" t="n"/>
      <c r="L35" s="69">
        <f>IFERROR(L34+E35,0)</f>
        <v/>
      </c>
      <c r="M35" s="72">
        <f>IFERROR(M34+H35,0)</f>
        <v/>
      </c>
      <c r="N35" s="113">
        <f>IFERROR(L35-M35,0)</f>
        <v/>
      </c>
      <c r="O35" s="114">
        <f>IFERROR(SUMIF(B8:B35,"&gt;="&amp;(B35-WEEKDAY(B35,2)+1),E8:E35),0)</f>
        <v/>
      </c>
      <c r="P35" s="115">
        <f>IFERROR(SUMIF(B8:B35,"&gt;="&amp;(B35-WEEKDAY(B35,2)+1),H8:H35),0)</f>
        <v/>
      </c>
      <c r="Q35" s="113">
        <f>IFERROR(O35-P35,0)</f>
        <v/>
      </c>
    </row>
    <row r="36" ht="16.5" customHeight="1">
      <c r="B36" s="91" t="n"/>
      <c r="C36" s="92">
        <f>IF(B36="","",TEXT(B36,"DDD"))</f>
        <v/>
      </c>
      <c r="D36" s="93">
        <f>IF(B36="","","Soft App")</f>
        <v/>
      </c>
      <c r="E36" s="94" t="n"/>
      <c r="F36" s="95" t="n"/>
      <c r="G36" s="96">
        <f>IFERROR(E36/F36,0)</f>
        <v/>
      </c>
      <c r="H36" s="97">
        <f>IFERROR(SUMIF('💸 Expenses'!B9:B508,B36,'💸 Expenses'!F9:F508),0)</f>
        <v/>
      </c>
      <c r="I36" s="98">
        <f>IFERROR(E36-H36,0)</f>
        <v/>
      </c>
      <c r="J36" s="99">
        <f>IFERROR(I36/E36,0)</f>
        <v/>
      </c>
      <c r="K36" s="100" t="n"/>
      <c r="L36" s="60">
        <f>IFERROR(L35+E36,0)</f>
        <v/>
      </c>
      <c r="M36" s="63">
        <f>IFERROR(M35+H36,0)</f>
        <v/>
      </c>
      <c r="N36" s="101">
        <f>IFERROR(L36-M36,0)</f>
        <v/>
      </c>
      <c r="O36" s="102">
        <f>IFERROR(SUMIF(B8:B36,"&gt;="&amp;(B36-WEEKDAY(B36,2)+1),E8:E36),0)</f>
        <v/>
      </c>
      <c r="P36" s="103">
        <f>IFERROR(SUMIF(B8:B36,"&gt;="&amp;(B36-WEEKDAY(B36,2)+1),H8:H36),0)</f>
        <v/>
      </c>
      <c r="Q36" s="101">
        <f>IFERROR(O36-P36,0)</f>
        <v/>
      </c>
    </row>
    <row r="37" ht="16.5" customHeight="1">
      <c r="B37" s="91" t="n"/>
      <c r="C37" s="104">
        <f>IF(B37="","",TEXT(B37,"DDD"))</f>
        <v/>
      </c>
      <c r="D37" s="105">
        <f>IF(B37="","","Soft App")</f>
        <v/>
      </c>
      <c r="E37" s="106" t="n"/>
      <c r="F37" s="107" t="n"/>
      <c r="G37" s="108">
        <f>IFERROR(E37/F37,0)</f>
        <v/>
      </c>
      <c r="H37" s="109">
        <f>IFERROR(SUMIF('💸 Expenses'!B9:B508,B37,'💸 Expenses'!F9:F508),0)</f>
        <v/>
      </c>
      <c r="I37" s="110">
        <f>IFERROR(E37-H37,0)</f>
        <v/>
      </c>
      <c r="J37" s="111">
        <f>IFERROR(I37/E37,0)</f>
        <v/>
      </c>
      <c r="K37" s="112" t="n"/>
      <c r="L37" s="69">
        <f>IFERROR(L36+E37,0)</f>
        <v/>
      </c>
      <c r="M37" s="72">
        <f>IFERROR(M36+H37,0)</f>
        <v/>
      </c>
      <c r="N37" s="113">
        <f>IFERROR(L37-M37,0)</f>
        <v/>
      </c>
      <c r="O37" s="114">
        <f>IFERROR(SUMIF(B8:B37,"&gt;="&amp;(B37-WEEKDAY(B37,2)+1),E8:E37),0)</f>
        <v/>
      </c>
      <c r="P37" s="115">
        <f>IFERROR(SUMIF(B8:B37,"&gt;="&amp;(B37-WEEKDAY(B37,2)+1),H8:H37),0)</f>
        <v/>
      </c>
      <c r="Q37" s="113">
        <f>IFERROR(O37-P37,0)</f>
        <v/>
      </c>
    </row>
    <row r="38" ht="16.5" customHeight="1">
      <c r="B38" s="91" t="n"/>
      <c r="C38" s="92">
        <f>IF(B38="","",TEXT(B38,"DDD"))</f>
        <v/>
      </c>
      <c r="D38" s="93">
        <f>IF(B38="","","Soft App")</f>
        <v/>
      </c>
      <c r="E38" s="94" t="n"/>
      <c r="F38" s="95" t="n"/>
      <c r="G38" s="96">
        <f>IFERROR(E38/F38,0)</f>
        <v/>
      </c>
      <c r="H38" s="97">
        <f>IFERROR(SUMIF('💸 Expenses'!B9:B508,B38,'💸 Expenses'!F9:F508),0)</f>
        <v/>
      </c>
      <c r="I38" s="98">
        <f>IFERROR(E38-H38,0)</f>
        <v/>
      </c>
      <c r="J38" s="99">
        <f>IFERROR(I38/E38,0)</f>
        <v/>
      </c>
      <c r="K38" s="100" t="n"/>
      <c r="L38" s="60">
        <f>IFERROR(L37+E38,0)</f>
        <v/>
      </c>
      <c r="M38" s="63">
        <f>IFERROR(M37+H38,0)</f>
        <v/>
      </c>
      <c r="N38" s="101">
        <f>IFERROR(L38-M38,0)</f>
        <v/>
      </c>
      <c r="O38" s="102">
        <f>IFERROR(SUMIF(B8:B38,"&gt;="&amp;(B38-WEEKDAY(B38,2)+1),E8:E38),0)</f>
        <v/>
      </c>
      <c r="P38" s="103">
        <f>IFERROR(SUMIF(B8:B38,"&gt;="&amp;(B38-WEEKDAY(B38,2)+1),H8:H38),0)</f>
        <v/>
      </c>
      <c r="Q38" s="101">
        <f>IFERROR(O38-P38,0)</f>
        <v/>
      </c>
    </row>
    <row r="39" ht="16.5" customHeight="1">
      <c r="B39" s="91" t="n"/>
      <c r="C39" s="104">
        <f>IF(B39="","",TEXT(B39,"DDD"))</f>
        <v/>
      </c>
      <c r="D39" s="105">
        <f>IF(B39="","","Soft App")</f>
        <v/>
      </c>
      <c r="E39" s="106" t="n"/>
      <c r="F39" s="107" t="n"/>
      <c r="G39" s="108">
        <f>IFERROR(E39/F39,0)</f>
        <v/>
      </c>
      <c r="H39" s="109">
        <f>IFERROR(SUMIF('💸 Expenses'!B9:B508,B39,'💸 Expenses'!F9:F508),0)</f>
        <v/>
      </c>
      <c r="I39" s="110">
        <f>IFERROR(E39-H39,0)</f>
        <v/>
      </c>
      <c r="J39" s="111">
        <f>IFERROR(I39/E39,0)</f>
        <v/>
      </c>
      <c r="K39" s="112" t="n"/>
      <c r="L39" s="69">
        <f>IFERROR(L38+E39,0)</f>
        <v/>
      </c>
      <c r="M39" s="72">
        <f>IFERROR(M38+H39,0)</f>
        <v/>
      </c>
      <c r="N39" s="113">
        <f>IFERROR(L39-M39,0)</f>
        <v/>
      </c>
      <c r="O39" s="114">
        <f>IFERROR(SUMIF(B8:B39,"&gt;="&amp;(B39-WEEKDAY(B39,2)+1),E8:E39),0)</f>
        <v/>
      </c>
      <c r="P39" s="115">
        <f>IFERROR(SUMIF(B8:B39,"&gt;="&amp;(B39-WEEKDAY(B39,2)+1),H8:H39),0)</f>
        <v/>
      </c>
      <c r="Q39" s="113">
        <f>IFERROR(O39-P39,0)</f>
        <v/>
      </c>
    </row>
    <row r="40" ht="16.5" customHeight="1">
      <c r="B40" s="91" t="n"/>
      <c r="C40" s="92">
        <f>IF(B40="","",TEXT(B40,"DDD"))</f>
        <v/>
      </c>
      <c r="D40" s="93">
        <f>IF(B40="","","Soft App")</f>
        <v/>
      </c>
      <c r="E40" s="94" t="n"/>
      <c r="F40" s="95" t="n"/>
      <c r="G40" s="96">
        <f>IFERROR(E40/F40,0)</f>
        <v/>
      </c>
      <c r="H40" s="97">
        <f>IFERROR(SUMIF('💸 Expenses'!B9:B508,B40,'💸 Expenses'!F9:F508),0)</f>
        <v/>
      </c>
      <c r="I40" s="98">
        <f>IFERROR(E40-H40,0)</f>
        <v/>
      </c>
      <c r="J40" s="99">
        <f>IFERROR(I40/E40,0)</f>
        <v/>
      </c>
      <c r="K40" s="100" t="n"/>
      <c r="L40" s="60">
        <f>IFERROR(L39+E40,0)</f>
        <v/>
      </c>
      <c r="M40" s="63">
        <f>IFERROR(M39+H40,0)</f>
        <v/>
      </c>
      <c r="N40" s="101">
        <f>IFERROR(L40-M40,0)</f>
        <v/>
      </c>
      <c r="O40" s="102">
        <f>IFERROR(SUMIF(B8:B40,"&gt;="&amp;(B40-WEEKDAY(B40,2)+1),E8:E40),0)</f>
        <v/>
      </c>
      <c r="P40" s="103">
        <f>IFERROR(SUMIF(B8:B40,"&gt;="&amp;(B40-WEEKDAY(B40,2)+1),H8:H40),0)</f>
        <v/>
      </c>
      <c r="Q40" s="101">
        <f>IFERROR(O40-P40,0)</f>
        <v/>
      </c>
    </row>
    <row r="41" ht="16.5" customHeight="1">
      <c r="B41" s="91" t="n"/>
      <c r="C41" s="104">
        <f>IF(B41="","",TEXT(B41,"DDD"))</f>
        <v/>
      </c>
      <c r="D41" s="105">
        <f>IF(B41="","","Soft App")</f>
        <v/>
      </c>
      <c r="E41" s="106" t="n"/>
      <c r="F41" s="107" t="n"/>
      <c r="G41" s="108">
        <f>IFERROR(E41/F41,0)</f>
        <v/>
      </c>
      <c r="H41" s="109">
        <f>IFERROR(SUMIF('💸 Expenses'!B9:B508,B41,'💸 Expenses'!F9:F508),0)</f>
        <v/>
      </c>
      <c r="I41" s="110">
        <f>IFERROR(E41-H41,0)</f>
        <v/>
      </c>
      <c r="J41" s="111">
        <f>IFERROR(I41/E41,0)</f>
        <v/>
      </c>
      <c r="K41" s="112" t="n"/>
      <c r="L41" s="69">
        <f>IFERROR(L40+E41,0)</f>
        <v/>
      </c>
      <c r="M41" s="72">
        <f>IFERROR(M40+H41,0)</f>
        <v/>
      </c>
      <c r="N41" s="113">
        <f>IFERROR(L41-M41,0)</f>
        <v/>
      </c>
      <c r="O41" s="114">
        <f>IFERROR(SUMIF(B8:B41,"&gt;="&amp;(B41-WEEKDAY(B41,2)+1),E8:E41),0)</f>
        <v/>
      </c>
      <c r="P41" s="115">
        <f>IFERROR(SUMIF(B8:B41,"&gt;="&amp;(B41-WEEKDAY(B41,2)+1),H8:H41),0)</f>
        <v/>
      </c>
      <c r="Q41" s="113">
        <f>IFERROR(O41-P41,0)</f>
        <v/>
      </c>
    </row>
    <row r="42" ht="16.5" customHeight="1">
      <c r="B42" s="91" t="n"/>
      <c r="C42" s="92">
        <f>IF(B42="","",TEXT(B42,"DDD"))</f>
        <v/>
      </c>
      <c r="D42" s="93">
        <f>IF(B42="","","Soft App")</f>
        <v/>
      </c>
      <c r="E42" s="94" t="n"/>
      <c r="F42" s="95" t="n"/>
      <c r="G42" s="96">
        <f>IFERROR(E42/F42,0)</f>
        <v/>
      </c>
      <c r="H42" s="97">
        <f>IFERROR(SUMIF('💸 Expenses'!B9:B508,B42,'💸 Expenses'!F9:F508),0)</f>
        <v/>
      </c>
      <c r="I42" s="98">
        <f>IFERROR(E42-H42,0)</f>
        <v/>
      </c>
      <c r="J42" s="99">
        <f>IFERROR(I42/E42,0)</f>
        <v/>
      </c>
      <c r="K42" s="100" t="n"/>
      <c r="L42" s="60">
        <f>IFERROR(L41+E42,0)</f>
        <v/>
      </c>
      <c r="M42" s="63">
        <f>IFERROR(M41+H42,0)</f>
        <v/>
      </c>
      <c r="N42" s="101">
        <f>IFERROR(L42-M42,0)</f>
        <v/>
      </c>
      <c r="O42" s="102">
        <f>IFERROR(SUMIF(B8:B42,"&gt;="&amp;(B42-WEEKDAY(B42,2)+1),E8:E42),0)</f>
        <v/>
      </c>
      <c r="P42" s="103">
        <f>IFERROR(SUMIF(B8:B42,"&gt;="&amp;(B42-WEEKDAY(B42,2)+1),H8:H42),0)</f>
        <v/>
      </c>
      <c r="Q42" s="101">
        <f>IFERROR(O42-P42,0)</f>
        <v/>
      </c>
    </row>
    <row r="43" ht="16.5" customHeight="1">
      <c r="B43" s="91" t="n"/>
      <c r="C43" s="104">
        <f>IF(B43="","",TEXT(B43,"DDD"))</f>
        <v/>
      </c>
      <c r="D43" s="105">
        <f>IF(B43="","","Soft App")</f>
        <v/>
      </c>
      <c r="E43" s="106" t="n"/>
      <c r="F43" s="107" t="n"/>
      <c r="G43" s="108">
        <f>IFERROR(E43/F43,0)</f>
        <v/>
      </c>
      <c r="H43" s="109">
        <f>IFERROR(SUMIF('💸 Expenses'!B9:B508,B43,'💸 Expenses'!F9:F508),0)</f>
        <v/>
      </c>
      <c r="I43" s="110">
        <f>IFERROR(E43-H43,0)</f>
        <v/>
      </c>
      <c r="J43" s="111">
        <f>IFERROR(I43/E43,0)</f>
        <v/>
      </c>
      <c r="K43" s="112" t="n"/>
      <c r="L43" s="69">
        <f>IFERROR(L42+E43,0)</f>
        <v/>
      </c>
      <c r="M43" s="72">
        <f>IFERROR(M42+H43,0)</f>
        <v/>
      </c>
      <c r="N43" s="113">
        <f>IFERROR(L43-M43,0)</f>
        <v/>
      </c>
      <c r="O43" s="114">
        <f>IFERROR(SUMIF(B8:B43,"&gt;="&amp;(B43-WEEKDAY(B43,2)+1),E8:E43),0)</f>
        <v/>
      </c>
      <c r="P43" s="115">
        <f>IFERROR(SUMIF(B8:B43,"&gt;="&amp;(B43-WEEKDAY(B43,2)+1),H8:H43),0)</f>
        <v/>
      </c>
      <c r="Q43" s="113">
        <f>IFERROR(O43-P43,0)</f>
        <v/>
      </c>
    </row>
    <row r="44" ht="16.5" customHeight="1">
      <c r="B44" s="91" t="n"/>
      <c r="C44" s="92">
        <f>IF(B44="","",TEXT(B44,"DDD"))</f>
        <v/>
      </c>
      <c r="D44" s="93">
        <f>IF(B44="","","Soft App")</f>
        <v/>
      </c>
      <c r="E44" s="94" t="n"/>
      <c r="F44" s="95" t="n"/>
      <c r="G44" s="96">
        <f>IFERROR(E44/F44,0)</f>
        <v/>
      </c>
      <c r="H44" s="97">
        <f>IFERROR(SUMIF('💸 Expenses'!B9:B508,B44,'💸 Expenses'!F9:F508),0)</f>
        <v/>
      </c>
      <c r="I44" s="98">
        <f>IFERROR(E44-H44,0)</f>
        <v/>
      </c>
      <c r="J44" s="99">
        <f>IFERROR(I44/E44,0)</f>
        <v/>
      </c>
      <c r="K44" s="100" t="n"/>
      <c r="L44" s="60">
        <f>IFERROR(L43+E44,0)</f>
        <v/>
      </c>
      <c r="M44" s="63">
        <f>IFERROR(M43+H44,0)</f>
        <v/>
      </c>
      <c r="N44" s="101">
        <f>IFERROR(L44-M44,0)</f>
        <v/>
      </c>
      <c r="O44" s="102">
        <f>IFERROR(SUMIF(B8:B44,"&gt;="&amp;(B44-WEEKDAY(B44,2)+1),E8:E44),0)</f>
        <v/>
      </c>
      <c r="P44" s="103">
        <f>IFERROR(SUMIF(B8:B44,"&gt;="&amp;(B44-WEEKDAY(B44,2)+1),H8:H44),0)</f>
        <v/>
      </c>
      <c r="Q44" s="101">
        <f>IFERROR(O44-P44,0)</f>
        <v/>
      </c>
    </row>
    <row r="45" ht="16.5" customHeight="1">
      <c r="B45" s="91" t="n"/>
      <c r="C45" s="104">
        <f>IF(B45="","",TEXT(B45,"DDD"))</f>
        <v/>
      </c>
      <c r="D45" s="105">
        <f>IF(B45="","","Soft App")</f>
        <v/>
      </c>
      <c r="E45" s="106" t="n"/>
      <c r="F45" s="107" t="n"/>
      <c r="G45" s="108">
        <f>IFERROR(E45/F45,0)</f>
        <v/>
      </c>
      <c r="H45" s="109">
        <f>IFERROR(SUMIF('💸 Expenses'!B9:B508,B45,'💸 Expenses'!F9:F508),0)</f>
        <v/>
      </c>
      <c r="I45" s="110">
        <f>IFERROR(E45-H45,0)</f>
        <v/>
      </c>
      <c r="J45" s="111">
        <f>IFERROR(I45/E45,0)</f>
        <v/>
      </c>
      <c r="K45" s="112" t="n"/>
      <c r="L45" s="69">
        <f>IFERROR(L44+E45,0)</f>
        <v/>
      </c>
      <c r="M45" s="72">
        <f>IFERROR(M44+H45,0)</f>
        <v/>
      </c>
      <c r="N45" s="113">
        <f>IFERROR(L45-M45,0)</f>
        <v/>
      </c>
      <c r="O45" s="114">
        <f>IFERROR(SUMIF(B8:B45,"&gt;="&amp;(B45-WEEKDAY(B45,2)+1),E8:E45),0)</f>
        <v/>
      </c>
      <c r="P45" s="115">
        <f>IFERROR(SUMIF(B8:B45,"&gt;="&amp;(B45-WEEKDAY(B45,2)+1),H8:H45),0)</f>
        <v/>
      </c>
      <c r="Q45" s="113">
        <f>IFERROR(O45-P45,0)</f>
        <v/>
      </c>
    </row>
    <row r="46" ht="16.5" customHeight="1">
      <c r="B46" s="91" t="n"/>
      <c r="C46" s="92">
        <f>IF(B46="","",TEXT(B46,"DDD"))</f>
        <v/>
      </c>
      <c r="D46" s="93">
        <f>IF(B46="","","Soft App")</f>
        <v/>
      </c>
      <c r="E46" s="94" t="n"/>
      <c r="F46" s="95" t="n"/>
      <c r="G46" s="96">
        <f>IFERROR(E46/F46,0)</f>
        <v/>
      </c>
      <c r="H46" s="97">
        <f>IFERROR(SUMIF('💸 Expenses'!B9:B508,B46,'💸 Expenses'!F9:F508),0)</f>
        <v/>
      </c>
      <c r="I46" s="98">
        <f>IFERROR(E46-H46,0)</f>
        <v/>
      </c>
      <c r="J46" s="99">
        <f>IFERROR(I46/E46,0)</f>
        <v/>
      </c>
      <c r="K46" s="100" t="n"/>
      <c r="L46" s="60">
        <f>IFERROR(L45+E46,0)</f>
        <v/>
      </c>
      <c r="M46" s="63">
        <f>IFERROR(M45+H46,0)</f>
        <v/>
      </c>
      <c r="N46" s="101">
        <f>IFERROR(L46-M46,0)</f>
        <v/>
      </c>
      <c r="O46" s="102">
        <f>IFERROR(SUMIF(B8:B46,"&gt;="&amp;(B46-WEEKDAY(B46,2)+1),E8:E46),0)</f>
        <v/>
      </c>
      <c r="P46" s="103">
        <f>IFERROR(SUMIF(B8:B46,"&gt;="&amp;(B46-WEEKDAY(B46,2)+1),H8:H46),0)</f>
        <v/>
      </c>
      <c r="Q46" s="101">
        <f>IFERROR(O46-P46,0)</f>
        <v/>
      </c>
    </row>
    <row r="47" ht="16.5" customHeight="1">
      <c r="B47" s="91" t="n"/>
      <c r="C47" s="104">
        <f>IF(B47="","",TEXT(B47,"DDD"))</f>
        <v/>
      </c>
      <c r="D47" s="105">
        <f>IF(B47="","","Soft App")</f>
        <v/>
      </c>
      <c r="E47" s="106" t="n"/>
      <c r="F47" s="107" t="n"/>
      <c r="G47" s="108">
        <f>IFERROR(E47/F47,0)</f>
        <v/>
      </c>
      <c r="H47" s="109">
        <f>IFERROR(SUMIF('💸 Expenses'!B9:B508,B47,'💸 Expenses'!F9:F508),0)</f>
        <v/>
      </c>
      <c r="I47" s="110">
        <f>IFERROR(E47-H47,0)</f>
        <v/>
      </c>
      <c r="J47" s="111">
        <f>IFERROR(I47/E47,0)</f>
        <v/>
      </c>
      <c r="K47" s="112" t="n"/>
      <c r="L47" s="69">
        <f>IFERROR(L46+E47,0)</f>
        <v/>
      </c>
      <c r="M47" s="72">
        <f>IFERROR(M46+H47,0)</f>
        <v/>
      </c>
      <c r="N47" s="113">
        <f>IFERROR(L47-M47,0)</f>
        <v/>
      </c>
      <c r="O47" s="114">
        <f>IFERROR(SUMIF(B8:B47,"&gt;="&amp;(B47-WEEKDAY(B47,2)+1),E8:E47),0)</f>
        <v/>
      </c>
      <c r="P47" s="115">
        <f>IFERROR(SUMIF(B8:B47,"&gt;="&amp;(B47-WEEKDAY(B47,2)+1),H8:H47),0)</f>
        <v/>
      </c>
      <c r="Q47" s="113">
        <f>IFERROR(O47-P47,0)</f>
        <v/>
      </c>
    </row>
    <row r="48" ht="16.5" customHeight="1">
      <c r="B48" s="91" t="n"/>
      <c r="C48" s="92">
        <f>IF(B48="","",TEXT(B48,"DDD"))</f>
        <v/>
      </c>
      <c r="D48" s="93">
        <f>IF(B48="","","Soft App")</f>
        <v/>
      </c>
      <c r="E48" s="94" t="n"/>
      <c r="F48" s="95" t="n"/>
      <c r="G48" s="96">
        <f>IFERROR(E48/F48,0)</f>
        <v/>
      </c>
      <c r="H48" s="97">
        <f>IFERROR(SUMIF('💸 Expenses'!B9:B508,B48,'💸 Expenses'!F9:F508),0)</f>
        <v/>
      </c>
      <c r="I48" s="98">
        <f>IFERROR(E48-H48,0)</f>
        <v/>
      </c>
      <c r="J48" s="99">
        <f>IFERROR(I48/E48,0)</f>
        <v/>
      </c>
      <c r="K48" s="100" t="n"/>
      <c r="L48" s="60">
        <f>IFERROR(L47+E48,0)</f>
        <v/>
      </c>
      <c r="M48" s="63">
        <f>IFERROR(M47+H48,0)</f>
        <v/>
      </c>
      <c r="N48" s="101">
        <f>IFERROR(L48-M48,0)</f>
        <v/>
      </c>
      <c r="O48" s="102">
        <f>IFERROR(SUMIF(B8:B48,"&gt;="&amp;(B48-WEEKDAY(B48,2)+1),E8:E48),0)</f>
        <v/>
      </c>
      <c r="P48" s="103">
        <f>IFERROR(SUMIF(B8:B48,"&gt;="&amp;(B48-WEEKDAY(B48,2)+1),H8:H48),0)</f>
        <v/>
      </c>
      <c r="Q48" s="101">
        <f>IFERROR(O48-P48,0)</f>
        <v/>
      </c>
    </row>
    <row r="49" ht="16.5" customHeight="1">
      <c r="B49" s="91" t="n"/>
      <c r="C49" s="104">
        <f>IF(B49="","",TEXT(B49,"DDD"))</f>
        <v/>
      </c>
      <c r="D49" s="105">
        <f>IF(B49="","","Soft App")</f>
        <v/>
      </c>
      <c r="E49" s="106" t="n"/>
      <c r="F49" s="107" t="n"/>
      <c r="G49" s="108">
        <f>IFERROR(E49/F49,0)</f>
        <v/>
      </c>
      <c r="H49" s="109">
        <f>IFERROR(SUMIF('💸 Expenses'!B9:B508,B49,'💸 Expenses'!F9:F508),0)</f>
        <v/>
      </c>
      <c r="I49" s="110">
        <f>IFERROR(E49-H49,0)</f>
        <v/>
      </c>
      <c r="J49" s="111">
        <f>IFERROR(I49/E49,0)</f>
        <v/>
      </c>
      <c r="K49" s="112" t="n"/>
      <c r="L49" s="69">
        <f>IFERROR(L48+E49,0)</f>
        <v/>
      </c>
      <c r="M49" s="72">
        <f>IFERROR(M48+H49,0)</f>
        <v/>
      </c>
      <c r="N49" s="113">
        <f>IFERROR(L49-M49,0)</f>
        <v/>
      </c>
      <c r="O49" s="114">
        <f>IFERROR(SUMIF(B8:B49,"&gt;="&amp;(B49-WEEKDAY(B49,2)+1),E8:E49),0)</f>
        <v/>
      </c>
      <c r="P49" s="115">
        <f>IFERROR(SUMIF(B8:B49,"&gt;="&amp;(B49-WEEKDAY(B49,2)+1),H8:H49),0)</f>
        <v/>
      </c>
      <c r="Q49" s="113">
        <f>IFERROR(O49-P49,0)</f>
        <v/>
      </c>
    </row>
    <row r="50" ht="16.5" customHeight="1">
      <c r="B50" s="91" t="n"/>
      <c r="C50" s="92">
        <f>IF(B50="","",TEXT(B50,"DDD"))</f>
        <v/>
      </c>
      <c r="D50" s="93">
        <f>IF(B50="","","Soft App")</f>
        <v/>
      </c>
      <c r="E50" s="94" t="n"/>
      <c r="F50" s="95" t="n"/>
      <c r="G50" s="96">
        <f>IFERROR(E50/F50,0)</f>
        <v/>
      </c>
      <c r="H50" s="97">
        <f>IFERROR(SUMIF('💸 Expenses'!B9:B508,B50,'💸 Expenses'!F9:F508),0)</f>
        <v/>
      </c>
      <c r="I50" s="98">
        <f>IFERROR(E50-H50,0)</f>
        <v/>
      </c>
      <c r="J50" s="99">
        <f>IFERROR(I50/E50,0)</f>
        <v/>
      </c>
      <c r="K50" s="100" t="n"/>
      <c r="L50" s="60">
        <f>IFERROR(L49+E50,0)</f>
        <v/>
      </c>
      <c r="M50" s="63">
        <f>IFERROR(M49+H50,0)</f>
        <v/>
      </c>
      <c r="N50" s="101">
        <f>IFERROR(L50-M50,0)</f>
        <v/>
      </c>
      <c r="O50" s="102">
        <f>IFERROR(SUMIF(B8:B50,"&gt;="&amp;(B50-WEEKDAY(B50,2)+1),E8:E50),0)</f>
        <v/>
      </c>
      <c r="P50" s="103">
        <f>IFERROR(SUMIF(B8:B50,"&gt;="&amp;(B50-WEEKDAY(B50,2)+1),H8:H50),0)</f>
        <v/>
      </c>
      <c r="Q50" s="101">
        <f>IFERROR(O50-P50,0)</f>
        <v/>
      </c>
    </row>
    <row r="51" ht="16.5" customHeight="1">
      <c r="B51" s="91" t="n"/>
      <c r="C51" s="104">
        <f>IF(B51="","",TEXT(B51,"DDD"))</f>
        <v/>
      </c>
      <c r="D51" s="105">
        <f>IF(B51="","","Soft App")</f>
        <v/>
      </c>
      <c r="E51" s="106" t="n"/>
      <c r="F51" s="107" t="n"/>
      <c r="G51" s="108">
        <f>IFERROR(E51/F51,0)</f>
        <v/>
      </c>
      <c r="H51" s="109">
        <f>IFERROR(SUMIF('💸 Expenses'!B9:B508,B51,'💸 Expenses'!F9:F508),0)</f>
        <v/>
      </c>
      <c r="I51" s="110">
        <f>IFERROR(E51-H51,0)</f>
        <v/>
      </c>
      <c r="J51" s="111">
        <f>IFERROR(I51/E51,0)</f>
        <v/>
      </c>
      <c r="K51" s="112" t="n"/>
      <c r="L51" s="69">
        <f>IFERROR(L50+E51,0)</f>
        <v/>
      </c>
      <c r="M51" s="72">
        <f>IFERROR(M50+H51,0)</f>
        <v/>
      </c>
      <c r="N51" s="113">
        <f>IFERROR(L51-M51,0)</f>
        <v/>
      </c>
      <c r="O51" s="114">
        <f>IFERROR(SUMIF(B8:B51,"&gt;="&amp;(B51-WEEKDAY(B51,2)+1),E8:E51),0)</f>
        <v/>
      </c>
      <c r="P51" s="115">
        <f>IFERROR(SUMIF(B8:B51,"&gt;="&amp;(B51-WEEKDAY(B51,2)+1),H8:H51),0)</f>
        <v/>
      </c>
      <c r="Q51" s="113">
        <f>IFERROR(O51-P51,0)</f>
        <v/>
      </c>
    </row>
    <row r="52" ht="16.5" customHeight="1">
      <c r="B52" s="91" t="n"/>
      <c r="C52" s="92">
        <f>IF(B52="","",TEXT(B52,"DDD"))</f>
        <v/>
      </c>
      <c r="D52" s="93">
        <f>IF(B52="","","Soft App")</f>
        <v/>
      </c>
      <c r="E52" s="94" t="n"/>
      <c r="F52" s="95" t="n"/>
      <c r="G52" s="96">
        <f>IFERROR(E52/F52,0)</f>
        <v/>
      </c>
      <c r="H52" s="97">
        <f>IFERROR(SUMIF('💸 Expenses'!B9:B508,B52,'💸 Expenses'!F9:F508),0)</f>
        <v/>
      </c>
      <c r="I52" s="98">
        <f>IFERROR(E52-H52,0)</f>
        <v/>
      </c>
      <c r="J52" s="99">
        <f>IFERROR(I52/E52,0)</f>
        <v/>
      </c>
      <c r="K52" s="100" t="n"/>
      <c r="L52" s="60">
        <f>IFERROR(L51+E52,0)</f>
        <v/>
      </c>
      <c r="M52" s="63">
        <f>IFERROR(M51+H52,0)</f>
        <v/>
      </c>
      <c r="N52" s="101">
        <f>IFERROR(L52-M52,0)</f>
        <v/>
      </c>
      <c r="O52" s="102">
        <f>IFERROR(SUMIF(B8:B52,"&gt;="&amp;(B52-WEEKDAY(B52,2)+1),E8:E52),0)</f>
        <v/>
      </c>
      <c r="P52" s="103">
        <f>IFERROR(SUMIF(B8:B52,"&gt;="&amp;(B52-WEEKDAY(B52,2)+1),H8:H52),0)</f>
        <v/>
      </c>
      <c r="Q52" s="101">
        <f>IFERROR(O52-P52,0)</f>
        <v/>
      </c>
    </row>
    <row r="53" ht="16.5" customHeight="1">
      <c r="B53" s="91" t="n"/>
      <c r="C53" s="104">
        <f>IF(B53="","",TEXT(B53,"DDD"))</f>
        <v/>
      </c>
      <c r="D53" s="105">
        <f>IF(B53="","","Soft App")</f>
        <v/>
      </c>
      <c r="E53" s="106" t="n"/>
      <c r="F53" s="107" t="n"/>
      <c r="G53" s="108">
        <f>IFERROR(E53/F53,0)</f>
        <v/>
      </c>
      <c r="H53" s="109">
        <f>IFERROR(SUMIF('💸 Expenses'!B9:B508,B53,'💸 Expenses'!F9:F508),0)</f>
        <v/>
      </c>
      <c r="I53" s="110">
        <f>IFERROR(E53-H53,0)</f>
        <v/>
      </c>
      <c r="J53" s="111">
        <f>IFERROR(I53/E53,0)</f>
        <v/>
      </c>
      <c r="K53" s="112" t="n"/>
      <c r="L53" s="69">
        <f>IFERROR(L52+E53,0)</f>
        <v/>
      </c>
      <c r="M53" s="72">
        <f>IFERROR(M52+H53,0)</f>
        <v/>
      </c>
      <c r="N53" s="113">
        <f>IFERROR(L53-M53,0)</f>
        <v/>
      </c>
      <c r="O53" s="114">
        <f>IFERROR(SUMIF(B8:B53,"&gt;="&amp;(B53-WEEKDAY(B53,2)+1),E8:E53),0)</f>
        <v/>
      </c>
      <c r="P53" s="115">
        <f>IFERROR(SUMIF(B8:B53,"&gt;="&amp;(B53-WEEKDAY(B53,2)+1),H8:H53),0)</f>
        <v/>
      </c>
      <c r="Q53" s="113">
        <f>IFERROR(O53-P53,0)</f>
        <v/>
      </c>
    </row>
    <row r="54" ht="16.5" customHeight="1">
      <c r="B54" s="91" t="n"/>
      <c r="C54" s="92">
        <f>IF(B54="","",TEXT(B54,"DDD"))</f>
        <v/>
      </c>
      <c r="D54" s="93">
        <f>IF(B54="","","Soft App")</f>
        <v/>
      </c>
      <c r="E54" s="94" t="n"/>
      <c r="F54" s="95" t="n"/>
      <c r="G54" s="96">
        <f>IFERROR(E54/F54,0)</f>
        <v/>
      </c>
      <c r="H54" s="97">
        <f>IFERROR(SUMIF('💸 Expenses'!B9:B508,B54,'💸 Expenses'!F9:F508),0)</f>
        <v/>
      </c>
      <c r="I54" s="98">
        <f>IFERROR(E54-H54,0)</f>
        <v/>
      </c>
      <c r="J54" s="99">
        <f>IFERROR(I54/E54,0)</f>
        <v/>
      </c>
      <c r="K54" s="100" t="n"/>
      <c r="L54" s="60">
        <f>IFERROR(L53+E54,0)</f>
        <v/>
      </c>
      <c r="M54" s="63">
        <f>IFERROR(M53+H54,0)</f>
        <v/>
      </c>
      <c r="N54" s="101">
        <f>IFERROR(L54-M54,0)</f>
        <v/>
      </c>
      <c r="O54" s="102">
        <f>IFERROR(SUMIF(B8:B54,"&gt;="&amp;(B54-WEEKDAY(B54,2)+1),E8:E54),0)</f>
        <v/>
      </c>
      <c r="P54" s="103">
        <f>IFERROR(SUMIF(B8:B54,"&gt;="&amp;(B54-WEEKDAY(B54,2)+1),H8:H54),0)</f>
        <v/>
      </c>
      <c r="Q54" s="101">
        <f>IFERROR(O54-P54,0)</f>
        <v/>
      </c>
    </row>
    <row r="55" ht="16.5" customHeight="1">
      <c r="B55" s="91" t="n"/>
      <c r="C55" s="104">
        <f>IF(B55="","",TEXT(B55,"DDD"))</f>
        <v/>
      </c>
      <c r="D55" s="105">
        <f>IF(B55="","","Soft App")</f>
        <v/>
      </c>
      <c r="E55" s="106" t="n"/>
      <c r="F55" s="107" t="n"/>
      <c r="G55" s="108">
        <f>IFERROR(E55/F55,0)</f>
        <v/>
      </c>
      <c r="H55" s="109">
        <f>IFERROR(SUMIF('💸 Expenses'!B9:B508,B55,'💸 Expenses'!F9:F508),0)</f>
        <v/>
      </c>
      <c r="I55" s="110">
        <f>IFERROR(E55-H55,0)</f>
        <v/>
      </c>
      <c r="J55" s="111">
        <f>IFERROR(I55/E55,0)</f>
        <v/>
      </c>
      <c r="K55" s="112" t="n"/>
      <c r="L55" s="69">
        <f>IFERROR(L54+E55,0)</f>
        <v/>
      </c>
      <c r="M55" s="72">
        <f>IFERROR(M54+H55,0)</f>
        <v/>
      </c>
      <c r="N55" s="113">
        <f>IFERROR(L55-M55,0)</f>
        <v/>
      </c>
      <c r="O55" s="114">
        <f>IFERROR(SUMIF(B8:B55,"&gt;="&amp;(B55-WEEKDAY(B55,2)+1),E8:E55),0)</f>
        <v/>
      </c>
      <c r="P55" s="115">
        <f>IFERROR(SUMIF(B8:B55,"&gt;="&amp;(B55-WEEKDAY(B55,2)+1),H8:H55),0)</f>
        <v/>
      </c>
      <c r="Q55" s="113">
        <f>IFERROR(O55-P55,0)</f>
        <v/>
      </c>
    </row>
    <row r="56" ht="16.5" customHeight="1">
      <c r="B56" s="91" t="n"/>
      <c r="C56" s="92">
        <f>IF(B56="","",TEXT(B56,"DDD"))</f>
        <v/>
      </c>
      <c r="D56" s="93">
        <f>IF(B56="","","Soft App")</f>
        <v/>
      </c>
      <c r="E56" s="94" t="n"/>
      <c r="F56" s="95" t="n"/>
      <c r="G56" s="96">
        <f>IFERROR(E56/F56,0)</f>
        <v/>
      </c>
      <c r="H56" s="97">
        <f>IFERROR(SUMIF('💸 Expenses'!B9:B508,B56,'💸 Expenses'!F9:F508),0)</f>
        <v/>
      </c>
      <c r="I56" s="98">
        <f>IFERROR(E56-H56,0)</f>
        <v/>
      </c>
      <c r="J56" s="99">
        <f>IFERROR(I56/E56,0)</f>
        <v/>
      </c>
      <c r="K56" s="100" t="n"/>
      <c r="L56" s="60">
        <f>IFERROR(L55+E56,0)</f>
        <v/>
      </c>
      <c r="M56" s="63">
        <f>IFERROR(M55+H56,0)</f>
        <v/>
      </c>
      <c r="N56" s="101">
        <f>IFERROR(L56-M56,0)</f>
        <v/>
      </c>
      <c r="O56" s="102">
        <f>IFERROR(SUMIF(B8:B56,"&gt;="&amp;(B56-WEEKDAY(B56,2)+1),E8:E56),0)</f>
        <v/>
      </c>
      <c r="P56" s="103">
        <f>IFERROR(SUMIF(B8:B56,"&gt;="&amp;(B56-WEEKDAY(B56,2)+1),H8:H56),0)</f>
        <v/>
      </c>
      <c r="Q56" s="101">
        <f>IFERROR(O56-P56,0)</f>
        <v/>
      </c>
    </row>
    <row r="57" ht="16.5" customHeight="1">
      <c r="B57" s="91" t="n"/>
      <c r="C57" s="104">
        <f>IF(B57="","",TEXT(B57,"DDD"))</f>
        <v/>
      </c>
      <c r="D57" s="105">
        <f>IF(B57="","","Soft App")</f>
        <v/>
      </c>
      <c r="E57" s="106" t="n"/>
      <c r="F57" s="107" t="n"/>
      <c r="G57" s="108">
        <f>IFERROR(E57/F57,0)</f>
        <v/>
      </c>
      <c r="H57" s="109">
        <f>IFERROR(SUMIF('💸 Expenses'!B9:B508,B57,'💸 Expenses'!F9:F508),0)</f>
        <v/>
      </c>
      <c r="I57" s="110">
        <f>IFERROR(E57-H57,0)</f>
        <v/>
      </c>
      <c r="J57" s="111">
        <f>IFERROR(I57/E57,0)</f>
        <v/>
      </c>
      <c r="K57" s="112" t="n"/>
      <c r="L57" s="69">
        <f>IFERROR(L56+E57,0)</f>
        <v/>
      </c>
      <c r="M57" s="72">
        <f>IFERROR(M56+H57,0)</f>
        <v/>
      </c>
      <c r="N57" s="113">
        <f>IFERROR(L57-M57,0)</f>
        <v/>
      </c>
      <c r="O57" s="114">
        <f>IFERROR(SUMIF(B8:B57,"&gt;="&amp;(B57-WEEKDAY(B57,2)+1),E8:E57),0)</f>
        <v/>
      </c>
      <c r="P57" s="115">
        <f>IFERROR(SUMIF(B8:B57,"&gt;="&amp;(B57-WEEKDAY(B57,2)+1),H8:H57),0)</f>
        <v/>
      </c>
      <c r="Q57" s="113">
        <f>IFERROR(O57-P57,0)</f>
        <v/>
      </c>
    </row>
    <row r="58" ht="16.5" customHeight="1">
      <c r="B58" s="91" t="n"/>
      <c r="C58" s="92">
        <f>IF(B58="","",TEXT(B58,"DDD"))</f>
        <v/>
      </c>
      <c r="D58" s="93">
        <f>IF(B58="","","Soft App")</f>
        <v/>
      </c>
      <c r="E58" s="94" t="n"/>
      <c r="F58" s="95" t="n"/>
      <c r="G58" s="96">
        <f>IFERROR(E58/F58,0)</f>
        <v/>
      </c>
      <c r="H58" s="97">
        <f>IFERROR(SUMIF('💸 Expenses'!B9:B508,B58,'💸 Expenses'!F9:F508),0)</f>
        <v/>
      </c>
      <c r="I58" s="98">
        <f>IFERROR(E58-H58,0)</f>
        <v/>
      </c>
      <c r="J58" s="99">
        <f>IFERROR(I58/E58,0)</f>
        <v/>
      </c>
      <c r="K58" s="100" t="n"/>
      <c r="L58" s="60">
        <f>IFERROR(L57+E58,0)</f>
        <v/>
      </c>
      <c r="M58" s="63">
        <f>IFERROR(M57+H58,0)</f>
        <v/>
      </c>
      <c r="N58" s="101">
        <f>IFERROR(L58-M58,0)</f>
        <v/>
      </c>
      <c r="O58" s="102">
        <f>IFERROR(SUMIF(B8:B58,"&gt;="&amp;(B58-WEEKDAY(B58,2)+1),E8:E58),0)</f>
        <v/>
      </c>
      <c r="P58" s="103">
        <f>IFERROR(SUMIF(B8:B58,"&gt;="&amp;(B58-WEEKDAY(B58,2)+1),H8:H58),0)</f>
        <v/>
      </c>
      <c r="Q58" s="101">
        <f>IFERROR(O58-P58,0)</f>
        <v/>
      </c>
    </row>
    <row r="59" ht="16.5" customHeight="1">
      <c r="B59" s="91" t="n"/>
      <c r="C59" s="104">
        <f>IF(B59="","",TEXT(B59,"DDD"))</f>
        <v/>
      </c>
      <c r="D59" s="105">
        <f>IF(B59="","","Soft App")</f>
        <v/>
      </c>
      <c r="E59" s="106" t="n"/>
      <c r="F59" s="107" t="n"/>
      <c r="G59" s="108">
        <f>IFERROR(E59/F59,0)</f>
        <v/>
      </c>
      <c r="H59" s="109">
        <f>IFERROR(SUMIF('💸 Expenses'!B9:B508,B59,'💸 Expenses'!F9:F508),0)</f>
        <v/>
      </c>
      <c r="I59" s="110">
        <f>IFERROR(E59-H59,0)</f>
        <v/>
      </c>
      <c r="J59" s="111">
        <f>IFERROR(I59/E59,0)</f>
        <v/>
      </c>
      <c r="K59" s="112" t="n"/>
      <c r="L59" s="69">
        <f>IFERROR(L58+E59,0)</f>
        <v/>
      </c>
      <c r="M59" s="72">
        <f>IFERROR(M58+H59,0)</f>
        <v/>
      </c>
      <c r="N59" s="113">
        <f>IFERROR(L59-M59,0)</f>
        <v/>
      </c>
      <c r="O59" s="114">
        <f>IFERROR(SUMIF(B8:B59,"&gt;="&amp;(B59-WEEKDAY(B59,2)+1),E8:E59),0)</f>
        <v/>
      </c>
      <c r="P59" s="115">
        <f>IFERROR(SUMIF(B8:B59,"&gt;="&amp;(B59-WEEKDAY(B59,2)+1),H8:H59),0)</f>
        <v/>
      </c>
      <c r="Q59" s="113">
        <f>IFERROR(O59-P59,0)</f>
        <v/>
      </c>
    </row>
    <row r="60" ht="16.5" customHeight="1">
      <c r="B60" s="91" t="n"/>
      <c r="C60" s="92">
        <f>IF(B60="","",TEXT(B60,"DDD"))</f>
        <v/>
      </c>
      <c r="D60" s="93">
        <f>IF(B60="","","Soft App")</f>
        <v/>
      </c>
      <c r="E60" s="94" t="n"/>
      <c r="F60" s="95" t="n"/>
      <c r="G60" s="96">
        <f>IFERROR(E60/F60,0)</f>
        <v/>
      </c>
      <c r="H60" s="97">
        <f>IFERROR(SUMIF('💸 Expenses'!B9:B508,B60,'💸 Expenses'!F9:F508),0)</f>
        <v/>
      </c>
      <c r="I60" s="98">
        <f>IFERROR(E60-H60,0)</f>
        <v/>
      </c>
      <c r="J60" s="99">
        <f>IFERROR(I60/E60,0)</f>
        <v/>
      </c>
      <c r="K60" s="100" t="n"/>
      <c r="L60" s="60">
        <f>IFERROR(L59+E60,0)</f>
        <v/>
      </c>
      <c r="M60" s="63">
        <f>IFERROR(M59+H60,0)</f>
        <v/>
      </c>
      <c r="N60" s="101">
        <f>IFERROR(L60-M60,0)</f>
        <v/>
      </c>
      <c r="O60" s="102">
        <f>IFERROR(SUMIF(B8:B60,"&gt;="&amp;(B60-WEEKDAY(B60,2)+1),E8:E60),0)</f>
        <v/>
      </c>
      <c r="P60" s="103">
        <f>IFERROR(SUMIF(B8:B60,"&gt;="&amp;(B60-WEEKDAY(B60,2)+1),H8:H60),0)</f>
        <v/>
      </c>
      <c r="Q60" s="101">
        <f>IFERROR(O60-P60,0)</f>
        <v/>
      </c>
    </row>
    <row r="61" ht="16.5" customHeight="1">
      <c r="B61" s="91" t="n"/>
      <c r="C61" s="104">
        <f>IF(B61="","",TEXT(B61,"DDD"))</f>
        <v/>
      </c>
      <c r="D61" s="105">
        <f>IF(B61="","","Soft App")</f>
        <v/>
      </c>
      <c r="E61" s="106" t="n"/>
      <c r="F61" s="107" t="n"/>
      <c r="G61" s="108">
        <f>IFERROR(E61/F61,0)</f>
        <v/>
      </c>
      <c r="H61" s="109">
        <f>IFERROR(SUMIF('💸 Expenses'!B9:B508,B61,'💸 Expenses'!F9:F508),0)</f>
        <v/>
      </c>
      <c r="I61" s="110">
        <f>IFERROR(E61-H61,0)</f>
        <v/>
      </c>
      <c r="J61" s="111">
        <f>IFERROR(I61/E61,0)</f>
        <v/>
      </c>
      <c r="K61" s="112" t="n"/>
      <c r="L61" s="69">
        <f>IFERROR(L60+E61,0)</f>
        <v/>
      </c>
      <c r="M61" s="72">
        <f>IFERROR(M60+H61,0)</f>
        <v/>
      </c>
      <c r="N61" s="113">
        <f>IFERROR(L61-M61,0)</f>
        <v/>
      </c>
      <c r="O61" s="114">
        <f>IFERROR(SUMIF(B8:B61,"&gt;="&amp;(B61-WEEKDAY(B61,2)+1),E8:E61),0)</f>
        <v/>
      </c>
      <c r="P61" s="115">
        <f>IFERROR(SUMIF(B8:B61,"&gt;="&amp;(B61-WEEKDAY(B61,2)+1),H8:H61),0)</f>
        <v/>
      </c>
      <c r="Q61" s="113">
        <f>IFERROR(O61-P61,0)</f>
        <v/>
      </c>
    </row>
    <row r="62" ht="16.5" customHeight="1">
      <c r="B62" s="91" t="n"/>
      <c r="C62" s="92">
        <f>IF(B62="","",TEXT(B62,"DDD"))</f>
        <v/>
      </c>
      <c r="D62" s="93">
        <f>IF(B62="","","Soft App")</f>
        <v/>
      </c>
      <c r="E62" s="94" t="n"/>
      <c r="F62" s="95" t="n"/>
      <c r="G62" s="96">
        <f>IFERROR(E62/F62,0)</f>
        <v/>
      </c>
      <c r="H62" s="97">
        <f>IFERROR(SUMIF('💸 Expenses'!B9:B508,B62,'💸 Expenses'!F9:F508),0)</f>
        <v/>
      </c>
      <c r="I62" s="98">
        <f>IFERROR(E62-H62,0)</f>
        <v/>
      </c>
      <c r="J62" s="99">
        <f>IFERROR(I62/E62,0)</f>
        <v/>
      </c>
      <c r="K62" s="100" t="n"/>
      <c r="L62" s="60">
        <f>IFERROR(L61+E62,0)</f>
        <v/>
      </c>
      <c r="M62" s="63">
        <f>IFERROR(M61+H62,0)</f>
        <v/>
      </c>
      <c r="N62" s="101">
        <f>IFERROR(L62-M62,0)</f>
        <v/>
      </c>
      <c r="O62" s="102">
        <f>IFERROR(SUMIF(B8:B62,"&gt;="&amp;(B62-WEEKDAY(B62,2)+1),E8:E62),0)</f>
        <v/>
      </c>
      <c r="P62" s="103">
        <f>IFERROR(SUMIF(B8:B62,"&gt;="&amp;(B62-WEEKDAY(B62,2)+1),H8:H62),0)</f>
        <v/>
      </c>
      <c r="Q62" s="101">
        <f>IFERROR(O62-P62,0)</f>
        <v/>
      </c>
    </row>
    <row r="63" ht="16.5" customHeight="1">
      <c r="B63" s="91" t="n"/>
      <c r="C63" s="104">
        <f>IF(B63="","",TEXT(B63,"DDD"))</f>
        <v/>
      </c>
      <c r="D63" s="105">
        <f>IF(B63="","","Soft App")</f>
        <v/>
      </c>
      <c r="E63" s="106" t="n"/>
      <c r="F63" s="107" t="n"/>
      <c r="G63" s="108">
        <f>IFERROR(E63/F63,0)</f>
        <v/>
      </c>
      <c r="H63" s="109">
        <f>IFERROR(SUMIF('💸 Expenses'!B9:B508,B63,'💸 Expenses'!F9:F508),0)</f>
        <v/>
      </c>
      <c r="I63" s="110">
        <f>IFERROR(E63-H63,0)</f>
        <v/>
      </c>
      <c r="J63" s="111">
        <f>IFERROR(I63/E63,0)</f>
        <v/>
      </c>
      <c r="K63" s="112" t="n"/>
      <c r="L63" s="69">
        <f>IFERROR(L62+E63,0)</f>
        <v/>
      </c>
      <c r="M63" s="72">
        <f>IFERROR(M62+H63,0)</f>
        <v/>
      </c>
      <c r="N63" s="113">
        <f>IFERROR(L63-M63,0)</f>
        <v/>
      </c>
      <c r="O63" s="114">
        <f>IFERROR(SUMIF(B8:B63,"&gt;="&amp;(B63-WEEKDAY(B63,2)+1),E8:E63),0)</f>
        <v/>
      </c>
      <c r="P63" s="115">
        <f>IFERROR(SUMIF(B8:B63,"&gt;="&amp;(B63-WEEKDAY(B63,2)+1),H8:H63),0)</f>
        <v/>
      </c>
      <c r="Q63" s="113">
        <f>IFERROR(O63-P63,0)</f>
        <v/>
      </c>
    </row>
    <row r="64" ht="16.5" customHeight="1">
      <c r="B64" s="91" t="n"/>
      <c r="C64" s="92">
        <f>IF(B64="","",TEXT(B64,"DDD"))</f>
        <v/>
      </c>
      <c r="D64" s="93">
        <f>IF(B64="","","Soft App")</f>
        <v/>
      </c>
      <c r="E64" s="94" t="n"/>
      <c r="F64" s="95" t="n"/>
      <c r="G64" s="96">
        <f>IFERROR(E64/F64,0)</f>
        <v/>
      </c>
      <c r="H64" s="97">
        <f>IFERROR(SUMIF('💸 Expenses'!B9:B508,B64,'💸 Expenses'!F9:F508),0)</f>
        <v/>
      </c>
      <c r="I64" s="98">
        <f>IFERROR(E64-H64,0)</f>
        <v/>
      </c>
      <c r="J64" s="99">
        <f>IFERROR(I64/E64,0)</f>
        <v/>
      </c>
      <c r="K64" s="100" t="n"/>
      <c r="L64" s="60">
        <f>IFERROR(L63+E64,0)</f>
        <v/>
      </c>
      <c r="M64" s="63">
        <f>IFERROR(M63+H64,0)</f>
        <v/>
      </c>
      <c r="N64" s="101">
        <f>IFERROR(L64-M64,0)</f>
        <v/>
      </c>
      <c r="O64" s="102">
        <f>IFERROR(SUMIF(B8:B64,"&gt;="&amp;(B64-WEEKDAY(B64,2)+1),E8:E64),0)</f>
        <v/>
      </c>
      <c r="P64" s="103">
        <f>IFERROR(SUMIF(B8:B64,"&gt;="&amp;(B64-WEEKDAY(B64,2)+1),H8:H64),0)</f>
        <v/>
      </c>
      <c r="Q64" s="101">
        <f>IFERROR(O64-P64,0)</f>
        <v/>
      </c>
    </row>
    <row r="65" ht="16.5" customHeight="1">
      <c r="B65" s="91" t="n"/>
      <c r="C65" s="104">
        <f>IF(B65="","",TEXT(B65,"DDD"))</f>
        <v/>
      </c>
      <c r="D65" s="105">
        <f>IF(B65="","","Soft App")</f>
        <v/>
      </c>
      <c r="E65" s="106" t="n"/>
      <c r="F65" s="107" t="n"/>
      <c r="G65" s="108">
        <f>IFERROR(E65/F65,0)</f>
        <v/>
      </c>
      <c r="H65" s="109">
        <f>IFERROR(SUMIF('💸 Expenses'!B9:B508,B65,'💸 Expenses'!F9:F508),0)</f>
        <v/>
      </c>
      <c r="I65" s="110">
        <f>IFERROR(E65-H65,0)</f>
        <v/>
      </c>
      <c r="J65" s="111">
        <f>IFERROR(I65/E65,0)</f>
        <v/>
      </c>
      <c r="K65" s="112" t="n"/>
      <c r="L65" s="69">
        <f>IFERROR(L64+E65,0)</f>
        <v/>
      </c>
      <c r="M65" s="72">
        <f>IFERROR(M64+H65,0)</f>
        <v/>
      </c>
      <c r="N65" s="113">
        <f>IFERROR(L65-M65,0)</f>
        <v/>
      </c>
      <c r="O65" s="114">
        <f>IFERROR(SUMIF(B8:B65,"&gt;="&amp;(B65-WEEKDAY(B65,2)+1),E8:E65),0)</f>
        <v/>
      </c>
      <c r="P65" s="115">
        <f>IFERROR(SUMIF(B8:B65,"&gt;="&amp;(B65-WEEKDAY(B65,2)+1),H8:H65),0)</f>
        <v/>
      </c>
      <c r="Q65" s="113">
        <f>IFERROR(O65-P65,0)</f>
        <v/>
      </c>
    </row>
    <row r="66" ht="16.5" customHeight="1">
      <c r="B66" s="91" t="n"/>
      <c r="C66" s="92">
        <f>IF(B66="","",TEXT(B66,"DDD"))</f>
        <v/>
      </c>
      <c r="D66" s="93">
        <f>IF(B66="","","Soft App")</f>
        <v/>
      </c>
      <c r="E66" s="94" t="n"/>
      <c r="F66" s="95" t="n"/>
      <c r="G66" s="96">
        <f>IFERROR(E66/F66,0)</f>
        <v/>
      </c>
      <c r="H66" s="97">
        <f>IFERROR(SUMIF('💸 Expenses'!B9:B508,B66,'💸 Expenses'!F9:F508),0)</f>
        <v/>
      </c>
      <c r="I66" s="98">
        <f>IFERROR(E66-H66,0)</f>
        <v/>
      </c>
      <c r="J66" s="99">
        <f>IFERROR(I66/E66,0)</f>
        <v/>
      </c>
      <c r="K66" s="100" t="n"/>
      <c r="L66" s="60">
        <f>IFERROR(L65+E66,0)</f>
        <v/>
      </c>
      <c r="M66" s="63">
        <f>IFERROR(M65+H66,0)</f>
        <v/>
      </c>
      <c r="N66" s="101">
        <f>IFERROR(L66-M66,0)</f>
        <v/>
      </c>
      <c r="O66" s="102">
        <f>IFERROR(SUMIF(B8:B66,"&gt;="&amp;(B66-WEEKDAY(B66,2)+1),E8:E66),0)</f>
        <v/>
      </c>
      <c r="P66" s="103">
        <f>IFERROR(SUMIF(B8:B66,"&gt;="&amp;(B66-WEEKDAY(B66,2)+1),H8:H66),0)</f>
        <v/>
      </c>
      <c r="Q66" s="101">
        <f>IFERROR(O66-P66,0)</f>
        <v/>
      </c>
    </row>
    <row r="67" ht="16.5" customHeight="1">
      <c r="B67" s="91" t="n"/>
      <c r="C67" s="104">
        <f>IF(B67="","",TEXT(B67,"DDD"))</f>
        <v/>
      </c>
      <c r="D67" s="105">
        <f>IF(B67="","","Soft App")</f>
        <v/>
      </c>
      <c r="E67" s="106" t="n"/>
      <c r="F67" s="107" t="n"/>
      <c r="G67" s="108">
        <f>IFERROR(E67/F67,0)</f>
        <v/>
      </c>
      <c r="H67" s="109">
        <f>IFERROR(SUMIF('💸 Expenses'!B9:B508,B67,'💸 Expenses'!F9:F508),0)</f>
        <v/>
      </c>
      <c r="I67" s="110">
        <f>IFERROR(E67-H67,0)</f>
        <v/>
      </c>
      <c r="J67" s="111">
        <f>IFERROR(I67/E67,0)</f>
        <v/>
      </c>
      <c r="K67" s="112" t="n"/>
      <c r="L67" s="69">
        <f>IFERROR(L66+E67,0)</f>
        <v/>
      </c>
      <c r="M67" s="72">
        <f>IFERROR(M66+H67,0)</f>
        <v/>
      </c>
      <c r="N67" s="113">
        <f>IFERROR(L67-M67,0)</f>
        <v/>
      </c>
      <c r="O67" s="114">
        <f>IFERROR(SUMIF(B8:B67,"&gt;="&amp;(B67-WEEKDAY(B67,2)+1),E8:E67),0)</f>
        <v/>
      </c>
      <c r="P67" s="115">
        <f>IFERROR(SUMIF(B8:B67,"&gt;="&amp;(B67-WEEKDAY(B67,2)+1),H8:H67),0)</f>
        <v/>
      </c>
      <c r="Q67" s="113">
        <f>IFERROR(O67-P67,0)</f>
        <v/>
      </c>
    </row>
    <row r="68" ht="16.5" customHeight="1">
      <c r="B68" s="91" t="n"/>
      <c r="C68" s="92">
        <f>IF(B68="","",TEXT(B68,"DDD"))</f>
        <v/>
      </c>
      <c r="D68" s="93">
        <f>IF(B68="","","Soft App")</f>
        <v/>
      </c>
      <c r="E68" s="94" t="n"/>
      <c r="F68" s="95" t="n"/>
      <c r="G68" s="96">
        <f>IFERROR(E68/F68,0)</f>
        <v/>
      </c>
      <c r="H68" s="97">
        <f>IFERROR(SUMIF('💸 Expenses'!B9:B508,B68,'💸 Expenses'!F9:F508),0)</f>
        <v/>
      </c>
      <c r="I68" s="98">
        <f>IFERROR(E68-H68,0)</f>
        <v/>
      </c>
      <c r="J68" s="99">
        <f>IFERROR(I68/E68,0)</f>
        <v/>
      </c>
      <c r="K68" s="100" t="n"/>
      <c r="L68" s="60">
        <f>IFERROR(L67+E68,0)</f>
        <v/>
      </c>
      <c r="M68" s="63">
        <f>IFERROR(M67+H68,0)</f>
        <v/>
      </c>
      <c r="N68" s="101">
        <f>IFERROR(L68-M68,0)</f>
        <v/>
      </c>
      <c r="O68" s="102">
        <f>IFERROR(SUMIF(B8:B68,"&gt;="&amp;(B68-WEEKDAY(B68,2)+1),E8:E68),0)</f>
        <v/>
      </c>
      <c r="P68" s="103">
        <f>IFERROR(SUMIF(B8:B68,"&gt;="&amp;(B68-WEEKDAY(B68,2)+1),H8:H68),0)</f>
        <v/>
      </c>
      <c r="Q68" s="101">
        <f>IFERROR(O68-P68,0)</f>
        <v/>
      </c>
    </row>
    <row r="69" ht="16.5" customHeight="1">
      <c r="B69" s="91" t="n"/>
      <c r="C69" s="104">
        <f>IF(B69="","",TEXT(B69,"DDD"))</f>
        <v/>
      </c>
      <c r="D69" s="105">
        <f>IF(B69="","","Soft App")</f>
        <v/>
      </c>
      <c r="E69" s="106" t="n"/>
      <c r="F69" s="107" t="n"/>
      <c r="G69" s="108">
        <f>IFERROR(E69/F69,0)</f>
        <v/>
      </c>
      <c r="H69" s="109">
        <f>IFERROR(SUMIF('💸 Expenses'!B9:B508,B69,'💸 Expenses'!F9:F508),0)</f>
        <v/>
      </c>
      <c r="I69" s="110">
        <f>IFERROR(E69-H69,0)</f>
        <v/>
      </c>
      <c r="J69" s="111">
        <f>IFERROR(I69/E69,0)</f>
        <v/>
      </c>
      <c r="K69" s="112" t="n"/>
      <c r="L69" s="69">
        <f>IFERROR(L68+E69,0)</f>
        <v/>
      </c>
      <c r="M69" s="72">
        <f>IFERROR(M68+H69,0)</f>
        <v/>
      </c>
      <c r="N69" s="113">
        <f>IFERROR(L69-M69,0)</f>
        <v/>
      </c>
      <c r="O69" s="114">
        <f>IFERROR(SUMIF(B8:B69,"&gt;="&amp;(B69-WEEKDAY(B69,2)+1),E8:E69),0)</f>
        <v/>
      </c>
      <c r="P69" s="115">
        <f>IFERROR(SUMIF(B8:B69,"&gt;="&amp;(B69-WEEKDAY(B69,2)+1),H8:H69),0)</f>
        <v/>
      </c>
      <c r="Q69" s="113">
        <f>IFERROR(O69-P69,0)</f>
        <v/>
      </c>
    </row>
    <row r="70" ht="16.5" customHeight="1">
      <c r="B70" s="91" t="n"/>
      <c r="C70" s="92">
        <f>IF(B70="","",TEXT(B70,"DDD"))</f>
        <v/>
      </c>
      <c r="D70" s="93">
        <f>IF(B70="","","Soft App")</f>
        <v/>
      </c>
      <c r="E70" s="94" t="n"/>
      <c r="F70" s="95" t="n"/>
      <c r="G70" s="96">
        <f>IFERROR(E70/F70,0)</f>
        <v/>
      </c>
      <c r="H70" s="97">
        <f>IFERROR(SUMIF('💸 Expenses'!B9:B508,B70,'💸 Expenses'!F9:F508),0)</f>
        <v/>
      </c>
      <c r="I70" s="98">
        <f>IFERROR(E70-H70,0)</f>
        <v/>
      </c>
      <c r="J70" s="99">
        <f>IFERROR(I70/E70,0)</f>
        <v/>
      </c>
      <c r="K70" s="100" t="n"/>
      <c r="L70" s="60">
        <f>IFERROR(L69+E70,0)</f>
        <v/>
      </c>
      <c r="M70" s="63">
        <f>IFERROR(M69+H70,0)</f>
        <v/>
      </c>
      <c r="N70" s="101">
        <f>IFERROR(L70-M70,0)</f>
        <v/>
      </c>
      <c r="O70" s="102">
        <f>IFERROR(SUMIF(B8:B70,"&gt;="&amp;(B70-WEEKDAY(B70,2)+1),E8:E70),0)</f>
        <v/>
      </c>
      <c r="P70" s="103">
        <f>IFERROR(SUMIF(B8:B70,"&gt;="&amp;(B70-WEEKDAY(B70,2)+1),H8:H70),0)</f>
        <v/>
      </c>
      <c r="Q70" s="101">
        <f>IFERROR(O70-P70,0)</f>
        <v/>
      </c>
    </row>
    <row r="71" ht="16.5" customHeight="1">
      <c r="B71" s="91" t="n"/>
      <c r="C71" s="104">
        <f>IF(B71="","",TEXT(B71,"DDD"))</f>
        <v/>
      </c>
      <c r="D71" s="105">
        <f>IF(B71="","","Soft App")</f>
        <v/>
      </c>
      <c r="E71" s="106" t="n"/>
      <c r="F71" s="107" t="n"/>
      <c r="G71" s="108">
        <f>IFERROR(E71/F71,0)</f>
        <v/>
      </c>
      <c r="H71" s="109">
        <f>IFERROR(SUMIF('💸 Expenses'!B9:B508,B71,'💸 Expenses'!F9:F508),0)</f>
        <v/>
      </c>
      <c r="I71" s="110">
        <f>IFERROR(E71-H71,0)</f>
        <v/>
      </c>
      <c r="J71" s="111">
        <f>IFERROR(I71/E71,0)</f>
        <v/>
      </c>
      <c r="K71" s="112" t="n"/>
      <c r="L71" s="69">
        <f>IFERROR(L70+E71,0)</f>
        <v/>
      </c>
      <c r="M71" s="72">
        <f>IFERROR(M70+H71,0)</f>
        <v/>
      </c>
      <c r="N71" s="113">
        <f>IFERROR(L71-M71,0)</f>
        <v/>
      </c>
      <c r="O71" s="114">
        <f>IFERROR(SUMIF(B8:B71,"&gt;="&amp;(B71-WEEKDAY(B71,2)+1),E8:E71),0)</f>
        <v/>
      </c>
      <c r="P71" s="115">
        <f>IFERROR(SUMIF(B8:B71,"&gt;="&amp;(B71-WEEKDAY(B71,2)+1),H8:H71),0)</f>
        <v/>
      </c>
      <c r="Q71" s="113">
        <f>IFERROR(O71-P71,0)</f>
        <v/>
      </c>
    </row>
    <row r="72" ht="16.5" customHeight="1">
      <c r="B72" s="91" t="n"/>
      <c r="C72" s="92">
        <f>IF(B72="","",TEXT(B72,"DDD"))</f>
        <v/>
      </c>
      <c r="D72" s="93">
        <f>IF(B72="","","Soft App")</f>
        <v/>
      </c>
      <c r="E72" s="94" t="n"/>
      <c r="F72" s="95" t="n"/>
      <c r="G72" s="96">
        <f>IFERROR(E72/F72,0)</f>
        <v/>
      </c>
      <c r="H72" s="97">
        <f>IFERROR(SUMIF('💸 Expenses'!B9:B508,B72,'💸 Expenses'!F9:F508),0)</f>
        <v/>
      </c>
      <c r="I72" s="98">
        <f>IFERROR(E72-H72,0)</f>
        <v/>
      </c>
      <c r="J72" s="99">
        <f>IFERROR(I72/E72,0)</f>
        <v/>
      </c>
      <c r="K72" s="100" t="n"/>
      <c r="L72" s="60">
        <f>IFERROR(L71+E72,0)</f>
        <v/>
      </c>
      <c r="M72" s="63">
        <f>IFERROR(M71+H72,0)</f>
        <v/>
      </c>
      <c r="N72" s="101">
        <f>IFERROR(L72-M72,0)</f>
        <v/>
      </c>
      <c r="O72" s="102">
        <f>IFERROR(SUMIF(B8:B72,"&gt;="&amp;(B72-WEEKDAY(B72,2)+1),E8:E72),0)</f>
        <v/>
      </c>
      <c r="P72" s="103">
        <f>IFERROR(SUMIF(B8:B72,"&gt;="&amp;(B72-WEEKDAY(B72,2)+1),H8:H72),0)</f>
        <v/>
      </c>
      <c r="Q72" s="101">
        <f>IFERROR(O72-P72,0)</f>
        <v/>
      </c>
    </row>
    <row r="73" ht="16.5" customHeight="1">
      <c r="B73" s="91" t="n"/>
      <c r="C73" s="104">
        <f>IF(B73="","",TEXT(B73,"DDD"))</f>
        <v/>
      </c>
      <c r="D73" s="105">
        <f>IF(B73="","","Soft App")</f>
        <v/>
      </c>
      <c r="E73" s="106" t="n"/>
      <c r="F73" s="107" t="n"/>
      <c r="G73" s="108">
        <f>IFERROR(E73/F73,0)</f>
        <v/>
      </c>
      <c r="H73" s="109">
        <f>IFERROR(SUMIF('💸 Expenses'!B9:B508,B73,'💸 Expenses'!F9:F508),0)</f>
        <v/>
      </c>
      <c r="I73" s="110">
        <f>IFERROR(E73-H73,0)</f>
        <v/>
      </c>
      <c r="J73" s="111">
        <f>IFERROR(I73/E73,0)</f>
        <v/>
      </c>
      <c r="K73" s="112" t="n"/>
      <c r="L73" s="69">
        <f>IFERROR(L72+E73,0)</f>
        <v/>
      </c>
      <c r="M73" s="72">
        <f>IFERROR(M72+H73,0)</f>
        <v/>
      </c>
      <c r="N73" s="113">
        <f>IFERROR(L73-M73,0)</f>
        <v/>
      </c>
      <c r="O73" s="114">
        <f>IFERROR(SUMIF(B8:B73,"&gt;="&amp;(B73-WEEKDAY(B73,2)+1),E8:E73),0)</f>
        <v/>
      </c>
      <c r="P73" s="115">
        <f>IFERROR(SUMIF(B8:B73,"&gt;="&amp;(B73-WEEKDAY(B73,2)+1),H8:H73),0)</f>
        <v/>
      </c>
      <c r="Q73" s="113">
        <f>IFERROR(O73-P73,0)</f>
        <v/>
      </c>
    </row>
    <row r="74" ht="16.5" customHeight="1">
      <c r="B74" s="91" t="n"/>
      <c r="C74" s="92">
        <f>IF(B74="","",TEXT(B74,"DDD"))</f>
        <v/>
      </c>
      <c r="D74" s="93">
        <f>IF(B74="","","Soft App")</f>
        <v/>
      </c>
      <c r="E74" s="94" t="n"/>
      <c r="F74" s="95" t="n"/>
      <c r="G74" s="96">
        <f>IFERROR(E74/F74,0)</f>
        <v/>
      </c>
      <c r="H74" s="97">
        <f>IFERROR(SUMIF('💸 Expenses'!B9:B508,B74,'💸 Expenses'!F9:F508),0)</f>
        <v/>
      </c>
      <c r="I74" s="98">
        <f>IFERROR(E74-H74,0)</f>
        <v/>
      </c>
      <c r="J74" s="99">
        <f>IFERROR(I74/E74,0)</f>
        <v/>
      </c>
      <c r="K74" s="100" t="n"/>
      <c r="L74" s="60">
        <f>IFERROR(L73+E74,0)</f>
        <v/>
      </c>
      <c r="M74" s="63">
        <f>IFERROR(M73+H74,0)</f>
        <v/>
      </c>
      <c r="N74" s="101">
        <f>IFERROR(L74-M74,0)</f>
        <v/>
      </c>
      <c r="O74" s="102">
        <f>IFERROR(SUMIF(B8:B74,"&gt;="&amp;(B74-WEEKDAY(B74,2)+1),E8:E74),0)</f>
        <v/>
      </c>
      <c r="P74" s="103">
        <f>IFERROR(SUMIF(B8:B74,"&gt;="&amp;(B74-WEEKDAY(B74,2)+1),H8:H74),0)</f>
        <v/>
      </c>
      <c r="Q74" s="101">
        <f>IFERROR(O74-P74,0)</f>
        <v/>
      </c>
    </row>
    <row r="75" ht="16.5" customHeight="1">
      <c r="B75" s="91" t="n"/>
      <c r="C75" s="104">
        <f>IF(B75="","",TEXT(B75,"DDD"))</f>
        <v/>
      </c>
      <c r="D75" s="105">
        <f>IF(B75="","","Soft App")</f>
        <v/>
      </c>
      <c r="E75" s="106" t="n"/>
      <c r="F75" s="107" t="n"/>
      <c r="G75" s="108">
        <f>IFERROR(E75/F75,0)</f>
        <v/>
      </c>
      <c r="H75" s="109">
        <f>IFERROR(SUMIF('💸 Expenses'!B9:B508,B75,'💸 Expenses'!F9:F508),0)</f>
        <v/>
      </c>
      <c r="I75" s="110">
        <f>IFERROR(E75-H75,0)</f>
        <v/>
      </c>
      <c r="J75" s="111">
        <f>IFERROR(I75/E75,0)</f>
        <v/>
      </c>
      <c r="K75" s="112" t="n"/>
      <c r="L75" s="69">
        <f>IFERROR(L74+E75,0)</f>
        <v/>
      </c>
      <c r="M75" s="72">
        <f>IFERROR(M74+H75,0)</f>
        <v/>
      </c>
      <c r="N75" s="113">
        <f>IFERROR(L75-M75,0)</f>
        <v/>
      </c>
      <c r="O75" s="114">
        <f>IFERROR(SUMIF(B8:B75,"&gt;="&amp;(B75-WEEKDAY(B75,2)+1),E8:E75),0)</f>
        <v/>
      </c>
      <c r="P75" s="115">
        <f>IFERROR(SUMIF(B8:B75,"&gt;="&amp;(B75-WEEKDAY(B75,2)+1),H8:H75),0)</f>
        <v/>
      </c>
      <c r="Q75" s="113">
        <f>IFERROR(O75-P75,0)</f>
        <v/>
      </c>
    </row>
    <row r="76" ht="16.5" customHeight="1">
      <c r="B76" s="91" t="n"/>
      <c r="C76" s="92">
        <f>IF(B76="","",TEXT(B76,"DDD"))</f>
        <v/>
      </c>
      <c r="D76" s="93">
        <f>IF(B76="","","Soft App")</f>
        <v/>
      </c>
      <c r="E76" s="94" t="n"/>
      <c r="F76" s="95" t="n"/>
      <c r="G76" s="96">
        <f>IFERROR(E76/F76,0)</f>
        <v/>
      </c>
      <c r="H76" s="97">
        <f>IFERROR(SUMIF('💸 Expenses'!B9:B508,B76,'💸 Expenses'!F9:F508),0)</f>
        <v/>
      </c>
      <c r="I76" s="98">
        <f>IFERROR(E76-H76,0)</f>
        <v/>
      </c>
      <c r="J76" s="99">
        <f>IFERROR(I76/E76,0)</f>
        <v/>
      </c>
      <c r="K76" s="100" t="n"/>
      <c r="L76" s="60">
        <f>IFERROR(L75+E76,0)</f>
        <v/>
      </c>
      <c r="M76" s="63">
        <f>IFERROR(M75+H76,0)</f>
        <v/>
      </c>
      <c r="N76" s="101">
        <f>IFERROR(L76-M76,0)</f>
        <v/>
      </c>
      <c r="O76" s="102">
        <f>IFERROR(SUMIF(B8:B76,"&gt;="&amp;(B76-WEEKDAY(B76,2)+1),E8:E76),0)</f>
        <v/>
      </c>
      <c r="P76" s="103">
        <f>IFERROR(SUMIF(B8:B76,"&gt;="&amp;(B76-WEEKDAY(B76,2)+1),H8:H76),0)</f>
        <v/>
      </c>
      <c r="Q76" s="101">
        <f>IFERROR(O76-P76,0)</f>
        <v/>
      </c>
    </row>
    <row r="77" ht="16.5" customHeight="1">
      <c r="B77" s="91" t="n"/>
      <c r="C77" s="104">
        <f>IF(B77="","",TEXT(B77,"DDD"))</f>
        <v/>
      </c>
      <c r="D77" s="105">
        <f>IF(B77="","","Soft App")</f>
        <v/>
      </c>
      <c r="E77" s="106" t="n"/>
      <c r="F77" s="107" t="n"/>
      <c r="G77" s="108">
        <f>IFERROR(E77/F77,0)</f>
        <v/>
      </c>
      <c r="H77" s="109">
        <f>IFERROR(SUMIF('💸 Expenses'!B9:B508,B77,'💸 Expenses'!F9:F508),0)</f>
        <v/>
      </c>
      <c r="I77" s="110">
        <f>IFERROR(E77-H77,0)</f>
        <v/>
      </c>
      <c r="J77" s="111">
        <f>IFERROR(I77/E77,0)</f>
        <v/>
      </c>
      <c r="K77" s="112" t="n"/>
      <c r="L77" s="69">
        <f>IFERROR(L76+E77,0)</f>
        <v/>
      </c>
      <c r="M77" s="72">
        <f>IFERROR(M76+H77,0)</f>
        <v/>
      </c>
      <c r="N77" s="113">
        <f>IFERROR(L77-M77,0)</f>
        <v/>
      </c>
      <c r="O77" s="114">
        <f>IFERROR(SUMIF(B8:B77,"&gt;="&amp;(B77-WEEKDAY(B77,2)+1),E8:E77),0)</f>
        <v/>
      </c>
      <c r="P77" s="115">
        <f>IFERROR(SUMIF(B8:B77,"&gt;="&amp;(B77-WEEKDAY(B77,2)+1),H8:H77),0)</f>
        <v/>
      </c>
      <c r="Q77" s="113">
        <f>IFERROR(O77-P77,0)</f>
        <v/>
      </c>
    </row>
    <row r="78" ht="16.5" customHeight="1">
      <c r="B78" s="91" t="n"/>
      <c r="C78" s="92">
        <f>IF(B78="","",TEXT(B78,"DDD"))</f>
        <v/>
      </c>
      <c r="D78" s="93">
        <f>IF(B78="","","Soft App")</f>
        <v/>
      </c>
      <c r="E78" s="94" t="n"/>
      <c r="F78" s="95" t="n"/>
      <c r="G78" s="96">
        <f>IFERROR(E78/F78,0)</f>
        <v/>
      </c>
      <c r="H78" s="97">
        <f>IFERROR(SUMIF('💸 Expenses'!B9:B508,B78,'💸 Expenses'!F9:F508),0)</f>
        <v/>
      </c>
      <c r="I78" s="98">
        <f>IFERROR(E78-H78,0)</f>
        <v/>
      </c>
      <c r="J78" s="99">
        <f>IFERROR(I78/E78,0)</f>
        <v/>
      </c>
      <c r="K78" s="100" t="n"/>
      <c r="L78" s="60">
        <f>IFERROR(L77+E78,0)</f>
        <v/>
      </c>
      <c r="M78" s="63">
        <f>IFERROR(M77+H78,0)</f>
        <v/>
      </c>
      <c r="N78" s="101">
        <f>IFERROR(L78-M78,0)</f>
        <v/>
      </c>
      <c r="O78" s="102">
        <f>IFERROR(SUMIF(B8:B78,"&gt;="&amp;(B78-WEEKDAY(B78,2)+1),E8:E78),0)</f>
        <v/>
      </c>
      <c r="P78" s="103">
        <f>IFERROR(SUMIF(B8:B78,"&gt;="&amp;(B78-WEEKDAY(B78,2)+1),H8:H78),0)</f>
        <v/>
      </c>
      <c r="Q78" s="101">
        <f>IFERROR(O78-P78,0)</f>
        <v/>
      </c>
    </row>
    <row r="79" ht="16.5" customHeight="1">
      <c r="B79" s="91" t="n"/>
      <c r="C79" s="104">
        <f>IF(B79="","",TEXT(B79,"DDD"))</f>
        <v/>
      </c>
      <c r="D79" s="105">
        <f>IF(B79="","","Soft App")</f>
        <v/>
      </c>
      <c r="E79" s="106" t="n"/>
      <c r="F79" s="107" t="n"/>
      <c r="G79" s="108">
        <f>IFERROR(E79/F79,0)</f>
        <v/>
      </c>
      <c r="H79" s="109">
        <f>IFERROR(SUMIF('💸 Expenses'!B9:B508,B79,'💸 Expenses'!F9:F508),0)</f>
        <v/>
      </c>
      <c r="I79" s="110">
        <f>IFERROR(E79-H79,0)</f>
        <v/>
      </c>
      <c r="J79" s="111">
        <f>IFERROR(I79/E79,0)</f>
        <v/>
      </c>
      <c r="K79" s="112" t="n"/>
      <c r="L79" s="69">
        <f>IFERROR(L78+E79,0)</f>
        <v/>
      </c>
      <c r="M79" s="72">
        <f>IFERROR(M78+H79,0)</f>
        <v/>
      </c>
      <c r="N79" s="113">
        <f>IFERROR(L79-M79,0)</f>
        <v/>
      </c>
      <c r="O79" s="114">
        <f>IFERROR(SUMIF(B8:B79,"&gt;="&amp;(B79-WEEKDAY(B79,2)+1),E8:E79),0)</f>
        <v/>
      </c>
      <c r="P79" s="115">
        <f>IFERROR(SUMIF(B8:B79,"&gt;="&amp;(B79-WEEKDAY(B79,2)+1),H8:H79),0)</f>
        <v/>
      </c>
      <c r="Q79" s="113">
        <f>IFERROR(O79-P79,0)</f>
        <v/>
      </c>
    </row>
    <row r="80" ht="16.5" customHeight="1">
      <c r="B80" s="91" t="n"/>
      <c r="C80" s="92">
        <f>IF(B80="","",TEXT(B80,"DDD"))</f>
        <v/>
      </c>
      <c r="D80" s="93">
        <f>IF(B80="","","Soft App")</f>
        <v/>
      </c>
      <c r="E80" s="94" t="n"/>
      <c r="F80" s="95" t="n"/>
      <c r="G80" s="96">
        <f>IFERROR(E80/F80,0)</f>
        <v/>
      </c>
      <c r="H80" s="97">
        <f>IFERROR(SUMIF('💸 Expenses'!B9:B508,B80,'💸 Expenses'!F9:F508),0)</f>
        <v/>
      </c>
      <c r="I80" s="98">
        <f>IFERROR(E80-H80,0)</f>
        <v/>
      </c>
      <c r="J80" s="99">
        <f>IFERROR(I80/E80,0)</f>
        <v/>
      </c>
      <c r="K80" s="100" t="n"/>
      <c r="L80" s="60">
        <f>IFERROR(L79+E80,0)</f>
        <v/>
      </c>
      <c r="M80" s="63">
        <f>IFERROR(M79+H80,0)</f>
        <v/>
      </c>
      <c r="N80" s="101">
        <f>IFERROR(L80-M80,0)</f>
        <v/>
      </c>
      <c r="O80" s="102">
        <f>IFERROR(SUMIF(B8:B80,"&gt;="&amp;(B80-WEEKDAY(B80,2)+1),E8:E80),0)</f>
        <v/>
      </c>
      <c r="P80" s="103">
        <f>IFERROR(SUMIF(B8:B80,"&gt;="&amp;(B80-WEEKDAY(B80,2)+1),H8:H80),0)</f>
        <v/>
      </c>
      <c r="Q80" s="101">
        <f>IFERROR(O80-P80,0)</f>
        <v/>
      </c>
    </row>
    <row r="81" ht="16.5" customHeight="1">
      <c r="B81" s="91" t="n"/>
      <c r="C81" s="104">
        <f>IF(B81="","",TEXT(B81,"DDD"))</f>
        <v/>
      </c>
      <c r="D81" s="105">
        <f>IF(B81="","","Soft App")</f>
        <v/>
      </c>
      <c r="E81" s="106" t="n"/>
      <c r="F81" s="107" t="n"/>
      <c r="G81" s="108">
        <f>IFERROR(E81/F81,0)</f>
        <v/>
      </c>
      <c r="H81" s="109">
        <f>IFERROR(SUMIF('💸 Expenses'!B9:B508,B81,'💸 Expenses'!F9:F508),0)</f>
        <v/>
      </c>
      <c r="I81" s="110">
        <f>IFERROR(E81-H81,0)</f>
        <v/>
      </c>
      <c r="J81" s="111">
        <f>IFERROR(I81/E81,0)</f>
        <v/>
      </c>
      <c r="K81" s="112" t="n"/>
      <c r="L81" s="69">
        <f>IFERROR(L80+E81,0)</f>
        <v/>
      </c>
      <c r="M81" s="72">
        <f>IFERROR(M80+H81,0)</f>
        <v/>
      </c>
      <c r="N81" s="113">
        <f>IFERROR(L81-M81,0)</f>
        <v/>
      </c>
      <c r="O81" s="114">
        <f>IFERROR(SUMIF(B8:B81,"&gt;="&amp;(B81-WEEKDAY(B81,2)+1),E8:E81),0)</f>
        <v/>
      </c>
      <c r="P81" s="115">
        <f>IFERROR(SUMIF(B8:B81,"&gt;="&amp;(B81-WEEKDAY(B81,2)+1),H8:H81),0)</f>
        <v/>
      </c>
      <c r="Q81" s="113">
        <f>IFERROR(O81-P81,0)</f>
        <v/>
      </c>
    </row>
    <row r="82" ht="16.5" customHeight="1">
      <c r="B82" s="91" t="n"/>
      <c r="C82" s="92">
        <f>IF(B82="","",TEXT(B82,"DDD"))</f>
        <v/>
      </c>
      <c r="D82" s="93">
        <f>IF(B82="","","Soft App")</f>
        <v/>
      </c>
      <c r="E82" s="94" t="n"/>
      <c r="F82" s="95" t="n"/>
      <c r="G82" s="96">
        <f>IFERROR(E82/F82,0)</f>
        <v/>
      </c>
      <c r="H82" s="97">
        <f>IFERROR(SUMIF('💸 Expenses'!B9:B508,B82,'💸 Expenses'!F9:F508),0)</f>
        <v/>
      </c>
      <c r="I82" s="98">
        <f>IFERROR(E82-H82,0)</f>
        <v/>
      </c>
      <c r="J82" s="99">
        <f>IFERROR(I82/E82,0)</f>
        <v/>
      </c>
      <c r="K82" s="100" t="n"/>
      <c r="L82" s="60">
        <f>IFERROR(L81+E82,0)</f>
        <v/>
      </c>
      <c r="M82" s="63">
        <f>IFERROR(M81+H82,0)</f>
        <v/>
      </c>
      <c r="N82" s="101">
        <f>IFERROR(L82-M82,0)</f>
        <v/>
      </c>
      <c r="O82" s="102">
        <f>IFERROR(SUMIF(B8:B82,"&gt;="&amp;(B82-WEEKDAY(B82,2)+1),E8:E82),0)</f>
        <v/>
      </c>
      <c r="P82" s="103">
        <f>IFERROR(SUMIF(B8:B82,"&gt;="&amp;(B82-WEEKDAY(B82,2)+1),H8:H82),0)</f>
        <v/>
      </c>
      <c r="Q82" s="101">
        <f>IFERROR(O82-P82,0)</f>
        <v/>
      </c>
    </row>
    <row r="83" ht="16.5" customHeight="1">
      <c r="B83" s="91" t="n"/>
      <c r="C83" s="104">
        <f>IF(B83="","",TEXT(B83,"DDD"))</f>
        <v/>
      </c>
      <c r="D83" s="105">
        <f>IF(B83="","","Soft App")</f>
        <v/>
      </c>
      <c r="E83" s="106" t="n"/>
      <c r="F83" s="107" t="n"/>
      <c r="G83" s="108">
        <f>IFERROR(E83/F83,0)</f>
        <v/>
      </c>
      <c r="H83" s="109">
        <f>IFERROR(SUMIF('💸 Expenses'!B9:B508,B83,'💸 Expenses'!F9:F508),0)</f>
        <v/>
      </c>
      <c r="I83" s="110">
        <f>IFERROR(E83-H83,0)</f>
        <v/>
      </c>
      <c r="J83" s="111">
        <f>IFERROR(I83/E83,0)</f>
        <v/>
      </c>
      <c r="K83" s="112" t="n"/>
      <c r="L83" s="69">
        <f>IFERROR(L82+E83,0)</f>
        <v/>
      </c>
      <c r="M83" s="72">
        <f>IFERROR(M82+H83,0)</f>
        <v/>
      </c>
      <c r="N83" s="113">
        <f>IFERROR(L83-M83,0)</f>
        <v/>
      </c>
      <c r="O83" s="114">
        <f>IFERROR(SUMIF(B8:B83,"&gt;="&amp;(B83-WEEKDAY(B83,2)+1),E8:E83),0)</f>
        <v/>
      </c>
      <c r="P83" s="115">
        <f>IFERROR(SUMIF(B8:B83,"&gt;="&amp;(B83-WEEKDAY(B83,2)+1),H8:H83),0)</f>
        <v/>
      </c>
      <c r="Q83" s="113">
        <f>IFERROR(O83-P83,0)</f>
        <v/>
      </c>
    </row>
    <row r="84" ht="16.5" customHeight="1">
      <c r="B84" s="91" t="n"/>
      <c r="C84" s="92">
        <f>IF(B84="","",TEXT(B84,"DDD"))</f>
        <v/>
      </c>
      <c r="D84" s="93">
        <f>IF(B84="","","Soft App")</f>
        <v/>
      </c>
      <c r="E84" s="94" t="n"/>
      <c r="F84" s="95" t="n"/>
      <c r="G84" s="96">
        <f>IFERROR(E84/F84,0)</f>
        <v/>
      </c>
      <c r="H84" s="97">
        <f>IFERROR(SUMIF('💸 Expenses'!B9:B508,B84,'💸 Expenses'!F9:F508),0)</f>
        <v/>
      </c>
      <c r="I84" s="98">
        <f>IFERROR(E84-H84,0)</f>
        <v/>
      </c>
      <c r="J84" s="99">
        <f>IFERROR(I84/E84,0)</f>
        <v/>
      </c>
      <c r="K84" s="100" t="n"/>
      <c r="L84" s="60">
        <f>IFERROR(L83+E84,0)</f>
        <v/>
      </c>
      <c r="M84" s="63">
        <f>IFERROR(M83+H84,0)</f>
        <v/>
      </c>
      <c r="N84" s="101">
        <f>IFERROR(L84-M84,0)</f>
        <v/>
      </c>
      <c r="O84" s="102">
        <f>IFERROR(SUMIF(B8:B84,"&gt;="&amp;(B84-WEEKDAY(B84,2)+1),E8:E84),0)</f>
        <v/>
      </c>
      <c r="P84" s="103">
        <f>IFERROR(SUMIF(B8:B84,"&gt;="&amp;(B84-WEEKDAY(B84,2)+1),H8:H84),0)</f>
        <v/>
      </c>
      <c r="Q84" s="101">
        <f>IFERROR(O84-P84,0)</f>
        <v/>
      </c>
    </row>
    <row r="85" ht="16.5" customHeight="1">
      <c r="B85" s="91" t="n"/>
      <c r="C85" s="104">
        <f>IF(B85="","",TEXT(B85,"DDD"))</f>
        <v/>
      </c>
      <c r="D85" s="105">
        <f>IF(B85="","","Soft App")</f>
        <v/>
      </c>
      <c r="E85" s="106" t="n"/>
      <c r="F85" s="107" t="n"/>
      <c r="G85" s="108">
        <f>IFERROR(E85/F85,0)</f>
        <v/>
      </c>
      <c r="H85" s="109">
        <f>IFERROR(SUMIF('💸 Expenses'!B9:B508,B85,'💸 Expenses'!F9:F508),0)</f>
        <v/>
      </c>
      <c r="I85" s="110">
        <f>IFERROR(E85-H85,0)</f>
        <v/>
      </c>
      <c r="J85" s="111">
        <f>IFERROR(I85/E85,0)</f>
        <v/>
      </c>
      <c r="K85" s="112" t="n"/>
      <c r="L85" s="69">
        <f>IFERROR(L84+E85,0)</f>
        <v/>
      </c>
      <c r="M85" s="72">
        <f>IFERROR(M84+H85,0)</f>
        <v/>
      </c>
      <c r="N85" s="113">
        <f>IFERROR(L85-M85,0)</f>
        <v/>
      </c>
      <c r="O85" s="114">
        <f>IFERROR(SUMIF(B8:B85,"&gt;="&amp;(B85-WEEKDAY(B85,2)+1),E8:E85),0)</f>
        <v/>
      </c>
      <c r="P85" s="115">
        <f>IFERROR(SUMIF(B8:B85,"&gt;="&amp;(B85-WEEKDAY(B85,2)+1),H8:H85),0)</f>
        <v/>
      </c>
      <c r="Q85" s="113">
        <f>IFERROR(O85-P85,0)</f>
        <v/>
      </c>
    </row>
    <row r="86" ht="16.5" customHeight="1">
      <c r="B86" s="91" t="n"/>
      <c r="C86" s="92">
        <f>IF(B86="","",TEXT(B86,"DDD"))</f>
        <v/>
      </c>
      <c r="D86" s="93">
        <f>IF(B86="","","Soft App")</f>
        <v/>
      </c>
      <c r="E86" s="94" t="n"/>
      <c r="F86" s="95" t="n"/>
      <c r="G86" s="96">
        <f>IFERROR(E86/F86,0)</f>
        <v/>
      </c>
      <c r="H86" s="97">
        <f>IFERROR(SUMIF('💸 Expenses'!B9:B508,B86,'💸 Expenses'!F9:F508),0)</f>
        <v/>
      </c>
      <c r="I86" s="98">
        <f>IFERROR(E86-H86,0)</f>
        <v/>
      </c>
      <c r="J86" s="99">
        <f>IFERROR(I86/E86,0)</f>
        <v/>
      </c>
      <c r="K86" s="100" t="n"/>
      <c r="L86" s="60">
        <f>IFERROR(L85+E86,0)</f>
        <v/>
      </c>
      <c r="M86" s="63">
        <f>IFERROR(M85+H86,0)</f>
        <v/>
      </c>
      <c r="N86" s="101">
        <f>IFERROR(L86-M86,0)</f>
        <v/>
      </c>
      <c r="O86" s="102">
        <f>IFERROR(SUMIF(B8:B86,"&gt;="&amp;(B86-WEEKDAY(B86,2)+1),E8:E86),0)</f>
        <v/>
      </c>
      <c r="P86" s="103">
        <f>IFERROR(SUMIF(B8:B86,"&gt;="&amp;(B86-WEEKDAY(B86,2)+1),H8:H86),0)</f>
        <v/>
      </c>
      <c r="Q86" s="101">
        <f>IFERROR(O86-P86,0)</f>
        <v/>
      </c>
    </row>
    <row r="87" ht="16.5" customHeight="1">
      <c r="B87" s="91" t="n"/>
      <c r="C87" s="104">
        <f>IF(B87="","",TEXT(B87,"DDD"))</f>
        <v/>
      </c>
      <c r="D87" s="105">
        <f>IF(B87="","","Soft App")</f>
        <v/>
      </c>
      <c r="E87" s="106" t="n"/>
      <c r="F87" s="107" t="n"/>
      <c r="G87" s="108">
        <f>IFERROR(E87/F87,0)</f>
        <v/>
      </c>
      <c r="H87" s="109">
        <f>IFERROR(SUMIF('💸 Expenses'!B9:B508,B87,'💸 Expenses'!F9:F508),0)</f>
        <v/>
      </c>
      <c r="I87" s="110">
        <f>IFERROR(E87-H87,0)</f>
        <v/>
      </c>
      <c r="J87" s="111">
        <f>IFERROR(I87/E87,0)</f>
        <v/>
      </c>
      <c r="K87" s="112" t="n"/>
      <c r="L87" s="69">
        <f>IFERROR(L86+E87,0)</f>
        <v/>
      </c>
      <c r="M87" s="72">
        <f>IFERROR(M86+H87,0)</f>
        <v/>
      </c>
      <c r="N87" s="113">
        <f>IFERROR(L87-M87,0)</f>
        <v/>
      </c>
      <c r="O87" s="114">
        <f>IFERROR(SUMIF(B8:B87,"&gt;="&amp;(B87-WEEKDAY(B87,2)+1),E8:E87),0)</f>
        <v/>
      </c>
      <c r="P87" s="115">
        <f>IFERROR(SUMIF(B8:B87,"&gt;="&amp;(B87-WEEKDAY(B87,2)+1),H8:H87),0)</f>
        <v/>
      </c>
      <c r="Q87" s="113">
        <f>IFERROR(O87-P87,0)</f>
        <v/>
      </c>
    </row>
    <row r="88" ht="16.5" customHeight="1">
      <c r="B88" s="91" t="n"/>
      <c r="C88" s="92">
        <f>IF(B88="","",TEXT(B88,"DDD"))</f>
        <v/>
      </c>
      <c r="D88" s="93">
        <f>IF(B88="","","Soft App")</f>
        <v/>
      </c>
      <c r="E88" s="94" t="n"/>
      <c r="F88" s="95" t="n"/>
      <c r="G88" s="96">
        <f>IFERROR(E88/F88,0)</f>
        <v/>
      </c>
      <c r="H88" s="97">
        <f>IFERROR(SUMIF('💸 Expenses'!B9:B508,B88,'💸 Expenses'!F9:F508),0)</f>
        <v/>
      </c>
      <c r="I88" s="98">
        <f>IFERROR(E88-H88,0)</f>
        <v/>
      </c>
      <c r="J88" s="99">
        <f>IFERROR(I88/E88,0)</f>
        <v/>
      </c>
      <c r="K88" s="100" t="n"/>
      <c r="L88" s="60">
        <f>IFERROR(L87+E88,0)</f>
        <v/>
      </c>
      <c r="M88" s="63">
        <f>IFERROR(M87+H88,0)</f>
        <v/>
      </c>
      <c r="N88" s="101">
        <f>IFERROR(L88-M88,0)</f>
        <v/>
      </c>
      <c r="O88" s="102">
        <f>IFERROR(SUMIF(B8:B88,"&gt;="&amp;(B88-WEEKDAY(B88,2)+1),E8:E88),0)</f>
        <v/>
      </c>
      <c r="P88" s="103">
        <f>IFERROR(SUMIF(B8:B88,"&gt;="&amp;(B88-WEEKDAY(B88,2)+1),H8:H88),0)</f>
        <v/>
      </c>
      <c r="Q88" s="101">
        <f>IFERROR(O88-P88,0)</f>
        <v/>
      </c>
    </row>
    <row r="89" ht="16.5" customHeight="1">
      <c r="B89" s="91" t="n"/>
      <c r="C89" s="104">
        <f>IF(B89="","",TEXT(B89,"DDD"))</f>
        <v/>
      </c>
      <c r="D89" s="105">
        <f>IF(B89="","","Soft App")</f>
        <v/>
      </c>
      <c r="E89" s="106" t="n"/>
      <c r="F89" s="107" t="n"/>
      <c r="G89" s="108">
        <f>IFERROR(E89/F89,0)</f>
        <v/>
      </c>
      <c r="H89" s="109">
        <f>IFERROR(SUMIF('💸 Expenses'!B9:B508,B89,'💸 Expenses'!F9:F508),0)</f>
        <v/>
      </c>
      <c r="I89" s="110">
        <f>IFERROR(E89-H89,0)</f>
        <v/>
      </c>
      <c r="J89" s="111">
        <f>IFERROR(I89/E89,0)</f>
        <v/>
      </c>
      <c r="K89" s="112" t="n"/>
      <c r="L89" s="69">
        <f>IFERROR(L88+E89,0)</f>
        <v/>
      </c>
      <c r="M89" s="72">
        <f>IFERROR(M88+H89,0)</f>
        <v/>
      </c>
      <c r="N89" s="113">
        <f>IFERROR(L89-M89,0)</f>
        <v/>
      </c>
      <c r="O89" s="114">
        <f>IFERROR(SUMIF(B8:B89,"&gt;="&amp;(B89-WEEKDAY(B89,2)+1),E8:E89),0)</f>
        <v/>
      </c>
      <c r="P89" s="115">
        <f>IFERROR(SUMIF(B8:B89,"&gt;="&amp;(B89-WEEKDAY(B89,2)+1),H8:H89),0)</f>
        <v/>
      </c>
      <c r="Q89" s="113">
        <f>IFERROR(O89-P89,0)</f>
        <v/>
      </c>
    </row>
    <row r="90" ht="16.5" customHeight="1">
      <c r="B90" s="91" t="n"/>
      <c r="C90" s="92">
        <f>IF(B90="","",TEXT(B90,"DDD"))</f>
        <v/>
      </c>
      <c r="D90" s="93">
        <f>IF(B90="","","Soft App")</f>
        <v/>
      </c>
      <c r="E90" s="94" t="n"/>
      <c r="F90" s="95" t="n"/>
      <c r="G90" s="96">
        <f>IFERROR(E90/F90,0)</f>
        <v/>
      </c>
      <c r="H90" s="97">
        <f>IFERROR(SUMIF('💸 Expenses'!B9:B508,B90,'💸 Expenses'!F9:F508),0)</f>
        <v/>
      </c>
      <c r="I90" s="98">
        <f>IFERROR(E90-H90,0)</f>
        <v/>
      </c>
      <c r="J90" s="99">
        <f>IFERROR(I90/E90,0)</f>
        <v/>
      </c>
      <c r="K90" s="100" t="n"/>
      <c r="L90" s="60">
        <f>IFERROR(L89+E90,0)</f>
        <v/>
      </c>
      <c r="M90" s="63">
        <f>IFERROR(M89+H90,0)</f>
        <v/>
      </c>
      <c r="N90" s="101">
        <f>IFERROR(L90-M90,0)</f>
        <v/>
      </c>
      <c r="O90" s="102">
        <f>IFERROR(SUMIF(B8:B90,"&gt;="&amp;(B90-WEEKDAY(B90,2)+1),E8:E90),0)</f>
        <v/>
      </c>
      <c r="P90" s="103">
        <f>IFERROR(SUMIF(B8:B90,"&gt;="&amp;(B90-WEEKDAY(B90,2)+1),H8:H90),0)</f>
        <v/>
      </c>
      <c r="Q90" s="101">
        <f>IFERROR(O90-P90,0)</f>
        <v/>
      </c>
    </row>
    <row r="91" ht="16.5" customHeight="1">
      <c r="B91" s="91" t="n"/>
      <c r="C91" s="104">
        <f>IF(B91="","",TEXT(B91,"DDD"))</f>
        <v/>
      </c>
      <c r="D91" s="105">
        <f>IF(B91="","","Soft App")</f>
        <v/>
      </c>
      <c r="E91" s="106" t="n"/>
      <c r="F91" s="107" t="n"/>
      <c r="G91" s="108">
        <f>IFERROR(E91/F91,0)</f>
        <v/>
      </c>
      <c r="H91" s="109">
        <f>IFERROR(SUMIF('💸 Expenses'!B9:B508,B91,'💸 Expenses'!F9:F508),0)</f>
        <v/>
      </c>
      <c r="I91" s="110">
        <f>IFERROR(E91-H91,0)</f>
        <v/>
      </c>
      <c r="J91" s="111">
        <f>IFERROR(I91/E91,0)</f>
        <v/>
      </c>
      <c r="K91" s="112" t="n"/>
      <c r="L91" s="69">
        <f>IFERROR(L90+E91,0)</f>
        <v/>
      </c>
      <c r="M91" s="72">
        <f>IFERROR(M90+H91,0)</f>
        <v/>
      </c>
      <c r="N91" s="113">
        <f>IFERROR(L91-M91,0)</f>
        <v/>
      </c>
      <c r="O91" s="114">
        <f>IFERROR(SUMIF(B8:B91,"&gt;="&amp;(B91-WEEKDAY(B91,2)+1),E8:E91),0)</f>
        <v/>
      </c>
      <c r="P91" s="115">
        <f>IFERROR(SUMIF(B8:B91,"&gt;="&amp;(B91-WEEKDAY(B91,2)+1),H8:H91),0)</f>
        <v/>
      </c>
      <c r="Q91" s="113">
        <f>IFERROR(O91-P91,0)</f>
        <v/>
      </c>
    </row>
    <row r="92" ht="16.5" customHeight="1">
      <c r="B92" s="91" t="n"/>
      <c r="C92" s="92">
        <f>IF(B92="","",TEXT(B92,"DDD"))</f>
        <v/>
      </c>
      <c r="D92" s="93">
        <f>IF(B92="","","Soft App")</f>
        <v/>
      </c>
      <c r="E92" s="94" t="n"/>
      <c r="F92" s="95" t="n"/>
      <c r="G92" s="96">
        <f>IFERROR(E92/F92,0)</f>
        <v/>
      </c>
      <c r="H92" s="97">
        <f>IFERROR(SUMIF('💸 Expenses'!B9:B508,B92,'💸 Expenses'!F9:F508),0)</f>
        <v/>
      </c>
      <c r="I92" s="98">
        <f>IFERROR(E92-H92,0)</f>
        <v/>
      </c>
      <c r="J92" s="99">
        <f>IFERROR(I92/E92,0)</f>
        <v/>
      </c>
      <c r="K92" s="100" t="n"/>
      <c r="L92" s="60">
        <f>IFERROR(L91+E92,0)</f>
        <v/>
      </c>
      <c r="M92" s="63">
        <f>IFERROR(M91+H92,0)</f>
        <v/>
      </c>
      <c r="N92" s="101">
        <f>IFERROR(L92-M92,0)</f>
        <v/>
      </c>
      <c r="O92" s="102">
        <f>IFERROR(SUMIF(B8:B92,"&gt;="&amp;(B92-WEEKDAY(B92,2)+1),E8:E92),0)</f>
        <v/>
      </c>
      <c r="P92" s="103">
        <f>IFERROR(SUMIF(B8:B92,"&gt;="&amp;(B92-WEEKDAY(B92,2)+1),H8:H92),0)</f>
        <v/>
      </c>
      <c r="Q92" s="101">
        <f>IFERROR(O92-P92,0)</f>
        <v/>
      </c>
    </row>
    <row r="93" ht="16.5" customHeight="1">
      <c r="B93" s="91" t="n"/>
      <c r="C93" s="104">
        <f>IF(B93="","",TEXT(B93,"DDD"))</f>
        <v/>
      </c>
      <c r="D93" s="105">
        <f>IF(B93="","","Soft App")</f>
        <v/>
      </c>
      <c r="E93" s="106" t="n"/>
      <c r="F93" s="107" t="n"/>
      <c r="G93" s="108">
        <f>IFERROR(E93/F93,0)</f>
        <v/>
      </c>
      <c r="H93" s="109">
        <f>IFERROR(SUMIF('💸 Expenses'!B9:B508,B93,'💸 Expenses'!F9:F508),0)</f>
        <v/>
      </c>
      <c r="I93" s="110">
        <f>IFERROR(E93-H93,0)</f>
        <v/>
      </c>
      <c r="J93" s="111">
        <f>IFERROR(I93/E93,0)</f>
        <v/>
      </c>
      <c r="K93" s="112" t="n"/>
      <c r="L93" s="69">
        <f>IFERROR(L92+E93,0)</f>
        <v/>
      </c>
      <c r="M93" s="72">
        <f>IFERROR(M92+H93,0)</f>
        <v/>
      </c>
      <c r="N93" s="113">
        <f>IFERROR(L93-M93,0)</f>
        <v/>
      </c>
      <c r="O93" s="114">
        <f>IFERROR(SUMIF(B8:B93,"&gt;="&amp;(B93-WEEKDAY(B93,2)+1),E8:E93),0)</f>
        <v/>
      </c>
      <c r="P93" s="115">
        <f>IFERROR(SUMIF(B8:B93,"&gt;="&amp;(B93-WEEKDAY(B93,2)+1),H8:H93),0)</f>
        <v/>
      </c>
      <c r="Q93" s="113">
        <f>IFERROR(O93-P93,0)</f>
        <v/>
      </c>
    </row>
    <row r="94" ht="16.5" customHeight="1">
      <c r="B94" s="91" t="n"/>
      <c r="C94" s="92">
        <f>IF(B94="","",TEXT(B94,"DDD"))</f>
        <v/>
      </c>
      <c r="D94" s="93">
        <f>IF(B94="","","Soft App")</f>
        <v/>
      </c>
      <c r="E94" s="94" t="n"/>
      <c r="F94" s="95" t="n"/>
      <c r="G94" s="96">
        <f>IFERROR(E94/F94,0)</f>
        <v/>
      </c>
      <c r="H94" s="97">
        <f>IFERROR(SUMIF('💸 Expenses'!B9:B508,B94,'💸 Expenses'!F9:F508),0)</f>
        <v/>
      </c>
      <c r="I94" s="98">
        <f>IFERROR(E94-H94,0)</f>
        <v/>
      </c>
      <c r="J94" s="99">
        <f>IFERROR(I94/E94,0)</f>
        <v/>
      </c>
      <c r="K94" s="100" t="n"/>
      <c r="L94" s="60">
        <f>IFERROR(L93+E94,0)</f>
        <v/>
      </c>
      <c r="M94" s="63">
        <f>IFERROR(M93+H94,0)</f>
        <v/>
      </c>
      <c r="N94" s="101">
        <f>IFERROR(L94-M94,0)</f>
        <v/>
      </c>
      <c r="O94" s="102">
        <f>IFERROR(SUMIF(B8:B94,"&gt;="&amp;(B94-WEEKDAY(B94,2)+1),E8:E94),0)</f>
        <v/>
      </c>
      <c r="P94" s="103">
        <f>IFERROR(SUMIF(B8:B94,"&gt;="&amp;(B94-WEEKDAY(B94,2)+1),H8:H94),0)</f>
        <v/>
      </c>
      <c r="Q94" s="101">
        <f>IFERROR(O94-P94,0)</f>
        <v/>
      </c>
    </row>
    <row r="95" ht="16.5" customHeight="1">
      <c r="B95" s="91" t="n"/>
      <c r="C95" s="104">
        <f>IF(B95="","",TEXT(B95,"DDD"))</f>
        <v/>
      </c>
      <c r="D95" s="105">
        <f>IF(B95="","","Soft App")</f>
        <v/>
      </c>
      <c r="E95" s="106" t="n"/>
      <c r="F95" s="107" t="n"/>
      <c r="G95" s="108">
        <f>IFERROR(E95/F95,0)</f>
        <v/>
      </c>
      <c r="H95" s="109">
        <f>IFERROR(SUMIF('💸 Expenses'!B9:B508,B95,'💸 Expenses'!F9:F508),0)</f>
        <v/>
      </c>
      <c r="I95" s="110">
        <f>IFERROR(E95-H95,0)</f>
        <v/>
      </c>
      <c r="J95" s="111">
        <f>IFERROR(I95/E95,0)</f>
        <v/>
      </c>
      <c r="K95" s="112" t="n"/>
      <c r="L95" s="69">
        <f>IFERROR(L94+E95,0)</f>
        <v/>
      </c>
      <c r="M95" s="72">
        <f>IFERROR(M94+H95,0)</f>
        <v/>
      </c>
      <c r="N95" s="113">
        <f>IFERROR(L95-M95,0)</f>
        <v/>
      </c>
      <c r="O95" s="114">
        <f>IFERROR(SUMIF(B8:B95,"&gt;="&amp;(B95-WEEKDAY(B95,2)+1),E8:E95),0)</f>
        <v/>
      </c>
      <c r="P95" s="115">
        <f>IFERROR(SUMIF(B8:B95,"&gt;="&amp;(B95-WEEKDAY(B95,2)+1),H8:H95),0)</f>
        <v/>
      </c>
      <c r="Q95" s="113">
        <f>IFERROR(O95-P95,0)</f>
        <v/>
      </c>
    </row>
    <row r="96" ht="16.5" customHeight="1">
      <c r="B96" s="91" t="n"/>
      <c r="C96" s="92">
        <f>IF(B96="","",TEXT(B96,"DDD"))</f>
        <v/>
      </c>
      <c r="D96" s="93">
        <f>IF(B96="","","Soft App")</f>
        <v/>
      </c>
      <c r="E96" s="94" t="n"/>
      <c r="F96" s="95" t="n"/>
      <c r="G96" s="96">
        <f>IFERROR(E96/F96,0)</f>
        <v/>
      </c>
      <c r="H96" s="97">
        <f>IFERROR(SUMIF('💸 Expenses'!B9:B508,B96,'💸 Expenses'!F9:F508),0)</f>
        <v/>
      </c>
      <c r="I96" s="98">
        <f>IFERROR(E96-H96,0)</f>
        <v/>
      </c>
      <c r="J96" s="99">
        <f>IFERROR(I96/E96,0)</f>
        <v/>
      </c>
      <c r="K96" s="100" t="n"/>
      <c r="L96" s="60">
        <f>IFERROR(L95+E96,0)</f>
        <v/>
      </c>
      <c r="M96" s="63">
        <f>IFERROR(M95+H96,0)</f>
        <v/>
      </c>
      <c r="N96" s="101">
        <f>IFERROR(L96-M96,0)</f>
        <v/>
      </c>
      <c r="O96" s="102">
        <f>IFERROR(SUMIF(B8:B96,"&gt;="&amp;(B96-WEEKDAY(B96,2)+1),E8:E96),0)</f>
        <v/>
      </c>
      <c r="P96" s="103">
        <f>IFERROR(SUMIF(B8:B96,"&gt;="&amp;(B96-WEEKDAY(B96,2)+1),H8:H96),0)</f>
        <v/>
      </c>
      <c r="Q96" s="101">
        <f>IFERROR(O96-P96,0)</f>
        <v/>
      </c>
    </row>
    <row r="97" ht="16.5" customHeight="1">
      <c r="B97" s="91" t="n"/>
      <c r="C97" s="104">
        <f>IF(B97="","",TEXT(B97,"DDD"))</f>
        <v/>
      </c>
      <c r="D97" s="105">
        <f>IF(B97="","","Soft App")</f>
        <v/>
      </c>
      <c r="E97" s="106" t="n"/>
      <c r="F97" s="107" t="n"/>
      <c r="G97" s="108">
        <f>IFERROR(E97/F97,0)</f>
        <v/>
      </c>
      <c r="H97" s="109">
        <f>IFERROR(SUMIF('💸 Expenses'!B9:B508,B97,'💸 Expenses'!F9:F508),0)</f>
        <v/>
      </c>
      <c r="I97" s="110">
        <f>IFERROR(E97-H97,0)</f>
        <v/>
      </c>
      <c r="J97" s="111">
        <f>IFERROR(I97/E97,0)</f>
        <v/>
      </c>
      <c r="K97" s="112" t="n"/>
      <c r="L97" s="69">
        <f>IFERROR(L96+E97,0)</f>
        <v/>
      </c>
      <c r="M97" s="72">
        <f>IFERROR(M96+H97,0)</f>
        <v/>
      </c>
      <c r="N97" s="113">
        <f>IFERROR(L97-M97,0)</f>
        <v/>
      </c>
      <c r="O97" s="114">
        <f>IFERROR(SUMIF(B8:B97,"&gt;="&amp;(B97-WEEKDAY(B97,2)+1),E8:E97),0)</f>
        <v/>
      </c>
      <c r="P97" s="115">
        <f>IFERROR(SUMIF(B8:B97,"&gt;="&amp;(B97-WEEKDAY(B97,2)+1),H8:H97),0)</f>
        <v/>
      </c>
      <c r="Q97" s="113">
        <f>IFERROR(O97-P97,0)</f>
        <v/>
      </c>
    </row>
    <row r="98" ht="16.5" customHeight="1">
      <c r="B98" s="91" t="n"/>
      <c r="C98" s="92">
        <f>IF(B98="","",TEXT(B98,"DDD"))</f>
        <v/>
      </c>
      <c r="D98" s="93">
        <f>IF(B98="","","Soft App")</f>
        <v/>
      </c>
      <c r="E98" s="94" t="n"/>
      <c r="F98" s="95" t="n"/>
      <c r="G98" s="96">
        <f>IFERROR(E98/F98,0)</f>
        <v/>
      </c>
      <c r="H98" s="97">
        <f>IFERROR(SUMIF('💸 Expenses'!B9:B508,B98,'💸 Expenses'!F9:F508),0)</f>
        <v/>
      </c>
      <c r="I98" s="98">
        <f>IFERROR(E98-H98,0)</f>
        <v/>
      </c>
      <c r="J98" s="99">
        <f>IFERROR(I98/E98,0)</f>
        <v/>
      </c>
      <c r="K98" s="100" t="n"/>
      <c r="L98" s="60">
        <f>IFERROR(L97+E98,0)</f>
        <v/>
      </c>
      <c r="M98" s="63">
        <f>IFERROR(M97+H98,0)</f>
        <v/>
      </c>
      <c r="N98" s="101">
        <f>IFERROR(L98-M98,0)</f>
        <v/>
      </c>
      <c r="O98" s="102">
        <f>IFERROR(SUMIF(B8:B98,"&gt;="&amp;(B98-WEEKDAY(B98,2)+1),E8:E98),0)</f>
        <v/>
      </c>
      <c r="P98" s="103">
        <f>IFERROR(SUMIF(B8:B98,"&gt;="&amp;(B98-WEEKDAY(B98,2)+1),H8:H98),0)</f>
        <v/>
      </c>
      <c r="Q98" s="101">
        <f>IFERROR(O98-P98,0)</f>
        <v/>
      </c>
    </row>
    <row r="99" ht="16.5" customHeight="1">
      <c r="B99" s="91" t="n"/>
      <c r="C99" s="104">
        <f>IF(B99="","",TEXT(B99,"DDD"))</f>
        <v/>
      </c>
      <c r="D99" s="105">
        <f>IF(B99="","","Soft App")</f>
        <v/>
      </c>
      <c r="E99" s="106" t="n"/>
      <c r="F99" s="107" t="n"/>
      <c r="G99" s="108">
        <f>IFERROR(E99/F99,0)</f>
        <v/>
      </c>
      <c r="H99" s="109">
        <f>IFERROR(SUMIF('💸 Expenses'!B9:B508,B99,'💸 Expenses'!F9:F508),0)</f>
        <v/>
      </c>
      <c r="I99" s="110">
        <f>IFERROR(E99-H99,0)</f>
        <v/>
      </c>
      <c r="J99" s="111">
        <f>IFERROR(I99/E99,0)</f>
        <v/>
      </c>
      <c r="K99" s="112" t="n"/>
      <c r="L99" s="69">
        <f>IFERROR(L98+E99,0)</f>
        <v/>
      </c>
      <c r="M99" s="72">
        <f>IFERROR(M98+H99,0)</f>
        <v/>
      </c>
      <c r="N99" s="113">
        <f>IFERROR(L99-M99,0)</f>
        <v/>
      </c>
      <c r="O99" s="114">
        <f>IFERROR(SUMIF(B8:B99,"&gt;="&amp;(B99-WEEKDAY(B99,2)+1),E8:E99),0)</f>
        <v/>
      </c>
      <c r="P99" s="115">
        <f>IFERROR(SUMIF(B8:B99,"&gt;="&amp;(B99-WEEKDAY(B99,2)+1),H8:H99),0)</f>
        <v/>
      </c>
      <c r="Q99" s="113">
        <f>IFERROR(O99-P99,0)</f>
        <v/>
      </c>
    </row>
    <row r="100" ht="16.5" customHeight="1">
      <c r="B100" s="91" t="n"/>
      <c r="C100" s="92">
        <f>IF(B100="","",TEXT(B100,"DDD"))</f>
        <v/>
      </c>
      <c r="D100" s="93">
        <f>IF(B100="","","Soft App")</f>
        <v/>
      </c>
      <c r="E100" s="94" t="n"/>
      <c r="F100" s="95" t="n"/>
      <c r="G100" s="96">
        <f>IFERROR(E100/F100,0)</f>
        <v/>
      </c>
      <c r="H100" s="97">
        <f>IFERROR(SUMIF('💸 Expenses'!B9:B508,B100,'💸 Expenses'!F9:F508),0)</f>
        <v/>
      </c>
      <c r="I100" s="98">
        <f>IFERROR(E100-H100,0)</f>
        <v/>
      </c>
      <c r="J100" s="99">
        <f>IFERROR(I100/E100,0)</f>
        <v/>
      </c>
      <c r="K100" s="100" t="n"/>
      <c r="L100" s="60">
        <f>IFERROR(L99+E100,0)</f>
        <v/>
      </c>
      <c r="M100" s="63">
        <f>IFERROR(M99+H100,0)</f>
        <v/>
      </c>
      <c r="N100" s="101">
        <f>IFERROR(L100-M100,0)</f>
        <v/>
      </c>
      <c r="O100" s="102">
        <f>IFERROR(SUMIF(B8:B100,"&gt;="&amp;(B100-WEEKDAY(B100,2)+1),E8:E100),0)</f>
        <v/>
      </c>
      <c r="P100" s="103">
        <f>IFERROR(SUMIF(B8:B100,"&gt;="&amp;(B100-WEEKDAY(B100,2)+1),H8:H100),0)</f>
        <v/>
      </c>
      <c r="Q100" s="101">
        <f>IFERROR(O100-P100,0)</f>
        <v/>
      </c>
    </row>
    <row r="101" ht="16.5" customHeight="1">
      <c r="B101" s="91" t="n"/>
      <c r="C101" s="104">
        <f>IF(B101="","",TEXT(B101,"DDD"))</f>
        <v/>
      </c>
      <c r="D101" s="105">
        <f>IF(B101="","","Soft App")</f>
        <v/>
      </c>
      <c r="E101" s="106" t="n"/>
      <c r="F101" s="107" t="n"/>
      <c r="G101" s="108">
        <f>IFERROR(E101/F101,0)</f>
        <v/>
      </c>
      <c r="H101" s="109">
        <f>IFERROR(SUMIF('💸 Expenses'!B9:B508,B101,'💸 Expenses'!F9:F508),0)</f>
        <v/>
      </c>
      <c r="I101" s="110">
        <f>IFERROR(E101-H101,0)</f>
        <v/>
      </c>
      <c r="J101" s="111">
        <f>IFERROR(I101/E101,0)</f>
        <v/>
      </c>
      <c r="K101" s="112" t="n"/>
      <c r="L101" s="69">
        <f>IFERROR(L100+E101,0)</f>
        <v/>
      </c>
      <c r="M101" s="72">
        <f>IFERROR(M100+H101,0)</f>
        <v/>
      </c>
      <c r="N101" s="113">
        <f>IFERROR(L101-M101,0)</f>
        <v/>
      </c>
      <c r="O101" s="114">
        <f>IFERROR(SUMIF(B8:B101,"&gt;="&amp;(B101-WEEKDAY(B101,2)+1),E8:E101),0)</f>
        <v/>
      </c>
      <c r="P101" s="115">
        <f>IFERROR(SUMIF(B8:B101,"&gt;="&amp;(B101-WEEKDAY(B101,2)+1),H8:H101),0)</f>
        <v/>
      </c>
      <c r="Q101" s="113">
        <f>IFERROR(O101-P101,0)</f>
        <v/>
      </c>
    </row>
    <row r="102" ht="16.5" customHeight="1">
      <c r="B102" s="91" t="n"/>
      <c r="C102" s="92">
        <f>IF(B102="","",TEXT(B102,"DDD"))</f>
        <v/>
      </c>
      <c r="D102" s="93">
        <f>IF(B102="","","Soft App")</f>
        <v/>
      </c>
      <c r="E102" s="94" t="n"/>
      <c r="F102" s="95" t="n"/>
      <c r="G102" s="96">
        <f>IFERROR(E102/F102,0)</f>
        <v/>
      </c>
      <c r="H102" s="97">
        <f>IFERROR(SUMIF('💸 Expenses'!B9:B508,B102,'💸 Expenses'!F9:F508),0)</f>
        <v/>
      </c>
      <c r="I102" s="98">
        <f>IFERROR(E102-H102,0)</f>
        <v/>
      </c>
      <c r="J102" s="99">
        <f>IFERROR(I102/E102,0)</f>
        <v/>
      </c>
      <c r="K102" s="100" t="n"/>
      <c r="L102" s="60">
        <f>IFERROR(L101+E102,0)</f>
        <v/>
      </c>
      <c r="M102" s="63">
        <f>IFERROR(M101+H102,0)</f>
        <v/>
      </c>
      <c r="N102" s="101">
        <f>IFERROR(L102-M102,0)</f>
        <v/>
      </c>
      <c r="O102" s="102">
        <f>IFERROR(SUMIF(B8:B102,"&gt;="&amp;(B102-WEEKDAY(B102,2)+1),E8:E102),0)</f>
        <v/>
      </c>
      <c r="P102" s="103">
        <f>IFERROR(SUMIF(B8:B102,"&gt;="&amp;(B102-WEEKDAY(B102,2)+1),H8:H102),0)</f>
        <v/>
      </c>
      <c r="Q102" s="101">
        <f>IFERROR(O102-P102,0)</f>
        <v/>
      </c>
    </row>
    <row r="103" ht="16.5" customHeight="1">
      <c r="B103" s="91" t="n"/>
      <c r="C103" s="104">
        <f>IF(B103="","",TEXT(B103,"DDD"))</f>
        <v/>
      </c>
      <c r="D103" s="105">
        <f>IF(B103="","","Soft App")</f>
        <v/>
      </c>
      <c r="E103" s="106" t="n"/>
      <c r="F103" s="107" t="n"/>
      <c r="G103" s="108">
        <f>IFERROR(E103/F103,0)</f>
        <v/>
      </c>
      <c r="H103" s="109">
        <f>IFERROR(SUMIF('💸 Expenses'!B9:B508,B103,'💸 Expenses'!F9:F508),0)</f>
        <v/>
      </c>
      <c r="I103" s="110">
        <f>IFERROR(E103-H103,0)</f>
        <v/>
      </c>
      <c r="J103" s="111">
        <f>IFERROR(I103/E103,0)</f>
        <v/>
      </c>
      <c r="K103" s="112" t="n"/>
      <c r="L103" s="69">
        <f>IFERROR(L102+E103,0)</f>
        <v/>
      </c>
      <c r="M103" s="72">
        <f>IFERROR(M102+H103,0)</f>
        <v/>
      </c>
      <c r="N103" s="113">
        <f>IFERROR(L103-M103,0)</f>
        <v/>
      </c>
      <c r="O103" s="114">
        <f>IFERROR(SUMIF(B8:B103,"&gt;="&amp;(B103-WEEKDAY(B103,2)+1),E8:E103),0)</f>
        <v/>
      </c>
      <c r="P103" s="115">
        <f>IFERROR(SUMIF(B8:B103,"&gt;="&amp;(B103-WEEKDAY(B103,2)+1),H8:H103),0)</f>
        <v/>
      </c>
      <c r="Q103" s="113">
        <f>IFERROR(O103-P103,0)</f>
        <v/>
      </c>
    </row>
    <row r="104" ht="16.5" customHeight="1">
      <c r="B104" s="91" t="n"/>
      <c r="C104" s="92">
        <f>IF(B104="","",TEXT(B104,"DDD"))</f>
        <v/>
      </c>
      <c r="D104" s="93">
        <f>IF(B104="","","Soft App")</f>
        <v/>
      </c>
      <c r="E104" s="94" t="n"/>
      <c r="F104" s="95" t="n"/>
      <c r="G104" s="96">
        <f>IFERROR(E104/F104,0)</f>
        <v/>
      </c>
      <c r="H104" s="97">
        <f>IFERROR(SUMIF('💸 Expenses'!B9:B508,B104,'💸 Expenses'!F9:F508),0)</f>
        <v/>
      </c>
      <c r="I104" s="98">
        <f>IFERROR(E104-H104,0)</f>
        <v/>
      </c>
      <c r="J104" s="99">
        <f>IFERROR(I104/E104,0)</f>
        <v/>
      </c>
      <c r="K104" s="100" t="n"/>
      <c r="L104" s="60">
        <f>IFERROR(L103+E104,0)</f>
        <v/>
      </c>
      <c r="M104" s="63">
        <f>IFERROR(M103+H104,0)</f>
        <v/>
      </c>
      <c r="N104" s="101">
        <f>IFERROR(L104-M104,0)</f>
        <v/>
      </c>
      <c r="O104" s="102">
        <f>IFERROR(SUMIF(B8:B104,"&gt;="&amp;(B104-WEEKDAY(B104,2)+1),E8:E104),0)</f>
        <v/>
      </c>
      <c r="P104" s="103">
        <f>IFERROR(SUMIF(B8:B104,"&gt;="&amp;(B104-WEEKDAY(B104,2)+1),H8:H104),0)</f>
        <v/>
      </c>
      <c r="Q104" s="101">
        <f>IFERROR(O104-P104,0)</f>
        <v/>
      </c>
    </row>
    <row r="105" ht="16.5" customHeight="1">
      <c r="B105" s="91" t="n"/>
      <c r="C105" s="104">
        <f>IF(B105="","",TEXT(B105,"DDD"))</f>
        <v/>
      </c>
      <c r="D105" s="105">
        <f>IF(B105="","","Soft App")</f>
        <v/>
      </c>
      <c r="E105" s="106" t="n"/>
      <c r="F105" s="107" t="n"/>
      <c r="G105" s="108">
        <f>IFERROR(E105/F105,0)</f>
        <v/>
      </c>
      <c r="H105" s="109">
        <f>IFERROR(SUMIF('💸 Expenses'!B9:B508,B105,'💸 Expenses'!F9:F508),0)</f>
        <v/>
      </c>
      <c r="I105" s="110">
        <f>IFERROR(E105-H105,0)</f>
        <v/>
      </c>
      <c r="J105" s="111">
        <f>IFERROR(I105/E105,0)</f>
        <v/>
      </c>
      <c r="K105" s="112" t="n"/>
      <c r="L105" s="69">
        <f>IFERROR(L104+E105,0)</f>
        <v/>
      </c>
      <c r="M105" s="72">
        <f>IFERROR(M104+H105,0)</f>
        <v/>
      </c>
      <c r="N105" s="113">
        <f>IFERROR(L105-M105,0)</f>
        <v/>
      </c>
      <c r="O105" s="114">
        <f>IFERROR(SUMIF(B8:B105,"&gt;="&amp;(B105-WEEKDAY(B105,2)+1),E8:E105),0)</f>
        <v/>
      </c>
      <c r="P105" s="115">
        <f>IFERROR(SUMIF(B8:B105,"&gt;="&amp;(B105-WEEKDAY(B105,2)+1),H8:H105),0)</f>
        <v/>
      </c>
      <c r="Q105" s="113">
        <f>IFERROR(O105-P105,0)</f>
        <v/>
      </c>
    </row>
    <row r="106" ht="16.5" customHeight="1">
      <c r="B106" s="91" t="n"/>
      <c r="C106" s="92">
        <f>IF(B106="","",TEXT(B106,"DDD"))</f>
        <v/>
      </c>
      <c r="D106" s="93">
        <f>IF(B106="","","Soft App")</f>
        <v/>
      </c>
      <c r="E106" s="94" t="n"/>
      <c r="F106" s="95" t="n"/>
      <c r="G106" s="96">
        <f>IFERROR(E106/F106,0)</f>
        <v/>
      </c>
      <c r="H106" s="97">
        <f>IFERROR(SUMIF('💸 Expenses'!B9:B508,B106,'💸 Expenses'!F9:F508),0)</f>
        <v/>
      </c>
      <c r="I106" s="98">
        <f>IFERROR(E106-H106,0)</f>
        <v/>
      </c>
      <c r="J106" s="99">
        <f>IFERROR(I106/E106,0)</f>
        <v/>
      </c>
      <c r="K106" s="100" t="n"/>
      <c r="L106" s="60">
        <f>IFERROR(L105+E106,0)</f>
        <v/>
      </c>
      <c r="M106" s="63">
        <f>IFERROR(M105+H106,0)</f>
        <v/>
      </c>
      <c r="N106" s="101">
        <f>IFERROR(L106-M106,0)</f>
        <v/>
      </c>
      <c r="O106" s="102">
        <f>IFERROR(SUMIF(B8:B106,"&gt;="&amp;(B106-WEEKDAY(B106,2)+1),E8:E106),0)</f>
        <v/>
      </c>
      <c r="P106" s="103">
        <f>IFERROR(SUMIF(B8:B106,"&gt;="&amp;(B106-WEEKDAY(B106,2)+1),H8:H106),0)</f>
        <v/>
      </c>
      <c r="Q106" s="101">
        <f>IFERROR(O106-P106,0)</f>
        <v/>
      </c>
    </row>
    <row r="107" ht="16.5" customHeight="1">
      <c r="B107" s="91" t="n"/>
      <c r="C107" s="104">
        <f>IF(B107="","",TEXT(B107,"DDD"))</f>
        <v/>
      </c>
      <c r="D107" s="105">
        <f>IF(B107="","","Soft App")</f>
        <v/>
      </c>
      <c r="E107" s="106" t="n"/>
      <c r="F107" s="107" t="n"/>
      <c r="G107" s="108">
        <f>IFERROR(E107/F107,0)</f>
        <v/>
      </c>
      <c r="H107" s="109">
        <f>IFERROR(SUMIF('💸 Expenses'!B9:B508,B107,'💸 Expenses'!F9:F508),0)</f>
        <v/>
      </c>
      <c r="I107" s="110">
        <f>IFERROR(E107-H107,0)</f>
        <v/>
      </c>
      <c r="J107" s="111">
        <f>IFERROR(I107/E107,0)</f>
        <v/>
      </c>
      <c r="K107" s="112" t="n"/>
      <c r="L107" s="69">
        <f>IFERROR(L106+E107,0)</f>
        <v/>
      </c>
      <c r="M107" s="72">
        <f>IFERROR(M106+H107,0)</f>
        <v/>
      </c>
      <c r="N107" s="113">
        <f>IFERROR(L107-M107,0)</f>
        <v/>
      </c>
      <c r="O107" s="114">
        <f>IFERROR(SUMIF(B8:B107,"&gt;="&amp;(B107-WEEKDAY(B107,2)+1),E8:E107),0)</f>
        <v/>
      </c>
      <c r="P107" s="115">
        <f>IFERROR(SUMIF(B8:B107,"&gt;="&amp;(B107-WEEKDAY(B107,2)+1),H8:H107),0)</f>
        <v/>
      </c>
      <c r="Q107" s="113">
        <f>IFERROR(O107-P107,0)</f>
        <v/>
      </c>
    </row>
    <row r="108" ht="16.5" customHeight="1">
      <c r="B108" s="91" t="n"/>
      <c r="C108" s="92">
        <f>IF(B108="","",TEXT(B108,"DDD"))</f>
        <v/>
      </c>
      <c r="D108" s="93">
        <f>IF(B108="","","Soft App")</f>
        <v/>
      </c>
      <c r="E108" s="94" t="n"/>
      <c r="F108" s="95" t="n"/>
      <c r="G108" s="96">
        <f>IFERROR(E108/F108,0)</f>
        <v/>
      </c>
      <c r="H108" s="97">
        <f>IFERROR(SUMIF('💸 Expenses'!B9:B508,B108,'💸 Expenses'!F9:F508),0)</f>
        <v/>
      </c>
      <c r="I108" s="98">
        <f>IFERROR(E108-H108,0)</f>
        <v/>
      </c>
      <c r="J108" s="99">
        <f>IFERROR(I108/E108,0)</f>
        <v/>
      </c>
      <c r="K108" s="100" t="n"/>
      <c r="L108" s="60">
        <f>IFERROR(L107+E108,0)</f>
        <v/>
      </c>
      <c r="M108" s="63">
        <f>IFERROR(M107+H108,0)</f>
        <v/>
      </c>
      <c r="N108" s="101">
        <f>IFERROR(L108-M108,0)</f>
        <v/>
      </c>
      <c r="O108" s="102">
        <f>IFERROR(SUMIF(B8:B108,"&gt;="&amp;(B108-WEEKDAY(B108,2)+1),E8:E108),0)</f>
        <v/>
      </c>
      <c r="P108" s="103">
        <f>IFERROR(SUMIF(B8:B108,"&gt;="&amp;(B108-WEEKDAY(B108,2)+1),H8:H108),0)</f>
        <v/>
      </c>
      <c r="Q108" s="101">
        <f>IFERROR(O108-P108,0)</f>
        <v/>
      </c>
    </row>
    <row r="109" ht="16.5" customHeight="1">
      <c r="B109" s="91" t="n"/>
      <c r="C109" s="104">
        <f>IF(B109="","",TEXT(B109,"DDD"))</f>
        <v/>
      </c>
      <c r="D109" s="105">
        <f>IF(B109="","","Soft App")</f>
        <v/>
      </c>
      <c r="E109" s="106" t="n"/>
      <c r="F109" s="107" t="n"/>
      <c r="G109" s="108">
        <f>IFERROR(E109/F109,0)</f>
        <v/>
      </c>
      <c r="H109" s="109">
        <f>IFERROR(SUMIF('💸 Expenses'!B9:B508,B109,'💸 Expenses'!F9:F508),0)</f>
        <v/>
      </c>
      <c r="I109" s="110">
        <f>IFERROR(E109-H109,0)</f>
        <v/>
      </c>
      <c r="J109" s="111">
        <f>IFERROR(I109/E109,0)</f>
        <v/>
      </c>
      <c r="K109" s="112" t="n"/>
      <c r="L109" s="69">
        <f>IFERROR(L108+E109,0)</f>
        <v/>
      </c>
      <c r="M109" s="72">
        <f>IFERROR(M108+H109,0)</f>
        <v/>
      </c>
      <c r="N109" s="113">
        <f>IFERROR(L109-M109,0)</f>
        <v/>
      </c>
      <c r="O109" s="114">
        <f>IFERROR(SUMIF(B8:B109,"&gt;="&amp;(B109-WEEKDAY(B109,2)+1),E8:E109),0)</f>
        <v/>
      </c>
      <c r="P109" s="115">
        <f>IFERROR(SUMIF(B8:B109,"&gt;="&amp;(B109-WEEKDAY(B109,2)+1),H8:H109),0)</f>
        <v/>
      </c>
      <c r="Q109" s="113">
        <f>IFERROR(O109-P109,0)</f>
        <v/>
      </c>
    </row>
    <row r="110" ht="16.5" customHeight="1">
      <c r="B110" s="91" t="n"/>
      <c r="C110" s="92">
        <f>IF(B110="","",TEXT(B110,"DDD"))</f>
        <v/>
      </c>
      <c r="D110" s="93">
        <f>IF(B110="","","Soft App")</f>
        <v/>
      </c>
      <c r="E110" s="94" t="n"/>
      <c r="F110" s="95" t="n"/>
      <c r="G110" s="96">
        <f>IFERROR(E110/F110,0)</f>
        <v/>
      </c>
      <c r="H110" s="97">
        <f>IFERROR(SUMIF('💸 Expenses'!B9:B508,B110,'💸 Expenses'!F9:F508),0)</f>
        <v/>
      </c>
      <c r="I110" s="98">
        <f>IFERROR(E110-H110,0)</f>
        <v/>
      </c>
      <c r="J110" s="99">
        <f>IFERROR(I110/E110,0)</f>
        <v/>
      </c>
      <c r="K110" s="100" t="n"/>
      <c r="L110" s="60">
        <f>IFERROR(L109+E110,0)</f>
        <v/>
      </c>
      <c r="M110" s="63">
        <f>IFERROR(M109+H110,0)</f>
        <v/>
      </c>
      <c r="N110" s="101">
        <f>IFERROR(L110-M110,0)</f>
        <v/>
      </c>
      <c r="O110" s="102">
        <f>IFERROR(SUMIF(B8:B110,"&gt;="&amp;(B110-WEEKDAY(B110,2)+1),E8:E110),0)</f>
        <v/>
      </c>
      <c r="P110" s="103">
        <f>IFERROR(SUMIF(B8:B110,"&gt;="&amp;(B110-WEEKDAY(B110,2)+1),H8:H110),0)</f>
        <v/>
      </c>
      <c r="Q110" s="101">
        <f>IFERROR(O110-P110,0)</f>
        <v/>
      </c>
    </row>
    <row r="111" ht="16.5" customHeight="1">
      <c r="B111" s="91" t="n"/>
      <c r="C111" s="104">
        <f>IF(B111="","",TEXT(B111,"DDD"))</f>
        <v/>
      </c>
      <c r="D111" s="105">
        <f>IF(B111="","","Soft App")</f>
        <v/>
      </c>
      <c r="E111" s="106" t="n"/>
      <c r="F111" s="107" t="n"/>
      <c r="G111" s="108">
        <f>IFERROR(E111/F111,0)</f>
        <v/>
      </c>
      <c r="H111" s="109">
        <f>IFERROR(SUMIF('💸 Expenses'!B9:B508,B111,'💸 Expenses'!F9:F508),0)</f>
        <v/>
      </c>
      <c r="I111" s="110">
        <f>IFERROR(E111-H111,0)</f>
        <v/>
      </c>
      <c r="J111" s="111">
        <f>IFERROR(I111/E111,0)</f>
        <v/>
      </c>
      <c r="K111" s="112" t="n"/>
      <c r="L111" s="69">
        <f>IFERROR(L110+E111,0)</f>
        <v/>
      </c>
      <c r="M111" s="72">
        <f>IFERROR(M110+H111,0)</f>
        <v/>
      </c>
      <c r="N111" s="113">
        <f>IFERROR(L111-M111,0)</f>
        <v/>
      </c>
      <c r="O111" s="114">
        <f>IFERROR(SUMIF(B8:B111,"&gt;="&amp;(B111-WEEKDAY(B111,2)+1),E8:E111),0)</f>
        <v/>
      </c>
      <c r="P111" s="115">
        <f>IFERROR(SUMIF(B8:B111,"&gt;="&amp;(B111-WEEKDAY(B111,2)+1),H8:H111),0)</f>
        <v/>
      </c>
      <c r="Q111" s="113">
        <f>IFERROR(O111-P111,0)</f>
        <v/>
      </c>
    </row>
    <row r="112" ht="16.5" customHeight="1">
      <c r="B112" s="91" t="n"/>
      <c r="C112" s="92">
        <f>IF(B112="","",TEXT(B112,"DDD"))</f>
        <v/>
      </c>
      <c r="D112" s="93">
        <f>IF(B112="","","Soft App")</f>
        <v/>
      </c>
      <c r="E112" s="94" t="n"/>
      <c r="F112" s="95" t="n"/>
      <c r="G112" s="96">
        <f>IFERROR(E112/F112,0)</f>
        <v/>
      </c>
      <c r="H112" s="97">
        <f>IFERROR(SUMIF('💸 Expenses'!B9:B508,B112,'💸 Expenses'!F9:F508),0)</f>
        <v/>
      </c>
      <c r="I112" s="98">
        <f>IFERROR(E112-H112,0)</f>
        <v/>
      </c>
      <c r="J112" s="99">
        <f>IFERROR(I112/E112,0)</f>
        <v/>
      </c>
      <c r="K112" s="100" t="n"/>
      <c r="L112" s="60">
        <f>IFERROR(L111+E112,0)</f>
        <v/>
      </c>
      <c r="M112" s="63">
        <f>IFERROR(M111+H112,0)</f>
        <v/>
      </c>
      <c r="N112" s="101">
        <f>IFERROR(L112-M112,0)</f>
        <v/>
      </c>
      <c r="O112" s="102">
        <f>IFERROR(SUMIF(B8:B112,"&gt;="&amp;(B112-WEEKDAY(B112,2)+1),E8:E112),0)</f>
        <v/>
      </c>
      <c r="P112" s="103">
        <f>IFERROR(SUMIF(B8:B112,"&gt;="&amp;(B112-WEEKDAY(B112,2)+1),H8:H112),0)</f>
        <v/>
      </c>
      <c r="Q112" s="101">
        <f>IFERROR(O112-P112,0)</f>
        <v/>
      </c>
    </row>
    <row r="113" ht="16.5" customHeight="1">
      <c r="B113" s="91" t="n"/>
      <c r="C113" s="104">
        <f>IF(B113="","",TEXT(B113,"DDD"))</f>
        <v/>
      </c>
      <c r="D113" s="105">
        <f>IF(B113="","","Soft App")</f>
        <v/>
      </c>
      <c r="E113" s="106" t="n"/>
      <c r="F113" s="107" t="n"/>
      <c r="G113" s="108">
        <f>IFERROR(E113/F113,0)</f>
        <v/>
      </c>
      <c r="H113" s="109">
        <f>IFERROR(SUMIF('💸 Expenses'!B9:B508,B113,'💸 Expenses'!F9:F508),0)</f>
        <v/>
      </c>
      <c r="I113" s="110">
        <f>IFERROR(E113-H113,0)</f>
        <v/>
      </c>
      <c r="J113" s="111">
        <f>IFERROR(I113/E113,0)</f>
        <v/>
      </c>
      <c r="K113" s="112" t="n"/>
      <c r="L113" s="69">
        <f>IFERROR(L112+E113,0)</f>
        <v/>
      </c>
      <c r="M113" s="72">
        <f>IFERROR(M112+H113,0)</f>
        <v/>
      </c>
      <c r="N113" s="113">
        <f>IFERROR(L113-M113,0)</f>
        <v/>
      </c>
      <c r="O113" s="114">
        <f>IFERROR(SUMIF(B8:B113,"&gt;="&amp;(B113-WEEKDAY(B113,2)+1),E8:E113),0)</f>
        <v/>
      </c>
      <c r="P113" s="115">
        <f>IFERROR(SUMIF(B8:B113,"&gt;="&amp;(B113-WEEKDAY(B113,2)+1),H8:H113),0)</f>
        <v/>
      </c>
      <c r="Q113" s="113">
        <f>IFERROR(O113-P113,0)</f>
        <v/>
      </c>
    </row>
    <row r="114" ht="16.5" customHeight="1">
      <c r="B114" s="91" t="n"/>
      <c r="C114" s="92">
        <f>IF(B114="","",TEXT(B114,"DDD"))</f>
        <v/>
      </c>
      <c r="D114" s="93">
        <f>IF(B114="","","Soft App")</f>
        <v/>
      </c>
      <c r="E114" s="94" t="n"/>
      <c r="F114" s="95" t="n"/>
      <c r="G114" s="96">
        <f>IFERROR(E114/F114,0)</f>
        <v/>
      </c>
      <c r="H114" s="97">
        <f>IFERROR(SUMIF('💸 Expenses'!B9:B508,B114,'💸 Expenses'!F9:F508),0)</f>
        <v/>
      </c>
      <c r="I114" s="98">
        <f>IFERROR(E114-H114,0)</f>
        <v/>
      </c>
      <c r="J114" s="99">
        <f>IFERROR(I114/E114,0)</f>
        <v/>
      </c>
      <c r="K114" s="100" t="n"/>
      <c r="L114" s="60">
        <f>IFERROR(L113+E114,0)</f>
        <v/>
      </c>
      <c r="M114" s="63">
        <f>IFERROR(M113+H114,0)</f>
        <v/>
      </c>
      <c r="N114" s="101">
        <f>IFERROR(L114-M114,0)</f>
        <v/>
      </c>
      <c r="O114" s="102">
        <f>IFERROR(SUMIF(B8:B114,"&gt;="&amp;(B114-WEEKDAY(B114,2)+1),E8:E114),0)</f>
        <v/>
      </c>
      <c r="P114" s="103">
        <f>IFERROR(SUMIF(B8:B114,"&gt;="&amp;(B114-WEEKDAY(B114,2)+1),H8:H114),0)</f>
        <v/>
      </c>
      <c r="Q114" s="101">
        <f>IFERROR(O114-P114,0)</f>
        <v/>
      </c>
    </row>
    <row r="115" ht="16.5" customHeight="1">
      <c r="B115" s="91" t="n"/>
      <c r="C115" s="104">
        <f>IF(B115="","",TEXT(B115,"DDD"))</f>
        <v/>
      </c>
      <c r="D115" s="105">
        <f>IF(B115="","","Soft App")</f>
        <v/>
      </c>
      <c r="E115" s="106" t="n"/>
      <c r="F115" s="107" t="n"/>
      <c r="G115" s="108">
        <f>IFERROR(E115/F115,0)</f>
        <v/>
      </c>
      <c r="H115" s="109">
        <f>IFERROR(SUMIF('💸 Expenses'!B9:B508,B115,'💸 Expenses'!F9:F508),0)</f>
        <v/>
      </c>
      <c r="I115" s="110">
        <f>IFERROR(E115-H115,0)</f>
        <v/>
      </c>
      <c r="J115" s="111">
        <f>IFERROR(I115/E115,0)</f>
        <v/>
      </c>
      <c r="K115" s="112" t="n"/>
      <c r="L115" s="69">
        <f>IFERROR(L114+E115,0)</f>
        <v/>
      </c>
      <c r="M115" s="72">
        <f>IFERROR(M114+H115,0)</f>
        <v/>
      </c>
      <c r="N115" s="113">
        <f>IFERROR(L115-M115,0)</f>
        <v/>
      </c>
      <c r="O115" s="114">
        <f>IFERROR(SUMIF(B8:B115,"&gt;="&amp;(B115-WEEKDAY(B115,2)+1),E8:E115),0)</f>
        <v/>
      </c>
      <c r="P115" s="115">
        <f>IFERROR(SUMIF(B8:B115,"&gt;="&amp;(B115-WEEKDAY(B115,2)+1),H8:H115),0)</f>
        <v/>
      </c>
      <c r="Q115" s="113">
        <f>IFERROR(O115-P115,0)</f>
        <v/>
      </c>
    </row>
    <row r="116" ht="16.5" customHeight="1">
      <c r="B116" s="91" t="n"/>
      <c r="C116" s="92">
        <f>IF(B116="","",TEXT(B116,"DDD"))</f>
        <v/>
      </c>
      <c r="D116" s="93">
        <f>IF(B116="","","Soft App")</f>
        <v/>
      </c>
      <c r="E116" s="94" t="n"/>
      <c r="F116" s="95" t="n"/>
      <c r="G116" s="96">
        <f>IFERROR(E116/F116,0)</f>
        <v/>
      </c>
      <c r="H116" s="97">
        <f>IFERROR(SUMIF('💸 Expenses'!B9:B508,B116,'💸 Expenses'!F9:F508),0)</f>
        <v/>
      </c>
      <c r="I116" s="98">
        <f>IFERROR(E116-H116,0)</f>
        <v/>
      </c>
      <c r="J116" s="99">
        <f>IFERROR(I116/E116,0)</f>
        <v/>
      </c>
      <c r="K116" s="100" t="n"/>
      <c r="L116" s="60">
        <f>IFERROR(L115+E116,0)</f>
        <v/>
      </c>
      <c r="M116" s="63">
        <f>IFERROR(M115+H116,0)</f>
        <v/>
      </c>
      <c r="N116" s="101">
        <f>IFERROR(L116-M116,0)</f>
        <v/>
      </c>
      <c r="O116" s="102">
        <f>IFERROR(SUMIF(B8:B116,"&gt;="&amp;(B116-WEEKDAY(B116,2)+1),E8:E116),0)</f>
        <v/>
      </c>
      <c r="P116" s="103">
        <f>IFERROR(SUMIF(B8:B116,"&gt;="&amp;(B116-WEEKDAY(B116,2)+1),H8:H116),0)</f>
        <v/>
      </c>
      <c r="Q116" s="101">
        <f>IFERROR(O116-P116,0)</f>
        <v/>
      </c>
    </row>
    <row r="117" ht="16.5" customHeight="1">
      <c r="B117" s="91" t="n"/>
      <c r="C117" s="104">
        <f>IF(B117="","",TEXT(B117,"DDD"))</f>
        <v/>
      </c>
      <c r="D117" s="105">
        <f>IF(B117="","","Soft App")</f>
        <v/>
      </c>
      <c r="E117" s="106" t="n"/>
      <c r="F117" s="107" t="n"/>
      <c r="G117" s="108">
        <f>IFERROR(E117/F117,0)</f>
        <v/>
      </c>
      <c r="H117" s="109">
        <f>IFERROR(SUMIF('💸 Expenses'!B9:B508,B117,'💸 Expenses'!F9:F508),0)</f>
        <v/>
      </c>
      <c r="I117" s="110">
        <f>IFERROR(E117-H117,0)</f>
        <v/>
      </c>
      <c r="J117" s="111">
        <f>IFERROR(I117/E117,0)</f>
        <v/>
      </c>
      <c r="K117" s="112" t="n"/>
      <c r="L117" s="69">
        <f>IFERROR(L116+E117,0)</f>
        <v/>
      </c>
      <c r="M117" s="72">
        <f>IFERROR(M116+H117,0)</f>
        <v/>
      </c>
      <c r="N117" s="113">
        <f>IFERROR(L117-M117,0)</f>
        <v/>
      </c>
      <c r="O117" s="114">
        <f>IFERROR(SUMIF(B8:B117,"&gt;="&amp;(B117-WEEKDAY(B117,2)+1),E8:E117),0)</f>
        <v/>
      </c>
      <c r="P117" s="115">
        <f>IFERROR(SUMIF(B8:B117,"&gt;="&amp;(B117-WEEKDAY(B117,2)+1),H8:H117),0)</f>
        <v/>
      </c>
      <c r="Q117" s="113">
        <f>IFERROR(O117-P117,0)</f>
        <v/>
      </c>
    </row>
    <row r="118" ht="16.5" customHeight="1">
      <c r="B118" s="91" t="n"/>
      <c r="C118" s="92">
        <f>IF(B118="","",TEXT(B118,"DDD"))</f>
        <v/>
      </c>
      <c r="D118" s="93">
        <f>IF(B118="","","Soft App")</f>
        <v/>
      </c>
      <c r="E118" s="94" t="n"/>
      <c r="F118" s="95" t="n"/>
      <c r="G118" s="96">
        <f>IFERROR(E118/F118,0)</f>
        <v/>
      </c>
      <c r="H118" s="97">
        <f>IFERROR(SUMIF('💸 Expenses'!B9:B508,B118,'💸 Expenses'!F9:F508),0)</f>
        <v/>
      </c>
      <c r="I118" s="98">
        <f>IFERROR(E118-H118,0)</f>
        <v/>
      </c>
      <c r="J118" s="99">
        <f>IFERROR(I118/E118,0)</f>
        <v/>
      </c>
      <c r="K118" s="100" t="n"/>
      <c r="L118" s="60">
        <f>IFERROR(L117+E118,0)</f>
        <v/>
      </c>
      <c r="M118" s="63">
        <f>IFERROR(M117+H118,0)</f>
        <v/>
      </c>
      <c r="N118" s="101">
        <f>IFERROR(L118-M118,0)</f>
        <v/>
      </c>
      <c r="O118" s="102">
        <f>IFERROR(SUMIF(B8:B118,"&gt;="&amp;(B118-WEEKDAY(B118,2)+1),E8:E118),0)</f>
        <v/>
      </c>
      <c r="P118" s="103">
        <f>IFERROR(SUMIF(B8:B118,"&gt;="&amp;(B118-WEEKDAY(B118,2)+1),H8:H118),0)</f>
        <v/>
      </c>
      <c r="Q118" s="101">
        <f>IFERROR(O118-P118,0)</f>
        <v/>
      </c>
    </row>
    <row r="119" ht="16.5" customHeight="1">
      <c r="B119" s="91" t="n"/>
      <c r="C119" s="104">
        <f>IF(B119="","",TEXT(B119,"DDD"))</f>
        <v/>
      </c>
      <c r="D119" s="105">
        <f>IF(B119="","","Soft App")</f>
        <v/>
      </c>
      <c r="E119" s="106" t="n"/>
      <c r="F119" s="107" t="n"/>
      <c r="G119" s="108">
        <f>IFERROR(E119/F119,0)</f>
        <v/>
      </c>
      <c r="H119" s="109">
        <f>IFERROR(SUMIF('💸 Expenses'!B9:B508,B119,'💸 Expenses'!F9:F508),0)</f>
        <v/>
      </c>
      <c r="I119" s="110">
        <f>IFERROR(E119-H119,0)</f>
        <v/>
      </c>
      <c r="J119" s="111">
        <f>IFERROR(I119/E119,0)</f>
        <v/>
      </c>
      <c r="K119" s="112" t="n"/>
      <c r="L119" s="69">
        <f>IFERROR(L118+E119,0)</f>
        <v/>
      </c>
      <c r="M119" s="72">
        <f>IFERROR(M118+H119,0)</f>
        <v/>
      </c>
      <c r="N119" s="113">
        <f>IFERROR(L119-M119,0)</f>
        <v/>
      </c>
      <c r="O119" s="114">
        <f>IFERROR(SUMIF(B8:B119,"&gt;="&amp;(B119-WEEKDAY(B119,2)+1),E8:E119),0)</f>
        <v/>
      </c>
      <c r="P119" s="115">
        <f>IFERROR(SUMIF(B8:B119,"&gt;="&amp;(B119-WEEKDAY(B119,2)+1),H8:H119),0)</f>
        <v/>
      </c>
      <c r="Q119" s="113">
        <f>IFERROR(O119-P119,0)</f>
        <v/>
      </c>
    </row>
    <row r="120" ht="16.5" customHeight="1">
      <c r="B120" s="91" t="n"/>
      <c r="C120" s="92">
        <f>IF(B120="","",TEXT(B120,"DDD"))</f>
        <v/>
      </c>
      <c r="D120" s="93">
        <f>IF(B120="","","Soft App")</f>
        <v/>
      </c>
      <c r="E120" s="94" t="n"/>
      <c r="F120" s="95" t="n"/>
      <c r="G120" s="96">
        <f>IFERROR(E120/F120,0)</f>
        <v/>
      </c>
      <c r="H120" s="97">
        <f>IFERROR(SUMIF('💸 Expenses'!B9:B508,B120,'💸 Expenses'!F9:F508),0)</f>
        <v/>
      </c>
      <c r="I120" s="98">
        <f>IFERROR(E120-H120,0)</f>
        <v/>
      </c>
      <c r="J120" s="99">
        <f>IFERROR(I120/E120,0)</f>
        <v/>
      </c>
      <c r="K120" s="100" t="n"/>
      <c r="L120" s="60">
        <f>IFERROR(L119+E120,0)</f>
        <v/>
      </c>
      <c r="M120" s="63">
        <f>IFERROR(M119+H120,0)</f>
        <v/>
      </c>
      <c r="N120" s="101">
        <f>IFERROR(L120-M120,0)</f>
        <v/>
      </c>
      <c r="O120" s="102">
        <f>IFERROR(SUMIF(B8:B120,"&gt;="&amp;(B120-WEEKDAY(B120,2)+1),E8:E120),0)</f>
        <v/>
      </c>
      <c r="P120" s="103">
        <f>IFERROR(SUMIF(B8:B120,"&gt;="&amp;(B120-WEEKDAY(B120,2)+1),H8:H120),0)</f>
        <v/>
      </c>
      <c r="Q120" s="101">
        <f>IFERROR(O120-P120,0)</f>
        <v/>
      </c>
    </row>
    <row r="121" ht="16.5" customHeight="1">
      <c r="B121" s="91" t="n"/>
      <c r="C121" s="104">
        <f>IF(B121="","",TEXT(B121,"DDD"))</f>
        <v/>
      </c>
      <c r="D121" s="105">
        <f>IF(B121="","","Soft App")</f>
        <v/>
      </c>
      <c r="E121" s="106" t="n"/>
      <c r="F121" s="107" t="n"/>
      <c r="G121" s="108">
        <f>IFERROR(E121/F121,0)</f>
        <v/>
      </c>
      <c r="H121" s="109">
        <f>IFERROR(SUMIF('💸 Expenses'!B9:B508,B121,'💸 Expenses'!F9:F508),0)</f>
        <v/>
      </c>
      <c r="I121" s="110">
        <f>IFERROR(E121-H121,0)</f>
        <v/>
      </c>
      <c r="J121" s="111">
        <f>IFERROR(I121/E121,0)</f>
        <v/>
      </c>
      <c r="K121" s="112" t="n"/>
      <c r="L121" s="69">
        <f>IFERROR(L120+E121,0)</f>
        <v/>
      </c>
      <c r="M121" s="72">
        <f>IFERROR(M120+H121,0)</f>
        <v/>
      </c>
      <c r="N121" s="113">
        <f>IFERROR(L121-M121,0)</f>
        <v/>
      </c>
      <c r="O121" s="114">
        <f>IFERROR(SUMIF(B8:B121,"&gt;="&amp;(B121-WEEKDAY(B121,2)+1),E8:E121),0)</f>
        <v/>
      </c>
      <c r="P121" s="115">
        <f>IFERROR(SUMIF(B8:B121,"&gt;="&amp;(B121-WEEKDAY(B121,2)+1),H8:H121),0)</f>
        <v/>
      </c>
      <c r="Q121" s="113">
        <f>IFERROR(O121-P121,0)</f>
        <v/>
      </c>
    </row>
    <row r="122" ht="16.5" customHeight="1">
      <c r="B122" s="91" t="n"/>
      <c r="C122" s="92">
        <f>IF(B122="","",TEXT(B122,"DDD"))</f>
        <v/>
      </c>
      <c r="D122" s="93">
        <f>IF(B122="","","Soft App")</f>
        <v/>
      </c>
      <c r="E122" s="94" t="n"/>
      <c r="F122" s="95" t="n"/>
      <c r="G122" s="96">
        <f>IFERROR(E122/F122,0)</f>
        <v/>
      </c>
      <c r="H122" s="97">
        <f>IFERROR(SUMIF('💸 Expenses'!B9:B508,B122,'💸 Expenses'!F9:F508),0)</f>
        <v/>
      </c>
      <c r="I122" s="98">
        <f>IFERROR(E122-H122,0)</f>
        <v/>
      </c>
      <c r="J122" s="99">
        <f>IFERROR(I122/E122,0)</f>
        <v/>
      </c>
      <c r="K122" s="100" t="n"/>
      <c r="L122" s="60">
        <f>IFERROR(L121+E122,0)</f>
        <v/>
      </c>
      <c r="M122" s="63">
        <f>IFERROR(M121+H122,0)</f>
        <v/>
      </c>
      <c r="N122" s="101">
        <f>IFERROR(L122-M122,0)</f>
        <v/>
      </c>
      <c r="O122" s="102">
        <f>IFERROR(SUMIF(B8:B122,"&gt;="&amp;(B122-WEEKDAY(B122,2)+1),E8:E122),0)</f>
        <v/>
      </c>
      <c r="P122" s="103">
        <f>IFERROR(SUMIF(B8:B122,"&gt;="&amp;(B122-WEEKDAY(B122,2)+1),H8:H122),0)</f>
        <v/>
      </c>
      <c r="Q122" s="101">
        <f>IFERROR(O122-P122,0)</f>
        <v/>
      </c>
    </row>
    <row r="123" ht="16.5" customHeight="1">
      <c r="B123" s="91" t="n"/>
      <c r="C123" s="104">
        <f>IF(B123="","",TEXT(B123,"DDD"))</f>
        <v/>
      </c>
      <c r="D123" s="105">
        <f>IF(B123="","","Soft App")</f>
        <v/>
      </c>
      <c r="E123" s="106" t="n"/>
      <c r="F123" s="107" t="n"/>
      <c r="G123" s="108">
        <f>IFERROR(E123/F123,0)</f>
        <v/>
      </c>
      <c r="H123" s="109">
        <f>IFERROR(SUMIF('💸 Expenses'!B9:B508,B123,'💸 Expenses'!F9:F508),0)</f>
        <v/>
      </c>
      <c r="I123" s="110">
        <f>IFERROR(E123-H123,0)</f>
        <v/>
      </c>
      <c r="J123" s="111">
        <f>IFERROR(I123/E123,0)</f>
        <v/>
      </c>
      <c r="K123" s="112" t="n"/>
      <c r="L123" s="69">
        <f>IFERROR(L122+E123,0)</f>
        <v/>
      </c>
      <c r="M123" s="72">
        <f>IFERROR(M122+H123,0)</f>
        <v/>
      </c>
      <c r="N123" s="113">
        <f>IFERROR(L123-M123,0)</f>
        <v/>
      </c>
      <c r="O123" s="114">
        <f>IFERROR(SUMIF(B8:B123,"&gt;="&amp;(B123-WEEKDAY(B123,2)+1),E8:E123),0)</f>
        <v/>
      </c>
      <c r="P123" s="115">
        <f>IFERROR(SUMIF(B8:B123,"&gt;="&amp;(B123-WEEKDAY(B123,2)+1),H8:H123),0)</f>
        <v/>
      </c>
      <c r="Q123" s="113">
        <f>IFERROR(O123-P123,0)</f>
        <v/>
      </c>
    </row>
    <row r="124" ht="16.5" customHeight="1">
      <c r="B124" s="91" t="n"/>
      <c r="C124" s="92">
        <f>IF(B124="","",TEXT(B124,"DDD"))</f>
        <v/>
      </c>
      <c r="D124" s="93">
        <f>IF(B124="","","Soft App")</f>
        <v/>
      </c>
      <c r="E124" s="94" t="n"/>
      <c r="F124" s="95" t="n"/>
      <c r="G124" s="96">
        <f>IFERROR(E124/F124,0)</f>
        <v/>
      </c>
      <c r="H124" s="97">
        <f>IFERROR(SUMIF('💸 Expenses'!B9:B508,B124,'💸 Expenses'!F9:F508),0)</f>
        <v/>
      </c>
      <c r="I124" s="98">
        <f>IFERROR(E124-H124,0)</f>
        <v/>
      </c>
      <c r="J124" s="99">
        <f>IFERROR(I124/E124,0)</f>
        <v/>
      </c>
      <c r="K124" s="100" t="n"/>
      <c r="L124" s="60">
        <f>IFERROR(L123+E124,0)</f>
        <v/>
      </c>
      <c r="M124" s="63">
        <f>IFERROR(M123+H124,0)</f>
        <v/>
      </c>
      <c r="N124" s="101">
        <f>IFERROR(L124-M124,0)</f>
        <v/>
      </c>
      <c r="O124" s="102">
        <f>IFERROR(SUMIF(B8:B124,"&gt;="&amp;(B124-WEEKDAY(B124,2)+1),E8:E124),0)</f>
        <v/>
      </c>
      <c r="P124" s="103">
        <f>IFERROR(SUMIF(B8:B124,"&gt;="&amp;(B124-WEEKDAY(B124,2)+1),H8:H124),0)</f>
        <v/>
      </c>
      <c r="Q124" s="101">
        <f>IFERROR(O124-P124,0)</f>
        <v/>
      </c>
    </row>
    <row r="125" ht="16.5" customHeight="1">
      <c r="B125" s="91" t="n"/>
      <c r="C125" s="104">
        <f>IF(B125="","",TEXT(B125,"DDD"))</f>
        <v/>
      </c>
      <c r="D125" s="105">
        <f>IF(B125="","","Soft App")</f>
        <v/>
      </c>
      <c r="E125" s="106" t="n"/>
      <c r="F125" s="107" t="n"/>
      <c r="G125" s="108">
        <f>IFERROR(E125/F125,0)</f>
        <v/>
      </c>
      <c r="H125" s="109">
        <f>IFERROR(SUMIF('💸 Expenses'!B9:B508,B125,'💸 Expenses'!F9:F508),0)</f>
        <v/>
      </c>
      <c r="I125" s="110">
        <f>IFERROR(E125-H125,0)</f>
        <v/>
      </c>
      <c r="J125" s="111">
        <f>IFERROR(I125/E125,0)</f>
        <v/>
      </c>
      <c r="K125" s="112" t="n"/>
      <c r="L125" s="69">
        <f>IFERROR(L124+E125,0)</f>
        <v/>
      </c>
      <c r="M125" s="72">
        <f>IFERROR(M124+H125,0)</f>
        <v/>
      </c>
      <c r="N125" s="113">
        <f>IFERROR(L125-M125,0)</f>
        <v/>
      </c>
      <c r="O125" s="114">
        <f>IFERROR(SUMIF(B8:B125,"&gt;="&amp;(B125-WEEKDAY(B125,2)+1),E8:E125),0)</f>
        <v/>
      </c>
      <c r="P125" s="115">
        <f>IFERROR(SUMIF(B8:B125,"&gt;="&amp;(B125-WEEKDAY(B125,2)+1),H8:H125),0)</f>
        <v/>
      </c>
      <c r="Q125" s="113">
        <f>IFERROR(O125-P125,0)</f>
        <v/>
      </c>
    </row>
    <row r="126" ht="16.5" customHeight="1">
      <c r="B126" s="91" t="n"/>
      <c r="C126" s="92">
        <f>IF(B126="","",TEXT(B126,"DDD"))</f>
        <v/>
      </c>
      <c r="D126" s="93">
        <f>IF(B126="","","Soft App")</f>
        <v/>
      </c>
      <c r="E126" s="94" t="n"/>
      <c r="F126" s="95" t="n"/>
      <c r="G126" s="96">
        <f>IFERROR(E126/F126,0)</f>
        <v/>
      </c>
      <c r="H126" s="97">
        <f>IFERROR(SUMIF('💸 Expenses'!B9:B508,B126,'💸 Expenses'!F9:F508),0)</f>
        <v/>
      </c>
      <c r="I126" s="98">
        <f>IFERROR(E126-H126,0)</f>
        <v/>
      </c>
      <c r="J126" s="99">
        <f>IFERROR(I126/E126,0)</f>
        <v/>
      </c>
      <c r="K126" s="100" t="n"/>
      <c r="L126" s="60">
        <f>IFERROR(L125+E126,0)</f>
        <v/>
      </c>
      <c r="M126" s="63">
        <f>IFERROR(M125+H126,0)</f>
        <v/>
      </c>
      <c r="N126" s="101">
        <f>IFERROR(L126-M126,0)</f>
        <v/>
      </c>
      <c r="O126" s="102">
        <f>IFERROR(SUMIF(B8:B126,"&gt;="&amp;(B126-WEEKDAY(B126,2)+1),E8:E126),0)</f>
        <v/>
      </c>
      <c r="P126" s="103">
        <f>IFERROR(SUMIF(B8:B126,"&gt;="&amp;(B126-WEEKDAY(B126,2)+1),H8:H126),0)</f>
        <v/>
      </c>
      <c r="Q126" s="101">
        <f>IFERROR(O126-P126,0)</f>
        <v/>
      </c>
    </row>
    <row r="127" ht="16.5" customHeight="1">
      <c r="B127" s="91" t="n"/>
      <c r="C127" s="104">
        <f>IF(B127="","",TEXT(B127,"DDD"))</f>
        <v/>
      </c>
      <c r="D127" s="105">
        <f>IF(B127="","","Soft App")</f>
        <v/>
      </c>
      <c r="E127" s="106" t="n"/>
      <c r="F127" s="107" t="n"/>
      <c r="G127" s="108">
        <f>IFERROR(E127/F127,0)</f>
        <v/>
      </c>
      <c r="H127" s="109">
        <f>IFERROR(SUMIF('💸 Expenses'!B9:B508,B127,'💸 Expenses'!F9:F508),0)</f>
        <v/>
      </c>
      <c r="I127" s="110">
        <f>IFERROR(E127-H127,0)</f>
        <v/>
      </c>
      <c r="J127" s="111">
        <f>IFERROR(I127/E127,0)</f>
        <v/>
      </c>
      <c r="K127" s="112" t="n"/>
      <c r="L127" s="69">
        <f>IFERROR(L126+E127,0)</f>
        <v/>
      </c>
      <c r="M127" s="72">
        <f>IFERROR(M126+H127,0)</f>
        <v/>
      </c>
      <c r="N127" s="113">
        <f>IFERROR(L127-M127,0)</f>
        <v/>
      </c>
      <c r="O127" s="114">
        <f>IFERROR(SUMIF(B8:B127,"&gt;="&amp;(B127-WEEKDAY(B127,2)+1),E8:E127),0)</f>
        <v/>
      </c>
      <c r="P127" s="115">
        <f>IFERROR(SUMIF(B8:B127,"&gt;="&amp;(B127-WEEKDAY(B127,2)+1),H8:H127),0)</f>
        <v/>
      </c>
      <c r="Q127" s="113">
        <f>IFERROR(O127-P127,0)</f>
        <v/>
      </c>
    </row>
    <row r="128" ht="16.5" customHeight="1">
      <c r="B128" s="91" t="n"/>
      <c r="C128" s="92">
        <f>IF(B128="","",TEXT(B128,"DDD"))</f>
        <v/>
      </c>
      <c r="D128" s="93">
        <f>IF(B128="","","Soft App")</f>
        <v/>
      </c>
      <c r="E128" s="94" t="n"/>
      <c r="F128" s="95" t="n"/>
      <c r="G128" s="96">
        <f>IFERROR(E128/F128,0)</f>
        <v/>
      </c>
      <c r="H128" s="97">
        <f>IFERROR(SUMIF('💸 Expenses'!B9:B508,B128,'💸 Expenses'!F9:F508),0)</f>
        <v/>
      </c>
      <c r="I128" s="98">
        <f>IFERROR(E128-H128,0)</f>
        <v/>
      </c>
      <c r="J128" s="99">
        <f>IFERROR(I128/E128,0)</f>
        <v/>
      </c>
      <c r="K128" s="100" t="n"/>
      <c r="L128" s="60">
        <f>IFERROR(L127+E128,0)</f>
        <v/>
      </c>
      <c r="M128" s="63">
        <f>IFERROR(M127+H128,0)</f>
        <v/>
      </c>
      <c r="N128" s="101">
        <f>IFERROR(L128-M128,0)</f>
        <v/>
      </c>
      <c r="O128" s="102">
        <f>IFERROR(SUMIF(B8:B128,"&gt;="&amp;(B128-WEEKDAY(B128,2)+1),E8:E128),0)</f>
        <v/>
      </c>
      <c r="P128" s="103">
        <f>IFERROR(SUMIF(B8:B128,"&gt;="&amp;(B128-WEEKDAY(B128,2)+1),H8:H128),0)</f>
        <v/>
      </c>
      <c r="Q128" s="101">
        <f>IFERROR(O128-P128,0)</f>
        <v/>
      </c>
    </row>
    <row r="129" ht="16.5" customHeight="1">
      <c r="B129" s="91" t="n"/>
      <c r="C129" s="104">
        <f>IF(B129="","",TEXT(B129,"DDD"))</f>
        <v/>
      </c>
      <c r="D129" s="105">
        <f>IF(B129="","","Soft App")</f>
        <v/>
      </c>
      <c r="E129" s="106" t="n"/>
      <c r="F129" s="107" t="n"/>
      <c r="G129" s="108">
        <f>IFERROR(E129/F129,0)</f>
        <v/>
      </c>
      <c r="H129" s="109">
        <f>IFERROR(SUMIF('💸 Expenses'!B9:B508,B129,'💸 Expenses'!F9:F508),0)</f>
        <v/>
      </c>
      <c r="I129" s="110">
        <f>IFERROR(E129-H129,0)</f>
        <v/>
      </c>
      <c r="J129" s="111">
        <f>IFERROR(I129/E129,0)</f>
        <v/>
      </c>
      <c r="K129" s="112" t="n"/>
      <c r="L129" s="69">
        <f>IFERROR(L128+E129,0)</f>
        <v/>
      </c>
      <c r="M129" s="72">
        <f>IFERROR(M128+H129,0)</f>
        <v/>
      </c>
      <c r="N129" s="113">
        <f>IFERROR(L129-M129,0)</f>
        <v/>
      </c>
      <c r="O129" s="114">
        <f>IFERROR(SUMIF(B8:B129,"&gt;="&amp;(B129-WEEKDAY(B129,2)+1),E8:E129),0)</f>
        <v/>
      </c>
      <c r="P129" s="115">
        <f>IFERROR(SUMIF(B8:B129,"&gt;="&amp;(B129-WEEKDAY(B129,2)+1),H8:H129),0)</f>
        <v/>
      </c>
      <c r="Q129" s="113">
        <f>IFERROR(O129-P129,0)</f>
        <v/>
      </c>
    </row>
    <row r="130" ht="16.5" customHeight="1">
      <c r="B130" s="91" t="n"/>
      <c r="C130" s="92">
        <f>IF(B130="","",TEXT(B130,"DDD"))</f>
        <v/>
      </c>
      <c r="D130" s="93">
        <f>IF(B130="","","Soft App")</f>
        <v/>
      </c>
      <c r="E130" s="94" t="n"/>
      <c r="F130" s="95" t="n"/>
      <c r="G130" s="96">
        <f>IFERROR(E130/F130,0)</f>
        <v/>
      </c>
      <c r="H130" s="97">
        <f>IFERROR(SUMIF('💸 Expenses'!B9:B508,B130,'💸 Expenses'!F9:F508),0)</f>
        <v/>
      </c>
      <c r="I130" s="98">
        <f>IFERROR(E130-H130,0)</f>
        <v/>
      </c>
      <c r="J130" s="99">
        <f>IFERROR(I130/E130,0)</f>
        <v/>
      </c>
      <c r="K130" s="100" t="n"/>
      <c r="L130" s="60">
        <f>IFERROR(L129+E130,0)</f>
        <v/>
      </c>
      <c r="M130" s="63">
        <f>IFERROR(M129+H130,0)</f>
        <v/>
      </c>
      <c r="N130" s="101">
        <f>IFERROR(L130-M130,0)</f>
        <v/>
      </c>
      <c r="O130" s="102">
        <f>IFERROR(SUMIF(B8:B130,"&gt;="&amp;(B130-WEEKDAY(B130,2)+1),E8:E130),0)</f>
        <v/>
      </c>
      <c r="P130" s="103">
        <f>IFERROR(SUMIF(B8:B130,"&gt;="&amp;(B130-WEEKDAY(B130,2)+1),H8:H130),0)</f>
        <v/>
      </c>
      <c r="Q130" s="101">
        <f>IFERROR(O130-P130,0)</f>
        <v/>
      </c>
    </row>
    <row r="131" ht="16.5" customHeight="1">
      <c r="B131" s="91" t="n"/>
      <c r="C131" s="104">
        <f>IF(B131="","",TEXT(B131,"DDD"))</f>
        <v/>
      </c>
      <c r="D131" s="105">
        <f>IF(B131="","","Soft App")</f>
        <v/>
      </c>
      <c r="E131" s="106" t="n"/>
      <c r="F131" s="107" t="n"/>
      <c r="G131" s="108">
        <f>IFERROR(E131/F131,0)</f>
        <v/>
      </c>
      <c r="H131" s="109">
        <f>IFERROR(SUMIF('💸 Expenses'!B9:B508,B131,'💸 Expenses'!F9:F508),0)</f>
        <v/>
      </c>
      <c r="I131" s="110">
        <f>IFERROR(E131-H131,0)</f>
        <v/>
      </c>
      <c r="J131" s="111">
        <f>IFERROR(I131/E131,0)</f>
        <v/>
      </c>
      <c r="K131" s="112" t="n"/>
      <c r="L131" s="69">
        <f>IFERROR(L130+E131,0)</f>
        <v/>
      </c>
      <c r="M131" s="72">
        <f>IFERROR(M130+H131,0)</f>
        <v/>
      </c>
      <c r="N131" s="113">
        <f>IFERROR(L131-M131,0)</f>
        <v/>
      </c>
      <c r="O131" s="114">
        <f>IFERROR(SUMIF(B8:B131,"&gt;="&amp;(B131-WEEKDAY(B131,2)+1),E8:E131),0)</f>
        <v/>
      </c>
      <c r="P131" s="115">
        <f>IFERROR(SUMIF(B8:B131,"&gt;="&amp;(B131-WEEKDAY(B131,2)+1),H8:H131),0)</f>
        <v/>
      </c>
      <c r="Q131" s="113">
        <f>IFERROR(O131-P131,0)</f>
        <v/>
      </c>
    </row>
    <row r="132" ht="16.5" customHeight="1">
      <c r="B132" s="91" t="n"/>
      <c r="C132" s="92">
        <f>IF(B132="","",TEXT(B132,"DDD"))</f>
        <v/>
      </c>
      <c r="D132" s="93">
        <f>IF(B132="","","Soft App")</f>
        <v/>
      </c>
      <c r="E132" s="94" t="n"/>
      <c r="F132" s="95" t="n"/>
      <c r="G132" s="96">
        <f>IFERROR(E132/F132,0)</f>
        <v/>
      </c>
      <c r="H132" s="97">
        <f>IFERROR(SUMIF('💸 Expenses'!B9:B508,B132,'💸 Expenses'!F9:F508),0)</f>
        <v/>
      </c>
      <c r="I132" s="98">
        <f>IFERROR(E132-H132,0)</f>
        <v/>
      </c>
      <c r="J132" s="99">
        <f>IFERROR(I132/E132,0)</f>
        <v/>
      </c>
      <c r="K132" s="100" t="n"/>
      <c r="L132" s="60">
        <f>IFERROR(L131+E132,0)</f>
        <v/>
      </c>
      <c r="M132" s="63">
        <f>IFERROR(M131+H132,0)</f>
        <v/>
      </c>
      <c r="N132" s="101">
        <f>IFERROR(L132-M132,0)</f>
        <v/>
      </c>
      <c r="O132" s="102">
        <f>IFERROR(SUMIF(B8:B132,"&gt;="&amp;(B132-WEEKDAY(B132,2)+1),E8:E132),0)</f>
        <v/>
      </c>
      <c r="P132" s="103">
        <f>IFERROR(SUMIF(B8:B132,"&gt;="&amp;(B132-WEEKDAY(B132,2)+1),H8:H132),0)</f>
        <v/>
      </c>
      <c r="Q132" s="101">
        <f>IFERROR(O132-P132,0)</f>
        <v/>
      </c>
    </row>
    <row r="133" ht="16.5" customHeight="1">
      <c r="B133" s="91" t="n"/>
      <c r="C133" s="104">
        <f>IF(B133="","",TEXT(B133,"DDD"))</f>
        <v/>
      </c>
      <c r="D133" s="105">
        <f>IF(B133="","","Soft App")</f>
        <v/>
      </c>
      <c r="E133" s="106" t="n"/>
      <c r="F133" s="107" t="n"/>
      <c r="G133" s="108">
        <f>IFERROR(E133/F133,0)</f>
        <v/>
      </c>
      <c r="H133" s="109">
        <f>IFERROR(SUMIF('💸 Expenses'!B9:B508,B133,'💸 Expenses'!F9:F508),0)</f>
        <v/>
      </c>
      <c r="I133" s="110">
        <f>IFERROR(E133-H133,0)</f>
        <v/>
      </c>
      <c r="J133" s="111">
        <f>IFERROR(I133/E133,0)</f>
        <v/>
      </c>
      <c r="K133" s="112" t="n"/>
      <c r="L133" s="69">
        <f>IFERROR(L132+E133,0)</f>
        <v/>
      </c>
      <c r="M133" s="72">
        <f>IFERROR(M132+H133,0)</f>
        <v/>
      </c>
      <c r="N133" s="113">
        <f>IFERROR(L133-M133,0)</f>
        <v/>
      </c>
      <c r="O133" s="114">
        <f>IFERROR(SUMIF(B8:B133,"&gt;="&amp;(B133-WEEKDAY(B133,2)+1),E8:E133),0)</f>
        <v/>
      </c>
      <c r="P133" s="115">
        <f>IFERROR(SUMIF(B8:B133,"&gt;="&amp;(B133-WEEKDAY(B133,2)+1),H8:H133),0)</f>
        <v/>
      </c>
      <c r="Q133" s="113">
        <f>IFERROR(O133-P133,0)</f>
        <v/>
      </c>
    </row>
    <row r="134" ht="16.5" customHeight="1">
      <c r="B134" s="91" t="n"/>
      <c r="C134" s="92">
        <f>IF(B134="","",TEXT(B134,"DDD"))</f>
        <v/>
      </c>
      <c r="D134" s="93">
        <f>IF(B134="","","Soft App")</f>
        <v/>
      </c>
      <c r="E134" s="94" t="n"/>
      <c r="F134" s="95" t="n"/>
      <c r="G134" s="96">
        <f>IFERROR(E134/F134,0)</f>
        <v/>
      </c>
      <c r="H134" s="97">
        <f>IFERROR(SUMIF('💸 Expenses'!B9:B508,B134,'💸 Expenses'!F9:F508),0)</f>
        <v/>
      </c>
      <c r="I134" s="98">
        <f>IFERROR(E134-H134,0)</f>
        <v/>
      </c>
      <c r="J134" s="99">
        <f>IFERROR(I134/E134,0)</f>
        <v/>
      </c>
      <c r="K134" s="100" t="n"/>
      <c r="L134" s="60">
        <f>IFERROR(L133+E134,0)</f>
        <v/>
      </c>
      <c r="M134" s="63">
        <f>IFERROR(M133+H134,0)</f>
        <v/>
      </c>
      <c r="N134" s="101">
        <f>IFERROR(L134-M134,0)</f>
        <v/>
      </c>
      <c r="O134" s="102">
        <f>IFERROR(SUMIF(B8:B134,"&gt;="&amp;(B134-WEEKDAY(B134,2)+1),E8:E134),0)</f>
        <v/>
      </c>
      <c r="P134" s="103">
        <f>IFERROR(SUMIF(B8:B134,"&gt;="&amp;(B134-WEEKDAY(B134,2)+1),H8:H134),0)</f>
        <v/>
      </c>
      <c r="Q134" s="101">
        <f>IFERROR(O134-P134,0)</f>
        <v/>
      </c>
    </row>
    <row r="135" ht="16.5" customHeight="1">
      <c r="B135" s="91" t="n"/>
      <c r="C135" s="104">
        <f>IF(B135="","",TEXT(B135,"DDD"))</f>
        <v/>
      </c>
      <c r="D135" s="105">
        <f>IF(B135="","","Soft App")</f>
        <v/>
      </c>
      <c r="E135" s="106" t="n"/>
      <c r="F135" s="107" t="n"/>
      <c r="G135" s="108">
        <f>IFERROR(E135/F135,0)</f>
        <v/>
      </c>
      <c r="H135" s="109">
        <f>IFERROR(SUMIF('💸 Expenses'!B9:B508,B135,'💸 Expenses'!F9:F508),0)</f>
        <v/>
      </c>
      <c r="I135" s="110">
        <f>IFERROR(E135-H135,0)</f>
        <v/>
      </c>
      <c r="J135" s="111">
        <f>IFERROR(I135/E135,0)</f>
        <v/>
      </c>
      <c r="K135" s="112" t="n"/>
      <c r="L135" s="69">
        <f>IFERROR(L134+E135,0)</f>
        <v/>
      </c>
      <c r="M135" s="72">
        <f>IFERROR(M134+H135,0)</f>
        <v/>
      </c>
      <c r="N135" s="113">
        <f>IFERROR(L135-M135,0)</f>
        <v/>
      </c>
      <c r="O135" s="114">
        <f>IFERROR(SUMIF(B8:B135,"&gt;="&amp;(B135-WEEKDAY(B135,2)+1),E8:E135),0)</f>
        <v/>
      </c>
      <c r="P135" s="115">
        <f>IFERROR(SUMIF(B8:B135,"&gt;="&amp;(B135-WEEKDAY(B135,2)+1),H8:H135),0)</f>
        <v/>
      </c>
      <c r="Q135" s="113">
        <f>IFERROR(O135-P135,0)</f>
        <v/>
      </c>
    </row>
    <row r="136" ht="16.5" customHeight="1">
      <c r="B136" s="91" t="n"/>
      <c r="C136" s="92">
        <f>IF(B136="","",TEXT(B136,"DDD"))</f>
        <v/>
      </c>
      <c r="D136" s="93">
        <f>IF(B136="","","Soft App")</f>
        <v/>
      </c>
      <c r="E136" s="94" t="n"/>
      <c r="F136" s="95" t="n"/>
      <c r="G136" s="96">
        <f>IFERROR(E136/F136,0)</f>
        <v/>
      </c>
      <c r="H136" s="97">
        <f>IFERROR(SUMIF('💸 Expenses'!B9:B508,B136,'💸 Expenses'!F9:F508),0)</f>
        <v/>
      </c>
      <c r="I136" s="98">
        <f>IFERROR(E136-H136,0)</f>
        <v/>
      </c>
      <c r="J136" s="99">
        <f>IFERROR(I136/E136,0)</f>
        <v/>
      </c>
      <c r="K136" s="100" t="n"/>
      <c r="L136" s="60">
        <f>IFERROR(L135+E136,0)</f>
        <v/>
      </c>
      <c r="M136" s="63">
        <f>IFERROR(M135+H136,0)</f>
        <v/>
      </c>
      <c r="N136" s="101">
        <f>IFERROR(L136-M136,0)</f>
        <v/>
      </c>
      <c r="O136" s="102">
        <f>IFERROR(SUMIF(B8:B136,"&gt;="&amp;(B136-WEEKDAY(B136,2)+1),E8:E136),0)</f>
        <v/>
      </c>
      <c r="P136" s="103">
        <f>IFERROR(SUMIF(B8:B136,"&gt;="&amp;(B136-WEEKDAY(B136,2)+1),H8:H136),0)</f>
        <v/>
      </c>
      <c r="Q136" s="101">
        <f>IFERROR(O136-P136,0)</f>
        <v/>
      </c>
    </row>
    <row r="137" ht="16.5" customHeight="1">
      <c r="B137" s="91" t="n"/>
      <c r="C137" s="104">
        <f>IF(B137="","",TEXT(B137,"DDD"))</f>
        <v/>
      </c>
      <c r="D137" s="105">
        <f>IF(B137="","","Soft App")</f>
        <v/>
      </c>
      <c r="E137" s="106" t="n"/>
      <c r="F137" s="107" t="n"/>
      <c r="G137" s="108">
        <f>IFERROR(E137/F137,0)</f>
        <v/>
      </c>
      <c r="H137" s="109">
        <f>IFERROR(SUMIF('💸 Expenses'!B9:B508,B137,'💸 Expenses'!F9:F508),0)</f>
        <v/>
      </c>
      <c r="I137" s="110">
        <f>IFERROR(E137-H137,0)</f>
        <v/>
      </c>
      <c r="J137" s="111">
        <f>IFERROR(I137/E137,0)</f>
        <v/>
      </c>
      <c r="K137" s="112" t="n"/>
      <c r="L137" s="69">
        <f>IFERROR(L136+E137,0)</f>
        <v/>
      </c>
      <c r="M137" s="72">
        <f>IFERROR(M136+H137,0)</f>
        <v/>
      </c>
      <c r="N137" s="113">
        <f>IFERROR(L137-M137,0)</f>
        <v/>
      </c>
      <c r="O137" s="114">
        <f>IFERROR(SUMIF(B8:B137,"&gt;="&amp;(B137-WEEKDAY(B137,2)+1),E8:E137),0)</f>
        <v/>
      </c>
      <c r="P137" s="115">
        <f>IFERROR(SUMIF(B8:B137,"&gt;="&amp;(B137-WEEKDAY(B137,2)+1),H8:H137),0)</f>
        <v/>
      </c>
      <c r="Q137" s="113">
        <f>IFERROR(O137-P137,0)</f>
        <v/>
      </c>
    </row>
    <row r="138" ht="16.5" customHeight="1">
      <c r="B138" s="91" t="n"/>
      <c r="C138" s="92">
        <f>IF(B138="","",TEXT(B138,"DDD"))</f>
        <v/>
      </c>
      <c r="D138" s="93">
        <f>IF(B138="","","Soft App")</f>
        <v/>
      </c>
      <c r="E138" s="94" t="n"/>
      <c r="F138" s="95" t="n"/>
      <c r="G138" s="96">
        <f>IFERROR(E138/F138,0)</f>
        <v/>
      </c>
      <c r="H138" s="97">
        <f>IFERROR(SUMIF('💸 Expenses'!B9:B508,B138,'💸 Expenses'!F9:F508),0)</f>
        <v/>
      </c>
      <c r="I138" s="98">
        <f>IFERROR(E138-H138,0)</f>
        <v/>
      </c>
      <c r="J138" s="99">
        <f>IFERROR(I138/E138,0)</f>
        <v/>
      </c>
      <c r="K138" s="100" t="n"/>
      <c r="L138" s="60">
        <f>IFERROR(L137+E138,0)</f>
        <v/>
      </c>
      <c r="M138" s="63">
        <f>IFERROR(M137+H138,0)</f>
        <v/>
      </c>
      <c r="N138" s="101">
        <f>IFERROR(L138-M138,0)</f>
        <v/>
      </c>
      <c r="O138" s="102">
        <f>IFERROR(SUMIF(B8:B138,"&gt;="&amp;(B138-WEEKDAY(B138,2)+1),E8:E138),0)</f>
        <v/>
      </c>
      <c r="P138" s="103">
        <f>IFERROR(SUMIF(B8:B138,"&gt;="&amp;(B138-WEEKDAY(B138,2)+1),H8:H138),0)</f>
        <v/>
      </c>
      <c r="Q138" s="101">
        <f>IFERROR(O138-P138,0)</f>
        <v/>
      </c>
    </row>
    <row r="139" ht="16.5" customHeight="1">
      <c r="B139" s="91" t="n"/>
      <c r="C139" s="104">
        <f>IF(B139="","",TEXT(B139,"DDD"))</f>
        <v/>
      </c>
      <c r="D139" s="105">
        <f>IF(B139="","","Soft App")</f>
        <v/>
      </c>
      <c r="E139" s="106" t="n"/>
      <c r="F139" s="107" t="n"/>
      <c r="G139" s="108">
        <f>IFERROR(E139/F139,0)</f>
        <v/>
      </c>
      <c r="H139" s="109">
        <f>IFERROR(SUMIF('💸 Expenses'!B9:B508,B139,'💸 Expenses'!F9:F508),0)</f>
        <v/>
      </c>
      <c r="I139" s="110">
        <f>IFERROR(E139-H139,0)</f>
        <v/>
      </c>
      <c r="J139" s="111">
        <f>IFERROR(I139/E139,0)</f>
        <v/>
      </c>
      <c r="K139" s="112" t="n"/>
      <c r="L139" s="69">
        <f>IFERROR(L138+E139,0)</f>
        <v/>
      </c>
      <c r="M139" s="72">
        <f>IFERROR(M138+H139,0)</f>
        <v/>
      </c>
      <c r="N139" s="113">
        <f>IFERROR(L139-M139,0)</f>
        <v/>
      </c>
      <c r="O139" s="114">
        <f>IFERROR(SUMIF(B8:B139,"&gt;="&amp;(B139-WEEKDAY(B139,2)+1),E8:E139),0)</f>
        <v/>
      </c>
      <c r="P139" s="115">
        <f>IFERROR(SUMIF(B8:B139,"&gt;="&amp;(B139-WEEKDAY(B139,2)+1),H8:H139),0)</f>
        <v/>
      </c>
      <c r="Q139" s="113">
        <f>IFERROR(O139-P139,0)</f>
        <v/>
      </c>
    </row>
    <row r="140" ht="16.5" customHeight="1">
      <c r="B140" s="91" t="n"/>
      <c r="C140" s="92">
        <f>IF(B140="","",TEXT(B140,"DDD"))</f>
        <v/>
      </c>
      <c r="D140" s="93">
        <f>IF(B140="","","Soft App")</f>
        <v/>
      </c>
      <c r="E140" s="94" t="n"/>
      <c r="F140" s="95" t="n"/>
      <c r="G140" s="96">
        <f>IFERROR(E140/F140,0)</f>
        <v/>
      </c>
      <c r="H140" s="97">
        <f>IFERROR(SUMIF('💸 Expenses'!B9:B508,B140,'💸 Expenses'!F9:F508),0)</f>
        <v/>
      </c>
      <c r="I140" s="98">
        <f>IFERROR(E140-H140,0)</f>
        <v/>
      </c>
      <c r="J140" s="99">
        <f>IFERROR(I140/E140,0)</f>
        <v/>
      </c>
      <c r="K140" s="100" t="n"/>
      <c r="L140" s="60">
        <f>IFERROR(L139+E140,0)</f>
        <v/>
      </c>
      <c r="M140" s="63">
        <f>IFERROR(M139+H140,0)</f>
        <v/>
      </c>
      <c r="N140" s="101">
        <f>IFERROR(L140-M140,0)</f>
        <v/>
      </c>
      <c r="O140" s="102">
        <f>IFERROR(SUMIF(B8:B140,"&gt;="&amp;(B140-WEEKDAY(B140,2)+1),E8:E140),0)</f>
        <v/>
      </c>
      <c r="P140" s="103">
        <f>IFERROR(SUMIF(B8:B140,"&gt;="&amp;(B140-WEEKDAY(B140,2)+1),H8:H140),0)</f>
        <v/>
      </c>
      <c r="Q140" s="101">
        <f>IFERROR(O140-P140,0)</f>
        <v/>
      </c>
    </row>
    <row r="141" ht="16.5" customHeight="1">
      <c r="B141" s="91" t="n"/>
      <c r="C141" s="104">
        <f>IF(B141="","",TEXT(B141,"DDD"))</f>
        <v/>
      </c>
      <c r="D141" s="105">
        <f>IF(B141="","","Soft App")</f>
        <v/>
      </c>
      <c r="E141" s="106" t="n"/>
      <c r="F141" s="107" t="n"/>
      <c r="G141" s="108">
        <f>IFERROR(E141/F141,0)</f>
        <v/>
      </c>
      <c r="H141" s="109">
        <f>IFERROR(SUMIF('💸 Expenses'!B9:B508,B141,'💸 Expenses'!F9:F508),0)</f>
        <v/>
      </c>
      <c r="I141" s="110">
        <f>IFERROR(E141-H141,0)</f>
        <v/>
      </c>
      <c r="J141" s="111">
        <f>IFERROR(I141/E141,0)</f>
        <v/>
      </c>
      <c r="K141" s="112" t="n"/>
      <c r="L141" s="69">
        <f>IFERROR(L140+E141,0)</f>
        <v/>
      </c>
      <c r="M141" s="72">
        <f>IFERROR(M140+H141,0)</f>
        <v/>
      </c>
      <c r="N141" s="113">
        <f>IFERROR(L141-M141,0)</f>
        <v/>
      </c>
      <c r="O141" s="114">
        <f>IFERROR(SUMIF(B8:B141,"&gt;="&amp;(B141-WEEKDAY(B141,2)+1),E8:E141),0)</f>
        <v/>
      </c>
      <c r="P141" s="115">
        <f>IFERROR(SUMIF(B8:B141,"&gt;="&amp;(B141-WEEKDAY(B141,2)+1),H8:H141),0)</f>
        <v/>
      </c>
      <c r="Q141" s="113">
        <f>IFERROR(O141-P141,0)</f>
        <v/>
      </c>
    </row>
    <row r="142" ht="16.5" customHeight="1">
      <c r="B142" s="91" t="n"/>
      <c r="C142" s="92">
        <f>IF(B142="","",TEXT(B142,"DDD"))</f>
        <v/>
      </c>
      <c r="D142" s="93">
        <f>IF(B142="","","Soft App")</f>
        <v/>
      </c>
      <c r="E142" s="94" t="n"/>
      <c r="F142" s="95" t="n"/>
      <c r="G142" s="96">
        <f>IFERROR(E142/F142,0)</f>
        <v/>
      </c>
      <c r="H142" s="97">
        <f>IFERROR(SUMIF('💸 Expenses'!B9:B508,B142,'💸 Expenses'!F9:F508),0)</f>
        <v/>
      </c>
      <c r="I142" s="98">
        <f>IFERROR(E142-H142,0)</f>
        <v/>
      </c>
      <c r="J142" s="99">
        <f>IFERROR(I142/E142,0)</f>
        <v/>
      </c>
      <c r="K142" s="100" t="n"/>
      <c r="L142" s="60">
        <f>IFERROR(L141+E142,0)</f>
        <v/>
      </c>
      <c r="M142" s="63">
        <f>IFERROR(M141+H142,0)</f>
        <v/>
      </c>
      <c r="N142" s="101">
        <f>IFERROR(L142-M142,0)</f>
        <v/>
      </c>
      <c r="O142" s="102">
        <f>IFERROR(SUMIF(B8:B142,"&gt;="&amp;(B142-WEEKDAY(B142,2)+1),E8:E142),0)</f>
        <v/>
      </c>
      <c r="P142" s="103">
        <f>IFERROR(SUMIF(B8:B142,"&gt;="&amp;(B142-WEEKDAY(B142,2)+1),H8:H142),0)</f>
        <v/>
      </c>
      <c r="Q142" s="101">
        <f>IFERROR(O142-P142,0)</f>
        <v/>
      </c>
    </row>
    <row r="143" ht="16.5" customHeight="1">
      <c r="B143" s="91" t="n"/>
      <c r="C143" s="104">
        <f>IF(B143="","",TEXT(B143,"DDD"))</f>
        <v/>
      </c>
      <c r="D143" s="105">
        <f>IF(B143="","","Soft App")</f>
        <v/>
      </c>
      <c r="E143" s="106" t="n"/>
      <c r="F143" s="107" t="n"/>
      <c r="G143" s="108">
        <f>IFERROR(E143/F143,0)</f>
        <v/>
      </c>
      <c r="H143" s="109">
        <f>IFERROR(SUMIF('💸 Expenses'!B9:B508,B143,'💸 Expenses'!F9:F508),0)</f>
        <v/>
      </c>
      <c r="I143" s="110">
        <f>IFERROR(E143-H143,0)</f>
        <v/>
      </c>
      <c r="J143" s="111">
        <f>IFERROR(I143/E143,0)</f>
        <v/>
      </c>
      <c r="K143" s="112" t="n"/>
      <c r="L143" s="69">
        <f>IFERROR(L142+E143,0)</f>
        <v/>
      </c>
      <c r="M143" s="72">
        <f>IFERROR(M142+H143,0)</f>
        <v/>
      </c>
      <c r="N143" s="113">
        <f>IFERROR(L143-M143,0)</f>
        <v/>
      </c>
      <c r="O143" s="114">
        <f>IFERROR(SUMIF(B8:B143,"&gt;="&amp;(B143-WEEKDAY(B143,2)+1),E8:E143),0)</f>
        <v/>
      </c>
      <c r="P143" s="115">
        <f>IFERROR(SUMIF(B8:B143,"&gt;="&amp;(B143-WEEKDAY(B143,2)+1),H8:H143),0)</f>
        <v/>
      </c>
      <c r="Q143" s="113">
        <f>IFERROR(O143-P143,0)</f>
        <v/>
      </c>
    </row>
    <row r="144" ht="16.5" customHeight="1">
      <c r="B144" s="91" t="n"/>
      <c r="C144" s="92">
        <f>IF(B144="","",TEXT(B144,"DDD"))</f>
        <v/>
      </c>
      <c r="D144" s="93">
        <f>IF(B144="","","Soft App")</f>
        <v/>
      </c>
      <c r="E144" s="94" t="n"/>
      <c r="F144" s="95" t="n"/>
      <c r="G144" s="96">
        <f>IFERROR(E144/F144,0)</f>
        <v/>
      </c>
      <c r="H144" s="97">
        <f>IFERROR(SUMIF('💸 Expenses'!B9:B508,B144,'💸 Expenses'!F9:F508),0)</f>
        <v/>
      </c>
      <c r="I144" s="98">
        <f>IFERROR(E144-H144,0)</f>
        <v/>
      </c>
      <c r="J144" s="99">
        <f>IFERROR(I144/E144,0)</f>
        <v/>
      </c>
      <c r="K144" s="100" t="n"/>
      <c r="L144" s="60">
        <f>IFERROR(L143+E144,0)</f>
        <v/>
      </c>
      <c r="M144" s="63">
        <f>IFERROR(M143+H144,0)</f>
        <v/>
      </c>
      <c r="N144" s="101">
        <f>IFERROR(L144-M144,0)</f>
        <v/>
      </c>
      <c r="O144" s="102">
        <f>IFERROR(SUMIF(B8:B144,"&gt;="&amp;(B144-WEEKDAY(B144,2)+1),E8:E144),0)</f>
        <v/>
      </c>
      <c r="P144" s="103">
        <f>IFERROR(SUMIF(B8:B144,"&gt;="&amp;(B144-WEEKDAY(B144,2)+1),H8:H144),0)</f>
        <v/>
      </c>
      <c r="Q144" s="101">
        <f>IFERROR(O144-P144,0)</f>
        <v/>
      </c>
    </row>
    <row r="145" ht="16.5" customHeight="1">
      <c r="B145" s="91" t="n"/>
      <c r="C145" s="104">
        <f>IF(B145="","",TEXT(B145,"DDD"))</f>
        <v/>
      </c>
      <c r="D145" s="105">
        <f>IF(B145="","","Soft App")</f>
        <v/>
      </c>
      <c r="E145" s="106" t="n"/>
      <c r="F145" s="107" t="n"/>
      <c r="G145" s="108">
        <f>IFERROR(E145/F145,0)</f>
        <v/>
      </c>
      <c r="H145" s="109">
        <f>IFERROR(SUMIF('💸 Expenses'!B9:B508,B145,'💸 Expenses'!F9:F508),0)</f>
        <v/>
      </c>
      <c r="I145" s="110">
        <f>IFERROR(E145-H145,0)</f>
        <v/>
      </c>
      <c r="J145" s="111">
        <f>IFERROR(I145/E145,0)</f>
        <v/>
      </c>
      <c r="K145" s="112" t="n"/>
      <c r="L145" s="69">
        <f>IFERROR(L144+E145,0)</f>
        <v/>
      </c>
      <c r="M145" s="72">
        <f>IFERROR(M144+H145,0)</f>
        <v/>
      </c>
      <c r="N145" s="113">
        <f>IFERROR(L145-M145,0)</f>
        <v/>
      </c>
      <c r="O145" s="114">
        <f>IFERROR(SUMIF(B8:B145,"&gt;="&amp;(B145-WEEKDAY(B145,2)+1),E8:E145),0)</f>
        <v/>
      </c>
      <c r="P145" s="115">
        <f>IFERROR(SUMIF(B8:B145,"&gt;="&amp;(B145-WEEKDAY(B145,2)+1),H8:H145),0)</f>
        <v/>
      </c>
      <c r="Q145" s="113">
        <f>IFERROR(O145-P145,0)</f>
        <v/>
      </c>
    </row>
    <row r="146" ht="16.5" customHeight="1">
      <c r="B146" s="91" t="n"/>
      <c r="C146" s="92">
        <f>IF(B146="","",TEXT(B146,"DDD"))</f>
        <v/>
      </c>
      <c r="D146" s="93">
        <f>IF(B146="","","Soft App")</f>
        <v/>
      </c>
      <c r="E146" s="94" t="n"/>
      <c r="F146" s="95" t="n"/>
      <c r="G146" s="96">
        <f>IFERROR(E146/F146,0)</f>
        <v/>
      </c>
      <c r="H146" s="97">
        <f>IFERROR(SUMIF('💸 Expenses'!B9:B508,B146,'💸 Expenses'!F9:F508),0)</f>
        <v/>
      </c>
      <c r="I146" s="98">
        <f>IFERROR(E146-H146,0)</f>
        <v/>
      </c>
      <c r="J146" s="99">
        <f>IFERROR(I146/E146,0)</f>
        <v/>
      </c>
      <c r="K146" s="100" t="n"/>
      <c r="L146" s="60">
        <f>IFERROR(L145+E146,0)</f>
        <v/>
      </c>
      <c r="M146" s="63">
        <f>IFERROR(M145+H146,0)</f>
        <v/>
      </c>
      <c r="N146" s="101">
        <f>IFERROR(L146-M146,0)</f>
        <v/>
      </c>
      <c r="O146" s="102">
        <f>IFERROR(SUMIF(B8:B146,"&gt;="&amp;(B146-WEEKDAY(B146,2)+1),E8:E146),0)</f>
        <v/>
      </c>
      <c r="P146" s="103">
        <f>IFERROR(SUMIF(B8:B146,"&gt;="&amp;(B146-WEEKDAY(B146,2)+1),H8:H146),0)</f>
        <v/>
      </c>
      <c r="Q146" s="101">
        <f>IFERROR(O146-P146,0)</f>
        <v/>
      </c>
    </row>
    <row r="147" ht="16.5" customHeight="1">
      <c r="B147" s="91" t="n"/>
      <c r="C147" s="104">
        <f>IF(B147="","",TEXT(B147,"DDD"))</f>
        <v/>
      </c>
      <c r="D147" s="105">
        <f>IF(B147="","","Soft App")</f>
        <v/>
      </c>
      <c r="E147" s="106" t="n"/>
      <c r="F147" s="107" t="n"/>
      <c r="G147" s="108">
        <f>IFERROR(E147/F147,0)</f>
        <v/>
      </c>
      <c r="H147" s="109">
        <f>IFERROR(SUMIF('💸 Expenses'!B9:B508,B147,'💸 Expenses'!F9:F508),0)</f>
        <v/>
      </c>
      <c r="I147" s="110">
        <f>IFERROR(E147-H147,0)</f>
        <v/>
      </c>
      <c r="J147" s="111">
        <f>IFERROR(I147/E147,0)</f>
        <v/>
      </c>
      <c r="K147" s="112" t="n"/>
      <c r="L147" s="69">
        <f>IFERROR(L146+E147,0)</f>
        <v/>
      </c>
      <c r="M147" s="72">
        <f>IFERROR(M146+H147,0)</f>
        <v/>
      </c>
      <c r="N147" s="113">
        <f>IFERROR(L147-M147,0)</f>
        <v/>
      </c>
      <c r="O147" s="114">
        <f>IFERROR(SUMIF(B8:B147,"&gt;="&amp;(B147-WEEKDAY(B147,2)+1),E8:E147),0)</f>
        <v/>
      </c>
      <c r="P147" s="115">
        <f>IFERROR(SUMIF(B8:B147,"&gt;="&amp;(B147-WEEKDAY(B147,2)+1),H8:H147),0)</f>
        <v/>
      </c>
      <c r="Q147" s="113">
        <f>IFERROR(O147-P147,0)</f>
        <v/>
      </c>
    </row>
    <row r="148" ht="16.5" customHeight="1">
      <c r="B148" s="91" t="n"/>
      <c r="C148" s="92">
        <f>IF(B148="","",TEXT(B148,"DDD"))</f>
        <v/>
      </c>
      <c r="D148" s="93">
        <f>IF(B148="","","Soft App")</f>
        <v/>
      </c>
      <c r="E148" s="94" t="n"/>
      <c r="F148" s="95" t="n"/>
      <c r="G148" s="96">
        <f>IFERROR(E148/F148,0)</f>
        <v/>
      </c>
      <c r="H148" s="97">
        <f>IFERROR(SUMIF('💸 Expenses'!B9:B508,B148,'💸 Expenses'!F9:F508),0)</f>
        <v/>
      </c>
      <c r="I148" s="98">
        <f>IFERROR(E148-H148,0)</f>
        <v/>
      </c>
      <c r="J148" s="99">
        <f>IFERROR(I148/E148,0)</f>
        <v/>
      </c>
      <c r="K148" s="100" t="n"/>
      <c r="L148" s="60">
        <f>IFERROR(L147+E148,0)</f>
        <v/>
      </c>
      <c r="M148" s="63">
        <f>IFERROR(M147+H148,0)</f>
        <v/>
      </c>
      <c r="N148" s="101">
        <f>IFERROR(L148-M148,0)</f>
        <v/>
      </c>
      <c r="O148" s="102">
        <f>IFERROR(SUMIF(B8:B148,"&gt;="&amp;(B148-WEEKDAY(B148,2)+1),E8:E148),0)</f>
        <v/>
      </c>
      <c r="P148" s="103">
        <f>IFERROR(SUMIF(B8:B148,"&gt;="&amp;(B148-WEEKDAY(B148,2)+1),H8:H148),0)</f>
        <v/>
      </c>
      <c r="Q148" s="101">
        <f>IFERROR(O148-P148,0)</f>
        <v/>
      </c>
    </row>
    <row r="149" ht="16.5" customHeight="1">
      <c r="B149" s="91" t="n"/>
      <c r="C149" s="104">
        <f>IF(B149="","",TEXT(B149,"DDD"))</f>
        <v/>
      </c>
      <c r="D149" s="105">
        <f>IF(B149="","","Soft App")</f>
        <v/>
      </c>
      <c r="E149" s="106" t="n"/>
      <c r="F149" s="107" t="n"/>
      <c r="G149" s="108">
        <f>IFERROR(E149/F149,0)</f>
        <v/>
      </c>
      <c r="H149" s="109">
        <f>IFERROR(SUMIF('💸 Expenses'!B9:B508,B149,'💸 Expenses'!F9:F508),0)</f>
        <v/>
      </c>
      <c r="I149" s="110">
        <f>IFERROR(E149-H149,0)</f>
        <v/>
      </c>
      <c r="J149" s="111">
        <f>IFERROR(I149/E149,0)</f>
        <v/>
      </c>
      <c r="K149" s="112" t="n"/>
      <c r="L149" s="69">
        <f>IFERROR(L148+E149,0)</f>
        <v/>
      </c>
      <c r="M149" s="72">
        <f>IFERROR(M148+H149,0)</f>
        <v/>
      </c>
      <c r="N149" s="113">
        <f>IFERROR(L149-M149,0)</f>
        <v/>
      </c>
      <c r="O149" s="114">
        <f>IFERROR(SUMIF(B8:B149,"&gt;="&amp;(B149-WEEKDAY(B149,2)+1),E8:E149),0)</f>
        <v/>
      </c>
      <c r="P149" s="115">
        <f>IFERROR(SUMIF(B8:B149,"&gt;="&amp;(B149-WEEKDAY(B149,2)+1),H8:H149),0)</f>
        <v/>
      </c>
      <c r="Q149" s="113">
        <f>IFERROR(O149-P149,0)</f>
        <v/>
      </c>
    </row>
    <row r="150" ht="16.5" customHeight="1">
      <c r="B150" s="91" t="n"/>
      <c r="C150" s="92">
        <f>IF(B150="","",TEXT(B150,"DDD"))</f>
        <v/>
      </c>
      <c r="D150" s="93">
        <f>IF(B150="","","Soft App")</f>
        <v/>
      </c>
      <c r="E150" s="94" t="n"/>
      <c r="F150" s="95" t="n"/>
      <c r="G150" s="96">
        <f>IFERROR(E150/F150,0)</f>
        <v/>
      </c>
      <c r="H150" s="97">
        <f>IFERROR(SUMIF('💸 Expenses'!B9:B508,B150,'💸 Expenses'!F9:F508),0)</f>
        <v/>
      </c>
      <c r="I150" s="98">
        <f>IFERROR(E150-H150,0)</f>
        <v/>
      </c>
      <c r="J150" s="99">
        <f>IFERROR(I150/E150,0)</f>
        <v/>
      </c>
      <c r="K150" s="100" t="n"/>
      <c r="L150" s="60">
        <f>IFERROR(L149+E150,0)</f>
        <v/>
      </c>
      <c r="M150" s="63">
        <f>IFERROR(M149+H150,0)</f>
        <v/>
      </c>
      <c r="N150" s="101">
        <f>IFERROR(L150-M150,0)</f>
        <v/>
      </c>
      <c r="O150" s="102">
        <f>IFERROR(SUMIF(B8:B150,"&gt;="&amp;(B150-WEEKDAY(B150,2)+1),E8:E150),0)</f>
        <v/>
      </c>
      <c r="P150" s="103">
        <f>IFERROR(SUMIF(B8:B150,"&gt;="&amp;(B150-WEEKDAY(B150,2)+1),H8:H150),0)</f>
        <v/>
      </c>
      <c r="Q150" s="101">
        <f>IFERROR(O150-P150,0)</f>
        <v/>
      </c>
    </row>
    <row r="151" ht="16.5" customHeight="1">
      <c r="B151" s="91" t="n"/>
      <c r="C151" s="104">
        <f>IF(B151="","",TEXT(B151,"DDD"))</f>
        <v/>
      </c>
      <c r="D151" s="105">
        <f>IF(B151="","","Soft App")</f>
        <v/>
      </c>
      <c r="E151" s="106" t="n"/>
      <c r="F151" s="107" t="n"/>
      <c r="G151" s="108">
        <f>IFERROR(E151/F151,0)</f>
        <v/>
      </c>
      <c r="H151" s="109">
        <f>IFERROR(SUMIF('💸 Expenses'!B9:B508,B151,'💸 Expenses'!F9:F508),0)</f>
        <v/>
      </c>
      <c r="I151" s="110">
        <f>IFERROR(E151-H151,0)</f>
        <v/>
      </c>
      <c r="J151" s="111">
        <f>IFERROR(I151/E151,0)</f>
        <v/>
      </c>
      <c r="K151" s="112" t="n"/>
      <c r="L151" s="69">
        <f>IFERROR(L150+E151,0)</f>
        <v/>
      </c>
      <c r="M151" s="72">
        <f>IFERROR(M150+H151,0)</f>
        <v/>
      </c>
      <c r="N151" s="113">
        <f>IFERROR(L151-M151,0)</f>
        <v/>
      </c>
      <c r="O151" s="114">
        <f>IFERROR(SUMIF(B8:B151,"&gt;="&amp;(B151-WEEKDAY(B151,2)+1),E8:E151),0)</f>
        <v/>
      </c>
      <c r="P151" s="115">
        <f>IFERROR(SUMIF(B8:B151,"&gt;="&amp;(B151-WEEKDAY(B151,2)+1),H8:H151),0)</f>
        <v/>
      </c>
      <c r="Q151" s="113">
        <f>IFERROR(O151-P151,0)</f>
        <v/>
      </c>
    </row>
    <row r="152" ht="16.5" customHeight="1">
      <c r="B152" s="91" t="n"/>
      <c r="C152" s="92">
        <f>IF(B152="","",TEXT(B152,"DDD"))</f>
        <v/>
      </c>
      <c r="D152" s="93">
        <f>IF(B152="","","Soft App")</f>
        <v/>
      </c>
      <c r="E152" s="94" t="n"/>
      <c r="F152" s="95" t="n"/>
      <c r="G152" s="96">
        <f>IFERROR(E152/F152,0)</f>
        <v/>
      </c>
      <c r="H152" s="97">
        <f>IFERROR(SUMIF('💸 Expenses'!B9:B508,B152,'💸 Expenses'!F9:F508),0)</f>
        <v/>
      </c>
      <c r="I152" s="98">
        <f>IFERROR(E152-H152,0)</f>
        <v/>
      </c>
      <c r="J152" s="99">
        <f>IFERROR(I152/E152,0)</f>
        <v/>
      </c>
      <c r="K152" s="100" t="n"/>
      <c r="L152" s="60">
        <f>IFERROR(L151+E152,0)</f>
        <v/>
      </c>
      <c r="M152" s="63">
        <f>IFERROR(M151+H152,0)</f>
        <v/>
      </c>
      <c r="N152" s="101">
        <f>IFERROR(L152-M152,0)</f>
        <v/>
      </c>
      <c r="O152" s="102">
        <f>IFERROR(SUMIF(B8:B152,"&gt;="&amp;(B152-WEEKDAY(B152,2)+1),E8:E152),0)</f>
        <v/>
      </c>
      <c r="P152" s="103">
        <f>IFERROR(SUMIF(B8:B152,"&gt;="&amp;(B152-WEEKDAY(B152,2)+1),H8:H152),0)</f>
        <v/>
      </c>
      <c r="Q152" s="101">
        <f>IFERROR(O152-P152,0)</f>
        <v/>
      </c>
    </row>
    <row r="153" ht="16.5" customHeight="1">
      <c r="B153" s="91" t="n"/>
      <c r="C153" s="104">
        <f>IF(B153="","",TEXT(B153,"DDD"))</f>
        <v/>
      </c>
      <c r="D153" s="105">
        <f>IF(B153="","","Soft App")</f>
        <v/>
      </c>
      <c r="E153" s="106" t="n"/>
      <c r="F153" s="107" t="n"/>
      <c r="G153" s="108">
        <f>IFERROR(E153/F153,0)</f>
        <v/>
      </c>
      <c r="H153" s="109">
        <f>IFERROR(SUMIF('💸 Expenses'!B9:B508,B153,'💸 Expenses'!F9:F508),0)</f>
        <v/>
      </c>
      <c r="I153" s="110">
        <f>IFERROR(E153-H153,0)</f>
        <v/>
      </c>
      <c r="J153" s="111">
        <f>IFERROR(I153/E153,0)</f>
        <v/>
      </c>
      <c r="K153" s="112" t="n"/>
      <c r="L153" s="69">
        <f>IFERROR(L152+E153,0)</f>
        <v/>
      </c>
      <c r="M153" s="72">
        <f>IFERROR(M152+H153,0)</f>
        <v/>
      </c>
      <c r="N153" s="113">
        <f>IFERROR(L153-M153,0)</f>
        <v/>
      </c>
      <c r="O153" s="114">
        <f>IFERROR(SUMIF(B8:B153,"&gt;="&amp;(B153-WEEKDAY(B153,2)+1),E8:E153),0)</f>
        <v/>
      </c>
      <c r="P153" s="115">
        <f>IFERROR(SUMIF(B8:B153,"&gt;="&amp;(B153-WEEKDAY(B153,2)+1),H8:H153),0)</f>
        <v/>
      </c>
      <c r="Q153" s="113">
        <f>IFERROR(O153-P153,0)</f>
        <v/>
      </c>
    </row>
    <row r="154" ht="16.5" customHeight="1">
      <c r="B154" s="91" t="n"/>
      <c r="C154" s="92">
        <f>IF(B154="","",TEXT(B154,"DDD"))</f>
        <v/>
      </c>
      <c r="D154" s="93">
        <f>IF(B154="","","Soft App")</f>
        <v/>
      </c>
      <c r="E154" s="94" t="n"/>
      <c r="F154" s="95" t="n"/>
      <c r="G154" s="96">
        <f>IFERROR(E154/F154,0)</f>
        <v/>
      </c>
      <c r="H154" s="97">
        <f>IFERROR(SUMIF('💸 Expenses'!B9:B508,B154,'💸 Expenses'!F9:F508),0)</f>
        <v/>
      </c>
      <c r="I154" s="98">
        <f>IFERROR(E154-H154,0)</f>
        <v/>
      </c>
      <c r="J154" s="99">
        <f>IFERROR(I154/E154,0)</f>
        <v/>
      </c>
      <c r="K154" s="100" t="n"/>
      <c r="L154" s="60">
        <f>IFERROR(L153+E154,0)</f>
        <v/>
      </c>
      <c r="M154" s="63">
        <f>IFERROR(M153+H154,0)</f>
        <v/>
      </c>
      <c r="N154" s="101">
        <f>IFERROR(L154-M154,0)</f>
        <v/>
      </c>
      <c r="O154" s="102">
        <f>IFERROR(SUMIF(B8:B154,"&gt;="&amp;(B154-WEEKDAY(B154,2)+1),E8:E154),0)</f>
        <v/>
      </c>
      <c r="P154" s="103">
        <f>IFERROR(SUMIF(B8:B154,"&gt;="&amp;(B154-WEEKDAY(B154,2)+1),H8:H154),0)</f>
        <v/>
      </c>
      <c r="Q154" s="101">
        <f>IFERROR(O154-P154,0)</f>
        <v/>
      </c>
    </row>
    <row r="155" ht="16.5" customHeight="1">
      <c r="B155" s="91" t="n"/>
      <c r="C155" s="104">
        <f>IF(B155="","",TEXT(B155,"DDD"))</f>
        <v/>
      </c>
      <c r="D155" s="105">
        <f>IF(B155="","","Soft App")</f>
        <v/>
      </c>
      <c r="E155" s="106" t="n"/>
      <c r="F155" s="107" t="n"/>
      <c r="G155" s="108">
        <f>IFERROR(E155/F155,0)</f>
        <v/>
      </c>
      <c r="H155" s="109">
        <f>IFERROR(SUMIF('💸 Expenses'!B9:B508,B155,'💸 Expenses'!F9:F508),0)</f>
        <v/>
      </c>
      <c r="I155" s="110">
        <f>IFERROR(E155-H155,0)</f>
        <v/>
      </c>
      <c r="J155" s="111">
        <f>IFERROR(I155/E155,0)</f>
        <v/>
      </c>
      <c r="K155" s="112" t="n"/>
      <c r="L155" s="69">
        <f>IFERROR(L154+E155,0)</f>
        <v/>
      </c>
      <c r="M155" s="72">
        <f>IFERROR(M154+H155,0)</f>
        <v/>
      </c>
      <c r="N155" s="113">
        <f>IFERROR(L155-M155,0)</f>
        <v/>
      </c>
      <c r="O155" s="114">
        <f>IFERROR(SUMIF(B8:B155,"&gt;="&amp;(B155-WEEKDAY(B155,2)+1),E8:E155),0)</f>
        <v/>
      </c>
      <c r="P155" s="115">
        <f>IFERROR(SUMIF(B8:B155,"&gt;="&amp;(B155-WEEKDAY(B155,2)+1),H8:H155),0)</f>
        <v/>
      </c>
      <c r="Q155" s="113">
        <f>IFERROR(O155-P155,0)</f>
        <v/>
      </c>
    </row>
    <row r="156" ht="16.5" customHeight="1">
      <c r="B156" s="91" t="n"/>
      <c r="C156" s="92">
        <f>IF(B156="","",TEXT(B156,"DDD"))</f>
        <v/>
      </c>
      <c r="D156" s="93">
        <f>IF(B156="","","Soft App")</f>
        <v/>
      </c>
      <c r="E156" s="94" t="n"/>
      <c r="F156" s="95" t="n"/>
      <c r="G156" s="96">
        <f>IFERROR(E156/F156,0)</f>
        <v/>
      </c>
      <c r="H156" s="97">
        <f>IFERROR(SUMIF('💸 Expenses'!B9:B508,B156,'💸 Expenses'!F9:F508),0)</f>
        <v/>
      </c>
      <c r="I156" s="98">
        <f>IFERROR(E156-H156,0)</f>
        <v/>
      </c>
      <c r="J156" s="99">
        <f>IFERROR(I156/E156,0)</f>
        <v/>
      </c>
      <c r="K156" s="100" t="n"/>
      <c r="L156" s="60">
        <f>IFERROR(L155+E156,0)</f>
        <v/>
      </c>
      <c r="M156" s="63">
        <f>IFERROR(M155+H156,0)</f>
        <v/>
      </c>
      <c r="N156" s="101">
        <f>IFERROR(L156-M156,0)</f>
        <v/>
      </c>
      <c r="O156" s="102">
        <f>IFERROR(SUMIF(B8:B156,"&gt;="&amp;(B156-WEEKDAY(B156,2)+1),E8:E156),0)</f>
        <v/>
      </c>
      <c r="P156" s="103">
        <f>IFERROR(SUMIF(B8:B156,"&gt;="&amp;(B156-WEEKDAY(B156,2)+1),H8:H156),0)</f>
        <v/>
      </c>
      <c r="Q156" s="101">
        <f>IFERROR(O156-P156,0)</f>
        <v/>
      </c>
    </row>
    <row r="157" ht="16.5" customHeight="1">
      <c r="B157" s="91" t="n"/>
      <c r="C157" s="104">
        <f>IF(B157="","",TEXT(B157,"DDD"))</f>
        <v/>
      </c>
      <c r="D157" s="105">
        <f>IF(B157="","","Soft App")</f>
        <v/>
      </c>
      <c r="E157" s="106" t="n"/>
      <c r="F157" s="107" t="n"/>
      <c r="G157" s="108">
        <f>IFERROR(E157/F157,0)</f>
        <v/>
      </c>
      <c r="H157" s="109">
        <f>IFERROR(SUMIF('💸 Expenses'!B9:B508,B157,'💸 Expenses'!F9:F508),0)</f>
        <v/>
      </c>
      <c r="I157" s="110">
        <f>IFERROR(E157-H157,0)</f>
        <v/>
      </c>
      <c r="J157" s="111">
        <f>IFERROR(I157/E157,0)</f>
        <v/>
      </c>
      <c r="K157" s="112" t="n"/>
      <c r="L157" s="69">
        <f>IFERROR(L156+E157,0)</f>
        <v/>
      </c>
      <c r="M157" s="72">
        <f>IFERROR(M156+H157,0)</f>
        <v/>
      </c>
      <c r="N157" s="113">
        <f>IFERROR(L157-M157,0)</f>
        <v/>
      </c>
      <c r="O157" s="114">
        <f>IFERROR(SUMIF(B8:B157,"&gt;="&amp;(B157-WEEKDAY(B157,2)+1),E8:E157),0)</f>
        <v/>
      </c>
      <c r="P157" s="115">
        <f>IFERROR(SUMIF(B8:B157,"&gt;="&amp;(B157-WEEKDAY(B157,2)+1),H8:H157),0)</f>
        <v/>
      </c>
      <c r="Q157" s="113">
        <f>IFERROR(O157-P157,0)</f>
        <v/>
      </c>
    </row>
    <row r="158" ht="16.5" customHeight="1">
      <c r="B158" s="91" t="n"/>
      <c r="C158" s="92">
        <f>IF(B158="","",TEXT(B158,"DDD"))</f>
        <v/>
      </c>
      <c r="D158" s="93">
        <f>IF(B158="","","Soft App")</f>
        <v/>
      </c>
      <c r="E158" s="94" t="n"/>
      <c r="F158" s="95" t="n"/>
      <c r="G158" s="96">
        <f>IFERROR(E158/F158,0)</f>
        <v/>
      </c>
      <c r="H158" s="97">
        <f>IFERROR(SUMIF('💸 Expenses'!B9:B508,B158,'💸 Expenses'!F9:F508),0)</f>
        <v/>
      </c>
      <c r="I158" s="98">
        <f>IFERROR(E158-H158,0)</f>
        <v/>
      </c>
      <c r="J158" s="99">
        <f>IFERROR(I158/E158,0)</f>
        <v/>
      </c>
      <c r="K158" s="100" t="n"/>
      <c r="L158" s="60">
        <f>IFERROR(L157+E158,0)</f>
        <v/>
      </c>
      <c r="M158" s="63">
        <f>IFERROR(M157+H158,0)</f>
        <v/>
      </c>
      <c r="N158" s="101">
        <f>IFERROR(L158-M158,0)</f>
        <v/>
      </c>
      <c r="O158" s="102">
        <f>IFERROR(SUMIF(B8:B158,"&gt;="&amp;(B158-WEEKDAY(B158,2)+1),E8:E158),0)</f>
        <v/>
      </c>
      <c r="P158" s="103">
        <f>IFERROR(SUMIF(B8:B158,"&gt;="&amp;(B158-WEEKDAY(B158,2)+1),H8:H158),0)</f>
        <v/>
      </c>
      <c r="Q158" s="101">
        <f>IFERROR(O158-P158,0)</f>
        <v/>
      </c>
    </row>
    <row r="159" ht="16.5" customHeight="1">
      <c r="B159" s="91" t="n"/>
      <c r="C159" s="104">
        <f>IF(B159="","",TEXT(B159,"DDD"))</f>
        <v/>
      </c>
      <c r="D159" s="105">
        <f>IF(B159="","","Soft App")</f>
        <v/>
      </c>
      <c r="E159" s="106" t="n"/>
      <c r="F159" s="107" t="n"/>
      <c r="G159" s="108">
        <f>IFERROR(E159/F159,0)</f>
        <v/>
      </c>
      <c r="H159" s="109">
        <f>IFERROR(SUMIF('💸 Expenses'!B9:B508,B159,'💸 Expenses'!F9:F508),0)</f>
        <v/>
      </c>
      <c r="I159" s="110">
        <f>IFERROR(E159-H159,0)</f>
        <v/>
      </c>
      <c r="J159" s="111">
        <f>IFERROR(I159/E159,0)</f>
        <v/>
      </c>
      <c r="K159" s="112" t="n"/>
      <c r="L159" s="69">
        <f>IFERROR(L158+E159,0)</f>
        <v/>
      </c>
      <c r="M159" s="72">
        <f>IFERROR(M158+H159,0)</f>
        <v/>
      </c>
      <c r="N159" s="113">
        <f>IFERROR(L159-M159,0)</f>
        <v/>
      </c>
      <c r="O159" s="114">
        <f>IFERROR(SUMIF(B8:B159,"&gt;="&amp;(B159-WEEKDAY(B159,2)+1),E8:E159),0)</f>
        <v/>
      </c>
      <c r="P159" s="115">
        <f>IFERROR(SUMIF(B8:B159,"&gt;="&amp;(B159-WEEKDAY(B159,2)+1),H8:H159),0)</f>
        <v/>
      </c>
      <c r="Q159" s="113">
        <f>IFERROR(O159-P159,0)</f>
        <v/>
      </c>
    </row>
    <row r="160" ht="16.5" customHeight="1">
      <c r="B160" s="91" t="n"/>
      <c r="C160" s="92">
        <f>IF(B160="","",TEXT(B160,"DDD"))</f>
        <v/>
      </c>
      <c r="D160" s="93">
        <f>IF(B160="","","Soft App")</f>
        <v/>
      </c>
      <c r="E160" s="94" t="n"/>
      <c r="F160" s="95" t="n"/>
      <c r="G160" s="96">
        <f>IFERROR(E160/F160,0)</f>
        <v/>
      </c>
      <c r="H160" s="97">
        <f>IFERROR(SUMIF('💸 Expenses'!B9:B508,B160,'💸 Expenses'!F9:F508),0)</f>
        <v/>
      </c>
      <c r="I160" s="98">
        <f>IFERROR(E160-H160,0)</f>
        <v/>
      </c>
      <c r="J160" s="99">
        <f>IFERROR(I160/E160,0)</f>
        <v/>
      </c>
      <c r="K160" s="100" t="n"/>
      <c r="L160" s="60">
        <f>IFERROR(L159+E160,0)</f>
        <v/>
      </c>
      <c r="M160" s="63">
        <f>IFERROR(M159+H160,0)</f>
        <v/>
      </c>
      <c r="N160" s="101">
        <f>IFERROR(L160-M160,0)</f>
        <v/>
      </c>
      <c r="O160" s="102">
        <f>IFERROR(SUMIF(B8:B160,"&gt;="&amp;(B160-WEEKDAY(B160,2)+1),E8:E160),0)</f>
        <v/>
      </c>
      <c r="P160" s="103">
        <f>IFERROR(SUMIF(B8:B160,"&gt;="&amp;(B160-WEEKDAY(B160,2)+1),H8:H160),0)</f>
        <v/>
      </c>
      <c r="Q160" s="101">
        <f>IFERROR(O160-P160,0)</f>
        <v/>
      </c>
    </row>
    <row r="161" ht="16.5" customHeight="1">
      <c r="B161" s="91" t="n"/>
      <c r="C161" s="104">
        <f>IF(B161="","",TEXT(B161,"DDD"))</f>
        <v/>
      </c>
      <c r="D161" s="105">
        <f>IF(B161="","","Soft App")</f>
        <v/>
      </c>
      <c r="E161" s="106" t="n"/>
      <c r="F161" s="107" t="n"/>
      <c r="G161" s="108">
        <f>IFERROR(E161/F161,0)</f>
        <v/>
      </c>
      <c r="H161" s="109">
        <f>IFERROR(SUMIF('💸 Expenses'!B9:B508,B161,'💸 Expenses'!F9:F508),0)</f>
        <v/>
      </c>
      <c r="I161" s="110">
        <f>IFERROR(E161-H161,0)</f>
        <v/>
      </c>
      <c r="J161" s="111">
        <f>IFERROR(I161/E161,0)</f>
        <v/>
      </c>
      <c r="K161" s="112" t="n"/>
      <c r="L161" s="69">
        <f>IFERROR(L160+E161,0)</f>
        <v/>
      </c>
      <c r="M161" s="72">
        <f>IFERROR(M160+H161,0)</f>
        <v/>
      </c>
      <c r="N161" s="113">
        <f>IFERROR(L161-M161,0)</f>
        <v/>
      </c>
      <c r="O161" s="114">
        <f>IFERROR(SUMIF(B8:B161,"&gt;="&amp;(B161-WEEKDAY(B161,2)+1),E8:E161),0)</f>
        <v/>
      </c>
      <c r="P161" s="115">
        <f>IFERROR(SUMIF(B8:B161,"&gt;="&amp;(B161-WEEKDAY(B161,2)+1),H8:H161),0)</f>
        <v/>
      </c>
      <c r="Q161" s="113">
        <f>IFERROR(O161-P161,0)</f>
        <v/>
      </c>
    </row>
    <row r="162" ht="16.5" customHeight="1">
      <c r="B162" s="91" t="n"/>
      <c r="C162" s="92">
        <f>IF(B162="","",TEXT(B162,"DDD"))</f>
        <v/>
      </c>
      <c r="D162" s="93">
        <f>IF(B162="","","Soft App")</f>
        <v/>
      </c>
      <c r="E162" s="94" t="n"/>
      <c r="F162" s="95" t="n"/>
      <c r="G162" s="96">
        <f>IFERROR(E162/F162,0)</f>
        <v/>
      </c>
      <c r="H162" s="97">
        <f>IFERROR(SUMIF('💸 Expenses'!B9:B508,B162,'💸 Expenses'!F9:F508),0)</f>
        <v/>
      </c>
      <c r="I162" s="98">
        <f>IFERROR(E162-H162,0)</f>
        <v/>
      </c>
      <c r="J162" s="99">
        <f>IFERROR(I162/E162,0)</f>
        <v/>
      </c>
      <c r="K162" s="100" t="n"/>
      <c r="L162" s="60">
        <f>IFERROR(L161+E162,0)</f>
        <v/>
      </c>
      <c r="M162" s="63">
        <f>IFERROR(M161+H162,0)</f>
        <v/>
      </c>
      <c r="N162" s="101">
        <f>IFERROR(L162-M162,0)</f>
        <v/>
      </c>
      <c r="O162" s="102">
        <f>IFERROR(SUMIF(B8:B162,"&gt;="&amp;(B162-WEEKDAY(B162,2)+1),E8:E162),0)</f>
        <v/>
      </c>
      <c r="P162" s="103">
        <f>IFERROR(SUMIF(B8:B162,"&gt;="&amp;(B162-WEEKDAY(B162,2)+1),H8:H162),0)</f>
        <v/>
      </c>
      <c r="Q162" s="101">
        <f>IFERROR(O162-P162,0)</f>
        <v/>
      </c>
    </row>
    <row r="163" ht="16.5" customHeight="1">
      <c r="B163" s="91" t="n"/>
      <c r="C163" s="104">
        <f>IF(B163="","",TEXT(B163,"DDD"))</f>
        <v/>
      </c>
      <c r="D163" s="105">
        <f>IF(B163="","","Soft App")</f>
        <v/>
      </c>
      <c r="E163" s="106" t="n"/>
      <c r="F163" s="107" t="n"/>
      <c r="G163" s="108">
        <f>IFERROR(E163/F163,0)</f>
        <v/>
      </c>
      <c r="H163" s="109">
        <f>IFERROR(SUMIF('💸 Expenses'!B9:B508,B163,'💸 Expenses'!F9:F508),0)</f>
        <v/>
      </c>
      <c r="I163" s="110">
        <f>IFERROR(E163-H163,0)</f>
        <v/>
      </c>
      <c r="J163" s="111">
        <f>IFERROR(I163/E163,0)</f>
        <v/>
      </c>
      <c r="K163" s="112" t="n"/>
      <c r="L163" s="69">
        <f>IFERROR(L162+E163,0)</f>
        <v/>
      </c>
      <c r="M163" s="72">
        <f>IFERROR(M162+H163,0)</f>
        <v/>
      </c>
      <c r="N163" s="113">
        <f>IFERROR(L163-M163,0)</f>
        <v/>
      </c>
      <c r="O163" s="114">
        <f>IFERROR(SUMIF(B8:B163,"&gt;="&amp;(B163-WEEKDAY(B163,2)+1),E8:E163),0)</f>
        <v/>
      </c>
      <c r="P163" s="115">
        <f>IFERROR(SUMIF(B8:B163,"&gt;="&amp;(B163-WEEKDAY(B163,2)+1),H8:H163),0)</f>
        <v/>
      </c>
      <c r="Q163" s="113">
        <f>IFERROR(O163-P163,0)</f>
        <v/>
      </c>
    </row>
    <row r="164" ht="16.5" customHeight="1">
      <c r="B164" s="91" t="n"/>
      <c r="C164" s="92">
        <f>IF(B164="","",TEXT(B164,"DDD"))</f>
        <v/>
      </c>
      <c r="D164" s="93">
        <f>IF(B164="","","Soft App")</f>
        <v/>
      </c>
      <c r="E164" s="94" t="n"/>
      <c r="F164" s="95" t="n"/>
      <c r="G164" s="96">
        <f>IFERROR(E164/F164,0)</f>
        <v/>
      </c>
      <c r="H164" s="97">
        <f>IFERROR(SUMIF('💸 Expenses'!B9:B508,B164,'💸 Expenses'!F9:F508),0)</f>
        <v/>
      </c>
      <c r="I164" s="98">
        <f>IFERROR(E164-H164,0)</f>
        <v/>
      </c>
      <c r="J164" s="99">
        <f>IFERROR(I164/E164,0)</f>
        <v/>
      </c>
      <c r="K164" s="100" t="n"/>
      <c r="L164" s="60">
        <f>IFERROR(L163+E164,0)</f>
        <v/>
      </c>
      <c r="M164" s="63">
        <f>IFERROR(M163+H164,0)</f>
        <v/>
      </c>
      <c r="N164" s="101">
        <f>IFERROR(L164-M164,0)</f>
        <v/>
      </c>
      <c r="O164" s="102">
        <f>IFERROR(SUMIF(B8:B164,"&gt;="&amp;(B164-WEEKDAY(B164,2)+1),E8:E164),0)</f>
        <v/>
      </c>
      <c r="P164" s="103">
        <f>IFERROR(SUMIF(B8:B164,"&gt;="&amp;(B164-WEEKDAY(B164,2)+1),H8:H164),0)</f>
        <v/>
      </c>
      <c r="Q164" s="101">
        <f>IFERROR(O164-P164,0)</f>
        <v/>
      </c>
    </row>
    <row r="165" ht="16.5" customHeight="1">
      <c r="B165" s="91" t="n"/>
      <c r="C165" s="104">
        <f>IF(B165="","",TEXT(B165,"DDD"))</f>
        <v/>
      </c>
      <c r="D165" s="105">
        <f>IF(B165="","","Soft App")</f>
        <v/>
      </c>
      <c r="E165" s="106" t="n"/>
      <c r="F165" s="107" t="n"/>
      <c r="G165" s="108">
        <f>IFERROR(E165/F165,0)</f>
        <v/>
      </c>
      <c r="H165" s="109">
        <f>IFERROR(SUMIF('💸 Expenses'!B9:B508,B165,'💸 Expenses'!F9:F508),0)</f>
        <v/>
      </c>
      <c r="I165" s="110">
        <f>IFERROR(E165-H165,0)</f>
        <v/>
      </c>
      <c r="J165" s="111">
        <f>IFERROR(I165/E165,0)</f>
        <v/>
      </c>
      <c r="K165" s="112" t="n"/>
      <c r="L165" s="69">
        <f>IFERROR(L164+E165,0)</f>
        <v/>
      </c>
      <c r="M165" s="72">
        <f>IFERROR(M164+H165,0)</f>
        <v/>
      </c>
      <c r="N165" s="113">
        <f>IFERROR(L165-M165,0)</f>
        <v/>
      </c>
      <c r="O165" s="114">
        <f>IFERROR(SUMIF(B8:B165,"&gt;="&amp;(B165-WEEKDAY(B165,2)+1),E8:E165),0)</f>
        <v/>
      </c>
      <c r="P165" s="115">
        <f>IFERROR(SUMIF(B8:B165,"&gt;="&amp;(B165-WEEKDAY(B165,2)+1),H8:H165),0)</f>
        <v/>
      </c>
      <c r="Q165" s="113">
        <f>IFERROR(O165-P165,0)</f>
        <v/>
      </c>
    </row>
    <row r="166" ht="16.5" customHeight="1">
      <c r="B166" s="91" t="n"/>
      <c r="C166" s="92">
        <f>IF(B166="","",TEXT(B166,"DDD"))</f>
        <v/>
      </c>
      <c r="D166" s="93">
        <f>IF(B166="","","Soft App")</f>
        <v/>
      </c>
      <c r="E166" s="94" t="n"/>
      <c r="F166" s="95" t="n"/>
      <c r="G166" s="96">
        <f>IFERROR(E166/F166,0)</f>
        <v/>
      </c>
      <c r="H166" s="97">
        <f>IFERROR(SUMIF('💸 Expenses'!B9:B508,B166,'💸 Expenses'!F9:F508),0)</f>
        <v/>
      </c>
      <c r="I166" s="98">
        <f>IFERROR(E166-H166,0)</f>
        <v/>
      </c>
      <c r="J166" s="99">
        <f>IFERROR(I166/E166,0)</f>
        <v/>
      </c>
      <c r="K166" s="100" t="n"/>
      <c r="L166" s="60">
        <f>IFERROR(L165+E166,0)</f>
        <v/>
      </c>
      <c r="M166" s="63">
        <f>IFERROR(M165+H166,0)</f>
        <v/>
      </c>
      <c r="N166" s="101">
        <f>IFERROR(L166-M166,0)</f>
        <v/>
      </c>
      <c r="O166" s="102">
        <f>IFERROR(SUMIF(B8:B166,"&gt;="&amp;(B166-WEEKDAY(B166,2)+1),E8:E166),0)</f>
        <v/>
      </c>
      <c r="P166" s="103">
        <f>IFERROR(SUMIF(B8:B166,"&gt;="&amp;(B166-WEEKDAY(B166,2)+1),H8:H166),0)</f>
        <v/>
      </c>
      <c r="Q166" s="101">
        <f>IFERROR(O166-P166,0)</f>
        <v/>
      </c>
    </row>
    <row r="167" ht="16.5" customHeight="1">
      <c r="B167" s="91" t="n"/>
      <c r="C167" s="104">
        <f>IF(B167="","",TEXT(B167,"DDD"))</f>
        <v/>
      </c>
      <c r="D167" s="105">
        <f>IF(B167="","","Soft App")</f>
        <v/>
      </c>
      <c r="E167" s="106" t="n"/>
      <c r="F167" s="107" t="n"/>
      <c r="G167" s="108">
        <f>IFERROR(E167/F167,0)</f>
        <v/>
      </c>
      <c r="H167" s="109">
        <f>IFERROR(SUMIF('💸 Expenses'!B9:B508,B167,'💸 Expenses'!F9:F508),0)</f>
        <v/>
      </c>
      <c r="I167" s="110">
        <f>IFERROR(E167-H167,0)</f>
        <v/>
      </c>
      <c r="J167" s="111">
        <f>IFERROR(I167/E167,0)</f>
        <v/>
      </c>
      <c r="K167" s="112" t="n"/>
      <c r="L167" s="69">
        <f>IFERROR(L166+E167,0)</f>
        <v/>
      </c>
      <c r="M167" s="72">
        <f>IFERROR(M166+H167,0)</f>
        <v/>
      </c>
      <c r="N167" s="113">
        <f>IFERROR(L167-M167,0)</f>
        <v/>
      </c>
      <c r="O167" s="114">
        <f>IFERROR(SUMIF(B8:B167,"&gt;="&amp;(B167-WEEKDAY(B167,2)+1),E8:E167),0)</f>
        <v/>
      </c>
      <c r="P167" s="115">
        <f>IFERROR(SUMIF(B8:B167,"&gt;="&amp;(B167-WEEKDAY(B167,2)+1),H8:H167),0)</f>
        <v/>
      </c>
      <c r="Q167" s="113">
        <f>IFERROR(O167-P167,0)</f>
        <v/>
      </c>
    </row>
    <row r="168" ht="16.5" customHeight="1">
      <c r="B168" s="91" t="n"/>
      <c r="C168" s="92">
        <f>IF(B168="","",TEXT(B168,"DDD"))</f>
        <v/>
      </c>
      <c r="D168" s="93">
        <f>IF(B168="","","Soft App")</f>
        <v/>
      </c>
      <c r="E168" s="94" t="n"/>
      <c r="F168" s="95" t="n"/>
      <c r="G168" s="96">
        <f>IFERROR(E168/F168,0)</f>
        <v/>
      </c>
      <c r="H168" s="97">
        <f>IFERROR(SUMIF('💸 Expenses'!B9:B508,B168,'💸 Expenses'!F9:F508),0)</f>
        <v/>
      </c>
      <c r="I168" s="98">
        <f>IFERROR(E168-H168,0)</f>
        <v/>
      </c>
      <c r="J168" s="99">
        <f>IFERROR(I168/E168,0)</f>
        <v/>
      </c>
      <c r="K168" s="100" t="n"/>
      <c r="L168" s="60">
        <f>IFERROR(L167+E168,0)</f>
        <v/>
      </c>
      <c r="M168" s="63">
        <f>IFERROR(M167+H168,0)</f>
        <v/>
      </c>
      <c r="N168" s="101">
        <f>IFERROR(L168-M168,0)</f>
        <v/>
      </c>
      <c r="O168" s="102">
        <f>IFERROR(SUMIF(B8:B168,"&gt;="&amp;(B168-WEEKDAY(B168,2)+1),E8:E168),0)</f>
        <v/>
      </c>
      <c r="P168" s="103">
        <f>IFERROR(SUMIF(B8:B168,"&gt;="&amp;(B168-WEEKDAY(B168,2)+1),H8:H168),0)</f>
        <v/>
      </c>
      <c r="Q168" s="101">
        <f>IFERROR(O168-P168,0)</f>
        <v/>
      </c>
    </row>
    <row r="169" ht="16.5" customHeight="1">
      <c r="B169" s="91" t="n"/>
      <c r="C169" s="104">
        <f>IF(B169="","",TEXT(B169,"DDD"))</f>
        <v/>
      </c>
      <c r="D169" s="105">
        <f>IF(B169="","","Soft App")</f>
        <v/>
      </c>
      <c r="E169" s="106" t="n"/>
      <c r="F169" s="107" t="n"/>
      <c r="G169" s="108">
        <f>IFERROR(E169/F169,0)</f>
        <v/>
      </c>
      <c r="H169" s="109">
        <f>IFERROR(SUMIF('💸 Expenses'!B9:B508,B169,'💸 Expenses'!F9:F508),0)</f>
        <v/>
      </c>
      <c r="I169" s="110">
        <f>IFERROR(E169-H169,0)</f>
        <v/>
      </c>
      <c r="J169" s="111">
        <f>IFERROR(I169/E169,0)</f>
        <v/>
      </c>
      <c r="K169" s="112" t="n"/>
      <c r="L169" s="69">
        <f>IFERROR(L168+E169,0)</f>
        <v/>
      </c>
      <c r="M169" s="72">
        <f>IFERROR(M168+H169,0)</f>
        <v/>
      </c>
      <c r="N169" s="113">
        <f>IFERROR(L169-M169,0)</f>
        <v/>
      </c>
      <c r="O169" s="114">
        <f>IFERROR(SUMIF(B8:B169,"&gt;="&amp;(B169-WEEKDAY(B169,2)+1),E8:E169),0)</f>
        <v/>
      </c>
      <c r="P169" s="115">
        <f>IFERROR(SUMIF(B8:B169,"&gt;="&amp;(B169-WEEKDAY(B169,2)+1),H8:H169),0)</f>
        <v/>
      </c>
      <c r="Q169" s="113">
        <f>IFERROR(O169-P169,0)</f>
        <v/>
      </c>
    </row>
    <row r="170" ht="16.5" customHeight="1">
      <c r="B170" s="91" t="n"/>
      <c r="C170" s="92">
        <f>IF(B170="","",TEXT(B170,"DDD"))</f>
        <v/>
      </c>
      <c r="D170" s="93">
        <f>IF(B170="","","Soft App")</f>
        <v/>
      </c>
      <c r="E170" s="94" t="n"/>
      <c r="F170" s="95" t="n"/>
      <c r="G170" s="96">
        <f>IFERROR(E170/F170,0)</f>
        <v/>
      </c>
      <c r="H170" s="97">
        <f>IFERROR(SUMIF('💸 Expenses'!B9:B508,B170,'💸 Expenses'!F9:F508),0)</f>
        <v/>
      </c>
      <c r="I170" s="98">
        <f>IFERROR(E170-H170,0)</f>
        <v/>
      </c>
      <c r="J170" s="99">
        <f>IFERROR(I170/E170,0)</f>
        <v/>
      </c>
      <c r="K170" s="100" t="n"/>
      <c r="L170" s="60">
        <f>IFERROR(L169+E170,0)</f>
        <v/>
      </c>
      <c r="M170" s="63">
        <f>IFERROR(M169+H170,0)</f>
        <v/>
      </c>
      <c r="N170" s="101">
        <f>IFERROR(L170-M170,0)</f>
        <v/>
      </c>
      <c r="O170" s="102">
        <f>IFERROR(SUMIF(B8:B170,"&gt;="&amp;(B170-WEEKDAY(B170,2)+1),E8:E170),0)</f>
        <v/>
      </c>
      <c r="P170" s="103">
        <f>IFERROR(SUMIF(B8:B170,"&gt;="&amp;(B170-WEEKDAY(B170,2)+1),H8:H170),0)</f>
        <v/>
      </c>
      <c r="Q170" s="101">
        <f>IFERROR(O170-P170,0)</f>
        <v/>
      </c>
    </row>
    <row r="171" ht="16.5" customHeight="1">
      <c r="B171" s="91" t="n"/>
      <c r="C171" s="104">
        <f>IF(B171="","",TEXT(B171,"DDD"))</f>
        <v/>
      </c>
      <c r="D171" s="105">
        <f>IF(B171="","","Soft App")</f>
        <v/>
      </c>
      <c r="E171" s="106" t="n"/>
      <c r="F171" s="107" t="n"/>
      <c r="G171" s="108">
        <f>IFERROR(E171/F171,0)</f>
        <v/>
      </c>
      <c r="H171" s="109">
        <f>IFERROR(SUMIF('💸 Expenses'!B9:B508,B171,'💸 Expenses'!F9:F508),0)</f>
        <v/>
      </c>
      <c r="I171" s="110">
        <f>IFERROR(E171-H171,0)</f>
        <v/>
      </c>
      <c r="J171" s="111">
        <f>IFERROR(I171/E171,0)</f>
        <v/>
      </c>
      <c r="K171" s="112" t="n"/>
      <c r="L171" s="69">
        <f>IFERROR(L170+E171,0)</f>
        <v/>
      </c>
      <c r="M171" s="72">
        <f>IFERROR(M170+H171,0)</f>
        <v/>
      </c>
      <c r="N171" s="113">
        <f>IFERROR(L171-M171,0)</f>
        <v/>
      </c>
      <c r="O171" s="114">
        <f>IFERROR(SUMIF(B8:B171,"&gt;="&amp;(B171-WEEKDAY(B171,2)+1),E8:E171),0)</f>
        <v/>
      </c>
      <c r="P171" s="115">
        <f>IFERROR(SUMIF(B8:B171,"&gt;="&amp;(B171-WEEKDAY(B171,2)+1),H8:H171),0)</f>
        <v/>
      </c>
      <c r="Q171" s="113">
        <f>IFERROR(O171-P171,0)</f>
        <v/>
      </c>
    </row>
    <row r="172" ht="16.5" customHeight="1">
      <c r="B172" s="91" t="n"/>
      <c r="C172" s="92">
        <f>IF(B172="","",TEXT(B172,"DDD"))</f>
        <v/>
      </c>
      <c r="D172" s="93">
        <f>IF(B172="","","Soft App")</f>
        <v/>
      </c>
      <c r="E172" s="94" t="n"/>
      <c r="F172" s="95" t="n"/>
      <c r="G172" s="96">
        <f>IFERROR(E172/F172,0)</f>
        <v/>
      </c>
      <c r="H172" s="97">
        <f>IFERROR(SUMIF('💸 Expenses'!B9:B508,B172,'💸 Expenses'!F9:F508),0)</f>
        <v/>
      </c>
      <c r="I172" s="98">
        <f>IFERROR(E172-H172,0)</f>
        <v/>
      </c>
      <c r="J172" s="99">
        <f>IFERROR(I172/E172,0)</f>
        <v/>
      </c>
      <c r="K172" s="100" t="n"/>
      <c r="L172" s="60">
        <f>IFERROR(L171+E172,0)</f>
        <v/>
      </c>
      <c r="M172" s="63">
        <f>IFERROR(M171+H172,0)</f>
        <v/>
      </c>
      <c r="N172" s="101">
        <f>IFERROR(L172-M172,0)</f>
        <v/>
      </c>
      <c r="O172" s="102">
        <f>IFERROR(SUMIF(B8:B172,"&gt;="&amp;(B172-WEEKDAY(B172,2)+1),E8:E172),0)</f>
        <v/>
      </c>
      <c r="P172" s="103">
        <f>IFERROR(SUMIF(B8:B172,"&gt;="&amp;(B172-WEEKDAY(B172,2)+1),H8:H172),0)</f>
        <v/>
      </c>
      <c r="Q172" s="101">
        <f>IFERROR(O172-P172,0)</f>
        <v/>
      </c>
    </row>
    <row r="173" ht="16.5" customHeight="1">
      <c r="B173" s="91" t="n"/>
      <c r="C173" s="104">
        <f>IF(B173="","",TEXT(B173,"DDD"))</f>
        <v/>
      </c>
      <c r="D173" s="105">
        <f>IF(B173="","","Soft App")</f>
        <v/>
      </c>
      <c r="E173" s="106" t="n"/>
      <c r="F173" s="107" t="n"/>
      <c r="G173" s="108">
        <f>IFERROR(E173/F173,0)</f>
        <v/>
      </c>
      <c r="H173" s="109">
        <f>IFERROR(SUMIF('💸 Expenses'!B9:B508,B173,'💸 Expenses'!F9:F508),0)</f>
        <v/>
      </c>
      <c r="I173" s="110">
        <f>IFERROR(E173-H173,0)</f>
        <v/>
      </c>
      <c r="J173" s="111">
        <f>IFERROR(I173/E173,0)</f>
        <v/>
      </c>
      <c r="K173" s="112" t="n"/>
      <c r="L173" s="69">
        <f>IFERROR(L172+E173,0)</f>
        <v/>
      </c>
      <c r="M173" s="72">
        <f>IFERROR(M172+H173,0)</f>
        <v/>
      </c>
      <c r="N173" s="113">
        <f>IFERROR(L173-M173,0)</f>
        <v/>
      </c>
      <c r="O173" s="114">
        <f>IFERROR(SUMIF(B8:B173,"&gt;="&amp;(B173-WEEKDAY(B173,2)+1),E8:E173),0)</f>
        <v/>
      </c>
      <c r="P173" s="115">
        <f>IFERROR(SUMIF(B8:B173,"&gt;="&amp;(B173-WEEKDAY(B173,2)+1),H8:H173),0)</f>
        <v/>
      </c>
      <c r="Q173" s="113">
        <f>IFERROR(O173-P173,0)</f>
        <v/>
      </c>
    </row>
    <row r="174" ht="16.5" customHeight="1">
      <c r="B174" s="91" t="n"/>
      <c r="C174" s="92">
        <f>IF(B174="","",TEXT(B174,"DDD"))</f>
        <v/>
      </c>
      <c r="D174" s="93">
        <f>IF(B174="","","Soft App")</f>
        <v/>
      </c>
      <c r="E174" s="94" t="n"/>
      <c r="F174" s="95" t="n"/>
      <c r="G174" s="96">
        <f>IFERROR(E174/F174,0)</f>
        <v/>
      </c>
      <c r="H174" s="97">
        <f>IFERROR(SUMIF('💸 Expenses'!B9:B508,B174,'💸 Expenses'!F9:F508),0)</f>
        <v/>
      </c>
      <c r="I174" s="98">
        <f>IFERROR(E174-H174,0)</f>
        <v/>
      </c>
      <c r="J174" s="99">
        <f>IFERROR(I174/E174,0)</f>
        <v/>
      </c>
      <c r="K174" s="100" t="n"/>
      <c r="L174" s="60">
        <f>IFERROR(L173+E174,0)</f>
        <v/>
      </c>
      <c r="M174" s="63">
        <f>IFERROR(M173+H174,0)</f>
        <v/>
      </c>
      <c r="N174" s="101">
        <f>IFERROR(L174-M174,0)</f>
        <v/>
      </c>
      <c r="O174" s="102">
        <f>IFERROR(SUMIF(B8:B174,"&gt;="&amp;(B174-WEEKDAY(B174,2)+1),E8:E174),0)</f>
        <v/>
      </c>
      <c r="P174" s="103">
        <f>IFERROR(SUMIF(B8:B174,"&gt;="&amp;(B174-WEEKDAY(B174,2)+1),H8:H174),0)</f>
        <v/>
      </c>
      <c r="Q174" s="101">
        <f>IFERROR(O174-P174,0)</f>
        <v/>
      </c>
    </row>
    <row r="175" ht="16.5" customHeight="1">
      <c r="B175" s="91" t="n"/>
      <c r="C175" s="104">
        <f>IF(B175="","",TEXT(B175,"DDD"))</f>
        <v/>
      </c>
      <c r="D175" s="105">
        <f>IF(B175="","","Soft App")</f>
        <v/>
      </c>
      <c r="E175" s="106" t="n"/>
      <c r="F175" s="107" t="n"/>
      <c r="G175" s="108">
        <f>IFERROR(E175/F175,0)</f>
        <v/>
      </c>
      <c r="H175" s="109">
        <f>IFERROR(SUMIF('💸 Expenses'!B9:B508,B175,'💸 Expenses'!F9:F508),0)</f>
        <v/>
      </c>
      <c r="I175" s="110">
        <f>IFERROR(E175-H175,0)</f>
        <v/>
      </c>
      <c r="J175" s="111">
        <f>IFERROR(I175/E175,0)</f>
        <v/>
      </c>
      <c r="K175" s="112" t="n"/>
      <c r="L175" s="69">
        <f>IFERROR(L174+E175,0)</f>
        <v/>
      </c>
      <c r="M175" s="72">
        <f>IFERROR(M174+H175,0)</f>
        <v/>
      </c>
      <c r="N175" s="113">
        <f>IFERROR(L175-M175,0)</f>
        <v/>
      </c>
      <c r="O175" s="114">
        <f>IFERROR(SUMIF(B8:B175,"&gt;="&amp;(B175-WEEKDAY(B175,2)+1),E8:E175),0)</f>
        <v/>
      </c>
      <c r="P175" s="115">
        <f>IFERROR(SUMIF(B8:B175,"&gt;="&amp;(B175-WEEKDAY(B175,2)+1),H8:H175),0)</f>
        <v/>
      </c>
      <c r="Q175" s="113">
        <f>IFERROR(O175-P175,0)</f>
        <v/>
      </c>
    </row>
    <row r="176" ht="16.5" customHeight="1">
      <c r="B176" s="91" t="n"/>
      <c r="C176" s="92">
        <f>IF(B176="","",TEXT(B176,"DDD"))</f>
        <v/>
      </c>
      <c r="D176" s="93">
        <f>IF(B176="","","Soft App")</f>
        <v/>
      </c>
      <c r="E176" s="94" t="n"/>
      <c r="F176" s="95" t="n"/>
      <c r="G176" s="96">
        <f>IFERROR(E176/F176,0)</f>
        <v/>
      </c>
      <c r="H176" s="97">
        <f>IFERROR(SUMIF('💸 Expenses'!B9:B508,B176,'💸 Expenses'!F9:F508),0)</f>
        <v/>
      </c>
      <c r="I176" s="98">
        <f>IFERROR(E176-H176,0)</f>
        <v/>
      </c>
      <c r="J176" s="99">
        <f>IFERROR(I176/E176,0)</f>
        <v/>
      </c>
      <c r="K176" s="100" t="n"/>
      <c r="L176" s="60">
        <f>IFERROR(L175+E176,0)</f>
        <v/>
      </c>
      <c r="M176" s="63">
        <f>IFERROR(M175+H176,0)</f>
        <v/>
      </c>
      <c r="N176" s="101">
        <f>IFERROR(L176-M176,0)</f>
        <v/>
      </c>
      <c r="O176" s="102">
        <f>IFERROR(SUMIF(B8:B176,"&gt;="&amp;(B176-WEEKDAY(B176,2)+1),E8:E176),0)</f>
        <v/>
      </c>
      <c r="P176" s="103">
        <f>IFERROR(SUMIF(B8:B176,"&gt;="&amp;(B176-WEEKDAY(B176,2)+1),H8:H176),0)</f>
        <v/>
      </c>
      <c r="Q176" s="101">
        <f>IFERROR(O176-P176,0)</f>
        <v/>
      </c>
    </row>
    <row r="177" ht="16.5" customHeight="1">
      <c r="B177" s="91" t="n"/>
      <c r="C177" s="104">
        <f>IF(B177="","",TEXT(B177,"DDD"))</f>
        <v/>
      </c>
      <c r="D177" s="105">
        <f>IF(B177="","","Soft App")</f>
        <v/>
      </c>
      <c r="E177" s="106" t="n"/>
      <c r="F177" s="107" t="n"/>
      <c r="G177" s="108">
        <f>IFERROR(E177/F177,0)</f>
        <v/>
      </c>
      <c r="H177" s="109">
        <f>IFERROR(SUMIF('💸 Expenses'!B9:B508,B177,'💸 Expenses'!F9:F508),0)</f>
        <v/>
      </c>
      <c r="I177" s="110">
        <f>IFERROR(E177-H177,0)</f>
        <v/>
      </c>
      <c r="J177" s="111">
        <f>IFERROR(I177/E177,0)</f>
        <v/>
      </c>
      <c r="K177" s="112" t="n"/>
      <c r="L177" s="69">
        <f>IFERROR(L176+E177,0)</f>
        <v/>
      </c>
      <c r="M177" s="72">
        <f>IFERROR(M176+H177,0)</f>
        <v/>
      </c>
      <c r="N177" s="113">
        <f>IFERROR(L177-M177,0)</f>
        <v/>
      </c>
      <c r="O177" s="114">
        <f>IFERROR(SUMIF(B8:B177,"&gt;="&amp;(B177-WEEKDAY(B177,2)+1),E8:E177),0)</f>
        <v/>
      </c>
      <c r="P177" s="115">
        <f>IFERROR(SUMIF(B8:B177,"&gt;="&amp;(B177-WEEKDAY(B177,2)+1),H8:H177),0)</f>
        <v/>
      </c>
      <c r="Q177" s="113">
        <f>IFERROR(O177-P177,0)</f>
        <v/>
      </c>
    </row>
    <row r="178" ht="16.5" customHeight="1">
      <c r="B178" s="91" t="n"/>
      <c r="C178" s="92">
        <f>IF(B178="","",TEXT(B178,"DDD"))</f>
        <v/>
      </c>
      <c r="D178" s="93">
        <f>IF(B178="","","Soft App")</f>
        <v/>
      </c>
      <c r="E178" s="94" t="n"/>
      <c r="F178" s="95" t="n"/>
      <c r="G178" s="96">
        <f>IFERROR(E178/F178,0)</f>
        <v/>
      </c>
      <c r="H178" s="97">
        <f>IFERROR(SUMIF('💸 Expenses'!B9:B508,B178,'💸 Expenses'!F9:F508),0)</f>
        <v/>
      </c>
      <c r="I178" s="98">
        <f>IFERROR(E178-H178,0)</f>
        <v/>
      </c>
      <c r="J178" s="99">
        <f>IFERROR(I178/E178,0)</f>
        <v/>
      </c>
      <c r="K178" s="100" t="n"/>
      <c r="L178" s="60">
        <f>IFERROR(L177+E178,0)</f>
        <v/>
      </c>
      <c r="M178" s="63">
        <f>IFERROR(M177+H178,0)</f>
        <v/>
      </c>
      <c r="N178" s="101">
        <f>IFERROR(L178-M178,0)</f>
        <v/>
      </c>
      <c r="O178" s="102">
        <f>IFERROR(SUMIF(B8:B178,"&gt;="&amp;(B178-WEEKDAY(B178,2)+1),E8:E178),0)</f>
        <v/>
      </c>
      <c r="P178" s="103">
        <f>IFERROR(SUMIF(B8:B178,"&gt;="&amp;(B178-WEEKDAY(B178,2)+1),H8:H178),0)</f>
        <v/>
      </c>
      <c r="Q178" s="101">
        <f>IFERROR(O178-P178,0)</f>
        <v/>
      </c>
    </row>
    <row r="179" ht="16.5" customHeight="1">
      <c r="B179" s="91" t="n"/>
      <c r="C179" s="104">
        <f>IF(B179="","",TEXT(B179,"DDD"))</f>
        <v/>
      </c>
      <c r="D179" s="105">
        <f>IF(B179="","","Soft App")</f>
        <v/>
      </c>
      <c r="E179" s="106" t="n"/>
      <c r="F179" s="107" t="n"/>
      <c r="G179" s="108">
        <f>IFERROR(E179/F179,0)</f>
        <v/>
      </c>
      <c r="H179" s="109">
        <f>IFERROR(SUMIF('💸 Expenses'!B9:B508,B179,'💸 Expenses'!F9:F508),0)</f>
        <v/>
      </c>
      <c r="I179" s="110">
        <f>IFERROR(E179-H179,0)</f>
        <v/>
      </c>
      <c r="J179" s="111">
        <f>IFERROR(I179/E179,0)</f>
        <v/>
      </c>
      <c r="K179" s="112" t="n"/>
      <c r="L179" s="69">
        <f>IFERROR(L178+E179,0)</f>
        <v/>
      </c>
      <c r="M179" s="72">
        <f>IFERROR(M178+H179,0)</f>
        <v/>
      </c>
      <c r="N179" s="113">
        <f>IFERROR(L179-M179,0)</f>
        <v/>
      </c>
      <c r="O179" s="114">
        <f>IFERROR(SUMIF(B8:B179,"&gt;="&amp;(B179-WEEKDAY(B179,2)+1),E8:E179),0)</f>
        <v/>
      </c>
      <c r="P179" s="115">
        <f>IFERROR(SUMIF(B8:B179,"&gt;="&amp;(B179-WEEKDAY(B179,2)+1),H8:H179),0)</f>
        <v/>
      </c>
      <c r="Q179" s="113">
        <f>IFERROR(O179-P179,0)</f>
        <v/>
      </c>
    </row>
    <row r="180" ht="16.5" customHeight="1">
      <c r="B180" s="91" t="n"/>
      <c r="C180" s="92">
        <f>IF(B180="","",TEXT(B180,"DDD"))</f>
        <v/>
      </c>
      <c r="D180" s="93">
        <f>IF(B180="","","Soft App")</f>
        <v/>
      </c>
      <c r="E180" s="94" t="n"/>
      <c r="F180" s="95" t="n"/>
      <c r="G180" s="96">
        <f>IFERROR(E180/F180,0)</f>
        <v/>
      </c>
      <c r="H180" s="97">
        <f>IFERROR(SUMIF('💸 Expenses'!B9:B508,B180,'💸 Expenses'!F9:F508),0)</f>
        <v/>
      </c>
      <c r="I180" s="98">
        <f>IFERROR(E180-H180,0)</f>
        <v/>
      </c>
      <c r="J180" s="99">
        <f>IFERROR(I180/E180,0)</f>
        <v/>
      </c>
      <c r="K180" s="100" t="n"/>
      <c r="L180" s="60">
        <f>IFERROR(L179+E180,0)</f>
        <v/>
      </c>
      <c r="M180" s="63">
        <f>IFERROR(M179+H180,0)</f>
        <v/>
      </c>
      <c r="N180" s="101">
        <f>IFERROR(L180-M180,0)</f>
        <v/>
      </c>
      <c r="O180" s="102">
        <f>IFERROR(SUMIF(B8:B180,"&gt;="&amp;(B180-WEEKDAY(B180,2)+1),E8:E180),0)</f>
        <v/>
      </c>
      <c r="P180" s="103">
        <f>IFERROR(SUMIF(B8:B180,"&gt;="&amp;(B180-WEEKDAY(B180,2)+1),H8:H180),0)</f>
        <v/>
      </c>
      <c r="Q180" s="101">
        <f>IFERROR(O180-P180,0)</f>
        <v/>
      </c>
    </row>
    <row r="181" ht="16.5" customHeight="1">
      <c r="B181" s="91" t="n"/>
      <c r="C181" s="104">
        <f>IF(B181="","",TEXT(B181,"DDD"))</f>
        <v/>
      </c>
      <c r="D181" s="105">
        <f>IF(B181="","","Soft App")</f>
        <v/>
      </c>
      <c r="E181" s="106" t="n"/>
      <c r="F181" s="107" t="n"/>
      <c r="G181" s="108">
        <f>IFERROR(E181/F181,0)</f>
        <v/>
      </c>
      <c r="H181" s="109">
        <f>IFERROR(SUMIF('💸 Expenses'!B9:B508,B181,'💸 Expenses'!F9:F508),0)</f>
        <v/>
      </c>
      <c r="I181" s="110">
        <f>IFERROR(E181-H181,0)</f>
        <v/>
      </c>
      <c r="J181" s="111">
        <f>IFERROR(I181/E181,0)</f>
        <v/>
      </c>
      <c r="K181" s="112" t="n"/>
      <c r="L181" s="69">
        <f>IFERROR(L180+E181,0)</f>
        <v/>
      </c>
      <c r="M181" s="72">
        <f>IFERROR(M180+H181,0)</f>
        <v/>
      </c>
      <c r="N181" s="113">
        <f>IFERROR(L181-M181,0)</f>
        <v/>
      </c>
      <c r="O181" s="114">
        <f>IFERROR(SUMIF(B8:B181,"&gt;="&amp;(B181-WEEKDAY(B181,2)+1),E8:E181),0)</f>
        <v/>
      </c>
      <c r="P181" s="115">
        <f>IFERROR(SUMIF(B8:B181,"&gt;="&amp;(B181-WEEKDAY(B181,2)+1),H8:H181),0)</f>
        <v/>
      </c>
      <c r="Q181" s="113">
        <f>IFERROR(O181-P181,0)</f>
        <v/>
      </c>
    </row>
    <row r="182" ht="16.5" customHeight="1">
      <c r="B182" s="91" t="n"/>
      <c r="C182" s="92">
        <f>IF(B182="","",TEXT(B182,"DDD"))</f>
        <v/>
      </c>
      <c r="D182" s="93">
        <f>IF(B182="","","Soft App")</f>
        <v/>
      </c>
      <c r="E182" s="94" t="n"/>
      <c r="F182" s="95" t="n"/>
      <c r="G182" s="96">
        <f>IFERROR(E182/F182,0)</f>
        <v/>
      </c>
      <c r="H182" s="97">
        <f>IFERROR(SUMIF('💸 Expenses'!B9:B508,B182,'💸 Expenses'!F9:F508),0)</f>
        <v/>
      </c>
      <c r="I182" s="98">
        <f>IFERROR(E182-H182,0)</f>
        <v/>
      </c>
      <c r="J182" s="99">
        <f>IFERROR(I182/E182,0)</f>
        <v/>
      </c>
      <c r="K182" s="100" t="n"/>
      <c r="L182" s="60">
        <f>IFERROR(L181+E182,0)</f>
        <v/>
      </c>
      <c r="M182" s="63">
        <f>IFERROR(M181+H182,0)</f>
        <v/>
      </c>
      <c r="N182" s="101">
        <f>IFERROR(L182-M182,0)</f>
        <v/>
      </c>
      <c r="O182" s="102">
        <f>IFERROR(SUMIF(B8:B182,"&gt;="&amp;(B182-WEEKDAY(B182,2)+1),E8:E182),0)</f>
        <v/>
      </c>
      <c r="P182" s="103">
        <f>IFERROR(SUMIF(B8:B182,"&gt;="&amp;(B182-WEEKDAY(B182,2)+1),H8:H182),0)</f>
        <v/>
      </c>
      <c r="Q182" s="101">
        <f>IFERROR(O182-P182,0)</f>
        <v/>
      </c>
    </row>
    <row r="183" ht="16.5" customHeight="1">
      <c r="B183" s="91" t="n"/>
      <c r="C183" s="104">
        <f>IF(B183="","",TEXT(B183,"DDD"))</f>
        <v/>
      </c>
      <c r="D183" s="105">
        <f>IF(B183="","","Soft App")</f>
        <v/>
      </c>
      <c r="E183" s="106" t="n"/>
      <c r="F183" s="107" t="n"/>
      <c r="G183" s="108">
        <f>IFERROR(E183/F183,0)</f>
        <v/>
      </c>
      <c r="H183" s="109">
        <f>IFERROR(SUMIF('💸 Expenses'!B9:B508,B183,'💸 Expenses'!F9:F508),0)</f>
        <v/>
      </c>
      <c r="I183" s="110">
        <f>IFERROR(E183-H183,0)</f>
        <v/>
      </c>
      <c r="J183" s="111">
        <f>IFERROR(I183/E183,0)</f>
        <v/>
      </c>
      <c r="K183" s="112" t="n"/>
      <c r="L183" s="69">
        <f>IFERROR(L182+E183,0)</f>
        <v/>
      </c>
      <c r="M183" s="72">
        <f>IFERROR(M182+H183,0)</f>
        <v/>
      </c>
      <c r="N183" s="113">
        <f>IFERROR(L183-M183,0)</f>
        <v/>
      </c>
      <c r="O183" s="114">
        <f>IFERROR(SUMIF(B8:B183,"&gt;="&amp;(B183-WEEKDAY(B183,2)+1),E8:E183),0)</f>
        <v/>
      </c>
      <c r="P183" s="115">
        <f>IFERROR(SUMIF(B8:B183,"&gt;="&amp;(B183-WEEKDAY(B183,2)+1),H8:H183),0)</f>
        <v/>
      </c>
      <c r="Q183" s="113">
        <f>IFERROR(O183-P183,0)</f>
        <v/>
      </c>
    </row>
    <row r="184" ht="16.5" customHeight="1">
      <c r="B184" s="91" t="n"/>
      <c r="C184" s="92">
        <f>IF(B184="","",TEXT(B184,"DDD"))</f>
        <v/>
      </c>
      <c r="D184" s="93">
        <f>IF(B184="","","Soft App")</f>
        <v/>
      </c>
      <c r="E184" s="94" t="n"/>
      <c r="F184" s="95" t="n"/>
      <c r="G184" s="96">
        <f>IFERROR(E184/F184,0)</f>
        <v/>
      </c>
      <c r="H184" s="97">
        <f>IFERROR(SUMIF('💸 Expenses'!B9:B508,B184,'💸 Expenses'!F9:F508),0)</f>
        <v/>
      </c>
      <c r="I184" s="98">
        <f>IFERROR(E184-H184,0)</f>
        <v/>
      </c>
      <c r="J184" s="99">
        <f>IFERROR(I184/E184,0)</f>
        <v/>
      </c>
      <c r="K184" s="100" t="n"/>
      <c r="L184" s="60">
        <f>IFERROR(L183+E184,0)</f>
        <v/>
      </c>
      <c r="M184" s="63">
        <f>IFERROR(M183+H184,0)</f>
        <v/>
      </c>
      <c r="N184" s="101">
        <f>IFERROR(L184-M184,0)</f>
        <v/>
      </c>
      <c r="O184" s="102">
        <f>IFERROR(SUMIF(B8:B184,"&gt;="&amp;(B184-WEEKDAY(B184,2)+1),E8:E184),0)</f>
        <v/>
      </c>
      <c r="P184" s="103">
        <f>IFERROR(SUMIF(B8:B184,"&gt;="&amp;(B184-WEEKDAY(B184,2)+1),H8:H184),0)</f>
        <v/>
      </c>
      <c r="Q184" s="101">
        <f>IFERROR(O184-P184,0)</f>
        <v/>
      </c>
    </row>
    <row r="185" ht="16.5" customHeight="1">
      <c r="B185" s="91" t="n"/>
      <c r="C185" s="104">
        <f>IF(B185="","",TEXT(B185,"DDD"))</f>
        <v/>
      </c>
      <c r="D185" s="105">
        <f>IF(B185="","","Soft App")</f>
        <v/>
      </c>
      <c r="E185" s="106" t="n"/>
      <c r="F185" s="107" t="n"/>
      <c r="G185" s="108">
        <f>IFERROR(E185/F185,0)</f>
        <v/>
      </c>
      <c r="H185" s="109">
        <f>IFERROR(SUMIF('💸 Expenses'!B9:B508,B185,'💸 Expenses'!F9:F508),0)</f>
        <v/>
      </c>
      <c r="I185" s="110">
        <f>IFERROR(E185-H185,0)</f>
        <v/>
      </c>
      <c r="J185" s="111">
        <f>IFERROR(I185/E185,0)</f>
        <v/>
      </c>
      <c r="K185" s="112" t="n"/>
      <c r="L185" s="69">
        <f>IFERROR(L184+E185,0)</f>
        <v/>
      </c>
      <c r="M185" s="72">
        <f>IFERROR(M184+H185,0)</f>
        <v/>
      </c>
      <c r="N185" s="113">
        <f>IFERROR(L185-M185,0)</f>
        <v/>
      </c>
      <c r="O185" s="114">
        <f>IFERROR(SUMIF(B8:B185,"&gt;="&amp;(B185-WEEKDAY(B185,2)+1),E8:E185),0)</f>
        <v/>
      </c>
      <c r="P185" s="115">
        <f>IFERROR(SUMIF(B8:B185,"&gt;="&amp;(B185-WEEKDAY(B185,2)+1),H8:H185),0)</f>
        <v/>
      </c>
      <c r="Q185" s="113">
        <f>IFERROR(O185-P185,0)</f>
        <v/>
      </c>
    </row>
    <row r="186" ht="16.5" customHeight="1">
      <c r="B186" s="91" t="n"/>
      <c r="C186" s="92">
        <f>IF(B186="","",TEXT(B186,"DDD"))</f>
        <v/>
      </c>
      <c r="D186" s="93">
        <f>IF(B186="","","Soft App")</f>
        <v/>
      </c>
      <c r="E186" s="94" t="n"/>
      <c r="F186" s="95" t="n"/>
      <c r="G186" s="96">
        <f>IFERROR(E186/F186,0)</f>
        <v/>
      </c>
      <c r="H186" s="97">
        <f>IFERROR(SUMIF('💸 Expenses'!B9:B508,B186,'💸 Expenses'!F9:F508),0)</f>
        <v/>
      </c>
      <c r="I186" s="98">
        <f>IFERROR(E186-H186,0)</f>
        <v/>
      </c>
      <c r="J186" s="99">
        <f>IFERROR(I186/E186,0)</f>
        <v/>
      </c>
      <c r="K186" s="100" t="n"/>
      <c r="L186" s="60">
        <f>IFERROR(L185+E186,0)</f>
        <v/>
      </c>
      <c r="M186" s="63">
        <f>IFERROR(M185+H186,0)</f>
        <v/>
      </c>
      <c r="N186" s="101">
        <f>IFERROR(L186-M186,0)</f>
        <v/>
      </c>
      <c r="O186" s="102">
        <f>IFERROR(SUMIF(B8:B186,"&gt;="&amp;(B186-WEEKDAY(B186,2)+1),E8:E186),0)</f>
        <v/>
      </c>
      <c r="P186" s="103">
        <f>IFERROR(SUMIF(B8:B186,"&gt;="&amp;(B186-WEEKDAY(B186,2)+1),H8:H186),0)</f>
        <v/>
      </c>
      <c r="Q186" s="101">
        <f>IFERROR(O186-P186,0)</f>
        <v/>
      </c>
    </row>
    <row r="187" ht="16.5" customHeight="1">
      <c r="B187" s="91" t="n"/>
      <c r="C187" s="104">
        <f>IF(B187="","",TEXT(B187,"DDD"))</f>
        <v/>
      </c>
      <c r="D187" s="105">
        <f>IF(B187="","","Soft App")</f>
        <v/>
      </c>
      <c r="E187" s="106" t="n"/>
      <c r="F187" s="107" t="n"/>
      <c r="G187" s="108">
        <f>IFERROR(E187/F187,0)</f>
        <v/>
      </c>
      <c r="H187" s="109">
        <f>IFERROR(SUMIF('💸 Expenses'!B9:B508,B187,'💸 Expenses'!F9:F508),0)</f>
        <v/>
      </c>
      <c r="I187" s="110">
        <f>IFERROR(E187-H187,0)</f>
        <v/>
      </c>
      <c r="J187" s="111">
        <f>IFERROR(I187/E187,0)</f>
        <v/>
      </c>
      <c r="K187" s="112" t="n"/>
      <c r="L187" s="69">
        <f>IFERROR(L186+E187,0)</f>
        <v/>
      </c>
      <c r="M187" s="72">
        <f>IFERROR(M186+H187,0)</f>
        <v/>
      </c>
      <c r="N187" s="113">
        <f>IFERROR(L187-M187,0)</f>
        <v/>
      </c>
      <c r="O187" s="114">
        <f>IFERROR(SUMIF(B8:B187,"&gt;="&amp;(B187-WEEKDAY(B187,2)+1),E8:E187),0)</f>
        <v/>
      </c>
      <c r="P187" s="115">
        <f>IFERROR(SUMIF(B8:B187,"&gt;="&amp;(B187-WEEKDAY(B187,2)+1),H8:H187),0)</f>
        <v/>
      </c>
      <c r="Q187" s="113">
        <f>IFERROR(O187-P187,0)</f>
        <v/>
      </c>
    </row>
    <row r="188" ht="16.5" customHeight="1">
      <c r="B188" s="91" t="n"/>
      <c r="C188" s="92">
        <f>IF(B188="","",TEXT(B188,"DDD"))</f>
        <v/>
      </c>
      <c r="D188" s="93">
        <f>IF(B188="","","Soft App")</f>
        <v/>
      </c>
      <c r="E188" s="94" t="n"/>
      <c r="F188" s="95" t="n"/>
      <c r="G188" s="96">
        <f>IFERROR(E188/F188,0)</f>
        <v/>
      </c>
      <c r="H188" s="97">
        <f>IFERROR(SUMIF('💸 Expenses'!B9:B508,B188,'💸 Expenses'!F9:F508),0)</f>
        <v/>
      </c>
      <c r="I188" s="98">
        <f>IFERROR(E188-H188,0)</f>
        <v/>
      </c>
      <c r="J188" s="99">
        <f>IFERROR(I188/E188,0)</f>
        <v/>
      </c>
      <c r="K188" s="100" t="n"/>
      <c r="L188" s="60">
        <f>IFERROR(L187+E188,0)</f>
        <v/>
      </c>
      <c r="M188" s="63">
        <f>IFERROR(M187+H188,0)</f>
        <v/>
      </c>
      <c r="N188" s="101">
        <f>IFERROR(L188-M188,0)</f>
        <v/>
      </c>
      <c r="O188" s="102">
        <f>IFERROR(SUMIF(B8:B188,"&gt;="&amp;(B188-WEEKDAY(B188,2)+1),E8:E188),0)</f>
        <v/>
      </c>
      <c r="P188" s="103">
        <f>IFERROR(SUMIF(B8:B188,"&gt;="&amp;(B188-WEEKDAY(B188,2)+1),H8:H188),0)</f>
        <v/>
      </c>
      <c r="Q188" s="101">
        <f>IFERROR(O188-P188,0)</f>
        <v/>
      </c>
    </row>
    <row r="189" ht="16.5" customHeight="1">
      <c r="B189" s="91" t="n"/>
      <c r="C189" s="104">
        <f>IF(B189="","",TEXT(B189,"DDD"))</f>
        <v/>
      </c>
      <c r="D189" s="105">
        <f>IF(B189="","","Soft App")</f>
        <v/>
      </c>
      <c r="E189" s="106" t="n"/>
      <c r="F189" s="107" t="n"/>
      <c r="G189" s="108">
        <f>IFERROR(E189/F189,0)</f>
        <v/>
      </c>
      <c r="H189" s="109">
        <f>IFERROR(SUMIF('💸 Expenses'!B9:B508,B189,'💸 Expenses'!F9:F508),0)</f>
        <v/>
      </c>
      <c r="I189" s="110">
        <f>IFERROR(E189-H189,0)</f>
        <v/>
      </c>
      <c r="J189" s="111">
        <f>IFERROR(I189/E189,0)</f>
        <v/>
      </c>
      <c r="K189" s="112" t="n"/>
      <c r="L189" s="69">
        <f>IFERROR(L188+E189,0)</f>
        <v/>
      </c>
      <c r="M189" s="72">
        <f>IFERROR(M188+H189,0)</f>
        <v/>
      </c>
      <c r="N189" s="113">
        <f>IFERROR(L189-M189,0)</f>
        <v/>
      </c>
      <c r="O189" s="114">
        <f>IFERROR(SUMIF(B8:B189,"&gt;="&amp;(B189-WEEKDAY(B189,2)+1),E8:E189),0)</f>
        <v/>
      </c>
      <c r="P189" s="115">
        <f>IFERROR(SUMIF(B8:B189,"&gt;="&amp;(B189-WEEKDAY(B189,2)+1),H8:H189),0)</f>
        <v/>
      </c>
      <c r="Q189" s="113">
        <f>IFERROR(O189-P189,0)</f>
        <v/>
      </c>
    </row>
    <row r="190" ht="16.5" customHeight="1">
      <c r="B190" s="91" t="n"/>
      <c r="C190" s="92">
        <f>IF(B190="","",TEXT(B190,"DDD"))</f>
        <v/>
      </c>
      <c r="D190" s="93">
        <f>IF(B190="","","Soft App")</f>
        <v/>
      </c>
      <c r="E190" s="94" t="n"/>
      <c r="F190" s="95" t="n"/>
      <c r="G190" s="96">
        <f>IFERROR(E190/F190,0)</f>
        <v/>
      </c>
      <c r="H190" s="97">
        <f>IFERROR(SUMIF('💸 Expenses'!B9:B508,B190,'💸 Expenses'!F9:F508),0)</f>
        <v/>
      </c>
      <c r="I190" s="98">
        <f>IFERROR(E190-H190,0)</f>
        <v/>
      </c>
      <c r="J190" s="99">
        <f>IFERROR(I190/E190,0)</f>
        <v/>
      </c>
      <c r="K190" s="100" t="n"/>
      <c r="L190" s="60">
        <f>IFERROR(L189+E190,0)</f>
        <v/>
      </c>
      <c r="M190" s="63">
        <f>IFERROR(M189+H190,0)</f>
        <v/>
      </c>
      <c r="N190" s="101">
        <f>IFERROR(L190-M190,0)</f>
        <v/>
      </c>
      <c r="O190" s="102">
        <f>IFERROR(SUMIF(B8:B190,"&gt;="&amp;(B190-WEEKDAY(B190,2)+1),E8:E190),0)</f>
        <v/>
      </c>
      <c r="P190" s="103">
        <f>IFERROR(SUMIF(B8:B190,"&gt;="&amp;(B190-WEEKDAY(B190,2)+1),H8:H190),0)</f>
        <v/>
      </c>
      <c r="Q190" s="101">
        <f>IFERROR(O190-P190,0)</f>
        <v/>
      </c>
    </row>
    <row r="191" ht="16.5" customHeight="1">
      <c r="B191" s="91" t="n"/>
      <c r="C191" s="104">
        <f>IF(B191="","",TEXT(B191,"DDD"))</f>
        <v/>
      </c>
      <c r="D191" s="105">
        <f>IF(B191="","","Soft App")</f>
        <v/>
      </c>
      <c r="E191" s="106" t="n"/>
      <c r="F191" s="107" t="n"/>
      <c r="G191" s="108">
        <f>IFERROR(E191/F191,0)</f>
        <v/>
      </c>
      <c r="H191" s="109">
        <f>IFERROR(SUMIF('💸 Expenses'!B9:B508,B191,'💸 Expenses'!F9:F508),0)</f>
        <v/>
      </c>
      <c r="I191" s="110">
        <f>IFERROR(E191-H191,0)</f>
        <v/>
      </c>
      <c r="J191" s="111">
        <f>IFERROR(I191/E191,0)</f>
        <v/>
      </c>
      <c r="K191" s="112" t="n"/>
      <c r="L191" s="69">
        <f>IFERROR(L190+E191,0)</f>
        <v/>
      </c>
      <c r="M191" s="72">
        <f>IFERROR(M190+H191,0)</f>
        <v/>
      </c>
      <c r="N191" s="113">
        <f>IFERROR(L191-M191,0)</f>
        <v/>
      </c>
      <c r="O191" s="114">
        <f>IFERROR(SUMIF(B8:B191,"&gt;="&amp;(B191-WEEKDAY(B191,2)+1),E8:E191),0)</f>
        <v/>
      </c>
      <c r="P191" s="115">
        <f>IFERROR(SUMIF(B8:B191,"&gt;="&amp;(B191-WEEKDAY(B191,2)+1),H8:H191),0)</f>
        <v/>
      </c>
      <c r="Q191" s="113">
        <f>IFERROR(O191-P191,0)</f>
        <v/>
      </c>
    </row>
    <row r="192" ht="16.5" customHeight="1">
      <c r="B192" s="91" t="n"/>
      <c r="C192" s="92">
        <f>IF(B192="","",TEXT(B192,"DDD"))</f>
        <v/>
      </c>
      <c r="D192" s="93">
        <f>IF(B192="","","Soft App")</f>
        <v/>
      </c>
      <c r="E192" s="94" t="n"/>
      <c r="F192" s="95" t="n"/>
      <c r="G192" s="96">
        <f>IFERROR(E192/F192,0)</f>
        <v/>
      </c>
      <c r="H192" s="97">
        <f>IFERROR(SUMIF('💸 Expenses'!B9:B508,B192,'💸 Expenses'!F9:F508),0)</f>
        <v/>
      </c>
      <c r="I192" s="98">
        <f>IFERROR(E192-H192,0)</f>
        <v/>
      </c>
      <c r="J192" s="99">
        <f>IFERROR(I192/E192,0)</f>
        <v/>
      </c>
      <c r="K192" s="100" t="n"/>
      <c r="L192" s="60">
        <f>IFERROR(L191+E192,0)</f>
        <v/>
      </c>
      <c r="M192" s="63">
        <f>IFERROR(M191+H192,0)</f>
        <v/>
      </c>
      <c r="N192" s="101">
        <f>IFERROR(L192-M192,0)</f>
        <v/>
      </c>
      <c r="O192" s="102">
        <f>IFERROR(SUMIF(B8:B192,"&gt;="&amp;(B192-WEEKDAY(B192,2)+1),E8:E192),0)</f>
        <v/>
      </c>
      <c r="P192" s="103">
        <f>IFERROR(SUMIF(B8:B192,"&gt;="&amp;(B192-WEEKDAY(B192,2)+1),H8:H192),0)</f>
        <v/>
      </c>
      <c r="Q192" s="101">
        <f>IFERROR(O192-P192,0)</f>
        <v/>
      </c>
    </row>
    <row r="193" ht="16.5" customHeight="1">
      <c r="B193" s="91" t="n"/>
      <c r="C193" s="104">
        <f>IF(B193="","",TEXT(B193,"DDD"))</f>
        <v/>
      </c>
      <c r="D193" s="105">
        <f>IF(B193="","","Soft App")</f>
        <v/>
      </c>
      <c r="E193" s="106" t="n"/>
      <c r="F193" s="107" t="n"/>
      <c r="G193" s="108">
        <f>IFERROR(E193/F193,0)</f>
        <v/>
      </c>
      <c r="H193" s="109">
        <f>IFERROR(SUMIF('💸 Expenses'!B9:B508,B193,'💸 Expenses'!F9:F508),0)</f>
        <v/>
      </c>
      <c r="I193" s="110">
        <f>IFERROR(E193-H193,0)</f>
        <v/>
      </c>
      <c r="J193" s="111">
        <f>IFERROR(I193/E193,0)</f>
        <v/>
      </c>
      <c r="K193" s="112" t="n"/>
      <c r="L193" s="69">
        <f>IFERROR(L192+E193,0)</f>
        <v/>
      </c>
      <c r="M193" s="72">
        <f>IFERROR(M192+H193,0)</f>
        <v/>
      </c>
      <c r="N193" s="113">
        <f>IFERROR(L193-M193,0)</f>
        <v/>
      </c>
      <c r="O193" s="114">
        <f>IFERROR(SUMIF(B8:B193,"&gt;="&amp;(B193-WEEKDAY(B193,2)+1),E8:E193),0)</f>
        <v/>
      </c>
      <c r="P193" s="115">
        <f>IFERROR(SUMIF(B8:B193,"&gt;="&amp;(B193-WEEKDAY(B193,2)+1),H8:H193),0)</f>
        <v/>
      </c>
      <c r="Q193" s="113">
        <f>IFERROR(O193-P193,0)</f>
        <v/>
      </c>
    </row>
    <row r="194" ht="16.5" customHeight="1">
      <c r="B194" s="91" t="n"/>
      <c r="C194" s="92">
        <f>IF(B194="","",TEXT(B194,"DDD"))</f>
        <v/>
      </c>
      <c r="D194" s="93">
        <f>IF(B194="","","Soft App")</f>
        <v/>
      </c>
      <c r="E194" s="94" t="n"/>
      <c r="F194" s="95" t="n"/>
      <c r="G194" s="96">
        <f>IFERROR(E194/F194,0)</f>
        <v/>
      </c>
      <c r="H194" s="97">
        <f>IFERROR(SUMIF('💸 Expenses'!B9:B508,B194,'💸 Expenses'!F9:F508),0)</f>
        <v/>
      </c>
      <c r="I194" s="98">
        <f>IFERROR(E194-H194,0)</f>
        <v/>
      </c>
      <c r="J194" s="99">
        <f>IFERROR(I194/E194,0)</f>
        <v/>
      </c>
      <c r="K194" s="100" t="n"/>
      <c r="L194" s="60">
        <f>IFERROR(L193+E194,0)</f>
        <v/>
      </c>
      <c r="M194" s="63">
        <f>IFERROR(M193+H194,0)</f>
        <v/>
      </c>
      <c r="N194" s="101">
        <f>IFERROR(L194-M194,0)</f>
        <v/>
      </c>
      <c r="O194" s="102">
        <f>IFERROR(SUMIF(B8:B194,"&gt;="&amp;(B194-WEEKDAY(B194,2)+1),E8:E194),0)</f>
        <v/>
      </c>
      <c r="P194" s="103">
        <f>IFERROR(SUMIF(B8:B194,"&gt;="&amp;(B194-WEEKDAY(B194,2)+1),H8:H194),0)</f>
        <v/>
      </c>
      <c r="Q194" s="101">
        <f>IFERROR(O194-P194,0)</f>
        <v/>
      </c>
    </row>
    <row r="195" ht="16.5" customHeight="1">
      <c r="B195" s="91" t="n"/>
      <c r="C195" s="104">
        <f>IF(B195="","",TEXT(B195,"DDD"))</f>
        <v/>
      </c>
      <c r="D195" s="105">
        <f>IF(B195="","","Soft App")</f>
        <v/>
      </c>
      <c r="E195" s="106" t="n"/>
      <c r="F195" s="107" t="n"/>
      <c r="G195" s="108">
        <f>IFERROR(E195/F195,0)</f>
        <v/>
      </c>
      <c r="H195" s="109">
        <f>IFERROR(SUMIF('💸 Expenses'!B9:B508,B195,'💸 Expenses'!F9:F508),0)</f>
        <v/>
      </c>
      <c r="I195" s="110">
        <f>IFERROR(E195-H195,0)</f>
        <v/>
      </c>
      <c r="J195" s="111">
        <f>IFERROR(I195/E195,0)</f>
        <v/>
      </c>
      <c r="K195" s="112" t="n"/>
      <c r="L195" s="69">
        <f>IFERROR(L194+E195,0)</f>
        <v/>
      </c>
      <c r="M195" s="72">
        <f>IFERROR(M194+H195,0)</f>
        <v/>
      </c>
      <c r="N195" s="113">
        <f>IFERROR(L195-M195,0)</f>
        <v/>
      </c>
      <c r="O195" s="114">
        <f>IFERROR(SUMIF(B8:B195,"&gt;="&amp;(B195-WEEKDAY(B195,2)+1),E8:E195),0)</f>
        <v/>
      </c>
      <c r="P195" s="115">
        <f>IFERROR(SUMIF(B8:B195,"&gt;="&amp;(B195-WEEKDAY(B195,2)+1),H8:H195),0)</f>
        <v/>
      </c>
      <c r="Q195" s="113">
        <f>IFERROR(O195-P195,0)</f>
        <v/>
      </c>
    </row>
    <row r="196" ht="16.5" customHeight="1">
      <c r="B196" s="91" t="n"/>
      <c r="C196" s="92">
        <f>IF(B196="","",TEXT(B196,"DDD"))</f>
        <v/>
      </c>
      <c r="D196" s="93">
        <f>IF(B196="","","Soft App")</f>
        <v/>
      </c>
      <c r="E196" s="94" t="n"/>
      <c r="F196" s="95" t="n"/>
      <c r="G196" s="96">
        <f>IFERROR(E196/F196,0)</f>
        <v/>
      </c>
      <c r="H196" s="97">
        <f>IFERROR(SUMIF('💸 Expenses'!B9:B508,B196,'💸 Expenses'!F9:F508),0)</f>
        <v/>
      </c>
      <c r="I196" s="98">
        <f>IFERROR(E196-H196,0)</f>
        <v/>
      </c>
      <c r="J196" s="99">
        <f>IFERROR(I196/E196,0)</f>
        <v/>
      </c>
      <c r="K196" s="100" t="n"/>
      <c r="L196" s="60">
        <f>IFERROR(L195+E196,0)</f>
        <v/>
      </c>
      <c r="M196" s="63">
        <f>IFERROR(M195+H196,0)</f>
        <v/>
      </c>
      <c r="N196" s="101">
        <f>IFERROR(L196-M196,0)</f>
        <v/>
      </c>
      <c r="O196" s="102">
        <f>IFERROR(SUMIF(B8:B196,"&gt;="&amp;(B196-WEEKDAY(B196,2)+1),E8:E196),0)</f>
        <v/>
      </c>
      <c r="P196" s="103">
        <f>IFERROR(SUMIF(B8:B196,"&gt;="&amp;(B196-WEEKDAY(B196,2)+1),H8:H196),0)</f>
        <v/>
      </c>
      <c r="Q196" s="101">
        <f>IFERROR(O196-P196,0)</f>
        <v/>
      </c>
    </row>
    <row r="197" ht="16.5" customHeight="1">
      <c r="B197" s="91" t="n"/>
      <c r="C197" s="104">
        <f>IF(B197="","",TEXT(B197,"DDD"))</f>
        <v/>
      </c>
      <c r="D197" s="105">
        <f>IF(B197="","","Soft App")</f>
        <v/>
      </c>
      <c r="E197" s="106" t="n"/>
      <c r="F197" s="107" t="n"/>
      <c r="G197" s="108">
        <f>IFERROR(E197/F197,0)</f>
        <v/>
      </c>
      <c r="H197" s="109">
        <f>IFERROR(SUMIF('💸 Expenses'!B9:B508,B197,'💸 Expenses'!F9:F508),0)</f>
        <v/>
      </c>
      <c r="I197" s="110">
        <f>IFERROR(E197-H197,0)</f>
        <v/>
      </c>
      <c r="J197" s="111">
        <f>IFERROR(I197/E197,0)</f>
        <v/>
      </c>
      <c r="K197" s="112" t="n"/>
      <c r="L197" s="69">
        <f>IFERROR(L196+E197,0)</f>
        <v/>
      </c>
      <c r="M197" s="72">
        <f>IFERROR(M196+H197,0)</f>
        <v/>
      </c>
      <c r="N197" s="113">
        <f>IFERROR(L197-M197,0)</f>
        <v/>
      </c>
      <c r="O197" s="114">
        <f>IFERROR(SUMIF(B8:B197,"&gt;="&amp;(B197-WEEKDAY(B197,2)+1),E8:E197),0)</f>
        <v/>
      </c>
      <c r="P197" s="115">
        <f>IFERROR(SUMIF(B8:B197,"&gt;="&amp;(B197-WEEKDAY(B197,2)+1),H8:H197),0)</f>
        <v/>
      </c>
      <c r="Q197" s="113">
        <f>IFERROR(O197-P197,0)</f>
        <v/>
      </c>
    </row>
    <row r="198" ht="16.5" customHeight="1">
      <c r="B198" s="91" t="n"/>
      <c r="C198" s="92">
        <f>IF(B198="","",TEXT(B198,"DDD"))</f>
        <v/>
      </c>
      <c r="D198" s="93">
        <f>IF(B198="","","Soft App")</f>
        <v/>
      </c>
      <c r="E198" s="94" t="n"/>
      <c r="F198" s="95" t="n"/>
      <c r="G198" s="96">
        <f>IFERROR(E198/F198,0)</f>
        <v/>
      </c>
      <c r="H198" s="97">
        <f>IFERROR(SUMIF('💸 Expenses'!B9:B508,B198,'💸 Expenses'!F9:F508),0)</f>
        <v/>
      </c>
      <c r="I198" s="98">
        <f>IFERROR(E198-H198,0)</f>
        <v/>
      </c>
      <c r="J198" s="99">
        <f>IFERROR(I198/E198,0)</f>
        <v/>
      </c>
      <c r="K198" s="100" t="n"/>
      <c r="L198" s="60">
        <f>IFERROR(L197+E198,0)</f>
        <v/>
      </c>
      <c r="M198" s="63">
        <f>IFERROR(M197+H198,0)</f>
        <v/>
      </c>
      <c r="N198" s="101">
        <f>IFERROR(L198-M198,0)</f>
        <v/>
      </c>
      <c r="O198" s="102">
        <f>IFERROR(SUMIF(B8:B198,"&gt;="&amp;(B198-WEEKDAY(B198,2)+1),E8:E198),0)</f>
        <v/>
      </c>
      <c r="P198" s="103">
        <f>IFERROR(SUMIF(B8:B198,"&gt;="&amp;(B198-WEEKDAY(B198,2)+1),H8:H198),0)</f>
        <v/>
      </c>
      <c r="Q198" s="101">
        <f>IFERROR(O198-P198,0)</f>
        <v/>
      </c>
    </row>
    <row r="199" ht="16.5" customHeight="1">
      <c r="B199" s="91" t="n"/>
      <c r="C199" s="104">
        <f>IF(B199="","",TEXT(B199,"DDD"))</f>
        <v/>
      </c>
      <c r="D199" s="105">
        <f>IF(B199="","","Soft App")</f>
        <v/>
      </c>
      <c r="E199" s="106" t="n"/>
      <c r="F199" s="107" t="n"/>
      <c r="G199" s="108">
        <f>IFERROR(E199/F199,0)</f>
        <v/>
      </c>
      <c r="H199" s="109">
        <f>IFERROR(SUMIF('💸 Expenses'!B9:B508,B199,'💸 Expenses'!F9:F508),0)</f>
        <v/>
      </c>
      <c r="I199" s="110">
        <f>IFERROR(E199-H199,0)</f>
        <v/>
      </c>
      <c r="J199" s="111">
        <f>IFERROR(I199/E199,0)</f>
        <v/>
      </c>
      <c r="K199" s="112" t="n"/>
      <c r="L199" s="69">
        <f>IFERROR(L198+E199,0)</f>
        <v/>
      </c>
      <c r="M199" s="72">
        <f>IFERROR(M198+H199,0)</f>
        <v/>
      </c>
      <c r="N199" s="113">
        <f>IFERROR(L199-M199,0)</f>
        <v/>
      </c>
      <c r="O199" s="114">
        <f>IFERROR(SUMIF(B8:B199,"&gt;="&amp;(B199-WEEKDAY(B199,2)+1),E8:E199),0)</f>
        <v/>
      </c>
      <c r="P199" s="115">
        <f>IFERROR(SUMIF(B8:B199,"&gt;="&amp;(B199-WEEKDAY(B199,2)+1),H8:H199),0)</f>
        <v/>
      </c>
      <c r="Q199" s="113">
        <f>IFERROR(O199-P199,0)</f>
        <v/>
      </c>
    </row>
    <row r="200" ht="16.5" customHeight="1">
      <c r="B200" s="91" t="n"/>
      <c r="C200" s="92">
        <f>IF(B200="","",TEXT(B200,"DDD"))</f>
        <v/>
      </c>
      <c r="D200" s="93">
        <f>IF(B200="","","Soft App")</f>
        <v/>
      </c>
      <c r="E200" s="94" t="n"/>
      <c r="F200" s="95" t="n"/>
      <c r="G200" s="96">
        <f>IFERROR(E200/F200,0)</f>
        <v/>
      </c>
      <c r="H200" s="97">
        <f>IFERROR(SUMIF('💸 Expenses'!B9:B508,B200,'💸 Expenses'!F9:F508),0)</f>
        <v/>
      </c>
      <c r="I200" s="98">
        <f>IFERROR(E200-H200,0)</f>
        <v/>
      </c>
      <c r="J200" s="99">
        <f>IFERROR(I200/E200,0)</f>
        <v/>
      </c>
      <c r="K200" s="100" t="n"/>
      <c r="L200" s="60">
        <f>IFERROR(L199+E200,0)</f>
        <v/>
      </c>
      <c r="M200" s="63">
        <f>IFERROR(M199+H200,0)</f>
        <v/>
      </c>
      <c r="N200" s="101">
        <f>IFERROR(L200-M200,0)</f>
        <v/>
      </c>
      <c r="O200" s="102">
        <f>IFERROR(SUMIF(B8:B200,"&gt;="&amp;(B200-WEEKDAY(B200,2)+1),E8:E200),0)</f>
        <v/>
      </c>
      <c r="P200" s="103">
        <f>IFERROR(SUMIF(B8:B200,"&gt;="&amp;(B200-WEEKDAY(B200,2)+1),H8:H200),0)</f>
        <v/>
      </c>
      <c r="Q200" s="101">
        <f>IFERROR(O200-P200,0)</f>
        <v/>
      </c>
    </row>
    <row r="201" ht="16.5" customHeight="1">
      <c r="B201" s="91" t="n"/>
      <c r="C201" s="104">
        <f>IF(B201="","",TEXT(B201,"DDD"))</f>
        <v/>
      </c>
      <c r="D201" s="105">
        <f>IF(B201="","","Soft App")</f>
        <v/>
      </c>
      <c r="E201" s="106" t="n"/>
      <c r="F201" s="107" t="n"/>
      <c r="G201" s="108">
        <f>IFERROR(E201/F201,0)</f>
        <v/>
      </c>
      <c r="H201" s="109">
        <f>IFERROR(SUMIF('💸 Expenses'!B9:B508,B201,'💸 Expenses'!F9:F508),0)</f>
        <v/>
      </c>
      <c r="I201" s="110">
        <f>IFERROR(E201-H201,0)</f>
        <v/>
      </c>
      <c r="J201" s="111">
        <f>IFERROR(I201/E201,0)</f>
        <v/>
      </c>
      <c r="K201" s="112" t="n"/>
      <c r="L201" s="69">
        <f>IFERROR(L200+E201,0)</f>
        <v/>
      </c>
      <c r="M201" s="72">
        <f>IFERROR(M200+H201,0)</f>
        <v/>
      </c>
      <c r="N201" s="113">
        <f>IFERROR(L201-M201,0)</f>
        <v/>
      </c>
      <c r="O201" s="114">
        <f>IFERROR(SUMIF(B8:B201,"&gt;="&amp;(B201-WEEKDAY(B201,2)+1),E8:E201),0)</f>
        <v/>
      </c>
      <c r="P201" s="115">
        <f>IFERROR(SUMIF(B8:B201,"&gt;="&amp;(B201-WEEKDAY(B201,2)+1),H8:H201),0)</f>
        <v/>
      </c>
      <c r="Q201" s="113">
        <f>IFERROR(O201-P201,0)</f>
        <v/>
      </c>
    </row>
    <row r="202" ht="16.5" customHeight="1">
      <c r="B202" s="91" t="n"/>
      <c r="C202" s="92">
        <f>IF(B202="","",TEXT(B202,"DDD"))</f>
        <v/>
      </c>
      <c r="D202" s="93">
        <f>IF(B202="","","Soft App")</f>
        <v/>
      </c>
      <c r="E202" s="94" t="n"/>
      <c r="F202" s="95" t="n"/>
      <c r="G202" s="96">
        <f>IFERROR(E202/F202,0)</f>
        <v/>
      </c>
      <c r="H202" s="97">
        <f>IFERROR(SUMIF('💸 Expenses'!B9:B508,B202,'💸 Expenses'!F9:F508),0)</f>
        <v/>
      </c>
      <c r="I202" s="98">
        <f>IFERROR(E202-H202,0)</f>
        <v/>
      </c>
      <c r="J202" s="99">
        <f>IFERROR(I202/E202,0)</f>
        <v/>
      </c>
      <c r="K202" s="100" t="n"/>
      <c r="L202" s="60">
        <f>IFERROR(L201+E202,0)</f>
        <v/>
      </c>
      <c r="M202" s="63">
        <f>IFERROR(M201+H202,0)</f>
        <v/>
      </c>
      <c r="N202" s="101">
        <f>IFERROR(L202-M202,0)</f>
        <v/>
      </c>
      <c r="O202" s="102">
        <f>IFERROR(SUMIF(B8:B202,"&gt;="&amp;(B202-WEEKDAY(B202,2)+1),E8:E202),0)</f>
        <v/>
      </c>
      <c r="P202" s="103">
        <f>IFERROR(SUMIF(B8:B202,"&gt;="&amp;(B202-WEEKDAY(B202,2)+1),H8:H202),0)</f>
        <v/>
      </c>
      <c r="Q202" s="101">
        <f>IFERROR(O202-P202,0)</f>
        <v/>
      </c>
    </row>
    <row r="203" ht="16.5" customHeight="1">
      <c r="B203" s="91" t="n"/>
      <c r="C203" s="104">
        <f>IF(B203="","",TEXT(B203,"DDD"))</f>
        <v/>
      </c>
      <c r="D203" s="105">
        <f>IF(B203="","","Soft App")</f>
        <v/>
      </c>
      <c r="E203" s="106" t="n"/>
      <c r="F203" s="107" t="n"/>
      <c r="G203" s="108">
        <f>IFERROR(E203/F203,0)</f>
        <v/>
      </c>
      <c r="H203" s="109">
        <f>IFERROR(SUMIF('💸 Expenses'!B9:B508,B203,'💸 Expenses'!F9:F508),0)</f>
        <v/>
      </c>
      <c r="I203" s="110">
        <f>IFERROR(E203-H203,0)</f>
        <v/>
      </c>
      <c r="J203" s="111">
        <f>IFERROR(I203/E203,0)</f>
        <v/>
      </c>
      <c r="K203" s="112" t="n"/>
      <c r="L203" s="69">
        <f>IFERROR(L202+E203,0)</f>
        <v/>
      </c>
      <c r="M203" s="72">
        <f>IFERROR(M202+H203,0)</f>
        <v/>
      </c>
      <c r="N203" s="113">
        <f>IFERROR(L203-M203,0)</f>
        <v/>
      </c>
      <c r="O203" s="114">
        <f>IFERROR(SUMIF(B8:B203,"&gt;="&amp;(B203-WEEKDAY(B203,2)+1),E8:E203),0)</f>
        <v/>
      </c>
      <c r="P203" s="115">
        <f>IFERROR(SUMIF(B8:B203,"&gt;="&amp;(B203-WEEKDAY(B203,2)+1),H8:H203),0)</f>
        <v/>
      </c>
      <c r="Q203" s="113">
        <f>IFERROR(O203-P203,0)</f>
        <v/>
      </c>
    </row>
    <row r="204" ht="16.5" customHeight="1">
      <c r="B204" s="91" t="n"/>
      <c r="C204" s="92">
        <f>IF(B204="","",TEXT(B204,"DDD"))</f>
        <v/>
      </c>
      <c r="D204" s="93">
        <f>IF(B204="","","Soft App")</f>
        <v/>
      </c>
      <c r="E204" s="94" t="n"/>
      <c r="F204" s="95" t="n"/>
      <c r="G204" s="96">
        <f>IFERROR(E204/F204,0)</f>
        <v/>
      </c>
      <c r="H204" s="97">
        <f>IFERROR(SUMIF('💸 Expenses'!B9:B508,B204,'💸 Expenses'!F9:F508),0)</f>
        <v/>
      </c>
      <c r="I204" s="98">
        <f>IFERROR(E204-H204,0)</f>
        <v/>
      </c>
      <c r="J204" s="99">
        <f>IFERROR(I204/E204,0)</f>
        <v/>
      </c>
      <c r="K204" s="100" t="n"/>
      <c r="L204" s="60">
        <f>IFERROR(L203+E204,0)</f>
        <v/>
      </c>
      <c r="M204" s="63">
        <f>IFERROR(M203+H204,0)</f>
        <v/>
      </c>
      <c r="N204" s="101">
        <f>IFERROR(L204-M204,0)</f>
        <v/>
      </c>
      <c r="O204" s="102">
        <f>IFERROR(SUMIF(B8:B204,"&gt;="&amp;(B204-WEEKDAY(B204,2)+1),E8:E204),0)</f>
        <v/>
      </c>
      <c r="P204" s="103">
        <f>IFERROR(SUMIF(B8:B204,"&gt;="&amp;(B204-WEEKDAY(B204,2)+1),H8:H204),0)</f>
        <v/>
      </c>
      <c r="Q204" s="101">
        <f>IFERROR(O204-P204,0)</f>
        <v/>
      </c>
    </row>
    <row r="205" ht="16.5" customHeight="1">
      <c r="B205" s="91" t="n"/>
      <c r="C205" s="104">
        <f>IF(B205="","",TEXT(B205,"DDD"))</f>
        <v/>
      </c>
      <c r="D205" s="105">
        <f>IF(B205="","","Soft App")</f>
        <v/>
      </c>
      <c r="E205" s="106" t="n"/>
      <c r="F205" s="107" t="n"/>
      <c r="G205" s="108">
        <f>IFERROR(E205/F205,0)</f>
        <v/>
      </c>
      <c r="H205" s="109">
        <f>IFERROR(SUMIF('💸 Expenses'!B9:B508,B205,'💸 Expenses'!F9:F508),0)</f>
        <v/>
      </c>
      <c r="I205" s="110">
        <f>IFERROR(E205-H205,0)</f>
        <v/>
      </c>
      <c r="J205" s="111">
        <f>IFERROR(I205/E205,0)</f>
        <v/>
      </c>
      <c r="K205" s="112" t="n"/>
      <c r="L205" s="69">
        <f>IFERROR(L204+E205,0)</f>
        <v/>
      </c>
      <c r="M205" s="72">
        <f>IFERROR(M204+H205,0)</f>
        <v/>
      </c>
      <c r="N205" s="113">
        <f>IFERROR(L205-M205,0)</f>
        <v/>
      </c>
      <c r="O205" s="114">
        <f>IFERROR(SUMIF(B8:B205,"&gt;="&amp;(B205-WEEKDAY(B205,2)+1),E8:E205),0)</f>
        <v/>
      </c>
      <c r="P205" s="115">
        <f>IFERROR(SUMIF(B8:B205,"&gt;="&amp;(B205-WEEKDAY(B205,2)+1),H8:H205),0)</f>
        <v/>
      </c>
      <c r="Q205" s="113">
        <f>IFERROR(O205-P205,0)</f>
        <v/>
      </c>
    </row>
    <row r="206" ht="16.5" customHeight="1">
      <c r="B206" s="91" t="n"/>
      <c r="C206" s="92">
        <f>IF(B206="","",TEXT(B206,"DDD"))</f>
        <v/>
      </c>
      <c r="D206" s="93">
        <f>IF(B206="","","Soft App")</f>
        <v/>
      </c>
      <c r="E206" s="94" t="n"/>
      <c r="F206" s="95" t="n"/>
      <c r="G206" s="96">
        <f>IFERROR(E206/F206,0)</f>
        <v/>
      </c>
      <c r="H206" s="97">
        <f>IFERROR(SUMIF('💸 Expenses'!B9:B508,B206,'💸 Expenses'!F9:F508),0)</f>
        <v/>
      </c>
      <c r="I206" s="98">
        <f>IFERROR(E206-H206,0)</f>
        <v/>
      </c>
      <c r="J206" s="99">
        <f>IFERROR(I206/E206,0)</f>
        <v/>
      </c>
      <c r="K206" s="100" t="n"/>
      <c r="L206" s="60">
        <f>IFERROR(L205+E206,0)</f>
        <v/>
      </c>
      <c r="M206" s="63">
        <f>IFERROR(M205+H206,0)</f>
        <v/>
      </c>
      <c r="N206" s="101">
        <f>IFERROR(L206-M206,0)</f>
        <v/>
      </c>
      <c r="O206" s="102">
        <f>IFERROR(SUMIF(B8:B206,"&gt;="&amp;(B206-WEEKDAY(B206,2)+1),E8:E206),0)</f>
        <v/>
      </c>
      <c r="P206" s="103">
        <f>IFERROR(SUMIF(B8:B206,"&gt;="&amp;(B206-WEEKDAY(B206,2)+1),H8:H206),0)</f>
        <v/>
      </c>
      <c r="Q206" s="101">
        <f>IFERROR(O206-P206,0)</f>
        <v/>
      </c>
    </row>
    <row r="207" ht="16.5" customHeight="1">
      <c r="B207" s="91" t="n"/>
      <c r="C207" s="104">
        <f>IF(B207="","",TEXT(B207,"DDD"))</f>
        <v/>
      </c>
      <c r="D207" s="105">
        <f>IF(B207="","","Soft App")</f>
        <v/>
      </c>
      <c r="E207" s="106" t="n"/>
      <c r="F207" s="107" t="n"/>
      <c r="G207" s="108">
        <f>IFERROR(E207/F207,0)</f>
        <v/>
      </c>
      <c r="H207" s="109">
        <f>IFERROR(SUMIF('💸 Expenses'!B9:B508,B207,'💸 Expenses'!F9:F508),0)</f>
        <v/>
      </c>
      <c r="I207" s="110">
        <f>IFERROR(E207-H207,0)</f>
        <v/>
      </c>
      <c r="J207" s="111">
        <f>IFERROR(I207/E207,0)</f>
        <v/>
      </c>
      <c r="K207" s="112" t="n"/>
      <c r="L207" s="69">
        <f>IFERROR(L206+E207,0)</f>
        <v/>
      </c>
      <c r="M207" s="72">
        <f>IFERROR(M206+H207,0)</f>
        <v/>
      </c>
      <c r="N207" s="113">
        <f>IFERROR(L207-M207,0)</f>
        <v/>
      </c>
      <c r="O207" s="114">
        <f>IFERROR(SUMIF(B8:B207,"&gt;="&amp;(B207-WEEKDAY(B207,2)+1),E8:E207),0)</f>
        <v/>
      </c>
      <c r="P207" s="115">
        <f>IFERROR(SUMIF(B8:B207,"&gt;="&amp;(B207-WEEKDAY(B207,2)+1),H8:H207),0)</f>
        <v/>
      </c>
      <c r="Q207" s="113">
        <f>IFERROR(O207-P207,0)</f>
        <v/>
      </c>
    </row>
    <row r="208" ht="16.5" customHeight="1">
      <c r="B208" s="91" t="n"/>
      <c r="C208" s="92">
        <f>IF(B208="","",TEXT(B208,"DDD"))</f>
        <v/>
      </c>
      <c r="D208" s="93">
        <f>IF(B208="","","Soft App")</f>
        <v/>
      </c>
      <c r="E208" s="94" t="n"/>
      <c r="F208" s="95" t="n"/>
      <c r="G208" s="96">
        <f>IFERROR(E208/F208,0)</f>
        <v/>
      </c>
      <c r="H208" s="97">
        <f>IFERROR(SUMIF('💸 Expenses'!B9:B508,B208,'💸 Expenses'!F9:F508),0)</f>
        <v/>
      </c>
      <c r="I208" s="98">
        <f>IFERROR(E208-H208,0)</f>
        <v/>
      </c>
      <c r="J208" s="99">
        <f>IFERROR(I208/E208,0)</f>
        <v/>
      </c>
      <c r="K208" s="100" t="n"/>
      <c r="L208" s="60">
        <f>IFERROR(L207+E208,0)</f>
        <v/>
      </c>
      <c r="M208" s="63">
        <f>IFERROR(M207+H208,0)</f>
        <v/>
      </c>
      <c r="N208" s="101">
        <f>IFERROR(L208-M208,0)</f>
        <v/>
      </c>
      <c r="O208" s="102">
        <f>IFERROR(SUMIF(B8:B208,"&gt;="&amp;(B208-WEEKDAY(B208,2)+1),E8:E208),0)</f>
        <v/>
      </c>
      <c r="P208" s="103">
        <f>IFERROR(SUMIF(B8:B208,"&gt;="&amp;(B208-WEEKDAY(B208,2)+1),H8:H208),0)</f>
        <v/>
      </c>
      <c r="Q208" s="101">
        <f>IFERROR(O208-P208,0)</f>
        <v/>
      </c>
    </row>
    <row r="209" ht="16.5" customHeight="1">
      <c r="B209" s="91" t="n"/>
      <c r="C209" s="104">
        <f>IF(B209="","",TEXT(B209,"DDD"))</f>
        <v/>
      </c>
      <c r="D209" s="105">
        <f>IF(B209="","","Soft App")</f>
        <v/>
      </c>
      <c r="E209" s="106" t="n"/>
      <c r="F209" s="107" t="n"/>
      <c r="G209" s="108">
        <f>IFERROR(E209/F209,0)</f>
        <v/>
      </c>
      <c r="H209" s="109">
        <f>IFERROR(SUMIF('💸 Expenses'!B9:B508,B209,'💸 Expenses'!F9:F508),0)</f>
        <v/>
      </c>
      <c r="I209" s="110">
        <f>IFERROR(E209-H209,0)</f>
        <v/>
      </c>
      <c r="J209" s="111">
        <f>IFERROR(I209/E209,0)</f>
        <v/>
      </c>
      <c r="K209" s="112" t="n"/>
      <c r="L209" s="69">
        <f>IFERROR(L208+E209,0)</f>
        <v/>
      </c>
      <c r="M209" s="72">
        <f>IFERROR(M208+H209,0)</f>
        <v/>
      </c>
      <c r="N209" s="113">
        <f>IFERROR(L209-M209,0)</f>
        <v/>
      </c>
      <c r="O209" s="114">
        <f>IFERROR(SUMIF(B8:B209,"&gt;="&amp;(B209-WEEKDAY(B209,2)+1),E8:E209),0)</f>
        <v/>
      </c>
      <c r="P209" s="115">
        <f>IFERROR(SUMIF(B8:B209,"&gt;="&amp;(B209-WEEKDAY(B209,2)+1),H8:H209),0)</f>
        <v/>
      </c>
      <c r="Q209" s="113">
        <f>IFERROR(O209-P209,0)</f>
        <v/>
      </c>
    </row>
    <row r="210" ht="16.5" customHeight="1">
      <c r="B210" s="91" t="n"/>
      <c r="C210" s="92">
        <f>IF(B210="","",TEXT(B210,"DDD"))</f>
        <v/>
      </c>
      <c r="D210" s="93">
        <f>IF(B210="","","Soft App")</f>
        <v/>
      </c>
      <c r="E210" s="94" t="n"/>
      <c r="F210" s="95" t="n"/>
      <c r="G210" s="96">
        <f>IFERROR(E210/F210,0)</f>
        <v/>
      </c>
      <c r="H210" s="97">
        <f>IFERROR(SUMIF('💸 Expenses'!B9:B508,B210,'💸 Expenses'!F9:F508),0)</f>
        <v/>
      </c>
      <c r="I210" s="98">
        <f>IFERROR(E210-H210,0)</f>
        <v/>
      </c>
      <c r="J210" s="99">
        <f>IFERROR(I210/E210,0)</f>
        <v/>
      </c>
      <c r="K210" s="100" t="n"/>
      <c r="L210" s="60">
        <f>IFERROR(L209+E210,0)</f>
        <v/>
      </c>
      <c r="M210" s="63">
        <f>IFERROR(M209+H210,0)</f>
        <v/>
      </c>
      <c r="N210" s="101">
        <f>IFERROR(L210-M210,0)</f>
        <v/>
      </c>
      <c r="O210" s="102">
        <f>IFERROR(SUMIF(B8:B210,"&gt;="&amp;(B210-WEEKDAY(B210,2)+1),E8:E210),0)</f>
        <v/>
      </c>
      <c r="P210" s="103">
        <f>IFERROR(SUMIF(B8:B210,"&gt;="&amp;(B210-WEEKDAY(B210,2)+1),H8:H210),0)</f>
        <v/>
      </c>
      <c r="Q210" s="101">
        <f>IFERROR(O210-P210,0)</f>
        <v/>
      </c>
    </row>
    <row r="211" ht="16.5" customHeight="1">
      <c r="B211" s="91" t="n"/>
      <c r="C211" s="104">
        <f>IF(B211="","",TEXT(B211,"DDD"))</f>
        <v/>
      </c>
      <c r="D211" s="105">
        <f>IF(B211="","","Soft App")</f>
        <v/>
      </c>
      <c r="E211" s="106" t="n"/>
      <c r="F211" s="107" t="n"/>
      <c r="G211" s="108">
        <f>IFERROR(E211/F211,0)</f>
        <v/>
      </c>
      <c r="H211" s="109">
        <f>IFERROR(SUMIF('💸 Expenses'!B9:B508,B211,'💸 Expenses'!F9:F508),0)</f>
        <v/>
      </c>
      <c r="I211" s="110">
        <f>IFERROR(E211-H211,0)</f>
        <v/>
      </c>
      <c r="J211" s="111">
        <f>IFERROR(I211/E211,0)</f>
        <v/>
      </c>
      <c r="K211" s="112" t="n"/>
      <c r="L211" s="69">
        <f>IFERROR(L210+E211,0)</f>
        <v/>
      </c>
      <c r="M211" s="72">
        <f>IFERROR(M210+H211,0)</f>
        <v/>
      </c>
      <c r="N211" s="113">
        <f>IFERROR(L211-M211,0)</f>
        <v/>
      </c>
      <c r="O211" s="114">
        <f>IFERROR(SUMIF(B8:B211,"&gt;="&amp;(B211-WEEKDAY(B211,2)+1),E8:E211),0)</f>
        <v/>
      </c>
      <c r="P211" s="115">
        <f>IFERROR(SUMIF(B8:B211,"&gt;="&amp;(B211-WEEKDAY(B211,2)+1),H8:H211),0)</f>
        <v/>
      </c>
      <c r="Q211" s="113">
        <f>IFERROR(O211-P211,0)</f>
        <v/>
      </c>
    </row>
    <row r="212" ht="16.5" customHeight="1">
      <c r="B212" s="91" t="n"/>
      <c r="C212" s="92">
        <f>IF(B212="","",TEXT(B212,"DDD"))</f>
        <v/>
      </c>
      <c r="D212" s="93">
        <f>IF(B212="","","Soft App")</f>
        <v/>
      </c>
      <c r="E212" s="94" t="n"/>
      <c r="F212" s="95" t="n"/>
      <c r="G212" s="96">
        <f>IFERROR(E212/F212,0)</f>
        <v/>
      </c>
      <c r="H212" s="97">
        <f>IFERROR(SUMIF('💸 Expenses'!B9:B508,B212,'💸 Expenses'!F9:F508),0)</f>
        <v/>
      </c>
      <c r="I212" s="98">
        <f>IFERROR(E212-H212,0)</f>
        <v/>
      </c>
      <c r="J212" s="99">
        <f>IFERROR(I212/E212,0)</f>
        <v/>
      </c>
      <c r="K212" s="100" t="n"/>
      <c r="L212" s="60">
        <f>IFERROR(L211+E212,0)</f>
        <v/>
      </c>
      <c r="M212" s="63">
        <f>IFERROR(M211+H212,0)</f>
        <v/>
      </c>
      <c r="N212" s="101">
        <f>IFERROR(L212-M212,0)</f>
        <v/>
      </c>
      <c r="O212" s="102">
        <f>IFERROR(SUMIF(B8:B212,"&gt;="&amp;(B212-WEEKDAY(B212,2)+1),E8:E212),0)</f>
        <v/>
      </c>
      <c r="P212" s="103">
        <f>IFERROR(SUMIF(B8:B212,"&gt;="&amp;(B212-WEEKDAY(B212,2)+1),H8:H212),0)</f>
        <v/>
      </c>
      <c r="Q212" s="101">
        <f>IFERROR(O212-P212,0)</f>
        <v/>
      </c>
    </row>
    <row r="213" ht="16.5" customHeight="1">
      <c r="B213" s="91" t="n"/>
      <c r="C213" s="104">
        <f>IF(B213="","",TEXT(B213,"DDD"))</f>
        <v/>
      </c>
      <c r="D213" s="105">
        <f>IF(B213="","","Soft App")</f>
        <v/>
      </c>
      <c r="E213" s="106" t="n"/>
      <c r="F213" s="107" t="n"/>
      <c r="G213" s="108">
        <f>IFERROR(E213/F213,0)</f>
        <v/>
      </c>
      <c r="H213" s="109">
        <f>IFERROR(SUMIF('💸 Expenses'!B9:B508,B213,'💸 Expenses'!F9:F508),0)</f>
        <v/>
      </c>
      <c r="I213" s="110">
        <f>IFERROR(E213-H213,0)</f>
        <v/>
      </c>
      <c r="J213" s="111">
        <f>IFERROR(I213/E213,0)</f>
        <v/>
      </c>
      <c r="K213" s="112" t="n"/>
      <c r="L213" s="69">
        <f>IFERROR(L212+E213,0)</f>
        <v/>
      </c>
      <c r="M213" s="72">
        <f>IFERROR(M212+H213,0)</f>
        <v/>
      </c>
      <c r="N213" s="113">
        <f>IFERROR(L213-M213,0)</f>
        <v/>
      </c>
      <c r="O213" s="114">
        <f>IFERROR(SUMIF(B8:B213,"&gt;="&amp;(B213-WEEKDAY(B213,2)+1),E8:E213),0)</f>
        <v/>
      </c>
      <c r="P213" s="115">
        <f>IFERROR(SUMIF(B8:B213,"&gt;="&amp;(B213-WEEKDAY(B213,2)+1),H8:H213),0)</f>
        <v/>
      </c>
      <c r="Q213" s="113">
        <f>IFERROR(O213-P213,0)</f>
        <v/>
      </c>
    </row>
    <row r="214" ht="16.5" customHeight="1">
      <c r="B214" s="91" t="n"/>
      <c r="C214" s="92">
        <f>IF(B214="","",TEXT(B214,"DDD"))</f>
        <v/>
      </c>
      <c r="D214" s="93">
        <f>IF(B214="","","Soft App")</f>
        <v/>
      </c>
      <c r="E214" s="94" t="n"/>
      <c r="F214" s="95" t="n"/>
      <c r="G214" s="96">
        <f>IFERROR(E214/F214,0)</f>
        <v/>
      </c>
      <c r="H214" s="97">
        <f>IFERROR(SUMIF('💸 Expenses'!B9:B508,B214,'💸 Expenses'!F9:F508),0)</f>
        <v/>
      </c>
      <c r="I214" s="98">
        <f>IFERROR(E214-H214,0)</f>
        <v/>
      </c>
      <c r="J214" s="99">
        <f>IFERROR(I214/E214,0)</f>
        <v/>
      </c>
      <c r="K214" s="100" t="n"/>
      <c r="L214" s="60">
        <f>IFERROR(L213+E214,0)</f>
        <v/>
      </c>
      <c r="M214" s="63">
        <f>IFERROR(M213+H214,0)</f>
        <v/>
      </c>
      <c r="N214" s="101">
        <f>IFERROR(L214-M214,0)</f>
        <v/>
      </c>
      <c r="O214" s="102">
        <f>IFERROR(SUMIF(B8:B214,"&gt;="&amp;(B214-WEEKDAY(B214,2)+1),E8:E214),0)</f>
        <v/>
      </c>
      <c r="P214" s="103">
        <f>IFERROR(SUMIF(B8:B214,"&gt;="&amp;(B214-WEEKDAY(B214,2)+1),H8:H214),0)</f>
        <v/>
      </c>
      <c r="Q214" s="101">
        <f>IFERROR(O214-P214,0)</f>
        <v/>
      </c>
    </row>
    <row r="215" ht="16.5" customHeight="1">
      <c r="B215" s="91" t="n"/>
      <c r="C215" s="104">
        <f>IF(B215="","",TEXT(B215,"DDD"))</f>
        <v/>
      </c>
      <c r="D215" s="105">
        <f>IF(B215="","","Soft App")</f>
        <v/>
      </c>
      <c r="E215" s="106" t="n"/>
      <c r="F215" s="107" t="n"/>
      <c r="G215" s="108">
        <f>IFERROR(E215/F215,0)</f>
        <v/>
      </c>
      <c r="H215" s="109">
        <f>IFERROR(SUMIF('💸 Expenses'!B9:B508,B215,'💸 Expenses'!F9:F508),0)</f>
        <v/>
      </c>
      <c r="I215" s="110">
        <f>IFERROR(E215-H215,0)</f>
        <v/>
      </c>
      <c r="J215" s="111">
        <f>IFERROR(I215/E215,0)</f>
        <v/>
      </c>
      <c r="K215" s="112" t="n"/>
      <c r="L215" s="69">
        <f>IFERROR(L214+E215,0)</f>
        <v/>
      </c>
      <c r="M215" s="72">
        <f>IFERROR(M214+H215,0)</f>
        <v/>
      </c>
      <c r="N215" s="113">
        <f>IFERROR(L215-M215,0)</f>
        <v/>
      </c>
      <c r="O215" s="114">
        <f>IFERROR(SUMIF(B8:B215,"&gt;="&amp;(B215-WEEKDAY(B215,2)+1),E8:E215),0)</f>
        <v/>
      </c>
      <c r="P215" s="115">
        <f>IFERROR(SUMIF(B8:B215,"&gt;="&amp;(B215-WEEKDAY(B215,2)+1),H8:H215),0)</f>
        <v/>
      </c>
      <c r="Q215" s="113">
        <f>IFERROR(O215-P215,0)</f>
        <v/>
      </c>
    </row>
    <row r="216" ht="16.5" customHeight="1">
      <c r="B216" s="91" t="n"/>
      <c r="C216" s="92">
        <f>IF(B216="","",TEXT(B216,"DDD"))</f>
        <v/>
      </c>
      <c r="D216" s="93">
        <f>IF(B216="","","Soft App")</f>
        <v/>
      </c>
      <c r="E216" s="94" t="n"/>
      <c r="F216" s="95" t="n"/>
      <c r="G216" s="96">
        <f>IFERROR(E216/F216,0)</f>
        <v/>
      </c>
      <c r="H216" s="97">
        <f>IFERROR(SUMIF('💸 Expenses'!B9:B508,B216,'💸 Expenses'!F9:F508),0)</f>
        <v/>
      </c>
      <c r="I216" s="98">
        <f>IFERROR(E216-H216,0)</f>
        <v/>
      </c>
      <c r="J216" s="99">
        <f>IFERROR(I216/E216,0)</f>
        <v/>
      </c>
      <c r="K216" s="100" t="n"/>
      <c r="L216" s="60">
        <f>IFERROR(L215+E216,0)</f>
        <v/>
      </c>
      <c r="M216" s="63">
        <f>IFERROR(M215+H216,0)</f>
        <v/>
      </c>
      <c r="N216" s="101">
        <f>IFERROR(L216-M216,0)</f>
        <v/>
      </c>
      <c r="O216" s="102">
        <f>IFERROR(SUMIF(B8:B216,"&gt;="&amp;(B216-WEEKDAY(B216,2)+1),E8:E216),0)</f>
        <v/>
      </c>
      <c r="P216" s="103">
        <f>IFERROR(SUMIF(B8:B216,"&gt;="&amp;(B216-WEEKDAY(B216,2)+1),H8:H216),0)</f>
        <v/>
      </c>
      <c r="Q216" s="101">
        <f>IFERROR(O216-P216,0)</f>
        <v/>
      </c>
    </row>
    <row r="217" ht="16.5" customHeight="1">
      <c r="B217" s="91" t="n"/>
      <c r="C217" s="104">
        <f>IF(B217="","",TEXT(B217,"DDD"))</f>
        <v/>
      </c>
      <c r="D217" s="105">
        <f>IF(B217="","","Soft App")</f>
        <v/>
      </c>
      <c r="E217" s="106" t="n"/>
      <c r="F217" s="107" t="n"/>
      <c r="G217" s="108">
        <f>IFERROR(E217/F217,0)</f>
        <v/>
      </c>
      <c r="H217" s="109">
        <f>IFERROR(SUMIF('💸 Expenses'!B9:B508,B217,'💸 Expenses'!F9:F508),0)</f>
        <v/>
      </c>
      <c r="I217" s="110">
        <f>IFERROR(E217-H217,0)</f>
        <v/>
      </c>
      <c r="J217" s="111">
        <f>IFERROR(I217/E217,0)</f>
        <v/>
      </c>
      <c r="K217" s="112" t="n"/>
      <c r="L217" s="69">
        <f>IFERROR(L216+E217,0)</f>
        <v/>
      </c>
      <c r="M217" s="72">
        <f>IFERROR(M216+H217,0)</f>
        <v/>
      </c>
      <c r="N217" s="113">
        <f>IFERROR(L217-M217,0)</f>
        <v/>
      </c>
      <c r="O217" s="114">
        <f>IFERROR(SUMIF(B8:B217,"&gt;="&amp;(B217-WEEKDAY(B217,2)+1),E8:E217),0)</f>
        <v/>
      </c>
      <c r="P217" s="115">
        <f>IFERROR(SUMIF(B8:B217,"&gt;="&amp;(B217-WEEKDAY(B217,2)+1),H8:H217),0)</f>
        <v/>
      </c>
      <c r="Q217" s="113">
        <f>IFERROR(O217-P217,0)</f>
        <v/>
      </c>
    </row>
    <row r="218" ht="16.5" customHeight="1">
      <c r="B218" s="91" t="n"/>
      <c r="C218" s="92">
        <f>IF(B218="","",TEXT(B218,"DDD"))</f>
        <v/>
      </c>
      <c r="D218" s="93">
        <f>IF(B218="","","Soft App")</f>
        <v/>
      </c>
      <c r="E218" s="94" t="n"/>
      <c r="F218" s="95" t="n"/>
      <c r="G218" s="96">
        <f>IFERROR(E218/F218,0)</f>
        <v/>
      </c>
      <c r="H218" s="97">
        <f>IFERROR(SUMIF('💸 Expenses'!B9:B508,B218,'💸 Expenses'!F9:F508),0)</f>
        <v/>
      </c>
      <c r="I218" s="98">
        <f>IFERROR(E218-H218,0)</f>
        <v/>
      </c>
      <c r="J218" s="99">
        <f>IFERROR(I218/E218,0)</f>
        <v/>
      </c>
      <c r="K218" s="100" t="n"/>
      <c r="L218" s="60">
        <f>IFERROR(L217+E218,0)</f>
        <v/>
      </c>
      <c r="M218" s="63">
        <f>IFERROR(M217+H218,0)</f>
        <v/>
      </c>
      <c r="N218" s="101">
        <f>IFERROR(L218-M218,0)</f>
        <v/>
      </c>
      <c r="O218" s="102">
        <f>IFERROR(SUMIF(B8:B218,"&gt;="&amp;(B218-WEEKDAY(B218,2)+1),E8:E218),0)</f>
        <v/>
      </c>
      <c r="P218" s="103">
        <f>IFERROR(SUMIF(B8:B218,"&gt;="&amp;(B218-WEEKDAY(B218,2)+1),H8:H218),0)</f>
        <v/>
      </c>
      <c r="Q218" s="101">
        <f>IFERROR(O218-P218,0)</f>
        <v/>
      </c>
    </row>
    <row r="219" ht="16.5" customHeight="1">
      <c r="B219" s="91" t="n"/>
      <c r="C219" s="104">
        <f>IF(B219="","",TEXT(B219,"DDD"))</f>
        <v/>
      </c>
      <c r="D219" s="105">
        <f>IF(B219="","","Soft App")</f>
        <v/>
      </c>
      <c r="E219" s="106" t="n"/>
      <c r="F219" s="107" t="n"/>
      <c r="G219" s="108">
        <f>IFERROR(E219/F219,0)</f>
        <v/>
      </c>
      <c r="H219" s="109">
        <f>IFERROR(SUMIF('💸 Expenses'!B9:B508,B219,'💸 Expenses'!F9:F508),0)</f>
        <v/>
      </c>
      <c r="I219" s="110">
        <f>IFERROR(E219-H219,0)</f>
        <v/>
      </c>
      <c r="J219" s="111">
        <f>IFERROR(I219/E219,0)</f>
        <v/>
      </c>
      <c r="K219" s="112" t="n"/>
      <c r="L219" s="69">
        <f>IFERROR(L218+E219,0)</f>
        <v/>
      </c>
      <c r="M219" s="72">
        <f>IFERROR(M218+H219,0)</f>
        <v/>
      </c>
      <c r="N219" s="113">
        <f>IFERROR(L219-M219,0)</f>
        <v/>
      </c>
      <c r="O219" s="114">
        <f>IFERROR(SUMIF(B8:B219,"&gt;="&amp;(B219-WEEKDAY(B219,2)+1),E8:E219),0)</f>
        <v/>
      </c>
      <c r="P219" s="115">
        <f>IFERROR(SUMIF(B8:B219,"&gt;="&amp;(B219-WEEKDAY(B219,2)+1),H8:H219),0)</f>
        <v/>
      </c>
      <c r="Q219" s="113">
        <f>IFERROR(O219-P219,0)</f>
        <v/>
      </c>
    </row>
    <row r="220" ht="16.5" customHeight="1">
      <c r="B220" s="91" t="n"/>
      <c r="C220" s="92">
        <f>IF(B220="","",TEXT(B220,"DDD"))</f>
        <v/>
      </c>
      <c r="D220" s="93">
        <f>IF(B220="","","Soft App")</f>
        <v/>
      </c>
      <c r="E220" s="94" t="n"/>
      <c r="F220" s="95" t="n"/>
      <c r="G220" s="96">
        <f>IFERROR(E220/F220,0)</f>
        <v/>
      </c>
      <c r="H220" s="97">
        <f>IFERROR(SUMIF('💸 Expenses'!B9:B508,B220,'💸 Expenses'!F9:F508),0)</f>
        <v/>
      </c>
      <c r="I220" s="98">
        <f>IFERROR(E220-H220,0)</f>
        <v/>
      </c>
      <c r="J220" s="99">
        <f>IFERROR(I220/E220,0)</f>
        <v/>
      </c>
      <c r="K220" s="100" t="n"/>
      <c r="L220" s="60">
        <f>IFERROR(L219+E220,0)</f>
        <v/>
      </c>
      <c r="M220" s="63">
        <f>IFERROR(M219+H220,0)</f>
        <v/>
      </c>
      <c r="N220" s="101">
        <f>IFERROR(L220-M220,0)</f>
        <v/>
      </c>
      <c r="O220" s="102">
        <f>IFERROR(SUMIF(B8:B220,"&gt;="&amp;(B220-WEEKDAY(B220,2)+1),E8:E220),0)</f>
        <v/>
      </c>
      <c r="P220" s="103">
        <f>IFERROR(SUMIF(B8:B220,"&gt;="&amp;(B220-WEEKDAY(B220,2)+1),H8:H220),0)</f>
        <v/>
      </c>
      <c r="Q220" s="101">
        <f>IFERROR(O220-P220,0)</f>
        <v/>
      </c>
    </row>
    <row r="221" ht="16.5" customHeight="1">
      <c r="B221" s="91" t="n"/>
      <c r="C221" s="104">
        <f>IF(B221="","",TEXT(B221,"DDD"))</f>
        <v/>
      </c>
      <c r="D221" s="105">
        <f>IF(B221="","","Soft App")</f>
        <v/>
      </c>
      <c r="E221" s="106" t="n"/>
      <c r="F221" s="107" t="n"/>
      <c r="G221" s="108">
        <f>IFERROR(E221/F221,0)</f>
        <v/>
      </c>
      <c r="H221" s="109">
        <f>IFERROR(SUMIF('💸 Expenses'!B9:B508,B221,'💸 Expenses'!F9:F508),0)</f>
        <v/>
      </c>
      <c r="I221" s="110">
        <f>IFERROR(E221-H221,0)</f>
        <v/>
      </c>
      <c r="J221" s="111">
        <f>IFERROR(I221/E221,0)</f>
        <v/>
      </c>
      <c r="K221" s="112" t="n"/>
      <c r="L221" s="69">
        <f>IFERROR(L220+E221,0)</f>
        <v/>
      </c>
      <c r="M221" s="72">
        <f>IFERROR(M220+H221,0)</f>
        <v/>
      </c>
      <c r="N221" s="113">
        <f>IFERROR(L221-M221,0)</f>
        <v/>
      </c>
      <c r="O221" s="114">
        <f>IFERROR(SUMIF(B8:B221,"&gt;="&amp;(B221-WEEKDAY(B221,2)+1),E8:E221),0)</f>
        <v/>
      </c>
      <c r="P221" s="115">
        <f>IFERROR(SUMIF(B8:B221,"&gt;="&amp;(B221-WEEKDAY(B221,2)+1),H8:H221),0)</f>
        <v/>
      </c>
      <c r="Q221" s="113">
        <f>IFERROR(O221-P221,0)</f>
        <v/>
      </c>
    </row>
    <row r="222" ht="16.5" customHeight="1">
      <c r="B222" s="91" t="n"/>
      <c r="C222" s="92">
        <f>IF(B222="","",TEXT(B222,"DDD"))</f>
        <v/>
      </c>
      <c r="D222" s="93">
        <f>IF(B222="","","Soft App")</f>
        <v/>
      </c>
      <c r="E222" s="94" t="n"/>
      <c r="F222" s="95" t="n"/>
      <c r="G222" s="96">
        <f>IFERROR(E222/F222,0)</f>
        <v/>
      </c>
      <c r="H222" s="97">
        <f>IFERROR(SUMIF('💸 Expenses'!B9:B508,B222,'💸 Expenses'!F9:F508),0)</f>
        <v/>
      </c>
      <c r="I222" s="98">
        <f>IFERROR(E222-H222,0)</f>
        <v/>
      </c>
      <c r="J222" s="99">
        <f>IFERROR(I222/E222,0)</f>
        <v/>
      </c>
      <c r="K222" s="100" t="n"/>
      <c r="L222" s="60">
        <f>IFERROR(L221+E222,0)</f>
        <v/>
      </c>
      <c r="M222" s="63">
        <f>IFERROR(M221+H222,0)</f>
        <v/>
      </c>
      <c r="N222" s="101">
        <f>IFERROR(L222-M222,0)</f>
        <v/>
      </c>
      <c r="O222" s="102">
        <f>IFERROR(SUMIF(B8:B222,"&gt;="&amp;(B222-WEEKDAY(B222,2)+1),E8:E222),0)</f>
        <v/>
      </c>
      <c r="P222" s="103">
        <f>IFERROR(SUMIF(B8:B222,"&gt;="&amp;(B222-WEEKDAY(B222,2)+1),H8:H222),0)</f>
        <v/>
      </c>
      <c r="Q222" s="101">
        <f>IFERROR(O222-P222,0)</f>
        <v/>
      </c>
    </row>
    <row r="223" ht="16.5" customHeight="1">
      <c r="B223" s="91" t="n"/>
      <c r="C223" s="104">
        <f>IF(B223="","",TEXT(B223,"DDD"))</f>
        <v/>
      </c>
      <c r="D223" s="105">
        <f>IF(B223="","","Soft App")</f>
        <v/>
      </c>
      <c r="E223" s="106" t="n"/>
      <c r="F223" s="107" t="n"/>
      <c r="G223" s="108">
        <f>IFERROR(E223/F223,0)</f>
        <v/>
      </c>
      <c r="H223" s="109">
        <f>IFERROR(SUMIF('💸 Expenses'!B9:B508,B223,'💸 Expenses'!F9:F508),0)</f>
        <v/>
      </c>
      <c r="I223" s="110">
        <f>IFERROR(E223-H223,0)</f>
        <v/>
      </c>
      <c r="J223" s="111">
        <f>IFERROR(I223/E223,0)</f>
        <v/>
      </c>
      <c r="K223" s="112" t="n"/>
      <c r="L223" s="69">
        <f>IFERROR(L222+E223,0)</f>
        <v/>
      </c>
      <c r="M223" s="72">
        <f>IFERROR(M222+H223,0)</f>
        <v/>
      </c>
      <c r="N223" s="113">
        <f>IFERROR(L223-M223,0)</f>
        <v/>
      </c>
      <c r="O223" s="114">
        <f>IFERROR(SUMIF(B8:B223,"&gt;="&amp;(B223-WEEKDAY(B223,2)+1),E8:E223),0)</f>
        <v/>
      </c>
      <c r="P223" s="115">
        <f>IFERROR(SUMIF(B8:B223,"&gt;="&amp;(B223-WEEKDAY(B223,2)+1),H8:H223),0)</f>
        <v/>
      </c>
      <c r="Q223" s="113">
        <f>IFERROR(O223-P223,0)</f>
        <v/>
      </c>
    </row>
    <row r="224" ht="16.5" customHeight="1">
      <c r="B224" s="91" t="n"/>
      <c r="C224" s="92">
        <f>IF(B224="","",TEXT(B224,"DDD"))</f>
        <v/>
      </c>
      <c r="D224" s="93">
        <f>IF(B224="","","Soft App")</f>
        <v/>
      </c>
      <c r="E224" s="94" t="n"/>
      <c r="F224" s="95" t="n"/>
      <c r="G224" s="96">
        <f>IFERROR(E224/F224,0)</f>
        <v/>
      </c>
      <c r="H224" s="97">
        <f>IFERROR(SUMIF('💸 Expenses'!B9:B508,B224,'💸 Expenses'!F9:F508),0)</f>
        <v/>
      </c>
      <c r="I224" s="98">
        <f>IFERROR(E224-H224,0)</f>
        <v/>
      </c>
      <c r="J224" s="99">
        <f>IFERROR(I224/E224,0)</f>
        <v/>
      </c>
      <c r="K224" s="100" t="n"/>
      <c r="L224" s="60">
        <f>IFERROR(L223+E224,0)</f>
        <v/>
      </c>
      <c r="M224" s="63">
        <f>IFERROR(M223+H224,0)</f>
        <v/>
      </c>
      <c r="N224" s="101">
        <f>IFERROR(L224-M224,0)</f>
        <v/>
      </c>
      <c r="O224" s="102">
        <f>IFERROR(SUMIF(B8:B224,"&gt;="&amp;(B224-WEEKDAY(B224,2)+1),E8:E224),0)</f>
        <v/>
      </c>
      <c r="P224" s="103">
        <f>IFERROR(SUMIF(B8:B224,"&gt;="&amp;(B224-WEEKDAY(B224,2)+1),H8:H224),0)</f>
        <v/>
      </c>
      <c r="Q224" s="101">
        <f>IFERROR(O224-P224,0)</f>
        <v/>
      </c>
    </row>
    <row r="225" ht="16.5" customHeight="1">
      <c r="B225" s="91" t="n"/>
      <c r="C225" s="104">
        <f>IF(B225="","",TEXT(B225,"DDD"))</f>
        <v/>
      </c>
      <c r="D225" s="105">
        <f>IF(B225="","","Soft App")</f>
        <v/>
      </c>
      <c r="E225" s="106" t="n"/>
      <c r="F225" s="107" t="n"/>
      <c r="G225" s="108">
        <f>IFERROR(E225/F225,0)</f>
        <v/>
      </c>
      <c r="H225" s="109">
        <f>IFERROR(SUMIF('💸 Expenses'!B9:B508,B225,'💸 Expenses'!F9:F508),0)</f>
        <v/>
      </c>
      <c r="I225" s="110">
        <f>IFERROR(E225-H225,0)</f>
        <v/>
      </c>
      <c r="J225" s="111">
        <f>IFERROR(I225/E225,0)</f>
        <v/>
      </c>
      <c r="K225" s="112" t="n"/>
      <c r="L225" s="69">
        <f>IFERROR(L224+E225,0)</f>
        <v/>
      </c>
      <c r="M225" s="72">
        <f>IFERROR(M224+H225,0)</f>
        <v/>
      </c>
      <c r="N225" s="113">
        <f>IFERROR(L225-M225,0)</f>
        <v/>
      </c>
      <c r="O225" s="114">
        <f>IFERROR(SUMIF(B8:B225,"&gt;="&amp;(B225-WEEKDAY(B225,2)+1),E8:E225),0)</f>
        <v/>
      </c>
      <c r="P225" s="115">
        <f>IFERROR(SUMIF(B8:B225,"&gt;="&amp;(B225-WEEKDAY(B225,2)+1),H8:H225),0)</f>
        <v/>
      </c>
      <c r="Q225" s="113">
        <f>IFERROR(O225-P225,0)</f>
        <v/>
      </c>
    </row>
    <row r="226" ht="16.5" customHeight="1">
      <c r="B226" s="91" t="n"/>
      <c r="C226" s="92">
        <f>IF(B226="","",TEXT(B226,"DDD"))</f>
        <v/>
      </c>
      <c r="D226" s="93">
        <f>IF(B226="","","Soft App")</f>
        <v/>
      </c>
      <c r="E226" s="94" t="n"/>
      <c r="F226" s="95" t="n"/>
      <c r="G226" s="96">
        <f>IFERROR(E226/F226,0)</f>
        <v/>
      </c>
      <c r="H226" s="97">
        <f>IFERROR(SUMIF('💸 Expenses'!B9:B508,B226,'💸 Expenses'!F9:F508),0)</f>
        <v/>
      </c>
      <c r="I226" s="98">
        <f>IFERROR(E226-H226,0)</f>
        <v/>
      </c>
      <c r="J226" s="99">
        <f>IFERROR(I226/E226,0)</f>
        <v/>
      </c>
      <c r="K226" s="100" t="n"/>
      <c r="L226" s="60">
        <f>IFERROR(L225+E226,0)</f>
        <v/>
      </c>
      <c r="M226" s="63">
        <f>IFERROR(M225+H226,0)</f>
        <v/>
      </c>
      <c r="N226" s="101">
        <f>IFERROR(L226-M226,0)</f>
        <v/>
      </c>
      <c r="O226" s="102">
        <f>IFERROR(SUMIF(B8:B226,"&gt;="&amp;(B226-WEEKDAY(B226,2)+1),E8:E226),0)</f>
        <v/>
      </c>
      <c r="P226" s="103">
        <f>IFERROR(SUMIF(B8:B226,"&gt;="&amp;(B226-WEEKDAY(B226,2)+1),H8:H226),0)</f>
        <v/>
      </c>
      <c r="Q226" s="101">
        <f>IFERROR(O226-P226,0)</f>
        <v/>
      </c>
    </row>
    <row r="227" ht="16.5" customHeight="1">
      <c r="B227" s="91" t="n"/>
      <c r="C227" s="104">
        <f>IF(B227="","",TEXT(B227,"DDD"))</f>
        <v/>
      </c>
      <c r="D227" s="105">
        <f>IF(B227="","","Soft App")</f>
        <v/>
      </c>
      <c r="E227" s="106" t="n"/>
      <c r="F227" s="107" t="n"/>
      <c r="G227" s="108">
        <f>IFERROR(E227/F227,0)</f>
        <v/>
      </c>
      <c r="H227" s="109">
        <f>IFERROR(SUMIF('💸 Expenses'!B9:B508,B227,'💸 Expenses'!F9:F508),0)</f>
        <v/>
      </c>
      <c r="I227" s="110">
        <f>IFERROR(E227-H227,0)</f>
        <v/>
      </c>
      <c r="J227" s="111">
        <f>IFERROR(I227/E227,0)</f>
        <v/>
      </c>
      <c r="K227" s="112" t="n"/>
      <c r="L227" s="69">
        <f>IFERROR(L226+E227,0)</f>
        <v/>
      </c>
      <c r="M227" s="72">
        <f>IFERROR(M226+H227,0)</f>
        <v/>
      </c>
      <c r="N227" s="113">
        <f>IFERROR(L227-M227,0)</f>
        <v/>
      </c>
      <c r="O227" s="114">
        <f>IFERROR(SUMIF(B8:B227,"&gt;="&amp;(B227-WEEKDAY(B227,2)+1),E8:E227),0)</f>
        <v/>
      </c>
      <c r="P227" s="115">
        <f>IFERROR(SUMIF(B8:B227,"&gt;="&amp;(B227-WEEKDAY(B227,2)+1),H8:H227),0)</f>
        <v/>
      </c>
      <c r="Q227" s="113">
        <f>IFERROR(O227-P227,0)</f>
        <v/>
      </c>
    </row>
    <row r="228" ht="16.5" customHeight="1">
      <c r="B228" s="91" t="n"/>
      <c r="C228" s="92">
        <f>IF(B228="","",TEXT(B228,"DDD"))</f>
        <v/>
      </c>
      <c r="D228" s="93">
        <f>IF(B228="","","Soft App")</f>
        <v/>
      </c>
      <c r="E228" s="94" t="n"/>
      <c r="F228" s="95" t="n"/>
      <c r="G228" s="96">
        <f>IFERROR(E228/F228,0)</f>
        <v/>
      </c>
      <c r="H228" s="97">
        <f>IFERROR(SUMIF('💸 Expenses'!B9:B508,B228,'💸 Expenses'!F9:F508),0)</f>
        <v/>
      </c>
      <c r="I228" s="98">
        <f>IFERROR(E228-H228,0)</f>
        <v/>
      </c>
      <c r="J228" s="99">
        <f>IFERROR(I228/E228,0)</f>
        <v/>
      </c>
      <c r="K228" s="100" t="n"/>
      <c r="L228" s="60">
        <f>IFERROR(L227+E228,0)</f>
        <v/>
      </c>
      <c r="M228" s="63">
        <f>IFERROR(M227+H228,0)</f>
        <v/>
      </c>
      <c r="N228" s="101">
        <f>IFERROR(L228-M228,0)</f>
        <v/>
      </c>
      <c r="O228" s="102">
        <f>IFERROR(SUMIF(B8:B228,"&gt;="&amp;(B228-WEEKDAY(B228,2)+1),E8:E228),0)</f>
        <v/>
      </c>
      <c r="P228" s="103">
        <f>IFERROR(SUMIF(B8:B228,"&gt;="&amp;(B228-WEEKDAY(B228,2)+1),H8:H228),0)</f>
        <v/>
      </c>
      <c r="Q228" s="101">
        <f>IFERROR(O228-P228,0)</f>
        <v/>
      </c>
    </row>
    <row r="229" ht="16.5" customHeight="1">
      <c r="B229" s="91" t="n"/>
      <c r="C229" s="104">
        <f>IF(B229="","",TEXT(B229,"DDD"))</f>
        <v/>
      </c>
      <c r="D229" s="105">
        <f>IF(B229="","","Soft App")</f>
        <v/>
      </c>
      <c r="E229" s="106" t="n"/>
      <c r="F229" s="107" t="n"/>
      <c r="G229" s="108">
        <f>IFERROR(E229/F229,0)</f>
        <v/>
      </c>
      <c r="H229" s="109">
        <f>IFERROR(SUMIF('💸 Expenses'!B9:B508,B229,'💸 Expenses'!F9:F508),0)</f>
        <v/>
      </c>
      <c r="I229" s="110">
        <f>IFERROR(E229-H229,0)</f>
        <v/>
      </c>
      <c r="J229" s="111">
        <f>IFERROR(I229/E229,0)</f>
        <v/>
      </c>
      <c r="K229" s="112" t="n"/>
      <c r="L229" s="69">
        <f>IFERROR(L228+E229,0)</f>
        <v/>
      </c>
      <c r="M229" s="72">
        <f>IFERROR(M228+H229,0)</f>
        <v/>
      </c>
      <c r="N229" s="113">
        <f>IFERROR(L229-M229,0)</f>
        <v/>
      </c>
      <c r="O229" s="114">
        <f>IFERROR(SUMIF(B8:B229,"&gt;="&amp;(B229-WEEKDAY(B229,2)+1),E8:E229),0)</f>
        <v/>
      </c>
      <c r="P229" s="115">
        <f>IFERROR(SUMIF(B8:B229,"&gt;="&amp;(B229-WEEKDAY(B229,2)+1),H8:H229),0)</f>
        <v/>
      </c>
      <c r="Q229" s="113">
        <f>IFERROR(O229-P229,0)</f>
        <v/>
      </c>
    </row>
    <row r="230" ht="16.5" customHeight="1">
      <c r="B230" s="91" t="n"/>
      <c r="C230" s="92">
        <f>IF(B230="","",TEXT(B230,"DDD"))</f>
        <v/>
      </c>
      <c r="D230" s="93">
        <f>IF(B230="","","Soft App")</f>
        <v/>
      </c>
      <c r="E230" s="94" t="n"/>
      <c r="F230" s="95" t="n"/>
      <c r="G230" s="96">
        <f>IFERROR(E230/F230,0)</f>
        <v/>
      </c>
      <c r="H230" s="97">
        <f>IFERROR(SUMIF('💸 Expenses'!B9:B508,B230,'💸 Expenses'!F9:F508),0)</f>
        <v/>
      </c>
      <c r="I230" s="98">
        <f>IFERROR(E230-H230,0)</f>
        <v/>
      </c>
      <c r="J230" s="99">
        <f>IFERROR(I230/E230,0)</f>
        <v/>
      </c>
      <c r="K230" s="100" t="n"/>
      <c r="L230" s="60">
        <f>IFERROR(L229+E230,0)</f>
        <v/>
      </c>
      <c r="M230" s="63">
        <f>IFERROR(M229+H230,0)</f>
        <v/>
      </c>
      <c r="N230" s="101">
        <f>IFERROR(L230-M230,0)</f>
        <v/>
      </c>
      <c r="O230" s="102">
        <f>IFERROR(SUMIF(B8:B230,"&gt;="&amp;(B230-WEEKDAY(B230,2)+1),E8:E230),0)</f>
        <v/>
      </c>
      <c r="P230" s="103">
        <f>IFERROR(SUMIF(B8:B230,"&gt;="&amp;(B230-WEEKDAY(B230,2)+1),H8:H230),0)</f>
        <v/>
      </c>
      <c r="Q230" s="101">
        <f>IFERROR(O230-P230,0)</f>
        <v/>
      </c>
    </row>
    <row r="231" ht="16.5" customHeight="1">
      <c r="B231" s="91" t="n"/>
      <c r="C231" s="104">
        <f>IF(B231="","",TEXT(B231,"DDD"))</f>
        <v/>
      </c>
      <c r="D231" s="105">
        <f>IF(B231="","","Soft App")</f>
        <v/>
      </c>
      <c r="E231" s="106" t="n"/>
      <c r="F231" s="107" t="n"/>
      <c r="G231" s="108">
        <f>IFERROR(E231/F231,0)</f>
        <v/>
      </c>
      <c r="H231" s="109">
        <f>IFERROR(SUMIF('💸 Expenses'!B9:B508,B231,'💸 Expenses'!F9:F508),0)</f>
        <v/>
      </c>
      <c r="I231" s="110">
        <f>IFERROR(E231-H231,0)</f>
        <v/>
      </c>
      <c r="J231" s="111">
        <f>IFERROR(I231/E231,0)</f>
        <v/>
      </c>
      <c r="K231" s="112" t="n"/>
      <c r="L231" s="69">
        <f>IFERROR(L230+E231,0)</f>
        <v/>
      </c>
      <c r="M231" s="72">
        <f>IFERROR(M230+H231,0)</f>
        <v/>
      </c>
      <c r="N231" s="113">
        <f>IFERROR(L231-M231,0)</f>
        <v/>
      </c>
      <c r="O231" s="114">
        <f>IFERROR(SUMIF(B8:B231,"&gt;="&amp;(B231-WEEKDAY(B231,2)+1),E8:E231),0)</f>
        <v/>
      </c>
      <c r="P231" s="115">
        <f>IFERROR(SUMIF(B8:B231,"&gt;="&amp;(B231-WEEKDAY(B231,2)+1),H8:H231),0)</f>
        <v/>
      </c>
      <c r="Q231" s="113">
        <f>IFERROR(O231-P231,0)</f>
        <v/>
      </c>
    </row>
    <row r="232" ht="16.5" customHeight="1">
      <c r="B232" s="91" t="n"/>
      <c r="C232" s="92">
        <f>IF(B232="","",TEXT(B232,"DDD"))</f>
        <v/>
      </c>
      <c r="D232" s="93">
        <f>IF(B232="","","Soft App")</f>
        <v/>
      </c>
      <c r="E232" s="94" t="n"/>
      <c r="F232" s="95" t="n"/>
      <c r="G232" s="96">
        <f>IFERROR(E232/F232,0)</f>
        <v/>
      </c>
      <c r="H232" s="97">
        <f>IFERROR(SUMIF('💸 Expenses'!B9:B508,B232,'💸 Expenses'!F9:F508),0)</f>
        <v/>
      </c>
      <c r="I232" s="98">
        <f>IFERROR(E232-H232,0)</f>
        <v/>
      </c>
      <c r="J232" s="99">
        <f>IFERROR(I232/E232,0)</f>
        <v/>
      </c>
      <c r="K232" s="100" t="n"/>
      <c r="L232" s="60">
        <f>IFERROR(L231+E232,0)</f>
        <v/>
      </c>
      <c r="M232" s="63">
        <f>IFERROR(M231+H232,0)</f>
        <v/>
      </c>
      <c r="N232" s="101">
        <f>IFERROR(L232-M232,0)</f>
        <v/>
      </c>
      <c r="O232" s="102">
        <f>IFERROR(SUMIF(B8:B232,"&gt;="&amp;(B232-WEEKDAY(B232,2)+1),E8:E232),0)</f>
        <v/>
      </c>
      <c r="P232" s="103">
        <f>IFERROR(SUMIF(B8:B232,"&gt;="&amp;(B232-WEEKDAY(B232,2)+1),H8:H232),0)</f>
        <v/>
      </c>
      <c r="Q232" s="101">
        <f>IFERROR(O232-P232,0)</f>
        <v/>
      </c>
    </row>
    <row r="233" ht="16.5" customHeight="1">
      <c r="B233" s="91" t="n"/>
      <c r="C233" s="104">
        <f>IF(B233="","",TEXT(B233,"DDD"))</f>
        <v/>
      </c>
      <c r="D233" s="105">
        <f>IF(B233="","","Soft App")</f>
        <v/>
      </c>
      <c r="E233" s="106" t="n"/>
      <c r="F233" s="107" t="n"/>
      <c r="G233" s="108">
        <f>IFERROR(E233/F233,0)</f>
        <v/>
      </c>
      <c r="H233" s="109">
        <f>IFERROR(SUMIF('💸 Expenses'!B9:B508,B233,'💸 Expenses'!F9:F508),0)</f>
        <v/>
      </c>
      <c r="I233" s="110">
        <f>IFERROR(E233-H233,0)</f>
        <v/>
      </c>
      <c r="J233" s="111">
        <f>IFERROR(I233/E233,0)</f>
        <v/>
      </c>
      <c r="K233" s="112" t="n"/>
      <c r="L233" s="69">
        <f>IFERROR(L232+E233,0)</f>
        <v/>
      </c>
      <c r="M233" s="72">
        <f>IFERROR(M232+H233,0)</f>
        <v/>
      </c>
      <c r="N233" s="113">
        <f>IFERROR(L233-M233,0)</f>
        <v/>
      </c>
      <c r="O233" s="114">
        <f>IFERROR(SUMIF(B8:B233,"&gt;="&amp;(B233-WEEKDAY(B233,2)+1),E8:E233),0)</f>
        <v/>
      </c>
      <c r="P233" s="115">
        <f>IFERROR(SUMIF(B8:B233,"&gt;="&amp;(B233-WEEKDAY(B233,2)+1),H8:H233),0)</f>
        <v/>
      </c>
      <c r="Q233" s="113">
        <f>IFERROR(O233-P233,0)</f>
        <v/>
      </c>
    </row>
    <row r="234" ht="16.5" customHeight="1">
      <c r="B234" s="91" t="n"/>
      <c r="C234" s="92">
        <f>IF(B234="","",TEXT(B234,"DDD"))</f>
        <v/>
      </c>
      <c r="D234" s="93">
        <f>IF(B234="","","Soft App")</f>
        <v/>
      </c>
      <c r="E234" s="94" t="n"/>
      <c r="F234" s="95" t="n"/>
      <c r="G234" s="96">
        <f>IFERROR(E234/F234,0)</f>
        <v/>
      </c>
      <c r="H234" s="97">
        <f>IFERROR(SUMIF('💸 Expenses'!B9:B508,B234,'💸 Expenses'!F9:F508),0)</f>
        <v/>
      </c>
      <c r="I234" s="98">
        <f>IFERROR(E234-H234,0)</f>
        <v/>
      </c>
      <c r="J234" s="99">
        <f>IFERROR(I234/E234,0)</f>
        <v/>
      </c>
      <c r="K234" s="100" t="n"/>
      <c r="L234" s="60">
        <f>IFERROR(L233+E234,0)</f>
        <v/>
      </c>
      <c r="M234" s="63">
        <f>IFERROR(M233+H234,0)</f>
        <v/>
      </c>
      <c r="N234" s="101">
        <f>IFERROR(L234-M234,0)</f>
        <v/>
      </c>
      <c r="O234" s="102">
        <f>IFERROR(SUMIF(B8:B234,"&gt;="&amp;(B234-WEEKDAY(B234,2)+1),E8:E234),0)</f>
        <v/>
      </c>
      <c r="P234" s="103">
        <f>IFERROR(SUMIF(B8:B234,"&gt;="&amp;(B234-WEEKDAY(B234,2)+1),H8:H234),0)</f>
        <v/>
      </c>
      <c r="Q234" s="101">
        <f>IFERROR(O234-P234,0)</f>
        <v/>
      </c>
    </row>
    <row r="235" ht="16.5" customHeight="1">
      <c r="B235" s="91" t="n"/>
      <c r="C235" s="104">
        <f>IF(B235="","",TEXT(B235,"DDD"))</f>
        <v/>
      </c>
      <c r="D235" s="105">
        <f>IF(B235="","","Soft App")</f>
        <v/>
      </c>
      <c r="E235" s="106" t="n"/>
      <c r="F235" s="107" t="n"/>
      <c r="G235" s="108">
        <f>IFERROR(E235/F235,0)</f>
        <v/>
      </c>
      <c r="H235" s="109">
        <f>IFERROR(SUMIF('💸 Expenses'!B9:B508,B235,'💸 Expenses'!F9:F508),0)</f>
        <v/>
      </c>
      <c r="I235" s="110">
        <f>IFERROR(E235-H235,0)</f>
        <v/>
      </c>
      <c r="J235" s="111">
        <f>IFERROR(I235/E235,0)</f>
        <v/>
      </c>
      <c r="K235" s="112" t="n"/>
      <c r="L235" s="69">
        <f>IFERROR(L234+E235,0)</f>
        <v/>
      </c>
      <c r="M235" s="72">
        <f>IFERROR(M234+H235,0)</f>
        <v/>
      </c>
      <c r="N235" s="113">
        <f>IFERROR(L235-M235,0)</f>
        <v/>
      </c>
      <c r="O235" s="114">
        <f>IFERROR(SUMIF(B8:B235,"&gt;="&amp;(B235-WEEKDAY(B235,2)+1),E8:E235),0)</f>
        <v/>
      </c>
      <c r="P235" s="115">
        <f>IFERROR(SUMIF(B8:B235,"&gt;="&amp;(B235-WEEKDAY(B235,2)+1),H8:H235),0)</f>
        <v/>
      </c>
      <c r="Q235" s="113">
        <f>IFERROR(O235-P235,0)</f>
        <v/>
      </c>
    </row>
    <row r="236" ht="16.5" customHeight="1">
      <c r="B236" s="91" t="n"/>
      <c r="C236" s="92">
        <f>IF(B236="","",TEXT(B236,"DDD"))</f>
        <v/>
      </c>
      <c r="D236" s="93">
        <f>IF(B236="","","Soft App")</f>
        <v/>
      </c>
      <c r="E236" s="94" t="n"/>
      <c r="F236" s="95" t="n"/>
      <c r="G236" s="96">
        <f>IFERROR(E236/F236,0)</f>
        <v/>
      </c>
      <c r="H236" s="97">
        <f>IFERROR(SUMIF('💸 Expenses'!B9:B508,B236,'💸 Expenses'!F9:F508),0)</f>
        <v/>
      </c>
      <c r="I236" s="98">
        <f>IFERROR(E236-H236,0)</f>
        <v/>
      </c>
      <c r="J236" s="99">
        <f>IFERROR(I236/E236,0)</f>
        <v/>
      </c>
      <c r="K236" s="100" t="n"/>
      <c r="L236" s="60">
        <f>IFERROR(L235+E236,0)</f>
        <v/>
      </c>
      <c r="M236" s="63">
        <f>IFERROR(M235+H236,0)</f>
        <v/>
      </c>
      <c r="N236" s="101">
        <f>IFERROR(L236-M236,0)</f>
        <v/>
      </c>
      <c r="O236" s="102">
        <f>IFERROR(SUMIF(B8:B236,"&gt;="&amp;(B236-WEEKDAY(B236,2)+1),E8:E236),0)</f>
        <v/>
      </c>
      <c r="P236" s="103">
        <f>IFERROR(SUMIF(B8:B236,"&gt;="&amp;(B236-WEEKDAY(B236,2)+1),H8:H236),0)</f>
        <v/>
      </c>
      <c r="Q236" s="101">
        <f>IFERROR(O236-P236,0)</f>
        <v/>
      </c>
    </row>
    <row r="237" ht="16.5" customHeight="1">
      <c r="B237" s="91" t="n"/>
      <c r="C237" s="104">
        <f>IF(B237="","",TEXT(B237,"DDD"))</f>
        <v/>
      </c>
      <c r="D237" s="105">
        <f>IF(B237="","","Soft App")</f>
        <v/>
      </c>
      <c r="E237" s="106" t="n"/>
      <c r="F237" s="107" t="n"/>
      <c r="G237" s="108">
        <f>IFERROR(E237/F237,0)</f>
        <v/>
      </c>
      <c r="H237" s="109">
        <f>IFERROR(SUMIF('💸 Expenses'!B9:B508,B237,'💸 Expenses'!F9:F508),0)</f>
        <v/>
      </c>
      <c r="I237" s="110">
        <f>IFERROR(E237-H237,0)</f>
        <v/>
      </c>
      <c r="J237" s="111">
        <f>IFERROR(I237/E237,0)</f>
        <v/>
      </c>
      <c r="K237" s="112" t="n"/>
      <c r="L237" s="69">
        <f>IFERROR(L236+E237,0)</f>
        <v/>
      </c>
      <c r="M237" s="72">
        <f>IFERROR(M236+H237,0)</f>
        <v/>
      </c>
      <c r="N237" s="113">
        <f>IFERROR(L237-M237,0)</f>
        <v/>
      </c>
      <c r="O237" s="114">
        <f>IFERROR(SUMIF(B8:B237,"&gt;="&amp;(B237-WEEKDAY(B237,2)+1),E8:E237),0)</f>
        <v/>
      </c>
      <c r="P237" s="115">
        <f>IFERROR(SUMIF(B8:B237,"&gt;="&amp;(B237-WEEKDAY(B237,2)+1),H8:H237),0)</f>
        <v/>
      </c>
      <c r="Q237" s="113">
        <f>IFERROR(O237-P237,0)</f>
        <v/>
      </c>
    </row>
    <row r="238" ht="16.5" customHeight="1">
      <c r="B238" s="91" t="n"/>
      <c r="C238" s="92">
        <f>IF(B238="","",TEXT(B238,"DDD"))</f>
        <v/>
      </c>
      <c r="D238" s="93">
        <f>IF(B238="","","Soft App")</f>
        <v/>
      </c>
      <c r="E238" s="94" t="n"/>
      <c r="F238" s="95" t="n"/>
      <c r="G238" s="96">
        <f>IFERROR(E238/F238,0)</f>
        <v/>
      </c>
      <c r="H238" s="97">
        <f>IFERROR(SUMIF('💸 Expenses'!B9:B508,B238,'💸 Expenses'!F9:F508),0)</f>
        <v/>
      </c>
      <c r="I238" s="98">
        <f>IFERROR(E238-H238,0)</f>
        <v/>
      </c>
      <c r="J238" s="99">
        <f>IFERROR(I238/E238,0)</f>
        <v/>
      </c>
      <c r="K238" s="100" t="n"/>
      <c r="L238" s="60">
        <f>IFERROR(L237+E238,0)</f>
        <v/>
      </c>
      <c r="M238" s="63">
        <f>IFERROR(M237+H238,0)</f>
        <v/>
      </c>
      <c r="N238" s="101">
        <f>IFERROR(L238-M238,0)</f>
        <v/>
      </c>
      <c r="O238" s="102">
        <f>IFERROR(SUMIF(B8:B238,"&gt;="&amp;(B238-WEEKDAY(B238,2)+1),E8:E238),0)</f>
        <v/>
      </c>
      <c r="P238" s="103">
        <f>IFERROR(SUMIF(B8:B238,"&gt;="&amp;(B238-WEEKDAY(B238,2)+1),H8:H238),0)</f>
        <v/>
      </c>
      <c r="Q238" s="101">
        <f>IFERROR(O238-P238,0)</f>
        <v/>
      </c>
    </row>
    <row r="239" ht="16.5" customHeight="1">
      <c r="B239" s="91" t="n"/>
      <c r="C239" s="104">
        <f>IF(B239="","",TEXT(B239,"DDD"))</f>
        <v/>
      </c>
      <c r="D239" s="105">
        <f>IF(B239="","","Soft App")</f>
        <v/>
      </c>
      <c r="E239" s="106" t="n"/>
      <c r="F239" s="107" t="n"/>
      <c r="G239" s="108">
        <f>IFERROR(E239/F239,0)</f>
        <v/>
      </c>
      <c r="H239" s="109">
        <f>IFERROR(SUMIF('💸 Expenses'!B9:B508,B239,'💸 Expenses'!F9:F508),0)</f>
        <v/>
      </c>
      <c r="I239" s="110">
        <f>IFERROR(E239-H239,0)</f>
        <v/>
      </c>
      <c r="J239" s="111">
        <f>IFERROR(I239/E239,0)</f>
        <v/>
      </c>
      <c r="K239" s="112" t="n"/>
      <c r="L239" s="69">
        <f>IFERROR(L238+E239,0)</f>
        <v/>
      </c>
      <c r="M239" s="72">
        <f>IFERROR(M238+H239,0)</f>
        <v/>
      </c>
      <c r="N239" s="113">
        <f>IFERROR(L239-M239,0)</f>
        <v/>
      </c>
      <c r="O239" s="114">
        <f>IFERROR(SUMIF(B8:B239,"&gt;="&amp;(B239-WEEKDAY(B239,2)+1),E8:E239),0)</f>
        <v/>
      </c>
      <c r="P239" s="115">
        <f>IFERROR(SUMIF(B8:B239,"&gt;="&amp;(B239-WEEKDAY(B239,2)+1),H8:H239),0)</f>
        <v/>
      </c>
      <c r="Q239" s="113">
        <f>IFERROR(O239-P239,0)</f>
        <v/>
      </c>
    </row>
    <row r="240" ht="16.5" customHeight="1">
      <c r="B240" s="91" t="n"/>
      <c r="C240" s="92">
        <f>IF(B240="","",TEXT(B240,"DDD"))</f>
        <v/>
      </c>
      <c r="D240" s="93">
        <f>IF(B240="","","Soft App")</f>
        <v/>
      </c>
      <c r="E240" s="94" t="n"/>
      <c r="F240" s="95" t="n"/>
      <c r="G240" s="96">
        <f>IFERROR(E240/F240,0)</f>
        <v/>
      </c>
      <c r="H240" s="97">
        <f>IFERROR(SUMIF('💸 Expenses'!B9:B508,B240,'💸 Expenses'!F9:F508),0)</f>
        <v/>
      </c>
      <c r="I240" s="98">
        <f>IFERROR(E240-H240,0)</f>
        <v/>
      </c>
      <c r="J240" s="99">
        <f>IFERROR(I240/E240,0)</f>
        <v/>
      </c>
      <c r="K240" s="100" t="n"/>
      <c r="L240" s="60">
        <f>IFERROR(L239+E240,0)</f>
        <v/>
      </c>
      <c r="M240" s="63">
        <f>IFERROR(M239+H240,0)</f>
        <v/>
      </c>
      <c r="N240" s="101">
        <f>IFERROR(L240-M240,0)</f>
        <v/>
      </c>
      <c r="O240" s="102">
        <f>IFERROR(SUMIF(B8:B240,"&gt;="&amp;(B240-WEEKDAY(B240,2)+1),E8:E240),0)</f>
        <v/>
      </c>
      <c r="P240" s="103">
        <f>IFERROR(SUMIF(B8:B240,"&gt;="&amp;(B240-WEEKDAY(B240,2)+1),H8:H240),0)</f>
        <v/>
      </c>
      <c r="Q240" s="101">
        <f>IFERROR(O240-P240,0)</f>
        <v/>
      </c>
    </row>
    <row r="241" ht="16.5" customHeight="1">
      <c r="B241" s="91" t="n"/>
      <c r="C241" s="104">
        <f>IF(B241="","",TEXT(B241,"DDD"))</f>
        <v/>
      </c>
      <c r="D241" s="105">
        <f>IF(B241="","","Soft App")</f>
        <v/>
      </c>
      <c r="E241" s="106" t="n"/>
      <c r="F241" s="107" t="n"/>
      <c r="G241" s="108">
        <f>IFERROR(E241/F241,0)</f>
        <v/>
      </c>
      <c r="H241" s="109">
        <f>IFERROR(SUMIF('💸 Expenses'!B9:B508,B241,'💸 Expenses'!F9:F508),0)</f>
        <v/>
      </c>
      <c r="I241" s="110">
        <f>IFERROR(E241-H241,0)</f>
        <v/>
      </c>
      <c r="J241" s="111">
        <f>IFERROR(I241/E241,0)</f>
        <v/>
      </c>
      <c r="K241" s="112" t="n"/>
      <c r="L241" s="69">
        <f>IFERROR(L240+E241,0)</f>
        <v/>
      </c>
      <c r="M241" s="72">
        <f>IFERROR(M240+H241,0)</f>
        <v/>
      </c>
      <c r="N241" s="113">
        <f>IFERROR(L241-M241,0)</f>
        <v/>
      </c>
      <c r="O241" s="114">
        <f>IFERROR(SUMIF(B8:B241,"&gt;="&amp;(B241-WEEKDAY(B241,2)+1),E8:E241),0)</f>
        <v/>
      </c>
      <c r="P241" s="115">
        <f>IFERROR(SUMIF(B8:B241,"&gt;="&amp;(B241-WEEKDAY(B241,2)+1),H8:H241),0)</f>
        <v/>
      </c>
      <c r="Q241" s="113">
        <f>IFERROR(O241-P241,0)</f>
        <v/>
      </c>
    </row>
    <row r="242" ht="16.5" customHeight="1">
      <c r="B242" s="91" t="n"/>
      <c r="C242" s="92">
        <f>IF(B242="","",TEXT(B242,"DDD"))</f>
        <v/>
      </c>
      <c r="D242" s="93">
        <f>IF(B242="","","Soft App")</f>
        <v/>
      </c>
      <c r="E242" s="94" t="n"/>
      <c r="F242" s="95" t="n"/>
      <c r="G242" s="96">
        <f>IFERROR(E242/F242,0)</f>
        <v/>
      </c>
      <c r="H242" s="97">
        <f>IFERROR(SUMIF('💸 Expenses'!B9:B508,B242,'💸 Expenses'!F9:F508),0)</f>
        <v/>
      </c>
      <c r="I242" s="98">
        <f>IFERROR(E242-H242,0)</f>
        <v/>
      </c>
      <c r="J242" s="99">
        <f>IFERROR(I242/E242,0)</f>
        <v/>
      </c>
      <c r="K242" s="100" t="n"/>
      <c r="L242" s="60">
        <f>IFERROR(L241+E242,0)</f>
        <v/>
      </c>
      <c r="M242" s="63">
        <f>IFERROR(M241+H242,0)</f>
        <v/>
      </c>
      <c r="N242" s="101">
        <f>IFERROR(L242-M242,0)</f>
        <v/>
      </c>
      <c r="O242" s="102">
        <f>IFERROR(SUMIF(B8:B242,"&gt;="&amp;(B242-WEEKDAY(B242,2)+1),E8:E242),0)</f>
        <v/>
      </c>
      <c r="P242" s="103">
        <f>IFERROR(SUMIF(B8:B242,"&gt;="&amp;(B242-WEEKDAY(B242,2)+1),H8:H242),0)</f>
        <v/>
      </c>
      <c r="Q242" s="101">
        <f>IFERROR(O242-P242,0)</f>
        <v/>
      </c>
    </row>
    <row r="243" ht="16.5" customHeight="1">
      <c r="B243" s="91" t="n"/>
      <c r="C243" s="104">
        <f>IF(B243="","",TEXT(B243,"DDD"))</f>
        <v/>
      </c>
      <c r="D243" s="105">
        <f>IF(B243="","","Soft App")</f>
        <v/>
      </c>
      <c r="E243" s="106" t="n"/>
      <c r="F243" s="107" t="n"/>
      <c r="G243" s="108">
        <f>IFERROR(E243/F243,0)</f>
        <v/>
      </c>
      <c r="H243" s="109">
        <f>IFERROR(SUMIF('💸 Expenses'!B9:B508,B243,'💸 Expenses'!F9:F508),0)</f>
        <v/>
      </c>
      <c r="I243" s="110">
        <f>IFERROR(E243-H243,0)</f>
        <v/>
      </c>
      <c r="J243" s="111">
        <f>IFERROR(I243/E243,0)</f>
        <v/>
      </c>
      <c r="K243" s="112" t="n"/>
      <c r="L243" s="69">
        <f>IFERROR(L242+E243,0)</f>
        <v/>
      </c>
      <c r="M243" s="72">
        <f>IFERROR(M242+H243,0)</f>
        <v/>
      </c>
      <c r="N243" s="113">
        <f>IFERROR(L243-M243,0)</f>
        <v/>
      </c>
      <c r="O243" s="114">
        <f>IFERROR(SUMIF(B8:B243,"&gt;="&amp;(B243-WEEKDAY(B243,2)+1),E8:E243),0)</f>
        <v/>
      </c>
      <c r="P243" s="115">
        <f>IFERROR(SUMIF(B8:B243,"&gt;="&amp;(B243-WEEKDAY(B243,2)+1),H8:H243),0)</f>
        <v/>
      </c>
      <c r="Q243" s="113">
        <f>IFERROR(O243-P243,0)</f>
        <v/>
      </c>
    </row>
    <row r="244" ht="16.5" customHeight="1">
      <c r="B244" s="91" t="n"/>
      <c r="C244" s="92">
        <f>IF(B244="","",TEXT(B244,"DDD"))</f>
        <v/>
      </c>
      <c r="D244" s="93">
        <f>IF(B244="","","Soft App")</f>
        <v/>
      </c>
      <c r="E244" s="94" t="n"/>
      <c r="F244" s="95" t="n"/>
      <c r="G244" s="96">
        <f>IFERROR(E244/F244,0)</f>
        <v/>
      </c>
      <c r="H244" s="97">
        <f>IFERROR(SUMIF('💸 Expenses'!B9:B508,B244,'💸 Expenses'!F9:F508),0)</f>
        <v/>
      </c>
      <c r="I244" s="98">
        <f>IFERROR(E244-H244,0)</f>
        <v/>
      </c>
      <c r="J244" s="99">
        <f>IFERROR(I244/E244,0)</f>
        <v/>
      </c>
      <c r="K244" s="100" t="n"/>
      <c r="L244" s="60">
        <f>IFERROR(L243+E244,0)</f>
        <v/>
      </c>
      <c r="M244" s="63">
        <f>IFERROR(M243+H244,0)</f>
        <v/>
      </c>
      <c r="N244" s="101">
        <f>IFERROR(L244-M244,0)</f>
        <v/>
      </c>
      <c r="O244" s="102">
        <f>IFERROR(SUMIF(B8:B244,"&gt;="&amp;(B244-WEEKDAY(B244,2)+1),E8:E244),0)</f>
        <v/>
      </c>
      <c r="P244" s="103">
        <f>IFERROR(SUMIF(B8:B244,"&gt;="&amp;(B244-WEEKDAY(B244,2)+1),H8:H244),0)</f>
        <v/>
      </c>
      <c r="Q244" s="101">
        <f>IFERROR(O244-P244,0)</f>
        <v/>
      </c>
    </row>
    <row r="245" ht="16.5" customHeight="1">
      <c r="B245" s="91" t="n"/>
      <c r="C245" s="104">
        <f>IF(B245="","",TEXT(B245,"DDD"))</f>
        <v/>
      </c>
      <c r="D245" s="105">
        <f>IF(B245="","","Soft App")</f>
        <v/>
      </c>
      <c r="E245" s="106" t="n"/>
      <c r="F245" s="107" t="n"/>
      <c r="G245" s="108">
        <f>IFERROR(E245/F245,0)</f>
        <v/>
      </c>
      <c r="H245" s="109">
        <f>IFERROR(SUMIF('💸 Expenses'!B9:B508,B245,'💸 Expenses'!F9:F508),0)</f>
        <v/>
      </c>
      <c r="I245" s="110">
        <f>IFERROR(E245-H245,0)</f>
        <v/>
      </c>
      <c r="J245" s="111">
        <f>IFERROR(I245/E245,0)</f>
        <v/>
      </c>
      <c r="K245" s="112" t="n"/>
      <c r="L245" s="69">
        <f>IFERROR(L244+E245,0)</f>
        <v/>
      </c>
      <c r="M245" s="72">
        <f>IFERROR(M244+H245,0)</f>
        <v/>
      </c>
      <c r="N245" s="113">
        <f>IFERROR(L245-M245,0)</f>
        <v/>
      </c>
      <c r="O245" s="114">
        <f>IFERROR(SUMIF(B8:B245,"&gt;="&amp;(B245-WEEKDAY(B245,2)+1),E8:E245),0)</f>
        <v/>
      </c>
      <c r="P245" s="115">
        <f>IFERROR(SUMIF(B8:B245,"&gt;="&amp;(B245-WEEKDAY(B245,2)+1),H8:H245),0)</f>
        <v/>
      </c>
      <c r="Q245" s="113">
        <f>IFERROR(O245-P245,0)</f>
        <v/>
      </c>
    </row>
    <row r="246" ht="16.5" customHeight="1">
      <c r="B246" s="91" t="n"/>
      <c r="C246" s="92">
        <f>IF(B246="","",TEXT(B246,"DDD"))</f>
        <v/>
      </c>
      <c r="D246" s="93">
        <f>IF(B246="","","Soft App")</f>
        <v/>
      </c>
      <c r="E246" s="94" t="n"/>
      <c r="F246" s="95" t="n"/>
      <c r="G246" s="96">
        <f>IFERROR(E246/F246,0)</f>
        <v/>
      </c>
      <c r="H246" s="97">
        <f>IFERROR(SUMIF('💸 Expenses'!B9:B508,B246,'💸 Expenses'!F9:F508),0)</f>
        <v/>
      </c>
      <c r="I246" s="98">
        <f>IFERROR(E246-H246,0)</f>
        <v/>
      </c>
      <c r="J246" s="99">
        <f>IFERROR(I246/E246,0)</f>
        <v/>
      </c>
      <c r="K246" s="100" t="n"/>
      <c r="L246" s="60">
        <f>IFERROR(L245+E246,0)</f>
        <v/>
      </c>
      <c r="M246" s="63">
        <f>IFERROR(M245+H246,0)</f>
        <v/>
      </c>
      <c r="N246" s="101">
        <f>IFERROR(L246-M246,0)</f>
        <v/>
      </c>
      <c r="O246" s="102">
        <f>IFERROR(SUMIF(B8:B246,"&gt;="&amp;(B246-WEEKDAY(B246,2)+1),E8:E246),0)</f>
        <v/>
      </c>
      <c r="P246" s="103">
        <f>IFERROR(SUMIF(B8:B246,"&gt;="&amp;(B246-WEEKDAY(B246,2)+1),H8:H246),0)</f>
        <v/>
      </c>
      <c r="Q246" s="101">
        <f>IFERROR(O246-P246,0)</f>
        <v/>
      </c>
    </row>
    <row r="247" ht="16.5" customHeight="1">
      <c r="B247" s="91" t="n"/>
      <c r="C247" s="104">
        <f>IF(B247="","",TEXT(B247,"DDD"))</f>
        <v/>
      </c>
      <c r="D247" s="105">
        <f>IF(B247="","","Soft App")</f>
        <v/>
      </c>
      <c r="E247" s="106" t="n"/>
      <c r="F247" s="107" t="n"/>
      <c r="G247" s="108">
        <f>IFERROR(E247/F247,0)</f>
        <v/>
      </c>
      <c r="H247" s="109">
        <f>IFERROR(SUMIF('💸 Expenses'!B9:B508,B247,'💸 Expenses'!F9:F508),0)</f>
        <v/>
      </c>
      <c r="I247" s="110">
        <f>IFERROR(E247-H247,0)</f>
        <v/>
      </c>
      <c r="J247" s="111">
        <f>IFERROR(I247/E247,0)</f>
        <v/>
      </c>
      <c r="K247" s="112" t="n"/>
      <c r="L247" s="69">
        <f>IFERROR(L246+E247,0)</f>
        <v/>
      </c>
      <c r="M247" s="72">
        <f>IFERROR(M246+H247,0)</f>
        <v/>
      </c>
      <c r="N247" s="113">
        <f>IFERROR(L247-M247,0)</f>
        <v/>
      </c>
      <c r="O247" s="114">
        <f>IFERROR(SUMIF(B8:B247,"&gt;="&amp;(B247-WEEKDAY(B247,2)+1),E8:E247),0)</f>
        <v/>
      </c>
      <c r="P247" s="115">
        <f>IFERROR(SUMIF(B8:B247,"&gt;="&amp;(B247-WEEKDAY(B247,2)+1),H8:H247),0)</f>
        <v/>
      </c>
      <c r="Q247" s="113">
        <f>IFERROR(O247-P247,0)</f>
        <v/>
      </c>
    </row>
    <row r="248" ht="16.5" customHeight="1">
      <c r="B248" s="91" t="n"/>
      <c r="C248" s="92">
        <f>IF(B248="","",TEXT(B248,"DDD"))</f>
        <v/>
      </c>
      <c r="D248" s="93">
        <f>IF(B248="","","Soft App")</f>
        <v/>
      </c>
      <c r="E248" s="94" t="n"/>
      <c r="F248" s="95" t="n"/>
      <c r="G248" s="96">
        <f>IFERROR(E248/F248,0)</f>
        <v/>
      </c>
      <c r="H248" s="97">
        <f>IFERROR(SUMIF('💸 Expenses'!B9:B508,B248,'💸 Expenses'!F9:F508),0)</f>
        <v/>
      </c>
      <c r="I248" s="98">
        <f>IFERROR(E248-H248,0)</f>
        <v/>
      </c>
      <c r="J248" s="99">
        <f>IFERROR(I248/E248,0)</f>
        <v/>
      </c>
      <c r="K248" s="100" t="n"/>
      <c r="L248" s="60">
        <f>IFERROR(L247+E248,0)</f>
        <v/>
      </c>
      <c r="M248" s="63">
        <f>IFERROR(M247+H248,0)</f>
        <v/>
      </c>
      <c r="N248" s="101">
        <f>IFERROR(L248-M248,0)</f>
        <v/>
      </c>
      <c r="O248" s="102">
        <f>IFERROR(SUMIF(B8:B248,"&gt;="&amp;(B248-WEEKDAY(B248,2)+1),E8:E248),0)</f>
        <v/>
      </c>
      <c r="P248" s="103">
        <f>IFERROR(SUMIF(B8:B248,"&gt;="&amp;(B248-WEEKDAY(B248,2)+1),H8:H248),0)</f>
        <v/>
      </c>
      <c r="Q248" s="101">
        <f>IFERROR(O248-P248,0)</f>
        <v/>
      </c>
    </row>
    <row r="249" ht="16.5" customHeight="1">
      <c r="B249" s="91" t="n"/>
      <c r="C249" s="104">
        <f>IF(B249="","",TEXT(B249,"DDD"))</f>
        <v/>
      </c>
      <c r="D249" s="105">
        <f>IF(B249="","","Soft App")</f>
        <v/>
      </c>
      <c r="E249" s="106" t="n"/>
      <c r="F249" s="107" t="n"/>
      <c r="G249" s="108">
        <f>IFERROR(E249/F249,0)</f>
        <v/>
      </c>
      <c r="H249" s="109">
        <f>IFERROR(SUMIF('💸 Expenses'!B9:B508,B249,'💸 Expenses'!F9:F508),0)</f>
        <v/>
      </c>
      <c r="I249" s="110">
        <f>IFERROR(E249-H249,0)</f>
        <v/>
      </c>
      <c r="J249" s="111">
        <f>IFERROR(I249/E249,0)</f>
        <v/>
      </c>
      <c r="K249" s="112" t="n"/>
      <c r="L249" s="69">
        <f>IFERROR(L248+E249,0)</f>
        <v/>
      </c>
      <c r="M249" s="72">
        <f>IFERROR(M248+H249,0)</f>
        <v/>
      </c>
      <c r="N249" s="113">
        <f>IFERROR(L249-M249,0)</f>
        <v/>
      </c>
      <c r="O249" s="114">
        <f>IFERROR(SUMIF(B8:B249,"&gt;="&amp;(B249-WEEKDAY(B249,2)+1),E8:E249),0)</f>
        <v/>
      </c>
      <c r="P249" s="115">
        <f>IFERROR(SUMIF(B8:B249,"&gt;="&amp;(B249-WEEKDAY(B249,2)+1),H8:H249),0)</f>
        <v/>
      </c>
      <c r="Q249" s="113">
        <f>IFERROR(O249-P249,0)</f>
        <v/>
      </c>
    </row>
    <row r="250" ht="16.5" customHeight="1">
      <c r="B250" s="91" t="n"/>
      <c r="C250" s="92">
        <f>IF(B250="","",TEXT(B250,"DDD"))</f>
        <v/>
      </c>
      <c r="D250" s="93">
        <f>IF(B250="","","Soft App")</f>
        <v/>
      </c>
      <c r="E250" s="94" t="n"/>
      <c r="F250" s="95" t="n"/>
      <c r="G250" s="96">
        <f>IFERROR(E250/F250,0)</f>
        <v/>
      </c>
      <c r="H250" s="97">
        <f>IFERROR(SUMIF('💸 Expenses'!B9:B508,B250,'💸 Expenses'!F9:F508),0)</f>
        <v/>
      </c>
      <c r="I250" s="98">
        <f>IFERROR(E250-H250,0)</f>
        <v/>
      </c>
      <c r="J250" s="99">
        <f>IFERROR(I250/E250,0)</f>
        <v/>
      </c>
      <c r="K250" s="100" t="n"/>
      <c r="L250" s="60">
        <f>IFERROR(L249+E250,0)</f>
        <v/>
      </c>
      <c r="M250" s="63">
        <f>IFERROR(M249+H250,0)</f>
        <v/>
      </c>
      <c r="N250" s="101">
        <f>IFERROR(L250-M250,0)</f>
        <v/>
      </c>
      <c r="O250" s="102">
        <f>IFERROR(SUMIF(B8:B250,"&gt;="&amp;(B250-WEEKDAY(B250,2)+1),E8:E250),0)</f>
        <v/>
      </c>
      <c r="P250" s="103">
        <f>IFERROR(SUMIF(B8:B250,"&gt;="&amp;(B250-WEEKDAY(B250,2)+1),H8:H250),0)</f>
        <v/>
      </c>
      <c r="Q250" s="101">
        <f>IFERROR(O250-P250,0)</f>
        <v/>
      </c>
    </row>
    <row r="251" ht="16.5" customHeight="1">
      <c r="B251" s="91" t="n"/>
      <c r="C251" s="104">
        <f>IF(B251="","",TEXT(B251,"DDD"))</f>
        <v/>
      </c>
      <c r="D251" s="105">
        <f>IF(B251="","","Soft App")</f>
        <v/>
      </c>
      <c r="E251" s="106" t="n"/>
      <c r="F251" s="107" t="n"/>
      <c r="G251" s="108">
        <f>IFERROR(E251/F251,0)</f>
        <v/>
      </c>
      <c r="H251" s="109">
        <f>IFERROR(SUMIF('💸 Expenses'!B9:B508,B251,'💸 Expenses'!F9:F508),0)</f>
        <v/>
      </c>
      <c r="I251" s="110">
        <f>IFERROR(E251-H251,0)</f>
        <v/>
      </c>
      <c r="J251" s="111">
        <f>IFERROR(I251/E251,0)</f>
        <v/>
      </c>
      <c r="K251" s="112" t="n"/>
      <c r="L251" s="69">
        <f>IFERROR(L250+E251,0)</f>
        <v/>
      </c>
      <c r="M251" s="72">
        <f>IFERROR(M250+H251,0)</f>
        <v/>
      </c>
      <c r="N251" s="113">
        <f>IFERROR(L251-M251,0)</f>
        <v/>
      </c>
      <c r="O251" s="114">
        <f>IFERROR(SUMIF(B8:B251,"&gt;="&amp;(B251-WEEKDAY(B251,2)+1),E8:E251),0)</f>
        <v/>
      </c>
      <c r="P251" s="115">
        <f>IFERROR(SUMIF(B8:B251,"&gt;="&amp;(B251-WEEKDAY(B251,2)+1),H8:H251),0)</f>
        <v/>
      </c>
      <c r="Q251" s="113">
        <f>IFERROR(O251-P251,0)</f>
        <v/>
      </c>
    </row>
    <row r="252" ht="16.5" customHeight="1">
      <c r="B252" s="91" t="n"/>
      <c r="C252" s="92">
        <f>IF(B252="","",TEXT(B252,"DDD"))</f>
        <v/>
      </c>
      <c r="D252" s="93">
        <f>IF(B252="","","Soft App")</f>
        <v/>
      </c>
      <c r="E252" s="94" t="n"/>
      <c r="F252" s="95" t="n"/>
      <c r="G252" s="96">
        <f>IFERROR(E252/F252,0)</f>
        <v/>
      </c>
      <c r="H252" s="97">
        <f>IFERROR(SUMIF('💸 Expenses'!B9:B508,B252,'💸 Expenses'!F9:F508),0)</f>
        <v/>
      </c>
      <c r="I252" s="98">
        <f>IFERROR(E252-H252,0)</f>
        <v/>
      </c>
      <c r="J252" s="99">
        <f>IFERROR(I252/E252,0)</f>
        <v/>
      </c>
      <c r="K252" s="100" t="n"/>
      <c r="L252" s="60">
        <f>IFERROR(L251+E252,0)</f>
        <v/>
      </c>
      <c r="M252" s="63">
        <f>IFERROR(M251+H252,0)</f>
        <v/>
      </c>
      <c r="N252" s="101">
        <f>IFERROR(L252-M252,0)</f>
        <v/>
      </c>
      <c r="O252" s="102">
        <f>IFERROR(SUMIF(B8:B252,"&gt;="&amp;(B252-WEEKDAY(B252,2)+1),E8:E252),0)</f>
        <v/>
      </c>
      <c r="P252" s="103">
        <f>IFERROR(SUMIF(B8:B252,"&gt;="&amp;(B252-WEEKDAY(B252,2)+1),H8:H252),0)</f>
        <v/>
      </c>
      <c r="Q252" s="101">
        <f>IFERROR(O252-P252,0)</f>
        <v/>
      </c>
    </row>
    <row r="253" ht="16.5" customHeight="1">
      <c r="B253" s="91" t="n"/>
      <c r="C253" s="104">
        <f>IF(B253="","",TEXT(B253,"DDD"))</f>
        <v/>
      </c>
      <c r="D253" s="105">
        <f>IF(B253="","","Soft App")</f>
        <v/>
      </c>
      <c r="E253" s="106" t="n"/>
      <c r="F253" s="107" t="n"/>
      <c r="G253" s="108">
        <f>IFERROR(E253/F253,0)</f>
        <v/>
      </c>
      <c r="H253" s="109">
        <f>IFERROR(SUMIF('💸 Expenses'!B9:B508,B253,'💸 Expenses'!F9:F508),0)</f>
        <v/>
      </c>
      <c r="I253" s="110">
        <f>IFERROR(E253-H253,0)</f>
        <v/>
      </c>
      <c r="J253" s="111">
        <f>IFERROR(I253/E253,0)</f>
        <v/>
      </c>
      <c r="K253" s="112" t="n"/>
      <c r="L253" s="69">
        <f>IFERROR(L252+E253,0)</f>
        <v/>
      </c>
      <c r="M253" s="72">
        <f>IFERROR(M252+H253,0)</f>
        <v/>
      </c>
      <c r="N253" s="113">
        <f>IFERROR(L253-M253,0)</f>
        <v/>
      </c>
      <c r="O253" s="114">
        <f>IFERROR(SUMIF(B8:B253,"&gt;="&amp;(B253-WEEKDAY(B253,2)+1),E8:E253),0)</f>
        <v/>
      </c>
      <c r="P253" s="115">
        <f>IFERROR(SUMIF(B8:B253,"&gt;="&amp;(B253-WEEKDAY(B253,2)+1),H8:H253),0)</f>
        <v/>
      </c>
      <c r="Q253" s="113">
        <f>IFERROR(O253-P253,0)</f>
        <v/>
      </c>
    </row>
    <row r="254" ht="16.5" customHeight="1">
      <c r="B254" s="91" t="n"/>
      <c r="C254" s="92">
        <f>IF(B254="","",TEXT(B254,"DDD"))</f>
        <v/>
      </c>
      <c r="D254" s="93">
        <f>IF(B254="","","Soft App")</f>
        <v/>
      </c>
      <c r="E254" s="94" t="n"/>
      <c r="F254" s="95" t="n"/>
      <c r="G254" s="96">
        <f>IFERROR(E254/F254,0)</f>
        <v/>
      </c>
      <c r="H254" s="97">
        <f>IFERROR(SUMIF('💸 Expenses'!B9:B508,B254,'💸 Expenses'!F9:F508),0)</f>
        <v/>
      </c>
      <c r="I254" s="98">
        <f>IFERROR(E254-H254,0)</f>
        <v/>
      </c>
      <c r="J254" s="99">
        <f>IFERROR(I254/E254,0)</f>
        <v/>
      </c>
      <c r="K254" s="100" t="n"/>
      <c r="L254" s="60">
        <f>IFERROR(L253+E254,0)</f>
        <v/>
      </c>
      <c r="M254" s="63">
        <f>IFERROR(M253+H254,0)</f>
        <v/>
      </c>
      <c r="N254" s="101">
        <f>IFERROR(L254-M254,0)</f>
        <v/>
      </c>
      <c r="O254" s="102">
        <f>IFERROR(SUMIF(B8:B254,"&gt;="&amp;(B254-WEEKDAY(B254,2)+1),E8:E254),0)</f>
        <v/>
      </c>
      <c r="P254" s="103">
        <f>IFERROR(SUMIF(B8:B254,"&gt;="&amp;(B254-WEEKDAY(B254,2)+1),H8:H254),0)</f>
        <v/>
      </c>
      <c r="Q254" s="101">
        <f>IFERROR(O254-P254,0)</f>
        <v/>
      </c>
    </row>
    <row r="255" ht="16.5" customHeight="1">
      <c r="B255" s="91" t="n"/>
      <c r="C255" s="104">
        <f>IF(B255="","",TEXT(B255,"DDD"))</f>
        <v/>
      </c>
      <c r="D255" s="105">
        <f>IF(B255="","","Soft App")</f>
        <v/>
      </c>
      <c r="E255" s="106" t="n"/>
      <c r="F255" s="107" t="n"/>
      <c r="G255" s="108">
        <f>IFERROR(E255/F255,0)</f>
        <v/>
      </c>
      <c r="H255" s="109">
        <f>IFERROR(SUMIF('💸 Expenses'!B9:B508,B255,'💸 Expenses'!F9:F508),0)</f>
        <v/>
      </c>
      <c r="I255" s="110">
        <f>IFERROR(E255-H255,0)</f>
        <v/>
      </c>
      <c r="J255" s="111">
        <f>IFERROR(I255/E255,0)</f>
        <v/>
      </c>
      <c r="K255" s="112" t="n"/>
      <c r="L255" s="69">
        <f>IFERROR(L254+E255,0)</f>
        <v/>
      </c>
      <c r="M255" s="72">
        <f>IFERROR(M254+H255,0)</f>
        <v/>
      </c>
      <c r="N255" s="113">
        <f>IFERROR(L255-M255,0)</f>
        <v/>
      </c>
      <c r="O255" s="114">
        <f>IFERROR(SUMIF(B8:B255,"&gt;="&amp;(B255-WEEKDAY(B255,2)+1),E8:E255),0)</f>
        <v/>
      </c>
      <c r="P255" s="115">
        <f>IFERROR(SUMIF(B8:B255,"&gt;="&amp;(B255-WEEKDAY(B255,2)+1),H8:H255),0)</f>
        <v/>
      </c>
      <c r="Q255" s="113">
        <f>IFERROR(O255-P255,0)</f>
        <v/>
      </c>
    </row>
    <row r="256" ht="16.5" customHeight="1">
      <c r="B256" s="91" t="n"/>
      <c r="C256" s="92">
        <f>IF(B256="","",TEXT(B256,"DDD"))</f>
        <v/>
      </c>
      <c r="D256" s="93">
        <f>IF(B256="","","Soft App")</f>
        <v/>
      </c>
      <c r="E256" s="94" t="n"/>
      <c r="F256" s="95" t="n"/>
      <c r="G256" s="96">
        <f>IFERROR(E256/F256,0)</f>
        <v/>
      </c>
      <c r="H256" s="97">
        <f>IFERROR(SUMIF('💸 Expenses'!B9:B508,B256,'💸 Expenses'!F9:F508),0)</f>
        <v/>
      </c>
      <c r="I256" s="98">
        <f>IFERROR(E256-H256,0)</f>
        <v/>
      </c>
      <c r="J256" s="99">
        <f>IFERROR(I256/E256,0)</f>
        <v/>
      </c>
      <c r="K256" s="100" t="n"/>
      <c r="L256" s="60">
        <f>IFERROR(L255+E256,0)</f>
        <v/>
      </c>
      <c r="M256" s="63">
        <f>IFERROR(M255+H256,0)</f>
        <v/>
      </c>
      <c r="N256" s="101">
        <f>IFERROR(L256-M256,0)</f>
        <v/>
      </c>
      <c r="O256" s="102">
        <f>IFERROR(SUMIF(B8:B256,"&gt;="&amp;(B256-WEEKDAY(B256,2)+1),E8:E256),0)</f>
        <v/>
      </c>
      <c r="P256" s="103">
        <f>IFERROR(SUMIF(B8:B256,"&gt;="&amp;(B256-WEEKDAY(B256,2)+1),H8:H256),0)</f>
        <v/>
      </c>
      <c r="Q256" s="101">
        <f>IFERROR(O256-P256,0)</f>
        <v/>
      </c>
    </row>
    <row r="257" ht="16.5" customHeight="1">
      <c r="B257" s="91" t="n"/>
      <c r="C257" s="104">
        <f>IF(B257="","",TEXT(B257,"DDD"))</f>
        <v/>
      </c>
      <c r="D257" s="105">
        <f>IF(B257="","","Soft App")</f>
        <v/>
      </c>
      <c r="E257" s="106" t="n"/>
      <c r="F257" s="107" t="n"/>
      <c r="G257" s="108">
        <f>IFERROR(E257/F257,0)</f>
        <v/>
      </c>
      <c r="H257" s="109">
        <f>IFERROR(SUMIF('💸 Expenses'!B9:B508,B257,'💸 Expenses'!F9:F508),0)</f>
        <v/>
      </c>
      <c r="I257" s="110">
        <f>IFERROR(E257-H257,0)</f>
        <v/>
      </c>
      <c r="J257" s="111">
        <f>IFERROR(I257/E257,0)</f>
        <v/>
      </c>
      <c r="K257" s="112" t="n"/>
      <c r="L257" s="69">
        <f>IFERROR(L256+E257,0)</f>
        <v/>
      </c>
      <c r="M257" s="72">
        <f>IFERROR(M256+H257,0)</f>
        <v/>
      </c>
      <c r="N257" s="113">
        <f>IFERROR(L257-M257,0)</f>
        <v/>
      </c>
      <c r="O257" s="114">
        <f>IFERROR(SUMIF(B8:B257,"&gt;="&amp;(B257-WEEKDAY(B257,2)+1),E8:E257),0)</f>
        <v/>
      </c>
      <c r="P257" s="115">
        <f>IFERROR(SUMIF(B8:B257,"&gt;="&amp;(B257-WEEKDAY(B257,2)+1),H8:H257),0)</f>
        <v/>
      </c>
      <c r="Q257" s="113">
        <f>IFERROR(O257-P257,0)</f>
        <v/>
      </c>
    </row>
    <row r="258" ht="16.5" customHeight="1">
      <c r="B258" s="91" t="n"/>
      <c r="C258" s="92">
        <f>IF(B258="","",TEXT(B258,"DDD"))</f>
        <v/>
      </c>
      <c r="D258" s="93">
        <f>IF(B258="","","Soft App")</f>
        <v/>
      </c>
      <c r="E258" s="94" t="n"/>
      <c r="F258" s="95" t="n"/>
      <c r="G258" s="96">
        <f>IFERROR(E258/F258,0)</f>
        <v/>
      </c>
      <c r="H258" s="97">
        <f>IFERROR(SUMIF('💸 Expenses'!B9:B508,B258,'💸 Expenses'!F9:F508),0)</f>
        <v/>
      </c>
      <c r="I258" s="98">
        <f>IFERROR(E258-H258,0)</f>
        <v/>
      </c>
      <c r="J258" s="99">
        <f>IFERROR(I258/E258,0)</f>
        <v/>
      </c>
      <c r="K258" s="100" t="n"/>
      <c r="L258" s="60">
        <f>IFERROR(L257+E258,0)</f>
        <v/>
      </c>
      <c r="M258" s="63">
        <f>IFERROR(M257+H258,0)</f>
        <v/>
      </c>
      <c r="N258" s="101">
        <f>IFERROR(L258-M258,0)</f>
        <v/>
      </c>
      <c r="O258" s="102">
        <f>IFERROR(SUMIF(B8:B258,"&gt;="&amp;(B258-WEEKDAY(B258,2)+1),E8:E258),0)</f>
        <v/>
      </c>
      <c r="P258" s="103">
        <f>IFERROR(SUMIF(B8:B258,"&gt;="&amp;(B258-WEEKDAY(B258,2)+1),H8:H258),0)</f>
        <v/>
      </c>
      <c r="Q258" s="101">
        <f>IFERROR(O258-P258,0)</f>
        <v/>
      </c>
    </row>
    <row r="259" ht="16.5" customHeight="1">
      <c r="B259" s="91" t="n"/>
      <c r="C259" s="104">
        <f>IF(B259="","",TEXT(B259,"DDD"))</f>
        <v/>
      </c>
      <c r="D259" s="105">
        <f>IF(B259="","","Soft App")</f>
        <v/>
      </c>
      <c r="E259" s="106" t="n"/>
      <c r="F259" s="107" t="n"/>
      <c r="G259" s="108">
        <f>IFERROR(E259/F259,0)</f>
        <v/>
      </c>
      <c r="H259" s="109">
        <f>IFERROR(SUMIF('💸 Expenses'!B9:B508,B259,'💸 Expenses'!F9:F508),0)</f>
        <v/>
      </c>
      <c r="I259" s="110">
        <f>IFERROR(E259-H259,0)</f>
        <v/>
      </c>
      <c r="J259" s="111">
        <f>IFERROR(I259/E259,0)</f>
        <v/>
      </c>
      <c r="K259" s="112" t="n"/>
      <c r="L259" s="69">
        <f>IFERROR(L258+E259,0)</f>
        <v/>
      </c>
      <c r="M259" s="72">
        <f>IFERROR(M258+H259,0)</f>
        <v/>
      </c>
      <c r="N259" s="113">
        <f>IFERROR(L259-M259,0)</f>
        <v/>
      </c>
      <c r="O259" s="114">
        <f>IFERROR(SUMIF(B8:B259,"&gt;="&amp;(B259-WEEKDAY(B259,2)+1),E8:E259),0)</f>
        <v/>
      </c>
      <c r="P259" s="115">
        <f>IFERROR(SUMIF(B8:B259,"&gt;="&amp;(B259-WEEKDAY(B259,2)+1),H8:H259),0)</f>
        <v/>
      </c>
      <c r="Q259" s="113">
        <f>IFERROR(O259-P259,0)</f>
        <v/>
      </c>
    </row>
    <row r="260" ht="16.5" customHeight="1">
      <c r="B260" s="91" t="n"/>
      <c r="C260" s="92">
        <f>IF(B260="","",TEXT(B260,"DDD"))</f>
        <v/>
      </c>
      <c r="D260" s="93">
        <f>IF(B260="","","Soft App")</f>
        <v/>
      </c>
      <c r="E260" s="94" t="n"/>
      <c r="F260" s="95" t="n"/>
      <c r="G260" s="96">
        <f>IFERROR(E260/F260,0)</f>
        <v/>
      </c>
      <c r="H260" s="97">
        <f>IFERROR(SUMIF('💸 Expenses'!B9:B508,B260,'💸 Expenses'!F9:F508),0)</f>
        <v/>
      </c>
      <c r="I260" s="98">
        <f>IFERROR(E260-H260,0)</f>
        <v/>
      </c>
      <c r="J260" s="99">
        <f>IFERROR(I260/E260,0)</f>
        <v/>
      </c>
      <c r="K260" s="100" t="n"/>
      <c r="L260" s="60">
        <f>IFERROR(L259+E260,0)</f>
        <v/>
      </c>
      <c r="M260" s="63">
        <f>IFERROR(M259+H260,0)</f>
        <v/>
      </c>
      <c r="N260" s="101">
        <f>IFERROR(L260-M260,0)</f>
        <v/>
      </c>
      <c r="O260" s="102">
        <f>IFERROR(SUMIF(B8:B260,"&gt;="&amp;(B260-WEEKDAY(B260,2)+1),E8:E260),0)</f>
        <v/>
      </c>
      <c r="P260" s="103">
        <f>IFERROR(SUMIF(B8:B260,"&gt;="&amp;(B260-WEEKDAY(B260,2)+1),H8:H260),0)</f>
        <v/>
      </c>
      <c r="Q260" s="101">
        <f>IFERROR(O260-P260,0)</f>
        <v/>
      </c>
    </row>
    <row r="261" ht="16.5" customHeight="1">
      <c r="B261" s="91" t="n"/>
      <c r="C261" s="104">
        <f>IF(B261="","",TEXT(B261,"DDD"))</f>
        <v/>
      </c>
      <c r="D261" s="105">
        <f>IF(B261="","","Soft App")</f>
        <v/>
      </c>
      <c r="E261" s="106" t="n"/>
      <c r="F261" s="107" t="n"/>
      <c r="G261" s="108">
        <f>IFERROR(E261/F261,0)</f>
        <v/>
      </c>
      <c r="H261" s="109">
        <f>IFERROR(SUMIF('💸 Expenses'!B9:B508,B261,'💸 Expenses'!F9:F508),0)</f>
        <v/>
      </c>
      <c r="I261" s="110">
        <f>IFERROR(E261-H261,0)</f>
        <v/>
      </c>
      <c r="J261" s="111">
        <f>IFERROR(I261/E261,0)</f>
        <v/>
      </c>
      <c r="K261" s="112" t="n"/>
      <c r="L261" s="69">
        <f>IFERROR(L260+E261,0)</f>
        <v/>
      </c>
      <c r="M261" s="72">
        <f>IFERROR(M260+H261,0)</f>
        <v/>
      </c>
      <c r="N261" s="113">
        <f>IFERROR(L261-M261,0)</f>
        <v/>
      </c>
      <c r="O261" s="114">
        <f>IFERROR(SUMIF(B8:B261,"&gt;="&amp;(B261-WEEKDAY(B261,2)+1),E8:E261),0)</f>
        <v/>
      </c>
      <c r="P261" s="115">
        <f>IFERROR(SUMIF(B8:B261,"&gt;="&amp;(B261-WEEKDAY(B261,2)+1),H8:H261),0)</f>
        <v/>
      </c>
      <c r="Q261" s="113">
        <f>IFERROR(O261-P261,0)</f>
        <v/>
      </c>
    </row>
    <row r="262" ht="16.5" customHeight="1">
      <c r="B262" s="91" t="n"/>
      <c r="C262" s="92">
        <f>IF(B262="","",TEXT(B262,"DDD"))</f>
        <v/>
      </c>
      <c r="D262" s="93">
        <f>IF(B262="","","Soft App")</f>
        <v/>
      </c>
      <c r="E262" s="94" t="n"/>
      <c r="F262" s="95" t="n"/>
      <c r="G262" s="96">
        <f>IFERROR(E262/F262,0)</f>
        <v/>
      </c>
      <c r="H262" s="97">
        <f>IFERROR(SUMIF('💸 Expenses'!B9:B508,B262,'💸 Expenses'!F9:F508),0)</f>
        <v/>
      </c>
      <c r="I262" s="98">
        <f>IFERROR(E262-H262,0)</f>
        <v/>
      </c>
      <c r="J262" s="99">
        <f>IFERROR(I262/E262,0)</f>
        <v/>
      </c>
      <c r="K262" s="100" t="n"/>
      <c r="L262" s="60">
        <f>IFERROR(L261+E262,0)</f>
        <v/>
      </c>
      <c r="M262" s="63">
        <f>IFERROR(M261+H262,0)</f>
        <v/>
      </c>
      <c r="N262" s="101">
        <f>IFERROR(L262-M262,0)</f>
        <v/>
      </c>
      <c r="O262" s="102">
        <f>IFERROR(SUMIF(B8:B262,"&gt;="&amp;(B262-WEEKDAY(B262,2)+1),E8:E262),0)</f>
        <v/>
      </c>
      <c r="P262" s="103">
        <f>IFERROR(SUMIF(B8:B262,"&gt;="&amp;(B262-WEEKDAY(B262,2)+1),H8:H262),0)</f>
        <v/>
      </c>
      <c r="Q262" s="101">
        <f>IFERROR(O262-P262,0)</f>
        <v/>
      </c>
    </row>
    <row r="263" ht="16.5" customHeight="1">
      <c r="B263" s="91" t="n"/>
      <c r="C263" s="104">
        <f>IF(B263="","",TEXT(B263,"DDD"))</f>
        <v/>
      </c>
      <c r="D263" s="105">
        <f>IF(B263="","","Soft App")</f>
        <v/>
      </c>
      <c r="E263" s="106" t="n"/>
      <c r="F263" s="107" t="n"/>
      <c r="G263" s="108">
        <f>IFERROR(E263/F263,0)</f>
        <v/>
      </c>
      <c r="H263" s="109">
        <f>IFERROR(SUMIF('💸 Expenses'!B9:B508,B263,'💸 Expenses'!F9:F508),0)</f>
        <v/>
      </c>
      <c r="I263" s="110">
        <f>IFERROR(E263-H263,0)</f>
        <v/>
      </c>
      <c r="J263" s="111">
        <f>IFERROR(I263/E263,0)</f>
        <v/>
      </c>
      <c r="K263" s="112" t="n"/>
      <c r="L263" s="69">
        <f>IFERROR(L262+E263,0)</f>
        <v/>
      </c>
      <c r="M263" s="72">
        <f>IFERROR(M262+H263,0)</f>
        <v/>
      </c>
      <c r="N263" s="113">
        <f>IFERROR(L263-M263,0)</f>
        <v/>
      </c>
      <c r="O263" s="114">
        <f>IFERROR(SUMIF(B8:B263,"&gt;="&amp;(B263-WEEKDAY(B263,2)+1),E8:E263),0)</f>
        <v/>
      </c>
      <c r="P263" s="115">
        <f>IFERROR(SUMIF(B8:B263,"&gt;="&amp;(B263-WEEKDAY(B263,2)+1),H8:H263),0)</f>
        <v/>
      </c>
      <c r="Q263" s="113">
        <f>IFERROR(O263-P263,0)</f>
        <v/>
      </c>
    </row>
    <row r="264" ht="16.5" customHeight="1">
      <c r="B264" s="91" t="n"/>
      <c r="C264" s="92">
        <f>IF(B264="","",TEXT(B264,"DDD"))</f>
        <v/>
      </c>
      <c r="D264" s="93">
        <f>IF(B264="","","Soft App")</f>
        <v/>
      </c>
      <c r="E264" s="94" t="n"/>
      <c r="F264" s="95" t="n"/>
      <c r="G264" s="96">
        <f>IFERROR(E264/F264,0)</f>
        <v/>
      </c>
      <c r="H264" s="97">
        <f>IFERROR(SUMIF('💸 Expenses'!B9:B508,B264,'💸 Expenses'!F9:F508),0)</f>
        <v/>
      </c>
      <c r="I264" s="98">
        <f>IFERROR(E264-H264,0)</f>
        <v/>
      </c>
      <c r="J264" s="99">
        <f>IFERROR(I264/E264,0)</f>
        <v/>
      </c>
      <c r="K264" s="100" t="n"/>
      <c r="L264" s="60">
        <f>IFERROR(L263+E264,0)</f>
        <v/>
      </c>
      <c r="M264" s="63">
        <f>IFERROR(M263+H264,0)</f>
        <v/>
      </c>
      <c r="N264" s="101">
        <f>IFERROR(L264-M264,0)</f>
        <v/>
      </c>
      <c r="O264" s="102">
        <f>IFERROR(SUMIF(B8:B264,"&gt;="&amp;(B264-WEEKDAY(B264,2)+1),E8:E264),0)</f>
        <v/>
      </c>
      <c r="P264" s="103">
        <f>IFERROR(SUMIF(B8:B264,"&gt;="&amp;(B264-WEEKDAY(B264,2)+1),H8:H264),0)</f>
        <v/>
      </c>
      <c r="Q264" s="101">
        <f>IFERROR(O264-P264,0)</f>
        <v/>
      </c>
    </row>
    <row r="265" ht="16.5" customHeight="1">
      <c r="B265" s="91" t="n"/>
      <c r="C265" s="104">
        <f>IF(B265="","",TEXT(B265,"DDD"))</f>
        <v/>
      </c>
      <c r="D265" s="105">
        <f>IF(B265="","","Soft App")</f>
        <v/>
      </c>
      <c r="E265" s="106" t="n"/>
      <c r="F265" s="107" t="n"/>
      <c r="G265" s="108">
        <f>IFERROR(E265/F265,0)</f>
        <v/>
      </c>
      <c r="H265" s="109">
        <f>IFERROR(SUMIF('💸 Expenses'!B9:B508,B265,'💸 Expenses'!F9:F508),0)</f>
        <v/>
      </c>
      <c r="I265" s="110">
        <f>IFERROR(E265-H265,0)</f>
        <v/>
      </c>
      <c r="J265" s="111">
        <f>IFERROR(I265/E265,0)</f>
        <v/>
      </c>
      <c r="K265" s="112" t="n"/>
      <c r="L265" s="69">
        <f>IFERROR(L264+E265,0)</f>
        <v/>
      </c>
      <c r="M265" s="72">
        <f>IFERROR(M264+H265,0)</f>
        <v/>
      </c>
      <c r="N265" s="113">
        <f>IFERROR(L265-M265,0)</f>
        <v/>
      </c>
      <c r="O265" s="114">
        <f>IFERROR(SUMIF(B8:B265,"&gt;="&amp;(B265-WEEKDAY(B265,2)+1),E8:E265),0)</f>
        <v/>
      </c>
      <c r="P265" s="115">
        <f>IFERROR(SUMIF(B8:B265,"&gt;="&amp;(B265-WEEKDAY(B265,2)+1),H8:H265),0)</f>
        <v/>
      </c>
      <c r="Q265" s="113">
        <f>IFERROR(O265-P265,0)</f>
        <v/>
      </c>
    </row>
    <row r="266" ht="16.5" customHeight="1">
      <c r="B266" s="91" t="n"/>
      <c r="C266" s="92">
        <f>IF(B266="","",TEXT(B266,"DDD"))</f>
        <v/>
      </c>
      <c r="D266" s="93">
        <f>IF(B266="","","Soft App")</f>
        <v/>
      </c>
      <c r="E266" s="94" t="n"/>
      <c r="F266" s="95" t="n"/>
      <c r="G266" s="96">
        <f>IFERROR(E266/F266,0)</f>
        <v/>
      </c>
      <c r="H266" s="97">
        <f>IFERROR(SUMIF('💸 Expenses'!B9:B508,B266,'💸 Expenses'!F9:F508),0)</f>
        <v/>
      </c>
      <c r="I266" s="98">
        <f>IFERROR(E266-H266,0)</f>
        <v/>
      </c>
      <c r="J266" s="99">
        <f>IFERROR(I266/E266,0)</f>
        <v/>
      </c>
      <c r="K266" s="100" t="n"/>
      <c r="L266" s="60">
        <f>IFERROR(L265+E266,0)</f>
        <v/>
      </c>
      <c r="M266" s="63">
        <f>IFERROR(M265+H266,0)</f>
        <v/>
      </c>
      <c r="N266" s="101">
        <f>IFERROR(L266-M266,0)</f>
        <v/>
      </c>
      <c r="O266" s="102">
        <f>IFERROR(SUMIF(B8:B266,"&gt;="&amp;(B266-WEEKDAY(B266,2)+1),E8:E266),0)</f>
        <v/>
      </c>
      <c r="P266" s="103">
        <f>IFERROR(SUMIF(B8:B266,"&gt;="&amp;(B266-WEEKDAY(B266,2)+1),H8:H266),0)</f>
        <v/>
      </c>
      <c r="Q266" s="101">
        <f>IFERROR(O266-P266,0)</f>
        <v/>
      </c>
    </row>
    <row r="267" ht="16.5" customHeight="1">
      <c r="B267" s="91" t="n"/>
      <c r="C267" s="104">
        <f>IF(B267="","",TEXT(B267,"DDD"))</f>
        <v/>
      </c>
      <c r="D267" s="105">
        <f>IF(B267="","","Soft App")</f>
        <v/>
      </c>
      <c r="E267" s="106" t="n"/>
      <c r="F267" s="107" t="n"/>
      <c r="G267" s="108">
        <f>IFERROR(E267/F267,0)</f>
        <v/>
      </c>
      <c r="H267" s="109">
        <f>IFERROR(SUMIF('💸 Expenses'!B9:B508,B267,'💸 Expenses'!F9:F508),0)</f>
        <v/>
      </c>
      <c r="I267" s="110">
        <f>IFERROR(E267-H267,0)</f>
        <v/>
      </c>
      <c r="J267" s="111">
        <f>IFERROR(I267/E267,0)</f>
        <v/>
      </c>
      <c r="K267" s="112" t="n"/>
      <c r="L267" s="69">
        <f>IFERROR(L266+E267,0)</f>
        <v/>
      </c>
      <c r="M267" s="72">
        <f>IFERROR(M266+H267,0)</f>
        <v/>
      </c>
      <c r="N267" s="113">
        <f>IFERROR(L267-M267,0)</f>
        <v/>
      </c>
      <c r="O267" s="114">
        <f>IFERROR(SUMIF(B8:B267,"&gt;="&amp;(B267-WEEKDAY(B267,2)+1),E8:E267),0)</f>
        <v/>
      </c>
      <c r="P267" s="115">
        <f>IFERROR(SUMIF(B8:B267,"&gt;="&amp;(B267-WEEKDAY(B267,2)+1),H8:H267),0)</f>
        <v/>
      </c>
      <c r="Q267" s="113">
        <f>IFERROR(O267-P267,0)</f>
        <v/>
      </c>
    </row>
    <row r="268" ht="16.5" customHeight="1">
      <c r="B268" s="91" t="n"/>
      <c r="C268" s="92">
        <f>IF(B268="","",TEXT(B268,"DDD"))</f>
        <v/>
      </c>
      <c r="D268" s="93">
        <f>IF(B268="","","Soft App")</f>
        <v/>
      </c>
      <c r="E268" s="94" t="n"/>
      <c r="F268" s="95" t="n"/>
      <c r="G268" s="96">
        <f>IFERROR(E268/F268,0)</f>
        <v/>
      </c>
      <c r="H268" s="97">
        <f>IFERROR(SUMIF('💸 Expenses'!B9:B508,B268,'💸 Expenses'!F9:F508),0)</f>
        <v/>
      </c>
      <c r="I268" s="98">
        <f>IFERROR(E268-H268,0)</f>
        <v/>
      </c>
      <c r="J268" s="99">
        <f>IFERROR(I268/E268,0)</f>
        <v/>
      </c>
      <c r="K268" s="100" t="n"/>
      <c r="L268" s="60">
        <f>IFERROR(L267+E268,0)</f>
        <v/>
      </c>
      <c r="M268" s="63">
        <f>IFERROR(M267+H268,0)</f>
        <v/>
      </c>
      <c r="N268" s="101">
        <f>IFERROR(L268-M268,0)</f>
        <v/>
      </c>
      <c r="O268" s="102">
        <f>IFERROR(SUMIF(B8:B268,"&gt;="&amp;(B268-WEEKDAY(B268,2)+1),E8:E268),0)</f>
        <v/>
      </c>
      <c r="P268" s="103">
        <f>IFERROR(SUMIF(B8:B268,"&gt;="&amp;(B268-WEEKDAY(B268,2)+1),H8:H268),0)</f>
        <v/>
      </c>
      <c r="Q268" s="101">
        <f>IFERROR(O268-P268,0)</f>
        <v/>
      </c>
    </row>
    <row r="269" ht="16.5" customHeight="1">
      <c r="B269" s="91" t="n"/>
      <c r="C269" s="104">
        <f>IF(B269="","",TEXT(B269,"DDD"))</f>
        <v/>
      </c>
      <c r="D269" s="105">
        <f>IF(B269="","","Soft App")</f>
        <v/>
      </c>
      <c r="E269" s="106" t="n"/>
      <c r="F269" s="107" t="n"/>
      <c r="G269" s="108">
        <f>IFERROR(E269/F269,0)</f>
        <v/>
      </c>
      <c r="H269" s="109">
        <f>IFERROR(SUMIF('💸 Expenses'!B9:B508,B269,'💸 Expenses'!F9:F508),0)</f>
        <v/>
      </c>
      <c r="I269" s="110">
        <f>IFERROR(E269-H269,0)</f>
        <v/>
      </c>
      <c r="J269" s="111">
        <f>IFERROR(I269/E269,0)</f>
        <v/>
      </c>
      <c r="K269" s="112" t="n"/>
      <c r="L269" s="69">
        <f>IFERROR(L268+E269,0)</f>
        <v/>
      </c>
      <c r="M269" s="72">
        <f>IFERROR(M268+H269,0)</f>
        <v/>
      </c>
      <c r="N269" s="113">
        <f>IFERROR(L269-M269,0)</f>
        <v/>
      </c>
      <c r="O269" s="114">
        <f>IFERROR(SUMIF(B8:B269,"&gt;="&amp;(B269-WEEKDAY(B269,2)+1),E8:E269),0)</f>
        <v/>
      </c>
      <c r="P269" s="115">
        <f>IFERROR(SUMIF(B8:B269,"&gt;="&amp;(B269-WEEKDAY(B269,2)+1),H8:H269),0)</f>
        <v/>
      </c>
      <c r="Q269" s="113">
        <f>IFERROR(O269-P269,0)</f>
        <v/>
      </c>
    </row>
    <row r="270" ht="16.5" customHeight="1">
      <c r="B270" s="91" t="n"/>
      <c r="C270" s="92">
        <f>IF(B270="","",TEXT(B270,"DDD"))</f>
        <v/>
      </c>
      <c r="D270" s="93">
        <f>IF(B270="","","Soft App")</f>
        <v/>
      </c>
      <c r="E270" s="94" t="n"/>
      <c r="F270" s="95" t="n"/>
      <c r="G270" s="96">
        <f>IFERROR(E270/F270,0)</f>
        <v/>
      </c>
      <c r="H270" s="97">
        <f>IFERROR(SUMIF('💸 Expenses'!B9:B508,B270,'💸 Expenses'!F9:F508),0)</f>
        <v/>
      </c>
      <c r="I270" s="98">
        <f>IFERROR(E270-H270,0)</f>
        <v/>
      </c>
      <c r="J270" s="99">
        <f>IFERROR(I270/E270,0)</f>
        <v/>
      </c>
      <c r="K270" s="100" t="n"/>
      <c r="L270" s="60">
        <f>IFERROR(L269+E270,0)</f>
        <v/>
      </c>
      <c r="M270" s="63">
        <f>IFERROR(M269+H270,0)</f>
        <v/>
      </c>
      <c r="N270" s="101">
        <f>IFERROR(L270-M270,0)</f>
        <v/>
      </c>
      <c r="O270" s="102">
        <f>IFERROR(SUMIF(B8:B270,"&gt;="&amp;(B270-WEEKDAY(B270,2)+1),E8:E270),0)</f>
        <v/>
      </c>
      <c r="P270" s="103">
        <f>IFERROR(SUMIF(B8:B270,"&gt;="&amp;(B270-WEEKDAY(B270,2)+1),H8:H270),0)</f>
        <v/>
      </c>
      <c r="Q270" s="101">
        <f>IFERROR(O270-P270,0)</f>
        <v/>
      </c>
    </row>
    <row r="271" ht="16.5" customHeight="1">
      <c r="B271" s="91" t="n"/>
      <c r="C271" s="104">
        <f>IF(B271="","",TEXT(B271,"DDD"))</f>
        <v/>
      </c>
      <c r="D271" s="105">
        <f>IF(B271="","","Soft App")</f>
        <v/>
      </c>
      <c r="E271" s="106" t="n"/>
      <c r="F271" s="107" t="n"/>
      <c r="G271" s="108">
        <f>IFERROR(E271/F271,0)</f>
        <v/>
      </c>
      <c r="H271" s="109">
        <f>IFERROR(SUMIF('💸 Expenses'!B9:B508,B271,'💸 Expenses'!F9:F508),0)</f>
        <v/>
      </c>
      <c r="I271" s="110">
        <f>IFERROR(E271-H271,0)</f>
        <v/>
      </c>
      <c r="J271" s="111">
        <f>IFERROR(I271/E271,0)</f>
        <v/>
      </c>
      <c r="K271" s="112" t="n"/>
      <c r="L271" s="69">
        <f>IFERROR(L270+E271,0)</f>
        <v/>
      </c>
      <c r="M271" s="72">
        <f>IFERROR(M270+H271,0)</f>
        <v/>
      </c>
      <c r="N271" s="113">
        <f>IFERROR(L271-M271,0)</f>
        <v/>
      </c>
      <c r="O271" s="114">
        <f>IFERROR(SUMIF(B8:B271,"&gt;="&amp;(B271-WEEKDAY(B271,2)+1),E8:E271),0)</f>
        <v/>
      </c>
      <c r="P271" s="115">
        <f>IFERROR(SUMIF(B8:B271,"&gt;="&amp;(B271-WEEKDAY(B271,2)+1),H8:H271),0)</f>
        <v/>
      </c>
      <c r="Q271" s="113">
        <f>IFERROR(O271-P271,0)</f>
        <v/>
      </c>
    </row>
    <row r="272" ht="16.5" customHeight="1">
      <c r="B272" s="91" t="n"/>
      <c r="C272" s="92">
        <f>IF(B272="","",TEXT(B272,"DDD"))</f>
        <v/>
      </c>
      <c r="D272" s="93">
        <f>IF(B272="","","Soft App")</f>
        <v/>
      </c>
      <c r="E272" s="94" t="n"/>
      <c r="F272" s="95" t="n"/>
      <c r="G272" s="96">
        <f>IFERROR(E272/F272,0)</f>
        <v/>
      </c>
      <c r="H272" s="97">
        <f>IFERROR(SUMIF('💸 Expenses'!B9:B508,B272,'💸 Expenses'!F9:F508),0)</f>
        <v/>
      </c>
      <c r="I272" s="98">
        <f>IFERROR(E272-H272,0)</f>
        <v/>
      </c>
      <c r="J272" s="99">
        <f>IFERROR(I272/E272,0)</f>
        <v/>
      </c>
      <c r="K272" s="100" t="n"/>
      <c r="L272" s="60">
        <f>IFERROR(L271+E272,0)</f>
        <v/>
      </c>
      <c r="M272" s="63">
        <f>IFERROR(M271+H272,0)</f>
        <v/>
      </c>
      <c r="N272" s="101">
        <f>IFERROR(L272-M272,0)</f>
        <v/>
      </c>
      <c r="O272" s="102">
        <f>IFERROR(SUMIF(B8:B272,"&gt;="&amp;(B272-WEEKDAY(B272,2)+1),E8:E272),0)</f>
        <v/>
      </c>
      <c r="P272" s="103">
        <f>IFERROR(SUMIF(B8:B272,"&gt;="&amp;(B272-WEEKDAY(B272,2)+1),H8:H272),0)</f>
        <v/>
      </c>
      <c r="Q272" s="101">
        <f>IFERROR(O272-P272,0)</f>
        <v/>
      </c>
    </row>
    <row r="273" ht="16.5" customHeight="1">
      <c r="B273" s="91" t="n"/>
      <c r="C273" s="104">
        <f>IF(B273="","",TEXT(B273,"DDD"))</f>
        <v/>
      </c>
      <c r="D273" s="105">
        <f>IF(B273="","","Soft App")</f>
        <v/>
      </c>
      <c r="E273" s="106" t="n"/>
      <c r="F273" s="107" t="n"/>
      <c r="G273" s="108">
        <f>IFERROR(E273/F273,0)</f>
        <v/>
      </c>
      <c r="H273" s="109">
        <f>IFERROR(SUMIF('💸 Expenses'!B9:B508,B273,'💸 Expenses'!F9:F508),0)</f>
        <v/>
      </c>
      <c r="I273" s="110">
        <f>IFERROR(E273-H273,0)</f>
        <v/>
      </c>
      <c r="J273" s="111">
        <f>IFERROR(I273/E273,0)</f>
        <v/>
      </c>
      <c r="K273" s="112" t="n"/>
      <c r="L273" s="69">
        <f>IFERROR(L272+E273,0)</f>
        <v/>
      </c>
      <c r="M273" s="72">
        <f>IFERROR(M272+H273,0)</f>
        <v/>
      </c>
      <c r="N273" s="113">
        <f>IFERROR(L273-M273,0)</f>
        <v/>
      </c>
      <c r="O273" s="114">
        <f>IFERROR(SUMIF(B8:B273,"&gt;="&amp;(B273-WEEKDAY(B273,2)+1),E8:E273),0)</f>
        <v/>
      </c>
      <c r="P273" s="115">
        <f>IFERROR(SUMIF(B8:B273,"&gt;="&amp;(B273-WEEKDAY(B273,2)+1),H8:H273),0)</f>
        <v/>
      </c>
      <c r="Q273" s="113">
        <f>IFERROR(O273-P273,0)</f>
        <v/>
      </c>
    </row>
    <row r="274" ht="16.5" customHeight="1">
      <c r="B274" s="91" t="n"/>
      <c r="C274" s="92">
        <f>IF(B274="","",TEXT(B274,"DDD"))</f>
        <v/>
      </c>
      <c r="D274" s="93">
        <f>IF(B274="","","Soft App")</f>
        <v/>
      </c>
      <c r="E274" s="94" t="n"/>
      <c r="F274" s="95" t="n"/>
      <c r="G274" s="96">
        <f>IFERROR(E274/F274,0)</f>
        <v/>
      </c>
      <c r="H274" s="97">
        <f>IFERROR(SUMIF('💸 Expenses'!B9:B508,B274,'💸 Expenses'!F9:F508),0)</f>
        <v/>
      </c>
      <c r="I274" s="98">
        <f>IFERROR(E274-H274,0)</f>
        <v/>
      </c>
      <c r="J274" s="99">
        <f>IFERROR(I274/E274,0)</f>
        <v/>
      </c>
      <c r="K274" s="100" t="n"/>
      <c r="L274" s="60">
        <f>IFERROR(L273+E274,0)</f>
        <v/>
      </c>
      <c r="M274" s="63">
        <f>IFERROR(M273+H274,0)</f>
        <v/>
      </c>
      <c r="N274" s="101">
        <f>IFERROR(L274-M274,0)</f>
        <v/>
      </c>
      <c r="O274" s="102">
        <f>IFERROR(SUMIF(B8:B274,"&gt;="&amp;(B274-WEEKDAY(B274,2)+1),E8:E274),0)</f>
        <v/>
      </c>
      <c r="P274" s="103">
        <f>IFERROR(SUMIF(B8:B274,"&gt;="&amp;(B274-WEEKDAY(B274,2)+1),H8:H274),0)</f>
        <v/>
      </c>
      <c r="Q274" s="101">
        <f>IFERROR(O274-P274,0)</f>
        <v/>
      </c>
    </row>
    <row r="275" ht="16.5" customHeight="1">
      <c r="B275" s="91" t="n"/>
      <c r="C275" s="104">
        <f>IF(B275="","",TEXT(B275,"DDD"))</f>
        <v/>
      </c>
      <c r="D275" s="105">
        <f>IF(B275="","","Soft App")</f>
        <v/>
      </c>
      <c r="E275" s="106" t="n"/>
      <c r="F275" s="107" t="n"/>
      <c r="G275" s="108">
        <f>IFERROR(E275/F275,0)</f>
        <v/>
      </c>
      <c r="H275" s="109">
        <f>IFERROR(SUMIF('💸 Expenses'!B9:B508,B275,'💸 Expenses'!F9:F508),0)</f>
        <v/>
      </c>
      <c r="I275" s="110">
        <f>IFERROR(E275-H275,0)</f>
        <v/>
      </c>
      <c r="J275" s="111">
        <f>IFERROR(I275/E275,0)</f>
        <v/>
      </c>
      <c r="K275" s="112" t="n"/>
      <c r="L275" s="69">
        <f>IFERROR(L274+E275,0)</f>
        <v/>
      </c>
      <c r="M275" s="72">
        <f>IFERROR(M274+H275,0)</f>
        <v/>
      </c>
      <c r="N275" s="113">
        <f>IFERROR(L275-M275,0)</f>
        <v/>
      </c>
      <c r="O275" s="114">
        <f>IFERROR(SUMIF(B8:B275,"&gt;="&amp;(B275-WEEKDAY(B275,2)+1),E8:E275),0)</f>
        <v/>
      </c>
      <c r="P275" s="115">
        <f>IFERROR(SUMIF(B8:B275,"&gt;="&amp;(B275-WEEKDAY(B275,2)+1),H8:H275),0)</f>
        <v/>
      </c>
      <c r="Q275" s="113">
        <f>IFERROR(O275-P275,0)</f>
        <v/>
      </c>
    </row>
    <row r="276" ht="16.5" customHeight="1">
      <c r="B276" s="91" t="n"/>
      <c r="C276" s="92">
        <f>IF(B276="","",TEXT(B276,"DDD"))</f>
        <v/>
      </c>
      <c r="D276" s="93">
        <f>IF(B276="","","Soft App")</f>
        <v/>
      </c>
      <c r="E276" s="94" t="n"/>
      <c r="F276" s="95" t="n"/>
      <c r="G276" s="96">
        <f>IFERROR(E276/F276,0)</f>
        <v/>
      </c>
      <c r="H276" s="97">
        <f>IFERROR(SUMIF('💸 Expenses'!B9:B508,B276,'💸 Expenses'!F9:F508),0)</f>
        <v/>
      </c>
      <c r="I276" s="98">
        <f>IFERROR(E276-H276,0)</f>
        <v/>
      </c>
      <c r="J276" s="99">
        <f>IFERROR(I276/E276,0)</f>
        <v/>
      </c>
      <c r="K276" s="100" t="n"/>
      <c r="L276" s="60">
        <f>IFERROR(L275+E276,0)</f>
        <v/>
      </c>
      <c r="M276" s="63">
        <f>IFERROR(M275+H276,0)</f>
        <v/>
      </c>
      <c r="N276" s="101">
        <f>IFERROR(L276-M276,0)</f>
        <v/>
      </c>
      <c r="O276" s="102">
        <f>IFERROR(SUMIF(B8:B276,"&gt;="&amp;(B276-WEEKDAY(B276,2)+1),E8:E276),0)</f>
        <v/>
      </c>
      <c r="P276" s="103">
        <f>IFERROR(SUMIF(B8:B276,"&gt;="&amp;(B276-WEEKDAY(B276,2)+1),H8:H276),0)</f>
        <v/>
      </c>
      <c r="Q276" s="101">
        <f>IFERROR(O276-P276,0)</f>
        <v/>
      </c>
    </row>
    <row r="277" ht="16.5" customHeight="1">
      <c r="B277" s="91" t="n"/>
      <c r="C277" s="104">
        <f>IF(B277="","",TEXT(B277,"DDD"))</f>
        <v/>
      </c>
      <c r="D277" s="105">
        <f>IF(B277="","","Soft App")</f>
        <v/>
      </c>
      <c r="E277" s="106" t="n"/>
      <c r="F277" s="107" t="n"/>
      <c r="G277" s="108">
        <f>IFERROR(E277/F277,0)</f>
        <v/>
      </c>
      <c r="H277" s="109">
        <f>IFERROR(SUMIF('💸 Expenses'!B9:B508,B277,'💸 Expenses'!F9:F508),0)</f>
        <v/>
      </c>
      <c r="I277" s="110">
        <f>IFERROR(E277-H277,0)</f>
        <v/>
      </c>
      <c r="J277" s="111">
        <f>IFERROR(I277/E277,0)</f>
        <v/>
      </c>
      <c r="K277" s="112" t="n"/>
      <c r="L277" s="69">
        <f>IFERROR(L276+E277,0)</f>
        <v/>
      </c>
      <c r="M277" s="72">
        <f>IFERROR(M276+H277,0)</f>
        <v/>
      </c>
      <c r="N277" s="113">
        <f>IFERROR(L277-M277,0)</f>
        <v/>
      </c>
      <c r="O277" s="114">
        <f>IFERROR(SUMIF(B8:B277,"&gt;="&amp;(B277-WEEKDAY(B277,2)+1),E8:E277),0)</f>
        <v/>
      </c>
      <c r="P277" s="115">
        <f>IFERROR(SUMIF(B8:B277,"&gt;="&amp;(B277-WEEKDAY(B277,2)+1),H8:H277),0)</f>
        <v/>
      </c>
      <c r="Q277" s="113">
        <f>IFERROR(O277-P277,0)</f>
        <v/>
      </c>
    </row>
    <row r="278" ht="16.5" customHeight="1">
      <c r="B278" s="91" t="n"/>
      <c r="C278" s="92">
        <f>IF(B278="","",TEXT(B278,"DDD"))</f>
        <v/>
      </c>
      <c r="D278" s="93">
        <f>IF(B278="","","Soft App")</f>
        <v/>
      </c>
      <c r="E278" s="94" t="n"/>
      <c r="F278" s="95" t="n"/>
      <c r="G278" s="96">
        <f>IFERROR(E278/F278,0)</f>
        <v/>
      </c>
      <c r="H278" s="97">
        <f>IFERROR(SUMIF('💸 Expenses'!B9:B508,B278,'💸 Expenses'!F9:F508),0)</f>
        <v/>
      </c>
      <c r="I278" s="98">
        <f>IFERROR(E278-H278,0)</f>
        <v/>
      </c>
      <c r="J278" s="99">
        <f>IFERROR(I278/E278,0)</f>
        <v/>
      </c>
      <c r="K278" s="100" t="n"/>
      <c r="L278" s="60">
        <f>IFERROR(L277+E278,0)</f>
        <v/>
      </c>
      <c r="M278" s="63">
        <f>IFERROR(M277+H278,0)</f>
        <v/>
      </c>
      <c r="N278" s="101">
        <f>IFERROR(L278-M278,0)</f>
        <v/>
      </c>
      <c r="O278" s="102">
        <f>IFERROR(SUMIF(B8:B278,"&gt;="&amp;(B278-WEEKDAY(B278,2)+1),E8:E278),0)</f>
        <v/>
      </c>
      <c r="P278" s="103">
        <f>IFERROR(SUMIF(B8:B278,"&gt;="&amp;(B278-WEEKDAY(B278,2)+1),H8:H278),0)</f>
        <v/>
      </c>
      <c r="Q278" s="101">
        <f>IFERROR(O278-P278,0)</f>
        <v/>
      </c>
    </row>
    <row r="279" ht="16.5" customHeight="1">
      <c r="B279" s="91" t="n"/>
      <c r="C279" s="104">
        <f>IF(B279="","",TEXT(B279,"DDD"))</f>
        <v/>
      </c>
      <c r="D279" s="105">
        <f>IF(B279="","","Soft App")</f>
        <v/>
      </c>
      <c r="E279" s="106" t="n"/>
      <c r="F279" s="107" t="n"/>
      <c r="G279" s="108">
        <f>IFERROR(E279/F279,0)</f>
        <v/>
      </c>
      <c r="H279" s="109">
        <f>IFERROR(SUMIF('💸 Expenses'!B9:B508,B279,'💸 Expenses'!F9:F508),0)</f>
        <v/>
      </c>
      <c r="I279" s="110">
        <f>IFERROR(E279-H279,0)</f>
        <v/>
      </c>
      <c r="J279" s="111">
        <f>IFERROR(I279/E279,0)</f>
        <v/>
      </c>
      <c r="K279" s="112" t="n"/>
      <c r="L279" s="69">
        <f>IFERROR(L278+E279,0)</f>
        <v/>
      </c>
      <c r="M279" s="72">
        <f>IFERROR(M278+H279,0)</f>
        <v/>
      </c>
      <c r="N279" s="113">
        <f>IFERROR(L279-M279,0)</f>
        <v/>
      </c>
      <c r="O279" s="114">
        <f>IFERROR(SUMIF(B8:B279,"&gt;="&amp;(B279-WEEKDAY(B279,2)+1),E8:E279),0)</f>
        <v/>
      </c>
      <c r="P279" s="115">
        <f>IFERROR(SUMIF(B8:B279,"&gt;="&amp;(B279-WEEKDAY(B279,2)+1),H8:H279),0)</f>
        <v/>
      </c>
      <c r="Q279" s="113">
        <f>IFERROR(O279-P279,0)</f>
        <v/>
      </c>
    </row>
    <row r="280" ht="16.5" customHeight="1">
      <c r="B280" s="91" t="n"/>
      <c r="C280" s="92">
        <f>IF(B280="","",TEXT(B280,"DDD"))</f>
        <v/>
      </c>
      <c r="D280" s="93">
        <f>IF(B280="","","Soft App")</f>
        <v/>
      </c>
      <c r="E280" s="94" t="n"/>
      <c r="F280" s="95" t="n"/>
      <c r="G280" s="96">
        <f>IFERROR(E280/F280,0)</f>
        <v/>
      </c>
      <c r="H280" s="97">
        <f>IFERROR(SUMIF('💸 Expenses'!B9:B508,B280,'💸 Expenses'!F9:F508),0)</f>
        <v/>
      </c>
      <c r="I280" s="98">
        <f>IFERROR(E280-H280,0)</f>
        <v/>
      </c>
      <c r="J280" s="99">
        <f>IFERROR(I280/E280,0)</f>
        <v/>
      </c>
      <c r="K280" s="100" t="n"/>
      <c r="L280" s="60">
        <f>IFERROR(L279+E280,0)</f>
        <v/>
      </c>
      <c r="M280" s="63">
        <f>IFERROR(M279+H280,0)</f>
        <v/>
      </c>
      <c r="N280" s="101">
        <f>IFERROR(L280-M280,0)</f>
        <v/>
      </c>
      <c r="O280" s="102">
        <f>IFERROR(SUMIF(B8:B280,"&gt;="&amp;(B280-WEEKDAY(B280,2)+1),E8:E280),0)</f>
        <v/>
      </c>
      <c r="P280" s="103">
        <f>IFERROR(SUMIF(B8:B280,"&gt;="&amp;(B280-WEEKDAY(B280,2)+1),H8:H280),0)</f>
        <v/>
      </c>
      <c r="Q280" s="101">
        <f>IFERROR(O280-P280,0)</f>
        <v/>
      </c>
    </row>
    <row r="281" ht="16.5" customHeight="1">
      <c r="B281" s="91" t="n"/>
      <c r="C281" s="104">
        <f>IF(B281="","",TEXT(B281,"DDD"))</f>
        <v/>
      </c>
      <c r="D281" s="105">
        <f>IF(B281="","","Soft App")</f>
        <v/>
      </c>
      <c r="E281" s="106" t="n"/>
      <c r="F281" s="107" t="n"/>
      <c r="G281" s="108">
        <f>IFERROR(E281/F281,0)</f>
        <v/>
      </c>
      <c r="H281" s="109">
        <f>IFERROR(SUMIF('💸 Expenses'!B9:B508,B281,'💸 Expenses'!F9:F508),0)</f>
        <v/>
      </c>
      <c r="I281" s="110">
        <f>IFERROR(E281-H281,0)</f>
        <v/>
      </c>
      <c r="J281" s="111">
        <f>IFERROR(I281/E281,0)</f>
        <v/>
      </c>
      <c r="K281" s="112" t="n"/>
      <c r="L281" s="69">
        <f>IFERROR(L280+E281,0)</f>
        <v/>
      </c>
      <c r="M281" s="72">
        <f>IFERROR(M280+H281,0)</f>
        <v/>
      </c>
      <c r="N281" s="113">
        <f>IFERROR(L281-M281,0)</f>
        <v/>
      </c>
      <c r="O281" s="114">
        <f>IFERROR(SUMIF(B8:B281,"&gt;="&amp;(B281-WEEKDAY(B281,2)+1),E8:E281),0)</f>
        <v/>
      </c>
      <c r="P281" s="115">
        <f>IFERROR(SUMIF(B8:B281,"&gt;="&amp;(B281-WEEKDAY(B281,2)+1),H8:H281),0)</f>
        <v/>
      </c>
      <c r="Q281" s="113">
        <f>IFERROR(O281-P281,0)</f>
        <v/>
      </c>
    </row>
    <row r="282" ht="16.5" customHeight="1">
      <c r="B282" s="91" t="n"/>
      <c r="C282" s="92">
        <f>IF(B282="","",TEXT(B282,"DDD"))</f>
        <v/>
      </c>
      <c r="D282" s="93">
        <f>IF(B282="","","Soft App")</f>
        <v/>
      </c>
      <c r="E282" s="94" t="n"/>
      <c r="F282" s="95" t="n"/>
      <c r="G282" s="96">
        <f>IFERROR(E282/F282,0)</f>
        <v/>
      </c>
      <c r="H282" s="97">
        <f>IFERROR(SUMIF('💸 Expenses'!B9:B508,B282,'💸 Expenses'!F9:F508),0)</f>
        <v/>
      </c>
      <c r="I282" s="98">
        <f>IFERROR(E282-H282,0)</f>
        <v/>
      </c>
      <c r="J282" s="99">
        <f>IFERROR(I282/E282,0)</f>
        <v/>
      </c>
      <c r="K282" s="100" t="n"/>
      <c r="L282" s="60">
        <f>IFERROR(L281+E282,0)</f>
        <v/>
      </c>
      <c r="M282" s="63">
        <f>IFERROR(M281+H282,0)</f>
        <v/>
      </c>
      <c r="N282" s="101">
        <f>IFERROR(L282-M282,0)</f>
        <v/>
      </c>
      <c r="O282" s="102">
        <f>IFERROR(SUMIF(B8:B282,"&gt;="&amp;(B282-WEEKDAY(B282,2)+1),E8:E282),0)</f>
        <v/>
      </c>
      <c r="P282" s="103">
        <f>IFERROR(SUMIF(B8:B282,"&gt;="&amp;(B282-WEEKDAY(B282,2)+1),H8:H282),0)</f>
        <v/>
      </c>
      <c r="Q282" s="101">
        <f>IFERROR(O282-P282,0)</f>
        <v/>
      </c>
    </row>
    <row r="283" ht="16.5" customHeight="1">
      <c r="B283" s="91" t="n"/>
      <c r="C283" s="104">
        <f>IF(B283="","",TEXT(B283,"DDD"))</f>
        <v/>
      </c>
      <c r="D283" s="105">
        <f>IF(B283="","","Soft App")</f>
        <v/>
      </c>
      <c r="E283" s="106" t="n"/>
      <c r="F283" s="107" t="n"/>
      <c r="G283" s="108">
        <f>IFERROR(E283/F283,0)</f>
        <v/>
      </c>
      <c r="H283" s="109">
        <f>IFERROR(SUMIF('💸 Expenses'!B9:B508,B283,'💸 Expenses'!F9:F508),0)</f>
        <v/>
      </c>
      <c r="I283" s="110">
        <f>IFERROR(E283-H283,0)</f>
        <v/>
      </c>
      <c r="J283" s="111">
        <f>IFERROR(I283/E283,0)</f>
        <v/>
      </c>
      <c r="K283" s="112" t="n"/>
      <c r="L283" s="69">
        <f>IFERROR(L282+E283,0)</f>
        <v/>
      </c>
      <c r="M283" s="72">
        <f>IFERROR(M282+H283,0)</f>
        <v/>
      </c>
      <c r="N283" s="113">
        <f>IFERROR(L283-M283,0)</f>
        <v/>
      </c>
      <c r="O283" s="114">
        <f>IFERROR(SUMIF(B8:B283,"&gt;="&amp;(B283-WEEKDAY(B283,2)+1),E8:E283),0)</f>
        <v/>
      </c>
      <c r="P283" s="115">
        <f>IFERROR(SUMIF(B8:B283,"&gt;="&amp;(B283-WEEKDAY(B283,2)+1),H8:H283),0)</f>
        <v/>
      </c>
      <c r="Q283" s="113">
        <f>IFERROR(O283-P283,0)</f>
        <v/>
      </c>
    </row>
    <row r="284" ht="16.5" customHeight="1">
      <c r="B284" s="91" t="n"/>
      <c r="C284" s="92">
        <f>IF(B284="","",TEXT(B284,"DDD"))</f>
        <v/>
      </c>
      <c r="D284" s="93">
        <f>IF(B284="","","Soft App")</f>
        <v/>
      </c>
      <c r="E284" s="94" t="n"/>
      <c r="F284" s="95" t="n"/>
      <c r="G284" s="96">
        <f>IFERROR(E284/F284,0)</f>
        <v/>
      </c>
      <c r="H284" s="97">
        <f>IFERROR(SUMIF('💸 Expenses'!B9:B508,B284,'💸 Expenses'!F9:F508),0)</f>
        <v/>
      </c>
      <c r="I284" s="98">
        <f>IFERROR(E284-H284,0)</f>
        <v/>
      </c>
      <c r="J284" s="99">
        <f>IFERROR(I284/E284,0)</f>
        <v/>
      </c>
      <c r="K284" s="100" t="n"/>
      <c r="L284" s="60">
        <f>IFERROR(L283+E284,0)</f>
        <v/>
      </c>
      <c r="M284" s="63">
        <f>IFERROR(M283+H284,0)</f>
        <v/>
      </c>
      <c r="N284" s="101">
        <f>IFERROR(L284-M284,0)</f>
        <v/>
      </c>
      <c r="O284" s="102">
        <f>IFERROR(SUMIF(B8:B284,"&gt;="&amp;(B284-WEEKDAY(B284,2)+1),E8:E284),0)</f>
        <v/>
      </c>
      <c r="P284" s="103">
        <f>IFERROR(SUMIF(B8:B284,"&gt;="&amp;(B284-WEEKDAY(B284,2)+1),H8:H284),0)</f>
        <v/>
      </c>
      <c r="Q284" s="101">
        <f>IFERROR(O284-P284,0)</f>
        <v/>
      </c>
    </row>
    <row r="285" ht="16.5" customHeight="1">
      <c r="B285" s="91" t="n"/>
      <c r="C285" s="104">
        <f>IF(B285="","",TEXT(B285,"DDD"))</f>
        <v/>
      </c>
      <c r="D285" s="105">
        <f>IF(B285="","","Soft App")</f>
        <v/>
      </c>
      <c r="E285" s="106" t="n"/>
      <c r="F285" s="107" t="n"/>
      <c r="G285" s="108">
        <f>IFERROR(E285/F285,0)</f>
        <v/>
      </c>
      <c r="H285" s="109">
        <f>IFERROR(SUMIF('💸 Expenses'!B9:B508,B285,'💸 Expenses'!F9:F508),0)</f>
        <v/>
      </c>
      <c r="I285" s="110">
        <f>IFERROR(E285-H285,0)</f>
        <v/>
      </c>
      <c r="J285" s="111">
        <f>IFERROR(I285/E285,0)</f>
        <v/>
      </c>
      <c r="K285" s="112" t="n"/>
      <c r="L285" s="69">
        <f>IFERROR(L284+E285,0)</f>
        <v/>
      </c>
      <c r="M285" s="72">
        <f>IFERROR(M284+H285,0)</f>
        <v/>
      </c>
      <c r="N285" s="113">
        <f>IFERROR(L285-M285,0)</f>
        <v/>
      </c>
      <c r="O285" s="114">
        <f>IFERROR(SUMIF(B8:B285,"&gt;="&amp;(B285-WEEKDAY(B285,2)+1),E8:E285),0)</f>
        <v/>
      </c>
      <c r="P285" s="115">
        <f>IFERROR(SUMIF(B8:B285,"&gt;="&amp;(B285-WEEKDAY(B285,2)+1),H8:H285),0)</f>
        <v/>
      </c>
      <c r="Q285" s="113">
        <f>IFERROR(O285-P285,0)</f>
        <v/>
      </c>
    </row>
    <row r="286" ht="16.5" customHeight="1">
      <c r="B286" s="91" t="n"/>
      <c r="C286" s="92">
        <f>IF(B286="","",TEXT(B286,"DDD"))</f>
        <v/>
      </c>
      <c r="D286" s="93">
        <f>IF(B286="","","Soft App")</f>
        <v/>
      </c>
      <c r="E286" s="94" t="n"/>
      <c r="F286" s="95" t="n"/>
      <c r="G286" s="96">
        <f>IFERROR(E286/F286,0)</f>
        <v/>
      </c>
      <c r="H286" s="97">
        <f>IFERROR(SUMIF('💸 Expenses'!B9:B508,B286,'💸 Expenses'!F9:F508),0)</f>
        <v/>
      </c>
      <c r="I286" s="98">
        <f>IFERROR(E286-H286,0)</f>
        <v/>
      </c>
      <c r="J286" s="99">
        <f>IFERROR(I286/E286,0)</f>
        <v/>
      </c>
      <c r="K286" s="100" t="n"/>
      <c r="L286" s="60">
        <f>IFERROR(L285+E286,0)</f>
        <v/>
      </c>
      <c r="M286" s="63">
        <f>IFERROR(M285+H286,0)</f>
        <v/>
      </c>
      <c r="N286" s="101">
        <f>IFERROR(L286-M286,0)</f>
        <v/>
      </c>
      <c r="O286" s="102">
        <f>IFERROR(SUMIF(B8:B286,"&gt;="&amp;(B286-WEEKDAY(B286,2)+1),E8:E286),0)</f>
        <v/>
      </c>
      <c r="P286" s="103">
        <f>IFERROR(SUMIF(B8:B286,"&gt;="&amp;(B286-WEEKDAY(B286,2)+1),H8:H286),0)</f>
        <v/>
      </c>
      <c r="Q286" s="101">
        <f>IFERROR(O286-P286,0)</f>
        <v/>
      </c>
    </row>
    <row r="287" ht="16.5" customHeight="1">
      <c r="B287" s="91" t="n"/>
      <c r="C287" s="104">
        <f>IF(B287="","",TEXT(B287,"DDD"))</f>
        <v/>
      </c>
      <c r="D287" s="105">
        <f>IF(B287="","","Soft App")</f>
        <v/>
      </c>
      <c r="E287" s="106" t="n"/>
      <c r="F287" s="107" t="n"/>
      <c r="G287" s="108">
        <f>IFERROR(E287/F287,0)</f>
        <v/>
      </c>
      <c r="H287" s="109">
        <f>IFERROR(SUMIF('💸 Expenses'!B9:B508,B287,'💸 Expenses'!F9:F508),0)</f>
        <v/>
      </c>
      <c r="I287" s="110">
        <f>IFERROR(E287-H287,0)</f>
        <v/>
      </c>
      <c r="J287" s="111">
        <f>IFERROR(I287/E287,0)</f>
        <v/>
      </c>
      <c r="K287" s="112" t="n"/>
      <c r="L287" s="69">
        <f>IFERROR(L286+E287,0)</f>
        <v/>
      </c>
      <c r="M287" s="72">
        <f>IFERROR(M286+H287,0)</f>
        <v/>
      </c>
      <c r="N287" s="113">
        <f>IFERROR(L287-M287,0)</f>
        <v/>
      </c>
      <c r="O287" s="114">
        <f>IFERROR(SUMIF(B8:B287,"&gt;="&amp;(B287-WEEKDAY(B287,2)+1),E8:E287),0)</f>
        <v/>
      </c>
      <c r="P287" s="115">
        <f>IFERROR(SUMIF(B8:B287,"&gt;="&amp;(B287-WEEKDAY(B287,2)+1),H8:H287),0)</f>
        <v/>
      </c>
      <c r="Q287" s="113">
        <f>IFERROR(O287-P287,0)</f>
        <v/>
      </c>
    </row>
    <row r="288" ht="16.5" customHeight="1">
      <c r="B288" s="91" t="n"/>
      <c r="C288" s="92">
        <f>IF(B288="","",TEXT(B288,"DDD"))</f>
        <v/>
      </c>
      <c r="D288" s="93">
        <f>IF(B288="","","Soft App")</f>
        <v/>
      </c>
      <c r="E288" s="94" t="n"/>
      <c r="F288" s="95" t="n"/>
      <c r="G288" s="96">
        <f>IFERROR(E288/F288,0)</f>
        <v/>
      </c>
      <c r="H288" s="97">
        <f>IFERROR(SUMIF('💸 Expenses'!B9:B508,B288,'💸 Expenses'!F9:F508),0)</f>
        <v/>
      </c>
      <c r="I288" s="98">
        <f>IFERROR(E288-H288,0)</f>
        <v/>
      </c>
      <c r="J288" s="99">
        <f>IFERROR(I288/E288,0)</f>
        <v/>
      </c>
      <c r="K288" s="100" t="n"/>
      <c r="L288" s="60">
        <f>IFERROR(L287+E288,0)</f>
        <v/>
      </c>
      <c r="M288" s="63">
        <f>IFERROR(M287+H288,0)</f>
        <v/>
      </c>
      <c r="N288" s="101">
        <f>IFERROR(L288-M288,0)</f>
        <v/>
      </c>
      <c r="O288" s="102">
        <f>IFERROR(SUMIF(B8:B288,"&gt;="&amp;(B288-WEEKDAY(B288,2)+1),E8:E288),0)</f>
        <v/>
      </c>
      <c r="P288" s="103">
        <f>IFERROR(SUMIF(B8:B288,"&gt;="&amp;(B288-WEEKDAY(B288,2)+1),H8:H288),0)</f>
        <v/>
      </c>
      <c r="Q288" s="101">
        <f>IFERROR(O288-P288,0)</f>
        <v/>
      </c>
    </row>
    <row r="289" ht="16.5" customHeight="1">
      <c r="B289" s="91" t="n"/>
      <c r="C289" s="104">
        <f>IF(B289="","",TEXT(B289,"DDD"))</f>
        <v/>
      </c>
      <c r="D289" s="105">
        <f>IF(B289="","","Soft App")</f>
        <v/>
      </c>
      <c r="E289" s="106" t="n"/>
      <c r="F289" s="107" t="n"/>
      <c r="G289" s="108">
        <f>IFERROR(E289/F289,0)</f>
        <v/>
      </c>
      <c r="H289" s="109">
        <f>IFERROR(SUMIF('💸 Expenses'!B9:B508,B289,'💸 Expenses'!F9:F508),0)</f>
        <v/>
      </c>
      <c r="I289" s="110">
        <f>IFERROR(E289-H289,0)</f>
        <v/>
      </c>
      <c r="J289" s="111">
        <f>IFERROR(I289/E289,0)</f>
        <v/>
      </c>
      <c r="K289" s="112" t="n"/>
      <c r="L289" s="69">
        <f>IFERROR(L288+E289,0)</f>
        <v/>
      </c>
      <c r="M289" s="72">
        <f>IFERROR(M288+H289,0)</f>
        <v/>
      </c>
      <c r="N289" s="113">
        <f>IFERROR(L289-M289,0)</f>
        <v/>
      </c>
      <c r="O289" s="114">
        <f>IFERROR(SUMIF(B8:B289,"&gt;="&amp;(B289-WEEKDAY(B289,2)+1),E8:E289),0)</f>
        <v/>
      </c>
      <c r="P289" s="115">
        <f>IFERROR(SUMIF(B8:B289,"&gt;="&amp;(B289-WEEKDAY(B289,2)+1),H8:H289),0)</f>
        <v/>
      </c>
      <c r="Q289" s="113">
        <f>IFERROR(O289-P289,0)</f>
        <v/>
      </c>
    </row>
    <row r="290" ht="16.5" customHeight="1">
      <c r="B290" s="91" t="n"/>
      <c r="C290" s="92">
        <f>IF(B290="","",TEXT(B290,"DDD"))</f>
        <v/>
      </c>
      <c r="D290" s="93">
        <f>IF(B290="","","Soft App")</f>
        <v/>
      </c>
      <c r="E290" s="94" t="n"/>
      <c r="F290" s="95" t="n"/>
      <c r="G290" s="96">
        <f>IFERROR(E290/F290,0)</f>
        <v/>
      </c>
      <c r="H290" s="97">
        <f>IFERROR(SUMIF('💸 Expenses'!B9:B508,B290,'💸 Expenses'!F9:F508),0)</f>
        <v/>
      </c>
      <c r="I290" s="98">
        <f>IFERROR(E290-H290,0)</f>
        <v/>
      </c>
      <c r="J290" s="99">
        <f>IFERROR(I290/E290,0)</f>
        <v/>
      </c>
      <c r="K290" s="100" t="n"/>
      <c r="L290" s="60">
        <f>IFERROR(L289+E290,0)</f>
        <v/>
      </c>
      <c r="M290" s="63">
        <f>IFERROR(M289+H290,0)</f>
        <v/>
      </c>
      <c r="N290" s="101">
        <f>IFERROR(L290-M290,0)</f>
        <v/>
      </c>
      <c r="O290" s="102">
        <f>IFERROR(SUMIF(B8:B290,"&gt;="&amp;(B290-WEEKDAY(B290,2)+1),E8:E290),0)</f>
        <v/>
      </c>
      <c r="P290" s="103">
        <f>IFERROR(SUMIF(B8:B290,"&gt;="&amp;(B290-WEEKDAY(B290,2)+1),H8:H290),0)</f>
        <v/>
      </c>
      <c r="Q290" s="101">
        <f>IFERROR(O290-P290,0)</f>
        <v/>
      </c>
    </row>
    <row r="291" ht="16.5" customHeight="1">
      <c r="B291" s="91" t="n"/>
      <c r="C291" s="104">
        <f>IF(B291="","",TEXT(B291,"DDD"))</f>
        <v/>
      </c>
      <c r="D291" s="105">
        <f>IF(B291="","","Soft App")</f>
        <v/>
      </c>
      <c r="E291" s="106" t="n"/>
      <c r="F291" s="107" t="n"/>
      <c r="G291" s="108">
        <f>IFERROR(E291/F291,0)</f>
        <v/>
      </c>
      <c r="H291" s="109">
        <f>IFERROR(SUMIF('💸 Expenses'!B9:B508,B291,'💸 Expenses'!F9:F508),0)</f>
        <v/>
      </c>
      <c r="I291" s="110">
        <f>IFERROR(E291-H291,0)</f>
        <v/>
      </c>
      <c r="J291" s="111">
        <f>IFERROR(I291/E291,0)</f>
        <v/>
      </c>
      <c r="K291" s="112" t="n"/>
      <c r="L291" s="69">
        <f>IFERROR(L290+E291,0)</f>
        <v/>
      </c>
      <c r="M291" s="72">
        <f>IFERROR(M290+H291,0)</f>
        <v/>
      </c>
      <c r="N291" s="113">
        <f>IFERROR(L291-M291,0)</f>
        <v/>
      </c>
      <c r="O291" s="114">
        <f>IFERROR(SUMIF(B8:B291,"&gt;="&amp;(B291-WEEKDAY(B291,2)+1),E8:E291),0)</f>
        <v/>
      </c>
      <c r="P291" s="115">
        <f>IFERROR(SUMIF(B8:B291,"&gt;="&amp;(B291-WEEKDAY(B291,2)+1),H8:H291),0)</f>
        <v/>
      </c>
      <c r="Q291" s="113">
        <f>IFERROR(O291-P291,0)</f>
        <v/>
      </c>
    </row>
    <row r="292" ht="16.5" customHeight="1">
      <c r="B292" s="91" t="n"/>
      <c r="C292" s="92">
        <f>IF(B292="","",TEXT(B292,"DDD"))</f>
        <v/>
      </c>
      <c r="D292" s="93">
        <f>IF(B292="","","Soft App")</f>
        <v/>
      </c>
      <c r="E292" s="94" t="n"/>
      <c r="F292" s="95" t="n"/>
      <c r="G292" s="96">
        <f>IFERROR(E292/F292,0)</f>
        <v/>
      </c>
      <c r="H292" s="97">
        <f>IFERROR(SUMIF('💸 Expenses'!B9:B508,B292,'💸 Expenses'!F9:F508),0)</f>
        <v/>
      </c>
      <c r="I292" s="98">
        <f>IFERROR(E292-H292,0)</f>
        <v/>
      </c>
      <c r="J292" s="99">
        <f>IFERROR(I292/E292,0)</f>
        <v/>
      </c>
      <c r="K292" s="100" t="n"/>
      <c r="L292" s="60">
        <f>IFERROR(L291+E292,0)</f>
        <v/>
      </c>
      <c r="M292" s="63">
        <f>IFERROR(M291+H292,0)</f>
        <v/>
      </c>
      <c r="N292" s="101">
        <f>IFERROR(L292-M292,0)</f>
        <v/>
      </c>
      <c r="O292" s="102">
        <f>IFERROR(SUMIF(B8:B292,"&gt;="&amp;(B292-WEEKDAY(B292,2)+1),E8:E292),0)</f>
        <v/>
      </c>
      <c r="P292" s="103">
        <f>IFERROR(SUMIF(B8:B292,"&gt;="&amp;(B292-WEEKDAY(B292,2)+1),H8:H292),0)</f>
        <v/>
      </c>
      <c r="Q292" s="101">
        <f>IFERROR(O292-P292,0)</f>
        <v/>
      </c>
    </row>
    <row r="293" ht="16.5" customHeight="1">
      <c r="B293" s="91" t="n"/>
      <c r="C293" s="104">
        <f>IF(B293="","",TEXT(B293,"DDD"))</f>
        <v/>
      </c>
      <c r="D293" s="105">
        <f>IF(B293="","","Soft App")</f>
        <v/>
      </c>
      <c r="E293" s="106" t="n"/>
      <c r="F293" s="107" t="n"/>
      <c r="G293" s="108">
        <f>IFERROR(E293/F293,0)</f>
        <v/>
      </c>
      <c r="H293" s="109">
        <f>IFERROR(SUMIF('💸 Expenses'!B9:B508,B293,'💸 Expenses'!F9:F508),0)</f>
        <v/>
      </c>
      <c r="I293" s="110">
        <f>IFERROR(E293-H293,0)</f>
        <v/>
      </c>
      <c r="J293" s="111">
        <f>IFERROR(I293/E293,0)</f>
        <v/>
      </c>
      <c r="K293" s="112" t="n"/>
      <c r="L293" s="69">
        <f>IFERROR(L292+E293,0)</f>
        <v/>
      </c>
      <c r="M293" s="72">
        <f>IFERROR(M292+H293,0)</f>
        <v/>
      </c>
      <c r="N293" s="113">
        <f>IFERROR(L293-M293,0)</f>
        <v/>
      </c>
      <c r="O293" s="114">
        <f>IFERROR(SUMIF(B8:B293,"&gt;="&amp;(B293-WEEKDAY(B293,2)+1),E8:E293),0)</f>
        <v/>
      </c>
      <c r="P293" s="115">
        <f>IFERROR(SUMIF(B8:B293,"&gt;="&amp;(B293-WEEKDAY(B293,2)+1),H8:H293),0)</f>
        <v/>
      </c>
      <c r="Q293" s="113">
        <f>IFERROR(O293-P293,0)</f>
        <v/>
      </c>
    </row>
    <row r="294" ht="16.5" customHeight="1">
      <c r="B294" s="91" t="n"/>
      <c r="C294" s="92">
        <f>IF(B294="","",TEXT(B294,"DDD"))</f>
        <v/>
      </c>
      <c r="D294" s="93">
        <f>IF(B294="","","Soft App")</f>
        <v/>
      </c>
      <c r="E294" s="94" t="n"/>
      <c r="F294" s="95" t="n"/>
      <c r="G294" s="96">
        <f>IFERROR(E294/F294,0)</f>
        <v/>
      </c>
      <c r="H294" s="97">
        <f>IFERROR(SUMIF('💸 Expenses'!B9:B508,B294,'💸 Expenses'!F9:F508),0)</f>
        <v/>
      </c>
      <c r="I294" s="98">
        <f>IFERROR(E294-H294,0)</f>
        <v/>
      </c>
      <c r="J294" s="99">
        <f>IFERROR(I294/E294,0)</f>
        <v/>
      </c>
      <c r="K294" s="100" t="n"/>
      <c r="L294" s="60">
        <f>IFERROR(L293+E294,0)</f>
        <v/>
      </c>
      <c r="M294" s="63">
        <f>IFERROR(M293+H294,0)</f>
        <v/>
      </c>
      <c r="N294" s="101">
        <f>IFERROR(L294-M294,0)</f>
        <v/>
      </c>
      <c r="O294" s="102">
        <f>IFERROR(SUMIF(B8:B294,"&gt;="&amp;(B294-WEEKDAY(B294,2)+1),E8:E294),0)</f>
        <v/>
      </c>
      <c r="P294" s="103">
        <f>IFERROR(SUMIF(B8:B294,"&gt;="&amp;(B294-WEEKDAY(B294,2)+1),H8:H294),0)</f>
        <v/>
      </c>
      <c r="Q294" s="101">
        <f>IFERROR(O294-P294,0)</f>
        <v/>
      </c>
    </row>
    <row r="295" ht="16.5" customHeight="1">
      <c r="B295" s="91" t="n"/>
      <c r="C295" s="104">
        <f>IF(B295="","",TEXT(B295,"DDD"))</f>
        <v/>
      </c>
      <c r="D295" s="105">
        <f>IF(B295="","","Soft App")</f>
        <v/>
      </c>
      <c r="E295" s="106" t="n"/>
      <c r="F295" s="107" t="n"/>
      <c r="G295" s="108">
        <f>IFERROR(E295/F295,0)</f>
        <v/>
      </c>
      <c r="H295" s="109">
        <f>IFERROR(SUMIF('💸 Expenses'!B9:B508,B295,'💸 Expenses'!F9:F508),0)</f>
        <v/>
      </c>
      <c r="I295" s="110">
        <f>IFERROR(E295-H295,0)</f>
        <v/>
      </c>
      <c r="J295" s="111">
        <f>IFERROR(I295/E295,0)</f>
        <v/>
      </c>
      <c r="K295" s="112" t="n"/>
      <c r="L295" s="69">
        <f>IFERROR(L294+E295,0)</f>
        <v/>
      </c>
      <c r="M295" s="72">
        <f>IFERROR(M294+H295,0)</f>
        <v/>
      </c>
      <c r="N295" s="113">
        <f>IFERROR(L295-M295,0)</f>
        <v/>
      </c>
      <c r="O295" s="114">
        <f>IFERROR(SUMIF(B8:B295,"&gt;="&amp;(B295-WEEKDAY(B295,2)+1),E8:E295),0)</f>
        <v/>
      </c>
      <c r="P295" s="115">
        <f>IFERROR(SUMIF(B8:B295,"&gt;="&amp;(B295-WEEKDAY(B295,2)+1),H8:H295),0)</f>
        <v/>
      </c>
      <c r="Q295" s="113">
        <f>IFERROR(O295-P295,0)</f>
        <v/>
      </c>
    </row>
    <row r="296" ht="16.5" customHeight="1">
      <c r="B296" s="91" t="n"/>
      <c r="C296" s="92">
        <f>IF(B296="","",TEXT(B296,"DDD"))</f>
        <v/>
      </c>
      <c r="D296" s="93">
        <f>IF(B296="","","Soft App")</f>
        <v/>
      </c>
      <c r="E296" s="94" t="n"/>
      <c r="F296" s="95" t="n"/>
      <c r="G296" s="96">
        <f>IFERROR(E296/F296,0)</f>
        <v/>
      </c>
      <c r="H296" s="97">
        <f>IFERROR(SUMIF('💸 Expenses'!B9:B508,B296,'💸 Expenses'!F9:F508),0)</f>
        <v/>
      </c>
      <c r="I296" s="98">
        <f>IFERROR(E296-H296,0)</f>
        <v/>
      </c>
      <c r="J296" s="99">
        <f>IFERROR(I296/E296,0)</f>
        <v/>
      </c>
      <c r="K296" s="100" t="n"/>
      <c r="L296" s="60">
        <f>IFERROR(L295+E296,0)</f>
        <v/>
      </c>
      <c r="M296" s="63">
        <f>IFERROR(M295+H296,0)</f>
        <v/>
      </c>
      <c r="N296" s="101">
        <f>IFERROR(L296-M296,0)</f>
        <v/>
      </c>
      <c r="O296" s="102">
        <f>IFERROR(SUMIF(B8:B296,"&gt;="&amp;(B296-WEEKDAY(B296,2)+1),E8:E296),0)</f>
        <v/>
      </c>
      <c r="P296" s="103">
        <f>IFERROR(SUMIF(B8:B296,"&gt;="&amp;(B296-WEEKDAY(B296,2)+1),H8:H296),0)</f>
        <v/>
      </c>
      <c r="Q296" s="101">
        <f>IFERROR(O296-P296,0)</f>
        <v/>
      </c>
    </row>
    <row r="297" ht="16.5" customHeight="1">
      <c r="B297" s="91" t="n"/>
      <c r="C297" s="104">
        <f>IF(B297="","",TEXT(B297,"DDD"))</f>
        <v/>
      </c>
      <c r="D297" s="105">
        <f>IF(B297="","","Soft App")</f>
        <v/>
      </c>
      <c r="E297" s="106" t="n"/>
      <c r="F297" s="107" t="n"/>
      <c r="G297" s="108">
        <f>IFERROR(E297/F297,0)</f>
        <v/>
      </c>
      <c r="H297" s="109">
        <f>IFERROR(SUMIF('💸 Expenses'!B9:B508,B297,'💸 Expenses'!F9:F508),0)</f>
        <v/>
      </c>
      <c r="I297" s="110">
        <f>IFERROR(E297-H297,0)</f>
        <v/>
      </c>
      <c r="J297" s="111">
        <f>IFERROR(I297/E297,0)</f>
        <v/>
      </c>
      <c r="K297" s="112" t="n"/>
      <c r="L297" s="69">
        <f>IFERROR(L296+E297,0)</f>
        <v/>
      </c>
      <c r="M297" s="72">
        <f>IFERROR(M296+H297,0)</f>
        <v/>
      </c>
      <c r="N297" s="113">
        <f>IFERROR(L297-M297,0)</f>
        <v/>
      </c>
      <c r="O297" s="114">
        <f>IFERROR(SUMIF(B8:B297,"&gt;="&amp;(B297-WEEKDAY(B297,2)+1),E8:E297),0)</f>
        <v/>
      </c>
      <c r="P297" s="115">
        <f>IFERROR(SUMIF(B8:B297,"&gt;="&amp;(B297-WEEKDAY(B297,2)+1),H8:H297),0)</f>
        <v/>
      </c>
      <c r="Q297" s="113">
        <f>IFERROR(O297-P297,0)</f>
        <v/>
      </c>
    </row>
    <row r="298" ht="16.5" customHeight="1">
      <c r="B298" s="91" t="n"/>
      <c r="C298" s="92">
        <f>IF(B298="","",TEXT(B298,"DDD"))</f>
        <v/>
      </c>
      <c r="D298" s="93">
        <f>IF(B298="","","Soft App")</f>
        <v/>
      </c>
      <c r="E298" s="94" t="n"/>
      <c r="F298" s="95" t="n"/>
      <c r="G298" s="96">
        <f>IFERROR(E298/F298,0)</f>
        <v/>
      </c>
      <c r="H298" s="97">
        <f>IFERROR(SUMIF('💸 Expenses'!B9:B508,B298,'💸 Expenses'!F9:F508),0)</f>
        <v/>
      </c>
      <c r="I298" s="98">
        <f>IFERROR(E298-H298,0)</f>
        <v/>
      </c>
      <c r="J298" s="99">
        <f>IFERROR(I298/E298,0)</f>
        <v/>
      </c>
      <c r="K298" s="100" t="n"/>
      <c r="L298" s="60">
        <f>IFERROR(L297+E298,0)</f>
        <v/>
      </c>
      <c r="M298" s="63">
        <f>IFERROR(M297+H298,0)</f>
        <v/>
      </c>
      <c r="N298" s="101">
        <f>IFERROR(L298-M298,0)</f>
        <v/>
      </c>
      <c r="O298" s="102">
        <f>IFERROR(SUMIF(B8:B298,"&gt;="&amp;(B298-WEEKDAY(B298,2)+1),E8:E298),0)</f>
        <v/>
      </c>
      <c r="P298" s="103">
        <f>IFERROR(SUMIF(B8:B298,"&gt;="&amp;(B298-WEEKDAY(B298,2)+1),H8:H298),0)</f>
        <v/>
      </c>
      <c r="Q298" s="101">
        <f>IFERROR(O298-P298,0)</f>
        <v/>
      </c>
    </row>
    <row r="299" ht="16.5" customHeight="1">
      <c r="B299" s="91" t="n"/>
      <c r="C299" s="104">
        <f>IF(B299="","",TEXT(B299,"DDD"))</f>
        <v/>
      </c>
      <c r="D299" s="105">
        <f>IF(B299="","","Soft App")</f>
        <v/>
      </c>
      <c r="E299" s="106" t="n"/>
      <c r="F299" s="107" t="n"/>
      <c r="G299" s="108">
        <f>IFERROR(E299/F299,0)</f>
        <v/>
      </c>
      <c r="H299" s="109">
        <f>IFERROR(SUMIF('💸 Expenses'!B9:B508,B299,'💸 Expenses'!F9:F508),0)</f>
        <v/>
      </c>
      <c r="I299" s="110">
        <f>IFERROR(E299-H299,0)</f>
        <v/>
      </c>
      <c r="J299" s="111">
        <f>IFERROR(I299/E299,0)</f>
        <v/>
      </c>
      <c r="K299" s="112" t="n"/>
      <c r="L299" s="69">
        <f>IFERROR(L298+E299,0)</f>
        <v/>
      </c>
      <c r="M299" s="72">
        <f>IFERROR(M298+H299,0)</f>
        <v/>
      </c>
      <c r="N299" s="113">
        <f>IFERROR(L299-M299,0)</f>
        <v/>
      </c>
      <c r="O299" s="114">
        <f>IFERROR(SUMIF(B8:B299,"&gt;="&amp;(B299-WEEKDAY(B299,2)+1),E8:E299),0)</f>
        <v/>
      </c>
      <c r="P299" s="115">
        <f>IFERROR(SUMIF(B8:B299,"&gt;="&amp;(B299-WEEKDAY(B299,2)+1),H8:H299),0)</f>
        <v/>
      </c>
      <c r="Q299" s="113">
        <f>IFERROR(O299-P299,0)</f>
        <v/>
      </c>
    </row>
    <row r="300" ht="16.5" customHeight="1">
      <c r="B300" s="91" t="n"/>
      <c r="C300" s="92">
        <f>IF(B300="","",TEXT(B300,"DDD"))</f>
        <v/>
      </c>
      <c r="D300" s="93">
        <f>IF(B300="","","Soft App")</f>
        <v/>
      </c>
      <c r="E300" s="94" t="n"/>
      <c r="F300" s="95" t="n"/>
      <c r="G300" s="96">
        <f>IFERROR(E300/F300,0)</f>
        <v/>
      </c>
      <c r="H300" s="97">
        <f>IFERROR(SUMIF('💸 Expenses'!B9:B508,B300,'💸 Expenses'!F9:F508),0)</f>
        <v/>
      </c>
      <c r="I300" s="98">
        <f>IFERROR(E300-H300,0)</f>
        <v/>
      </c>
      <c r="J300" s="99">
        <f>IFERROR(I300/E300,0)</f>
        <v/>
      </c>
      <c r="K300" s="100" t="n"/>
      <c r="L300" s="60">
        <f>IFERROR(L299+E300,0)</f>
        <v/>
      </c>
      <c r="M300" s="63">
        <f>IFERROR(M299+H300,0)</f>
        <v/>
      </c>
      <c r="N300" s="101">
        <f>IFERROR(L300-M300,0)</f>
        <v/>
      </c>
      <c r="O300" s="102">
        <f>IFERROR(SUMIF(B8:B300,"&gt;="&amp;(B300-WEEKDAY(B300,2)+1),E8:E300),0)</f>
        <v/>
      </c>
      <c r="P300" s="103">
        <f>IFERROR(SUMIF(B8:B300,"&gt;="&amp;(B300-WEEKDAY(B300,2)+1),H8:H300),0)</f>
        <v/>
      </c>
      <c r="Q300" s="101">
        <f>IFERROR(O300-P300,0)</f>
        <v/>
      </c>
    </row>
    <row r="301" ht="16.5" customHeight="1">
      <c r="B301" s="91" t="n"/>
      <c r="C301" s="104">
        <f>IF(B301="","",TEXT(B301,"DDD"))</f>
        <v/>
      </c>
      <c r="D301" s="105">
        <f>IF(B301="","","Soft App")</f>
        <v/>
      </c>
      <c r="E301" s="106" t="n"/>
      <c r="F301" s="107" t="n"/>
      <c r="G301" s="108">
        <f>IFERROR(E301/F301,0)</f>
        <v/>
      </c>
      <c r="H301" s="109">
        <f>IFERROR(SUMIF('💸 Expenses'!B9:B508,B301,'💸 Expenses'!F9:F508),0)</f>
        <v/>
      </c>
      <c r="I301" s="110">
        <f>IFERROR(E301-H301,0)</f>
        <v/>
      </c>
      <c r="J301" s="111">
        <f>IFERROR(I301/E301,0)</f>
        <v/>
      </c>
      <c r="K301" s="112" t="n"/>
      <c r="L301" s="69">
        <f>IFERROR(L300+E301,0)</f>
        <v/>
      </c>
      <c r="M301" s="72">
        <f>IFERROR(M300+H301,0)</f>
        <v/>
      </c>
      <c r="N301" s="113">
        <f>IFERROR(L301-M301,0)</f>
        <v/>
      </c>
      <c r="O301" s="114">
        <f>IFERROR(SUMIF(B8:B301,"&gt;="&amp;(B301-WEEKDAY(B301,2)+1),E8:E301),0)</f>
        <v/>
      </c>
      <c r="P301" s="115">
        <f>IFERROR(SUMIF(B8:B301,"&gt;="&amp;(B301-WEEKDAY(B301,2)+1),H8:H301),0)</f>
        <v/>
      </c>
      <c r="Q301" s="113">
        <f>IFERROR(O301-P301,0)</f>
        <v/>
      </c>
    </row>
    <row r="302" ht="16.5" customHeight="1">
      <c r="B302" s="91" t="n"/>
      <c r="C302" s="92">
        <f>IF(B302="","",TEXT(B302,"DDD"))</f>
        <v/>
      </c>
      <c r="D302" s="93">
        <f>IF(B302="","","Soft App")</f>
        <v/>
      </c>
      <c r="E302" s="94" t="n"/>
      <c r="F302" s="95" t="n"/>
      <c r="G302" s="96">
        <f>IFERROR(E302/F302,0)</f>
        <v/>
      </c>
      <c r="H302" s="97">
        <f>IFERROR(SUMIF('💸 Expenses'!B9:B508,B302,'💸 Expenses'!F9:F508),0)</f>
        <v/>
      </c>
      <c r="I302" s="98">
        <f>IFERROR(E302-H302,0)</f>
        <v/>
      </c>
      <c r="J302" s="99">
        <f>IFERROR(I302/E302,0)</f>
        <v/>
      </c>
      <c r="K302" s="100" t="n"/>
      <c r="L302" s="60">
        <f>IFERROR(L301+E302,0)</f>
        <v/>
      </c>
      <c r="M302" s="63">
        <f>IFERROR(M301+H302,0)</f>
        <v/>
      </c>
      <c r="N302" s="101">
        <f>IFERROR(L302-M302,0)</f>
        <v/>
      </c>
      <c r="O302" s="102">
        <f>IFERROR(SUMIF(B8:B302,"&gt;="&amp;(B302-WEEKDAY(B302,2)+1),E8:E302),0)</f>
        <v/>
      </c>
      <c r="P302" s="103">
        <f>IFERROR(SUMIF(B8:B302,"&gt;="&amp;(B302-WEEKDAY(B302,2)+1),H8:H302),0)</f>
        <v/>
      </c>
      <c r="Q302" s="101">
        <f>IFERROR(O302-P302,0)</f>
        <v/>
      </c>
    </row>
    <row r="303" ht="16.5" customHeight="1">
      <c r="B303" s="91" t="n"/>
      <c r="C303" s="104">
        <f>IF(B303="","",TEXT(B303,"DDD"))</f>
        <v/>
      </c>
      <c r="D303" s="105">
        <f>IF(B303="","","Soft App")</f>
        <v/>
      </c>
      <c r="E303" s="106" t="n"/>
      <c r="F303" s="107" t="n"/>
      <c r="G303" s="108">
        <f>IFERROR(E303/F303,0)</f>
        <v/>
      </c>
      <c r="H303" s="109">
        <f>IFERROR(SUMIF('💸 Expenses'!B9:B508,B303,'💸 Expenses'!F9:F508),0)</f>
        <v/>
      </c>
      <c r="I303" s="110">
        <f>IFERROR(E303-H303,0)</f>
        <v/>
      </c>
      <c r="J303" s="111">
        <f>IFERROR(I303/E303,0)</f>
        <v/>
      </c>
      <c r="K303" s="112" t="n"/>
      <c r="L303" s="69">
        <f>IFERROR(L302+E303,0)</f>
        <v/>
      </c>
      <c r="M303" s="72">
        <f>IFERROR(M302+H303,0)</f>
        <v/>
      </c>
      <c r="N303" s="113">
        <f>IFERROR(L303-M303,0)</f>
        <v/>
      </c>
      <c r="O303" s="114">
        <f>IFERROR(SUMIF(B8:B303,"&gt;="&amp;(B303-WEEKDAY(B303,2)+1),E8:E303),0)</f>
        <v/>
      </c>
      <c r="P303" s="115">
        <f>IFERROR(SUMIF(B8:B303,"&gt;="&amp;(B303-WEEKDAY(B303,2)+1),H8:H303),0)</f>
        <v/>
      </c>
      <c r="Q303" s="113">
        <f>IFERROR(O303-P303,0)</f>
        <v/>
      </c>
    </row>
    <row r="304" ht="16.5" customHeight="1">
      <c r="B304" s="91" t="n"/>
      <c r="C304" s="92">
        <f>IF(B304="","",TEXT(B304,"DDD"))</f>
        <v/>
      </c>
      <c r="D304" s="93">
        <f>IF(B304="","","Soft App")</f>
        <v/>
      </c>
      <c r="E304" s="94" t="n"/>
      <c r="F304" s="95" t="n"/>
      <c r="G304" s="96">
        <f>IFERROR(E304/F304,0)</f>
        <v/>
      </c>
      <c r="H304" s="97">
        <f>IFERROR(SUMIF('💸 Expenses'!B9:B508,B304,'💸 Expenses'!F9:F508),0)</f>
        <v/>
      </c>
      <c r="I304" s="98">
        <f>IFERROR(E304-H304,0)</f>
        <v/>
      </c>
      <c r="J304" s="99">
        <f>IFERROR(I304/E304,0)</f>
        <v/>
      </c>
      <c r="K304" s="100" t="n"/>
      <c r="L304" s="60">
        <f>IFERROR(L303+E304,0)</f>
        <v/>
      </c>
      <c r="M304" s="63">
        <f>IFERROR(M303+H304,0)</f>
        <v/>
      </c>
      <c r="N304" s="101">
        <f>IFERROR(L304-M304,0)</f>
        <v/>
      </c>
      <c r="O304" s="102">
        <f>IFERROR(SUMIF(B8:B304,"&gt;="&amp;(B304-WEEKDAY(B304,2)+1),E8:E304),0)</f>
        <v/>
      </c>
      <c r="P304" s="103">
        <f>IFERROR(SUMIF(B8:B304,"&gt;="&amp;(B304-WEEKDAY(B304,2)+1),H8:H304),0)</f>
        <v/>
      </c>
      <c r="Q304" s="101">
        <f>IFERROR(O304-P304,0)</f>
        <v/>
      </c>
    </row>
    <row r="305" ht="16.5" customHeight="1">
      <c r="B305" s="91" t="n"/>
      <c r="C305" s="104">
        <f>IF(B305="","",TEXT(B305,"DDD"))</f>
        <v/>
      </c>
      <c r="D305" s="105">
        <f>IF(B305="","","Soft App")</f>
        <v/>
      </c>
      <c r="E305" s="106" t="n"/>
      <c r="F305" s="107" t="n"/>
      <c r="G305" s="108">
        <f>IFERROR(E305/F305,0)</f>
        <v/>
      </c>
      <c r="H305" s="109">
        <f>IFERROR(SUMIF('💸 Expenses'!B9:B508,B305,'💸 Expenses'!F9:F508),0)</f>
        <v/>
      </c>
      <c r="I305" s="110">
        <f>IFERROR(E305-H305,0)</f>
        <v/>
      </c>
      <c r="J305" s="111">
        <f>IFERROR(I305/E305,0)</f>
        <v/>
      </c>
      <c r="K305" s="112" t="n"/>
      <c r="L305" s="69">
        <f>IFERROR(L304+E305,0)</f>
        <v/>
      </c>
      <c r="M305" s="72">
        <f>IFERROR(M304+H305,0)</f>
        <v/>
      </c>
      <c r="N305" s="113">
        <f>IFERROR(L305-M305,0)</f>
        <v/>
      </c>
      <c r="O305" s="114">
        <f>IFERROR(SUMIF(B8:B305,"&gt;="&amp;(B305-WEEKDAY(B305,2)+1),E8:E305),0)</f>
        <v/>
      </c>
      <c r="P305" s="115">
        <f>IFERROR(SUMIF(B8:B305,"&gt;="&amp;(B305-WEEKDAY(B305,2)+1),H8:H305),0)</f>
        <v/>
      </c>
      <c r="Q305" s="113">
        <f>IFERROR(O305-P305,0)</f>
        <v/>
      </c>
    </row>
    <row r="306" ht="16.5" customHeight="1">
      <c r="B306" s="91" t="n"/>
      <c r="C306" s="92">
        <f>IF(B306="","",TEXT(B306,"DDD"))</f>
        <v/>
      </c>
      <c r="D306" s="93">
        <f>IF(B306="","","Soft App")</f>
        <v/>
      </c>
      <c r="E306" s="94" t="n"/>
      <c r="F306" s="95" t="n"/>
      <c r="G306" s="96">
        <f>IFERROR(E306/F306,0)</f>
        <v/>
      </c>
      <c r="H306" s="97">
        <f>IFERROR(SUMIF('💸 Expenses'!B9:B508,B306,'💸 Expenses'!F9:F508),0)</f>
        <v/>
      </c>
      <c r="I306" s="98">
        <f>IFERROR(E306-H306,0)</f>
        <v/>
      </c>
      <c r="J306" s="99">
        <f>IFERROR(I306/E306,0)</f>
        <v/>
      </c>
      <c r="K306" s="100" t="n"/>
      <c r="L306" s="60">
        <f>IFERROR(L305+E306,0)</f>
        <v/>
      </c>
      <c r="M306" s="63">
        <f>IFERROR(M305+H306,0)</f>
        <v/>
      </c>
      <c r="N306" s="101">
        <f>IFERROR(L306-M306,0)</f>
        <v/>
      </c>
      <c r="O306" s="102">
        <f>IFERROR(SUMIF(B8:B306,"&gt;="&amp;(B306-WEEKDAY(B306,2)+1),E8:E306),0)</f>
        <v/>
      </c>
      <c r="P306" s="103">
        <f>IFERROR(SUMIF(B8:B306,"&gt;="&amp;(B306-WEEKDAY(B306,2)+1),H8:H306),0)</f>
        <v/>
      </c>
      <c r="Q306" s="101">
        <f>IFERROR(O306-P306,0)</f>
        <v/>
      </c>
    </row>
    <row r="307" ht="16.5" customHeight="1">
      <c r="B307" s="91" t="n"/>
      <c r="C307" s="104">
        <f>IF(B307="","",TEXT(B307,"DDD"))</f>
        <v/>
      </c>
      <c r="D307" s="105">
        <f>IF(B307="","","Soft App")</f>
        <v/>
      </c>
      <c r="E307" s="106" t="n"/>
      <c r="F307" s="107" t="n"/>
      <c r="G307" s="108">
        <f>IFERROR(E307/F307,0)</f>
        <v/>
      </c>
      <c r="H307" s="109">
        <f>IFERROR(SUMIF('💸 Expenses'!B9:B508,B307,'💸 Expenses'!F9:F508),0)</f>
        <v/>
      </c>
      <c r="I307" s="110">
        <f>IFERROR(E307-H307,0)</f>
        <v/>
      </c>
      <c r="J307" s="111">
        <f>IFERROR(I307/E307,0)</f>
        <v/>
      </c>
      <c r="K307" s="112" t="n"/>
      <c r="L307" s="69">
        <f>IFERROR(L306+E307,0)</f>
        <v/>
      </c>
      <c r="M307" s="72">
        <f>IFERROR(M306+H307,0)</f>
        <v/>
      </c>
      <c r="N307" s="113">
        <f>IFERROR(L307-M307,0)</f>
        <v/>
      </c>
      <c r="O307" s="114">
        <f>IFERROR(SUMIF(B8:B307,"&gt;="&amp;(B307-WEEKDAY(B307,2)+1),E8:E307),0)</f>
        <v/>
      </c>
      <c r="P307" s="115">
        <f>IFERROR(SUMIF(B8:B307,"&gt;="&amp;(B307-WEEKDAY(B307,2)+1),H8:H307),0)</f>
        <v/>
      </c>
      <c r="Q307" s="113">
        <f>IFERROR(O307-P307,0)</f>
        <v/>
      </c>
    </row>
    <row r="308" ht="16.5" customHeight="1">
      <c r="B308" s="91" t="n"/>
      <c r="C308" s="92">
        <f>IF(B308="","",TEXT(B308,"DDD"))</f>
        <v/>
      </c>
      <c r="D308" s="93">
        <f>IF(B308="","","Soft App")</f>
        <v/>
      </c>
      <c r="E308" s="94" t="n"/>
      <c r="F308" s="95" t="n"/>
      <c r="G308" s="96">
        <f>IFERROR(E308/F308,0)</f>
        <v/>
      </c>
      <c r="H308" s="97">
        <f>IFERROR(SUMIF('💸 Expenses'!B9:B508,B308,'💸 Expenses'!F9:F508),0)</f>
        <v/>
      </c>
      <c r="I308" s="98">
        <f>IFERROR(E308-H308,0)</f>
        <v/>
      </c>
      <c r="J308" s="99">
        <f>IFERROR(I308/E308,0)</f>
        <v/>
      </c>
      <c r="K308" s="100" t="n"/>
      <c r="L308" s="60">
        <f>IFERROR(L307+E308,0)</f>
        <v/>
      </c>
      <c r="M308" s="63">
        <f>IFERROR(M307+H308,0)</f>
        <v/>
      </c>
      <c r="N308" s="101">
        <f>IFERROR(L308-M308,0)</f>
        <v/>
      </c>
      <c r="O308" s="102">
        <f>IFERROR(SUMIF(B8:B308,"&gt;="&amp;(B308-WEEKDAY(B308,2)+1),E8:E308),0)</f>
        <v/>
      </c>
      <c r="P308" s="103">
        <f>IFERROR(SUMIF(B8:B308,"&gt;="&amp;(B308-WEEKDAY(B308,2)+1),H8:H308),0)</f>
        <v/>
      </c>
      <c r="Q308" s="101">
        <f>IFERROR(O308-P308,0)</f>
        <v/>
      </c>
    </row>
    <row r="309" ht="16.5" customHeight="1">
      <c r="B309" s="91" t="n"/>
      <c r="C309" s="104">
        <f>IF(B309="","",TEXT(B309,"DDD"))</f>
        <v/>
      </c>
      <c r="D309" s="105">
        <f>IF(B309="","","Soft App")</f>
        <v/>
      </c>
      <c r="E309" s="106" t="n"/>
      <c r="F309" s="107" t="n"/>
      <c r="G309" s="108">
        <f>IFERROR(E309/F309,0)</f>
        <v/>
      </c>
      <c r="H309" s="109">
        <f>IFERROR(SUMIF('💸 Expenses'!B9:B508,B309,'💸 Expenses'!F9:F508),0)</f>
        <v/>
      </c>
      <c r="I309" s="110">
        <f>IFERROR(E309-H309,0)</f>
        <v/>
      </c>
      <c r="J309" s="111">
        <f>IFERROR(I309/E309,0)</f>
        <v/>
      </c>
      <c r="K309" s="112" t="n"/>
      <c r="L309" s="69">
        <f>IFERROR(L308+E309,0)</f>
        <v/>
      </c>
      <c r="M309" s="72">
        <f>IFERROR(M308+H309,0)</f>
        <v/>
      </c>
      <c r="N309" s="113">
        <f>IFERROR(L309-M309,0)</f>
        <v/>
      </c>
      <c r="O309" s="114">
        <f>IFERROR(SUMIF(B8:B309,"&gt;="&amp;(B309-WEEKDAY(B309,2)+1),E8:E309),0)</f>
        <v/>
      </c>
      <c r="P309" s="115">
        <f>IFERROR(SUMIF(B8:B309,"&gt;="&amp;(B309-WEEKDAY(B309,2)+1),H8:H309),0)</f>
        <v/>
      </c>
      <c r="Q309" s="113">
        <f>IFERROR(O309-P309,0)</f>
        <v/>
      </c>
    </row>
    <row r="310" ht="16.5" customHeight="1">
      <c r="B310" s="91" t="n"/>
      <c r="C310" s="92">
        <f>IF(B310="","",TEXT(B310,"DDD"))</f>
        <v/>
      </c>
      <c r="D310" s="93">
        <f>IF(B310="","","Soft App")</f>
        <v/>
      </c>
      <c r="E310" s="94" t="n"/>
      <c r="F310" s="95" t="n"/>
      <c r="G310" s="96">
        <f>IFERROR(E310/F310,0)</f>
        <v/>
      </c>
      <c r="H310" s="97">
        <f>IFERROR(SUMIF('💸 Expenses'!B9:B508,B310,'💸 Expenses'!F9:F508),0)</f>
        <v/>
      </c>
      <c r="I310" s="98">
        <f>IFERROR(E310-H310,0)</f>
        <v/>
      </c>
      <c r="J310" s="99">
        <f>IFERROR(I310/E310,0)</f>
        <v/>
      </c>
      <c r="K310" s="100" t="n"/>
      <c r="L310" s="60">
        <f>IFERROR(L309+E310,0)</f>
        <v/>
      </c>
      <c r="M310" s="63">
        <f>IFERROR(M309+H310,0)</f>
        <v/>
      </c>
      <c r="N310" s="101">
        <f>IFERROR(L310-M310,0)</f>
        <v/>
      </c>
      <c r="O310" s="102">
        <f>IFERROR(SUMIF(B8:B310,"&gt;="&amp;(B310-WEEKDAY(B310,2)+1),E8:E310),0)</f>
        <v/>
      </c>
      <c r="P310" s="103">
        <f>IFERROR(SUMIF(B8:B310,"&gt;="&amp;(B310-WEEKDAY(B310,2)+1),H8:H310),0)</f>
        <v/>
      </c>
      <c r="Q310" s="101">
        <f>IFERROR(O310-P310,0)</f>
        <v/>
      </c>
    </row>
    <row r="311" ht="16.5" customHeight="1">
      <c r="B311" s="91" t="n"/>
      <c r="C311" s="104">
        <f>IF(B311="","",TEXT(B311,"DDD"))</f>
        <v/>
      </c>
      <c r="D311" s="105">
        <f>IF(B311="","","Soft App")</f>
        <v/>
      </c>
      <c r="E311" s="106" t="n"/>
      <c r="F311" s="107" t="n"/>
      <c r="G311" s="108">
        <f>IFERROR(E311/F311,0)</f>
        <v/>
      </c>
      <c r="H311" s="109">
        <f>IFERROR(SUMIF('💸 Expenses'!B9:B508,B311,'💸 Expenses'!F9:F508),0)</f>
        <v/>
      </c>
      <c r="I311" s="110">
        <f>IFERROR(E311-H311,0)</f>
        <v/>
      </c>
      <c r="J311" s="111">
        <f>IFERROR(I311/E311,0)</f>
        <v/>
      </c>
      <c r="K311" s="112" t="n"/>
      <c r="L311" s="69">
        <f>IFERROR(L310+E311,0)</f>
        <v/>
      </c>
      <c r="M311" s="72">
        <f>IFERROR(M310+H311,0)</f>
        <v/>
      </c>
      <c r="N311" s="113">
        <f>IFERROR(L311-M311,0)</f>
        <v/>
      </c>
      <c r="O311" s="114">
        <f>IFERROR(SUMIF(B8:B311,"&gt;="&amp;(B311-WEEKDAY(B311,2)+1),E8:E311),0)</f>
        <v/>
      </c>
      <c r="P311" s="115">
        <f>IFERROR(SUMIF(B8:B311,"&gt;="&amp;(B311-WEEKDAY(B311,2)+1),H8:H311),0)</f>
        <v/>
      </c>
      <c r="Q311" s="113">
        <f>IFERROR(O311-P311,0)</f>
        <v/>
      </c>
    </row>
    <row r="312" ht="16.5" customHeight="1">
      <c r="B312" s="91" t="n"/>
      <c r="C312" s="92">
        <f>IF(B312="","",TEXT(B312,"DDD"))</f>
        <v/>
      </c>
      <c r="D312" s="93">
        <f>IF(B312="","","Soft App")</f>
        <v/>
      </c>
      <c r="E312" s="94" t="n"/>
      <c r="F312" s="95" t="n"/>
      <c r="G312" s="96">
        <f>IFERROR(E312/F312,0)</f>
        <v/>
      </c>
      <c r="H312" s="97">
        <f>IFERROR(SUMIF('💸 Expenses'!B9:B508,B312,'💸 Expenses'!F9:F508),0)</f>
        <v/>
      </c>
      <c r="I312" s="98">
        <f>IFERROR(E312-H312,0)</f>
        <v/>
      </c>
      <c r="J312" s="99">
        <f>IFERROR(I312/E312,0)</f>
        <v/>
      </c>
      <c r="K312" s="100" t="n"/>
      <c r="L312" s="60">
        <f>IFERROR(L311+E312,0)</f>
        <v/>
      </c>
      <c r="M312" s="63">
        <f>IFERROR(M311+H312,0)</f>
        <v/>
      </c>
      <c r="N312" s="101">
        <f>IFERROR(L312-M312,0)</f>
        <v/>
      </c>
      <c r="O312" s="102">
        <f>IFERROR(SUMIF(B8:B312,"&gt;="&amp;(B312-WEEKDAY(B312,2)+1),E8:E312),0)</f>
        <v/>
      </c>
      <c r="P312" s="103">
        <f>IFERROR(SUMIF(B8:B312,"&gt;="&amp;(B312-WEEKDAY(B312,2)+1),H8:H312),0)</f>
        <v/>
      </c>
      <c r="Q312" s="101">
        <f>IFERROR(O312-P312,0)</f>
        <v/>
      </c>
    </row>
    <row r="313" ht="16.5" customHeight="1">
      <c r="B313" s="91" t="n"/>
      <c r="C313" s="104">
        <f>IF(B313="","",TEXT(B313,"DDD"))</f>
        <v/>
      </c>
      <c r="D313" s="105">
        <f>IF(B313="","","Soft App")</f>
        <v/>
      </c>
      <c r="E313" s="106" t="n"/>
      <c r="F313" s="107" t="n"/>
      <c r="G313" s="108">
        <f>IFERROR(E313/F313,0)</f>
        <v/>
      </c>
      <c r="H313" s="109">
        <f>IFERROR(SUMIF('💸 Expenses'!B9:B508,B313,'💸 Expenses'!F9:F508),0)</f>
        <v/>
      </c>
      <c r="I313" s="110">
        <f>IFERROR(E313-H313,0)</f>
        <v/>
      </c>
      <c r="J313" s="111">
        <f>IFERROR(I313/E313,0)</f>
        <v/>
      </c>
      <c r="K313" s="112" t="n"/>
      <c r="L313" s="69">
        <f>IFERROR(L312+E313,0)</f>
        <v/>
      </c>
      <c r="M313" s="72">
        <f>IFERROR(M312+H313,0)</f>
        <v/>
      </c>
      <c r="N313" s="113">
        <f>IFERROR(L313-M313,0)</f>
        <v/>
      </c>
      <c r="O313" s="114">
        <f>IFERROR(SUMIF(B8:B313,"&gt;="&amp;(B313-WEEKDAY(B313,2)+1),E8:E313),0)</f>
        <v/>
      </c>
      <c r="P313" s="115">
        <f>IFERROR(SUMIF(B8:B313,"&gt;="&amp;(B313-WEEKDAY(B313,2)+1),H8:H313),0)</f>
        <v/>
      </c>
      <c r="Q313" s="113">
        <f>IFERROR(O313-P313,0)</f>
        <v/>
      </c>
    </row>
    <row r="314" ht="16.5" customHeight="1">
      <c r="B314" s="91" t="n"/>
      <c r="C314" s="92">
        <f>IF(B314="","",TEXT(B314,"DDD"))</f>
        <v/>
      </c>
      <c r="D314" s="93">
        <f>IF(B314="","","Soft App")</f>
        <v/>
      </c>
      <c r="E314" s="94" t="n"/>
      <c r="F314" s="95" t="n"/>
      <c r="G314" s="96">
        <f>IFERROR(E314/F314,0)</f>
        <v/>
      </c>
      <c r="H314" s="97">
        <f>IFERROR(SUMIF('💸 Expenses'!B9:B508,B314,'💸 Expenses'!F9:F508),0)</f>
        <v/>
      </c>
      <c r="I314" s="98">
        <f>IFERROR(E314-H314,0)</f>
        <v/>
      </c>
      <c r="J314" s="99">
        <f>IFERROR(I314/E314,0)</f>
        <v/>
      </c>
      <c r="K314" s="100" t="n"/>
      <c r="L314" s="60">
        <f>IFERROR(L313+E314,0)</f>
        <v/>
      </c>
      <c r="M314" s="63">
        <f>IFERROR(M313+H314,0)</f>
        <v/>
      </c>
      <c r="N314" s="101">
        <f>IFERROR(L314-M314,0)</f>
        <v/>
      </c>
      <c r="O314" s="102">
        <f>IFERROR(SUMIF(B8:B314,"&gt;="&amp;(B314-WEEKDAY(B314,2)+1),E8:E314),0)</f>
        <v/>
      </c>
      <c r="P314" s="103">
        <f>IFERROR(SUMIF(B8:B314,"&gt;="&amp;(B314-WEEKDAY(B314,2)+1),H8:H314),0)</f>
        <v/>
      </c>
      <c r="Q314" s="101">
        <f>IFERROR(O314-P314,0)</f>
        <v/>
      </c>
    </row>
    <row r="315" ht="16.5" customHeight="1">
      <c r="B315" s="91" t="n"/>
      <c r="C315" s="104">
        <f>IF(B315="","",TEXT(B315,"DDD"))</f>
        <v/>
      </c>
      <c r="D315" s="105">
        <f>IF(B315="","","Soft App")</f>
        <v/>
      </c>
      <c r="E315" s="106" t="n"/>
      <c r="F315" s="107" t="n"/>
      <c r="G315" s="108">
        <f>IFERROR(E315/F315,0)</f>
        <v/>
      </c>
      <c r="H315" s="109">
        <f>IFERROR(SUMIF('💸 Expenses'!B9:B508,B315,'💸 Expenses'!F9:F508),0)</f>
        <v/>
      </c>
      <c r="I315" s="110">
        <f>IFERROR(E315-H315,0)</f>
        <v/>
      </c>
      <c r="J315" s="111">
        <f>IFERROR(I315/E315,0)</f>
        <v/>
      </c>
      <c r="K315" s="112" t="n"/>
      <c r="L315" s="69">
        <f>IFERROR(L314+E315,0)</f>
        <v/>
      </c>
      <c r="M315" s="72">
        <f>IFERROR(M314+H315,0)</f>
        <v/>
      </c>
      <c r="N315" s="113">
        <f>IFERROR(L315-M315,0)</f>
        <v/>
      </c>
      <c r="O315" s="114">
        <f>IFERROR(SUMIF(B8:B315,"&gt;="&amp;(B315-WEEKDAY(B315,2)+1),E8:E315),0)</f>
        <v/>
      </c>
      <c r="P315" s="115">
        <f>IFERROR(SUMIF(B8:B315,"&gt;="&amp;(B315-WEEKDAY(B315,2)+1),H8:H315),0)</f>
        <v/>
      </c>
      <c r="Q315" s="113">
        <f>IFERROR(O315-P315,0)</f>
        <v/>
      </c>
    </row>
    <row r="316" ht="16.5" customHeight="1">
      <c r="B316" s="91" t="n"/>
      <c r="C316" s="92">
        <f>IF(B316="","",TEXT(B316,"DDD"))</f>
        <v/>
      </c>
      <c r="D316" s="93">
        <f>IF(B316="","","Soft App")</f>
        <v/>
      </c>
      <c r="E316" s="94" t="n"/>
      <c r="F316" s="95" t="n"/>
      <c r="G316" s="96">
        <f>IFERROR(E316/F316,0)</f>
        <v/>
      </c>
      <c r="H316" s="97">
        <f>IFERROR(SUMIF('💸 Expenses'!B9:B508,B316,'💸 Expenses'!F9:F508),0)</f>
        <v/>
      </c>
      <c r="I316" s="98">
        <f>IFERROR(E316-H316,0)</f>
        <v/>
      </c>
      <c r="J316" s="99">
        <f>IFERROR(I316/E316,0)</f>
        <v/>
      </c>
      <c r="K316" s="100" t="n"/>
      <c r="L316" s="60">
        <f>IFERROR(L315+E316,0)</f>
        <v/>
      </c>
      <c r="M316" s="63">
        <f>IFERROR(M315+H316,0)</f>
        <v/>
      </c>
      <c r="N316" s="101">
        <f>IFERROR(L316-M316,0)</f>
        <v/>
      </c>
      <c r="O316" s="102">
        <f>IFERROR(SUMIF(B8:B316,"&gt;="&amp;(B316-WEEKDAY(B316,2)+1),E8:E316),0)</f>
        <v/>
      </c>
      <c r="P316" s="103">
        <f>IFERROR(SUMIF(B8:B316,"&gt;="&amp;(B316-WEEKDAY(B316,2)+1),H8:H316),0)</f>
        <v/>
      </c>
      <c r="Q316" s="101">
        <f>IFERROR(O316-P316,0)</f>
        <v/>
      </c>
    </row>
    <row r="317" ht="16.5" customHeight="1">
      <c r="B317" s="91" t="n"/>
      <c r="C317" s="104">
        <f>IF(B317="","",TEXT(B317,"DDD"))</f>
        <v/>
      </c>
      <c r="D317" s="105">
        <f>IF(B317="","","Soft App")</f>
        <v/>
      </c>
      <c r="E317" s="106" t="n"/>
      <c r="F317" s="107" t="n"/>
      <c r="G317" s="108">
        <f>IFERROR(E317/F317,0)</f>
        <v/>
      </c>
      <c r="H317" s="109">
        <f>IFERROR(SUMIF('💸 Expenses'!B9:B508,B317,'💸 Expenses'!F9:F508),0)</f>
        <v/>
      </c>
      <c r="I317" s="110">
        <f>IFERROR(E317-H317,0)</f>
        <v/>
      </c>
      <c r="J317" s="111">
        <f>IFERROR(I317/E317,0)</f>
        <v/>
      </c>
      <c r="K317" s="112" t="n"/>
      <c r="L317" s="69">
        <f>IFERROR(L316+E317,0)</f>
        <v/>
      </c>
      <c r="M317" s="72">
        <f>IFERROR(M316+H317,0)</f>
        <v/>
      </c>
      <c r="N317" s="113">
        <f>IFERROR(L317-M317,0)</f>
        <v/>
      </c>
      <c r="O317" s="114">
        <f>IFERROR(SUMIF(B8:B317,"&gt;="&amp;(B317-WEEKDAY(B317,2)+1),E8:E317),0)</f>
        <v/>
      </c>
      <c r="P317" s="115">
        <f>IFERROR(SUMIF(B8:B317,"&gt;="&amp;(B317-WEEKDAY(B317,2)+1),H8:H317),0)</f>
        <v/>
      </c>
      <c r="Q317" s="113">
        <f>IFERROR(O317-P317,0)</f>
        <v/>
      </c>
    </row>
    <row r="318" ht="16.5" customHeight="1">
      <c r="B318" s="91" t="n"/>
      <c r="C318" s="92">
        <f>IF(B318="","",TEXT(B318,"DDD"))</f>
        <v/>
      </c>
      <c r="D318" s="93">
        <f>IF(B318="","","Soft App")</f>
        <v/>
      </c>
      <c r="E318" s="94" t="n"/>
      <c r="F318" s="95" t="n"/>
      <c r="G318" s="96">
        <f>IFERROR(E318/F318,0)</f>
        <v/>
      </c>
      <c r="H318" s="97">
        <f>IFERROR(SUMIF('💸 Expenses'!B9:B508,B318,'💸 Expenses'!F9:F508),0)</f>
        <v/>
      </c>
      <c r="I318" s="98">
        <f>IFERROR(E318-H318,0)</f>
        <v/>
      </c>
      <c r="J318" s="99">
        <f>IFERROR(I318/E318,0)</f>
        <v/>
      </c>
      <c r="K318" s="100" t="n"/>
      <c r="L318" s="60">
        <f>IFERROR(L317+E318,0)</f>
        <v/>
      </c>
      <c r="M318" s="63">
        <f>IFERROR(M317+H318,0)</f>
        <v/>
      </c>
      <c r="N318" s="101">
        <f>IFERROR(L318-M318,0)</f>
        <v/>
      </c>
      <c r="O318" s="102">
        <f>IFERROR(SUMIF(B8:B318,"&gt;="&amp;(B318-WEEKDAY(B318,2)+1),E8:E318),0)</f>
        <v/>
      </c>
      <c r="P318" s="103">
        <f>IFERROR(SUMIF(B8:B318,"&gt;="&amp;(B318-WEEKDAY(B318,2)+1),H8:H318),0)</f>
        <v/>
      </c>
      <c r="Q318" s="101">
        <f>IFERROR(O318-P318,0)</f>
        <v/>
      </c>
    </row>
    <row r="319" ht="16.5" customHeight="1">
      <c r="B319" s="91" t="n"/>
      <c r="C319" s="104">
        <f>IF(B319="","",TEXT(B319,"DDD"))</f>
        <v/>
      </c>
      <c r="D319" s="105">
        <f>IF(B319="","","Soft App")</f>
        <v/>
      </c>
      <c r="E319" s="106" t="n"/>
      <c r="F319" s="107" t="n"/>
      <c r="G319" s="108">
        <f>IFERROR(E319/F319,0)</f>
        <v/>
      </c>
      <c r="H319" s="109">
        <f>IFERROR(SUMIF('💸 Expenses'!B9:B508,B319,'💸 Expenses'!F9:F508),0)</f>
        <v/>
      </c>
      <c r="I319" s="110">
        <f>IFERROR(E319-H319,0)</f>
        <v/>
      </c>
      <c r="J319" s="111">
        <f>IFERROR(I319/E319,0)</f>
        <v/>
      </c>
      <c r="K319" s="112" t="n"/>
      <c r="L319" s="69">
        <f>IFERROR(L318+E319,0)</f>
        <v/>
      </c>
      <c r="M319" s="72">
        <f>IFERROR(M318+H319,0)</f>
        <v/>
      </c>
      <c r="N319" s="113">
        <f>IFERROR(L319-M319,0)</f>
        <v/>
      </c>
      <c r="O319" s="114">
        <f>IFERROR(SUMIF(B8:B319,"&gt;="&amp;(B319-WEEKDAY(B319,2)+1),E8:E319),0)</f>
        <v/>
      </c>
      <c r="P319" s="115">
        <f>IFERROR(SUMIF(B8:B319,"&gt;="&amp;(B319-WEEKDAY(B319,2)+1),H8:H319),0)</f>
        <v/>
      </c>
      <c r="Q319" s="113">
        <f>IFERROR(O319-P319,0)</f>
        <v/>
      </c>
    </row>
    <row r="320" ht="16.5" customHeight="1">
      <c r="B320" s="91" t="n"/>
      <c r="C320" s="92">
        <f>IF(B320="","",TEXT(B320,"DDD"))</f>
        <v/>
      </c>
      <c r="D320" s="93">
        <f>IF(B320="","","Soft App")</f>
        <v/>
      </c>
      <c r="E320" s="94" t="n"/>
      <c r="F320" s="95" t="n"/>
      <c r="G320" s="96">
        <f>IFERROR(E320/F320,0)</f>
        <v/>
      </c>
      <c r="H320" s="97">
        <f>IFERROR(SUMIF('💸 Expenses'!B9:B508,B320,'💸 Expenses'!F9:F508),0)</f>
        <v/>
      </c>
      <c r="I320" s="98">
        <f>IFERROR(E320-H320,0)</f>
        <v/>
      </c>
      <c r="J320" s="99">
        <f>IFERROR(I320/E320,0)</f>
        <v/>
      </c>
      <c r="K320" s="100" t="n"/>
      <c r="L320" s="60">
        <f>IFERROR(L319+E320,0)</f>
        <v/>
      </c>
      <c r="M320" s="63">
        <f>IFERROR(M319+H320,0)</f>
        <v/>
      </c>
      <c r="N320" s="101">
        <f>IFERROR(L320-M320,0)</f>
        <v/>
      </c>
      <c r="O320" s="102">
        <f>IFERROR(SUMIF(B8:B320,"&gt;="&amp;(B320-WEEKDAY(B320,2)+1),E8:E320),0)</f>
        <v/>
      </c>
      <c r="P320" s="103">
        <f>IFERROR(SUMIF(B8:B320,"&gt;="&amp;(B320-WEEKDAY(B320,2)+1),H8:H320),0)</f>
        <v/>
      </c>
      <c r="Q320" s="101">
        <f>IFERROR(O320-P320,0)</f>
        <v/>
      </c>
    </row>
    <row r="321" ht="16.5" customHeight="1">
      <c r="B321" s="91" t="n"/>
      <c r="C321" s="104">
        <f>IF(B321="","",TEXT(B321,"DDD"))</f>
        <v/>
      </c>
      <c r="D321" s="105">
        <f>IF(B321="","","Soft App")</f>
        <v/>
      </c>
      <c r="E321" s="106" t="n"/>
      <c r="F321" s="107" t="n"/>
      <c r="G321" s="108">
        <f>IFERROR(E321/F321,0)</f>
        <v/>
      </c>
      <c r="H321" s="109">
        <f>IFERROR(SUMIF('💸 Expenses'!B9:B508,B321,'💸 Expenses'!F9:F508),0)</f>
        <v/>
      </c>
      <c r="I321" s="110">
        <f>IFERROR(E321-H321,0)</f>
        <v/>
      </c>
      <c r="J321" s="111">
        <f>IFERROR(I321/E321,0)</f>
        <v/>
      </c>
      <c r="K321" s="112" t="n"/>
      <c r="L321" s="69">
        <f>IFERROR(L320+E321,0)</f>
        <v/>
      </c>
      <c r="M321" s="72">
        <f>IFERROR(M320+H321,0)</f>
        <v/>
      </c>
      <c r="N321" s="113">
        <f>IFERROR(L321-M321,0)</f>
        <v/>
      </c>
      <c r="O321" s="114">
        <f>IFERROR(SUMIF(B8:B321,"&gt;="&amp;(B321-WEEKDAY(B321,2)+1),E8:E321),0)</f>
        <v/>
      </c>
      <c r="P321" s="115">
        <f>IFERROR(SUMIF(B8:B321,"&gt;="&amp;(B321-WEEKDAY(B321,2)+1),H8:H321),0)</f>
        <v/>
      </c>
      <c r="Q321" s="113">
        <f>IFERROR(O321-P321,0)</f>
        <v/>
      </c>
    </row>
    <row r="322" ht="16.5" customHeight="1">
      <c r="B322" s="91" t="n"/>
      <c r="C322" s="92">
        <f>IF(B322="","",TEXT(B322,"DDD"))</f>
        <v/>
      </c>
      <c r="D322" s="93">
        <f>IF(B322="","","Soft App")</f>
        <v/>
      </c>
      <c r="E322" s="94" t="n"/>
      <c r="F322" s="95" t="n"/>
      <c r="G322" s="96">
        <f>IFERROR(E322/F322,0)</f>
        <v/>
      </c>
      <c r="H322" s="97">
        <f>IFERROR(SUMIF('💸 Expenses'!B9:B508,B322,'💸 Expenses'!F9:F508),0)</f>
        <v/>
      </c>
      <c r="I322" s="98">
        <f>IFERROR(E322-H322,0)</f>
        <v/>
      </c>
      <c r="J322" s="99">
        <f>IFERROR(I322/E322,0)</f>
        <v/>
      </c>
      <c r="K322" s="100" t="n"/>
      <c r="L322" s="60">
        <f>IFERROR(L321+E322,0)</f>
        <v/>
      </c>
      <c r="M322" s="63">
        <f>IFERROR(M321+H322,0)</f>
        <v/>
      </c>
      <c r="N322" s="101">
        <f>IFERROR(L322-M322,0)</f>
        <v/>
      </c>
      <c r="O322" s="102">
        <f>IFERROR(SUMIF(B8:B322,"&gt;="&amp;(B322-WEEKDAY(B322,2)+1),E8:E322),0)</f>
        <v/>
      </c>
      <c r="P322" s="103">
        <f>IFERROR(SUMIF(B8:B322,"&gt;="&amp;(B322-WEEKDAY(B322,2)+1),H8:H322),0)</f>
        <v/>
      </c>
      <c r="Q322" s="101">
        <f>IFERROR(O322-P322,0)</f>
        <v/>
      </c>
    </row>
    <row r="323" ht="16.5" customHeight="1">
      <c r="B323" s="91" t="n"/>
      <c r="C323" s="104">
        <f>IF(B323="","",TEXT(B323,"DDD"))</f>
        <v/>
      </c>
      <c r="D323" s="105">
        <f>IF(B323="","","Soft App")</f>
        <v/>
      </c>
      <c r="E323" s="106" t="n"/>
      <c r="F323" s="107" t="n"/>
      <c r="G323" s="108">
        <f>IFERROR(E323/F323,0)</f>
        <v/>
      </c>
      <c r="H323" s="109">
        <f>IFERROR(SUMIF('💸 Expenses'!B9:B508,B323,'💸 Expenses'!F9:F508),0)</f>
        <v/>
      </c>
      <c r="I323" s="110">
        <f>IFERROR(E323-H323,0)</f>
        <v/>
      </c>
      <c r="J323" s="111">
        <f>IFERROR(I323/E323,0)</f>
        <v/>
      </c>
      <c r="K323" s="112" t="n"/>
      <c r="L323" s="69">
        <f>IFERROR(L322+E323,0)</f>
        <v/>
      </c>
      <c r="M323" s="72">
        <f>IFERROR(M322+H323,0)</f>
        <v/>
      </c>
      <c r="N323" s="113">
        <f>IFERROR(L323-M323,0)</f>
        <v/>
      </c>
      <c r="O323" s="114">
        <f>IFERROR(SUMIF(B8:B323,"&gt;="&amp;(B323-WEEKDAY(B323,2)+1),E8:E323),0)</f>
        <v/>
      </c>
      <c r="P323" s="115">
        <f>IFERROR(SUMIF(B8:B323,"&gt;="&amp;(B323-WEEKDAY(B323,2)+1),H8:H323),0)</f>
        <v/>
      </c>
      <c r="Q323" s="113">
        <f>IFERROR(O323-P323,0)</f>
        <v/>
      </c>
    </row>
    <row r="324" ht="16.5" customHeight="1">
      <c r="B324" s="91" t="n"/>
      <c r="C324" s="92">
        <f>IF(B324="","",TEXT(B324,"DDD"))</f>
        <v/>
      </c>
      <c r="D324" s="93">
        <f>IF(B324="","","Soft App")</f>
        <v/>
      </c>
      <c r="E324" s="94" t="n"/>
      <c r="F324" s="95" t="n"/>
      <c r="G324" s="96">
        <f>IFERROR(E324/F324,0)</f>
        <v/>
      </c>
      <c r="H324" s="97">
        <f>IFERROR(SUMIF('💸 Expenses'!B9:B508,B324,'💸 Expenses'!F9:F508),0)</f>
        <v/>
      </c>
      <c r="I324" s="98">
        <f>IFERROR(E324-H324,0)</f>
        <v/>
      </c>
      <c r="J324" s="99">
        <f>IFERROR(I324/E324,0)</f>
        <v/>
      </c>
      <c r="K324" s="100" t="n"/>
      <c r="L324" s="60">
        <f>IFERROR(L323+E324,0)</f>
        <v/>
      </c>
      <c r="M324" s="63">
        <f>IFERROR(M323+H324,0)</f>
        <v/>
      </c>
      <c r="N324" s="101">
        <f>IFERROR(L324-M324,0)</f>
        <v/>
      </c>
      <c r="O324" s="102">
        <f>IFERROR(SUMIF(B8:B324,"&gt;="&amp;(B324-WEEKDAY(B324,2)+1),E8:E324),0)</f>
        <v/>
      </c>
      <c r="P324" s="103">
        <f>IFERROR(SUMIF(B8:B324,"&gt;="&amp;(B324-WEEKDAY(B324,2)+1),H8:H324),0)</f>
        <v/>
      </c>
      <c r="Q324" s="101">
        <f>IFERROR(O324-P324,0)</f>
        <v/>
      </c>
    </row>
    <row r="325" ht="16.5" customHeight="1">
      <c r="B325" s="91" t="n"/>
      <c r="C325" s="104">
        <f>IF(B325="","",TEXT(B325,"DDD"))</f>
        <v/>
      </c>
      <c r="D325" s="105">
        <f>IF(B325="","","Soft App")</f>
        <v/>
      </c>
      <c r="E325" s="106" t="n"/>
      <c r="F325" s="107" t="n"/>
      <c r="G325" s="108">
        <f>IFERROR(E325/F325,0)</f>
        <v/>
      </c>
      <c r="H325" s="109">
        <f>IFERROR(SUMIF('💸 Expenses'!B9:B508,B325,'💸 Expenses'!F9:F508),0)</f>
        <v/>
      </c>
      <c r="I325" s="110">
        <f>IFERROR(E325-H325,0)</f>
        <v/>
      </c>
      <c r="J325" s="111">
        <f>IFERROR(I325/E325,0)</f>
        <v/>
      </c>
      <c r="K325" s="112" t="n"/>
      <c r="L325" s="69">
        <f>IFERROR(L324+E325,0)</f>
        <v/>
      </c>
      <c r="M325" s="72">
        <f>IFERROR(M324+H325,0)</f>
        <v/>
      </c>
      <c r="N325" s="113">
        <f>IFERROR(L325-M325,0)</f>
        <v/>
      </c>
      <c r="O325" s="114">
        <f>IFERROR(SUMIF(B8:B325,"&gt;="&amp;(B325-WEEKDAY(B325,2)+1),E8:E325),0)</f>
        <v/>
      </c>
      <c r="P325" s="115">
        <f>IFERROR(SUMIF(B8:B325,"&gt;="&amp;(B325-WEEKDAY(B325,2)+1),H8:H325),0)</f>
        <v/>
      </c>
      <c r="Q325" s="113">
        <f>IFERROR(O325-P325,0)</f>
        <v/>
      </c>
    </row>
    <row r="326" ht="16.5" customHeight="1">
      <c r="B326" s="91" t="n"/>
      <c r="C326" s="92">
        <f>IF(B326="","",TEXT(B326,"DDD"))</f>
        <v/>
      </c>
      <c r="D326" s="93">
        <f>IF(B326="","","Soft App")</f>
        <v/>
      </c>
      <c r="E326" s="94" t="n"/>
      <c r="F326" s="95" t="n"/>
      <c r="G326" s="96">
        <f>IFERROR(E326/F326,0)</f>
        <v/>
      </c>
      <c r="H326" s="97">
        <f>IFERROR(SUMIF('💸 Expenses'!B9:B508,B326,'💸 Expenses'!F9:F508),0)</f>
        <v/>
      </c>
      <c r="I326" s="98">
        <f>IFERROR(E326-H326,0)</f>
        <v/>
      </c>
      <c r="J326" s="99">
        <f>IFERROR(I326/E326,0)</f>
        <v/>
      </c>
      <c r="K326" s="100" t="n"/>
      <c r="L326" s="60">
        <f>IFERROR(L325+E326,0)</f>
        <v/>
      </c>
      <c r="M326" s="63">
        <f>IFERROR(M325+H326,0)</f>
        <v/>
      </c>
      <c r="N326" s="101">
        <f>IFERROR(L326-M326,0)</f>
        <v/>
      </c>
      <c r="O326" s="102">
        <f>IFERROR(SUMIF(B8:B326,"&gt;="&amp;(B326-WEEKDAY(B326,2)+1),E8:E326),0)</f>
        <v/>
      </c>
      <c r="P326" s="103">
        <f>IFERROR(SUMIF(B8:B326,"&gt;="&amp;(B326-WEEKDAY(B326,2)+1),H8:H326),0)</f>
        <v/>
      </c>
      <c r="Q326" s="101">
        <f>IFERROR(O326-P326,0)</f>
        <v/>
      </c>
    </row>
    <row r="327" ht="16.5" customHeight="1">
      <c r="B327" s="91" t="n"/>
      <c r="C327" s="104">
        <f>IF(B327="","",TEXT(B327,"DDD"))</f>
        <v/>
      </c>
      <c r="D327" s="105">
        <f>IF(B327="","","Soft App")</f>
        <v/>
      </c>
      <c r="E327" s="106" t="n"/>
      <c r="F327" s="107" t="n"/>
      <c r="G327" s="108">
        <f>IFERROR(E327/F327,0)</f>
        <v/>
      </c>
      <c r="H327" s="109">
        <f>IFERROR(SUMIF('💸 Expenses'!B9:B508,B327,'💸 Expenses'!F9:F508),0)</f>
        <v/>
      </c>
      <c r="I327" s="110">
        <f>IFERROR(E327-H327,0)</f>
        <v/>
      </c>
      <c r="J327" s="111">
        <f>IFERROR(I327/E327,0)</f>
        <v/>
      </c>
      <c r="K327" s="112" t="n"/>
      <c r="L327" s="69">
        <f>IFERROR(L326+E327,0)</f>
        <v/>
      </c>
      <c r="M327" s="72">
        <f>IFERROR(M326+H327,0)</f>
        <v/>
      </c>
      <c r="N327" s="113">
        <f>IFERROR(L327-M327,0)</f>
        <v/>
      </c>
      <c r="O327" s="114">
        <f>IFERROR(SUMIF(B8:B327,"&gt;="&amp;(B327-WEEKDAY(B327,2)+1),E8:E327),0)</f>
        <v/>
      </c>
      <c r="P327" s="115">
        <f>IFERROR(SUMIF(B8:B327,"&gt;="&amp;(B327-WEEKDAY(B327,2)+1),H8:H327),0)</f>
        <v/>
      </c>
      <c r="Q327" s="113">
        <f>IFERROR(O327-P327,0)</f>
        <v/>
      </c>
    </row>
    <row r="328" ht="16.5" customHeight="1">
      <c r="B328" s="91" t="n"/>
      <c r="C328" s="92">
        <f>IF(B328="","",TEXT(B328,"DDD"))</f>
        <v/>
      </c>
      <c r="D328" s="93">
        <f>IF(B328="","","Soft App")</f>
        <v/>
      </c>
      <c r="E328" s="94" t="n"/>
      <c r="F328" s="95" t="n"/>
      <c r="G328" s="96">
        <f>IFERROR(E328/F328,0)</f>
        <v/>
      </c>
      <c r="H328" s="97">
        <f>IFERROR(SUMIF('💸 Expenses'!B9:B508,B328,'💸 Expenses'!F9:F508),0)</f>
        <v/>
      </c>
      <c r="I328" s="98">
        <f>IFERROR(E328-H328,0)</f>
        <v/>
      </c>
      <c r="J328" s="99">
        <f>IFERROR(I328/E328,0)</f>
        <v/>
      </c>
      <c r="K328" s="100" t="n"/>
      <c r="L328" s="60">
        <f>IFERROR(L327+E328,0)</f>
        <v/>
      </c>
      <c r="M328" s="63">
        <f>IFERROR(M327+H328,0)</f>
        <v/>
      </c>
      <c r="N328" s="101">
        <f>IFERROR(L328-M328,0)</f>
        <v/>
      </c>
      <c r="O328" s="102">
        <f>IFERROR(SUMIF(B8:B328,"&gt;="&amp;(B328-WEEKDAY(B328,2)+1),E8:E328),0)</f>
        <v/>
      </c>
      <c r="P328" s="103">
        <f>IFERROR(SUMIF(B8:B328,"&gt;="&amp;(B328-WEEKDAY(B328,2)+1),H8:H328),0)</f>
        <v/>
      </c>
      <c r="Q328" s="101">
        <f>IFERROR(O328-P328,0)</f>
        <v/>
      </c>
    </row>
    <row r="329" ht="16.5" customHeight="1">
      <c r="B329" s="91" t="n"/>
      <c r="C329" s="104">
        <f>IF(B329="","",TEXT(B329,"DDD"))</f>
        <v/>
      </c>
      <c r="D329" s="105">
        <f>IF(B329="","","Soft App")</f>
        <v/>
      </c>
      <c r="E329" s="106" t="n"/>
      <c r="F329" s="107" t="n"/>
      <c r="G329" s="108">
        <f>IFERROR(E329/F329,0)</f>
        <v/>
      </c>
      <c r="H329" s="109">
        <f>IFERROR(SUMIF('💸 Expenses'!B9:B508,B329,'💸 Expenses'!F9:F508),0)</f>
        <v/>
      </c>
      <c r="I329" s="110">
        <f>IFERROR(E329-H329,0)</f>
        <v/>
      </c>
      <c r="J329" s="111">
        <f>IFERROR(I329/E329,0)</f>
        <v/>
      </c>
      <c r="K329" s="112" t="n"/>
      <c r="L329" s="69">
        <f>IFERROR(L328+E329,0)</f>
        <v/>
      </c>
      <c r="M329" s="72">
        <f>IFERROR(M328+H329,0)</f>
        <v/>
      </c>
      <c r="N329" s="113">
        <f>IFERROR(L329-M329,0)</f>
        <v/>
      </c>
      <c r="O329" s="114">
        <f>IFERROR(SUMIF(B8:B329,"&gt;="&amp;(B329-WEEKDAY(B329,2)+1),E8:E329),0)</f>
        <v/>
      </c>
      <c r="P329" s="115">
        <f>IFERROR(SUMIF(B8:B329,"&gt;="&amp;(B329-WEEKDAY(B329,2)+1),H8:H329),0)</f>
        <v/>
      </c>
      <c r="Q329" s="113">
        <f>IFERROR(O329-P329,0)</f>
        <v/>
      </c>
    </row>
    <row r="330" ht="16.5" customHeight="1">
      <c r="B330" s="91" t="n"/>
      <c r="C330" s="92">
        <f>IF(B330="","",TEXT(B330,"DDD"))</f>
        <v/>
      </c>
      <c r="D330" s="93">
        <f>IF(B330="","","Soft App")</f>
        <v/>
      </c>
      <c r="E330" s="94" t="n"/>
      <c r="F330" s="95" t="n"/>
      <c r="G330" s="96">
        <f>IFERROR(E330/F330,0)</f>
        <v/>
      </c>
      <c r="H330" s="97">
        <f>IFERROR(SUMIF('💸 Expenses'!B9:B508,B330,'💸 Expenses'!F9:F508),0)</f>
        <v/>
      </c>
      <c r="I330" s="98">
        <f>IFERROR(E330-H330,0)</f>
        <v/>
      </c>
      <c r="J330" s="99">
        <f>IFERROR(I330/E330,0)</f>
        <v/>
      </c>
      <c r="K330" s="100" t="n"/>
      <c r="L330" s="60">
        <f>IFERROR(L329+E330,0)</f>
        <v/>
      </c>
      <c r="M330" s="63">
        <f>IFERROR(M329+H330,0)</f>
        <v/>
      </c>
      <c r="N330" s="101">
        <f>IFERROR(L330-M330,0)</f>
        <v/>
      </c>
      <c r="O330" s="102">
        <f>IFERROR(SUMIF(B8:B330,"&gt;="&amp;(B330-WEEKDAY(B330,2)+1),E8:E330),0)</f>
        <v/>
      </c>
      <c r="P330" s="103">
        <f>IFERROR(SUMIF(B8:B330,"&gt;="&amp;(B330-WEEKDAY(B330,2)+1),H8:H330),0)</f>
        <v/>
      </c>
      <c r="Q330" s="101">
        <f>IFERROR(O330-P330,0)</f>
        <v/>
      </c>
    </row>
    <row r="331" ht="16.5" customHeight="1">
      <c r="B331" s="91" t="n"/>
      <c r="C331" s="104">
        <f>IF(B331="","",TEXT(B331,"DDD"))</f>
        <v/>
      </c>
      <c r="D331" s="105">
        <f>IF(B331="","","Soft App")</f>
        <v/>
      </c>
      <c r="E331" s="106" t="n"/>
      <c r="F331" s="107" t="n"/>
      <c r="G331" s="108">
        <f>IFERROR(E331/F331,0)</f>
        <v/>
      </c>
      <c r="H331" s="109">
        <f>IFERROR(SUMIF('💸 Expenses'!B9:B508,B331,'💸 Expenses'!F9:F508),0)</f>
        <v/>
      </c>
      <c r="I331" s="110">
        <f>IFERROR(E331-H331,0)</f>
        <v/>
      </c>
      <c r="J331" s="111">
        <f>IFERROR(I331/E331,0)</f>
        <v/>
      </c>
      <c r="K331" s="112" t="n"/>
      <c r="L331" s="69">
        <f>IFERROR(L330+E331,0)</f>
        <v/>
      </c>
      <c r="M331" s="72">
        <f>IFERROR(M330+H331,0)</f>
        <v/>
      </c>
      <c r="N331" s="113">
        <f>IFERROR(L331-M331,0)</f>
        <v/>
      </c>
      <c r="O331" s="114">
        <f>IFERROR(SUMIF(B8:B331,"&gt;="&amp;(B331-WEEKDAY(B331,2)+1),E8:E331),0)</f>
        <v/>
      </c>
      <c r="P331" s="115">
        <f>IFERROR(SUMIF(B8:B331,"&gt;="&amp;(B331-WEEKDAY(B331,2)+1),H8:H331),0)</f>
        <v/>
      </c>
      <c r="Q331" s="113">
        <f>IFERROR(O331-P331,0)</f>
        <v/>
      </c>
    </row>
    <row r="332" ht="16.5" customHeight="1">
      <c r="B332" s="91" t="n"/>
      <c r="C332" s="92">
        <f>IF(B332="","",TEXT(B332,"DDD"))</f>
        <v/>
      </c>
      <c r="D332" s="93">
        <f>IF(B332="","","Soft App")</f>
        <v/>
      </c>
      <c r="E332" s="94" t="n"/>
      <c r="F332" s="95" t="n"/>
      <c r="G332" s="96">
        <f>IFERROR(E332/F332,0)</f>
        <v/>
      </c>
      <c r="H332" s="97">
        <f>IFERROR(SUMIF('💸 Expenses'!B9:B508,B332,'💸 Expenses'!F9:F508),0)</f>
        <v/>
      </c>
      <c r="I332" s="98">
        <f>IFERROR(E332-H332,0)</f>
        <v/>
      </c>
      <c r="J332" s="99">
        <f>IFERROR(I332/E332,0)</f>
        <v/>
      </c>
      <c r="K332" s="100" t="n"/>
      <c r="L332" s="60">
        <f>IFERROR(L331+E332,0)</f>
        <v/>
      </c>
      <c r="M332" s="63">
        <f>IFERROR(M331+H332,0)</f>
        <v/>
      </c>
      <c r="N332" s="101">
        <f>IFERROR(L332-M332,0)</f>
        <v/>
      </c>
      <c r="O332" s="102">
        <f>IFERROR(SUMIF(B8:B332,"&gt;="&amp;(B332-WEEKDAY(B332,2)+1),E8:E332),0)</f>
        <v/>
      </c>
      <c r="P332" s="103">
        <f>IFERROR(SUMIF(B8:B332,"&gt;="&amp;(B332-WEEKDAY(B332,2)+1),H8:H332),0)</f>
        <v/>
      </c>
      <c r="Q332" s="101">
        <f>IFERROR(O332-P332,0)</f>
        <v/>
      </c>
    </row>
    <row r="333" ht="16.5" customHeight="1">
      <c r="B333" s="91" t="n"/>
      <c r="C333" s="104">
        <f>IF(B333="","",TEXT(B333,"DDD"))</f>
        <v/>
      </c>
      <c r="D333" s="105">
        <f>IF(B333="","","Soft App")</f>
        <v/>
      </c>
      <c r="E333" s="106" t="n"/>
      <c r="F333" s="107" t="n"/>
      <c r="G333" s="108">
        <f>IFERROR(E333/F333,0)</f>
        <v/>
      </c>
      <c r="H333" s="109">
        <f>IFERROR(SUMIF('💸 Expenses'!B9:B508,B333,'💸 Expenses'!F9:F508),0)</f>
        <v/>
      </c>
      <c r="I333" s="110">
        <f>IFERROR(E333-H333,0)</f>
        <v/>
      </c>
      <c r="J333" s="111">
        <f>IFERROR(I333/E333,0)</f>
        <v/>
      </c>
      <c r="K333" s="112" t="n"/>
      <c r="L333" s="69">
        <f>IFERROR(L332+E333,0)</f>
        <v/>
      </c>
      <c r="M333" s="72">
        <f>IFERROR(M332+H333,0)</f>
        <v/>
      </c>
      <c r="N333" s="113">
        <f>IFERROR(L333-M333,0)</f>
        <v/>
      </c>
      <c r="O333" s="114">
        <f>IFERROR(SUMIF(B8:B333,"&gt;="&amp;(B333-WEEKDAY(B333,2)+1),E8:E333),0)</f>
        <v/>
      </c>
      <c r="P333" s="115">
        <f>IFERROR(SUMIF(B8:B333,"&gt;="&amp;(B333-WEEKDAY(B333,2)+1),H8:H333),0)</f>
        <v/>
      </c>
      <c r="Q333" s="113">
        <f>IFERROR(O333-P333,0)</f>
        <v/>
      </c>
    </row>
    <row r="334" ht="16.5" customHeight="1">
      <c r="B334" s="91" t="n"/>
      <c r="C334" s="92">
        <f>IF(B334="","",TEXT(B334,"DDD"))</f>
        <v/>
      </c>
      <c r="D334" s="93">
        <f>IF(B334="","","Soft App")</f>
        <v/>
      </c>
      <c r="E334" s="94" t="n"/>
      <c r="F334" s="95" t="n"/>
      <c r="G334" s="96">
        <f>IFERROR(E334/F334,0)</f>
        <v/>
      </c>
      <c r="H334" s="97">
        <f>IFERROR(SUMIF('💸 Expenses'!B9:B508,B334,'💸 Expenses'!F9:F508),0)</f>
        <v/>
      </c>
      <c r="I334" s="98">
        <f>IFERROR(E334-H334,0)</f>
        <v/>
      </c>
      <c r="J334" s="99">
        <f>IFERROR(I334/E334,0)</f>
        <v/>
      </c>
      <c r="K334" s="100" t="n"/>
      <c r="L334" s="60">
        <f>IFERROR(L333+E334,0)</f>
        <v/>
      </c>
      <c r="M334" s="63">
        <f>IFERROR(M333+H334,0)</f>
        <v/>
      </c>
      <c r="N334" s="101">
        <f>IFERROR(L334-M334,0)</f>
        <v/>
      </c>
      <c r="O334" s="102">
        <f>IFERROR(SUMIF(B8:B334,"&gt;="&amp;(B334-WEEKDAY(B334,2)+1),E8:E334),0)</f>
        <v/>
      </c>
      <c r="P334" s="103">
        <f>IFERROR(SUMIF(B8:B334,"&gt;="&amp;(B334-WEEKDAY(B334,2)+1),H8:H334),0)</f>
        <v/>
      </c>
      <c r="Q334" s="101">
        <f>IFERROR(O334-P334,0)</f>
        <v/>
      </c>
    </row>
    <row r="335" ht="16.5" customHeight="1">
      <c r="B335" s="91" t="n"/>
      <c r="C335" s="104">
        <f>IF(B335="","",TEXT(B335,"DDD"))</f>
        <v/>
      </c>
      <c r="D335" s="105">
        <f>IF(B335="","","Soft App")</f>
        <v/>
      </c>
      <c r="E335" s="106" t="n"/>
      <c r="F335" s="107" t="n"/>
      <c r="G335" s="108">
        <f>IFERROR(E335/F335,0)</f>
        <v/>
      </c>
      <c r="H335" s="109">
        <f>IFERROR(SUMIF('💸 Expenses'!B9:B508,B335,'💸 Expenses'!F9:F508),0)</f>
        <v/>
      </c>
      <c r="I335" s="110">
        <f>IFERROR(E335-H335,0)</f>
        <v/>
      </c>
      <c r="J335" s="111">
        <f>IFERROR(I335/E335,0)</f>
        <v/>
      </c>
      <c r="K335" s="112" t="n"/>
      <c r="L335" s="69">
        <f>IFERROR(L334+E335,0)</f>
        <v/>
      </c>
      <c r="M335" s="72">
        <f>IFERROR(M334+H335,0)</f>
        <v/>
      </c>
      <c r="N335" s="113">
        <f>IFERROR(L335-M335,0)</f>
        <v/>
      </c>
      <c r="O335" s="114">
        <f>IFERROR(SUMIF(B8:B335,"&gt;="&amp;(B335-WEEKDAY(B335,2)+1),E8:E335),0)</f>
        <v/>
      </c>
      <c r="P335" s="115">
        <f>IFERROR(SUMIF(B8:B335,"&gt;="&amp;(B335-WEEKDAY(B335,2)+1),H8:H335),0)</f>
        <v/>
      </c>
      <c r="Q335" s="113">
        <f>IFERROR(O335-P335,0)</f>
        <v/>
      </c>
    </row>
    <row r="336" ht="16.5" customHeight="1">
      <c r="B336" s="91" t="n"/>
      <c r="C336" s="92">
        <f>IF(B336="","",TEXT(B336,"DDD"))</f>
        <v/>
      </c>
      <c r="D336" s="93">
        <f>IF(B336="","","Soft App")</f>
        <v/>
      </c>
      <c r="E336" s="94" t="n"/>
      <c r="F336" s="95" t="n"/>
      <c r="G336" s="96">
        <f>IFERROR(E336/F336,0)</f>
        <v/>
      </c>
      <c r="H336" s="97">
        <f>IFERROR(SUMIF('💸 Expenses'!B9:B508,B336,'💸 Expenses'!F9:F508),0)</f>
        <v/>
      </c>
      <c r="I336" s="98">
        <f>IFERROR(E336-H336,0)</f>
        <v/>
      </c>
      <c r="J336" s="99">
        <f>IFERROR(I336/E336,0)</f>
        <v/>
      </c>
      <c r="K336" s="100" t="n"/>
      <c r="L336" s="60">
        <f>IFERROR(L335+E336,0)</f>
        <v/>
      </c>
      <c r="M336" s="63">
        <f>IFERROR(M335+H336,0)</f>
        <v/>
      </c>
      <c r="N336" s="101">
        <f>IFERROR(L336-M336,0)</f>
        <v/>
      </c>
      <c r="O336" s="102">
        <f>IFERROR(SUMIF(B8:B336,"&gt;="&amp;(B336-WEEKDAY(B336,2)+1),E8:E336),0)</f>
        <v/>
      </c>
      <c r="P336" s="103">
        <f>IFERROR(SUMIF(B8:B336,"&gt;="&amp;(B336-WEEKDAY(B336,2)+1),H8:H336),0)</f>
        <v/>
      </c>
      <c r="Q336" s="101">
        <f>IFERROR(O336-P336,0)</f>
        <v/>
      </c>
    </row>
    <row r="337" ht="16.5" customHeight="1">
      <c r="B337" s="91" t="n"/>
      <c r="C337" s="104">
        <f>IF(B337="","",TEXT(B337,"DDD"))</f>
        <v/>
      </c>
      <c r="D337" s="105">
        <f>IF(B337="","","Soft App")</f>
        <v/>
      </c>
      <c r="E337" s="106" t="n"/>
      <c r="F337" s="107" t="n"/>
      <c r="G337" s="108">
        <f>IFERROR(E337/F337,0)</f>
        <v/>
      </c>
      <c r="H337" s="109">
        <f>IFERROR(SUMIF('💸 Expenses'!B9:B508,B337,'💸 Expenses'!F9:F508),0)</f>
        <v/>
      </c>
      <c r="I337" s="110">
        <f>IFERROR(E337-H337,0)</f>
        <v/>
      </c>
      <c r="J337" s="111">
        <f>IFERROR(I337/E337,0)</f>
        <v/>
      </c>
      <c r="K337" s="112" t="n"/>
      <c r="L337" s="69">
        <f>IFERROR(L336+E337,0)</f>
        <v/>
      </c>
      <c r="M337" s="72">
        <f>IFERROR(M336+H337,0)</f>
        <v/>
      </c>
      <c r="N337" s="113">
        <f>IFERROR(L337-M337,0)</f>
        <v/>
      </c>
      <c r="O337" s="114">
        <f>IFERROR(SUMIF(B8:B337,"&gt;="&amp;(B337-WEEKDAY(B337,2)+1),E8:E337),0)</f>
        <v/>
      </c>
      <c r="P337" s="115">
        <f>IFERROR(SUMIF(B8:B337,"&gt;="&amp;(B337-WEEKDAY(B337,2)+1),H8:H337),0)</f>
        <v/>
      </c>
      <c r="Q337" s="113">
        <f>IFERROR(O337-P337,0)</f>
        <v/>
      </c>
    </row>
    <row r="338" ht="16.5" customHeight="1">
      <c r="B338" s="91" t="n"/>
      <c r="C338" s="92">
        <f>IF(B338="","",TEXT(B338,"DDD"))</f>
        <v/>
      </c>
      <c r="D338" s="93">
        <f>IF(B338="","","Soft App")</f>
        <v/>
      </c>
      <c r="E338" s="94" t="n"/>
      <c r="F338" s="95" t="n"/>
      <c r="G338" s="96">
        <f>IFERROR(E338/F338,0)</f>
        <v/>
      </c>
      <c r="H338" s="97">
        <f>IFERROR(SUMIF('💸 Expenses'!B9:B508,B338,'💸 Expenses'!F9:F508),0)</f>
        <v/>
      </c>
      <c r="I338" s="98">
        <f>IFERROR(E338-H338,0)</f>
        <v/>
      </c>
      <c r="J338" s="99">
        <f>IFERROR(I338/E338,0)</f>
        <v/>
      </c>
      <c r="K338" s="100" t="n"/>
      <c r="L338" s="60">
        <f>IFERROR(L337+E338,0)</f>
        <v/>
      </c>
      <c r="M338" s="63">
        <f>IFERROR(M337+H338,0)</f>
        <v/>
      </c>
      <c r="N338" s="101">
        <f>IFERROR(L338-M338,0)</f>
        <v/>
      </c>
      <c r="O338" s="102">
        <f>IFERROR(SUMIF(B8:B338,"&gt;="&amp;(B338-WEEKDAY(B338,2)+1),E8:E338),0)</f>
        <v/>
      </c>
      <c r="P338" s="103">
        <f>IFERROR(SUMIF(B8:B338,"&gt;="&amp;(B338-WEEKDAY(B338,2)+1),H8:H338),0)</f>
        <v/>
      </c>
      <c r="Q338" s="101">
        <f>IFERROR(O338-P338,0)</f>
        <v/>
      </c>
    </row>
    <row r="339" ht="16.5" customHeight="1">
      <c r="B339" s="91" t="n"/>
      <c r="C339" s="104">
        <f>IF(B339="","",TEXT(B339,"DDD"))</f>
        <v/>
      </c>
      <c r="D339" s="105">
        <f>IF(B339="","","Soft App")</f>
        <v/>
      </c>
      <c r="E339" s="106" t="n"/>
      <c r="F339" s="107" t="n"/>
      <c r="G339" s="108">
        <f>IFERROR(E339/F339,0)</f>
        <v/>
      </c>
      <c r="H339" s="109">
        <f>IFERROR(SUMIF('💸 Expenses'!B9:B508,B339,'💸 Expenses'!F9:F508),0)</f>
        <v/>
      </c>
      <c r="I339" s="110">
        <f>IFERROR(E339-H339,0)</f>
        <v/>
      </c>
      <c r="J339" s="111">
        <f>IFERROR(I339/E339,0)</f>
        <v/>
      </c>
      <c r="K339" s="112" t="n"/>
      <c r="L339" s="69">
        <f>IFERROR(L338+E339,0)</f>
        <v/>
      </c>
      <c r="M339" s="72">
        <f>IFERROR(M338+H339,0)</f>
        <v/>
      </c>
      <c r="N339" s="113">
        <f>IFERROR(L339-M339,0)</f>
        <v/>
      </c>
      <c r="O339" s="114">
        <f>IFERROR(SUMIF(B8:B339,"&gt;="&amp;(B339-WEEKDAY(B339,2)+1),E8:E339),0)</f>
        <v/>
      </c>
      <c r="P339" s="115">
        <f>IFERROR(SUMIF(B8:B339,"&gt;="&amp;(B339-WEEKDAY(B339,2)+1),H8:H339),0)</f>
        <v/>
      </c>
      <c r="Q339" s="113">
        <f>IFERROR(O339-P339,0)</f>
        <v/>
      </c>
    </row>
    <row r="340" ht="16.5" customHeight="1">
      <c r="B340" s="91" t="n"/>
      <c r="C340" s="92">
        <f>IF(B340="","",TEXT(B340,"DDD"))</f>
        <v/>
      </c>
      <c r="D340" s="93">
        <f>IF(B340="","","Soft App")</f>
        <v/>
      </c>
      <c r="E340" s="94" t="n"/>
      <c r="F340" s="95" t="n"/>
      <c r="G340" s="96">
        <f>IFERROR(E340/F340,0)</f>
        <v/>
      </c>
      <c r="H340" s="97">
        <f>IFERROR(SUMIF('💸 Expenses'!B9:B508,B340,'💸 Expenses'!F9:F508),0)</f>
        <v/>
      </c>
      <c r="I340" s="98">
        <f>IFERROR(E340-H340,0)</f>
        <v/>
      </c>
      <c r="J340" s="99">
        <f>IFERROR(I340/E340,0)</f>
        <v/>
      </c>
      <c r="K340" s="100" t="n"/>
      <c r="L340" s="60">
        <f>IFERROR(L339+E340,0)</f>
        <v/>
      </c>
      <c r="M340" s="63">
        <f>IFERROR(M339+H340,0)</f>
        <v/>
      </c>
      <c r="N340" s="101">
        <f>IFERROR(L340-M340,0)</f>
        <v/>
      </c>
      <c r="O340" s="102">
        <f>IFERROR(SUMIF(B8:B340,"&gt;="&amp;(B340-WEEKDAY(B340,2)+1),E8:E340),0)</f>
        <v/>
      </c>
      <c r="P340" s="103">
        <f>IFERROR(SUMIF(B8:B340,"&gt;="&amp;(B340-WEEKDAY(B340,2)+1),H8:H340),0)</f>
        <v/>
      </c>
      <c r="Q340" s="101">
        <f>IFERROR(O340-P340,0)</f>
        <v/>
      </c>
    </row>
    <row r="341" ht="16.5" customHeight="1">
      <c r="B341" s="91" t="n"/>
      <c r="C341" s="104">
        <f>IF(B341="","",TEXT(B341,"DDD"))</f>
        <v/>
      </c>
      <c r="D341" s="105">
        <f>IF(B341="","","Soft App")</f>
        <v/>
      </c>
      <c r="E341" s="106" t="n"/>
      <c r="F341" s="107" t="n"/>
      <c r="G341" s="108">
        <f>IFERROR(E341/F341,0)</f>
        <v/>
      </c>
      <c r="H341" s="109">
        <f>IFERROR(SUMIF('💸 Expenses'!B9:B508,B341,'💸 Expenses'!F9:F508),0)</f>
        <v/>
      </c>
      <c r="I341" s="110">
        <f>IFERROR(E341-H341,0)</f>
        <v/>
      </c>
      <c r="J341" s="111">
        <f>IFERROR(I341/E341,0)</f>
        <v/>
      </c>
      <c r="K341" s="112" t="n"/>
      <c r="L341" s="69">
        <f>IFERROR(L340+E341,0)</f>
        <v/>
      </c>
      <c r="M341" s="72">
        <f>IFERROR(M340+H341,0)</f>
        <v/>
      </c>
      <c r="N341" s="113">
        <f>IFERROR(L341-M341,0)</f>
        <v/>
      </c>
      <c r="O341" s="114">
        <f>IFERROR(SUMIF(B8:B341,"&gt;="&amp;(B341-WEEKDAY(B341,2)+1),E8:E341),0)</f>
        <v/>
      </c>
      <c r="P341" s="115">
        <f>IFERROR(SUMIF(B8:B341,"&gt;="&amp;(B341-WEEKDAY(B341,2)+1),H8:H341),0)</f>
        <v/>
      </c>
      <c r="Q341" s="113">
        <f>IFERROR(O341-P341,0)</f>
        <v/>
      </c>
    </row>
    <row r="342" ht="16.5" customHeight="1">
      <c r="B342" s="91" t="n"/>
      <c r="C342" s="92">
        <f>IF(B342="","",TEXT(B342,"DDD"))</f>
        <v/>
      </c>
      <c r="D342" s="93">
        <f>IF(B342="","","Soft App")</f>
        <v/>
      </c>
      <c r="E342" s="94" t="n"/>
      <c r="F342" s="95" t="n"/>
      <c r="G342" s="96">
        <f>IFERROR(E342/F342,0)</f>
        <v/>
      </c>
      <c r="H342" s="97">
        <f>IFERROR(SUMIF('💸 Expenses'!B9:B508,B342,'💸 Expenses'!F9:F508),0)</f>
        <v/>
      </c>
      <c r="I342" s="98">
        <f>IFERROR(E342-H342,0)</f>
        <v/>
      </c>
      <c r="J342" s="99">
        <f>IFERROR(I342/E342,0)</f>
        <v/>
      </c>
      <c r="K342" s="100" t="n"/>
      <c r="L342" s="60">
        <f>IFERROR(L341+E342,0)</f>
        <v/>
      </c>
      <c r="M342" s="63">
        <f>IFERROR(M341+H342,0)</f>
        <v/>
      </c>
      <c r="N342" s="101">
        <f>IFERROR(L342-M342,0)</f>
        <v/>
      </c>
      <c r="O342" s="102">
        <f>IFERROR(SUMIF(B8:B342,"&gt;="&amp;(B342-WEEKDAY(B342,2)+1),E8:E342),0)</f>
        <v/>
      </c>
      <c r="P342" s="103">
        <f>IFERROR(SUMIF(B8:B342,"&gt;="&amp;(B342-WEEKDAY(B342,2)+1),H8:H342),0)</f>
        <v/>
      </c>
      <c r="Q342" s="101">
        <f>IFERROR(O342-P342,0)</f>
        <v/>
      </c>
    </row>
    <row r="343" ht="16.5" customHeight="1">
      <c r="B343" s="91" t="n"/>
      <c r="C343" s="104">
        <f>IF(B343="","",TEXT(B343,"DDD"))</f>
        <v/>
      </c>
      <c r="D343" s="105">
        <f>IF(B343="","","Soft App")</f>
        <v/>
      </c>
      <c r="E343" s="106" t="n"/>
      <c r="F343" s="107" t="n"/>
      <c r="G343" s="108">
        <f>IFERROR(E343/F343,0)</f>
        <v/>
      </c>
      <c r="H343" s="109">
        <f>IFERROR(SUMIF('💸 Expenses'!B9:B508,B343,'💸 Expenses'!F9:F508),0)</f>
        <v/>
      </c>
      <c r="I343" s="110">
        <f>IFERROR(E343-H343,0)</f>
        <v/>
      </c>
      <c r="J343" s="111">
        <f>IFERROR(I343/E343,0)</f>
        <v/>
      </c>
      <c r="K343" s="112" t="n"/>
      <c r="L343" s="69">
        <f>IFERROR(L342+E343,0)</f>
        <v/>
      </c>
      <c r="M343" s="72">
        <f>IFERROR(M342+H343,0)</f>
        <v/>
      </c>
      <c r="N343" s="113">
        <f>IFERROR(L343-M343,0)</f>
        <v/>
      </c>
      <c r="O343" s="114">
        <f>IFERROR(SUMIF(B8:B343,"&gt;="&amp;(B343-WEEKDAY(B343,2)+1),E8:E343),0)</f>
        <v/>
      </c>
      <c r="P343" s="115">
        <f>IFERROR(SUMIF(B8:B343,"&gt;="&amp;(B343-WEEKDAY(B343,2)+1),H8:H343),0)</f>
        <v/>
      </c>
      <c r="Q343" s="113">
        <f>IFERROR(O343-P343,0)</f>
        <v/>
      </c>
    </row>
    <row r="344" ht="16.5" customHeight="1">
      <c r="B344" s="91" t="n"/>
      <c r="C344" s="92">
        <f>IF(B344="","",TEXT(B344,"DDD"))</f>
        <v/>
      </c>
      <c r="D344" s="93">
        <f>IF(B344="","","Soft App")</f>
        <v/>
      </c>
      <c r="E344" s="94" t="n"/>
      <c r="F344" s="95" t="n"/>
      <c r="G344" s="96">
        <f>IFERROR(E344/F344,0)</f>
        <v/>
      </c>
      <c r="H344" s="97">
        <f>IFERROR(SUMIF('💸 Expenses'!B9:B508,B344,'💸 Expenses'!F9:F508),0)</f>
        <v/>
      </c>
      <c r="I344" s="98">
        <f>IFERROR(E344-H344,0)</f>
        <v/>
      </c>
      <c r="J344" s="99">
        <f>IFERROR(I344/E344,0)</f>
        <v/>
      </c>
      <c r="K344" s="100" t="n"/>
      <c r="L344" s="60">
        <f>IFERROR(L343+E344,0)</f>
        <v/>
      </c>
      <c r="M344" s="63">
        <f>IFERROR(M343+H344,0)</f>
        <v/>
      </c>
      <c r="N344" s="101">
        <f>IFERROR(L344-M344,0)</f>
        <v/>
      </c>
      <c r="O344" s="102">
        <f>IFERROR(SUMIF(B8:B344,"&gt;="&amp;(B344-WEEKDAY(B344,2)+1),E8:E344),0)</f>
        <v/>
      </c>
      <c r="P344" s="103">
        <f>IFERROR(SUMIF(B8:B344,"&gt;="&amp;(B344-WEEKDAY(B344,2)+1),H8:H344),0)</f>
        <v/>
      </c>
      <c r="Q344" s="101">
        <f>IFERROR(O344-P344,0)</f>
        <v/>
      </c>
    </row>
    <row r="345" ht="16.5" customHeight="1">
      <c r="B345" s="91" t="n"/>
      <c r="C345" s="104">
        <f>IF(B345="","",TEXT(B345,"DDD"))</f>
        <v/>
      </c>
      <c r="D345" s="105">
        <f>IF(B345="","","Soft App")</f>
        <v/>
      </c>
      <c r="E345" s="106" t="n"/>
      <c r="F345" s="107" t="n"/>
      <c r="G345" s="108">
        <f>IFERROR(E345/F345,0)</f>
        <v/>
      </c>
      <c r="H345" s="109">
        <f>IFERROR(SUMIF('💸 Expenses'!B9:B508,B345,'💸 Expenses'!F9:F508),0)</f>
        <v/>
      </c>
      <c r="I345" s="110">
        <f>IFERROR(E345-H345,0)</f>
        <v/>
      </c>
      <c r="J345" s="111">
        <f>IFERROR(I345/E345,0)</f>
        <v/>
      </c>
      <c r="K345" s="112" t="n"/>
      <c r="L345" s="69">
        <f>IFERROR(L344+E345,0)</f>
        <v/>
      </c>
      <c r="M345" s="72">
        <f>IFERROR(M344+H345,0)</f>
        <v/>
      </c>
      <c r="N345" s="113">
        <f>IFERROR(L345-M345,0)</f>
        <v/>
      </c>
      <c r="O345" s="114">
        <f>IFERROR(SUMIF(B8:B345,"&gt;="&amp;(B345-WEEKDAY(B345,2)+1),E8:E345),0)</f>
        <v/>
      </c>
      <c r="P345" s="115">
        <f>IFERROR(SUMIF(B8:B345,"&gt;="&amp;(B345-WEEKDAY(B345,2)+1),H8:H345),0)</f>
        <v/>
      </c>
      <c r="Q345" s="113">
        <f>IFERROR(O345-P345,0)</f>
        <v/>
      </c>
    </row>
    <row r="346" ht="16.5" customHeight="1">
      <c r="B346" s="91" t="n"/>
      <c r="C346" s="92">
        <f>IF(B346="","",TEXT(B346,"DDD"))</f>
        <v/>
      </c>
      <c r="D346" s="93">
        <f>IF(B346="","","Soft App")</f>
        <v/>
      </c>
      <c r="E346" s="94" t="n"/>
      <c r="F346" s="95" t="n"/>
      <c r="G346" s="96">
        <f>IFERROR(E346/F346,0)</f>
        <v/>
      </c>
      <c r="H346" s="97">
        <f>IFERROR(SUMIF('💸 Expenses'!B9:B508,B346,'💸 Expenses'!F9:F508),0)</f>
        <v/>
      </c>
      <c r="I346" s="98">
        <f>IFERROR(E346-H346,0)</f>
        <v/>
      </c>
      <c r="J346" s="99">
        <f>IFERROR(I346/E346,0)</f>
        <v/>
      </c>
      <c r="K346" s="100" t="n"/>
      <c r="L346" s="60">
        <f>IFERROR(L345+E346,0)</f>
        <v/>
      </c>
      <c r="M346" s="63">
        <f>IFERROR(M345+H346,0)</f>
        <v/>
      </c>
      <c r="N346" s="101">
        <f>IFERROR(L346-M346,0)</f>
        <v/>
      </c>
      <c r="O346" s="102">
        <f>IFERROR(SUMIF(B8:B346,"&gt;="&amp;(B346-WEEKDAY(B346,2)+1),E8:E346),0)</f>
        <v/>
      </c>
      <c r="P346" s="103">
        <f>IFERROR(SUMIF(B8:B346,"&gt;="&amp;(B346-WEEKDAY(B346,2)+1),H8:H346),0)</f>
        <v/>
      </c>
      <c r="Q346" s="101">
        <f>IFERROR(O346-P346,0)</f>
        <v/>
      </c>
    </row>
    <row r="347" ht="16.5" customHeight="1">
      <c r="B347" s="91" t="n"/>
      <c r="C347" s="104">
        <f>IF(B347="","",TEXT(B347,"DDD"))</f>
        <v/>
      </c>
      <c r="D347" s="105">
        <f>IF(B347="","","Soft App")</f>
        <v/>
      </c>
      <c r="E347" s="106" t="n"/>
      <c r="F347" s="107" t="n"/>
      <c r="G347" s="108">
        <f>IFERROR(E347/F347,0)</f>
        <v/>
      </c>
      <c r="H347" s="109">
        <f>IFERROR(SUMIF('💸 Expenses'!B9:B508,B347,'💸 Expenses'!F9:F508),0)</f>
        <v/>
      </c>
      <c r="I347" s="110">
        <f>IFERROR(E347-H347,0)</f>
        <v/>
      </c>
      <c r="J347" s="111">
        <f>IFERROR(I347/E347,0)</f>
        <v/>
      </c>
      <c r="K347" s="112" t="n"/>
      <c r="L347" s="69">
        <f>IFERROR(L346+E347,0)</f>
        <v/>
      </c>
      <c r="M347" s="72">
        <f>IFERROR(M346+H347,0)</f>
        <v/>
      </c>
      <c r="N347" s="113">
        <f>IFERROR(L347-M347,0)</f>
        <v/>
      </c>
      <c r="O347" s="114">
        <f>IFERROR(SUMIF(B8:B347,"&gt;="&amp;(B347-WEEKDAY(B347,2)+1),E8:E347),0)</f>
        <v/>
      </c>
      <c r="P347" s="115">
        <f>IFERROR(SUMIF(B8:B347,"&gt;="&amp;(B347-WEEKDAY(B347,2)+1),H8:H347),0)</f>
        <v/>
      </c>
      <c r="Q347" s="113">
        <f>IFERROR(O347-P347,0)</f>
        <v/>
      </c>
    </row>
    <row r="348" ht="16.5" customHeight="1">
      <c r="B348" s="91" t="n"/>
      <c r="C348" s="92">
        <f>IF(B348="","",TEXT(B348,"DDD"))</f>
        <v/>
      </c>
      <c r="D348" s="93">
        <f>IF(B348="","","Soft App")</f>
        <v/>
      </c>
      <c r="E348" s="94" t="n"/>
      <c r="F348" s="95" t="n"/>
      <c r="G348" s="96">
        <f>IFERROR(E348/F348,0)</f>
        <v/>
      </c>
      <c r="H348" s="97">
        <f>IFERROR(SUMIF('💸 Expenses'!B9:B508,B348,'💸 Expenses'!F9:F508),0)</f>
        <v/>
      </c>
      <c r="I348" s="98">
        <f>IFERROR(E348-H348,0)</f>
        <v/>
      </c>
      <c r="J348" s="99">
        <f>IFERROR(I348/E348,0)</f>
        <v/>
      </c>
      <c r="K348" s="100" t="n"/>
      <c r="L348" s="60">
        <f>IFERROR(L347+E348,0)</f>
        <v/>
      </c>
      <c r="M348" s="63">
        <f>IFERROR(M347+H348,0)</f>
        <v/>
      </c>
      <c r="N348" s="101">
        <f>IFERROR(L348-M348,0)</f>
        <v/>
      </c>
      <c r="O348" s="102">
        <f>IFERROR(SUMIF(B8:B348,"&gt;="&amp;(B348-WEEKDAY(B348,2)+1),E8:E348),0)</f>
        <v/>
      </c>
      <c r="P348" s="103">
        <f>IFERROR(SUMIF(B8:B348,"&gt;="&amp;(B348-WEEKDAY(B348,2)+1),H8:H348),0)</f>
        <v/>
      </c>
      <c r="Q348" s="101">
        <f>IFERROR(O348-P348,0)</f>
        <v/>
      </c>
    </row>
    <row r="349" ht="16.5" customHeight="1">
      <c r="B349" s="91" t="n"/>
      <c r="C349" s="104">
        <f>IF(B349="","",TEXT(B349,"DDD"))</f>
        <v/>
      </c>
      <c r="D349" s="105">
        <f>IF(B349="","","Soft App")</f>
        <v/>
      </c>
      <c r="E349" s="106" t="n"/>
      <c r="F349" s="107" t="n"/>
      <c r="G349" s="108">
        <f>IFERROR(E349/F349,0)</f>
        <v/>
      </c>
      <c r="H349" s="109">
        <f>IFERROR(SUMIF('💸 Expenses'!B9:B508,B349,'💸 Expenses'!F9:F508),0)</f>
        <v/>
      </c>
      <c r="I349" s="110">
        <f>IFERROR(E349-H349,0)</f>
        <v/>
      </c>
      <c r="J349" s="111">
        <f>IFERROR(I349/E349,0)</f>
        <v/>
      </c>
      <c r="K349" s="112" t="n"/>
      <c r="L349" s="69">
        <f>IFERROR(L348+E349,0)</f>
        <v/>
      </c>
      <c r="M349" s="72">
        <f>IFERROR(M348+H349,0)</f>
        <v/>
      </c>
      <c r="N349" s="113">
        <f>IFERROR(L349-M349,0)</f>
        <v/>
      </c>
      <c r="O349" s="114">
        <f>IFERROR(SUMIF(B8:B349,"&gt;="&amp;(B349-WEEKDAY(B349,2)+1),E8:E349),0)</f>
        <v/>
      </c>
      <c r="P349" s="115">
        <f>IFERROR(SUMIF(B8:B349,"&gt;="&amp;(B349-WEEKDAY(B349,2)+1),H8:H349),0)</f>
        <v/>
      </c>
      <c r="Q349" s="113">
        <f>IFERROR(O349-P349,0)</f>
        <v/>
      </c>
    </row>
    <row r="350" ht="16.5" customHeight="1">
      <c r="B350" s="91" t="n"/>
      <c r="C350" s="92">
        <f>IF(B350="","",TEXT(B350,"DDD"))</f>
        <v/>
      </c>
      <c r="D350" s="93">
        <f>IF(B350="","","Soft App")</f>
        <v/>
      </c>
      <c r="E350" s="94" t="n"/>
      <c r="F350" s="95" t="n"/>
      <c r="G350" s="96">
        <f>IFERROR(E350/F350,0)</f>
        <v/>
      </c>
      <c r="H350" s="97">
        <f>IFERROR(SUMIF('💸 Expenses'!B9:B508,B350,'💸 Expenses'!F9:F508),0)</f>
        <v/>
      </c>
      <c r="I350" s="98">
        <f>IFERROR(E350-H350,0)</f>
        <v/>
      </c>
      <c r="J350" s="99">
        <f>IFERROR(I350/E350,0)</f>
        <v/>
      </c>
      <c r="K350" s="100" t="n"/>
      <c r="L350" s="60">
        <f>IFERROR(L349+E350,0)</f>
        <v/>
      </c>
      <c r="M350" s="63">
        <f>IFERROR(M349+H350,0)</f>
        <v/>
      </c>
      <c r="N350" s="101">
        <f>IFERROR(L350-M350,0)</f>
        <v/>
      </c>
      <c r="O350" s="102">
        <f>IFERROR(SUMIF(B8:B350,"&gt;="&amp;(B350-WEEKDAY(B350,2)+1),E8:E350),0)</f>
        <v/>
      </c>
      <c r="P350" s="103">
        <f>IFERROR(SUMIF(B8:B350,"&gt;="&amp;(B350-WEEKDAY(B350,2)+1),H8:H350),0)</f>
        <v/>
      </c>
      <c r="Q350" s="101">
        <f>IFERROR(O350-P350,0)</f>
        <v/>
      </c>
    </row>
    <row r="351" ht="16.5" customHeight="1">
      <c r="B351" s="91" t="n"/>
      <c r="C351" s="104">
        <f>IF(B351="","",TEXT(B351,"DDD"))</f>
        <v/>
      </c>
      <c r="D351" s="105">
        <f>IF(B351="","","Soft App")</f>
        <v/>
      </c>
      <c r="E351" s="106" t="n"/>
      <c r="F351" s="107" t="n"/>
      <c r="G351" s="108">
        <f>IFERROR(E351/F351,0)</f>
        <v/>
      </c>
      <c r="H351" s="109">
        <f>IFERROR(SUMIF('💸 Expenses'!B9:B508,B351,'💸 Expenses'!F9:F508),0)</f>
        <v/>
      </c>
      <c r="I351" s="110">
        <f>IFERROR(E351-H351,0)</f>
        <v/>
      </c>
      <c r="J351" s="111">
        <f>IFERROR(I351/E351,0)</f>
        <v/>
      </c>
      <c r="K351" s="112" t="n"/>
      <c r="L351" s="69">
        <f>IFERROR(L350+E351,0)</f>
        <v/>
      </c>
      <c r="M351" s="72">
        <f>IFERROR(M350+H351,0)</f>
        <v/>
      </c>
      <c r="N351" s="113">
        <f>IFERROR(L351-M351,0)</f>
        <v/>
      </c>
      <c r="O351" s="114">
        <f>IFERROR(SUMIF(B8:B351,"&gt;="&amp;(B351-WEEKDAY(B351,2)+1),E8:E351),0)</f>
        <v/>
      </c>
      <c r="P351" s="115">
        <f>IFERROR(SUMIF(B8:B351,"&gt;="&amp;(B351-WEEKDAY(B351,2)+1),H8:H351),0)</f>
        <v/>
      </c>
      <c r="Q351" s="113">
        <f>IFERROR(O351-P351,0)</f>
        <v/>
      </c>
    </row>
    <row r="352" ht="16.5" customHeight="1">
      <c r="B352" s="91" t="n"/>
      <c r="C352" s="92">
        <f>IF(B352="","",TEXT(B352,"DDD"))</f>
        <v/>
      </c>
      <c r="D352" s="93">
        <f>IF(B352="","","Soft App")</f>
        <v/>
      </c>
      <c r="E352" s="94" t="n"/>
      <c r="F352" s="95" t="n"/>
      <c r="G352" s="96">
        <f>IFERROR(E352/F352,0)</f>
        <v/>
      </c>
      <c r="H352" s="97">
        <f>IFERROR(SUMIF('💸 Expenses'!B9:B508,B352,'💸 Expenses'!F9:F508),0)</f>
        <v/>
      </c>
      <c r="I352" s="98">
        <f>IFERROR(E352-H352,0)</f>
        <v/>
      </c>
      <c r="J352" s="99">
        <f>IFERROR(I352/E352,0)</f>
        <v/>
      </c>
      <c r="K352" s="100" t="n"/>
      <c r="L352" s="60">
        <f>IFERROR(L351+E352,0)</f>
        <v/>
      </c>
      <c r="M352" s="63">
        <f>IFERROR(M351+H352,0)</f>
        <v/>
      </c>
      <c r="N352" s="101">
        <f>IFERROR(L352-M352,0)</f>
        <v/>
      </c>
      <c r="O352" s="102">
        <f>IFERROR(SUMIF(B8:B352,"&gt;="&amp;(B352-WEEKDAY(B352,2)+1),E8:E352),0)</f>
        <v/>
      </c>
      <c r="P352" s="103">
        <f>IFERROR(SUMIF(B8:B352,"&gt;="&amp;(B352-WEEKDAY(B352,2)+1),H8:H352),0)</f>
        <v/>
      </c>
      <c r="Q352" s="101">
        <f>IFERROR(O352-P352,0)</f>
        <v/>
      </c>
    </row>
    <row r="353" ht="16.5" customHeight="1">
      <c r="B353" s="91" t="n"/>
      <c r="C353" s="104">
        <f>IF(B353="","",TEXT(B353,"DDD"))</f>
        <v/>
      </c>
      <c r="D353" s="105">
        <f>IF(B353="","","Soft App")</f>
        <v/>
      </c>
      <c r="E353" s="106" t="n"/>
      <c r="F353" s="107" t="n"/>
      <c r="G353" s="108">
        <f>IFERROR(E353/F353,0)</f>
        <v/>
      </c>
      <c r="H353" s="109">
        <f>IFERROR(SUMIF('💸 Expenses'!B9:B508,B353,'💸 Expenses'!F9:F508),0)</f>
        <v/>
      </c>
      <c r="I353" s="110">
        <f>IFERROR(E353-H353,0)</f>
        <v/>
      </c>
      <c r="J353" s="111">
        <f>IFERROR(I353/E353,0)</f>
        <v/>
      </c>
      <c r="K353" s="112" t="n"/>
      <c r="L353" s="69">
        <f>IFERROR(L352+E353,0)</f>
        <v/>
      </c>
      <c r="M353" s="72">
        <f>IFERROR(M352+H353,0)</f>
        <v/>
      </c>
      <c r="N353" s="113">
        <f>IFERROR(L353-M353,0)</f>
        <v/>
      </c>
      <c r="O353" s="114">
        <f>IFERROR(SUMIF(B8:B353,"&gt;="&amp;(B353-WEEKDAY(B353,2)+1),E8:E353),0)</f>
        <v/>
      </c>
      <c r="P353" s="115">
        <f>IFERROR(SUMIF(B8:B353,"&gt;="&amp;(B353-WEEKDAY(B353,2)+1),H8:H353),0)</f>
        <v/>
      </c>
      <c r="Q353" s="113">
        <f>IFERROR(O353-P353,0)</f>
        <v/>
      </c>
    </row>
    <row r="354" ht="16.5" customHeight="1">
      <c r="B354" s="91" t="n"/>
      <c r="C354" s="92">
        <f>IF(B354="","",TEXT(B354,"DDD"))</f>
        <v/>
      </c>
      <c r="D354" s="93">
        <f>IF(B354="","","Soft App")</f>
        <v/>
      </c>
      <c r="E354" s="94" t="n"/>
      <c r="F354" s="95" t="n"/>
      <c r="G354" s="96">
        <f>IFERROR(E354/F354,0)</f>
        <v/>
      </c>
      <c r="H354" s="97">
        <f>IFERROR(SUMIF('💸 Expenses'!B9:B508,B354,'💸 Expenses'!F9:F508),0)</f>
        <v/>
      </c>
      <c r="I354" s="98">
        <f>IFERROR(E354-H354,0)</f>
        <v/>
      </c>
      <c r="J354" s="99">
        <f>IFERROR(I354/E354,0)</f>
        <v/>
      </c>
      <c r="K354" s="100" t="n"/>
      <c r="L354" s="60">
        <f>IFERROR(L353+E354,0)</f>
        <v/>
      </c>
      <c r="M354" s="63">
        <f>IFERROR(M353+H354,0)</f>
        <v/>
      </c>
      <c r="N354" s="101">
        <f>IFERROR(L354-M354,0)</f>
        <v/>
      </c>
      <c r="O354" s="102">
        <f>IFERROR(SUMIF(B8:B354,"&gt;="&amp;(B354-WEEKDAY(B354,2)+1),E8:E354),0)</f>
        <v/>
      </c>
      <c r="P354" s="103">
        <f>IFERROR(SUMIF(B8:B354,"&gt;="&amp;(B354-WEEKDAY(B354,2)+1),H8:H354),0)</f>
        <v/>
      </c>
      <c r="Q354" s="101">
        <f>IFERROR(O354-P354,0)</f>
        <v/>
      </c>
    </row>
    <row r="355" ht="16.5" customHeight="1">
      <c r="B355" s="91" t="n"/>
      <c r="C355" s="104">
        <f>IF(B355="","",TEXT(B355,"DDD"))</f>
        <v/>
      </c>
      <c r="D355" s="105">
        <f>IF(B355="","","Soft App")</f>
        <v/>
      </c>
      <c r="E355" s="106" t="n"/>
      <c r="F355" s="107" t="n"/>
      <c r="G355" s="108">
        <f>IFERROR(E355/F355,0)</f>
        <v/>
      </c>
      <c r="H355" s="109">
        <f>IFERROR(SUMIF('💸 Expenses'!B9:B508,B355,'💸 Expenses'!F9:F508),0)</f>
        <v/>
      </c>
      <c r="I355" s="110">
        <f>IFERROR(E355-H355,0)</f>
        <v/>
      </c>
      <c r="J355" s="111">
        <f>IFERROR(I355/E355,0)</f>
        <v/>
      </c>
      <c r="K355" s="112" t="n"/>
      <c r="L355" s="69">
        <f>IFERROR(L354+E355,0)</f>
        <v/>
      </c>
      <c r="M355" s="72">
        <f>IFERROR(M354+H355,0)</f>
        <v/>
      </c>
      <c r="N355" s="113">
        <f>IFERROR(L355-M355,0)</f>
        <v/>
      </c>
      <c r="O355" s="114">
        <f>IFERROR(SUMIF(B8:B355,"&gt;="&amp;(B355-WEEKDAY(B355,2)+1),E8:E355),0)</f>
        <v/>
      </c>
      <c r="P355" s="115">
        <f>IFERROR(SUMIF(B8:B355,"&gt;="&amp;(B355-WEEKDAY(B355,2)+1),H8:H355),0)</f>
        <v/>
      </c>
      <c r="Q355" s="113">
        <f>IFERROR(O355-P355,0)</f>
        <v/>
      </c>
    </row>
    <row r="356" ht="16.5" customHeight="1">
      <c r="B356" s="91" t="n"/>
      <c r="C356" s="92">
        <f>IF(B356="","",TEXT(B356,"DDD"))</f>
        <v/>
      </c>
      <c r="D356" s="93">
        <f>IF(B356="","","Soft App")</f>
        <v/>
      </c>
      <c r="E356" s="94" t="n"/>
      <c r="F356" s="95" t="n"/>
      <c r="G356" s="96">
        <f>IFERROR(E356/F356,0)</f>
        <v/>
      </c>
      <c r="H356" s="97">
        <f>IFERROR(SUMIF('💸 Expenses'!B9:B508,B356,'💸 Expenses'!F9:F508),0)</f>
        <v/>
      </c>
      <c r="I356" s="98">
        <f>IFERROR(E356-H356,0)</f>
        <v/>
      </c>
      <c r="J356" s="99">
        <f>IFERROR(I356/E356,0)</f>
        <v/>
      </c>
      <c r="K356" s="100" t="n"/>
      <c r="L356" s="60">
        <f>IFERROR(L355+E356,0)</f>
        <v/>
      </c>
      <c r="M356" s="63">
        <f>IFERROR(M355+H356,0)</f>
        <v/>
      </c>
      <c r="N356" s="101">
        <f>IFERROR(L356-M356,0)</f>
        <v/>
      </c>
      <c r="O356" s="102">
        <f>IFERROR(SUMIF(B8:B356,"&gt;="&amp;(B356-WEEKDAY(B356,2)+1),E8:E356),0)</f>
        <v/>
      </c>
      <c r="P356" s="103">
        <f>IFERROR(SUMIF(B8:B356,"&gt;="&amp;(B356-WEEKDAY(B356,2)+1),H8:H356),0)</f>
        <v/>
      </c>
      <c r="Q356" s="101">
        <f>IFERROR(O356-P356,0)</f>
        <v/>
      </c>
    </row>
    <row r="357" ht="16.5" customHeight="1">
      <c r="B357" s="91" t="n"/>
      <c r="C357" s="104">
        <f>IF(B357="","",TEXT(B357,"DDD"))</f>
        <v/>
      </c>
      <c r="D357" s="105">
        <f>IF(B357="","","Soft App")</f>
        <v/>
      </c>
      <c r="E357" s="106" t="n"/>
      <c r="F357" s="107" t="n"/>
      <c r="G357" s="108">
        <f>IFERROR(E357/F357,0)</f>
        <v/>
      </c>
      <c r="H357" s="109">
        <f>IFERROR(SUMIF('💸 Expenses'!B9:B508,B357,'💸 Expenses'!F9:F508),0)</f>
        <v/>
      </c>
      <c r="I357" s="110">
        <f>IFERROR(E357-H357,0)</f>
        <v/>
      </c>
      <c r="J357" s="111">
        <f>IFERROR(I357/E357,0)</f>
        <v/>
      </c>
      <c r="K357" s="112" t="n"/>
      <c r="L357" s="69">
        <f>IFERROR(L356+E357,0)</f>
        <v/>
      </c>
      <c r="M357" s="72">
        <f>IFERROR(M356+H357,0)</f>
        <v/>
      </c>
      <c r="N357" s="113">
        <f>IFERROR(L357-M357,0)</f>
        <v/>
      </c>
      <c r="O357" s="114">
        <f>IFERROR(SUMIF(B8:B357,"&gt;="&amp;(B357-WEEKDAY(B357,2)+1),E8:E357),0)</f>
        <v/>
      </c>
      <c r="P357" s="115">
        <f>IFERROR(SUMIF(B8:B357,"&gt;="&amp;(B357-WEEKDAY(B357,2)+1),H8:H357),0)</f>
        <v/>
      </c>
      <c r="Q357" s="113">
        <f>IFERROR(O357-P357,0)</f>
        <v/>
      </c>
    </row>
    <row r="358" ht="16.5" customHeight="1">
      <c r="B358" s="91" t="n"/>
      <c r="C358" s="92">
        <f>IF(B358="","",TEXT(B358,"DDD"))</f>
        <v/>
      </c>
      <c r="D358" s="93">
        <f>IF(B358="","","Soft App")</f>
        <v/>
      </c>
      <c r="E358" s="94" t="n"/>
      <c r="F358" s="95" t="n"/>
      <c r="G358" s="96">
        <f>IFERROR(E358/F358,0)</f>
        <v/>
      </c>
      <c r="H358" s="97">
        <f>IFERROR(SUMIF('💸 Expenses'!B9:B508,B358,'💸 Expenses'!F9:F508),0)</f>
        <v/>
      </c>
      <c r="I358" s="98">
        <f>IFERROR(E358-H358,0)</f>
        <v/>
      </c>
      <c r="J358" s="99">
        <f>IFERROR(I358/E358,0)</f>
        <v/>
      </c>
      <c r="K358" s="100" t="n"/>
      <c r="L358" s="60">
        <f>IFERROR(L357+E358,0)</f>
        <v/>
      </c>
      <c r="M358" s="63">
        <f>IFERROR(M357+H358,0)</f>
        <v/>
      </c>
      <c r="N358" s="101">
        <f>IFERROR(L358-M358,0)</f>
        <v/>
      </c>
      <c r="O358" s="102">
        <f>IFERROR(SUMIF(B8:B358,"&gt;="&amp;(B358-WEEKDAY(B358,2)+1),E8:E358),0)</f>
        <v/>
      </c>
      <c r="P358" s="103">
        <f>IFERROR(SUMIF(B8:B358,"&gt;="&amp;(B358-WEEKDAY(B358,2)+1),H8:H358),0)</f>
        <v/>
      </c>
      <c r="Q358" s="101">
        <f>IFERROR(O358-P358,0)</f>
        <v/>
      </c>
    </row>
    <row r="359" ht="16.5" customHeight="1">
      <c r="B359" s="91" t="n"/>
      <c r="C359" s="104">
        <f>IF(B359="","",TEXT(B359,"DDD"))</f>
        <v/>
      </c>
      <c r="D359" s="105">
        <f>IF(B359="","","Soft App")</f>
        <v/>
      </c>
      <c r="E359" s="106" t="n"/>
      <c r="F359" s="107" t="n"/>
      <c r="G359" s="108">
        <f>IFERROR(E359/F359,0)</f>
        <v/>
      </c>
      <c r="H359" s="109">
        <f>IFERROR(SUMIF('💸 Expenses'!B9:B508,B359,'💸 Expenses'!F9:F508),0)</f>
        <v/>
      </c>
      <c r="I359" s="110">
        <f>IFERROR(E359-H359,0)</f>
        <v/>
      </c>
      <c r="J359" s="111">
        <f>IFERROR(I359/E359,0)</f>
        <v/>
      </c>
      <c r="K359" s="112" t="n"/>
      <c r="L359" s="69">
        <f>IFERROR(L358+E359,0)</f>
        <v/>
      </c>
      <c r="M359" s="72">
        <f>IFERROR(M358+H359,0)</f>
        <v/>
      </c>
      <c r="N359" s="113">
        <f>IFERROR(L359-M359,0)</f>
        <v/>
      </c>
      <c r="O359" s="114">
        <f>IFERROR(SUMIF(B8:B359,"&gt;="&amp;(B359-WEEKDAY(B359,2)+1),E8:E359),0)</f>
        <v/>
      </c>
      <c r="P359" s="115">
        <f>IFERROR(SUMIF(B8:B359,"&gt;="&amp;(B359-WEEKDAY(B359,2)+1),H8:H359),0)</f>
        <v/>
      </c>
      <c r="Q359" s="113">
        <f>IFERROR(O359-P359,0)</f>
        <v/>
      </c>
    </row>
    <row r="360" ht="16.5" customHeight="1">
      <c r="B360" s="91" t="n"/>
      <c r="C360" s="92">
        <f>IF(B360="","",TEXT(B360,"DDD"))</f>
        <v/>
      </c>
      <c r="D360" s="93">
        <f>IF(B360="","","Soft App")</f>
        <v/>
      </c>
      <c r="E360" s="94" t="n"/>
      <c r="F360" s="95" t="n"/>
      <c r="G360" s="96">
        <f>IFERROR(E360/F360,0)</f>
        <v/>
      </c>
      <c r="H360" s="97">
        <f>IFERROR(SUMIF('💸 Expenses'!B9:B508,B360,'💸 Expenses'!F9:F508),0)</f>
        <v/>
      </c>
      <c r="I360" s="98">
        <f>IFERROR(E360-H360,0)</f>
        <v/>
      </c>
      <c r="J360" s="99">
        <f>IFERROR(I360/E360,0)</f>
        <v/>
      </c>
      <c r="K360" s="100" t="n"/>
      <c r="L360" s="60">
        <f>IFERROR(L359+E360,0)</f>
        <v/>
      </c>
      <c r="M360" s="63">
        <f>IFERROR(M359+H360,0)</f>
        <v/>
      </c>
      <c r="N360" s="101">
        <f>IFERROR(L360-M360,0)</f>
        <v/>
      </c>
      <c r="O360" s="102">
        <f>IFERROR(SUMIF(B8:B360,"&gt;="&amp;(B360-WEEKDAY(B360,2)+1),E8:E360),0)</f>
        <v/>
      </c>
      <c r="P360" s="103">
        <f>IFERROR(SUMIF(B8:B360,"&gt;="&amp;(B360-WEEKDAY(B360,2)+1),H8:H360),0)</f>
        <v/>
      </c>
      <c r="Q360" s="101">
        <f>IFERROR(O360-P360,0)</f>
        <v/>
      </c>
    </row>
    <row r="361" ht="16.5" customHeight="1">
      <c r="B361" s="91" t="n"/>
      <c r="C361" s="104">
        <f>IF(B361="","",TEXT(B361,"DDD"))</f>
        <v/>
      </c>
      <c r="D361" s="105">
        <f>IF(B361="","","Soft App")</f>
        <v/>
      </c>
      <c r="E361" s="106" t="n"/>
      <c r="F361" s="107" t="n"/>
      <c r="G361" s="108">
        <f>IFERROR(E361/F361,0)</f>
        <v/>
      </c>
      <c r="H361" s="109">
        <f>IFERROR(SUMIF('💸 Expenses'!B9:B508,B361,'💸 Expenses'!F9:F508),0)</f>
        <v/>
      </c>
      <c r="I361" s="110">
        <f>IFERROR(E361-H361,0)</f>
        <v/>
      </c>
      <c r="J361" s="111">
        <f>IFERROR(I361/E361,0)</f>
        <v/>
      </c>
      <c r="K361" s="112" t="n"/>
      <c r="L361" s="69">
        <f>IFERROR(L360+E361,0)</f>
        <v/>
      </c>
      <c r="M361" s="72">
        <f>IFERROR(M360+H361,0)</f>
        <v/>
      </c>
      <c r="N361" s="113">
        <f>IFERROR(L361-M361,0)</f>
        <v/>
      </c>
      <c r="O361" s="114">
        <f>IFERROR(SUMIF(B8:B361,"&gt;="&amp;(B361-WEEKDAY(B361,2)+1),E8:E361),0)</f>
        <v/>
      </c>
      <c r="P361" s="115">
        <f>IFERROR(SUMIF(B8:B361,"&gt;="&amp;(B361-WEEKDAY(B361,2)+1),H8:H361),0)</f>
        <v/>
      </c>
      <c r="Q361" s="113">
        <f>IFERROR(O361-P361,0)</f>
        <v/>
      </c>
    </row>
    <row r="362" ht="16.5" customHeight="1">
      <c r="B362" s="91" t="n"/>
      <c r="C362" s="92">
        <f>IF(B362="","",TEXT(B362,"DDD"))</f>
        <v/>
      </c>
      <c r="D362" s="93">
        <f>IF(B362="","","Soft App")</f>
        <v/>
      </c>
      <c r="E362" s="94" t="n"/>
      <c r="F362" s="95" t="n"/>
      <c r="G362" s="96">
        <f>IFERROR(E362/F362,0)</f>
        <v/>
      </c>
      <c r="H362" s="97">
        <f>IFERROR(SUMIF('💸 Expenses'!B9:B508,B362,'💸 Expenses'!F9:F508),0)</f>
        <v/>
      </c>
      <c r="I362" s="98">
        <f>IFERROR(E362-H362,0)</f>
        <v/>
      </c>
      <c r="J362" s="99">
        <f>IFERROR(I362/E362,0)</f>
        <v/>
      </c>
      <c r="K362" s="100" t="n"/>
      <c r="L362" s="60">
        <f>IFERROR(L361+E362,0)</f>
        <v/>
      </c>
      <c r="M362" s="63">
        <f>IFERROR(M361+H362,0)</f>
        <v/>
      </c>
      <c r="N362" s="101">
        <f>IFERROR(L362-M362,0)</f>
        <v/>
      </c>
      <c r="O362" s="102">
        <f>IFERROR(SUMIF(B8:B362,"&gt;="&amp;(B362-WEEKDAY(B362,2)+1),E8:E362),0)</f>
        <v/>
      </c>
      <c r="P362" s="103">
        <f>IFERROR(SUMIF(B8:B362,"&gt;="&amp;(B362-WEEKDAY(B362,2)+1),H8:H362),0)</f>
        <v/>
      </c>
      <c r="Q362" s="101">
        <f>IFERROR(O362-P362,0)</f>
        <v/>
      </c>
    </row>
    <row r="363" ht="16.5" customHeight="1">
      <c r="B363" s="91" t="n"/>
      <c r="C363" s="104">
        <f>IF(B363="","",TEXT(B363,"DDD"))</f>
        <v/>
      </c>
      <c r="D363" s="105">
        <f>IF(B363="","","Soft App")</f>
        <v/>
      </c>
      <c r="E363" s="106" t="n"/>
      <c r="F363" s="107" t="n"/>
      <c r="G363" s="108">
        <f>IFERROR(E363/F363,0)</f>
        <v/>
      </c>
      <c r="H363" s="109">
        <f>IFERROR(SUMIF('💸 Expenses'!B9:B508,B363,'💸 Expenses'!F9:F508),0)</f>
        <v/>
      </c>
      <c r="I363" s="110">
        <f>IFERROR(E363-H363,0)</f>
        <v/>
      </c>
      <c r="J363" s="111">
        <f>IFERROR(I363/E363,0)</f>
        <v/>
      </c>
      <c r="K363" s="112" t="n"/>
      <c r="L363" s="69">
        <f>IFERROR(L362+E363,0)</f>
        <v/>
      </c>
      <c r="M363" s="72">
        <f>IFERROR(M362+H363,0)</f>
        <v/>
      </c>
      <c r="N363" s="113">
        <f>IFERROR(L363-M363,0)</f>
        <v/>
      </c>
      <c r="O363" s="114">
        <f>IFERROR(SUMIF(B8:B363,"&gt;="&amp;(B363-WEEKDAY(B363,2)+1),E8:E363),0)</f>
        <v/>
      </c>
      <c r="P363" s="115">
        <f>IFERROR(SUMIF(B8:B363,"&gt;="&amp;(B363-WEEKDAY(B363,2)+1),H8:H363),0)</f>
        <v/>
      </c>
      <c r="Q363" s="113">
        <f>IFERROR(O363-P363,0)</f>
        <v/>
      </c>
    </row>
    <row r="364" ht="16.5" customHeight="1">
      <c r="B364" s="91" t="n"/>
      <c r="C364" s="92">
        <f>IF(B364="","",TEXT(B364,"DDD"))</f>
        <v/>
      </c>
      <c r="D364" s="93">
        <f>IF(B364="","","Soft App")</f>
        <v/>
      </c>
      <c r="E364" s="94" t="n"/>
      <c r="F364" s="95" t="n"/>
      <c r="G364" s="96">
        <f>IFERROR(E364/F364,0)</f>
        <v/>
      </c>
      <c r="H364" s="97">
        <f>IFERROR(SUMIF('💸 Expenses'!B9:B508,B364,'💸 Expenses'!F9:F508),0)</f>
        <v/>
      </c>
      <c r="I364" s="98">
        <f>IFERROR(E364-H364,0)</f>
        <v/>
      </c>
      <c r="J364" s="99">
        <f>IFERROR(I364/E364,0)</f>
        <v/>
      </c>
      <c r="K364" s="100" t="n"/>
      <c r="L364" s="60">
        <f>IFERROR(L363+E364,0)</f>
        <v/>
      </c>
      <c r="M364" s="63">
        <f>IFERROR(M363+H364,0)</f>
        <v/>
      </c>
      <c r="N364" s="101">
        <f>IFERROR(L364-M364,0)</f>
        <v/>
      </c>
      <c r="O364" s="102">
        <f>IFERROR(SUMIF(B8:B364,"&gt;="&amp;(B364-WEEKDAY(B364,2)+1),E8:E364),0)</f>
        <v/>
      </c>
      <c r="P364" s="103">
        <f>IFERROR(SUMIF(B8:B364,"&gt;="&amp;(B364-WEEKDAY(B364,2)+1),H8:H364),0)</f>
        <v/>
      </c>
      <c r="Q364" s="101">
        <f>IFERROR(O364-P364,0)</f>
        <v/>
      </c>
    </row>
    <row r="365" ht="16.5" customHeight="1">
      <c r="B365" s="91" t="n"/>
      <c r="C365" s="104">
        <f>IF(B365="","",TEXT(B365,"DDD"))</f>
        <v/>
      </c>
      <c r="D365" s="105">
        <f>IF(B365="","","Soft App")</f>
        <v/>
      </c>
      <c r="E365" s="106" t="n"/>
      <c r="F365" s="107" t="n"/>
      <c r="G365" s="108">
        <f>IFERROR(E365/F365,0)</f>
        <v/>
      </c>
      <c r="H365" s="109">
        <f>IFERROR(SUMIF('💸 Expenses'!B9:B508,B365,'💸 Expenses'!F9:F508),0)</f>
        <v/>
      </c>
      <c r="I365" s="110">
        <f>IFERROR(E365-H365,0)</f>
        <v/>
      </c>
      <c r="J365" s="111">
        <f>IFERROR(I365/E365,0)</f>
        <v/>
      </c>
      <c r="K365" s="112" t="n"/>
      <c r="L365" s="69">
        <f>IFERROR(L364+E365,0)</f>
        <v/>
      </c>
      <c r="M365" s="72">
        <f>IFERROR(M364+H365,0)</f>
        <v/>
      </c>
      <c r="N365" s="113">
        <f>IFERROR(L365-M365,0)</f>
        <v/>
      </c>
      <c r="O365" s="114">
        <f>IFERROR(SUMIF(B8:B365,"&gt;="&amp;(B365-WEEKDAY(B365,2)+1),E8:E365),0)</f>
        <v/>
      </c>
      <c r="P365" s="115">
        <f>IFERROR(SUMIF(B8:B365,"&gt;="&amp;(B365-WEEKDAY(B365,2)+1),H8:H365),0)</f>
        <v/>
      </c>
      <c r="Q365" s="113">
        <f>IFERROR(O365-P365,0)</f>
        <v/>
      </c>
    </row>
    <row r="366" ht="16.5" customHeight="1">
      <c r="B366" s="91" t="n"/>
      <c r="C366" s="92">
        <f>IF(B366="","",TEXT(B366,"DDD"))</f>
        <v/>
      </c>
      <c r="D366" s="93">
        <f>IF(B366="","","Soft App")</f>
        <v/>
      </c>
      <c r="E366" s="94" t="n"/>
      <c r="F366" s="95" t="n"/>
      <c r="G366" s="96">
        <f>IFERROR(E366/F366,0)</f>
        <v/>
      </c>
      <c r="H366" s="97">
        <f>IFERROR(SUMIF('💸 Expenses'!B9:B508,B366,'💸 Expenses'!F9:F508),0)</f>
        <v/>
      </c>
      <c r="I366" s="98">
        <f>IFERROR(E366-H366,0)</f>
        <v/>
      </c>
      <c r="J366" s="99">
        <f>IFERROR(I366/E366,0)</f>
        <v/>
      </c>
      <c r="K366" s="100" t="n"/>
      <c r="L366" s="60">
        <f>IFERROR(L365+E366,0)</f>
        <v/>
      </c>
      <c r="M366" s="63">
        <f>IFERROR(M365+H366,0)</f>
        <v/>
      </c>
      <c r="N366" s="101">
        <f>IFERROR(L366-M366,0)</f>
        <v/>
      </c>
      <c r="O366" s="102">
        <f>IFERROR(SUMIF(B8:B366,"&gt;="&amp;(B366-WEEKDAY(B366,2)+1),E8:E366),0)</f>
        <v/>
      </c>
      <c r="P366" s="103">
        <f>IFERROR(SUMIF(B8:B366,"&gt;="&amp;(B366-WEEKDAY(B366,2)+1),H8:H366),0)</f>
        <v/>
      </c>
      <c r="Q366" s="101">
        <f>IFERROR(O366-P366,0)</f>
        <v/>
      </c>
    </row>
    <row r="367" ht="16.5" customHeight="1">
      <c r="B367" s="91" t="n"/>
      <c r="C367" s="104">
        <f>IF(B367="","",TEXT(B367,"DDD"))</f>
        <v/>
      </c>
      <c r="D367" s="105">
        <f>IF(B367="","","Soft App")</f>
        <v/>
      </c>
      <c r="E367" s="106" t="n"/>
      <c r="F367" s="107" t="n"/>
      <c r="G367" s="108">
        <f>IFERROR(E367/F367,0)</f>
        <v/>
      </c>
      <c r="H367" s="109">
        <f>IFERROR(SUMIF('💸 Expenses'!B9:B508,B367,'💸 Expenses'!F9:F508),0)</f>
        <v/>
      </c>
      <c r="I367" s="110">
        <f>IFERROR(E367-H367,0)</f>
        <v/>
      </c>
      <c r="J367" s="111">
        <f>IFERROR(I367/E367,0)</f>
        <v/>
      </c>
      <c r="K367" s="112" t="n"/>
      <c r="L367" s="69">
        <f>IFERROR(L366+E367,0)</f>
        <v/>
      </c>
      <c r="M367" s="72">
        <f>IFERROR(M366+H367,0)</f>
        <v/>
      </c>
      <c r="N367" s="113">
        <f>IFERROR(L367-M367,0)</f>
        <v/>
      </c>
      <c r="O367" s="114">
        <f>IFERROR(SUMIF(B8:B367,"&gt;="&amp;(B367-WEEKDAY(B367,2)+1),E8:E367),0)</f>
        <v/>
      </c>
      <c r="P367" s="115">
        <f>IFERROR(SUMIF(B8:B367,"&gt;="&amp;(B367-WEEKDAY(B367,2)+1),H8:H367),0)</f>
        <v/>
      </c>
      <c r="Q367" s="113">
        <f>IFERROR(O367-P367,0)</f>
        <v/>
      </c>
    </row>
    <row r="368" ht="16.5" customHeight="1">
      <c r="B368" s="91" t="n"/>
      <c r="C368" s="92">
        <f>IF(B368="","",TEXT(B368,"DDD"))</f>
        <v/>
      </c>
      <c r="D368" s="93">
        <f>IF(B368="","","Soft App")</f>
        <v/>
      </c>
      <c r="E368" s="94" t="n"/>
      <c r="F368" s="95" t="n"/>
      <c r="G368" s="96">
        <f>IFERROR(E368/F368,0)</f>
        <v/>
      </c>
      <c r="H368" s="97">
        <f>IFERROR(SUMIF('💸 Expenses'!B9:B508,B368,'💸 Expenses'!F9:F508),0)</f>
        <v/>
      </c>
      <c r="I368" s="98">
        <f>IFERROR(E368-H368,0)</f>
        <v/>
      </c>
      <c r="J368" s="99">
        <f>IFERROR(I368/E368,0)</f>
        <v/>
      </c>
      <c r="K368" s="100" t="n"/>
      <c r="L368" s="60">
        <f>IFERROR(L367+E368,0)</f>
        <v/>
      </c>
      <c r="M368" s="63">
        <f>IFERROR(M367+H368,0)</f>
        <v/>
      </c>
      <c r="N368" s="101">
        <f>IFERROR(L368-M368,0)</f>
        <v/>
      </c>
      <c r="O368" s="102">
        <f>IFERROR(SUMIF(B8:B368,"&gt;="&amp;(B368-WEEKDAY(B368,2)+1),E8:E368),0)</f>
        <v/>
      </c>
      <c r="P368" s="103">
        <f>IFERROR(SUMIF(B8:B368,"&gt;="&amp;(B368-WEEKDAY(B368,2)+1),H8:H368),0)</f>
        <v/>
      </c>
      <c r="Q368" s="101">
        <f>IFERROR(O368-P368,0)</f>
        <v/>
      </c>
    </row>
    <row r="369" ht="16.5" customHeight="1">
      <c r="B369" s="91" t="n"/>
      <c r="C369" s="104">
        <f>IF(B369="","",TEXT(B369,"DDD"))</f>
        <v/>
      </c>
      <c r="D369" s="105">
        <f>IF(B369="","","Soft App")</f>
        <v/>
      </c>
      <c r="E369" s="106" t="n"/>
      <c r="F369" s="107" t="n"/>
      <c r="G369" s="108">
        <f>IFERROR(E369/F369,0)</f>
        <v/>
      </c>
      <c r="H369" s="109">
        <f>IFERROR(SUMIF('💸 Expenses'!B9:B508,B369,'💸 Expenses'!F9:F508),0)</f>
        <v/>
      </c>
      <c r="I369" s="110">
        <f>IFERROR(E369-H369,0)</f>
        <v/>
      </c>
      <c r="J369" s="111">
        <f>IFERROR(I369/E369,0)</f>
        <v/>
      </c>
      <c r="K369" s="112" t="n"/>
      <c r="L369" s="69">
        <f>IFERROR(L368+E369,0)</f>
        <v/>
      </c>
      <c r="M369" s="72">
        <f>IFERROR(M368+H369,0)</f>
        <v/>
      </c>
      <c r="N369" s="113">
        <f>IFERROR(L369-M369,0)</f>
        <v/>
      </c>
      <c r="O369" s="114">
        <f>IFERROR(SUMIF(B8:B369,"&gt;="&amp;(B369-WEEKDAY(B369,2)+1),E8:E369),0)</f>
        <v/>
      </c>
      <c r="P369" s="115">
        <f>IFERROR(SUMIF(B8:B369,"&gt;="&amp;(B369-WEEKDAY(B369,2)+1),H8:H369),0)</f>
        <v/>
      </c>
      <c r="Q369" s="113">
        <f>IFERROR(O369-P369,0)</f>
        <v/>
      </c>
    </row>
    <row r="370" ht="16.5" customHeight="1">
      <c r="B370" s="91" t="n"/>
      <c r="C370" s="92">
        <f>IF(B370="","",TEXT(B370,"DDD"))</f>
        <v/>
      </c>
      <c r="D370" s="93">
        <f>IF(B370="","","Soft App")</f>
        <v/>
      </c>
      <c r="E370" s="94" t="n"/>
      <c r="F370" s="95" t="n"/>
      <c r="G370" s="96">
        <f>IFERROR(E370/F370,0)</f>
        <v/>
      </c>
      <c r="H370" s="97">
        <f>IFERROR(SUMIF('💸 Expenses'!B9:B508,B370,'💸 Expenses'!F9:F508),0)</f>
        <v/>
      </c>
      <c r="I370" s="98">
        <f>IFERROR(E370-H370,0)</f>
        <v/>
      </c>
      <c r="J370" s="99">
        <f>IFERROR(I370/E370,0)</f>
        <v/>
      </c>
      <c r="K370" s="100" t="n"/>
      <c r="L370" s="60">
        <f>IFERROR(L369+E370,0)</f>
        <v/>
      </c>
      <c r="M370" s="63">
        <f>IFERROR(M369+H370,0)</f>
        <v/>
      </c>
      <c r="N370" s="101">
        <f>IFERROR(L370-M370,0)</f>
        <v/>
      </c>
      <c r="O370" s="102">
        <f>IFERROR(SUMIF(B8:B370,"&gt;="&amp;(B370-WEEKDAY(B370,2)+1),E8:E370),0)</f>
        <v/>
      </c>
      <c r="P370" s="103">
        <f>IFERROR(SUMIF(B8:B370,"&gt;="&amp;(B370-WEEKDAY(B370,2)+1),H8:H370),0)</f>
        <v/>
      </c>
      <c r="Q370" s="101">
        <f>IFERROR(O370-P370,0)</f>
        <v/>
      </c>
    </row>
    <row r="371" ht="16.5" customHeight="1">
      <c r="B371" s="91" t="n"/>
      <c r="C371" s="104">
        <f>IF(B371="","",TEXT(B371,"DDD"))</f>
        <v/>
      </c>
      <c r="D371" s="105">
        <f>IF(B371="","","Soft App")</f>
        <v/>
      </c>
      <c r="E371" s="106" t="n"/>
      <c r="F371" s="107" t="n"/>
      <c r="G371" s="108">
        <f>IFERROR(E371/F371,0)</f>
        <v/>
      </c>
      <c r="H371" s="109">
        <f>IFERROR(SUMIF('💸 Expenses'!B9:B508,B371,'💸 Expenses'!F9:F508),0)</f>
        <v/>
      </c>
      <c r="I371" s="110">
        <f>IFERROR(E371-H371,0)</f>
        <v/>
      </c>
      <c r="J371" s="111">
        <f>IFERROR(I371/E371,0)</f>
        <v/>
      </c>
      <c r="K371" s="112" t="n"/>
      <c r="L371" s="69">
        <f>IFERROR(L370+E371,0)</f>
        <v/>
      </c>
      <c r="M371" s="72">
        <f>IFERROR(M370+H371,0)</f>
        <v/>
      </c>
      <c r="N371" s="113">
        <f>IFERROR(L371-M371,0)</f>
        <v/>
      </c>
      <c r="O371" s="114">
        <f>IFERROR(SUMIF(B8:B371,"&gt;="&amp;(B371-WEEKDAY(B371,2)+1),E8:E371),0)</f>
        <v/>
      </c>
      <c r="P371" s="115">
        <f>IFERROR(SUMIF(B8:B371,"&gt;="&amp;(B371-WEEKDAY(B371,2)+1),H8:H371),0)</f>
        <v/>
      </c>
      <c r="Q371" s="113">
        <f>IFERROR(O371-P371,0)</f>
        <v/>
      </c>
    </row>
    <row r="372" ht="16.5" customHeight="1">
      <c r="B372" s="91" t="n"/>
      <c r="C372" s="92">
        <f>IF(B372="","",TEXT(B372,"DDD"))</f>
        <v/>
      </c>
      <c r="D372" s="93">
        <f>IF(B372="","","Soft App")</f>
        <v/>
      </c>
      <c r="E372" s="94" t="n"/>
      <c r="F372" s="95" t="n"/>
      <c r="G372" s="96">
        <f>IFERROR(E372/F372,0)</f>
        <v/>
      </c>
      <c r="H372" s="97">
        <f>IFERROR(SUMIF('💸 Expenses'!B9:B508,B372,'💸 Expenses'!F9:F508),0)</f>
        <v/>
      </c>
      <c r="I372" s="98">
        <f>IFERROR(E372-H372,0)</f>
        <v/>
      </c>
      <c r="J372" s="99">
        <f>IFERROR(I372/E372,0)</f>
        <v/>
      </c>
      <c r="K372" s="100" t="n"/>
      <c r="L372" s="60">
        <f>IFERROR(L371+E372,0)</f>
        <v/>
      </c>
      <c r="M372" s="63">
        <f>IFERROR(M371+H372,0)</f>
        <v/>
      </c>
      <c r="N372" s="101">
        <f>IFERROR(L372-M372,0)</f>
        <v/>
      </c>
      <c r="O372" s="102">
        <f>IFERROR(SUMIF(B8:B372,"&gt;="&amp;(B372-WEEKDAY(B372,2)+1),E8:E372),0)</f>
        <v/>
      </c>
      <c r="P372" s="103">
        <f>IFERROR(SUMIF(B8:B372,"&gt;="&amp;(B372-WEEKDAY(B372,2)+1),H8:H372),0)</f>
        <v/>
      </c>
      <c r="Q372" s="101">
        <f>IFERROR(O372-P372,0)</f>
        <v/>
      </c>
    </row>
  </sheetData>
  <mergeCells count="4">
    <mergeCell ref="A2:H2"/>
    <mergeCell ref="I2:P2"/>
    <mergeCell ref="A3:P3"/>
    <mergeCell ref="B5:P5"/>
  </mergeCells>
  <conditionalFormatting sqref="I8:I372">
    <cfRule type="expression" priority="2" dxfId="0">
      <formula>I8&lt;0</formula>
    </cfRule>
    <cfRule type="expression" priority="3" dxfId="1">
      <formula>I8&gt;0</formula>
    </cfRule>
  </conditionalFormatting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I509"/>
  <sheetViews>
    <sheetView showGridLines="0" zoomScale="100" zoomScaleNormal="100" workbookViewId="0">
      <pane ySplit="8" topLeftCell="A30" activePane="bottomLeft" state="frozen"/>
      <selection pane="bottomLeft" activeCell="H18" sqref="H18"/>
    </sheetView>
  </sheetViews>
  <sheetFormatPr baseColWidth="8" defaultColWidth="8.6640625" defaultRowHeight="14.4" customHeight="1" outlineLevelRow="0"/>
  <cols>
    <col width="4" customWidth="1" min="1" max="1"/>
    <col width="14" customWidth="1" min="2" max="2"/>
    <col width="24" customWidth="1" min="3" max="3"/>
    <col width="22" customWidth="1" min="4" max="4"/>
    <col width="19.77734375" customWidth="1" min="5" max="5"/>
    <col width="16" customWidth="1" min="6" max="6"/>
    <col width="14" customWidth="1" min="7" max="7"/>
    <col width="16" customWidth="1" min="8" max="8"/>
    <col width="18" customWidth="1" min="9" max="9"/>
  </cols>
  <sheetData>
    <row r="1" ht="4.5" customHeight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37.5" customHeight="1">
      <c r="A2" s="36" t="inlineStr">
        <is>
          <t>💸  LOKA — EXPENSES TRACKER</t>
        </is>
      </c>
      <c r="E2" s="37" t="inlineStr">
        <is>
          <t>Log every cost: ingredients, staff, utilities, supplies…</t>
        </is>
      </c>
    </row>
    <row r="3" ht="3.75" customHeight="1">
      <c r="A3" s="38" t="n"/>
    </row>
    <row r="4" ht="7.5" customHeight="1"/>
    <row r="5" ht="18" customHeight="1">
      <c r="B5" s="116" t="inlineStr">
        <is>
          <t>TODAY</t>
        </is>
      </c>
      <c r="C5" s="116" t="inlineStr">
        <is>
          <t>THIS WEEK</t>
        </is>
      </c>
      <c r="D5" s="116" t="inlineStr">
        <is>
          <t>THIS MONTH</t>
        </is>
      </c>
      <c r="E5" s="116" t="inlineStr">
        <is>
          <t>INGREDIENTS</t>
        </is>
      </c>
      <c r="F5" s="116" t="inlineStr">
        <is>
          <t>STAFF</t>
        </is>
      </c>
      <c r="G5" s="116" t="inlineStr">
        <is>
          <t>UTILITIES</t>
        </is>
      </c>
      <c r="H5" s="116" t="inlineStr">
        <is>
          <t>TODAY TOTAL</t>
        </is>
      </c>
      <c r="I5" s="116" t="inlineStr">
        <is>
          <t>WEEK TOTAL</t>
        </is>
      </c>
    </row>
    <row r="6" ht="25.5" customHeight="1">
      <c r="B6" s="117">
        <f>SUMIF(B9:B508,TODAY(),F9:F508)</f>
        <v/>
      </c>
      <c r="C6" s="118">
        <f>SUMIF(B9:B508,"&gt;="&amp;(TODAY()-WEEKDAY(TODAY(),2)+1),F9:F508)</f>
        <v/>
      </c>
      <c r="D6" s="119">
        <f>SUMIFS(F9:F508,B9:B508,"&gt;="&amp;DATE(YEAR(TODAY()),MONTH(TODAY()),1),B9:B508,"&lt;="&amp;TODAY())</f>
        <v/>
      </c>
      <c r="E6" s="118">
        <f>SUMIF(C9:C508,"Ingredients",F9:F508)</f>
        <v/>
      </c>
      <c r="F6" s="120">
        <f>SUMIF(C9:C508,"Staff",F9:F508)</f>
        <v/>
      </c>
      <c r="G6" s="119">
        <f>SUMIF(C9:C508,"Utilities",F9:F508)</f>
        <v/>
      </c>
      <c r="H6" s="117">
        <f>SUMIF(B9:B508,TODAY(),F9:F508)</f>
        <v/>
      </c>
      <c r="I6" s="117">
        <f>SUMIF(B9:B508,"&gt;="&amp;(TODAY()-WEEKDAY(TODAY(),2)+1),F9:F508)</f>
        <v/>
      </c>
    </row>
    <row r="7" ht="7.5" customHeight="1"/>
    <row r="8" ht="19.5" customHeight="1">
      <c r="B8" s="121" t="inlineStr">
        <is>
          <t>📌  Fill BLUE cells.  Category dropdown provided.  Date links to Daily Log automatically — expenses appear in Net Profit.</t>
        </is>
      </c>
      <c r="C8" s="252" t="n"/>
      <c r="D8" s="252" t="n"/>
      <c r="E8" s="252" t="n"/>
      <c r="F8" s="252" t="n"/>
      <c r="G8" s="252" t="n"/>
      <c r="H8" s="252" t="n"/>
      <c r="I8" s="252" t="n"/>
    </row>
    <row r="9" ht="27.75" customHeight="1">
      <c r="B9" s="55" t="inlineStr">
        <is>
          <t>Date</t>
        </is>
      </c>
      <c r="C9" s="55" t="inlineStr">
        <is>
          <t>Category</t>
        </is>
      </c>
      <c r="D9" s="55" t="inlineStr">
        <is>
          <t>Description / Item</t>
        </is>
      </c>
      <c r="E9" s="55" t="inlineStr">
        <is>
          <t>Supplier / Paid To</t>
        </is>
      </c>
      <c r="F9" s="55" t="inlineStr">
        <is>
          <t>Amount ($)</t>
        </is>
      </c>
      <c r="G9" s="55" t="inlineStr">
        <is>
          <t>Receipt #</t>
        </is>
      </c>
      <c r="H9" s="55" t="inlineStr">
        <is>
          <t>Approved By</t>
        </is>
      </c>
      <c r="I9" s="55" t="inlineStr">
        <is>
          <t>Notes</t>
        </is>
      </c>
    </row>
    <row r="10" ht="15.75" customHeight="1">
      <c r="B10" s="122" t="n">
        <v>46160</v>
      </c>
      <c r="C10" s="123" t="inlineStr">
        <is>
          <t>Ingredients</t>
        </is>
      </c>
      <c r="D10" s="124" t="inlineStr">
        <is>
          <t>Vegetables</t>
        </is>
      </c>
      <c r="E10" s="123" t="inlineStr">
        <is>
          <t>MERCADO</t>
        </is>
      </c>
      <c r="F10" s="125" t="n">
        <v>90</v>
      </c>
      <c r="G10" s="65" t="n"/>
      <c r="H10" s="65" t="n"/>
      <c r="I10" s="100" t="n"/>
    </row>
    <row r="11" ht="15.75" customHeight="1">
      <c r="B11" s="122" t="n">
        <v>46160</v>
      </c>
      <c r="C11" s="123" t="inlineStr">
        <is>
          <t>Ingredients</t>
        </is>
      </c>
      <c r="D11" s="126" t="inlineStr">
        <is>
          <t>Carne</t>
        </is>
      </c>
      <c r="E11" s="127" t="inlineStr">
        <is>
          <t>MERCADO</t>
        </is>
      </c>
      <c r="F11" s="128" t="n">
        <v>420</v>
      </c>
      <c r="G11" s="74" t="n"/>
      <c r="H11" s="74" t="n"/>
      <c r="I11" s="112" t="n"/>
    </row>
    <row r="12" ht="15.75" customHeight="1">
      <c r="B12" s="122" t="n">
        <v>46160</v>
      </c>
      <c r="C12" s="123" t="inlineStr">
        <is>
          <t>Supplies</t>
        </is>
      </c>
      <c r="D12" s="124" t="inlineStr">
        <is>
          <t>Basicos</t>
        </is>
      </c>
      <c r="E12" s="123" t="inlineStr">
        <is>
          <t>ABASTOS</t>
        </is>
      </c>
      <c r="F12" s="125" t="n">
        <v>1068</v>
      </c>
      <c r="G12" s="65" t="n"/>
      <c r="H12" s="65" t="n"/>
      <c r="I12" s="100" t="n"/>
    </row>
    <row r="13" ht="15.75" customHeight="1">
      <c r="B13" s="122" t="n">
        <v>46160</v>
      </c>
      <c r="C13" s="127" t="inlineStr">
        <is>
          <t>Ingredients</t>
        </is>
      </c>
      <c r="D13" s="126" t="inlineStr">
        <is>
          <t>Real Pan Services</t>
        </is>
      </c>
      <c r="E13" s="127" t="inlineStr">
        <is>
          <t>ABASTOS</t>
        </is>
      </c>
      <c r="F13" s="128" t="n">
        <v>522</v>
      </c>
      <c r="G13" s="74" t="n"/>
      <c r="H13" s="74" t="n"/>
      <c r="I13" s="112" t="n"/>
    </row>
    <row r="14" ht="15.75" customHeight="1">
      <c r="B14" s="122" t="n">
        <v>46160</v>
      </c>
      <c r="C14" s="123" t="inlineStr">
        <is>
          <t>Ingredients</t>
        </is>
      </c>
      <c r="D14" s="124" t="inlineStr">
        <is>
          <t>Chedruai</t>
        </is>
      </c>
      <c r="E14" s="123" t="n"/>
      <c r="F14" s="125" t="n">
        <v>129</v>
      </c>
      <c r="G14" s="65" t="n"/>
      <c r="H14" s="65" t="n"/>
      <c r="I14" s="100" t="n"/>
    </row>
    <row r="15" ht="15.75" customHeight="1">
      <c r="B15" s="122" t="n">
        <v>46160</v>
      </c>
      <c r="C15" s="127" t="inlineStr">
        <is>
          <t>Ingredients</t>
        </is>
      </c>
      <c r="D15" s="126" t="inlineStr">
        <is>
          <t>Vegetables</t>
        </is>
      </c>
      <c r="E15" s="127" t="inlineStr">
        <is>
          <t>ABASTOS</t>
        </is>
      </c>
      <c r="F15" s="128" t="n">
        <v>400</v>
      </c>
      <c r="G15" s="74" t="n"/>
      <c r="H15" s="74" t="n"/>
      <c r="I15" s="112" t="n"/>
    </row>
    <row r="16" ht="15.75" customHeight="1">
      <c r="B16" s="122" t="n">
        <v>46161</v>
      </c>
      <c r="C16" s="123" t="inlineStr">
        <is>
          <t>Ingredients</t>
        </is>
      </c>
      <c r="D16" s="126" t="inlineStr">
        <is>
          <t>Arroz</t>
        </is>
      </c>
      <c r="E16" s="123" t="inlineStr">
        <is>
          <t>OXXO</t>
        </is>
      </c>
      <c r="F16" s="125" t="n">
        <v>30</v>
      </c>
      <c r="G16" s="65" t="n"/>
      <c r="H16" s="65" t="n"/>
      <c r="I16" s="100" t="n"/>
    </row>
    <row r="17" ht="15.75" customHeight="1">
      <c r="B17" s="122" t="n">
        <v>46162</v>
      </c>
      <c r="C17" s="123" t="inlineStr">
        <is>
          <t>Ingredients</t>
        </is>
      </c>
      <c r="D17" s="126" t="inlineStr">
        <is>
          <t>Arroz</t>
        </is>
      </c>
      <c r="E17" s="123" t="inlineStr">
        <is>
          <t>OXXO</t>
        </is>
      </c>
      <c r="F17" s="128" t="n">
        <v>90</v>
      </c>
      <c r="G17" s="74" t="n"/>
      <c r="H17" s="74" t="n"/>
      <c r="I17" s="112" t="n"/>
    </row>
    <row r="18" ht="15.75" customHeight="1">
      <c r="B18" s="122" t="n">
        <v>46162</v>
      </c>
      <c r="C18" s="123" t="inlineStr">
        <is>
          <t>Ingredients</t>
        </is>
      </c>
      <c r="D18" s="124" t="inlineStr">
        <is>
          <t>Lechuga</t>
        </is>
      </c>
      <c r="E18" s="127" t="inlineStr">
        <is>
          <t>MERCADO</t>
        </is>
      </c>
      <c r="F18" s="125" t="n">
        <v>65</v>
      </c>
      <c r="G18" s="65" t="n"/>
      <c r="H18" s="65" t="n"/>
      <c r="I18" s="100" t="n"/>
    </row>
    <row r="19" ht="15.75" customHeight="1">
      <c r="B19" s="122" t="n">
        <v>46162</v>
      </c>
      <c r="C19" s="123" t="inlineStr">
        <is>
          <t>Ingredients</t>
        </is>
      </c>
      <c r="D19" s="126" t="inlineStr">
        <is>
          <t>Tortillas</t>
        </is>
      </c>
      <c r="E19" s="127" t="inlineStr">
        <is>
          <t>MERCADO</t>
        </is>
      </c>
      <c r="F19" s="128" t="n">
        <v>26</v>
      </c>
      <c r="G19" s="74" t="n"/>
      <c r="H19" s="74" t="n"/>
      <c r="I19" s="112" t="n"/>
    </row>
    <row r="20" ht="15.75" customHeight="1">
      <c r="B20" s="122" t="n">
        <v>46162</v>
      </c>
      <c r="C20" s="123" t="inlineStr">
        <is>
          <t>Ingredients</t>
        </is>
      </c>
      <c r="D20" s="124" t="inlineStr">
        <is>
          <t>Jamon Mexicana</t>
        </is>
      </c>
      <c r="E20" s="123" t="inlineStr">
        <is>
          <t>SAN JUAN MERCADO</t>
        </is>
      </c>
      <c r="F20" s="125" t="n">
        <v>88</v>
      </c>
      <c r="G20" s="65" t="n"/>
      <c r="H20" s="65" t="n"/>
      <c r="I20" s="100" t="n"/>
    </row>
    <row r="21" ht="15.75" customHeight="1">
      <c r="B21" s="122" t="n">
        <v>46162</v>
      </c>
      <c r="C21" s="123" t="inlineStr">
        <is>
          <t>Ingredients</t>
        </is>
      </c>
      <c r="D21" s="126" t="inlineStr">
        <is>
          <t>Carne</t>
        </is>
      </c>
      <c r="E21" s="127" t="inlineStr">
        <is>
          <t>MERCADO</t>
        </is>
      </c>
      <c r="F21" s="128" t="n">
        <v>1104</v>
      </c>
      <c r="G21" s="74" t="n"/>
      <c r="H21" s="74" t="n"/>
      <c r="I21" s="112" t="n"/>
    </row>
    <row r="22" ht="15.75" customHeight="1">
      <c r="B22" s="122" t="n">
        <v>46162</v>
      </c>
      <c r="C22" s="123" t="inlineStr">
        <is>
          <t>Ingredients</t>
        </is>
      </c>
      <c r="D22" s="124" t="inlineStr">
        <is>
          <t>Salmon</t>
        </is>
      </c>
      <c r="E22" s="123" t="inlineStr">
        <is>
          <t>MERCADO</t>
        </is>
      </c>
      <c r="F22" s="125" t="n">
        <v>397</v>
      </c>
      <c r="G22" s="65" t="n"/>
      <c r="H22" s="65" t="n"/>
      <c r="I22" s="100" t="n"/>
    </row>
    <row r="23" ht="15.75" customHeight="1">
      <c r="B23" s="122" t="n">
        <v>46162</v>
      </c>
      <c r="C23" s="123" t="inlineStr">
        <is>
          <t>Ingredients</t>
        </is>
      </c>
      <c r="D23" s="126" t="inlineStr">
        <is>
          <t>Pollo</t>
        </is>
      </c>
      <c r="E23" s="127" t="inlineStr">
        <is>
          <t>Girigallo #ph</t>
        </is>
      </c>
      <c r="F23" s="128" t="n">
        <v>935</v>
      </c>
      <c r="G23" s="74" t="n"/>
      <c r="H23" s="74" t="n"/>
      <c r="I23" s="112" t="n"/>
    </row>
    <row r="24" ht="15.75" customHeight="1">
      <c r="B24" s="122" t="n">
        <v>46162</v>
      </c>
      <c r="C24" s="123" t="inlineStr">
        <is>
          <t>Ingredients</t>
        </is>
      </c>
      <c r="D24" s="124" t="inlineStr">
        <is>
          <t>Queso Gouda</t>
        </is>
      </c>
      <c r="E24" s="123" t="inlineStr">
        <is>
          <t>Bodega De Queso #Ph</t>
        </is>
      </c>
      <c r="F24" s="125" t="n">
        <v>272</v>
      </c>
      <c r="G24" s="65" t="n"/>
      <c r="H24" s="65" t="n"/>
      <c r="I24" s="100" t="n"/>
    </row>
    <row r="25" ht="15.75" customHeight="1">
      <c r="B25" s="122" t="n">
        <v>46162</v>
      </c>
      <c r="C25" s="123" t="inlineStr">
        <is>
          <t>Ingredients</t>
        </is>
      </c>
      <c r="D25" s="126" t="inlineStr">
        <is>
          <t>Avia Reca</t>
        </is>
      </c>
      <c r="E25" s="127" t="inlineStr">
        <is>
          <t>Avia Reca #Ph</t>
        </is>
      </c>
      <c r="F25" s="128" t="n">
        <v>300</v>
      </c>
      <c r="G25" s="74" t="n"/>
      <c r="H25" s="74" t="n"/>
      <c r="I25" s="112" t="n"/>
    </row>
    <row r="26" ht="15.75" customHeight="1">
      <c r="B26" s="122" t="n">
        <v>46162</v>
      </c>
      <c r="C26" s="123" t="inlineStr">
        <is>
          <t>Staff</t>
        </is>
      </c>
      <c r="D26" s="124" t="inlineStr">
        <is>
          <t>John</t>
        </is>
      </c>
      <c r="E26" s="123" t="inlineStr">
        <is>
          <t>Chef</t>
        </is>
      </c>
      <c r="F26" s="125" t="n">
        <v>500</v>
      </c>
      <c r="G26" s="65" t="n"/>
      <c r="H26" s="65" t="n"/>
      <c r="I26" s="100" t="n"/>
    </row>
    <row r="27" ht="15.75" customHeight="1">
      <c r="B27" s="129" t="n">
        <v>46163</v>
      </c>
      <c r="C27" s="127" t="inlineStr">
        <is>
          <t>Ingredients</t>
        </is>
      </c>
      <c r="D27" s="126" t="inlineStr">
        <is>
          <t>Chuletas Carne</t>
        </is>
      </c>
      <c r="E27" s="130" t="inlineStr">
        <is>
          <t>MERCADO</t>
        </is>
      </c>
      <c r="F27" s="128" t="n">
        <v>213</v>
      </c>
      <c r="G27" s="74" t="n"/>
      <c r="H27" s="74" t="n"/>
      <c r="I27" s="112" t="n"/>
    </row>
    <row r="28" ht="15.75" customHeight="1">
      <c r="B28" s="129" t="n">
        <v>46163</v>
      </c>
      <c r="C28" s="127" t="inlineStr">
        <is>
          <t>Ingredients</t>
        </is>
      </c>
      <c r="D28" s="124" t="inlineStr">
        <is>
          <t>Chedruai</t>
        </is>
      </c>
      <c r="E28" s="127" t="n"/>
      <c r="F28" s="125" t="n">
        <v>232</v>
      </c>
      <c r="G28" s="65" t="n"/>
      <c r="H28" s="65" t="n"/>
      <c r="I28" s="100" t="n"/>
    </row>
    <row r="29" ht="15.75" customHeight="1">
      <c r="B29" s="129" t="n">
        <v>46163</v>
      </c>
      <c r="C29" s="127" t="inlineStr">
        <is>
          <t>Ingredients</t>
        </is>
      </c>
      <c r="D29" s="126" t="inlineStr">
        <is>
          <t>Nutralat Milk</t>
        </is>
      </c>
      <c r="E29" s="127" t="inlineStr">
        <is>
          <t>OXXO</t>
        </is>
      </c>
      <c r="F29" s="128" t="n">
        <v>24</v>
      </c>
      <c r="G29" s="74" t="n"/>
      <c r="H29" s="74" t="n"/>
      <c r="I29" s="112" t="n"/>
    </row>
    <row r="30" ht="15.75" customHeight="1">
      <c r="B30" s="129" t="n">
        <v>46163</v>
      </c>
      <c r="C30" s="127" t="inlineStr">
        <is>
          <t>Ingredients</t>
        </is>
      </c>
      <c r="D30" s="124" t="inlineStr">
        <is>
          <t>Crema y Queso</t>
        </is>
      </c>
      <c r="E30" s="123" t="inlineStr">
        <is>
          <t>CAQ</t>
        </is>
      </c>
      <c r="F30" s="125" t="n">
        <v>572</v>
      </c>
      <c r="G30" s="65" t="n"/>
      <c r="H30" s="65" t="n"/>
      <c r="I30" s="100" t="n"/>
    </row>
    <row r="31" ht="15.75" customHeight="1">
      <c r="B31" s="129" t="n">
        <v>46163</v>
      </c>
      <c r="C31" s="127" t="inlineStr">
        <is>
          <t>Ingredients</t>
        </is>
      </c>
      <c r="D31" s="126" t="inlineStr">
        <is>
          <t>Pasta</t>
        </is>
      </c>
      <c r="E31" s="127" t="n"/>
      <c r="F31" s="128" t="n">
        <v>82</v>
      </c>
      <c r="G31" s="74" t="n"/>
      <c r="H31" s="74" t="n"/>
      <c r="I31" s="112" t="n"/>
    </row>
    <row r="32" ht="15.75" customHeight="1">
      <c r="B32" s="129" t="n">
        <v>46163</v>
      </c>
      <c r="C32" s="127" t="inlineStr">
        <is>
          <t>Ingredients</t>
        </is>
      </c>
      <c r="D32" s="124" t="inlineStr">
        <is>
          <t>Vegetables</t>
        </is>
      </c>
      <c r="E32" s="123" t="inlineStr">
        <is>
          <t>ABASTOS</t>
        </is>
      </c>
      <c r="F32" s="125" t="n">
        <v>148</v>
      </c>
      <c r="G32" s="65" t="n"/>
      <c r="H32" s="65" t="n"/>
      <c r="I32" s="100" t="n"/>
    </row>
    <row r="33" ht="15.75" customHeight="1">
      <c r="B33" s="129" t="n">
        <v>46163</v>
      </c>
      <c r="C33" s="127" t="inlineStr">
        <is>
          <t>Ingredients</t>
        </is>
      </c>
      <c r="D33" s="126" t="inlineStr">
        <is>
          <t>Papas</t>
        </is>
      </c>
      <c r="E33" s="123" t="inlineStr">
        <is>
          <t>ABASTOS</t>
        </is>
      </c>
      <c r="F33" s="128" t="n">
        <v>130</v>
      </c>
      <c r="G33" s="74" t="n"/>
      <c r="H33" s="74" t="n"/>
      <c r="I33" s="112" t="n"/>
    </row>
    <row r="34" ht="15.75" customHeight="1">
      <c r="B34" s="129" t="n">
        <v>46163</v>
      </c>
      <c r="C34" s="127" t="inlineStr">
        <is>
          <t>Ingredients</t>
        </is>
      </c>
      <c r="D34" s="124" t="inlineStr">
        <is>
          <t>Vegetables</t>
        </is>
      </c>
      <c r="E34" s="123" t="inlineStr">
        <is>
          <t>ABASTOS</t>
        </is>
      </c>
      <c r="F34" s="125" t="n">
        <v>207</v>
      </c>
      <c r="G34" s="65" t="n"/>
      <c r="H34" s="65" t="n"/>
      <c r="I34" s="100" t="n"/>
    </row>
    <row r="35" ht="15.75" customHeight="1">
      <c r="B35" s="129" t="n">
        <v>46163</v>
      </c>
      <c r="C35" s="127" t="inlineStr">
        <is>
          <t>Ingredients</t>
        </is>
      </c>
      <c r="D35" s="124" t="inlineStr">
        <is>
          <t>Vegetables</t>
        </is>
      </c>
      <c r="E35" s="123" t="inlineStr">
        <is>
          <t>ABASTOS</t>
        </is>
      </c>
      <c r="F35" s="128" t="n">
        <v>185</v>
      </c>
      <c r="G35" s="74" t="n"/>
      <c r="H35" s="74" t="n"/>
      <c r="I35" s="112" t="n"/>
    </row>
    <row r="36" ht="15.75" customHeight="1">
      <c r="B36" s="129" t="n">
        <v>46163</v>
      </c>
      <c r="C36" s="127" t="inlineStr">
        <is>
          <t>Ingredients</t>
        </is>
      </c>
      <c r="D36" s="124" t="inlineStr">
        <is>
          <t>Frutas</t>
        </is>
      </c>
      <c r="E36" s="123" t="inlineStr">
        <is>
          <t>ABASTOS</t>
        </is>
      </c>
      <c r="F36" s="125" t="n">
        <v>108</v>
      </c>
      <c r="G36" s="65" t="n"/>
      <c r="H36" s="65" t="n"/>
      <c r="I36" s="100" t="n"/>
    </row>
    <row r="37" ht="15.75" customHeight="1">
      <c r="B37" s="129" t="n">
        <v>46163</v>
      </c>
      <c r="C37" s="127" t="inlineStr">
        <is>
          <t>Ingredients</t>
        </is>
      </c>
      <c r="D37" s="126" t="inlineStr">
        <is>
          <t>Panco</t>
        </is>
      </c>
      <c r="E37" s="127" t="inlineStr">
        <is>
          <t>MOLINO</t>
        </is>
      </c>
      <c r="F37" s="128" t="n">
        <v>196</v>
      </c>
      <c r="G37" s="74" t="n"/>
      <c r="H37" s="74" t="n"/>
      <c r="I37" s="112" t="n"/>
    </row>
    <row r="38" ht="15.75" customHeight="1">
      <c r="B38" s="131" t="n">
        <v>46163</v>
      </c>
      <c r="C38" s="132" t="inlineStr">
        <is>
          <t>Beverages</t>
        </is>
      </c>
      <c r="D38" s="133" t="inlineStr">
        <is>
          <t>Drinks</t>
        </is>
      </c>
      <c r="E38" s="132" t="inlineStr">
        <is>
          <t>3B GROCERIES SHOP</t>
        </is>
      </c>
      <c r="F38" s="134" t="n">
        <v>337</v>
      </c>
      <c r="G38" s="135" t="n"/>
      <c r="H38" s="135" t="n"/>
      <c r="I38" s="136" t="n"/>
    </row>
    <row r="39" ht="15.75" customHeight="1">
      <c r="B39" s="137" t="n"/>
      <c r="C39" s="127" t="n"/>
      <c r="D39" s="126" t="n"/>
      <c r="E39" s="127" t="n"/>
      <c r="F39" s="128" t="n"/>
      <c r="G39" s="74" t="n"/>
      <c r="H39" s="74" t="n"/>
      <c r="I39" s="112" t="n"/>
    </row>
    <row r="40" ht="15.75" customHeight="1">
      <c r="B40" s="137" t="n"/>
      <c r="C40" s="123" t="n"/>
      <c r="D40" s="124" t="n"/>
      <c r="E40" s="123" t="n"/>
      <c r="F40" s="125" t="n"/>
      <c r="G40" s="65" t="n"/>
      <c r="H40" s="65" t="n"/>
      <c r="I40" s="100" t="n"/>
    </row>
    <row r="41" ht="15.75" customHeight="1">
      <c r="B41" s="137" t="n"/>
      <c r="C41" s="127" t="n"/>
      <c r="D41" s="126" t="n"/>
      <c r="E41" s="127" t="n"/>
      <c r="F41" s="128" t="n"/>
      <c r="G41" s="74" t="n"/>
      <c r="H41" s="74" t="n"/>
      <c r="I41" s="112" t="n"/>
    </row>
    <row r="42" ht="15.75" customHeight="1">
      <c r="B42" s="137" t="n"/>
      <c r="C42" s="123" t="n"/>
      <c r="D42" s="124" t="n"/>
      <c r="E42" s="123" t="n"/>
      <c r="F42" s="125" t="n"/>
      <c r="G42" s="65" t="n"/>
      <c r="H42" s="65" t="n"/>
      <c r="I42" s="100" t="n"/>
    </row>
    <row r="43" ht="15.75" customHeight="1">
      <c r="B43" s="137" t="n"/>
      <c r="C43" s="127" t="n"/>
      <c r="D43" s="126" t="n"/>
      <c r="E43" s="127" t="n"/>
      <c r="F43" s="128" t="n"/>
      <c r="G43" s="74" t="n"/>
      <c r="H43" s="74" t="n"/>
      <c r="I43" s="112" t="n"/>
    </row>
    <row r="44" ht="15.75" customHeight="1">
      <c r="B44" s="137" t="n"/>
      <c r="C44" s="123" t="n"/>
      <c r="D44" s="124" t="n"/>
      <c r="E44" s="123" t="n"/>
      <c r="F44" s="125" t="n"/>
      <c r="G44" s="65" t="n"/>
      <c r="H44" s="65" t="n"/>
      <c r="I44" s="100" t="n"/>
    </row>
    <row r="45" ht="15.75" customHeight="1">
      <c r="B45" s="137" t="n"/>
      <c r="C45" s="127" t="n"/>
      <c r="D45" s="126" t="n"/>
      <c r="E45" s="127" t="n"/>
      <c r="F45" s="128" t="n"/>
      <c r="G45" s="74" t="n"/>
      <c r="H45" s="74" t="n"/>
      <c r="I45" s="112" t="n"/>
    </row>
    <row r="46" ht="15.75" customHeight="1">
      <c r="B46" s="137" t="n"/>
      <c r="C46" s="123" t="n"/>
      <c r="D46" s="124" t="n"/>
      <c r="E46" s="123" t="n"/>
      <c r="F46" s="125" t="n"/>
      <c r="G46" s="65" t="n"/>
      <c r="H46" s="65" t="n"/>
      <c r="I46" s="100" t="n"/>
    </row>
    <row r="47" ht="15.75" customHeight="1">
      <c r="B47" s="137" t="n"/>
      <c r="C47" s="127" t="n"/>
      <c r="D47" s="126" t="n"/>
      <c r="E47" s="127" t="n"/>
      <c r="F47" s="128" t="n"/>
      <c r="G47" s="74" t="n"/>
      <c r="H47" s="74" t="n"/>
      <c r="I47" s="112" t="n"/>
    </row>
    <row r="48" ht="15.75" customHeight="1">
      <c r="B48" s="137" t="n"/>
      <c r="C48" s="123" t="n"/>
      <c r="D48" s="124" t="n"/>
      <c r="E48" s="123" t="n"/>
      <c r="F48" s="125" t="n"/>
      <c r="G48" s="65" t="n"/>
      <c r="H48" s="65" t="n"/>
      <c r="I48" s="100" t="n"/>
    </row>
    <row r="49" ht="15.75" customHeight="1">
      <c r="B49" s="137" t="n"/>
      <c r="C49" s="127" t="n"/>
      <c r="D49" s="126" t="n"/>
      <c r="E49" s="127" t="n"/>
      <c r="F49" s="128" t="n"/>
      <c r="G49" s="74" t="n"/>
      <c r="H49" s="74" t="n"/>
      <c r="I49" s="112" t="n"/>
    </row>
    <row r="50" ht="15.75" customHeight="1">
      <c r="B50" s="137" t="n"/>
      <c r="C50" s="123" t="n"/>
      <c r="D50" s="124" t="n"/>
      <c r="E50" s="123" t="n"/>
      <c r="F50" s="125" t="n"/>
      <c r="G50" s="65" t="n"/>
      <c r="H50" s="65" t="n"/>
      <c r="I50" s="100" t="n"/>
    </row>
    <row r="51" ht="15.75" customHeight="1">
      <c r="B51" s="137" t="n"/>
      <c r="C51" s="127" t="n"/>
      <c r="D51" s="126" t="n"/>
      <c r="E51" s="127" t="n"/>
      <c r="F51" s="128" t="n"/>
      <c r="G51" s="74" t="n"/>
      <c r="H51" s="74" t="n"/>
      <c r="I51" s="112" t="n"/>
    </row>
    <row r="52" ht="15.75" customHeight="1">
      <c r="B52" s="137" t="n"/>
      <c r="C52" s="123" t="n"/>
      <c r="D52" s="124" t="n"/>
      <c r="E52" s="123" t="n"/>
      <c r="F52" s="125" t="n"/>
      <c r="G52" s="65" t="n"/>
      <c r="H52" s="65" t="n"/>
      <c r="I52" s="100" t="n"/>
    </row>
    <row r="53" ht="15.75" customHeight="1">
      <c r="B53" s="137" t="n"/>
      <c r="C53" s="127" t="n"/>
      <c r="D53" s="126" t="n"/>
      <c r="E53" s="127" t="n"/>
      <c r="F53" s="128" t="n"/>
      <c r="G53" s="74" t="n"/>
      <c r="H53" s="74" t="n"/>
      <c r="I53" s="112" t="n"/>
    </row>
    <row r="54" ht="15.75" customHeight="1">
      <c r="B54" s="137" t="n"/>
      <c r="C54" s="123" t="n"/>
      <c r="D54" s="124" t="n"/>
      <c r="E54" s="123" t="n"/>
      <c r="F54" s="125" t="n"/>
      <c r="G54" s="65" t="n"/>
      <c r="H54" s="65" t="n"/>
      <c r="I54" s="100" t="n"/>
    </row>
    <row r="55" ht="15.75" customHeight="1">
      <c r="B55" s="137" t="n"/>
      <c r="C55" s="127" t="n"/>
      <c r="D55" s="126" t="n"/>
      <c r="E55" s="127" t="n"/>
      <c r="F55" s="128" t="n"/>
      <c r="G55" s="74" t="n"/>
      <c r="H55" s="74" t="n"/>
      <c r="I55" s="112" t="n"/>
    </row>
    <row r="56" ht="15.75" customHeight="1">
      <c r="B56" s="137" t="n"/>
      <c r="C56" s="123" t="n"/>
      <c r="D56" s="124" t="n"/>
      <c r="E56" s="123" t="n"/>
      <c r="F56" s="125" t="n"/>
      <c r="G56" s="65" t="n"/>
      <c r="H56" s="65" t="n"/>
      <c r="I56" s="100" t="n"/>
    </row>
    <row r="57" ht="15.75" customHeight="1">
      <c r="B57" s="137" t="n"/>
      <c r="C57" s="127" t="n"/>
      <c r="D57" s="126" t="n"/>
      <c r="E57" s="127" t="n"/>
      <c r="F57" s="128" t="n"/>
      <c r="G57" s="74" t="n"/>
      <c r="H57" s="74" t="n"/>
      <c r="I57" s="112" t="n"/>
    </row>
    <row r="58" ht="15.75" customHeight="1">
      <c r="B58" s="137" t="n"/>
      <c r="C58" s="123" t="n"/>
      <c r="D58" s="124" t="n"/>
      <c r="E58" s="123" t="n"/>
      <c r="F58" s="125" t="n"/>
      <c r="G58" s="65" t="n"/>
      <c r="H58" s="65" t="n"/>
      <c r="I58" s="100" t="n"/>
    </row>
    <row r="59" ht="15.75" customHeight="1">
      <c r="B59" s="137" t="n"/>
      <c r="C59" s="127" t="n"/>
      <c r="D59" s="126" t="n"/>
      <c r="E59" s="127" t="n"/>
      <c r="F59" s="128" t="n"/>
      <c r="G59" s="74" t="n"/>
      <c r="H59" s="74" t="n"/>
      <c r="I59" s="112" t="n"/>
    </row>
    <row r="60" ht="15.75" customHeight="1">
      <c r="B60" s="137" t="n"/>
      <c r="C60" s="123" t="n"/>
      <c r="D60" s="124" t="n"/>
      <c r="E60" s="123" t="n"/>
      <c r="F60" s="125" t="n"/>
      <c r="G60" s="65" t="n"/>
      <c r="H60" s="65" t="n"/>
      <c r="I60" s="100" t="n"/>
    </row>
    <row r="61" ht="15.75" customHeight="1">
      <c r="B61" s="137" t="n"/>
      <c r="C61" s="127" t="n"/>
      <c r="D61" s="126" t="n"/>
      <c r="E61" s="127" t="n"/>
      <c r="F61" s="128" t="n"/>
      <c r="G61" s="74" t="n"/>
      <c r="H61" s="74" t="n"/>
      <c r="I61" s="112" t="n"/>
    </row>
    <row r="62" ht="15.75" customHeight="1">
      <c r="B62" s="137" t="n"/>
      <c r="C62" s="123" t="n"/>
      <c r="D62" s="124" t="n"/>
      <c r="E62" s="123" t="n"/>
      <c r="F62" s="125" t="n"/>
      <c r="G62" s="65" t="n"/>
      <c r="H62" s="65" t="n"/>
      <c r="I62" s="100" t="n"/>
    </row>
    <row r="63" ht="15.75" customHeight="1">
      <c r="B63" s="137" t="n"/>
      <c r="C63" s="127" t="n"/>
      <c r="D63" s="126" t="n"/>
      <c r="E63" s="127" t="n"/>
      <c r="F63" s="128" t="n"/>
      <c r="G63" s="74" t="n"/>
      <c r="H63" s="74" t="n"/>
      <c r="I63" s="112" t="n"/>
    </row>
    <row r="64" ht="15.75" customHeight="1">
      <c r="B64" s="137" t="n"/>
      <c r="C64" s="123" t="n"/>
      <c r="D64" s="124" t="n"/>
      <c r="E64" s="123" t="n"/>
      <c r="F64" s="125" t="n"/>
      <c r="G64" s="65" t="n"/>
      <c r="H64" s="65" t="n"/>
      <c r="I64" s="100" t="n"/>
    </row>
    <row r="65" ht="15.75" customHeight="1">
      <c r="B65" s="137" t="n"/>
      <c r="C65" s="127" t="n"/>
      <c r="D65" s="126" t="n"/>
      <c r="E65" s="127" t="n"/>
      <c r="F65" s="128" t="n"/>
      <c r="G65" s="74" t="n"/>
      <c r="H65" s="74" t="n"/>
      <c r="I65" s="112" t="n"/>
    </row>
    <row r="66" ht="15.75" customHeight="1">
      <c r="B66" s="137" t="n"/>
      <c r="C66" s="123" t="n"/>
      <c r="D66" s="124" t="n"/>
      <c r="E66" s="123" t="n"/>
      <c r="F66" s="125" t="n"/>
      <c r="G66" s="65" t="n"/>
      <c r="H66" s="65" t="n"/>
      <c r="I66" s="100" t="n"/>
    </row>
    <row r="67" ht="15.75" customHeight="1">
      <c r="B67" s="137" t="n"/>
      <c r="C67" s="127" t="n"/>
      <c r="D67" s="126" t="n"/>
      <c r="E67" s="127" t="n"/>
      <c r="F67" s="128" t="n"/>
      <c r="G67" s="74" t="n"/>
      <c r="H67" s="74" t="n"/>
      <c r="I67" s="112" t="n"/>
    </row>
    <row r="68" ht="15.75" customHeight="1">
      <c r="B68" s="137" t="n"/>
      <c r="C68" s="123" t="n"/>
      <c r="D68" s="124" t="n"/>
      <c r="E68" s="123" t="n"/>
      <c r="F68" s="125" t="n"/>
      <c r="G68" s="65" t="n"/>
      <c r="H68" s="65" t="n"/>
      <c r="I68" s="100" t="n"/>
    </row>
    <row r="69" ht="15.75" customHeight="1">
      <c r="B69" s="137" t="n"/>
      <c r="C69" s="127" t="n"/>
      <c r="D69" s="126" t="n"/>
      <c r="E69" s="127" t="n"/>
      <c r="F69" s="128" t="n"/>
      <c r="G69" s="74" t="n"/>
      <c r="H69" s="74" t="n"/>
      <c r="I69" s="112" t="n"/>
    </row>
    <row r="70" ht="15.75" customHeight="1">
      <c r="B70" s="137" t="n"/>
      <c r="C70" s="123" t="n"/>
      <c r="D70" s="124" t="n"/>
      <c r="E70" s="123" t="n"/>
      <c r="F70" s="125" t="n"/>
      <c r="G70" s="65" t="n"/>
      <c r="H70" s="65" t="n"/>
      <c r="I70" s="100" t="n"/>
    </row>
    <row r="71" ht="15.75" customHeight="1">
      <c r="B71" s="137" t="n"/>
      <c r="C71" s="127" t="n"/>
      <c r="D71" s="126" t="n"/>
      <c r="E71" s="127" t="n"/>
      <c r="F71" s="128" t="n"/>
      <c r="G71" s="74" t="n"/>
      <c r="H71" s="74" t="n"/>
      <c r="I71" s="112" t="n"/>
    </row>
    <row r="72" ht="15.75" customHeight="1">
      <c r="B72" s="137" t="n"/>
      <c r="C72" s="123" t="n"/>
      <c r="D72" s="124" t="n"/>
      <c r="E72" s="123" t="n"/>
      <c r="F72" s="125" t="n"/>
      <c r="G72" s="65" t="n"/>
      <c r="H72" s="65" t="n"/>
      <c r="I72" s="100" t="n"/>
    </row>
    <row r="73" ht="15.75" customHeight="1">
      <c r="B73" s="137" t="n"/>
      <c r="C73" s="127" t="n"/>
      <c r="D73" s="126" t="n"/>
      <c r="E73" s="127" t="n"/>
      <c r="F73" s="128" t="n"/>
      <c r="G73" s="74" t="n"/>
      <c r="H73" s="74" t="n"/>
      <c r="I73" s="112" t="n"/>
    </row>
    <row r="74" ht="15.75" customHeight="1">
      <c r="B74" s="137" t="n"/>
      <c r="C74" s="123" t="n"/>
      <c r="D74" s="124" t="n"/>
      <c r="E74" s="123" t="n"/>
      <c r="F74" s="125" t="n"/>
      <c r="G74" s="65" t="n"/>
      <c r="H74" s="65" t="n"/>
      <c r="I74" s="100" t="n"/>
    </row>
    <row r="75" ht="15.75" customHeight="1">
      <c r="B75" s="137" t="n"/>
      <c r="C75" s="127" t="n"/>
      <c r="D75" s="126" t="n"/>
      <c r="E75" s="127" t="n"/>
      <c r="F75" s="128" t="n"/>
      <c r="G75" s="74" t="n"/>
      <c r="H75" s="74" t="n"/>
      <c r="I75" s="112" t="n"/>
    </row>
    <row r="76" ht="15.75" customHeight="1">
      <c r="B76" s="137" t="n"/>
      <c r="C76" s="123" t="n"/>
      <c r="D76" s="124" t="n"/>
      <c r="E76" s="123" t="n"/>
      <c r="F76" s="125" t="n"/>
      <c r="G76" s="65" t="n"/>
      <c r="H76" s="65" t="n"/>
      <c r="I76" s="100" t="n"/>
    </row>
    <row r="77" ht="15.75" customHeight="1">
      <c r="B77" s="137" t="n"/>
      <c r="C77" s="127" t="n"/>
      <c r="D77" s="126" t="n"/>
      <c r="E77" s="127" t="n"/>
      <c r="F77" s="128" t="n"/>
      <c r="G77" s="74" t="n"/>
      <c r="H77" s="74" t="n"/>
      <c r="I77" s="112" t="n"/>
    </row>
    <row r="78" ht="15.75" customHeight="1">
      <c r="B78" s="137" t="n"/>
      <c r="C78" s="123" t="n"/>
      <c r="D78" s="124" t="n"/>
      <c r="E78" s="123" t="n"/>
      <c r="F78" s="125" t="n"/>
      <c r="G78" s="65" t="n"/>
      <c r="H78" s="65" t="n"/>
      <c r="I78" s="100" t="n"/>
    </row>
    <row r="79" ht="15.75" customHeight="1">
      <c r="B79" s="137" t="n"/>
      <c r="C79" s="127" t="n"/>
      <c r="D79" s="126" t="n"/>
      <c r="E79" s="127" t="n"/>
      <c r="F79" s="128" t="n"/>
      <c r="G79" s="74" t="n"/>
      <c r="H79" s="74" t="n"/>
      <c r="I79" s="112" t="n"/>
    </row>
    <row r="80" ht="15.75" customHeight="1">
      <c r="B80" s="137" t="n"/>
      <c r="C80" s="123" t="n"/>
      <c r="D80" s="124" t="n"/>
      <c r="E80" s="123" t="n"/>
      <c r="F80" s="125" t="n"/>
      <c r="G80" s="65" t="n"/>
      <c r="H80" s="65" t="n"/>
      <c r="I80" s="100" t="n"/>
    </row>
    <row r="81" ht="15.75" customHeight="1">
      <c r="B81" s="137" t="n"/>
      <c r="C81" s="127" t="n"/>
      <c r="D81" s="126" t="n"/>
      <c r="E81" s="127" t="n"/>
      <c r="F81" s="128" t="n"/>
      <c r="G81" s="74" t="n"/>
      <c r="H81" s="74" t="n"/>
      <c r="I81" s="112" t="n"/>
    </row>
    <row r="82" ht="15.75" customHeight="1">
      <c r="B82" s="137" t="n"/>
      <c r="C82" s="123" t="n"/>
      <c r="D82" s="124" t="n"/>
      <c r="E82" s="123" t="n"/>
      <c r="F82" s="125" t="n"/>
      <c r="G82" s="65" t="n"/>
      <c r="H82" s="65" t="n"/>
      <c r="I82" s="100" t="n"/>
    </row>
    <row r="83" ht="15.75" customHeight="1">
      <c r="B83" s="137" t="n"/>
      <c r="C83" s="127" t="n"/>
      <c r="D83" s="126" t="n"/>
      <c r="E83" s="127" t="n"/>
      <c r="F83" s="128" t="n"/>
      <c r="G83" s="74" t="n"/>
      <c r="H83" s="74" t="n"/>
      <c r="I83" s="112" t="n"/>
    </row>
    <row r="84" ht="15.75" customHeight="1">
      <c r="B84" s="137" t="n"/>
      <c r="C84" s="123" t="n"/>
      <c r="D84" s="124" t="n"/>
      <c r="E84" s="123" t="n"/>
      <c r="F84" s="125" t="n"/>
      <c r="G84" s="65" t="n"/>
      <c r="H84" s="65" t="n"/>
      <c r="I84" s="100" t="n"/>
    </row>
    <row r="85" ht="15.75" customHeight="1">
      <c r="B85" s="137" t="n"/>
      <c r="C85" s="127" t="n"/>
      <c r="D85" s="126" t="n"/>
      <c r="E85" s="127" t="n"/>
      <c r="F85" s="128" t="n"/>
      <c r="G85" s="74" t="n"/>
      <c r="H85" s="74" t="n"/>
      <c r="I85" s="112" t="n"/>
    </row>
    <row r="86" ht="15.75" customHeight="1">
      <c r="B86" s="137" t="n"/>
      <c r="C86" s="123" t="n"/>
      <c r="D86" s="124" t="n"/>
      <c r="E86" s="123" t="n"/>
      <c r="F86" s="125" t="n"/>
      <c r="G86" s="65" t="n"/>
      <c r="H86" s="65" t="n"/>
      <c r="I86" s="100" t="n"/>
    </row>
    <row r="87" ht="15.75" customHeight="1">
      <c r="B87" s="137" t="n"/>
      <c r="C87" s="127" t="n"/>
      <c r="D87" s="126" t="n"/>
      <c r="E87" s="127" t="n"/>
      <c r="F87" s="128" t="n"/>
      <c r="G87" s="74" t="n"/>
      <c r="H87" s="74" t="n"/>
      <c r="I87" s="112" t="n"/>
    </row>
    <row r="88" ht="15.75" customHeight="1">
      <c r="B88" s="137" t="n"/>
      <c r="C88" s="123" t="n"/>
      <c r="D88" s="124" t="n"/>
      <c r="E88" s="123" t="n"/>
      <c r="F88" s="125" t="n"/>
      <c r="G88" s="65" t="n"/>
      <c r="H88" s="65" t="n"/>
      <c r="I88" s="100" t="n"/>
    </row>
    <row r="89" ht="15.75" customHeight="1">
      <c r="B89" s="137" t="n"/>
      <c r="C89" s="127" t="n"/>
      <c r="D89" s="126" t="n"/>
      <c r="E89" s="127" t="n"/>
      <c r="F89" s="128" t="n"/>
      <c r="G89" s="74" t="n"/>
      <c r="H89" s="74" t="n"/>
      <c r="I89" s="112" t="n"/>
    </row>
    <row r="90" ht="15.75" customHeight="1">
      <c r="B90" s="137" t="n"/>
      <c r="C90" s="123" t="n"/>
      <c r="D90" s="124" t="n"/>
      <c r="E90" s="123" t="n"/>
      <c r="F90" s="125" t="n"/>
      <c r="G90" s="65" t="n"/>
      <c r="H90" s="65" t="n"/>
      <c r="I90" s="100" t="n"/>
    </row>
    <row r="91" ht="15.75" customHeight="1">
      <c r="B91" s="137" t="n"/>
      <c r="C91" s="127" t="n"/>
      <c r="D91" s="126" t="n"/>
      <c r="E91" s="127" t="n"/>
      <c r="F91" s="128" t="n"/>
      <c r="G91" s="74" t="n"/>
      <c r="H91" s="74" t="n"/>
      <c r="I91" s="112" t="n"/>
    </row>
    <row r="92" ht="15.75" customHeight="1">
      <c r="B92" s="137" t="n"/>
      <c r="C92" s="123" t="n"/>
      <c r="D92" s="124" t="n"/>
      <c r="E92" s="123" t="n"/>
      <c r="F92" s="125" t="n"/>
      <c r="G92" s="65" t="n"/>
      <c r="H92" s="65" t="n"/>
      <c r="I92" s="100" t="n"/>
    </row>
    <row r="93" ht="15.75" customHeight="1">
      <c r="B93" s="137" t="n"/>
      <c r="C93" s="127" t="n"/>
      <c r="D93" s="126" t="n"/>
      <c r="E93" s="127" t="n"/>
      <c r="F93" s="128" t="n"/>
      <c r="G93" s="74" t="n"/>
      <c r="H93" s="74" t="n"/>
      <c r="I93" s="112" t="n"/>
    </row>
    <row r="94" ht="15.75" customHeight="1">
      <c r="B94" s="137" t="n"/>
      <c r="C94" s="123" t="n"/>
      <c r="D94" s="124" t="n"/>
      <c r="E94" s="123" t="n"/>
      <c r="F94" s="125" t="n"/>
      <c r="G94" s="65" t="n"/>
      <c r="H94" s="65" t="n"/>
      <c r="I94" s="100" t="n"/>
    </row>
    <row r="95" ht="15.75" customHeight="1">
      <c r="B95" s="137" t="n"/>
      <c r="C95" s="127" t="n"/>
      <c r="D95" s="126" t="n"/>
      <c r="E95" s="127" t="n"/>
      <c r="F95" s="128" t="n"/>
      <c r="G95" s="74" t="n"/>
      <c r="H95" s="74" t="n"/>
      <c r="I95" s="112" t="n"/>
    </row>
    <row r="96" ht="15.75" customHeight="1">
      <c r="B96" s="137" t="n"/>
      <c r="C96" s="123" t="n"/>
      <c r="D96" s="124" t="n"/>
      <c r="E96" s="123" t="n"/>
      <c r="F96" s="125" t="n"/>
      <c r="G96" s="65" t="n"/>
      <c r="H96" s="65" t="n"/>
      <c r="I96" s="100" t="n"/>
    </row>
    <row r="97" ht="15.75" customHeight="1">
      <c r="B97" s="137" t="n"/>
      <c r="C97" s="127" t="n"/>
      <c r="D97" s="126" t="n"/>
      <c r="E97" s="127" t="n"/>
      <c r="F97" s="128" t="n"/>
      <c r="G97" s="74" t="n"/>
      <c r="H97" s="74" t="n"/>
      <c r="I97" s="112" t="n"/>
    </row>
    <row r="98" ht="15.75" customHeight="1">
      <c r="B98" s="137" t="n"/>
      <c r="C98" s="123" t="n"/>
      <c r="D98" s="124" t="n"/>
      <c r="E98" s="123" t="n"/>
      <c r="F98" s="125" t="n"/>
      <c r="G98" s="65" t="n"/>
      <c r="H98" s="65" t="n"/>
      <c r="I98" s="100" t="n"/>
    </row>
    <row r="99" ht="15.75" customHeight="1">
      <c r="B99" s="137" t="n"/>
      <c r="C99" s="127" t="n"/>
      <c r="D99" s="126" t="n"/>
      <c r="E99" s="127" t="n"/>
      <c r="F99" s="128" t="n"/>
      <c r="G99" s="74" t="n"/>
      <c r="H99" s="74" t="n"/>
      <c r="I99" s="112" t="n"/>
    </row>
    <row r="100" ht="15.75" customHeight="1">
      <c r="B100" s="137" t="n"/>
      <c r="C100" s="123" t="n"/>
      <c r="D100" s="124" t="n"/>
      <c r="E100" s="123" t="n"/>
      <c r="F100" s="125" t="n"/>
      <c r="G100" s="65" t="n"/>
      <c r="H100" s="65" t="n"/>
      <c r="I100" s="100" t="n"/>
    </row>
    <row r="101" ht="15.75" customHeight="1">
      <c r="B101" s="137" t="n"/>
      <c r="C101" s="127" t="n"/>
      <c r="D101" s="126" t="n"/>
      <c r="E101" s="127" t="n"/>
      <c r="F101" s="128" t="n"/>
      <c r="G101" s="74" t="n"/>
      <c r="H101" s="74" t="n"/>
      <c r="I101" s="112" t="n"/>
    </row>
    <row r="102" ht="15.75" customHeight="1">
      <c r="B102" s="137" t="n"/>
      <c r="C102" s="123" t="n"/>
      <c r="D102" s="124" t="n"/>
      <c r="E102" s="123" t="n"/>
      <c r="F102" s="125" t="n"/>
      <c r="G102" s="65" t="n"/>
      <c r="H102" s="65" t="n"/>
      <c r="I102" s="100" t="n"/>
    </row>
    <row r="103" ht="15.75" customHeight="1">
      <c r="B103" s="137" t="n"/>
      <c r="C103" s="127" t="n"/>
      <c r="D103" s="126" t="n"/>
      <c r="E103" s="127" t="n"/>
      <c r="F103" s="128" t="n"/>
      <c r="G103" s="74" t="n"/>
      <c r="H103" s="74" t="n"/>
      <c r="I103" s="112" t="n"/>
    </row>
    <row r="104" ht="15.75" customHeight="1">
      <c r="B104" s="137" t="n"/>
      <c r="C104" s="123" t="n"/>
      <c r="D104" s="124" t="n"/>
      <c r="E104" s="123" t="n"/>
      <c r="F104" s="125" t="n"/>
      <c r="G104" s="65" t="n"/>
      <c r="H104" s="65" t="n"/>
      <c r="I104" s="100" t="n"/>
    </row>
    <row r="105" ht="15.75" customHeight="1">
      <c r="B105" s="137" t="n"/>
      <c r="C105" s="127" t="n"/>
      <c r="D105" s="126" t="n"/>
      <c r="E105" s="127" t="n"/>
      <c r="F105" s="128" t="n"/>
      <c r="G105" s="74" t="n"/>
      <c r="H105" s="74" t="n"/>
      <c r="I105" s="112" t="n"/>
    </row>
    <row r="106" ht="15.75" customHeight="1">
      <c r="B106" s="137" t="n"/>
      <c r="C106" s="123" t="n"/>
      <c r="D106" s="124" t="n"/>
      <c r="E106" s="123" t="n"/>
      <c r="F106" s="125" t="n"/>
      <c r="G106" s="65" t="n"/>
      <c r="H106" s="65" t="n"/>
      <c r="I106" s="100" t="n"/>
    </row>
    <row r="107" ht="15.75" customHeight="1">
      <c r="B107" s="137" t="n"/>
      <c r="C107" s="127" t="n"/>
      <c r="D107" s="126" t="n"/>
      <c r="E107" s="127" t="n"/>
      <c r="F107" s="128" t="n"/>
      <c r="G107" s="74" t="n"/>
      <c r="H107" s="74" t="n"/>
      <c r="I107" s="112" t="n"/>
    </row>
    <row r="108" ht="15.75" customHeight="1">
      <c r="B108" s="137" t="n"/>
      <c r="C108" s="123" t="n"/>
      <c r="D108" s="124" t="n"/>
      <c r="E108" s="123" t="n"/>
      <c r="F108" s="125" t="n"/>
      <c r="G108" s="65" t="n"/>
      <c r="H108" s="65" t="n"/>
      <c r="I108" s="100" t="n"/>
    </row>
    <row r="109" ht="15.75" customHeight="1">
      <c r="B109" s="137" t="n"/>
      <c r="C109" s="127" t="n"/>
      <c r="D109" s="126" t="n"/>
      <c r="E109" s="127" t="n"/>
      <c r="F109" s="128" t="n"/>
      <c r="G109" s="74" t="n"/>
      <c r="H109" s="74" t="n"/>
      <c r="I109" s="112" t="n"/>
    </row>
    <row r="110" ht="15.75" customHeight="1">
      <c r="B110" s="137" t="n"/>
      <c r="C110" s="123" t="n"/>
      <c r="D110" s="124" t="n"/>
      <c r="E110" s="123" t="n"/>
      <c r="F110" s="125" t="n"/>
      <c r="G110" s="65" t="n"/>
      <c r="H110" s="65" t="n"/>
      <c r="I110" s="100" t="n"/>
    </row>
    <row r="111" ht="15.75" customHeight="1">
      <c r="B111" s="137" t="n"/>
      <c r="C111" s="127" t="n"/>
      <c r="D111" s="126" t="n"/>
      <c r="E111" s="127" t="n"/>
      <c r="F111" s="128" t="n"/>
      <c r="G111" s="74" t="n"/>
      <c r="H111" s="74" t="n"/>
      <c r="I111" s="112" t="n"/>
    </row>
    <row r="112" ht="15.75" customHeight="1">
      <c r="B112" s="137" t="n"/>
      <c r="C112" s="123" t="n"/>
      <c r="D112" s="124" t="n"/>
      <c r="E112" s="123" t="n"/>
      <c r="F112" s="125" t="n"/>
      <c r="G112" s="65" t="n"/>
      <c r="H112" s="65" t="n"/>
      <c r="I112" s="100" t="n"/>
    </row>
    <row r="113" ht="15.75" customHeight="1">
      <c r="B113" s="137" t="n"/>
      <c r="C113" s="127" t="n"/>
      <c r="D113" s="126" t="n"/>
      <c r="E113" s="127" t="n"/>
      <c r="F113" s="128" t="n"/>
      <c r="G113" s="74" t="n"/>
      <c r="H113" s="74" t="n"/>
      <c r="I113" s="112" t="n"/>
    </row>
    <row r="114" ht="15.75" customHeight="1">
      <c r="B114" s="137" t="n"/>
      <c r="C114" s="123" t="n"/>
      <c r="D114" s="124" t="n"/>
      <c r="E114" s="123" t="n"/>
      <c r="F114" s="125" t="n"/>
      <c r="G114" s="65" t="n"/>
      <c r="H114" s="65" t="n"/>
      <c r="I114" s="100" t="n"/>
    </row>
    <row r="115" ht="15.75" customHeight="1">
      <c r="B115" s="137" t="n"/>
      <c r="C115" s="127" t="n"/>
      <c r="D115" s="126" t="n"/>
      <c r="E115" s="127" t="n"/>
      <c r="F115" s="128" t="n"/>
      <c r="G115" s="74" t="n"/>
      <c r="H115" s="74" t="n"/>
      <c r="I115" s="112" t="n"/>
    </row>
    <row r="116" ht="15.75" customHeight="1">
      <c r="B116" s="137" t="n"/>
      <c r="C116" s="123" t="n"/>
      <c r="D116" s="124" t="n"/>
      <c r="E116" s="123" t="n"/>
      <c r="F116" s="125" t="n"/>
      <c r="G116" s="65" t="n"/>
      <c r="H116" s="65" t="n"/>
      <c r="I116" s="100" t="n"/>
    </row>
    <row r="117" ht="15.75" customHeight="1">
      <c r="B117" s="137" t="n"/>
      <c r="C117" s="127" t="n"/>
      <c r="D117" s="126" t="n"/>
      <c r="E117" s="127" t="n"/>
      <c r="F117" s="128" t="n"/>
      <c r="G117" s="74" t="n"/>
      <c r="H117" s="74" t="n"/>
      <c r="I117" s="112" t="n"/>
    </row>
    <row r="118" ht="15.75" customHeight="1">
      <c r="B118" s="137" t="n"/>
      <c r="C118" s="123" t="n"/>
      <c r="D118" s="124" t="n"/>
      <c r="E118" s="123" t="n"/>
      <c r="F118" s="125" t="n"/>
      <c r="G118" s="65" t="n"/>
      <c r="H118" s="65" t="n"/>
      <c r="I118" s="100" t="n"/>
    </row>
    <row r="119" ht="15.75" customHeight="1">
      <c r="B119" s="137" t="n"/>
      <c r="C119" s="127" t="n"/>
      <c r="D119" s="126" t="n"/>
      <c r="E119" s="127" t="n"/>
      <c r="F119" s="128" t="n"/>
      <c r="G119" s="74" t="n"/>
      <c r="H119" s="74" t="n"/>
      <c r="I119" s="112" t="n"/>
    </row>
    <row r="120" ht="15.75" customHeight="1">
      <c r="B120" s="137" t="n"/>
      <c r="C120" s="123" t="n"/>
      <c r="D120" s="124" t="n"/>
      <c r="E120" s="123" t="n"/>
      <c r="F120" s="125" t="n"/>
      <c r="G120" s="65" t="n"/>
      <c r="H120" s="65" t="n"/>
      <c r="I120" s="100" t="n"/>
    </row>
    <row r="121" ht="15.75" customHeight="1">
      <c r="B121" s="137" t="n"/>
      <c r="C121" s="127" t="n"/>
      <c r="D121" s="126" t="n"/>
      <c r="E121" s="127" t="n"/>
      <c r="F121" s="128" t="n"/>
      <c r="G121" s="74" t="n"/>
      <c r="H121" s="74" t="n"/>
      <c r="I121" s="112" t="n"/>
    </row>
    <row r="122" ht="15.75" customHeight="1">
      <c r="B122" s="137" t="n"/>
      <c r="C122" s="123" t="n"/>
      <c r="D122" s="124" t="n"/>
      <c r="E122" s="123" t="n"/>
      <c r="F122" s="125" t="n"/>
      <c r="G122" s="65" t="n"/>
      <c r="H122" s="65" t="n"/>
      <c r="I122" s="100" t="n"/>
    </row>
    <row r="123" ht="15.75" customHeight="1">
      <c r="B123" s="137" t="n"/>
      <c r="C123" s="127" t="n"/>
      <c r="D123" s="126" t="n"/>
      <c r="E123" s="127" t="n"/>
      <c r="F123" s="128" t="n"/>
      <c r="G123" s="74" t="n"/>
      <c r="H123" s="74" t="n"/>
      <c r="I123" s="112" t="n"/>
    </row>
    <row r="124" ht="15.75" customHeight="1">
      <c r="B124" s="137" t="n"/>
      <c r="C124" s="123" t="n"/>
      <c r="D124" s="124" t="n"/>
      <c r="E124" s="123" t="n"/>
      <c r="F124" s="125" t="n"/>
      <c r="G124" s="65" t="n"/>
      <c r="H124" s="65" t="n"/>
      <c r="I124" s="100" t="n"/>
    </row>
    <row r="125" ht="15.75" customHeight="1">
      <c r="B125" s="137" t="n"/>
      <c r="C125" s="127" t="n"/>
      <c r="D125" s="126" t="n"/>
      <c r="E125" s="127" t="n"/>
      <c r="F125" s="128" t="n"/>
      <c r="G125" s="74" t="n"/>
      <c r="H125" s="74" t="n"/>
      <c r="I125" s="112" t="n"/>
    </row>
    <row r="126" ht="15.75" customHeight="1">
      <c r="B126" s="137" t="n"/>
      <c r="C126" s="123" t="n"/>
      <c r="D126" s="124" t="n"/>
      <c r="E126" s="123" t="n"/>
      <c r="F126" s="125" t="n"/>
      <c r="G126" s="65" t="n"/>
      <c r="H126" s="65" t="n"/>
      <c r="I126" s="100" t="n"/>
    </row>
    <row r="127" ht="15.75" customHeight="1">
      <c r="B127" s="137" t="n"/>
      <c r="C127" s="127" t="n"/>
      <c r="D127" s="126" t="n"/>
      <c r="E127" s="127" t="n"/>
      <c r="F127" s="128" t="n"/>
      <c r="G127" s="74" t="n"/>
      <c r="H127" s="74" t="n"/>
      <c r="I127" s="112" t="n"/>
    </row>
    <row r="128" ht="15.75" customHeight="1">
      <c r="B128" s="137" t="n"/>
      <c r="C128" s="123" t="n"/>
      <c r="D128" s="124" t="n"/>
      <c r="E128" s="123" t="n"/>
      <c r="F128" s="125" t="n"/>
      <c r="G128" s="65" t="n"/>
      <c r="H128" s="65" t="n"/>
      <c r="I128" s="100" t="n"/>
    </row>
    <row r="129" ht="15.75" customHeight="1">
      <c r="B129" s="137" t="n"/>
      <c r="C129" s="127" t="n"/>
      <c r="D129" s="126" t="n"/>
      <c r="E129" s="127" t="n"/>
      <c r="F129" s="128" t="n"/>
      <c r="G129" s="74" t="n"/>
      <c r="H129" s="74" t="n"/>
      <c r="I129" s="112" t="n"/>
    </row>
    <row r="130" ht="15.75" customHeight="1">
      <c r="B130" s="137" t="n"/>
      <c r="C130" s="123" t="n"/>
      <c r="D130" s="124" t="n"/>
      <c r="E130" s="123" t="n"/>
      <c r="F130" s="125" t="n"/>
      <c r="G130" s="65" t="n"/>
      <c r="H130" s="65" t="n"/>
      <c r="I130" s="100" t="n"/>
    </row>
    <row r="131" ht="15.75" customHeight="1">
      <c r="B131" s="137" t="n"/>
      <c r="C131" s="127" t="n"/>
      <c r="D131" s="126" t="n"/>
      <c r="E131" s="127" t="n"/>
      <c r="F131" s="128" t="n"/>
      <c r="G131" s="74" t="n"/>
      <c r="H131" s="74" t="n"/>
      <c r="I131" s="112" t="n"/>
    </row>
    <row r="132" ht="15.75" customHeight="1">
      <c r="B132" s="137" t="n"/>
      <c r="C132" s="123" t="n"/>
      <c r="D132" s="124" t="n"/>
      <c r="E132" s="123" t="n"/>
      <c r="F132" s="125" t="n"/>
      <c r="G132" s="65" t="n"/>
      <c r="H132" s="65" t="n"/>
      <c r="I132" s="100" t="n"/>
    </row>
    <row r="133" ht="15.75" customHeight="1">
      <c r="B133" s="137" t="n"/>
      <c r="C133" s="127" t="n"/>
      <c r="D133" s="126" t="n"/>
      <c r="E133" s="127" t="n"/>
      <c r="F133" s="128" t="n"/>
      <c r="G133" s="74" t="n"/>
      <c r="H133" s="74" t="n"/>
      <c r="I133" s="112" t="n"/>
    </row>
    <row r="134" ht="15.75" customHeight="1">
      <c r="B134" s="137" t="n"/>
      <c r="C134" s="123" t="n"/>
      <c r="D134" s="124" t="n"/>
      <c r="E134" s="123" t="n"/>
      <c r="F134" s="125" t="n"/>
      <c r="G134" s="65" t="n"/>
      <c r="H134" s="65" t="n"/>
      <c r="I134" s="100" t="n"/>
    </row>
    <row r="135" ht="15.75" customHeight="1">
      <c r="B135" s="137" t="n"/>
      <c r="C135" s="127" t="n"/>
      <c r="D135" s="126" t="n"/>
      <c r="E135" s="127" t="n"/>
      <c r="F135" s="128" t="n"/>
      <c r="G135" s="74" t="n"/>
      <c r="H135" s="74" t="n"/>
      <c r="I135" s="112" t="n"/>
    </row>
    <row r="136" ht="15.75" customHeight="1">
      <c r="B136" s="137" t="n"/>
      <c r="C136" s="123" t="n"/>
      <c r="D136" s="124" t="n"/>
      <c r="E136" s="123" t="n"/>
      <c r="F136" s="125" t="n"/>
      <c r="G136" s="65" t="n"/>
      <c r="H136" s="65" t="n"/>
      <c r="I136" s="100" t="n"/>
    </row>
    <row r="137" ht="15.75" customHeight="1">
      <c r="B137" s="137" t="n"/>
      <c r="C137" s="127" t="n"/>
      <c r="D137" s="126" t="n"/>
      <c r="E137" s="127" t="n"/>
      <c r="F137" s="128" t="n"/>
      <c r="G137" s="74" t="n"/>
      <c r="H137" s="74" t="n"/>
      <c r="I137" s="112" t="n"/>
    </row>
    <row r="138" ht="15.75" customHeight="1">
      <c r="B138" s="137" t="n"/>
      <c r="C138" s="123" t="n"/>
      <c r="D138" s="124" t="n"/>
      <c r="E138" s="123" t="n"/>
      <c r="F138" s="125" t="n"/>
      <c r="G138" s="65" t="n"/>
      <c r="H138" s="65" t="n"/>
      <c r="I138" s="100" t="n"/>
    </row>
    <row r="139" ht="15.75" customHeight="1">
      <c r="B139" s="137" t="n"/>
      <c r="C139" s="127" t="n"/>
      <c r="D139" s="126" t="n"/>
      <c r="E139" s="127" t="n"/>
      <c r="F139" s="128" t="n"/>
      <c r="G139" s="74" t="n"/>
      <c r="H139" s="74" t="n"/>
      <c r="I139" s="112" t="n"/>
    </row>
    <row r="140" ht="15.75" customHeight="1">
      <c r="B140" s="137" t="n"/>
      <c r="C140" s="123" t="n"/>
      <c r="D140" s="124" t="n"/>
      <c r="E140" s="123" t="n"/>
      <c r="F140" s="125" t="n"/>
      <c r="G140" s="65" t="n"/>
      <c r="H140" s="65" t="n"/>
      <c r="I140" s="100" t="n"/>
    </row>
    <row r="141" ht="15.75" customHeight="1">
      <c r="B141" s="137" t="n"/>
      <c r="C141" s="127" t="n"/>
      <c r="D141" s="126" t="n"/>
      <c r="E141" s="127" t="n"/>
      <c r="F141" s="128" t="n"/>
      <c r="G141" s="74" t="n"/>
      <c r="H141" s="74" t="n"/>
      <c r="I141" s="112" t="n"/>
    </row>
    <row r="142" ht="15.75" customHeight="1">
      <c r="B142" s="137" t="n"/>
      <c r="C142" s="123" t="n"/>
      <c r="D142" s="124" t="n"/>
      <c r="E142" s="123" t="n"/>
      <c r="F142" s="125" t="n"/>
      <c r="G142" s="65" t="n"/>
      <c r="H142" s="65" t="n"/>
      <c r="I142" s="100" t="n"/>
    </row>
    <row r="143" ht="15.75" customHeight="1">
      <c r="B143" s="137" t="n"/>
      <c r="C143" s="127" t="n"/>
      <c r="D143" s="126" t="n"/>
      <c r="E143" s="127" t="n"/>
      <c r="F143" s="128" t="n"/>
      <c r="G143" s="74" t="n"/>
      <c r="H143" s="74" t="n"/>
      <c r="I143" s="112" t="n"/>
    </row>
    <row r="144" ht="15.75" customHeight="1">
      <c r="B144" s="137" t="n"/>
      <c r="C144" s="123" t="n"/>
      <c r="D144" s="124" t="n"/>
      <c r="E144" s="123" t="n"/>
      <c r="F144" s="125" t="n"/>
      <c r="G144" s="65" t="n"/>
      <c r="H144" s="65" t="n"/>
      <c r="I144" s="100" t="n"/>
    </row>
    <row r="145" ht="15.75" customHeight="1">
      <c r="B145" s="137" t="n"/>
      <c r="C145" s="127" t="n"/>
      <c r="D145" s="126" t="n"/>
      <c r="E145" s="127" t="n"/>
      <c r="F145" s="128" t="n"/>
      <c r="G145" s="74" t="n"/>
      <c r="H145" s="74" t="n"/>
      <c r="I145" s="112" t="n"/>
    </row>
    <row r="146" ht="15.75" customHeight="1">
      <c r="B146" s="137" t="n"/>
      <c r="C146" s="123" t="n"/>
      <c r="D146" s="124" t="n"/>
      <c r="E146" s="123" t="n"/>
      <c r="F146" s="125" t="n"/>
      <c r="G146" s="65" t="n"/>
      <c r="H146" s="65" t="n"/>
      <c r="I146" s="100" t="n"/>
    </row>
    <row r="147" ht="15.75" customHeight="1">
      <c r="B147" s="137" t="n"/>
      <c r="C147" s="127" t="n"/>
      <c r="D147" s="126" t="n"/>
      <c r="E147" s="127" t="n"/>
      <c r="F147" s="128" t="n"/>
      <c r="G147" s="74" t="n"/>
      <c r="H147" s="74" t="n"/>
      <c r="I147" s="112" t="n"/>
    </row>
    <row r="148" ht="15.75" customHeight="1">
      <c r="B148" s="137" t="n"/>
      <c r="C148" s="123" t="n"/>
      <c r="D148" s="124" t="n"/>
      <c r="E148" s="123" t="n"/>
      <c r="F148" s="125" t="n"/>
      <c r="G148" s="65" t="n"/>
      <c r="H148" s="65" t="n"/>
      <c r="I148" s="100" t="n"/>
    </row>
    <row r="149" ht="15.75" customHeight="1">
      <c r="B149" s="137" t="n"/>
      <c r="C149" s="127" t="n"/>
      <c r="D149" s="126" t="n"/>
      <c r="E149" s="127" t="n"/>
      <c r="F149" s="128" t="n"/>
      <c r="G149" s="74" t="n"/>
      <c r="H149" s="74" t="n"/>
      <c r="I149" s="112" t="n"/>
    </row>
    <row r="150" ht="15.75" customHeight="1">
      <c r="B150" s="137" t="n"/>
      <c r="C150" s="123" t="n"/>
      <c r="D150" s="124" t="n"/>
      <c r="E150" s="123" t="n"/>
      <c r="F150" s="125" t="n"/>
      <c r="G150" s="65" t="n"/>
      <c r="H150" s="65" t="n"/>
      <c r="I150" s="100" t="n"/>
    </row>
    <row r="151" ht="15.75" customHeight="1">
      <c r="B151" s="137" t="n"/>
      <c r="C151" s="127" t="n"/>
      <c r="D151" s="126" t="n"/>
      <c r="E151" s="127" t="n"/>
      <c r="F151" s="128" t="n"/>
      <c r="G151" s="74" t="n"/>
      <c r="H151" s="74" t="n"/>
      <c r="I151" s="112" t="n"/>
    </row>
    <row r="152" ht="15.75" customHeight="1">
      <c r="B152" s="137" t="n"/>
      <c r="C152" s="123" t="n"/>
      <c r="D152" s="124" t="n"/>
      <c r="E152" s="123" t="n"/>
      <c r="F152" s="125" t="n"/>
      <c r="G152" s="65" t="n"/>
      <c r="H152" s="65" t="n"/>
      <c r="I152" s="100" t="n"/>
    </row>
    <row r="153" ht="15.75" customHeight="1">
      <c r="B153" s="137" t="n"/>
      <c r="C153" s="127" t="n"/>
      <c r="D153" s="126" t="n"/>
      <c r="E153" s="127" t="n"/>
      <c r="F153" s="128" t="n"/>
      <c r="G153" s="74" t="n"/>
      <c r="H153" s="74" t="n"/>
      <c r="I153" s="112" t="n"/>
    </row>
    <row r="154" ht="15.75" customHeight="1">
      <c r="B154" s="137" t="n"/>
      <c r="C154" s="123" t="n"/>
      <c r="D154" s="124" t="n"/>
      <c r="E154" s="123" t="n"/>
      <c r="F154" s="125" t="n"/>
      <c r="G154" s="65" t="n"/>
      <c r="H154" s="65" t="n"/>
      <c r="I154" s="100" t="n"/>
    </row>
    <row r="155" ht="15.75" customHeight="1">
      <c r="B155" s="137" t="n"/>
      <c r="C155" s="127" t="n"/>
      <c r="D155" s="126" t="n"/>
      <c r="E155" s="127" t="n"/>
      <c r="F155" s="128" t="n"/>
      <c r="G155" s="74" t="n"/>
      <c r="H155" s="74" t="n"/>
      <c r="I155" s="112" t="n"/>
    </row>
    <row r="156" ht="15.75" customHeight="1">
      <c r="B156" s="137" t="n"/>
      <c r="C156" s="123" t="n"/>
      <c r="D156" s="124" t="n"/>
      <c r="E156" s="123" t="n"/>
      <c r="F156" s="125" t="n"/>
      <c r="G156" s="65" t="n"/>
      <c r="H156" s="65" t="n"/>
      <c r="I156" s="100" t="n"/>
    </row>
    <row r="157" ht="15.75" customHeight="1">
      <c r="B157" s="137" t="n"/>
      <c r="C157" s="127" t="n"/>
      <c r="D157" s="126" t="n"/>
      <c r="E157" s="127" t="n"/>
      <c r="F157" s="128" t="n"/>
      <c r="G157" s="74" t="n"/>
      <c r="H157" s="74" t="n"/>
      <c r="I157" s="112" t="n"/>
    </row>
    <row r="158" ht="15.75" customHeight="1">
      <c r="B158" s="137" t="n"/>
      <c r="C158" s="123" t="n"/>
      <c r="D158" s="124" t="n"/>
      <c r="E158" s="123" t="n"/>
      <c r="F158" s="125" t="n"/>
      <c r="G158" s="65" t="n"/>
      <c r="H158" s="65" t="n"/>
      <c r="I158" s="100" t="n"/>
    </row>
    <row r="159" ht="15.75" customHeight="1">
      <c r="B159" s="137" t="n"/>
      <c r="C159" s="127" t="n"/>
      <c r="D159" s="126" t="n"/>
      <c r="E159" s="127" t="n"/>
      <c r="F159" s="128" t="n"/>
      <c r="G159" s="74" t="n"/>
      <c r="H159" s="74" t="n"/>
      <c r="I159" s="112" t="n"/>
    </row>
    <row r="160" ht="15.75" customHeight="1">
      <c r="B160" s="137" t="n"/>
      <c r="C160" s="123" t="n"/>
      <c r="D160" s="124" t="n"/>
      <c r="E160" s="123" t="n"/>
      <c r="F160" s="125" t="n"/>
      <c r="G160" s="65" t="n"/>
      <c r="H160" s="65" t="n"/>
      <c r="I160" s="100" t="n"/>
    </row>
    <row r="161" ht="15.75" customHeight="1">
      <c r="B161" s="137" t="n"/>
      <c r="C161" s="127" t="n"/>
      <c r="D161" s="126" t="n"/>
      <c r="E161" s="127" t="n"/>
      <c r="F161" s="128" t="n"/>
      <c r="G161" s="74" t="n"/>
      <c r="H161" s="74" t="n"/>
      <c r="I161" s="112" t="n"/>
    </row>
    <row r="162" ht="15.75" customHeight="1">
      <c r="B162" s="137" t="n"/>
      <c r="C162" s="123" t="n"/>
      <c r="D162" s="124" t="n"/>
      <c r="E162" s="123" t="n"/>
      <c r="F162" s="125" t="n"/>
      <c r="G162" s="65" t="n"/>
      <c r="H162" s="65" t="n"/>
      <c r="I162" s="100" t="n"/>
    </row>
    <row r="163" ht="15.75" customHeight="1">
      <c r="B163" s="137" t="n"/>
      <c r="C163" s="127" t="n"/>
      <c r="D163" s="126" t="n"/>
      <c r="E163" s="127" t="n"/>
      <c r="F163" s="128" t="n"/>
      <c r="G163" s="74" t="n"/>
      <c r="H163" s="74" t="n"/>
      <c r="I163" s="112" t="n"/>
    </row>
    <row r="164" ht="15.75" customHeight="1">
      <c r="B164" s="137" t="n"/>
      <c r="C164" s="123" t="n"/>
      <c r="D164" s="124" t="n"/>
      <c r="E164" s="123" t="n"/>
      <c r="F164" s="125" t="n"/>
      <c r="G164" s="65" t="n"/>
      <c r="H164" s="65" t="n"/>
      <c r="I164" s="100" t="n"/>
    </row>
    <row r="165" ht="15.75" customHeight="1">
      <c r="B165" s="137" t="n"/>
      <c r="C165" s="127" t="n"/>
      <c r="D165" s="126" t="n"/>
      <c r="E165" s="127" t="n"/>
      <c r="F165" s="128" t="n"/>
      <c r="G165" s="74" t="n"/>
      <c r="H165" s="74" t="n"/>
      <c r="I165" s="112" t="n"/>
    </row>
    <row r="166" ht="15.75" customHeight="1">
      <c r="B166" s="137" t="n"/>
      <c r="C166" s="123" t="n"/>
      <c r="D166" s="124" t="n"/>
      <c r="E166" s="123" t="n"/>
      <c r="F166" s="125" t="n"/>
      <c r="G166" s="65" t="n"/>
      <c r="H166" s="65" t="n"/>
      <c r="I166" s="100" t="n"/>
    </row>
    <row r="167" ht="15.75" customHeight="1">
      <c r="B167" s="137" t="n"/>
      <c r="C167" s="127" t="n"/>
      <c r="D167" s="126" t="n"/>
      <c r="E167" s="127" t="n"/>
      <c r="F167" s="128" t="n"/>
      <c r="G167" s="74" t="n"/>
      <c r="H167" s="74" t="n"/>
      <c r="I167" s="112" t="n"/>
    </row>
    <row r="168" ht="15.75" customHeight="1">
      <c r="B168" s="137" t="n"/>
      <c r="C168" s="123" t="n"/>
      <c r="D168" s="124" t="n"/>
      <c r="E168" s="123" t="n"/>
      <c r="F168" s="125" t="n"/>
      <c r="G168" s="65" t="n"/>
      <c r="H168" s="65" t="n"/>
      <c r="I168" s="100" t="n"/>
    </row>
    <row r="169" ht="15.75" customHeight="1">
      <c r="B169" s="137" t="n"/>
      <c r="C169" s="127" t="n"/>
      <c r="D169" s="126" t="n"/>
      <c r="E169" s="127" t="n"/>
      <c r="F169" s="128" t="n"/>
      <c r="G169" s="74" t="n"/>
      <c r="H169" s="74" t="n"/>
      <c r="I169" s="112" t="n"/>
    </row>
    <row r="170" ht="15.75" customHeight="1">
      <c r="B170" s="137" t="n"/>
      <c r="C170" s="123" t="n"/>
      <c r="D170" s="124" t="n"/>
      <c r="E170" s="123" t="n"/>
      <c r="F170" s="125" t="n"/>
      <c r="G170" s="65" t="n"/>
      <c r="H170" s="65" t="n"/>
      <c r="I170" s="100" t="n"/>
    </row>
    <row r="171" ht="15.75" customHeight="1">
      <c r="B171" s="137" t="n"/>
      <c r="C171" s="127" t="n"/>
      <c r="D171" s="126" t="n"/>
      <c r="E171" s="127" t="n"/>
      <c r="F171" s="128" t="n"/>
      <c r="G171" s="74" t="n"/>
      <c r="H171" s="74" t="n"/>
      <c r="I171" s="112" t="n"/>
    </row>
    <row r="172" ht="15.75" customHeight="1">
      <c r="B172" s="137" t="n"/>
      <c r="C172" s="123" t="n"/>
      <c r="D172" s="124" t="n"/>
      <c r="E172" s="123" t="n"/>
      <c r="F172" s="125" t="n"/>
      <c r="G172" s="65" t="n"/>
      <c r="H172" s="65" t="n"/>
      <c r="I172" s="100" t="n"/>
    </row>
    <row r="173" ht="15.75" customHeight="1">
      <c r="B173" s="137" t="n"/>
      <c r="C173" s="127" t="n"/>
      <c r="D173" s="126" t="n"/>
      <c r="E173" s="127" t="n"/>
      <c r="F173" s="128" t="n"/>
      <c r="G173" s="74" t="n"/>
      <c r="H173" s="74" t="n"/>
      <c r="I173" s="112" t="n"/>
    </row>
    <row r="174" ht="15.75" customHeight="1">
      <c r="B174" s="137" t="n"/>
      <c r="C174" s="123" t="n"/>
      <c r="D174" s="124" t="n"/>
      <c r="E174" s="123" t="n"/>
      <c r="F174" s="125" t="n"/>
      <c r="G174" s="65" t="n"/>
      <c r="H174" s="65" t="n"/>
      <c r="I174" s="100" t="n"/>
    </row>
    <row r="175" ht="15.75" customHeight="1">
      <c r="B175" s="137" t="n"/>
      <c r="C175" s="127" t="n"/>
      <c r="D175" s="126" t="n"/>
      <c r="E175" s="127" t="n"/>
      <c r="F175" s="128" t="n"/>
      <c r="G175" s="74" t="n"/>
      <c r="H175" s="74" t="n"/>
      <c r="I175" s="112" t="n"/>
    </row>
    <row r="176" ht="15.75" customHeight="1">
      <c r="B176" s="137" t="n"/>
      <c r="C176" s="123" t="n"/>
      <c r="D176" s="124" t="n"/>
      <c r="E176" s="123" t="n"/>
      <c r="F176" s="125" t="n"/>
      <c r="G176" s="65" t="n"/>
      <c r="H176" s="65" t="n"/>
      <c r="I176" s="100" t="n"/>
    </row>
    <row r="177" ht="15.75" customHeight="1">
      <c r="B177" s="137" t="n"/>
      <c r="C177" s="127" t="n"/>
      <c r="D177" s="126" t="n"/>
      <c r="E177" s="127" t="n"/>
      <c r="F177" s="128" t="n"/>
      <c r="G177" s="74" t="n"/>
      <c r="H177" s="74" t="n"/>
      <c r="I177" s="112" t="n"/>
    </row>
    <row r="178" ht="15.75" customHeight="1">
      <c r="B178" s="137" t="n"/>
      <c r="C178" s="123" t="n"/>
      <c r="D178" s="124" t="n"/>
      <c r="E178" s="123" t="n"/>
      <c r="F178" s="125" t="n"/>
      <c r="G178" s="65" t="n"/>
      <c r="H178" s="65" t="n"/>
      <c r="I178" s="100" t="n"/>
    </row>
    <row r="179" ht="15.75" customHeight="1">
      <c r="B179" s="137" t="n"/>
      <c r="C179" s="127" t="n"/>
      <c r="D179" s="126" t="n"/>
      <c r="E179" s="127" t="n"/>
      <c r="F179" s="128" t="n"/>
      <c r="G179" s="74" t="n"/>
      <c r="H179" s="74" t="n"/>
      <c r="I179" s="112" t="n"/>
    </row>
    <row r="180" ht="15.75" customHeight="1">
      <c r="B180" s="137" t="n"/>
      <c r="C180" s="123" t="n"/>
      <c r="D180" s="124" t="n"/>
      <c r="E180" s="123" t="n"/>
      <c r="F180" s="125" t="n"/>
      <c r="G180" s="65" t="n"/>
      <c r="H180" s="65" t="n"/>
      <c r="I180" s="100" t="n"/>
    </row>
    <row r="181" ht="15.75" customHeight="1">
      <c r="B181" s="137" t="n"/>
      <c r="C181" s="127" t="n"/>
      <c r="D181" s="126" t="n"/>
      <c r="E181" s="127" t="n"/>
      <c r="F181" s="128" t="n"/>
      <c r="G181" s="74" t="n"/>
      <c r="H181" s="74" t="n"/>
      <c r="I181" s="112" t="n"/>
    </row>
    <row r="182" ht="15.75" customHeight="1">
      <c r="B182" s="137" t="n"/>
      <c r="C182" s="123" t="n"/>
      <c r="D182" s="124" t="n"/>
      <c r="E182" s="123" t="n"/>
      <c r="F182" s="125" t="n"/>
      <c r="G182" s="65" t="n"/>
      <c r="H182" s="65" t="n"/>
      <c r="I182" s="100" t="n"/>
    </row>
    <row r="183" ht="15.75" customHeight="1">
      <c r="B183" s="137" t="n"/>
      <c r="C183" s="127" t="n"/>
      <c r="D183" s="126" t="n"/>
      <c r="E183" s="127" t="n"/>
      <c r="F183" s="128" t="n"/>
      <c r="G183" s="74" t="n"/>
      <c r="H183" s="74" t="n"/>
      <c r="I183" s="112" t="n"/>
    </row>
    <row r="184" ht="15.75" customHeight="1">
      <c r="B184" s="137" t="n"/>
      <c r="C184" s="123" t="n"/>
      <c r="D184" s="124" t="n"/>
      <c r="E184" s="123" t="n"/>
      <c r="F184" s="125" t="n"/>
      <c r="G184" s="65" t="n"/>
      <c r="H184" s="65" t="n"/>
      <c r="I184" s="100" t="n"/>
    </row>
    <row r="185" ht="15.75" customHeight="1">
      <c r="B185" s="137" t="n"/>
      <c r="C185" s="127" t="n"/>
      <c r="D185" s="126" t="n"/>
      <c r="E185" s="127" t="n"/>
      <c r="F185" s="128" t="n"/>
      <c r="G185" s="74" t="n"/>
      <c r="H185" s="74" t="n"/>
      <c r="I185" s="112" t="n"/>
    </row>
    <row r="186" ht="15.75" customHeight="1">
      <c r="B186" s="137" t="n"/>
      <c r="C186" s="123" t="n"/>
      <c r="D186" s="124" t="n"/>
      <c r="E186" s="123" t="n"/>
      <c r="F186" s="125" t="n"/>
      <c r="G186" s="65" t="n"/>
      <c r="H186" s="65" t="n"/>
      <c r="I186" s="100" t="n"/>
    </row>
    <row r="187" ht="15.75" customHeight="1">
      <c r="B187" s="137" t="n"/>
      <c r="C187" s="127" t="n"/>
      <c r="D187" s="126" t="n"/>
      <c r="E187" s="127" t="n"/>
      <c r="F187" s="128" t="n"/>
      <c r="G187" s="74" t="n"/>
      <c r="H187" s="74" t="n"/>
      <c r="I187" s="112" t="n"/>
    </row>
    <row r="188" ht="15.75" customHeight="1">
      <c r="B188" s="137" t="n"/>
      <c r="C188" s="123" t="n"/>
      <c r="D188" s="124" t="n"/>
      <c r="E188" s="123" t="n"/>
      <c r="F188" s="125" t="n"/>
      <c r="G188" s="65" t="n"/>
      <c r="H188" s="65" t="n"/>
      <c r="I188" s="100" t="n"/>
    </row>
    <row r="189" ht="15.75" customHeight="1">
      <c r="B189" s="137" t="n"/>
      <c r="C189" s="127" t="n"/>
      <c r="D189" s="126" t="n"/>
      <c r="E189" s="127" t="n"/>
      <c r="F189" s="128" t="n"/>
      <c r="G189" s="74" t="n"/>
      <c r="H189" s="74" t="n"/>
      <c r="I189" s="112" t="n"/>
    </row>
    <row r="190" ht="15.75" customHeight="1">
      <c r="B190" s="137" t="n"/>
      <c r="C190" s="123" t="n"/>
      <c r="D190" s="124" t="n"/>
      <c r="E190" s="123" t="n"/>
      <c r="F190" s="125" t="n"/>
      <c r="G190" s="65" t="n"/>
      <c r="H190" s="65" t="n"/>
      <c r="I190" s="100" t="n"/>
    </row>
    <row r="191" ht="15.75" customHeight="1">
      <c r="B191" s="137" t="n"/>
      <c r="C191" s="127" t="n"/>
      <c r="D191" s="126" t="n"/>
      <c r="E191" s="127" t="n"/>
      <c r="F191" s="128" t="n"/>
      <c r="G191" s="74" t="n"/>
      <c r="H191" s="74" t="n"/>
      <c r="I191" s="112" t="n"/>
    </row>
    <row r="192" ht="15.75" customHeight="1">
      <c r="B192" s="137" t="n"/>
      <c r="C192" s="123" t="n"/>
      <c r="D192" s="124" t="n"/>
      <c r="E192" s="123" t="n"/>
      <c r="F192" s="125" t="n"/>
      <c r="G192" s="65" t="n"/>
      <c r="H192" s="65" t="n"/>
      <c r="I192" s="100" t="n"/>
    </row>
    <row r="193" ht="15.75" customHeight="1">
      <c r="B193" s="137" t="n"/>
      <c r="C193" s="127" t="n"/>
      <c r="D193" s="126" t="n"/>
      <c r="E193" s="127" t="n"/>
      <c r="F193" s="128" t="n"/>
      <c r="G193" s="74" t="n"/>
      <c r="H193" s="74" t="n"/>
      <c r="I193" s="112" t="n"/>
    </row>
    <row r="194" ht="15.75" customHeight="1">
      <c r="B194" s="137" t="n"/>
      <c r="C194" s="123" t="n"/>
      <c r="D194" s="124" t="n"/>
      <c r="E194" s="123" t="n"/>
      <c r="F194" s="125" t="n"/>
      <c r="G194" s="65" t="n"/>
      <c r="H194" s="65" t="n"/>
      <c r="I194" s="100" t="n"/>
    </row>
    <row r="195" ht="15.75" customHeight="1">
      <c r="B195" s="137" t="n"/>
      <c r="C195" s="127" t="n"/>
      <c r="D195" s="126" t="n"/>
      <c r="E195" s="127" t="n"/>
      <c r="F195" s="128" t="n"/>
      <c r="G195" s="74" t="n"/>
      <c r="H195" s="74" t="n"/>
      <c r="I195" s="112" t="n"/>
    </row>
    <row r="196" ht="15.75" customHeight="1">
      <c r="B196" s="137" t="n"/>
      <c r="C196" s="123" t="n"/>
      <c r="D196" s="124" t="n"/>
      <c r="E196" s="123" t="n"/>
      <c r="F196" s="125" t="n"/>
      <c r="G196" s="65" t="n"/>
      <c r="H196" s="65" t="n"/>
      <c r="I196" s="100" t="n"/>
    </row>
    <row r="197" ht="15.75" customHeight="1">
      <c r="B197" s="137" t="n"/>
      <c r="C197" s="127" t="n"/>
      <c r="D197" s="126" t="n"/>
      <c r="E197" s="127" t="n"/>
      <c r="F197" s="128" t="n"/>
      <c r="G197" s="74" t="n"/>
      <c r="H197" s="74" t="n"/>
      <c r="I197" s="112" t="n"/>
    </row>
    <row r="198" ht="15.75" customHeight="1">
      <c r="B198" s="137" t="n"/>
      <c r="C198" s="123" t="n"/>
      <c r="D198" s="124" t="n"/>
      <c r="E198" s="123" t="n"/>
      <c r="F198" s="125" t="n"/>
      <c r="G198" s="65" t="n"/>
      <c r="H198" s="65" t="n"/>
      <c r="I198" s="100" t="n"/>
    </row>
    <row r="199" ht="15.75" customHeight="1">
      <c r="B199" s="137" t="n"/>
      <c r="C199" s="127" t="n"/>
      <c r="D199" s="126" t="n"/>
      <c r="E199" s="127" t="n"/>
      <c r="F199" s="128" t="n"/>
      <c r="G199" s="74" t="n"/>
      <c r="H199" s="74" t="n"/>
      <c r="I199" s="112" t="n"/>
    </row>
    <row r="200" ht="15.75" customHeight="1">
      <c r="B200" s="137" t="n"/>
      <c r="C200" s="123" t="n"/>
      <c r="D200" s="124" t="n"/>
      <c r="E200" s="123" t="n"/>
      <c r="F200" s="125" t="n"/>
      <c r="G200" s="65" t="n"/>
      <c r="H200" s="65" t="n"/>
      <c r="I200" s="100" t="n"/>
    </row>
    <row r="201" ht="15.75" customHeight="1">
      <c r="B201" s="137" t="n"/>
      <c r="C201" s="127" t="n"/>
      <c r="D201" s="126" t="n"/>
      <c r="E201" s="127" t="n"/>
      <c r="F201" s="128" t="n"/>
      <c r="G201" s="74" t="n"/>
      <c r="H201" s="74" t="n"/>
      <c r="I201" s="112" t="n"/>
    </row>
    <row r="202" ht="15.75" customHeight="1">
      <c r="B202" s="137" t="n"/>
      <c r="C202" s="123" t="n"/>
      <c r="D202" s="124" t="n"/>
      <c r="E202" s="123" t="n"/>
      <c r="F202" s="125" t="n"/>
      <c r="G202" s="65" t="n"/>
      <c r="H202" s="65" t="n"/>
      <c r="I202" s="100" t="n"/>
    </row>
    <row r="203" ht="15.75" customHeight="1">
      <c r="B203" s="137" t="n"/>
      <c r="C203" s="127" t="n"/>
      <c r="D203" s="126" t="n"/>
      <c r="E203" s="127" t="n"/>
      <c r="F203" s="128" t="n"/>
      <c r="G203" s="74" t="n"/>
      <c r="H203" s="74" t="n"/>
      <c r="I203" s="112" t="n"/>
    </row>
    <row r="204" ht="15.75" customHeight="1">
      <c r="B204" s="137" t="n"/>
      <c r="C204" s="123" t="n"/>
      <c r="D204" s="124" t="n"/>
      <c r="E204" s="123" t="n"/>
      <c r="F204" s="125" t="n"/>
      <c r="G204" s="65" t="n"/>
      <c r="H204" s="65" t="n"/>
      <c r="I204" s="100" t="n"/>
    </row>
    <row r="205" ht="15.75" customHeight="1">
      <c r="B205" s="137" t="n"/>
      <c r="C205" s="127" t="n"/>
      <c r="D205" s="126" t="n"/>
      <c r="E205" s="127" t="n"/>
      <c r="F205" s="128" t="n"/>
      <c r="G205" s="74" t="n"/>
      <c r="H205" s="74" t="n"/>
      <c r="I205" s="112" t="n"/>
    </row>
    <row r="206" ht="15.75" customHeight="1">
      <c r="B206" s="137" t="n"/>
      <c r="C206" s="123" t="n"/>
      <c r="D206" s="124" t="n"/>
      <c r="E206" s="123" t="n"/>
      <c r="F206" s="125" t="n"/>
      <c r="G206" s="65" t="n"/>
      <c r="H206" s="65" t="n"/>
      <c r="I206" s="100" t="n"/>
    </row>
    <row r="207" ht="15.75" customHeight="1">
      <c r="B207" s="137" t="n"/>
      <c r="C207" s="127" t="n"/>
      <c r="D207" s="126" t="n"/>
      <c r="E207" s="127" t="n"/>
      <c r="F207" s="128" t="n"/>
      <c r="G207" s="74" t="n"/>
      <c r="H207" s="74" t="n"/>
      <c r="I207" s="112" t="n"/>
    </row>
    <row r="208" ht="15.75" customHeight="1">
      <c r="B208" s="137" t="n"/>
      <c r="C208" s="123" t="n"/>
      <c r="D208" s="124" t="n"/>
      <c r="E208" s="123" t="n"/>
      <c r="F208" s="125" t="n"/>
      <c r="G208" s="65" t="n"/>
      <c r="H208" s="65" t="n"/>
      <c r="I208" s="100" t="n"/>
    </row>
    <row r="209" ht="15.75" customHeight="1">
      <c r="B209" s="137" t="n"/>
      <c r="C209" s="127" t="n"/>
      <c r="D209" s="126" t="n"/>
      <c r="E209" s="127" t="n"/>
      <c r="F209" s="128" t="n"/>
      <c r="G209" s="74" t="n"/>
      <c r="H209" s="74" t="n"/>
      <c r="I209" s="112" t="n"/>
    </row>
    <row r="210" ht="15.75" customHeight="1">
      <c r="B210" s="137" t="n"/>
      <c r="C210" s="123" t="n"/>
      <c r="D210" s="124" t="n"/>
      <c r="E210" s="123" t="n"/>
      <c r="F210" s="125" t="n"/>
      <c r="G210" s="65" t="n"/>
      <c r="H210" s="65" t="n"/>
      <c r="I210" s="100" t="n"/>
    </row>
    <row r="211" ht="15.75" customHeight="1">
      <c r="B211" s="137" t="n"/>
      <c r="C211" s="127" t="n"/>
      <c r="D211" s="126" t="n"/>
      <c r="E211" s="127" t="n"/>
      <c r="F211" s="128" t="n"/>
      <c r="G211" s="74" t="n"/>
      <c r="H211" s="74" t="n"/>
      <c r="I211" s="112" t="n"/>
    </row>
    <row r="212" ht="15.75" customHeight="1">
      <c r="B212" s="137" t="n"/>
      <c r="C212" s="123" t="n"/>
      <c r="D212" s="124" t="n"/>
      <c r="E212" s="123" t="n"/>
      <c r="F212" s="125" t="n"/>
      <c r="G212" s="65" t="n"/>
      <c r="H212" s="65" t="n"/>
      <c r="I212" s="100" t="n"/>
    </row>
    <row r="213" ht="15.75" customHeight="1">
      <c r="B213" s="137" t="n"/>
      <c r="C213" s="127" t="n"/>
      <c r="D213" s="126" t="n"/>
      <c r="E213" s="127" t="n"/>
      <c r="F213" s="128" t="n"/>
      <c r="G213" s="74" t="n"/>
      <c r="H213" s="74" t="n"/>
      <c r="I213" s="112" t="n"/>
    </row>
    <row r="214" ht="15.75" customHeight="1">
      <c r="B214" s="137" t="n"/>
      <c r="C214" s="123" t="n"/>
      <c r="D214" s="124" t="n"/>
      <c r="E214" s="123" t="n"/>
      <c r="F214" s="125" t="n"/>
      <c r="G214" s="65" t="n"/>
      <c r="H214" s="65" t="n"/>
      <c r="I214" s="100" t="n"/>
    </row>
    <row r="215" ht="15.75" customHeight="1">
      <c r="B215" s="137" t="n"/>
      <c r="C215" s="127" t="n"/>
      <c r="D215" s="126" t="n"/>
      <c r="E215" s="127" t="n"/>
      <c r="F215" s="128" t="n"/>
      <c r="G215" s="74" t="n"/>
      <c r="H215" s="74" t="n"/>
      <c r="I215" s="112" t="n"/>
    </row>
    <row r="216" ht="15.75" customHeight="1">
      <c r="B216" s="137" t="n"/>
      <c r="C216" s="123" t="n"/>
      <c r="D216" s="124" t="n"/>
      <c r="E216" s="123" t="n"/>
      <c r="F216" s="125" t="n"/>
      <c r="G216" s="65" t="n"/>
      <c r="H216" s="65" t="n"/>
      <c r="I216" s="100" t="n"/>
    </row>
    <row r="217" ht="15.75" customHeight="1">
      <c r="B217" s="137" t="n"/>
      <c r="C217" s="127" t="n"/>
      <c r="D217" s="126" t="n"/>
      <c r="E217" s="127" t="n"/>
      <c r="F217" s="128" t="n"/>
      <c r="G217" s="74" t="n"/>
      <c r="H217" s="74" t="n"/>
      <c r="I217" s="112" t="n"/>
    </row>
    <row r="218" ht="15.75" customHeight="1">
      <c r="B218" s="137" t="n"/>
      <c r="C218" s="123" t="n"/>
      <c r="D218" s="124" t="n"/>
      <c r="E218" s="123" t="n"/>
      <c r="F218" s="125" t="n"/>
      <c r="G218" s="65" t="n"/>
      <c r="H218" s="65" t="n"/>
      <c r="I218" s="100" t="n"/>
    </row>
    <row r="219" ht="15.75" customHeight="1">
      <c r="B219" s="137" t="n"/>
      <c r="C219" s="127" t="n"/>
      <c r="D219" s="126" t="n"/>
      <c r="E219" s="127" t="n"/>
      <c r="F219" s="128" t="n"/>
      <c r="G219" s="74" t="n"/>
      <c r="H219" s="74" t="n"/>
      <c r="I219" s="112" t="n"/>
    </row>
    <row r="220" ht="15.75" customHeight="1">
      <c r="B220" s="137" t="n"/>
      <c r="C220" s="123" t="n"/>
      <c r="D220" s="124" t="n"/>
      <c r="E220" s="123" t="n"/>
      <c r="F220" s="125" t="n"/>
      <c r="G220" s="65" t="n"/>
      <c r="H220" s="65" t="n"/>
      <c r="I220" s="100" t="n"/>
    </row>
    <row r="221" ht="15.75" customHeight="1">
      <c r="B221" s="137" t="n"/>
      <c r="C221" s="127" t="n"/>
      <c r="D221" s="126" t="n"/>
      <c r="E221" s="127" t="n"/>
      <c r="F221" s="128" t="n"/>
      <c r="G221" s="74" t="n"/>
      <c r="H221" s="74" t="n"/>
      <c r="I221" s="112" t="n"/>
    </row>
    <row r="222" ht="15.75" customHeight="1">
      <c r="B222" s="137" t="n"/>
      <c r="C222" s="123" t="n"/>
      <c r="D222" s="124" t="n"/>
      <c r="E222" s="123" t="n"/>
      <c r="F222" s="125" t="n"/>
      <c r="G222" s="65" t="n"/>
      <c r="H222" s="65" t="n"/>
      <c r="I222" s="100" t="n"/>
    </row>
    <row r="223" ht="15.75" customHeight="1">
      <c r="B223" s="137" t="n"/>
      <c r="C223" s="127" t="n"/>
      <c r="D223" s="126" t="n"/>
      <c r="E223" s="127" t="n"/>
      <c r="F223" s="128" t="n"/>
      <c r="G223" s="74" t="n"/>
      <c r="H223" s="74" t="n"/>
      <c r="I223" s="112" t="n"/>
    </row>
    <row r="224" ht="15.75" customHeight="1">
      <c r="B224" s="137" t="n"/>
      <c r="C224" s="123" t="n"/>
      <c r="D224" s="124" t="n"/>
      <c r="E224" s="123" t="n"/>
      <c r="F224" s="125" t="n"/>
      <c r="G224" s="65" t="n"/>
      <c r="H224" s="65" t="n"/>
      <c r="I224" s="100" t="n"/>
    </row>
    <row r="225" ht="15.75" customHeight="1">
      <c r="B225" s="137" t="n"/>
      <c r="C225" s="127" t="n"/>
      <c r="D225" s="126" t="n"/>
      <c r="E225" s="127" t="n"/>
      <c r="F225" s="128" t="n"/>
      <c r="G225" s="74" t="n"/>
      <c r="H225" s="74" t="n"/>
      <c r="I225" s="112" t="n"/>
    </row>
    <row r="226" ht="15.75" customHeight="1">
      <c r="B226" s="137" t="n"/>
      <c r="C226" s="123" t="n"/>
      <c r="D226" s="124" t="n"/>
      <c r="E226" s="123" t="n"/>
      <c r="F226" s="125" t="n"/>
      <c r="G226" s="65" t="n"/>
      <c r="H226" s="65" t="n"/>
      <c r="I226" s="100" t="n"/>
    </row>
    <row r="227" ht="15.75" customHeight="1">
      <c r="B227" s="137" t="n"/>
      <c r="C227" s="127" t="n"/>
      <c r="D227" s="126" t="n"/>
      <c r="E227" s="127" t="n"/>
      <c r="F227" s="128" t="n"/>
      <c r="G227" s="74" t="n"/>
      <c r="H227" s="74" t="n"/>
      <c r="I227" s="112" t="n"/>
    </row>
    <row r="228" ht="15.75" customHeight="1">
      <c r="B228" s="137" t="n"/>
      <c r="C228" s="123" t="n"/>
      <c r="D228" s="124" t="n"/>
      <c r="E228" s="123" t="n"/>
      <c r="F228" s="125" t="n"/>
      <c r="G228" s="65" t="n"/>
      <c r="H228" s="65" t="n"/>
      <c r="I228" s="100" t="n"/>
    </row>
    <row r="229" ht="15.75" customHeight="1">
      <c r="B229" s="137" t="n"/>
      <c r="C229" s="127" t="n"/>
      <c r="D229" s="126" t="n"/>
      <c r="E229" s="127" t="n"/>
      <c r="F229" s="128" t="n"/>
      <c r="G229" s="74" t="n"/>
      <c r="H229" s="74" t="n"/>
      <c r="I229" s="112" t="n"/>
    </row>
    <row r="230" ht="15.75" customHeight="1">
      <c r="B230" s="137" t="n"/>
      <c r="C230" s="123" t="n"/>
      <c r="D230" s="124" t="n"/>
      <c r="E230" s="123" t="n"/>
      <c r="F230" s="125" t="n"/>
      <c r="G230" s="65" t="n"/>
      <c r="H230" s="65" t="n"/>
      <c r="I230" s="100" t="n"/>
    </row>
    <row r="231" ht="15.75" customHeight="1">
      <c r="B231" s="137" t="n"/>
      <c r="C231" s="127" t="n"/>
      <c r="D231" s="126" t="n"/>
      <c r="E231" s="127" t="n"/>
      <c r="F231" s="128" t="n"/>
      <c r="G231" s="74" t="n"/>
      <c r="H231" s="74" t="n"/>
      <c r="I231" s="112" t="n"/>
    </row>
    <row r="232" ht="15.75" customHeight="1">
      <c r="B232" s="137" t="n"/>
      <c r="C232" s="123" t="n"/>
      <c r="D232" s="124" t="n"/>
      <c r="E232" s="123" t="n"/>
      <c r="F232" s="125" t="n"/>
      <c r="G232" s="65" t="n"/>
      <c r="H232" s="65" t="n"/>
      <c r="I232" s="100" t="n"/>
    </row>
    <row r="233" ht="15.75" customHeight="1">
      <c r="B233" s="137" t="n"/>
      <c r="C233" s="127" t="n"/>
      <c r="D233" s="126" t="n"/>
      <c r="E233" s="127" t="n"/>
      <c r="F233" s="128" t="n"/>
      <c r="G233" s="74" t="n"/>
      <c r="H233" s="74" t="n"/>
      <c r="I233" s="112" t="n"/>
    </row>
    <row r="234" ht="15.75" customHeight="1">
      <c r="B234" s="137" t="n"/>
      <c r="C234" s="123" t="n"/>
      <c r="D234" s="124" t="n"/>
      <c r="E234" s="123" t="n"/>
      <c r="F234" s="125" t="n"/>
      <c r="G234" s="65" t="n"/>
      <c r="H234" s="65" t="n"/>
      <c r="I234" s="100" t="n"/>
    </row>
    <row r="235" ht="15.75" customHeight="1">
      <c r="B235" s="137" t="n"/>
      <c r="C235" s="127" t="n"/>
      <c r="D235" s="126" t="n"/>
      <c r="E235" s="127" t="n"/>
      <c r="F235" s="128" t="n"/>
      <c r="G235" s="74" t="n"/>
      <c r="H235" s="74" t="n"/>
      <c r="I235" s="112" t="n"/>
    </row>
    <row r="236" ht="15.75" customHeight="1">
      <c r="B236" s="137" t="n"/>
      <c r="C236" s="123" t="n"/>
      <c r="D236" s="124" t="n"/>
      <c r="E236" s="123" t="n"/>
      <c r="F236" s="125" t="n"/>
      <c r="G236" s="65" t="n"/>
      <c r="H236" s="65" t="n"/>
      <c r="I236" s="100" t="n"/>
    </row>
    <row r="237" ht="15.75" customHeight="1">
      <c r="B237" s="137" t="n"/>
      <c r="C237" s="127" t="n"/>
      <c r="D237" s="126" t="n"/>
      <c r="E237" s="127" t="n"/>
      <c r="F237" s="128" t="n"/>
      <c r="G237" s="74" t="n"/>
      <c r="H237" s="74" t="n"/>
      <c r="I237" s="112" t="n"/>
    </row>
    <row r="238" ht="15.75" customHeight="1">
      <c r="B238" s="137" t="n"/>
      <c r="C238" s="123" t="n"/>
      <c r="D238" s="124" t="n"/>
      <c r="E238" s="123" t="n"/>
      <c r="F238" s="125" t="n"/>
      <c r="G238" s="65" t="n"/>
      <c r="H238" s="65" t="n"/>
      <c r="I238" s="100" t="n"/>
    </row>
    <row r="239" ht="15.75" customHeight="1">
      <c r="B239" s="137" t="n"/>
      <c r="C239" s="127" t="n"/>
      <c r="D239" s="126" t="n"/>
      <c r="E239" s="127" t="n"/>
      <c r="F239" s="128" t="n"/>
      <c r="G239" s="74" t="n"/>
      <c r="H239" s="74" t="n"/>
      <c r="I239" s="112" t="n"/>
    </row>
    <row r="240" ht="15.75" customHeight="1">
      <c r="B240" s="137" t="n"/>
      <c r="C240" s="123" t="n"/>
      <c r="D240" s="124" t="n"/>
      <c r="E240" s="123" t="n"/>
      <c r="F240" s="125" t="n"/>
      <c r="G240" s="65" t="n"/>
      <c r="H240" s="65" t="n"/>
      <c r="I240" s="100" t="n"/>
    </row>
    <row r="241" ht="15.75" customHeight="1">
      <c r="B241" s="137" t="n"/>
      <c r="C241" s="127" t="n"/>
      <c r="D241" s="126" t="n"/>
      <c r="E241" s="127" t="n"/>
      <c r="F241" s="128" t="n"/>
      <c r="G241" s="74" t="n"/>
      <c r="H241" s="74" t="n"/>
      <c r="I241" s="112" t="n"/>
    </row>
    <row r="242" ht="15.75" customHeight="1">
      <c r="B242" s="137" t="n"/>
      <c r="C242" s="123" t="n"/>
      <c r="D242" s="124" t="n"/>
      <c r="E242" s="123" t="n"/>
      <c r="F242" s="125" t="n"/>
      <c r="G242" s="65" t="n"/>
      <c r="H242" s="65" t="n"/>
      <c r="I242" s="100" t="n"/>
    </row>
    <row r="243" ht="15.75" customHeight="1">
      <c r="B243" s="137" t="n"/>
      <c r="C243" s="127" t="n"/>
      <c r="D243" s="126" t="n"/>
      <c r="E243" s="127" t="n"/>
      <c r="F243" s="128" t="n"/>
      <c r="G243" s="74" t="n"/>
      <c r="H243" s="74" t="n"/>
      <c r="I243" s="112" t="n"/>
    </row>
    <row r="244" ht="15.75" customHeight="1">
      <c r="B244" s="137" t="n"/>
      <c r="C244" s="123" t="n"/>
      <c r="D244" s="124" t="n"/>
      <c r="E244" s="123" t="n"/>
      <c r="F244" s="125" t="n"/>
      <c r="G244" s="65" t="n"/>
      <c r="H244" s="65" t="n"/>
      <c r="I244" s="100" t="n"/>
    </row>
    <row r="245" ht="15.75" customHeight="1">
      <c r="B245" s="137" t="n"/>
      <c r="C245" s="127" t="n"/>
      <c r="D245" s="126" t="n"/>
      <c r="E245" s="127" t="n"/>
      <c r="F245" s="128" t="n"/>
      <c r="G245" s="74" t="n"/>
      <c r="H245" s="74" t="n"/>
      <c r="I245" s="112" t="n"/>
    </row>
    <row r="246" ht="15.75" customHeight="1">
      <c r="B246" s="137" t="n"/>
      <c r="C246" s="123" t="n"/>
      <c r="D246" s="124" t="n"/>
      <c r="E246" s="123" t="n"/>
      <c r="F246" s="125" t="n"/>
      <c r="G246" s="65" t="n"/>
      <c r="H246" s="65" t="n"/>
      <c r="I246" s="100" t="n"/>
    </row>
    <row r="247" ht="15.75" customHeight="1">
      <c r="B247" s="137" t="n"/>
      <c r="C247" s="127" t="n"/>
      <c r="D247" s="126" t="n"/>
      <c r="E247" s="127" t="n"/>
      <c r="F247" s="128" t="n"/>
      <c r="G247" s="74" t="n"/>
      <c r="H247" s="74" t="n"/>
      <c r="I247" s="112" t="n"/>
    </row>
    <row r="248" ht="15.75" customHeight="1">
      <c r="B248" s="137" t="n"/>
      <c r="C248" s="123" t="n"/>
      <c r="D248" s="124" t="n"/>
      <c r="E248" s="123" t="n"/>
      <c r="F248" s="125" t="n"/>
      <c r="G248" s="65" t="n"/>
      <c r="H248" s="65" t="n"/>
      <c r="I248" s="100" t="n"/>
    </row>
    <row r="249" ht="15.75" customHeight="1">
      <c r="B249" s="137" t="n"/>
      <c r="C249" s="127" t="n"/>
      <c r="D249" s="126" t="n"/>
      <c r="E249" s="127" t="n"/>
      <c r="F249" s="128" t="n"/>
      <c r="G249" s="74" t="n"/>
      <c r="H249" s="74" t="n"/>
      <c r="I249" s="112" t="n"/>
    </row>
    <row r="250" ht="15.75" customHeight="1">
      <c r="B250" s="137" t="n"/>
      <c r="C250" s="123" t="n"/>
      <c r="D250" s="124" t="n"/>
      <c r="E250" s="123" t="n"/>
      <c r="F250" s="125" t="n"/>
      <c r="G250" s="65" t="n"/>
      <c r="H250" s="65" t="n"/>
      <c r="I250" s="100" t="n"/>
    </row>
    <row r="251" ht="15.75" customHeight="1">
      <c r="B251" s="137" t="n"/>
      <c r="C251" s="127" t="n"/>
      <c r="D251" s="126" t="n"/>
      <c r="E251" s="127" t="n"/>
      <c r="F251" s="128" t="n"/>
      <c r="G251" s="74" t="n"/>
      <c r="H251" s="74" t="n"/>
      <c r="I251" s="112" t="n"/>
    </row>
    <row r="252" ht="15.75" customHeight="1">
      <c r="B252" s="137" t="n"/>
      <c r="C252" s="123" t="n"/>
      <c r="D252" s="124" t="n"/>
      <c r="E252" s="123" t="n"/>
      <c r="F252" s="125" t="n"/>
      <c r="G252" s="65" t="n"/>
      <c r="H252" s="65" t="n"/>
      <c r="I252" s="100" t="n"/>
    </row>
    <row r="253" ht="15.75" customHeight="1">
      <c r="B253" s="137" t="n"/>
      <c r="C253" s="127" t="n"/>
      <c r="D253" s="126" t="n"/>
      <c r="E253" s="127" t="n"/>
      <c r="F253" s="128" t="n"/>
      <c r="G253" s="74" t="n"/>
      <c r="H253" s="74" t="n"/>
      <c r="I253" s="112" t="n"/>
    </row>
    <row r="254" ht="15.75" customHeight="1">
      <c r="B254" s="137" t="n"/>
      <c r="C254" s="123" t="n"/>
      <c r="D254" s="124" t="n"/>
      <c r="E254" s="123" t="n"/>
      <c r="F254" s="125" t="n"/>
      <c r="G254" s="65" t="n"/>
      <c r="H254" s="65" t="n"/>
      <c r="I254" s="100" t="n"/>
    </row>
    <row r="255" ht="15.75" customHeight="1">
      <c r="B255" s="137" t="n"/>
      <c r="C255" s="127" t="n"/>
      <c r="D255" s="126" t="n"/>
      <c r="E255" s="127" t="n"/>
      <c r="F255" s="128" t="n"/>
      <c r="G255" s="74" t="n"/>
      <c r="H255" s="74" t="n"/>
      <c r="I255" s="112" t="n"/>
    </row>
    <row r="256" ht="15.75" customHeight="1">
      <c r="B256" s="137" t="n"/>
      <c r="C256" s="123" t="n"/>
      <c r="D256" s="124" t="n"/>
      <c r="E256" s="123" t="n"/>
      <c r="F256" s="125" t="n"/>
      <c r="G256" s="65" t="n"/>
      <c r="H256" s="65" t="n"/>
      <c r="I256" s="100" t="n"/>
    </row>
    <row r="257" ht="15.75" customHeight="1">
      <c r="B257" s="137" t="n"/>
      <c r="C257" s="127" t="n"/>
      <c r="D257" s="126" t="n"/>
      <c r="E257" s="127" t="n"/>
      <c r="F257" s="128" t="n"/>
      <c r="G257" s="74" t="n"/>
      <c r="H257" s="74" t="n"/>
      <c r="I257" s="112" t="n"/>
    </row>
    <row r="258" ht="15.75" customHeight="1">
      <c r="B258" s="137" t="n"/>
      <c r="C258" s="123" t="n"/>
      <c r="D258" s="124" t="n"/>
      <c r="E258" s="123" t="n"/>
      <c r="F258" s="125" t="n"/>
      <c r="G258" s="65" t="n"/>
      <c r="H258" s="65" t="n"/>
      <c r="I258" s="100" t="n"/>
    </row>
    <row r="259" ht="15.75" customHeight="1">
      <c r="B259" s="137" t="n"/>
      <c r="C259" s="127" t="n"/>
      <c r="D259" s="126" t="n"/>
      <c r="E259" s="127" t="n"/>
      <c r="F259" s="128" t="n"/>
      <c r="G259" s="74" t="n"/>
      <c r="H259" s="74" t="n"/>
      <c r="I259" s="112" t="n"/>
    </row>
    <row r="260" ht="15.75" customHeight="1">
      <c r="B260" s="137" t="n"/>
      <c r="C260" s="123" t="n"/>
      <c r="D260" s="124" t="n"/>
      <c r="E260" s="123" t="n"/>
      <c r="F260" s="125" t="n"/>
      <c r="G260" s="65" t="n"/>
      <c r="H260" s="65" t="n"/>
      <c r="I260" s="100" t="n"/>
    </row>
    <row r="261" ht="15.75" customHeight="1">
      <c r="B261" s="137" t="n"/>
      <c r="C261" s="127" t="n"/>
      <c r="D261" s="126" t="n"/>
      <c r="E261" s="127" t="n"/>
      <c r="F261" s="128" t="n"/>
      <c r="G261" s="74" t="n"/>
      <c r="H261" s="74" t="n"/>
      <c r="I261" s="112" t="n"/>
    </row>
    <row r="262" ht="15.75" customHeight="1">
      <c r="B262" s="137" t="n"/>
      <c r="C262" s="123" t="n"/>
      <c r="D262" s="124" t="n"/>
      <c r="E262" s="123" t="n"/>
      <c r="F262" s="125" t="n"/>
      <c r="G262" s="65" t="n"/>
      <c r="H262" s="65" t="n"/>
      <c r="I262" s="100" t="n"/>
    </row>
    <row r="263" ht="15.75" customHeight="1">
      <c r="B263" s="137" t="n"/>
      <c r="C263" s="127" t="n"/>
      <c r="D263" s="126" t="n"/>
      <c r="E263" s="127" t="n"/>
      <c r="F263" s="128" t="n"/>
      <c r="G263" s="74" t="n"/>
      <c r="H263" s="74" t="n"/>
      <c r="I263" s="112" t="n"/>
    </row>
    <row r="264" ht="15.75" customHeight="1">
      <c r="B264" s="137" t="n"/>
      <c r="C264" s="123" t="n"/>
      <c r="D264" s="124" t="n"/>
      <c r="E264" s="123" t="n"/>
      <c r="F264" s="125" t="n"/>
      <c r="G264" s="65" t="n"/>
      <c r="H264" s="65" t="n"/>
      <c r="I264" s="100" t="n"/>
    </row>
    <row r="265" ht="15.75" customHeight="1">
      <c r="B265" s="137" t="n"/>
      <c r="C265" s="127" t="n"/>
      <c r="D265" s="126" t="n"/>
      <c r="E265" s="127" t="n"/>
      <c r="F265" s="128" t="n"/>
      <c r="G265" s="74" t="n"/>
      <c r="H265" s="74" t="n"/>
      <c r="I265" s="112" t="n"/>
    </row>
    <row r="266" ht="15.75" customHeight="1">
      <c r="B266" s="137" t="n"/>
      <c r="C266" s="123" t="n"/>
      <c r="D266" s="124" t="n"/>
      <c r="E266" s="123" t="n"/>
      <c r="F266" s="125" t="n"/>
      <c r="G266" s="65" t="n"/>
      <c r="H266" s="65" t="n"/>
      <c r="I266" s="100" t="n"/>
    </row>
    <row r="267" ht="15.75" customHeight="1">
      <c r="B267" s="137" t="n"/>
      <c r="C267" s="127" t="n"/>
      <c r="D267" s="126" t="n"/>
      <c r="E267" s="127" t="n"/>
      <c r="F267" s="128" t="n"/>
      <c r="G267" s="74" t="n"/>
      <c r="H267" s="74" t="n"/>
      <c r="I267" s="112" t="n"/>
    </row>
    <row r="268" ht="15.75" customHeight="1">
      <c r="B268" s="137" t="n"/>
      <c r="C268" s="123" t="n"/>
      <c r="D268" s="124" t="n"/>
      <c r="E268" s="123" t="n"/>
      <c r="F268" s="125" t="n"/>
      <c r="G268" s="65" t="n"/>
      <c r="H268" s="65" t="n"/>
      <c r="I268" s="100" t="n"/>
    </row>
    <row r="269" ht="15.75" customHeight="1">
      <c r="B269" s="137" t="n"/>
      <c r="C269" s="127" t="n"/>
      <c r="D269" s="126" t="n"/>
      <c r="E269" s="127" t="n"/>
      <c r="F269" s="128" t="n"/>
      <c r="G269" s="74" t="n"/>
      <c r="H269" s="74" t="n"/>
      <c r="I269" s="112" t="n"/>
    </row>
    <row r="270" ht="15.75" customHeight="1">
      <c r="B270" s="137" t="n"/>
      <c r="C270" s="123" t="n"/>
      <c r="D270" s="124" t="n"/>
      <c r="E270" s="123" t="n"/>
      <c r="F270" s="125" t="n"/>
      <c r="G270" s="65" t="n"/>
      <c r="H270" s="65" t="n"/>
      <c r="I270" s="100" t="n"/>
    </row>
    <row r="271" ht="15.75" customHeight="1">
      <c r="B271" s="137" t="n"/>
      <c r="C271" s="127" t="n"/>
      <c r="D271" s="126" t="n"/>
      <c r="E271" s="127" t="n"/>
      <c r="F271" s="128" t="n"/>
      <c r="G271" s="74" t="n"/>
      <c r="H271" s="74" t="n"/>
      <c r="I271" s="112" t="n"/>
    </row>
    <row r="272" ht="15.75" customHeight="1">
      <c r="B272" s="137" t="n"/>
      <c r="C272" s="123" t="n"/>
      <c r="D272" s="124" t="n"/>
      <c r="E272" s="123" t="n"/>
      <c r="F272" s="125" t="n"/>
      <c r="G272" s="65" t="n"/>
      <c r="H272" s="65" t="n"/>
      <c r="I272" s="100" t="n"/>
    </row>
    <row r="273" ht="15.75" customHeight="1">
      <c r="B273" s="137" t="n"/>
      <c r="C273" s="127" t="n"/>
      <c r="D273" s="126" t="n"/>
      <c r="E273" s="127" t="n"/>
      <c r="F273" s="128" t="n"/>
      <c r="G273" s="74" t="n"/>
      <c r="H273" s="74" t="n"/>
      <c r="I273" s="112" t="n"/>
    </row>
    <row r="274" ht="15.75" customHeight="1">
      <c r="B274" s="137" t="n"/>
      <c r="C274" s="123" t="n"/>
      <c r="D274" s="124" t="n"/>
      <c r="E274" s="123" t="n"/>
      <c r="F274" s="125" t="n"/>
      <c r="G274" s="65" t="n"/>
      <c r="H274" s="65" t="n"/>
      <c r="I274" s="100" t="n"/>
    </row>
    <row r="275" ht="15.75" customHeight="1">
      <c r="B275" s="137" t="n"/>
      <c r="C275" s="127" t="n"/>
      <c r="D275" s="126" t="n"/>
      <c r="E275" s="127" t="n"/>
      <c r="F275" s="128" t="n"/>
      <c r="G275" s="74" t="n"/>
      <c r="H275" s="74" t="n"/>
      <c r="I275" s="112" t="n"/>
    </row>
    <row r="276" ht="15.75" customHeight="1">
      <c r="B276" s="137" t="n"/>
      <c r="C276" s="123" t="n"/>
      <c r="D276" s="124" t="n"/>
      <c r="E276" s="123" t="n"/>
      <c r="F276" s="125" t="n"/>
      <c r="G276" s="65" t="n"/>
      <c r="H276" s="65" t="n"/>
      <c r="I276" s="100" t="n"/>
    </row>
    <row r="277" ht="15.75" customHeight="1">
      <c r="B277" s="137" t="n"/>
      <c r="C277" s="127" t="n"/>
      <c r="D277" s="126" t="n"/>
      <c r="E277" s="127" t="n"/>
      <c r="F277" s="128" t="n"/>
      <c r="G277" s="74" t="n"/>
      <c r="H277" s="74" t="n"/>
      <c r="I277" s="112" t="n"/>
    </row>
    <row r="278" ht="15.75" customHeight="1">
      <c r="B278" s="137" t="n"/>
      <c r="C278" s="123" t="n"/>
      <c r="D278" s="124" t="n"/>
      <c r="E278" s="123" t="n"/>
      <c r="F278" s="125" t="n"/>
      <c r="G278" s="65" t="n"/>
      <c r="H278" s="65" t="n"/>
      <c r="I278" s="100" t="n"/>
    </row>
    <row r="279" ht="15.75" customHeight="1">
      <c r="B279" s="137" t="n"/>
      <c r="C279" s="127" t="n"/>
      <c r="D279" s="126" t="n"/>
      <c r="E279" s="127" t="n"/>
      <c r="F279" s="128" t="n"/>
      <c r="G279" s="74" t="n"/>
      <c r="H279" s="74" t="n"/>
      <c r="I279" s="112" t="n"/>
    </row>
    <row r="280" ht="15.75" customHeight="1">
      <c r="B280" s="137" t="n"/>
      <c r="C280" s="123" t="n"/>
      <c r="D280" s="124" t="n"/>
      <c r="E280" s="123" t="n"/>
      <c r="F280" s="125" t="n"/>
      <c r="G280" s="65" t="n"/>
      <c r="H280" s="65" t="n"/>
      <c r="I280" s="100" t="n"/>
    </row>
    <row r="281" ht="15.75" customHeight="1">
      <c r="B281" s="137" t="n"/>
      <c r="C281" s="127" t="n"/>
      <c r="D281" s="126" t="n"/>
      <c r="E281" s="127" t="n"/>
      <c r="F281" s="128" t="n"/>
      <c r="G281" s="74" t="n"/>
      <c r="H281" s="74" t="n"/>
      <c r="I281" s="112" t="n"/>
    </row>
    <row r="282" ht="15.75" customHeight="1">
      <c r="B282" s="137" t="n"/>
      <c r="C282" s="123" t="n"/>
      <c r="D282" s="124" t="n"/>
      <c r="E282" s="123" t="n"/>
      <c r="F282" s="125" t="n"/>
      <c r="G282" s="65" t="n"/>
      <c r="H282" s="65" t="n"/>
      <c r="I282" s="100" t="n"/>
    </row>
    <row r="283" ht="15.75" customHeight="1">
      <c r="B283" s="137" t="n"/>
      <c r="C283" s="127" t="n"/>
      <c r="D283" s="126" t="n"/>
      <c r="E283" s="127" t="n"/>
      <c r="F283" s="128" t="n"/>
      <c r="G283" s="74" t="n"/>
      <c r="H283" s="74" t="n"/>
      <c r="I283" s="112" t="n"/>
    </row>
    <row r="284" ht="15.75" customHeight="1">
      <c r="B284" s="137" t="n"/>
      <c r="C284" s="123" t="n"/>
      <c r="D284" s="124" t="n"/>
      <c r="E284" s="123" t="n"/>
      <c r="F284" s="125" t="n"/>
      <c r="G284" s="65" t="n"/>
      <c r="H284" s="65" t="n"/>
      <c r="I284" s="100" t="n"/>
    </row>
    <row r="285" ht="15.75" customHeight="1">
      <c r="B285" s="137" t="n"/>
      <c r="C285" s="127" t="n"/>
      <c r="D285" s="126" t="n"/>
      <c r="E285" s="127" t="n"/>
      <c r="F285" s="128" t="n"/>
      <c r="G285" s="74" t="n"/>
      <c r="H285" s="74" t="n"/>
      <c r="I285" s="112" t="n"/>
    </row>
    <row r="286" ht="15.75" customHeight="1">
      <c r="B286" s="137" t="n"/>
      <c r="C286" s="123" t="n"/>
      <c r="D286" s="124" t="n"/>
      <c r="E286" s="123" t="n"/>
      <c r="F286" s="125" t="n"/>
      <c r="G286" s="65" t="n"/>
      <c r="H286" s="65" t="n"/>
      <c r="I286" s="100" t="n"/>
    </row>
    <row r="287" ht="15.75" customHeight="1">
      <c r="B287" s="137" t="n"/>
      <c r="C287" s="127" t="n"/>
      <c r="D287" s="126" t="n"/>
      <c r="E287" s="127" t="n"/>
      <c r="F287" s="128" t="n"/>
      <c r="G287" s="74" t="n"/>
      <c r="H287" s="74" t="n"/>
      <c r="I287" s="112" t="n"/>
    </row>
    <row r="288" ht="15.75" customHeight="1">
      <c r="B288" s="137" t="n"/>
      <c r="C288" s="123" t="n"/>
      <c r="D288" s="124" t="n"/>
      <c r="E288" s="123" t="n"/>
      <c r="F288" s="125" t="n"/>
      <c r="G288" s="65" t="n"/>
      <c r="H288" s="65" t="n"/>
      <c r="I288" s="100" t="n"/>
    </row>
    <row r="289" ht="15.75" customHeight="1">
      <c r="B289" s="137" t="n"/>
      <c r="C289" s="127" t="n"/>
      <c r="D289" s="126" t="n"/>
      <c r="E289" s="127" t="n"/>
      <c r="F289" s="128" t="n"/>
      <c r="G289" s="74" t="n"/>
      <c r="H289" s="74" t="n"/>
      <c r="I289" s="112" t="n"/>
    </row>
    <row r="290" ht="15.75" customHeight="1">
      <c r="B290" s="137" t="n"/>
      <c r="C290" s="123" t="n"/>
      <c r="D290" s="124" t="n"/>
      <c r="E290" s="123" t="n"/>
      <c r="F290" s="125" t="n"/>
      <c r="G290" s="65" t="n"/>
      <c r="H290" s="65" t="n"/>
      <c r="I290" s="100" t="n"/>
    </row>
    <row r="291" ht="15.75" customHeight="1">
      <c r="B291" s="137" t="n"/>
      <c r="C291" s="127" t="n"/>
      <c r="D291" s="126" t="n"/>
      <c r="E291" s="127" t="n"/>
      <c r="F291" s="128" t="n"/>
      <c r="G291" s="74" t="n"/>
      <c r="H291" s="74" t="n"/>
      <c r="I291" s="112" t="n"/>
    </row>
    <row r="292" ht="15.75" customHeight="1">
      <c r="B292" s="137" t="n"/>
      <c r="C292" s="123" t="n"/>
      <c r="D292" s="124" t="n"/>
      <c r="E292" s="123" t="n"/>
      <c r="F292" s="125" t="n"/>
      <c r="G292" s="65" t="n"/>
      <c r="H292" s="65" t="n"/>
      <c r="I292" s="100" t="n"/>
    </row>
    <row r="293" ht="15.75" customHeight="1">
      <c r="B293" s="137" t="n"/>
      <c r="C293" s="127" t="n"/>
      <c r="D293" s="126" t="n"/>
      <c r="E293" s="127" t="n"/>
      <c r="F293" s="128" t="n"/>
      <c r="G293" s="74" t="n"/>
      <c r="H293" s="74" t="n"/>
      <c r="I293" s="112" t="n"/>
    </row>
    <row r="294" ht="15.75" customHeight="1">
      <c r="B294" s="137" t="n"/>
      <c r="C294" s="123" t="n"/>
      <c r="D294" s="124" t="n"/>
      <c r="E294" s="123" t="n"/>
      <c r="F294" s="125" t="n"/>
      <c r="G294" s="65" t="n"/>
      <c r="H294" s="65" t="n"/>
      <c r="I294" s="100" t="n"/>
    </row>
    <row r="295" ht="15.75" customHeight="1">
      <c r="B295" s="137" t="n"/>
      <c r="C295" s="127" t="n"/>
      <c r="D295" s="126" t="n"/>
      <c r="E295" s="127" t="n"/>
      <c r="F295" s="128" t="n"/>
      <c r="G295" s="74" t="n"/>
      <c r="H295" s="74" t="n"/>
      <c r="I295" s="112" t="n"/>
    </row>
    <row r="296" ht="15.75" customHeight="1">
      <c r="B296" s="137" t="n"/>
      <c r="C296" s="123" t="n"/>
      <c r="D296" s="124" t="n"/>
      <c r="E296" s="123" t="n"/>
      <c r="F296" s="125" t="n"/>
      <c r="G296" s="65" t="n"/>
      <c r="H296" s="65" t="n"/>
      <c r="I296" s="100" t="n"/>
    </row>
    <row r="297" ht="15.75" customHeight="1">
      <c r="B297" s="137" t="n"/>
      <c r="C297" s="127" t="n"/>
      <c r="D297" s="126" t="n"/>
      <c r="E297" s="127" t="n"/>
      <c r="F297" s="128" t="n"/>
      <c r="G297" s="74" t="n"/>
      <c r="H297" s="74" t="n"/>
      <c r="I297" s="112" t="n"/>
    </row>
    <row r="298" ht="15.75" customHeight="1">
      <c r="B298" s="137" t="n"/>
      <c r="C298" s="123" t="n"/>
      <c r="D298" s="124" t="n"/>
      <c r="E298" s="123" t="n"/>
      <c r="F298" s="125" t="n"/>
      <c r="G298" s="65" t="n"/>
      <c r="H298" s="65" t="n"/>
      <c r="I298" s="100" t="n"/>
    </row>
    <row r="299" ht="15.75" customHeight="1">
      <c r="B299" s="137" t="n"/>
      <c r="C299" s="127" t="n"/>
      <c r="D299" s="126" t="n"/>
      <c r="E299" s="127" t="n"/>
      <c r="F299" s="128" t="n"/>
      <c r="G299" s="74" t="n"/>
      <c r="H299" s="74" t="n"/>
      <c r="I299" s="112" t="n"/>
    </row>
    <row r="300" ht="15.75" customHeight="1">
      <c r="B300" s="137" t="n"/>
      <c r="C300" s="123" t="n"/>
      <c r="D300" s="124" t="n"/>
      <c r="E300" s="123" t="n"/>
      <c r="F300" s="125" t="n"/>
      <c r="G300" s="65" t="n"/>
      <c r="H300" s="65" t="n"/>
      <c r="I300" s="100" t="n"/>
    </row>
    <row r="301" ht="15.75" customHeight="1">
      <c r="B301" s="137" t="n"/>
      <c r="C301" s="127" t="n"/>
      <c r="D301" s="126" t="n"/>
      <c r="E301" s="127" t="n"/>
      <c r="F301" s="128" t="n"/>
      <c r="G301" s="74" t="n"/>
      <c r="H301" s="74" t="n"/>
      <c r="I301" s="112" t="n"/>
    </row>
    <row r="302" ht="15.75" customHeight="1">
      <c r="B302" s="137" t="n"/>
      <c r="C302" s="123" t="n"/>
      <c r="D302" s="124" t="n"/>
      <c r="E302" s="123" t="n"/>
      <c r="F302" s="125" t="n"/>
      <c r="G302" s="65" t="n"/>
      <c r="H302" s="65" t="n"/>
      <c r="I302" s="100" t="n"/>
    </row>
    <row r="303" ht="15.75" customHeight="1">
      <c r="B303" s="137" t="n"/>
      <c r="C303" s="127" t="n"/>
      <c r="D303" s="126" t="n"/>
      <c r="E303" s="127" t="n"/>
      <c r="F303" s="128" t="n"/>
      <c r="G303" s="74" t="n"/>
      <c r="H303" s="74" t="n"/>
      <c r="I303" s="112" t="n"/>
    </row>
    <row r="304" ht="15.75" customHeight="1">
      <c r="B304" s="137" t="n"/>
      <c r="C304" s="123" t="n"/>
      <c r="D304" s="124" t="n"/>
      <c r="E304" s="123" t="n"/>
      <c r="F304" s="125" t="n"/>
      <c r="G304" s="65" t="n"/>
      <c r="H304" s="65" t="n"/>
      <c r="I304" s="100" t="n"/>
    </row>
    <row r="305" ht="15.75" customHeight="1">
      <c r="B305" s="137" t="n"/>
      <c r="C305" s="127" t="n"/>
      <c r="D305" s="126" t="n"/>
      <c r="E305" s="127" t="n"/>
      <c r="F305" s="128" t="n"/>
      <c r="G305" s="74" t="n"/>
      <c r="H305" s="74" t="n"/>
      <c r="I305" s="112" t="n"/>
    </row>
    <row r="306" ht="15.75" customHeight="1">
      <c r="B306" s="137" t="n"/>
      <c r="C306" s="123" t="n"/>
      <c r="D306" s="124" t="n"/>
      <c r="E306" s="123" t="n"/>
      <c r="F306" s="125" t="n"/>
      <c r="G306" s="65" t="n"/>
      <c r="H306" s="65" t="n"/>
      <c r="I306" s="100" t="n"/>
    </row>
    <row r="307" ht="15.75" customHeight="1">
      <c r="B307" s="137" t="n"/>
      <c r="C307" s="127" t="n"/>
      <c r="D307" s="126" t="n"/>
      <c r="E307" s="127" t="n"/>
      <c r="F307" s="128" t="n"/>
      <c r="G307" s="74" t="n"/>
      <c r="H307" s="74" t="n"/>
      <c r="I307" s="112" t="n"/>
    </row>
    <row r="308" ht="15.75" customHeight="1">
      <c r="B308" s="137" t="n"/>
      <c r="C308" s="123" t="n"/>
      <c r="D308" s="124" t="n"/>
      <c r="E308" s="123" t="n"/>
      <c r="F308" s="125" t="n"/>
      <c r="G308" s="65" t="n"/>
      <c r="H308" s="65" t="n"/>
      <c r="I308" s="100" t="n"/>
    </row>
    <row r="309" ht="15.75" customHeight="1">
      <c r="B309" s="137" t="n"/>
      <c r="C309" s="127" t="n"/>
      <c r="D309" s="126" t="n"/>
      <c r="E309" s="127" t="n"/>
      <c r="F309" s="128" t="n"/>
      <c r="G309" s="74" t="n"/>
      <c r="H309" s="74" t="n"/>
      <c r="I309" s="112" t="n"/>
    </row>
    <row r="310" ht="15.75" customHeight="1">
      <c r="B310" s="137" t="n"/>
      <c r="C310" s="123" t="n"/>
      <c r="D310" s="124" t="n"/>
      <c r="E310" s="123" t="n"/>
      <c r="F310" s="125" t="n"/>
      <c r="G310" s="65" t="n"/>
      <c r="H310" s="65" t="n"/>
      <c r="I310" s="100" t="n"/>
    </row>
    <row r="311" ht="15.75" customHeight="1">
      <c r="B311" s="137" t="n"/>
      <c r="C311" s="127" t="n"/>
      <c r="D311" s="126" t="n"/>
      <c r="E311" s="127" t="n"/>
      <c r="F311" s="128" t="n"/>
      <c r="G311" s="74" t="n"/>
      <c r="H311" s="74" t="n"/>
      <c r="I311" s="112" t="n"/>
    </row>
    <row r="312" ht="15.75" customHeight="1">
      <c r="B312" s="137" t="n"/>
      <c r="C312" s="123" t="n"/>
      <c r="D312" s="124" t="n"/>
      <c r="E312" s="123" t="n"/>
      <c r="F312" s="125" t="n"/>
      <c r="G312" s="65" t="n"/>
      <c r="H312" s="65" t="n"/>
      <c r="I312" s="100" t="n"/>
    </row>
    <row r="313" ht="15.75" customHeight="1">
      <c r="B313" s="137" t="n"/>
      <c r="C313" s="127" t="n"/>
      <c r="D313" s="126" t="n"/>
      <c r="E313" s="127" t="n"/>
      <c r="F313" s="128" t="n"/>
      <c r="G313" s="74" t="n"/>
      <c r="H313" s="74" t="n"/>
      <c r="I313" s="112" t="n"/>
    </row>
    <row r="314" ht="15.75" customHeight="1">
      <c r="B314" s="137" t="n"/>
      <c r="C314" s="123" t="n"/>
      <c r="D314" s="124" t="n"/>
      <c r="E314" s="123" t="n"/>
      <c r="F314" s="125" t="n"/>
      <c r="G314" s="65" t="n"/>
      <c r="H314" s="65" t="n"/>
      <c r="I314" s="100" t="n"/>
    </row>
    <row r="315" ht="15.75" customHeight="1">
      <c r="B315" s="137" t="n"/>
      <c r="C315" s="127" t="n"/>
      <c r="D315" s="126" t="n"/>
      <c r="E315" s="127" t="n"/>
      <c r="F315" s="128" t="n"/>
      <c r="G315" s="74" t="n"/>
      <c r="H315" s="74" t="n"/>
      <c r="I315" s="112" t="n"/>
    </row>
    <row r="316" ht="15.75" customHeight="1">
      <c r="B316" s="137" t="n"/>
      <c r="C316" s="123" t="n"/>
      <c r="D316" s="124" t="n"/>
      <c r="E316" s="123" t="n"/>
      <c r="F316" s="125" t="n"/>
      <c r="G316" s="65" t="n"/>
      <c r="H316" s="65" t="n"/>
      <c r="I316" s="100" t="n"/>
    </row>
    <row r="317" ht="15.75" customHeight="1">
      <c r="B317" s="137" t="n"/>
      <c r="C317" s="127" t="n"/>
      <c r="D317" s="126" t="n"/>
      <c r="E317" s="127" t="n"/>
      <c r="F317" s="128" t="n"/>
      <c r="G317" s="74" t="n"/>
      <c r="H317" s="74" t="n"/>
      <c r="I317" s="112" t="n"/>
    </row>
    <row r="318" ht="15.75" customHeight="1">
      <c r="B318" s="137" t="n"/>
      <c r="C318" s="123" t="n"/>
      <c r="D318" s="124" t="n"/>
      <c r="E318" s="123" t="n"/>
      <c r="F318" s="125" t="n"/>
      <c r="G318" s="65" t="n"/>
      <c r="H318" s="65" t="n"/>
      <c r="I318" s="100" t="n"/>
    </row>
    <row r="319" ht="15.75" customHeight="1">
      <c r="B319" s="137" t="n"/>
      <c r="C319" s="127" t="n"/>
      <c r="D319" s="126" t="n"/>
      <c r="E319" s="127" t="n"/>
      <c r="F319" s="128" t="n"/>
      <c r="G319" s="74" t="n"/>
      <c r="H319" s="74" t="n"/>
      <c r="I319" s="112" t="n"/>
    </row>
    <row r="320" ht="15.75" customHeight="1">
      <c r="B320" s="137" t="n"/>
      <c r="C320" s="123" t="n"/>
      <c r="D320" s="124" t="n"/>
      <c r="E320" s="123" t="n"/>
      <c r="F320" s="125" t="n"/>
      <c r="G320" s="65" t="n"/>
      <c r="H320" s="65" t="n"/>
      <c r="I320" s="100" t="n"/>
    </row>
    <row r="321" ht="15.75" customHeight="1">
      <c r="B321" s="137" t="n"/>
      <c r="C321" s="127" t="n"/>
      <c r="D321" s="126" t="n"/>
      <c r="E321" s="127" t="n"/>
      <c r="F321" s="128" t="n"/>
      <c r="G321" s="74" t="n"/>
      <c r="H321" s="74" t="n"/>
      <c r="I321" s="112" t="n"/>
    </row>
    <row r="322" ht="15.75" customHeight="1">
      <c r="B322" s="137" t="n"/>
      <c r="C322" s="123" t="n"/>
      <c r="D322" s="124" t="n"/>
      <c r="E322" s="123" t="n"/>
      <c r="F322" s="125" t="n"/>
      <c r="G322" s="65" t="n"/>
      <c r="H322" s="65" t="n"/>
      <c r="I322" s="100" t="n"/>
    </row>
    <row r="323" ht="15.75" customHeight="1">
      <c r="B323" s="137" t="n"/>
      <c r="C323" s="127" t="n"/>
      <c r="D323" s="126" t="n"/>
      <c r="E323" s="127" t="n"/>
      <c r="F323" s="128" t="n"/>
      <c r="G323" s="74" t="n"/>
      <c r="H323" s="74" t="n"/>
      <c r="I323" s="112" t="n"/>
    </row>
    <row r="324" ht="15.75" customHeight="1">
      <c r="B324" s="137" t="n"/>
      <c r="C324" s="123" t="n"/>
      <c r="D324" s="124" t="n"/>
      <c r="E324" s="123" t="n"/>
      <c r="F324" s="125" t="n"/>
      <c r="G324" s="65" t="n"/>
      <c r="H324" s="65" t="n"/>
      <c r="I324" s="100" t="n"/>
    </row>
    <row r="325" ht="15.75" customHeight="1">
      <c r="B325" s="137" t="n"/>
      <c r="C325" s="127" t="n"/>
      <c r="D325" s="126" t="n"/>
      <c r="E325" s="127" t="n"/>
      <c r="F325" s="128" t="n"/>
      <c r="G325" s="74" t="n"/>
      <c r="H325" s="74" t="n"/>
      <c r="I325" s="112" t="n"/>
    </row>
    <row r="326" ht="15.75" customHeight="1">
      <c r="B326" s="137" t="n"/>
      <c r="C326" s="123" t="n"/>
      <c r="D326" s="124" t="n"/>
      <c r="E326" s="123" t="n"/>
      <c r="F326" s="125" t="n"/>
      <c r="G326" s="65" t="n"/>
      <c r="H326" s="65" t="n"/>
      <c r="I326" s="100" t="n"/>
    </row>
    <row r="327" ht="15.75" customHeight="1">
      <c r="B327" s="137" t="n"/>
      <c r="C327" s="127" t="n"/>
      <c r="D327" s="126" t="n"/>
      <c r="E327" s="127" t="n"/>
      <c r="F327" s="128" t="n"/>
      <c r="G327" s="74" t="n"/>
      <c r="H327" s="74" t="n"/>
      <c r="I327" s="112" t="n"/>
    </row>
    <row r="328" ht="15.75" customHeight="1">
      <c r="B328" s="137" t="n"/>
      <c r="C328" s="123" t="n"/>
      <c r="D328" s="124" t="n"/>
      <c r="E328" s="123" t="n"/>
      <c r="F328" s="125" t="n"/>
      <c r="G328" s="65" t="n"/>
      <c r="H328" s="65" t="n"/>
      <c r="I328" s="100" t="n"/>
    </row>
    <row r="329" ht="15.75" customHeight="1">
      <c r="B329" s="137" t="n"/>
      <c r="C329" s="127" t="n"/>
      <c r="D329" s="126" t="n"/>
      <c r="E329" s="127" t="n"/>
      <c r="F329" s="128" t="n"/>
      <c r="G329" s="74" t="n"/>
      <c r="H329" s="74" t="n"/>
      <c r="I329" s="112" t="n"/>
    </row>
    <row r="330" ht="15.75" customHeight="1">
      <c r="B330" s="137" t="n"/>
      <c r="C330" s="123" t="n"/>
      <c r="D330" s="124" t="n"/>
      <c r="E330" s="123" t="n"/>
      <c r="F330" s="125" t="n"/>
      <c r="G330" s="65" t="n"/>
      <c r="H330" s="65" t="n"/>
      <c r="I330" s="100" t="n"/>
    </row>
    <row r="331" ht="15.75" customHeight="1">
      <c r="B331" s="137" t="n"/>
      <c r="C331" s="127" t="n"/>
      <c r="D331" s="126" t="n"/>
      <c r="E331" s="127" t="n"/>
      <c r="F331" s="128" t="n"/>
      <c r="G331" s="74" t="n"/>
      <c r="H331" s="74" t="n"/>
      <c r="I331" s="112" t="n"/>
    </row>
    <row r="332" ht="15.75" customHeight="1">
      <c r="B332" s="137" t="n"/>
      <c r="C332" s="123" t="n"/>
      <c r="D332" s="124" t="n"/>
      <c r="E332" s="123" t="n"/>
      <c r="F332" s="125" t="n"/>
      <c r="G332" s="65" t="n"/>
      <c r="H332" s="65" t="n"/>
      <c r="I332" s="100" t="n"/>
    </row>
    <row r="333" ht="15.75" customHeight="1">
      <c r="B333" s="137" t="n"/>
      <c r="C333" s="127" t="n"/>
      <c r="D333" s="126" t="n"/>
      <c r="E333" s="127" t="n"/>
      <c r="F333" s="128" t="n"/>
      <c r="G333" s="74" t="n"/>
      <c r="H333" s="74" t="n"/>
      <c r="I333" s="112" t="n"/>
    </row>
    <row r="334" ht="15.75" customHeight="1">
      <c r="B334" s="137" t="n"/>
      <c r="C334" s="123" t="n"/>
      <c r="D334" s="124" t="n"/>
      <c r="E334" s="123" t="n"/>
      <c r="F334" s="125" t="n"/>
      <c r="G334" s="65" t="n"/>
      <c r="H334" s="65" t="n"/>
      <c r="I334" s="100" t="n"/>
    </row>
    <row r="335" ht="15.75" customHeight="1">
      <c r="B335" s="137" t="n"/>
      <c r="C335" s="127" t="n"/>
      <c r="D335" s="126" t="n"/>
      <c r="E335" s="127" t="n"/>
      <c r="F335" s="128" t="n"/>
      <c r="G335" s="74" t="n"/>
      <c r="H335" s="74" t="n"/>
      <c r="I335" s="112" t="n"/>
    </row>
    <row r="336" ht="15.75" customHeight="1">
      <c r="B336" s="137" t="n"/>
      <c r="C336" s="123" t="n"/>
      <c r="D336" s="124" t="n"/>
      <c r="E336" s="123" t="n"/>
      <c r="F336" s="125" t="n"/>
      <c r="G336" s="65" t="n"/>
      <c r="H336" s="65" t="n"/>
      <c r="I336" s="100" t="n"/>
    </row>
    <row r="337" ht="15.75" customHeight="1">
      <c r="B337" s="137" t="n"/>
      <c r="C337" s="127" t="n"/>
      <c r="D337" s="126" t="n"/>
      <c r="E337" s="127" t="n"/>
      <c r="F337" s="128" t="n"/>
      <c r="G337" s="74" t="n"/>
      <c r="H337" s="74" t="n"/>
      <c r="I337" s="112" t="n"/>
    </row>
    <row r="338" ht="15.75" customHeight="1">
      <c r="B338" s="137" t="n"/>
      <c r="C338" s="123" t="n"/>
      <c r="D338" s="124" t="n"/>
      <c r="E338" s="123" t="n"/>
      <c r="F338" s="125" t="n"/>
      <c r="G338" s="65" t="n"/>
      <c r="H338" s="65" t="n"/>
      <c r="I338" s="100" t="n"/>
    </row>
    <row r="339" ht="15.75" customHeight="1">
      <c r="B339" s="137" t="n"/>
      <c r="C339" s="127" t="n"/>
      <c r="D339" s="126" t="n"/>
      <c r="E339" s="127" t="n"/>
      <c r="F339" s="128" t="n"/>
      <c r="G339" s="74" t="n"/>
      <c r="H339" s="74" t="n"/>
      <c r="I339" s="112" t="n"/>
    </row>
    <row r="340" ht="15.75" customHeight="1">
      <c r="B340" s="137" t="n"/>
      <c r="C340" s="123" t="n"/>
      <c r="D340" s="124" t="n"/>
      <c r="E340" s="123" t="n"/>
      <c r="F340" s="125" t="n"/>
      <c r="G340" s="65" t="n"/>
      <c r="H340" s="65" t="n"/>
      <c r="I340" s="100" t="n"/>
    </row>
    <row r="341" ht="15.75" customHeight="1">
      <c r="B341" s="137" t="n"/>
      <c r="C341" s="127" t="n"/>
      <c r="D341" s="126" t="n"/>
      <c r="E341" s="127" t="n"/>
      <c r="F341" s="128" t="n"/>
      <c r="G341" s="74" t="n"/>
      <c r="H341" s="74" t="n"/>
      <c r="I341" s="112" t="n"/>
    </row>
    <row r="342" ht="15.75" customHeight="1">
      <c r="B342" s="137" t="n"/>
      <c r="C342" s="123" t="n"/>
      <c r="D342" s="124" t="n"/>
      <c r="E342" s="123" t="n"/>
      <c r="F342" s="125" t="n"/>
      <c r="G342" s="65" t="n"/>
      <c r="H342" s="65" t="n"/>
      <c r="I342" s="100" t="n"/>
    </row>
    <row r="343" ht="15.75" customHeight="1">
      <c r="B343" s="137" t="n"/>
      <c r="C343" s="127" t="n"/>
      <c r="D343" s="126" t="n"/>
      <c r="E343" s="127" t="n"/>
      <c r="F343" s="128" t="n"/>
      <c r="G343" s="74" t="n"/>
      <c r="H343" s="74" t="n"/>
      <c r="I343" s="112" t="n"/>
    </row>
    <row r="344" ht="15.75" customHeight="1">
      <c r="B344" s="137" t="n"/>
      <c r="C344" s="123" t="n"/>
      <c r="D344" s="124" t="n"/>
      <c r="E344" s="123" t="n"/>
      <c r="F344" s="125" t="n"/>
      <c r="G344" s="65" t="n"/>
      <c r="H344" s="65" t="n"/>
      <c r="I344" s="100" t="n"/>
    </row>
    <row r="345" ht="15.75" customHeight="1">
      <c r="B345" s="137" t="n"/>
      <c r="C345" s="127" t="n"/>
      <c r="D345" s="126" t="n"/>
      <c r="E345" s="127" t="n"/>
      <c r="F345" s="128" t="n"/>
      <c r="G345" s="74" t="n"/>
      <c r="H345" s="74" t="n"/>
      <c r="I345" s="112" t="n"/>
    </row>
    <row r="346" ht="15.75" customHeight="1">
      <c r="B346" s="137" t="n"/>
      <c r="C346" s="123" t="n"/>
      <c r="D346" s="124" t="n"/>
      <c r="E346" s="123" t="n"/>
      <c r="F346" s="125" t="n"/>
      <c r="G346" s="65" t="n"/>
      <c r="H346" s="65" t="n"/>
      <c r="I346" s="100" t="n"/>
    </row>
    <row r="347" ht="15.75" customHeight="1">
      <c r="B347" s="137" t="n"/>
      <c r="C347" s="127" t="n"/>
      <c r="D347" s="126" t="n"/>
      <c r="E347" s="127" t="n"/>
      <c r="F347" s="128" t="n"/>
      <c r="G347" s="74" t="n"/>
      <c r="H347" s="74" t="n"/>
      <c r="I347" s="112" t="n"/>
    </row>
    <row r="348" ht="15.75" customHeight="1">
      <c r="B348" s="137" t="n"/>
      <c r="C348" s="123" t="n"/>
      <c r="D348" s="124" t="n"/>
      <c r="E348" s="123" t="n"/>
      <c r="F348" s="125" t="n"/>
      <c r="G348" s="65" t="n"/>
      <c r="H348" s="65" t="n"/>
      <c r="I348" s="100" t="n"/>
    </row>
    <row r="349" ht="15.75" customHeight="1">
      <c r="B349" s="137" t="n"/>
      <c r="C349" s="127" t="n"/>
      <c r="D349" s="126" t="n"/>
      <c r="E349" s="127" t="n"/>
      <c r="F349" s="128" t="n"/>
      <c r="G349" s="74" t="n"/>
      <c r="H349" s="74" t="n"/>
      <c r="I349" s="112" t="n"/>
    </row>
    <row r="350" ht="15.75" customHeight="1">
      <c r="B350" s="137" t="n"/>
      <c r="C350" s="123" t="n"/>
      <c r="D350" s="124" t="n"/>
      <c r="E350" s="123" t="n"/>
      <c r="F350" s="125" t="n"/>
      <c r="G350" s="65" t="n"/>
      <c r="H350" s="65" t="n"/>
      <c r="I350" s="100" t="n"/>
    </row>
    <row r="351" ht="15.75" customHeight="1">
      <c r="B351" s="137" t="n"/>
      <c r="C351" s="127" t="n"/>
      <c r="D351" s="126" t="n"/>
      <c r="E351" s="127" t="n"/>
      <c r="F351" s="128" t="n"/>
      <c r="G351" s="74" t="n"/>
      <c r="H351" s="74" t="n"/>
      <c r="I351" s="112" t="n"/>
    </row>
    <row r="352" ht="15.75" customHeight="1">
      <c r="B352" s="137" t="n"/>
      <c r="C352" s="123" t="n"/>
      <c r="D352" s="124" t="n"/>
      <c r="E352" s="123" t="n"/>
      <c r="F352" s="125" t="n"/>
      <c r="G352" s="65" t="n"/>
      <c r="H352" s="65" t="n"/>
      <c r="I352" s="100" t="n"/>
    </row>
    <row r="353" ht="15.75" customHeight="1">
      <c r="B353" s="137" t="n"/>
      <c r="C353" s="127" t="n"/>
      <c r="D353" s="126" t="n"/>
      <c r="E353" s="127" t="n"/>
      <c r="F353" s="128" t="n"/>
      <c r="G353" s="74" t="n"/>
      <c r="H353" s="74" t="n"/>
      <c r="I353" s="112" t="n"/>
    </row>
    <row r="354" ht="15.75" customHeight="1">
      <c r="B354" s="137" t="n"/>
      <c r="C354" s="123" t="n"/>
      <c r="D354" s="124" t="n"/>
      <c r="E354" s="123" t="n"/>
      <c r="F354" s="125" t="n"/>
      <c r="G354" s="65" t="n"/>
      <c r="H354" s="65" t="n"/>
      <c r="I354" s="100" t="n"/>
    </row>
    <row r="355" ht="15.75" customHeight="1">
      <c r="B355" s="137" t="n"/>
      <c r="C355" s="127" t="n"/>
      <c r="D355" s="126" t="n"/>
      <c r="E355" s="127" t="n"/>
      <c r="F355" s="128" t="n"/>
      <c r="G355" s="74" t="n"/>
      <c r="H355" s="74" t="n"/>
      <c r="I355" s="112" t="n"/>
    </row>
    <row r="356" ht="15.75" customHeight="1">
      <c r="B356" s="137" t="n"/>
      <c r="C356" s="123" t="n"/>
      <c r="D356" s="124" t="n"/>
      <c r="E356" s="123" t="n"/>
      <c r="F356" s="125" t="n"/>
      <c r="G356" s="65" t="n"/>
      <c r="H356" s="65" t="n"/>
      <c r="I356" s="100" t="n"/>
    </row>
    <row r="357" ht="15.75" customHeight="1">
      <c r="B357" s="137" t="n"/>
      <c r="C357" s="127" t="n"/>
      <c r="D357" s="126" t="n"/>
      <c r="E357" s="127" t="n"/>
      <c r="F357" s="128" t="n"/>
      <c r="G357" s="74" t="n"/>
      <c r="H357" s="74" t="n"/>
      <c r="I357" s="112" t="n"/>
    </row>
    <row r="358" ht="15.75" customHeight="1">
      <c r="B358" s="137" t="n"/>
      <c r="C358" s="123" t="n"/>
      <c r="D358" s="124" t="n"/>
      <c r="E358" s="123" t="n"/>
      <c r="F358" s="125" t="n"/>
      <c r="G358" s="65" t="n"/>
      <c r="H358" s="65" t="n"/>
      <c r="I358" s="100" t="n"/>
    </row>
    <row r="359" ht="15.75" customHeight="1">
      <c r="B359" s="137" t="n"/>
      <c r="C359" s="127" t="n"/>
      <c r="D359" s="126" t="n"/>
      <c r="E359" s="127" t="n"/>
      <c r="F359" s="128" t="n"/>
      <c r="G359" s="74" t="n"/>
      <c r="H359" s="74" t="n"/>
      <c r="I359" s="112" t="n"/>
    </row>
    <row r="360" ht="15.75" customHeight="1">
      <c r="B360" s="137" t="n"/>
      <c r="C360" s="123" t="n"/>
      <c r="D360" s="124" t="n"/>
      <c r="E360" s="123" t="n"/>
      <c r="F360" s="125" t="n"/>
      <c r="G360" s="65" t="n"/>
      <c r="H360" s="65" t="n"/>
      <c r="I360" s="100" t="n"/>
    </row>
    <row r="361" ht="15.75" customHeight="1">
      <c r="B361" s="137" t="n"/>
      <c r="C361" s="127" t="n"/>
      <c r="D361" s="126" t="n"/>
      <c r="E361" s="127" t="n"/>
      <c r="F361" s="128" t="n"/>
      <c r="G361" s="74" t="n"/>
      <c r="H361" s="74" t="n"/>
      <c r="I361" s="112" t="n"/>
    </row>
    <row r="362" ht="15.75" customHeight="1">
      <c r="B362" s="137" t="n"/>
      <c r="C362" s="123" t="n"/>
      <c r="D362" s="124" t="n"/>
      <c r="E362" s="123" t="n"/>
      <c r="F362" s="125" t="n"/>
      <c r="G362" s="65" t="n"/>
      <c r="H362" s="65" t="n"/>
      <c r="I362" s="100" t="n"/>
    </row>
    <row r="363" ht="15.75" customHeight="1">
      <c r="B363" s="137" t="n"/>
      <c r="C363" s="127" t="n"/>
      <c r="D363" s="126" t="n"/>
      <c r="E363" s="127" t="n"/>
      <c r="F363" s="128" t="n"/>
      <c r="G363" s="74" t="n"/>
      <c r="H363" s="74" t="n"/>
      <c r="I363" s="112" t="n"/>
    </row>
    <row r="364" ht="15.75" customHeight="1">
      <c r="B364" s="137" t="n"/>
      <c r="C364" s="123" t="n"/>
      <c r="D364" s="124" t="n"/>
      <c r="E364" s="123" t="n"/>
      <c r="F364" s="125" t="n"/>
      <c r="G364" s="65" t="n"/>
      <c r="H364" s="65" t="n"/>
      <c r="I364" s="100" t="n"/>
    </row>
    <row r="365" ht="15.75" customHeight="1">
      <c r="B365" s="137" t="n"/>
      <c r="C365" s="127" t="n"/>
      <c r="D365" s="126" t="n"/>
      <c r="E365" s="127" t="n"/>
      <c r="F365" s="128" t="n"/>
      <c r="G365" s="74" t="n"/>
      <c r="H365" s="74" t="n"/>
      <c r="I365" s="112" t="n"/>
    </row>
    <row r="366" ht="15.75" customHeight="1">
      <c r="B366" s="137" t="n"/>
      <c r="C366" s="123" t="n"/>
      <c r="D366" s="124" t="n"/>
      <c r="E366" s="123" t="n"/>
      <c r="F366" s="125" t="n"/>
      <c r="G366" s="65" t="n"/>
      <c r="H366" s="65" t="n"/>
      <c r="I366" s="100" t="n"/>
    </row>
    <row r="367" ht="15.75" customHeight="1">
      <c r="B367" s="137" t="n"/>
      <c r="C367" s="127" t="n"/>
      <c r="D367" s="126" t="n"/>
      <c r="E367" s="127" t="n"/>
      <c r="F367" s="128" t="n"/>
      <c r="G367" s="74" t="n"/>
      <c r="H367" s="74" t="n"/>
      <c r="I367" s="112" t="n"/>
    </row>
    <row r="368" ht="15.75" customHeight="1">
      <c r="B368" s="137" t="n"/>
      <c r="C368" s="123" t="n"/>
      <c r="D368" s="124" t="n"/>
      <c r="E368" s="123" t="n"/>
      <c r="F368" s="125" t="n"/>
      <c r="G368" s="65" t="n"/>
      <c r="H368" s="65" t="n"/>
      <c r="I368" s="100" t="n"/>
    </row>
    <row r="369" ht="15.75" customHeight="1">
      <c r="B369" s="137" t="n"/>
      <c r="C369" s="127" t="n"/>
      <c r="D369" s="126" t="n"/>
      <c r="E369" s="127" t="n"/>
      <c r="F369" s="128" t="n"/>
      <c r="G369" s="74" t="n"/>
      <c r="H369" s="74" t="n"/>
      <c r="I369" s="112" t="n"/>
    </row>
    <row r="370" ht="15.75" customHeight="1">
      <c r="B370" s="137" t="n"/>
      <c r="C370" s="123" t="n"/>
      <c r="D370" s="124" t="n"/>
      <c r="E370" s="123" t="n"/>
      <c r="F370" s="125" t="n"/>
      <c r="G370" s="65" t="n"/>
      <c r="H370" s="65" t="n"/>
      <c r="I370" s="100" t="n"/>
    </row>
    <row r="371" ht="15.75" customHeight="1">
      <c r="B371" s="137" t="n"/>
      <c r="C371" s="127" t="n"/>
      <c r="D371" s="126" t="n"/>
      <c r="E371" s="127" t="n"/>
      <c r="F371" s="128" t="n"/>
      <c r="G371" s="74" t="n"/>
      <c r="H371" s="74" t="n"/>
      <c r="I371" s="112" t="n"/>
    </row>
    <row r="372" ht="15.75" customHeight="1">
      <c r="B372" s="137" t="n"/>
      <c r="C372" s="123" t="n"/>
      <c r="D372" s="124" t="n"/>
      <c r="E372" s="123" t="n"/>
      <c r="F372" s="125" t="n"/>
      <c r="G372" s="65" t="n"/>
      <c r="H372" s="65" t="n"/>
      <c r="I372" s="100" t="n"/>
    </row>
    <row r="373" ht="15.75" customHeight="1">
      <c r="B373" s="137" t="n"/>
      <c r="C373" s="127" t="n"/>
      <c r="D373" s="126" t="n"/>
      <c r="E373" s="127" t="n"/>
      <c r="F373" s="128" t="n"/>
      <c r="G373" s="74" t="n"/>
      <c r="H373" s="74" t="n"/>
      <c r="I373" s="112" t="n"/>
    </row>
    <row r="374" ht="15.75" customHeight="1">
      <c r="B374" s="137" t="n"/>
      <c r="C374" s="123" t="n"/>
      <c r="D374" s="124" t="n"/>
      <c r="E374" s="123" t="n"/>
      <c r="F374" s="125" t="n"/>
      <c r="G374" s="65" t="n"/>
      <c r="H374" s="65" t="n"/>
      <c r="I374" s="100" t="n"/>
    </row>
    <row r="375" ht="15.75" customHeight="1">
      <c r="B375" s="137" t="n"/>
      <c r="C375" s="127" t="n"/>
      <c r="D375" s="126" t="n"/>
      <c r="E375" s="127" t="n"/>
      <c r="F375" s="128" t="n"/>
      <c r="G375" s="74" t="n"/>
      <c r="H375" s="74" t="n"/>
      <c r="I375" s="112" t="n"/>
    </row>
    <row r="376" ht="15.75" customHeight="1">
      <c r="B376" s="137" t="n"/>
      <c r="C376" s="123" t="n"/>
      <c r="D376" s="124" t="n"/>
      <c r="E376" s="123" t="n"/>
      <c r="F376" s="125" t="n"/>
      <c r="G376" s="65" t="n"/>
      <c r="H376" s="65" t="n"/>
      <c r="I376" s="100" t="n"/>
    </row>
    <row r="377" ht="15.75" customHeight="1">
      <c r="B377" s="137" t="n"/>
      <c r="C377" s="127" t="n"/>
      <c r="D377" s="126" t="n"/>
      <c r="E377" s="127" t="n"/>
      <c r="F377" s="128" t="n"/>
      <c r="G377" s="74" t="n"/>
      <c r="H377" s="74" t="n"/>
      <c r="I377" s="112" t="n"/>
    </row>
    <row r="378" ht="15.75" customHeight="1">
      <c r="B378" s="137" t="n"/>
      <c r="C378" s="123" t="n"/>
      <c r="D378" s="124" t="n"/>
      <c r="E378" s="123" t="n"/>
      <c r="F378" s="125" t="n"/>
      <c r="G378" s="65" t="n"/>
      <c r="H378" s="65" t="n"/>
      <c r="I378" s="100" t="n"/>
    </row>
    <row r="379" ht="15.75" customHeight="1">
      <c r="B379" s="137" t="n"/>
      <c r="C379" s="127" t="n"/>
      <c r="D379" s="126" t="n"/>
      <c r="E379" s="127" t="n"/>
      <c r="F379" s="128" t="n"/>
      <c r="G379" s="74" t="n"/>
      <c r="H379" s="74" t="n"/>
      <c r="I379" s="112" t="n"/>
    </row>
    <row r="380" ht="15.75" customHeight="1">
      <c r="B380" s="137" t="n"/>
      <c r="C380" s="123" t="n"/>
      <c r="D380" s="124" t="n"/>
      <c r="E380" s="123" t="n"/>
      <c r="F380" s="125" t="n"/>
      <c r="G380" s="65" t="n"/>
      <c r="H380" s="65" t="n"/>
      <c r="I380" s="100" t="n"/>
    </row>
    <row r="381" ht="15.75" customHeight="1">
      <c r="B381" s="137" t="n"/>
      <c r="C381" s="127" t="n"/>
      <c r="D381" s="126" t="n"/>
      <c r="E381" s="127" t="n"/>
      <c r="F381" s="128" t="n"/>
      <c r="G381" s="74" t="n"/>
      <c r="H381" s="74" t="n"/>
      <c r="I381" s="112" t="n"/>
    </row>
    <row r="382" ht="15.75" customHeight="1">
      <c r="B382" s="137" t="n"/>
      <c r="C382" s="123" t="n"/>
      <c r="D382" s="124" t="n"/>
      <c r="E382" s="123" t="n"/>
      <c r="F382" s="125" t="n"/>
      <c r="G382" s="65" t="n"/>
      <c r="H382" s="65" t="n"/>
      <c r="I382" s="100" t="n"/>
    </row>
    <row r="383" ht="15.75" customHeight="1">
      <c r="B383" s="137" t="n"/>
      <c r="C383" s="127" t="n"/>
      <c r="D383" s="126" t="n"/>
      <c r="E383" s="127" t="n"/>
      <c r="F383" s="128" t="n"/>
      <c r="G383" s="74" t="n"/>
      <c r="H383" s="74" t="n"/>
      <c r="I383" s="112" t="n"/>
    </row>
    <row r="384" ht="15.75" customHeight="1">
      <c r="B384" s="137" t="n"/>
      <c r="C384" s="123" t="n"/>
      <c r="D384" s="124" t="n"/>
      <c r="E384" s="123" t="n"/>
      <c r="F384" s="125" t="n"/>
      <c r="G384" s="65" t="n"/>
      <c r="H384" s="65" t="n"/>
      <c r="I384" s="100" t="n"/>
    </row>
    <row r="385" ht="15.75" customHeight="1">
      <c r="B385" s="137" t="n"/>
      <c r="C385" s="127" t="n"/>
      <c r="D385" s="126" t="n"/>
      <c r="E385" s="127" t="n"/>
      <c r="F385" s="128" t="n"/>
      <c r="G385" s="74" t="n"/>
      <c r="H385" s="74" t="n"/>
      <c r="I385" s="112" t="n"/>
    </row>
    <row r="386" ht="15.75" customHeight="1">
      <c r="B386" s="137" t="n"/>
      <c r="C386" s="123" t="n"/>
      <c r="D386" s="124" t="n"/>
      <c r="E386" s="123" t="n"/>
      <c r="F386" s="125" t="n"/>
      <c r="G386" s="65" t="n"/>
      <c r="H386" s="65" t="n"/>
      <c r="I386" s="100" t="n"/>
    </row>
    <row r="387" ht="15.75" customHeight="1">
      <c r="B387" s="137" t="n"/>
      <c r="C387" s="127" t="n"/>
      <c r="D387" s="126" t="n"/>
      <c r="E387" s="127" t="n"/>
      <c r="F387" s="128" t="n"/>
      <c r="G387" s="74" t="n"/>
      <c r="H387" s="74" t="n"/>
      <c r="I387" s="112" t="n"/>
    </row>
    <row r="388" ht="15.75" customHeight="1">
      <c r="B388" s="137" t="n"/>
      <c r="C388" s="123" t="n"/>
      <c r="D388" s="124" t="n"/>
      <c r="E388" s="123" t="n"/>
      <c r="F388" s="125" t="n"/>
      <c r="G388" s="65" t="n"/>
      <c r="H388" s="65" t="n"/>
      <c r="I388" s="100" t="n"/>
    </row>
    <row r="389" ht="15.75" customHeight="1">
      <c r="B389" s="137" t="n"/>
      <c r="C389" s="127" t="n"/>
      <c r="D389" s="126" t="n"/>
      <c r="E389" s="127" t="n"/>
      <c r="F389" s="128" t="n"/>
      <c r="G389" s="74" t="n"/>
      <c r="H389" s="74" t="n"/>
      <c r="I389" s="112" t="n"/>
    </row>
    <row r="390" ht="15.75" customHeight="1">
      <c r="B390" s="137" t="n"/>
      <c r="C390" s="123" t="n"/>
      <c r="D390" s="124" t="n"/>
      <c r="E390" s="123" t="n"/>
      <c r="F390" s="125" t="n"/>
      <c r="G390" s="65" t="n"/>
      <c r="H390" s="65" t="n"/>
      <c r="I390" s="100" t="n"/>
    </row>
    <row r="391" ht="15.75" customHeight="1">
      <c r="B391" s="137" t="n"/>
      <c r="C391" s="127" t="n"/>
      <c r="D391" s="126" t="n"/>
      <c r="E391" s="127" t="n"/>
      <c r="F391" s="128" t="n"/>
      <c r="G391" s="74" t="n"/>
      <c r="H391" s="74" t="n"/>
      <c r="I391" s="112" t="n"/>
    </row>
    <row r="392" ht="15.75" customHeight="1">
      <c r="B392" s="137" t="n"/>
      <c r="C392" s="123" t="n"/>
      <c r="D392" s="124" t="n"/>
      <c r="E392" s="123" t="n"/>
      <c r="F392" s="125" t="n"/>
      <c r="G392" s="65" t="n"/>
      <c r="H392" s="65" t="n"/>
      <c r="I392" s="100" t="n"/>
    </row>
    <row r="393" ht="15.75" customHeight="1">
      <c r="B393" s="137" t="n"/>
      <c r="C393" s="127" t="n"/>
      <c r="D393" s="126" t="n"/>
      <c r="E393" s="127" t="n"/>
      <c r="F393" s="128" t="n"/>
      <c r="G393" s="74" t="n"/>
      <c r="H393" s="74" t="n"/>
      <c r="I393" s="112" t="n"/>
    </row>
    <row r="394" ht="15.75" customHeight="1">
      <c r="B394" s="137" t="n"/>
      <c r="C394" s="123" t="n"/>
      <c r="D394" s="124" t="n"/>
      <c r="E394" s="123" t="n"/>
      <c r="F394" s="125" t="n"/>
      <c r="G394" s="65" t="n"/>
      <c r="H394" s="65" t="n"/>
      <c r="I394" s="100" t="n"/>
    </row>
    <row r="395" ht="15.75" customHeight="1">
      <c r="B395" s="137" t="n"/>
      <c r="C395" s="127" t="n"/>
      <c r="D395" s="126" t="n"/>
      <c r="E395" s="127" t="n"/>
      <c r="F395" s="128" t="n"/>
      <c r="G395" s="74" t="n"/>
      <c r="H395" s="74" t="n"/>
      <c r="I395" s="112" t="n"/>
    </row>
    <row r="396" ht="15.75" customHeight="1">
      <c r="B396" s="137" t="n"/>
      <c r="C396" s="123" t="n"/>
      <c r="D396" s="124" t="n"/>
      <c r="E396" s="123" t="n"/>
      <c r="F396" s="125" t="n"/>
      <c r="G396" s="65" t="n"/>
      <c r="H396" s="65" t="n"/>
      <c r="I396" s="100" t="n"/>
    </row>
    <row r="397" ht="15.75" customHeight="1">
      <c r="B397" s="137" t="n"/>
      <c r="C397" s="127" t="n"/>
      <c r="D397" s="126" t="n"/>
      <c r="E397" s="127" t="n"/>
      <c r="F397" s="128" t="n"/>
      <c r="G397" s="74" t="n"/>
      <c r="H397" s="74" t="n"/>
      <c r="I397" s="112" t="n"/>
    </row>
    <row r="398" ht="15.75" customHeight="1">
      <c r="B398" s="137" t="n"/>
      <c r="C398" s="123" t="n"/>
      <c r="D398" s="124" t="n"/>
      <c r="E398" s="123" t="n"/>
      <c r="F398" s="125" t="n"/>
      <c r="G398" s="65" t="n"/>
      <c r="H398" s="65" t="n"/>
      <c r="I398" s="100" t="n"/>
    </row>
    <row r="399" ht="15.75" customHeight="1">
      <c r="B399" s="137" t="n"/>
      <c r="C399" s="127" t="n"/>
      <c r="D399" s="126" t="n"/>
      <c r="E399" s="127" t="n"/>
      <c r="F399" s="128" t="n"/>
      <c r="G399" s="74" t="n"/>
      <c r="H399" s="74" t="n"/>
      <c r="I399" s="112" t="n"/>
    </row>
    <row r="400" ht="15.75" customHeight="1">
      <c r="B400" s="137" t="n"/>
      <c r="C400" s="123" t="n"/>
      <c r="D400" s="124" t="n"/>
      <c r="E400" s="123" t="n"/>
      <c r="F400" s="125" t="n"/>
      <c r="G400" s="65" t="n"/>
      <c r="H400" s="65" t="n"/>
      <c r="I400" s="100" t="n"/>
    </row>
    <row r="401" ht="15.75" customHeight="1">
      <c r="B401" s="137" t="n"/>
      <c r="C401" s="127" t="n"/>
      <c r="D401" s="126" t="n"/>
      <c r="E401" s="127" t="n"/>
      <c r="F401" s="128" t="n"/>
      <c r="G401" s="74" t="n"/>
      <c r="H401" s="74" t="n"/>
      <c r="I401" s="112" t="n"/>
    </row>
    <row r="402" ht="15.75" customHeight="1">
      <c r="B402" s="137" t="n"/>
      <c r="C402" s="123" t="n"/>
      <c r="D402" s="124" t="n"/>
      <c r="E402" s="123" t="n"/>
      <c r="F402" s="125" t="n"/>
      <c r="G402" s="65" t="n"/>
      <c r="H402" s="65" t="n"/>
      <c r="I402" s="100" t="n"/>
    </row>
    <row r="403" ht="15.75" customHeight="1">
      <c r="B403" s="137" t="n"/>
      <c r="C403" s="127" t="n"/>
      <c r="D403" s="126" t="n"/>
      <c r="E403" s="127" t="n"/>
      <c r="F403" s="128" t="n"/>
      <c r="G403" s="74" t="n"/>
      <c r="H403" s="74" t="n"/>
      <c r="I403" s="112" t="n"/>
    </row>
    <row r="404" ht="15.75" customHeight="1">
      <c r="B404" s="137" t="n"/>
      <c r="C404" s="123" t="n"/>
      <c r="D404" s="124" t="n"/>
      <c r="E404" s="123" t="n"/>
      <c r="F404" s="125" t="n"/>
      <c r="G404" s="65" t="n"/>
      <c r="H404" s="65" t="n"/>
      <c r="I404" s="100" t="n"/>
    </row>
    <row r="405" ht="15.75" customHeight="1">
      <c r="B405" s="137" t="n"/>
      <c r="C405" s="127" t="n"/>
      <c r="D405" s="126" t="n"/>
      <c r="E405" s="127" t="n"/>
      <c r="F405" s="128" t="n"/>
      <c r="G405" s="74" t="n"/>
      <c r="H405" s="74" t="n"/>
      <c r="I405" s="112" t="n"/>
    </row>
    <row r="406" ht="15.75" customHeight="1">
      <c r="B406" s="137" t="n"/>
      <c r="C406" s="123" t="n"/>
      <c r="D406" s="124" t="n"/>
      <c r="E406" s="123" t="n"/>
      <c r="F406" s="125" t="n"/>
      <c r="G406" s="65" t="n"/>
      <c r="H406" s="65" t="n"/>
      <c r="I406" s="100" t="n"/>
    </row>
    <row r="407" ht="15.75" customHeight="1">
      <c r="B407" s="137" t="n"/>
      <c r="C407" s="127" t="n"/>
      <c r="D407" s="126" t="n"/>
      <c r="E407" s="127" t="n"/>
      <c r="F407" s="128" t="n"/>
      <c r="G407" s="74" t="n"/>
      <c r="H407" s="74" t="n"/>
      <c r="I407" s="112" t="n"/>
    </row>
    <row r="408" ht="15.75" customHeight="1">
      <c r="B408" s="137" t="n"/>
      <c r="C408" s="123" t="n"/>
      <c r="D408" s="124" t="n"/>
      <c r="E408" s="123" t="n"/>
      <c r="F408" s="125" t="n"/>
      <c r="G408" s="65" t="n"/>
      <c r="H408" s="65" t="n"/>
      <c r="I408" s="100" t="n"/>
    </row>
    <row r="409" ht="15.75" customHeight="1">
      <c r="B409" s="137" t="n"/>
      <c r="C409" s="127" t="n"/>
      <c r="D409" s="126" t="n"/>
      <c r="E409" s="127" t="n"/>
      <c r="F409" s="128" t="n"/>
      <c r="G409" s="74" t="n"/>
      <c r="H409" s="74" t="n"/>
      <c r="I409" s="112" t="n"/>
    </row>
    <row r="410" ht="15.75" customHeight="1">
      <c r="B410" s="137" t="n"/>
      <c r="C410" s="123" t="n"/>
      <c r="D410" s="124" t="n"/>
      <c r="E410" s="123" t="n"/>
      <c r="F410" s="125" t="n"/>
      <c r="G410" s="65" t="n"/>
      <c r="H410" s="65" t="n"/>
      <c r="I410" s="100" t="n"/>
    </row>
    <row r="411" ht="15.75" customHeight="1">
      <c r="B411" s="137" t="n"/>
      <c r="C411" s="127" t="n"/>
      <c r="D411" s="126" t="n"/>
      <c r="E411" s="127" t="n"/>
      <c r="F411" s="128" t="n"/>
      <c r="G411" s="74" t="n"/>
      <c r="H411" s="74" t="n"/>
      <c r="I411" s="112" t="n"/>
    </row>
    <row r="412" ht="15.75" customHeight="1">
      <c r="B412" s="137" t="n"/>
      <c r="C412" s="123" t="n"/>
      <c r="D412" s="124" t="n"/>
      <c r="E412" s="123" t="n"/>
      <c r="F412" s="125" t="n"/>
      <c r="G412" s="65" t="n"/>
      <c r="H412" s="65" t="n"/>
      <c r="I412" s="100" t="n"/>
    </row>
    <row r="413" ht="15.75" customHeight="1">
      <c r="B413" s="137" t="n"/>
      <c r="C413" s="127" t="n"/>
      <c r="D413" s="126" t="n"/>
      <c r="E413" s="127" t="n"/>
      <c r="F413" s="128" t="n"/>
      <c r="G413" s="74" t="n"/>
      <c r="H413" s="74" t="n"/>
      <c r="I413" s="112" t="n"/>
    </row>
    <row r="414" ht="15.75" customHeight="1">
      <c r="B414" s="137" t="n"/>
      <c r="C414" s="123" t="n"/>
      <c r="D414" s="124" t="n"/>
      <c r="E414" s="123" t="n"/>
      <c r="F414" s="125" t="n"/>
      <c r="G414" s="65" t="n"/>
      <c r="H414" s="65" t="n"/>
      <c r="I414" s="100" t="n"/>
    </row>
    <row r="415" ht="15.75" customHeight="1">
      <c r="B415" s="137" t="n"/>
      <c r="C415" s="127" t="n"/>
      <c r="D415" s="126" t="n"/>
      <c r="E415" s="127" t="n"/>
      <c r="F415" s="128" t="n"/>
      <c r="G415" s="74" t="n"/>
      <c r="H415" s="74" t="n"/>
      <c r="I415" s="112" t="n"/>
    </row>
    <row r="416" ht="15.75" customHeight="1">
      <c r="B416" s="137" t="n"/>
      <c r="C416" s="123" t="n"/>
      <c r="D416" s="124" t="n"/>
      <c r="E416" s="123" t="n"/>
      <c r="F416" s="125" t="n"/>
      <c r="G416" s="65" t="n"/>
      <c r="H416" s="65" t="n"/>
      <c r="I416" s="100" t="n"/>
    </row>
    <row r="417" ht="15.75" customHeight="1">
      <c r="B417" s="137" t="n"/>
      <c r="C417" s="127" t="n"/>
      <c r="D417" s="126" t="n"/>
      <c r="E417" s="127" t="n"/>
      <c r="F417" s="128" t="n"/>
      <c r="G417" s="74" t="n"/>
      <c r="H417" s="74" t="n"/>
      <c r="I417" s="112" t="n"/>
    </row>
    <row r="418" ht="15.75" customHeight="1">
      <c r="B418" s="137" t="n"/>
      <c r="C418" s="123" t="n"/>
      <c r="D418" s="124" t="n"/>
      <c r="E418" s="123" t="n"/>
      <c r="F418" s="125" t="n"/>
      <c r="G418" s="65" t="n"/>
      <c r="H418" s="65" t="n"/>
      <c r="I418" s="100" t="n"/>
    </row>
    <row r="419" ht="15.75" customHeight="1">
      <c r="B419" s="137" t="n"/>
      <c r="C419" s="127" t="n"/>
      <c r="D419" s="126" t="n"/>
      <c r="E419" s="127" t="n"/>
      <c r="F419" s="128" t="n"/>
      <c r="G419" s="74" t="n"/>
      <c r="H419" s="74" t="n"/>
      <c r="I419" s="112" t="n"/>
    </row>
    <row r="420" ht="15.75" customHeight="1">
      <c r="B420" s="137" t="n"/>
      <c r="C420" s="123" t="n"/>
      <c r="D420" s="124" t="n"/>
      <c r="E420" s="123" t="n"/>
      <c r="F420" s="125" t="n"/>
      <c r="G420" s="65" t="n"/>
      <c r="H420" s="65" t="n"/>
      <c r="I420" s="100" t="n"/>
    </row>
    <row r="421" ht="15.75" customHeight="1">
      <c r="B421" s="137" t="n"/>
      <c r="C421" s="127" t="n"/>
      <c r="D421" s="126" t="n"/>
      <c r="E421" s="127" t="n"/>
      <c r="F421" s="128" t="n"/>
      <c r="G421" s="74" t="n"/>
      <c r="H421" s="74" t="n"/>
      <c r="I421" s="112" t="n"/>
    </row>
    <row r="422" ht="15.75" customHeight="1">
      <c r="B422" s="137" t="n"/>
      <c r="C422" s="123" t="n"/>
      <c r="D422" s="124" t="n"/>
      <c r="E422" s="123" t="n"/>
      <c r="F422" s="125" t="n"/>
      <c r="G422" s="65" t="n"/>
      <c r="H422" s="65" t="n"/>
      <c r="I422" s="100" t="n"/>
    </row>
    <row r="423" ht="15.75" customHeight="1">
      <c r="B423" s="137" t="n"/>
      <c r="C423" s="127" t="n"/>
      <c r="D423" s="126" t="n"/>
      <c r="E423" s="127" t="n"/>
      <c r="F423" s="128" t="n"/>
      <c r="G423" s="74" t="n"/>
      <c r="H423" s="74" t="n"/>
      <c r="I423" s="112" t="n"/>
    </row>
    <row r="424" ht="15.75" customHeight="1">
      <c r="B424" s="137" t="n"/>
      <c r="C424" s="123" t="n"/>
      <c r="D424" s="124" t="n"/>
      <c r="E424" s="123" t="n"/>
      <c r="F424" s="125" t="n"/>
      <c r="G424" s="65" t="n"/>
      <c r="H424" s="65" t="n"/>
      <c r="I424" s="100" t="n"/>
    </row>
    <row r="425" ht="15.75" customHeight="1">
      <c r="B425" s="137" t="n"/>
      <c r="C425" s="127" t="n"/>
      <c r="D425" s="126" t="n"/>
      <c r="E425" s="127" t="n"/>
      <c r="F425" s="128" t="n"/>
      <c r="G425" s="74" t="n"/>
      <c r="H425" s="74" t="n"/>
      <c r="I425" s="112" t="n"/>
    </row>
    <row r="426" ht="15.75" customHeight="1">
      <c r="B426" s="137" t="n"/>
      <c r="C426" s="123" t="n"/>
      <c r="D426" s="124" t="n"/>
      <c r="E426" s="123" t="n"/>
      <c r="F426" s="125" t="n"/>
      <c r="G426" s="65" t="n"/>
      <c r="H426" s="65" t="n"/>
      <c r="I426" s="100" t="n"/>
    </row>
    <row r="427" ht="15.75" customHeight="1">
      <c r="B427" s="137" t="n"/>
      <c r="C427" s="127" t="n"/>
      <c r="D427" s="126" t="n"/>
      <c r="E427" s="127" t="n"/>
      <c r="F427" s="128" t="n"/>
      <c r="G427" s="74" t="n"/>
      <c r="H427" s="74" t="n"/>
      <c r="I427" s="112" t="n"/>
    </row>
    <row r="428" ht="15.75" customHeight="1">
      <c r="B428" s="137" t="n"/>
      <c r="C428" s="123" t="n"/>
      <c r="D428" s="124" t="n"/>
      <c r="E428" s="123" t="n"/>
      <c r="F428" s="125" t="n"/>
      <c r="G428" s="65" t="n"/>
      <c r="H428" s="65" t="n"/>
      <c r="I428" s="100" t="n"/>
    </row>
    <row r="429" ht="15.75" customHeight="1">
      <c r="B429" s="137" t="n"/>
      <c r="C429" s="127" t="n"/>
      <c r="D429" s="126" t="n"/>
      <c r="E429" s="127" t="n"/>
      <c r="F429" s="128" t="n"/>
      <c r="G429" s="74" t="n"/>
      <c r="H429" s="74" t="n"/>
      <c r="I429" s="112" t="n"/>
    </row>
    <row r="430" ht="15.75" customHeight="1">
      <c r="B430" s="137" t="n"/>
      <c r="C430" s="123" t="n"/>
      <c r="D430" s="124" t="n"/>
      <c r="E430" s="123" t="n"/>
      <c r="F430" s="125" t="n"/>
      <c r="G430" s="65" t="n"/>
      <c r="H430" s="65" t="n"/>
      <c r="I430" s="100" t="n"/>
    </row>
    <row r="431" ht="15.75" customHeight="1">
      <c r="B431" s="137" t="n"/>
      <c r="C431" s="127" t="n"/>
      <c r="D431" s="126" t="n"/>
      <c r="E431" s="127" t="n"/>
      <c r="F431" s="128" t="n"/>
      <c r="G431" s="74" t="n"/>
      <c r="H431" s="74" t="n"/>
      <c r="I431" s="112" t="n"/>
    </row>
    <row r="432" ht="15.75" customHeight="1">
      <c r="B432" s="137" t="n"/>
      <c r="C432" s="123" t="n"/>
      <c r="D432" s="124" t="n"/>
      <c r="E432" s="123" t="n"/>
      <c r="F432" s="125" t="n"/>
      <c r="G432" s="65" t="n"/>
      <c r="H432" s="65" t="n"/>
      <c r="I432" s="100" t="n"/>
    </row>
    <row r="433" ht="15.75" customHeight="1">
      <c r="B433" s="137" t="n"/>
      <c r="C433" s="127" t="n"/>
      <c r="D433" s="126" t="n"/>
      <c r="E433" s="127" t="n"/>
      <c r="F433" s="128" t="n"/>
      <c r="G433" s="74" t="n"/>
      <c r="H433" s="74" t="n"/>
      <c r="I433" s="112" t="n"/>
    </row>
    <row r="434" ht="15.75" customHeight="1">
      <c r="B434" s="137" t="n"/>
      <c r="C434" s="123" t="n"/>
      <c r="D434" s="124" t="n"/>
      <c r="E434" s="123" t="n"/>
      <c r="F434" s="125" t="n"/>
      <c r="G434" s="65" t="n"/>
      <c r="H434" s="65" t="n"/>
      <c r="I434" s="100" t="n"/>
    </row>
    <row r="435" ht="15.75" customHeight="1">
      <c r="B435" s="137" t="n"/>
      <c r="C435" s="127" t="n"/>
      <c r="D435" s="126" t="n"/>
      <c r="E435" s="127" t="n"/>
      <c r="F435" s="128" t="n"/>
      <c r="G435" s="74" t="n"/>
      <c r="H435" s="74" t="n"/>
      <c r="I435" s="112" t="n"/>
    </row>
    <row r="436" ht="15.75" customHeight="1">
      <c r="B436" s="137" t="n"/>
      <c r="C436" s="123" t="n"/>
      <c r="D436" s="124" t="n"/>
      <c r="E436" s="123" t="n"/>
      <c r="F436" s="125" t="n"/>
      <c r="G436" s="65" t="n"/>
      <c r="H436" s="65" t="n"/>
      <c r="I436" s="100" t="n"/>
    </row>
    <row r="437" ht="15.75" customHeight="1">
      <c r="B437" s="137" t="n"/>
      <c r="C437" s="127" t="n"/>
      <c r="D437" s="126" t="n"/>
      <c r="E437" s="127" t="n"/>
      <c r="F437" s="128" t="n"/>
      <c r="G437" s="74" t="n"/>
      <c r="H437" s="74" t="n"/>
      <c r="I437" s="112" t="n"/>
    </row>
    <row r="438" ht="15.75" customHeight="1">
      <c r="B438" s="137" t="n"/>
      <c r="C438" s="123" t="n"/>
      <c r="D438" s="124" t="n"/>
      <c r="E438" s="123" t="n"/>
      <c r="F438" s="125" t="n"/>
      <c r="G438" s="65" t="n"/>
      <c r="H438" s="65" t="n"/>
      <c r="I438" s="100" t="n"/>
    </row>
    <row r="439" ht="15.75" customHeight="1">
      <c r="B439" s="137" t="n"/>
      <c r="C439" s="127" t="n"/>
      <c r="D439" s="126" t="n"/>
      <c r="E439" s="127" t="n"/>
      <c r="F439" s="128" t="n"/>
      <c r="G439" s="74" t="n"/>
      <c r="H439" s="74" t="n"/>
      <c r="I439" s="112" t="n"/>
    </row>
    <row r="440" ht="15.75" customHeight="1">
      <c r="B440" s="137" t="n"/>
      <c r="C440" s="123" t="n"/>
      <c r="D440" s="124" t="n"/>
      <c r="E440" s="123" t="n"/>
      <c r="F440" s="125" t="n"/>
      <c r="G440" s="65" t="n"/>
      <c r="H440" s="65" t="n"/>
      <c r="I440" s="100" t="n"/>
    </row>
    <row r="441" ht="15.75" customHeight="1">
      <c r="B441" s="137" t="n"/>
      <c r="C441" s="127" t="n"/>
      <c r="D441" s="126" t="n"/>
      <c r="E441" s="127" t="n"/>
      <c r="F441" s="128" t="n"/>
      <c r="G441" s="74" t="n"/>
      <c r="H441" s="74" t="n"/>
      <c r="I441" s="112" t="n"/>
    </row>
    <row r="442" ht="15.75" customHeight="1">
      <c r="B442" s="137" t="n"/>
      <c r="C442" s="123" t="n"/>
      <c r="D442" s="124" t="n"/>
      <c r="E442" s="123" t="n"/>
      <c r="F442" s="125" t="n"/>
      <c r="G442" s="65" t="n"/>
      <c r="H442" s="65" t="n"/>
      <c r="I442" s="100" t="n"/>
    </row>
    <row r="443" ht="15.75" customHeight="1">
      <c r="B443" s="137" t="n"/>
      <c r="C443" s="127" t="n"/>
      <c r="D443" s="126" t="n"/>
      <c r="E443" s="127" t="n"/>
      <c r="F443" s="128" t="n"/>
      <c r="G443" s="74" t="n"/>
      <c r="H443" s="74" t="n"/>
      <c r="I443" s="112" t="n"/>
    </row>
    <row r="444" ht="15.75" customHeight="1">
      <c r="B444" s="137" t="n"/>
      <c r="C444" s="123" t="n"/>
      <c r="D444" s="124" t="n"/>
      <c r="E444" s="123" t="n"/>
      <c r="F444" s="125" t="n"/>
      <c r="G444" s="65" t="n"/>
      <c r="H444" s="65" t="n"/>
      <c r="I444" s="100" t="n"/>
    </row>
    <row r="445" ht="15.75" customHeight="1">
      <c r="B445" s="137" t="n"/>
      <c r="C445" s="127" t="n"/>
      <c r="D445" s="126" t="n"/>
      <c r="E445" s="127" t="n"/>
      <c r="F445" s="128" t="n"/>
      <c r="G445" s="74" t="n"/>
      <c r="H445" s="74" t="n"/>
      <c r="I445" s="112" t="n"/>
    </row>
    <row r="446" ht="15.75" customHeight="1">
      <c r="B446" s="137" t="n"/>
      <c r="C446" s="123" t="n"/>
      <c r="D446" s="124" t="n"/>
      <c r="E446" s="123" t="n"/>
      <c r="F446" s="125" t="n"/>
      <c r="G446" s="65" t="n"/>
      <c r="H446" s="65" t="n"/>
      <c r="I446" s="100" t="n"/>
    </row>
    <row r="447" ht="15.75" customHeight="1">
      <c r="B447" s="137" t="n"/>
      <c r="C447" s="127" t="n"/>
      <c r="D447" s="126" t="n"/>
      <c r="E447" s="127" t="n"/>
      <c r="F447" s="128" t="n"/>
      <c r="G447" s="74" t="n"/>
      <c r="H447" s="74" t="n"/>
      <c r="I447" s="112" t="n"/>
    </row>
    <row r="448" ht="15.75" customHeight="1">
      <c r="B448" s="137" t="n"/>
      <c r="C448" s="123" t="n"/>
      <c r="D448" s="124" t="n"/>
      <c r="E448" s="123" t="n"/>
      <c r="F448" s="125" t="n"/>
      <c r="G448" s="65" t="n"/>
      <c r="H448" s="65" t="n"/>
      <c r="I448" s="100" t="n"/>
    </row>
    <row r="449" ht="15.75" customHeight="1">
      <c r="B449" s="137" t="n"/>
      <c r="C449" s="127" t="n"/>
      <c r="D449" s="126" t="n"/>
      <c r="E449" s="127" t="n"/>
      <c r="F449" s="128" t="n"/>
      <c r="G449" s="74" t="n"/>
      <c r="H449" s="74" t="n"/>
      <c r="I449" s="112" t="n"/>
    </row>
    <row r="450" ht="15.75" customHeight="1">
      <c r="B450" s="137" t="n"/>
      <c r="C450" s="123" t="n"/>
      <c r="D450" s="124" t="n"/>
      <c r="E450" s="123" t="n"/>
      <c r="F450" s="125" t="n"/>
      <c r="G450" s="65" t="n"/>
      <c r="H450" s="65" t="n"/>
      <c r="I450" s="100" t="n"/>
    </row>
    <row r="451" ht="15.75" customHeight="1">
      <c r="B451" s="137" t="n"/>
      <c r="C451" s="127" t="n"/>
      <c r="D451" s="126" t="n"/>
      <c r="E451" s="127" t="n"/>
      <c r="F451" s="128" t="n"/>
      <c r="G451" s="74" t="n"/>
      <c r="H451" s="74" t="n"/>
      <c r="I451" s="112" t="n"/>
    </row>
    <row r="452" ht="15.75" customHeight="1">
      <c r="B452" s="137" t="n"/>
      <c r="C452" s="123" t="n"/>
      <c r="D452" s="124" t="n"/>
      <c r="E452" s="123" t="n"/>
      <c r="F452" s="125" t="n"/>
      <c r="G452" s="65" t="n"/>
      <c r="H452" s="65" t="n"/>
      <c r="I452" s="100" t="n"/>
    </row>
    <row r="453" ht="15.75" customHeight="1">
      <c r="B453" s="137" t="n"/>
      <c r="C453" s="127" t="n"/>
      <c r="D453" s="126" t="n"/>
      <c r="E453" s="127" t="n"/>
      <c r="F453" s="128" t="n"/>
      <c r="G453" s="74" t="n"/>
      <c r="H453" s="74" t="n"/>
      <c r="I453" s="112" t="n"/>
    </row>
    <row r="454" ht="15.75" customHeight="1">
      <c r="B454" s="137" t="n"/>
      <c r="C454" s="123" t="n"/>
      <c r="D454" s="124" t="n"/>
      <c r="E454" s="123" t="n"/>
      <c r="F454" s="125" t="n"/>
      <c r="G454" s="65" t="n"/>
      <c r="H454" s="65" t="n"/>
      <c r="I454" s="100" t="n"/>
    </row>
    <row r="455" ht="15.75" customHeight="1">
      <c r="B455" s="137" t="n"/>
      <c r="C455" s="127" t="n"/>
      <c r="D455" s="126" t="n"/>
      <c r="E455" s="127" t="n"/>
      <c r="F455" s="128" t="n"/>
      <c r="G455" s="74" t="n"/>
      <c r="H455" s="74" t="n"/>
      <c r="I455" s="112" t="n"/>
    </row>
    <row r="456" ht="15.75" customHeight="1">
      <c r="B456" s="137" t="n"/>
      <c r="C456" s="123" t="n"/>
      <c r="D456" s="124" t="n"/>
      <c r="E456" s="123" t="n"/>
      <c r="F456" s="125" t="n"/>
      <c r="G456" s="65" t="n"/>
      <c r="H456" s="65" t="n"/>
      <c r="I456" s="100" t="n"/>
    </row>
    <row r="457" ht="15.75" customHeight="1">
      <c r="B457" s="137" t="n"/>
      <c r="C457" s="127" t="n"/>
      <c r="D457" s="126" t="n"/>
      <c r="E457" s="127" t="n"/>
      <c r="F457" s="128" t="n"/>
      <c r="G457" s="74" t="n"/>
      <c r="H457" s="74" t="n"/>
      <c r="I457" s="112" t="n"/>
    </row>
    <row r="458" ht="15.75" customHeight="1">
      <c r="B458" s="137" t="n"/>
      <c r="C458" s="123" t="n"/>
      <c r="D458" s="124" t="n"/>
      <c r="E458" s="123" t="n"/>
      <c r="F458" s="125" t="n"/>
      <c r="G458" s="65" t="n"/>
      <c r="H458" s="65" t="n"/>
      <c r="I458" s="100" t="n"/>
    </row>
    <row r="459" ht="15.75" customHeight="1">
      <c r="B459" s="137" t="n"/>
      <c r="C459" s="127" t="n"/>
      <c r="D459" s="126" t="n"/>
      <c r="E459" s="127" t="n"/>
      <c r="F459" s="128" t="n"/>
      <c r="G459" s="74" t="n"/>
      <c r="H459" s="74" t="n"/>
      <c r="I459" s="112" t="n"/>
    </row>
    <row r="460" ht="15.75" customHeight="1">
      <c r="B460" s="137" t="n"/>
      <c r="C460" s="123" t="n"/>
      <c r="D460" s="124" t="n"/>
      <c r="E460" s="123" t="n"/>
      <c r="F460" s="125" t="n"/>
      <c r="G460" s="65" t="n"/>
      <c r="H460" s="65" t="n"/>
      <c r="I460" s="100" t="n"/>
    </row>
    <row r="461" ht="15.75" customHeight="1">
      <c r="B461" s="137" t="n"/>
      <c r="C461" s="127" t="n"/>
      <c r="D461" s="126" t="n"/>
      <c r="E461" s="127" t="n"/>
      <c r="F461" s="128" t="n"/>
      <c r="G461" s="74" t="n"/>
      <c r="H461" s="74" t="n"/>
      <c r="I461" s="112" t="n"/>
    </row>
    <row r="462" ht="15.75" customHeight="1">
      <c r="B462" s="137" t="n"/>
      <c r="C462" s="123" t="n"/>
      <c r="D462" s="124" t="n"/>
      <c r="E462" s="123" t="n"/>
      <c r="F462" s="125" t="n"/>
      <c r="G462" s="65" t="n"/>
      <c r="H462" s="65" t="n"/>
      <c r="I462" s="100" t="n"/>
    </row>
    <row r="463" ht="15.75" customHeight="1">
      <c r="B463" s="137" t="n"/>
      <c r="C463" s="127" t="n"/>
      <c r="D463" s="126" t="n"/>
      <c r="E463" s="127" t="n"/>
      <c r="F463" s="128" t="n"/>
      <c r="G463" s="74" t="n"/>
      <c r="H463" s="74" t="n"/>
      <c r="I463" s="112" t="n"/>
    </row>
    <row r="464" ht="15.75" customHeight="1">
      <c r="B464" s="137" t="n"/>
      <c r="C464" s="123" t="n"/>
      <c r="D464" s="124" t="n"/>
      <c r="E464" s="123" t="n"/>
      <c r="F464" s="125" t="n"/>
      <c r="G464" s="65" t="n"/>
      <c r="H464" s="65" t="n"/>
      <c r="I464" s="100" t="n"/>
    </row>
    <row r="465" ht="15.75" customHeight="1">
      <c r="B465" s="137" t="n"/>
      <c r="C465" s="127" t="n"/>
      <c r="D465" s="126" t="n"/>
      <c r="E465" s="127" t="n"/>
      <c r="F465" s="128" t="n"/>
      <c r="G465" s="74" t="n"/>
      <c r="H465" s="74" t="n"/>
      <c r="I465" s="112" t="n"/>
    </row>
    <row r="466" ht="15.75" customHeight="1">
      <c r="B466" s="137" t="n"/>
      <c r="C466" s="123" t="n"/>
      <c r="D466" s="124" t="n"/>
      <c r="E466" s="123" t="n"/>
      <c r="F466" s="125" t="n"/>
      <c r="G466" s="65" t="n"/>
      <c r="H466" s="65" t="n"/>
      <c r="I466" s="100" t="n"/>
    </row>
    <row r="467" ht="15.75" customHeight="1">
      <c r="B467" s="137" t="n"/>
      <c r="C467" s="127" t="n"/>
      <c r="D467" s="126" t="n"/>
      <c r="E467" s="127" t="n"/>
      <c r="F467" s="128" t="n"/>
      <c r="G467" s="74" t="n"/>
      <c r="H467" s="74" t="n"/>
      <c r="I467" s="112" t="n"/>
    </row>
    <row r="468" ht="15.75" customHeight="1">
      <c r="B468" s="137" t="n"/>
      <c r="C468" s="123" t="n"/>
      <c r="D468" s="124" t="n"/>
      <c r="E468" s="123" t="n"/>
      <c r="F468" s="125" t="n"/>
      <c r="G468" s="65" t="n"/>
      <c r="H468" s="65" t="n"/>
      <c r="I468" s="100" t="n"/>
    </row>
    <row r="469" ht="15.75" customHeight="1">
      <c r="B469" s="137" t="n"/>
      <c r="C469" s="127" t="n"/>
      <c r="D469" s="126" t="n"/>
      <c r="E469" s="127" t="n"/>
      <c r="F469" s="128" t="n"/>
      <c r="G469" s="74" t="n"/>
      <c r="H469" s="74" t="n"/>
      <c r="I469" s="112" t="n"/>
    </row>
    <row r="470" ht="15.75" customHeight="1">
      <c r="B470" s="137" t="n"/>
      <c r="C470" s="123" t="n"/>
      <c r="D470" s="124" t="n"/>
      <c r="E470" s="123" t="n"/>
      <c r="F470" s="125" t="n"/>
      <c r="G470" s="65" t="n"/>
      <c r="H470" s="65" t="n"/>
      <c r="I470" s="100" t="n"/>
    </row>
    <row r="471" ht="15.75" customHeight="1">
      <c r="B471" s="137" t="n"/>
      <c r="C471" s="127" t="n"/>
      <c r="D471" s="126" t="n"/>
      <c r="E471" s="127" t="n"/>
      <c r="F471" s="128" t="n"/>
      <c r="G471" s="74" t="n"/>
      <c r="H471" s="74" t="n"/>
      <c r="I471" s="112" t="n"/>
    </row>
    <row r="472" ht="15.75" customHeight="1">
      <c r="B472" s="137" t="n"/>
      <c r="C472" s="123" t="n"/>
      <c r="D472" s="124" t="n"/>
      <c r="E472" s="123" t="n"/>
      <c r="F472" s="125" t="n"/>
      <c r="G472" s="65" t="n"/>
      <c r="H472" s="65" t="n"/>
      <c r="I472" s="100" t="n"/>
    </row>
    <row r="473" ht="15.75" customHeight="1">
      <c r="B473" s="137" t="n"/>
      <c r="C473" s="127" t="n"/>
      <c r="D473" s="126" t="n"/>
      <c r="E473" s="127" t="n"/>
      <c r="F473" s="128" t="n"/>
      <c r="G473" s="74" t="n"/>
      <c r="H473" s="74" t="n"/>
      <c r="I473" s="112" t="n"/>
    </row>
    <row r="474" ht="15.75" customHeight="1">
      <c r="B474" s="137" t="n"/>
      <c r="C474" s="123" t="n"/>
      <c r="D474" s="124" t="n"/>
      <c r="E474" s="123" t="n"/>
      <c r="F474" s="125" t="n"/>
      <c r="G474" s="65" t="n"/>
      <c r="H474" s="65" t="n"/>
      <c r="I474" s="100" t="n"/>
    </row>
    <row r="475" ht="15.75" customHeight="1">
      <c r="B475" s="137" t="n"/>
      <c r="C475" s="127" t="n"/>
      <c r="D475" s="126" t="n"/>
      <c r="E475" s="127" t="n"/>
      <c r="F475" s="128" t="n"/>
      <c r="G475" s="74" t="n"/>
      <c r="H475" s="74" t="n"/>
      <c r="I475" s="112" t="n"/>
    </row>
    <row r="476" ht="15.75" customHeight="1">
      <c r="B476" s="137" t="n"/>
      <c r="C476" s="123" t="n"/>
      <c r="D476" s="124" t="n"/>
      <c r="E476" s="123" t="n"/>
      <c r="F476" s="125" t="n"/>
      <c r="G476" s="65" t="n"/>
      <c r="H476" s="65" t="n"/>
      <c r="I476" s="100" t="n"/>
    </row>
    <row r="477" ht="15.75" customHeight="1">
      <c r="B477" s="137" t="n"/>
      <c r="C477" s="127" t="n"/>
      <c r="D477" s="126" t="n"/>
      <c r="E477" s="127" t="n"/>
      <c r="F477" s="128" t="n"/>
      <c r="G477" s="74" t="n"/>
      <c r="H477" s="74" t="n"/>
      <c r="I477" s="112" t="n"/>
    </row>
    <row r="478" ht="15.75" customHeight="1">
      <c r="B478" s="137" t="n"/>
      <c r="C478" s="123" t="n"/>
      <c r="D478" s="124" t="n"/>
      <c r="E478" s="123" t="n"/>
      <c r="F478" s="125" t="n"/>
      <c r="G478" s="65" t="n"/>
      <c r="H478" s="65" t="n"/>
      <c r="I478" s="100" t="n"/>
    </row>
    <row r="479" ht="15.75" customHeight="1">
      <c r="B479" s="137" t="n"/>
      <c r="C479" s="127" t="n"/>
      <c r="D479" s="126" t="n"/>
      <c r="E479" s="127" t="n"/>
      <c r="F479" s="128" t="n"/>
      <c r="G479" s="74" t="n"/>
      <c r="H479" s="74" t="n"/>
      <c r="I479" s="112" t="n"/>
    </row>
    <row r="480" ht="15.75" customHeight="1">
      <c r="B480" s="137" t="n"/>
      <c r="C480" s="123" t="n"/>
      <c r="D480" s="124" t="n"/>
      <c r="E480" s="123" t="n"/>
      <c r="F480" s="125" t="n"/>
      <c r="G480" s="65" t="n"/>
      <c r="H480" s="65" t="n"/>
      <c r="I480" s="100" t="n"/>
    </row>
    <row r="481" ht="15.75" customHeight="1">
      <c r="B481" s="137" t="n"/>
      <c r="C481" s="127" t="n"/>
      <c r="D481" s="126" t="n"/>
      <c r="E481" s="127" t="n"/>
      <c r="F481" s="128" t="n"/>
      <c r="G481" s="74" t="n"/>
      <c r="H481" s="74" t="n"/>
      <c r="I481" s="112" t="n"/>
    </row>
    <row r="482" ht="15.75" customHeight="1">
      <c r="B482" s="137" t="n"/>
      <c r="C482" s="123" t="n"/>
      <c r="D482" s="124" t="n"/>
      <c r="E482" s="123" t="n"/>
      <c r="F482" s="125" t="n"/>
      <c r="G482" s="65" t="n"/>
      <c r="H482" s="65" t="n"/>
      <c r="I482" s="100" t="n"/>
    </row>
    <row r="483" ht="15.75" customHeight="1">
      <c r="B483" s="137" t="n"/>
      <c r="C483" s="127" t="n"/>
      <c r="D483" s="126" t="n"/>
      <c r="E483" s="127" t="n"/>
      <c r="F483" s="128" t="n"/>
      <c r="G483" s="74" t="n"/>
      <c r="H483" s="74" t="n"/>
      <c r="I483" s="112" t="n"/>
    </row>
    <row r="484" ht="15.75" customHeight="1">
      <c r="B484" s="137" t="n"/>
      <c r="C484" s="123" t="n"/>
      <c r="D484" s="124" t="n"/>
      <c r="E484" s="123" t="n"/>
      <c r="F484" s="125" t="n"/>
      <c r="G484" s="65" t="n"/>
      <c r="H484" s="65" t="n"/>
      <c r="I484" s="100" t="n"/>
    </row>
    <row r="485" ht="15.75" customHeight="1">
      <c r="B485" s="137" t="n"/>
      <c r="C485" s="127" t="n"/>
      <c r="D485" s="126" t="n"/>
      <c r="E485" s="127" t="n"/>
      <c r="F485" s="128" t="n"/>
      <c r="G485" s="74" t="n"/>
      <c r="H485" s="74" t="n"/>
      <c r="I485" s="112" t="n"/>
    </row>
    <row r="486" ht="15.75" customHeight="1">
      <c r="B486" s="137" t="n"/>
      <c r="C486" s="123" t="n"/>
      <c r="D486" s="124" t="n"/>
      <c r="E486" s="123" t="n"/>
      <c r="F486" s="125" t="n"/>
      <c r="G486" s="65" t="n"/>
      <c r="H486" s="65" t="n"/>
      <c r="I486" s="100" t="n"/>
    </row>
    <row r="487" ht="15.75" customHeight="1">
      <c r="B487" s="137" t="n"/>
      <c r="C487" s="127" t="n"/>
      <c r="D487" s="126" t="n"/>
      <c r="E487" s="127" t="n"/>
      <c r="F487" s="128" t="n"/>
      <c r="G487" s="74" t="n"/>
      <c r="H487" s="74" t="n"/>
      <c r="I487" s="112" t="n"/>
    </row>
    <row r="488" ht="15.75" customHeight="1">
      <c r="B488" s="137" t="n"/>
      <c r="C488" s="123" t="n"/>
      <c r="D488" s="124" t="n"/>
      <c r="E488" s="123" t="n"/>
      <c r="F488" s="125" t="n"/>
      <c r="G488" s="65" t="n"/>
      <c r="H488" s="65" t="n"/>
      <c r="I488" s="100" t="n"/>
    </row>
    <row r="489" ht="15.75" customHeight="1">
      <c r="B489" s="137" t="n"/>
      <c r="C489" s="127" t="n"/>
      <c r="D489" s="126" t="n"/>
      <c r="E489" s="127" t="n"/>
      <c r="F489" s="128" t="n"/>
      <c r="G489" s="74" t="n"/>
      <c r="H489" s="74" t="n"/>
      <c r="I489" s="112" t="n"/>
    </row>
    <row r="490" ht="15.75" customHeight="1">
      <c r="B490" s="137" t="n"/>
      <c r="C490" s="123" t="n"/>
      <c r="D490" s="124" t="n"/>
      <c r="E490" s="123" t="n"/>
      <c r="F490" s="125" t="n"/>
      <c r="G490" s="65" t="n"/>
      <c r="H490" s="65" t="n"/>
      <c r="I490" s="100" t="n"/>
    </row>
    <row r="491" ht="15.75" customHeight="1">
      <c r="B491" s="137" t="n"/>
      <c r="C491" s="127" t="n"/>
      <c r="D491" s="126" t="n"/>
      <c r="E491" s="127" t="n"/>
      <c r="F491" s="128" t="n"/>
      <c r="G491" s="74" t="n"/>
      <c r="H491" s="74" t="n"/>
      <c r="I491" s="112" t="n"/>
    </row>
    <row r="492" ht="15.75" customHeight="1">
      <c r="B492" s="137" t="n"/>
      <c r="C492" s="123" t="n"/>
      <c r="D492" s="124" t="n"/>
      <c r="E492" s="123" t="n"/>
      <c r="F492" s="125" t="n"/>
      <c r="G492" s="65" t="n"/>
      <c r="H492" s="65" t="n"/>
      <c r="I492" s="100" t="n"/>
    </row>
    <row r="493" ht="15.75" customHeight="1">
      <c r="B493" s="137" t="n"/>
      <c r="C493" s="127" t="n"/>
      <c r="D493" s="126" t="n"/>
      <c r="E493" s="127" t="n"/>
      <c r="F493" s="128" t="n"/>
      <c r="G493" s="74" t="n"/>
      <c r="H493" s="74" t="n"/>
      <c r="I493" s="112" t="n"/>
    </row>
    <row r="494" ht="15.75" customHeight="1">
      <c r="B494" s="137" t="n"/>
      <c r="C494" s="123" t="n"/>
      <c r="D494" s="124" t="n"/>
      <c r="E494" s="123" t="n"/>
      <c r="F494" s="125" t="n"/>
      <c r="G494" s="65" t="n"/>
      <c r="H494" s="65" t="n"/>
      <c r="I494" s="100" t="n"/>
    </row>
    <row r="495" ht="15.75" customHeight="1">
      <c r="B495" s="137" t="n"/>
      <c r="C495" s="127" t="n"/>
      <c r="D495" s="126" t="n"/>
      <c r="E495" s="127" t="n"/>
      <c r="F495" s="128" t="n"/>
      <c r="G495" s="74" t="n"/>
      <c r="H495" s="74" t="n"/>
      <c r="I495" s="112" t="n"/>
    </row>
    <row r="496" ht="15.75" customHeight="1">
      <c r="B496" s="137" t="n"/>
      <c r="C496" s="123" t="n"/>
      <c r="D496" s="124" t="n"/>
      <c r="E496" s="123" t="n"/>
      <c r="F496" s="125" t="n"/>
      <c r="G496" s="65" t="n"/>
      <c r="H496" s="65" t="n"/>
      <c r="I496" s="100" t="n"/>
    </row>
    <row r="497" ht="15.75" customHeight="1">
      <c r="B497" s="137" t="n"/>
      <c r="C497" s="127" t="n"/>
      <c r="D497" s="126" t="n"/>
      <c r="E497" s="127" t="n"/>
      <c r="F497" s="128" t="n"/>
      <c r="G497" s="74" t="n"/>
      <c r="H497" s="74" t="n"/>
      <c r="I497" s="112" t="n"/>
    </row>
    <row r="498" ht="15.75" customHeight="1">
      <c r="B498" s="137" t="n"/>
      <c r="C498" s="123" t="n"/>
      <c r="D498" s="124" t="n"/>
      <c r="E498" s="123" t="n"/>
      <c r="F498" s="125" t="n"/>
      <c r="G498" s="65" t="n"/>
      <c r="H498" s="65" t="n"/>
      <c r="I498" s="100" t="n"/>
    </row>
    <row r="499" ht="15.75" customHeight="1">
      <c r="B499" s="137" t="n"/>
      <c r="C499" s="127" t="n"/>
      <c r="D499" s="126" t="n"/>
      <c r="E499" s="127" t="n"/>
      <c r="F499" s="128" t="n"/>
      <c r="G499" s="74" t="n"/>
      <c r="H499" s="74" t="n"/>
      <c r="I499" s="112" t="n"/>
    </row>
    <row r="500" ht="15.75" customHeight="1">
      <c r="B500" s="137" t="n"/>
      <c r="C500" s="123" t="n"/>
      <c r="D500" s="124" t="n"/>
      <c r="E500" s="123" t="n"/>
      <c r="F500" s="125" t="n"/>
      <c r="G500" s="65" t="n"/>
      <c r="H500" s="65" t="n"/>
      <c r="I500" s="100" t="n"/>
    </row>
    <row r="501" ht="15.75" customHeight="1">
      <c r="B501" s="137" t="n"/>
      <c r="C501" s="127" t="n"/>
      <c r="D501" s="126" t="n"/>
      <c r="E501" s="127" t="n"/>
      <c r="F501" s="128" t="n"/>
      <c r="G501" s="74" t="n"/>
      <c r="H501" s="74" t="n"/>
      <c r="I501" s="112" t="n"/>
    </row>
    <row r="502" ht="15.75" customHeight="1">
      <c r="B502" s="137" t="n"/>
      <c r="C502" s="123" t="n"/>
      <c r="D502" s="124" t="n"/>
      <c r="E502" s="123" t="n"/>
      <c r="F502" s="125" t="n"/>
      <c r="G502" s="65" t="n"/>
      <c r="H502" s="65" t="n"/>
      <c r="I502" s="100" t="n"/>
    </row>
    <row r="503" ht="15.75" customHeight="1">
      <c r="B503" s="137" t="n"/>
      <c r="C503" s="127" t="n"/>
      <c r="D503" s="126" t="n"/>
      <c r="E503" s="127" t="n"/>
      <c r="F503" s="128" t="n"/>
      <c r="G503" s="74" t="n"/>
      <c r="H503" s="74" t="n"/>
      <c r="I503" s="112" t="n"/>
    </row>
    <row r="504" ht="15.75" customHeight="1">
      <c r="B504" s="137" t="n"/>
      <c r="C504" s="123" t="n"/>
      <c r="D504" s="124" t="n"/>
      <c r="E504" s="123" t="n"/>
      <c r="F504" s="125" t="n"/>
      <c r="G504" s="65" t="n"/>
      <c r="H504" s="65" t="n"/>
      <c r="I504" s="100" t="n"/>
    </row>
    <row r="505" ht="15.75" customHeight="1">
      <c r="B505" s="137" t="n"/>
      <c r="C505" s="127" t="n"/>
      <c r="D505" s="126" t="n"/>
      <c r="E505" s="127" t="n"/>
      <c r="F505" s="128" t="n"/>
      <c r="G505" s="74" t="n"/>
      <c r="H505" s="74" t="n"/>
      <c r="I505" s="112" t="n"/>
    </row>
    <row r="506" ht="15.75" customHeight="1">
      <c r="B506" s="137" t="n"/>
      <c r="C506" s="123" t="n"/>
      <c r="D506" s="124" t="n"/>
      <c r="E506" s="123" t="n"/>
      <c r="F506" s="125" t="n"/>
      <c r="G506" s="65" t="n"/>
      <c r="H506" s="65" t="n"/>
      <c r="I506" s="100" t="n"/>
    </row>
    <row r="507" ht="15.75" customHeight="1">
      <c r="B507" s="137" t="n"/>
      <c r="C507" s="127" t="n"/>
      <c r="D507" s="126" t="n"/>
      <c r="E507" s="127" t="n"/>
      <c r="F507" s="128" t="n"/>
      <c r="G507" s="74" t="n"/>
      <c r="H507" s="74" t="n"/>
      <c r="I507" s="112" t="n"/>
    </row>
    <row r="508" ht="15.75" customHeight="1">
      <c r="B508" s="137" t="n"/>
      <c r="C508" s="123" t="n"/>
      <c r="D508" s="124" t="n"/>
      <c r="E508" s="123" t="n"/>
      <c r="F508" s="125" t="n"/>
      <c r="G508" s="65" t="n"/>
      <c r="H508" s="65" t="n"/>
      <c r="I508" s="100" t="n"/>
    </row>
    <row r="509" ht="15.75" customHeight="1">
      <c r="B509" s="137" t="n"/>
      <c r="C509" s="127" t="n"/>
      <c r="D509" s="126" t="n"/>
      <c r="E509" s="127" t="n"/>
      <c r="F509" s="128" t="n"/>
      <c r="G509" s="74" t="n"/>
      <c r="H509" s="74" t="n"/>
      <c r="I509" s="112" t="n"/>
    </row>
  </sheetData>
  <mergeCells count="4">
    <mergeCell ref="A2:D2"/>
    <mergeCell ref="E2:I2"/>
    <mergeCell ref="A3:I3"/>
    <mergeCell ref="B8:I8"/>
  </mergeCells>
  <conditionalFormatting sqref="C10:C508">
    <cfRule type="expression" priority="2" dxfId="2">
      <formula>C10="Ingredients"</formula>
    </cfRule>
    <cfRule type="expression" priority="3" dxfId="3">
      <formula>C10="Staff"</formula>
    </cfRule>
    <cfRule type="expression" priority="4" dxfId="4">
      <formula>C10="Utilities"</formula>
    </cfRule>
    <cfRule type="expression" priority="5" dxfId="5">
      <formula>C10="Rent"</formula>
    </cfRule>
    <cfRule type="expression" priority="6" dxfId="6">
      <formula>C10="Supplies"</formula>
    </cfRule>
  </conditionalFormatting>
  <dataValidations count="1">
    <dataValidation sqref="C10:C508" showErrorMessage="1" showInput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67"/>
  <sheetViews>
    <sheetView showGridLines="0" zoomScale="10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 outlineLevelRow="0"/>
  <cols>
    <col width="4" customWidth="1" min="1" max="1"/>
    <col width="26" customWidth="1" min="2" max="2"/>
    <col width="16" customWidth="1" min="3" max="3"/>
    <col width="10" customWidth="1" min="4" max="4"/>
    <col width="14" customWidth="1" min="5" max="5"/>
    <col width="12" customWidth="1" min="6" max="7"/>
    <col width="14" customWidth="1" min="8" max="8"/>
    <col width="16" customWidth="1" min="9" max="9"/>
    <col width="20" customWidth="1" min="10" max="10"/>
    <col width="18" customWidth="1" min="11" max="11"/>
  </cols>
  <sheetData>
    <row r="1" ht="4.5" customHeight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37.5" customHeight="1">
      <c r="A2" s="36" t="inlineStr">
        <is>
          <t>📦  LOKA — INVENTORY</t>
        </is>
      </c>
      <c r="F2" s="37" t="inlineStr">
        <is>
          <t>Update stock levels when you receive deliveries or do stock checks</t>
        </is>
      </c>
    </row>
    <row r="3" ht="3.75" customHeight="1">
      <c r="A3" s="38" t="n"/>
    </row>
    <row r="4" ht="7.5" customHeight="1"/>
    <row r="5" ht="18" customHeight="1">
      <c r="B5" s="116" t="inlineStr">
        <is>
          <t>TOTAL ITEMS</t>
        </is>
      </c>
      <c r="D5" s="116" t="inlineStr">
        <is>
          <t>⚠️ LOW STOCK</t>
        </is>
      </c>
      <c r="E5" s="116" t="inlineStr">
        <is>
          <t>LOW STOCK #</t>
        </is>
      </c>
      <c r="F5" s="116" t="inlineStr">
        <is>
          <t>🚫 OUT OF STOCK</t>
        </is>
      </c>
      <c r="H5" s="116" t="inlineStr">
        <is>
          <t>ALERT COUNT</t>
        </is>
      </c>
      <c r="J5" s="116" t="inlineStr">
        <is>
          <t>LAST UPDATED</t>
        </is>
      </c>
    </row>
    <row r="6" ht="25.5" customHeight="1">
      <c r="B6" s="138">
        <f>COUNTA(B9:B200)</f>
        <v/>
      </c>
      <c r="D6" s="139">
        <f>COUNTIF(J9:J200,"⚠️ LOW STOCK")</f>
        <v/>
      </c>
      <c r="E6" s="139">
        <f>COUNTIF(J9:J200,"⚠️ LOW STOCK")+COUNTIF(J9:J200,"🚫 OUT OF STOCK")</f>
        <v/>
      </c>
      <c r="F6" s="140">
        <f>COUNTIF(J9:J200,"🚫 OUT OF STOCK")</f>
        <v/>
      </c>
      <c r="H6" s="140">
        <f>COUNTIF(J9:J200,"⚠️ LOW STOCK")+COUNTIF(J9:J200,"🚫 OUT OF STOCK")</f>
        <v/>
      </c>
      <c r="J6" s="141">
        <f>TODAY()</f>
        <v/>
      </c>
    </row>
    <row r="7" ht="7.5" customHeight="1"/>
    <row r="8" ht="19.5" customHeight="1">
      <c r="B8" s="121" t="inlineStr">
        <is>
          <t>📌  Update the BLUE 'Current Stock' column when you receive deliveries or do a stock count. Status column updates automatically.</t>
        </is>
      </c>
      <c r="C8" s="252" t="n"/>
      <c r="D8" s="252" t="n"/>
      <c r="E8" s="252" t="n"/>
      <c r="F8" s="252" t="n"/>
      <c r="G8" s="252" t="n"/>
      <c r="H8" s="252" t="n"/>
      <c r="I8" s="252" t="n"/>
      <c r="J8" s="252" t="n"/>
      <c r="K8" s="252" t="n"/>
    </row>
    <row r="9" ht="27.75" customHeight="1">
      <c r="B9" s="55" t="inlineStr">
        <is>
          <t>Ingredient</t>
        </is>
      </c>
      <c r="C9" s="55" t="inlineStr">
        <is>
          <t>Category</t>
        </is>
      </c>
      <c r="D9" s="55" t="inlineStr">
        <is>
          <t>Unit</t>
        </is>
      </c>
      <c r="E9" s="55" t="inlineStr">
        <is>
          <t>Current Stock</t>
        </is>
      </c>
      <c r="F9" s="55" t="inlineStr">
        <is>
          <t>Min Level</t>
        </is>
      </c>
      <c r="G9" s="55" t="inlineStr">
        <is>
          <t>Cost/Unit ($)</t>
        </is>
      </c>
      <c r="H9" s="55" t="inlineStr">
        <is>
          <t>Reorder Qty</t>
        </is>
      </c>
      <c r="I9" s="55" t="inlineStr">
        <is>
          <t>Stock Value ($)</t>
        </is>
      </c>
      <c r="J9" s="55" t="inlineStr">
        <is>
          <t>Status</t>
        </is>
      </c>
      <c r="K9" s="55" t="inlineStr">
        <is>
          <t>Supplier / Notes</t>
        </is>
      </c>
    </row>
    <row r="10" ht="15.75" customHeight="1">
      <c r="B10" s="142" t="inlineStr">
        <is>
          <t>Tortillas Blanco</t>
        </is>
      </c>
      <c r="C10" s="66" t="inlineStr">
        <is>
          <t>Grains</t>
        </is>
      </c>
      <c r="D10" s="65" t="inlineStr">
        <is>
          <t>pcs</t>
        </is>
      </c>
      <c r="E10" s="143" t="n">
        <v>200</v>
      </c>
      <c r="F10" s="144" t="n">
        <v>100</v>
      </c>
      <c r="G10" s="145" t="n">
        <v>1.5</v>
      </c>
      <c r="H10" s="144" t="n">
        <v>200</v>
      </c>
      <c r="I10" s="146">
        <f>E10*G10</f>
        <v/>
      </c>
      <c r="J10" s="147">
        <f>IF(E10=0,"🚫 OUT OF STOCK",IF(E10&lt;=F10,"⚠️ LOW STOCK","✅ OK"))</f>
        <v/>
      </c>
      <c r="K10" s="148" t="n"/>
    </row>
    <row r="11" ht="15.75" customHeight="1">
      <c r="B11" s="149" t="inlineStr">
        <is>
          <t>Tortillas de Trigo</t>
        </is>
      </c>
      <c r="C11" s="75" t="inlineStr">
        <is>
          <t>Grains</t>
        </is>
      </c>
      <c r="D11" s="74" t="inlineStr">
        <is>
          <t>pcs</t>
        </is>
      </c>
      <c r="E11" s="150" t="n">
        <v>100</v>
      </c>
      <c r="F11" s="151" t="n">
        <v>50</v>
      </c>
      <c r="G11" s="152" t="n">
        <v>2</v>
      </c>
      <c r="H11" s="151" t="n">
        <v>100</v>
      </c>
      <c r="I11" s="153">
        <f>E11*G11</f>
        <v/>
      </c>
      <c r="J11" s="154">
        <f>IF(E11=0,"🚫 OUT OF STOCK",IF(E11&lt;=F11,"⚠️ LOW STOCK","✅ OK"))</f>
        <v/>
      </c>
      <c r="K11" s="155" t="n"/>
    </row>
    <row r="12" ht="15.75" customHeight="1">
      <c r="B12" s="142" t="inlineStr">
        <is>
          <t>Pan Artesanal Masa Madre</t>
        </is>
      </c>
      <c r="C12" s="66" t="inlineStr">
        <is>
          <t>Bakery</t>
        </is>
      </c>
      <c r="D12" s="65" t="inlineStr">
        <is>
          <t>pcs</t>
        </is>
      </c>
      <c r="E12" s="143" t="n">
        <v>30</v>
      </c>
      <c r="F12" s="144" t="n">
        <v>15</v>
      </c>
      <c r="G12" s="145" t="n">
        <v>18</v>
      </c>
      <c r="H12" s="144" t="n">
        <v>30</v>
      </c>
      <c r="I12" s="146">
        <f>E12*G12</f>
        <v/>
      </c>
      <c r="J12" s="147">
        <f>IF(E12=0,"🚫 OUT OF STOCK",IF(E12&lt;=F12,"⚠️ LOW STOCK","✅ OK"))</f>
        <v/>
      </c>
      <c r="K12" s="148" t="n"/>
    </row>
    <row r="13" ht="15.75" customHeight="1">
      <c r="B13" s="149" t="inlineStr">
        <is>
          <t>Pan Suave Hamburguesa</t>
        </is>
      </c>
      <c r="C13" s="75" t="inlineStr">
        <is>
          <t>Bakery</t>
        </is>
      </c>
      <c r="D13" s="74" t="inlineStr">
        <is>
          <t>pcs</t>
        </is>
      </c>
      <c r="E13" s="150" t="n">
        <v>40</v>
      </c>
      <c r="F13" s="151" t="n">
        <v>20</v>
      </c>
      <c r="G13" s="152" t="n">
        <v>8</v>
      </c>
      <c r="H13" s="151" t="n">
        <v>40</v>
      </c>
      <c r="I13" s="153">
        <f>E13*G13</f>
        <v/>
      </c>
      <c r="J13" s="154">
        <f>IF(E13=0,"🚫 OUT OF STOCK",IF(E13&lt;=F13,"⚠️ LOW STOCK","✅ OK"))</f>
        <v/>
      </c>
      <c r="K13" s="155" t="n"/>
    </row>
    <row r="14" ht="15.75" customHeight="1">
      <c r="B14" s="142" t="inlineStr">
        <is>
          <t>Chapata Artesanal</t>
        </is>
      </c>
      <c r="C14" s="66" t="inlineStr">
        <is>
          <t>Bakery</t>
        </is>
      </c>
      <c r="D14" s="65" t="inlineStr">
        <is>
          <t>pcs</t>
        </is>
      </c>
      <c r="E14" s="143" t="n">
        <v>25</v>
      </c>
      <c r="F14" s="144" t="n">
        <v>10</v>
      </c>
      <c r="G14" s="145" t="n">
        <v>20</v>
      </c>
      <c r="H14" s="144" t="n">
        <v>25</v>
      </c>
      <c r="I14" s="146">
        <f>E14*G14</f>
        <v/>
      </c>
      <c r="J14" s="147">
        <f>IF(E14=0,"🚫 OUT OF STOCK",IF(E14&lt;=F14,"⚠️ LOW STOCK","✅ OK"))</f>
        <v/>
      </c>
      <c r="K14" s="148" t="n"/>
    </row>
    <row r="15" ht="15.75" customHeight="1">
      <c r="B15" s="149" t="inlineStr">
        <is>
          <t>Hot Cake / Waffle Mix</t>
        </is>
      </c>
      <c r="C15" s="75" t="inlineStr">
        <is>
          <t>Bakery</t>
        </is>
      </c>
      <c r="D15" s="74" t="inlineStr">
        <is>
          <t>kg</t>
        </is>
      </c>
      <c r="E15" s="150" t="n">
        <v>3</v>
      </c>
      <c r="F15" s="151" t="n">
        <v>1</v>
      </c>
      <c r="G15" s="152" t="n">
        <v>45</v>
      </c>
      <c r="H15" s="151" t="n">
        <v>5</v>
      </c>
      <c r="I15" s="153">
        <f>E15*G15</f>
        <v/>
      </c>
      <c r="J15" s="154">
        <f>IF(E15=0,"🚫 OUT OF STOCK",IF(E15&lt;=F15,"⚠️ LOW STOCK","✅ OK"))</f>
        <v/>
      </c>
      <c r="K15" s="155" t="n"/>
    </row>
    <row r="16" ht="15.75" customHeight="1">
      <c r="B16" s="142" t="inlineStr">
        <is>
          <t>Pechuga de Pollo</t>
        </is>
      </c>
      <c r="C16" s="66" t="inlineStr">
        <is>
          <t>Protein</t>
        </is>
      </c>
      <c r="D16" s="65" t="inlineStr">
        <is>
          <t>kg</t>
        </is>
      </c>
      <c r="E16" s="143" t="n">
        <v>8</v>
      </c>
      <c r="F16" s="144" t="n">
        <v>3</v>
      </c>
      <c r="G16" s="145" t="n">
        <v>85</v>
      </c>
      <c r="H16" s="144" t="n">
        <v>10</v>
      </c>
      <c r="I16" s="146">
        <f>E16*G16</f>
        <v/>
      </c>
      <c r="J16" s="147">
        <f>IF(E16=0,"🚫 OUT OF STOCK",IF(E16&lt;=F16,"⚠️ LOW STOCK","✅ OK"))</f>
        <v/>
      </c>
      <c r="K16" s="148" t="n"/>
    </row>
    <row r="17" ht="15.75" customHeight="1">
      <c r="B17" s="149" t="inlineStr">
        <is>
          <t>Carne de Res (Hamburguesa)</t>
        </is>
      </c>
      <c r="C17" s="75" t="inlineStr">
        <is>
          <t>Protein</t>
        </is>
      </c>
      <c r="D17" s="74" t="inlineStr">
        <is>
          <t>kg</t>
        </is>
      </c>
      <c r="E17" s="150" t="n">
        <v>5</v>
      </c>
      <c r="F17" s="151" t="n">
        <v>2</v>
      </c>
      <c r="G17" s="152" t="n">
        <v>130</v>
      </c>
      <c r="H17" s="151" t="n">
        <v>8</v>
      </c>
      <c r="I17" s="153">
        <f>E17*G17</f>
        <v/>
      </c>
      <c r="J17" s="154">
        <f>IF(E17=0,"🚫 OUT OF STOCK",IF(E17&lt;=F17,"⚠️ LOW STOCK","✅ OK"))</f>
        <v/>
      </c>
      <c r="K17" s="155" t="n"/>
    </row>
    <row r="18" ht="15.75" customHeight="1">
      <c r="B18" s="142" t="inlineStr">
        <is>
          <t>Arrachera</t>
        </is>
      </c>
      <c r="C18" s="66" t="inlineStr">
        <is>
          <t>Protein</t>
        </is>
      </c>
      <c r="D18" s="65" t="inlineStr">
        <is>
          <t>kg</t>
        </is>
      </c>
      <c r="E18" s="143" t="n">
        <v>3</v>
      </c>
      <c r="F18" s="144" t="n">
        <v>1</v>
      </c>
      <c r="G18" s="145" t="n">
        <v>160</v>
      </c>
      <c r="H18" s="144" t="n">
        <v>5</v>
      </c>
      <c r="I18" s="146">
        <f>E18*G18</f>
        <v/>
      </c>
      <c r="J18" s="147">
        <f>IF(E18=0,"🚫 OUT OF STOCK",IF(E18&lt;=F18,"⚠️ LOW STOCK","✅ OK"))</f>
        <v/>
      </c>
      <c r="K18" s="148" t="n"/>
    </row>
    <row r="19" ht="15.75" customHeight="1">
      <c r="B19" s="149" t="inlineStr">
        <is>
          <t>Bistec de Res</t>
        </is>
      </c>
      <c r="C19" s="75" t="inlineStr">
        <is>
          <t>Protein</t>
        </is>
      </c>
      <c r="D19" s="74" t="inlineStr">
        <is>
          <t>kg</t>
        </is>
      </c>
      <c r="E19" s="150" t="n">
        <v>4</v>
      </c>
      <c r="F19" s="151" t="n">
        <v>2</v>
      </c>
      <c r="G19" s="152" t="n">
        <v>120</v>
      </c>
      <c r="H19" s="151" t="n">
        <v>6</v>
      </c>
      <c r="I19" s="153">
        <f>E19*G19</f>
        <v/>
      </c>
      <c r="J19" s="154">
        <f>IF(E19=0,"🚫 OUT OF STOCK",IF(E19&lt;=F19,"⚠️ LOW STOCK","✅ OK"))</f>
        <v/>
      </c>
      <c r="K19" s="155" t="n"/>
    </row>
    <row r="20" ht="15.75" customHeight="1">
      <c r="B20" s="142" t="inlineStr">
        <is>
          <t>Tocino</t>
        </is>
      </c>
      <c r="C20" s="66" t="inlineStr">
        <is>
          <t>Protein</t>
        </is>
      </c>
      <c r="D20" s="65" t="inlineStr">
        <is>
          <t>kg</t>
        </is>
      </c>
      <c r="E20" s="143" t="n">
        <v>2</v>
      </c>
      <c r="F20" s="144" t="n">
        <v>1</v>
      </c>
      <c r="G20" s="145" t="n">
        <v>95</v>
      </c>
      <c r="H20" s="144" t="n">
        <v>3</v>
      </c>
      <c r="I20" s="146">
        <f>E20*G20</f>
        <v/>
      </c>
      <c r="J20" s="147">
        <f>IF(E20=0,"🚫 OUT OF STOCK",IF(E20&lt;=F20,"⚠️ LOW STOCK","✅ OK"))</f>
        <v/>
      </c>
      <c r="K20" s="148" t="n"/>
    </row>
    <row r="21" ht="15.75" customHeight="1">
      <c r="B21" s="149" t="inlineStr">
        <is>
          <t>Jamon de Pavo</t>
        </is>
      </c>
      <c r="C21" s="75" t="inlineStr">
        <is>
          <t>Protein</t>
        </is>
      </c>
      <c r="D21" s="74" t="inlineStr">
        <is>
          <t>kg</t>
        </is>
      </c>
      <c r="E21" s="150" t="n">
        <v>2</v>
      </c>
      <c r="F21" s="151" t="n">
        <v>1</v>
      </c>
      <c r="G21" s="152" t="n">
        <v>80</v>
      </c>
      <c r="H21" s="151" t="n">
        <v>3</v>
      </c>
      <c r="I21" s="153">
        <f>E21*G21</f>
        <v/>
      </c>
      <c r="J21" s="154">
        <f>IF(E21=0,"🚫 OUT OF STOCK",IF(E21&lt;=F21,"⚠️ LOW STOCK","✅ OK"))</f>
        <v/>
      </c>
      <c r="K21" s="155" t="n"/>
    </row>
    <row r="22" ht="15.75" customHeight="1">
      <c r="B22" s="142" t="inlineStr">
        <is>
          <t>Jamon Serrano</t>
        </is>
      </c>
      <c r="C22" s="66" t="inlineStr">
        <is>
          <t>Protein</t>
        </is>
      </c>
      <c r="D22" s="65" t="inlineStr">
        <is>
          <t>kg</t>
        </is>
      </c>
      <c r="E22" s="143" t="n">
        <v>1</v>
      </c>
      <c r="F22" s="144" t="n">
        <v>0.5</v>
      </c>
      <c r="G22" s="145" t="n">
        <v>220</v>
      </c>
      <c r="H22" s="144" t="n">
        <v>2</v>
      </c>
      <c r="I22" s="146">
        <f>E22*G22</f>
        <v/>
      </c>
      <c r="J22" s="147">
        <f>IF(E22=0,"🚫 OUT OF STOCK",IF(E22&lt;=F22,"⚠️ LOW STOCK","✅ OK"))</f>
        <v/>
      </c>
      <c r="K22" s="148" t="n"/>
    </row>
    <row r="23" ht="15.75" customHeight="1">
      <c r="B23" s="149" t="inlineStr">
        <is>
          <t>Salmon (filete)</t>
        </is>
      </c>
      <c r="C23" s="75" t="inlineStr">
        <is>
          <t>Protein</t>
        </is>
      </c>
      <c r="D23" s="74" t="inlineStr">
        <is>
          <t>kg</t>
        </is>
      </c>
      <c r="E23" s="150" t="n">
        <v>2</v>
      </c>
      <c r="F23" s="151" t="n">
        <v>1</v>
      </c>
      <c r="G23" s="152" t="n">
        <v>280</v>
      </c>
      <c r="H23" s="151" t="n">
        <v>3</v>
      </c>
      <c r="I23" s="153">
        <f>E23*G23</f>
        <v/>
      </c>
      <c r="J23" s="154">
        <f>IF(E23=0,"🚫 OUT OF STOCK",IF(E23&lt;=F23,"⚠️ LOW STOCK","✅ OK"))</f>
        <v/>
      </c>
      <c r="K23" s="155" t="n"/>
    </row>
    <row r="24" ht="15.75" customHeight="1">
      <c r="B24" s="142" t="inlineStr">
        <is>
          <t>Atun (lata)</t>
        </is>
      </c>
      <c r="C24" s="66" t="inlineStr">
        <is>
          <t>Protein</t>
        </is>
      </c>
      <c r="D24" s="65" t="inlineStr">
        <is>
          <t>lata</t>
        </is>
      </c>
      <c r="E24" s="143" t="n">
        <v>20</v>
      </c>
      <c r="F24" s="144" t="n">
        <v>10</v>
      </c>
      <c r="G24" s="145" t="n">
        <v>28</v>
      </c>
      <c r="H24" s="144" t="n">
        <v>20</v>
      </c>
      <c r="I24" s="146">
        <f>E24*G24</f>
        <v/>
      </c>
      <c r="J24" s="147">
        <f>IF(E24=0,"🚫 OUT OF STOCK",IF(E24&lt;=F24,"⚠️ LOW STOCK","✅ OK"))</f>
        <v/>
      </c>
      <c r="K24" s="148" t="n"/>
    </row>
    <row r="25" ht="15.75" customHeight="1">
      <c r="B25" s="149" t="inlineStr">
        <is>
          <t>Chorizo</t>
        </is>
      </c>
      <c r="C25" s="75" t="inlineStr">
        <is>
          <t>Protein</t>
        </is>
      </c>
      <c r="D25" s="74" t="inlineStr">
        <is>
          <t>kg</t>
        </is>
      </c>
      <c r="E25" s="150" t="n">
        <v>1.5</v>
      </c>
      <c r="F25" s="151" t="n">
        <v>0.5</v>
      </c>
      <c r="G25" s="152" t="n">
        <v>95</v>
      </c>
      <c r="H25" s="151" t="n">
        <v>2</v>
      </c>
      <c r="I25" s="153">
        <f>E25*G25</f>
        <v/>
      </c>
      <c r="J25" s="154">
        <f>IF(E25=0,"🚫 OUT OF STOCK",IF(E25&lt;=F25,"⚠️ LOW STOCK","✅ OK"))</f>
        <v/>
      </c>
      <c r="K25" s="155" t="n"/>
    </row>
    <row r="26" ht="15.75" customHeight="1">
      <c r="B26" s="142" t="inlineStr">
        <is>
          <t>Huevos Organicos</t>
        </is>
      </c>
      <c r="C26" s="66" t="inlineStr">
        <is>
          <t>Dairy &amp; Eggs</t>
        </is>
      </c>
      <c r="D26" s="65" t="inlineStr">
        <is>
          <t>pcs</t>
        </is>
      </c>
      <c r="E26" s="143" t="n">
        <v>120</v>
      </c>
      <c r="F26" s="144" t="n">
        <v>60</v>
      </c>
      <c r="G26" s="145" t="n">
        <v>3.5</v>
      </c>
      <c r="H26" s="144" t="n">
        <v>120</v>
      </c>
      <c r="I26" s="146">
        <f>E26*G26</f>
        <v/>
      </c>
      <c r="J26" s="147">
        <f>IF(E26=0,"🚫 OUT OF STOCK",IF(E26&lt;=F26,"⚠️ LOW STOCK","✅ OK"))</f>
        <v/>
      </c>
      <c r="K26" s="148" t="n"/>
    </row>
    <row r="27" ht="15.75" customHeight="1">
      <c r="B27" s="149" t="inlineStr">
        <is>
          <t>Leche Entera</t>
        </is>
      </c>
      <c r="C27" s="75" t="inlineStr">
        <is>
          <t>Dairy &amp; Eggs</t>
        </is>
      </c>
      <c r="D27" s="74" t="inlineStr">
        <is>
          <t>lt</t>
        </is>
      </c>
      <c r="E27" s="150" t="n">
        <v>10</v>
      </c>
      <c r="F27" s="151" t="n">
        <v>5</v>
      </c>
      <c r="G27" s="152" t="n">
        <v>22</v>
      </c>
      <c r="H27" s="151" t="n">
        <v>10</v>
      </c>
      <c r="I27" s="153">
        <f>E27*G27</f>
        <v/>
      </c>
      <c r="J27" s="154">
        <f>IF(E27=0,"🚫 OUT OF STOCK",IF(E27&lt;=F27,"⚠️ LOW STOCK","✅ OK"))</f>
        <v/>
      </c>
      <c r="K27" s="155" t="n"/>
    </row>
    <row r="28" ht="15.75" customHeight="1">
      <c r="B28" s="142" t="inlineStr">
        <is>
          <t>Leche Deslactosada</t>
        </is>
      </c>
      <c r="C28" s="66" t="inlineStr">
        <is>
          <t>Dairy &amp; Eggs</t>
        </is>
      </c>
      <c r="D28" s="65" t="inlineStr">
        <is>
          <t>lt</t>
        </is>
      </c>
      <c r="E28" s="143" t="n">
        <v>5</v>
      </c>
      <c r="F28" s="144" t="n">
        <v>2</v>
      </c>
      <c r="G28" s="145" t="n">
        <v>26</v>
      </c>
      <c r="H28" s="144" t="n">
        <v>6</v>
      </c>
      <c r="I28" s="146">
        <f>E28*G28</f>
        <v/>
      </c>
      <c r="J28" s="147">
        <f>IF(E28=0,"🚫 OUT OF STOCK",IF(E28&lt;=F28,"⚠️ LOW STOCK","✅ OK"))</f>
        <v/>
      </c>
      <c r="K28" s="148" t="n"/>
    </row>
    <row r="29" ht="15.75" customHeight="1">
      <c r="B29" s="149" t="inlineStr">
        <is>
          <t>Leche de Coco</t>
        </is>
      </c>
      <c r="C29" s="75" t="inlineStr">
        <is>
          <t>Dairy &amp; Eggs</t>
        </is>
      </c>
      <c r="D29" s="74" t="inlineStr">
        <is>
          <t>lt</t>
        </is>
      </c>
      <c r="E29" s="150" t="n">
        <v>3</v>
      </c>
      <c r="F29" s="151" t="n">
        <v>1</v>
      </c>
      <c r="G29" s="152" t="n">
        <v>55</v>
      </c>
      <c r="H29" s="151" t="n">
        <v>4</v>
      </c>
      <c r="I29" s="153">
        <f>E29*G29</f>
        <v/>
      </c>
      <c r="J29" s="154">
        <f>IF(E29=0,"🚫 OUT OF STOCK",IF(E29&lt;=F29,"⚠️ LOW STOCK","✅ OK"))</f>
        <v/>
      </c>
      <c r="K29" s="155" t="n"/>
    </row>
    <row r="30" ht="15.75" customHeight="1">
      <c r="B30" s="142" t="inlineStr">
        <is>
          <t>Leche de Almendra</t>
        </is>
      </c>
      <c r="C30" s="66" t="inlineStr">
        <is>
          <t>Dairy &amp; Eggs</t>
        </is>
      </c>
      <c r="D30" s="65" t="inlineStr">
        <is>
          <t>lt</t>
        </is>
      </c>
      <c r="E30" s="143" t="n">
        <v>3</v>
      </c>
      <c r="F30" s="144" t="n">
        <v>1</v>
      </c>
      <c r="G30" s="145" t="n">
        <v>60</v>
      </c>
      <c r="H30" s="144" t="n">
        <v>4</v>
      </c>
      <c r="I30" s="146">
        <f>E30*G30</f>
        <v/>
      </c>
      <c r="J30" s="147">
        <f>IF(E30=0,"🚫 OUT OF STOCK",IF(E30&lt;=F30,"⚠️ LOW STOCK","✅ OK"))</f>
        <v/>
      </c>
      <c r="K30" s="148" t="n"/>
    </row>
    <row r="31" ht="15.75" customHeight="1">
      <c r="B31" s="149" t="inlineStr">
        <is>
          <t>Crema</t>
        </is>
      </c>
      <c r="C31" s="75" t="inlineStr">
        <is>
          <t>Dairy &amp; Eggs</t>
        </is>
      </c>
      <c r="D31" s="74" t="inlineStr">
        <is>
          <t>lt</t>
        </is>
      </c>
      <c r="E31" s="150" t="n">
        <v>3</v>
      </c>
      <c r="F31" s="151" t="n">
        <v>1</v>
      </c>
      <c r="G31" s="152" t="n">
        <v>38</v>
      </c>
      <c r="H31" s="151" t="n">
        <v>3</v>
      </c>
      <c r="I31" s="153">
        <f>E31*G31</f>
        <v/>
      </c>
      <c r="J31" s="154">
        <f>IF(E31=0,"🚫 OUT OF STOCK",IF(E31&lt;=F31,"⚠️ LOW STOCK","✅ OK"))</f>
        <v/>
      </c>
      <c r="K31" s="155" t="n"/>
    </row>
    <row r="32" ht="15.75" customHeight="1">
      <c r="B32" s="142" t="inlineStr">
        <is>
          <t>Queso Fresco</t>
        </is>
      </c>
      <c r="C32" s="66" t="inlineStr">
        <is>
          <t>Dairy &amp; Eggs</t>
        </is>
      </c>
      <c r="D32" s="65" t="inlineStr">
        <is>
          <t>kg</t>
        </is>
      </c>
      <c r="E32" s="143" t="n">
        <v>2</v>
      </c>
      <c r="F32" s="144" t="n">
        <v>1</v>
      </c>
      <c r="G32" s="145" t="n">
        <v>85</v>
      </c>
      <c r="H32" s="144" t="n">
        <v>3</v>
      </c>
      <c r="I32" s="146">
        <f>E32*G32</f>
        <v/>
      </c>
      <c r="J32" s="147">
        <f>IF(E32=0,"🚫 OUT OF STOCK",IF(E32&lt;=F32,"⚠️ LOW STOCK","✅ OK"))</f>
        <v/>
      </c>
      <c r="K32" s="148" t="n"/>
    </row>
    <row r="33" ht="15.75" customHeight="1">
      <c r="B33" s="149" t="inlineStr">
        <is>
          <t>Queso Aleman</t>
        </is>
      </c>
      <c r="C33" s="75" t="inlineStr">
        <is>
          <t>Dairy &amp; Eggs</t>
        </is>
      </c>
      <c r="D33" s="74" t="inlineStr">
        <is>
          <t>kg</t>
        </is>
      </c>
      <c r="E33" s="150" t="n">
        <v>1.5</v>
      </c>
      <c r="F33" s="151" t="n">
        <v>0.5</v>
      </c>
      <c r="G33" s="152" t="n">
        <v>120</v>
      </c>
      <c r="H33" s="151" t="n">
        <v>2</v>
      </c>
      <c r="I33" s="153">
        <f>E33*G33</f>
        <v/>
      </c>
      <c r="J33" s="154">
        <f>IF(E33=0,"🚫 OUT OF STOCK",IF(E33&lt;=F33,"⚠️ LOW STOCK","✅ OK"))</f>
        <v/>
      </c>
      <c r="K33" s="155" t="n"/>
    </row>
    <row r="34" ht="15.75" customHeight="1">
      <c r="B34" s="142" t="inlineStr">
        <is>
          <t>Queso Cheddar</t>
        </is>
      </c>
      <c r="C34" s="66" t="inlineStr">
        <is>
          <t>Dairy &amp; Eggs</t>
        </is>
      </c>
      <c r="D34" s="65" t="inlineStr">
        <is>
          <t>kg</t>
        </is>
      </c>
      <c r="E34" s="143" t="n">
        <v>1.5</v>
      </c>
      <c r="F34" s="144" t="n">
        <v>0.5</v>
      </c>
      <c r="G34" s="145" t="n">
        <v>110</v>
      </c>
      <c r="H34" s="144" t="n">
        <v>2</v>
      </c>
      <c r="I34" s="146">
        <f>E34*G34</f>
        <v/>
      </c>
      <c r="J34" s="147">
        <f>IF(E34=0,"🚫 OUT OF STOCK",IF(E34&lt;=F34,"⚠️ LOW STOCK","✅ OK"))</f>
        <v/>
      </c>
      <c r="K34" s="148" t="n"/>
    </row>
    <row r="35" ht="15.75" customHeight="1">
      <c r="B35" s="149" t="inlineStr">
        <is>
          <t>Queso Mozzarella</t>
        </is>
      </c>
      <c r="C35" s="75" t="inlineStr">
        <is>
          <t>Dairy &amp; Eggs</t>
        </is>
      </c>
      <c r="D35" s="74" t="inlineStr">
        <is>
          <t>kg</t>
        </is>
      </c>
      <c r="E35" s="150" t="n">
        <v>1</v>
      </c>
      <c r="F35" s="151" t="n">
        <v>0.5</v>
      </c>
      <c r="G35" s="152" t="n">
        <v>130</v>
      </c>
      <c r="H35" s="151" t="n">
        <v>2</v>
      </c>
      <c r="I35" s="153">
        <f>E35*G35</f>
        <v/>
      </c>
      <c r="J35" s="154">
        <f>IF(E35=0,"🚫 OUT OF STOCK",IF(E35&lt;=F35,"⚠️ LOW STOCK","✅ OK"))</f>
        <v/>
      </c>
      <c r="K35" s="155" t="n"/>
    </row>
    <row r="36" ht="15.75" customHeight="1">
      <c r="B36" s="142" t="inlineStr">
        <is>
          <t>Queso de Cabra</t>
        </is>
      </c>
      <c r="C36" s="66" t="inlineStr">
        <is>
          <t>Dairy &amp; Eggs</t>
        </is>
      </c>
      <c r="D36" s="65" t="inlineStr">
        <is>
          <t>kg</t>
        </is>
      </c>
      <c r="E36" s="143" t="n">
        <v>0.5</v>
      </c>
      <c r="F36" s="144" t="n">
        <v>0.2</v>
      </c>
      <c r="G36" s="145" t="n">
        <v>180</v>
      </c>
      <c r="H36" s="144" t="n">
        <v>1</v>
      </c>
      <c r="I36" s="146">
        <f>E36*G36</f>
        <v/>
      </c>
      <c r="J36" s="147">
        <f>IF(E36=0,"🚫 OUT OF STOCK",IF(E36&lt;=F36,"⚠️ LOW STOCK","✅ OK"))</f>
        <v/>
      </c>
      <c r="K36" s="148" t="n"/>
    </row>
    <row r="37" ht="15.75" customHeight="1">
      <c r="B37" s="149" t="inlineStr">
        <is>
          <t>Aguacate</t>
        </is>
      </c>
      <c r="C37" s="75" t="inlineStr">
        <is>
          <t>Produce</t>
        </is>
      </c>
      <c r="D37" s="74" t="inlineStr">
        <is>
          <t>kg</t>
        </is>
      </c>
      <c r="E37" s="150" t="n">
        <v>5</v>
      </c>
      <c r="F37" s="151" t="n">
        <v>2</v>
      </c>
      <c r="G37" s="152" t="n">
        <v>55</v>
      </c>
      <c r="H37" s="151" t="n">
        <v>6</v>
      </c>
      <c r="I37" s="153">
        <f>E37*G37</f>
        <v/>
      </c>
      <c r="J37" s="154">
        <f>IF(E37=0,"🚫 OUT OF STOCK",IF(E37&lt;=F37,"⚠️ LOW STOCK","✅ OK"))</f>
        <v/>
      </c>
      <c r="K37" s="155" t="n"/>
    </row>
    <row r="38" ht="15.75" customHeight="1">
      <c r="B38" s="142" t="inlineStr">
        <is>
          <t>Jitomate</t>
        </is>
      </c>
      <c r="C38" s="66" t="inlineStr">
        <is>
          <t>Produce</t>
        </is>
      </c>
      <c r="D38" s="65" t="inlineStr">
        <is>
          <t>kg</t>
        </is>
      </c>
      <c r="E38" s="143" t="n">
        <v>4</v>
      </c>
      <c r="F38" s="144" t="n">
        <v>2</v>
      </c>
      <c r="G38" s="145" t="n">
        <v>32</v>
      </c>
      <c r="H38" s="144" t="n">
        <v>5</v>
      </c>
      <c r="I38" s="146">
        <f>E38*G38</f>
        <v/>
      </c>
      <c r="J38" s="147">
        <f>IF(E38=0,"🚫 OUT OF STOCK",IF(E38&lt;=F38,"⚠️ LOW STOCK","✅ OK"))</f>
        <v/>
      </c>
      <c r="K38" s="148" t="n"/>
    </row>
    <row r="39" ht="15.75" customHeight="1">
      <c r="B39" s="149" t="inlineStr">
        <is>
          <t>Lechuga</t>
        </is>
      </c>
      <c r="C39" s="75" t="inlineStr">
        <is>
          <t>Produce</t>
        </is>
      </c>
      <c r="D39" s="74" t="inlineStr">
        <is>
          <t>pza</t>
        </is>
      </c>
      <c r="E39" s="150" t="n">
        <v>8</v>
      </c>
      <c r="F39" s="151" t="n">
        <v>4</v>
      </c>
      <c r="G39" s="152" t="n">
        <v>18</v>
      </c>
      <c r="H39" s="151" t="n">
        <v>10</v>
      </c>
      <c r="I39" s="153">
        <f>E39*G39</f>
        <v/>
      </c>
      <c r="J39" s="154">
        <f>IF(E39=0,"🚫 OUT OF STOCK",IF(E39&lt;=F39,"⚠️ LOW STOCK","✅ OK"))</f>
        <v/>
      </c>
      <c r="K39" s="155" t="n"/>
    </row>
    <row r="40" ht="15.75" customHeight="1">
      <c r="B40" s="142" t="inlineStr">
        <is>
          <t>Cebolla</t>
        </is>
      </c>
      <c r="C40" s="66" t="inlineStr">
        <is>
          <t>Produce</t>
        </is>
      </c>
      <c r="D40" s="65" t="inlineStr">
        <is>
          <t>kg</t>
        </is>
      </c>
      <c r="E40" s="143" t="n">
        <v>3</v>
      </c>
      <c r="F40" s="144" t="n">
        <v>1</v>
      </c>
      <c r="G40" s="145" t="n">
        <v>22</v>
      </c>
      <c r="H40" s="144" t="n">
        <v>4</v>
      </c>
      <c r="I40" s="146">
        <f>E40*G40</f>
        <v/>
      </c>
      <c r="J40" s="147">
        <f>IF(E40=0,"🚫 OUT OF STOCK",IF(E40&lt;=F40,"⚠️ LOW STOCK","✅ OK"))</f>
        <v/>
      </c>
      <c r="K40" s="148" t="n"/>
    </row>
    <row r="41" ht="15.75" customHeight="1">
      <c r="B41" s="149" t="inlineStr">
        <is>
          <t>Champiñones</t>
        </is>
      </c>
      <c r="C41" s="75" t="inlineStr">
        <is>
          <t>Produce</t>
        </is>
      </c>
      <c r="D41" s="74" t="inlineStr">
        <is>
          <t>kg</t>
        </is>
      </c>
      <c r="E41" s="150" t="n">
        <v>1.5</v>
      </c>
      <c r="F41" s="151" t="n">
        <v>0.5</v>
      </c>
      <c r="G41" s="152" t="n">
        <v>75</v>
      </c>
      <c r="H41" s="151" t="n">
        <v>2</v>
      </c>
      <c r="I41" s="153">
        <f>E41*G41</f>
        <v/>
      </c>
      <c r="J41" s="154">
        <f>IF(E41=0,"🚫 OUT OF STOCK",IF(E41&lt;=F41,"⚠️ LOW STOCK","✅ OK"))</f>
        <v/>
      </c>
      <c r="K41" s="155" t="n"/>
    </row>
    <row r="42" ht="15.75" customHeight="1">
      <c r="B42" s="142" t="inlineStr">
        <is>
          <t>Espinacas</t>
        </is>
      </c>
      <c r="C42" s="66" t="inlineStr">
        <is>
          <t>Produce</t>
        </is>
      </c>
      <c r="D42" s="65" t="inlineStr">
        <is>
          <t>kg</t>
        </is>
      </c>
      <c r="E42" s="143" t="n">
        <v>1</v>
      </c>
      <c r="F42" s="144" t="n">
        <v>0.5</v>
      </c>
      <c r="G42" s="145" t="n">
        <v>45</v>
      </c>
      <c r="H42" s="144" t="n">
        <v>2</v>
      </c>
      <c r="I42" s="146">
        <f>E42*G42</f>
        <v/>
      </c>
      <c r="J42" s="147">
        <f>IF(E42=0,"🚫 OUT OF STOCK",IF(E42&lt;=F42,"⚠️ LOW STOCK","✅ OK"))</f>
        <v/>
      </c>
      <c r="K42" s="148" t="n"/>
    </row>
    <row r="43" ht="15.75" customHeight="1">
      <c r="B43" s="149" t="inlineStr">
        <is>
          <t>Elote</t>
        </is>
      </c>
      <c r="C43" s="75" t="inlineStr">
        <is>
          <t>Produce</t>
        </is>
      </c>
      <c r="D43" s="74" t="inlineStr">
        <is>
          <t>pza</t>
        </is>
      </c>
      <c r="E43" s="150" t="n">
        <v>15</v>
      </c>
      <c r="F43" s="151" t="n">
        <v>8</v>
      </c>
      <c r="G43" s="152" t="n">
        <v>8</v>
      </c>
      <c r="H43" s="151" t="n">
        <v>20</v>
      </c>
      <c r="I43" s="153">
        <f>E43*G43</f>
        <v/>
      </c>
      <c r="J43" s="154">
        <f>IF(E43=0,"🚫 OUT OF STOCK",IF(E43&lt;=F43,"⚠️ LOW STOCK","✅ OK"))</f>
        <v/>
      </c>
      <c r="K43" s="155" t="n"/>
    </row>
    <row r="44" ht="15.75" customHeight="1">
      <c r="B44" s="142" t="inlineStr">
        <is>
          <t>Papa</t>
        </is>
      </c>
      <c r="C44" s="66" t="inlineStr">
        <is>
          <t>Produce</t>
        </is>
      </c>
      <c r="D44" s="65" t="inlineStr">
        <is>
          <t>kg</t>
        </is>
      </c>
      <c r="E44" s="143" t="n">
        <v>8</v>
      </c>
      <c r="F44" s="144" t="n">
        <v>4</v>
      </c>
      <c r="G44" s="145" t="n">
        <v>18</v>
      </c>
      <c r="H44" s="144" t="n">
        <v>10</v>
      </c>
      <c r="I44" s="146">
        <f>E44*G44</f>
        <v/>
      </c>
      <c r="J44" s="147">
        <f>IF(E44=0,"🚫 OUT OF STOCK",IF(E44&lt;=F44,"⚠️ LOW STOCK","✅ OK"))</f>
        <v/>
      </c>
      <c r="K44" s="148" t="n"/>
    </row>
    <row r="45" ht="15.75" customHeight="1">
      <c r="B45" s="149" t="inlineStr">
        <is>
          <t>Frutas Mixtas / Bowl</t>
        </is>
      </c>
      <c r="C45" s="75" t="inlineStr">
        <is>
          <t>Produce</t>
        </is>
      </c>
      <c r="D45" s="74" t="inlineStr">
        <is>
          <t>kg</t>
        </is>
      </c>
      <c r="E45" s="150" t="n">
        <v>3</v>
      </c>
      <c r="F45" s="151" t="n">
        <v>1.5</v>
      </c>
      <c r="G45" s="152" t="n">
        <v>60</v>
      </c>
      <c r="H45" s="151" t="n">
        <v>4</v>
      </c>
      <c r="I45" s="153">
        <f>E45*G45</f>
        <v/>
      </c>
      <c r="J45" s="154">
        <f>IF(E45=0,"🚫 OUT OF STOCK",IF(E45&lt;=F45,"⚠️ LOW STOCK","✅ OK"))</f>
        <v/>
      </c>
      <c r="K45" s="155" t="n"/>
    </row>
    <row r="46" ht="15.75" customHeight="1">
      <c r="B46" s="142" t="inlineStr">
        <is>
          <t>Fresa</t>
        </is>
      </c>
      <c r="C46" s="66" t="inlineStr">
        <is>
          <t>Produce</t>
        </is>
      </c>
      <c r="D46" s="65" t="inlineStr">
        <is>
          <t>kg</t>
        </is>
      </c>
      <c r="E46" s="143" t="n">
        <v>1</v>
      </c>
      <c r="F46" s="144" t="n">
        <v>0.5</v>
      </c>
      <c r="G46" s="145" t="n">
        <v>95</v>
      </c>
      <c r="H46" s="144" t="n">
        <v>2</v>
      </c>
      <c r="I46" s="146">
        <f>E46*G46</f>
        <v/>
      </c>
      <c r="J46" s="147">
        <f>IF(E46=0,"🚫 OUT OF STOCK",IF(E46&lt;=F46,"⚠️ LOW STOCK","✅ OK"))</f>
        <v/>
      </c>
      <c r="K46" s="148" t="n"/>
    </row>
    <row r="47" ht="15.75" customHeight="1">
      <c r="B47" s="149" t="inlineStr">
        <is>
          <t>Mango</t>
        </is>
      </c>
      <c r="C47" s="75" t="inlineStr">
        <is>
          <t>Produce</t>
        </is>
      </c>
      <c r="D47" s="74" t="inlineStr">
        <is>
          <t>kg</t>
        </is>
      </c>
      <c r="E47" s="150" t="n">
        <v>1</v>
      </c>
      <c r="F47" s="151" t="n">
        <v>0.5</v>
      </c>
      <c r="G47" s="152" t="n">
        <v>55</v>
      </c>
      <c r="H47" s="151" t="n">
        <v>2</v>
      </c>
      <c r="I47" s="153">
        <f>E47*G47</f>
        <v/>
      </c>
      <c r="J47" s="154">
        <f>IF(E47=0,"🚫 OUT OF STOCK",IF(E47&lt;=F47,"⚠️ LOW STOCK","✅ OK"))</f>
        <v/>
      </c>
      <c r="K47" s="155" t="n"/>
    </row>
    <row r="48" ht="15.75" customHeight="1">
      <c r="B48" s="142" t="inlineStr">
        <is>
          <t>Aguacate Tomate Cherry</t>
        </is>
      </c>
      <c r="C48" s="66" t="inlineStr">
        <is>
          <t>Produce</t>
        </is>
      </c>
      <c r="D48" s="65" t="inlineStr">
        <is>
          <t>kg</t>
        </is>
      </c>
      <c r="E48" s="143" t="n">
        <v>0.5</v>
      </c>
      <c r="F48" s="144" t="n">
        <v>0.2</v>
      </c>
      <c r="G48" s="145" t="n">
        <v>85</v>
      </c>
      <c r="H48" s="144" t="n">
        <v>1</v>
      </c>
      <c r="I48" s="146">
        <f>E48*G48</f>
        <v/>
      </c>
      <c r="J48" s="147">
        <f>IF(E48=0,"🚫 OUT OF STOCK",IF(E48&lt;=F48,"⚠️ LOW STOCK","✅ OK"))</f>
        <v/>
      </c>
      <c r="K48" s="148" t="n"/>
    </row>
    <row r="49" ht="15.75" customHeight="1">
      <c r="B49" s="149" t="inlineStr">
        <is>
          <t>Cafe Grano / Molido</t>
        </is>
      </c>
      <c r="C49" s="75" t="inlineStr">
        <is>
          <t>Beverages</t>
        </is>
      </c>
      <c r="D49" s="74" t="inlineStr">
        <is>
          <t>kg</t>
        </is>
      </c>
      <c r="E49" s="150" t="n">
        <v>3</v>
      </c>
      <c r="F49" s="151" t="n">
        <v>1</v>
      </c>
      <c r="G49" s="152" t="n">
        <v>220</v>
      </c>
      <c r="H49" s="151" t="n">
        <v>3</v>
      </c>
      <c r="I49" s="153">
        <f>E49*G49</f>
        <v/>
      </c>
      <c r="J49" s="154">
        <f>IF(E49=0,"🚫 OUT OF STOCK",IF(E49&lt;=F49,"⚠️ LOW STOCK","✅ OK"))</f>
        <v/>
      </c>
      <c r="K49" s="155" t="n"/>
    </row>
    <row r="50" ht="15.75" customHeight="1">
      <c r="B50" s="142" t="inlineStr">
        <is>
          <t>Cocoa / Chocolate</t>
        </is>
      </c>
      <c r="C50" s="66" t="inlineStr">
        <is>
          <t>Beverages</t>
        </is>
      </c>
      <c r="D50" s="65" t="inlineStr">
        <is>
          <t>kg</t>
        </is>
      </c>
      <c r="E50" s="143" t="n">
        <v>1</v>
      </c>
      <c r="F50" s="144" t="n">
        <v>0.5</v>
      </c>
      <c r="G50" s="145" t="n">
        <v>95</v>
      </c>
      <c r="H50" s="144" t="n">
        <v>2</v>
      </c>
      <c r="I50" s="146">
        <f>E50*G50</f>
        <v/>
      </c>
      <c r="J50" s="147">
        <f>IF(E50=0,"🚫 OUT OF STOCK",IF(E50&lt;=F50,"⚠️ LOW STOCK","✅ OK"))</f>
        <v/>
      </c>
      <c r="K50" s="148" t="n"/>
    </row>
    <row r="51" ht="15.75" customHeight="1">
      <c r="B51" s="149" t="inlineStr">
        <is>
          <t>Te Surtido</t>
        </is>
      </c>
      <c r="C51" s="75" t="inlineStr">
        <is>
          <t>Beverages</t>
        </is>
      </c>
      <c r="D51" s="74" t="inlineStr">
        <is>
          <t>caja</t>
        </is>
      </c>
      <c r="E51" s="150" t="n">
        <v>3</v>
      </c>
      <c r="F51" s="151" t="n">
        <v>1</v>
      </c>
      <c r="G51" s="152" t="n">
        <v>85</v>
      </c>
      <c r="H51" s="151" t="n">
        <v>3</v>
      </c>
      <c r="I51" s="153">
        <f>E51*G51</f>
        <v/>
      </c>
      <c r="J51" s="154">
        <f>IF(E51=0,"🚫 OUT OF STOCK",IF(E51&lt;=F51,"⚠️ LOW STOCK","✅ OK"))</f>
        <v/>
      </c>
      <c r="K51" s="155" t="n"/>
    </row>
    <row r="52" ht="15.75" customHeight="1">
      <c r="B52" s="142" t="inlineStr">
        <is>
          <t>Chai Mix</t>
        </is>
      </c>
      <c r="C52" s="66" t="inlineStr">
        <is>
          <t>Beverages</t>
        </is>
      </c>
      <c r="D52" s="65" t="inlineStr">
        <is>
          <t>kg</t>
        </is>
      </c>
      <c r="E52" s="143" t="n">
        <v>1</v>
      </c>
      <c r="F52" s="144" t="n">
        <v>0.5</v>
      </c>
      <c r="G52" s="145" t="n">
        <v>180</v>
      </c>
      <c r="H52" s="144" t="n">
        <v>2</v>
      </c>
      <c r="I52" s="146">
        <f>E52*G52</f>
        <v/>
      </c>
      <c r="J52" s="147">
        <f>IF(E52=0,"🚫 OUT OF STOCK",IF(E52&lt;=F52,"⚠️ LOW STOCK","✅ OK"))</f>
        <v/>
      </c>
      <c r="K52" s="148" t="n"/>
    </row>
    <row r="53" ht="15.75" customHeight="1">
      <c r="B53" s="149" t="inlineStr">
        <is>
          <t>Matcha Polvo</t>
        </is>
      </c>
      <c r="C53" s="75" t="inlineStr">
        <is>
          <t>Beverages</t>
        </is>
      </c>
      <c r="D53" s="74" t="inlineStr">
        <is>
          <t>kg</t>
        </is>
      </c>
      <c r="E53" s="150" t="n">
        <v>0.3</v>
      </c>
      <c r="F53" s="151" t="n">
        <v>0.1</v>
      </c>
      <c r="G53" s="152" t="n">
        <v>450</v>
      </c>
      <c r="H53" s="151" t="n">
        <v>0.5</v>
      </c>
      <c r="I53" s="153">
        <f>E53*G53</f>
        <v/>
      </c>
      <c r="J53" s="154">
        <f>IF(E53=0,"🚫 OUT OF STOCK",IF(E53&lt;=F53,"⚠️ LOW STOCK","✅ OK"))</f>
        <v/>
      </c>
      <c r="K53" s="155" t="n"/>
    </row>
    <row r="54" ht="15.75" customHeight="1">
      <c r="B54" s="142" t="inlineStr">
        <is>
          <t>Taro Polvo</t>
        </is>
      </c>
      <c r="C54" s="66" t="inlineStr">
        <is>
          <t>Beverages</t>
        </is>
      </c>
      <c r="D54" s="65" t="inlineStr">
        <is>
          <t>kg</t>
        </is>
      </c>
      <c r="E54" s="143" t="n">
        <v>0.3</v>
      </c>
      <c r="F54" s="144" t="n">
        <v>0.1</v>
      </c>
      <c r="G54" s="145" t="n">
        <v>380</v>
      </c>
      <c r="H54" s="144" t="n">
        <v>0.5</v>
      </c>
      <c r="I54" s="146">
        <f>E54*G54</f>
        <v/>
      </c>
      <c r="J54" s="147">
        <f>IF(E54=0,"🚫 OUT OF STOCK",IF(E54&lt;=F54,"⚠️ LOW STOCK","✅ OK"))</f>
        <v/>
      </c>
      <c r="K54" s="148" t="n"/>
    </row>
    <row r="55" ht="15.75" customHeight="1">
      <c r="B55" s="149" t="inlineStr">
        <is>
          <t>Azucar</t>
        </is>
      </c>
      <c r="C55" s="75" t="inlineStr">
        <is>
          <t>Dry Goods</t>
        </is>
      </c>
      <c r="D55" s="74" t="inlineStr">
        <is>
          <t>kg</t>
        </is>
      </c>
      <c r="E55" s="150" t="n">
        <v>5</v>
      </c>
      <c r="F55" s="151" t="n">
        <v>2</v>
      </c>
      <c r="G55" s="152" t="n">
        <v>22</v>
      </c>
      <c r="H55" s="151" t="n">
        <v>5</v>
      </c>
      <c r="I55" s="153">
        <f>E55*G55</f>
        <v/>
      </c>
      <c r="J55" s="154">
        <f>IF(E55=0,"🚫 OUT OF STOCK",IF(E55&lt;=F55,"⚠️ LOW STOCK","✅ OK"))</f>
        <v/>
      </c>
      <c r="K55" s="155" t="n"/>
    </row>
    <row r="56" ht="15.75" customHeight="1">
      <c r="B56" s="142" t="inlineStr">
        <is>
          <t>Harina</t>
        </is>
      </c>
      <c r="C56" s="66" t="inlineStr">
        <is>
          <t>Dry Goods</t>
        </is>
      </c>
      <c r="D56" s="65" t="inlineStr">
        <is>
          <t>kg</t>
        </is>
      </c>
      <c r="E56" s="143" t="n">
        <v>5</v>
      </c>
      <c r="F56" s="144" t="n">
        <v>2</v>
      </c>
      <c r="G56" s="145" t="n">
        <v>18</v>
      </c>
      <c r="H56" s="144" t="n">
        <v>5</v>
      </c>
      <c r="I56" s="146">
        <f>E56*G56</f>
        <v/>
      </c>
      <c r="J56" s="147">
        <f>IF(E56=0,"🚫 OUT OF STOCK",IF(E56&lt;=F56,"⚠️ LOW STOCK","✅ OK"))</f>
        <v/>
      </c>
      <c r="K56" s="148" t="n"/>
    </row>
    <row r="57" ht="15.75" customHeight="1">
      <c r="B57" s="149" t="inlineStr">
        <is>
          <t>Aceite Vegetal</t>
        </is>
      </c>
      <c r="C57" s="75" t="inlineStr">
        <is>
          <t>Dry Goods</t>
        </is>
      </c>
      <c r="D57" s="74" t="inlineStr">
        <is>
          <t>lt</t>
        </is>
      </c>
      <c r="E57" s="150" t="n">
        <v>5</v>
      </c>
      <c r="F57" s="151" t="n">
        <v>2</v>
      </c>
      <c r="G57" s="152" t="n">
        <v>38</v>
      </c>
      <c r="H57" s="151" t="n">
        <v>5</v>
      </c>
      <c r="I57" s="153">
        <f>E57*G57</f>
        <v/>
      </c>
      <c r="J57" s="154">
        <f>IF(E57=0,"🚫 OUT OF STOCK",IF(E57&lt;=F57,"⚠️ LOW STOCK","✅ OK"))</f>
        <v/>
      </c>
      <c r="K57" s="155" t="n"/>
    </row>
    <row r="58" ht="15.75" customHeight="1">
      <c r="B58" s="142" t="inlineStr">
        <is>
          <t>Salsa Verde / Roja (prep)</t>
        </is>
      </c>
      <c r="C58" s="66" t="inlineStr">
        <is>
          <t>Sauces</t>
        </is>
      </c>
      <c r="D58" s="65" t="inlineStr">
        <is>
          <t>lt</t>
        </is>
      </c>
      <c r="E58" s="143" t="n">
        <v>3</v>
      </c>
      <c r="F58" s="144" t="n">
        <v>1</v>
      </c>
      <c r="G58" s="145" t="n">
        <v>25</v>
      </c>
      <c r="H58" s="144" t="n">
        <v>3</v>
      </c>
      <c r="I58" s="146">
        <f>E58*G58</f>
        <v/>
      </c>
      <c r="J58" s="147">
        <f>IF(E58=0,"🚫 OUT OF STOCK",IF(E58&lt;=F58,"⚠️ LOW STOCK","✅ OK"))</f>
        <v/>
      </c>
      <c r="K58" s="148" t="n"/>
    </row>
    <row r="59" ht="15.75" customHeight="1">
      <c r="B59" s="149" t="inlineStr">
        <is>
          <t>Frijoles Refritos</t>
        </is>
      </c>
      <c r="C59" s="75" t="inlineStr">
        <is>
          <t>Sauces</t>
        </is>
      </c>
      <c r="D59" s="74" t="inlineStr">
        <is>
          <t>kg</t>
        </is>
      </c>
      <c r="E59" s="150" t="n">
        <v>3</v>
      </c>
      <c r="F59" s="151" t="n">
        <v>1</v>
      </c>
      <c r="G59" s="152" t="n">
        <v>20</v>
      </c>
      <c r="H59" s="151" t="n">
        <v>3</v>
      </c>
      <c r="I59" s="153">
        <f>E59*G59</f>
        <v/>
      </c>
      <c r="J59" s="154">
        <f>IF(E59=0,"🚫 OUT OF STOCK",IF(E59&lt;=F59,"⚠️ LOW STOCK","✅ OK"))</f>
        <v/>
      </c>
      <c r="K59" s="155" t="n"/>
    </row>
    <row r="60" ht="15.75" customHeight="1">
      <c r="B60" s="142" t="inlineStr">
        <is>
          <t>Mayonesa</t>
        </is>
      </c>
      <c r="C60" s="66" t="inlineStr">
        <is>
          <t>Sauces</t>
        </is>
      </c>
      <c r="D60" s="65" t="inlineStr">
        <is>
          <t>kg</t>
        </is>
      </c>
      <c r="E60" s="143" t="n">
        <v>1</v>
      </c>
      <c r="F60" s="144" t="n">
        <v>0.5</v>
      </c>
      <c r="G60" s="145" t="n">
        <v>55</v>
      </c>
      <c r="H60" s="144" t="n">
        <v>2</v>
      </c>
      <c r="I60" s="146">
        <f>E60*G60</f>
        <v/>
      </c>
      <c r="J60" s="147">
        <f>IF(E60=0,"🚫 OUT OF STOCK",IF(E60&lt;=F60,"⚠️ LOW STOCK","✅ OK"))</f>
        <v/>
      </c>
      <c r="K60" s="148" t="n"/>
    </row>
    <row r="61" ht="15.75" customHeight="1">
      <c r="B61" s="149" t="inlineStr">
        <is>
          <t>Yogurt</t>
        </is>
      </c>
      <c r="C61" s="75" t="inlineStr">
        <is>
          <t>Dairy &amp; Eggs</t>
        </is>
      </c>
      <c r="D61" s="74" t="inlineStr">
        <is>
          <t>kg</t>
        </is>
      </c>
      <c r="E61" s="150" t="n">
        <v>1</v>
      </c>
      <c r="F61" s="151" t="n">
        <v>0.5</v>
      </c>
      <c r="G61" s="152" t="n">
        <v>65</v>
      </c>
      <c r="H61" s="151" t="n">
        <v>2</v>
      </c>
      <c r="I61" s="153">
        <f>E61*G61</f>
        <v/>
      </c>
      <c r="J61" s="154">
        <f>IF(E61=0,"🚫 OUT OF STOCK",IF(E61&lt;=F61,"⚠️ LOW STOCK","✅ OK"))</f>
        <v/>
      </c>
      <c r="K61" s="155" t="n"/>
    </row>
    <row r="62" ht="15.75" customHeight="1">
      <c r="B62" s="142" t="inlineStr">
        <is>
          <t>Avena</t>
        </is>
      </c>
      <c r="C62" s="66" t="inlineStr">
        <is>
          <t>Dry Goods</t>
        </is>
      </c>
      <c r="D62" s="65" t="inlineStr">
        <is>
          <t>kg</t>
        </is>
      </c>
      <c r="E62" s="143" t="n">
        <v>1</v>
      </c>
      <c r="F62" s="144" t="n">
        <v>0.5</v>
      </c>
      <c r="G62" s="145" t="n">
        <v>45</v>
      </c>
      <c r="H62" s="144" t="n">
        <v>2</v>
      </c>
      <c r="I62" s="146">
        <f>E62*G62</f>
        <v/>
      </c>
      <c r="J62" s="147">
        <f>IF(E62=0,"🚫 OUT OF STOCK",IF(E62&lt;=F62,"⚠️ LOW STOCK","✅ OK"))</f>
        <v/>
      </c>
      <c r="K62" s="148" t="n"/>
    </row>
    <row r="63" ht="15.75" customHeight="1">
      <c r="B63" s="149" t="inlineStr">
        <is>
          <t>Especias Peri Peri</t>
        </is>
      </c>
      <c r="C63" s="75" t="inlineStr">
        <is>
          <t>Dry Goods</t>
        </is>
      </c>
      <c r="D63" s="74" t="inlineStr">
        <is>
          <t>kg</t>
        </is>
      </c>
      <c r="E63" s="150" t="n">
        <v>0.5</v>
      </c>
      <c r="F63" s="151" t="n">
        <v>0.1</v>
      </c>
      <c r="G63" s="152" t="n">
        <v>180</v>
      </c>
      <c r="H63" s="151" t="n">
        <v>1</v>
      </c>
      <c r="I63" s="153">
        <f>E63*G63</f>
        <v/>
      </c>
      <c r="J63" s="154">
        <f>IF(E63=0,"🚫 OUT OF STOCK",IF(E63&lt;=F63,"⚠️ LOW STOCK","✅ OK"))</f>
        <v/>
      </c>
      <c r="K63" s="155" t="n"/>
    </row>
    <row r="64" ht="15.75" customHeight="1">
      <c r="B64" s="142" t="inlineStr">
        <is>
          <t>Galletas Oreo</t>
        </is>
      </c>
      <c r="C64" s="66" t="inlineStr">
        <is>
          <t>Supplies</t>
        </is>
      </c>
      <c r="D64" s="65" t="inlineStr">
        <is>
          <t>paq</t>
        </is>
      </c>
      <c r="E64" s="143" t="n">
        <v>5</v>
      </c>
      <c r="F64" s="144" t="n">
        <v>2</v>
      </c>
      <c r="G64" s="145" t="n">
        <v>42</v>
      </c>
      <c r="H64" s="144" t="n">
        <v>6</v>
      </c>
      <c r="I64" s="146">
        <f>E64*G64</f>
        <v/>
      </c>
      <c r="J64" s="147">
        <f>IF(E64=0,"🚫 OUT OF STOCK",IF(E64&lt;=F64,"⚠️ LOW STOCK","✅ OK"))</f>
        <v/>
      </c>
      <c r="K64" s="148" t="n"/>
    </row>
    <row r="65" ht="15.75" customHeight="1">
      <c r="B65" s="149" t="inlineStr">
        <is>
          <t>Ferrero Rocher</t>
        </is>
      </c>
      <c r="C65" s="75" t="inlineStr">
        <is>
          <t>Supplies</t>
        </is>
      </c>
      <c r="D65" s="74" t="inlineStr">
        <is>
          <t>pza</t>
        </is>
      </c>
      <c r="E65" s="150" t="n">
        <v>20</v>
      </c>
      <c r="F65" s="151" t="n">
        <v>10</v>
      </c>
      <c r="G65" s="152" t="n">
        <v>18</v>
      </c>
      <c r="H65" s="151" t="n">
        <v>24</v>
      </c>
      <c r="I65" s="153">
        <f>E65*G65</f>
        <v/>
      </c>
      <c r="J65" s="154">
        <f>IF(E65=0,"🚫 OUT OF STOCK",IF(E65&lt;=F65,"⚠️ LOW STOCK","✅ OK"))</f>
        <v/>
      </c>
      <c r="K65" s="155" t="n"/>
    </row>
    <row r="66" ht="15.75" customHeight="1">
      <c r="B66" s="142" t="inlineStr">
        <is>
          <t>Piña</t>
        </is>
      </c>
      <c r="C66" s="66" t="inlineStr">
        <is>
          <t>Produce</t>
        </is>
      </c>
      <c r="D66" s="65" t="inlineStr">
        <is>
          <t>pza</t>
        </is>
      </c>
      <c r="E66" s="143" t="n">
        <v>4</v>
      </c>
      <c r="F66" s="144" t="n">
        <v>2</v>
      </c>
      <c r="G66" s="145" t="n">
        <v>35</v>
      </c>
      <c r="H66" s="144" t="n">
        <v>6</v>
      </c>
      <c r="I66" s="146">
        <f>E66*G66</f>
        <v/>
      </c>
      <c r="J66" s="147">
        <f>IF(E66=0,"🚫 OUT OF STOCK",IF(E66&lt;=F66,"⚠️ LOW STOCK","✅ OK"))</f>
        <v/>
      </c>
      <c r="K66" s="148" t="n"/>
    </row>
    <row r="67" ht="15.75" customHeight="1">
      <c r="B67" s="149" t="inlineStr">
        <is>
          <t>Arandanos Deshidratados</t>
        </is>
      </c>
      <c r="C67" s="75" t="inlineStr">
        <is>
          <t>Produce</t>
        </is>
      </c>
      <c r="D67" s="74" t="inlineStr">
        <is>
          <t>kg</t>
        </is>
      </c>
      <c r="E67" s="150" t="n">
        <v>0.3</v>
      </c>
      <c r="F67" s="151" t="n">
        <v>0.1</v>
      </c>
      <c r="G67" s="152" t="n">
        <v>220</v>
      </c>
      <c r="H67" s="151" t="n">
        <v>0.5</v>
      </c>
      <c r="I67" s="153">
        <f>E67*G67</f>
        <v/>
      </c>
      <c r="J67" s="154">
        <f>IF(E67=0,"🚫 OUT OF STOCK",IF(E67&lt;=F67,"⚠️ LOW STOCK","✅ OK"))</f>
        <v/>
      </c>
      <c r="K67" s="155" t="n"/>
    </row>
  </sheetData>
  <mergeCells count="4">
    <mergeCell ref="A2:E2"/>
    <mergeCell ref="F2:K2"/>
    <mergeCell ref="A3:K3"/>
    <mergeCell ref="B8:K8"/>
  </mergeCells>
  <conditionalFormatting sqref="E10:E67">
    <cfRule type="expression" priority="4" dxfId="7">
      <formula>E10&lt;=F10</formula>
    </cfRule>
  </conditionalFormatting>
  <conditionalFormatting sqref="J10:J67">
    <cfRule type="expression" priority="2" dxfId="0">
      <formula>J10="🚫 OUT OF STOCK"</formula>
    </cfRule>
    <cfRule type="expression" priority="3" dxfId="7">
      <formula>J10="⚠️ LOW STOCK"</formula>
    </cfRule>
  </conditionalFormatting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29"/>
  <sheetViews>
    <sheetView showGridLines="0" zoomScale="100" zoomScaleNormal="100" workbookViewId="0">
      <selection activeCell="L13" sqref="L13"/>
    </sheetView>
  </sheetViews>
  <sheetFormatPr baseColWidth="8" defaultColWidth="8.6640625" defaultRowHeight="14.4" customHeight="1" outlineLevelRow="0"/>
  <cols>
    <col width="4" customWidth="1" min="1" max="1"/>
    <col width="20" customWidth="1" min="2" max="2"/>
    <col width="14" customWidth="1" min="3" max="3"/>
    <col width="13" customWidth="1" min="4" max="4"/>
    <col width="11" customWidth="1" min="5" max="11"/>
    <col width="13" customWidth="1" min="12" max="12"/>
    <col width="16" customWidth="1" min="13" max="13"/>
  </cols>
  <sheetData>
    <row r="1" ht="4.5" customHeight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 ht="37.5" customHeight="1">
      <c r="A2" s="36" t="inlineStr">
        <is>
          <t>👥  LOKA — STAFF &amp; PAYROLL</t>
        </is>
      </c>
      <c r="G2" s="37" t="inlineStr">
        <is>
          <t>Weekly schedule + auto payroll calculation</t>
        </is>
      </c>
    </row>
    <row r="3" ht="3.75" customHeight="1">
      <c r="A3" s="38" t="n"/>
    </row>
    <row r="4" ht="7.5" customHeight="1"/>
    <row r="5" ht="7.5" customHeight="1"/>
    <row r="6" ht="21.75" customHeight="1">
      <c r="B6" s="41" t="inlineStr">
        <is>
          <t xml:space="preserve">  STAFF SCHEDULE  —  Week of:</t>
        </is>
      </c>
      <c r="C6" s="251" t="n"/>
      <c r="D6" s="251" t="n"/>
      <c r="E6" s="156">
        <f>TODAY()-WEEKDAY(TODAY(),2)+1</f>
        <v/>
      </c>
      <c r="F6" s="252" t="n"/>
      <c r="G6" s="252" t="n"/>
      <c r="H6" s="252" t="n"/>
      <c r="I6" s="252" t="n"/>
      <c r="J6" s="252" t="n"/>
      <c r="K6" s="252" t="n"/>
      <c r="L6" s="252" t="n"/>
      <c r="M6" s="252" t="n"/>
    </row>
    <row r="7" ht="27.75" customHeight="1">
      <c r="B7" s="55" t="inlineStr">
        <is>
          <t>Staff Name</t>
        </is>
      </c>
      <c r="C7" s="55" t="inlineStr">
        <is>
          <t>Role</t>
        </is>
      </c>
      <c r="D7" s="55" t="inlineStr">
        <is>
          <t>Daily Rate ($)</t>
        </is>
      </c>
      <c r="E7" s="55" t="inlineStr">
        <is>
          <t>Mon</t>
        </is>
      </c>
      <c r="F7" s="55" t="inlineStr">
        <is>
          <t>Tue</t>
        </is>
      </c>
      <c r="G7" s="55" t="inlineStr">
        <is>
          <t>Wed</t>
        </is>
      </c>
      <c r="H7" s="55" t="inlineStr">
        <is>
          <t>Thu</t>
        </is>
      </c>
      <c r="I7" s="55" t="inlineStr">
        <is>
          <t>Fri</t>
        </is>
      </c>
      <c r="J7" s="55" t="inlineStr">
        <is>
          <t>Sat</t>
        </is>
      </c>
      <c r="K7" s="55" t="inlineStr">
        <is>
          <t>Sun</t>
        </is>
      </c>
      <c r="L7" s="55" t="inlineStr">
        <is>
          <t>Days Worked</t>
        </is>
      </c>
      <c r="M7" s="55" t="inlineStr">
        <is>
          <t>Week Pay ($)</t>
        </is>
      </c>
    </row>
    <row r="8" ht="19.5" customHeight="1">
      <c r="B8" s="157" t="inlineStr">
        <is>
          <t>John</t>
        </is>
      </c>
      <c r="C8" s="158" t="inlineStr">
        <is>
          <t>Head Chef</t>
        </is>
      </c>
      <c r="D8" s="159" t="n">
        <v>450</v>
      </c>
      <c r="E8" s="160" t="inlineStr">
        <is>
          <t>Full Day</t>
        </is>
      </c>
      <c r="F8" s="160" t="inlineStr">
        <is>
          <t>Full Day</t>
        </is>
      </c>
      <c r="G8" s="160" t="inlineStr">
        <is>
          <t>Full Day</t>
        </is>
      </c>
      <c r="H8" s="160" t="inlineStr">
        <is>
          <t>Full Day</t>
        </is>
      </c>
      <c r="I8" s="160" t="inlineStr">
        <is>
          <t>Full Day</t>
        </is>
      </c>
      <c r="J8" s="160" t="inlineStr">
        <is>
          <t>Full Day</t>
        </is>
      </c>
      <c r="K8" s="160" t="inlineStr">
        <is>
          <t>Day Off</t>
        </is>
      </c>
      <c r="L8" s="161">
        <f>COUNTIF(E8:K8,"Full Day")+COUNTIF(E8:K8,"Morning")*0.5+COUNTIF(E8:K8,"Afternoon")*0.5</f>
        <v/>
      </c>
      <c r="M8" s="162">
        <f>COUNTIF(E8:K8,"Full Day")*D8+COUNTIF(E8:K8,"Morning")*D8*0.5+COUNTIF(E8:K8,"Afternoon")*D8*0.5</f>
        <v/>
      </c>
    </row>
    <row r="9" ht="19.5" customHeight="1">
      <c r="B9" s="157" t="inlineStr">
        <is>
          <t>Debi</t>
        </is>
      </c>
      <c r="C9" s="163" t="inlineStr">
        <is>
          <t>Cleaner</t>
        </is>
      </c>
      <c r="D9" s="164" t="n">
        <v>220</v>
      </c>
      <c r="E9" s="165" t="inlineStr">
        <is>
          <t>Full Day</t>
        </is>
      </c>
      <c r="F9" s="165" t="inlineStr">
        <is>
          <t>Full Day</t>
        </is>
      </c>
      <c r="G9" s="165" t="inlineStr">
        <is>
          <t>Full Day</t>
        </is>
      </c>
      <c r="H9" s="165" t="inlineStr">
        <is>
          <t>Full Day</t>
        </is>
      </c>
      <c r="I9" s="165" t="inlineStr">
        <is>
          <t>Full Day</t>
        </is>
      </c>
      <c r="J9" s="165" t="inlineStr">
        <is>
          <t>Full Day</t>
        </is>
      </c>
      <c r="K9" s="165" t="inlineStr">
        <is>
          <t>Day Off</t>
        </is>
      </c>
      <c r="L9" s="166">
        <f>COUNTIF(E9:K9,"Full Day")+COUNTIF(E9:K9,"Morning")*0.5+COUNTIF(E9:K9,"Afternoon")*0.5</f>
        <v/>
      </c>
      <c r="M9" s="167">
        <f>COUNTIF(E9:K9,"Full Day")*D9+COUNTIF(E9:K9,"Morning")*D9*0.5+COUNTIF(E9:K9,"Afternoon")*D9*0.5</f>
        <v/>
      </c>
    </row>
    <row r="10" ht="19.5" customHeight="1">
      <c r="B10" s="157" t="inlineStr">
        <is>
          <t>Staff 3 Name</t>
        </is>
      </c>
      <c r="C10" s="158" t="inlineStr">
        <is>
          <t>Waiter</t>
        </is>
      </c>
      <c r="D10" s="164" t="n">
        <v>333.33</v>
      </c>
      <c r="E10" s="160" t="inlineStr">
        <is>
          <t>Full Day</t>
        </is>
      </c>
      <c r="F10" s="160" t="inlineStr">
        <is>
          <t>Full Day</t>
        </is>
      </c>
      <c r="G10" s="160" t="inlineStr">
        <is>
          <t>Full Day</t>
        </is>
      </c>
      <c r="H10" s="160" t="inlineStr">
        <is>
          <t>Full Day</t>
        </is>
      </c>
      <c r="I10" s="160" t="inlineStr">
        <is>
          <t>Full Day</t>
        </is>
      </c>
      <c r="J10" s="160" t="inlineStr">
        <is>
          <t>Full Day</t>
        </is>
      </c>
      <c r="K10" s="160" t="inlineStr">
        <is>
          <t>Day Off</t>
        </is>
      </c>
      <c r="L10" s="161">
        <f>COUNTIF(E10:K10,"Full Day")+COUNTIF(E10:K10,"Morning")*0.5+COUNTIF(E10:K10,"Afternoon")*0.5</f>
        <v/>
      </c>
      <c r="M10" s="162">
        <f>COUNTIF(E10:K10,"Full Day")*D10+COUNTIF(E10:K10,"Morning")*D10*0.5+COUNTIF(E10:K10,"Afternoon")*D10*0.5</f>
        <v/>
      </c>
    </row>
    <row r="11" ht="19.5" customHeight="1">
      <c r="B11" s="157" t="n"/>
      <c r="C11" s="163" t="n"/>
      <c r="D11" s="164" t="n"/>
      <c r="E11" s="165" t="n"/>
      <c r="F11" s="165" t="n"/>
      <c r="G11" s="165" t="n"/>
      <c r="H11" s="165" t="n"/>
      <c r="I11" s="165" t="n"/>
      <c r="J11" s="165" t="n"/>
      <c r="K11" s="165" t="n"/>
      <c r="L11" s="166" t="n"/>
      <c r="M11" s="167" t="n"/>
    </row>
    <row r="12" ht="19.5" customHeight="1">
      <c r="B12" s="157" t="n"/>
      <c r="C12" s="158" t="n"/>
      <c r="D12" s="159" t="n"/>
      <c r="E12" s="160" t="n"/>
      <c r="F12" s="160" t="n"/>
      <c r="G12" s="160" t="n"/>
      <c r="H12" s="160" t="n"/>
      <c r="I12" s="160" t="n"/>
      <c r="J12" s="160" t="n"/>
      <c r="K12" s="160" t="n"/>
      <c r="L12" s="161" t="n"/>
      <c r="M12" s="162" t="n"/>
    </row>
    <row r="13" ht="19.5" customHeight="1">
      <c r="B13" s="157" t="n"/>
      <c r="C13" s="163" t="n"/>
      <c r="D13" s="164" t="n"/>
      <c r="E13" s="165" t="n"/>
      <c r="F13" s="165" t="n"/>
      <c r="G13" s="165" t="n"/>
      <c r="H13" s="165" t="n"/>
      <c r="I13" s="165" t="n"/>
      <c r="J13" s="165" t="n"/>
      <c r="K13" s="165" t="n"/>
      <c r="L13" s="166" t="n"/>
      <c r="M13" s="167" t="n"/>
    </row>
    <row r="14" ht="19.5" customHeight="1">
      <c r="B14" s="157" t="n"/>
      <c r="C14" s="158" t="n"/>
      <c r="D14" s="159" t="n"/>
      <c r="E14" s="160" t="n"/>
      <c r="F14" s="160" t="n"/>
      <c r="G14" s="160" t="n"/>
      <c r="H14" s="160" t="n"/>
      <c r="I14" s="160" t="n"/>
      <c r="J14" s="160" t="n"/>
      <c r="K14" s="160" t="n"/>
      <c r="L14" s="161" t="n"/>
      <c r="M14" s="162" t="n"/>
    </row>
    <row r="15" ht="19.5" customHeight="1">
      <c r="B15" s="157" t="n"/>
      <c r="C15" s="163" t="n"/>
      <c r="D15" s="164" t="n"/>
      <c r="E15" s="165" t="n"/>
      <c r="F15" s="165" t="n"/>
      <c r="G15" s="165" t="n"/>
      <c r="H15" s="165" t="n"/>
      <c r="I15" s="165" t="n"/>
      <c r="J15" s="165" t="n"/>
      <c r="K15" s="165" t="n"/>
      <c r="L15" s="166" t="n"/>
      <c r="M15" s="167" t="n"/>
    </row>
    <row r="16" ht="21.75" customHeight="1">
      <c r="B16" s="168" t="inlineStr">
        <is>
          <t>TOTAL WEEKLY PAYROLL</t>
        </is>
      </c>
      <c r="C16" s="252" t="n"/>
      <c r="D16" s="252" t="n"/>
      <c r="E16" s="252" t="n"/>
      <c r="F16" s="252" t="n"/>
      <c r="G16" s="252" t="n"/>
      <c r="H16" s="252" t="n"/>
      <c r="I16" s="252" t="n"/>
      <c r="J16" s="252" t="n"/>
      <c r="K16" s="252" t="n"/>
      <c r="L16" s="169">
        <f>SUM(L8:L15)</f>
        <v/>
      </c>
      <c r="M16" s="170">
        <f>SUM(M8:M15)</f>
        <v/>
      </c>
    </row>
    <row r="18" ht="7.5" customHeight="1"/>
    <row r="19" ht="19.5" customHeight="1">
      <c r="B19" s="41" t="inlineStr">
        <is>
          <t xml:space="preserve">  MONTHLY PAYROLL PROJECTION</t>
        </is>
      </c>
      <c r="C19" s="251" t="n"/>
      <c r="D19" s="251" t="n"/>
      <c r="E19" s="251" t="n"/>
      <c r="F19" s="251" t="n"/>
      <c r="G19" s="251" t="n"/>
      <c r="H19" s="251" t="n"/>
      <c r="I19" s="251" t="n"/>
      <c r="J19" s="251" t="n"/>
      <c r="K19" s="251" t="n"/>
      <c r="L19" s="251" t="n"/>
      <c r="M19" s="251" t="n"/>
    </row>
    <row r="20" ht="27.75" customHeight="1">
      <c r="B20" s="55" t="inlineStr">
        <is>
          <t>Staff Name</t>
        </is>
      </c>
      <c r="C20" s="55" t="inlineStr">
        <is>
          <t>Role</t>
        </is>
      </c>
      <c r="D20" s="55" t="inlineStr">
        <is>
          <t>Week Pay ($)</t>
        </is>
      </c>
      <c r="E20" s="55" t="inlineStr">
        <is>
          <t>x Weeks/Month</t>
        </is>
      </c>
      <c r="F20" s="55" t="inlineStr">
        <is>
          <t>Monthly ($)</t>
        </is>
      </c>
      <c r="G20" s="55" t="inlineStr">
        <is>
          <t>IMSS / Benefits %</t>
        </is>
      </c>
      <c r="H20" s="55" t="inlineStr">
        <is>
          <t>Total Monthly Cost ($)</t>
        </is>
      </c>
      <c r="I20" s="55" t="inlineStr">
        <is>
          <t>Notes</t>
        </is>
      </c>
    </row>
    <row r="21" ht="18" customHeight="1">
      <c r="B21" s="171">
        <f>B8</f>
        <v/>
      </c>
      <c r="C21" s="66" t="inlineStr">
        <is>
          <t>Head Chef</t>
        </is>
      </c>
      <c r="D21" s="172">
        <f>M8</f>
        <v/>
      </c>
      <c r="E21" s="173" t="n">
        <v>4</v>
      </c>
      <c r="F21" s="174">
        <f>D21*E21</f>
        <v/>
      </c>
      <c r="G21" s="175" t="n">
        <v>0.08</v>
      </c>
      <c r="H21" s="176">
        <f>F21*(1+G21)</f>
        <v/>
      </c>
      <c r="I21" s="148" t="n"/>
    </row>
    <row r="22" ht="18" customHeight="1">
      <c r="B22" s="177">
        <f>B9</f>
        <v/>
      </c>
      <c r="C22" s="75" t="inlineStr">
        <is>
          <t>Sous Chef</t>
        </is>
      </c>
      <c r="D22" s="178">
        <f>M9</f>
        <v/>
      </c>
      <c r="E22" s="179" t="n">
        <v>4</v>
      </c>
      <c r="F22" s="180">
        <f>D22*E22</f>
        <v/>
      </c>
      <c r="G22" s="181" t="n">
        <v>0.08</v>
      </c>
      <c r="H22" s="182">
        <f>F22*(1+G22)</f>
        <v/>
      </c>
      <c r="I22" s="155" t="n"/>
    </row>
    <row r="23" ht="18" customHeight="1">
      <c r="B23" s="171">
        <f>B10</f>
        <v/>
      </c>
      <c r="C23" s="66" t="inlineStr">
        <is>
          <t>Waiter 1</t>
        </is>
      </c>
      <c r="D23" s="172">
        <f>M10</f>
        <v/>
      </c>
      <c r="E23" s="173" t="n">
        <v>4</v>
      </c>
      <c r="F23" s="174">
        <f>D23*E23</f>
        <v/>
      </c>
      <c r="G23" s="175" t="n">
        <v>0.08</v>
      </c>
      <c r="H23" s="176">
        <f>F23*(1+G23)</f>
        <v/>
      </c>
      <c r="I23" s="148" t="n"/>
    </row>
    <row r="24" ht="18" customHeight="1">
      <c r="B24" s="177">
        <f>B11</f>
        <v/>
      </c>
      <c r="C24" s="75" t="inlineStr">
        <is>
          <t>Waiter 2</t>
        </is>
      </c>
      <c r="D24" s="178">
        <f>M11</f>
        <v/>
      </c>
      <c r="E24" s="179" t="n">
        <v>4</v>
      </c>
      <c r="F24" s="180">
        <f>D24*E24</f>
        <v/>
      </c>
      <c r="G24" s="181" t="n">
        <v>0.08</v>
      </c>
      <c r="H24" s="182">
        <f>F24*(1+G24)</f>
        <v/>
      </c>
      <c r="I24" s="155" t="n"/>
    </row>
    <row r="25" ht="18" customHeight="1">
      <c r="B25" s="171">
        <f>B12</f>
        <v/>
      </c>
      <c r="C25" s="66" t="inlineStr">
        <is>
          <t>Barista</t>
        </is>
      </c>
      <c r="D25" s="172">
        <f>M12</f>
        <v/>
      </c>
      <c r="E25" s="173" t="n">
        <v>4</v>
      </c>
      <c r="F25" s="174">
        <f>D25*E25</f>
        <v/>
      </c>
      <c r="G25" s="175" t="n">
        <v>0.08</v>
      </c>
      <c r="H25" s="176">
        <f>F25*(1+G25)</f>
        <v/>
      </c>
      <c r="I25" s="148" t="n"/>
    </row>
    <row r="26" ht="18" customHeight="1">
      <c r="B26" s="177">
        <f>B13</f>
        <v/>
      </c>
      <c r="C26" s="75" t="inlineStr">
        <is>
          <t>Cashier</t>
        </is>
      </c>
      <c r="D26" s="178">
        <f>M13</f>
        <v/>
      </c>
      <c r="E26" s="179" t="n">
        <v>4</v>
      </c>
      <c r="F26" s="180">
        <f>D26*E26</f>
        <v/>
      </c>
      <c r="G26" s="181" t="n">
        <v>0.08</v>
      </c>
      <c r="H26" s="182">
        <f>F26*(1+G26)</f>
        <v/>
      </c>
      <c r="I26" s="155" t="n"/>
    </row>
    <row r="27" ht="18" customHeight="1">
      <c r="B27" s="171">
        <f>B14</f>
        <v/>
      </c>
      <c r="C27" s="66" t="inlineStr">
        <is>
          <t>Kitchen Helper</t>
        </is>
      </c>
      <c r="D27" s="172">
        <f>M14</f>
        <v/>
      </c>
      <c r="E27" s="173" t="n">
        <v>4</v>
      </c>
      <c r="F27" s="174">
        <f>D27*E27</f>
        <v/>
      </c>
      <c r="G27" s="175" t="n">
        <v>0.08</v>
      </c>
      <c r="H27" s="176">
        <f>F27*(1+G27)</f>
        <v/>
      </c>
      <c r="I27" s="148" t="n"/>
    </row>
    <row r="28" ht="18" customHeight="1">
      <c r="B28" s="177">
        <f>B15</f>
        <v/>
      </c>
      <c r="C28" s="75" t="inlineStr">
        <is>
          <t>Cleaner</t>
        </is>
      </c>
      <c r="D28" s="178">
        <f>M15</f>
        <v/>
      </c>
      <c r="E28" s="179" t="n">
        <v>4</v>
      </c>
      <c r="F28" s="180">
        <f>D28*E28</f>
        <v/>
      </c>
      <c r="G28" s="181" t="n">
        <v>0.08</v>
      </c>
      <c r="H28" s="182">
        <f>F28*(1+G28)</f>
        <v/>
      </c>
      <c r="I28" s="155" t="n"/>
    </row>
    <row r="29" ht="21.75" customHeight="1">
      <c r="B29" s="168" t="inlineStr">
        <is>
          <t>TOTAL MONTHLY PAYROLL COST</t>
        </is>
      </c>
      <c r="C29" s="252" t="n"/>
      <c r="D29" s="252" t="n"/>
      <c r="E29" s="252" t="n"/>
      <c r="F29" s="252" t="n"/>
      <c r="G29" s="252" t="n"/>
      <c r="H29" s="170">
        <f>SUM(H21:H28)</f>
        <v/>
      </c>
    </row>
  </sheetData>
  <mergeCells count="8">
    <mergeCell ref="A2:F2"/>
    <mergeCell ref="G2:M2"/>
    <mergeCell ref="A3:M3"/>
    <mergeCell ref="B6:D6"/>
    <mergeCell ref="E6:M6"/>
    <mergeCell ref="B16:K16"/>
    <mergeCell ref="B19:M19"/>
    <mergeCell ref="B29:G29"/>
  </mergeCells>
  <dataValidations count="2">
    <dataValidation sqref="E10:K50" showErrorMessage="1" showInputMessage="1" allowBlank="0" type="list">
      <formula1>"Full Day,Morning,Afternoon,Day Off"</formula1>
      <formula2>0</formula2>
    </dataValidation>
    <dataValidation sqref="E8:K50" showErrorMessage="1" showInput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 outlineLevelRow="0"/>
  <cols>
    <col width="4" customWidth="1" min="1" max="1"/>
    <col width="14" customWidth="1" min="2" max="2"/>
    <col width="22" customWidth="1" min="3" max="3"/>
    <col width="20" customWidth="1" min="4" max="4"/>
    <col width="12" customWidth="1" min="5" max="5"/>
    <col width="10" customWidth="1" min="6" max="6"/>
    <col width="12" customWidth="1" min="7" max="7"/>
    <col width="14" customWidth="1" min="8" max="9"/>
    <col width="18" customWidth="1" min="10" max="10"/>
    <col width="16" customWidth="1" min="11" max="11"/>
  </cols>
  <sheetData>
    <row r="1" ht="4.5" customHeight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37.5" customHeight="1">
      <c r="A2" s="36" t="inlineStr">
        <is>
          <t>🚚  LOKA — SUPPLIER ORDERS</t>
        </is>
      </c>
      <c r="F2" s="37" t="inlineStr">
        <is>
          <t>Track purchase orders from suppliers</t>
        </is>
      </c>
    </row>
    <row r="3" ht="3.75" customHeight="1">
      <c r="A3" s="38" t="n"/>
    </row>
    <row r="4" ht="7.5" customHeight="1"/>
    <row r="5" ht="18" customHeight="1">
      <c r="B5" s="116" t="inlineStr">
        <is>
          <t>TOTAL ORDERS</t>
        </is>
      </c>
      <c r="C5" s="116" t="inlineStr">
        <is>
          <t>PENDING</t>
        </is>
      </c>
      <c r="D5" s="116" t="inlineStr">
        <is>
          <t>IN TRANSIT</t>
        </is>
      </c>
      <c r="E5" s="116" t="inlineStr">
        <is>
          <t>RECEIVED</t>
        </is>
      </c>
      <c r="F5" s="116" t="inlineStr">
        <is>
          <t>MONTH SPEND</t>
        </is>
      </c>
      <c r="G5" s="116" t="inlineStr">
        <is>
          <t>PENDING VALUE</t>
        </is>
      </c>
      <c r="H5" s="116" t="inlineStr">
        <is>
          <t>PENDING COUNT</t>
        </is>
      </c>
    </row>
    <row r="6" ht="25.5" customHeight="1">
      <c r="B6" s="138">
        <f>COUNTA(C9:C308)-1</f>
        <v/>
      </c>
      <c r="C6" s="183">
        <f>COUNTIF(K9:K308,"Pending")</f>
        <v/>
      </c>
      <c r="D6" s="184">
        <f>COUNTIF(K9:K308,"In Transit")</f>
        <v/>
      </c>
      <c r="E6" s="185">
        <f>COUNTIF(K9:K308,"Received")</f>
        <v/>
      </c>
      <c r="F6" s="186">
        <f>SUMIF(K9:K308,"Received",J9:J308)</f>
        <v/>
      </c>
      <c r="G6" s="118">
        <f>SUMIF(K9:K308,"Pending",J9:J308)</f>
        <v/>
      </c>
      <c r="H6" s="183">
        <f>COUNTIF(K9:K308,"Pending")+COUNTIF(K9:K308,"In Transit")</f>
        <v/>
      </c>
    </row>
    <row r="7" ht="7.5" customHeight="1"/>
    <row r="8" ht="19.5" customHeight="1">
      <c r="B8" s="121" t="inlineStr">
        <is>
          <t>📌  Log every supplier order here. Update Status as it progresses: Pending → Confirmed → In Transit → Received. Amount auto-calculates.</t>
        </is>
      </c>
      <c r="C8" s="252" t="n"/>
      <c r="D8" s="252" t="n"/>
      <c r="E8" s="252" t="n"/>
      <c r="F8" s="252" t="n"/>
      <c r="G8" s="252" t="n"/>
      <c r="H8" s="252" t="n"/>
      <c r="I8" s="252" t="n"/>
      <c r="J8" s="252" t="n"/>
      <c r="K8" s="252" t="n"/>
    </row>
    <row r="9" ht="27.75" customHeight="1">
      <c r="B9" s="55" t="inlineStr">
        <is>
          <t>Order Date</t>
        </is>
      </c>
      <c r="C9" s="55" t="inlineStr">
        <is>
          <t>Item / Ingredient</t>
        </is>
      </c>
      <c r="D9" s="55" t="inlineStr">
        <is>
          <t>Supplier</t>
        </is>
      </c>
      <c r="E9" s="55" t="inlineStr">
        <is>
          <t>Category</t>
        </is>
      </c>
      <c r="F9" s="55" t="inlineStr">
        <is>
          <t>Qty</t>
        </is>
      </c>
      <c r="G9" s="55" t="inlineStr">
        <is>
          <t>Unit</t>
        </is>
      </c>
      <c r="H9" s="55" t="inlineStr">
        <is>
          <t>Unit Price ($)</t>
        </is>
      </c>
      <c r="I9" s="55" t="inlineStr">
        <is>
          <t>Expected Date</t>
        </is>
      </c>
      <c r="J9" s="55" t="inlineStr">
        <is>
          <t>Total ($)</t>
        </is>
      </c>
      <c r="K9" s="55" t="inlineStr">
        <is>
          <t>Status</t>
        </is>
      </c>
    </row>
    <row r="10" ht="15.75" customHeight="1">
      <c r="B10" s="137" t="n"/>
      <c r="C10" s="124" t="n"/>
      <c r="D10" s="123" t="n"/>
      <c r="E10" s="123" t="n"/>
      <c r="F10" s="187" t="n"/>
      <c r="G10" s="65" t="n"/>
      <c r="H10" s="188" t="n"/>
      <c r="I10" s="189" t="n"/>
      <c r="J10" s="190">
        <f>IFERROR(IF(F10*H10=0,"",F10*H10),"")</f>
        <v/>
      </c>
      <c r="K10" s="147" t="inlineStr">
        <is>
          <t>Pending</t>
        </is>
      </c>
    </row>
    <row r="11" ht="15.75" customHeight="1">
      <c r="B11" s="137" t="n"/>
      <c r="C11" s="126" t="n"/>
      <c r="D11" s="127" t="n"/>
      <c r="E11" s="127" t="n"/>
      <c r="F11" s="191" t="n"/>
      <c r="G11" s="74" t="n"/>
      <c r="H11" s="192" t="n"/>
      <c r="I11" s="193" t="n"/>
      <c r="J11" s="194">
        <f>IFERROR(IF(F11*H11=0,"",F11*H11),"")</f>
        <v/>
      </c>
      <c r="K11" s="154" t="inlineStr">
        <is>
          <t>Pending</t>
        </is>
      </c>
    </row>
    <row r="12" ht="15.75" customHeight="1">
      <c r="B12" s="137" t="n"/>
      <c r="C12" s="124" t="n"/>
      <c r="D12" s="123" t="n"/>
      <c r="E12" s="123" t="n"/>
      <c r="F12" s="187" t="n"/>
      <c r="G12" s="65" t="n"/>
      <c r="H12" s="188" t="n"/>
      <c r="I12" s="189" t="n"/>
      <c r="J12" s="190">
        <f>IFERROR(IF(F12*H12=0,"",F12*H12),"")</f>
        <v/>
      </c>
      <c r="K12" s="147" t="inlineStr">
        <is>
          <t>Pending</t>
        </is>
      </c>
    </row>
    <row r="13" ht="15.75" customHeight="1">
      <c r="B13" s="137" t="n"/>
      <c r="C13" s="126" t="n"/>
      <c r="D13" s="127" t="n"/>
      <c r="E13" s="127" t="n"/>
      <c r="F13" s="191" t="n"/>
      <c r="G13" s="74" t="n"/>
      <c r="H13" s="192" t="n"/>
      <c r="I13" s="193" t="n"/>
      <c r="J13" s="194">
        <f>IFERROR(IF(F13*H13=0,"",F13*H13),"")</f>
        <v/>
      </c>
      <c r="K13" s="154" t="inlineStr">
        <is>
          <t>Pending</t>
        </is>
      </c>
    </row>
    <row r="14" ht="15.75" customHeight="1">
      <c r="B14" s="137" t="n"/>
      <c r="C14" s="124" t="n"/>
      <c r="D14" s="123" t="n"/>
      <c r="E14" s="123" t="n"/>
      <c r="F14" s="187" t="n"/>
      <c r="G14" s="65" t="n"/>
      <c r="H14" s="188" t="n"/>
      <c r="I14" s="189" t="n"/>
      <c r="J14" s="190">
        <f>IFERROR(IF(F14*H14=0,"",F14*H14),"")</f>
        <v/>
      </c>
      <c r="K14" s="147" t="inlineStr">
        <is>
          <t>Pending</t>
        </is>
      </c>
    </row>
    <row r="15" ht="15.75" customHeight="1">
      <c r="B15" s="137" t="n"/>
      <c r="C15" s="126" t="n"/>
      <c r="D15" s="127" t="n"/>
      <c r="E15" s="127" t="n"/>
      <c r="F15" s="191" t="n"/>
      <c r="G15" s="74" t="n"/>
      <c r="H15" s="192" t="n"/>
      <c r="I15" s="193" t="n"/>
      <c r="J15" s="194">
        <f>IFERROR(IF(F15*H15=0,"",F15*H15),"")</f>
        <v/>
      </c>
      <c r="K15" s="154" t="inlineStr">
        <is>
          <t>Pending</t>
        </is>
      </c>
    </row>
    <row r="16" ht="15.75" customHeight="1">
      <c r="B16" s="137" t="n"/>
      <c r="C16" s="124" t="n"/>
      <c r="D16" s="123" t="n"/>
      <c r="E16" s="123" t="n"/>
      <c r="F16" s="187" t="n"/>
      <c r="G16" s="65" t="n"/>
      <c r="H16" s="188" t="n"/>
      <c r="I16" s="189" t="n"/>
      <c r="J16" s="190">
        <f>IFERROR(IF(F16*H16=0,"",F16*H16),"")</f>
        <v/>
      </c>
      <c r="K16" s="147" t="inlineStr">
        <is>
          <t>Pending</t>
        </is>
      </c>
    </row>
    <row r="17" ht="15.75" customHeight="1">
      <c r="B17" s="137" t="n"/>
      <c r="C17" s="126" t="n"/>
      <c r="D17" s="127" t="n"/>
      <c r="E17" s="127" t="n"/>
      <c r="F17" s="191" t="n"/>
      <c r="G17" s="74" t="n"/>
      <c r="H17" s="192" t="n"/>
      <c r="I17" s="193" t="n"/>
      <c r="J17" s="194">
        <f>IFERROR(IF(F17*H17=0,"",F17*H17),"")</f>
        <v/>
      </c>
      <c r="K17" s="154" t="inlineStr">
        <is>
          <t>Pending</t>
        </is>
      </c>
    </row>
    <row r="18" ht="15.75" customHeight="1">
      <c r="B18" s="137" t="n"/>
      <c r="C18" s="124" t="n"/>
      <c r="D18" s="123" t="n"/>
      <c r="E18" s="123" t="n"/>
      <c r="F18" s="187" t="n"/>
      <c r="G18" s="65" t="n"/>
      <c r="H18" s="188" t="n"/>
      <c r="I18" s="189" t="n"/>
      <c r="J18" s="190">
        <f>IFERROR(IF(F18*H18=0,"",F18*H18),"")</f>
        <v/>
      </c>
      <c r="K18" s="147" t="inlineStr">
        <is>
          <t>Pending</t>
        </is>
      </c>
    </row>
    <row r="19" ht="15.75" customHeight="1">
      <c r="B19" s="137" t="n"/>
      <c r="C19" s="126" t="n"/>
      <c r="D19" s="127" t="n"/>
      <c r="E19" s="127" t="n"/>
      <c r="F19" s="191" t="n"/>
      <c r="G19" s="74" t="n"/>
      <c r="H19" s="192" t="n"/>
      <c r="I19" s="193" t="n"/>
      <c r="J19" s="194">
        <f>IFERROR(IF(F19*H19=0,"",F19*H19),"")</f>
        <v/>
      </c>
      <c r="K19" s="154" t="inlineStr">
        <is>
          <t>Pending</t>
        </is>
      </c>
    </row>
    <row r="20" ht="15.75" customHeight="1">
      <c r="B20" s="137" t="n"/>
      <c r="C20" s="124" t="n"/>
      <c r="D20" s="123" t="n"/>
      <c r="E20" s="123" t="n"/>
      <c r="F20" s="187" t="n"/>
      <c r="G20" s="65" t="n"/>
      <c r="H20" s="188" t="n"/>
      <c r="I20" s="189" t="n"/>
      <c r="J20" s="190">
        <f>IFERROR(IF(F20*H20=0,"",F20*H20),"")</f>
        <v/>
      </c>
      <c r="K20" s="147" t="inlineStr">
        <is>
          <t>Pending</t>
        </is>
      </c>
    </row>
    <row r="21" ht="15.75" customHeight="1">
      <c r="B21" s="137" t="n"/>
      <c r="C21" s="126" t="n"/>
      <c r="D21" s="127" t="n"/>
      <c r="E21" s="127" t="n"/>
      <c r="F21" s="191" t="n"/>
      <c r="G21" s="74" t="n"/>
      <c r="H21" s="192" t="n"/>
      <c r="I21" s="193" t="n"/>
      <c r="J21" s="194">
        <f>IFERROR(IF(F21*H21=0,"",F21*H21),"")</f>
        <v/>
      </c>
      <c r="K21" s="154" t="inlineStr">
        <is>
          <t>Pending</t>
        </is>
      </c>
    </row>
    <row r="22" ht="15.75" customHeight="1">
      <c r="B22" s="137" t="n"/>
      <c r="C22" s="124" t="n"/>
      <c r="D22" s="123" t="n"/>
      <c r="E22" s="123" t="n"/>
      <c r="F22" s="187" t="n"/>
      <c r="G22" s="65" t="n"/>
      <c r="H22" s="188" t="n"/>
      <c r="I22" s="189" t="n"/>
      <c r="J22" s="190">
        <f>IFERROR(IF(F22*H22=0,"",F22*H22),"")</f>
        <v/>
      </c>
      <c r="K22" s="147" t="inlineStr">
        <is>
          <t>Pending</t>
        </is>
      </c>
    </row>
    <row r="23" ht="15.75" customHeight="1">
      <c r="B23" s="137" t="n"/>
      <c r="C23" s="126" t="n"/>
      <c r="D23" s="127" t="n"/>
      <c r="E23" s="127" t="n"/>
      <c r="F23" s="191" t="n"/>
      <c r="G23" s="74" t="n"/>
      <c r="H23" s="192" t="n"/>
      <c r="I23" s="193" t="n"/>
      <c r="J23" s="194">
        <f>IFERROR(IF(F23*H23=0,"",F23*H23),"")</f>
        <v/>
      </c>
      <c r="K23" s="154" t="inlineStr">
        <is>
          <t>Pending</t>
        </is>
      </c>
    </row>
    <row r="24" ht="15.75" customHeight="1">
      <c r="B24" s="137" t="n"/>
      <c r="C24" s="124" t="n"/>
      <c r="D24" s="123" t="n"/>
      <c r="E24" s="123" t="n"/>
      <c r="F24" s="187" t="n"/>
      <c r="G24" s="65" t="n"/>
      <c r="H24" s="188" t="n"/>
      <c r="I24" s="189" t="n"/>
      <c r="J24" s="190">
        <f>IFERROR(IF(F24*H24=0,"",F24*H24),"")</f>
        <v/>
      </c>
      <c r="K24" s="147" t="inlineStr">
        <is>
          <t>Pending</t>
        </is>
      </c>
    </row>
    <row r="25" ht="15.75" customHeight="1">
      <c r="B25" s="137" t="n"/>
      <c r="C25" s="126" t="n"/>
      <c r="D25" s="127" t="n"/>
      <c r="E25" s="127" t="n"/>
      <c r="F25" s="191" t="n"/>
      <c r="G25" s="74" t="n"/>
      <c r="H25" s="192" t="n"/>
      <c r="I25" s="193" t="n"/>
      <c r="J25" s="194">
        <f>IFERROR(IF(F25*H25=0,"",F25*H25),"")</f>
        <v/>
      </c>
      <c r="K25" s="154" t="inlineStr">
        <is>
          <t>Pending</t>
        </is>
      </c>
    </row>
    <row r="26" ht="15.75" customHeight="1">
      <c r="B26" s="137" t="n"/>
      <c r="C26" s="124" t="n"/>
      <c r="D26" s="123" t="n"/>
      <c r="E26" s="123" t="n"/>
      <c r="F26" s="187" t="n"/>
      <c r="G26" s="65" t="n"/>
      <c r="H26" s="188" t="n"/>
      <c r="I26" s="189" t="n"/>
      <c r="J26" s="190">
        <f>IFERROR(IF(F26*H26=0,"",F26*H26),"")</f>
        <v/>
      </c>
      <c r="K26" s="147" t="inlineStr">
        <is>
          <t>Pending</t>
        </is>
      </c>
    </row>
    <row r="27" ht="15.75" customHeight="1">
      <c r="B27" s="137" t="n"/>
      <c r="C27" s="126" t="n"/>
      <c r="D27" s="127" t="n"/>
      <c r="E27" s="127" t="n"/>
      <c r="F27" s="191" t="n"/>
      <c r="G27" s="74" t="n"/>
      <c r="H27" s="192" t="n"/>
      <c r="I27" s="193" t="n"/>
      <c r="J27" s="194">
        <f>IFERROR(IF(F27*H27=0,"",F27*H27),"")</f>
        <v/>
      </c>
      <c r="K27" s="154" t="inlineStr">
        <is>
          <t>Pending</t>
        </is>
      </c>
    </row>
    <row r="28" ht="15.75" customHeight="1">
      <c r="B28" s="137" t="n"/>
      <c r="C28" s="124" t="n"/>
      <c r="D28" s="123" t="n"/>
      <c r="E28" s="123" t="n"/>
      <c r="F28" s="187" t="n"/>
      <c r="G28" s="65" t="n"/>
      <c r="H28" s="188" t="n"/>
      <c r="I28" s="189" t="n"/>
      <c r="J28" s="190">
        <f>IFERROR(IF(F28*H28=0,"",F28*H28),"")</f>
        <v/>
      </c>
      <c r="K28" s="147" t="inlineStr">
        <is>
          <t>Pending</t>
        </is>
      </c>
    </row>
    <row r="29" ht="15.75" customHeight="1">
      <c r="B29" s="137" t="n"/>
      <c r="C29" s="126" t="n"/>
      <c r="D29" s="127" t="n"/>
      <c r="E29" s="127" t="n"/>
      <c r="F29" s="191" t="n"/>
      <c r="G29" s="74" t="n"/>
      <c r="H29" s="192" t="n"/>
      <c r="I29" s="193" t="n"/>
      <c r="J29" s="194">
        <f>IFERROR(IF(F29*H29=0,"",F29*H29),"")</f>
        <v/>
      </c>
      <c r="K29" s="154" t="inlineStr">
        <is>
          <t>Pending</t>
        </is>
      </c>
    </row>
    <row r="30" ht="15.75" customHeight="1">
      <c r="B30" s="137" t="n"/>
      <c r="C30" s="124" t="n"/>
      <c r="D30" s="123" t="n"/>
      <c r="E30" s="123" t="n"/>
      <c r="F30" s="187" t="n"/>
      <c r="G30" s="65" t="n"/>
      <c r="H30" s="188" t="n"/>
      <c r="I30" s="189" t="n"/>
      <c r="J30" s="190">
        <f>IFERROR(IF(F30*H30=0,"",F30*H30),"")</f>
        <v/>
      </c>
      <c r="K30" s="147" t="inlineStr">
        <is>
          <t>Pending</t>
        </is>
      </c>
    </row>
    <row r="31" ht="15.75" customHeight="1">
      <c r="B31" s="137" t="n"/>
      <c r="C31" s="126" t="n"/>
      <c r="D31" s="127" t="n"/>
      <c r="E31" s="127" t="n"/>
      <c r="F31" s="191" t="n"/>
      <c r="G31" s="74" t="n"/>
      <c r="H31" s="192" t="n"/>
      <c r="I31" s="193" t="n"/>
      <c r="J31" s="194">
        <f>IFERROR(IF(F31*H31=0,"",F31*H31),"")</f>
        <v/>
      </c>
      <c r="K31" s="154" t="inlineStr">
        <is>
          <t>Pending</t>
        </is>
      </c>
    </row>
    <row r="32" ht="15.75" customHeight="1">
      <c r="B32" s="137" t="n"/>
      <c r="C32" s="124" t="n"/>
      <c r="D32" s="123" t="n"/>
      <c r="E32" s="123" t="n"/>
      <c r="F32" s="187" t="n"/>
      <c r="G32" s="65" t="n"/>
      <c r="H32" s="188" t="n"/>
      <c r="I32" s="189" t="n"/>
      <c r="J32" s="190">
        <f>IFERROR(IF(F32*H32=0,"",F32*H32),"")</f>
        <v/>
      </c>
      <c r="K32" s="147" t="inlineStr">
        <is>
          <t>Pending</t>
        </is>
      </c>
    </row>
    <row r="33" ht="15.75" customHeight="1">
      <c r="B33" s="137" t="n"/>
      <c r="C33" s="126" t="n"/>
      <c r="D33" s="127" t="n"/>
      <c r="E33" s="127" t="n"/>
      <c r="F33" s="191" t="n"/>
      <c r="G33" s="74" t="n"/>
      <c r="H33" s="192" t="n"/>
      <c r="I33" s="193" t="n"/>
      <c r="J33" s="194">
        <f>IFERROR(IF(F33*H33=0,"",F33*H33),"")</f>
        <v/>
      </c>
      <c r="K33" s="154" t="inlineStr">
        <is>
          <t>Pending</t>
        </is>
      </c>
    </row>
    <row r="34" ht="15.75" customHeight="1">
      <c r="B34" s="137" t="n"/>
      <c r="C34" s="124" t="n"/>
      <c r="D34" s="123" t="n"/>
      <c r="E34" s="123" t="n"/>
      <c r="F34" s="187" t="n"/>
      <c r="G34" s="65" t="n"/>
      <c r="H34" s="188" t="n"/>
      <c r="I34" s="189" t="n"/>
      <c r="J34" s="190">
        <f>IFERROR(IF(F34*H34=0,"",F34*H34),"")</f>
        <v/>
      </c>
      <c r="K34" s="147" t="inlineStr">
        <is>
          <t>Pending</t>
        </is>
      </c>
    </row>
    <row r="35" ht="15.75" customHeight="1">
      <c r="B35" s="137" t="n"/>
      <c r="C35" s="126" t="n"/>
      <c r="D35" s="127" t="n"/>
      <c r="E35" s="127" t="n"/>
      <c r="F35" s="191" t="n"/>
      <c r="G35" s="74" t="n"/>
      <c r="H35" s="192" t="n"/>
      <c r="I35" s="193" t="n"/>
      <c r="J35" s="194">
        <f>IFERROR(IF(F35*H35=0,"",F35*H35),"")</f>
        <v/>
      </c>
      <c r="K35" s="154" t="inlineStr">
        <is>
          <t>Pending</t>
        </is>
      </c>
    </row>
    <row r="36" ht="15.75" customHeight="1">
      <c r="B36" s="137" t="n"/>
      <c r="C36" s="124" t="n"/>
      <c r="D36" s="123" t="n"/>
      <c r="E36" s="123" t="n"/>
      <c r="F36" s="187" t="n"/>
      <c r="G36" s="65" t="n"/>
      <c r="H36" s="188" t="n"/>
      <c r="I36" s="189" t="n"/>
      <c r="J36" s="190">
        <f>IFERROR(IF(F36*H36=0,"",F36*H36),"")</f>
        <v/>
      </c>
      <c r="K36" s="147" t="inlineStr">
        <is>
          <t>Pending</t>
        </is>
      </c>
    </row>
    <row r="37" ht="15.75" customHeight="1">
      <c r="B37" s="137" t="n"/>
      <c r="C37" s="126" t="n"/>
      <c r="D37" s="127" t="n"/>
      <c r="E37" s="127" t="n"/>
      <c r="F37" s="191" t="n"/>
      <c r="G37" s="74" t="n"/>
      <c r="H37" s="192" t="n"/>
      <c r="I37" s="193" t="n"/>
      <c r="J37" s="194">
        <f>IFERROR(IF(F37*H37=0,"",F37*H37),"")</f>
        <v/>
      </c>
      <c r="K37" s="154" t="inlineStr">
        <is>
          <t>Pending</t>
        </is>
      </c>
    </row>
    <row r="38" ht="15.75" customHeight="1">
      <c r="B38" s="137" t="n"/>
      <c r="C38" s="124" t="n"/>
      <c r="D38" s="123" t="n"/>
      <c r="E38" s="123" t="n"/>
      <c r="F38" s="187" t="n"/>
      <c r="G38" s="65" t="n"/>
      <c r="H38" s="188" t="n"/>
      <c r="I38" s="189" t="n"/>
      <c r="J38" s="190">
        <f>IFERROR(IF(F38*H38=0,"",F38*H38),"")</f>
        <v/>
      </c>
      <c r="K38" s="147" t="inlineStr">
        <is>
          <t>Pending</t>
        </is>
      </c>
    </row>
    <row r="39" ht="15.75" customHeight="1">
      <c r="B39" s="137" t="n"/>
      <c r="C39" s="126" t="n"/>
      <c r="D39" s="127" t="n"/>
      <c r="E39" s="127" t="n"/>
      <c r="F39" s="191" t="n"/>
      <c r="G39" s="74" t="n"/>
      <c r="H39" s="192" t="n"/>
      <c r="I39" s="193" t="n"/>
      <c r="J39" s="194">
        <f>IFERROR(IF(F39*H39=0,"",F39*H39),"")</f>
        <v/>
      </c>
      <c r="K39" s="154" t="inlineStr">
        <is>
          <t>Pending</t>
        </is>
      </c>
    </row>
    <row r="40" ht="15.75" customHeight="1">
      <c r="B40" s="137" t="n"/>
      <c r="C40" s="124" t="n"/>
      <c r="D40" s="123" t="n"/>
      <c r="E40" s="123" t="n"/>
      <c r="F40" s="187" t="n"/>
      <c r="G40" s="65" t="n"/>
      <c r="H40" s="188" t="n"/>
      <c r="I40" s="189" t="n"/>
      <c r="J40" s="190">
        <f>IFERROR(IF(F40*H40=0,"",F40*H40),"")</f>
        <v/>
      </c>
      <c r="K40" s="147" t="inlineStr">
        <is>
          <t>Pending</t>
        </is>
      </c>
    </row>
    <row r="41" ht="15.75" customHeight="1">
      <c r="B41" s="137" t="n"/>
      <c r="C41" s="126" t="n"/>
      <c r="D41" s="127" t="n"/>
      <c r="E41" s="127" t="n"/>
      <c r="F41" s="191" t="n"/>
      <c r="G41" s="74" t="n"/>
      <c r="H41" s="192" t="n"/>
      <c r="I41" s="193" t="n"/>
      <c r="J41" s="194">
        <f>IFERROR(IF(F41*H41=0,"",F41*H41),"")</f>
        <v/>
      </c>
      <c r="K41" s="154" t="inlineStr">
        <is>
          <t>Pending</t>
        </is>
      </c>
    </row>
    <row r="42" ht="15.75" customHeight="1">
      <c r="B42" s="137" t="n"/>
      <c r="C42" s="124" t="n"/>
      <c r="D42" s="123" t="n"/>
      <c r="E42" s="123" t="n"/>
      <c r="F42" s="187" t="n"/>
      <c r="G42" s="65" t="n"/>
      <c r="H42" s="188" t="n"/>
      <c r="I42" s="189" t="n"/>
      <c r="J42" s="190">
        <f>IFERROR(IF(F42*H42=0,"",F42*H42),"")</f>
        <v/>
      </c>
      <c r="K42" s="147" t="inlineStr">
        <is>
          <t>Pending</t>
        </is>
      </c>
    </row>
    <row r="43" ht="15.75" customHeight="1">
      <c r="B43" s="137" t="n"/>
      <c r="C43" s="126" t="n"/>
      <c r="D43" s="127" t="n"/>
      <c r="E43" s="127" t="n"/>
      <c r="F43" s="191" t="n"/>
      <c r="G43" s="74" t="n"/>
      <c r="H43" s="192" t="n"/>
      <c r="I43" s="193" t="n"/>
      <c r="J43" s="194">
        <f>IFERROR(IF(F43*H43=0,"",F43*H43),"")</f>
        <v/>
      </c>
      <c r="K43" s="154" t="inlineStr">
        <is>
          <t>Pending</t>
        </is>
      </c>
    </row>
    <row r="44" ht="15.75" customHeight="1">
      <c r="B44" s="137" t="n"/>
      <c r="C44" s="124" t="n"/>
      <c r="D44" s="123" t="n"/>
      <c r="E44" s="123" t="n"/>
      <c r="F44" s="187" t="n"/>
      <c r="G44" s="65" t="n"/>
      <c r="H44" s="188" t="n"/>
      <c r="I44" s="189" t="n"/>
      <c r="J44" s="190">
        <f>IFERROR(IF(F44*H44=0,"",F44*H44),"")</f>
        <v/>
      </c>
      <c r="K44" s="147" t="inlineStr">
        <is>
          <t>Pending</t>
        </is>
      </c>
    </row>
    <row r="45" ht="15.75" customHeight="1">
      <c r="B45" s="137" t="n"/>
      <c r="C45" s="126" t="n"/>
      <c r="D45" s="127" t="n"/>
      <c r="E45" s="127" t="n"/>
      <c r="F45" s="191" t="n"/>
      <c r="G45" s="74" t="n"/>
      <c r="H45" s="192" t="n"/>
      <c r="I45" s="193" t="n"/>
      <c r="J45" s="194">
        <f>IFERROR(IF(F45*H45=0,"",F45*H45),"")</f>
        <v/>
      </c>
      <c r="K45" s="154" t="inlineStr">
        <is>
          <t>Pending</t>
        </is>
      </c>
    </row>
    <row r="46" ht="15.75" customHeight="1">
      <c r="B46" s="137" t="n"/>
      <c r="C46" s="124" t="n"/>
      <c r="D46" s="123" t="n"/>
      <c r="E46" s="123" t="n"/>
      <c r="F46" s="187" t="n"/>
      <c r="G46" s="65" t="n"/>
      <c r="H46" s="188" t="n"/>
      <c r="I46" s="189" t="n"/>
      <c r="J46" s="190">
        <f>IFERROR(IF(F46*H46=0,"",F46*H46),"")</f>
        <v/>
      </c>
      <c r="K46" s="147" t="inlineStr">
        <is>
          <t>Pending</t>
        </is>
      </c>
    </row>
    <row r="47" ht="15.75" customHeight="1">
      <c r="B47" s="137" t="n"/>
      <c r="C47" s="126" t="n"/>
      <c r="D47" s="127" t="n"/>
      <c r="E47" s="127" t="n"/>
      <c r="F47" s="191" t="n"/>
      <c r="G47" s="74" t="n"/>
      <c r="H47" s="192" t="n"/>
      <c r="I47" s="193" t="n"/>
      <c r="J47" s="194">
        <f>IFERROR(IF(F47*H47=0,"",F47*H47),"")</f>
        <v/>
      </c>
      <c r="K47" s="154" t="inlineStr">
        <is>
          <t>Pending</t>
        </is>
      </c>
    </row>
    <row r="48" ht="15.75" customHeight="1">
      <c r="B48" s="137" t="n"/>
      <c r="C48" s="124" t="n"/>
      <c r="D48" s="123" t="n"/>
      <c r="E48" s="123" t="n"/>
      <c r="F48" s="187" t="n"/>
      <c r="G48" s="65" t="n"/>
      <c r="H48" s="188" t="n"/>
      <c r="I48" s="189" t="n"/>
      <c r="J48" s="190">
        <f>IFERROR(IF(F48*H48=0,"",F48*H48),"")</f>
        <v/>
      </c>
      <c r="K48" s="147" t="inlineStr">
        <is>
          <t>Pending</t>
        </is>
      </c>
    </row>
    <row r="49" ht="15.75" customHeight="1">
      <c r="B49" s="137" t="n"/>
      <c r="C49" s="126" t="n"/>
      <c r="D49" s="127" t="n"/>
      <c r="E49" s="127" t="n"/>
      <c r="F49" s="191" t="n"/>
      <c r="G49" s="74" t="n"/>
      <c r="H49" s="192" t="n"/>
      <c r="I49" s="193" t="n"/>
      <c r="J49" s="194">
        <f>IFERROR(IF(F49*H49=0,"",F49*H49),"")</f>
        <v/>
      </c>
      <c r="K49" s="154" t="inlineStr">
        <is>
          <t>Pending</t>
        </is>
      </c>
    </row>
    <row r="50" ht="15.75" customHeight="1">
      <c r="B50" s="137" t="n"/>
      <c r="C50" s="124" t="n"/>
      <c r="D50" s="123" t="n"/>
      <c r="E50" s="123" t="n"/>
      <c r="F50" s="187" t="n"/>
      <c r="G50" s="65" t="n"/>
      <c r="H50" s="188" t="n"/>
      <c r="I50" s="189" t="n"/>
      <c r="J50" s="190">
        <f>IFERROR(IF(F50*H50=0,"",F50*H50),"")</f>
        <v/>
      </c>
      <c r="K50" s="147" t="inlineStr">
        <is>
          <t>Pending</t>
        </is>
      </c>
    </row>
    <row r="51" ht="15.75" customHeight="1">
      <c r="B51" s="137" t="n"/>
      <c r="C51" s="126" t="n"/>
      <c r="D51" s="127" t="n"/>
      <c r="E51" s="127" t="n"/>
      <c r="F51" s="191" t="n"/>
      <c r="G51" s="74" t="n"/>
      <c r="H51" s="192" t="n"/>
      <c r="I51" s="193" t="n"/>
      <c r="J51" s="194">
        <f>IFERROR(IF(F51*H51=0,"",F51*H51),"")</f>
        <v/>
      </c>
      <c r="K51" s="154" t="inlineStr">
        <is>
          <t>Pending</t>
        </is>
      </c>
    </row>
    <row r="52" ht="15.75" customHeight="1">
      <c r="B52" s="137" t="n"/>
      <c r="C52" s="124" t="n"/>
      <c r="D52" s="123" t="n"/>
      <c r="E52" s="123" t="n"/>
      <c r="F52" s="187" t="n"/>
      <c r="G52" s="65" t="n"/>
      <c r="H52" s="188" t="n"/>
      <c r="I52" s="189" t="n"/>
      <c r="J52" s="190">
        <f>IFERROR(IF(F52*H52=0,"",F52*H52),"")</f>
        <v/>
      </c>
      <c r="K52" s="147" t="inlineStr">
        <is>
          <t>Pending</t>
        </is>
      </c>
    </row>
    <row r="53" ht="15.75" customHeight="1">
      <c r="B53" s="137" t="n"/>
      <c r="C53" s="126" t="n"/>
      <c r="D53" s="127" t="n"/>
      <c r="E53" s="127" t="n"/>
      <c r="F53" s="191" t="n"/>
      <c r="G53" s="74" t="n"/>
      <c r="H53" s="192" t="n"/>
      <c r="I53" s="193" t="n"/>
      <c r="J53" s="194">
        <f>IFERROR(IF(F53*H53=0,"",F53*H53),"")</f>
        <v/>
      </c>
      <c r="K53" s="154" t="inlineStr">
        <is>
          <t>Pending</t>
        </is>
      </c>
    </row>
    <row r="54" ht="15.75" customHeight="1">
      <c r="B54" s="137" t="n"/>
      <c r="C54" s="124" t="n"/>
      <c r="D54" s="123" t="n"/>
      <c r="E54" s="123" t="n"/>
      <c r="F54" s="187" t="n"/>
      <c r="G54" s="65" t="n"/>
      <c r="H54" s="188" t="n"/>
      <c r="I54" s="189" t="n"/>
      <c r="J54" s="190">
        <f>IFERROR(IF(F54*H54=0,"",F54*H54),"")</f>
        <v/>
      </c>
      <c r="K54" s="147" t="inlineStr">
        <is>
          <t>Pending</t>
        </is>
      </c>
    </row>
    <row r="55" ht="15.75" customHeight="1">
      <c r="B55" s="137" t="n"/>
      <c r="C55" s="126" t="n"/>
      <c r="D55" s="127" t="n"/>
      <c r="E55" s="127" t="n"/>
      <c r="F55" s="191" t="n"/>
      <c r="G55" s="74" t="n"/>
      <c r="H55" s="192" t="n"/>
      <c r="I55" s="193" t="n"/>
      <c r="J55" s="194">
        <f>IFERROR(IF(F55*H55=0,"",F55*H55),"")</f>
        <v/>
      </c>
      <c r="K55" s="154" t="inlineStr">
        <is>
          <t>Pending</t>
        </is>
      </c>
    </row>
    <row r="56" ht="15.75" customHeight="1">
      <c r="B56" s="137" t="n"/>
      <c r="C56" s="124" t="n"/>
      <c r="D56" s="123" t="n"/>
      <c r="E56" s="123" t="n"/>
      <c r="F56" s="187" t="n"/>
      <c r="G56" s="65" t="n"/>
      <c r="H56" s="188" t="n"/>
      <c r="I56" s="189" t="n"/>
      <c r="J56" s="190">
        <f>IFERROR(IF(F56*H56=0,"",F56*H56),"")</f>
        <v/>
      </c>
      <c r="K56" s="147" t="inlineStr">
        <is>
          <t>Pending</t>
        </is>
      </c>
    </row>
    <row r="57" ht="15.75" customHeight="1">
      <c r="B57" s="137" t="n"/>
      <c r="C57" s="126" t="n"/>
      <c r="D57" s="127" t="n"/>
      <c r="E57" s="127" t="n"/>
      <c r="F57" s="191" t="n"/>
      <c r="G57" s="74" t="n"/>
      <c r="H57" s="192" t="n"/>
      <c r="I57" s="193" t="n"/>
      <c r="J57" s="194">
        <f>IFERROR(IF(F57*H57=0,"",F57*H57),"")</f>
        <v/>
      </c>
      <c r="K57" s="154" t="inlineStr">
        <is>
          <t>Pending</t>
        </is>
      </c>
    </row>
    <row r="58" ht="15.75" customHeight="1">
      <c r="B58" s="137" t="n"/>
      <c r="C58" s="124" t="n"/>
      <c r="D58" s="123" t="n"/>
      <c r="E58" s="123" t="n"/>
      <c r="F58" s="187" t="n"/>
      <c r="G58" s="65" t="n"/>
      <c r="H58" s="188" t="n"/>
      <c r="I58" s="189" t="n"/>
      <c r="J58" s="190">
        <f>IFERROR(IF(F58*H58=0,"",F58*H58),"")</f>
        <v/>
      </c>
      <c r="K58" s="147" t="inlineStr">
        <is>
          <t>Pending</t>
        </is>
      </c>
    </row>
    <row r="59" ht="15.75" customHeight="1">
      <c r="B59" s="137" t="n"/>
      <c r="C59" s="126" t="n"/>
      <c r="D59" s="127" t="n"/>
      <c r="E59" s="127" t="n"/>
      <c r="F59" s="191" t="n"/>
      <c r="G59" s="74" t="n"/>
      <c r="H59" s="192" t="n"/>
      <c r="I59" s="193" t="n"/>
      <c r="J59" s="194">
        <f>IFERROR(IF(F59*H59=0,"",F59*H59),"")</f>
        <v/>
      </c>
      <c r="K59" s="154" t="inlineStr">
        <is>
          <t>Pending</t>
        </is>
      </c>
    </row>
    <row r="60" ht="15.75" customHeight="1">
      <c r="B60" s="137" t="n"/>
      <c r="C60" s="124" t="n"/>
      <c r="D60" s="123" t="n"/>
      <c r="E60" s="123" t="n"/>
      <c r="F60" s="187" t="n"/>
      <c r="G60" s="65" t="n"/>
      <c r="H60" s="188" t="n"/>
      <c r="I60" s="189" t="n"/>
      <c r="J60" s="190">
        <f>IFERROR(IF(F60*H60=0,"",F60*H60),"")</f>
        <v/>
      </c>
      <c r="K60" s="147" t="inlineStr">
        <is>
          <t>Pending</t>
        </is>
      </c>
    </row>
    <row r="61" ht="15.75" customHeight="1">
      <c r="B61" s="137" t="n"/>
      <c r="C61" s="126" t="n"/>
      <c r="D61" s="127" t="n"/>
      <c r="E61" s="127" t="n"/>
      <c r="F61" s="191" t="n"/>
      <c r="G61" s="74" t="n"/>
      <c r="H61" s="192" t="n"/>
      <c r="I61" s="193" t="n"/>
      <c r="J61" s="194">
        <f>IFERROR(IF(F61*H61=0,"",F61*H61),"")</f>
        <v/>
      </c>
      <c r="K61" s="154" t="inlineStr">
        <is>
          <t>Pending</t>
        </is>
      </c>
    </row>
    <row r="62" ht="15.75" customHeight="1">
      <c r="B62" s="137" t="n"/>
      <c r="C62" s="124" t="n"/>
      <c r="D62" s="123" t="n"/>
      <c r="E62" s="123" t="n"/>
      <c r="F62" s="187" t="n"/>
      <c r="G62" s="65" t="n"/>
      <c r="H62" s="188" t="n"/>
      <c r="I62" s="189" t="n"/>
      <c r="J62" s="190">
        <f>IFERROR(IF(F62*H62=0,"",F62*H62),"")</f>
        <v/>
      </c>
      <c r="K62" s="147" t="inlineStr">
        <is>
          <t>Pending</t>
        </is>
      </c>
    </row>
    <row r="63" ht="15.75" customHeight="1">
      <c r="B63" s="137" t="n"/>
      <c r="C63" s="126" t="n"/>
      <c r="D63" s="127" t="n"/>
      <c r="E63" s="127" t="n"/>
      <c r="F63" s="191" t="n"/>
      <c r="G63" s="74" t="n"/>
      <c r="H63" s="192" t="n"/>
      <c r="I63" s="193" t="n"/>
      <c r="J63" s="194">
        <f>IFERROR(IF(F63*H63=0,"",F63*H63),"")</f>
        <v/>
      </c>
      <c r="K63" s="154" t="inlineStr">
        <is>
          <t>Pending</t>
        </is>
      </c>
    </row>
    <row r="64" ht="15.75" customHeight="1">
      <c r="B64" s="137" t="n"/>
      <c r="C64" s="124" t="n"/>
      <c r="D64" s="123" t="n"/>
      <c r="E64" s="123" t="n"/>
      <c r="F64" s="187" t="n"/>
      <c r="G64" s="65" t="n"/>
      <c r="H64" s="188" t="n"/>
      <c r="I64" s="189" t="n"/>
      <c r="J64" s="190">
        <f>IFERROR(IF(F64*H64=0,"",F64*H64),"")</f>
        <v/>
      </c>
      <c r="K64" s="147" t="inlineStr">
        <is>
          <t>Pending</t>
        </is>
      </c>
    </row>
    <row r="65" ht="15.75" customHeight="1">
      <c r="B65" s="137" t="n"/>
      <c r="C65" s="126" t="n"/>
      <c r="D65" s="127" t="n"/>
      <c r="E65" s="127" t="n"/>
      <c r="F65" s="191" t="n"/>
      <c r="G65" s="74" t="n"/>
      <c r="H65" s="192" t="n"/>
      <c r="I65" s="193" t="n"/>
      <c r="J65" s="194">
        <f>IFERROR(IF(F65*H65=0,"",F65*H65),"")</f>
        <v/>
      </c>
      <c r="K65" s="154" t="inlineStr">
        <is>
          <t>Pending</t>
        </is>
      </c>
    </row>
    <row r="66" ht="15.75" customHeight="1">
      <c r="B66" s="137" t="n"/>
      <c r="C66" s="124" t="n"/>
      <c r="D66" s="123" t="n"/>
      <c r="E66" s="123" t="n"/>
      <c r="F66" s="187" t="n"/>
      <c r="G66" s="65" t="n"/>
      <c r="H66" s="188" t="n"/>
      <c r="I66" s="189" t="n"/>
      <c r="J66" s="190">
        <f>IFERROR(IF(F66*H66=0,"",F66*H66),"")</f>
        <v/>
      </c>
      <c r="K66" s="147" t="inlineStr">
        <is>
          <t>Pending</t>
        </is>
      </c>
    </row>
    <row r="67" ht="15.75" customHeight="1">
      <c r="B67" s="137" t="n"/>
      <c r="C67" s="126" t="n"/>
      <c r="D67" s="127" t="n"/>
      <c r="E67" s="127" t="n"/>
      <c r="F67" s="191" t="n"/>
      <c r="G67" s="74" t="n"/>
      <c r="H67" s="192" t="n"/>
      <c r="I67" s="193" t="n"/>
      <c r="J67" s="194">
        <f>IFERROR(IF(F67*H67=0,"",F67*H67),"")</f>
        <v/>
      </c>
      <c r="K67" s="154" t="inlineStr">
        <is>
          <t>Pending</t>
        </is>
      </c>
    </row>
    <row r="68" ht="15.75" customHeight="1">
      <c r="B68" s="137" t="n"/>
      <c r="C68" s="124" t="n"/>
      <c r="D68" s="123" t="n"/>
      <c r="E68" s="123" t="n"/>
      <c r="F68" s="187" t="n"/>
      <c r="G68" s="65" t="n"/>
      <c r="H68" s="188" t="n"/>
      <c r="I68" s="189" t="n"/>
      <c r="J68" s="190">
        <f>IFERROR(IF(F68*H68=0,"",F68*H68),"")</f>
        <v/>
      </c>
      <c r="K68" s="147" t="inlineStr">
        <is>
          <t>Pending</t>
        </is>
      </c>
    </row>
    <row r="69" ht="15.75" customHeight="1">
      <c r="B69" s="137" t="n"/>
      <c r="C69" s="126" t="n"/>
      <c r="D69" s="127" t="n"/>
      <c r="E69" s="127" t="n"/>
      <c r="F69" s="191" t="n"/>
      <c r="G69" s="74" t="n"/>
      <c r="H69" s="192" t="n"/>
      <c r="I69" s="193" t="n"/>
      <c r="J69" s="194">
        <f>IFERROR(IF(F69*H69=0,"",F69*H69),"")</f>
        <v/>
      </c>
      <c r="K69" s="154" t="inlineStr">
        <is>
          <t>Pending</t>
        </is>
      </c>
    </row>
    <row r="70" ht="15.75" customHeight="1">
      <c r="B70" s="137" t="n"/>
      <c r="C70" s="124" t="n"/>
      <c r="D70" s="123" t="n"/>
      <c r="E70" s="123" t="n"/>
      <c r="F70" s="187" t="n"/>
      <c r="G70" s="65" t="n"/>
      <c r="H70" s="188" t="n"/>
      <c r="I70" s="189" t="n"/>
      <c r="J70" s="190">
        <f>IFERROR(IF(F70*H70=0,"",F70*H70),"")</f>
        <v/>
      </c>
      <c r="K70" s="147" t="inlineStr">
        <is>
          <t>Pending</t>
        </is>
      </c>
    </row>
    <row r="71" ht="15.75" customHeight="1">
      <c r="B71" s="137" t="n"/>
      <c r="C71" s="126" t="n"/>
      <c r="D71" s="127" t="n"/>
      <c r="E71" s="127" t="n"/>
      <c r="F71" s="191" t="n"/>
      <c r="G71" s="74" t="n"/>
      <c r="H71" s="192" t="n"/>
      <c r="I71" s="193" t="n"/>
      <c r="J71" s="194">
        <f>IFERROR(IF(F71*H71=0,"",F71*H71),"")</f>
        <v/>
      </c>
      <c r="K71" s="154" t="inlineStr">
        <is>
          <t>Pending</t>
        </is>
      </c>
    </row>
    <row r="72" ht="15.75" customHeight="1">
      <c r="B72" s="137" t="n"/>
      <c r="C72" s="124" t="n"/>
      <c r="D72" s="123" t="n"/>
      <c r="E72" s="123" t="n"/>
      <c r="F72" s="187" t="n"/>
      <c r="G72" s="65" t="n"/>
      <c r="H72" s="188" t="n"/>
      <c r="I72" s="189" t="n"/>
      <c r="J72" s="190">
        <f>IFERROR(IF(F72*H72=0,"",F72*H72),"")</f>
        <v/>
      </c>
      <c r="K72" s="147" t="inlineStr">
        <is>
          <t>Pending</t>
        </is>
      </c>
    </row>
    <row r="73" ht="15.75" customHeight="1">
      <c r="B73" s="137" t="n"/>
      <c r="C73" s="126" t="n"/>
      <c r="D73" s="127" t="n"/>
      <c r="E73" s="127" t="n"/>
      <c r="F73" s="191" t="n"/>
      <c r="G73" s="74" t="n"/>
      <c r="H73" s="192" t="n"/>
      <c r="I73" s="193" t="n"/>
      <c r="J73" s="194">
        <f>IFERROR(IF(F73*H73=0,"",F73*H73),"")</f>
        <v/>
      </c>
      <c r="K73" s="154" t="inlineStr">
        <is>
          <t>Pending</t>
        </is>
      </c>
    </row>
    <row r="74" ht="15.75" customHeight="1">
      <c r="B74" s="137" t="n"/>
      <c r="C74" s="124" t="n"/>
      <c r="D74" s="123" t="n"/>
      <c r="E74" s="123" t="n"/>
      <c r="F74" s="187" t="n"/>
      <c r="G74" s="65" t="n"/>
      <c r="H74" s="188" t="n"/>
      <c r="I74" s="189" t="n"/>
      <c r="J74" s="190">
        <f>IFERROR(IF(F74*H74=0,"",F74*H74),"")</f>
        <v/>
      </c>
      <c r="K74" s="147" t="inlineStr">
        <is>
          <t>Pending</t>
        </is>
      </c>
    </row>
    <row r="75" ht="15.75" customHeight="1">
      <c r="B75" s="137" t="n"/>
      <c r="C75" s="126" t="n"/>
      <c r="D75" s="127" t="n"/>
      <c r="E75" s="127" t="n"/>
      <c r="F75" s="191" t="n"/>
      <c r="G75" s="74" t="n"/>
      <c r="H75" s="192" t="n"/>
      <c r="I75" s="193" t="n"/>
      <c r="J75" s="194">
        <f>IFERROR(IF(F75*H75=0,"",F75*H75),"")</f>
        <v/>
      </c>
      <c r="K75" s="154" t="inlineStr">
        <is>
          <t>Pending</t>
        </is>
      </c>
    </row>
    <row r="76" ht="15.75" customHeight="1">
      <c r="B76" s="137" t="n"/>
      <c r="C76" s="124" t="n"/>
      <c r="D76" s="123" t="n"/>
      <c r="E76" s="123" t="n"/>
      <c r="F76" s="187" t="n"/>
      <c r="G76" s="65" t="n"/>
      <c r="H76" s="188" t="n"/>
      <c r="I76" s="189" t="n"/>
      <c r="J76" s="190">
        <f>IFERROR(IF(F76*H76=0,"",F76*H76),"")</f>
        <v/>
      </c>
      <c r="K76" s="147" t="inlineStr">
        <is>
          <t>Pending</t>
        </is>
      </c>
    </row>
    <row r="77" ht="15.75" customHeight="1">
      <c r="B77" s="137" t="n"/>
      <c r="C77" s="126" t="n"/>
      <c r="D77" s="127" t="n"/>
      <c r="E77" s="127" t="n"/>
      <c r="F77" s="191" t="n"/>
      <c r="G77" s="74" t="n"/>
      <c r="H77" s="192" t="n"/>
      <c r="I77" s="193" t="n"/>
      <c r="J77" s="194">
        <f>IFERROR(IF(F77*H77=0,"",F77*H77),"")</f>
        <v/>
      </c>
      <c r="K77" s="154" t="inlineStr">
        <is>
          <t>Pending</t>
        </is>
      </c>
    </row>
    <row r="78" ht="15.75" customHeight="1">
      <c r="B78" s="137" t="n"/>
      <c r="C78" s="124" t="n"/>
      <c r="D78" s="123" t="n"/>
      <c r="E78" s="123" t="n"/>
      <c r="F78" s="187" t="n"/>
      <c r="G78" s="65" t="n"/>
      <c r="H78" s="188" t="n"/>
      <c r="I78" s="189" t="n"/>
      <c r="J78" s="190">
        <f>IFERROR(IF(F78*H78=0,"",F78*H78),"")</f>
        <v/>
      </c>
      <c r="K78" s="147" t="inlineStr">
        <is>
          <t>Pending</t>
        </is>
      </c>
    </row>
    <row r="79" ht="15.75" customHeight="1">
      <c r="B79" s="137" t="n"/>
      <c r="C79" s="126" t="n"/>
      <c r="D79" s="127" t="n"/>
      <c r="E79" s="127" t="n"/>
      <c r="F79" s="191" t="n"/>
      <c r="G79" s="74" t="n"/>
      <c r="H79" s="192" t="n"/>
      <c r="I79" s="193" t="n"/>
      <c r="J79" s="194">
        <f>IFERROR(IF(F79*H79=0,"",F79*H79),"")</f>
        <v/>
      </c>
      <c r="K79" s="154" t="inlineStr">
        <is>
          <t>Pending</t>
        </is>
      </c>
    </row>
    <row r="80" ht="15.75" customHeight="1">
      <c r="B80" s="137" t="n"/>
      <c r="C80" s="124" t="n"/>
      <c r="D80" s="123" t="n"/>
      <c r="E80" s="123" t="n"/>
      <c r="F80" s="187" t="n"/>
      <c r="G80" s="65" t="n"/>
      <c r="H80" s="188" t="n"/>
      <c r="I80" s="189" t="n"/>
      <c r="J80" s="190">
        <f>IFERROR(IF(F80*H80=0,"",F80*H80),"")</f>
        <v/>
      </c>
      <c r="K80" s="147" t="inlineStr">
        <is>
          <t>Pending</t>
        </is>
      </c>
    </row>
    <row r="81" ht="15.75" customHeight="1">
      <c r="B81" s="137" t="n"/>
      <c r="C81" s="126" t="n"/>
      <c r="D81" s="127" t="n"/>
      <c r="E81" s="127" t="n"/>
      <c r="F81" s="191" t="n"/>
      <c r="G81" s="74" t="n"/>
      <c r="H81" s="192" t="n"/>
      <c r="I81" s="193" t="n"/>
      <c r="J81" s="194">
        <f>IFERROR(IF(F81*H81=0,"",F81*H81),"")</f>
        <v/>
      </c>
      <c r="K81" s="154" t="inlineStr">
        <is>
          <t>Pending</t>
        </is>
      </c>
    </row>
    <row r="82" ht="15.75" customHeight="1">
      <c r="B82" s="137" t="n"/>
      <c r="C82" s="124" t="n"/>
      <c r="D82" s="123" t="n"/>
      <c r="E82" s="123" t="n"/>
      <c r="F82" s="187" t="n"/>
      <c r="G82" s="65" t="n"/>
      <c r="H82" s="188" t="n"/>
      <c r="I82" s="189" t="n"/>
      <c r="J82" s="190">
        <f>IFERROR(IF(F82*H82=0,"",F82*H82),"")</f>
        <v/>
      </c>
      <c r="K82" s="147" t="inlineStr">
        <is>
          <t>Pending</t>
        </is>
      </c>
    </row>
    <row r="83" ht="15.75" customHeight="1">
      <c r="B83" s="137" t="n"/>
      <c r="C83" s="126" t="n"/>
      <c r="D83" s="127" t="n"/>
      <c r="E83" s="127" t="n"/>
      <c r="F83" s="191" t="n"/>
      <c r="G83" s="74" t="n"/>
      <c r="H83" s="192" t="n"/>
      <c r="I83" s="193" t="n"/>
      <c r="J83" s="194">
        <f>IFERROR(IF(F83*H83=0,"",F83*H83),"")</f>
        <v/>
      </c>
      <c r="K83" s="154" t="inlineStr">
        <is>
          <t>Pending</t>
        </is>
      </c>
    </row>
    <row r="84" ht="15.75" customHeight="1">
      <c r="B84" s="137" t="n"/>
      <c r="C84" s="124" t="n"/>
      <c r="D84" s="123" t="n"/>
      <c r="E84" s="123" t="n"/>
      <c r="F84" s="187" t="n"/>
      <c r="G84" s="65" t="n"/>
      <c r="H84" s="188" t="n"/>
      <c r="I84" s="189" t="n"/>
      <c r="J84" s="190">
        <f>IFERROR(IF(F84*H84=0,"",F84*H84),"")</f>
        <v/>
      </c>
      <c r="K84" s="147" t="inlineStr">
        <is>
          <t>Pending</t>
        </is>
      </c>
    </row>
    <row r="85" ht="15.75" customHeight="1">
      <c r="B85" s="137" t="n"/>
      <c r="C85" s="126" t="n"/>
      <c r="D85" s="127" t="n"/>
      <c r="E85" s="127" t="n"/>
      <c r="F85" s="191" t="n"/>
      <c r="G85" s="74" t="n"/>
      <c r="H85" s="192" t="n"/>
      <c r="I85" s="193" t="n"/>
      <c r="J85" s="194">
        <f>IFERROR(IF(F85*H85=0,"",F85*H85),"")</f>
        <v/>
      </c>
      <c r="K85" s="154" t="inlineStr">
        <is>
          <t>Pending</t>
        </is>
      </c>
    </row>
    <row r="86" ht="15.75" customHeight="1">
      <c r="B86" s="137" t="n"/>
      <c r="C86" s="124" t="n"/>
      <c r="D86" s="123" t="n"/>
      <c r="E86" s="123" t="n"/>
      <c r="F86" s="187" t="n"/>
      <c r="G86" s="65" t="n"/>
      <c r="H86" s="188" t="n"/>
      <c r="I86" s="189" t="n"/>
      <c r="J86" s="190">
        <f>IFERROR(IF(F86*H86=0,"",F86*H86),"")</f>
        <v/>
      </c>
      <c r="K86" s="147" t="inlineStr">
        <is>
          <t>Pending</t>
        </is>
      </c>
    </row>
    <row r="87" ht="15.75" customHeight="1">
      <c r="B87" s="137" t="n"/>
      <c r="C87" s="126" t="n"/>
      <c r="D87" s="127" t="n"/>
      <c r="E87" s="127" t="n"/>
      <c r="F87" s="191" t="n"/>
      <c r="G87" s="74" t="n"/>
      <c r="H87" s="192" t="n"/>
      <c r="I87" s="193" t="n"/>
      <c r="J87" s="194">
        <f>IFERROR(IF(F87*H87=0,"",F87*H87),"")</f>
        <v/>
      </c>
      <c r="K87" s="154" t="inlineStr">
        <is>
          <t>Pending</t>
        </is>
      </c>
    </row>
    <row r="88" ht="15.75" customHeight="1">
      <c r="B88" s="137" t="n"/>
      <c r="C88" s="124" t="n"/>
      <c r="D88" s="123" t="n"/>
      <c r="E88" s="123" t="n"/>
      <c r="F88" s="187" t="n"/>
      <c r="G88" s="65" t="n"/>
      <c r="H88" s="188" t="n"/>
      <c r="I88" s="189" t="n"/>
      <c r="J88" s="190">
        <f>IFERROR(IF(F88*H88=0,"",F88*H88),"")</f>
        <v/>
      </c>
      <c r="K88" s="147" t="inlineStr">
        <is>
          <t>Pending</t>
        </is>
      </c>
    </row>
    <row r="89" ht="15.75" customHeight="1">
      <c r="B89" s="137" t="n"/>
      <c r="C89" s="126" t="n"/>
      <c r="D89" s="127" t="n"/>
      <c r="E89" s="127" t="n"/>
      <c r="F89" s="191" t="n"/>
      <c r="G89" s="74" t="n"/>
      <c r="H89" s="192" t="n"/>
      <c r="I89" s="193" t="n"/>
      <c r="J89" s="194">
        <f>IFERROR(IF(F89*H89=0,"",F89*H89),"")</f>
        <v/>
      </c>
      <c r="K89" s="154" t="inlineStr">
        <is>
          <t>Pending</t>
        </is>
      </c>
    </row>
    <row r="90" ht="15.75" customHeight="1">
      <c r="B90" s="137" t="n"/>
      <c r="C90" s="124" t="n"/>
      <c r="D90" s="123" t="n"/>
      <c r="E90" s="123" t="n"/>
      <c r="F90" s="187" t="n"/>
      <c r="G90" s="65" t="n"/>
      <c r="H90" s="188" t="n"/>
      <c r="I90" s="189" t="n"/>
      <c r="J90" s="190">
        <f>IFERROR(IF(F90*H90=0,"",F90*H90),"")</f>
        <v/>
      </c>
      <c r="K90" s="147" t="inlineStr">
        <is>
          <t>Pending</t>
        </is>
      </c>
    </row>
    <row r="91" ht="15.75" customHeight="1">
      <c r="B91" s="137" t="n"/>
      <c r="C91" s="126" t="n"/>
      <c r="D91" s="127" t="n"/>
      <c r="E91" s="127" t="n"/>
      <c r="F91" s="191" t="n"/>
      <c r="G91" s="74" t="n"/>
      <c r="H91" s="192" t="n"/>
      <c r="I91" s="193" t="n"/>
      <c r="J91" s="194">
        <f>IFERROR(IF(F91*H91=0,"",F91*H91),"")</f>
        <v/>
      </c>
      <c r="K91" s="154" t="inlineStr">
        <is>
          <t>Pending</t>
        </is>
      </c>
    </row>
    <row r="92" ht="15.75" customHeight="1">
      <c r="B92" s="137" t="n"/>
      <c r="C92" s="124" t="n"/>
      <c r="D92" s="123" t="n"/>
      <c r="E92" s="123" t="n"/>
      <c r="F92" s="187" t="n"/>
      <c r="G92" s="65" t="n"/>
      <c r="H92" s="188" t="n"/>
      <c r="I92" s="189" t="n"/>
      <c r="J92" s="190">
        <f>IFERROR(IF(F92*H92=0,"",F92*H92),"")</f>
        <v/>
      </c>
      <c r="K92" s="147" t="inlineStr">
        <is>
          <t>Pending</t>
        </is>
      </c>
    </row>
    <row r="93" ht="15.75" customHeight="1">
      <c r="B93" s="137" t="n"/>
      <c r="C93" s="126" t="n"/>
      <c r="D93" s="127" t="n"/>
      <c r="E93" s="127" t="n"/>
      <c r="F93" s="191" t="n"/>
      <c r="G93" s="74" t="n"/>
      <c r="H93" s="192" t="n"/>
      <c r="I93" s="193" t="n"/>
      <c r="J93" s="194">
        <f>IFERROR(IF(F93*H93=0,"",F93*H93),"")</f>
        <v/>
      </c>
      <c r="K93" s="154" t="inlineStr">
        <is>
          <t>Pending</t>
        </is>
      </c>
    </row>
    <row r="94" ht="15.75" customHeight="1">
      <c r="B94" s="137" t="n"/>
      <c r="C94" s="124" t="n"/>
      <c r="D94" s="123" t="n"/>
      <c r="E94" s="123" t="n"/>
      <c r="F94" s="187" t="n"/>
      <c r="G94" s="65" t="n"/>
      <c r="H94" s="188" t="n"/>
      <c r="I94" s="189" t="n"/>
      <c r="J94" s="190">
        <f>IFERROR(IF(F94*H94=0,"",F94*H94),"")</f>
        <v/>
      </c>
      <c r="K94" s="147" t="inlineStr">
        <is>
          <t>Pending</t>
        </is>
      </c>
    </row>
    <row r="95" ht="15.75" customHeight="1">
      <c r="B95" s="137" t="n"/>
      <c r="C95" s="126" t="n"/>
      <c r="D95" s="127" t="n"/>
      <c r="E95" s="127" t="n"/>
      <c r="F95" s="191" t="n"/>
      <c r="G95" s="74" t="n"/>
      <c r="H95" s="192" t="n"/>
      <c r="I95" s="193" t="n"/>
      <c r="J95" s="194">
        <f>IFERROR(IF(F95*H95=0,"",F95*H95),"")</f>
        <v/>
      </c>
      <c r="K95" s="154" t="inlineStr">
        <is>
          <t>Pending</t>
        </is>
      </c>
    </row>
    <row r="96" ht="15.75" customHeight="1">
      <c r="B96" s="137" t="n"/>
      <c r="C96" s="124" t="n"/>
      <c r="D96" s="123" t="n"/>
      <c r="E96" s="123" t="n"/>
      <c r="F96" s="187" t="n"/>
      <c r="G96" s="65" t="n"/>
      <c r="H96" s="188" t="n"/>
      <c r="I96" s="189" t="n"/>
      <c r="J96" s="190">
        <f>IFERROR(IF(F96*H96=0,"",F96*H96),"")</f>
        <v/>
      </c>
      <c r="K96" s="147" t="inlineStr">
        <is>
          <t>Pending</t>
        </is>
      </c>
    </row>
    <row r="97" ht="15.75" customHeight="1">
      <c r="B97" s="137" t="n"/>
      <c r="C97" s="126" t="n"/>
      <c r="D97" s="127" t="n"/>
      <c r="E97" s="127" t="n"/>
      <c r="F97" s="191" t="n"/>
      <c r="G97" s="74" t="n"/>
      <c r="H97" s="192" t="n"/>
      <c r="I97" s="193" t="n"/>
      <c r="J97" s="194">
        <f>IFERROR(IF(F97*H97=0,"",F97*H97),"")</f>
        <v/>
      </c>
      <c r="K97" s="154" t="inlineStr">
        <is>
          <t>Pending</t>
        </is>
      </c>
    </row>
    <row r="98" ht="15.75" customHeight="1">
      <c r="B98" s="137" t="n"/>
      <c r="C98" s="124" t="n"/>
      <c r="D98" s="123" t="n"/>
      <c r="E98" s="123" t="n"/>
      <c r="F98" s="187" t="n"/>
      <c r="G98" s="65" t="n"/>
      <c r="H98" s="188" t="n"/>
      <c r="I98" s="189" t="n"/>
      <c r="J98" s="190">
        <f>IFERROR(IF(F98*H98=0,"",F98*H98),"")</f>
        <v/>
      </c>
      <c r="K98" s="147" t="inlineStr">
        <is>
          <t>Pending</t>
        </is>
      </c>
    </row>
    <row r="99" ht="15.75" customHeight="1">
      <c r="B99" s="137" t="n"/>
      <c r="C99" s="126" t="n"/>
      <c r="D99" s="127" t="n"/>
      <c r="E99" s="127" t="n"/>
      <c r="F99" s="191" t="n"/>
      <c r="G99" s="74" t="n"/>
      <c r="H99" s="192" t="n"/>
      <c r="I99" s="193" t="n"/>
      <c r="J99" s="194">
        <f>IFERROR(IF(F99*H99=0,"",F99*H99),"")</f>
        <v/>
      </c>
      <c r="K99" s="154" t="inlineStr">
        <is>
          <t>Pending</t>
        </is>
      </c>
    </row>
    <row r="100" ht="15.75" customHeight="1">
      <c r="B100" s="137" t="n"/>
      <c r="C100" s="124" t="n"/>
      <c r="D100" s="123" t="n"/>
      <c r="E100" s="123" t="n"/>
      <c r="F100" s="187" t="n"/>
      <c r="G100" s="65" t="n"/>
      <c r="H100" s="188" t="n"/>
      <c r="I100" s="189" t="n"/>
      <c r="J100" s="190">
        <f>IFERROR(IF(F100*H100=0,"",F100*H100),"")</f>
        <v/>
      </c>
      <c r="K100" s="147" t="inlineStr">
        <is>
          <t>Pending</t>
        </is>
      </c>
    </row>
    <row r="101" ht="15.75" customHeight="1">
      <c r="B101" s="137" t="n"/>
      <c r="C101" s="126" t="n"/>
      <c r="D101" s="127" t="n"/>
      <c r="E101" s="127" t="n"/>
      <c r="F101" s="191" t="n"/>
      <c r="G101" s="74" t="n"/>
      <c r="H101" s="192" t="n"/>
      <c r="I101" s="193" t="n"/>
      <c r="J101" s="194">
        <f>IFERROR(IF(F101*H101=0,"",F101*H101),"")</f>
        <v/>
      </c>
      <c r="K101" s="154" t="inlineStr">
        <is>
          <t>Pending</t>
        </is>
      </c>
    </row>
    <row r="102" ht="15.75" customHeight="1">
      <c r="B102" s="137" t="n"/>
      <c r="C102" s="124" t="n"/>
      <c r="D102" s="123" t="n"/>
      <c r="E102" s="123" t="n"/>
      <c r="F102" s="187" t="n"/>
      <c r="G102" s="65" t="n"/>
      <c r="H102" s="188" t="n"/>
      <c r="I102" s="189" t="n"/>
      <c r="J102" s="190">
        <f>IFERROR(IF(F102*H102=0,"",F102*H102),"")</f>
        <v/>
      </c>
      <c r="K102" s="147" t="inlineStr">
        <is>
          <t>Pending</t>
        </is>
      </c>
    </row>
    <row r="103" ht="15.75" customHeight="1">
      <c r="B103" s="137" t="n"/>
      <c r="C103" s="126" t="n"/>
      <c r="D103" s="127" t="n"/>
      <c r="E103" s="127" t="n"/>
      <c r="F103" s="191" t="n"/>
      <c r="G103" s="74" t="n"/>
      <c r="H103" s="192" t="n"/>
      <c r="I103" s="193" t="n"/>
      <c r="J103" s="194">
        <f>IFERROR(IF(F103*H103=0,"",F103*H103),"")</f>
        <v/>
      </c>
      <c r="K103" s="154" t="inlineStr">
        <is>
          <t>Pending</t>
        </is>
      </c>
    </row>
    <row r="104" ht="15.75" customHeight="1">
      <c r="B104" s="137" t="n"/>
      <c r="C104" s="124" t="n"/>
      <c r="D104" s="123" t="n"/>
      <c r="E104" s="123" t="n"/>
      <c r="F104" s="187" t="n"/>
      <c r="G104" s="65" t="n"/>
      <c r="H104" s="188" t="n"/>
      <c r="I104" s="189" t="n"/>
      <c r="J104" s="190">
        <f>IFERROR(IF(F104*H104=0,"",F104*H104),"")</f>
        <v/>
      </c>
      <c r="K104" s="147" t="inlineStr">
        <is>
          <t>Pending</t>
        </is>
      </c>
    </row>
    <row r="105" ht="15.75" customHeight="1">
      <c r="B105" s="137" t="n"/>
      <c r="C105" s="126" t="n"/>
      <c r="D105" s="127" t="n"/>
      <c r="E105" s="127" t="n"/>
      <c r="F105" s="191" t="n"/>
      <c r="G105" s="74" t="n"/>
      <c r="H105" s="192" t="n"/>
      <c r="I105" s="193" t="n"/>
      <c r="J105" s="194">
        <f>IFERROR(IF(F105*H105=0,"",F105*H105),"")</f>
        <v/>
      </c>
      <c r="K105" s="154" t="inlineStr">
        <is>
          <t>Pending</t>
        </is>
      </c>
    </row>
    <row r="106" ht="15.75" customHeight="1">
      <c r="B106" s="137" t="n"/>
      <c r="C106" s="124" t="n"/>
      <c r="D106" s="123" t="n"/>
      <c r="E106" s="123" t="n"/>
      <c r="F106" s="187" t="n"/>
      <c r="G106" s="65" t="n"/>
      <c r="H106" s="188" t="n"/>
      <c r="I106" s="189" t="n"/>
      <c r="J106" s="190">
        <f>IFERROR(IF(F106*H106=0,"",F106*H106),"")</f>
        <v/>
      </c>
      <c r="K106" s="147" t="inlineStr">
        <is>
          <t>Pending</t>
        </is>
      </c>
    </row>
    <row r="107" ht="15.75" customHeight="1">
      <c r="B107" s="137" t="n"/>
      <c r="C107" s="126" t="n"/>
      <c r="D107" s="127" t="n"/>
      <c r="E107" s="127" t="n"/>
      <c r="F107" s="191" t="n"/>
      <c r="G107" s="74" t="n"/>
      <c r="H107" s="192" t="n"/>
      <c r="I107" s="193" t="n"/>
      <c r="J107" s="194">
        <f>IFERROR(IF(F107*H107=0,"",F107*H107),"")</f>
        <v/>
      </c>
      <c r="K107" s="154" t="inlineStr">
        <is>
          <t>Pending</t>
        </is>
      </c>
    </row>
    <row r="108" ht="15.75" customHeight="1">
      <c r="B108" s="137" t="n"/>
      <c r="C108" s="124" t="n"/>
      <c r="D108" s="123" t="n"/>
      <c r="E108" s="123" t="n"/>
      <c r="F108" s="187" t="n"/>
      <c r="G108" s="65" t="n"/>
      <c r="H108" s="188" t="n"/>
      <c r="I108" s="189" t="n"/>
      <c r="J108" s="190">
        <f>IFERROR(IF(F108*H108=0,"",F108*H108),"")</f>
        <v/>
      </c>
      <c r="K108" s="147" t="inlineStr">
        <is>
          <t>Pending</t>
        </is>
      </c>
    </row>
    <row r="109" ht="15.75" customHeight="1">
      <c r="B109" s="137" t="n"/>
      <c r="C109" s="126" t="n"/>
      <c r="D109" s="127" t="n"/>
      <c r="E109" s="127" t="n"/>
      <c r="F109" s="191" t="n"/>
      <c r="G109" s="74" t="n"/>
      <c r="H109" s="192" t="n"/>
      <c r="I109" s="193" t="n"/>
      <c r="J109" s="194">
        <f>IFERROR(IF(F109*H109=0,"",F109*H109),"")</f>
        <v/>
      </c>
      <c r="K109" s="154" t="inlineStr">
        <is>
          <t>Pending</t>
        </is>
      </c>
    </row>
    <row r="110" ht="15.75" customHeight="1">
      <c r="B110" s="137" t="n"/>
      <c r="C110" s="124" t="n"/>
      <c r="D110" s="123" t="n"/>
      <c r="E110" s="123" t="n"/>
      <c r="F110" s="187" t="n"/>
      <c r="G110" s="65" t="n"/>
      <c r="H110" s="188" t="n"/>
      <c r="I110" s="189" t="n"/>
      <c r="J110" s="190">
        <f>IFERROR(IF(F110*H110=0,"",F110*H110),"")</f>
        <v/>
      </c>
      <c r="K110" s="147" t="inlineStr">
        <is>
          <t>Pending</t>
        </is>
      </c>
    </row>
    <row r="111" ht="15.75" customHeight="1">
      <c r="B111" s="137" t="n"/>
      <c r="C111" s="126" t="n"/>
      <c r="D111" s="127" t="n"/>
      <c r="E111" s="127" t="n"/>
      <c r="F111" s="191" t="n"/>
      <c r="G111" s="74" t="n"/>
      <c r="H111" s="192" t="n"/>
      <c r="I111" s="193" t="n"/>
      <c r="J111" s="194">
        <f>IFERROR(IF(F111*H111=0,"",F111*H111),"")</f>
        <v/>
      </c>
      <c r="K111" s="154" t="inlineStr">
        <is>
          <t>Pending</t>
        </is>
      </c>
    </row>
    <row r="112" ht="15.75" customHeight="1">
      <c r="B112" s="137" t="n"/>
      <c r="C112" s="124" t="n"/>
      <c r="D112" s="123" t="n"/>
      <c r="E112" s="123" t="n"/>
      <c r="F112" s="187" t="n"/>
      <c r="G112" s="65" t="n"/>
      <c r="H112" s="188" t="n"/>
      <c r="I112" s="189" t="n"/>
      <c r="J112" s="190">
        <f>IFERROR(IF(F112*H112=0,"",F112*H112),"")</f>
        <v/>
      </c>
      <c r="K112" s="147" t="inlineStr">
        <is>
          <t>Pending</t>
        </is>
      </c>
    </row>
    <row r="113" ht="15.75" customHeight="1">
      <c r="B113" s="137" t="n"/>
      <c r="C113" s="126" t="n"/>
      <c r="D113" s="127" t="n"/>
      <c r="E113" s="127" t="n"/>
      <c r="F113" s="191" t="n"/>
      <c r="G113" s="74" t="n"/>
      <c r="H113" s="192" t="n"/>
      <c r="I113" s="193" t="n"/>
      <c r="J113" s="194">
        <f>IFERROR(IF(F113*H113=0,"",F113*H113),"")</f>
        <v/>
      </c>
      <c r="K113" s="154" t="inlineStr">
        <is>
          <t>Pending</t>
        </is>
      </c>
    </row>
    <row r="114" ht="15.75" customHeight="1">
      <c r="B114" s="137" t="n"/>
      <c r="C114" s="124" t="n"/>
      <c r="D114" s="123" t="n"/>
      <c r="E114" s="123" t="n"/>
      <c r="F114" s="187" t="n"/>
      <c r="G114" s="65" t="n"/>
      <c r="H114" s="188" t="n"/>
      <c r="I114" s="189" t="n"/>
      <c r="J114" s="190">
        <f>IFERROR(IF(F114*H114=0,"",F114*H114),"")</f>
        <v/>
      </c>
      <c r="K114" s="147" t="inlineStr">
        <is>
          <t>Pending</t>
        </is>
      </c>
    </row>
    <row r="115" ht="15.75" customHeight="1">
      <c r="B115" s="137" t="n"/>
      <c r="C115" s="126" t="n"/>
      <c r="D115" s="127" t="n"/>
      <c r="E115" s="127" t="n"/>
      <c r="F115" s="191" t="n"/>
      <c r="G115" s="74" t="n"/>
      <c r="H115" s="192" t="n"/>
      <c r="I115" s="193" t="n"/>
      <c r="J115" s="194">
        <f>IFERROR(IF(F115*H115=0,"",F115*H115),"")</f>
        <v/>
      </c>
      <c r="K115" s="154" t="inlineStr">
        <is>
          <t>Pending</t>
        </is>
      </c>
    </row>
    <row r="116" ht="15.75" customHeight="1">
      <c r="B116" s="137" t="n"/>
      <c r="C116" s="124" t="n"/>
      <c r="D116" s="123" t="n"/>
      <c r="E116" s="123" t="n"/>
      <c r="F116" s="187" t="n"/>
      <c r="G116" s="65" t="n"/>
      <c r="H116" s="188" t="n"/>
      <c r="I116" s="189" t="n"/>
      <c r="J116" s="190">
        <f>IFERROR(IF(F116*H116=0,"",F116*H116),"")</f>
        <v/>
      </c>
      <c r="K116" s="147" t="inlineStr">
        <is>
          <t>Pending</t>
        </is>
      </c>
    </row>
    <row r="117" ht="15.75" customHeight="1">
      <c r="B117" s="137" t="n"/>
      <c r="C117" s="126" t="n"/>
      <c r="D117" s="127" t="n"/>
      <c r="E117" s="127" t="n"/>
      <c r="F117" s="191" t="n"/>
      <c r="G117" s="74" t="n"/>
      <c r="H117" s="192" t="n"/>
      <c r="I117" s="193" t="n"/>
      <c r="J117" s="194">
        <f>IFERROR(IF(F117*H117=0,"",F117*H117),"")</f>
        <v/>
      </c>
      <c r="K117" s="154" t="inlineStr">
        <is>
          <t>Pending</t>
        </is>
      </c>
    </row>
    <row r="118" ht="15.75" customHeight="1">
      <c r="B118" s="137" t="n"/>
      <c r="C118" s="124" t="n"/>
      <c r="D118" s="123" t="n"/>
      <c r="E118" s="123" t="n"/>
      <c r="F118" s="187" t="n"/>
      <c r="G118" s="65" t="n"/>
      <c r="H118" s="188" t="n"/>
      <c r="I118" s="189" t="n"/>
      <c r="J118" s="190">
        <f>IFERROR(IF(F118*H118=0,"",F118*H118),"")</f>
        <v/>
      </c>
      <c r="K118" s="147" t="inlineStr">
        <is>
          <t>Pending</t>
        </is>
      </c>
    </row>
    <row r="119" ht="15.75" customHeight="1">
      <c r="B119" s="137" t="n"/>
      <c r="C119" s="126" t="n"/>
      <c r="D119" s="127" t="n"/>
      <c r="E119" s="127" t="n"/>
      <c r="F119" s="191" t="n"/>
      <c r="G119" s="74" t="n"/>
      <c r="H119" s="192" t="n"/>
      <c r="I119" s="193" t="n"/>
      <c r="J119" s="194">
        <f>IFERROR(IF(F119*H119=0,"",F119*H119),"")</f>
        <v/>
      </c>
      <c r="K119" s="154" t="inlineStr">
        <is>
          <t>Pending</t>
        </is>
      </c>
    </row>
    <row r="120" ht="15.75" customHeight="1">
      <c r="B120" s="137" t="n"/>
      <c r="C120" s="124" t="n"/>
      <c r="D120" s="123" t="n"/>
      <c r="E120" s="123" t="n"/>
      <c r="F120" s="187" t="n"/>
      <c r="G120" s="65" t="n"/>
      <c r="H120" s="188" t="n"/>
      <c r="I120" s="189" t="n"/>
      <c r="J120" s="190">
        <f>IFERROR(IF(F120*H120=0,"",F120*H120),"")</f>
        <v/>
      </c>
      <c r="K120" s="147" t="inlineStr">
        <is>
          <t>Pending</t>
        </is>
      </c>
    </row>
    <row r="121" ht="15.75" customHeight="1">
      <c r="B121" s="137" t="n"/>
      <c r="C121" s="126" t="n"/>
      <c r="D121" s="127" t="n"/>
      <c r="E121" s="127" t="n"/>
      <c r="F121" s="191" t="n"/>
      <c r="G121" s="74" t="n"/>
      <c r="H121" s="192" t="n"/>
      <c r="I121" s="193" t="n"/>
      <c r="J121" s="194">
        <f>IFERROR(IF(F121*H121=0,"",F121*H121),"")</f>
        <v/>
      </c>
      <c r="K121" s="154" t="inlineStr">
        <is>
          <t>Pending</t>
        </is>
      </c>
    </row>
    <row r="122" ht="15.75" customHeight="1">
      <c r="B122" s="137" t="n"/>
      <c r="C122" s="124" t="n"/>
      <c r="D122" s="123" t="n"/>
      <c r="E122" s="123" t="n"/>
      <c r="F122" s="187" t="n"/>
      <c r="G122" s="65" t="n"/>
      <c r="H122" s="188" t="n"/>
      <c r="I122" s="189" t="n"/>
      <c r="J122" s="190">
        <f>IFERROR(IF(F122*H122=0,"",F122*H122),"")</f>
        <v/>
      </c>
      <c r="K122" s="147" t="inlineStr">
        <is>
          <t>Pending</t>
        </is>
      </c>
    </row>
    <row r="123" ht="15.75" customHeight="1">
      <c r="B123" s="137" t="n"/>
      <c r="C123" s="126" t="n"/>
      <c r="D123" s="127" t="n"/>
      <c r="E123" s="127" t="n"/>
      <c r="F123" s="191" t="n"/>
      <c r="G123" s="74" t="n"/>
      <c r="H123" s="192" t="n"/>
      <c r="I123" s="193" t="n"/>
      <c r="J123" s="194">
        <f>IFERROR(IF(F123*H123=0,"",F123*H123),"")</f>
        <v/>
      </c>
      <c r="K123" s="154" t="inlineStr">
        <is>
          <t>Pending</t>
        </is>
      </c>
    </row>
    <row r="124" ht="15.75" customHeight="1">
      <c r="B124" s="137" t="n"/>
      <c r="C124" s="124" t="n"/>
      <c r="D124" s="123" t="n"/>
      <c r="E124" s="123" t="n"/>
      <c r="F124" s="187" t="n"/>
      <c r="G124" s="65" t="n"/>
      <c r="H124" s="188" t="n"/>
      <c r="I124" s="189" t="n"/>
      <c r="J124" s="190">
        <f>IFERROR(IF(F124*H124=0,"",F124*H124),"")</f>
        <v/>
      </c>
      <c r="K124" s="147" t="inlineStr">
        <is>
          <t>Pending</t>
        </is>
      </c>
    </row>
    <row r="125" ht="15.75" customHeight="1">
      <c r="B125" s="137" t="n"/>
      <c r="C125" s="126" t="n"/>
      <c r="D125" s="127" t="n"/>
      <c r="E125" s="127" t="n"/>
      <c r="F125" s="191" t="n"/>
      <c r="G125" s="74" t="n"/>
      <c r="H125" s="192" t="n"/>
      <c r="I125" s="193" t="n"/>
      <c r="J125" s="194">
        <f>IFERROR(IF(F125*H125=0,"",F125*H125),"")</f>
        <v/>
      </c>
      <c r="K125" s="154" t="inlineStr">
        <is>
          <t>Pending</t>
        </is>
      </c>
    </row>
    <row r="126" ht="15.75" customHeight="1">
      <c r="B126" s="137" t="n"/>
      <c r="C126" s="124" t="n"/>
      <c r="D126" s="123" t="n"/>
      <c r="E126" s="123" t="n"/>
      <c r="F126" s="187" t="n"/>
      <c r="G126" s="65" t="n"/>
      <c r="H126" s="188" t="n"/>
      <c r="I126" s="189" t="n"/>
      <c r="J126" s="190">
        <f>IFERROR(IF(F126*H126=0,"",F126*H126),"")</f>
        <v/>
      </c>
      <c r="K126" s="147" t="inlineStr">
        <is>
          <t>Pending</t>
        </is>
      </c>
    </row>
    <row r="127" ht="15.75" customHeight="1">
      <c r="B127" s="137" t="n"/>
      <c r="C127" s="126" t="n"/>
      <c r="D127" s="127" t="n"/>
      <c r="E127" s="127" t="n"/>
      <c r="F127" s="191" t="n"/>
      <c r="G127" s="74" t="n"/>
      <c r="H127" s="192" t="n"/>
      <c r="I127" s="193" t="n"/>
      <c r="J127" s="194">
        <f>IFERROR(IF(F127*H127=0,"",F127*H127),"")</f>
        <v/>
      </c>
      <c r="K127" s="154" t="inlineStr">
        <is>
          <t>Pending</t>
        </is>
      </c>
    </row>
    <row r="128" ht="15.75" customHeight="1">
      <c r="B128" s="137" t="n"/>
      <c r="C128" s="124" t="n"/>
      <c r="D128" s="123" t="n"/>
      <c r="E128" s="123" t="n"/>
      <c r="F128" s="187" t="n"/>
      <c r="G128" s="65" t="n"/>
      <c r="H128" s="188" t="n"/>
      <c r="I128" s="189" t="n"/>
      <c r="J128" s="190">
        <f>IFERROR(IF(F128*H128=0,"",F128*H128),"")</f>
        <v/>
      </c>
      <c r="K128" s="147" t="inlineStr">
        <is>
          <t>Pending</t>
        </is>
      </c>
    </row>
    <row r="129" ht="15.75" customHeight="1">
      <c r="B129" s="137" t="n"/>
      <c r="C129" s="126" t="n"/>
      <c r="D129" s="127" t="n"/>
      <c r="E129" s="127" t="n"/>
      <c r="F129" s="191" t="n"/>
      <c r="G129" s="74" t="n"/>
      <c r="H129" s="192" t="n"/>
      <c r="I129" s="193" t="n"/>
      <c r="J129" s="194">
        <f>IFERROR(IF(F129*H129=0,"",F129*H129),"")</f>
        <v/>
      </c>
      <c r="K129" s="154" t="inlineStr">
        <is>
          <t>Pending</t>
        </is>
      </c>
    </row>
    <row r="130" ht="15.75" customHeight="1">
      <c r="B130" s="137" t="n"/>
      <c r="C130" s="124" t="n"/>
      <c r="D130" s="123" t="n"/>
      <c r="E130" s="123" t="n"/>
      <c r="F130" s="187" t="n"/>
      <c r="G130" s="65" t="n"/>
      <c r="H130" s="188" t="n"/>
      <c r="I130" s="189" t="n"/>
      <c r="J130" s="190">
        <f>IFERROR(IF(F130*H130=0,"",F130*H130),"")</f>
        <v/>
      </c>
      <c r="K130" s="147" t="inlineStr">
        <is>
          <t>Pending</t>
        </is>
      </c>
    </row>
    <row r="131" ht="15.75" customHeight="1">
      <c r="B131" s="137" t="n"/>
      <c r="C131" s="126" t="n"/>
      <c r="D131" s="127" t="n"/>
      <c r="E131" s="127" t="n"/>
      <c r="F131" s="191" t="n"/>
      <c r="G131" s="74" t="n"/>
      <c r="H131" s="192" t="n"/>
      <c r="I131" s="193" t="n"/>
      <c r="J131" s="194">
        <f>IFERROR(IF(F131*H131=0,"",F131*H131),"")</f>
        <v/>
      </c>
      <c r="K131" s="154" t="inlineStr">
        <is>
          <t>Pending</t>
        </is>
      </c>
    </row>
    <row r="132" ht="15.75" customHeight="1">
      <c r="B132" s="137" t="n"/>
      <c r="C132" s="124" t="n"/>
      <c r="D132" s="123" t="n"/>
      <c r="E132" s="123" t="n"/>
      <c r="F132" s="187" t="n"/>
      <c r="G132" s="65" t="n"/>
      <c r="H132" s="188" t="n"/>
      <c r="I132" s="189" t="n"/>
      <c r="J132" s="190">
        <f>IFERROR(IF(F132*H132=0,"",F132*H132),"")</f>
        <v/>
      </c>
      <c r="K132" s="147" t="inlineStr">
        <is>
          <t>Pending</t>
        </is>
      </c>
    </row>
    <row r="133" ht="15.75" customHeight="1">
      <c r="B133" s="137" t="n"/>
      <c r="C133" s="126" t="n"/>
      <c r="D133" s="127" t="n"/>
      <c r="E133" s="127" t="n"/>
      <c r="F133" s="191" t="n"/>
      <c r="G133" s="74" t="n"/>
      <c r="H133" s="192" t="n"/>
      <c r="I133" s="193" t="n"/>
      <c r="J133" s="194">
        <f>IFERROR(IF(F133*H133=0,"",F133*H133),"")</f>
        <v/>
      </c>
      <c r="K133" s="154" t="inlineStr">
        <is>
          <t>Pending</t>
        </is>
      </c>
    </row>
    <row r="134" ht="15.75" customHeight="1">
      <c r="B134" s="137" t="n"/>
      <c r="C134" s="124" t="n"/>
      <c r="D134" s="123" t="n"/>
      <c r="E134" s="123" t="n"/>
      <c r="F134" s="187" t="n"/>
      <c r="G134" s="65" t="n"/>
      <c r="H134" s="188" t="n"/>
      <c r="I134" s="189" t="n"/>
      <c r="J134" s="190">
        <f>IFERROR(IF(F134*H134=0,"",F134*H134),"")</f>
        <v/>
      </c>
      <c r="K134" s="147" t="inlineStr">
        <is>
          <t>Pending</t>
        </is>
      </c>
    </row>
    <row r="135" ht="15.75" customHeight="1">
      <c r="B135" s="137" t="n"/>
      <c r="C135" s="126" t="n"/>
      <c r="D135" s="127" t="n"/>
      <c r="E135" s="127" t="n"/>
      <c r="F135" s="191" t="n"/>
      <c r="G135" s="74" t="n"/>
      <c r="H135" s="192" t="n"/>
      <c r="I135" s="193" t="n"/>
      <c r="J135" s="194">
        <f>IFERROR(IF(F135*H135=0,"",F135*H135),"")</f>
        <v/>
      </c>
      <c r="K135" s="154" t="inlineStr">
        <is>
          <t>Pending</t>
        </is>
      </c>
    </row>
    <row r="136" ht="15.75" customHeight="1">
      <c r="B136" s="137" t="n"/>
      <c r="C136" s="124" t="n"/>
      <c r="D136" s="123" t="n"/>
      <c r="E136" s="123" t="n"/>
      <c r="F136" s="187" t="n"/>
      <c r="G136" s="65" t="n"/>
      <c r="H136" s="188" t="n"/>
      <c r="I136" s="189" t="n"/>
      <c r="J136" s="190">
        <f>IFERROR(IF(F136*H136=0,"",F136*H136),"")</f>
        <v/>
      </c>
      <c r="K136" s="147" t="inlineStr">
        <is>
          <t>Pending</t>
        </is>
      </c>
    </row>
    <row r="137" ht="15.75" customHeight="1">
      <c r="B137" s="137" t="n"/>
      <c r="C137" s="126" t="n"/>
      <c r="D137" s="127" t="n"/>
      <c r="E137" s="127" t="n"/>
      <c r="F137" s="191" t="n"/>
      <c r="G137" s="74" t="n"/>
      <c r="H137" s="192" t="n"/>
      <c r="I137" s="193" t="n"/>
      <c r="J137" s="194">
        <f>IFERROR(IF(F137*H137=0,"",F137*H137),"")</f>
        <v/>
      </c>
      <c r="K137" s="154" t="inlineStr">
        <is>
          <t>Pending</t>
        </is>
      </c>
    </row>
    <row r="138" ht="15.75" customHeight="1">
      <c r="B138" s="137" t="n"/>
      <c r="C138" s="124" t="n"/>
      <c r="D138" s="123" t="n"/>
      <c r="E138" s="123" t="n"/>
      <c r="F138" s="187" t="n"/>
      <c r="G138" s="65" t="n"/>
      <c r="H138" s="188" t="n"/>
      <c r="I138" s="189" t="n"/>
      <c r="J138" s="190">
        <f>IFERROR(IF(F138*H138=0,"",F138*H138),"")</f>
        <v/>
      </c>
      <c r="K138" s="147" t="inlineStr">
        <is>
          <t>Pending</t>
        </is>
      </c>
    </row>
    <row r="139" ht="15.75" customHeight="1">
      <c r="B139" s="137" t="n"/>
      <c r="C139" s="126" t="n"/>
      <c r="D139" s="127" t="n"/>
      <c r="E139" s="127" t="n"/>
      <c r="F139" s="191" t="n"/>
      <c r="G139" s="74" t="n"/>
      <c r="H139" s="192" t="n"/>
      <c r="I139" s="193" t="n"/>
      <c r="J139" s="194">
        <f>IFERROR(IF(F139*H139=0,"",F139*H139),"")</f>
        <v/>
      </c>
      <c r="K139" s="154" t="inlineStr">
        <is>
          <t>Pending</t>
        </is>
      </c>
    </row>
    <row r="140" ht="15.75" customHeight="1">
      <c r="B140" s="137" t="n"/>
      <c r="C140" s="124" t="n"/>
      <c r="D140" s="123" t="n"/>
      <c r="E140" s="123" t="n"/>
      <c r="F140" s="187" t="n"/>
      <c r="G140" s="65" t="n"/>
      <c r="H140" s="188" t="n"/>
      <c r="I140" s="189" t="n"/>
      <c r="J140" s="190">
        <f>IFERROR(IF(F140*H140=0,"",F140*H140),"")</f>
        <v/>
      </c>
      <c r="K140" s="147" t="inlineStr">
        <is>
          <t>Pending</t>
        </is>
      </c>
    </row>
    <row r="141" ht="15.75" customHeight="1">
      <c r="B141" s="137" t="n"/>
      <c r="C141" s="126" t="n"/>
      <c r="D141" s="127" t="n"/>
      <c r="E141" s="127" t="n"/>
      <c r="F141" s="191" t="n"/>
      <c r="G141" s="74" t="n"/>
      <c r="H141" s="192" t="n"/>
      <c r="I141" s="193" t="n"/>
      <c r="J141" s="194">
        <f>IFERROR(IF(F141*H141=0,"",F141*H141),"")</f>
        <v/>
      </c>
      <c r="K141" s="154" t="inlineStr">
        <is>
          <t>Pending</t>
        </is>
      </c>
    </row>
    <row r="142" ht="15.75" customHeight="1">
      <c r="B142" s="137" t="n"/>
      <c r="C142" s="124" t="n"/>
      <c r="D142" s="123" t="n"/>
      <c r="E142" s="123" t="n"/>
      <c r="F142" s="187" t="n"/>
      <c r="G142" s="65" t="n"/>
      <c r="H142" s="188" t="n"/>
      <c r="I142" s="189" t="n"/>
      <c r="J142" s="190">
        <f>IFERROR(IF(F142*H142=0,"",F142*H142),"")</f>
        <v/>
      </c>
      <c r="K142" s="147" t="inlineStr">
        <is>
          <t>Pending</t>
        </is>
      </c>
    </row>
    <row r="143" ht="15.75" customHeight="1">
      <c r="B143" s="137" t="n"/>
      <c r="C143" s="126" t="n"/>
      <c r="D143" s="127" t="n"/>
      <c r="E143" s="127" t="n"/>
      <c r="F143" s="191" t="n"/>
      <c r="G143" s="74" t="n"/>
      <c r="H143" s="192" t="n"/>
      <c r="I143" s="193" t="n"/>
      <c r="J143" s="194">
        <f>IFERROR(IF(F143*H143=0,"",F143*H143),"")</f>
        <v/>
      </c>
      <c r="K143" s="154" t="inlineStr">
        <is>
          <t>Pending</t>
        </is>
      </c>
    </row>
    <row r="144" ht="15.75" customHeight="1">
      <c r="B144" s="137" t="n"/>
      <c r="C144" s="124" t="n"/>
      <c r="D144" s="123" t="n"/>
      <c r="E144" s="123" t="n"/>
      <c r="F144" s="187" t="n"/>
      <c r="G144" s="65" t="n"/>
      <c r="H144" s="188" t="n"/>
      <c r="I144" s="189" t="n"/>
      <c r="J144" s="190">
        <f>IFERROR(IF(F144*H144=0,"",F144*H144),"")</f>
        <v/>
      </c>
      <c r="K144" s="147" t="inlineStr">
        <is>
          <t>Pending</t>
        </is>
      </c>
    </row>
    <row r="145" ht="15.75" customHeight="1">
      <c r="B145" s="137" t="n"/>
      <c r="C145" s="126" t="n"/>
      <c r="D145" s="127" t="n"/>
      <c r="E145" s="127" t="n"/>
      <c r="F145" s="191" t="n"/>
      <c r="G145" s="74" t="n"/>
      <c r="H145" s="192" t="n"/>
      <c r="I145" s="193" t="n"/>
      <c r="J145" s="194">
        <f>IFERROR(IF(F145*H145=0,"",F145*H145),"")</f>
        <v/>
      </c>
      <c r="K145" s="154" t="inlineStr">
        <is>
          <t>Pending</t>
        </is>
      </c>
    </row>
    <row r="146" ht="15.75" customHeight="1">
      <c r="B146" s="137" t="n"/>
      <c r="C146" s="124" t="n"/>
      <c r="D146" s="123" t="n"/>
      <c r="E146" s="123" t="n"/>
      <c r="F146" s="187" t="n"/>
      <c r="G146" s="65" t="n"/>
      <c r="H146" s="188" t="n"/>
      <c r="I146" s="189" t="n"/>
      <c r="J146" s="190">
        <f>IFERROR(IF(F146*H146=0,"",F146*H146),"")</f>
        <v/>
      </c>
      <c r="K146" s="147" t="inlineStr">
        <is>
          <t>Pending</t>
        </is>
      </c>
    </row>
    <row r="147" ht="15.75" customHeight="1">
      <c r="B147" s="137" t="n"/>
      <c r="C147" s="126" t="n"/>
      <c r="D147" s="127" t="n"/>
      <c r="E147" s="127" t="n"/>
      <c r="F147" s="191" t="n"/>
      <c r="G147" s="74" t="n"/>
      <c r="H147" s="192" t="n"/>
      <c r="I147" s="193" t="n"/>
      <c r="J147" s="194">
        <f>IFERROR(IF(F147*H147=0,"",F147*H147),"")</f>
        <v/>
      </c>
      <c r="K147" s="154" t="inlineStr">
        <is>
          <t>Pending</t>
        </is>
      </c>
    </row>
    <row r="148" ht="15.75" customHeight="1">
      <c r="B148" s="137" t="n"/>
      <c r="C148" s="124" t="n"/>
      <c r="D148" s="123" t="n"/>
      <c r="E148" s="123" t="n"/>
      <c r="F148" s="187" t="n"/>
      <c r="G148" s="65" t="n"/>
      <c r="H148" s="188" t="n"/>
      <c r="I148" s="189" t="n"/>
      <c r="J148" s="190">
        <f>IFERROR(IF(F148*H148=0,"",F148*H148),"")</f>
        <v/>
      </c>
      <c r="K148" s="147" t="inlineStr">
        <is>
          <t>Pending</t>
        </is>
      </c>
    </row>
    <row r="149" ht="15.75" customHeight="1">
      <c r="B149" s="137" t="n"/>
      <c r="C149" s="126" t="n"/>
      <c r="D149" s="127" t="n"/>
      <c r="E149" s="127" t="n"/>
      <c r="F149" s="191" t="n"/>
      <c r="G149" s="74" t="n"/>
      <c r="H149" s="192" t="n"/>
      <c r="I149" s="193" t="n"/>
      <c r="J149" s="194">
        <f>IFERROR(IF(F149*H149=0,"",F149*H149),"")</f>
        <v/>
      </c>
      <c r="K149" s="154" t="inlineStr">
        <is>
          <t>Pending</t>
        </is>
      </c>
    </row>
    <row r="150" ht="15.75" customHeight="1">
      <c r="B150" s="137" t="n"/>
      <c r="C150" s="124" t="n"/>
      <c r="D150" s="123" t="n"/>
      <c r="E150" s="123" t="n"/>
      <c r="F150" s="187" t="n"/>
      <c r="G150" s="65" t="n"/>
      <c r="H150" s="188" t="n"/>
      <c r="I150" s="189" t="n"/>
      <c r="J150" s="190">
        <f>IFERROR(IF(F150*H150=0,"",F150*H150),"")</f>
        <v/>
      </c>
      <c r="K150" s="147" t="inlineStr">
        <is>
          <t>Pending</t>
        </is>
      </c>
    </row>
    <row r="151" ht="15.75" customHeight="1">
      <c r="B151" s="137" t="n"/>
      <c r="C151" s="126" t="n"/>
      <c r="D151" s="127" t="n"/>
      <c r="E151" s="127" t="n"/>
      <c r="F151" s="191" t="n"/>
      <c r="G151" s="74" t="n"/>
      <c r="H151" s="192" t="n"/>
      <c r="I151" s="193" t="n"/>
      <c r="J151" s="194">
        <f>IFERROR(IF(F151*H151=0,"",F151*H151),"")</f>
        <v/>
      </c>
      <c r="K151" s="154" t="inlineStr">
        <is>
          <t>Pending</t>
        </is>
      </c>
    </row>
    <row r="152" ht="15.75" customHeight="1">
      <c r="B152" s="137" t="n"/>
      <c r="C152" s="124" t="n"/>
      <c r="D152" s="123" t="n"/>
      <c r="E152" s="123" t="n"/>
      <c r="F152" s="187" t="n"/>
      <c r="G152" s="65" t="n"/>
      <c r="H152" s="188" t="n"/>
      <c r="I152" s="189" t="n"/>
      <c r="J152" s="190">
        <f>IFERROR(IF(F152*H152=0,"",F152*H152),"")</f>
        <v/>
      </c>
      <c r="K152" s="147" t="inlineStr">
        <is>
          <t>Pending</t>
        </is>
      </c>
    </row>
    <row r="153" ht="15.75" customHeight="1">
      <c r="B153" s="137" t="n"/>
      <c r="C153" s="126" t="n"/>
      <c r="D153" s="127" t="n"/>
      <c r="E153" s="127" t="n"/>
      <c r="F153" s="191" t="n"/>
      <c r="G153" s="74" t="n"/>
      <c r="H153" s="192" t="n"/>
      <c r="I153" s="193" t="n"/>
      <c r="J153" s="194">
        <f>IFERROR(IF(F153*H153=0,"",F153*H153),"")</f>
        <v/>
      </c>
      <c r="K153" s="154" t="inlineStr">
        <is>
          <t>Pending</t>
        </is>
      </c>
    </row>
    <row r="154" ht="15.75" customHeight="1">
      <c r="B154" s="137" t="n"/>
      <c r="C154" s="124" t="n"/>
      <c r="D154" s="123" t="n"/>
      <c r="E154" s="123" t="n"/>
      <c r="F154" s="187" t="n"/>
      <c r="G154" s="65" t="n"/>
      <c r="H154" s="188" t="n"/>
      <c r="I154" s="189" t="n"/>
      <c r="J154" s="190">
        <f>IFERROR(IF(F154*H154=0,"",F154*H154),"")</f>
        <v/>
      </c>
      <c r="K154" s="147" t="inlineStr">
        <is>
          <t>Pending</t>
        </is>
      </c>
    </row>
    <row r="155" ht="15.75" customHeight="1">
      <c r="B155" s="137" t="n"/>
      <c r="C155" s="126" t="n"/>
      <c r="D155" s="127" t="n"/>
      <c r="E155" s="127" t="n"/>
      <c r="F155" s="191" t="n"/>
      <c r="G155" s="74" t="n"/>
      <c r="H155" s="192" t="n"/>
      <c r="I155" s="193" t="n"/>
      <c r="J155" s="194">
        <f>IFERROR(IF(F155*H155=0,"",F155*H155),"")</f>
        <v/>
      </c>
      <c r="K155" s="154" t="inlineStr">
        <is>
          <t>Pending</t>
        </is>
      </c>
    </row>
    <row r="156" ht="15.75" customHeight="1">
      <c r="B156" s="137" t="n"/>
      <c r="C156" s="124" t="n"/>
      <c r="D156" s="123" t="n"/>
      <c r="E156" s="123" t="n"/>
      <c r="F156" s="187" t="n"/>
      <c r="G156" s="65" t="n"/>
      <c r="H156" s="188" t="n"/>
      <c r="I156" s="189" t="n"/>
      <c r="J156" s="190">
        <f>IFERROR(IF(F156*H156=0,"",F156*H156),"")</f>
        <v/>
      </c>
      <c r="K156" s="147" t="inlineStr">
        <is>
          <t>Pending</t>
        </is>
      </c>
    </row>
    <row r="157" ht="15.75" customHeight="1">
      <c r="B157" s="137" t="n"/>
      <c r="C157" s="126" t="n"/>
      <c r="D157" s="127" t="n"/>
      <c r="E157" s="127" t="n"/>
      <c r="F157" s="191" t="n"/>
      <c r="G157" s="74" t="n"/>
      <c r="H157" s="192" t="n"/>
      <c r="I157" s="193" t="n"/>
      <c r="J157" s="194">
        <f>IFERROR(IF(F157*H157=0,"",F157*H157),"")</f>
        <v/>
      </c>
      <c r="K157" s="154" t="inlineStr">
        <is>
          <t>Pending</t>
        </is>
      </c>
    </row>
    <row r="158" ht="15.75" customHeight="1">
      <c r="B158" s="137" t="n"/>
      <c r="C158" s="124" t="n"/>
      <c r="D158" s="123" t="n"/>
      <c r="E158" s="123" t="n"/>
      <c r="F158" s="187" t="n"/>
      <c r="G158" s="65" t="n"/>
      <c r="H158" s="188" t="n"/>
      <c r="I158" s="189" t="n"/>
      <c r="J158" s="190">
        <f>IFERROR(IF(F158*H158=0,"",F158*H158),"")</f>
        <v/>
      </c>
      <c r="K158" s="147" t="inlineStr">
        <is>
          <t>Pending</t>
        </is>
      </c>
    </row>
    <row r="159" ht="15.75" customHeight="1">
      <c r="B159" s="137" t="n"/>
      <c r="C159" s="126" t="n"/>
      <c r="D159" s="127" t="n"/>
      <c r="E159" s="127" t="n"/>
      <c r="F159" s="191" t="n"/>
      <c r="G159" s="74" t="n"/>
      <c r="H159" s="192" t="n"/>
      <c r="I159" s="193" t="n"/>
      <c r="J159" s="194">
        <f>IFERROR(IF(F159*H159=0,"",F159*H159),"")</f>
        <v/>
      </c>
      <c r="K159" s="154" t="inlineStr">
        <is>
          <t>Pending</t>
        </is>
      </c>
    </row>
    <row r="160" ht="15.75" customHeight="1">
      <c r="B160" s="137" t="n"/>
      <c r="C160" s="124" t="n"/>
      <c r="D160" s="123" t="n"/>
      <c r="E160" s="123" t="n"/>
      <c r="F160" s="187" t="n"/>
      <c r="G160" s="65" t="n"/>
      <c r="H160" s="188" t="n"/>
      <c r="I160" s="189" t="n"/>
      <c r="J160" s="190">
        <f>IFERROR(IF(F160*H160=0,"",F160*H160),"")</f>
        <v/>
      </c>
      <c r="K160" s="147" t="inlineStr">
        <is>
          <t>Pending</t>
        </is>
      </c>
    </row>
    <row r="161" ht="15.75" customHeight="1">
      <c r="B161" s="137" t="n"/>
      <c r="C161" s="126" t="n"/>
      <c r="D161" s="127" t="n"/>
      <c r="E161" s="127" t="n"/>
      <c r="F161" s="191" t="n"/>
      <c r="G161" s="74" t="n"/>
      <c r="H161" s="192" t="n"/>
      <c r="I161" s="193" t="n"/>
      <c r="J161" s="194">
        <f>IFERROR(IF(F161*H161=0,"",F161*H161),"")</f>
        <v/>
      </c>
      <c r="K161" s="154" t="inlineStr">
        <is>
          <t>Pending</t>
        </is>
      </c>
    </row>
    <row r="162" ht="15.75" customHeight="1">
      <c r="B162" s="137" t="n"/>
      <c r="C162" s="124" t="n"/>
      <c r="D162" s="123" t="n"/>
      <c r="E162" s="123" t="n"/>
      <c r="F162" s="187" t="n"/>
      <c r="G162" s="65" t="n"/>
      <c r="H162" s="188" t="n"/>
      <c r="I162" s="189" t="n"/>
      <c r="J162" s="190">
        <f>IFERROR(IF(F162*H162=0,"",F162*H162),"")</f>
        <v/>
      </c>
      <c r="K162" s="147" t="inlineStr">
        <is>
          <t>Pending</t>
        </is>
      </c>
    </row>
    <row r="163" ht="15.75" customHeight="1">
      <c r="B163" s="137" t="n"/>
      <c r="C163" s="126" t="n"/>
      <c r="D163" s="127" t="n"/>
      <c r="E163" s="127" t="n"/>
      <c r="F163" s="191" t="n"/>
      <c r="G163" s="74" t="n"/>
      <c r="H163" s="192" t="n"/>
      <c r="I163" s="193" t="n"/>
      <c r="J163" s="194">
        <f>IFERROR(IF(F163*H163=0,"",F163*H163),"")</f>
        <v/>
      </c>
      <c r="K163" s="154" t="inlineStr">
        <is>
          <t>Pending</t>
        </is>
      </c>
    </row>
    <row r="164" ht="15.75" customHeight="1">
      <c r="B164" s="137" t="n"/>
      <c r="C164" s="124" t="n"/>
      <c r="D164" s="123" t="n"/>
      <c r="E164" s="123" t="n"/>
      <c r="F164" s="187" t="n"/>
      <c r="G164" s="65" t="n"/>
      <c r="H164" s="188" t="n"/>
      <c r="I164" s="189" t="n"/>
      <c r="J164" s="190">
        <f>IFERROR(IF(F164*H164=0,"",F164*H164),"")</f>
        <v/>
      </c>
      <c r="K164" s="147" t="inlineStr">
        <is>
          <t>Pending</t>
        </is>
      </c>
    </row>
    <row r="165" ht="15.75" customHeight="1">
      <c r="B165" s="137" t="n"/>
      <c r="C165" s="126" t="n"/>
      <c r="D165" s="127" t="n"/>
      <c r="E165" s="127" t="n"/>
      <c r="F165" s="191" t="n"/>
      <c r="G165" s="74" t="n"/>
      <c r="H165" s="192" t="n"/>
      <c r="I165" s="193" t="n"/>
      <c r="J165" s="194">
        <f>IFERROR(IF(F165*H165=0,"",F165*H165),"")</f>
        <v/>
      </c>
      <c r="K165" s="154" t="inlineStr">
        <is>
          <t>Pending</t>
        </is>
      </c>
    </row>
    <row r="166" ht="15.75" customHeight="1">
      <c r="B166" s="137" t="n"/>
      <c r="C166" s="124" t="n"/>
      <c r="D166" s="123" t="n"/>
      <c r="E166" s="123" t="n"/>
      <c r="F166" s="187" t="n"/>
      <c r="G166" s="65" t="n"/>
      <c r="H166" s="188" t="n"/>
      <c r="I166" s="189" t="n"/>
      <c r="J166" s="190">
        <f>IFERROR(IF(F166*H166=0,"",F166*H166),"")</f>
        <v/>
      </c>
      <c r="K166" s="147" t="inlineStr">
        <is>
          <t>Pending</t>
        </is>
      </c>
    </row>
    <row r="167" ht="15.75" customHeight="1">
      <c r="B167" s="137" t="n"/>
      <c r="C167" s="126" t="n"/>
      <c r="D167" s="127" t="n"/>
      <c r="E167" s="127" t="n"/>
      <c r="F167" s="191" t="n"/>
      <c r="G167" s="74" t="n"/>
      <c r="H167" s="192" t="n"/>
      <c r="I167" s="193" t="n"/>
      <c r="J167" s="194">
        <f>IFERROR(IF(F167*H167=0,"",F167*H167),"")</f>
        <v/>
      </c>
      <c r="K167" s="154" t="inlineStr">
        <is>
          <t>Pending</t>
        </is>
      </c>
    </row>
    <row r="168" ht="15.75" customHeight="1">
      <c r="B168" s="137" t="n"/>
      <c r="C168" s="124" t="n"/>
      <c r="D168" s="123" t="n"/>
      <c r="E168" s="123" t="n"/>
      <c r="F168" s="187" t="n"/>
      <c r="G168" s="65" t="n"/>
      <c r="H168" s="188" t="n"/>
      <c r="I168" s="189" t="n"/>
      <c r="J168" s="190">
        <f>IFERROR(IF(F168*H168=0,"",F168*H168),"")</f>
        <v/>
      </c>
      <c r="K168" s="147" t="inlineStr">
        <is>
          <t>Pending</t>
        </is>
      </c>
    </row>
    <row r="169" ht="15.75" customHeight="1">
      <c r="B169" s="137" t="n"/>
      <c r="C169" s="126" t="n"/>
      <c r="D169" s="127" t="n"/>
      <c r="E169" s="127" t="n"/>
      <c r="F169" s="191" t="n"/>
      <c r="G169" s="74" t="n"/>
      <c r="H169" s="192" t="n"/>
      <c r="I169" s="193" t="n"/>
      <c r="J169" s="194">
        <f>IFERROR(IF(F169*H169=0,"",F169*H169),"")</f>
        <v/>
      </c>
      <c r="K169" s="154" t="inlineStr">
        <is>
          <t>Pending</t>
        </is>
      </c>
    </row>
    <row r="170" ht="15.75" customHeight="1">
      <c r="B170" s="137" t="n"/>
      <c r="C170" s="124" t="n"/>
      <c r="D170" s="123" t="n"/>
      <c r="E170" s="123" t="n"/>
      <c r="F170" s="187" t="n"/>
      <c r="G170" s="65" t="n"/>
      <c r="H170" s="188" t="n"/>
      <c r="I170" s="189" t="n"/>
      <c r="J170" s="190">
        <f>IFERROR(IF(F170*H170=0,"",F170*H170),"")</f>
        <v/>
      </c>
      <c r="K170" s="147" t="inlineStr">
        <is>
          <t>Pending</t>
        </is>
      </c>
    </row>
    <row r="171" ht="15.75" customHeight="1">
      <c r="B171" s="137" t="n"/>
      <c r="C171" s="126" t="n"/>
      <c r="D171" s="127" t="n"/>
      <c r="E171" s="127" t="n"/>
      <c r="F171" s="191" t="n"/>
      <c r="G171" s="74" t="n"/>
      <c r="H171" s="192" t="n"/>
      <c r="I171" s="193" t="n"/>
      <c r="J171" s="194">
        <f>IFERROR(IF(F171*H171=0,"",F171*H171),"")</f>
        <v/>
      </c>
      <c r="K171" s="154" t="inlineStr">
        <is>
          <t>Pending</t>
        </is>
      </c>
    </row>
    <row r="172" ht="15.75" customHeight="1">
      <c r="B172" s="137" t="n"/>
      <c r="C172" s="124" t="n"/>
      <c r="D172" s="123" t="n"/>
      <c r="E172" s="123" t="n"/>
      <c r="F172" s="187" t="n"/>
      <c r="G172" s="65" t="n"/>
      <c r="H172" s="188" t="n"/>
      <c r="I172" s="189" t="n"/>
      <c r="J172" s="190">
        <f>IFERROR(IF(F172*H172=0,"",F172*H172),"")</f>
        <v/>
      </c>
      <c r="K172" s="147" t="inlineStr">
        <is>
          <t>Pending</t>
        </is>
      </c>
    </row>
    <row r="173" ht="15.75" customHeight="1">
      <c r="B173" s="137" t="n"/>
      <c r="C173" s="126" t="n"/>
      <c r="D173" s="127" t="n"/>
      <c r="E173" s="127" t="n"/>
      <c r="F173" s="191" t="n"/>
      <c r="G173" s="74" t="n"/>
      <c r="H173" s="192" t="n"/>
      <c r="I173" s="193" t="n"/>
      <c r="J173" s="194">
        <f>IFERROR(IF(F173*H173=0,"",F173*H173),"")</f>
        <v/>
      </c>
      <c r="K173" s="154" t="inlineStr">
        <is>
          <t>Pending</t>
        </is>
      </c>
    </row>
    <row r="174" ht="15.75" customHeight="1">
      <c r="B174" s="137" t="n"/>
      <c r="C174" s="124" t="n"/>
      <c r="D174" s="123" t="n"/>
      <c r="E174" s="123" t="n"/>
      <c r="F174" s="187" t="n"/>
      <c r="G174" s="65" t="n"/>
      <c r="H174" s="188" t="n"/>
      <c r="I174" s="189" t="n"/>
      <c r="J174" s="190">
        <f>IFERROR(IF(F174*H174=0,"",F174*H174),"")</f>
        <v/>
      </c>
      <c r="K174" s="147" t="inlineStr">
        <is>
          <t>Pending</t>
        </is>
      </c>
    </row>
    <row r="175" ht="15.75" customHeight="1">
      <c r="B175" s="137" t="n"/>
      <c r="C175" s="126" t="n"/>
      <c r="D175" s="127" t="n"/>
      <c r="E175" s="127" t="n"/>
      <c r="F175" s="191" t="n"/>
      <c r="G175" s="74" t="n"/>
      <c r="H175" s="192" t="n"/>
      <c r="I175" s="193" t="n"/>
      <c r="J175" s="194">
        <f>IFERROR(IF(F175*H175=0,"",F175*H175),"")</f>
        <v/>
      </c>
      <c r="K175" s="154" t="inlineStr">
        <is>
          <t>Pending</t>
        </is>
      </c>
    </row>
    <row r="176" ht="15.75" customHeight="1">
      <c r="B176" s="137" t="n"/>
      <c r="C176" s="124" t="n"/>
      <c r="D176" s="123" t="n"/>
      <c r="E176" s="123" t="n"/>
      <c r="F176" s="187" t="n"/>
      <c r="G176" s="65" t="n"/>
      <c r="H176" s="188" t="n"/>
      <c r="I176" s="189" t="n"/>
      <c r="J176" s="190">
        <f>IFERROR(IF(F176*H176=0,"",F176*H176),"")</f>
        <v/>
      </c>
      <c r="K176" s="147" t="inlineStr">
        <is>
          <t>Pending</t>
        </is>
      </c>
    </row>
    <row r="177" ht="15.75" customHeight="1">
      <c r="B177" s="137" t="n"/>
      <c r="C177" s="126" t="n"/>
      <c r="D177" s="127" t="n"/>
      <c r="E177" s="127" t="n"/>
      <c r="F177" s="191" t="n"/>
      <c r="G177" s="74" t="n"/>
      <c r="H177" s="192" t="n"/>
      <c r="I177" s="193" t="n"/>
      <c r="J177" s="194">
        <f>IFERROR(IF(F177*H177=0,"",F177*H177),"")</f>
        <v/>
      </c>
      <c r="K177" s="154" t="inlineStr">
        <is>
          <t>Pending</t>
        </is>
      </c>
    </row>
    <row r="178" ht="15.75" customHeight="1">
      <c r="B178" s="137" t="n"/>
      <c r="C178" s="124" t="n"/>
      <c r="D178" s="123" t="n"/>
      <c r="E178" s="123" t="n"/>
      <c r="F178" s="187" t="n"/>
      <c r="G178" s="65" t="n"/>
      <c r="H178" s="188" t="n"/>
      <c r="I178" s="189" t="n"/>
      <c r="J178" s="190">
        <f>IFERROR(IF(F178*H178=0,"",F178*H178),"")</f>
        <v/>
      </c>
      <c r="K178" s="147" t="inlineStr">
        <is>
          <t>Pending</t>
        </is>
      </c>
    </row>
    <row r="179" ht="15.75" customHeight="1">
      <c r="B179" s="137" t="n"/>
      <c r="C179" s="126" t="n"/>
      <c r="D179" s="127" t="n"/>
      <c r="E179" s="127" t="n"/>
      <c r="F179" s="191" t="n"/>
      <c r="G179" s="74" t="n"/>
      <c r="H179" s="192" t="n"/>
      <c r="I179" s="193" t="n"/>
      <c r="J179" s="194">
        <f>IFERROR(IF(F179*H179=0,"",F179*H179),"")</f>
        <v/>
      </c>
      <c r="K179" s="154" t="inlineStr">
        <is>
          <t>Pending</t>
        </is>
      </c>
    </row>
    <row r="180" ht="15.75" customHeight="1">
      <c r="B180" s="137" t="n"/>
      <c r="C180" s="124" t="n"/>
      <c r="D180" s="123" t="n"/>
      <c r="E180" s="123" t="n"/>
      <c r="F180" s="187" t="n"/>
      <c r="G180" s="65" t="n"/>
      <c r="H180" s="188" t="n"/>
      <c r="I180" s="189" t="n"/>
      <c r="J180" s="190">
        <f>IFERROR(IF(F180*H180=0,"",F180*H180),"")</f>
        <v/>
      </c>
      <c r="K180" s="147" t="inlineStr">
        <is>
          <t>Pending</t>
        </is>
      </c>
    </row>
    <row r="181" ht="15.75" customHeight="1">
      <c r="B181" s="137" t="n"/>
      <c r="C181" s="126" t="n"/>
      <c r="D181" s="127" t="n"/>
      <c r="E181" s="127" t="n"/>
      <c r="F181" s="191" t="n"/>
      <c r="G181" s="74" t="n"/>
      <c r="H181" s="192" t="n"/>
      <c r="I181" s="193" t="n"/>
      <c r="J181" s="194">
        <f>IFERROR(IF(F181*H181=0,"",F181*H181),"")</f>
        <v/>
      </c>
      <c r="K181" s="154" t="inlineStr">
        <is>
          <t>Pending</t>
        </is>
      </c>
    </row>
    <row r="182" ht="15.75" customHeight="1">
      <c r="B182" s="137" t="n"/>
      <c r="C182" s="124" t="n"/>
      <c r="D182" s="123" t="n"/>
      <c r="E182" s="123" t="n"/>
      <c r="F182" s="187" t="n"/>
      <c r="G182" s="65" t="n"/>
      <c r="H182" s="188" t="n"/>
      <c r="I182" s="189" t="n"/>
      <c r="J182" s="190">
        <f>IFERROR(IF(F182*H182=0,"",F182*H182),"")</f>
        <v/>
      </c>
      <c r="K182" s="147" t="inlineStr">
        <is>
          <t>Pending</t>
        </is>
      </c>
    </row>
    <row r="183" ht="15.75" customHeight="1">
      <c r="B183" s="137" t="n"/>
      <c r="C183" s="126" t="n"/>
      <c r="D183" s="127" t="n"/>
      <c r="E183" s="127" t="n"/>
      <c r="F183" s="191" t="n"/>
      <c r="G183" s="74" t="n"/>
      <c r="H183" s="192" t="n"/>
      <c r="I183" s="193" t="n"/>
      <c r="J183" s="194">
        <f>IFERROR(IF(F183*H183=0,"",F183*H183),"")</f>
        <v/>
      </c>
      <c r="K183" s="154" t="inlineStr">
        <is>
          <t>Pending</t>
        </is>
      </c>
    </row>
    <row r="184" ht="15.75" customHeight="1">
      <c r="B184" s="137" t="n"/>
      <c r="C184" s="124" t="n"/>
      <c r="D184" s="123" t="n"/>
      <c r="E184" s="123" t="n"/>
      <c r="F184" s="187" t="n"/>
      <c r="G184" s="65" t="n"/>
      <c r="H184" s="188" t="n"/>
      <c r="I184" s="189" t="n"/>
      <c r="J184" s="190">
        <f>IFERROR(IF(F184*H184=0,"",F184*H184),"")</f>
        <v/>
      </c>
      <c r="K184" s="147" t="inlineStr">
        <is>
          <t>Pending</t>
        </is>
      </c>
    </row>
    <row r="185" ht="15.75" customHeight="1">
      <c r="B185" s="137" t="n"/>
      <c r="C185" s="126" t="n"/>
      <c r="D185" s="127" t="n"/>
      <c r="E185" s="127" t="n"/>
      <c r="F185" s="191" t="n"/>
      <c r="G185" s="74" t="n"/>
      <c r="H185" s="192" t="n"/>
      <c r="I185" s="193" t="n"/>
      <c r="J185" s="194">
        <f>IFERROR(IF(F185*H185=0,"",F185*H185),"")</f>
        <v/>
      </c>
      <c r="K185" s="154" t="inlineStr">
        <is>
          <t>Pending</t>
        </is>
      </c>
    </row>
    <row r="186" ht="15.75" customHeight="1">
      <c r="B186" s="137" t="n"/>
      <c r="C186" s="124" t="n"/>
      <c r="D186" s="123" t="n"/>
      <c r="E186" s="123" t="n"/>
      <c r="F186" s="187" t="n"/>
      <c r="G186" s="65" t="n"/>
      <c r="H186" s="188" t="n"/>
      <c r="I186" s="189" t="n"/>
      <c r="J186" s="190">
        <f>IFERROR(IF(F186*H186=0,"",F186*H186),"")</f>
        <v/>
      </c>
      <c r="K186" s="147" t="inlineStr">
        <is>
          <t>Pending</t>
        </is>
      </c>
    </row>
    <row r="187" ht="15.75" customHeight="1">
      <c r="B187" s="137" t="n"/>
      <c r="C187" s="126" t="n"/>
      <c r="D187" s="127" t="n"/>
      <c r="E187" s="127" t="n"/>
      <c r="F187" s="191" t="n"/>
      <c r="G187" s="74" t="n"/>
      <c r="H187" s="192" t="n"/>
      <c r="I187" s="193" t="n"/>
      <c r="J187" s="194">
        <f>IFERROR(IF(F187*H187=0,"",F187*H187),"")</f>
        <v/>
      </c>
      <c r="K187" s="154" t="inlineStr">
        <is>
          <t>Pending</t>
        </is>
      </c>
    </row>
    <row r="188" ht="15.75" customHeight="1">
      <c r="B188" s="137" t="n"/>
      <c r="C188" s="124" t="n"/>
      <c r="D188" s="123" t="n"/>
      <c r="E188" s="123" t="n"/>
      <c r="F188" s="187" t="n"/>
      <c r="G188" s="65" t="n"/>
      <c r="H188" s="188" t="n"/>
      <c r="I188" s="189" t="n"/>
      <c r="J188" s="190">
        <f>IFERROR(IF(F188*H188=0,"",F188*H188),"")</f>
        <v/>
      </c>
      <c r="K188" s="147" t="inlineStr">
        <is>
          <t>Pending</t>
        </is>
      </c>
    </row>
    <row r="189" ht="15.75" customHeight="1">
      <c r="B189" s="137" t="n"/>
      <c r="C189" s="126" t="n"/>
      <c r="D189" s="127" t="n"/>
      <c r="E189" s="127" t="n"/>
      <c r="F189" s="191" t="n"/>
      <c r="G189" s="74" t="n"/>
      <c r="H189" s="192" t="n"/>
      <c r="I189" s="193" t="n"/>
      <c r="J189" s="194">
        <f>IFERROR(IF(F189*H189=0,"",F189*H189),"")</f>
        <v/>
      </c>
      <c r="K189" s="154" t="inlineStr">
        <is>
          <t>Pending</t>
        </is>
      </c>
    </row>
    <row r="190" ht="15.75" customHeight="1">
      <c r="B190" s="137" t="n"/>
      <c r="C190" s="124" t="n"/>
      <c r="D190" s="123" t="n"/>
      <c r="E190" s="123" t="n"/>
      <c r="F190" s="187" t="n"/>
      <c r="G190" s="65" t="n"/>
      <c r="H190" s="188" t="n"/>
      <c r="I190" s="189" t="n"/>
      <c r="J190" s="190">
        <f>IFERROR(IF(F190*H190=0,"",F190*H190),"")</f>
        <v/>
      </c>
      <c r="K190" s="147" t="inlineStr">
        <is>
          <t>Pending</t>
        </is>
      </c>
    </row>
    <row r="191" ht="15.75" customHeight="1">
      <c r="B191" s="137" t="n"/>
      <c r="C191" s="126" t="n"/>
      <c r="D191" s="127" t="n"/>
      <c r="E191" s="127" t="n"/>
      <c r="F191" s="191" t="n"/>
      <c r="G191" s="74" t="n"/>
      <c r="H191" s="192" t="n"/>
      <c r="I191" s="193" t="n"/>
      <c r="J191" s="194">
        <f>IFERROR(IF(F191*H191=0,"",F191*H191),"")</f>
        <v/>
      </c>
      <c r="K191" s="154" t="inlineStr">
        <is>
          <t>Pending</t>
        </is>
      </c>
    </row>
    <row r="192" ht="15.75" customHeight="1">
      <c r="B192" s="137" t="n"/>
      <c r="C192" s="124" t="n"/>
      <c r="D192" s="123" t="n"/>
      <c r="E192" s="123" t="n"/>
      <c r="F192" s="187" t="n"/>
      <c r="G192" s="65" t="n"/>
      <c r="H192" s="188" t="n"/>
      <c r="I192" s="189" t="n"/>
      <c r="J192" s="190">
        <f>IFERROR(IF(F192*H192=0,"",F192*H192),"")</f>
        <v/>
      </c>
      <c r="K192" s="147" t="inlineStr">
        <is>
          <t>Pending</t>
        </is>
      </c>
    </row>
    <row r="193" ht="15.75" customHeight="1">
      <c r="B193" s="137" t="n"/>
      <c r="C193" s="126" t="n"/>
      <c r="D193" s="127" t="n"/>
      <c r="E193" s="127" t="n"/>
      <c r="F193" s="191" t="n"/>
      <c r="G193" s="74" t="n"/>
      <c r="H193" s="192" t="n"/>
      <c r="I193" s="193" t="n"/>
      <c r="J193" s="194">
        <f>IFERROR(IF(F193*H193=0,"",F193*H193),"")</f>
        <v/>
      </c>
      <c r="K193" s="154" t="inlineStr">
        <is>
          <t>Pending</t>
        </is>
      </c>
    </row>
    <row r="194" ht="15.75" customHeight="1">
      <c r="B194" s="137" t="n"/>
      <c r="C194" s="124" t="n"/>
      <c r="D194" s="123" t="n"/>
      <c r="E194" s="123" t="n"/>
      <c r="F194" s="187" t="n"/>
      <c r="G194" s="65" t="n"/>
      <c r="H194" s="188" t="n"/>
      <c r="I194" s="189" t="n"/>
      <c r="J194" s="190">
        <f>IFERROR(IF(F194*H194=0,"",F194*H194),"")</f>
        <v/>
      </c>
      <c r="K194" s="147" t="inlineStr">
        <is>
          <t>Pending</t>
        </is>
      </c>
    </row>
    <row r="195" ht="15.75" customHeight="1">
      <c r="B195" s="137" t="n"/>
      <c r="C195" s="126" t="n"/>
      <c r="D195" s="127" t="n"/>
      <c r="E195" s="127" t="n"/>
      <c r="F195" s="191" t="n"/>
      <c r="G195" s="74" t="n"/>
      <c r="H195" s="192" t="n"/>
      <c r="I195" s="193" t="n"/>
      <c r="J195" s="194">
        <f>IFERROR(IF(F195*H195=0,"",F195*H195),"")</f>
        <v/>
      </c>
      <c r="K195" s="154" t="inlineStr">
        <is>
          <t>Pending</t>
        </is>
      </c>
    </row>
    <row r="196" ht="15.75" customHeight="1">
      <c r="B196" s="137" t="n"/>
      <c r="C196" s="124" t="n"/>
      <c r="D196" s="123" t="n"/>
      <c r="E196" s="123" t="n"/>
      <c r="F196" s="187" t="n"/>
      <c r="G196" s="65" t="n"/>
      <c r="H196" s="188" t="n"/>
      <c r="I196" s="189" t="n"/>
      <c r="J196" s="190">
        <f>IFERROR(IF(F196*H196=0,"",F196*H196),"")</f>
        <v/>
      </c>
      <c r="K196" s="147" t="inlineStr">
        <is>
          <t>Pending</t>
        </is>
      </c>
    </row>
    <row r="197" ht="15.75" customHeight="1">
      <c r="B197" s="137" t="n"/>
      <c r="C197" s="126" t="n"/>
      <c r="D197" s="127" t="n"/>
      <c r="E197" s="127" t="n"/>
      <c r="F197" s="191" t="n"/>
      <c r="G197" s="74" t="n"/>
      <c r="H197" s="192" t="n"/>
      <c r="I197" s="193" t="n"/>
      <c r="J197" s="194">
        <f>IFERROR(IF(F197*H197=0,"",F197*H197),"")</f>
        <v/>
      </c>
      <c r="K197" s="154" t="inlineStr">
        <is>
          <t>Pending</t>
        </is>
      </c>
    </row>
    <row r="198" ht="15.75" customHeight="1">
      <c r="B198" s="137" t="n"/>
      <c r="C198" s="124" t="n"/>
      <c r="D198" s="123" t="n"/>
      <c r="E198" s="123" t="n"/>
      <c r="F198" s="187" t="n"/>
      <c r="G198" s="65" t="n"/>
      <c r="H198" s="188" t="n"/>
      <c r="I198" s="189" t="n"/>
      <c r="J198" s="190">
        <f>IFERROR(IF(F198*H198=0,"",F198*H198),"")</f>
        <v/>
      </c>
      <c r="K198" s="147" t="inlineStr">
        <is>
          <t>Pending</t>
        </is>
      </c>
    </row>
    <row r="199" ht="15.75" customHeight="1">
      <c r="B199" s="137" t="n"/>
      <c r="C199" s="126" t="n"/>
      <c r="D199" s="127" t="n"/>
      <c r="E199" s="127" t="n"/>
      <c r="F199" s="191" t="n"/>
      <c r="G199" s="74" t="n"/>
      <c r="H199" s="192" t="n"/>
      <c r="I199" s="193" t="n"/>
      <c r="J199" s="194">
        <f>IFERROR(IF(F199*H199=0,"",F199*H199),"")</f>
        <v/>
      </c>
      <c r="K199" s="154" t="inlineStr">
        <is>
          <t>Pending</t>
        </is>
      </c>
    </row>
    <row r="200" ht="15.75" customHeight="1">
      <c r="B200" s="137" t="n"/>
      <c r="C200" s="124" t="n"/>
      <c r="D200" s="123" t="n"/>
      <c r="E200" s="123" t="n"/>
      <c r="F200" s="187" t="n"/>
      <c r="G200" s="65" t="n"/>
      <c r="H200" s="188" t="n"/>
      <c r="I200" s="189" t="n"/>
      <c r="J200" s="190">
        <f>IFERROR(IF(F200*H200=0,"",F200*H200),"")</f>
        <v/>
      </c>
      <c r="K200" s="147" t="inlineStr">
        <is>
          <t>Pending</t>
        </is>
      </c>
    </row>
    <row r="201" ht="15.75" customHeight="1">
      <c r="B201" s="137" t="n"/>
      <c r="C201" s="126" t="n"/>
      <c r="D201" s="127" t="n"/>
      <c r="E201" s="127" t="n"/>
      <c r="F201" s="191" t="n"/>
      <c r="G201" s="74" t="n"/>
      <c r="H201" s="192" t="n"/>
      <c r="I201" s="193" t="n"/>
      <c r="J201" s="194">
        <f>IFERROR(IF(F201*H201=0,"",F201*H201),"")</f>
        <v/>
      </c>
      <c r="K201" s="154" t="inlineStr">
        <is>
          <t>Pending</t>
        </is>
      </c>
    </row>
    <row r="202" ht="15.75" customHeight="1">
      <c r="B202" s="137" t="n"/>
      <c r="C202" s="124" t="n"/>
      <c r="D202" s="123" t="n"/>
      <c r="E202" s="123" t="n"/>
      <c r="F202" s="187" t="n"/>
      <c r="G202" s="65" t="n"/>
      <c r="H202" s="188" t="n"/>
      <c r="I202" s="189" t="n"/>
      <c r="J202" s="190">
        <f>IFERROR(IF(F202*H202=0,"",F202*H202),"")</f>
        <v/>
      </c>
      <c r="K202" s="147" t="inlineStr">
        <is>
          <t>Pending</t>
        </is>
      </c>
    </row>
    <row r="203" ht="15.75" customHeight="1">
      <c r="B203" s="137" t="n"/>
      <c r="C203" s="126" t="n"/>
      <c r="D203" s="127" t="n"/>
      <c r="E203" s="127" t="n"/>
      <c r="F203" s="191" t="n"/>
      <c r="G203" s="74" t="n"/>
      <c r="H203" s="192" t="n"/>
      <c r="I203" s="193" t="n"/>
      <c r="J203" s="194">
        <f>IFERROR(IF(F203*H203=0,"",F203*H203),"")</f>
        <v/>
      </c>
      <c r="K203" s="154" t="inlineStr">
        <is>
          <t>Pending</t>
        </is>
      </c>
    </row>
    <row r="204" ht="15.75" customHeight="1">
      <c r="B204" s="137" t="n"/>
      <c r="C204" s="124" t="n"/>
      <c r="D204" s="123" t="n"/>
      <c r="E204" s="123" t="n"/>
      <c r="F204" s="187" t="n"/>
      <c r="G204" s="65" t="n"/>
      <c r="H204" s="188" t="n"/>
      <c r="I204" s="189" t="n"/>
      <c r="J204" s="190">
        <f>IFERROR(IF(F204*H204=0,"",F204*H204),"")</f>
        <v/>
      </c>
      <c r="K204" s="147" t="inlineStr">
        <is>
          <t>Pending</t>
        </is>
      </c>
    </row>
    <row r="205" ht="15.75" customHeight="1">
      <c r="B205" s="137" t="n"/>
      <c r="C205" s="126" t="n"/>
      <c r="D205" s="127" t="n"/>
      <c r="E205" s="127" t="n"/>
      <c r="F205" s="191" t="n"/>
      <c r="G205" s="74" t="n"/>
      <c r="H205" s="192" t="n"/>
      <c r="I205" s="193" t="n"/>
      <c r="J205" s="194">
        <f>IFERROR(IF(F205*H205=0,"",F205*H205),"")</f>
        <v/>
      </c>
      <c r="K205" s="154" t="inlineStr">
        <is>
          <t>Pending</t>
        </is>
      </c>
    </row>
    <row r="206" ht="15.75" customHeight="1">
      <c r="B206" s="137" t="n"/>
      <c r="C206" s="124" t="n"/>
      <c r="D206" s="123" t="n"/>
      <c r="E206" s="123" t="n"/>
      <c r="F206" s="187" t="n"/>
      <c r="G206" s="65" t="n"/>
      <c r="H206" s="188" t="n"/>
      <c r="I206" s="189" t="n"/>
      <c r="J206" s="190">
        <f>IFERROR(IF(F206*H206=0,"",F206*H206),"")</f>
        <v/>
      </c>
      <c r="K206" s="147" t="inlineStr">
        <is>
          <t>Pending</t>
        </is>
      </c>
    </row>
    <row r="207" ht="15.75" customHeight="1">
      <c r="B207" s="137" t="n"/>
      <c r="C207" s="126" t="n"/>
      <c r="D207" s="127" t="n"/>
      <c r="E207" s="127" t="n"/>
      <c r="F207" s="191" t="n"/>
      <c r="G207" s="74" t="n"/>
      <c r="H207" s="192" t="n"/>
      <c r="I207" s="193" t="n"/>
      <c r="J207" s="194">
        <f>IFERROR(IF(F207*H207=0,"",F207*H207),"")</f>
        <v/>
      </c>
      <c r="K207" s="154" t="inlineStr">
        <is>
          <t>Pending</t>
        </is>
      </c>
    </row>
    <row r="208" ht="15.75" customHeight="1">
      <c r="B208" s="137" t="n"/>
      <c r="C208" s="124" t="n"/>
      <c r="D208" s="123" t="n"/>
      <c r="E208" s="123" t="n"/>
      <c r="F208" s="187" t="n"/>
      <c r="G208" s="65" t="n"/>
      <c r="H208" s="188" t="n"/>
      <c r="I208" s="189" t="n"/>
      <c r="J208" s="190">
        <f>IFERROR(IF(F208*H208=0,"",F208*H208),"")</f>
        <v/>
      </c>
      <c r="K208" s="147" t="inlineStr">
        <is>
          <t>Pending</t>
        </is>
      </c>
    </row>
    <row r="209" ht="15.75" customHeight="1">
      <c r="B209" s="137" t="n"/>
      <c r="C209" s="126" t="n"/>
      <c r="D209" s="127" t="n"/>
      <c r="E209" s="127" t="n"/>
      <c r="F209" s="191" t="n"/>
      <c r="G209" s="74" t="n"/>
      <c r="H209" s="192" t="n"/>
      <c r="I209" s="193" t="n"/>
      <c r="J209" s="194">
        <f>IFERROR(IF(F209*H209=0,"",F209*H209),"")</f>
        <v/>
      </c>
      <c r="K209" s="154" t="inlineStr">
        <is>
          <t>Pending</t>
        </is>
      </c>
    </row>
    <row r="210" ht="15.75" customHeight="1">
      <c r="B210" s="137" t="n"/>
      <c r="C210" s="124" t="n"/>
      <c r="D210" s="123" t="n"/>
      <c r="E210" s="123" t="n"/>
      <c r="F210" s="187" t="n"/>
      <c r="G210" s="65" t="n"/>
      <c r="H210" s="188" t="n"/>
      <c r="I210" s="189" t="n"/>
      <c r="J210" s="190">
        <f>IFERROR(IF(F210*H210=0,"",F210*H210),"")</f>
        <v/>
      </c>
      <c r="K210" s="147" t="inlineStr">
        <is>
          <t>Pending</t>
        </is>
      </c>
    </row>
    <row r="211" ht="15.75" customHeight="1">
      <c r="B211" s="137" t="n"/>
      <c r="C211" s="126" t="n"/>
      <c r="D211" s="127" t="n"/>
      <c r="E211" s="127" t="n"/>
      <c r="F211" s="191" t="n"/>
      <c r="G211" s="74" t="n"/>
      <c r="H211" s="192" t="n"/>
      <c r="I211" s="193" t="n"/>
      <c r="J211" s="194">
        <f>IFERROR(IF(F211*H211=0,"",F211*H211),"")</f>
        <v/>
      </c>
      <c r="K211" s="154" t="inlineStr">
        <is>
          <t>Pending</t>
        </is>
      </c>
    </row>
    <row r="212" ht="15.75" customHeight="1">
      <c r="B212" s="137" t="n"/>
      <c r="C212" s="124" t="n"/>
      <c r="D212" s="123" t="n"/>
      <c r="E212" s="123" t="n"/>
      <c r="F212" s="187" t="n"/>
      <c r="G212" s="65" t="n"/>
      <c r="H212" s="188" t="n"/>
      <c r="I212" s="189" t="n"/>
      <c r="J212" s="190">
        <f>IFERROR(IF(F212*H212=0,"",F212*H212),"")</f>
        <v/>
      </c>
      <c r="K212" s="147" t="inlineStr">
        <is>
          <t>Pending</t>
        </is>
      </c>
    </row>
    <row r="213" ht="15.75" customHeight="1">
      <c r="B213" s="137" t="n"/>
      <c r="C213" s="126" t="n"/>
      <c r="D213" s="127" t="n"/>
      <c r="E213" s="127" t="n"/>
      <c r="F213" s="191" t="n"/>
      <c r="G213" s="74" t="n"/>
      <c r="H213" s="192" t="n"/>
      <c r="I213" s="193" t="n"/>
      <c r="J213" s="194">
        <f>IFERROR(IF(F213*H213=0,"",F213*H213),"")</f>
        <v/>
      </c>
      <c r="K213" s="154" t="inlineStr">
        <is>
          <t>Pending</t>
        </is>
      </c>
    </row>
    <row r="214" ht="15.75" customHeight="1">
      <c r="B214" s="137" t="n"/>
      <c r="C214" s="124" t="n"/>
      <c r="D214" s="123" t="n"/>
      <c r="E214" s="123" t="n"/>
      <c r="F214" s="187" t="n"/>
      <c r="G214" s="65" t="n"/>
      <c r="H214" s="188" t="n"/>
      <c r="I214" s="189" t="n"/>
      <c r="J214" s="190">
        <f>IFERROR(IF(F214*H214=0,"",F214*H214),"")</f>
        <v/>
      </c>
      <c r="K214" s="147" t="inlineStr">
        <is>
          <t>Pending</t>
        </is>
      </c>
    </row>
    <row r="215" ht="15.75" customHeight="1">
      <c r="B215" s="137" t="n"/>
      <c r="C215" s="126" t="n"/>
      <c r="D215" s="127" t="n"/>
      <c r="E215" s="127" t="n"/>
      <c r="F215" s="191" t="n"/>
      <c r="G215" s="74" t="n"/>
      <c r="H215" s="192" t="n"/>
      <c r="I215" s="193" t="n"/>
      <c r="J215" s="194">
        <f>IFERROR(IF(F215*H215=0,"",F215*H215),"")</f>
        <v/>
      </c>
      <c r="K215" s="154" t="inlineStr">
        <is>
          <t>Pending</t>
        </is>
      </c>
    </row>
    <row r="216" ht="15.75" customHeight="1">
      <c r="B216" s="137" t="n"/>
      <c r="C216" s="124" t="n"/>
      <c r="D216" s="123" t="n"/>
      <c r="E216" s="123" t="n"/>
      <c r="F216" s="187" t="n"/>
      <c r="G216" s="65" t="n"/>
      <c r="H216" s="188" t="n"/>
      <c r="I216" s="189" t="n"/>
      <c r="J216" s="190">
        <f>IFERROR(IF(F216*H216=0,"",F216*H216),"")</f>
        <v/>
      </c>
      <c r="K216" s="147" t="inlineStr">
        <is>
          <t>Pending</t>
        </is>
      </c>
    </row>
    <row r="217" ht="15.75" customHeight="1">
      <c r="B217" s="137" t="n"/>
      <c r="C217" s="126" t="n"/>
      <c r="D217" s="127" t="n"/>
      <c r="E217" s="127" t="n"/>
      <c r="F217" s="191" t="n"/>
      <c r="G217" s="74" t="n"/>
      <c r="H217" s="192" t="n"/>
      <c r="I217" s="193" t="n"/>
      <c r="J217" s="194">
        <f>IFERROR(IF(F217*H217=0,"",F217*H217),"")</f>
        <v/>
      </c>
      <c r="K217" s="154" t="inlineStr">
        <is>
          <t>Pending</t>
        </is>
      </c>
    </row>
    <row r="218" ht="15.75" customHeight="1">
      <c r="B218" s="137" t="n"/>
      <c r="C218" s="124" t="n"/>
      <c r="D218" s="123" t="n"/>
      <c r="E218" s="123" t="n"/>
      <c r="F218" s="187" t="n"/>
      <c r="G218" s="65" t="n"/>
      <c r="H218" s="188" t="n"/>
      <c r="I218" s="189" t="n"/>
      <c r="J218" s="190">
        <f>IFERROR(IF(F218*H218=0,"",F218*H218),"")</f>
        <v/>
      </c>
      <c r="K218" s="147" t="inlineStr">
        <is>
          <t>Pending</t>
        </is>
      </c>
    </row>
    <row r="219" ht="15.75" customHeight="1">
      <c r="B219" s="137" t="n"/>
      <c r="C219" s="126" t="n"/>
      <c r="D219" s="127" t="n"/>
      <c r="E219" s="127" t="n"/>
      <c r="F219" s="191" t="n"/>
      <c r="G219" s="74" t="n"/>
      <c r="H219" s="192" t="n"/>
      <c r="I219" s="193" t="n"/>
      <c r="J219" s="194">
        <f>IFERROR(IF(F219*H219=0,"",F219*H219),"")</f>
        <v/>
      </c>
      <c r="K219" s="154" t="inlineStr">
        <is>
          <t>Pending</t>
        </is>
      </c>
    </row>
    <row r="220" ht="15.75" customHeight="1">
      <c r="B220" s="137" t="n"/>
      <c r="C220" s="124" t="n"/>
      <c r="D220" s="123" t="n"/>
      <c r="E220" s="123" t="n"/>
      <c r="F220" s="187" t="n"/>
      <c r="G220" s="65" t="n"/>
      <c r="H220" s="188" t="n"/>
      <c r="I220" s="189" t="n"/>
      <c r="J220" s="190">
        <f>IFERROR(IF(F220*H220=0,"",F220*H220),"")</f>
        <v/>
      </c>
      <c r="K220" s="147" t="inlineStr">
        <is>
          <t>Pending</t>
        </is>
      </c>
    </row>
    <row r="221" ht="15.75" customHeight="1">
      <c r="B221" s="137" t="n"/>
      <c r="C221" s="126" t="n"/>
      <c r="D221" s="127" t="n"/>
      <c r="E221" s="127" t="n"/>
      <c r="F221" s="191" t="n"/>
      <c r="G221" s="74" t="n"/>
      <c r="H221" s="192" t="n"/>
      <c r="I221" s="193" t="n"/>
      <c r="J221" s="194">
        <f>IFERROR(IF(F221*H221=0,"",F221*H221),"")</f>
        <v/>
      </c>
      <c r="K221" s="154" t="inlineStr">
        <is>
          <t>Pending</t>
        </is>
      </c>
    </row>
    <row r="222" ht="15.75" customHeight="1">
      <c r="B222" s="137" t="n"/>
      <c r="C222" s="124" t="n"/>
      <c r="D222" s="123" t="n"/>
      <c r="E222" s="123" t="n"/>
      <c r="F222" s="187" t="n"/>
      <c r="G222" s="65" t="n"/>
      <c r="H222" s="188" t="n"/>
      <c r="I222" s="189" t="n"/>
      <c r="J222" s="190">
        <f>IFERROR(IF(F222*H222=0,"",F222*H222),"")</f>
        <v/>
      </c>
      <c r="K222" s="147" t="inlineStr">
        <is>
          <t>Pending</t>
        </is>
      </c>
    </row>
    <row r="223" ht="15.75" customHeight="1">
      <c r="B223" s="137" t="n"/>
      <c r="C223" s="126" t="n"/>
      <c r="D223" s="127" t="n"/>
      <c r="E223" s="127" t="n"/>
      <c r="F223" s="191" t="n"/>
      <c r="G223" s="74" t="n"/>
      <c r="H223" s="192" t="n"/>
      <c r="I223" s="193" t="n"/>
      <c r="J223" s="194">
        <f>IFERROR(IF(F223*H223=0,"",F223*H223),"")</f>
        <v/>
      </c>
      <c r="K223" s="154" t="inlineStr">
        <is>
          <t>Pending</t>
        </is>
      </c>
    </row>
    <row r="224" ht="15.75" customHeight="1">
      <c r="B224" s="137" t="n"/>
      <c r="C224" s="124" t="n"/>
      <c r="D224" s="123" t="n"/>
      <c r="E224" s="123" t="n"/>
      <c r="F224" s="187" t="n"/>
      <c r="G224" s="65" t="n"/>
      <c r="H224" s="188" t="n"/>
      <c r="I224" s="189" t="n"/>
      <c r="J224" s="190">
        <f>IFERROR(IF(F224*H224=0,"",F224*H224),"")</f>
        <v/>
      </c>
      <c r="K224" s="147" t="inlineStr">
        <is>
          <t>Pending</t>
        </is>
      </c>
    </row>
    <row r="225" ht="15.75" customHeight="1">
      <c r="B225" s="137" t="n"/>
      <c r="C225" s="126" t="n"/>
      <c r="D225" s="127" t="n"/>
      <c r="E225" s="127" t="n"/>
      <c r="F225" s="191" t="n"/>
      <c r="G225" s="74" t="n"/>
      <c r="H225" s="192" t="n"/>
      <c r="I225" s="193" t="n"/>
      <c r="J225" s="194">
        <f>IFERROR(IF(F225*H225=0,"",F225*H225),"")</f>
        <v/>
      </c>
      <c r="K225" s="154" t="inlineStr">
        <is>
          <t>Pending</t>
        </is>
      </c>
    </row>
    <row r="226" ht="15.75" customHeight="1">
      <c r="B226" s="137" t="n"/>
      <c r="C226" s="124" t="n"/>
      <c r="D226" s="123" t="n"/>
      <c r="E226" s="123" t="n"/>
      <c r="F226" s="187" t="n"/>
      <c r="G226" s="65" t="n"/>
      <c r="H226" s="188" t="n"/>
      <c r="I226" s="189" t="n"/>
      <c r="J226" s="190">
        <f>IFERROR(IF(F226*H226=0,"",F226*H226),"")</f>
        <v/>
      </c>
      <c r="K226" s="147" t="inlineStr">
        <is>
          <t>Pending</t>
        </is>
      </c>
    </row>
    <row r="227" ht="15.75" customHeight="1">
      <c r="B227" s="137" t="n"/>
      <c r="C227" s="126" t="n"/>
      <c r="D227" s="127" t="n"/>
      <c r="E227" s="127" t="n"/>
      <c r="F227" s="191" t="n"/>
      <c r="G227" s="74" t="n"/>
      <c r="H227" s="192" t="n"/>
      <c r="I227" s="193" t="n"/>
      <c r="J227" s="194">
        <f>IFERROR(IF(F227*H227=0,"",F227*H227),"")</f>
        <v/>
      </c>
      <c r="K227" s="154" t="inlineStr">
        <is>
          <t>Pending</t>
        </is>
      </c>
    </row>
    <row r="228" ht="15.75" customHeight="1">
      <c r="B228" s="137" t="n"/>
      <c r="C228" s="124" t="n"/>
      <c r="D228" s="123" t="n"/>
      <c r="E228" s="123" t="n"/>
      <c r="F228" s="187" t="n"/>
      <c r="G228" s="65" t="n"/>
      <c r="H228" s="188" t="n"/>
      <c r="I228" s="189" t="n"/>
      <c r="J228" s="190">
        <f>IFERROR(IF(F228*H228=0,"",F228*H228),"")</f>
        <v/>
      </c>
      <c r="K228" s="147" t="inlineStr">
        <is>
          <t>Pending</t>
        </is>
      </c>
    </row>
    <row r="229" ht="15.75" customHeight="1">
      <c r="B229" s="137" t="n"/>
      <c r="C229" s="126" t="n"/>
      <c r="D229" s="127" t="n"/>
      <c r="E229" s="127" t="n"/>
      <c r="F229" s="191" t="n"/>
      <c r="G229" s="74" t="n"/>
      <c r="H229" s="192" t="n"/>
      <c r="I229" s="193" t="n"/>
      <c r="J229" s="194">
        <f>IFERROR(IF(F229*H229=0,"",F229*H229),"")</f>
        <v/>
      </c>
      <c r="K229" s="154" t="inlineStr">
        <is>
          <t>Pending</t>
        </is>
      </c>
    </row>
    <row r="230" ht="15.75" customHeight="1">
      <c r="B230" s="137" t="n"/>
      <c r="C230" s="124" t="n"/>
      <c r="D230" s="123" t="n"/>
      <c r="E230" s="123" t="n"/>
      <c r="F230" s="187" t="n"/>
      <c r="G230" s="65" t="n"/>
      <c r="H230" s="188" t="n"/>
      <c r="I230" s="189" t="n"/>
      <c r="J230" s="190">
        <f>IFERROR(IF(F230*H230=0,"",F230*H230),"")</f>
        <v/>
      </c>
      <c r="K230" s="147" t="inlineStr">
        <is>
          <t>Pending</t>
        </is>
      </c>
    </row>
    <row r="231" ht="15.75" customHeight="1">
      <c r="B231" s="137" t="n"/>
      <c r="C231" s="126" t="n"/>
      <c r="D231" s="127" t="n"/>
      <c r="E231" s="127" t="n"/>
      <c r="F231" s="191" t="n"/>
      <c r="G231" s="74" t="n"/>
      <c r="H231" s="192" t="n"/>
      <c r="I231" s="193" t="n"/>
      <c r="J231" s="194">
        <f>IFERROR(IF(F231*H231=0,"",F231*H231),"")</f>
        <v/>
      </c>
      <c r="K231" s="154" t="inlineStr">
        <is>
          <t>Pending</t>
        </is>
      </c>
    </row>
    <row r="232" ht="15.75" customHeight="1">
      <c r="B232" s="137" t="n"/>
      <c r="C232" s="124" t="n"/>
      <c r="D232" s="123" t="n"/>
      <c r="E232" s="123" t="n"/>
      <c r="F232" s="187" t="n"/>
      <c r="G232" s="65" t="n"/>
      <c r="H232" s="188" t="n"/>
      <c r="I232" s="189" t="n"/>
      <c r="J232" s="190">
        <f>IFERROR(IF(F232*H232=0,"",F232*H232),"")</f>
        <v/>
      </c>
      <c r="K232" s="147" t="inlineStr">
        <is>
          <t>Pending</t>
        </is>
      </c>
    </row>
    <row r="233" ht="15.75" customHeight="1">
      <c r="B233" s="137" t="n"/>
      <c r="C233" s="126" t="n"/>
      <c r="D233" s="127" t="n"/>
      <c r="E233" s="127" t="n"/>
      <c r="F233" s="191" t="n"/>
      <c r="G233" s="74" t="n"/>
      <c r="H233" s="192" t="n"/>
      <c r="I233" s="193" t="n"/>
      <c r="J233" s="194">
        <f>IFERROR(IF(F233*H233=0,"",F233*H233),"")</f>
        <v/>
      </c>
      <c r="K233" s="154" t="inlineStr">
        <is>
          <t>Pending</t>
        </is>
      </c>
    </row>
    <row r="234" ht="15.75" customHeight="1">
      <c r="B234" s="137" t="n"/>
      <c r="C234" s="124" t="n"/>
      <c r="D234" s="123" t="n"/>
      <c r="E234" s="123" t="n"/>
      <c r="F234" s="187" t="n"/>
      <c r="G234" s="65" t="n"/>
      <c r="H234" s="188" t="n"/>
      <c r="I234" s="189" t="n"/>
      <c r="J234" s="190">
        <f>IFERROR(IF(F234*H234=0,"",F234*H234),"")</f>
        <v/>
      </c>
      <c r="K234" s="147" t="inlineStr">
        <is>
          <t>Pending</t>
        </is>
      </c>
    </row>
    <row r="235" ht="15.75" customHeight="1">
      <c r="B235" s="137" t="n"/>
      <c r="C235" s="126" t="n"/>
      <c r="D235" s="127" t="n"/>
      <c r="E235" s="127" t="n"/>
      <c r="F235" s="191" t="n"/>
      <c r="G235" s="74" t="n"/>
      <c r="H235" s="192" t="n"/>
      <c r="I235" s="193" t="n"/>
      <c r="J235" s="194">
        <f>IFERROR(IF(F235*H235=0,"",F235*H235),"")</f>
        <v/>
      </c>
      <c r="K235" s="154" t="inlineStr">
        <is>
          <t>Pending</t>
        </is>
      </c>
    </row>
    <row r="236" ht="15.75" customHeight="1">
      <c r="B236" s="137" t="n"/>
      <c r="C236" s="124" t="n"/>
      <c r="D236" s="123" t="n"/>
      <c r="E236" s="123" t="n"/>
      <c r="F236" s="187" t="n"/>
      <c r="G236" s="65" t="n"/>
      <c r="H236" s="188" t="n"/>
      <c r="I236" s="189" t="n"/>
      <c r="J236" s="190">
        <f>IFERROR(IF(F236*H236=0,"",F236*H236),"")</f>
        <v/>
      </c>
      <c r="K236" s="147" t="inlineStr">
        <is>
          <t>Pending</t>
        </is>
      </c>
    </row>
    <row r="237" ht="15.75" customHeight="1">
      <c r="B237" s="137" t="n"/>
      <c r="C237" s="126" t="n"/>
      <c r="D237" s="127" t="n"/>
      <c r="E237" s="127" t="n"/>
      <c r="F237" s="191" t="n"/>
      <c r="G237" s="74" t="n"/>
      <c r="H237" s="192" t="n"/>
      <c r="I237" s="193" t="n"/>
      <c r="J237" s="194">
        <f>IFERROR(IF(F237*H237=0,"",F237*H237),"")</f>
        <v/>
      </c>
      <c r="K237" s="154" t="inlineStr">
        <is>
          <t>Pending</t>
        </is>
      </c>
    </row>
    <row r="238" ht="15.75" customHeight="1">
      <c r="B238" s="137" t="n"/>
      <c r="C238" s="124" t="n"/>
      <c r="D238" s="123" t="n"/>
      <c r="E238" s="123" t="n"/>
      <c r="F238" s="187" t="n"/>
      <c r="G238" s="65" t="n"/>
      <c r="H238" s="188" t="n"/>
      <c r="I238" s="189" t="n"/>
      <c r="J238" s="190">
        <f>IFERROR(IF(F238*H238=0,"",F238*H238),"")</f>
        <v/>
      </c>
      <c r="K238" s="147" t="inlineStr">
        <is>
          <t>Pending</t>
        </is>
      </c>
    </row>
    <row r="239" ht="15.75" customHeight="1">
      <c r="B239" s="137" t="n"/>
      <c r="C239" s="126" t="n"/>
      <c r="D239" s="127" t="n"/>
      <c r="E239" s="127" t="n"/>
      <c r="F239" s="191" t="n"/>
      <c r="G239" s="74" t="n"/>
      <c r="H239" s="192" t="n"/>
      <c r="I239" s="193" t="n"/>
      <c r="J239" s="194">
        <f>IFERROR(IF(F239*H239=0,"",F239*H239),"")</f>
        <v/>
      </c>
      <c r="K239" s="154" t="inlineStr">
        <is>
          <t>Pending</t>
        </is>
      </c>
    </row>
    <row r="240" ht="15.75" customHeight="1">
      <c r="B240" s="137" t="n"/>
      <c r="C240" s="124" t="n"/>
      <c r="D240" s="123" t="n"/>
      <c r="E240" s="123" t="n"/>
      <c r="F240" s="187" t="n"/>
      <c r="G240" s="65" t="n"/>
      <c r="H240" s="188" t="n"/>
      <c r="I240" s="189" t="n"/>
      <c r="J240" s="190">
        <f>IFERROR(IF(F240*H240=0,"",F240*H240),"")</f>
        <v/>
      </c>
      <c r="K240" s="147" t="inlineStr">
        <is>
          <t>Pending</t>
        </is>
      </c>
    </row>
    <row r="241" ht="15.75" customHeight="1">
      <c r="B241" s="137" t="n"/>
      <c r="C241" s="126" t="n"/>
      <c r="D241" s="127" t="n"/>
      <c r="E241" s="127" t="n"/>
      <c r="F241" s="191" t="n"/>
      <c r="G241" s="74" t="n"/>
      <c r="H241" s="192" t="n"/>
      <c r="I241" s="193" t="n"/>
      <c r="J241" s="194">
        <f>IFERROR(IF(F241*H241=0,"",F241*H241),"")</f>
        <v/>
      </c>
      <c r="K241" s="154" t="inlineStr">
        <is>
          <t>Pending</t>
        </is>
      </c>
    </row>
    <row r="242" ht="15.75" customHeight="1">
      <c r="B242" s="137" t="n"/>
      <c r="C242" s="124" t="n"/>
      <c r="D242" s="123" t="n"/>
      <c r="E242" s="123" t="n"/>
      <c r="F242" s="187" t="n"/>
      <c r="G242" s="65" t="n"/>
      <c r="H242" s="188" t="n"/>
      <c r="I242" s="189" t="n"/>
      <c r="J242" s="190">
        <f>IFERROR(IF(F242*H242=0,"",F242*H242),"")</f>
        <v/>
      </c>
      <c r="K242" s="147" t="inlineStr">
        <is>
          <t>Pending</t>
        </is>
      </c>
    </row>
    <row r="243" ht="15.75" customHeight="1">
      <c r="B243" s="137" t="n"/>
      <c r="C243" s="126" t="n"/>
      <c r="D243" s="127" t="n"/>
      <c r="E243" s="127" t="n"/>
      <c r="F243" s="191" t="n"/>
      <c r="G243" s="74" t="n"/>
      <c r="H243" s="192" t="n"/>
      <c r="I243" s="193" t="n"/>
      <c r="J243" s="194">
        <f>IFERROR(IF(F243*H243=0,"",F243*H243),"")</f>
        <v/>
      </c>
      <c r="K243" s="154" t="inlineStr">
        <is>
          <t>Pending</t>
        </is>
      </c>
    </row>
    <row r="244" ht="15.75" customHeight="1">
      <c r="B244" s="137" t="n"/>
      <c r="C244" s="124" t="n"/>
      <c r="D244" s="123" t="n"/>
      <c r="E244" s="123" t="n"/>
      <c r="F244" s="187" t="n"/>
      <c r="G244" s="65" t="n"/>
      <c r="H244" s="188" t="n"/>
      <c r="I244" s="189" t="n"/>
      <c r="J244" s="190">
        <f>IFERROR(IF(F244*H244=0,"",F244*H244),"")</f>
        <v/>
      </c>
      <c r="K244" s="147" t="inlineStr">
        <is>
          <t>Pending</t>
        </is>
      </c>
    </row>
    <row r="245" ht="15.75" customHeight="1">
      <c r="B245" s="137" t="n"/>
      <c r="C245" s="126" t="n"/>
      <c r="D245" s="127" t="n"/>
      <c r="E245" s="127" t="n"/>
      <c r="F245" s="191" t="n"/>
      <c r="G245" s="74" t="n"/>
      <c r="H245" s="192" t="n"/>
      <c r="I245" s="193" t="n"/>
      <c r="J245" s="194">
        <f>IFERROR(IF(F245*H245=0,"",F245*H245),"")</f>
        <v/>
      </c>
      <c r="K245" s="154" t="inlineStr">
        <is>
          <t>Pending</t>
        </is>
      </c>
    </row>
    <row r="246" ht="15.75" customHeight="1">
      <c r="B246" s="137" t="n"/>
      <c r="C246" s="124" t="n"/>
      <c r="D246" s="123" t="n"/>
      <c r="E246" s="123" t="n"/>
      <c r="F246" s="187" t="n"/>
      <c r="G246" s="65" t="n"/>
      <c r="H246" s="188" t="n"/>
      <c r="I246" s="189" t="n"/>
      <c r="J246" s="190">
        <f>IFERROR(IF(F246*H246=0,"",F246*H246),"")</f>
        <v/>
      </c>
      <c r="K246" s="147" t="inlineStr">
        <is>
          <t>Pending</t>
        </is>
      </c>
    </row>
    <row r="247" ht="15.75" customHeight="1">
      <c r="B247" s="137" t="n"/>
      <c r="C247" s="126" t="n"/>
      <c r="D247" s="127" t="n"/>
      <c r="E247" s="127" t="n"/>
      <c r="F247" s="191" t="n"/>
      <c r="G247" s="74" t="n"/>
      <c r="H247" s="192" t="n"/>
      <c r="I247" s="193" t="n"/>
      <c r="J247" s="194">
        <f>IFERROR(IF(F247*H247=0,"",F247*H247),"")</f>
        <v/>
      </c>
      <c r="K247" s="154" t="inlineStr">
        <is>
          <t>Pending</t>
        </is>
      </c>
    </row>
    <row r="248" ht="15.75" customHeight="1">
      <c r="B248" s="137" t="n"/>
      <c r="C248" s="124" t="n"/>
      <c r="D248" s="123" t="n"/>
      <c r="E248" s="123" t="n"/>
      <c r="F248" s="187" t="n"/>
      <c r="G248" s="65" t="n"/>
      <c r="H248" s="188" t="n"/>
      <c r="I248" s="189" t="n"/>
      <c r="J248" s="190">
        <f>IFERROR(IF(F248*H248=0,"",F248*H248),"")</f>
        <v/>
      </c>
      <c r="K248" s="147" t="inlineStr">
        <is>
          <t>Pending</t>
        </is>
      </c>
    </row>
    <row r="249" ht="15.75" customHeight="1">
      <c r="B249" s="137" t="n"/>
      <c r="C249" s="126" t="n"/>
      <c r="D249" s="127" t="n"/>
      <c r="E249" s="127" t="n"/>
      <c r="F249" s="191" t="n"/>
      <c r="G249" s="74" t="n"/>
      <c r="H249" s="192" t="n"/>
      <c r="I249" s="193" t="n"/>
      <c r="J249" s="194">
        <f>IFERROR(IF(F249*H249=0,"",F249*H249),"")</f>
        <v/>
      </c>
      <c r="K249" s="154" t="inlineStr">
        <is>
          <t>Pending</t>
        </is>
      </c>
    </row>
    <row r="250" ht="15.75" customHeight="1">
      <c r="B250" s="137" t="n"/>
      <c r="C250" s="124" t="n"/>
      <c r="D250" s="123" t="n"/>
      <c r="E250" s="123" t="n"/>
      <c r="F250" s="187" t="n"/>
      <c r="G250" s="65" t="n"/>
      <c r="H250" s="188" t="n"/>
      <c r="I250" s="189" t="n"/>
      <c r="J250" s="190">
        <f>IFERROR(IF(F250*H250=0,"",F250*H250),"")</f>
        <v/>
      </c>
      <c r="K250" s="147" t="inlineStr">
        <is>
          <t>Pending</t>
        </is>
      </c>
    </row>
    <row r="251" ht="15.75" customHeight="1">
      <c r="B251" s="137" t="n"/>
      <c r="C251" s="126" t="n"/>
      <c r="D251" s="127" t="n"/>
      <c r="E251" s="127" t="n"/>
      <c r="F251" s="191" t="n"/>
      <c r="G251" s="74" t="n"/>
      <c r="H251" s="192" t="n"/>
      <c r="I251" s="193" t="n"/>
      <c r="J251" s="194">
        <f>IFERROR(IF(F251*H251=0,"",F251*H251),"")</f>
        <v/>
      </c>
      <c r="K251" s="154" t="inlineStr">
        <is>
          <t>Pending</t>
        </is>
      </c>
    </row>
    <row r="252" ht="15.75" customHeight="1">
      <c r="B252" s="137" t="n"/>
      <c r="C252" s="124" t="n"/>
      <c r="D252" s="123" t="n"/>
      <c r="E252" s="123" t="n"/>
      <c r="F252" s="187" t="n"/>
      <c r="G252" s="65" t="n"/>
      <c r="H252" s="188" t="n"/>
      <c r="I252" s="189" t="n"/>
      <c r="J252" s="190">
        <f>IFERROR(IF(F252*H252=0,"",F252*H252),"")</f>
        <v/>
      </c>
      <c r="K252" s="147" t="inlineStr">
        <is>
          <t>Pending</t>
        </is>
      </c>
    </row>
    <row r="253" ht="15.75" customHeight="1">
      <c r="B253" s="137" t="n"/>
      <c r="C253" s="126" t="n"/>
      <c r="D253" s="127" t="n"/>
      <c r="E253" s="127" t="n"/>
      <c r="F253" s="191" t="n"/>
      <c r="G253" s="74" t="n"/>
      <c r="H253" s="192" t="n"/>
      <c r="I253" s="193" t="n"/>
      <c r="J253" s="194">
        <f>IFERROR(IF(F253*H253=0,"",F253*H253),"")</f>
        <v/>
      </c>
      <c r="K253" s="154" t="inlineStr">
        <is>
          <t>Pending</t>
        </is>
      </c>
    </row>
    <row r="254" ht="15.75" customHeight="1">
      <c r="B254" s="137" t="n"/>
      <c r="C254" s="124" t="n"/>
      <c r="D254" s="123" t="n"/>
      <c r="E254" s="123" t="n"/>
      <c r="F254" s="187" t="n"/>
      <c r="G254" s="65" t="n"/>
      <c r="H254" s="188" t="n"/>
      <c r="I254" s="189" t="n"/>
      <c r="J254" s="190">
        <f>IFERROR(IF(F254*H254=0,"",F254*H254),"")</f>
        <v/>
      </c>
      <c r="K254" s="147" t="inlineStr">
        <is>
          <t>Pending</t>
        </is>
      </c>
    </row>
    <row r="255" ht="15.75" customHeight="1">
      <c r="B255" s="137" t="n"/>
      <c r="C255" s="126" t="n"/>
      <c r="D255" s="127" t="n"/>
      <c r="E255" s="127" t="n"/>
      <c r="F255" s="191" t="n"/>
      <c r="G255" s="74" t="n"/>
      <c r="H255" s="192" t="n"/>
      <c r="I255" s="193" t="n"/>
      <c r="J255" s="194">
        <f>IFERROR(IF(F255*H255=0,"",F255*H255),"")</f>
        <v/>
      </c>
      <c r="K255" s="154" t="inlineStr">
        <is>
          <t>Pending</t>
        </is>
      </c>
    </row>
    <row r="256" ht="15.75" customHeight="1">
      <c r="B256" s="137" t="n"/>
      <c r="C256" s="124" t="n"/>
      <c r="D256" s="123" t="n"/>
      <c r="E256" s="123" t="n"/>
      <c r="F256" s="187" t="n"/>
      <c r="G256" s="65" t="n"/>
      <c r="H256" s="188" t="n"/>
      <c r="I256" s="189" t="n"/>
      <c r="J256" s="190">
        <f>IFERROR(IF(F256*H256=0,"",F256*H256),"")</f>
        <v/>
      </c>
      <c r="K256" s="147" t="inlineStr">
        <is>
          <t>Pending</t>
        </is>
      </c>
    </row>
    <row r="257" ht="15.75" customHeight="1">
      <c r="B257" s="137" t="n"/>
      <c r="C257" s="126" t="n"/>
      <c r="D257" s="127" t="n"/>
      <c r="E257" s="127" t="n"/>
      <c r="F257" s="191" t="n"/>
      <c r="G257" s="74" t="n"/>
      <c r="H257" s="192" t="n"/>
      <c r="I257" s="193" t="n"/>
      <c r="J257" s="194">
        <f>IFERROR(IF(F257*H257=0,"",F257*H257),"")</f>
        <v/>
      </c>
      <c r="K257" s="154" t="inlineStr">
        <is>
          <t>Pending</t>
        </is>
      </c>
    </row>
    <row r="258" ht="15.75" customHeight="1">
      <c r="B258" s="137" t="n"/>
      <c r="C258" s="124" t="n"/>
      <c r="D258" s="123" t="n"/>
      <c r="E258" s="123" t="n"/>
      <c r="F258" s="187" t="n"/>
      <c r="G258" s="65" t="n"/>
      <c r="H258" s="188" t="n"/>
      <c r="I258" s="189" t="n"/>
      <c r="J258" s="190">
        <f>IFERROR(IF(F258*H258=0,"",F258*H258),"")</f>
        <v/>
      </c>
      <c r="K258" s="147" t="inlineStr">
        <is>
          <t>Pending</t>
        </is>
      </c>
    </row>
    <row r="259" ht="15.75" customHeight="1">
      <c r="B259" s="137" t="n"/>
      <c r="C259" s="126" t="n"/>
      <c r="D259" s="127" t="n"/>
      <c r="E259" s="127" t="n"/>
      <c r="F259" s="191" t="n"/>
      <c r="G259" s="74" t="n"/>
      <c r="H259" s="192" t="n"/>
      <c r="I259" s="193" t="n"/>
      <c r="J259" s="194">
        <f>IFERROR(IF(F259*H259=0,"",F259*H259),"")</f>
        <v/>
      </c>
      <c r="K259" s="154" t="inlineStr">
        <is>
          <t>Pending</t>
        </is>
      </c>
    </row>
    <row r="260" ht="15.75" customHeight="1">
      <c r="B260" s="137" t="n"/>
      <c r="C260" s="124" t="n"/>
      <c r="D260" s="123" t="n"/>
      <c r="E260" s="123" t="n"/>
      <c r="F260" s="187" t="n"/>
      <c r="G260" s="65" t="n"/>
      <c r="H260" s="188" t="n"/>
      <c r="I260" s="189" t="n"/>
      <c r="J260" s="190">
        <f>IFERROR(IF(F260*H260=0,"",F260*H260),"")</f>
        <v/>
      </c>
      <c r="K260" s="147" t="inlineStr">
        <is>
          <t>Pending</t>
        </is>
      </c>
    </row>
    <row r="261" ht="15.75" customHeight="1">
      <c r="B261" s="137" t="n"/>
      <c r="C261" s="126" t="n"/>
      <c r="D261" s="127" t="n"/>
      <c r="E261" s="127" t="n"/>
      <c r="F261" s="191" t="n"/>
      <c r="G261" s="74" t="n"/>
      <c r="H261" s="192" t="n"/>
      <c r="I261" s="193" t="n"/>
      <c r="J261" s="194">
        <f>IFERROR(IF(F261*H261=0,"",F261*H261),"")</f>
        <v/>
      </c>
      <c r="K261" s="154" t="inlineStr">
        <is>
          <t>Pending</t>
        </is>
      </c>
    </row>
    <row r="262" ht="15.75" customHeight="1">
      <c r="B262" s="137" t="n"/>
      <c r="C262" s="124" t="n"/>
      <c r="D262" s="123" t="n"/>
      <c r="E262" s="123" t="n"/>
      <c r="F262" s="187" t="n"/>
      <c r="G262" s="65" t="n"/>
      <c r="H262" s="188" t="n"/>
      <c r="I262" s="189" t="n"/>
      <c r="J262" s="190">
        <f>IFERROR(IF(F262*H262=0,"",F262*H262),"")</f>
        <v/>
      </c>
      <c r="K262" s="147" t="inlineStr">
        <is>
          <t>Pending</t>
        </is>
      </c>
    </row>
    <row r="263" ht="15.75" customHeight="1">
      <c r="B263" s="137" t="n"/>
      <c r="C263" s="126" t="n"/>
      <c r="D263" s="127" t="n"/>
      <c r="E263" s="127" t="n"/>
      <c r="F263" s="191" t="n"/>
      <c r="G263" s="74" t="n"/>
      <c r="H263" s="192" t="n"/>
      <c r="I263" s="193" t="n"/>
      <c r="J263" s="194">
        <f>IFERROR(IF(F263*H263=0,"",F263*H263),"")</f>
        <v/>
      </c>
      <c r="K263" s="154" t="inlineStr">
        <is>
          <t>Pending</t>
        </is>
      </c>
    </row>
    <row r="264" ht="15.75" customHeight="1">
      <c r="B264" s="137" t="n"/>
      <c r="C264" s="124" t="n"/>
      <c r="D264" s="123" t="n"/>
      <c r="E264" s="123" t="n"/>
      <c r="F264" s="187" t="n"/>
      <c r="G264" s="65" t="n"/>
      <c r="H264" s="188" t="n"/>
      <c r="I264" s="189" t="n"/>
      <c r="J264" s="190">
        <f>IFERROR(IF(F264*H264=0,"",F264*H264),"")</f>
        <v/>
      </c>
      <c r="K264" s="147" t="inlineStr">
        <is>
          <t>Pending</t>
        </is>
      </c>
    </row>
    <row r="265" ht="15.75" customHeight="1">
      <c r="B265" s="137" t="n"/>
      <c r="C265" s="126" t="n"/>
      <c r="D265" s="127" t="n"/>
      <c r="E265" s="127" t="n"/>
      <c r="F265" s="191" t="n"/>
      <c r="G265" s="74" t="n"/>
      <c r="H265" s="192" t="n"/>
      <c r="I265" s="193" t="n"/>
      <c r="J265" s="194">
        <f>IFERROR(IF(F265*H265=0,"",F265*H265),"")</f>
        <v/>
      </c>
      <c r="K265" s="154" t="inlineStr">
        <is>
          <t>Pending</t>
        </is>
      </c>
    </row>
    <row r="266" ht="15.75" customHeight="1">
      <c r="B266" s="137" t="n"/>
      <c r="C266" s="124" t="n"/>
      <c r="D266" s="123" t="n"/>
      <c r="E266" s="123" t="n"/>
      <c r="F266" s="187" t="n"/>
      <c r="G266" s="65" t="n"/>
      <c r="H266" s="188" t="n"/>
      <c r="I266" s="189" t="n"/>
      <c r="J266" s="190">
        <f>IFERROR(IF(F266*H266=0,"",F266*H266),"")</f>
        <v/>
      </c>
      <c r="K266" s="147" t="inlineStr">
        <is>
          <t>Pending</t>
        </is>
      </c>
    </row>
    <row r="267" ht="15.75" customHeight="1">
      <c r="B267" s="137" t="n"/>
      <c r="C267" s="126" t="n"/>
      <c r="D267" s="127" t="n"/>
      <c r="E267" s="127" t="n"/>
      <c r="F267" s="191" t="n"/>
      <c r="G267" s="74" t="n"/>
      <c r="H267" s="192" t="n"/>
      <c r="I267" s="193" t="n"/>
      <c r="J267" s="194">
        <f>IFERROR(IF(F267*H267=0,"",F267*H267),"")</f>
        <v/>
      </c>
      <c r="K267" s="154" t="inlineStr">
        <is>
          <t>Pending</t>
        </is>
      </c>
    </row>
    <row r="268" ht="15.75" customHeight="1">
      <c r="B268" s="137" t="n"/>
      <c r="C268" s="124" t="n"/>
      <c r="D268" s="123" t="n"/>
      <c r="E268" s="123" t="n"/>
      <c r="F268" s="187" t="n"/>
      <c r="G268" s="65" t="n"/>
      <c r="H268" s="188" t="n"/>
      <c r="I268" s="189" t="n"/>
      <c r="J268" s="190">
        <f>IFERROR(IF(F268*H268=0,"",F268*H268),"")</f>
        <v/>
      </c>
      <c r="K268" s="147" t="inlineStr">
        <is>
          <t>Pending</t>
        </is>
      </c>
    </row>
    <row r="269" ht="15.75" customHeight="1">
      <c r="B269" s="137" t="n"/>
      <c r="C269" s="126" t="n"/>
      <c r="D269" s="127" t="n"/>
      <c r="E269" s="127" t="n"/>
      <c r="F269" s="191" t="n"/>
      <c r="G269" s="74" t="n"/>
      <c r="H269" s="192" t="n"/>
      <c r="I269" s="193" t="n"/>
      <c r="J269" s="194">
        <f>IFERROR(IF(F269*H269=0,"",F269*H269),"")</f>
        <v/>
      </c>
      <c r="K269" s="154" t="inlineStr">
        <is>
          <t>Pending</t>
        </is>
      </c>
    </row>
    <row r="270" ht="15.75" customHeight="1">
      <c r="B270" s="137" t="n"/>
      <c r="C270" s="124" t="n"/>
      <c r="D270" s="123" t="n"/>
      <c r="E270" s="123" t="n"/>
      <c r="F270" s="187" t="n"/>
      <c r="G270" s="65" t="n"/>
      <c r="H270" s="188" t="n"/>
      <c r="I270" s="189" t="n"/>
      <c r="J270" s="190">
        <f>IFERROR(IF(F270*H270=0,"",F270*H270),"")</f>
        <v/>
      </c>
      <c r="K270" s="147" t="inlineStr">
        <is>
          <t>Pending</t>
        </is>
      </c>
    </row>
    <row r="271" ht="15.75" customHeight="1">
      <c r="B271" s="137" t="n"/>
      <c r="C271" s="126" t="n"/>
      <c r="D271" s="127" t="n"/>
      <c r="E271" s="127" t="n"/>
      <c r="F271" s="191" t="n"/>
      <c r="G271" s="74" t="n"/>
      <c r="H271" s="192" t="n"/>
      <c r="I271" s="193" t="n"/>
      <c r="J271" s="194">
        <f>IFERROR(IF(F271*H271=0,"",F271*H271),"")</f>
        <v/>
      </c>
      <c r="K271" s="154" t="inlineStr">
        <is>
          <t>Pending</t>
        </is>
      </c>
    </row>
    <row r="272" ht="15.75" customHeight="1">
      <c r="B272" s="137" t="n"/>
      <c r="C272" s="124" t="n"/>
      <c r="D272" s="123" t="n"/>
      <c r="E272" s="123" t="n"/>
      <c r="F272" s="187" t="n"/>
      <c r="G272" s="65" t="n"/>
      <c r="H272" s="188" t="n"/>
      <c r="I272" s="189" t="n"/>
      <c r="J272" s="190">
        <f>IFERROR(IF(F272*H272=0,"",F272*H272),"")</f>
        <v/>
      </c>
      <c r="K272" s="147" t="inlineStr">
        <is>
          <t>Pending</t>
        </is>
      </c>
    </row>
    <row r="273" ht="15.75" customHeight="1">
      <c r="B273" s="137" t="n"/>
      <c r="C273" s="126" t="n"/>
      <c r="D273" s="127" t="n"/>
      <c r="E273" s="127" t="n"/>
      <c r="F273" s="191" t="n"/>
      <c r="G273" s="74" t="n"/>
      <c r="H273" s="192" t="n"/>
      <c r="I273" s="193" t="n"/>
      <c r="J273" s="194">
        <f>IFERROR(IF(F273*H273=0,"",F273*H273),"")</f>
        <v/>
      </c>
      <c r="K273" s="154" t="inlineStr">
        <is>
          <t>Pending</t>
        </is>
      </c>
    </row>
    <row r="274" ht="15.75" customHeight="1">
      <c r="B274" s="137" t="n"/>
      <c r="C274" s="124" t="n"/>
      <c r="D274" s="123" t="n"/>
      <c r="E274" s="123" t="n"/>
      <c r="F274" s="187" t="n"/>
      <c r="G274" s="65" t="n"/>
      <c r="H274" s="188" t="n"/>
      <c r="I274" s="189" t="n"/>
      <c r="J274" s="190">
        <f>IFERROR(IF(F274*H274=0,"",F274*H274),"")</f>
        <v/>
      </c>
      <c r="K274" s="147" t="inlineStr">
        <is>
          <t>Pending</t>
        </is>
      </c>
    </row>
    <row r="275" ht="15.75" customHeight="1">
      <c r="B275" s="137" t="n"/>
      <c r="C275" s="126" t="n"/>
      <c r="D275" s="127" t="n"/>
      <c r="E275" s="127" t="n"/>
      <c r="F275" s="191" t="n"/>
      <c r="G275" s="74" t="n"/>
      <c r="H275" s="192" t="n"/>
      <c r="I275" s="193" t="n"/>
      <c r="J275" s="194">
        <f>IFERROR(IF(F275*H275=0,"",F275*H275),"")</f>
        <v/>
      </c>
      <c r="K275" s="154" t="inlineStr">
        <is>
          <t>Pending</t>
        </is>
      </c>
    </row>
    <row r="276" ht="15.75" customHeight="1">
      <c r="B276" s="137" t="n"/>
      <c r="C276" s="124" t="n"/>
      <c r="D276" s="123" t="n"/>
      <c r="E276" s="123" t="n"/>
      <c r="F276" s="187" t="n"/>
      <c r="G276" s="65" t="n"/>
      <c r="H276" s="188" t="n"/>
      <c r="I276" s="189" t="n"/>
      <c r="J276" s="190">
        <f>IFERROR(IF(F276*H276=0,"",F276*H276),"")</f>
        <v/>
      </c>
      <c r="K276" s="147" t="inlineStr">
        <is>
          <t>Pending</t>
        </is>
      </c>
    </row>
    <row r="277" ht="15.75" customHeight="1">
      <c r="B277" s="137" t="n"/>
      <c r="C277" s="126" t="n"/>
      <c r="D277" s="127" t="n"/>
      <c r="E277" s="127" t="n"/>
      <c r="F277" s="191" t="n"/>
      <c r="G277" s="74" t="n"/>
      <c r="H277" s="192" t="n"/>
      <c r="I277" s="193" t="n"/>
      <c r="J277" s="194">
        <f>IFERROR(IF(F277*H277=0,"",F277*H277),"")</f>
        <v/>
      </c>
      <c r="K277" s="154" t="inlineStr">
        <is>
          <t>Pending</t>
        </is>
      </c>
    </row>
    <row r="278" ht="15.75" customHeight="1">
      <c r="B278" s="137" t="n"/>
      <c r="C278" s="124" t="n"/>
      <c r="D278" s="123" t="n"/>
      <c r="E278" s="123" t="n"/>
      <c r="F278" s="187" t="n"/>
      <c r="G278" s="65" t="n"/>
      <c r="H278" s="188" t="n"/>
      <c r="I278" s="189" t="n"/>
      <c r="J278" s="190">
        <f>IFERROR(IF(F278*H278=0,"",F278*H278),"")</f>
        <v/>
      </c>
      <c r="K278" s="147" t="inlineStr">
        <is>
          <t>Pending</t>
        </is>
      </c>
    </row>
    <row r="279" ht="15.75" customHeight="1">
      <c r="B279" s="137" t="n"/>
      <c r="C279" s="126" t="n"/>
      <c r="D279" s="127" t="n"/>
      <c r="E279" s="127" t="n"/>
      <c r="F279" s="191" t="n"/>
      <c r="G279" s="74" t="n"/>
      <c r="H279" s="192" t="n"/>
      <c r="I279" s="193" t="n"/>
      <c r="J279" s="194">
        <f>IFERROR(IF(F279*H279=0,"",F279*H279),"")</f>
        <v/>
      </c>
      <c r="K279" s="154" t="inlineStr">
        <is>
          <t>Pending</t>
        </is>
      </c>
    </row>
    <row r="280" ht="15.75" customHeight="1">
      <c r="B280" s="137" t="n"/>
      <c r="C280" s="124" t="n"/>
      <c r="D280" s="123" t="n"/>
      <c r="E280" s="123" t="n"/>
      <c r="F280" s="187" t="n"/>
      <c r="G280" s="65" t="n"/>
      <c r="H280" s="188" t="n"/>
      <c r="I280" s="189" t="n"/>
      <c r="J280" s="190">
        <f>IFERROR(IF(F280*H280=0,"",F280*H280),"")</f>
        <v/>
      </c>
      <c r="K280" s="147" t="inlineStr">
        <is>
          <t>Pending</t>
        </is>
      </c>
    </row>
    <row r="281" ht="15.75" customHeight="1">
      <c r="B281" s="137" t="n"/>
      <c r="C281" s="126" t="n"/>
      <c r="D281" s="127" t="n"/>
      <c r="E281" s="127" t="n"/>
      <c r="F281" s="191" t="n"/>
      <c r="G281" s="74" t="n"/>
      <c r="H281" s="192" t="n"/>
      <c r="I281" s="193" t="n"/>
      <c r="J281" s="194">
        <f>IFERROR(IF(F281*H281=0,"",F281*H281),"")</f>
        <v/>
      </c>
      <c r="K281" s="154" t="inlineStr">
        <is>
          <t>Pending</t>
        </is>
      </c>
    </row>
    <row r="282" ht="15.75" customHeight="1">
      <c r="B282" s="137" t="n"/>
      <c r="C282" s="124" t="n"/>
      <c r="D282" s="123" t="n"/>
      <c r="E282" s="123" t="n"/>
      <c r="F282" s="187" t="n"/>
      <c r="G282" s="65" t="n"/>
      <c r="H282" s="188" t="n"/>
      <c r="I282" s="189" t="n"/>
      <c r="J282" s="190">
        <f>IFERROR(IF(F282*H282=0,"",F282*H282),"")</f>
        <v/>
      </c>
      <c r="K282" s="147" t="inlineStr">
        <is>
          <t>Pending</t>
        </is>
      </c>
    </row>
    <row r="283" ht="15.75" customHeight="1">
      <c r="B283" s="137" t="n"/>
      <c r="C283" s="126" t="n"/>
      <c r="D283" s="127" t="n"/>
      <c r="E283" s="127" t="n"/>
      <c r="F283" s="191" t="n"/>
      <c r="G283" s="74" t="n"/>
      <c r="H283" s="192" t="n"/>
      <c r="I283" s="193" t="n"/>
      <c r="J283" s="194">
        <f>IFERROR(IF(F283*H283=0,"",F283*H283),"")</f>
        <v/>
      </c>
      <c r="K283" s="154" t="inlineStr">
        <is>
          <t>Pending</t>
        </is>
      </c>
    </row>
    <row r="284" ht="15.75" customHeight="1">
      <c r="B284" s="137" t="n"/>
      <c r="C284" s="124" t="n"/>
      <c r="D284" s="123" t="n"/>
      <c r="E284" s="123" t="n"/>
      <c r="F284" s="187" t="n"/>
      <c r="G284" s="65" t="n"/>
      <c r="H284" s="188" t="n"/>
      <c r="I284" s="189" t="n"/>
      <c r="J284" s="190">
        <f>IFERROR(IF(F284*H284=0,"",F284*H284),"")</f>
        <v/>
      </c>
      <c r="K284" s="147" t="inlineStr">
        <is>
          <t>Pending</t>
        </is>
      </c>
    </row>
    <row r="285" ht="15.75" customHeight="1">
      <c r="B285" s="137" t="n"/>
      <c r="C285" s="126" t="n"/>
      <c r="D285" s="127" t="n"/>
      <c r="E285" s="127" t="n"/>
      <c r="F285" s="191" t="n"/>
      <c r="G285" s="74" t="n"/>
      <c r="H285" s="192" t="n"/>
      <c r="I285" s="193" t="n"/>
      <c r="J285" s="194">
        <f>IFERROR(IF(F285*H285=0,"",F285*H285),"")</f>
        <v/>
      </c>
      <c r="K285" s="154" t="inlineStr">
        <is>
          <t>Pending</t>
        </is>
      </c>
    </row>
    <row r="286" ht="15.75" customHeight="1">
      <c r="B286" s="137" t="n"/>
      <c r="C286" s="124" t="n"/>
      <c r="D286" s="123" t="n"/>
      <c r="E286" s="123" t="n"/>
      <c r="F286" s="187" t="n"/>
      <c r="G286" s="65" t="n"/>
      <c r="H286" s="188" t="n"/>
      <c r="I286" s="189" t="n"/>
      <c r="J286" s="190">
        <f>IFERROR(IF(F286*H286=0,"",F286*H286),"")</f>
        <v/>
      </c>
      <c r="K286" s="147" t="inlineStr">
        <is>
          <t>Pending</t>
        </is>
      </c>
    </row>
    <row r="287" ht="15.75" customHeight="1">
      <c r="B287" s="137" t="n"/>
      <c r="C287" s="126" t="n"/>
      <c r="D287" s="127" t="n"/>
      <c r="E287" s="127" t="n"/>
      <c r="F287" s="191" t="n"/>
      <c r="G287" s="74" t="n"/>
      <c r="H287" s="192" t="n"/>
      <c r="I287" s="193" t="n"/>
      <c r="J287" s="194">
        <f>IFERROR(IF(F287*H287=0,"",F287*H287),"")</f>
        <v/>
      </c>
      <c r="K287" s="154" t="inlineStr">
        <is>
          <t>Pending</t>
        </is>
      </c>
    </row>
    <row r="288" ht="15.75" customHeight="1">
      <c r="B288" s="137" t="n"/>
      <c r="C288" s="124" t="n"/>
      <c r="D288" s="123" t="n"/>
      <c r="E288" s="123" t="n"/>
      <c r="F288" s="187" t="n"/>
      <c r="G288" s="65" t="n"/>
      <c r="H288" s="188" t="n"/>
      <c r="I288" s="189" t="n"/>
      <c r="J288" s="190">
        <f>IFERROR(IF(F288*H288=0,"",F288*H288),"")</f>
        <v/>
      </c>
      <c r="K288" s="147" t="inlineStr">
        <is>
          <t>Pending</t>
        </is>
      </c>
    </row>
    <row r="289" ht="15.75" customHeight="1">
      <c r="B289" s="137" t="n"/>
      <c r="C289" s="126" t="n"/>
      <c r="D289" s="127" t="n"/>
      <c r="E289" s="127" t="n"/>
      <c r="F289" s="191" t="n"/>
      <c r="G289" s="74" t="n"/>
      <c r="H289" s="192" t="n"/>
      <c r="I289" s="193" t="n"/>
      <c r="J289" s="194">
        <f>IFERROR(IF(F289*H289=0,"",F289*H289),"")</f>
        <v/>
      </c>
      <c r="K289" s="154" t="inlineStr">
        <is>
          <t>Pending</t>
        </is>
      </c>
    </row>
    <row r="290" ht="15.75" customHeight="1">
      <c r="B290" s="137" t="n"/>
      <c r="C290" s="124" t="n"/>
      <c r="D290" s="123" t="n"/>
      <c r="E290" s="123" t="n"/>
      <c r="F290" s="187" t="n"/>
      <c r="G290" s="65" t="n"/>
      <c r="H290" s="188" t="n"/>
      <c r="I290" s="189" t="n"/>
      <c r="J290" s="190">
        <f>IFERROR(IF(F290*H290=0,"",F290*H290),"")</f>
        <v/>
      </c>
      <c r="K290" s="147" t="inlineStr">
        <is>
          <t>Pending</t>
        </is>
      </c>
    </row>
    <row r="291" ht="15.75" customHeight="1">
      <c r="B291" s="137" t="n"/>
      <c r="C291" s="126" t="n"/>
      <c r="D291" s="127" t="n"/>
      <c r="E291" s="127" t="n"/>
      <c r="F291" s="191" t="n"/>
      <c r="G291" s="74" t="n"/>
      <c r="H291" s="192" t="n"/>
      <c r="I291" s="193" t="n"/>
      <c r="J291" s="194">
        <f>IFERROR(IF(F291*H291=0,"",F291*H291),"")</f>
        <v/>
      </c>
      <c r="K291" s="154" t="inlineStr">
        <is>
          <t>Pending</t>
        </is>
      </c>
    </row>
    <row r="292" ht="15.75" customHeight="1">
      <c r="B292" s="137" t="n"/>
      <c r="C292" s="124" t="n"/>
      <c r="D292" s="123" t="n"/>
      <c r="E292" s="123" t="n"/>
      <c r="F292" s="187" t="n"/>
      <c r="G292" s="65" t="n"/>
      <c r="H292" s="188" t="n"/>
      <c r="I292" s="189" t="n"/>
      <c r="J292" s="190">
        <f>IFERROR(IF(F292*H292=0,"",F292*H292),"")</f>
        <v/>
      </c>
      <c r="K292" s="147" t="inlineStr">
        <is>
          <t>Pending</t>
        </is>
      </c>
    </row>
    <row r="293" ht="15.75" customHeight="1">
      <c r="B293" s="137" t="n"/>
      <c r="C293" s="126" t="n"/>
      <c r="D293" s="127" t="n"/>
      <c r="E293" s="127" t="n"/>
      <c r="F293" s="191" t="n"/>
      <c r="G293" s="74" t="n"/>
      <c r="H293" s="192" t="n"/>
      <c r="I293" s="193" t="n"/>
      <c r="J293" s="194">
        <f>IFERROR(IF(F293*H293=0,"",F293*H293),"")</f>
        <v/>
      </c>
      <c r="K293" s="154" t="inlineStr">
        <is>
          <t>Pending</t>
        </is>
      </c>
    </row>
    <row r="294" ht="15.75" customHeight="1">
      <c r="B294" s="137" t="n"/>
      <c r="C294" s="124" t="n"/>
      <c r="D294" s="123" t="n"/>
      <c r="E294" s="123" t="n"/>
      <c r="F294" s="187" t="n"/>
      <c r="G294" s="65" t="n"/>
      <c r="H294" s="188" t="n"/>
      <c r="I294" s="189" t="n"/>
      <c r="J294" s="190">
        <f>IFERROR(IF(F294*H294=0,"",F294*H294),"")</f>
        <v/>
      </c>
      <c r="K294" s="147" t="inlineStr">
        <is>
          <t>Pending</t>
        </is>
      </c>
    </row>
    <row r="295" ht="15.75" customHeight="1">
      <c r="B295" s="137" t="n"/>
      <c r="C295" s="126" t="n"/>
      <c r="D295" s="127" t="n"/>
      <c r="E295" s="127" t="n"/>
      <c r="F295" s="191" t="n"/>
      <c r="G295" s="74" t="n"/>
      <c r="H295" s="192" t="n"/>
      <c r="I295" s="193" t="n"/>
      <c r="J295" s="194">
        <f>IFERROR(IF(F295*H295=0,"",F295*H295),"")</f>
        <v/>
      </c>
      <c r="K295" s="154" t="inlineStr">
        <is>
          <t>Pending</t>
        </is>
      </c>
    </row>
    <row r="296" ht="15.75" customHeight="1">
      <c r="B296" s="137" t="n"/>
      <c r="C296" s="124" t="n"/>
      <c r="D296" s="123" t="n"/>
      <c r="E296" s="123" t="n"/>
      <c r="F296" s="187" t="n"/>
      <c r="G296" s="65" t="n"/>
      <c r="H296" s="188" t="n"/>
      <c r="I296" s="189" t="n"/>
      <c r="J296" s="190">
        <f>IFERROR(IF(F296*H296=0,"",F296*H296),"")</f>
        <v/>
      </c>
      <c r="K296" s="147" t="inlineStr">
        <is>
          <t>Pending</t>
        </is>
      </c>
    </row>
    <row r="297" ht="15.75" customHeight="1">
      <c r="B297" s="137" t="n"/>
      <c r="C297" s="126" t="n"/>
      <c r="D297" s="127" t="n"/>
      <c r="E297" s="127" t="n"/>
      <c r="F297" s="191" t="n"/>
      <c r="G297" s="74" t="n"/>
      <c r="H297" s="192" t="n"/>
      <c r="I297" s="193" t="n"/>
      <c r="J297" s="194">
        <f>IFERROR(IF(F297*H297=0,"",F297*H297),"")</f>
        <v/>
      </c>
      <c r="K297" s="154" t="inlineStr">
        <is>
          <t>Pending</t>
        </is>
      </c>
    </row>
    <row r="298" ht="15.75" customHeight="1">
      <c r="B298" s="137" t="n"/>
      <c r="C298" s="124" t="n"/>
      <c r="D298" s="123" t="n"/>
      <c r="E298" s="123" t="n"/>
      <c r="F298" s="187" t="n"/>
      <c r="G298" s="65" t="n"/>
      <c r="H298" s="188" t="n"/>
      <c r="I298" s="189" t="n"/>
      <c r="J298" s="190">
        <f>IFERROR(IF(F298*H298=0,"",F298*H298),"")</f>
        <v/>
      </c>
      <c r="K298" s="147" t="inlineStr">
        <is>
          <t>Pending</t>
        </is>
      </c>
    </row>
    <row r="299" ht="15.75" customHeight="1">
      <c r="B299" s="137" t="n"/>
      <c r="C299" s="126" t="n"/>
      <c r="D299" s="127" t="n"/>
      <c r="E299" s="127" t="n"/>
      <c r="F299" s="191" t="n"/>
      <c r="G299" s="74" t="n"/>
      <c r="H299" s="192" t="n"/>
      <c r="I299" s="193" t="n"/>
      <c r="J299" s="194">
        <f>IFERROR(IF(F299*H299=0,"",F299*H299),"")</f>
        <v/>
      </c>
      <c r="K299" s="154" t="inlineStr">
        <is>
          <t>Pending</t>
        </is>
      </c>
    </row>
    <row r="300" ht="15.75" customHeight="1">
      <c r="B300" s="137" t="n"/>
      <c r="C300" s="124" t="n"/>
      <c r="D300" s="123" t="n"/>
      <c r="E300" s="123" t="n"/>
      <c r="F300" s="187" t="n"/>
      <c r="G300" s="65" t="n"/>
      <c r="H300" s="188" t="n"/>
      <c r="I300" s="189" t="n"/>
      <c r="J300" s="190">
        <f>IFERROR(IF(F300*H300=0,"",F300*H300),"")</f>
        <v/>
      </c>
      <c r="K300" s="147" t="inlineStr">
        <is>
          <t>Pending</t>
        </is>
      </c>
    </row>
    <row r="301" ht="15.75" customHeight="1">
      <c r="B301" s="137" t="n"/>
      <c r="C301" s="126" t="n"/>
      <c r="D301" s="127" t="n"/>
      <c r="E301" s="127" t="n"/>
      <c r="F301" s="191" t="n"/>
      <c r="G301" s="74" t="n"/>
      <c r="H301" s="192" t="n"/>
      <c r="I301" s="193" t="n"/>
      <c r="J301" s="194">
        <f>IFERROR(IF(F301*H301=0,"",F301*H301),"")</f>
        <v/>
      </c>
      <c r="K301" s="154" t="inlineStr">
        <is>
          <t>Pending</t>
        </is>
      </c>
    </row>
    <row r="302" ht="15.75" customHeight="1">
      <c r="B302" s="137" t="n"/>
      <c r="C302" s="124" t="n"/>
      <c r="D302" s="123" t="n"/>
      <c r="E302" s="123" t="n"/>
      <c r="F302" s="187" t="n"/>
      <c r="G302" s="65" t="n"/>
      <c r="H302" s="188" t="n"/>
      <c r="I302" s="189" t="n"/>
      <c r="J302" s="190">
        <f>IFERROR(IF(F302*H302=0,"",F302*H302),"")</f>
        <v/>
      </c>
      <c r="K302" s="147" t="inlineStr">
        <is>
          <t>Pending</t>
        </is>
      </c>
    </row>
    <row r="303" ht="15.75" customHeight="1">
      <c r="B303" s="137" t="n"/>
      <c r="C303" s="126" t="n"/>
      <c r="D303" s="127" t="n"/>
      <c r="E303" s="127" t="n"/>
      <c r="F303" s="191" t="n"/>
      <c r="G303" s="74" t="n"/>
      <c r="H303" s="192" t="n"/>
      <c r="I303" s="193" t="n"/>
      <c r="J303" s="194">
        <f>IFERROR(IF(F303*H303=0,"",F303*H303),"")</f>
        <v/>
      </c>
      <c r="K303" s="154" t="inlineStr">
        <is>
          <t>Pending</t>
        </is>
      </c>
    </row>
    <row r="304" ht="15.75" customHeight="1">
      <c r="B304" s="137" t="n"/>
      <c r="C304" s="124" t="n"/>
      <c r="D304" s="123" t="n"/>
      <c r="E304" s="123" t="n"/>
      <c r="F304" s="187" t="n"/>
      <c r="G304" s="65" t="n"/>
      <c r="H304" s="188" t="n"/>
      <c r="I304" s="189" t="n"/>
      <c r="J304" s="190">
        <f>IFERROR(IF(F304*H304=0,"",F304*H304),"")</f>
        <v/>
      </c>
      <c r="K304" s="147" t="inlineStr">
        <is>
          <t>Pending</t>
        </is>
      </c>
    </row>
    <row r="305" ht="15.75" customHeight="1">
      <c r="B305" s="137" t="n"/>
      <c r="C305" s="126" t="n"/>
      <c r="D305" s="127" t="n"/>
      <c r="E305" s="127" t="n"/>
      <c r="F305" s="191" t="n"/>
      <c r="G305" s="74" t="n"/>
      <c r="H305" s="192" t="n"/>
      <c r="I305" s="193" t="n"/>
      <c r="J305" s="194">
        <f>IFERROR(IF(F305*H305=0,"",F305*H305),"")</f>
        <v/>
      </c>
      <c r="K305" s="154" t="inlineStr">
        <is>
          <t>Pending</t>
        </is>
      </c>
    </row>
    <row r="306" ht="15.75" customHeight="1">
      <c r="B306" s="137" t="n"/>
      <c r="C306" s="124" t="n"/>
      <c r="D306" s="123" t="n"/>
      <c r="E306" s="123" t="n"/>
      <c r="F306" s="187" t="n"/>
      <c r="G306" s="65" t="n"/>
      <c r="H306" s="188" t="n"/>
      <c r="I306" s="189" t="n"/>
      <c r="J306" s="190">
        <f>IFERROR(IF(F306*H306=0,"",F306*H306),"")</f>
        <v/>
      </c>
      <c r="K306" s="147" t="inlineStr">
        <is>
          <t>Pending</t>
        </is>
      </c>
    </row>
    <row r="307" ht="15.75" customHeight="1">
      <c r="B307" s="137" t="n"/>
      <c r="C307" s="126" t="n"/>
      <c r="D307" s="127" t="n"/>
      <c r="E307" s="127" t="n"/>
      <c r="F307" s="191" t="n"/>
      <c r="G307" s="74" t="n"/>
      <c r="H307" s="192" t="n"/>
      <c r="I307" s="193" t="n"/>
      <c r="J307" s="194">
        <f>IFERROR(IF(F307*H307=0,"",F307*H307),"")</f>
        <v/>
      </c>
      <c r="K307" s="154" t="inlineStr">
        <is>
          <t>Pending</t>
        </is>
      </c>
    </row>
    <row r="308" ht="15.75" customHeight="1">
      <c r="B308" s="137" t="n"/>
      <c r="C308" s="124" t="n"/>
      <c r="D308" s="123" t="n"/>
      <c r="E308" s="123" t="n"/>
      <c r="F308" s="187" t="n"/>
      <c r="G308" s="65" t="n"/>
      <c r="H308" s="188" t="n"/>
      <c r="I308" s="189" t="n"/>
      <c r="J308" s="190">
        <f>IFERROR(IF(F308*H308=0,"",F308*H308),"")</f>
        <v/>
      </c>
      <c r="K308" s="147" t="inlineStr">
        <is>
          <t>Pending</t>
        </is>
      </c>
    </row>
    <row r="309" ht="15.75" customHeight="1">
      <c r="B309" s="137" t="n"/>
      <c r="C309" s="126" t="n"/>
      <c r="D309" s="127" t="n"/>
      <c r="E309" s="127" t="n"/>
      <c r="F309" s="191" t="n"/>
      <c r="G309" s="74" t="n"/>
      <c r="H309" s="192" t="n"/>
      <c r="I309" s="193" t="n"/>
      <c r="J309" s="194">
        <f>IFERROR(IF(F309*H309=0,"",F309*H309),"")</f>
        <v/>
      </c>
      <c r="K309" s="154" t="inlineStr">
        <is>
          <t>Pending</t>
        </is>
      </c>
    </row>
  </sheetData>
  <mergeCells count="4">
    <mergeCell ref="A2:E2"/>
    <mergeCell ref="F2:K2"/>
    <mergeCell ref="A3:K3"/>
    <mergeCell ref="B8:K8"/>
  </mergeCells>
  <conditionalFormatting sqref="K10:K308">
    <cfRule type="expression" priority="2" dxfId="10">
      <formula>K10="Received"</formula>
    </cfRule>
    <cfRule type="expression" priority="3" dxfId="2">
      <formula>K10="Pending"</formula>
    </cfRule>
    <cfRule type="expression" priority="4" dxfId="12">
      <formula>K10="Cancelled"</formula>
    </cfRule>
    <cfRule type="expression" priority="5" dxfId="4">
      <formula>K10="In Transit"</formula>
    </cfRule>
  </conditionalFormatting>
  <dataValidations count="2">
    <dataValidation sqref="E10:E308" showErrorMessage="1" showInputMessage="1" allowBlank="0" type="list">
      <formula1>"Proteins,Produce,Dairy,Grains,Bakery,Beverages,Dry Goods,Sauces,Supplies,Other"</formula1>
      <formula2>0</formula2>
    </dataValidation>
    <dataValidation sqref="K10:K308" showErrorMessage="1" showInput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8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zoomScale="100" zoomScaleNormal="100" workbookViewId="0">
      <selection activeCell="A1" sqref="A1"/>
    </sheetView>
  </sheetViews>
  <sheetFormatPr baseColWidth="8" defaultColWidth="8.6640625" defaultRowHeight="14.4" customHeight="1" outlineLevelRow="0"/>
  <cols>
    <col width="4" customWidth="1" min="1" max="1"/>
    <col width="30" customWidth="1" min="2" max="2"/>
    <col width="16" customWidth="1" min="3" max="8"/>
    <col width="18" customWidth="1" min="9" max="9"/>
  </cols>
  <sheetData>
    <row r="1" ht="4.5" customHeight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37.5" customHeight="1">
      <c r="A2" s="36" t="inlineStr">
        <is>
          <t>📈  LOKA — MONTHLY P&amp;L</t>
        </is>
      </c>
      <c r="E2" s="37" t="inlineStr">
        <is>
          <t>Revenue &amp; Expense summary — fill monthly totals from Daily Log &amp; Expenses</t>
        </is>
      </c>
    </row>
    <row r="3" ht="3.75" customHeight="1">
      <c r="A3" s="38" t="n"/>
    </row>
    <row r="4" ht="7.5" customHeight="1"/>
    <row r="5" ht="9.75" customHeight="1"/>
    <row r="6" ht="21.75" customHeight="1">
      <c r="B6" s="195" t="inlineStr">
        <is>
          <t>YEAR:</t>
        </is>
      </c>
      <c r="C6" s="196" t="n">
        <v>2025</v>
      </c>
    </row>
    <row r="7" ht="7.5" customHeight="1">
      <c r="C7" t="n">
        <v>2026</v>
      </c>
    </row>
    <row r="8" ht="27.75" customHeight="1">
      <c r="B8" s="55" t="inlineStr">
        <is>
          <t>P&amp;L Line Item</t>
        </is>
      </c>
      <c r="C8" s="55" t="inlineStr">
        <is>
          <t>Jan</t>
        </is>
      </c>
      <c r="D8" s="55" t="inlineStr">
        <is>
          <t>Feb</t>
        </is>
      </c>
      <c r="E8" s="55" t="inlineStr">
        <is>
          <t>Mar</t>
        </is>
      </c>
      <c r="F8" s="55" t="inlineStr">
        <is>
          <t>Apr</t>
        </is>
      </c>
      <c r="G8" s="55" t="inlineStr">
        <is>
          <t>May</t>
        </is>
      </c>
      <c r="H8" s="55" t="inlineStr">
        <is>
          <t>Jun</t>
        </is>
      </c>
      <c r="I8" s="55" t="inlineStr">
        <is>
          <t>H1 TOTAL</t>
        </is>
      </c>
    </row>
    <row r="9" ht="19.5" customHeight="1">
      <c r="B9" s="41" t="inlineStr">
        <is>
          <t xml:space="preserve">  A. REVENUE</t>
        </is>
      </c>
      <c r="C9" s="251" t="n"/>
      <c r="D9" s="251" t="n"/>
      <c r="E9" s="251" t="n"/>
      <c r="F9" s="251" t="n"/>
      <c r="G9" s="251" t="n"/>
      <c r="H9" s="251" t="n"/>
      <c r="I9" s="251" t="n"/>
    </row>
    <row r="10" ht="18" customHeight="1">
      <c r="B10" s="197" t="inlineStr">
        <is>
          <t xml:space="preserve">  Total Revenue (from Soft App)</t>
        </is>
      </c>
      <c r="C10" s="152" t="n">
        <v>0</v>
      </c>
      <c r="D10" s="152" t="n">
        <v>0</v>
      </c>
      <c r="E10" s="152" t="n">
        <v>0</v>
      </c>
      <c r="F10" s="152" t="n">
        <v>0</v>
      </c>
      <c r="G10" s="152" t="n">
        <v>0</v>
      </c>
      <c r="H10" s="152" t="n">
        <v>0</v>
      </c>
      <c r="I10" s="178">
        <f>SUM(C10:H10)</f>
        <v/>
      </c>
    </row>
    <row r="11" ht="19.5" customHeight="1">
      <c r="B11" s="41" t="inlineStr">
        <is>
          <t xml:space="preserve">  B. COST OF GOODS (from Expenses)</t>
        </is>
      </c>
      <c r="C11" s="251" t="n"/>
      <c r="D11" s="251" t="n"/>
      <c r="E11" s="251" t="n"/>
      <c r="F11" s="251" t="n"/>
      <c r="G11" s="251" t="n"/>
      <c r="H11" s="251" t="n"/>
      <c r="I11" s="251" t="n"/>
    </row>
    <row r="12" ht="18" customHeight="1">
      <c r="B12" s="198" t="inlineStr">
        <is>
          <t xml:space="preserve">  Ingredient / Food Cost</t>
        </is>
      </c>
      <c r="C12" s="152" t="n">
        <v>0</v>
      </c>
      <c r="D12" s="152" t="n">
        <v>0</v>
      </c>
      <c r="E12" s="152" t="n">
        <v>0</v>
      </c>
      <c r="F12" s="152" t="n">
        <v>0</v>
      </c>
      <c r="G12" s="152" t="n">
        <v>0</v>
      </c>
      <c r="H12" s="152" t="n">
        <v>0</v>
      </c>
      <c r="I12" s="199">
        <f>SUM(C12:H12)</f>
        <v/>
      </c>
    </row>
    <row r="13" ht="18" customHeight="1">
      <c r="B13" s="200" t="inlineStr">
        <is>
          <t xml:space="preserve">  Other Supplies</t>
        </is>
      </c>
      <c r="C13" s="145" t="n">
        <v>0</v>
      </c>
      <c r="D13" s="145" t="n">
        <v>0</v>
      </c>
      <c r="E13" s="145" t="n">
        <v>0</v>
      </c>
      <c r="F13" s="145" t="n">
        <v>0</v>
      </c>
      <c r="G13" s="145" t="n">
        <v>0</v>
      </c>
      <c r="H13" s="145" t="n">
        <v>0</v>
      </c>
      <c r="I13" s="201">
        <f>SUM(C13:H13)</f>
        <v/>
      </c>
    </row>
    <row r="14" ht="18" customHeight="1">
      <c r="B14" s="202" t="inlineStr">
        <is>
          <t>TOTAL COGS</t>
        </is>
      </c>
      <c r="C14" s="176">
        <f>C12+C13</f>
        <v/>
      </c>
      <c r="D14" s="176">
        <f>D12+D13</f>
        <v/>
      </c>
      <c r="E14" s="176">
        <f>E12+E13</f>
        <v/>
      </c>
      <c r="F14" s="176">
        <f>F12+F13</f>
        <v/>
      </c>
      <c r="G14" s="176">
        <f>G12+G13</f>
        <v/>
      </c>
      <c r="H14" s="176">
        <f>H12+H13</f>
        <v/>
      </c>
      <c r="I14" s="176">
        <f>SUM(C14:H14)</f>
        <v/>
      </c>
    </row>
    <row r="15" ht="18" customHeight="1">
      <c r="B15" s="203" t="inlineStr">
        <is>
          <t>GROSS PROFIT</t>
        </is>
      </c>
      <c r="C15" s="174">
        <f>C10-C14</f>
        <v/>
      </c>
      <c r="D15" s="174">
        <f>D10-D14</f>
        <v/>
      </c>
      <c r="E15" s="174">
        <f>E10-E14</f>
        <v/>
      </c>
      <c r="F15" s="174">
        <f>F10-F14</f>
        <v/>
      </c>
      <c r="G15" s="174">
        <f>G10-G14</f>
        <v/>
      </c>
      <c r="H15" s="174">
        <f>H10-H14</f>
        <v/>
      </c>
      <c r="I15" s="174">
        <f>SUM(C15:H15)</f>
        <v/>
      </c>
    </row>
    <row r="16" ht="18" customHeight="1">
      <c r="B16" s="204" t="inlineStr">
        <is>
          <t>GROSS MARGIN %</t>
        </is>
      </c>
      <c r="C16" s="205">
        <f>IFERROR(C15/C10,0)</f>
        <v/>
      </c>
      <c r="D16" s="205">
        <f>IFERROR(D15/D10,0)</f>
        <v/>
      </c>
      <c r="E16" s="205">
        <f>IFERROR(E15/E10,0)</f>
        <v/>
      </c>
      <c r="F16" s="205">
        <f>IFERROR(F15/F10,0)</f>
        <v/>
      </c>
      <c r="G16" s="205">
        <f>IFERROR(G15/G10,0)</f>
        <v/>
      </c>
      <c r="H16" s="205">
        <f>IFERROR(H15/H10,0)</f>
        <v/>
      </c>
      <c r="I16" s="205">
        <f>IFERROR(AVERAGE(C16:H16),0)</f>
        <v/>
      </c>
    </row>
    <row r="17" ht="19.5" customHeight="1">
      <c r="B17" s="41" t="inlineStr">
        <is>
          <t xml:space="preserve">  C. OPERATING EXPENSES</t>
        </is>
      </c>
      <c r="C17" s="251" t="n"/>
      <c r="D17" s="251" t="n"/>
      <c r="E17" s="251" t="n"/>
      <c r="F17" s="251" t="n"/>
      <c r="G17" s="251" t="n"/>
      <c r="H17" s="251" t="n"/>
      <c r="I17" s="251" t="n"/>
    </row>
    <row r="18" ht="18" customHeight="1">
      <c r="B18" s="198" t="inlineStr">
        <is>
          <t xml:space="preserve">  Staff / Payroll</t>
        </is>
      </c>
      <c r="C18" s="152" t="n">
        <v>0</v>
      </c>
      <c r="D18" s="152" t="n">
        <v>0</v>
      </c>
      <c r="E18" s="152" t="n">
        <v>0</v>
      </c>
      <c r="F18" s="152" t="n">
        <v>0</v>
      </c>
      <c r="G18" s="152" t="n">
        <v>0</v>
      </c>
      <c r="H18" s="152" t="n">
        <v>0</v>
      </c>
      <c r="I18" s="199">
        <f>SUM(C18:H18)</f>
        <v/>
      </c>
    </row>
    <row r="19" ht="18" customHeight="1">
      <c r="B19" s="200" t="inlineStr">
        <is>
          <t xml:space="preserve">  Rent</t>
        </is>
      </c>
      <c r="C19" s="145" t="n">
        <v>0</v>
      </c>
      <c r="D19" s="145" t="n">
        <v>0</v>
      </c>
      <c r="E19" s="145" t="n">
        <v>0</v>
      </c>
      <c r="F19" s="145" t="n">
        <v>0</v>
      </c>
      <c r="G19" s="145" t="n">
        <v>0</v>
      </c>
      <c r="H19" s="145" t="n">
        <v>0</v>
      </c>
      <c r="I19" s="201">
        <f>SUM(C19:H19)</f>
        <v/>
      </c>
    </row>
    <row r="20" ht="18" customHeight="1">
      <c r="B20" s="198" t="inlineStr">
        <is>
          <t xml:space="preserve">  Utilities (Gas, Electric, Water)</t>
        </is>
      </c>
      <c r="C20" s="152" t="n">
        <v>0</v>
      </c>
      <c r="D20" s="152" t="n">
        <v>0</v>
      </c>
      <c r="E20" s="152" t="n">
        <v>0</v>
      </c>
      <c r="F20" s="152" t="n">
        <v>0</v>
      </c>
      <c r="G20" s="152" t="n">
        <v>0</v>
      </c>
      <c r="H20" s="152" t="n">
        <v>0</v>
      </c>
      <c r="I20" s="199">
        <f>SUM(C20:H20)</f>
        <v/>
      </c>
    </row>
    <row r="21" ht="18" customHeight="1">
      <c r="B21" s="200" t="inlineStr">
        <is>
          <t xml:space="preserve">  Marketing</t>
        </is>
      </c>
      <c r="C21" s="145" t="n">
        <v>0</v>
      </c>
      <c r="D21" s="145" t="n">
        <v>0</v>
      </c>
      <c r="E21" s="145" t="n">
        <v>0</v>
      </c>
      <c r="F21" s="145" t="n">
        <v>0</v>
      </c>
      <c r="G21" s="145" t="n">
        <v>0</v>
      </c>
      <c r="H21" s="145" t="n">
        <v>0</v>
      </c>
      <c r="I21" s="201">
        <f>SUM(C21:H21)</f>
        <v/>
      </c>
    </row>
    <row r="22" ht="18" customHeight="1">
      <c r="B22" s="198" t="inlineStr">
        <is>
          <t xml:space="preserve">  Maintenance &amp; Other</t>
        </is>
      </c>
      <c r="C22" s="152" t="n">
        <v>0</v>
      </c>
      <c r="D22" s="152" t="n">
        <v>0</v>
      </c>
      <c r="E22" s="152" t="n">
        <v>0</v>
      </c>
      <c r="F22" s="152" t="n">
        <v>0</v>
      </c>
      <c r="G22" s="152" t="n">
        <v>0</v>
      </c>
      <c r="H22" s="152" t="n">
        <v>0</v>
      </c>
      <c r="I22" s="199">
        <f>SUM(C22:H22)</f>
        <v/>
      </c>
    </row>
    <row r="23" ht="18" customHeight="1">
      <c r="B23" s="202" t="inlineStr">
        <is>
          <t>TOTAL OPEX</t>
        </is>
      </c>
      <c r="C23" s="176">
        <f>SUM(C18:C22)</f>
        <v/>
      </c>
      <c r="D23" s="176">
        <f>SUM(D18:D22)</f>
        <v/>
      </c>
      <c r="E23" s="176">
        <f>SUM(E18:E22)</f>
        <v/>
      </c>
      <c r="F23" s="176">
        <f>SUM(F18:F22)</f>
        <v/>
      </c>
      <c r="G23" s="176">
        <f>SUM(G18:G22)</f>
        <v/>
      </c>
      <c r="H23" s="176">
        <f>SUM(H18:H22)</f>
        <v/>
      </c>
      <c r="I23" s="176">
        <f>SUM(C23:H23)</f>
        <v/>
      </c>
    </row>
    <row r="24" ht="18" customHeight="1">
      <c r="B24" s="206" t="inlineStr">
        <is>
          <t>EBITDA</t>
        </is>
      </c>
      <c r="C24" s="207">
        <f>C15-C23</f>
        <v/>
      </c>
      <c r="D24" s="207">
        <f>D15-D23</f>
        <v/>
      </c>
      <c r="E24" s="207">
        <f>E15-E23</f>
        <v/>
      </c>
      <c r="F24" s="207">
        <f>F15-F23</f>
        <v/>
      </c>
      <c r="G24" s="207">
        <f>G15-G23</f>
        <v/>
      </c>
      <c r="H24" s="207">
        <f>H15-H23</f>
        <v/>
      </c>
      <c r="I24" s="207">
        <f>SUM(C24:H24)</f>
        <v/>
      </c>
    </row>
    <row r="25" ht="18" customHeight="1">
      <c r="B25" s="208" t="inlineStr">
        <is>
          <t>EBITDA MARGIN %</t>
        </is>
      </c>
      <c r="C25" s="209">
        <f>IFERROR(C24/C10,0)</f>
        <v/>
      </c>
      <c r="D25" s="209">
        <f>IFERROR(D24/D10,0)</f>
        <v/>
      </c>
      <c r="E25" s="209">
        <f>IFERROR(E24/E10,0)</f>
        <v/>
      </c>
      <c r="F25" s="209">
        <f>IFERROR(F24/F10,0)</f>
        <v/>
      </c>
      <c r="G25" s="209">
        <f>IFERROR(G24/G10,0)</f>
        <v/>
      </c>
      <c r="H25" s="209">
        <f>IFERROR(H24/H10,0)</f>
        <v/>
      </c>
      <c r="I25" s="209">
        <f>IFERROR(AVERAGE(C25:H25),0)</f>
        <v/>
      </c>
    </row>
    <row r="26" ht="18" customHeight="1">
      <c r="B26" s="198" t="inlineStr">
        <is>
          <t xml:space="preserve">  Depreciation</t>
        </is>
      </c>
      <c r="C26" s="152" t="n">
        <v>0</v>
      </c>
      <c r="D26" s="152" t="n">
        <v>0</v>
      </c>
      <c r="E26" s="152" t="n">
        <v>0</v>
      </c>
      <c r="F26" s="152" t="n">
        <v>0</v>
      </c>
      <c r="G26" s="152" t="n">
        <v>0</v>
      </c>
      <c r="H26" s="152" t="n">
        <v>0</v>
      </c>
      <c r="I26" s="199">
        <f>SUM(C26:H26)</f>
        <v/>
      </c>
    </row>
    <row r="27" ht="18" customHeight="1">
      <c r="B27" s="200" t="inlineStr">
        <is>
          <t xml:space="preserve">  Taxes (ISR / IVA)</t>
        </is>
      </c>
      <c r="C27" s="145" t="n">
        <v>0</v>
      </c>
      <c r="D27" s="145" t="n">
        <v>0</v>
      </c>
      <c r="E27" s="145" t="n">
        <v>0</v>
      </c>
      <c r="F27" s="145" t="n">
        <v>0</v>
      </c>
      <c r="G27" s="145" t="n">
        <v>0</v>
      </c>
      <c r="H27" s="145" t="n">
        <v>0</v>
      </c>
      <c r="I27" s="201">
        <f>SUM(C27:H27)</f>
        <v/>
      </c>
    </row>
    <row r="28" ht="18" customHeight="1">
      <c r="B28" s="203" t="inlineStr">
        <is>
          <t>NET PROFIT</t>
        </is>
      </c>
      <c r="C28" s="174">
        <f>C24-C26-C27</f>
        <v/>
      </c>
      <c r="D28" s="174">
        <f>D24-D26-D27</f>
        <v/>
      </c>
      <c r="E28" s="174">
        <f>E24-E26-E27</f>
        <v/>
      </c>
      <c r="F28" s="174">
        <f>F24-F26-F27</f>
        <v/>
      </c>
      <c r="G28" s="174">
        <f>G24-G26-G27</f>
        <v/>
      </c>
      <c r="H28" s="174">
        <f>H24-H26-H27</f>
        <v/>
      </c>
      <c r="I28" s="174">
        <f>SUM(C28:H28)</f>
        <v/>
      </c>
    </row>
    <row r="29" ht="18" customHeight="1">
      <c r="B29" s="204" t="inlineStr">
        <is>
          <t>NET MARGIN %</t>
        </is>
      </c>
      <c r="C29" s="205">
        <f>IFERROR(C28/C10,0)</f>
        <v/>
      </c>
      <c r="D29" s="205">
        <f>IFERROR(D28/D10,0)</f>
        <v/>
      </c>
      <c r="E29" s="205">
        <f>IFERROR(E28/E10,0)</f>
        <v/>
      </c>
      <c r="F29" s="205">
        <f>IFERROR(F28/F10,0)</f>
        <v/>
      </c>
      <c r="G29" s="205">
        <f>IFERROR(G28/G10,0)</f>
        <v/>
      </c>
      <c r="H29" s="205">
        <f>IFERROR(H28/H10,0)</f>
        <v/>
      </c>
      <c r="I29" s="205">
        <f>IFERROR(AVERAGE(C29:H29),0)</f>
        <v/>
      </c>
    </row>
    <row r="30" ht="19.5" customHeight="1">
      <c r="B30" s="41" t="inlineStr">
        <is>
          <t xml:space="preserve">  D. KEY METRICS</t>
        </is>
      </c>
      <c r="C30" s="251" t="n"/>
      <c r="D30" s="251" t="n"/>
      <c r="E30" s="251" t="n"/>
      <c r="F30" s="251" t="n"/>
      <c r="G30" s="251" t="n"/>
      <c r="H30" s="251" t="n"/>
      <c r="I30" s="251" t="n"/>
    </row>
    <row r="31" ht="18" customHeight="1">
      <c r="B31" s="171" t="inlineStr">
        <is>
          <t xml:space="preserve">  Total Orders (from Soft)</t>
        </is>
      </c>
      <c r="C31" s="173" t="n">
        <v>0</v>
      </c>
      <c r="D31" s="173" t="n">
        <v>0</v>
      </c>
      <c r="E31" s="173" t="n">
        <v>0</v>
      </c>
      <c r="F31" s="173" t="n">
        <v>0</v>
      </c>
      <c r="G31" s="173" t="n">
        <v>0</v>
      </c>
      <c r="H31" s="173" t="n">
        <v>0</v>
      </c>
      <c r="I31" s="210">
        <f>SUM(C31:H31)</f>
        <v/>
      </c>
    </row>
    <row r="32" ht="18" customHeight="1">
      <c r="B32" s="177" t="inlineStr">
        <is>
          <t xml:space="preserve">  Avg Ticket ($)</t>
        </is>
      </c>
      <c r="C32" s="211">
        <f>IFERROR(C10/C31,0)</f>
        <v/>
      </c>
      <c r="D32" s="211">
        <f>IFERROR(D10/D31,0)</f>
        <v/>
      </c>
      <c r="E32" s="211">
        <f>IFERROR(E10/E31,0)</f>
        <v/>
      </c>
      <c r="F32" s="211">
        <f>IFERROR(F10/F31,0)</f>
        <v/>
      </c>
      <c r="G32" s="211">
        <f>IFERROR(G10/G31,0)</f>
        <v/>
      </c>
      <c r="H32" s="211">
        <f>IFERROR(H10/H31,0)</f>
        <v/>
      </c>
      <c r="I32" s="211">
        <f>IFERROR(AVERAGE(C32:H32),0)</f>
        <v/>
      </c>
    </row>
    <row r="33" ht="18" customHeight="1">
      <c r="B33" s="171" t="inlineStr">
        <is>
          <t xml:space="preserve">  Working Days</t>
        </is>
      </c>
      <c r="C33" s="173" t="n">
        <v>0</v>
      </c>
      <c r="D33" s="173" t="n">
        <v>0</v>
      </c>
      <c r="E33" s="173" t="n">
        <v>0</v>
      </c>
      <c r="F33" s="173" t="n">
        <v>0</v>
      </c>
      <c r="G33" s="173" t="n">
        <v>0</v>
      </c>
      <c r="H33" s="173" t="n">
        <v>0</v>
      </c>
      <c r="I33" s="210">
        <f>SUM(C33:H33)</f>
        <v/>
      </c>
    </row>
    <row r="34" ht="18" customHeight="1">
      <c r="B34" s="177" t="inlineStr">
        <is>
          <t xml:space="preserve">  Revenue per Day ($)</t>
        </is>
      </c>
      <c r="C34" s="211">
        <f>IFERROR(C10/C33,0)</f>
        <v/>
      </c>
      <c r="D34" s="211">
        <f>IFERROR(D10/D33,0)</f>
        <v/>
      </c>
      <c r="E34" s="211">
        <f>IFERROR(E10/E33,0)</f>
        <v/>
      </c>
      <c r="F34" s="211">
        <f>IFERROR(F10/F33,0)</f>
        <v/>
      </c>
      <c r="G34" s="211">
        <f>IFERROR(G10/G33,0)</f>
        <v/>
      </c>
      <c r="H34" s="211">
        <f>IFERROR(H10/H33,0)</f>
        <v/>
      </c>
      <c r="I34" s="211">
        <f>IFERROR(AVERAGE(C34:H34),0)</f>
        <v/>
      </c>
    </row>
    <row r="35" ht="7.5" customHeight="1"/>
    <row r="36" ht="19.5" customHeight="1">
      <c r="B36" s="41" t="inlineStr">
        <is>
          <t xml:space="preserve">  SECOND HALF  (Jul – Dec)</t>
        </is>
      </c>
      <c r="C36" s="251" t="n"/>
      <c r="D36" s="251" t="n"/>
      <c r="E36" s="251" t="n"/>
      <c r="F36" s="251" t="n"/>
      <c r="G36" s="251" t="n"/>
      <c r="H36" s="251" t="n"/>
      <c r="I36" s="251" t="n"/>
    </row>
    <row r="37" ht="27.75" customHeight="1">
      <c r="B37" s="55" t="inlineStr">
        <is>
          <t>P&amp;L Line Item</t>
        </is>
      </c>
      <c r="C37" s="55" t="inlineStr">
        <is>
          <t>Jul</t>
        </is>
      </c>
      <c r="D37" s="55" t="inlineStr">
        <is>
          <t>Aug</t>
        </is>
      </c>
      <c r="E37" s="55" t="inlineStr">
        <is>
          <t>Sep</t>
        </is>
      </c>
      <c r="F37" s="55" t="inlineStr">
        <is>
          <t>Oct</t>
        </is>
      </c>
      <c r="G37" s="55" t="inlineStr">
        <is>
          <t>Nov</t>
        </is>
      </c>
      <c r="H37" s="55" t="inlineStr">
        <is>
          <t>Dec</t>
        </is>
      </c>
      <c r="I37" s="55" t="inlineStr">
        <is>
          <t>H2 TOTAL</t>
        </is>
      </c>
    </row>
    <row r="38" ht="18" customHeight="1">
      <c r="B38" s="197" t="inlineStr">
        <is>
          <t xml:space="preserve">  Total Revenue (from Soft App)</t>
        </is>
      </c>
      <c r="C38" s="152" t="n">
        <v>0</v>
      </c>
      <c r="D38" s="152" t="n">
        <v>0</v>
      </c>
      <c r="E38" s="152" t="n">
        <v>0</v>
      </c>
      <c r="F38" s="152" t="n">
        <v>0</v>
      </c>
      <c r="G38" s="152" t="n">
        <v>0</v>
      </c>
      <c r="H38" s="152" t="n">
        <v>0</v>
      </c>
      <c r="I38" s="152">
        <f>SUM(C38:H38)</f>
        <v/>
      </c>
    </row>
    <row r="39" ht="18" customHeight="1">
      <c r="B39" s="198" t="inlineStr">
        <is>
          <t xml:space="preserve">  Ingredient / Food Cost</t>
        </is>
      </c>
      <c r="C39" s="152" t="n">
        <v>0</v>
      </c>
      <c r="D39" s="152" t="n">
        <v>0</v>
      </c>
      <c r="E39" s="152" t="n">
        <v>0</v>
      </c>
      <c r="F39" s="152" t="n">
        <v>0</v>
      </c>
      <c r="G39" s="152" t="n">
        <v>0</v>
      </c>
      <c r="H39" s="152" t="n">
        <v>0</v>
      </c>
      <c r="I39" s="152">
        <f>SUM(C39:H39)</f>
        <v/>
      </c>
    </row>
    <row r="40" ht="18" customHeight="1">
      <c r="B40" s="200" t="inlineStr">
        <is>
          <t xml:space="preserve">  Other Supplies</t>
        </is>
      </c>
      <c r="C40" s="145" t="n">
        <v>0</v>
      </c>
      <c r="D40" s="145" t="n">
        <v>0</v>
      </c>
      <c r="E40" s="145" t="n">
        <v>0</v>
      </c>
      <c r="F40" s="145" t="n">
        <v>0</v>
      </c>
      <c r="G40" s="145" t="n">
        <v>0</v>
      </c>
      <c r="H40" s="145" t="n">
        <v>0</v>
      </c>
      <c r="I40" s="145">
        <f>SUM(C40:H40)</f>
        <v/>
      </c>
    </row>
    <row r="41" ht="18" customHeight="1">
      <c r="B41" s="202" t="inlineStr">
        <is>
          <t>TOTAL COGS</t>
        </is>
      </c>
      <c r="C41" s="212">
        <f>C39+C40</f>
        <v/>
      </c>
      <c r="D41" s="212">
        <f>D39+D40</f>
        <v/>
      </c>
      <c r="E41" s="212">
        <f>E39+E40</f>
        <v/>
      </c>
      <c r="F41" s="212">
        <f>F39+F40</f>
        <v/>
      </c>
      <c r="G41" s="212">
        <f>G39+G40</f>
        <v/>
      </c>
      <c r="H41" s="212">
        <f>H39+H40</f>
        <v/>
      </c>
      <c r="I41" s="212">
        <f>SUM(C41:H41)</f>
        <v/>
      </c>
    </row>
    <row r="42" ht="18" customHeight="1">
      <c r="B42" s="203" t="inlineStr">
        <is>
          <t>GROSS PROFIT</t>
        </is>
      </c>
      <c r="C42" s="213">
        <f>C38-C41</f>
        <v/>
      </c>
      <c r="D42" s="213">
        <f>D38-D41</f>
        <v/>
      </c>
      <c r="E42" s="213">
        <f>E38-E41</f>
        <v/>
      </c>
      <c r="F42" s="213">
        <f>F38-F41</f>
        <v/>
      </c>
      <c r="G42" s="213">
        <f>G38-G41</f>
        <v/>
      </c>
      <c r="H42" s="213">
        <f>H38-H41</f>
        <v/>
      </c>
      <c r="I42" s="213">
        <f>SUM(C42:H42)</f>
        <v/>
      </c>
    </row>
    <row r="43" ht="18" customHeight="1">
      <c r="B43" s="197" t="inlineStr">
        <is>
          <t>GROSS MARGIN %</t>
        </is>
      </c>
      <c r="C43" s="181">
        <f>IFERROR(C42/C38,0)</f>
        <v/>
      </c>
      <c r="D43" s="181">
        <f>IFERROR(D42/D38,0)</f>
        <v/>
      </c>
      <c r="E43" s="181">
        <f>IFERROR(E42/E38,0)</f>
        <v/>
      </c>
      <c r="F43" s="181">
        <f>IFERROR(F42/F38,0)</f>
        <v/>
      </c>
      <c r="G43" s="181">
        <f>IFERROR(G42/G38,0)</f>
        <v/>
      </c>
      <c r="H43" s="181">
        <f>IFERROR(H42/H38,0)</f>
        <v/>
      </c>
      <c r="I43" s="181">
        <f>IFERROR(AVERAGE(C43:H43),0)</f>
        <v/>
      </c>
    </row>
    <row r="44" ht="18" customHeight="1">
      <c r="B44" s="198" t="inlineStr">
        <is>
          <t xml:space="preserve">  Staff / Payroll</t>
        </is>
      </c>
      <c r="C44" s="152" t="n">
        <v>0</v>
      </c>
      <c r="D44" s="152" t="n">
        <v>0</v>
      </c>
      <c r="E44" s="152" t="n">
        <v>0</v>
      </c>
      <c r="F44" s="152" t="n">
        <v>0</v>
      </c>
      <c r="G44" s="152" t="n">
        <v>0</v>
      </c>
      <c r="H44" s="152" t="n">
        <v>0</v>
      </c>
      <c r="I44" s="152">
        <f>SUM(C44:H44)</f>
        <v/>
      </c>
    </row>
    <row r="45" ht="18" customHeight="1">
      <c r="B45" s="200" t="inlineStr">
        <is>
          <t xml:space="preserve">  Rent</t>
        </is>
      </c>
      <c r="C45" s="145" t="n">
        <v>0</v>
      </c>
      <c r="D45" s="145" t="n">
        <v>0</v>
      </c>
      <c r="E45" s="145" t="n">
        <v>0</v>
      </c>
      <c r="F45" s="145" t="n">
        <v>0</v>
      </c>
      <c r="G45" s="145" t="n">
        <v>0</v>
      </c>
      <c r="H45" s="145" t="n">
        <v>0</v>
      </c>
      <c r="I45" s="145">
        <f>SUM(C45:H45)</f>
        <v/>
      </c>
    </row>
    <row r="46" ht="18" customHeight="1">
      <c r="B46" s="198" t="inlineStr">
        <is>
          <t xml:space="preserve">  Utilities (Gas, Electric, Water)</t>
        </is>
      </c>
      <c r="C46" s="152" t="n">
        <v>0</v>
      </c>
      <c r="D46" s="152" t="n">
        <v>0</v>
      </c>
      <c r="E46" s="152" t="n">
        <v>0</v>
      </c>
      <c r="F46" s="152" t="n">
        <v>0</v>
      </c>
      <c r="G46" s="152" t="n">
        <v>0</v>
      </c>
      <c r="H46" s="152" t="n">
        <v>0</v>
      </c>
      <c r="I46" s="152">
        <f>SUM(C46:H46)</f>
        <v/>
      </c>
    </row>
    <row r="47" ht="18" customHeight="1">
      <c r="B47" s="200" t="inlineStr">
        <is>
          <t xml:space="preserve">  Marketing</t>
        </is>
      </c>
      <c r="C47" s="145" t="n">
        <v>0</v>
      </c>
      <c r="D47" s="145" t="n">
        <v>0</v>
      </c>
      <c r="E47" s="145" t="n">
        <v>0</v>
      </c>
      <c r="F47" s="145" t="n">
        <v>0</v>
      </c>
      <c r="G47" s="145" t="n">
        <v>0</v>
      </c>
      <c r="H47" s="145" t="n">
        <v>0</v>
      </c>
      <c r="I47" s="145">
        <f>SUM(C47:H47)</f>
        <v/>
      </c>
    </row>
    <row r="48" ht="18" customHeight="1">
      <c r="B48" s="198" t="inlineStr">
        <is>
          <t xml:space="preserve">  Maintenance &amp; Other</t>
        </is>
      </c>
      <c r="C48" s="152" t="n">
        <v>0</v>
      </c>
      <c r="D48" s="152" t="n">
        <v>0</v>
      </c>
      <c r="E48" s="152" t="n">
        <v>0</v>
      </c>
      <c r="F48" s="152" t="n">
        <v>0</v>
      </c>
      <c r="G48" s="152" t="n">
        <v>0</v>
      </c>
      <c r="H48" s="152" t="n">
        <v>0</v>
      </c>
      <c r="I48" s="152">
        <f>SUM(C48:H48)</f>
        <v/>
      </c>
    </row>
    <row r="49" ht="18" customHeight="1">
      <c r="B49" s="202" t="inlineStr">
        <is>
          <t>TOTAL OPEX</t>
        </is>
      </c>
      <c r="C49" s="212">
        <f>SUM(C44:C48)</f>
        <v/>
      </c>
      <c r="D49" s="212">
        <f>SUM(D44:D48)</f>
        <v/>
      </c>
      <c r="E49" s="212">
        <f>SUM(E44:E48)</f>
        <v/>
      </c>
      <c r="F49" s="212">
        <f>SUM(F44:F48)</f>
        <v/>
      </c>
      <c r="G49" s="212">
        <f>SUM(G44:G48)</f>
        <v/>
      </c>
      <c r="H49" s="212">
        <f>SUM(H44:H48)</f>
        <v/>
      </c>
      <c r="I49" s="212">
        <f>SUM(C49:H49)</f>
        <v/>
      </c>
    </row>
    <row r="50" ht="18" customHeight="1">
      <c r="B50" s="214" t="inlineStr">
        <is>
          <t>EBITDA</t>
        </is>
      </c>
      <c r="C50" s="152">
        <f>C42-C49</f>
        <v/>
      </c>
      <c r="D50" s="152">
        <f>D42-D49</f>
        <v/>
      </c>
      <c r="E50" s="152">
        <f>E42-E49</f>
        <v/>
      </c>
      <c r="F50" s="152">
        <f>F42-F49</f>
        <v/>
      </c>
      <c r="G50" s="152">
        <f>G42-G49</f>
        <v/>
      </c>
      <c r="H50" s="152">
        <f>H42-H49</f>
        <v/>
      </c>
      <c r="I50" s="152">
        <f>SUM(C50:H50)</f>
        <v/>
      </c>
    </row>
    <row r="51" ht="18" customHeight="1">
      <c r="B51" s="124" t="inlineStr">
        <is>
          <t>EBITDA MARGIN %</t>
        </is>
      </c>
      <c r="C51" s="175">
        <f>IFERROR(C50/C38,0)</f>
        <v/>
      </c>
      <c r="D51" s="175">
        <f>IFERROR(D50/D38,0)</f>
        <v/>
      </c>
      <c r="E51" s="175">
        <f>IFERROR(E50/E38,0)</f>
        <v/>
      </c>
      <c r="F51" s="175">
        <f>IFERROR(F50/F38,0)</f>
        <v/>
      </c>
      <c r="G51" s="175">
        <f>IFERROR(G50/G38,0)</f>
        <v/>
      </c>
      <c r="H51" s="175">
        <f>IFERROR(H50/H38,0)</f>
        <v/>
      </c>
      <c r="I51" s="175">
        <f>IFERROR(AVERAGE(C51:H51),0)</f>
        <v/>
      </c>
    </row>
    <row r="52" ht="18" customHeight="1">
      <c r="B52" s="198" t="inlineStr">
        <is>
          <t xml:space="preserve">  Depreciation</t>
        </is>
      </c>
      <c r="C52" s="152" t="n">
        <v>0</v>
      </c>
      <c r="D52" s="152" t="n">
        <v>0</v>
      </c>
      <c r="E52" s="152" t="n">
        <v>0</v>
      </c>
      <c r="F52" s="152" t="n">
        <v>0</v>
      </c>
      <c r="G52" s="152" t="n">
        <v>0</v>
      </c>
      <c r="H52" s="152" t="n">
        <v>0</v>
      </c>
      <c r="I52" s="152">
        <f>SUM(C52:H52)</f>
        <v/>
      </c>
    </row>
    <row r="53" ht="18" customHeight="1">
      <c r="B53" s="200" t="inlineStr">
        <is>
          <t xml:space="preserve">  Taxes (ISR / IVA)</t>
        </is>
      </c>
      <c r="C53" s="145" t="n">
        <v>0</v>
      </c>
      <c r="D53" s="145" t="n">
        <v>0</v>
      </c>
      <c r="E53" s="145" t="n">
        <v>0</v>
      </c>
      <c r="F53" s="145" t="n">
        <v>0</v>
      </c>
      <c r="G53" s="145" t="n">
        <v>0</v>
      </c>
      <c r="H53" s="145" t="n">
        <v>0</v>
      </c>
      <c r="I53" s="145">
        <f>SUM(C53:H53)</f>
        <v/>
      </c>
    </row>
    <row r="54" ht="18" customHeight="1">
      <c r="B54" s="203" t="inlineStr">
        <is>
          <t>NET PROFIT</t>
        </is>
      </c>
      <c r="C54" s="213">
        <f>C50-C52-C53</f>
        <v/>
      </c>
      <c r="D54" s="213">
        <f>D50-D52-D53</f>
        <v/>
      </c>
      <c r="E54" s="213">
        <f>E50-E52-E53</f>
        <v/>
      </c>
      <c r="F54" s="213">
        <f>F50-F52-F53</f>
        <v/>
      </c>
      <c r="G54" s="213">
        <f>G50-G52-G53</f>
        <v/>
      </c>
      <c r="H54" s="213">
        <f>H50-H52-H53</f>
        <v/>
      </c>
      <c r="I54" s="213">
        <f>SUM(C54:H54)</f>
        <v/>
      </c>
    </row>
    <row r="55" ht="18" customHeight="1">
      <c r="B55" s="215" t="inlineStr">
        <is>
          <t>NET MARGIN %</t>
        </is>
      </c>
      <c r="C55" s="175">
        <f>IFERROR(C54/C38,0)</f>
        <v/>
      </c>
      <c r="D55" s="175">
        <f>IFERROR(D54/D38,0)</f>
        <v/>
      </c>
      <c r="E55" s="175">
        <f>IFERROR(E54/E38,0)</f>
        <v/>
      </c>
      <c r="F55" s="175">
        <f>IFERROR(F54/F38,0)</f>
        <v/>
      </c>
      <c r="G55" s="175">
        <f>IFERROR(G54/G38,0)</f>
        <v/>
      </c>
      <c r="H55" s="175">
        <f>IFERROR(H54/H38,0)</f>
        <v/>
      </c>
      <c r="I55" s="175">
        <f>IFERROR(AVERAGE(C55:H55),0)</f>
        <v/>
      </c>
    </row>
    <row r="56" ht="18" customHeight="1">
      <c r="B56" s="171" t="inlineStr">
        <is>
          <t xml:space="preserve">  Total Orders (from Soft)</t>
        </is>
      </c>
      <c r="C56" s="173" t="n">
        <v>0</v>
      </c>
      <c r="D56" s="173" t="n">
        <v>0</v>
      </c>
      <c r="E56" s="173" t="n">
        <v>0</v>
      </c>
      <c r="F56" s="173" t="n">
        <v>0</v>
      </c>
      <c r="G56" s="173" t="n">
        <v>0</v>
      </c>
      <c r="H56" s="173" t="n">
        <v>0</v>
      </c>
      <c r="I56" s="173">
        <f>SUM(C56:H56)</f>
        <v/>
      </c>
    </row>
    <row r="57" ht="18" customHeight="1">
      <c r="B57" s="177" t="inlineStr">
        <is>
          <t xml:space="preserve">  Avg Ticket ($)</t>
        </is>
      </c>
      <c r="C57" s="152">
        <f>IFERROR(C38/C56,0)</f>
        <v/>
      </c>
      <c r="D57" s="152">
        <f>IFERROR(D38/D56,0)</f>
        <v/>
      </c>
      <c r="E57" s="152">
        <f>IFERROR(E38/E56,0)</f>
        <v/>
      </c>
      <c r="F57" s="152">
        <f>IFERROR(F38/F56,0)</f>
        <v/>
      </c>
      <c r="G57" s="152">
        <f>IFERROR(G38/G56,0)</f>
        <v/>
      </c>
      <c r="H57" s="152">
        <f>IFERROR(H38/H56,0)</f>
        <v/>
      </c>
      <c r="I57" s="152">
        <f>IFERROR(AVERAGE(C57:H57),0)</f>
        <v/>
      </c>
    </row>
    <row r="58" ht="18" customHeight="1">
      <c r="B58" s="171" t="inlineStr">
        <is>
          <t xml:space="preserve">  Working Days</t>
        </is>
      </c>
      <c r="C58" s="173" t="n">
        <v>0</v>
      </c>
      <c r="D58" s="173" t="n">
        <v>0</v>
      </c>
      <c r="E58" s="173" t="n">
        <v>0</v>
      </c>
      <c r="F58" s="173" t="n">
        <v>0</v>
      </c>
      <c r="G58" s="173" t="n">
        <v>0</v>
      </c>
      <c r="H58" s="173" t="n">
        <v>0</v>
      </c>
      <c r="I58" s="173">
        <f>SUM(C58:H58)</f>
        <v/>
      </c>
    </row>
    <row r="59" ht="18" customHeight="1">
      <c r="B59" s="177" t="inlineStr">
        <is>
          <t xml:space="preserve">  Revenue per Day ($)</t>
        </is>
      </c>
      <c r="C59" s="152">
        <f>IFERROR(C38/C58,0)</f>
        <v/>
      </c>
      <c r="D59" s="152">
        <f>IFERROR(D38/D58,0)</f>
        <v/>
      </c>
      <c r="E59" s="152">
        <f>IFERROR(E38/E58,0)</f>
        <v/>
      </c>
      <c r="F59" s="152">
        <f>IFERROR(F38/F58,0)</f>
        <v/>
      </c>
      <c r="G59" s="152">
        <f>IFERROR(G38/G58,0)</f>
        <v/>
      </c>
      <c r="H59" s="152">
        <f>IFERROR(H38/H58,0)</f>
        <v/>
      </c>
      <c r="I59" s="152">
        <f>IFERROR(AVERAGE(C59:H59),0)</f>
        <v/>
      </c>
    </row>
  </sheetData>
  <mergeCells count="8">
    <mergeCell ref="A2:D2"/>
    <mergeCell ref="E2:I2"/>
    <mergeCell ref="A3:I3"/>
    <mergeCell ref="B9:I9"/>
    <mergeCell ref="B11:I11"/>
    <mergeCell ref="B17:I17"/>
    <mergeCell ref="B30:I30"/>
    <mergeCell ref="B36:I36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2026-05-19T05:24:03Z</dcterms:created>
  <dcterms:modified xsi:type="dcterms:W3CDTF">2026-05-22T00:02:03Z</dcterms:modified>
  <cp:lastModifiedBy>LOHITH REDDY</cp:lastModifiedBy>
</cp:coreProperties>
</file>