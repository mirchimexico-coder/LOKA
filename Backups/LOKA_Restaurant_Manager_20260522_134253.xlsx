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📈 Monthly P&amp;L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dd/mm/yyyy\ ddd"/>
    <numFmt numFmtId="165" formatCode="\$#,##0;&quot;($&quot;#,##0\);\-"/>
    <numFmt numFmtId="166" formatCode="#,##0;\(#,##0\);\-"/>
    <numFmt numFmtId="167" formatCode="0.0%;\(0.0%\);\-"/>
    <numFmt numFmtId="168" formatCode="dd/mm/yyyy"/>
    <numFmt numFmtId="169" formatCode="DD/MM/YYYY"/>
    <numFmt numFmtId="170" formatCode="0.0%"/>
    <numFmt numFmtId="171" formatCode="#,##0;(#,##0);&quot;-&quot;"/>
  </numFmts>
  <fonts count="69"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1"/>
    </font>
    <font>
      <name val="Arial"/>
      <color rgb="000000FF"/>
      <sz val="11"/>
    </font>
    <font>
      <name val="Arial"/>
      <color rgb="00000000"/>
      <sz val="10"/>
    </font>
  </fonts>
  <fills count="32">
    <fill>
      <patternFill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94560"/>
        <bgColor rgb="00E94560"/>
      </patternFill>
    </fill>
    <fill>
      <patternFill patternType="solid">
        <fgColor rgb="002C3E50"/>
        <bgColor rgb="002C3E50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15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16">
    <xf numFmtId="0" fontId="0" fillId="0" borderId="0" pivotButton="0" quotePrefix="0" xfId="0"/>
    <xf numFmtId="0" fontId="0" fillId="2" borderId="0" pivotButton="0" quotePrefix="0" xfId="0"/>
    <xf numFmtId="0" fontId="11" fillId="2" borderId="4" applyAlignment="1" pivotButton="0" quotePrefix="0" xfId="0">
      <alignment horizontal="center" vertical="center" wrapText="1"/>
    </xf>
    <xf numFmtId="164" fontId="12" fillId="11" borderId="4" applyAlignment="1" pivotButton="0" quotePrefix="0" xfId="0">
      <alignment horizontal="center" vertical="center"/>
    </xf>
    <xf numFmtId="0" fontId="13" fillId="11" borderId="4" applyAlignment="1" pivotButton="0" quotePrefix="0" xfId="0">
      <alignment horizontal="center" vertical="center"/>
    </xf>
    <xf numFmtId="165" fontId="14" fillId="11" borderId="4" applyAlignment="1" pivotButton="0" quotePrefix="0" xfId="0">
      <alignment horizontal="center" vertical="center"/>
    </xf>
    <xf numFmtId="166" fontId="15" fillId="11" borderId="4" applyAlignment="1" pivotButton="0" quotePrefix="0" xfId="0">
      <alignment horizontal="center" vertical="center"/>
    </xf>
    <xf numFmtId="165" fontId="16" fillId="11" borderId="4" applyAlignment="1" pivotButton="0" quotePrefix="0" xfId="0">
      <alignment horizontal="center" vertical="center"/>
    </xf>
    <xf numFmtId="165" fontId="17" fillId="11" borderId="4" applyAlignment="1" pivotButton="0" quotePrefix="0" xfId="0">
      <alignment horizontal="center" vertical="center"/>
    </xf>
    <xf numFmtId="167" fontId="18" fillId="11" borderId="4" applyAlignment="1" pivotButton="0" quotePrefix="0" xfId="0">
      <alignment horizontal="center" vertical="center"/>
    </xf>
    <xf numFmtId="0" fontId="19" fillId="11" borderId="4" applyAlignment="1" pivotButton="0" quotePrefix="0" xfId="0">
      <alignment horizontal="center" vertical="center"/>
    </xf>
    <xf numFmtId="0" fontId="20" fillId="11" borderId="4" applyAlignment="1" pivotButton="0" quotePrefix="0" xfId="0">
      <alignment horizontal="center" vertical="center"/>
    </xf>
    <xf numFmtId="164" fontId="12" fillId="12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/>
    </xf>
    <xf numFmtId="165" fontId="14" fillId="12" borderId="4" applyAlignment="1" pivotButton="0" quotePrefix="0" xfId="0">
      <alignment horizontal="center" vertical="center"/>
    </xf>
    <xf numFmtId="166" fontId="15" fillId="12" borderId="4" applyAlignment="1" pivotButton="0" quotePrefix="0" xfId="0">
      <alignment horizontal="center" vertical="center"/>
    </xf>
    <xf numFmtId="165" fontId="16" fillId="12" borderId="4" applyAlignment="1" pivotButton="0" quotePrefix="0" xfId="0">
      <alignment horizontal="center" vertical="center"/>
    </xf>
    <xf numFmtId="165" fontId="17" fillId="12" borderId="4" applyAlignment="1" pivotButton="0" quotePrefix="0" xfId="0">
      <alignment horizontal="center" vertical="center"/>
    </xf>
    <xf numFmtId="167" fontId="18" fillId="12" borderId="4" applyAlignment="1" pivotButton="0" quotePrefix="0" xfId="0">
      <alignment horizontal="center" vertical="center"/>
    </xf>
    <xf numFmtId="0" fontId="19" fillId="12" borderId="4" applyAlignment="1" pivotButton="0" quotePrefix="0" xfId="0">
      <alignment horizontal="center" vertical="center"/>
    </xf>
    <xf numFmtId="0" fontId="20" fillId="12" borderId="4" applyAlignment="1" pivotButton="0" quotePrefix="0" xfId="0">
      <alignment horizontal="center" vertical="center"/>
    </xf>
    <xf numFmtId="0" fontId="21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3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5" fontId="24" fillId="11" borderId="4" applyAlignment="1" pivotButton="0" quotePrefix="0" xfId="0">
      <alignment horizontal="center" vertical="center"/>
    </xf>
    <xf numFmtId="167" fontId="25" fillId="11" borderId="4" applyAlignment="1" pivotButton="0" quotePrefix="0" xfId="0">
      <alignment horizontal="center" vertical="center"/>
    </xf>
    <xf numFmtId="165" fontId="23" fillId="11" borderId="4" applyAlignment="1" pivotButton="0" quotePrefix="0" xfId="0">
      <alignment horizontal="center" vertical="center"/>
    </xf>
    <xf numFmtId="164" fontId="26" fillId="11" borderId="5" applyAlignment="1" pivotButton="0" quotePrefix="0" xfId="0">
      <alignment horizontal="center" vertical="center"/>
    </xf>
    <xf numFmtId="0" fontId="27" fillId="11" borderId="4" applyAlignment="1" pivotButton="0" quotePrefix="0" xfId="0">
      <alignment horizontal="center" vertical="center"/>
    </xf>
    <xf numFmtId="0" fontId="28" fillId="11" borderId="4" applyAlignment="1" pivotButton="0" quotePrefix="0" xfId="0">
      <alignment horizontal="center" vertical="center"/>
    </xf>
    <xf numFmtId="165" fontId="29" fillId="13" borderId="5" applyAlignment="1" pivotButton="0" quotePrefix="0" xfId="0">
      <alignment horizontal="center" vertical="center"/>
    </xf>
    <xf numFmtId="166" fontId="29" fillId="8" borderId="5" applyAlignment="1" pivotButton="0" quotePrefix="0" xfId="0">
      <alignment horizontal="center" vertical="center"/>
    </xf>
    <xf numFmtId="165" fontId="30" fillId="11" borderId="4" applyAlignment="1" pivotButton="0" quotePrefix="0" xfId="0">
      <alignment horizontal="center" vertical="center"/>
    </xf>
    <xf numFmtId="165" fontId="31" fillId="9" borderId="4" applyAlignment="1" pivotButton="0" quotePrefix="0" xfId="0">
      <alignment horizontal="center" vertical="center"/>
    </xf>
    <xf numFmtId="165" fontId="32" fillId="11" borderId="4" applyAlignment="1" pivotButton="0" quotePrefix="0" xfId="0">
      <alignment horizontal="center" vertical="center"/>
    </xf>
    <xf numFmtId="167" fontId="33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left" vertical="center"/>
    </xf>
    <xf numFmtId="165" fontId="35" fillId="11" borderId="4" applyAlignment="1" pivotButton="0" quotePrefix="0" xfId="0">
      <alignment horizontal="center" vertical="center"/>
    </xf>
    <xf numFmtId="165" fontId="14" fillId="6" borderId="4" applyAlignment="1" pivotButton="0" quotePrefix="0" xfId="0">
      <alignment horizontal="center" vertical="center"/>
    </xf>
    <xf numFmtId="165" fontId="17" fillId="9" borderId="4" applyAlignment="1" pivotButton="0" quotePrefix="0" xfId="0">
      <alignment horizontal="center" vertical="center"/>
    </xf>
    <xf numFmtId="0" fontId="27" fillId="12" borderId="4" applyAlignment="1" pivotButton="0" quotePrefix="0" xfId="0">
      <alignment horizontal="center" vertical="center"/>
    </xf>
    <xf numFmtId="0" fontId="28" fillId="12" borderId="4" applyAlignment="1" pivotButton="0" quotePrefix="0" xfId="0">
      <alignment horizontal="center" vertical="center"/>
    </xf>
    <xf numFmtId="165" fontId="29" fillId="14" borderId="5" applyAlignment="1" pivotButton="0" quotePrefix="0" xfId="0">
      <alignment horizontal="center" vertical="center"/>
    </xf>
    <xf numFmtId="166" fontId="29" fillId="15" borderId="5" applyAlignment="1" pivotButton="0" quotePrefix="0" xfId="0">
      <alignment horizontal="center" vertical="center"/>
    </xf>
    <xf numFmtId="165" fontId="30" fillId="12" borderId="4" applyAlignment="1" pivotButton="0" quotePrefix="0" xfId="0">
      <alignment horizontal="center" vertical="center"/>
    </xf>
    <xf numFmtId="165" fontId="31" fillId="16" borderId="4" applyAlignment="1" pivotButton="0" quotePrefix="0" xfId="0">
      <alignment horizontal="center" vertical="center"/>
    </xf>
    <xf numFmtId="165" fontId="32" fillId="12" borderId="4" applyAlignment="1" pivotButton="0" quotePrefix="0" xfId="0">
      <alignment horizontal="center" vertical="center"/>
    </xf>
    <xf numFmtId="167" fontId="33" fillId="12" borderId="4" applyAlignment="1" pivotButton="0" quotePrefix="0" xfId="0">
      <alignment horizontal="center" vertical="center"/>
    </xf>
    <xf numFmtId="0" fontId="34" fillId="12" borderId="4" applyAlignment="1" pivotButton="0" quotePrefix="0" xfId="0">
      <alignment horizontal="left" vertical="center"/>
    </xf>
    <xf numFmtId="165" fontId="35" fillId="12" borderId="4" applyAlignment="1" pivotButton="0" quotePrefix="0" xfId="0">
      <alignment horizontal="center" vertical="center"/>
    </xf>
    <xf numFmtId="165" fontId="14" fillId="17" borderId="4" applyAlignment="1" pivotButton="0" quotePrefix="0" xfId="0">
      <alignment horizontal="center" vertical="center"/>
    </xf>
    <xf numFmtId="165" fontId="17" fillId="18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165" fontId="36" fillId="9" borderId="4" applyAlignment="1" pivotButton="0" quotePrefix="0" xfId="0">
      <alignment horizontal="center" vertical="center"/>
    </xf>
    <xf numFmtId="165" fontId="37" fillId="10" borderId="4" applyAlignment="1" pivotButton="0" quotePrefix="0" xfId="0">
      <alignment horizontal="center" vertical="center"/>
    </xf>
    <xf numFmtId="165" fontId="38" fillId="8" borderId="4" applyAlignment="1" pivotButton="0" quotePrefix="0" xfId="0">
      <alignment horizontal="center" vertical="center"/>
    </xf>
    <xf numFmtId="165" fontId="39" fillId="19" borderId="4" applyAlignment="1" pivotButton="0" quotePrefix="0" xfId="0">
      <alignment horizontal="center" vertical="center"/>
    </xf>
    <xf numFmtId="168" fontId="40" fillId="11" borderId="5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left" vertical="center"/>
    </xf>
    <xf numFmtId="165" fontId="29" fillId="9" borderId="5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0" fontId="26" fillId="12" borderId="4" applyAlignment="1" pivotButton="0" quotePrefix="0" xfId="0">
      <alignment horizontal="left" vertical="center"/>
    </xf>
    <xf numFmtId="165" fontId="29" fillId="18" borderId="5" applyAlignment="1" pivotButton="0" quotePrefix="0" xfId="0">
      <alignment horizontal="center" vertical="center"/>
    </xf>
    <xf numFmtId="166" fontId="41" fillId="12" borderId="4" applyAlignment="1" pivotButton="0" quotePrefix="0" xfId="0">
      <alignment horizontal="center" vertical="center"/>
    </xf>
    <xf numFmtId="166" fontId="42" fillId="10" borderId="4" applyAlignment="1" pivotButton="0" quotePrefix="0" xfId="0">
      <alignment horizontal="center" vertical="center"/>
    </xf>
    <xf numFmtId="166" fontId="36" fillId="9" borderId="4" applyAlignment="1" pivotButton="0" quotePrefix="0" xfId="0">
      <alignment horizontal="center" vertical="center"/>
    </xf>
    <xf numFmtId="168" fontId="38" fillId="8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left" vertical="center"/>
    </xf>
    <xf numFmtId="166" fontId="29" fillId="20" borderId="5" applyAlignment="1" pivotButton="0" quotePrefix="0" xfId="0">
      <alignment horizontal="center" vertical="center"/>
    </xf>
    <xf numFmtId="166" fontId="44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5" fontId="45" fillId="7" borderId="4" applyAlignment="1" pivotButton="0" quotePrefix="0" xfId="0">
      <alignment horizontal="center" vertical="center"/>
    </xf>
    <xf numFmtId="0" fontId="46" fillId="11" borderId="4" applyAlignment="1" pivotButton="0" quotePrefix="0" xfId="0">
      <alignment horizontal="center" vertical="center"/>
    </xf>
    <xf numFmtId="0" fontId="47" fillId="11" borderId="4" applyAlignment="1" pivotButton="0" quotePrefix="0" xfId="0">
      <alignment horizontal="left" vertical="center"/>
    </xf>
    <xf numFmtId="0" fontId="43" fillId="12" borderId="4" applyAlignment="1" pivotButton="0" quotePrefix="0" xfId="0">
      <alignment horizontal="left" vertical="center"/>
    </xf>
    <xf numFmtId="166" fontId="29" fillId="21" borderId="5" applyAlignment="1" pivotButton="0" quotePrefix="0" xfId="0">
      <alignment horizontal="center" vertical="center"/>
    </xf>
    <xf numFmtId="166" fontId="44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5" fontId="45" fillId="22" borderId="4" applyAlignment="1" pivotButton="0" quotePrefix="0" xfId="0">
      <alignment horizontal="center" vertical="center"/>
    </xf>
    <xf numFmtId="0" fontId="46" fillId="12" borderId="4" applyAlignment="1" pivotButton="0" quotePrefix="0" xfId="0">
      <alignment horizontal="center" vertical="center"/>
    </xf>
    <xf numFmtId="0" fontId="47" fillId="12" borderId="4" applyAlignment="1" pivotButton="0" quotePrefix="0" xfId="0">
      <alignment horizontal="left" vertical="center"/>
    </xf>
    <xf numFmtId="0" fontId="26" fillId="11" borderId="5" applyAlignment="1" pivotButton="0" quotePrefix="0" xfId="0">
      <alignment horizontal="left" vertical="center"/>
    </xf>
    <xf numFmtId="0" fontId="44" fillId="11" borderId="4" applyAlignment="1" pivotButton="0" quotePrefix="0" xfId="0">
      <alignment horizontal="center" vertical="center"/>
    </xf>
    <xf numFmtId="165" fontId="40" fillId="11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center" vertical="center"/>
    </xf>
    <xf numFmtId="166" fontId="26" fillId="8" borderId="4" applyAlignment="1" pivotButton="0" quotePrefix="0" xfId="0">
      <alignment horizontal="center" vertical="center"/>
    </xf>
    <xf numFmtId="165" fontId="48" fillId="6" borderId="4" applyAlignment="1" pivotButton="0" quotePrefix="0" xfId="0">
      <alignment horizontal="center" vertical="center"/>
    </xf>
    <xf numFmtId="0" fontId="44" fillId="12" borderId="4" applyAlignment="1" pivotButton="0" quotePrefix="0" xfId="0">
      <alignment horizontal="center" vertical="center"/>
    </xf>
    <xf numFmtId="165" fontId="40" fillId="12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center" vertical="center"/>
    </xf>
    <xf numFmtId="166" fontId="26" fillId="23" borderId="4" applyAlignment="1" pivotButton="0" quotePrefix="0" xfId="0">
      <alignment horizontal="center" vertical="center"/>
    </xf>
    <xf numFmtId="165" fontId="48" fillId="17" borderId="4" applyAlignment="1" pivotButton="0" quotePrefix="0" xfId="0">
      <alignment horizontal="center" vertical="center"/>
    </xf>
    <xf numFmtId="166" fontId="37" fillId="2" borderId="4" applyAlignment="1" pivotButton="0" quotePrefix="0" xfId="0">
      <alignment horizontal="center" vertical="center"/>
    </xf>
    <xf numFmtId="165" fontId="50" fillId="2" borderId="4" applyAlignment="1" pivotButton="0" quotePrefix="0" xfId="0">
      <alignment horizontal="center" vertical="center"/>
    </xf>
    <xf numFmtId="0" fontId="46" fillId="11" borderId="4" applyAlignment="1" pivotButton="0" quotePrefix="0" xfId="0">
      <alignment horizontal="left" vertical="center"/>
    </xf>
    <xf numFmtId="165" fontId="51" fillId="11" borderId="4" applyAlignment="1" pivotButton="0" quotePrefix="0" xfId="0">
      <alignment horizontal="center" vertical="center"/>
    </xf>
    <xf numFmtId="166" fontId="26" fillId="11" borderId="4" applyAlignment="1" pivotButton="0" quotePrefix="0" xfId="0">
      <alignment horizontal="center" vertical="center"/>
    </xf>
    <xf numFmtId="165" fontId="32" fillId="6" borderId="4" applyAlignment="1" pivotButton="0" quotePrefix="0" xfId="0">
      <alignment horizontal="center" vertical="center"/>
    </xf>
    <xf numFmtId="167" fontId="26" fillId="11" borderId="4" applyAlignment="1" pivotButton="0" quotePrefix="0" xfId="0">
      <alignment horizontal="center" vertical="center"/>
    </xf>
    <xf numFmtId="165" fontId="52" fillId="9" borderId="4" applyAlignment="1" pivotButton="0" quotePrefix="0" xfId="0">
      <alignment horizontal="center" vertical="center"/>
    </xf>
    <xf numFmtId="0" fontId="46" fillId="12" borderId="4" applyAlignment="1" pivotButton="0" quotePrefix="0" xfId="0">
      <alignment horizontal="left" vertical="center"/>
    </xf>
    <xf numFmtId="165" fontId="51" fillId="12" borderId="4" applyAlignment="1" pivotButton="0" quotePrefix="0" xfId="0">
      <alignment horizontal="center" vertical="center"/>
    </xf>
    <xf numFmtId="166" fontId="26" fillId="12" borderId="4" applyAlignment="1" pivotButton="0" quotePrefix="0" xfId="0">
      <alignment horizontal="center" vertical="center"/>
    </xf>
    <xf numFmtId="165" fontId="32" fillId="17" borderId="4" applyAlignment="1" pivotButton="0" quotePrefix="0" xfId="0">
      <alignment horizontal="center" vertical="center"/>
    </xf>
    <xf numFmtId="167" fontId="26" fillId="12" borderId="4" applyAlignment="1" pivotButton="0" quotePrefix="0" xfId="0">
      <alignment horizontal="center" vertical="center"/>
    </xf>
    <xf numFmtId="165" fontId="52" fillId="18" borderId="4" applyAlignment="1" pivotButton="0" quotePrefix="0" xfId="0">
      <alignment horizontal="center" vertical="center"/>
    </xf>
    <xf numFmtId="166" fontId="37" fillId="10" borderId="4" applyAlignment="1" pivotButton="0" quotePrefix="0" xfId="0">
      <alignment horizontal="center" vertical="center"/>
    </xf>
    <xf numFmtId="166" fontId="38" fillId="8" borderId="4" applyAlignment="1" pivotButton="0" quotePrefix="0" xfId="0">
      <alignment horizontal="center" vertical="center"/>
    </xf>
    <xf numFmtId="166" fontId="53" fillId="6" borderId="4" applyAlignment="1" pivotButton="0" quotePrefix="0" xfId="0">
      <alignment horizontal="center" vertical="center"/>
    </xf>
    <xf numFmtId="165" fontId="54" fillId="7" borderId="4" applyAlignment="1" pivotButton="0" quotePrefix="0" xfId="0">
      <alignment horizontal="center" vertical="center"/>
    </xf>
    <xf numFmtId="166" fontId="40" fillId="8" borderId="5" applyAlignment="1" pivotButton="0" quotePrefix="0" xfId="0">
      <alignment horizontal="center" vertical="center"/>
    </xf>
    <xf numFmtId="165" fontId="29" fillId="10" borderId="5" applyAlignment="1" pivotButton="0" quotePrefix="0" xfId="0">
      <alignment horizontal="center" vertical="center"/>
    </xf>
    <xf numFmtId="168" fontId="26" fillId="11" borderId="4" applyAlignment="1" pivotButton="0" quotePrefix="0" xfId="0">
      <alignment horizontal="center" vertical="center"/>
    </xf>
    <xf numFmtId="165" fontId="55" fillId="7" borderId="4" applyAlignment="1" pivotButton="0" quotePrefix="0" xfId="0">
      <alignment horizontal="center" vertical="center"/>
    </xf>
    <xf numFmtId="166" fontId="40" fillId="23" borderId="5" applyAlignment="1" pivotButton="0" quotePrefix="0" xfId="0">
      <alignment horizontal="center" vertical="center"/>
    </xf>
    <xf numFmtId="165" fontId="29" fillId="24" borderId="5" applyAlignment="1" pivotButton="0" quotePrefix="0" xfId="0">
      <alignment horizontal="center" vertical="center"/>
    </xf>
    <xf numFmtId="168" fontId="26" fillId="12" borderId="4" applyAlignment="1" pivotButton="0" quotePrefix="0" xfId="0">
      <alignment horizontal="center" vertical="center"/>
    </xf>
    <xf numFmtId="165" fontId="55" fillId="22" borderId="4" applyAlignment="1" pivotButton="0" quotePrefix="0" xfId="0">
      <alignment horizontal="center" vertical="center"/>
    </xf>
    <xf numFmtId="0" fontId="43" fillId="5" borderId="4" applyAlignment="1" pivotButton="0" quotePrefix="0" xfId="0">
      <alignment horizontal="right" vertical="center"/>
    </xf>
    <xf numFmtId="0" fontId="38" fillId="11" borderId="5" applyAlignment="1" pivotButton="0" quotePrefix="0" xfId="0">
      <alignment horizontal="center" vertical="center"/>
    </xf>
    <xf numFmtId="0" fontId="51" fillId="12" borderId="4" applyAlignment="1" pivotButton="0" quotePrefix="0" xfId="0">
      <alignment horizontal="left" vertical="center"/>
    </xf>
    <xf numFmtId="0" fontId="31" fillId="12" borderId="4" applyAlignment="1" pivotButton="0" quotePrefix="0" xfId="0">
      <alignment horizontal="left" vertical="center"/>
    </xf>
    <xf numFmtId="165" fontId="31" fillId="12" borderId="4" applyAlignment="1" pivotButton="0" quotePrefix="0" xfId="0">
      <alignment horizontal="center" vertical="center"/>
    </xf>
    <xf numFmtId="0" fontId="31" fillId="11" borderId="4" applyAlignment="1" pivotButton="0" quotePrefix="0" xfId="0">
      <alignment horizontal="left" vertical="center"/>
    </xf>
    <xf numFmtId="165" fontId="31" fillId="11" borderId="4" applyAlignment="1" pivotButton="0" quotePrefix="0" xfId="0">
      <alignment horizontal="center" vertical="center"/>
    </xf>
    <xf numFmtId="0" fontId="56" fillId="9" borderId="4" applyAlignment="1" pivotButton="0" quotePrefix="0" xfId="0">
      <alignment horizontal="left" vertical="center"/>
    </xf>
    <xf numFmtId="0" fontId="48" fillId="6" borderId="4" applyAlignment="1" pivotButton="0" quotePrefix="0" xfId="0">
      <alignment horizontal="left" vertical="center"/>
    </xf>
    <xf numFmtId="0" fontId="32" fillId="10" borderId="4" applyAlignment="1" pivotButton="0" quotePrefix="0" xfId="0">
      <alignment horizontal="left" vertical="center"/>
    </xf>
    <xf numFmtId="167" fontId="51" fillId="10" borderId="4" applyAlignment="1" pivotButton="0" quotePrefix="0" xfId="0">
      <alignment horizontal="center" vertical="center"/>
    </xf>
    <xf numFmtId="0" fontId="29" fillId="8" borderId="4" applyAlignment="1" pivotButton="0" quotePrefix="0" xfId="0">
      <alignment horizontal="left" vertical="center"/>
    </xf>
    <xf numFmtId="165" fontId="40" fillId="8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left" vertical="center"/>
    </xf>
    <xf numFmtId="167" fontId="26" fillId="8" borderId="4" applyAlignment="1" pivotButton="0" quotePrefix="0" xfId="0">
      <alignment horizontal="center" vertical="center"/>
    </xf>
    <xf numFmtId="166" fontId="46" fillId="11" borderId="4" applyAlignment="1" pivotButton="0" quotePrefix="0" xfId="0">
      <alignment horizontal="center" vertical="center"/>
    </xf>
    <xf numFmtId="165" fontId="46" fillId="12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5" fontId="26" fillId="6" borderId="4" applyAlignment="1" pivotButton="0" quotePrefix="0" xfId="0">
      <alignment horizontal="center" vertical="center"/>
    </xf>
    <xf numFmtId="0" fontId="29" fillId="12" borderId="4" applyAlignment="1" pivotButton="0" quotePrefix="0" xfId="0">
      <alignment horizontal="left" vertical="center"/>
    </xf>
    <xf numFmtId="0" fontId="51" fillId="11" borderId="4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0" fontId="34" fillId="10" borderId="2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165" fontId="7" fillId="7" borderId="3" applyAlignment="1" pivotButton="0" quotePrefix="0" xfId="0">
      <alignment horizontal="center" vertical="center"/>
    </xf>
    <xf numFmtId="165" fontId="8" fillId="8" borderId="3" applyAlignment="1" pivotButton="0" quotePrefix="0" xfId="0">
      <alignment horizontal="center" vertical="center"/>
    </xf>
    <xf numFmtId="165" fontId="9" fillId="9" borderId="3" applyAlignment="1" pivotButton="0" quotePrefix="0" xfId="0">
      <alignment horizontal="center" vertical="center"/>
    </xf>
    <xf numFmtId="165" fontId="1" fillId="10" borderId="3" applyAlignment="1" pivotButton="0" quotePrefix="0" xfId="0">
      <alignment horizontal="center" vertical="center"/>
    </xf>
    <xf numFmtId="166" fontId="1" fillId="10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20" fillId="11" borderId="4" applyAlignment="1" pivotButton="0" quotePrefix="0" xfId="0">
      <alignment horizontal="center" vertical="center"/>
    </xf>
    <xf numFmtId="0" fontId="20" fillId="12" borderId="4" applyAlignment="1" pivotButton="0" quotePrefix="0" xfId="0">
      <alignment horizontal="center" vertical="center"/>
    </xf>
    <xf numFmtId="166" fontId="8" fillId="8" borderId="3" applyAlignment="1" pivotButton="0" quotePrefix="0" xfId="0">
      <alignment horizontal="center" vertical="center"/>
    </xf>
    <xf numFmtId="167" fontId="6" fillId="6" borderId="3" applyAlignment="1" pivotButton="0" quotePrefix="0" xfId="0">
      <alignment horizontal="center" vertical="center"/>
    </xf>
    <xf numFmtId="166" fontId="10" fillId="10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/>
    </xf>
    <xf numFmtId="166" fontId="15" fillId="11" borderId="2" applyAlignment="1" pivotButton="0" quotePrefix="0" xfId="0">
      <alignment horizontal="center" vertical="center"/>
    </xf>
    <xf numFmtId="166" fontId="19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166" fontId="15" fillId="12" borderId="2" applyAlignment="1" pivotButton="0" quotePrefix="0" xfId="0">
      <alignment horizontal="center" vertical="center"/>
    </xf>
    <xf numFmtId="166" fontId="19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49" fillId="2" borderId="2" applyAlignment="1" pivotButton="0" quotePrefix="0" xfId="0">
      <alignment horizontal="center" vertical="center"/>
    </xf>
    <xf numFmtId="168" fontId="37" fillId="2" borderId="2" applyAlignment="1" pivotButton="0" quotePrefix="0" xfId="0">
      <alignment horizontal="left" vertical="center"/>
    </xf>
    <xf numFmtId="0" fontId="26" fillId="12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165" fontId="6" fillId="6" borderId="3" applyAlignment="1" pivotButton="0" quotePrefix="0" xfId="0">
      <alignment horizontal="center" vertical="center"/>
    </xf>
    <xf numFmtId="0" fontId="0" fillId="0" borderId="7" pivotButton="0" quotePrefix="0" xfId="0"/>
    <xf numFmtId="165" fontId="7" fillId="7" borderId="3" applyAlignment="1" pivotButton="0" quotePrefix="0" xfId="0">
      <alignment horizontal="center" vertical="center"/>
    </xf>
    <xf numFmtId="165" fontId="8" fillId="8" borderId="3" applyAlignment="1" pivotButton="0" quotePrefix="0" xfId="0">
      <alignment horizontal="center" vertical="center"/>
    </xf>
    <xf numFmtId="165" fontId="9" fillId="9" borderId="3" applyAlignment="1" pivotButton="0" quotePrefix="0" xfId="0">
      <alignment horizontal="center" vertical="center"/>
    </xf>
    <xf numFmtId="165" fontId="1" fillId="10" borderId="3" applyAlignment="1" pivotButton="0" quotePrefix="0" xfId="0">
      <alignment horizontal="center" vertical="center"/>
    </xf>
    <xf numFmtId="0" fontId="0" fillId="0" borderId="13" pivotButton="0" quotePrefix="0" xfId="0"/>
    <xf numFmtId="166" fontId="8" fillId="8" borderId="3" applyAlignment="1" pivotButton="0" quotePrefix="0" xfId="0">
      <alignment horizontal="center" vertical="center"/>
    </xf>
    <xf numFmtId="167" fontId="6" fillId="6" borderId="3" applyAlignment="1" pivotButton="0" quotePrefix="0" xfId="0">
      <alignment horizontal="center" vertical="center"/>
    </xf>
    <xf numFmtId="166" fontId="10" fillId="10" borderId="3" applyAlignment="1" pivotButton="0" quotePrefix="0" xfId="0">
      <alignment horizontal="center" vertical="center"/>
    </xf>
    <xf numFmtId="166" fontId="1" fillId="10" borderId="3" applyAlignment="1" pivotButton="0" quotePrefix="0" xfId="0">
      <alignment horizontal="center" vertical="center"/>
    </xf>
    <xf numFmtId="0" fontId="0" fillId="0" borderId="10" pivotButton="0" quotePrefix="0" xfId="0"/>
    <xf numFmtId="164" fontId="12" fillId="11" borderId="4" applyAlignment="1" pivotButton="0" quotePrefix="0" xfId="0">
      <alignment horizontal="center" vertical="center"/>
    </xf>
    <xf numFmtId="165" fontId="14" fillId="11" borderId="4" applyAlignment="1" pivotButton="0" quotePrefix="0" xfId="0">
      <alignment horizontal="center" vertical="center"/>
    </xf>
    <xf numFmtId="166" fontId="15" fillId="11" borderId="4" applyAlignment="1" pivotButton="0" quotePrefix="0" xfId="0">
      <alignment horizontal="center" vertical="center"/>
    </xf>
    <xf numFmtId="165" fontId="16" fillId="11" borderId="4" applyAlignment="1" pivotButton="0" quotePrefix="0" xfId="0">
      <alignment horizontal="center" vertical="center"/>
    </xf>
    <xf numFmtId="165" fontId="17" fillId="11" borderId="4" applyAlignment="1" pivotButton="0" quotePrefix="0" xfId="0">
      <alignment horizontal="center" vertical="center"/>
    </xf>
    <xf numFmtId="167" fontId="18" fillId="11" borderId="4" applyAlignment="1" pivotButton="0" quotePrefix="0" xfId="0">
      <alignment horizontal="center" vertical="center"/>
    </xf>
    <xf numFmtId="164" fontId="12" fillId="12" borderId="4" applyAlignment="1" pivotButton="0" quotePrefix="0" xfId="0">
      <alignment horizontal="center" vertical="center"/>
    </xf>
    <xf numFmtId="165" fontId="14" fillId="12" borderId="4" applyAlignment="1" pivotButton="0" quotePrefix="0" xfId="0">
      <alignment horizontal="center" vertical="center"/>
    </xf>
    <xf numFmtId="166" fontId="15" fillId="12" borderId="4" applyAlignment="1" pivotButton="0" quotePrefix="0" xfId="0">
      <alignment horizontal="center" vertical="center"/>
    </xf>
    <xf numFmtId="165" fontId="16" fillId="12" borderId="4" applyAlignment="1" pivotButton="0" quotePrefix="0" xfId="0">
      <alignment horizontal="center" vertical="center"/>
    </xf>
    <xf numFmtId="165" fontId="17" fillId="12" borderId="4" applyAlignment="1" pivotButton="0" quotePrefix="0" xfId="0">
      <alignment horizontal="center" vertical="center"/>
    </xf>
    <xf numFmtId="167" fontId="18" fillId="12" borderId="4" applyAlignment="1" pivotButton="0" quotePrefix="0" xfId="0">
      <alignment horizontal="center" vertical="center"/>
    </xf>
    <xf numFmtId="166" fontId="15" fillId="11" borderId="2" applyAlignment="1" pivotButton="0" quotePrefix="0" xfId="0">
      <alignment horizontal="center" vertical="center"/>
    </xf>
    <xf numFmtId="166" fontId="19" fillId="11" borderId="2" applyAlignment="1" pivotButton="0" quotePrefix="0" xfId="0">
      <alignment horizontal="center" vertical="center"/>
    </xf>
    <xf numFmtId="166" fontId="15" fillId="12" borderId="2" applyAlignment="1" pivotButton="0" quotePrefix="0" xfId="0">
      <alignment horizontal="center" vertical="center"/>
    </xf>
    <xf numFmtId="166" fontId="19" fillId="12" borderId="2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3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5" fontId="24" fillId="11" borderId="4" applyAlignment="1" pivotButton="0" quotePrefix="0" xfId="0">
      <alignment horizontal="center" vertical="center"/>
    </xf>
    <xf numFmtId="167" fontId="25" fillId="11" borderId="4" applyAlignment="1" pivotButton="0" quotePrefix="0" xfId="0">
      <alignment horizontal="center" vertical="center"/>
    </xf>
    <xf numFmtId="165" fontId="23" fillId="11" borderId="4" applyAlignment="1" pivotButton="0" quotePrefix="0" xfId="0">
      <alignment horizontal="center" vertical="center"/>
    </xf>
    <xf numFmtId="164" fontId="26" fillId="11" borderId="5" applyAlignment="1" pivotButton="0" quotePrefix="0" xfId="0">
      <alignment horizontal="center" vertical="center"/>
    </xf>
    <xf numFmtId="165" fontId="29" fillId="13" borderId="5" applyAlignment="1" pivotButton="0" quotePrefix="0" xfId="0">
      <alignment horizontal="center" vertical="center"/>
    </xf>
    <xf numFmtId="166" fontId="29" fillId="8" borderId="5" applyAlignment="1" pivotButton="0" quotePrefix="0" xfId="0">
      <alignment horizontal="center" vertical="center"/>
    </xf>
    <xf numFmtId="165" fontId="30" fillId="11" borderId="4" applyAlignment="1" pivotButton="0" quotePrefix="0" xfId="0">
      <alignment horizontal="center" vertical="center"/>
    </xf>
    <xf numFmtId="165" fontId="31" fillId="9" borderId="4" applyAlignment="1" pivotButton="0" quotePrefix="0" xfId="0">
      <alignment horizontal="center" vertical="center"/>
    </xf>
    <xf numFmtId="165" fontId="32" fillId="11" borderId="4" applyAlignment="1" pivotButton="0" quotePrefix="0" xfId="0">
      <alignment horizontal="center" vertical="center"/>
    </xf>
    <xf numFmtId="167" fontId="33" fillId="11" borderId="4" applyAlignment="1" pivotButton="0" quotePrefix="0" xfId="0">
      <alignment horizontal="center" vertical="center"/>
    </xf>
    <xf numFmtId="165" fontId="35" fillId="11" borderId="4" applyAlignment="1" pivotButton="0" quotePrefix="0" xfId="0">
      <alignment horizontal="center" vertical="center"/>
    </xf>
    <xf numFmtId="165" fontId="14" fillId="6" borderId="4" applyAlignment="1" pivotButton="0" quotePrefix="0" xfId="0">
      <alignment horizontal="center" vertical="center"/>
    </xf>
    <xf numFmtId="165" fontId="17" fillId="9" borderId="4" applyAlignment="1" pivotButton="0" quotePrefix="0" xfId="0">
      <alignment horizontal="center" vertical="center"/>
    </xf>
    <xf numFmtId="165" fontId="29" fillId="14" borderId="5" applyAlignment="1" pivotButton="0" quotePrefix="0" xfId="0">
      <alignment horizontal="center" vertical="center"/>
    </xf>
    <xf numFmtId="166" fontId="29" fillId="15" borderId="5" applyAlignment="1" pivotButton="0" quotePrefix="0" xfId="0">
      <alignment horizontal="center" vertical="center"/>
    </xf>
    <xf numFmtId="165" fontId="30" fillId="12" borderId="4" applyAlignment="1" pivotButton="0" quotePrefix="0" xfId="0">
      <alignment horizontal="center" vertical="center"/>
    </xf>
    <xf numFmtId="165" fontId="31" fillId="16" borderId="4" applyAlignment="1" pivotButton="0" quotePrefix="0" xfId="0">
      <alignment horizontal="center" vertical="center"/>
    </xf>
    <xf numFmtId="165" fontId="32" fillId="12" borderId="4" applyAlignment="1" pivotButton="0" quotePrefix="0" xfId="0">
      <alignment horizontal="center" vertical="center"/>
    </xf>
    <xf numFmtId="167" fontId="33" fillId="12" borderId="4" applyAlignment="1" pivotButton="0" quotePrefix="0" xfId="0">
      <alignment horizontal="center" vertical="center"/>
    </xf>
    <xf numFmtId="165" fontId="35" fillId="12" borderId="4" applyAlignment="1" pivotButton="0" quotePrefix="0" xfId="0">
      <alignment horizontal="center" vertical="center"/>
    </xf>
    <xf numFmtId="165" fontId="14" fillId="17" borderId="4" applyAlignment="1" pivotButton="0" quotePrefix="0" xfId="0">
      <alignment horizontal="center" vertical="center"/>
    </xf>
    <xf numFmtId="165" fontId="17" fillId="18" borderId="4" applyAlignment="1" pivotButton="0" quotePrefix="0" xfId="0">
      <alignment horizontal="center" vertical="center"/>
    </xf>
    <xf numFmtId="165" fontId="36" fillId="9" borderId="4" applyAlignment="1" pivotButton="0" quotePrefix="0" xfId="0">
      <alignment horizontal="center" vertical="center"/>
    </xf>
    <xf numFmtId="165" fontId="37" fillId="10" borderId="4" applyAlignment="1" pivotButton="0" quotePrefix="0" xfId="0">
      <alignment horizontal="center" vertical="center"/>
    </xf>
    <xf numFmtId="165" fontId="38" fillId="8" borderId="4" applyAlignment="1" pivotButton="0" quotePrefix="0" xfId="0">
      <alignment horizontal="center" vertical="center"/>
    </xf>
    <xf numFmtId="165" fontId="39" fillId="19" borderId="4" applyAlignment="1" pivotButton="0" quotePrefix="0" xfId="0">
      <alignment horizontal="center" vertical="center"/>
    </xf>
    <xf numFmtId="165" fontId="29" fillId="9" borderId="5" applyAlignment="1" pivotButton="0" quotePrefix="0" xfId="0">
      <alignment horizontal="center" vertical="center"/>
    </xf>
    <xf numFmtId="165" fontId="29" fillId="18" borderId="5" applyAlignment="1" pivotButton="0" quotePrefix="0" xfId="0">
      <alignment horizontal="center" vertical="center"/>
    </xf>
    <xf numFmtId="169" fontId="57" fillId="11" borderId="5" applyAlignment="1" pivotButton="0" quotePrefix="0" xfId="0">
      <alignment horizontal="center" vertical="center"/>
    </xf>
    <xf numFmtId="0" fontId="58" fillId="11" borderId="4" applyAlignment="1" pivotButton="0" quotePrefix="0" xfId="0">
      <alignment horizontal="center" vertical="center"/>
    </xf>
    <xf numFmtId="0" fontId="58" fillId="11" borderId="4" applyAlignment="1" pivotButton="0" quotePrefix="0" xfId="0">
      <alignment horizontal="left" vertical="center"/>
    </xf>
    <xf numFmtId="165" fontId="59" fillId="9" borderId="5" applyAlignment="1" pivotButton="0" quotePrefix="0" xfId="0">
      <alignment horizontal="center" vertical="center"/>
    </xf>
    <xf numFmtId="0" fontId="60" fillId="11" borderId="4" applyAlignment="1" pivotButton="0" quotePrefix="0" xfId="0">
      <alignment horizontal="center" vertical="center"/>
    </xf>
    <xf numFmtId="0" fontId="61" fillId="11" borderId="4" applyAlignment="1" pivotButton="0" quotePrefix="0" xfId="0">
      <alignment horizontal="left" vertical="center"/>
    </xf>
    <xf numFmtId="166" fontId="41" fillId="12" borderId="4" applyAlignment="1" pivotButton="0" quotePrefix="0" xfId="0">
      <alignment horizontal="center" vertical="center"/>
    </xf>
    <xf numFmtId="166" fontId="42" fillId="10" borderId="4" applyAlignment="1" pivotButton="0" quotePrefix="0" xfId="0">
      <alignment horizontal="center" vertical="center"/>
    </xf>
    <xf numFmtId="166" fontId="36" fillId="9" borderId="4" applyAlignment="1" pivotButton="0" quotePrefix="0" xfId="0">
      <alignment horizontal="center" vertical="center"/>
    </xf>
    <xf numFmtId="166" fontId="29" fillId="20" borderId="5" applyAlignment="1" pivotButton="0" quotePrefix="0" xfId="0">
      <alignment horizontal="center" vertical="center"/>
    </xf>
    <xf numFmtId="166" fontId="44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5" fontId="45" fillId="7" borderId="4" applyAlignment="1" pivotButton="0" quotePrefix="0" xfId="0">
      <alignment horizontal="center" vertical="center"/>
    </xf>
    <xf numFmtId="166" fontId="29" fillId="21" borderId="5" applyAlignment="1" pivotButton="0" quotePrefix="0" xfId="0">
      <alignment horizontal="center" vertical="center"/>
    </xf>
    <xf numFmtId="166" fontId="44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5" fontId="45" fillId="22" borderId="4" applyAlignment="1" pivotButton="0" quotePrefix="0" xfId="0">
      <alignment horizontal="center" vertical="center"/>
    </xf>
    <xf numFmtId="165" fontId="40" fillId="11" borderId="4" applyAlignment="1" pivotButton="0" quotePrefix="0" xfId="0">
      <alignment horizontal="center" vertical="center"/>
    </xf>
    <xf numFmtId="166" fontId="26" fillId="8" borderId="4" applyAlignment="1" pivotButton="0" quotePrefix="0" xfId="0">
      <alignment horizontal="center" vertical="center"/>
    </xf>
    <xf numFmtId="165" fontId="48" fillId="6" borderId="4" applyAlignment="1" pivotButton="0" quotePrefix="0" xfId="0">
      <alignment horizontal="center" vertical="center"/>
    </xf>
    <xf numFmtId="165" fontId="40" fillId="12" borderId="4" applyAlignment="1" pivotButton="0" quotePrefix="0" xfId="0">
      <alignment horizontal="center" vertical="center"/>
    </xf>
    <xf numFmtId="166" fontId="26" fillId="23" borderId="4" applyAlignment="1" pivotButton="0" quotePrefix="0" xfId="0">
      <alignment horizontal="center" vertical="center"/>
    </xf>
    <xf numFmtId="165" fontId="48" fillId="17" borderId="4" applyAlignment="1" pivotButton="0" quotePrefix="0" xfId="0">
      <alignment horizontal="center" vertical="center"/>
    </xf>
    <xf numFmtId="166" fontId="37" fillId="2" borderId="4" applyAlignment="1" pivotButton="0" quotePrefix="0" xfId="0">
      <alignment horizontal="center" vertical="center"/>
    </xf>
    <xf numFmtId="165" fontId="50" fillId="2" borderId="4" applyAlignment="1" pivotButton="0" quotePrefix="0" xfId="0">
      <alignment horizontal="center" vertical="center"/>
    </xf>
    <xf numFmtId="165" fontId="51" fillId="11" borderId="4" applyAlignment="1" pivotButton="0" quotePrefix="0" xfId="0">
      <alignment horizontal="center" vertical="center"/>
    </xf>
    <xf numFmtId="166" fontId="26" fillId="11" borderId="4" applyAlignment="1" pivotButton="0" quotePrefix="0" xfId="0">
      <alignment horizontal="center" vertical="center"/>
    </xf>
    <xf numFmtId="165" fontId="32" fillId="6" borderId="4" applyAlignment="1" pivotButton="0" quotePrefix="0" xfId="0">
      <alignment horizontal="center" vertical="center"/>
    </xf>
    <xf numFmtId="167" fontId="26" fillId="11" borderId="4" applyAlignment="1" pivotButton="0" quotePrefix="0" xfId="0">
      <alignment horizontal="center" vertical="center"/>
    </xf>
    <xf numFmtId="165" fontId="52" fillId="9" borderId="4" applyAlignment="1" pivotButton="0" quotePrefix="0" xfId="0">
      <alignment horizontal="center" vertical="center"/>
    </xf>
    <xf numFmtId="165" fontId="51" fillId="12" borderId="4" applyAlignment="1" pivotButton="0" quotePrefix="0" xfId="0">
      <alignment horizontal="center" vertical="center"/>
    </xf>
    <xf numFmtId="166" fontId="26" fillId="12" borderId="4" applyAlignment="1" pivotButton="0" quotePrefix="0" xfId="0">
      <alignment horizontal="center" vertical="center"/>
    </xf>
    <xf numFmtId="165" fontId="32" fillId="17" borderId="4" applyAlignment="1" pivotButton="0" quotePrefix="0" xfId="0">
      <alignment horizontal="center" vertical="center"/>
    </xf>
    <xf numFmtId="167" fontId="26" fillId="12" borderId="4" applyAlignment="1" pivotButton="0" quotePrefix="0" xfId="0">
      <alignment horizontal="center" vertical="center"/>
    </xf>
    <xf numFmtId="165" fontId="52" fillId="18" borderId="4" applyAlignment="1" pivotButton="0" quotePrefix="0" xfId="0">
      <alignment horizontal="center" vertical="center"/>
    </xf>
    <xf numFmtId="166" fontId="37" fillId="10" borderId="4" applyAlignment="1" pivotButton="0" quotePrefix="0" xfId="0">
      <alignment horizontal="center" vertical="center"/>
    </xf>
    <xf numFmtId="166" fontId="38" fillId="8" borderId="4" applyAlignment="1" pivotButton="0" quotePrefix="0" xfId="0">
      <alignment horizontal="center" vertical="center"/>
    </xf>
    <xf numFmtId="166" fontId="53" fillId="6" borderId="4" applyAlignment="1" pivotButton="0" quotePrefix="0" xfId="0">
      <alignment horizontal="center" vertical="center"/>
    </xf>
    <xf numFmtId="165" fontId="54" fillId="7" borderId="4" applyAlignment="1" pivotButton="0" quotePrefix="0" xfId="0">
      <alignment horizontal="center" vertical="center"/>
    </xf>
    <xf numFmtId="166" fontId="40" fillId="8" borderId="5" applyAlignment="1" pivotButton="0" quotePrefix="0" xfId="0">
      <alignment horizontal="center" vertical="center"/>
    </xf>
    <xf numFmtId="165" fontId="29" fillId="10" borderId="5" applyAlignment="1" pivotButton="0" quotePrefix="0" xfId="0">
      <alignment horizontal="center" vertical="center"/>
    </xf>
    <xf numFmtId="165" fontId="55" fillId="7" borderId="4" applyAlignment="1" pivotButton="0" quotePrefix="0" xfId="0">
      <alignment horizontal="center" vertical="center"/>
    </xf>
    <xf numFmtId="166" fontId="40" fillId="23" borderId="5" applyAlignment="1" pivotButton="0" quotePrefix="0" xfId="0">
      <alignment horizontal="center" vertical="center"/>
    </xf>
    <xf numFmtId="165" fontId="29" fillId="24" borderId="5" applyAlignment="1" pivotButton="0" quotePrefix="0" xfId="0">
      <alignment horizontal="center" vertical="center"/>
    </xf>
    <xf numFmtId="165" fontId="55" fillId="22" borderId="4" applyAlignment="1" pivotButton="0" quotePrefix="0" xfId="0">
      <alignment horizontal="center" vertical="center"/>
    </xf>
    <xf numFmtId="165" fontId="31" fillId="12" borderId="4" applyAlignment="1" pivotButton="0" quotePrefix="0" xfId="0">
      <alignment horizontal="center" vertical="center"/>
    </xf>
    <xf numFmtId="165" fontId="31" fillId="11" borderId="4" applyAlignment="1" pivotButton="0" quotePrefix="0" xfId="0">
      <alignment horizontal="center" vertical="center"/>
    </xf>
    <xf numFmtId="167" fontId="51" fillId="10" borderId="4" applyAlignment="1" pivotButton="0" quotePrefix="0" xfId="0">
      <alignment horizontal="center" vertical="center"/>
    </xf>
    <xf numFmtId="165" fontId="40" fillId="8" borderId="4" applyAlignment="1" pivotButton="0" quotePrefix="0" xfId="0">
      <alignment horizontal="center" vertical="center"/>
    </xf>
    <xf numFmtId="167" fontId="26" fillId="8" borderId="4" applyAlignment="1" pivotButton="0" quotePrefix="0" xfId="0">
      <alignment horizontal="center" vertical="center"/>
    </xf>
    <xf numFmtId="166" fontId="46" fillId="11" borderId="4" applyAlignment="1" pivotButton="0" quotePrefix="0" xfId="0">
      <alignment horizontal="center" vertical="center"/>
    </xf>
    <xf numFmtId="165" fontId="46" fillId="12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5" fontId="26" fillId="6" borderId="4" applyAlignment="1" pivotButton="0" quotePrefix="0" xfId="0">
      <alignment horizontal="center" vertical="center"/>
    </xf>
    <xf numFmtId="169" fontId="40" fillId="11" borderId="5" applyAlignment="1" pivotButton="0" quotePrefix="0" xfId="0">
      <alignment horizontal="center" vertical="center"/>
    </xf>
    <xf numFmtId="169" fontId="40" fillId="11" borderId="5" applyAlignment="1" pivotButton="0" quotePrefix="0" xfId="0">
      <alignment horizontal="center"/>
    </xf>
    <xf numFmtId="0" fontId="62" fillId="25" borderId="0" applyAlignment="1" pivotButton="0" quotePrefix="0" xfId="0">
      <alignment horizontal="center" vertical="center"/>
    </xf>
    <xf numFmtId="0" fontId="63" fillId="26" borderId="0" applyAlignment="1" pivotButton="0" quotePrefix="0" xfId="0">
      <alignment horizontal="center" vertical="center" wrapText="1"/>
    </xf>
    <xf numFmtId="0" fontId="64" fillId="27" borderId="0" applyAlignment="1" pivotButton="0" quotePrefix="0" xfId="0">
      <alignment horizontal="left" vertical="center"/>
    </xf>
    <xf numFmtId="0" fontId="65" fillId="28" borderId="14" applyAlignment="1" pivotButton="0" quotePrefix="0" xfId="0">
      <alignment horizontal="center" vertical="center"/>
    </xf>
    <xf numFmtId="0" fontId="66" fillId="29" borderId="14" applyAlignment="1" pivotButton="0" quotePrefix="0" xfId="0">
      <alignment horizontal="left" vertical="center"/>
    </xf>
    <xf numFmtId="170" fontId="66" fillId="29" borderId="14" applyAlignment="1" pivotButton="0" quotePrefix="0" xfId="0">
      <alignment horizontal="center" vertical="center"/>
    </xf>
    <xf numFmtId="171" fontId="67" fillId="29" borderId="14" applyAlignment="1" pivotButton="0" quotePrefix="0" xfId="0">
      <alignment horizontal="center" vertical="center"/>
    </xf>
    <xf numFmtId="171" fontId="66" fillId="29" borderId="14" applyAlignment="1" pivotButton="0" quotePrefix="0" xfId="0">
      <alignment horizontal="center" vertical="center"/>
    </xf>
    <xf numFmtId="0" fontId="66" fillId="30" borderId="14" applyAlignment="1" pivotButton="0" quotePrefix="0" xfId="0">
      <alignment horizontal="left" vertical="center"/>
    </xf>
    <xf numFmtId="170" fontId="66" fillId="30" borderId="14" applyAlignment="1" pivotButton="0" quotePrefix="0" xfId="0">
      <alignment horizontal="center" vertical="center"/>
    </xf>
    <xf numFmtId="171" fontId="67" fillId="30" borderId="14" applyAlignment="1" pivotButton="0" quotePrefix="0" xfId="0">
      <alignment horizontal="center" vertical="center"/>
    </xf>
    <xf numFmtId="171" fontId="66" fillId="30" borderId="14" applyAlignment="1" pivotButton="0" quotePrefix="0" xfId="0">
      <alignment horizontal="center" vertical="center"/>
    </xf>
    <xf numFmtId="0" fontId="65" fillId="28" borderId="14" applyAlignment="1" pivotButton="0" quotePrefix="0" xfId="0">
      <alignment horizontal="left" vertical="center"/>
    </xf>
    <xf numFmtId="170" fontId="65" fillId="28" borderId="14" applyAlignment="1" pivotButton="0" quotePrefix="0" xfId="0">
      <alignment horizontal="center" vertical="center"/>
    </xf>
    <xf numFmtId="3" fontId="65" fillId="28" borderId="14" applyAlignment="1" pivotButton="0" quotePrefix="0" xfId="0">
      <alignment horizontal="center" vertical="center"/>
    </xf>
    <xf numFmtId="0" fontId="66" fillId="29" borderId="14" applyAlignment="1" pivotButton="0" quotePrefix="0" xfId="0">
      <alignment horizontal="center" vertical="center"/>
    </xf>
    <xf numFmtId="0" fontId="66" fillId="30" borderId="14" applyAlignment="1" pivotButton="0" quotePrefix="0" xfId="0">
      <alignment horizontal="center" vertical="center"/>
    </xf>
    <xf numFmtId="0" fontId="0" fillId="31" borderId="14" applyAlignment="1" pivotButton="0" quotePrefix="0" xfId="0">
      <alignment horizontal="left" vertical="center"/>
    </xf>
    <xf numFmtId="0" fontId="0" fillId="31" borderId="14" applyAlignment="1" pivotButton="0" quotePrefix="0" xfId="0">
      <alignment horizontal="center" vertical="center"/>
    </xf>
    <xf numFmtId="171" fontId="0" fillId="31" borderId="14" applyAlignment="1" pivotButton="0" quotePrefix="0" xfId="0">
      <alignment horizontal="center" vertical="center"/>
    </xf>
    <xf numFmtId="0" fontId="68" fillId="29" borderId="14" applyAlignment="1" pivotButton="0" quotePrefix="0" xfId="0">
      <alignment horizontal="left" vertical="center"/>
    </xf>
    <xf numFmtId="171" fontId="68" fillId="29" borderId="14" applyAlignment="1" pivotButton="0" quotePrefix="0" xfId="0">
      <alignment horizontal="center" vertical="center"/>
    </xf>
    <xf numFmtId="170" fontId="68" fillId="29" borderId="14" applyAlignment="1" pivotButton="0" quotePrefix="0" xfId="0">
      <alignment horizontal="center" vertical="center"/>
    </xf>
    <xf numFmtId="0" fontId="68" fillId="30" borderId="14" applyAlignment="1" pivotButton="0" quotePrefix="0" xfId="0">
      <alignment horizontal="left" vertical="center"/>
    </xf>
    <xf numFmtId="171" fontId="68" fillId="30" borderId="14" applyAlignment="1" pivotButton="0" quotePrefix="0" xfId="0">
      <alignment horizontal="center" vertical="center"/>
    </xf>
    <xf numFmtId="170" fontId="68" fillId="30" borderId="14" applyAlignment="1" pivotButton="0" quotePrefix="0" xfId="0">
      <alignment horizontal="center" vertical="center"/>
    </xf>
    <xf numFmtId="171" fontId="65" fillId="28" borderId="14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8E6C9"/>
      <rgbColor rgb="FFFF00FF"/>
      <rgbColor rgb="FFE8E8E8"/>
      <rgbColor rgb="FF800000"/>
      <rgbColor rgb="FF008000"/>
      <rgbColor rgb="FF000080"/>
      <rgbColor rgb="FF777777"/>
      <rgbColor rgb="FF6A1B9A"/>
      <rgbColor rgb="FF00695C"/>
      <rgbColor rgb="FFCCCCCC"/>
      <rgbColor rgb="FF888888"/>
      <rgbColor rgb="FFC0D8EE"/>
      <rgbColor rgb="FF993366"/>
      <rgbColor rgb="FFFFF9C4"/>
      <rgbColor rgb="FFE3F2FD"/>
      <rgbColor rgb="FF660066"/>
      <rgbColor rgb="FFFFCDD2"/>
      <rgbColor rgb="FF1565C0"/>
      <rgbColor rgb="FFC0D4EE"/>
      <rgbColor rgb="FF000080"/>
      <rgbColor rgb="FFFF00FF"/>
      <rgbColor rgb="FFE8F5E9"/>
      <rgbColor rgb="FFF5F5F5"/>
      <rgbColor rgb="FF800080"/>
      <rgbColor rgb="FF800000"/>
      <rgbColor rgb="FF008080"/>
      <rgbColor rgb="FF0000FF"/>
      <rgbColor rgb="FFC0DED8"/>
      <rgbColor rgb="FFD0E8F5"/>
      <rgbColor rgb="FFD0EDD4"/>
      <rgbColor rgb="FFF0EAB0"/>
      <rgbColor rgb="FFBBDEFB"/>
      <rgbColor rgb="FFF0C0C0"/>
      <rgbColor rgb="FFE8D5F5"/>
      <rgbColor rgb="FFF5C8C8"/>
      <rgbColor rgb="FFF3E5F5"/>
      <rgbColor rgb="FFB2DFDB"/>
      <rgbColor rgb="FFB8DEB8"/>
      <rgbColor rgb="FFE8A020"/>
      <rgbColor rgb="FFF9A825"/>
      <rgbColor rgb="FFFCE4EC"/>
      <rgbColor rgb="FF666666"/>
      <rgbColor rgb="FF999999"/>
      <rgbColor rgb="FF003366"/>
      <rgbColor rgb="FF2E7D32"/>
      <rgbColor rgb="FF003300"/>
      <rgbColor rgb="FF333300"/>
      <rgbColor rgb="FFC62828"/>
      <rgbColor rgb="FF993366"/>
      <rgbColor rgb="FF55555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36" customHeight="1">
      <c r="B1" s="289" t="inlineStr">
        <is>
          <t>LOKA  —  CAPITAL, OWNERSHIP &amp; PRE-OPENING EXPENSES</t>
        </is>
      </c>
    </row>
    <row r="2" ht="26" customHeight="1">
      <c r="B2" s="290" t="inlineStr">
        <is>
          <t>Tracks ownership splits, capital contributions, and all pre-opening expenses.  Add Shashirekha's expenses in the yellow rows.</t>
        </is>
      </c>
    </row>
    <row r="4" ht="26" customHeight="1">
      <c r="B4" s="291" t="inlineStr">
        <is>
          <t xml:space="preserve">  A.  OWNERSHIP STRUCTURE</t>
        </is>
      </c>
    </row>
    <row r="5" ht="22" customHeight="1">
      <c r="B5" s="292" t="inlineStr">
        <is>
          <t>Owner</t>
        </is>
      </c>
      <c r="C5" s="292" t="inlineStr">
        <is>
          <t>Share %</t>
        </is>
      </c>
      <c r="D5" s="292" t="inlineStr">
        <is>
          <t>Capital Contributed ($)</t>
        </is>
      </c>
      <c r="E5" s="292" t="inlineStr">
        <is>
          <t>Expenses ($)</t>
        </is>
      </c>
      <c r="F5" s="292" t="inlineStr">
        <is>
          <t>Remaining ($)</t>
        </is>
      </c>
      <c r="G5" s="292" t="inlineStr">
        <is>
          <t>Role / Notes</t>
        </is>
      </c>
    </row>
    <row r="6" ht="20" customHeight="1">
      <c r="B6" s="293" t="inlineStr">
        <is>
          <t>Lohith Reddy</t>
        </is>
      </c>
      <c r="C6" s="294" t="n">
        <v>0.5</v>
      </c>
      <c r="D6" s="295" t="n">
        <v>300000</v>
      </c>
      <c r="E6" s="296">
        <f>D21</f>
        <v/>
      </c>
      <c r="F6" s="296">
        <f>D6-E6</f>
        <v/>
      </c>
      <c r="G6" s="293" t="inlineStr">
        <is>
          <t>50% — Managing Partner</t>
        </is>
      </c>
    </row>
    <row r="7" ht="20" customHeight="1">
      <c r="B7" s="297" t="inlineStr">
        <is>
          <t>Kashigoud Patil</t>
        </is>
      </c>
      <c r="C7" s="298" t="n">
        <v>0.3</v>
      </c>
      <c r="D7" s="299" t="n">
        <v>180000</v>
      </c>
      <c r="E7" s="300">
        <f>D28</f>
        <v/>
      </c>
      <c r="F7" s="300">
        <f>D7-E7</f>
        <v/>
      </c>
      <c r="G7" s="297" t="inlineStr">
        <is>
          <t>30% — Partner</t>
        </is>
      </c>
    </row>
    <row r="8" ht="20" customHeight="1">
      <c r="B8" s="293" t="inlineStr">
        <is>
          <t>Shashirekha Basavaraju</t>
        </is>
      </c>
      <c r="C8" s="294" t="n">
        <v>0.2</v>
      </c>
      <c r="D8" s="295" t="n">
        <v>120000</v>
      </c>
      <c r="E8" s="296">
        <f>D35</f>
        <v/>
      </c>
      <c r="F8" s="296">
        <f>D8-E8</f>
        <v/>
      </c>
      <c r="G8" s="293" t="inlineStr">
        <is>
          <t>20% — Partner</t>
        </is>
      </c>
    </row>
    <row r="9" ht="22" customHeight="1">
      <c r="B9" s="301" t="inlineStr">
        <is>
          <t>TOTAL</t>
        </is>
      </c>
      <c r="C9" s="302">
        <f>SUM(C6:C8)</f>
        <v/>
      </c>
      <c r="D9" s="303">
        <f>SUM(D6:D8)</f>
        <v/>
      </c>
      <c r="E9" s="303">
        <f>SUM(E6:E8)</f>
        <v/>
      </c>
      <c r="F9" s="303">
        <f>SUM(F6:F8)</f>
        <v/>
      </c>
      <c r="G9" s="292" t="inlineStr"/>
    </row>
    <row r="11" ht="26" customHeight="1">
      <c r="B11" s="291" t="inlineStr">
        <is>
          <t xml:space="preserve">  B.  RESTAURANT ACQUISITION</t>
        </is>
      </c>
    </row>
    <row r="12" ht="22" customHeight="1">
      <c r="B12" s="292" t="inlineStr">
        <is>
          <t>Description</t>
        </is>
      </c>
      <c r="C12" s="292" t="inlineStr">
        <is>
          <t>Date</t>
        </is>
      </c>
      <c r="D12" s="292" t="inlineStr">
        <is>
          <t>Amount ($)</t>
        </is>
      </c>
      <c r="E12" s="292" t="inlineStr">
        <is>
          <t>Paid By</t>
        </is>
      </c>
      <c r="F12" s="292" t="inlineStr">
        <is>
          <t>Category</t>
        </is>
      </c>
      <c r="G12" s="292" t="inlineStr">
        <is>
          <t>Notes</t>
        </is>
      </c>
    </row>
    <row r="13">
      <c r="B13" s="293" t="inlineStr">
        <is>
          <t>Purchase — LOKA Restaurant (previous owners)</t>
        </is>
      </c>
      <c r="C13" s="304" t="n"/>
      <c r="D13" s="295" t="n">
        <v>390000</v>
      </c>
      <c r="E13" s="293" t="inlineStr">
        <is>
          <t>All Partners</t>
        </is>
      </c>
      <c r="F13" s="293" t="inlineStr">
        <is>
          <t>Acquisition</t>
        </is>
      </c>
      <c r="G13" s="293" t="inlineStr">
        <is>
          <t>Primary purchase price</t>
        </is>
      </c>
    </row>
    <row r="14" ht="22" customHeight="1">
      <c r="B14" s="301" t="inlineStr">
        <is>
          <t>ACQUISITION TOTAL</t>
        </is>
      </c>
      <c r="C14" s="292" t="inlineStr"/>
      <c r="D14" s="303">
        <f>D13</f>
        <v/>
      </c>
      <c r="E14" s="292" t="inlineStr"/>
      <c r="F14" s="292" t="inlineStr"/>
      <c r="G14" s="292" t="inlineStr"/>
    </row>
    <row r="16" ht="26" customHeight="1">
      <c r="B16" s="291" t="inlineStr">
        <is>
          <t xml:space="preserve">  C.  PRE-OPENING EXPENSES — KASHIGOUD PATIL</t>
        </is>
      </c>
    </row>
    <row r="17" ht="22" customHeight="1">
      <c r="B17" s="292" t="inlineStr">
        <is>
          <t>Description</t>
        </is>
      </c>
      <c r="C17" s="292" t="inlineStr">
        <is>
          <t>Date</t>
        </is>
      </c>
      <c r="D17" s="292" t="inlineStr">
        <is>
          <t>Amount ($)</t>
        </is>
      </c>
      <c r="E17" s="292" t="inlineStr">
        <is>
          <t>Paid To</t>
        </is>
      </c>
      <c r="F17" s="292" t="inlineStr">
        <is>
          <t>Category</t>
        </is>
      </c>
      <c r="G17" s="292" t="inlineStr">
        <is>
          <t>Notes</t>
        </is>
      </c>
    </row>
    <row r="18">
      <c r="B18" s="293" t="inlineStr">
        <is>
          <t>Transfer to Lohith Reddy (capital allocation)</t>
        </is>
      </c>
      <c r="C18" s="304" t="n"/>
      <c r="D18" s="295" t="n">
        <v>125000</v>
      </c>
      <c r="E18" s="293" t="inlineStr">
        <is>
          <t>Bank Transfer</t>
        </is>
      </c>
      <c r="F18" s="293" t="inlineStr">
        <is>
          <t>Internal Transfer</t>
        </is>
      </c>
      <c r="G18" s="293" t="inlineStr">
        <is>
          <t>Capital to managing partner</t>
        </is>
      </c>
    </row>
    <row r="19">
      <c r="B19" s="297" t="inlineStr">
        <is>
          <t>Soft Restaurant License &amp; Tools</t>
        </is>
      </c>
      <c r="C19" s="305" t="n"/>
      <c r="D19" s="299" t="n">
        <v>15195</v>
      </c>
      <c r="E19" s="297" t="inlineStr">
        <is>
          <t>Soft App</t>
        </is>
      </c>
      <c r="F19" s="297" t="inlineStr">
        <is>
          <t>Software / License</t>
        </is>
      </c>
      <c r="G19" s="297" t="inlineStr">
        <is>
          <t>POS + mgmt tools</t>
        </is>
      </c>
    </row>
    <row r="20">
      <c r="B20" s="293" t="inlineStr">
        <is>
          <t>Mercado Pago Terminal</t>
        </is>
      </c>
      <c r="C20" s="304" t="n"/>
      <c r="D20" s="295" t="n">
        <v>500</v>
      </c>
      <c r="E20" s="293" t="inlineStr">
        <is>
          <t>Mercado Pago</t>
        </is>
      </c>
      <c r="F20" s="293" t="inlineStr">
        <is>
          <t>Equipment</t>
        </is>
      </c>
      <c r="G20" s="293" t="inlineStr">
        <is>
          <t>Card payment terminal</t>
        </is>
      </c>
    </row>
    <row r="21" ht="22" customHeight="1">
      <c r="B21" s="301" t="inlineStr">
        <is>
          <t>KASHIGOUD TOTAL</t>
        </is>
      </c>
      <c r="C21" s="292" t="inlineStr"/>
      <c r="D21" s="303">
        <f>SUM(D18:D20)</f>
        <v/>
      </c>
      <c r="E21" s="292" t="inlineStr"/>
      <c r="F21" s="292" t="inlineStr"/>
      <c r="G21" s="292" t="inlineStr"/>
    </row>
    <row r="23" ht="26" customHeight="1">
      <c r="B23" s="291" t="inlineStr">
        <is>
          <t xml:space="preserve">  D.  PRE-OPENING EXPENSES — LOHITH REDDY</t>
        </is>
      </c>
    </row>
    <row r="24" ht="22" customHeight="1">
      <c r="B24" s="292" t="inlineStr">
        <is>
          <t>Description</t>
        </is>
      </c>
      <c r="C24" s="292" t="inlineStr">
        <is>
          <t>Date</t>
        </is>
      </c>
      <c r="D24" s="292" t="inlineStr">
        <is>
          <t>Amount ($)</t>
        </is>
      </c>
      <c r="E24" s="292" t="inlineStr">
        <is>
          <t>Paid To</t>
        </is>
      </c>
      <c r="F24" s="292" t="inlineStr">
        <is>
          <t>Category</t>
        </is>
      </c>
      <c r="G24" s="292" t="inlineStr">
        <is>
          <t>Notes</t>
        </is>
      </c>
    </row>
    <row r="25">
      <c r="B25" s="293" t="inlineStr">
        <is>
          <t>Notary Fees</t>
        </is>
      </c>
      <c r="C25" s="304" t="n"/>
      <c r="D25" s="295" t="n">
        <v>15797</v>
      </c>
      <c r="E25" s="293" t="inlineStr">
        <is>
          <t>Notary Office</t>
        </is>
      </c>
      <c r="F25" s="293" t="inlineStr">
        <is>
          <t>Legal / Notary</t>
        </is>
      </c>
      <c r="G25" s="293" t="inlineStr">
        <is>
          <t>Notarization of purchase docs</t>
        </is>
      </c>
    </row>
    <row r="26">
      <c r="B26" s="297" t="inlineStr">
        <is>
          <t>Poliza Juridica (Legal Policy)</t>
        </is>
      </c>
      <c r="C26" s="305" t="n"/>
      <c r="D26" s="299" t="n">
        <v>5150</v>
      </c>
      <c r="E26" s="297" t="inlineStr">
        <is>
          <t>Legal Office</t>
        </is>
      </c>
      <c r="F26" s="297" t="inlineStr">
        <is>
          <t>Legal / Insurance</t>
        </is>
      </c>
      <c r="G26" s="297" t="inlineStr">
        <is>
          <t>Juridical property policy</t>
        </is>
      </c>
    </row>
    <row r="27">
      <c r="B27" s="293" t="inlineStr">
        <is>
          <t>Alejandra — Documentation Asst.</t>
        </is>
      </c>
      <c r="C27" s="304" t="n"/>
      <c r="D27" s="295" t="n">
        <v>3000</v>
      </c>
      <c r="E27" s="293" t="inlineStr">
        <is>
          <t>Alejandra</t>
        </is>
      </c>
      <c r="F27" s="293" t="inlineStr">
        <is>
          <t>Professional Services</t>
        </is>
      </c>
      <c r="G27" s="293" t="inlineStr">
        <is>
          <t>Paperwork &amp; documentation help</t>
        </is>
      </c>
    </row>
    <row r="28" ht="22" customHeight="1">
      <c r="B28" s="301" t="inlineStr">
        <is>
          <t>LOHITH TOTAL</t>
        </is>
      </c>
      <c r="C28" s="292" t="inlineStr"/>
      <c r="D28" s="303">
        <f>SUM(D25:D27)</f>
        <v/>
      </c>
      <c r="E28" s="292" t="inlineStr"/>
      <c r="F28" s="292" t="inlineStr"/>
      <c r="G28" s="292" t="inlineStr"/>
    </row>
    <row r="30" ht="26" customHeight="1">
      <c r="B30" s="291" t="inlineStr">
        <is>
          <t xml:space="preserve">  E.  PRE-OPENING EXPENSES — SHASHIREKHA BASAVARAJU   ← PENDING: Fill yellow rows</t>
        </is>
      </c>
    </row>
    <row r="31" ht="22" customHeight="1">
      <c r="B31" s="292" t="inlineStr">
        <is>
          <t>Description</t>
        </is>
      </c>
      <c r="C31" s="292" t="inlineStr">
        <is>
          <t>Date</t>
        </is>
      </c>
      <c r="D31" s="292" t="inlineStr">
        <is>
          <t>Amount ($)</t>
        </is>
      </c>
      <c r="E31" s="292" t="inlineStr">
        <is>
          <t>Paid To</t>
        </is>
      </c>
      <c r="F31" s="292" t="inlineStr">
        <is>
          <t>Category</t>
        </is>
      </c>
      <c r="G31" s="292" t="inlineStr">
        <is>
          <t>Notes</t>
        </is>
      </c>
    </row>
    <row r="32">
      <c r="B32" s="306" t="n"/>
      <c r="C32" s="307" t="n"/>
      <c r="D32" s="308" t="n"/>
      <c r="E32" s="306" t="n"/>
      <c r="F32" s="306" t="n"/>
      <c r="G32" s="306" t="n"/>
    </row>
    <row r="33">
      <c r="B33" s="306" t="n"/>
      <c r="C33" s="307" t="n"/>
      <c r="D33" s="308" t="n"/>
      <c r="E33" s="306" t="n"/>
      <c r="F33" s="306" t="n"/>
      <c r="G33" s="306" t="n"/>
    </row>
    <row r="34">
      <c r="B34" s="306" t="n"/>
      <c r="C34" s="307" t="n"/>
      <c r="D34" s="308" t="n"/>
      <c r="E34" s="306" t="n"/>
      <c r="F34" s="306" t="n"/>
      <c r="G34" s="306" t="n"/>
    </row>
    <row r="35">
      <c r="B35" s="306" t="n"/>
      <c r="C35" s="307" t="n"/>
      <c r="D35" s="308" t="n"/>
      <c r="E35" s="306" t="n"/>
      <c r="F35" s="306" t="n"/>
      <c r="G35" s="306" t="n"/>
    </row>
    <row r="36">
      <c r="B36" s="306" t="n"/>
      <c r="C36" s="307" t="n"/>
      <c r="D36" s="308" t="n"/>
      <c r="E36" s="306" t="n"/>
      <c r="F36" s="306" t="n"/>
      <c r="G36" s="306" t="n"/>
    </row>
    <row r="37" ht="22" customHeight="1">
      <c r="B37" s="301" t="inlineStr">
        <is>
          <t>SHASHIREKHA TOTAL</t>
        </is>
      </c>
      <c r="C37" s="292" t="inlineStr"/>
      <c r="D37" s="303">
        <f>SUM(D32:D36)</f>
        <v/>
      </c>
      <c r="E37" s="292" t="inlineStr"/>
      <c r="F37" s="292" t="inlineStr"/>
      <c r="G37" s="292" t="inlineStr"/>
    </row>
    <row r="39" ht="26" customHeight="1">
      <c r="B39" s="291" t="inlineStr">
        <is>
          <t xml:space="preserve">  F.  GRAND SUMMARY — CAPITAL DEPLOYMENT</t>
        </is>
      </c>
    </row>
    <row r="40" ht="22" customHeight="1">
      <c r="B40" s="292" t="inlineStr">
        <is>
          <t>Line Item</t>
        </is>
      </c>
      <c r="C40" s="292" t="inlineStr">
        <is>
          <t>Amount ($)</t>
        </is>
      </c>
      <c r="D40" s="292" t="inlineStr">
        <is>
          <t>% of Budget</t>
        </is>
      </c>
      <c r="E40" s="292" t="inlineStr">
        <is>
          <t>Notes</t>
        </is>
      </c>
      <c r="F40" s="292" t="inlineStr"/>
      <c r="G40" s="292" t="inlineStr"/>
    </row>
    <row r="41" ht="20" customHeight="1">
      <c r="B41" s="309" t="inlineStr">
        <is>
          <t>Total Budget (All Partners)</t>
        </is>
      </c>
      <c r="C41" s="310">
        <f>SUM(D6:D8)</f>
        <v/>
      </c>
      <c r="D41" s="311">
        <f>C41/C41</f>
        <v/>
      </c>
      <c r="E41" s="309" t="inlineStr">
        <is>
          <t>100% of committed capital</t>
        </is>
      </c>
    </row>
    <row r="42" ht="20" customHeight="1">
      <c r="B42" s="312" t="inlineStr">
        <is>
          <t>Restaurant Acquisition</t>
        </is>
      </c>
      <c r="C42" s="313">
        <f>D13</f>
        <v/>
      </c>
      <c r="D42" s="314">
        <f>C42/$C$41</f>
        <v/>
      </c>
      <c r="E42" s="312" t="inlineStr">
        <is>
          <t>Payment to previous owners</t>
        </is>
      </c>
    </row>
    <row r="43" ht="20" customHeight="1">
      <c r="B43" s="309" t="inlineStr">
        <is>
          <t>Kashigoud — Expenses (excl. transfer)</t>
        </is>
      </c>
      <c r="C43" s="310">
        <f>D19+D20</f>
        <v/>
      </c>
      <c r="D43" s="311">
        <f>C43/$C$41</f>
        <v/>
      </c>
      <c r="E43" s="309" t="inlineStr">
        <is>
          <t>License $15,195 + terminal $500</t>
        </is>
      </c>
    </row>
    <row r="44" ht="20" customHeight="1">
      <c r="B44" s="312" t="inlineStr">
        <is>
          <t>Kashigoud → Lohith (Internal Transfer)</t>
        </is>
      </c>
      <c r="C44" s="313">
        <f>D18</f>
        <v/>
      </c>
      <c r="D44" s="314">
        <f>C44/$C$41</f>
        <v/>
      </c>
      <c r="E44" s="312" t="inlineStr">
        <is>
          <t>Capital reallocation</t>
        </is>
      </c>
    </row>
    <row r="45" ht="20" customHeight="1">
      <c r="B45" s="309" t="inlineStr">
        <is>
          <t>Lohith — Pre-Opening Expenses</t>
        </is>
      </c>
      <c r="C45" s="310">
        <f>D28</f>
        <v/>
      </c>
      <c r="D45" s="311">
        <f>C45/$C$41</f>
        <v/>
      </c>
      <c r="E45" s="309" t="inlineStr">
        <is>
          <t>Notary + Poliza + Alejandra</t>
        </is>
      </c>
    </row>
    <row r="46" ht="20" customHeight="1">
      <c r="B46" s="312" t="inlineStr">
        <is>
          <t>Shashirekha — Expenses</t>
        </is>
      </c>
      <c r="C46" s="313">
        <f>D37</f>
        <v/>
      </c>
      <c r="D46" s="314">
        <f>C46/$C$41</f>
        <v/>
      </c>
      <c r="E46" s="312" t="inlineStr">
        <is>
          <t>PENDING — to be added</t>
        </is>
      </c>
    </row>
    <row r="47" ht="20" customHeight="1">
      <c r="B47" s="301" t="inlineStr">
        <is>
          <t>TOTAL EXPENSES TO DATE</t>
        </is>
      </c>
      <c r="C47" s="315">
        <f>C42+C43+C45+C46</f>
        <v/>
      </c>
      <c r="D47" s="302">
        <f>C47/$C$41</f>
        <v/>
      </c>
      <c r="E47" s="301" t="inlineStr">
        <is>
          <t>Excl. internal transfer</t>
        </is>
      </c>
    </row>
    <row r="48" ht="20" customHeight="1">
      <c r="B48" s="301" t="inlineStr">
        <is>
          <t>REMAINING BUDGET</t>
        </is>
      </c>
      <c r="C48" s="315">
        <f>C41-C47</f>
        <v/>
      </c>
      <c r="D48" s="302">
        <f>C48/$C$41</f>
        <v/>
      </c>
      <c r="E48" s="301" t="inlineStr">
        <is>
          <t>Available for operations</t>
        </is>
      </c>
    </row>
  </sheetData>
  <mergeCells count="8">
    <mergeCell ref="B1:G1"/>
    <mergeCell ref="B2:G2"/>
    <mergeCell ref="B4:G4"/>
    <mergeCell ref="B11:G11"/>
    <mergeCell ref="B16:G16"/>
    <mergeCell ref="B23:G23"/>
    <mergeCell ref="B30:G30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40"/>
  <sheetViews>
    <sheetView showGridLines="0" topLeftCell="A19" zoomScaleNormal="100" workbookViewId="0">
      <selection activeCell="A1" sqref="A1"/>
    </sheetView>
  </sheetViews>
  <sheetFormatPr baseColWidth="8" defaultColWidth="8.6640625" defaultRowHeight="14.4"/>
  <cols>
    <col width="2" customWidth="1" min="1" max="1"/>
    <col width="16" customWidth="1" min="2" max="2"/>
    <col width="14" customWidth="1" min="3" max="6"/>
    <col width="2" customWidth="1" min="7" max="7"/>
    <col width="16" customWidth="1" min="8" max="8"/>
    <col width="14" customWidth="1" min="9" max="12"/>
    <col width="2" customWidth="1" min="13" max="14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7.5" customHeight="1">
      <c r="A2" s="141" t="inlineStr">
        <is>
          <t>🍽️  LOKA Cafe Restaurante</t>
        </is>
      </c>
      <c r="H2" s="142" t="inlineStr">
        <is>
          <t>Restaurant Manager — powered by Soft + Excel</t>
        </is>
      </c>
    </row>
    <row r="3" ht="3.75" customHeight="1">
      <c r="A3" s="143" t="n"/>
    </row>
    <row r="4" ht="7.5" customHeight="1"/>
    <row r="5" ht="36" customHeight="1">
      <c r="B5" s="14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2" t="n"/>
      <c r="M5" s="172" t="n"/>
    </row>
    <row r="6" ht="9.75" customHeight="1"/>
    <row r="7" ht="19.5" customHeight="1">
      <c r="B7" s="146" t="inlineStr">
        <is>
          <t xml:space="preserve">  💰  REVENUE  (auto-pulled from Daily Log)</t>
        </is>
      </c>
      <c r="C7" s="172" t="n"/>
      <c r="D7" s="172" t="n"/>
      <c r="E7" s="172" t="n"/>
      <c r="F7" s="172" t="n"/>
      <c r="G7" s="172" t="n"/>
      <c r="H7" s="172" t="n"/>
      <c r="I7" s="172" t="n"/>
      <c r="J7" s="172" t="n"/>
      <c r="K7" s="172" t="n"/>
      <c r="L7" s="172" t="n"/>
      <c r="M7" s="172" t="n"/>
    </row>
    <row r="8" ht="6" customHeight="1"/>
    <row r="9" ht="18" customHeight="1">
      <c r="B9" s="147" t="inlineStr">
        <is>
          <t>TODAY'S REVENUE</t>
        </is>
      </c>
      <c r="C9" s="173" t="n"/>
      <c r="D9" s="147" t="inlineStr">
        <is>
          <t>WEEK REVENUE</t>
        </is>
      </c>
      <c r="E9" s="173" t="n"/>
      <c r="F9" s="147" t="inlineStr">
        <is>
          <t>MONTH REVENUE</t>
        </is>
      </c>
      <c r="G9" s="173" t="n"/>
      <c r="H9" s="147" t="inlineStr">
        <is>
          <t>TODAY'S EXPENSES</t>
        </is>
      </c>
      <c r="I9" s="173" t="n"/>
      <c r="J9" s="147" t="inlineStr">
        <is>
          <t>TODAY'S NET PROFIT</t>
        </is>
      </c>
      <c r="K9" s="173" t="n"/>
      <c r="L9" s="147" t="inlineStr">
        <is>
          <t>AVG TICKET</t>
        </is>
      </c>
      <c r="M9" s="173" t="n"/>
    </row>
    <row r="10" ht="19.5" customHeight="1">
      <c r="B10" s="174">
        <f>'📅 Daily Log'!E5</f>
        <v/>
      </c>
      <c r="C10" s="175" t="n"/>
      <c r="D10" s="176">
        <f>'📅 Daily Log'!N5</f>
        <v/>
      </c>
      <c r="E10" s="175" t="n"/>
      <c r="F10" s="177">
        <f>'📅 Daily Log'!O5</f>
        <v/>
      </c>
      <c r="G10" s="175" t="n"/>
      <c r="H10" s="178">
        <f>'💸 Expenses'!H5</f>
        <v/>
      </c>
      <c r="I10" s="175" t="n"/>
      <c r="J10" s="174">
        <f>'💸 Expenses'!H6</f>
        <v/>
      </c>
      <c r="K10" s="175" t="n"/>
      <c r="L10" s="179">
        <f>'📅 Daily Log'!G5</f>
        <v/>
      </c>
      <c r="M10" s="175" t="n"/>
    </row>
    <row r="11" ht="19.5" customHeight="1">
      <c r="B11" s="180" t="n"/>
      <c r="D11" s="180" t="n"/>
      <c r="F11" s="180" t="n"/>
      <c r="H11" s="180" t="n"/>
      <c r="J11" s="180" t="n"/>
      <c r="L11" s="180" t="n"/>
    </row>
    <row r="12" ht="19.5" customHeight="1">
      <c r="B12" s="180" t="n"/>
      <c r="D12" s="180" t="n"/>
      <c r="F12" s="180" t="n"/>
      <c r="H12" s="180" t="n"/>
      <c r="J12" s="180" t="n"/>
      <c r="L12" s="180" t="n"/>
    </row>
    <row r="13" ht="9.75" customHeight="1"/>
    <row r="14" ht="19.5" customHeight="1">
      <c r="B14" s="146" t="inlineStr">
        <is>
          <t xml:space="preserve">  📊  OPERATIONS</t>
        </is>
      </c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72" t="n"/>
      <c r="M14" s="172" t="n"/>
    </row>
    <row r="15" ht="6" customHeight="1"/>
    <row r="16" ht="18" customHeight="1">
      <c r="B16" s="147" t="inlineStr">
        <is>
          <t>TODAY'S ORDERS</t>
        </is>
      </c>
      <c r="C16" s="173" t="n"/>
      <c r="D16" s="147" t="inlineStr">
        <is>
          <t>WEEK ORDERS</t>
        </is>
      </c>
      <c r="E16" s="173" t="n"/>
      <c r="F16" s="147" t="inlineStr">
        <is>
          <t>PROFIT MARGIN %</t>
        </is>
      </c>
      <c r="G16" s="173" t="n"/>
      <c r="H16" s="147" t="inlineStr">
        <is>
          <t>LOW STOCK ITEMS</t>
        </is>
      </c>
      <c r="I16" s="173" t="n"/>
      <c r="J16" s="147" t="inlineStr">
        <is>
          <t>WEEK EXPENSES</t>
        </is>
      </c>
      <c r="K16" s="173" t="n"/>
      <c r="L16" s="147" t="inlineStr">
        <is>
          <t>PENDING ORDERS</t>
        </is>
      </c>
      <c r="M16" s="173" t="n"/>
    </row>
    <row r="17" ht="19.5" customHeight="1">
      <c r="B17" s="181">
        <f>'📅 Daily Log'!F5</f>
        <v/>
      </c>
      <c r="C17" s="175" t="n"/>
      <c r="D17" s="181">
        <f>'📅 Daily Log'!P5</f>
        <v/>
      </c>
      <c r="E17" s="175" t="n"/>
      <c r="F17" s="182">
        <f>IFERROR(('📅 Daily Log'!E5-'💸 Expenses'!H5)/'📅 Daily Log'!E5,0)</f>
        <v/>
      </c>
      <c r="G17" s="175" t="n"/>
      <c r="H17" s="183">
        <f>'📦 Inventory'!H5</f>
        <v/>
      </c>
      <c r="I17" s="175" t="n"/>
      <c r="J17" s="178">
        <f>'💸 Expenses'!I5</f>
        <v/>
      </c>
      <c r="K17" s="175" t="n"/>
      <c r="L17" s="184">
        <f>'🚚 Suppliers'!H5</f>
        <v/>
      </c>
      <c r="M17" s="175" t="n"/>
    </row>
    <row r="18" ht="19.5" customHeight="1">
      <c r="B18" s="180" t="n"/>
      <c r="D18" s="180" t="n"/>
      <c r="F18" s="180" t="n"/>
      <c r="H18" s="180" t="n"/>
      <c r="J18" s="180" t="n"/>
      <c r="L18" s="180" t="n"/>
    </row>
    <row r="19" ht="19.5" customHeight="1">
      <c r="B19" s="180" t="n"/>
      <c r="D19" s="180" t="n"/>
      <c r="F19" s="180" t="n"/>
      <c r="H19" s="180" t="n"/>
      <c r="J19" s="180" t="n"/>
      <c r="L19" s="180" t="n"/>
    </row>
    <row r="20" ht="9.75" customHeight="1"/>
    <row r="21" ht="19.5" customHeight="1">
      <c r="B21" s="146" t="inlineStr">
        <is>
          <t xml:space="preserve">  📅  LAST 10 DAYS  (from Daily Log — updates automatically)</t>
        </is>
      </c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</row>
    <row r="22" ht="27.75" customHeight="1">
      <c r="B22" s="160" t="inlineStr">
        <is>
          <t>Date</t>
        </is>
      </c>
      <c r="C22" s="160" t="inlineStr">
        <is>
          <t>Day</t>
        </is>
      </c>
      <c r="D22" s="160" t="inlineStr">
        <is>
          <t>Revenue ($)</t>
        </is>
      </c>
      <c r="E22" s="160" t="inlineStr">
        <is>
          <t>Orders</t>
        </is>
      </c>
      <c r="F22" s="160" t="inlineStr">
        <is>
          <t>Avg Ticket</t>
        </is>
      </c>
      <c r="G22" s="160" t="inlineStr">
        <is>
          <t>Expenses ($)</t>
        </is>
      </c>
      <c r="H22" s="160" t="inlineStr">
        <is>
          <t>Net Profit ($)</t>
        </is>
      </c>
      <c r="I22" s="160" t="inlineStr">
        <is>
          <t>Margin %</t>
        </is>
      </c>
      <c r="J22" s="160" t="inlineStr">
        <is>
          <t>Notes</t>
        </is>
      </c>
      <c r="K22" s="154" t="inlineStr">
        <is>
          <t>vs Prev Day</t>
        </is>
      </c>
      <c r="L22" s="173" t="n"/>
      <c r="M22" s="185" t="n"/>
    </row>
    <row r="23" ht="16.5" customHeight="1">
      <c r="B23" s="186">
        <f>'📅 Daily Log'!B8</f>
        <v/>
      </c>
      <c r="C23" s="4">
        <f>IFERROR(TEXT('📅 Daily Log'!B8,"DDD"),"")</f>
        <v/>
      </c>
      <c r="D23" s="187">
        <f>'📅 Daily Log'!E8</f>
        <v/>
      </c>
      <c r="E23" s="188">
        <f>'📅 Daily Log'!F8</f>
        <v/>
      </c>
      <c r="F23" s="189">
        <f>'📅 Daily Log'!G8</f>
        <v/>
      </c>
      <c r="G23" s="190">
        <f>'📅 Daily Log'!H8</f>
        <v/>
      </c>
      <c r="H23" s="187">
        <f>'📅 Daily Log'!I8</f>
        <v/>
      </c>
      <c r="I23" s="191">
        <f>'📅 Daily Log'!J8</f>
        <v/>
      </c>
      <c r="J23" s="10">
        <f>'📅 Daily Log'!K8</f>
        <v/>
      </c>
      <c r="K23" s="155" t="inlineStr">
        <is>
          <t>—</t>
        </is>
      </c>
      <c r="L23" s="173" t="n"/>
      <c r="M23" s="185" t="n"/>
    </row>
    <row r="24" ht="16.5" customHeight="1">
      <c r="B24" s="192">
        <f>'📅 Daily Log'!B9</f>
        <v/>
      </c>
      <c r="C24" s="13">
        <f>IFERROR(TEXT('📅 Daily Log'!B9,"DDD"),"")</f>
        <v/>
      </c>
      <c r="D24" s="193">
        <f>'📅 Daily Log'!E9</f>
        <v/>
      </c>
      <c r="E24" s="194">
        <f>'📅 Daily Log'!F9</f>
        <v/>
      </c>
      <c r="F24" s="195">
        <f>'📅 Daily Log'!G9</f>
        <v/>
      </c>
      <c r="G24" s="196">
        <f>'📅 Daily Log'!H9</f>
        <v/>
      </c>
      <c r="H24" s="193">
        <f>'📅 Daily Log'!I9</f>
        <v/>
      </c>
      <c r="I24" s="197">
        <f>'📅 Daily Log'!J9</f>
        <v/>
      </c>
      <c r="J24" s="19">
        <f>'📅 Daily Log'!K9</f>
        <v/>
      </c>
      <c r="K24" s="156">
        <f>IFERROR(IF(D24&gt;D23,"▲ +"&amp;TEXT(D24-D23,"$#,##0"),IF(D24&lt;D23,"▼ "&amp;TEXT(D24-D23,"$#,##0"),"— same")),"")</f>
        <v/>
      </c>
      <c r="L24" s="173" t="n"/>
      <c r="M24" s="185" t="n"/>
    </row>
    <row r="25" ht="16.5" customHeight="1">
      <c r="B25" s="186">
        <f>'📅 Daily Log'!B10</f>
        <v/>
      </c>
      <c r="C25" s="4">
        <f>IFERROR(TEXT('📅 Daily Log'!B10,"DDD"),"")</f>
        <v/>
      </c>
      <c r="D25" s="187">
        <f>'📅 Daily Log'!E10</f>
        <v/>
      </c>
      <c r="E25" s="188">
        <f>'📅 Daily Log'!F10</f>
        <v/>
      </c>
      <c r="F25" s="189">
        <f>'📅 Daily Log'!G10</f>
        <v/>
      </c>
      <c r="G25" s="190">
        <f>'📅 Daily Log'!H10</f>
        <v/>
      </c>
      <c r="H25" s="187">
        <f>'📅 Daily Log'!I10</f>
        <v/>
      </c>
      <c r="I25" s="191">
        <f>'📅 Daily Log'!J10</f>
        <v/>
      </c>
      <c r="J25" s="10">
        <f>'📅 Daily Log'!K10</f>
        <v/>
      </c>
      <c r="K25" s="155">
        <f>IFERROR(IF(D25&gt;D24,"▲ +"&amp;TEXT(D25-D24,"$#,##0"),IF(D25&lt;D24,"▼ "&amp;TEXT(D25-D24,"$#,##0"),"— same")),"")</f>
        <v/>
      </c>
      <c r="L25" s="173" t="n"/>
      <c r="M25" s="185" t="n"/>
    </row>
    <row r="26" ht="16.5" customHeight="1">
      <c r="B26" s="192">
        <f>'📅 Daily Log'!B11</f>
        <v/>
      </c>
      <c r="C26" s="13">
        <f>IFERROR(TEXT('📅 Daily Log'!B11,"DDD"),"")</f>
        <v/>
      </c>
      <c r="D26" s="193">
        <f>'📅 Daily Log'!E11</f>
        <v/>
      </c>
      <c r="E26" s="194">
        <f>'📅 Daily Log'!F11</f>
        <v/>
      </c>
      <c r="F26" s="195">
        <f>'📅 Daily Log'!G11</f>
        <v/>
      </c>
      <c r="G26" s="196">
        <f>'📅 Daily Log'!H11</f>
        <v/>
      </c>
      <c r="H26" s="193">
        <f>'📅 Daily Log'!I11</f>
        <v/>
      </c>
      <c r="I26" s="197">
        <f>'📅 Daily Log'!J11</f>
        <v/>
      </c>
      <c r="J26" s="19">
        <f>'📅 Daily Log'!K11</f>
        <v/>
      </c>
      <c r="K26" s="156">
        <f>IFERROR(IF(D26&gt;D25,"▲ +"&amp;TEXT(D26-D25,"$#,##0"),IF(D26&lt;D25,"▼ "&amp;TEXT(D26-D25,"$#,##0"),"— same")),"")</f>
        <v/>
      </c>
      <c r="L26" s="173" t="n"/>
      <c r="M26" s="185" t="n"/>
    </row>
    <row r="27" ht="16.5" customHeight="1">
      <c r="B27" s="186">
        <f>'📅 Daily Log'!B12</f>
        <v/>
      </c>
      <c r="C27" s="4">
        <f>IFERROR(TEXT('📅 Daily Log'!B12,"DDD"),"")</f>
        <v/>
      </c>
      <c r="D27" s="187">
        <f>'📅 Daily Log'!E12</f>
        <v/>
      </c>
      <c r="E27" s="188">
        <f>'📅 Daily Log'!F12</f>
        <v/>
      </c>
      <c r="F27" s="189">
        <f>'📅 Daily Log'!G12</f>
        <v/>
      </c>
      <c r="G27" s="190">
        <f>'📅 Daily Log'!H12</f>
        <v/>
      </c>
      <c r="H27" s="187">
        <f>'📅 Daily Log'!I12</f>
        <v/>
      </c>
      <c r="I27" s="191">
        <f>'📅 Daily Log'!J12</f>
        <v/>
      </c>
      <c r="J27" s="10">
        <f>'📅 Daily Log'!K12</f>
        <v/>
      </c>
      <c r="K27" s="155">
        <f>IFERROR(IF(D27&gt;D26,"▲ +"&amp;TEXT(D27-D26,"$#,##0"),IF(D27&lt;D26,"▼ "&amp;TEXT(D27-D26,"$#,##0"),"— same")),"")</f>
        <v/>
      </c>
      <c r="L27" s="173" t="n"/>
      <c r="M27" s="185" t="n"/>
    </row>
    <row r="28" ht="16.5" customHeight="1">
      <c r="B28" s="192">
        <f>'📅 Daily Log'!B13</f>
        <v/>
      </c>
      <c r="C28" s="13">
        <f>IFERROR(TEXT('📅 Daily Log'!B13,"DDD"),"")</f>
        <v/>
      </c>
      <c r="D28" s="193">
        <f>'📅 Daily Log'!E13</f>
        <v/>
      </c>
      <c r="E28" s="194">
        <f>'📅 Daily Log'!F13</f>
        <v/>
      </c>
      <c r="F28" s="195">
        <f>'📅 Daily Log'!G13</f>
        <v/>
      </c>
      <c r="G28" s="196">
        <f>'📅 Daily Log'!H13</f>
        <v/>
      </c>
      <c r="H28" s="193">
        <f>'📅 Daily Log'!I13</f>
        <v/>
      </c>
      <c r="I28" s="197">
        <f>'📅 Daily Log'!J13</f>
        <v/>
      </c>
      <c r="J28" s="19">
        <f>'📅 Daily Log'!K13</f>
        <v/>
      </c>
      <c r="K28" s="156">
        <f>IFERROR(IF(D28&gt;D27,"▲ +"&amp;TEXT(D28-D27,"$#,##0"),IF(D28&lt;D27,"▼ "&amp;TEXT(D28-D27,"$#,##0"),"— same")),"")</f>
        <v/>
      </c>
      <c r="L28" s="173" t="n"/>
      <c r="M28" s="185" t="n"/>
    </row>
    <row r="29" ht="16.5" customHeight="1">
      <c r="B29" s="186">
        <f>'📅 Daily Log'!B14</f>
        <v/>
      </c>
      <c r="C29" s="4">
        <f>IFERROR(TEXT('📅 Daily Log'!B14,"DDD"),"")</f>
        <v/>
      </c>
      <c r="D29" s="187">
        <f>'📅 Daily Log'!E14</f>
        <v/>
      </c>
      <c r="E29" s="188">
        <f>'📅 Daily Log'!F14</f>
        <v/>
      </c>
      <c r="F29" s="189">
        <f>'📅 Daily Log'!G14</f>
        <v/>
      </c>
      <c r="G29" s="190">
        <f>'📅 Daily Log'!H14</f>
        <v/>
      </c>
      <c r="H29" s="187">
        <f>'📅 Daily Log'!I14</f>
        <v/>
      </c>
      <c r="I29" s="191">
        <f>'📅 Daily Log'!J14</f>
        <v/>
      </c>
      <c r="J29" s="10">
        <f>'📅 Daily Log'!K14</f>
        <v/>
      </c>
      <c r="K29" s="155">
        <f>IFERROR(IF(D29&gt;D28,"▲ +"&amp;TEXT(D29-D28,"$#,##0"),IF(D29&lt;D28,"▼ "&amp;TEXT(D29-D28,"$#,##0"),"— same")),"")</f>
        <v/>
      </c>
      <c r="L29" s="173" t="n"/>
      <c r="M29" s="185" t="n"/>
    </row>
    <row r="30" ht="16.5" customHeight="1">
      <c r="B30" s="192">
        <f>'📅 Daily Log'!B15</f>
        <v/>
      </c>
      <c r="C30" s="13">
        <f>IFERROR(TEXT('📅 Daily Log'!B15,"DDD"),"")</f>
        <v/>
      </c>
      <c r="D30" s="193">
        <f>'📅 Daily Log'!E15</f>
        <v/>
      </c>
      <c r="E30" s="194">
        <f>'📅 Daily Log'!F15</f>
        <v/>
      </c>
      <c r="F30" s="195">
        <f>'📅 Daily Log'!G15</f>
        <v/>
      </c>
      <c r="G30" s="196">
        <f>'📅 Daily Log'!H15</f>
        <v/>
      </c>
      <c r="H30" s="193">
        <f>'📅 Daily Log'!I15</f>
        <v/>
      </c>
      <c r="I30" s="197">
        <f>'📅 Daily Log'!J15</f>
        <v/>
      </c>
      <c r="J30" s="19">
        <f>'📅 Daily Log'!K15</f>
        <v/>
      </c>
      <c r="K30" s="156">
        <f>IFERROR(IF(D30&gt;D29,"▲ +"&amp;TEXT(D30-D29,"$#,##0"),IF(D30&lt;D29,"▼ "&amp;TEXT(D30-D29,"$#,##0"),"— same")),"")</f>
        <v/>
      </c>
      <c r="L30" s="173" t="n"/>
      <c r="M30" s="185" t="n"/>
    </row>
    <row r="31" ht="16.5" customHeight="1">
      <c r="B31" s="186">
        <f>'📅 Daily Log'!B16</f>
        <v/>
      </c>
      <c r="C31" s="4">
        <f>IFERROR(TEXT('📅 Daily Log'!B16,"DDD"),"")</f>
        <v/>
      </c>
      <c r="D31" s="187">
        <f>'📅 Daily Log'!E16</f>
        <v/>
      </c>
      <c r="E31" s="188">
        <f>'📅 Daily Log'!F16</f>
        <v/>
      </c>
      <c r="F31" s="189">
        <f>'📅 Daily Log'!G16</f>
        <v/>
      </c>
      <c r="G31" s="190">
        <f>'📅 Daily Log'!H16</f>
        <v/>
      </c>
      <c r="H31" s="187">
        <f>'📅 Daily Log'!I16</f>
        <v/>
      </c>
      <c r="I31" s="191">
        <f>'📅 Daily Log'!J16</f>
        <v/>
      </c>
      <c r="J31" s="10">
        <f>'📅 Daily Log'!K16</f>
        <v/>
      </c>
      <c r="K31" s="155">
        <f>IFERROR(IF(D31&gt;D30,"▲ +"&amp;TEXT(D31-D30,"$#,##0"),IF(D31&lt;D30,"▼ "&amp;TEXT(D31-D30,"$#,##0"),"— same")),"")</f>
        <v/>
      </c>
      <c r="L31" s="173" t="n"/>
      <c r="M31" s="185" t="n"/>
    </row>
    <row r="32" ht="16.5" customHeight="1">
      <c r="B32" s="192">
        <f>'📅 Daily Log'!B17</f>
        <v/>
      </c>
      <c r="C32" s="13">
        <f>IFERROR(TEXT('📅 Daily Log'!B17,"DDD"),"")</f>
        <v/>
      </c>
      <c r="D32" s="193">
        <f>'📅 Daily Log'!E17</f>
        <v/>
      </c>
      <c r="E32" s="194">
        <f>'📅 Daily Log'!F17</f>
        <v/>
      </c>
      <c r="F32" s="195">
        <f>'📅 Daily Log'!G17</f>
        <v/>
      </c>
      <c r="G32" s="196">
        <f>'📅 Daily Log'!H17</f>
        <v/>
      </c>
      <c r="H32" s="193">
        <f>'📅 Daily Log'!I17</f>
        <v/>
      </c>
      <c r="I32" s="197">
        <f>'📅 Daily Log'!J17</f>
        <v/>
      </c>
      <c r="J32" s="19">
        <f>'📅 Daily Log'!K17</f>
        <v/>
      </c>
      <c r="K32" s="156">
        <f>IFERROR(IF(D32&gt;D31,"▲ +"&amp;TEXT(D32-D31,"$#,##0"),IF(D32&lt;D31,"▼ "&amp;TEXT(D32-D31,"$#,##0"),"— same")),"")</f>
        <v/>
      </c>
      <c r="L32" s="173" t="n"/>
      <c r="M32" s="185" t="n"/>
    </row>
    <row r="33" ht="9.75" customHeight="1"/>
    <row r="34" ht="19.5" customHeight="1">
      <c r="B34" s="146" t="inlineStr">
        <is>
          <t xml:space="preserve">  ⚠️  INVENTORY ALERTS  (from Inventory sheet)</t>
        </is>
      </c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</row>
    <row r="35" ht="27.75" customHeight="1">
      <c r="B35" s="160" t="inlineStr">
        <is>
          <t>Ingredient</t>
        </is>
      </c>
      <c r="C35" s="173" t="n"/>
      <c r="D35" s="185" t="n"/>
      <c r="E35" s="160" t="n"/>
      <c r="F35" s="160" t="inlineStr">
        <is>
          <t>Min Level</t>
        </is>
      </c>
      <c r="G35" s="185" t="n"/>
      <c r="H35" s="160" t="inlineStr">
        <is>
          <t>Status</t>
        </is>
      </c>
      <c r="I35" s="185" t="n"/>
      <c r="J35" s="160" t="inlineStr">
        <is>
          <t>Action Needed</t>
        </is>
      </c>
      <c r="K35" s="173" t="n"/>
      <c r="L35" s="173" t="n"/>
      <c r="M35" s="185" t="n"/>
    </row>
    <row r="36" ht="16.5" customHeight="1">
      <c r="B36" s="161">
        <f>'📦 Inventory'!B9</f>
        <v/>
      </c>
      <c r="C36" s="173" t="n"/>
      <c r="D36" s="173" t="n"/>
      <c r="E36" s="198">
        <f>'📦 Inventory'!E9</f>
        <v/>
      </c>
      <c r="F36" s="173" t="n"/>
      <c r="G36" s="199">
        <f>'📦 Inventory'!F9</f>
        <v/>
      </c>
      <c r="H36" s="173" t="n"/>
      <c r="I36" s="164">
        <f>'📦 Inventory'!J9</f>
        <v/>
      </c>
      <c r="J36" s="173" t="n"/>
      <c r="K36" s="164">
        <f>IF('📦 Inventory'!E9=0,"🚫 Order immediately",IF('📦 Inventory'!E9&lt;='📦 Inventory'!F9,"⚠️ Reorder soon","✅ OK"))</f>
        <v/>
      </c>
      <c r="L36" s="173" t="n"/>
      <c r="M36" s="173" t="n"/>
    </row>
    <row r="37" ht="16.5" customHeight="1">
      <c r="B37" s="165">
        <f>'📦 Inventory'!B10</f>
        <v/>
      </c>
      <c r="C37" s="173" t="n"/>
      <c r="D37" s="173" t="n"/>
      <c r="E37" s="200">
        <f>'📦 Inventory'!E10</f>
        <v/>
      </c>
      <c r="F37" s="173" t="n"/>
      <c r="G37" s="201">
        <f>'📦 Inventory'!F10</f>
        <v/>
      </c>
      <c r="H37" s="173" t="n"/>
      <c r="I37" s="168">
        <f>'📦 Inventory'!J10</f>
        <v/>
      </c>
      <c r="J37" s="173" t="n"/>
      <c r="K37" s="168">
        <f>IF('📦 Inventory'!E10=0,"🚫 Order immediately",IF('📦 Inventory'!E10&lt;='📦 Inventory'!F10,"⚠️ Reorder soon","✅ OK"))</f>
        <v/>
      </c>
      <c r="L37" s="173" t="n"/>
      <c r="M37" s="173" t="n"/>
    </row>
    <row r="38" ht="16.5" customHeight="1">
      <c r="B38" s="161">
        <f>'📦 Inventory'!B11</f>
        <v/>
      </c>
      <c r="C38" s="173" t="n"/>
      <c r="D38" s="173" t="n"/>
      <c r="E38" s="198">
        <f>'📦 Inventory'!E11</f>
        <v/>
      </c>
      <c r="F38" s="173" t="n"/>
      <c r="G38" s="199">
        <f>'📦 Inventory'!F11</f>
        <v/>
      </c>
      <c r="H38" s="173" t="n"/>
      <c r="I38" s="164">
        <f>'📦 Inventory'!J11</f>
        <v/>
      </c>
      <c r="J38" s="173" t="n"/>
      <c r="K38" s="164">
        <f>IF('📦 Inventory'!E11=0,"🚫 Order immediately",IF('📦 Inventory'!E11&lt;='📦 Inventory'!F11,"⚠️ Reorder soon","✅ OK"))</f>
        <v/>
      </c>
      <c r="L38" s="173" t="n"/>
      <c r="M38" s="173" t="n"/>
    </row>
    <row r="39" ht="16.5" customHeight="1">
      <c r="B39" s="165">
        <f>'📦 Inventory'!B12</f>
        <v/>
      </c>
      <c r="C39" s="173" t="n"/>
      <c r="D39" s="173" t="n"/>
      <c r="E39" s="200">
        <f>'📦 Inventory'!E12</f>
        <v/>
      </c>
      <c r="F39" s="173" t="n"/>
      <c r="G39" s="201">
        <f>'📦 Inventory'!F12</f>
        <v/>
      </c>
      <c r="H39" s="173" t="n"/>
      <c r="I39" s="168">
        <f>'📦 Inventory'!J12</f>
        <v/>
      </c>
      <c r="J39" s="173" t="n"/>
      <c r="K39" s="168">
        <f>IF('📦 Inventory'!E12=0,"🚫 Order immediately",IF('📦 Inventory'!E12&lt;='📦 Inventory'!F12,"⚠️ Reorder soon","✅ OK"))</f>
        <v/>
      </c>
      <c r="L39" s="173" t="n"/>
      <c r="M39" s="173" t="n"/>
    </row>
    <row r="40" ht="16.5" customHeight="1">
      <c r="B40" s="161">
        <f>'📦 Inventory'!B13</f>
        <v/>
      </c>
      <c r="C40" s="173" t="n"/>
      <c r="D40" s="173" t="n"/>
      <c r="E40" s="198">
        <f>'📦 Inventory'!E13</f>
        <v/>
      </c>
      <c r="F40" s="173" t="n"/>
      <c r="G40" s="199">
        <f>'📦 Inventory'!F13</f>
        <v/>
      </c>
      <c r="H40" s="173" t="n"/>
      <c r="I40" s="164">
        <f>'📦 Inventory'!J13</f>
        <v/>
      </c>
      <c r="J40" s="173" t="n"/>
      <c r="K40" s="164">
        <f>IF('📦 Inventory'!E13=0,"🚫 Order immediately",IF('📦 Inventory'!E13&lt;='📦 Inventory'!F13,"⚠️ Reorder soon","✅ OK"))</f>
        <v/>
      </c>
      <c r="L40" s="173" t="n"/>
      <c r="M40" s="173" t="n"/>
    </row>
    <row r="41" ht="7.5" customHeight="1"/>
  </sheetData>
  <mergeCells count="72">
    <mergeCell ref="B40:D40"/>
    <mergeCell ref="E40:F40"/>
    <mergeCell ref="G40:H40"/>
    <mergeCell ref="I40:J40"/>
    <mergeCell ref="K40:M40"/>
    <mergeCell ref="B39:D39"/>
    <mergeCell ref="E39:F39"/>
    <mergeCell ref="G39:H39"/>
    <mergeCell ref="I39:J39"/>
    <mergeCell ref="K39:M39"/>
    <mergeCell ref="B38:D38"/>
    <mergeCell ref="E38:F38"/>
    <mergeCell ref="G38:H38"/>
    <mergeCell ref="I38:J38"/>
    <mergeCell ref="K38:M38"/>
    <mergeCell ref="B37:D37"/>
    <mergeCell ref="E37:F37"/>
    <mergeCell ref="G37:H37"/>
    <mergeCell ref="I37:J37"/>
    <mergeCell ref="K37:M37"/>
    <mergeCell ref="B36:D36"/>
    <mergeCell ref="E36:F36"/>
    <mergeCell ref="G36:H36"/>
    <mergeCell ref="I36:J36"/>
    <mergeCell ref="K36:M36"/>
    <mergeCell ref="K30:M30"/>
    <mergeCell ref="K31:M31"/>
    <mergeCell ref="K32:M32"/>
    <mergeCell ref="B34:M34"/>
    <mergeCell ref="B35:D35"/>
    <mergeCell ref="F35:G35"/>
    <mergeCell ref="H35:I35"/>
    <mergeCell ref="J35:M35"/>
    <mergeCell ref="K25:M25"/>
    <mergeCell ref="K26:M26"/>
    <mergeCell ref="K27:M27"/>
    <mergeCell ref="K28:M28"/>
    <mergeCell ref="K29:M29"/>
    <mergeCell ref="L17:M19"/>
    <mergeCell ref="B21:M21"/>
    <mergeCell ref="K22:M22"/>
    <mergeCell ref="K23:M23"/>
    <mergeCell ref="K24:M24"/>
    <mergeCell ref="B17:C19"/>
    <mergeCell ref="D17:E19"/>
    <mergeCell ref="F17:G19"/>
    <mergeCell ref="H17:I19"/>
    <mergeCell ref="J17:K19"/>
    <mergeCell ref="B14:M14"/>
    <mergeCell ref="B16:C16"/>
    <mergeCell ref="D16:E16"/>
    <mergeCell ref="F16:G16"/>
    <mergeCell ref="H16:I16"/>
    <mergeCell ref="J16:K16"/>
    <mergeCell ref="L16:M16"/>
    <mergeCell ref="L9:M9"/>
    <mergeCell ref="B10:C12"/>
    <mergeCell ref="D10:E12"/>
    <mergeCell ref="F10:G12"/>
    <mergeCell ref="H10:I12"/>
    <mergeCell ref="J10:K12"/>
    <mergeCell ref="L10:M12"/>
    <mergeCell ref="B9:C9"/>
    <mergeCell ref="D9:E9"/>
    <mergeCell ref="F9:G9"/>
    <mergeCell ref="H9:I9"/>
    <mergeCell ref="J9:K9"/>
    <mergeCell ref="A2:G2"/>
    <mergeCell ref="H2:N2"/>
    <mergeCell ref="A3:N3"/>
    <mergeCell ref="B5:M5"/>
    <mergeCell ref="B7:M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8" activePane="bottomLeft" state="frozen"/>
      <selection pane="bottomLeft" activeCell="A3" sqref="A3:P3"/>
    </sheetView>
  </sheetViews>
  <sheetFormatPr baseColWidth="8" defaultColWidth="8.6640625" defaultRowHeight="14.4"/>
  <cols>
    <col width="4" customWidth="1" min="1" max="1"/>
    <col width="18" customWidth="1" min="2" max="2"/>
    <col width="16" customWidth="1" min="3" max="5"/>
    <col width="12" customWidth="1" min="6" max="6"/>
    <col width="14" customWidth="1" min="7" max="7"/>
    <col width="16" customWidth="1" min="8" max="9"/>
    <col width="12" customWidth="1" min="10" max="10"/>
    <col width="30" customWidth="1" min="11" max="11"/>
    <col width="16" customWidth="1" min="12" max="17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7.5" customHeight="1">
      <c r="A2" s="141" t="inlineStr">
        <is>
          <t>📅  LOKA — DAILY LOG</t>
        </is>
      </c>
      <c r="I2" s="142" t="inlineStr">
        <is>
          <t>Enter 2 values from Soft App each day → everything else calculates</t>
        </is>
      </c>
    </row>
    <row r="3" ht="3.75" customHeight="1">
      <c r="A3" s="143" t="n"/>
    </row>
    <row r="4" ht="7.5" customHeight="1"/>
    <row r="5" ht="49.5" customHeight="1">
      <c r="B5" s="14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2" t="n"/>
      <c r="M5" s="172" t="n"/>
      <c r="N5" s="172" t="n"/>
      <c r="O5" s="172" t="n"/>
      <c r="P5" s="172" t="n"/>
    </row>
    <row r="6" ht="7.5" customHeight="1">
      <c r="B6" s="21">
        <f>IF(B8&lt;&gt;"",TEXT(B8,"DD/MM DDD"),"—")</f>
        <v/>
      </c>
      <c r="D6" s="202">
        <f>IFERROR(E8,0)</f>
        <v/>
      </c>
      <c r="E6" s="203">
        <f>IFERROR(F8,0)</f>
        <v/>
      </c>
      <c r="F6" s="204">
        <f>IFERROR(G8,0)</f>
        <v/>
      </c>
      <c r="G6" s="205">
        <f>IFERROR(H8,0)</f>
        <v/>
      </c>
      <c r="H6" s="202">
        <f>IFERROR(I8,0)</f>
        <v/>
      </c>
      <c r="I6" s="206">
        <f>IFERROR(J8,0)</f>
        <v/>
      </c>
      <c r="K6" s="202">
        <f>IFERROR(N8,0)</f>
        <v/>
      </c>
      <c r="L6" s="205">
        <f>IFERROR(P8,0)</f>
        <v/>
      </c>
      <c r="M6" s="202">
        <f>IFERROR(Q8,0)</f>
        <v/>
      </c>
      <c r="N6" s="207">
        <f>IFERROR(L8,0)</f>
        <v/>
      </c>
      <c r="O6" s="207">
        <f>IFERROR(O8,0)</f>
        <v/>
      </c>
    </row>
    <row r="7" ht="27.75" customHeight="1">
      <c r="B7" s="160" t="inlineStr">
        <is>
          <t>Date</t>
        </is>
      </c>
      <c r="C7" s="160" t="inlineStr">
        <is>
          <t>Day</t>
        </is>
      </c>
      <c r="D7" s="160" t="inlineStr">
        <is>
          <t>Source</t>
        </is>
      </c>
      <c r="E7" s="160" t="inlineStr">
        <is>
          <t>Revenue $ ← Soft</t>
        </is>
      </c>
      <c r="F7" s="160" t="inlineStr">
        <is>
          <t>Orders ← Soft</t>
        </is>
      </c>
      <c r="G7" s="160" t="inlineStr">
        <is>
          <t>Avg Ticket</t>
        </is>
      </c>
      <c r="H7" s="160" t="inlineStr">
        <is>
          <t>Expenses $</t>
        </is>
      </c>
      <c r="I7" s="160" t="inlineStr">
        <is>
          <t>Net Profit $</t>
        </is>
      </c>
      <c r="J7" s="160" t="inlineStr">
        <is>
          <t>Margin %</t>
        </is>
      </c>
      <c r="K7" s="160" t="inlineStr">
        <is>
          <t>WEEK REVENUE</t>
        </is>
      </c>
      <c r="L7" s="160" t="inlineStr">
        <is>
          <t>WEEK EXPENSES</t>
        </is>
      </c>
      <c r="M7" s="160" t="inlineStr">
        <is>
          <t>WEEK PROFIT</t>
        </is>
      </c>
      <c r="N7" s="160" t="inlineStr">
        <is>
          <t>CUMUL. REVENUE</t>
        </is>
      </c>
      <c r="O7" s="160" t="inlineStr">
        <is>
          <t>MONTH REVENUE</t>
        </is>
      </c>
      <c r="P7" s="160" t="inlineStr">
        <is>
          <t>Week Expenses</t>
        </is>
      </c>
      <c r="Q7" s="160" t="inlineStr">
        <is>
          <t>Week Profit</t>
        </is>
      </c>
    </row>
    <row r="8" ht="16.5" customHeight="1">
      <c r="B8" s="208" t="n"/>
      <c r="C8" s="29">
        <f>IF(B8="","",TEXT(B8,"DDD"))</f>
        <v/>
      </c>
      <c r="D8" s="30">
        <f>IF(B8="","","Soft App")</f>
        <v/>
      </c>
      <c r="E8" s="209" t="n"/>
      <c r="F8" s="210" t="n"/>
      <c r="G8" s="211">
        <f>IFERROR(E8/F8,0)</f>
        <v/>
      </c>
      <c r="H8" s="212">
        <f>IFERROR(SUMIF('💸 Expenses'!B9:B508,B8,'💸 Expenses'!F9:F508),0)</f>
        <v/>
      </c>
      <c r="I8" s="213">
        <f>IFERROR(E8-H8,0)</f>
        <v/>
      </c>
      <c r="J8" s="214">
        <f>IFERROR(I8/E8,0)</f>
        <v/>
      </c>
      <c r="K8" s="37" t="n"/>
      <c r="L8" s="187">
        <f>E8</f>
        <v/>
      </c>
      <c r="M8" s="190">
        <f>H8</f>
        <v/>
      </c>
      <c r="N8" s="215">
        <f>IFERROR(L8-M8,0)</f>
        <v/>
      </c>
      <c r="O8" s="216">
        <f>IFERROR(SUMIF(B8:B8,"&gt;="&amp;(B8-WEEKDAY(B8,2)+1),E8:E8),0)</f>
        <v/>
      </c>
      <c r="P8" s="217">
        <f>IFERROR(SUMIF(B8:B8,"&gt;="&amp;(B8-WEEKDAY(B8,2)+1),H8:H8),0)</f>
        <v/>
      </c>
      <c r="Q8" s="215">
        <f>IFERROR(O8-P8,0)</f>
        <v/>
      </c>
    </row>
    <row r="9" ht="16.5" customHeight="1">
      <c r="B9" s="208" t="n"/>
      <c r="C9" s="41">
        <f>IF(B9="","",TEXT(B9,"DDD"))</f>
        <v/>
      </c>
      <c r="D9" s="42">
        <f>IF(B9="","","Soft App")</f>
        <v/>
      </c>
      <c r="E9" s="218" t="n"/>
      <c r="F9" s="219" t="n"/>
      <c r="G9" s="220">
        <f>IFERROR(E9/F9,0)</f>
        <v/>
      </c>
      <c r="H9" s="221">
        <f>IFERROR(SUMIF('💸 Expenses'!B9:B508,B9,'💸 Expenses'!F9:F508),0)</f>
        <v/>
      </c>
      <c r="I9" s="222">
        <f>IFERROR(E9-H9,0)</f>
        <v/>
      </c>
      <c r="J9" s="223">
        <f>IFERROR(I9/E9,0)</f>
        <v/>
      </c>
      <c r="K9" s="49" t="n"/>
      <c r="L9" s="193">
        <f>IFERROR(L8+E9,0)</f>
        <v/>
      </c>
      <c r="M9" s="196">
        <f>IFERROR(M8+H9,0)</f>
        <v/>
      </c>
      <c r="N9" s="224">
        <f>IFERROR(L9-M9,0)</f>
        <v/>
      </c>
      <c r="O9" s="225">
        <f>IFERROR(SUMIF(B8:B9,"&gt;="&amp;(B9-WEEKDAY(B9,2)+1),E8:E9),0)</f>
        <v/>
      </c>
      <c r="P9" s="226">
        <f>IFERROR(SUMIF(B8:B9,"&gt;="&amp;(B9-WEEKDAY(B9,2)+1),H8:H9),0)</f>
        <v/>
      </c>
      <c r="Q9" s="224">
        <f>IFERROR(O9-P9,0)</f>
        <v/>
      </c>
    </row>
    <row r="10" ht="16.5" customHeight="1">
      <c r="B10" s="208" t="n"/>
      <c r="C10" s="29">
        <f>IF(B10="","",TEXT(B10,"DDD"))</f>
        <v/>
      </c>
      <c r="D10" s="30">
        <f>IF(B10="","","Soft App")</f>
        <v/>
      </c>
      <c r="E10" s="209" t="n"/>
      <c r="F10" s="210" t="n"/>
      <c r="G10" s="211">
        <f>IFERROR(E10/F10,0)</f>
        <v/>
      </c>
      <c r="H10" s="212">
        <f>IFERROR(SUMIF('💸 Expenses'!B9:B508,B10,'💸 Expenses'!F9:F508),0)</f>
        <v/>
      </c>
      <c r="I10" s="213">
        <f>IFERROR(E10-H10,0)</f>
        <v/>
      </c>
      <c r="J10" s="214">
        <f>IFERROR(I10/E10,0)</f>
        <v/>
      </c>
      <c r="K10" s="37" t="n"/>
      <c r="L10" s="187">
        <f>IFERROR(L9+E10,0)</f>
        <v/>
      </c>
      <c r="M10" s="190">
        <f>IFERROR(M9+H10,0)</f>
        <v/>
      </c>
      <c r="N10" s="215">
        <f>IFERROR(L10-M10,0)</f>
        <v/>
      </c>
      <c r="O10" s="216">
        <f>IFERROR(SUMIF(B8:B10,"&gt;="&amp;(B10-WEEKDAY(B10,2)+1),E8:E10),0)</f>
        <v/>
      </c>
      <c r="P10" s="217">
        <f>IFERROR(SUMIF(B8:B10,"&gt;="&amp;(B10-WEEKDAY(B10,2)+1),H8:H10),0)</f>
        <v/>
      </c>
      <c r="Q10" s="215">
        <f>IFERROR(O10-P10,0)</f>
        <v/>
      </c>
    </row>
    <row r="11" ht="16.5" customHeight="1">
      <c r="B11" s="208" t="n"/>
      <c r="C11" s="41">
        <f>IF(B11="","",TEXT(B11,"DDD"))</f>
        <v/>
      </c>
      <c r="D11" s="42">
        <f>IF(B11="","","Soft App")</f>
        <v/>
      </c>
      <c r="E11" s="218" t="n"/>
      <c r="F11" s="219" t="n"/>
      <c r="G11" s="220">
        <f>IFERROR(E11/F11,0)</f>
        <v/>
      </c>
      <c r="H11" s="221">
        <f>IFERROR(SUMIF('💸 Expenses'!B9:B508,B11,'💸 Expenses'!F9:F508),0)</f>
        <v/>
      </c>
      <c r="I11" s="222">
        <f>IFERROR(E11-H11,0)</f>
        <v/>
      </c>
      <c r="J11" s="223">
        <f>IFERROR(I11/E11,0)</f>
        <v/>
      </c>
      <c r="K11" s="49" t="n"/>
      <c r="L11" s="193">
        <f>IFERROR(L10+E11,0)</f>
        <v/>
      </c>
      <c r="M11" s="196">
        <f>IFERROR(M10+H11,0)</f>
        <v/>
      </c>
      <c r="N11" s="224">
        <f>IFERROR(L11-M11,0)</f>
        <v/>
      </c>
      <c r="O11" s="225">
        <f>IFERROR(SUMIF(B8:B11,"&gt;="&amp;(B11-WEEKDAY(B11,2)+1),E8:E11),0)</f>
        <v/>
      </c>
      <c r="P11" s="226">
        <f>IFERROR(SUMIF(B8:B11,"&gt;="&amp;(B11-WEEKDAY(B11,2)+1),H8:H11),0)</f>
        <v/>
      </c>
      <c r="Q11" s="224">
        <f>IFERROR(O11-P11,0)</f>
        <v/>
      </c>
    </row>
    <row r="12" ht="16.5" customHeight="1">
      <c r="B12" s="208" t="n"/>
      <c r="C12" s="29">
        <f>IF(B12="","",TEXT(B12,"DDD"))</f>
        <v/>
      </c>
      <c r="D12" s="30">
        <f>IF(B12="","","Soft App")</f>
        <v/>
      </c>
      <c r="E12" s="209" t="n"/>
      <c r="F12" s="210" t="n"/>
      <c r="G12" s="211">
        <f>IFERROR(E12/F12,0)</f>
        <v/>
      </c>
      <c r="H12" s="212">
        <f>IFERROR(SUMIF('💸 Expenses'!B9:B508,B12,'💸 Expenses'!F9:F508),0)</f>
        <v/>
      </c>
      <c r="I12" s="213">
        <f>IFERROR(E12-H12,0)</f>
        <v/>
      </c>
      <c r="J12" s="214">
        <f>IFERROR(I12/E12,0)</f>
        <v/>
      </c>
      <c r="K12" s="37" t="n"/>
      <c r="L12" s="187">
        <f>IFERROR(L11+E12,0)</f>
        <v/>
      </c>
      <c r="M12" s="190">
        <f>IFERROR(M11+H12,0)</f>
        <v/>
      </c>
      <c r="N12" s="215">
        <f>IFERROR(L12-M12,0)</f>
        <v/>
      </c>
      <c r="O12" s="216">
        <f>IFERROR(SUMIF(B8:B12,"&gt;="&amp;(B12-WEEKDAY(B12,2)+1),E8:E12),0)</f>
        <v/>
      </c>
      <c r="P12" s="217">
        <f>IFERROR(SUMIF(B8:B12,"&gt;="&amp;(B12-WEEKDAY(B12,2)+1),H8:H12),0)</f>
        <v/>
      </c>
      <c r="Q12" s="215">
        <f>IFERROR(O12-P12,0)</f>
        <v/>
      </c>
    </row>
    <row r="13" ht="16.5" customHeight="1">
      <c r="B13" s="208" t="n"/>
      <c r="C13" s="41">
        <f>IF(B13="","",TEXT(B13,"DDD"))</f>
        <v/>
      </c>
      <c r="D13" s="42">
        <f>IF(B13="","","Soft App")</f>
        <v/>
      </c>
      <c r="E13" s="218" t="n"/>
      <c r="F13" s="219" t="n"/>
      <c r="G13" s="220">
        <f>IFERROR(E13/F13,0)</f>
        <v/>
      </c>
      <c r="H13" s="221">
        <f>IFERROR(SUMIF('💸 Expenses'!B9:B508,B13,'💸 Expenses'!F9:F508),0)</f>
        <v/>
      </c>
      <c r="I13" s="222">
        <f>IFERROR(E13-H13,0)</f>
        <v/>
      </c>
      <c r="J13" s="223">
        <f>IFERROR(I13/E13,0)</f>
        <v/>
      </c>
      <c r="K13" s="49" t="n"/>
      <c r="L13" s="193">
        <f>IFERROR(L12+E13,0)</f>
        <v/>
      </c>
      <c r="M13" s="196">
        <f>IFERROR(M12+H13,0)</f>
        <v/>
      </c>
      <c r="N13" s="224">
        <f>IFERROR(L13-M13,0)</f>
        <v/>
      </c>
      <c r="O13" s="225">
        <f>IFERROR(SUMIF(B8:B13,"&gt;="&amp;(B13-WEEKDAY(B13,2)+1),E8:E13),0)</f>
        <v/>
      </c>
      <c r="P13" s="226">
        <f>IFERROR(SUMIF(B8:B13,"&gt;="&amp;(B13-WEEKDAY(B13,2)+1),H8:H13),0)</f>
        <v/>
      </c>
      <c r="Q13" s="224">
        <f>IFERROR(O13-P13,0)</f>
        <v/>
      </c>
    </row>
    <row r="14" ht="16.5" customHeight="1">
      <c r="B14" s="208" t="n"/>
      <c r="C14" s="29">
        <f>IF(B14="","",TEXT(B14,"DDD"))</f>
        <v/>
      </c>
      <c r="D14" s="30">
        <f>IF(B14="","","Soft App")</f>
        <v/>
      </c>
      <c r="E14" s="209" t="n"/>
      <c r="F14" s="210" t="n"/>
      <c r="G14" s="211">
        <f>IFERROR(E14/F14,0)</f>
        <v/>
      </c>
      <c r="H14" s="212">
        <f>IFERROR(SUMIF('💸 Expenses'!B9:B508,B14,'💸 Expenses'!F9:F508),0)</f>
        <v/>
      </c>
      <c r="I14" s="213">
        <f>IFERROR(E14-H14,0)</f>
        <v/>
      </c>
      <c r="J14" s="214">
        <f>IFERROR(I14/E14,0)</f>
        <v/>
      </c>
      <c r="K14" s="37" t="n"/>
      <c r="L14" s="187">
        <f>IFERROR(L13+E14,0)</f>
        <v/>
      </c>
      <c r="M14" s="190">
        <f>IFERROR(M13+H14,0)</f>
        <v/>
      </c>
      <c r="N14" s="215">
        <f>IFERROR(L14-M14,0)</f>
        <v/>
      </c>
      <c r="O14" s="216">
        <f>IFERROR(SUMIF(B8:B14,"&gt;="&amp;(B14-WEEKDAY(B14,2)+1),E8:E14),0)</f>
        <v/>
      </c>
      <c r="P14" s="217">
        <f>IFERROR(SUMIF(B8:B14,"&gt;="&amp;(B14-WEEKDAY(B14,2)+1),H8:H14),0)</f>
        <v/>
      </c>
      <c r="Q14" s="215">
        <f>IFERROR(O14-P14,0)</f>
        <v/>
      </c>
    </row>
    <row r="15" ht="16.5" customHeight="1">
      <c r="B15" s="208" t="n"/>
      <c r="C15" s="41">
        <f>IF(B15="","",TEXT(B15,"DDD"))</f>
        <v/>
      </c>
      <c r="D15" s="42">
        <f>IF(B15="","","Soft App")</f>
        <v/>
      </c>
      <c r="E15" s="218" t="n"/>
      <c r="F15" s="219" t="n"/>
      <c r="G15" s="220">
        <f>IFERROR(E15/F15,0)</f>
        <v/>
      </c>
      <c r="H15" s="221">
        <f>IFERROR(SUMIF('💸 Expenses'!B9:B508,B15,'💸 Expenses'!F9:F508),0)</f>
        <v/>
      </c>
      <c r="I15" s="222">
        <f>IFERROR(E15-H15,0)</f>
        <v/>
      </c>
      <c r="J15" s="223">
        <f>IFERROR(I15/E15,0)</f>
        <v/>
      </c>
      <c r="K15" s="49" t="n"/>
      <c r="L15" s="193">
        <f>IFERROR(L14+E15,0)</f>
        <v/>
      </c>
      <c r="M15" s="196">
        <f>IFERROR(M14+H15,0)</f>
        <v/>
      </c>
      <c r="N15" s="224">
        <f>IFERROR(L15-M15,0)</f>
        <v/>
      </c>
      <c r="O15" s="225">
        <f>IFERROR(SUMIF(B8:B15,"&gt;="&amp;(B15-WEEKDAY(B15,2)+1),E8:E15),0)</f>
        <v/>
      </c>
      <c r="P15" s="226">
        <f>IFERROR(SUMIF(B8:B15,"&gt;="&amp;(B15-WEEKDAY(B15,2)+1),H8:H15),0)</f>
        <v/>
      </c>
      <c r="Q15" s="224">
        <f>IFERROR(O15-P15,0)</f>
        <v/>
      </c>
    </row>
    <row r="16" ht="16.5" customHeight="1">
      <c r="B16" s="208" t="n"/>
      <c r="C16" s="29">
        <f>IF(B16="","",TEXT(B16,"DDD"))</f>
        <v/>
      </c>
      <c r="D16" s="30">
        <f>IF(B16="","","Soft App")</f>
        <v/>
      </c>
      <c r="E16" s="209" t="n"/>
      <c r="F16" s="210" t="n"/>
      <c r="G16" s="211">
        <f>IFERROR(E16/F16,0)</f>
        <v/>
      </c>
      <c r="H16" s="212">
        <f>IFERROR(SUMIF('💸 Expenses'!B9:B508,B16,'💸 Expenses'!F9:F508),0)</f>
        <v/>
      </c>
      <c r="I16" s="213">
        <f>IFERROR(E16-H16,0)</f>
        <v/>
      </c>
      <c r="J16" s="214">
        <f>IFERROR(I16/E16,0)</f>
        <v/>
      </c>
      <c r="K16" s="37" t="n"/>
      <c r="L16" s="187">
        <f>IFERROR(L15+E16,0)</f>
        <v/>
      </c>
      <c r="M16" s="190">
        <f>IFERROR(M15+H16,0)</f>
        <v/>
      </c>
      <c r="N16" s="215">
        <f>IFERROR(L16-M16,0)</f>
        <v/>
      </c>
      <c r="O16" s="216">
        <f>IFERROR(SUMIF(B8:B16,"&gt;="&amp;(B16-WEEKDAY(B16,2)+1),E8:E16),0)</f>
        <v/>
      </c>
      <c r="P16" s="217">
        <f>IFERROR(SUMIF(B8:B16,"&gt;="&amp;(B16-WEEKDAY(B16,2)+1),H8:H16),0)</f>
        <v/>
      </c>
      <c r="Q16" s="215">
        <f>IFERROR(O16-P16,0)</f>
        <v/>
      </c>
    </row>
    <row r="17" ht="16.5" customHeight="1">
      <c r="B17" s="208" t="n"/>
      <c r="C17" s="41">
        <f>IF(B17="","",TEXT(B17,"DDD"))</f>
        <v/>
      </c>
      <c r="D17" s="42">
        <f>IF(B17="","","Soft App")</f>
        <v/>
      </c>
      <c r="E17" s="218" t="n"/>
      <c r="F17" s="219" t="n"/>
      <c r="G17" s="220">
        <f>IFERROR(E17/F17,0)</f>
        <v/>
      </c>
      <c r="H17" s="221">
        <f>IFERROR(SUMIF('💸 Expenses'!B9:B508,B17,'💸 Expenses'!F9:F508),0)</f>
        <v/>
      </c>
      <c r="I17" s="222">
        <f>IFERROR(E17-H17,0)</f>
        <v/>
      </c>
      <c r="J17" s="223">
        <f>IFERROR(I17/E17,0)</f>
        <v/>
      </c>
      <c r="K17" s="49" t="n"/>
      <c r="L17" s="193">
        <f>IFERROR(L16+E17,0)</f>
        <v/>
      </c>
      <c r="M17" s="196">
        <f>IFERROR(M16+H17,0)</f>
        <v/>
      </c>
      <c r="N17" s="224">
        <f>IFERROR(L17-M17,0)</f>
        <v/>
      </c>
      <c r="O17" s="225">
        <f>IFERROR(SUMIF(B8:B17,"&gt;="&amp;(B17-WEEKDAY(B17,2)+1),E8:E17),0)</f>
        <v/>
      </c>
      <c r="P17" s="226">
        <f>IFERROR(SUMIF(B8:B17,"&gt;="&amp;(B17-WEEKDAY(B17,2)+1),H8:H17),0)</f>
        <v/>
      </c>
      <c r="Q17" s="224">
        <f>IFERROR(O17-P17,0)</f>
        <v/>
      </c>
    </row>
    <row r="18" ht="16.5" customHeight="1">
      <c r="B18" s="208" t="n"/>
      <c r="C18" s="29">
        <f>IF(B18="","",TEXT(B18,"DDD"))</f>
        <v/>
      </c>
      <c r="D18" s="30">
        <f>IF(B18="","","Soft App")</f>
        <v/>
      </c>
      <c r="E18" s="209" t="n"/>
      <c r="F18" s="210" t="n"/>
      <c r="G18" s="211">
        <f>IFERROR(E18/F18,0)</f>
        <v/>
      </c>
      <c r="H18" s="212">
        <f>IFERROR(SUMIF('💸 Expenses'!B9:B508,B18,'💸 Expenses'!F9:F508),0)</f>
        <v/>
      </c>
      <c r="I18" s="213">
        <f>IFERROR(E18-H18,0)</f>
        <v/>
      </c>
      <c r="J18" s="214">
        <f>IFERROR(I18/E18,0)</f>
        <v/>
      </c>
      <c r="K18" s="37" t="n"/>
      <c r="L18" s="187">
        <f>IFERROR(L17+E18,0)</f>
        <v/>
      </c>
      <c r="M18" s="190">
        <f>IFERROR(M17+H18,0)</f>
        <v/>
      </c>
      <c r="N18" s="215">
        <f>IFERROR(L18-M18,0)</f>
        <v/>
      </c>
      <c r="O18" s="216">
        <f>IFERROR(SUMIF(B8:B18,"&gt;="&amp;(B18-WEEKDAY(B18,2)+1),E8:E18),0)</f>
        <v/>
      </c>
      <c r="P18" s="217">
        <f>IFERROR(SUMIF(B8:B18,"&gt;="&amp;(B18-WEEKDAY(B18,2)+1),H8:H18),0)</f>
        <v/>
      </c>
      <c r="Q18" s="215">
        <f>IFERROR(O18-P18,0)</f>
        <v/>
      </c>
    </row>
    <row r="19" ht="16.5" customHeight="1">
      <c r="B19" s="208" t="n"/>
      <c r="C19" s="41">
        <f>IF(B19="","",TEXT(B19,"DDD"))</f>
        <v/>
      </c>
      <c r="D19" s="42">
        <f>IF(B19="","","Soft App")</f>
        <v/>
      </c>
      <c r="E19" s="218" t="n"/>
      <c r="F19" s="219" t="n"/>
      <c r="G19" s="220">
        <f>IFERROR(E19/F19,0)</f>
        <v/>
      </c>
      <c r="H19" s="221">
        <f>IFERROR(SUMIF('💸 Expenses'!B9:B508,B19,'💸 Expenses'!F9:F508),0)</f>
        <v/>
      </c>
      <c r="I19" s="222">
        <f>IFERROR(E19-H19,0)</f>
        <v/>
      </c>
      <c r="J19" s="223">
        <f>IFERROR(I19/E19,0)</f>
        <v/>
      </c>
      <c r="K19" s="49" t="n"/>
      <c r="L19" s="193">
        <f>IFERROR(L18+E19,0)</f>
        <v/>
      </c>
      <c r="M19" s="196">
        <f>IFERROR(M18+H19,0)</f>
        <v/>
      </c>
      <c r="N19" s="224">
        <f>IFERROR(L19-M19,0)</f>
        <v/>
      </c>
      <c r="O19" s="225">
        <f>IFERROR(SUMIF(B8:B19,"&gt;="&amp;(B19-WEEKDAY(B19,2)+1),E8:E19),0)</f>
        <v/>
      </c>
      <c r="P19" s="226">
        <f>IFERROR(SUMIF(B8:B19,"&gt;="&amp;(B19-WEEKDAY(B19,2)+1),H8:H19),0)</f>
        <v/>
      </c>
      <c r="Q19" s="224">
        <f>IFERROR(O19-P19,0)</f>
        <v/>
      </c>
    </row>
    <row r="20" ht="16.5" customHeight="1">
      <c r="B20" s="208" t="n"/>
      <c r="C20" s="29">
        <f>IF(B20="","",TEXT(B20,"DDD"))</f>
        <v/>
      </c>
      <c r="D20" s="30">
        <f>IF(B20="","","Soft App")</f>
        <v/>
      </c>
      <c r="E20" s="209" t="n"/>
      <c r="F20" s="210" t="n"/>
      <c r="G20" s="211">
        <f>IFERROR(E20/F20,0)</f>
        <v/>
      </c>
      <c r="H20" s="212">
        <f>IFERROR(SUMIF('💸 Expenses'!B9:B508,B20,'💸 Expenses'!F9:F508),0)</f>
        <v/>
      </c>
      <c r="I20" s="213">
        <f>IFERROR(E20-H20,0)</f>
        <v/>
      </c>
      <c r="J20" s="214">
        <f>IFERROR(I20/E20,0)</f>
        <v/>
      </c>
      <c r="K20" s="37" t="n"/>
      <c r="L20" s="187">
        <f>IFERROR(L19+E20,0)</f>
        <v/>
      </c>
      <c r="M20" s="190">
        <f>IFERROR(M19+H20,0)</f>
        <v/>
      </c>
      <c r="N20" s="215">
        <f>IFERROR(L20-M20,0)</f>
        <v/>
      </c>
      <c r="O20" s="216">
        <f>IFERROR(SUMIF(B8:B20,"&gt;="&amp;(B20-WEEKDAY(B20,2)+1),E8:E20),0)</f>
        <v/>
      </c>
      <c r="P20" s="217">
        <f>IFERROR(SUMIF(B8:B20,"&gt;="&amp;(B20-WEEKDAY(B20,2)+1),H8:H20),0)</f>
        <v/>
      </c>
      <c r="Q20" s="215">
        <f>IFERROR(O20-P20,0)</f>
        <v/>
      </c>
    </row>
    <row r="21" ht="16.5" customHeight="1">
      <c r="B21" s="208" t="n"/>
      <c r="C21" s="41">
        <f>IF(B21="","",TEXT(B21,"DDD"))</f>
        <v/>
      </c>
      <c r="D21" s="42">
        <f>IF(B21="","","Soft App")</f>
        <v/>
      </c>
      <c r="E21" s="218" t="n"/>
      <c r="F21" s="219" t="n"/>
      <c r="G21" s="220">
        <f>IFERROR(E21/F21,0)</f>
        <v/>
      </c>
      <c r="H21" s="221">
        <f>IFERROR(SUMIF('💸 Expenses'!B9:B508,B21,'💸 Expenses'!F9:F508),0)</f>
        <v/>
      </c>
      <c r="I21" s="222">
        <f>IFERROR(E21-H21,0)</f>
        <v/>
      </c>
      <c r="J21" s="223">
        <f>IFERROR(I21/E21,0)</f>
        <v/>
      </c>
      <c r="K21" s="49" t="n"/>
      <c r="L21" s="193">
        <f>IFERROR(L20+E21,0)</f>
        <v/>
      </c>
      <c r="M21" s="196">
        <f>IFERROR(M20+H21,0)</f>
        <v/>
      </c>
      <c r="N21" s="224">
        <f>IFERROR(L21-M21,0)</f>
        <v/>
      </c>
      <c r="O21" s="225">
        <f>IFERROR(SUMIF(B8:B21,"&gt;="&amp;(B21-WEEKDAY(B21,2)+1),E8:E21),0)</f>
        <v/>
      </c>
      <c r="P21" s="226">
        <f>IFERROR(SUMIF(B8:B21,"&gt;="&amp;(B21-WEEKDAY(B21,2)+1),H8:H21),0)</f>
        <v/>
      </c>
      <c r="Q21" s="224">
        <f>IFERROR(O21-P21,0)</f>
        <v/>
      </c>
    </row>
    <row r="22" ht="16.5" customHeight="1">
      <c r="B22" s="208" t="n"/>
      <c r="C22" s="29">
        <f>IF(B22="","",TEXT(B22,"DDD"))</f>
        <v/>
      </c>
      <c r="D22" s="30">
        <f>IF(B22="","","Soft App")</f>
        <v/>
      </c>
      <c r="E22" s="209" t="n"/>
      <c r="F22" s="210" t="n"/>
      <c r="G22" s="211">
        <f>IFERROR(E22/F22,0)</f>
        <v/>
      </c>
      <c r="H22" s="212">
        <f>IFERROR(SUMIF('💸 Expenses'!B9:B508,B22,'💸 Expenses'!F9:F508),0)</f>
        <v/>
      </c>
      <c r="I22" s="213">
        <f>IFERROR(E22-H22,0)</f>
        <v/>
      </c>
      <c r="J22" s="214">
        <f>IFERROR(I22/E22,0)</f>
        <v/>
      </c>
      <c r="K22" s="37" t="n"/>
      <c r="L22" s="187">
        <f>IFERROR(L21+E22,0)</f>
        <v/>
      </c>
      <c r="M22" s="190">
        <f>IFERROR(M21+H22,0)</f>
        <v/>
      </c>
      <c r="N22" s="215">
        <f>IFERROR(L22-M22,0)</f>
        <v/>
      </c>
      <c r="O22" s="216">
        <f>IFERROR(SUMIF(B8:B22,"&gt;="&amp;(B22-WEEKDAY(B22,2)+1),E8:E22),0)</f>
        <v/>
      </c>
      <c r="P22" s="217">
        <f>IFERROR(SUMIF(B8:B22,"&gt;="&amp;(B22-WEEKDAY(B22,2)+1),H8:H22),0)</f>
        <v/>
      </c>
      <c r="Q22" s="215">
        <f>IFERROR(O22-P22,0)</f>
        <v/>
      </c>
    </row>
    <row r="23" ht="16.5" customHeight="1">
      <c r="B23" s="208" t="n"/>
      <c r="C23" s="41">
        <f>IF(B23="","",TEXT(B23,"DDD"))</f>
        <v/>
      </c>
      <c r="D23" s="42">
        <f>IF(B23="","","Soft App")</f>
        <v/>
      </c>
      <c r="E23" s="218" t="n"/>
      <c r="F23" s="219" t="n"/>
      <c r="G23" s="220">
        <f>IFERROR(E23/F23,0)</f>
        <v/>
      </c>
      <c r="H23" s="221">
        <f>IFERROR(SUMIF('💸 Expenses'!B9:B508,B23,'💸 Expenses'!F9:F508),0)</f>
        <v/>
      </c>
      <c r="I23" s="222">
        <f>IFERROR(E23-H23,0)</f>
        <v/>
      </c>
      <c r="J23" s="223">
        <f>IFERROR(I23/E23,0)</f>
        <v/>
      </c>
      <c r="K23" s="49" t="n"/>
      <c r="L23" s="193">
        <f>IFERROR(L22+E23,0)</f>
        <v/>
      </c>
      <c r="M23" s="196">
        <f>IFERROR(M22+H23,0)</f>
        <v/>
      </c>
      <c r="N23" s="224">
        <f>IFERROR(L23-M23,0)</f>
        <v/>
      </c>
      <c r="O23" s="225">
        <f>IFERROR(SUMIF(B8:B23,"&gt;="&amp;(B23-WEEKDAY(B23,2)+1),E8:E23),0)</f>
        <v/>
      </c>
      <c r="P23" s="226">
        <f>IFERROR(SUMIF(B8:B23,"&gt;="&amp;(B23-WEEKDAY(B23,2)+1),H8:H23),0)</f>
        <v/>
      </c>
      <c r="Q23" s="224">
        <f>IFERROR(O23-P23,0)</f>
        <v/>
      </c>
    </row>
    <row r="24" ht="16.5" customHeight="1">
      <c r="B24" s="208" t="n"/>
      <c r="C24" s="29">
        <f>IF(B24="","",TEXT(B24,"DDD"))</f>
        <v/>
      </c>
      <c r="D24" s="30">
        <f>IF(B24="","","Soft App")</f>
        <v/>
      </c>
      <c r="E24" s="209" t="n"/>
      <c r="F24" s="210" t="n"/>
      <c r="G24" s="211">
        <f>IFERROR(E24/F24,0)</f>
        <v/>
      </c>
      <c r="H24" s="212">
        <f>IFERROR(SUMIF('💸 Expenses'!B9:B508,B24,'💸 Expenses'!F9:F508),0)</f>
        <v/>
      </c>
      <c r="I24" s="213">
        <f>IFERROR(E24-H24,0)</f>
        <v/>
      </c>
      <c r="J24" s="214">
        <f>IFERROR(I24/E24,0)</f>
        <v/>
      </c>
      <c r="K24" s="37" t="n"/>
      <c r="L24" s="187">
        <f>IFERROR(L23+E24,0)</f>
        <v/>
      </c>
      <c r="M24" s="190">
        <f>IFERROR(M23+H24,0)</f>
        <v/>
      </c>
      <c r="N24" s="215">
        <f>IFERROR(L24-M24,0)</f>
        <v/>
      </c>
      <c r="O24" s="216">
        <f>IFERROR(SUMIF(B8:B24,"&gt;="&amp;(B24-WEEKDAY(B24,2)+1),E8:E24),0)</f>
        <v/>
      </c>
      <c r="P24" s="217">
        <f>IFERROR(SUMIF(B8:B24,"&gt;="&amp;(B24-WEEKDAY(B24,2)+1),H8:H24),0)</f>
        <v/>
      </c>
      <c r="Q24" s="215">
        <f>IFERROR(O24-P24,0)</f>
        <v/>
      </c>
    </row>
    <row r="25" ht="16.5" customHeight="1">
      <c r="B25" s="208" t="n"/>
      <c r="C25" s="41">
        <f>IF(B25="","",TEXT(B25,"DDD"))</f>
        <v/>
      </c>
      <c r="D25" s="42">
        <f>IF(B25="","","Soft App")</f>
        <v/>
      </c>
      <c r="E25" s="218" t="n"/>
      <c r="F25" s="219" t="n"/>
      <c r="G25" s="220">
        <f>IFERROR(E25/F25,0)</f>
        <v/>
      </c>
      <c r="H25" s="221">
        <f>IFERROR(SUMIF('💸 Expenses'!B9:B508,B25,'💸 Expenses'!F9:F508),0)</f>
        <v/>
      </c>
      <c r="I25" s="222">
        <f>IFERROR(E25-H25,0)</f>
        <v/>
      </c>
      <c r="J25" s="223">
        <f>IFERROR(I25/E25,0)</f>
        <v/>
      </c>
      <c r="K25" s="49" t="n"/>
      <c r="L25" s="193">
        <f>IFERROR(L24+E25,0)</f>
        <v/>
      </c>
      <c r="M25" s="196">
        <f>IFERROR(M24+H25,0)</f>
        <v/>
      </c>
      <c r="N25" s="224">
        <f>IFERROR(L25-M25,0)</f>
        <v/>
      </c>
      <c r="O25" s="225">
        <f>IFERROR(SUMIF(B8:B25,"&gt;="&amp;(B25-WEEKDAY(B25,2)+1),E8:E25),0)</f>
        <v/>
      </c>
      <c r="P25" s="226">
        <f>IFERROR(SUMIF(B8:B25,"&gt;="&amp;(B25-WEEKDAY(B25,2)+1),H8:H25),0)</f>
        <v/>
      </c>
      <c r="Q25" s="224">
        <f>IFERROR(O25-P25,0)</f>
        <v/>
      </c>
    </row>
    <row r="26" ht="16.5" customHeight="1">
      <c r="B26" s="208" t="n"/>
      <c r="C26" s="29">
        <f>IF(B26="","",TEXT(B26,"DDD"))</f>
        <v/>
      </c>
      <c r="D26" s="30">
        <f>IF(B26="","","Soft App")</f>
        <v/>
      </c>
      <c r="E26" s="209" t="n"/>
      <c r="F26" s="210" t="n"/>
      <c r="G26" s="211">
        <f>IFERROR(E26/F26,0)</f>
        <v/>
      </c>
      <c r="H26" s="212">
        <f>IFERROR(SUMIF('💸 Expenses'!B9:B508,B26,'💸 Expenses'!F9:F508),0)</f>
        <v/>
      </c>
      <c r="I26" s="213">
        <f>IFERROR(E26-H26,0)</f>
        <v/>
      </c>
      <c r="J26" s="214">
        <f>IFERROR(I26/E26,0)</f>
        <v/>
      </c>
      <c r="K26" s="37" t="n"/>
      <c r="L26" s="187">
        <f>IFERROR(L25+E26,0)</f>
        <v/>
      </c>
      <c r="M26" s="190">
        <f>IFERROR(M25+H26,0)</f>
        <v/>
      </c>
      <c r="N26" s="215">
        <f>IFERROR(L26-M26,0)</f>
        <v/>
      </c>
      <c r="O26" s="216">
        <f>IFERROR(SUMIF(B8:B26,"&gt;="&amp;(B26-WEEKDAY(B26,2)+1),E8:E26),0)</f>
        <v/>
      </c>
      <c r="P26" s="217">
        <f>IFERROR(SUMIF(B8:B26,"&gt;="&amp;(B26-WEEKDAY(B26,2)+1),H8:H26),0)</f>
        <v/>
      </c>
      <c r="Q26" s="215">
        <f>IFERROR(O26-P26,0)</f>
        <v/>
      </c>
    </row>
    <row r="27" ht="16.5" customHeight="1">
      <c r="B27" s="208" t="n"/>
      <c r="C27" s="41">
        <f>IF(B27="","",TEXT(B27,"DDD"))</f>
        <v/>
      </c>
      <c r="D27" s="42">
        <f>IF(B27="","","Soft App")</f>
        <v/>
      </c>
      <c r="E27" s="218" t="n"/>
      <c r="F27" s="219" t="n"/>
      <c r="G27" s="220">
        <f>IFERROR(E27/F27,0)</f>
        <v/>
      </c>
      <c r="H27" s="221">
        <f>IFERROR(SUMIF('💸 Expenses'!B9:B508,B27,'💸 Expenses'!F9:F508),0)</f>
        <v/>
      </c>
      <c r="I27" s="222">
        <f>IFERROR(E27-H27,0)</f>
        <v/>
      </c>
      <c r="J27" s="223">
        <f>IFERROR(I27/E27,0)</f>
        <v/>
      </c>
      <c r="K27" s="49" t="n"/>
      <c r="L27" s="193">
        <f>IFERROR(L26+E27,0)</f>
        <v/>
      </c>
      <c r="M27" s="196">
        <f>IFERROR(M26+H27,0)</f>
        <v/>
      </c>
      <c r="N27" s="224">
        <f>IFERROR(L27-M27,0)</f>
        <v/>
      </c>
      <c r="O27" s="225">
        <f>IFERROR(SUMIF(B8:B27,"&gt;="&amp;(B27-WEEKDAY(B27,2)+1),E8:E27),0)</f>
        <v/>
      </c>
      <c r="P27" s="226">
        <f>IFERROR(SUMIF(B8:B27,"&gt;="&amp;(B27-WEEKDAY(B27,2)+1),H8:H27),0)</f>
        <v/>
      </c>
      <c r="Q27" s="224">
        <f>IFERROR(O27-P27,0)</f>
        <v/>
      </c>
    </row>
    <row r="28" ht="16.5" customHeight="1">
      <c r="B28" s="208" t="n"/>
      <c r="C28" s="29">
        <f>IF(B28="","",TEXT(B28,"DDD"))</f>
        <v/>
      </c>
      <c r="D28" s="30">
        <f>IF(B28="","","Soft App")</f>
        <v/>
      </c>
      <c r="E28" s="209" t="n"/>
      <c r="F28" s="210" t="n"/>
      <c r="G28" s="211">
        <f>IFERROR(E28/F28,0)</f>
        <v/>
      </c>
      <c r="H28" s="212">
        <f>IFERROR(SUMIF('💸 Expenses'!B9:B508,B28,'💸 Expenses'!F9:F508),0)</f>
        <v/>
      </c>
      <c r="I28" s="213">
        <f>IFERROR(E28-H28,0)</f>
        <v/>
      </c>
      <c r="J28" s="214">
        <f>IFERROR(I28/E28,0)</f>
        <v/>
      </c>
      <c r="K28" s="37" t="n"/>
      <c r="L28" s="187">
        <f>IFERROR(L27+E28,0)</f>
        <v/>
      </c>
      <c r="M28" s="190">
        <f>IFERROR(M27+H28,0)</f>
        <v/>
      </c>
      <c r="N28" s="215">
        <f>IFERROR(L28-M28,0)</f>
        <v/>
      </c>
      <c r="O28" s="216">
        <f>IFERROR(SUMIF(B8:B28,"&gt;="&amp;(B28-WEEKDAY(B28,2)+1),E8:E28),0)</f>
        <v/>
      </c>
      <c r="P28" s="217">
        <f>IFERROR(SUMIF(B8:B28,"&gt;="&amp;(B28-WEEKDAY(B28,2)+1),H8:H28),0)</f>
        <v/>
      </c>
      <c r="Q28" s="215">
        <f>IFERROR(O28-P28,0)</f>
        <v/>
      </c>
    </row>
    <row r="29" ht="16.5" customHeight="1">
      <c r="B29" s="208" t="n"/>
      <c r="C29" s="41">
        <f>IF(B29="","",TEXT(B29,"DDD"))</f>
        <v/>
      </c>
      <c r="D29" s="42">
        <f>IF(B29="","","Soft App")</f>
        <v/>
      </c>
      <c r="E29" s="218" t="n"/>
      <c r="F29" s="219" t="n"/>
      <c r="G29" s="220">
        <f>IFERROR(E29/F29,0)</f>
        <v/>
      </c>
      <c r="H29" s="221">
        <f>IFERROR(SUMIF('💸 Expenses'!B9:B508,B29,'💸 Expenses'!F9:F508),0)</f>
        <v/>
      </c>
      <c r="I29" s="222">
        <f>IFERROR(E29-H29,0)</f>
        <v/>
      </c>
      <c r="J29" s="223">
        <f>IFERROR(I29/E29,0)</f>
        <v/>
      </c>
      <c r="K29" s="49" t="n"/>
      <c r="L29" s="193">
        <f>IFERROR(L28+E29,0)</f>
        <v/>
      </c>
      <c r="M29" s="196">
        <f>IFERROR(M28+H29,0)</f>
        <v/>
      </c>
      <c r="N29" s="224">
        <f>IFERROR(L29-M29,0)</f>
        <v/>
      </c>
      <c r="O29" s="225">
        <f>IFERROR(SUMIF(B8:B29,"&gt;="&amp;(B29-WEEKDAY(B29,2)+1),E8:E29),0)</f>
        <v/>
      </c>
      <c r="P29" s="226">
        <f>IFERROR(SUMIF(B8:B29,"&gt;="&amp;(B29-WEEKDAY(B29,2)+1),H8:H29),0)</f>
        <v/>
      </c>
      <c r="Q29" s="224">
        <f>IFERROR(O29-P29,0)</f>
        <v/>
      </c>
    </row>
    <row r="30" ht="16.5" customHeight="1">
      <c r="B30" s="208" t="n"/>
      <c r="C30" s="29">
        <f>IF(B30="","",TEXT(B30,"DDD"))</f>
        <v/>
      </c>
      <c r="D30" s="30">
        <f>IF(B30="","","Soft App")</f>
        <v/>
      </c>
      <c r="E30" s="209" t="n"/>
      <c r="F30" s="210" t="n"/>
      <c r="G30" s="211">
        <f>IFERROR(E30/F30,0)</f>
        <v/>
      </c>
      <c r="H30" s="212">
        <f>IFERROR(SUMIF('💸 Expenses'!B9:B508,B30,'💸 Expenses'!F9:F508),0)</f>
        <v/>
      </c>
      <c r="I30" s="213">
        <f>IFERROR(E30-H30,0)</f>
        <v/>
      </c>
      <c r="J30" s="214">
        <f>IFERROR(I30/E30,0)</f>
        <v/>
      </c>
      <c r="K30" s="37" t="n"/>
      <c r="L30" s="187">
        <f>IFERROR(L29+E30,0)</f>
        <v/>
      </c>
      <c r="M30" s="190">
        <f>IFERROR(M29+H30,0)</f>
        <v/>
      </c>
      <c r="N30" s="215">
        <f>IFERROR(L30-M30,0)</f>
        <v/>
      </c>
      <c r="O30" s="216">
        <f>IFERROR(SUMIF(B8:B30,"&gt;="&amp;(B30-WEEKDAY(B30,2)+1),E8:E30),0)</f>
        <v/>
      </c>
      <c r="P30" s="217">
        <f>IFERROR(SUMIF(B8:B30,"&gt;="&amp;(B30-WEEKDAY(B30,2)+1),H8:H30),0)</f>
        <v/>
      </c>
      <c r="Q30" s="215">
        <f>IFERROR(O30-P30,0)</f>
        <v/>
      </c>
    </row>
    <row r="31" ht="16.5" customHeight="1">
      <c r="B31" s="208" t="n"/>
      <c r="C31" s="41">
        <f>IF(B31="","",TEXT(B31,"DDD"))</f>
        <v/>
      </c>
      <c r="D31" s="42">
        <f>IF(B31="","","Soft App")</f>
        <v/>
      </c>
      <c r="E31" s="218" t="n"/>
      <c r="F31" s="219" t="n"/>
      <c r="G31" s="220">
        <f>IFERROR(E31/F31,0)</f>
        <v/>
      </c>
      <c r="H31" s="221">
        <f>IFERROR(SUMIF('💸 Expenses'!B9:B508,B31,'💸 Expenses'!F9:F508),0)</f>
        <v/>
      </c>
      <c r="I31" s="222">
        <f>IFERROR(E31-H31,0)</f>
        <v/>
      </c>
      <c r="J31" s="223">
        <f>IFERROR(I31/E31,0)</f>
        <v/>
      </c>
      <c r="K31" s="49" t="n"/>
      <c r="L31" s="193">
        <f>IFERROR(L30+E31,0)</f>
        <v/>
      </c>
      <c r="M31" s="196">
        <f>IFERROR(M30+H31,0)</f>
        <v/>
      </c>
      <c r="N31" s="224">
        <f>IFERROR(L31-M31,0)</f>
        <v/>
      </c>
      <c r="O31" s="225">
        <f>IFERROR(SUMIF(B8:B31,"&gt;="&amp;(B31-WEEKDAY(B31,2)+1),E8:E31),0)</f>
        <v/>
      </c>
      <c r="P31" s="226">
        <f>IFERROR(SUMIF(B8:B31,"&gt;="&amp;(B31-WEEKDAY(B31,2)+1),H8:H31),0)</f>
        <v/>
      </c>
      <c r="Q31" s="224">
        <f>IFERROR(O31-P31,0)</f>
        <v/>
      </c>
    </row>
    <row r="32" ht="16.5" customHeight="1">
      <c r="B32" s="208" t="n"/>
      <c r="C32" s="29">
        <f>IF(B32="","",TEXT(B32,"DDD"))</f>
        <v/>
      </c>
      <c r="D32" s="30">
        <f>IF(B32="","","Soft App")</f>
        <v/>
      </c>
      <c r="E32" s="209" t="n"/>
      <c r="F32" s="210" t="n"/>
      <c r="G32" s="211">
        <f>IFERROR(E32/F32,0)</f>
        <v/>
      </c>
      <c r="H32" s="212">
        <f>IFERROR(SUMIF('💸 Expenses'!B9:B508,B32,'💸 Expenses'!F9:F508),0)</f>
        <v/>
      </c>
      <c r="I32" s="213">
        <f>IFERROR(E32-H32,0)</f>
        <v/>
      </c>
      <c r="J32" s="214">
        <f>IFERROR(I32/E32,0)</f>
        <v/>
      </c>
      <c r="K32" s="37" t="n"/>
      <c r="L32" s="187">
        <f>IFERROR(L31+E32,0)</f>
        <v/>
      </c>
      <c r="M32" s="190">
        <f>IFERROR(M31+H32,0)</f>
        <v/>
      </c>
      <c r="N32" s="215">
        <f>IFERROR(L32-M32,0)</f>
        <v/>
      </c>
      <c r="O32" s="216">
        <f>IFERROR(SUMIF(B8:B32,"&gt;="&amp;(B32-WEEKDAY(B32,2)+1),E8:E32),0)</f>
        <v/>
      </c>
      <c r="P32" s="217">
        <f>IFERROR(SUMIF(B8:B32,"&gt;="&amp;(B32-WEEKDAY(B32,2)+1),H8:H32),0)</f>
        <v/>
      </c>
      <c r="Q32" s="215">
        <f>IFERROR(O32-P32,0)</f>
        <v/>
      </c>
    </row>
    <row r="33" ht="16.5" customHeight="1">
      <c r="B33" s="208" t="n"/>
      <c r="C33" s="41">
        <f>IF(B33="","",TEXT(B33,"DDD"))</f>
        <v/>
      </c>
      <c r="D33" s="42">
        <f>IF(B33="","","Soft App")</f>
        <v/>
      </c>
      <c r="E33" s="218" t="n"/>
      <c r="F33" s="219" t="n"/>
      <c r="G33" s="220">
        <f>IFERROR(E33/F33,0)</f>
        <v/>
      </c>
      <c r="H33" s="221">
        <f>IFERROR(SUMIF('💸 Expenses'!B9:B508,B33,'💸 Expenses'!F9:F508),0)</f>
        <v/>
      </c>
      <c r="I33" s="222">
        <f>IFERROR(E33-H33,0)</f>
        <v/>
      </c>
      <c r="J33" s="223">
        <f>IFERROR(I33/E33,0)</f>
        <v/>
      </c>
      <c r="K33" s="49" t="n"/>
      <c r="L33" s="193">
        <f>IFERROR(L32+E33,0)</f>
        <v/>
      </c>
      <c r="M33" s="196">
        <f>IFERROR(M32+H33,0)</f>
        <v/>
      </c>
      <c r="N33" s="224">
        <f>IFERROR(L33-M33,0)</f>
        <v/>
      </c>
      <c r="O33" s="225">
        <f>IFERROR(SUMIF(B8:B33,"&gt;="&amp;(B33-WEEKDAY(B33,2)+1),E8:E33),0)</f>
        <v/>
      </c>
      <c r="P33" s="226">
        <f>IFERROR(SUMIF(B8:B33,"&gt;="&amp;(B33-WEEKDAY(B33,2)+1),H8:H33),0)</f>
        <v/>
      </c>
      <c r="Q33" s="224">
        <f>IFERROR(O33-P33,0)</f>
        <v/>
      </c>
    </row>
    <row r="34" ht="16.5" customHeight="1">
      <c r="B34" s="208" t="n"/>
      <c r="C34" s="29">
        <f>IF(B34="","",TEXT(B34,"DDD"))</f>
        <v/>
      </c>
      <c r="D34" s="30">
        <f>IF(B34="","","Soft App")</f>
        <v/>
      </c>
      <c r="E34" s="209" t="n"/>
      <c r="F34" s="210" t="n"/>
      <c r="G34" s="211">
        <f>IFERROR(E34/F34,0)</f>
        <v/>
      </c>
      <c r="H34" s="212">
        <f>IFERROR(SUMIF('💸 Expenses'!B9:B508,B34,'💸 Expenses'!F9:F508),0)</f>
        <v/>
      </c>
      <c r="I34" s="213">
        <f>IFERROR(E34-H34,0)</f>
        <v/>
      </c>
      <c r="J34" s="214">
        <f>IFERROR(I34/E34,0)</f>
        <v/>
      </c>
      <c r="K34" s="37" t="n"/>
      <c r="L34" s="187">
        <f>IFERROR(L33+E34,0)</f>
        <v/>
      </c>
      <c r="M34" s="190">
        <f>IFERROR(M33+H34,0)</f>
        <v/>
      </c>
      <c r="N34" s="215">
        <f>IFERROR(L34-M34,0)</f>
        <v/>
      </c>
      <c r="O34" s="216">
        <f>IFERROR(SUMIF(B8:B34,"&gt;="&amp;(B34-WEEKDAY(B34,2)+1),E8:E34),0)</f>
        <v/>
      </c>
      <c r="P34" s="217">
        <f>IFERROR(SUMIF(B8:B34,"&gt;="&amp;(B34-WEEKDAY(B34,2)+1),H8:H34),0)</f>
        <v/>
      </c>
      <c r="Q34" s="215">
        <f>IFERROR(O34-P34,0)</f>
        <v/>
      </c>
    </row>
    <row r="35" ht="16.5" customHeight="1">
      <c r="B35" s="208" t="n"/>
      <c r="C35" s="41">
        <f>IF(B35="","",TEXT(B35,"DDD"))</f>
        <v/>
      </c>
      <c r="D35" s="42">
        <f>IF(B35="","","Soft App")</f>
        <v/>
      </c>
      <c r="E35" s="218" t="n"/>
      <c r="F35" s="219" t="n"/>
      <c r="G35" s="220">
        <f>IFERROR(E35/F35,0)</f>
        <v/>
      </c>
      <c r="H35" s="221">
        <f>IFERROR(SUMIF('💸 Expenses'!B9:B508,B35,'💸 Expenses'!F9:F508),0)</f>
        <v/>
      </c>
      <c r="I35" s="222">
        <f>IFERROR(E35-H35,0)</f>
        <v/>
      </c>
      <c r="J35" s="223">
        <f>IFERROR(I35/E35,0)</f>
        <v/>
      </c>
      <c r="K35" s="49" t="n"/>
      <c r="L35" s="193">
        <f>IFERROR(L34+E35,0)</f>
        <v/>
      </c>
      <c r="M35" s="196">
        <f>IFERROR(M34+H35,0)</f>
        <v/>
      </c>
      <c r="N35" s="224">
        <f>IFERROR(L35-M35,0)</f>
        <v/>
      </c>
      <c r="O35" s="225">
        <f>IFERROR(SUMIF(B8:B35,"&gt;="&amp;(B35-WEEKDAY(B35,2)+1),E8:E35),0)</f>
        <v/>
      </c>
      <c r="P35" s="226">
        <f>IFERROR(SUMIF(B8:B35,"&gt;="&amp;(B35-WEEKDAY(B35,2)+1),H8:H35),0)</f>
        <v/>
      </c>
      <c r="Q35" s="224">
        <f>IFERROR(O35-P35,0)</f>
        <v/>
      </c>
    </row>
    <row r="36" ht="16.5" customHeight="1">
      <c r="B36" s="208" t="n"/>
      <c r="C36" s="29">
        <f>IF(B36="","",TEXT(B36,"DDD"))</f>
        <v/>
      </c>
      <c r="D36" s="30">
        <f>IF(B36="","","Soft App")</f>
        <v/>
      </c>
      <c r="E36" s="209" t="n"/>
      <c r="F36" s="210" t="n"/>
      <c r="G36" s="211">
        <f>IFERROR(E36/F36,0)</f>
        <v/>
      </c>
      <c r="H36" s="212">
        <f>IFERROR(SUMIF('💸 Expenses'!B9:B508,B36,'💸 Expenses'!F9:F508),0)</f>
        <v/>
      </c>
      <c r="I36" s="213">
        <f>IFERROR(E36-H36,0)</f>
        <v/>
      </c>
      <c r="J36" s="214">
        <f>IFERROR(I36/E36,0)</f>
        <v/>
      </c>
      <c r="K36" s="37" t="n"/>
      <c r="L36" s="187">
        <f>IFERROR(L35+E36,0)</f>
        <v/>
      </c>
      <c r="M36" s="190">
        <f>IFERROR(M35+H36,0)</f>
        <v/>
      </c>
      <c r="N36" s="215">
        <f>IFERROR(L36-M36,0)</f>
        <v/>
      </c>
      <c r="O36" s="216">
        <f>IFERROR(SUMIF(B8:B36,"&gt;="&amp;(B36-WEEKDAY(B36,2)+1),E8:E36),0)</f>
        <v/>
      </c>
      <c r="P36" s="217">
        <f>IFERROR(SUMIF(B8:B36,"&gt;="&amp;(B36-WEEKDAY(B36,2)+1),H8:H36),0)</f>
        <v/>
      </c>
      <c r="Q36" s="215">
        <f>IFERROR(O36-P36,0)</f>
        <v/>
      </c>
    </row>
    <row r="37" ht="16.5" customHeight="1">
      <c r="B37" s="208" t="n"/>
      <c r="C37" s="41">
        <f>IF(B37="","",TEXT(B37,"DDD"))</f>
        <v/>
      </c>
      <c r="D37" s="42">
        <f>IF(B37="","","Soft App")</f>
        <v/>
      </c>
      <c r="E37" s="218" t="n"/>
      <c r="F37" s="219" t="n"/>
      <c r="G37" s="220">
        <f>IFERROR(E37/F37,0)</f>
        <v/>
      </c>
      <c r="H37" s="221">
        <f>IFERROR(SUMIF('💸 Expenses'!B9:B508,B37,'💸 Expenses'!F9:F508),0)</f>
        <v/>
      </c>
      <c r="I37" s="222">
        <f>IFERROR(E37-H37,0)</f>
        <v/>
      </c>
      <c r="J37" s="223">
        <f>IFERROR(I37/E37,0)</f>
        <v/>
      </c>
      <c r="K37" s="49" t="n"/>
      <c r="L37" s="193">
        <f>IFERROR(L36+E37,0)</f>
        <v/>
      </c>
      <c r="M37" s="196">
        <f>IFERROR(M36+H37,0)</f>
        <v/>
      </c>
      <c r="N37" s="224">
        <f>IFERROR(L37-M37,0)</f>
        <v/>
      </c>
      <c r="O37" s="225">
        <f>IFERROR(SUMIF(B8:B37,"&gt;="&amp;(B37-WEEKDAY(B37,2)+1),E8:E37),0)</f>
        <v/>
      </c>
      <c r="P37" s="226">
        <f>IFERROR(SUMIF(B8:B37,"&gt;="&amp;(B37-WEEKDAY(B37,2)+1),H8:H37),0)</f>
        <v/>
      </c>
      <c r="Q37" s="224">
        <f>IFERROR(O37-P37,0)</f>
        <v/>
      </c>
    </row>
    <row r="38" ht="16.5" customHeight="1">
      <c r="B38" s="208" t="n"/>
      <c r="C38" s="29">
        <f>IF(B38="","",TEXT(B38,"DDD"))</f>
        <v/>
      </c>
      <c r="D38" s="30">
        <f>IF(B38="","","Soft App")</f>
        <v/>
      </c>
      <c r="E38" s="209" t="n"/>
      <c r="F38" s="210" t="n"/>
      <c r="G38" s="211">
        <f>IFERROR(E38/F38,0)</f>
        <v/>
      </c>
      <c r="H38" s="212">
        <f>IFERROR(SUMIF('💸 Expenses'!B9:B508,B38,'💸 Expenses'!F9:F508),0)</f>
        <v/>
      </c>
      <c r="I38" s="213">
        <f>IFERROR(E38-H38,0)</f>
        <v/>
      </c>
      <c r="J38" s="214">
        <f>IFERROR(I38/E38,0)</f>
        <v/>
      </c>
      <c r="K38" s="37" t="n"/>
      <c r="L38" s="187">
        <f>IFERROR(L37+E38,0)</f>
        <v/>
      </c>
      <c r="M38" s="190">
        <f>IFERROR(M37+H38,0)</f>
        <v/>
      </c>
      <c r="N38" s="215">
        <f>IFERROR(L38-M38,0)</f>
        <v/>
      </c>
      <c r="O38" s="216">
        <f>IFERROR(SUMIF(B8:B38,"&gt;="&amp;(B38-WEEKDAY(B38,2)+1),E8:E38),0)</f>
        <v/>
      </c>
      <c r="P38" s="217">
        <f>IFERROR(SUMIF(B8:B38,"&gt;="&amp;(B38-WEEKDAY(B38,2)+1),H8:H38),0)</f>
        <v/>
      </c>
      <c r="Q38" s="215">
        <f>IFERROR(O38-P38,0)</f>
        <v/>
      </c>
    </row>
    <row r="39" ht="16.5" customHeight="1">
      <c r="B39" s="208" t="n"/>
      <c r="C39" s="41">
        <f>IF(B39="","",TEXT(B39,"DDD"))</f>
        <v/>
      </c>
      <c r="D39" s="42">
        <f>IF(B39="","","Soft App")</f>
        <v/>
      </c>
      <c r="E39" s="218" t="n"/>
      <c r="F39" s="219" t="n"/>
      <c r="G39" s="220">
        <f>IFERROR(E39/F39,0)</f>
        <v/>
      </c>
      <c r="H39" s="221">
        <f>IFERROR(SUMIF('💸 Expenses'!B9:B508,B39,'💸 Expenses'!F9:F508),0)</f>
        <v/>
      </c>
      <c r="I39" s="222">
        <f>IFERROR(E39-H39,0)</f>
        <v/>
      </c>
      <c r="J39" s="223">
        <f>IFERROR(I39/E39,0)</f>
        <v/>
      </c>
      <c r="K39" s="49" t="n"/>
      <c r="L39" s="193">
        <f>IFERROR(L38+E39,0)</f>
        <v/>
      </c>
      <c r="M39" s="196">
        <f>IFERROR(M38+H39,0)</f>
        <v/>
      </c>
      <c r="N39" s="224">
        <f>IFERROR(L39-M39,0)</f>
        <v/>
      </c>
      <c r="O39" s="225">
        <f>IFERROR(SUMIF(B8:B39,"&gt;="&amp;(B39-WEEKDAY(B39,2)+1),E8:E39),0)</f>
        <v/>
      </c>
      <c r="P39" s="226">
        <f>IFERROR(SUMIF(B8:B39,"&gt;="&amp;(B39-WEEKDAY(B39,2)+1),H8:H39),0)</f>
        <v/>
      </c>
      <c r="Q39" s="224">
        <f>IFERROR(O39-P39,0)</f>
        <v/>
      </c>
    </row>
    <row r="40" ht="16.5" customHeight="1">
      <c r="B40" s="208" t="n"/>
      <c r="C40" s="29">
        <f>IF(B40="","",TEXT(B40,"DDD"))</f>
        <v/>
      </c>
      <c r="D40" s="30">
        <f>IF(B40="","","Soft App")</f>
        <v/>
      </c>
      <c r="E40" s="209" t="n"/>
      <c r="F40" s="210" t="n"/>
      <c r="G40" s="211">
        <f>IFERROR(E40/F40,0)</f>
        <v/>
      </c>
      <c r="H40" s="212">
        <f>IFERROR(SUMIF('💸 Expenses'!B9:B508,B40,'💸 Expenses'!F9:F508),0)</f>
        <v/>
      </c>
      <c r="I40" s="213">
        <f>IFERROR(E40-H40,0)</f>
        <v/>
      </c>
      <c r="J40" s="214">
        <f>IFERROR(I40/E40,0)</f>
        <v/>
      </c>
      <c r="K40" s="37" t="n"/>
      <c r="L40" s="187">
        <f>IFERROR(L39+E40,0)</f>
        <v/>
      </c>
      <c r="M40" s="190">
        <f>IFERROR(M39+H40,0)</f>
        <v/>
      </c>
      <c r="N40" s="215">
        <f>IFERROR(L40-M40,0)</f>
        <v/>
      </c>
      <c r="O40" s="216">
        <f>IFERROR(SUMIF(B8:B40,"&gt;="&amp;(B40-WEEKDAY(B40,2)+1),E8:E40),0)</f>
        <v/>
      </c>
      <c r="P40" s="217">
        <f>IFERROR(SUMIF(B8:B40,"&gt;="&amp;(B40-WEEKDAY(B40,2)+1),H8:H40),0)</f>
        <v/>
      </c>
      <c r="Q40" s="215">
        <f>IFERROR(O40-P40,0)</f>
        <v/>
      </c>
    </row>
    <row r="41" ht="16.5" customHeight="1">
      <c r="B41" s="208" t="n"/>
      <c r="C41" s="41">
        <f>IF(B41="","",TEXT(B41,"DDD"))</f>
        <v/>
      </c>
      <c r="D41" s="42">
        <f>IF(B41="","","Soft App")</f>
        <v/>
      </c>
      <c r="E41" s="218" t="n"/>
      <c r="F41" s="219" t="n"/>
      <c r="G41" s="220">
        <f>IFERROR(E41/F41,0)</f>
        <v/>
      </c>
      <c r="H41" s="221">
        <f>IFERROR(SUMIF('💸 Expenses'!B9:B508,B41,'💸 Expenses'!F9:F508),0)</f>
        <v/>
      </c>
      <c r="I41" s="222">
        <f>IFERROR(E41-H41,0)</f>
        <v/>
      </c>
      <c r="J41" s="223">
        <f>IFERROR(I41/E41,0)</f>
        <v/>
      </c>
      <c r="K41" s="49" t="n"/>
      <c r="L41" s="193">
        <f>IFERROR(L40+E41,0)</f>
        <v/>
      </c>
      <c r="M41" s="196">
        <f>IFERROR(M40+H41,0)</f>
        <v/>
      </c>
      <c r="N41" s="224">
        <f>IFERROR(L41-M41,0)</f>
        <v/>
      </c>
      <c r="O41" s="225">
        <f>IFERROR(SUMIF(B8:B41,"&gt;="&amp;(B41-WEEKDAY(B41,2)+1),E8:E41),0)</f>
        <v/>
      </c>
      <c r="P41" s="226">
        <f>IFERROR(SUMIF(B8:B41,"&gt;="&amp;(B41-WEEKDAY(B41,2)+1),H8:H41),0)</f>
        <v/>
      </c>
      <c r="Q41" s="224">
        <f>IFERROR(O41-P41,0)</f>
        <v/>
      </c>
    </row>
    <row r="42" ht="16.5" customHeight="1">
      <c r="B42" s="208" t="n"/>
      <c r="C42" s="29">
        <f>IF(B42="","",TEXT(B42,"DDD"))</f>
        <v/>
      </c>
      <c r="D42" s="30">
        <f>IF(B42="","","Soft App")</f>
        <v/>
      </c>
      <c r="E42" s="209" t="n"/>
      <c r="F42" s="210" t="n"/>
      <c r="G42" s="211">
        <f>IFERROR(E42/F42,0)</f>
        <v/>
      </c>
      <c r="H42" s="212">
        <f>IFERROR(SUMIF('💸 Expenses'!B9:B508,B42,'💸 Expenses'!F9:F508),0)</f>
        <v/>
      </c>
      <c r="I42" s="213">
        <f>IFERROR(E42-H42,0)</f>
        <v/>
      </c>
      <c r="J42" s="214">
        <f>IFERROR(I42/E42,0)</f>
        <v/>
      </c>
      <c r="K42" s="37" t="n"/>
      <c r="L42" s="187">
        <f>IFERROR(L41+E42,0)</f>
        <v/>
      </c>
      <c r="M42" s="190">
        <f>IFERROR(M41+H42,0)</f>
        <v/>
      </c>
      <c r="N42" s="215">
        <f>IFERROR(L42-M42,0)</f>
        <v/>
      </c>
      <c r="O42" s="216">
        <f>IFERROR(SUMIF(B8:B42,"&gt;="&amp;(B42-WEEKDAY(B42,2)+1),E8:E42),0)</f>
        <v/>
      </c>
      <c r="P42" s="217">
        <f>IFERROR(SUMIF(B8:B42,"&gt;="&amp;(B42-WEEKDAY(B42,2)+1),H8:H42),0)</f>
        <v/>
      </c>
      <c r="Q42" s="215">
        <f>IFERROR(O42-P42,0)</f>
        <v/>
      </c>
    </row>
    <row r="43" ht="16.5" customHeight="1">
      <c r="B43" s="208" t="n"/>
      <c r="C43" s="41">
        <f>IF(B43="","",TEXT(B43,"DDD"))</f>
        <v/>
      </c>
      <c r="D43" s="42">
        <f>IF(B43="","","Soft App")</f>
        <v/>
      </c>
      <c r="E43" s="218" t="n"/>
      <c r="F43" s="219" t="n"/>
      <c r="G43" s="220">
        <f>IFERROR(E43/F43,0)</f>
        <v/>
      </c>
      <c r="H43" s="221">
        <f>IFERROR(SUMIF('💸 Expenses'!B9:B508,B43,'💸 Expenses'!F9:F508),0)</f>
        <v/>
      </c>
      <c r="I43" s="222">
        <f>IFERROR(E43-H43,0)</f>
        <v/>
      </c>
      <c r="J43" s="223">
        <f>IFERROR(I43/E43,0)</f>
        <v/>
      </c>
      <c r="K43" s="49" t="n"/>
      <c r="L43" s="193">
        <f>IFERROR(L42+E43,0)</f>
        <v/>
      </c>
      <c r="M43" s="196">
        <f>IFERROR(M42+H43,0)</f>
        <v/>
      </c>
      <c r="N43" s="224">
        <f>IFERROR(L43-M43,0)</f>
        <v/>
      </c>
      <c r="O43" s="225">
        <f>IFERROR(SUMIF(B8:B43,"&gt;="&amp;(B43-WEEKDAY(B43,2)+1),E8:E43),0)</f>
        <v/>
      </c>
      <c r="P43" s="226">
        <f>IFERROR(SUMIF(B8:B43,"&gt;="&amp;(B43-WEEKDAY(B43,2)+1),H8:H43),0)</f>
        <v/>
      </c>
      <c r="Q43" s="224">
        <f>IFERROR(O43-P43,0)</f>
        <v/>
      </c>
    </row>
    <row r="44" ht="16.5" customHeight="1">
      <c r="B44" s="208" t="n"/>
      <c r="C44" s="29">
        <f>IF(B44="","",TEXT(B44,"DDD"))</f>
        <v/>
      </c>
      <c r="D44" s="30">
        <f>IF(B44="","","Soft App")</f>
        <v/>
      </c>
      <c r="E44" s="209" t="n"/>
      <c r="F44" s="210" t="n"/>
      <c r="G44" s="211">
        <f>IFERROR(E44/F44,0)</f>
        <v/>
      </c>
      <c r="H44" s="212">
        <f>IFERROR(SUMIF('💸 Expenses'!B9:B508,B44,'💸 Expenses'!F9:F508),0)</f>
        <v/>
      </c>
      <c r="I44" s="213">
        <f>IFERROR(E44-H44,0)</f>
        <v/>
      </c>
      <c r="J44" s="214">
        <f>IFERROR(I44/E44,0)</f>
        <v/>
      </c>
      <c r="K44" s="37" t="n"/>
      <c r="L44" s="187">
        <f>IFERROR(L43+E44,0)</f>
        <v/>
      </c>
      <c r="M44" s="190">
        <f>IFERROR(M43+H44,0)</f>
        <v/>
      </c>
      <c r="N44" s="215">
        <f>IFERROR(L44-M44,0)</f>
        <v/>
      </c>
      <c r="O44" s="216">
        <f>IFERROR(SUMIF(B8:B44,"&gt;="&amp;(B44-WEEKDAY(B44,2)+1),E8:E44),0)</f>
        <v/>
      </c>
      <c r="P44" s="217">
        <f>IFERROR(SUMIF(B8:B44,"&gt;="&amp;(B44-WEEKDAY(B44,2)+1),H8:H44),0)</f>
        <v/>
      </c>
      <c r="Q44" s="215">
        <f>IFERROR(O44-P44,0)</f>
        <v/>
      </c>
    </row>
    <row r="45" ht="16.5" customHeight="1">
      <c r="B45" s="208" t="n"/>
      <c r="C45" s="41">
        <f>IF(B45="","",TEXT(B45,"DDD"))</f>
        <v/>
      </c>
      <c r="D45" s="42">
        <f>IF(B45="","","Soft App")</f>
        <v/>
      </c>
      <c r="E45" s="218" t="n"/>
      <c r="F45" s="219" t="n"/>
      <c r="G45" s="220">
        <f>IFERROR(E45/F45,0)</f>
        <v/>
      </c>
      <c r="H45" s="221">
        <f>IFERROR(SUMIF('💸 Expenses'!B9:B508,B45,'💸 Expenses'!F9:F508),0)</f>
        <v/>
      </c>
      <c r="I45" s="222">
        <f>IFERROR(E45-H45,0)</f>
        <v/>
      </c>
      <c r="J45" s="223">
        <f>IFERROR(I45/E45,0)</f>
        <v/>
      </c>
      <c r="K45" s="49" t="n"/>
      <c r="L45" s="193">
        <f>IFERROR(L44+E45,0)</f>
        <v/>
      </c>
      <c r="M45" s="196">
        <f>IFERROR(M44+H45,0)</f>
        <v/>
      </c>
      <c r="N45" s="224">
        <f>IFERROR(L45-M45,0)</f>
        <v/>
      </c>
      <c r="O45" s="225">
        <f>IFERROR(SUMIF(B8:B45,"&gt;="&amp;(B45-WEEKDAY(B45,2)+1),E8:E45),0)</f>
        <v/>
      </c>
      <c r="P45" s="226">
        <f>IFERROR(SUMIF(B8:B45,"&gt;="&amp;(B45-WEEKDAY(B45,2)+1),H8:H45),0)</f>
        <v/>
      </c>
      <c r="Q45" s="224">
        <f>IFERROR(O45-P45,0)</f>
        <v/>
      </c>
    </row>
    <row r="46" ht="16.5" customHeight="1">
      <c r="B46" s="208" t="n"/>
      <c r="C46" s="29">
        <f>IF(B46="","",TEXT(B46,"DDD"))</f>
        <v/>
      </c>
      <c r="D46" s="30">
        <f>IF(B46="","","Soft App")</f>
        <v/>
      </c>
      <c r="E46" s="209" t="n"/>
      <c r="F46" s="210" t="n"/>
      <c r="G46" s="211">
        <f>IFERROR(E46/F46,0)</f>
        <v/>
      </c>
      <c r="H46" s="212">
        <f>IFERROR(SUMIF('💸 Expenses'!B9:B508,B46,'💸 Expenses'!F9:F508),0)</f>
        <v/>
      </c>
      <c r="I46" s="213">
        <f>IFERROR(E46-H46,0)</f>
        <v/>
      </c>
      <c r="J46" s="214">
        <f>IFERROR(I46/E46,0)</f>
        <v/>
      </c>
      <c r="K46" s="37" t="n"/>
      <c r="L46" s="187">
        <f>IFERROR(L45+E46,0)</f>
        <v/>
      </c>
      <c r="M46" s="190">
        <f>IFERROR(M45+H46,0)</f>
        <v/>
      </c>
      <c r="N46" s="215">
        <f>IFERROR(L46-M46,0)</f>
        <v/>
      </c>
      <c r="O46" s="216">
        <f>IFERROR(SUMIF(B8:B46,"&gt;="&amp;(B46-WEEKDAY(B46,2)+1),E8:E46),0)</f>
        <v/>
      </c>
      <c r="P46" s="217">
        <f>IFERROR(SUMIF(B8:B46,"&gt;="&amp;(B46-WEEKDAY(B46,2)+1),H8:H46),0)</f>
        <v/>
      </c>
      <c r="Q46" s="215">
        <f>IFERROR(O46-P46,0)</f>
        <v/>
      </c>
    </row>
    <row r="47" ht="16.5" customHeight="1">
      <c r="B47" s="208" t="n"/>
      <c r="C47" s="41">
        <f>IF(B47="","",TEXT(B47,"DDD"))</f>
        <v/>
      </c>
      <c r="D47" s="42">
        <f>IF(B47="","","Soft App")</f>
        <v/>
      </c>
      <c r="E47" s="218" t="n"/>
      <c r="F47" s="219" t="n"/>
      <c r="G47" s="220">
        <f>IFERROR(E47/F47,0)</f>
        <v/>
      </c>
      <c r="H47" s="221">
        <f>IFERROR(SUMIF('💸 Expenses'!B9:B508,B47,'💸 Expenses'!F9:F508),0)</f>
        <v/>
      </c>
      <c r="I47" s="222">
        <f>IFERROR(E47-H47,0)</f>
        <v/>
      </c>
      <c r="J47" s="223">
        <f>IFERROR(I47/E47,0)</f>
        <v/>
      </c>
      <c r="K47" s="49" t="n"/>
      <c r="L47" s="193">
        <f>IFERROR(L46+E47,0)</f>
        <v/>
      </c>
      <c r="M47" s="196">
        <f>IFERROR(M46+H47,0)</f>
        <v/>
      </c>
      <c r="N47" s="224">
        <f>IFERROR(L47-M47,0)</f>
        <v/>
      </c>
      <c r="O47" s="225">
        <f>IFERROR(SUMIF(B8:B47,"&gt;="&amp;(B47-WEEKDAY(B47,2)+1),E8:E47),0)</f>
        <v/>
      </c>
      <c r="P47" s="226">
        <f>IFERROR(SUMIF(B8:B47,"&gt;="&amp;(B47-WEEKDAY(B47,2)+1),H8:H47),0)</f>
        <v/>
      </c>
      <c r="Q47" s="224">
        <f>IFERROR(O47-P47,0)</f>
        <v/>
      </c>
    </row>
    <row r="48" ht="16.5" customHeight="1">
      <c r="B48" s="208" t="n"/>
      <c r="C48" s="29">
        <f>IF(B48="","",TEXT(B48,"DDD"))</f>
        <v/>
      </c>
      <c r="D48" s="30">
        <f>IF(B48="","","Soft App")</f>
        <v/>
      </c>
      <c r="E48" s="209" t="n"/>
      <c r="F48" s="210" t="n"/>
      <c r="G48" s="211">
        <f>IFERROR(E48/F48,0)</f>
        <v/>
      </c>
      <c r="H48" s="212">
        <f>IFERROR(SUMIF('💸 Expenses'!B9:B508,B48,'💸 Expenses'!F9:F508),0)</f>
        <v/>
      </c>
      <c r="I48" s="213">
        <f>IFERROR(E48-H48,0)</f>
        <v/>
      </c>
      <c r="J48" s="214">
        <f>IFERROR(I48/E48,0)</f>
        <v/>
      </c>
      <c r="K48" s="37" t="n"/>
      <c r="L48" s="187">
        <f>IFERROR(L47+E48,0)</f>
        <v/>
      </c>
      <c r="M48" s="190">
        <f>IFERROR(M47+H48,0)</f>
        <v/>
      </c>
      <c r="N48" s="215">
        <f>IFERROR(L48-M48,0)</f>
        <v/>
      </c>
      <c r="O48" s="216">
        <f>IFERROR(SUMIF(B8:B48,"&gt;="&amp;(B48-WEEKDAY(B48,2)+1),E8:E48),0)</f>
        <v/>
      </c>
      <c r="P48" s="217">
        <f>IFERROR(SUMIF(B8:B48,"&gt;="&amp;(B48-WEEKDAY(B48,2)+1),H8:H48),0)</f>
        <v/>
      </c>
      <c r="Q48" s="215">
        <f>IFERROR(O48-P48,0)</f>
        <v/>
      </c>
    </row>
    <row r="49" ht="16.5" customHeight="1">
      <c r="B49" s="208" t="n"/>
      <c r="C49" s="41">
        <f>IF(B49="","",TEXT(B49,"DDD"))</f>
        <v/>
      </c>
      <c r="D49" s="42">
        <f>IF(B49="","","Soft App")</f>
        <v/>
      </c>
      <c r="E49" s="218" t="n"/>
      <c r="F49" s="219" t="n"/>
      <c r="G49" s="220">
        <f>IFERROR(E49/F49,0)</f>
        <v/>
      </c>
      <c r="H49" s="221">
        <f>IFERROR(SUMIF('💸 Expenses'!B9:B508,B49,'💸 Expenses'!F9:F508),0)</f>
        <v/>
      </c>
      <c r="I49" s="222">
        <f>IFERROR(E49-H49,0)</f>
        <v/>
      </c>
      <c r="J49" s="223">
        <f>IFERROR(I49/E49,0)</f>
        <v/>
      </c>
      <c r="K49" s="49" t="n"/>
      <c r="L49" s="193">
        <f>IFERROR(L48+E49,0)</f>
        <v/>
      </c>
      <c r="M49" s="196">
        <f>IFERROR(M48+H49,0)</f>
        <v/>
      </c>
      <c r="N49" s="224">
        <f>IFERROR(L49-M49,0)</f>
        <v/>
      </c>
      <c r="O49" s="225">
        <f>IFERROR(SUMIF(B8:B49,"&gt;="&amp;(B49-WEEKDAY(B49,2)+1),E8:E49),0)</f>
        <v/>
      </c>
      <c r="P49" s="226">
        <f>IFERROR(SUMIF(B8:B49,"&gt;="&amp;(B49-WEEKDAY(B49,2)+1),H8:H49),0)</f>
        <v/>
      </c>
      <c r="Q49" s="224">
        <f>IFERROR(O49-P49,0)</f>
        <v/>
      </c>
    </row>
    <row r="50" ht="16.5" customHeight="1">
      <c r="B50" s="208" t="n"/>
      <c r="C50" s="29">
        <f>IF(B50="","",TEXT(B50,"DDD"))</f>
        <v/>
      </c>
      <c r="D50" s="30">
        <f>IF(B50="","","Soft App")</f>
        <v/>
      </c>
      <c r="E50" s="209" t="n"/>
      <c r="F50" s="210" t="n"/>
      <c r="G50" s="211">
        <f>IFERROR(E50/F50,0)</f>
        <v/>
      </c>
      <c r="H50" s="212">
        <f>IFERROR(SUMIF('💸 Expenses'!B9:B508,B50,'💸 Expenses'!F9:F508),0)</f>
        <v/>
      </c>
      <c r="I50" s="213">
        <f>IFERROR(E50-H50,0)</f>
        <v/>
      </c>
      <c r="J50" s="214">
        <f>IFERROR(I50/E50,0)</f>
        <v/>
      </c>
      <c r="K50" s="37" t="n"/>
      <c r="L50" s="187">
        <f>IFERROR(L49+E50,0)</f>
        <v/>
      </c>
      <c r="M50" s="190">
        <f>IFERROR(M49+H50,0)</f>
        <v/>
      </c>
      <c r="N50" s="215">
        <f>IFERROR(L50-M50,0)</f>
        <v/>
      </c>
      <c r="O50" s="216">
        <f>IFERROR(SUMIF(B8:B50,"&gt;="&amp;(B50-WEEKDAY(B50,2)+1),E8:E50),0)</f>
        <v/>
      </c>
      <c r="P50" s="217">
        <f>IFERROR(SUMIF(B8:B50,"&gt;="&amp;(B50-WEEKDAY(B50,2)+1),H8:H50),0)</f>
        <v/>
      </c>
      <c r="Q50" s="215">
        <f>IFERROR(O50-P50,0)</f>
        <v/>
      </c>
    </row>
    <row r="51" ht="16.5" customHeight="1">
      <c r="B51" s="208" t="n"/>
      <c r="C51" s="41">
        <f>IF(B51="","",TEXT(B51,"DDD"))</f>
        <v/>
      </c>
      <c r="D51" s="42">
        <f>IF(B51="","","Soft App")</f>
        <v/>
      </c>
      <c r="E51" s="218" t="n"/>
      <c r="F51" s="219" t="n"/>
      <c r="G51" s="220">
        <f>IFERROR(E51/F51,0)</f>
        <v/>
      </c>
      <c r="H51" s="221">
        <f>IFERROR(SUMIF('💸 Expenses'!B9:B508,B51,'💸 Expenses'!F9:F508),0)</f>
        <v/>
      </c>
      <c r="I51" s="222">
        <f>IFERROR(E51-H51,0)</f>
        <v/>
      </c>
      <c r="J51" s="223">
        <f>IFERROR(I51/E51,0)</f>
        <v/>
      </c>
      <c r="K51" s="49" t="n"/>
      <c r="L51" s="193">
        <f>IFERROR(L50+E51,0)</f>
        <v/>
      </c>
      <c r="M51" s="196">
        <f>IFERROR(M50+H51,0)</f>
        <v/>
      </c>
      <c r="N51" s="224">
        <f>IFERROR(L51-M51,0)</f>
        <v/>
      </c>
      <c r="O51" s="225">
        <f>IFERROR(SUMIF(B8:B51,"&gt;="&amp;(B51-WEEKDAY(B51,2)+1),E8:E51),0)</f>
        <v/>
      </c>
      <c r="P51" s="226">
        <f>IFERROR(SUMIF(B8:B51,"&gt;="&amp;(B51-WEEKDAY(B51,2)+1),H8:H51),0)</f>
        <v/>
      </c>
      <c r="Q51" s="224">
        <f>IFERROR(O51-P51,0)</f>
        <v/>
      </c>
    </row>
    <row r="52" ht="16.5" customHeight="1">
      <c r="B52" s="208" t="n"/>
      <c r="C52" s="29">
        <f>IF(B52="","",TEXT(B52,"DDD"))</f>
        <v/>
      </c>
      <c r="D52" s="30">
        <f>IF(B52="","","Soft App")</f>
        <v/>
      </c>
      <c r="E52" s="209" t="n"/>
      <c r="F52" s="210" t="n"/>
      <c r="G52" s="211">
        <f>IFERROR(E52/F52,0)</f>
        <v/>
      </c>
      <c r="H52" s="212">
        <f>IFERROR(SUMIF('💸 Expenses'!B9:B508,B52,'💸 Expenses'!F9:F508),0)</f>
        <v/>
      </c>
      <c r="I52" s="213">
        <f>IFERROR(E52-H52,0)</f>
        <v/>
      </c>
      <c r="J52" s="214">
        <f>IFERROR(I52/E52,0)</f>
        <v/>
      </c>
      <c r="K52" s="37" t="n"/>
      <c r="L52" s="187">
        <f>IFERROR(L51+E52,0)</f>
        <v/>
      </c>
      <c r="M52" s="190">
        <f>IFERROR(M51+H52,0)</f>
        <v/>
      </c>
      <c r="N52" s="215">
        <f>IFERROR(L52-M52,0)</f>
        <v/>
      </c>
      <c r="O52" s="216">
        <f>IFERROR(SUMIF(B8:B52,"&gt;="&amp;(B52-WEEKDAY(B52,2)+1),E8:E52),0)</f>
        <v/>
      </c>
      <c r="P52" s="217">
        <f>IFERROR(SUMIF(B8:B52,"&gt;="&amp;(B52-WEEKDAY(B52,2)+1),H8:H52),0)</f>
        <v/>
      </c>
      <c r="Q52" s="215">
        <f>IFERROR(O52-P52,0)</f>
        <v/>
      </c>
    </row>
    <row r="53" ht="16.5" customHeight="1">
      <c r="B53" s="208" t="n"/>
      <c r="C53" s="41">
        <f>IF(B53="","",TEXT(B53,"DDD"))</f>
        <v/>
      </c>
      <c r="D53" s="42">
        <f>IF(B53="","","Soft App")</f>
        <v/>
      </c>
      <c r="E53" s="218" t="n"/>
      <c r="F53" s="219" t="n"/>
      <c r="G53" s="220">
        <f>IFERROR(E53/F53,0)</f>
        <v/>
      </c>
      <c r="H53" s="221">
        <f>IFERROR(SUMIF('💸 Expenses'!B9:B508,B53,'💸 Expenses'!F9:F508),0)</f>
        <v/>
      </c>
      <c r="I53" s="222">
        <f>IFERROR(E53-H53,0)</f>
        <v/>
      </c>
      <c r="J53" s="223">
        <f>IFERROR(I53/E53,0)</f>
        <v/>
      </c>
      <c r="K53" s="49" t="n"/>
      <c r="L53" s="193">
        <f>IFERROR(L52+E53,0)</f>
        <v/>
      </c>
      <c r="M53" s="196">
        <f>IFERROR(M52+H53,0)</f>
        <v/>
      </c>
      <c r="N53" s="224">
        <f>IFERROR(L53-M53,0)</f>
        <v/>
      </c>
      <c r="O53" s="225">
        <f>IFERROR(SUMIF(B8:B53,"&gt;="&amp;(B53-WEEKDAY(B53,2)+1),E8:E53),0)</f>
        <v/>
      </c>
      <c r="P53" s="226">
        <f>IFERROR(SUMIF(B8:B53,"&gt;="&amp;(B53-WEEKDAY(B53,2)+1),H8:H53),0)</f>
        <v/>
      </c>
      <c r="Q53" s="224">
        <f>IFERROR(O53-P53,0)</f>
        <v/>
      </c>
    </row>
    <row r="54" ht="16.5" customHeight="1">
      <c r="B54" s="208" t="n"/>
      <c r="C54" s="29">
        <f>IF(B54="","",TEXT(B54,"DDD"))</f>
        <v/>
      </c>
      <c r="D54" s="30">
        <f>IF(B54="","","Soft App")</f>
        <v/>
      </c>
      <c r="E54" s="209" t="n"/>
      <c r="F54" s="210" t="n"/>
      <c r="G54" s="211">
        <f>IFERROR(E54/F54,0)</f>
        <v/>
      </c>
      <c r="H54" s="212">
        <f>IFERROR(SUMIF('💸 Expenses'!B9:B508,B54,'💸 Expenses'!F9:F508),0)</f>
        <v/>
      </c>
      <c r="I54" s="213">
        <f>IFERROR(E54-H54,0)</f>
        <v/>
      </c>
      <c r="J54" s="214">
        <f>IFERROR(I54/E54,0)</f>
        <v/>
      </c>
      <c r="K54" s="37" t="n"/>
      <c r="L54" s="187">
        <f>IFERROR(L53+E54,0)</f>
        <v/>
      </c>
      <c r="M54" s="190">
        <f>IFERROR(M53+H54,0)</f>
        <v/>
      </c>
      <c r="N54" s="215">
        <f>IFERROR(L54-M54,0)</f>
        <v/>
      </c>
      <c r="O54" s="216">
        <f>IFERROR(SUMIF(B8:B54,"&gt;="&amp;(B54-WEEKDAY(B54,2)+1),E8:E54),0)</f>
        <v/>
      </c>
      <c r="P54" s="217">
        <f>IFERROR(SUMIF(B8:B54,"&gt;="&amp;(B54-WEEKDAY(B54,2)+1),H8:H54),0)</f>
        <v/>
      </c>
      <c r="Q54" s="215">
        <f>IFERROR(O54-P54,0)</f>
        <v/>
      </c>
    </row>
    <row r="55" ht="16.5" customHeight="1">
      <c r="B55" s="208" t="n"/>
      <c r="C55" s="41">
        <f>IF(B55="","",TEXT(B55,"DDD"))</f>
        <v/>
      </c>
      <c r="D55" s="42">
        <f>IF(B55="","","Soft App")</f>
        <v/>
      </c>
      <c r="E55" s="218" t="n"/>
      <c r="F55" s="219" t="n"/>
      <c r="G55" s="220">
        <f>IFERROR(E55/F55,0)</f>
        <v/>
      </c>
      <c r="H55" s="221">
        <f>IFERROR(SUMIF('💸 Expenses'!B9:B508,B55,'💸 Expenses'!F9:F508),0)</f>
        <v/>
      </c>
      <c r="I55" s="222">
        <f>IFERROR(E55-H55,0)</f>
        <v/>
      </c>
      <c r="J55" s="223">
        <f>IFERROR(I55/E55,0)</f>
        <v/>
      </c>
      <c r="K55" s="49" t="n"/>
      <c r="L55" s="193">
        <f>IFERROR(L54+E55,0)</f>
        <v/>
      </c>
      <c r="M55" s="196">
        <f>IFERROR(M54+H55,0)</f>
        <v/>
      </c>
      <c r="N55" s="224">
        <f>IFERROR(L55-M55,0)</f>
        <v/>
      </c>
      <c r="O55" s="225">
        <f>IFERROR(SUMIF(B8:B55,"&gt;="&amp;(B55-WEEKDAY(B55,2)+1),E8:E55),0)</f>
        <v/>
      </c>
      <c r="P55" s="226">
        <f>IFERROR(SUMIF(B8:B55,"&gt;="&amp;(B55-WEEKDAY(B55,2)+1),H8:H55),0)</f>
        <v/>
      </c>
      <c r="Q55" s="224">
        <f>IFERROR(O55-P55,0)</f>
        <v/>
      </c>
    </row>
    <row r="56" ht="16.5" customHeight="1">
      <c r="B56" s="208" t="n"/>
      <c r="C56" s="29">
        <f>IF(B56="","",TEXT(B56,"DDD"))</f>
        <v/>
      </c>
      <c r="D56" s="30">
        <f>IF(B56="","","Soft App")</f>
        <v/>
      </c>
      <c r="E56" s="209" t="n"/>
      <c r="F56" s="210" t="n"/>
      <c r="G56" s="211">
        <f>IFERROR(E56/F56,0)</f>
        <v/>
      </c>
      <c r="H56" s="212">
        <f>IFERROR(SUMIF('💸 Expenses'!B9:B508,B56,'💸 Expenses'!F9:F508),0)</f>
        <v/>
      </c>
      <c r="I56" s="213">
        <f>IFERROR(E56-H56,0)</f>
        <v/>
      </c>
      <c r="J56" s="214">
        <f>IFERROR(I56/E56,0)</f>
        <v/>
      </c>
      <c r="K56" s="37" t="n"/>
      <c r="L56" s="187">
        <f>IFERROR(L55+E56,0)</f>
        <v/>
      </c>
      <c r="M56" s="190">
        <f>IFERROR(M55+H56,0)</f>
        <v/>
      </c>
      <c r="N56" s="215">
        <f>IFERROR(L56-M56,0)</f>
        <v/>
      </c>
      <c r="O56" s="216">
        <f>IFERROR(SUMIF(B8:B56,"&gt;="&amp;(B56-WEEKDAY(B56,2)+1),E8:E56),0)</f>
        <v/>
      </c>
      <c r="P56" s="217">
        <f>IFERROR(SUMIF(B8:B56,"&gt;="&amp;(B56-WEEKDAY(B56,2)+1),H8:H56),0)</f>
        <v/>
      </c>
      <c r="Q56" s="215">
        <f>IFERROR(O56-P56,0)</f>
        <v/>
      </c>
    </row>
    <row r="57" ht="16.5" customHeight="1">
      <c r="B57" s="208" t="n"/>
      <c r="C57" s="41">
        <f>IF(B57="","",TEXT(B57,"DDD"))</f>
        <v/>
      </c>
      <c r="D57" s="42">
        <f>IF(B57="","","Soft App")</f>
        <v/>
      </c>
      <c r="E57" s="218" t="n"/>
      <c r="F57" s="219" t="n"/>
      <c r="G57" s="220">
        <f>IFERROR(E57/F57,0)</f>
        <v/>
      </c>
      <c r="H57" s="221">
        <f>IFERROR(SUMIF('💸 Expenses'!B9:B508,B57,'💸 Expenses'!F9:F508),0)</f>
        <v/>
      </c>
      <c r="I57" s="222">
        <f>IFERROR(E57-H57,0)</f>
        <v/>
      </c>
      <c r="J57" s="223">
        <f>IFERROR(I57/E57,0)</f>
        <v/>
      </c>
      <c r="K57" s="49" t="n"/>
      <c r="L57" s="193">
        <f>IFERROR(L56+E57,0)</f>
        <v/>
      </c>
      <c r="M57" s="196">
        <f>IFERROR(M56+H57,0)</f>
        <v/>
      </c>
      <c r="N57" s="224">
        <f>IFERROR(L57-M57,0)</f>
        <v/>
      </c>
      <c r="O57" s="225">
        <f>IFERROR(SUMIF(B8:B57,"&gt;="&amp;(B57-WEEKDAY(B57,2)+1),E8:E57),0)</f>
        <v/>
      </c>
      <c r="P57" s="226">
        <f>IFERROR(SUMIF(B8:B57,"&gt;="&amp;(B57-WEEKDAY(B57,2)+1),H8:H57),0)</f>
        <v/>
      </c>
      <c r="Q57" s="224">
        <f>IFERROR(O57-P57,0)</f>
        <v/>
      </c>
    </row>
    <row r="58" ht="16.5" customHeight="1">
      <c r="B58" s="208" t="n"/>
      <c r="C58" s="29">
        <f>IF(B58="","",TEXT(B58,"DDD"))</f>
        <v/>
      </c>
      <c r="D58" s="30">
        <f>IF(B58="","","Soft App")</f>
        <v/>
      </c>
      <c r="E58" s="209" t="n"/>
      <c r="F58" s="210" t="n"/>
      <c r="G58" s="211">
        <f>IFERROR(E58/F58,0)</f>
        <v/>
      </c>
      <c r="H58" s="212">
        <f>IFERROR(SUMIF('💸 Expenses'!B9:B508,B58,'💸 Expenses'!F9:F508),0)</f>
        <v/>
      </c>
      <c r="I58" s="213">
        <f>IFERROR(E58-H58,0)</f>
        <v/>
      </c>
      <c r="J58" s="214">
        <f>IFERROR(I58/E58,0)</f>
        <v/>
      </c>
      <c r="K58" s="37" t="n"/>
      <c r="L58" s="187">
        <f>IFERROR(L57+E58,0)</f>
        <v/>
      </c>
      <c r="M58" s="190">
        <f>IFERROR(M57+H58,0)</f>
        <v/>
      </c>
      <c r="N58" s="215">
        <f>IFERROR(L58-M58,0)</f>
        <v/>
      </c>
      <c r="O58" s="216">
        <f>IFERROR(SUMIF(B8:B58,"&gt;="&amp;(B58-WEEKDAY(B58,2)+1),E8:E58),0)</f>
        <v/>
      </c>
      <c r="P58" s="217">
        <f>IFERROR(SUMIF(B8:B58,"&gt;="&amp;(B58-WEEKDAY(B58,2)+1),H8:H58),0)</f>
        <v/>
      </c>
      <c r="Q58" s="215">
        <f>IFERROR(O58-P58,0)</f>
        <v/>
      </c>
    </row>
    <row r="59" ht="16.5" customHeight="1">
      <c r="B59" s="208" t="n"/>
      <c r="C59" s="41">
        <f>IF(B59="","",TEXT(B59,"DDD"))</f>
        <v/>
      </c>
      <c r="D59" s="42">
        <f>IF(B59="","","Soft App")</f>
        <v/>
      </c>
      <c r="E59" s="218" t="n"/>
      <c r="F59" s="219" t="n"/>
      <c r="G59" s="220">
        <f>IFERROR(E59/F59,0)</f>
        <v/>
      </c>
      <c r="H59" s="221">
        <f>IFERROR(SUMIF('💸 Expenses'!B9:B508,B59,'💸 Expenses'!F9:F508),0)</f>
        <v/>
      </c>
      <c r="I59" s="222">
        <f>IFERROR(E59-H59,0)</f>
        <v/>
      </c>
      <c r="J59" s="223">
        <f>IFERROR(I59/E59,0)</f>
        <v/>
      </c>
      <c r="K59" s="49" t="n"/>
      <c r="L59" s="193">
        <f>IFERROR(L58+E59,0)</f>
        <v/>
      </c>
      <c r="M59" s="196">
        <f>IFERROR(M58+H59,0)</f>
        <v/>
      </c>
      <c r="N59" s="224">
        <f>IFERROR(L59-M59,0)</f>
        <v/>
      </c>
      <c r="O59" s="225">
        <f>IFERROR(SUMIF(B8:B59,"&gt;="&amp;(B59-WEEKDAY(B59,2)+1),E8:E59),0)</f>
        <v/>
      </c>
      <c r="P59" s="226">
        <f>IFERROR(SUMIF(B8:B59,"&gt;="&amp;(B59-WEEKDAY(B59,2)+1),H8:H59),0)</f>
        <v/>
      </c>
      <c r="Q59" s="224">
        <f>IFERROR(O59-P59,0)</f>
        <v/>
      </c>
    </row>
    <row r="60" ht="16.5" customHeight="1">
      <c r="B60" s="208" t="n"/>
      <c r="C60" s="29">
        <f>IF(B60="","",TEXT(B60,"DDD"))</f>
        <v/>
      </c>
      <c r="D60" s="30">
        <f>IF(B60="","","Soft App")</f>
        <v/>
      </c>
      <c r="E60" s="209" t="n"/>
      <c r="F60" s="210" t="n"/>
      <c r="G60" s="211">
        <f>IFERROR(E60/F60,0)</f>
        <v/>
      </c>
      <c r="H60" s="212">
        <f>IFERROR(SUMIF('💸 Expenses'!B9:B508,B60,'💸 Expenses'!F9:F508),0)</f>
        <v/>
      </c>
      <c r="I60" s="213">
        <f>IFERROR(E60-H60,0)</f>
        <v/>
      </c>
      <c r="J60" s="214">
        <f>IFERROR(I60/E60,0)</f>
        <v/>
      </c>
      <c r="K60" s="37" t="n"/>
      <c r="L60" s="187">
        <f>IFERROR(L59+E60,0)</f>
        <v/>
      </c>
      <c r="M60" s="190">
        <f>IFERROR(M59+H60,0)</f>
        <v/>
      </c>
      <c r="N60" s="215">
        <f>IFERROR(L60-M60,0)</f>
        <v/>
      </c>
      <c r="O60" s="216">
        <f>IFERROR(SUMIF(B8:B60,"&gt;="&amp;(B60-WEEKDAY(B60,2)+1),E8:E60),0)</f>
        <v/>
      </c>
      <c r="P60" s="217">
        <f>IFERROR(SUMIF(B8:B60,"&gt;="&amp;(B60-WEEKDAY(B60,2)+1),H8:H60),0)</f>
        <v/>
      </c>
      <c r="Q60" s="215">
        <f>IFERROR(O60-P60,0)</f>
        <v/>
      </c>
    </row>
    <row r="61" ht="16.5" customHeight="1">
      <c r="B61" s="208" t="n"/>
      <c r="C61" s="41">
        <f>IF(B61="","",TEXT(B61,"DDD"))</f>
        <v/>
      </c>
      <c r="D61" s="42">
        <f>IF(B61="","","Soft App")</f>
        <v/>
      </c>
      <c r="E61" s="218" t="n"/>
      <c r="F61" s="219" t="n"/>
      <c r="G61" s="220">
        <f>IFERROR(E61/F61,0)</f>
        <v/>
      </c>
      <c r="H61" s="221">
        <f>IFERROR(SUMIF('💸 Expenses'!B9:B508,B61,'💸 Expenses'!F9:F508),0)</f>
        <v/>
      </c>
      <c r="I61" s="222">
        <f>IFERROR(E61-H61,0)</f>
        <v/>
      </c>
      <c r="J61" s="223">
        <f>IFERROR(I61/E61,0)</f>
        <v/>
      </c>
      <c r="K61" s="49" t="n"/>
      <c r="L61" s="193">
        <f>IFERROR(L60+E61,0)</f>
        <v/>
      </c>
      <c r="M61" s="196">
        <f>IFERROR(M60+H61,0)</f>
        <v/>
      </c>
      <c r="N61" s="224">
        <f>IFERROR(L61-M61,0)</f>
        <v/>
      </c>
      <c r="O61" s="225">
        <f>IFERROR(SUMIF(B8:B61,"&gt;="&amp;(B61-WEEKDAY(B61,2)+1),E8:E61),0)</f>
        <v/>
      </c>
      <c r="P61" s="226">
        <f>IFERROR(SUMIF(B8:B61,"&gt;="&amp;(B61-WEEKDAY(B61,2)+1),H8:H61),0)</f>
        <v/>
      </c>
      <c r="Q61" s="224">
        <f>IFERROR(O61-P61,0)</f>
        <v/>
      </c>
    </row>
    <row r="62" ht="16.5" customHeight="1">
      <c r="B62" s="208" t="n"/>
      <c r="C62" s="29">
        <f>IF(B62="","",TEXT(B62,"DDD"))</f>
        <v/>
      </c>
      <c r="D62" s="30">
        <f>IF(B62="","","Soft App")</f>
        <v/>
      </c>
      <c r="E62" s="209" t="n"/>
      <c r="F62" s="210" t="n"/>
      <c r="G62" s="211">
        <f>IFERROR(E62/F62,0)</f>
        <v/>
      </c>
      <c r="H62" s="212">
        <f>IFERROR(SUMIF('💸 Expenses'!B9:B508,B62,'💸 Expenses'!F9:F508),0)</f>
        <v/>
      </c>
      <c r="I62" s="213">
        <f>IFERROR(E62-H62,0)</f>
        <v/>
      </c>
      <c r="J62" s="214">
        <f>IFERROR(I62/E62,0)</f>
        <v/>
      </c>
      <c r="K62" s="37" t="n"/>
      <c r="L62" s="187">
        <f>IFERROR(L61+E62,0)</f>
        <v/>
      </c>
      <c r="M62" s="190">
        <f>IFERROR(M61+H62,0)</f>
        <v/>
      </c>
      <c r="N62" s="215">
        <f>IFERROR(L62-M62,0)</f>
        <v/>
      </c>
      <c r="O62" s="216">
        <f>IFERROR(SUMIF(B8:B62,"&gt;="&amp;(B62-WEEKDAY(B62,2)+1),E8:E62),0)</f>
        <v/>
      </c>
      <c r="P62" s="217">
        <f>IFERROR(SUMIF(B8:B62,"&gt;="&amp;(B62-WEEKDAY(B62,2)+1),H8:H62),0)</f>
        <v/>
      </c>
      <c r="Q62" s="215">
        <f>IFERROR(O62-P62,0)</f>
        <v/>
      </c>
    </row>
    <row r="63" ht="16.5" customHeight="1">
      <c r="B63" s="208" t="n"/>
      <c r="C63" s="41">
        <f>IF(B63="","",TEXT(B63,"DDD"))</f>
        <v/>
      </c>
      <c r="D63" s="42">
        <f>IF(B63="","","Soft App")</f>
        <v/>
      </c>
      <c r="E63" s="218" t="n"/>
      <c r="F63" s="219" t="n"/>
      <c r="G63" s="220">
        <f>IFERROR(E63/F63,0)</f>
        <v/>
      </c>
      <c r="H63" s="221">
        <f>IFERROR(SUMIF('💸 Expenses'!B9:B508,B63,'💸 Expenses'!F9:F508),0)</f>
        <v/>
      </c>
      <c r="I63" s="222">
        <f>IFERROR(E63-H63,0)</f>
        <v/>
      </c>
      <c r="J63" s="223">
        <f>IFERROR(I63/E63,0)</f>
        <v/>
      </c>
      <c r="K63" s="49" t="n"/>
      <c r="L63" s="193">
        <f>IFERROR(L62+E63,0)</f>
        <v/>
      </c>
      <c r="M63" s="196">
        <f>IFERROR(M62+H63,0)</f>
        <v/>
      </c>
      <c r="N63" s="224">
        <f>IFERROR(L63-M63,0)</f>
        <v/>
      </c>
      <c r="O63" s="225">
        <f>IFERROR(SUMIF(B8:B63,"&gt;="&amp;(B63-WEEKDAY(B63,2)+1),E8:E63),0)</f>
        <v/>
      </c>
      <c r="P63" s="226">
        <f>IFERROR(SUMIF(B8:B63,"&gt;="&amp;(B63-WEEKDAY(B63,2)+1),H8:H63),0)</f>
        <v/>
      </c>
      <c r="Q63" s="224">
        <f>IFERROR(O63-P63,0)</f>
        <v/>
      </c>
    </row>
    <row r="64" ht="16.5" customHeight="1">
      <c r="B64" s="208" t="n"/>
      <c r="C64" s="29">
        <f>IF(B64="","",TEXT(B64,"DDD"))</f>
        <v/>
      </c>
      <c r="D64" s="30">
        <f>IF(B64="","","Soft App")</f>
        <v/>
      </c>
      <c r="E64" s="209" t="n"/>
      <c r="F64" s="210" t="n"/>
      <c r="G64" s="211">
        <f>IFERROR(E64/F64,0)</f>
        <v/>
      </c>
      <c r="H64" s="212">
        <f>IFERROR(SUMIF('💸 Expenses'!B9:B508,B64,'💸 Expenses'!F9:F508),0)</f>
        <v/>
      </c>
      <c r="I64" s="213">
        <f>IFERROR(E64-H64,0)</f>
        <v/>
      </c>
      <c r="J64" s="214">
        <f>IFERROR(I64/E64,0)</f>
        <v/>
      </c>
      <c r="K64" s="37" t="n"/>
      <c r="L64" s="187">
        <f>IFERROR(L63+E64,0)</f>
        <v/>
      </c>
      <c r="M64" s="190">
        <f>IFERROR(M63+H64,0)</f>
        <v/>
      </c>
      <c r="N64" s="215">
        <f>IFERROR(L64-M64,0)</f>
        <v/>
      </c>
      <c r="O64" s="216">
        <f>IFERROR(SUMIF(B8:B64,"&gt;="&amp;(B64-WEEKDAY(B64,2)+1),E8:E64),0)</f>
        <v/>
      </c>
      <c r="P64" s="217">
        <f>IFERROR(SUMIF(B8:B64,"&gt;="&amp;(B64-WEEKDAY(B64,2)+1),H8:H64),0)</f>
        <v/>
      </c>
      <c r="Q64" s="215">
        <f>IFERROR(O64-P64,0)</f>
        <v/>
      </c>
    </row>
    <row r="65" ht="16.5" customHeight="1">
      <c r="B65" s="208" t="n"/>
      <c r="C65" s="41">
        <f>IF(B65="","",TEXT(B65,"DDD"))</f>
        <v/>
      </c>
      <c r="D65" s="42">
        <f>IF(B65="","","Soft App")</f>
        <v/>
      </c>
      <c r="E65" s="218" t="n"/>
      <c r="F65" s="219" t="n"/>
      <c r="G65" s="220">
        <f>IFERROR(E65/F65,0)</f>
        <v/>
      </c>
      <c r="H65" s="221">
        <f>IFERROR(SUMIF('💸 Expenses'!B9:B508,B65,'💸 Expenses'!F9:F508),0)</f>
        <v/>
      </c>
      <c r="I65" s="222">
        <f>IFERROR(E65-H65,0)</f>
        <v/>
      </c>
      <c r="J65" s="223">
        <f>IFERROR(I65/E65,0)</f>
        <v/>
      </c>
      <c r="K65" s="49" t="n"/>
      <c r="L65" s="193">
        <f>IFERROR(L64+E65,0)</f>
        <v/>
      </c>
      <c r="M65" s="196">
        <f>IFERROR(M64+H65,0)</f>
        <v/>
      </c>
      <c r="N65" s="224">
        <f>IFERROR(L65-M65,0)</f>
        <v/>
      </c>
      <c r="O65" s="225">
        <f>IFERROR(SUMIF(B8:B65,"&gt;="&amp;(B65-WEEKDAY(B65,2)+1),E8:E65),0)</f>
        <v/>
      </c>
      <c r="P65" s="226">
        <f>IFERROR(SUMIF(B8:B65,"&gt;="&amp;(B65-WEEKDAY(B65,2)+1),H8:H65),0)</f>
        <v/>
      </c>
      <c r="Q65" s="224">
        <f>IFERROR(O65-P65,0)</f>
        <v/>
      </c>
    </row>
    <row r="66" ht="16.5" customHeight="1">
      <c r="B66" s="208" t="n"/>
      <c r="C66" s="29">
        <f>IF(B66="","",TEXT(B66,"DDD"))</f>
        <v/>
      </c>
      <c r="D66" s="30">
        <f>IF(B66="","","Soft App")</f>
        <v/>
      </c>
      <c r="E66" s="209" t="n"/>
      <c r="F66" s="210" t="n"/>
      <c r="G66" s="211">
        <f>IFERROR(E66/F66,0)</f>
        <v/>
      </c>
      <c r="H66" s="212">
        <f>IFERROR(SUMIF('💸 Expenses'!B9:B508,B66,'💸 Expenses'!F9:F508),0)</f>
        <v/>
      </c>
      <c r="I66" s="213">
        <f>IFERROR(E66-H66,0)</f>
        <v/>
      </c>
      <c r="J66" s="214">
        <f>IFERROR(I66/E66,0)</f>
        <v/>
      </c>
      <c r="K66" s="37" t="n"/>
      <c r="L66" s="187">
        <f>IFERROR(L65+E66,0)</f>
        <v/>
      </c>
      <c r="M66" s="190">
        <f>IFERROR(M65+H66,0)</f>
        <v/>
      </c>
      <c r="N66" s="215">
        <f>IFERROR(L66-M66,0)</f>
        <v/>
      </c>
      <c r="O66" s="216">
        <f>IFERROR(SUMIF(B8:B66,"&gt;="&amp;(B66-WEEKDAY(B66,2)+1),E8:E66),0)</f>
        <v/>
      </c>
      <c r="P66" s="217">
        <f>IFERROR(SUMIF(B8:B66,"&gt;="&amp;(B66-WEEKDAY(B66,2)+1),H8:H66),0)</f>
        <v/>
      </c>
      <c r="Q66" s="215">
        <f>IFERROR(O66-P66,0)</f>
        <v/>
      </c>
    </row>
    <row r="67" ht="16.5" customHeight="1">
      <c r="B67" s="208" t="n"/>
      <c r="C67" s="41">
        <f>IF(B67="","",TEXT(B67,"DDD"))</f>
        <v/>
      </c>
      <c r="D67" s="42">
        <f>IF(B67="","","Soft App")</f>
        <v/>
      </c>
      <c r="E67" s="218" t="n"/>
      <c r="F67" s="219" t="n"/>
      <c r="G67" s="220">
        <f>IFERROR(E67/F67,0)</f>
        <v/>
      </c>
      <c r="H67" s="221">
        <f>IFERROR(SUMIF('💸 Expenses'!B9:B508,B67,'💸 Expenses'!F9:F508),0)</f>
        <v/>
      </c>
      <c r="I67" s="222">
        <f>IFERROR(E67-H67,0)</f>
        <v/>
      </c>
      <c r="J67" s="223">
        <f>IFERROR(I67/E67,0)</f>
        <v/>
      </c>
      <c r="K67" s="49" t="n"/>
      <c r="L67" s="193">
        <f>IFERROR(L66+E67,0)</f>
        <v/>
      </c>
      <c r="M67" s="196">
        <f>IFERROR(M66+H67,0)</f>
        <v/>
      </c>
      <c r="N67" s="224">
        <f>IFERROR(L67-M67,0)</f>
        <v/>
      </c>
      <c r="O67" s="225">
        <f>IFERROR(SUMIF(B8:B67,"&gt;="&amp;(B67-WEEKDAY(B67,2)+1),E8:E67),0)</f>
        <v/>
      </c>
      <c r="P67" s="226">
        <f>IFERROR(SUMIF(B8:B67,"&gt;="&amp;(B67-WEEKDAY(B67,2)+1),H8:H67),0)</f>
        <v/>
      </c>
      <c r="Q67" s="224">
        <f>IFERROR(O67-P67,0)</f>
        <v/>
      </c>
    </row>
    <row r="68" ht="16.5" customHeight="1">
      <c r="B68" s="208" t="n"/>
      <c r="C68" s="29">
        <f>IF(B68="","",TEXT(B68,"DDD"))</f>
        <v/>
      </c>
      <c r="D68" s="30">
        <f>IF(B68="","","Soft App")</f>
        <v/>
      </c>
      <c r="E68" s="209" t="n"/>
      <c r="F68" s="210" t="n"/>
      <c r="G68" s="211">
        <f>IFERROR(E68/F68,0)</f>
        <v/>
      </c>
      <c r="H68" s="212">
        <f>IFERROR(SUMIF('💸 Expenses'!B9:B508,B68,'💸 Expenses'!F9:F508),0)</f>
        <v/>
      </c>
      <c r="I68" s="213">
        <f>IFERROR(E68-H68,0)</f>
        <v/>
      </c>
      <c r="J68" s="214">
        <f>IFERROR(I68/E68,0)</f>
        <v/>
      </c>
      <c r="K68" s="37" t="n"/>
      <c r="L68" s="187">
        <f>IFERROR(L67+E68,0)</f>
        <v/>
      </c>
      <c r="M68" s="190">
        <f>IFERROR(M67+H68,0)</f>
        <v/>
      </c>
      <c r="N68" s="215">
        <f>IFERROR(L68-M68,0)</f>
        <v/>
      </c>
      <c r="O68" s="216">
        <f>IFERROR(SUMIF(B8:B68,"&gt;="&amp;(B68-WEEKDAY(B68,2)+1),E8:E68),0)</f>
        <v/>
      </c>
      <c r="P68" s="217">
        <f>IFERROR(SUMIF(B8:B68,"&gt;="&amp;(B68-WEEKDAY(B68,2)+1),H8:H68),0)</f>
        <v/>
      </c>
      <c r="Q68" s="215">
        <f>IFERROR(O68-P68,0)</f>
        <v/>
      </c>
    </row>
    <row r="69" ht="16.5" customHeight="1">
      <c r="B69" s="208" t="n"/>
      <c r="C69" s="41">
        <f>IF(B69="","",TEXT(B69,"DDD"))</f>
        <v/>
      </c>
      <c r="D69" s="42">
        <f>IF(B69="","","Soft App")</f>
        <v/>
      </c>
      <c r="E69" s="218" t="n"/>
      <c r="F69" s="219" t="n"/>
      <c r="G69" s="220">
        <f>IFERROR(E69/F69,0)</f>
        <v/>
      </c>
      <c r="H69" s="221">
        <f>IFERROR(SUMIF('💸 Expenses'!B9:B508,B69,'💸 Expenses'!F9:F508),0)</f>
        <v/>
      </c>
      <c r="I69" s="222">
        <f>IFERROR(E69-H69,0)</f>
        <v/>
      </c>
      <c r="J69" s="223">
        <f>IFERROR(I69/E69,0)</f>
        <v/>
      </c>
      <c r="K69" s="49" t="n"/>
      <c r="L69" s="193">
        <f>IFERROR(L68+E69,0)</f>
        <v/>
      </c>
      <c r="M69" s="196">
        <f>IFERROR(M68+H69,0)</f>
        <v/>
      </c>
      <c r="N69" s="224">
        <f>IFERROR(L69-M69,0)</f>
        <v/>
      </c>
      <c r="O69" s="225">
        <f>IFERROR(SUMIF(B8:B69,"&gt;="&amp;(B69-WEEKDAY(B69,2)+1),E8:E69),0)</f>
        <v/>
      </c>
      <c r="P69" s="226">
        <f>IFERROR(SUMIF(B8:B69,"&gt;="&amp;(B69-WEEKDAY(B69,2)+1),H8:H69),0)</f>
        <v/>
      </c>
      <c r="Q69" s="224">
        <f>IFERROR(O69-P69,0)</f>
        <v/>
      </c>
    </row>
    <row r="70" ht="16.5" customHeight="1">
      <c r="B70" s="208" t="n"/>
      <c r="C70" s="29">
        <f>IF(B70="","",TEXT(B70,"DDD"))</f>
        <v/>
      </c>
      <c r="D70" s="30">
        <f>IF(B70="","","Soft App")</f>
        <v/>
      </c>
      <c r="E70" s="209" t="n"/>
      <c r="F70" s="210" t="n"/>
      <c r="G70" s="211">
        <f>IFERROR(E70/F70,0)</f>
        <v/>
      </c>
      <c r="H70" s="212">
        <f>IFERROR(SUMIF('💸 Expenses'!B9:B508,B70,'💸 Expenses'!F9:F508),0)</f>
        <v/>
      </c>
      <c r="I70" s="213">
        <f>IFERROR(E70-H70,0)</f>
        <v/>
      </c>
      <c r="J70" s="214">
        <f>IFERROR(I70/E70,0)</f>
        <v/>
      </c>
      <c r="K70" s="37" t="n"/>
      <c r="L70" s="187">
        <f>IFERROR(L69+E70,0)</f>
        <v/>
      </c>
      <c r="M70" s="190">
        <f>IFERROR(M69+H70,0)</f>
        <v/>
      </c>
      <c r="N70" s="215">
        <f>IFERROR(L70-M70,0)</f>
        <v/>
      </c>
      <c r="O70" s="216">
        <f>IFERROR(SUMIF(B8:B70,"&gt;="&amp;(B70-WEEKDAY(B70,2)+1),E8:E70),0)</f>
        <v/>
      </c>
      <c r="P70" s="217">
        <f>IFERROR(SUMIF(B8:B70,"&gt;="&amp;(B70-WEEKDAY(B70,2)+1),H8:H70),0)</f>
        <v/>
      </c>
      <c r="Q70" s="215">
        <f>IFERROR(O70-P70,0)</f>
        <v/>
      </c>
    </row>
    <row r="71" ht="16.5" customHeight="1">
      <c r="B71" s="208" t="n"/>
      <c r="C71" s="41">
        <f>IF(B71="","",TEXT(B71,"DDD"))</f>
        <v/>
      </c>
      <c r="D71" s="42">
        <f>IF(B71="","","Soft App")</f>
        <v/>
      </c>
      <c r="E71" s="218" t="n"/>
      <c r="F71" s="219" t="n"/>
      <c r="G71" s="220">
        <f>IFERROR(E71/F71,0)</f>
        <v/>
      </c>
      <c r="H71" s="221">
        <f>IFERROR(SUMIF('💸 Expenses'!B9:B508,B71,'💸 Expenses'!F9:F508),0)</f>
        <v/>
      </c>
      <c r="I71" s="222">
        <f>IFERROR(E71-H71,0)</f>
        <v/>
      </c>
      <c r="J71" s="223">
        <f>IFERROR(I71/E71,0)</f>
        <v/>
      </c>
      <c r="K71" s="49" t="n"/>
      <c r="L71" s="193">
        <f>IFERROR(L70+E71,0)</f>
        <v/>
      </c>
      <c r="M71" s="196">
        <f>IFERROR(M70+H71,0)</f>
        <v/>
      </c>
      <c r="N71" s="224">
        <f>IFERROR(L71-M71,0)</f>
        <v/>
      </c>
      <c r="O71" s="225">
        <f>IFERROR(SUMIF(B8:B71,"&gt;="&amp;(B71-WEEKDAY(B71,2)+1),E8:E71),0)</f>
        <v/>
      </c>
      <c r="P71" s="226">
        <f>IFERROR(SUMIF(B8:B71,"&gt;="&amp;(B71-WEEKDAY(B71,2)+1),H8:H71),0)</f>
        <v/>
      </c>
      <c r="Q71" s="224">
        <f>IFERROR(O71-P71,0)</f>
        <v/>
      </c>
    </row>
    <row r="72" ht="16.5" customHeight="1">
      <c r="B72" s="208" t="n"/>
      <c r="C72" s="29">
        <f>IF(B72="","",TEXT(B72,"DDD"))</f>
        <v/>
      </c>
      <c r="D72" s="30">
        <f>IF(B72="","","Soft App")</f>
        <v/>
      </c>
      <c r="E72" s="209" t="n"/>
      <c r="F72" s="210" t="n"/>
      <c r="G72" s="211">
        <f>IFERROR(E72/F72,0)</f>
        <v/>
      </c>
      <c r="H72" s="212">
        <f>IFERROR(SUMIF('💸 Expenses'!B9:B508,B72,'💸 Expenses'!F9:F508),0)</f>
        <v/>
      </c>
      <c r="I72" s="213">
        <f>IFERROR(E72-H72,0)</f>
        <v/>
      </c>
      <c r="J72" s="214">
        <f>IFERROR(I72/E72,0)</f>
        <v/>
      </c>
      <c r="K72" s="37" t="n"/>
      <c r="L72" s="187">
        <f>IFERROR(L71+E72,0)</f>
        <v/>
      </c>
      <c r="M72" s="190">
        <f>IFERROR(M71+H72,0)</f>
        <v/>
      </c>
      <c r="N72" s="215">
        <f>IFERROR(L72-M72,0)</f>
        <v/>
      </c>
      <c r="O72" s="216">
        <f>IFERROR(SUMIF(B8:B72,"&gt;="&amp;(B72-WEEKDAY(B72,2)+1),E8:E72),0)</f>
        <v/>
      </c>
      <c r="P72" s="217">
        <f>IFERROR(SUMIF(B8:B72,"&gt;="&amp;(B72-WEEKDAY(B72,2)+1),H8:H72),0)</f>
        <v/>
      </c>
      <c r="Q72" s="215">
        <f>IFERROR(O72-P72,0)</f>
        <v/>
      </c>
    </row>
    <row r="73" ht="16.5" customHeight="1">
      <c r="B73" s="208" t="n"/>
      <c r="C73" s="41">
        <f>IF(B73="","",TEXT(B73,"DDD"))</f>
        <v/>
      </c>
      <c r="D73" s="42">
        <f>IF(B73="","","Soft App")</f>
        <v/>
      </c>
      <c r="E73" s="218" t="n"/>
      <c r="F73" s="219" t="n"/>
      <c r="G73" s="220">
        <f>IFERROR(E73/F73,0)</f>
        <v/>
      </c>
      <c r="H73" s="221">
        <f>IFERROR(SUMIF('💸 Expenses'!B9:B508,B73,'💸 Expenses'!F9:F508),0)</f>
        <v/>
      </c>
      <c r="I73" s="222">
        <f>IFERROR(E73-H73,0)</f>
        <v/>
      </c>
      <c r="J73" s="223">
        <f>IFERROR(I73/E73,0)</f>
        <v/>
      </c>
      <c r="K73" s="49" t="n"/>
      <c r="L73" s="193">
        <f>IFERROR(L72+E73,0)</f>
        <v/>
      </c>
      <c r="M73" s="196">
        <f>IFERROR(M72+H73,0)</f>
        <v/>
      </c>
      <c r="N73" s="224">
        <f>IFERROR(L73-M73,0)</f>
        <v/>
      </c>
      <c r="O73" s="225">
        <f>IFERROR(SUMIF(B8:B73,"&gt;="&amp;(B73-WEEKDAY(B73,2)+1),E8:E73),0)</f>
        <v/>
      </c>
      <c r="P73" s="226">
        <f>IFERROR(SUMIF(B8:B73,"&gt;="&amp;(B73-WEEKDAY(B73,2)+1),H8:H73),0)</f>
        <v/>
      </c>
      <c r="Q73" s="224">
        <f>IFERROR(O73-P73,0)</f>
        <v/>
      </c>
    </row>
    <row r="74" ht="16.5" customHeight="1">
      <c r="B74" s="208" t="n"/>
      <c r="C74" s="29">
        <f>IF(B74="","",TEXT(B74,"DDD"))</f>
        <v/>
      </c>
      <c r="D74" s="30">
        <f>IF(B74="","","Soft App")</f>
        <v/>
      </c>
      <c r="E74" s="209" t="n"/>
      <c r="F74" s="210" t="n"/>
      <c r="G74" s="211">
        <f>IFERROR(E74/F74,0)</f>
        <v/>
      </c>
      <c r="H74" s="212">
        <f>IFERROR(SUMIF('💸 Expenses'!B9:B508,B74,'💸 Expenses'!F9:F508),0)</f>
        <v/>
      </c>
      <c r="I74" s="213">
        <f>IFERROR(E74-H74,0)</f>
        <v/>
      </c>
      <c r="J74" s="214">
        <f>IFERROR(I74/E74,0)</f>
        <v/>
      </c>
      <c r="K74" s="37" t="n"/>
      <c r="L74" s="187">
        <f>IFERROR(L73+E74,0)</f>
        <v/>
      </c>
      <c r="M74" s="190">
        <f>IFERROR(M73+H74,0)</f>
        <v/>
      </c>
      <c r="N74" s="215">
        <f>IFERROR(L74-M74,0)</f>
        <v/>
      </c>
      <c r="O74" s="216">
        <f>IFERROR(SUMIF(B8:B74,"&gt;="&amp;(B74-WEEKDAY(B74,2)+1),E8:E74),0)</f>
        <v/>
      </c>
      <c r="P74" s="217">
        <f>IFERROR(SUMIF(B8:B74,"&gt;="&amp;(B74-WEEKDAY(B74,2)+1),H8:H74),0)</f>
        <v/>
      </c>
      <c r="Q74" s="215">
        <f>IFERROR(O74-P74,0)</f>
        <v/>
      </c>
    </row>
    <row r="75" ht="16.5" customHeight="1">
      <c r="B75" s="208" t="n"/>
      <c r="C75" s="41">
        <f>IF(B75="","",TEXT(B75,"DDD"))</f>
        <v/>
      </c>
      <c r="D75" s="42">
        <f>IF(B75="","","Soft App")</f>
        <v/>
      </c>
      <c r="E75" s="218" t="n"/>
      <c r="F75" s="219" t="n"/>
      <c r="G75" s="220">
        <f>IFERROR(E75/F75,0)</f>
        <v/>
      </c>
      <c r="H75" s="221">
        <f>IFERROR(SUMIF('💸 Expenses'!B9:B508,B75,'💸 Expenses'!F9:F508),0)</f>
        <v/>
      </c>
      <c r="I75" s="222">
        <f>IFERROR(E75-H75,0)</f>
        <v/>
      </c>
      <c r="J75" s="223">
        <f>IFERROR(I75/E75,0)</f>
        <v/>
      </c>
      <c r="K75" s="49" t="n"/>
      <c r="L75" s="193">
        <f>IFERROR(L74+E75,0)</f>
        <v/>
      </c>
      <c r="M75" s="196">
        <f>IFERROR(M74+H75,0)</f>
        <v/>
      </c>
      <c r="N75" s="224">
        <f>IFERROR(L75-M75,0)</f>
        <v/>
      </c>
      <c r="O75" s="225">
        <f>IFERROR(SUMIF(B8:B75,"&gt;="&amp;(B75-WEEKDAY(B75,2)+1),E8:E75),0)</f>
        <v/>
      </c>
      <c r="P75" s="226">
        <f>IFERROR(SUMIF(B8:B75,"&gt;="&amp;(B75-WEEKDAY(B75,2)+1),H8:H75),0)</f>
        <v/>
      </c>
      <c r="Q75" s="224">
        <f>IFERROR(O75-P75,0)</f>
        <v/>
      </c>
    </row>
    <row r="76" ht="16.5" customHeight="1">
      <c r="B76" s="208" t="n"/>
      <c r="C76" s="29">
        <f>IF(B76="","",TEXT(B76,"DDD"))</f>
        <v/>
      </c>
      <c r="D76" s="30">
        <f>IF(B76="","","Soft App")</f>
        <v/>
      </c>
      <c r="E76" s="209" t="n"/>
      <c r="F76" s="210" t="n"/>
      <c r="G76" s="211">
        <f>IFERROR(E76/F76,0)</f>
        <v/>
      </c>
      <c r="H76" s="212">
        <f>IFERROR(SUMIF('💸 Expenses'!B9:B508,B76,'💸 Expenses'!F9:F508),0)</f>
        <v/>
      </c>
      <c r="I76" s="213">
        <f>IFERROR(E76-H76,0)</f>
        <v/>
      </c>
      <c r="J76" s="214">
        <f>IFERROR(I76/E76,0)</f>
        <v/>
      </c>
      <c r="K76" s="37" t="n"/>
      <c r="L76" s="187">
        <f>IFERROR(L75+E76,0)</f>
        <v/>
      </c>
      <c r="M76" s="190">
        <f>IFERROR(M75+H76,0)</f>
        <v/>
      </c>
      <c r="N76" s="215">
        <f>IFERROR(L76-M76,0)</f>
        <v/>
      </c>
      <c r="O76" s="216">
        <f>IFERROR(SUMIF(B8:B76,"&gt;="&amp;(B76-WEEKDAY(B76,2)+1),E8:E76),0)</f>
        <v/>
      </c>
      <c r="P76" s="217">
        <f>IFERROR(SUMIF(B8:B76,"&gt;="&amp;(B76-WEEKDAY(B76,2)+1),H8:H76),0)</f>
        <v/>
      </c>
      <c r="Q76" s="215">
        <f>IFERROR(O76-P76,0)</f>
        <v/>
      </c>
    </row>
    <row r="77" ht="16.5" customHeight="1">
      <c r="B77" s="208" t="n"/>
      <c r="C77" s="41">
        <f>IF(B77="","",TEXT(B77,"DDD"))</f>
        <v/>
      </c>
      <c r="D77" s="42">
        <f>IF(B77="","","Soft App")</f>
        <v/>
      </c>
      <c r="E77" s="218" t="n"/>
      <c r="F77" s="219" t="n"/>
      <c r="G77" s="220">
        <f>IFERROR(E77/F77,0)</f>
        <v/>
      </c>
      <c r="H77" s="221">
        <f>IFERROR(SUMIF('💸 Expenses'!B9:B508,B77,'💸 Expenses'!F9:F508),0)</f>
        <v/>
      </c>
      <c r="I77" s="222">
        <f>IFERROR(E77-H77,0)</f>
        <v/>
      </c>
      <c r="J77" s="223">
        <f>IFERROR(I77/E77,0)</f>
        <v/>
      </c>
      <c r="K77" s="49" t="n"/>
      <c r="L77" s="193">
        <f>IFERROR(L76+E77,0)</f>
        <v/>
      </c>
      <c r="M77" s="196">
        <f>IFERROR(M76+H77,0)</f>
        <v/>
      </c>
      <c r="N77" s="224">
        <f>IFERROR(L77-M77,0)</f>
        <v/>
      </c>
      <c r="O77" s="225">
        <f>IFERROR(SUMIF(B8:B77,"&gt;="&amp;(B77-WEEKDAY(B77,2)+1),E8:E77),0)</f>
        <v/>
      </c>
      <c r="P77" s="226">
        <f>IFERROR(SUMIF(B8:B77,"&gt;="&amp;(B77-WEEKDAY(B77,2)+1),H8:H77),0)</f>
        <v/>
      </c>
      <c r="Q77" s="224">
        <f>IFERROR(O77-P77,0)</f>
        <v/>
      </c>
    </row>
    <row r="78" ht="16.5" customHeight="1">
      <c r="B78" s="208" t="n"/>
      <c r="C78" s="29">
        <f>IF(B78="","",TEXT(B78,"DDD"))</f>
        <v/>
      </c>
      <c r="D78" s="30">
        <f>IF(B78="","","Soft App")</f>
        <v/>
      </c>
      <c r="E78" s="209" t="n"/>
      <c r="F78" s="210" t="n"/>
      <c r="G78" s="211">
        <f>IFERROR(E78/F78,0)</f>
        <v/>
      </c>
      <c r="H78" s="212">
        <f>IFERROR(SUMIF('💸 Expenses'!B9:B508,B78,'💸 Expenses'!F9:F508),0)</f>
        <v/>
      </c>
      <c r="I78" s="213">
        <f>IFERROR(E78-H78,0)</f>
        <v/>
      </c>
      <c r="J78" s="214">
        <f>IFERROR(I78/E78,0)</f>
        <v/>
      </c>
      <c r="K78" s="37" t="n"/>
      <c r="L78" s="187">
        <f>IFERROR(L77+E78,0)</f>
        <v/>
      </c>
      <c r="M78" s="190">
        <f>IFERROR(M77+H78,0)</f>
        <v/>
      </c>
      <c r="N78" s="215">
        <f>IFERROR(L78-M78,0)</f>
        <v/>
      </c>
      <c r="O78" s="216">
        <f>IFERROR(SUMIF(B8:B78,"&gt;="&amp;(B78-WEEKDAY(B78,2)+1),E8:E78),0)</f>
        <v/>
      </c>
      <c r="P78" s="217">
        <f>IFERROR(SUMIF(B8:B78,"&gt;="&amp;(B78-WEEKDAY(B78,2)+1),H8:H78),0)</f>
        <v/>
      </c>
      <c r="Q78" s="215">
        <f>IFERROR(O78-P78,0)</f>
        <v/>
      </c>
    </row>
    <row r="79" ht="16.5" customHeight="1">
      <c r="B79" s="208" t="n"/>
      <c r="C79" s="41">
        <f>IF(B79="","",TEXT(B79,"DDD"))</f>
        <v/>
      </c>
      <c r="D79" s="42">
        <f>IF(B79="","","Soft App")</f>
        <v/>
      </c>
      <c r="E79" s="218" t="n"/>
      <c r="F79" s="219" t="n"/>
      <c r="G79" s="220">
        <f>IFERROR(E79/F79,0)</f>
        <v/>
      </c>
      <c r="H79" s="221">
        <f>IFERROR(SUMIF('💸 Expenses'!B9:B508,B79,'💸 Expenses'!F9:F508),0)</f>
        <v/>
      </c>
      <c r="I79" s="222">
        <f>IFERROR(E79-H79,0)</f>
        <v/>
      </c>
      <c r="J79" s="223">
        <f>IFERROR(I79/E79,0)</f>
        <v/>
      </c>
      <c r="K79" s="49" t="n"/>
      <c r="L79" s="193">
        <f>IFERROR(L78+E79,0)</f>
        <v/>
      </c>
      <c r="M79" s="196">
        <f>IFERROR(M78+H79,0)</f>
        <v/>
      </c>
      <c r="N79" s="224">
        <f>IFERROR(L79-M79,0)</f>
        <v/>
      </c>
      <c r="O79" s="225">
        <f>IFERROR(SUMIF(B8:B79,"&gt;="&amp;(B79-WEEKDAY(B79,2)+1),E8:E79),0)</f>
        <v/>
      </c>
      <c r="P79" s="226">
        <f>IFERROR(SUMIF(B8:B79,"&gt;="&amp;(B79-WEEKDAY(B79,2)+1),H8:H79),0)</f>
        <v/>
      </c>
      <c r="Q79" s="224">
        <f>IFERROR(O79-P79,0)</f>
        <v/>
      </c>
    </row>
    <row r="80" ht="16.5" customHeight="1">
      <c r="B80" s="208" t="n"/>
      <c r="C80" s="29">
        <f>IF(B80="","",TEXT(B80,"DDD"))</f>
        <v/>
      </c>
      <c r="D80" s="30">
        <f>IF(B80="","","Soft App")</f>
        <v/>
      </c>
      <c r="E80" s="209" t="n"/>
      <c r="F80" s="210" t="n"/>
      <c r="G80" s="211">
        <f>IFERROR(E80/F80,0)</f>
        <v/>
      </c>
      <c r="H80" s="212">
        <f>IFERROR(SUMIF('💸 Expenses'!B9:B508,B80,'💸 Expenses'!F9:F508),0)</f>
        <v/>
      </c>
      <c r="I80" s="213">
        <f>IFERROR(E80-H80,0)</f>
        <v/>
      </c>
      <c r="J80" s="214">
        <f>IFERROR(I80/E80,0)</f>
        <v/>
      </c>
      <c r="K80" s="37" t="n"/>
      <c r="L80" s="187">
        <f>IFERROR(L79+E80,0)</f>
        <v/>
      </c>
      <c r="M80" s="190">
        <f>IFERROR(M79+H80,0)</f>
        <v/>
      </c>
      <c r="N80" s="215">
        <f>IFERROR(L80-M80,0)</f>
        <v/>
      </c>
      <c r="O80" s="216">
        <f>IFERROR(SUMIF(B8:B80,"&gt;="&amp;(B80-WEEKDAY(B80,2)+1),E8:E80),0)</f>
        <v/>
      </c>
      <c r="P80" s="217">
        <f>IFERROR(SUMIF(B8:B80,"&gt;="&amp;(B80-WEEKDAY(B80,2)+1),H8:H80),0)</f>
        <v/>
      </c>
      <c r="Q80" s="215">
        <f>IFERROR(O80-P80,0)</f>
        <v/>
      </c>
    </row>
    <row r="81" ht="16.5" customHeight="1">
      <c r="B81" s="208" t="n"/>
      <c r="C81" s="41">
        <f>IF(B81="","",TEXT(B81,"DDD"))</f>
        <v/>
      </c>
      <c r="D81" s="42">
        <f>IF(B81="","","Soft App")</f>
        <v/>
      </c>
      <c r="E81" s="218" t="n"/>
      <c r="F81" s="219" t="n"/>
      <c r="G81" s="220">
        <f>IFERROR(E81/F81,0)</f>
        <v/>
      </c>
      <c r="H81" s="221">
        <f>IFERROR(SUMIF('💸 Expenses'!B9:B508,B81,'💸 Expenses'!F9:F508),0)</f>
        <v/>
      </c>
      <c r="I81" s="222">
        <f>IFERROR(E81-H81,0)</f>
        <v/>
      </c>
      <c r="J81" s="223">
        <f>IFERROR(I81/E81,0)</f>
        <v/>
      </c>
      <c r="K81" s="49" t="n"/>
      <c r="L81" s="193">
        <f>IFERROR(L80+E81,0)</f>
        <v/>
      </c>
      <c r="M81" s="196">
        <f>IFERROR(M80+H81,0)</f>
        <v/>
      </c>
      <c r="N81" s="224">
        <f>IFERROR(L81-M81,0)</f>
        <v/>
      </c>
      <c r="O81" s="225">
        <f>IFERROR(SUMIF(B8:B81,"&gt;="&amp;(B81-WEEKDAY(B81,2)+1),E8:E81),0)</f>
        <v/>
      </c>
      <c r="P81" s="226">
        <f>IFERROR(SUMIF(B8:B81,"&gt;="&amp;(B81-WEEKDAY(B81,2)+1),H8:H81),0)</f>
        <v/>
      </c>
      <c r="Q81" s="224">
        <f>IFERROR(O81-P81,0)</f>
        <v/>
      </c>
    </row>
    <row r="82" ht="16.5" customHeight="1">
      <c r="B82" s="208" t="n"/>
      <c r="C82" s="29">
        <f>IF(B82="","",TEXT(B82,"DDD"))</f>
        <v/>
      </c>
      <c r="D82" s="30">
        <f>IF(B82="","","Soft App")</f>
        <v/>
      </c>
      <c r="E82" s="209" t="n"/>
      <c r="F82" s="210" t="n"/>
      <c r="G82" s="211">
        <f>IFERROR(E82/F82,0)</f>
        <v/>
      </c>
      <c r="H82" s="212">
        <f>IFERROR(SUMIF('💸 Expenses'!B9:B508,B82,'💸 Expenses'!F9:F508),0)</f>
        <v/>
      </c>
      <c r="I82" s="213">
        <f>IFERROR(E82-H82,0)</f>
        <v/>
      </c>
      <c r="J82" s="214">
        <f>IFERROR(I82/E82,0)</f>
        <v/>
      </c>
      <c r="K82" s="37" t="n"/>
      <c r="L82" s="187">
        <f>IFERROR(L81+E82,0)</f>
        <v/>
      </c>
      <c r="M82" s="190">
        <f>IFERROR(M81+H82,0)</f>
        <v/>
      </c>
      <c r="N82" s="215">
        <f>IFERROR(L82-M82,0)</f>
        <v/>
      </c>
      <c r="O82" s="216">
        <f>IFERROR(SUMIF(B8:B82,"&gt;="&amp;(B82-WEEKDAY(B82,2)+1),E8:E82),0)</f>
        <v/>
      </c>
      <c r="P82" s="217">
        <f>IFERROR(SUMIF(B8:B82,"&gt;="&amp;(B82-WEEKDAY(B82,2)+1),H8:H82),0)</f>
        <v/>
      </c>
      <c r="Q82" s="215">
        <f>IFERROR(O82-P82,0)</f>
        <v/>
      </c>
    </row>
    <row r="83" ht="16.5" customHeight="1">
      <c r="B83" s="208" t="n"/>
      <c r="C83" s="41">
        <f>IF(B83="","",TEXT(B83,"DDD"))</f>
        <v/>
      </c>
      <c r="D83" s="42">
        <f>IF(B83="","","Soft App")</f>
        <v/>
      </c>
      <c r="E83" s="218" t="n"/>
      <c r="F83" s="219" t="n"/>
      <c r="G83" s="220">
        <f>IFERROR(E83/F83,0)</f>
        <v/>
      </c>
      <c r="H83" s="221">
        <f>IFERROR(SUMIF('💸 Expenses'!B9:B508,B83,'💸 Expenses'!F9:F508),0)</f>
        <v/>
      </c>
      <c r="I83" s="222">
        <f>IFERROR(E83-H83,0)</f>
        <v/>
      </c>
      <c r="J83" s="223">
        <f>IFERROR(I83/E83,0)</f>
        <v/>
      </c>
      <c r="K83" s="49" t="n"/>
      <c r="L83" s="193">
        <f>IFERROR(L82+E83,0)</f>
        <v/>
      </c>
      <c r="M83" s="196">
        <f>IFERROR(M82+H83,0)</f>
        <v/>
      </c>
      <c r="N83" s="224">
        <f>IFERROR(L83-M83,0)</f>
        <v/>
      </c>
      <c r="O83" s="225">
        <f>IFERROR(SUMIF(B8:B83,"&gt;="&amp;(B83-WEEKDAY(B83,2)+1),E8:E83),0)</f>
        <v/>
      </c>
      <c r="P83" s="226">
        <f>IFERROR(SUMIF(B8:B83,"&gt;="&amp;(B83-WEEKDAY(B83,2)+1),H8:H83),0)</f>
        <v/>
      </c>
      <c r="Q83" s="224">
        <f>IFERROR(O83-P83,0)</f>
        <v/>
      </c>
    </row>
    <row r="84" ht="16.5" customHeight="1">
      <c r="B84" s="208" t="n"/>
      <c r="C84" s="29">
        <f>IF(B84="","",TEXT(B84,"DDD"))</f>
        <v/>
      </c>
      <c r="D84" s="30">
        <f>IF(B84="","","Soft App")</f>
        <v/>
      </c>
      <c r="E84" s="209" t="n"/>
      <c r="F84" s="210" t="n"/>
      <c r="G84" s="211">
        <f>IFERROR(E84/F84,0)</f>
        <v/>
      </c>
      <c r="H84" s="212">
        <f>IFERROR(SUMIF('💸 Expenses'!B9:B508,B84,'💸 Expenses'!F9:F508),0)</f>
        <v/>
      </c>
      <c r="I84" s="213">
        <f>IFERROR(E84-H84,0)</f>
        <v/>
      </c>
      <c r="J84" s="214">
        <f>IFERROR(I84/E84,0)</f>
        <v/>
      </c>
      <c r="K84" s="37" t="n"/>
      <c r="L84" s="187">
        <f>IFERROR(L83+E84,0)</f>
        <v/>
      </c>
      <c r="M84" s="190">
        <f>IFERROR(M83+H84,0)</f>
        <v/>
      </c>
      <c r="N84" s="215">
        <f>IFERROR(L84-M84,0)</f>
        <v/>
      </c>
      <c r="O84" s="216">
        <f>IFERROR(SUMIF(B8:B84,"&gt;="&amp;(B84-WEEKDAY(B84,2)+1),E8:E84),0)</f>
        <v/>
      </c>
      <c r="P84" s="217">
        <f>IFERROR(SUMIF(B8:B84,"&gt;="&amp;(B84-WEEKDAY(B84,2)+1),H8:H84),0)</f>
        <v/>
      </c>
      <c r="Q84" s="215">
        <f>IFERROR(O84-P84,0)</f>
        <v/>
      </c>
    </row>
    <row r="85" ht="16.5" customHeight="1">
      <c r="B85" s="208" t="n"/>
      <c r="C85" s="41">
        <f>IF(B85="","",TEXT(B85,"DDD"))</f>
        <v/>
      </c>
      <c r="D85" s="42">
        <f>IF(B85="","","Soft App")</f>
        <v/>
      </c>
      <c r="E85" s="218" t="n"/>
      <c r="F85" s="219" t="n"/>
      <c r="G85" s="220">
        <f>IFERROR(E85/F85,0)</f>
        <v/>
      </c>
      <c r="H85" s="221">
        <f>IFERROR(SUMIF('💸 Expenses'!B9:B508,B85,'💸 Expenses'!F9:F508),0)</f>
        <v/>
      </c>
      <c r="I85" s="222">
        <f>IFERROR(E85-H85,0)</f>
        <v/>
      </c>
      <c r="J85" s="223">
        <f>IFERROR(I85/E85,0)</f>
        <v/>
      </c>
      <c r="K85" s="49" t="n"/>
      <c r="L85" s="193">
        <f>IFERROR(L84+E85,0)</f>
        <v/>
      </c>
      <c r="M85" s="196">
        <f>IFERROR(M84+H85,0)</f>
        <v/>
      </c>
      <c r="N85" s="224">
        <f>IFERROR(L85-M85,0)</f>
        <v/>
      </c>
      <c r="O85" s="225">
        <f>IFERROR(SUMIF(B8:B85,"&gt;="&amp;(B85-WEEKDAY(B85,2)+1),E8:E85),0)</f>
        <v/>
      </c>
      <c r="P85" s="226">
        <f>IFERROR(SUMIF(B8:B85,"&gt;="&amp;(B85-WEEKDAY(B85,2)+1),H8:H85),0)</f>
        <v/>
      </c>
      <c r="Q85" s="224">
        <f>IFERROR(O85-P85,0)</f>
        <v/>
      </c>
    </row>
    <row r="86" ht="16.5" customHeight="1">
      <c r="B86" s="208" t="n"/>
      <c r="C86" s="29">
        <f>IF(B86="","",TEXT(B86,"DDD"))</f>
        <v/>
      </c>
      <c r="D86" s="30">
        <f>IF(B86="","","Soft App")</f>
        <v/>
      </c>
      <c r="E86" s="209" t="n"/>
      <c r="F86" s="210" t="n"/>
      <c r="G86" s="211">
        <f>IFERROR(E86/F86,0)</f>
        <v/>
      </c>
      <c r="H86" s="212">
        <f>IFERROR(SUMIF('💸 Expenses'!B9:B508,B86,'💸 Expenses'!F9:F508),0)</f>
        <v/>
      </c>
      <c r="I86" s="213">
        <f>IFERROR(E86-H86,0)</f>
        <v/>
      </c>
      <c r="J86" s="214">
        <f>IFERROR(I86/E86,0)</f>
        <v/>
      </c>
      <c r="K86" s="37" t="n"/>
      <c r="L86" s="187">
        <f>IFERROR(L85+E86,0)</f>
        <v/>
      </c>
      <c r="M86" s="190">
        <f>IFERROR(M85+H86,0)</f>
        <v/>
      </c>
      <c r="N86" s="215">
        <f>IFERROR(L86-M86,0)</f>
        <v/>
      </c>
      <c r="O86" s="216">
        <f>IFERROR(SUMIF(B8:B86,"&gt;="&amp;(B86-WEEKDAY(B86,2)+1),E8:E86),0)</f>
        <v/>
      </c>
      <c r="P86" s="217">
        <f>IFERROR(SUMIF(B8:B86,"&gt;="&amp;(B86-WEEKDAY(B86,2)+1),H8:H86),0)</f>
        <v/>
      </c>
      <c r="Q86" s="215">
        <f>IFERROR(O86-P86,0)</f>
        <v/>
      </c>
    </row>
    <row r="87" ht="16.5" customHeight="1">
      <c r="B87" s="208" t="n"/>
      <c r="C87" s="41">
        <f>IF(B87="","",TEXT(B87,"DDD"))</f>
        <v/>
      </c>
      <c r="D87" s="42">
        <f>IF(B87="","","Soft App")</f>
        <v/>
      </c>
      <c r="E87" s="218" t="n"/>
      <c r="F87" s="219" t="n"/>
      <c r="G87" s="220">
        <f>IFERROR(E87/F87,0)</f>
        <v/>
      </c>
      <c r="H87" s="221">
        <f>IFERROR(SUMIF('💸 Expenses'!B9:B508,B87,'💸 Expenses'!F9:F508),0)</f>
        <v/>
      </c>
      <c r="I87" s="222">
        <f>IFERROR(E87-H87,0)</f>
        <v/>
      </c>
      <c r="J87" s="223">
        <f>IFERROR(I87/E87,0)</f>
        <v/>
      </c>
      <c r="K87" s="49" t="n"/>
      <c r="L87" s="193">
        <f>IFERROR(L86+E87,0)</f>
        <v/>
      </c>
      <c r="M87" s="196">
        <f>IFERROR(M86+H87,0)</f>
        <v/>
      </c>
      <c r="N87" s="224">
        <f>IFERROR(L87-M87,0)</f>
        <v/>
      </c>
      <c r="O87" s="225">
        <f>IFERROR(SUMIF(B8:B87,"&gt;="&amp;(B87-WEEKDAY(B87,2)+1),E8:E87),0)</f>
        <v/>
      </c>
      <c r="P87" s="226">
        <f>IFERROR(SUMIF(B8:B87,"&gt;="&amp;(B87-WEEKDAY(B87,2)+1),H8:H87),0)</f>
        <v/>
      </c>
      <c r="Q87" s="224">
        <f>IFERROR(O87-P87,0)</f>
        <v/>
      </c>
    </row>
    <row r="88" ht="16.5" customHeight="1">
      <c r="B88" s="208" t="n"/>
      <c r="C88" s="29">
        <f>IF(B88="","",TEXT(B88,"DDD"))</f>
        <v/>
      </c>
      <c r="D88" s="30">
        <f>IF(B88="","","Soft App")</f>
        <v/>
      </c>
      <c r="E88" s="209" t="n"/>
      <c r="F88" s="210" t="n"/>
      <c r="G88" s="211">
        <f>IFERROR(E88/F88,0)</f>
        <v/>
      </c>
      <c r="H88" s="212">
        <f>IFERROR(SUMIF('💸 Expenses'!B9:B508,B88,'💸 Expenses'!F9:F508),0)</f>
        <v/>
      </c>
      <c r="I88" s="213">
        <f>IFERROR(E88-H88,0)</f>
        <v/>
      </c>
      <c r="J88" s="214">
        <f>IFERROR(I88/E88,0)</f>
        <v/>
      </c>
      <c r="K88" s="37" t="n"/>
      <c r="L88" s="187">
        <f>IFERROR(L87+E88,0)</f>
        <v/>
      </c>
      <c r="M88" s="190">
        <f>IFERROR(M87+H88,0)</f>
        <v/>
      </c>
      <c r="N88" s="215">
        <f>IFERROR(L88-M88,0)</f>
        <v/>
      </c>
      <c r="O88" s="216">
        <f>IFERROR(SUMIF(B8:B88,"&gt;="&amp;(B88-WEEKDAY(B88,2)+1),E8:E88),0)</f>
        <v/>
      </c>
      <c r="P88" s="217">
        <f>IFERROR(SUMIF(B8:B88,"&gt;="&amp;(B88-WEEKDAY(B88,2)+1),H8:H88),0)</f>
        <v/>
      </c>
      <c r="Q88" s="215">
        <f>IFERROR(O88-P88,0)</f>
        <v/>
      </c>
    </row>
    <row r="89" ht="16.5" customHeight="1">
      <c r="B89" s="208" t="n"/>
      <c r="C89" s="41">
        <f>IF(B89="","",TEXT(B89,"DDD"))</f>
        <v/>
      </c>
      <c r="D89" s="42">
        <f>IF(B89="","","Soft App")</f>
        <v/>
      </c>
      <c r="E89" s="218" t="n"/>
      <c r="F89" s="219" t="n"/>
      <c r="G89" s="220">
        <f>IFERROR(E89/F89,0)</f>
        <v/>
      </c>
      <c r="H89" s="221">
        <f>IFERROR(SUMIF('💸 Expenses'!B9:B508,B89,'💸 Expenses'!F9:F508),0)</f>
        <v/>
      </c>
      <c r="I89" s="222">
        <f>IFERROR(E89-H89,0)</f>
        <v/>
      </c>
      <c r="J89" s="223">
        <f>IFERROR(I89/E89,0)</f>
        <v/>
      </c>
      <c r="K89" s="49" t="n"/>
      <c r="L89" s="193">
        <f>IFERROR(L88+E89,0)</f>
        <v/>
      </c>
      <c r="M89" s="196">
        <f>IFERROR(M88+H89,0)</f>
        <v/>
      </c>
      <c r="N89" s="224">
        <f>IFERROR(L89-M89,0)</f>
        <v/>
      </c>
      <c r="O89" s="225">
        <f>IFERROR(SUMIF(B8:B89,"&gt;="&amp;(B89-WEEKDAY(B89,2)+1),E8:E89),0)</f>
        <v/>
      </c>
      <c r="P89" s="226">
        <f>IFERROR(SUMIF(B8:B89,"&gt;="&amp;(B89-WEEKDAY(B89,2)+1),H8:H89),0)</f>
        <v/>
      </c>
      <c r="Q89" s="224">
        <f>IFERROR(O89-P89,0)</f>
        <v/>
      </c>
    </row>
    <row r="90" ht="16.5" customHeight="1">
      <c r="B90" s="208" t="n"/>
      <c r="C90" s="29">
        <f>IF(B90="","",TEXT(B90,"DDD"))</f>
        <v/>
      </c>
      <c r="D90" s="30">
        <f>IF(B90="","","Soft App")</f>
        <v/>
      </c>
      <c r="E90" s="209" t="n"/>
      <c r="F90" s="210" t="n"/>
      <c r="G90" s="211">
        <f>IFERROR(E90/F90,0)</f>
        <v/>
      </c>
      <c r="H90" s="212">
        <f>IFERROR(SUMIF('💸 Expenses'!B9:B508,B90,'💸 Expenses'!F9:F508),0)</f>
        <v/>
      </c>
      <c r="I90" s="213">
        <f>IFERROR(E90-H90,0)</f>
        <v/>
      </c>
      <c r="J90" s="214">
        <f>IFERROR(I90/E90,0)</f>
        <v/>
      </c>
      <c r="K90" s="37" t="n"/>
      <c r="L90" s="187">
        <f>IFERROR(L89+E90,0)</f>
        <v/>
      </c>
      <c r="M90" s="190">
        <f>IFERROR(M89+H90,0)</f>
        <v/>
      </c>
      <c r="N90" s="215">
        <f>IFERROR(L90-M90,0)</f>
        <v/>
      </c>
      <c r="O90" s="216">
        <f>IFERROR(SUMIF(B8:B90,"&gt;="&amp;(B90-WEEKDAY(B90,2)+1),E8:E90),0)</f>
        <v/>
      </c>
      <c r="P90" s="217">
        <f>IFERROR(SUMIF(B8:B90,"&gt;="&amp;(B90-WEEKDAY(B90,2)+1),H8:H90),0)</f>
        <v/>
      </c>
      <c r="Q90" s="215">
        <f>IFERROR(O90-P90,0)</f>
        <v/>
      </c>
    </row>
    <row r="91" ht="16.5" customHeight="1">
      <c r="B91" s="208" t="n"/>
      <c r="C91" s="41">
        <f>IF(B91="","",TEXT(B91,"DDD"))</f>
        <v/>
      </c>
      <c r="D91" s="42">
        <f>IF(B91="","","Soft App")</f>
        <v/>
      </c>
      <c r="E91" s="218" t="n"/>
      <c r="F91" s="219" t="n"/>
      <c r="G91" s="220">
        <f>IFERROR(E91/F91,0)</f>
        <v/>
      </c>
      <c r="H91" s="221">
        <f>IFERROR(SUMIF('💸 Expenses'!B9:B508,B91,'💸 Expenses'!F9:F508),0)</f>
        <v/>
      </c>
      <c r="I91" s="222">
        <f>IFERROR(E91-H91,0)</f>
        <v/>
      </c>
      <c r="J91" s="223">
        <f>IFERROR(I91/E91,0)</f>
        <v/>
      </c>
      <c r="K91" s="49" t="n"/>
      <c r="L91" s="193">
        <f>IFERROR(L90+E91,0)</f>
        <v/>
      </c>
      <c r="M91" s="196">
        <f>IFERROR(M90+H91,0)</f>
        <v/>
      </c>
      <c r="N91" s="224">
        <f>IFERROR(L91-M91,0)</f>
        <v/>
      </c>
      <c r="O91" s="225">
        <f>IFERROR(SUMIF(B8:B91,"&gt;="&amp;(B91-WEEKDAY(B91,2)+1),E8:E91),0)</f>
        <v/>
      </c>
      <c r="P91" s="226">
        <f>IFERROR(SUMIF(B8:B91,"&gt;="&amp;(B91-WEEKDAY(B91,2)+1),H8:H91),0)</f>
        <v/>
      </c>
      <c r="Q91" s="224">
        <f>IFERROR(O91-P91,0)</f>
        <v/>
      </c>
    </row>
    <row r="92" ht="16.5" customHeight="1">
      <c r="B92" s="208" t="n"/>
      <c r="C92" s="29">
        <f>IF(B92="","",TEXT(B92,"DDD"))</f>
        <v/>
      </c>
      <c r="D92" s="30">
        <f>IF(B92="","","Soft App")</f>
        <v/>
      </c>
      <c r="E92" s="209" t="n"/>
      <c r="F92" s="210" t="n"/>
      <c r="G92" s="211">
        <f>IFERROR(E92/F92,0)</f>
        <v/>
      </c>
      <c r="H92" s="212">
        <f>IFERROR(SUMIF('💸 Expenses'!B9:B508,B92,'💸 Expenses'!F9:F508),0)</f>
        <v/>
      </c>
      <c r="I92" s="213">
        <f>IFERROR(E92-H92,0)</f>
        <v/>
      </c>
      <c r="J92" s="214">
        <f>IFERROR(I92/E92,0)</f>
        <v/>
      </c>
      <c r="K92" s="37" t="n"/>
      <c r="L92" s="187">
        <f>IFERROR(L91+E92,0)</f>
        <v/>
      </c>
      <c r="M92" s="190">
        <f>IFERROR(M91+H92,0)</f>
        <v/>
      </c>
      <c r="N92" s="215">
        <f>IFERROR(L92-M92,0)</f>
        <v/>
      </c>
      <c r="O92" s="216">
        <f>IFERROR(SUMIF(B8:B92,"&gt;="&amp;(B92-WEEKDAY(B92,2)+1),E8:E92),0)</f>
        <v/>
      </c>
      <c r="P92" s="217">
        <f>IFERROR(SUMIF(B8:B92,"&gt;="&amp;(B92-WEEKDAY(B92,2)+1),H8:H92),0)</f>
        <v/>
      </c>
      <c r="Q92" s="215">
        <f>IFERROR(O92-P92,0)</f>
        <v/>
      </c>
    </row>
    <row r="93" ht="16.5" customHeight="1">
      <c r="B93" s="208" t="n"/>
      <c r="C93" s="41">
        <f>IF(B93="","",TEXT(B93,"DDD"))</f>
        <v/>
      </c>
      <c r="D93" s="42">
        <f>IF(B93="","","Soft App")</f>
        <v/>
      </c>
      <c r="E93" s="218" t="n"/>
      <c r="F93" s="219" t="n"/>
      <c r="G93" s="220">
        <f>IFERROR(E93/F93,0)</f>
        <v/>
      </c>
      <c r="H93" s="221">
        <f>IFERROR(SUMIF('💸 Expenses'!B9:B508,B93,'💸 Expenses'!F9:F508),0)</f>
        <v/>
      </c>
      <c r="I93" s="222">
        <f>IFERROR(E93-H93,0)</f>
        <v/>
      </c>
      <c r="J93" s="223">
        <f>IFERROR(I93/E93,0)</f>
        <v/>
      </c>
      <c r="K93" s="49" t="n"/>
      <c r="L93" s="193">
        <f>IFERROR(L92+E93,0)</f>
        <v/>
      </c>
      <c r="M93" s="196">
        <f>IFERROR(M92+H93,0)</f>
        <v/>
      </c>
      <c r="N93" s="224">
        <f>IFERROR(L93-M93,0)</f>
        <v/>
      </c>
      <c r="O93" s="225">
        <f>IFERROR(SUMIF(B8:B93,"&gt;="&amp;(B93-WEEKDAY(B93,2)+1),E8:E93),0)</f>
        <v/>
      </c>
      <c r="P93" s="226">
        <f>IFERROR(SUMIF(B8:B93,"&gt;="&amp;(B93-WEEKDAY(B93,2)+1),H8:H93),0)</f>
        <v/>
      </c>
      <c r="Q93" s="224">
        <f>IFERROR(O93-P93,0)</f>
        <v/>
      </c>
    </row>
    <row r="94" ht="16.5" customHeight="1">
      <c r="B94" s="208" t="n"/>
      <c r="C94" s="29">
        <f>IF(B94="","",TEXT(B94,"DDD"))</f>
        <v/>
      </c>
      <c r="D94" s="30">
        <f>IF(B94="","","Soft App")</f>
        <v/>
      </c>
      <c r="E94" s="209" t="n"/>
      <c r="F94" s="210" t="n"/>
      <c r="G94" s="211">
        <f>IFERROR(E94/F94,0)</f>
        <v/>
      </c>
      <c r="H94" s="212">
        <f>IFERROR(SUMIF('💸 Expenses'!B9:B508,B94,'💸 Expenses'!F9:F508),0)</f>
        <v/>
      </c>
      <c r="I94" s="213">
        <f>IFERROR(E94-H94,0)</f>
        <v/>
      </c>
      <c r="J94" s="214">
        <f>IFERROR(I94/E94,0)</f>
        <v/>
      </c>
      <c r="K94" s="37" t="n"/>
      <c r="L94" s="187">
        <f>IFERROR(L93+E94,0)</f>
        <v/>
      </c>
      <c r="M94" s="190">
        <f>IFERROR(M93+H94,0)</f>
        <v/>
      </c>
      <c r="N94" s="215">
        <f>IFERROR(L94-M94,0)</f>
        <v/>
      </c>
      <c r="O94" s="216">
        <f>IFERROR(SUMIF(B8:B94,"&gt;="&amp;(B94-WEEKDAY(B94,2)+1),E8:E94),0)</f>
        <v/>
      </c>
      <c r="P94" s="217">
        <f>IFERROR(SUMIF(B8:B94,"&gt;="&amp;(B94-WEEKDAY(B94,2)+1),H8:H94),0)</f>
        <v/>
      </c>
      <c r="Q94" s="215">
        <f>IFERROR(O94-P94,0)</f>
        <v/>
      </c>
    </row>
    <row r="95" ht="16.5" customHeight="1">
      <c r="B95" s="208" t="n"/>
      <c r="C95" s="41">
        <f>IF(B95="","",TEXT(B95,"DDD"))</f>
        <v/>
      </c>
      <c r="D95" s="42">
        <f>IF(B95="","","Soft App")</f>
        <v/>
      </c>
      <c r="E95" s="218" t="n"/>
      <c r="F95" s="219" t="n"/>
      <c r="G95" s="220">
        <f>IFERROR(E95/F95,0)</f>
        <v/>
      </c>
      <c r="H95" s="221">
        <f>IFERROR(SUMIF('💸 Expenses'!B9:B508,B95,'💸 Expenses'!F9:F508),0)</f>
        <v/>
      </c>
      <c r="I95" s="222">
        <f>IFERROR(E95-H95,0)</f>
        <v/>
      </c>
      <c r="J95" s="223">
        <f>IFERROR(I95/E95,0)</f>
        <v/>
      </c>
      <c r="K95" s="49" t="n"/>
      <c r="L95" s="193">
        <f>IFERROR(L94+E95,0)</f>
        <v/>
      </c>
      <c r="M95" s="196">
        <f>IFERROR(M94+H95,0)</f>
        <v/>
      </c>
      <c r="N95" s="224">
        <f>IFERROR(L95-M95,0)</f>
        <v/>
      </c>
      <c r="O95" s="225">
        <f>IFERROR(SUMIF(B8:B95,"&gt;="&amp;(B95-WEEKDAY(B95,2)+1),E8:E95),0)</f>
        <v/>
      </c>
      <c r="P95" s="226">
        <f>IFERROR(SUMIF(B8:B95,"&gt;="&amp;(B95-WEEKDAY(B95,2)+1),H8:H95),0)</f>
        <v/>
      </c>
      <c r="Q95" s="224">
        <f>IFERROR(O95-P95,0)</f>
        <v/>
      </c>
    </row>
    <row r="96" ht="16.5" customHeight="1">
      <c r="B96" s="208" t="n"/>
      <c r="C96" s="29">
        <f>IF(B96="","",TEXT(B96,"DDD"))</f>
        <v/>
      </c>
      <c r="D96" s="30">
        <f>IF(B96="","","Soft App")</f>
        <v/>
      </c>
      <c r="E96" s="209" t="n"/>
      <c r="F96" s="210" t="n"/>
      <c r="G96" s="211">
        <f>IFERROR(E96/F96,0)</f>
        <v/>
      </c>
      <c r="H96" s="212">
        <f>IFERROR(SUMIF('💸 Expenses'!B9:B508,B96,'💸 Expenses'!F9:F508),0)</f>
        <v/>
      </c>
      <c r="I96" s="213">
        <f>IFERROR(E96-H96,0)</f>
        <v/>
      </c>
      <c r="J96" s="214">
        <f>IFERROR(I96/E96,0)</f>
        <v/>
      </c>
      <c r="K96" s="37" t="n"/>
      <c r="L96" s="187">
        <f>IFERROR(L95+E96,0)</f>
        <v/>
      </c>
      <c r="M96" s="190">
        <f>IFERROR(M95+H96,0)</f>
        <v/>
      </c>
      <c r="N96" s="215">
        <f>IFERROR(L96-M96,0)</f>
        <v/>
      </c>
      <c r="O96" s="216">
        <f>IFERROR(SUMIF(B8:B96,"&gt;="&amp;(B96-WEEKDAY(B96,2)+1),E8:E96),0)</f>
        <v/>
      </c>
      <c r="P96" s="217">
        <f>IFERROR(SUMIF(B8:B96,"&gt;="&amp;(B96-WEEKDAY(B96,2)+1),H8:H96),0)</f>
        <v/>
      </c>
      <c r="Q96" s="215">
        <f>IFERROR(O96-P96,0)</f>
        <v/>
      </c>
    </row>
    <row r="97" ht="16.5" customHeight="1">
      <c r="B97" s="208" t="n"/>
      <c r="C97" s="41">
        <f>IF(B97="","",TEXT(B97,"DDD"))</f>
        <v/>
      </c>
      <c r="D97" s="42">
        <f>IF(B97="","","Soft App")</f>
        <v/>
      </c>
      <c r="E97" s="218" t="n"/>
      <c r="F97" s="219" t="n"/>
      <c r="G97" s="220">
        <f>IFERROR(E97/F97,0)</f>
        <v/>
      </c>
      <c r="H97" s="221">
        <f>IFERROR(SUMIF('💸 Expenses'!B9:B508,B97,'💸 Expenses'!F9:F508),0)</f>
        <v/>
      </c>
      <c r="I97" s="222">
        <f>IFERROR(E97-H97,0)</f>
        <v/>
      </c>
      <c r="J97" s="223">
        <f>IFERROR(I97/E97,0)</f>
        <v/>
      </c>
      <c r="K97" s="49" t="n"/>
      <c r="L97" s="193">
        <f>IFERROR(L96+E97,0)</f>
        <v/>
      </c>
      <c r="M97" s="196">
        <f>IFERROR(M96+H97,0)</f>
        <v/>
      </c>
      <c r="N97" s="224">
        <f>IFERROR(L97-M97,0)</f>
        <v/>
      </c>
      <c r="O97" s="225">
        <f>IFERROR(SUMIF(B8:B97,"&gt;="&amp;(B97-WEEKDAY(B97,2)+1),E8:E97),0)</f>
        <v/>
      </c>
      <c r="P97" s="226">
        <f>IFERROR(SUMIF(B8:B97,"&gt;="&amp;(B97-WEEKDAY(B97,2)+1),H8:H97),0)</f>
        <v/>
      </c>
      <c r="Q97" s="224">
        <f>IFERROR(O97-P97,0)</f>
        <v/>
      </c>
    </row>
    <row r="98" ht="16.5" customHeight="1">
      <c r="B98" s="208" t="n"/>
      <c r="C98" s="29">
        <f>IF(B98="","",TEXT(B98,"DDD"))</f>
        <v/>
      </c>
      <c r="D98" s="30">
        <f>IF(B98="","","Soft App")</f>
        <v/>
      </c>
      <c r="E98" s="209" t="n"/>
      <c r="F98" s="210" t="n"/>
      <c r="G98" s="211">
        <f>IFERROR(E98/F98,0)</f>
        <v/>
      </c>
      <c r="H98" s="212">
        <f>IFERROR(SUMIF('💸 Expenses'!B9:B508,B98,'💸 Expenses'!F9:F508),0)</f>
        <v/>
      </c>
      <c r="I98" s="213">
        <f>IFERROR(E98-H98,0)</f>
        <v/>
      </c>
      <c r="J98" s="214">
        <f>IFERROR(I98/E98,0)</f>
        <v/>
      </c>
      <c r="K98" s="37" t="n"/>
      <c r="L98" s="187">
        <f>IFERROR(L97+E98,0)</f>
        <v/>
      </c>
      <c r="M98" s="190">
        <f>IFERROR(M97+H98,0)</f>
        <v/>
      </c>
      <c r="N98" s="215">
        <f>IFERROR(L98-M98,0)</f>
        <v/>
      </c>
      <c r="O98" s="216">
        <f>IFERROR(SUMIF(B8:B98,"&gt;="&amp;(B98-WEEKDAY(B98,2)+1),E8:E98),0)</f>
        <v/>
      </c>
      <c r="P98" s="217">
        <f>IFERROR(SUMIF(B8:B98,"&gt;="&amp;(B98-WEEKDAY(B98,2)+1),H8:H98),0)</f>
        <v/>
      </c>
      <c r="Q98" s="215">
        <f>IFERROR(O98-P98,0)</f>
        <v/>
      </c>
    </row>
    <row r="99" ht="16.5" customHeight="1">
      <c r="B99" s="208" t="n"/>
      <c r="C99" s="41">
        <f>IF(B99="","",TEXT(B99,"DDD"))</f>
        <v/>
      </c>
      <c r="D99" s="42">
        <f>IF(B99="","","Soft App")</f>
        <v/>
      </c>
      <c r="E99" s="218" t="n"/>
      <c r="F99" s="219" t="n"/>
      <c r="G99" s="220">
        <f>IFERROR(E99/F99,0)</f>
        <v/>
      </c>
      <c r="H99" s="221">
        <f>IFERROR(SUMIF('💸 Expenses'!B9:B508,B99,'💸 Expenses'!F9:F508),0)</f>
        <v/>
      </c>
      <c r="I99" s="222">
        <f>IFERROR(E99-H99,0)</f>
        <v/>
      </c>
      <c r="J99" s="223">
        <f>IFERROR(I99/E99,0)</f>
        <v/>
      </c>
      <c r="K99" s="49" t="n"/>
      <c r="L99" s="193">
        <f>IFERROR(L98+E99,0)</f>
        <v/>
      </c>
      <c r="M99" s="196">
        <f>IFERROR(M98+H99,0)</f>
        <v/>
      </c>
      <c r="N99" s="224">
        <f>IFERROR(L99-M99,0)</f>
        <v/>
      </c>
      <c r="O99" s="225">
        <f>IFERROR(SUMIF(B8:B99,"&gt;="&amp;(B99-WEEKDAY(B99,2)+1),E8:E99),0)</f>
        <v/>
      </c>
      <c r="P99" s="226">
        <f>IFERROR(SUMIF(B8:B99,"&gt;="&amp;(B99-WEEKDAY(B99,2)+1),H8:H99),0)</f>
        <v/>
      </c>
      <c r="Q99" s="224">
        <f>IFERROR(O99-P99,0)</f>
        <v/>
      </c>
    </row>
    <row r="100" ht="16.5" customHeight="1">
      <c r="B100" s="208" t="n"/>
      <c r="C100" s="29">
        <f>IF(B100="","",TEXT(B100,"DDD"))</f>
        <v/>
      </c>
      <c r="D100" s="30">
        <f>IF(B100="","","Soft App")</f>
        <v/>
      </c>
      <c r="E100" s="209" t="n"/>
      <c r="F100" s="210" t="n"/>
      <c r="G100" s="211">
        <f>IFERROR(E100/F100,0)</f>
        <v/>
      </c>
      <c r="H100" s="212">
        <f>IFERROR(SUMIF('💸 Expenses'!B9:B508,B100,'💸 Expenses'!F9:F508),0)</f>
        <v/>
      </c>
      <c r="I100" s="213">
        <f>IFERROR(E100-H100,0)</f>
        <v/>
      </c>
      <c r="J100" s="214">
        <f>IFERROR(I100/E100,0)</f>
        <v/>
      </c>
      <c r="K100" s="37" t="n"/>
      <c r="L100" s="187">
        <f>IFERROR(L99+E100,0)</f>
        <v/>
      </c>
      <c r="M100" s="190">
        <f>IFERROR(M99+H100,0)</f>
        <v/>
      </c>
      <c r="N100" s="215">
        <f>IFERROR(L100-M100,0)</f>
        <v/>
      </c>
      <c r="O100" s="216">
        <f>IFERROR(SUMIF(B8:B100,"&gt;="&amp;(B100-WEEKDAY(B100,2)+1),E8:E100),0)</f>
        <v/>
      </c>
      <c r="P100" s="217">
        <f>IFERROR(SUMIF(B8:B100,"&gt;="&amp;(B100-WEEKDAY(B100,2)+1),H8:H100),0)</f>
        <v/>
      </c>
      <c r="Q100" s="215">
        <f>IFERROR(O100-P100,0)</f>
        <v/>
      </c>
    </row>
    <row r="101" ht="16.5" customHeight="1">
      <c r="B101" s="208" t="n"/>
      <c r="C101" s="41">
        <f>IF(B101="","",TEXT(B101,"DDD"))</f>
        <v/>
      </c>
      <c r="D101" s="42">
        <f>IF(B101="","","Soft App")</f>
        <v/>
      </c>
      <c r="E101" s="218" t="n"/>
      <c r="F101" s="219" t="n"/>
      <c r="G101" s="220">
        <f>IFERROR(E101/F101,0)</f>
        <v/>
      </c>
      <c r="H101" s="221">
        <f>IFERROR(SUMIF('💸 Expenses'!B9:B508,B101,'💸 Expenses'!F9:F508),0)</f>
        <v/>
      </c>
      <c r="I101" s="222">
        <f>IFERROR(E101-H101,0)</f>
        <v/>
      </c>
      <c r="J101" s="223">
        <f>IFERROR(I101/E101,0)</f>
        <v/>
      </c>
      <c r="K101" s="49" t="n"/>
      <c r="L101" s="193">
        <f>IFERROR(L100+E101,0)</f>
        <v/>
      </c>
      <c r="M101" s="196">
        <f>IFERROR(M100+H101,0)</f>
        <v/>
      </c>
      <c r="N101" s="224">
        <f>IFERROR(L101-M101,0)</f>
        <v/>
      </c>
      <c r="O101" s="225">
        <f>IFERROR(SUMIF(B8:B101,"&gt;="&amp;(B101-WEEKDAY(B101,2)+1),E8:E101),0)</f>
        <v/>
      </c>
      <c r="P101" s="226">
        <f>IFERROR(SUMIF(B8:B101,"&gt;="&amp;(B101-WEEKDAY(B101,2)+1),H8:H101),0)</f>
        <v/>
      </c>
      <c r="Q101" s="224">
        <f>IFERROR(O101-P101,0)</f>
        <v/>
      </c>
    </row>
    <row r="102" ht="16.5" customHeight="1">
      <c r="B102" s="208" t="n"/>
      <c r="C102" s="29">
        <f>IF(B102="","",TEXT(B102,"DDD"))</f>
        <v/>
      </c>
      <c r="D102" s="30">
        <f>IF(B102="","","Soft App")</f>
        <v/>
      </c>
      <c r="E102" s="209" t="n"/>
      <c r="F102" s="210" t="n"/>
      <c r="G102" s="211">
        <f>IFERROR(E102/F102,0)</f>
        <v/>
      </c>
      <c r="H102" s="212">
        <f>IFERROR(SUMIF('💸 Expenses'!B9:B508,B102,'💸 Expenses'!F9:F508),0)</f>
        <v/>
      </c>
      <c r="I102" s="213">
        <f>IFERROR(E102-H102,0)</f>
        <v/>
      </c>
      <c r="J102" s="214">
        <f>IFERROR(I102/E102,0)</f>
        <v/>
      </c>
      <c r="K102" s="37" t="n"/>
      <c r="L102" s="187">
        <f>IFERROR(L101+E102,0)</f>
        <v/>
      </c>
      <c r="M102" s="190">
        <f>IFERROR(M101+H102,0)</f>
        <v/>
      </c>
      <c r="N102" s="215">
        <f>IFERROR(L102-M102,0)</f>
        <v/>
      </c>
      <c r="O102" s="216">
        <f>IFERROR(SUMIF(B8:B102,"&gt;="&amp;(B102-WEEKDAY(B102,2)+1),E8:E102),0)</f>
        <v/>
      </c>
      <c r="P102" s="217">
        <f>IFERROR(SUMIF(B8:B102,"&gt;="&amp;(B102-WEEKDAY(B102,2)+1),H8:H102),0)</f>
        <v/>
      </c>
      <c r="Q102" s="215">
        <f>IFERROR(O102-P102,0)</f>
        <v/>
      </c>
    </row>
    <row r="103" ht="16.5" customHeight="1">
      <c r="B103" s="208" t="n"/>
      <c r="C103" s="41">
        <f>IF(B103="","",TEXT(B103,"DDD"))</f>
        <v/>
      </c>
      <c r="D103" s="42">
        <f>IF(B103="","","Soft App")</f>
        <v/>
      </c>
      <c r="E103" s="218" t="n"/>
      <c r="F103" s="219" t="n"/>
      <c r="G103" s="220">
        <f>IFERROR(E103/F103,0)</f>
        <v/>
      </c>
      <c r="H103" s="221">
        <f>IFERROR(SUMIF('💸 Expenses'!B9:B508,B103,'💸 Expenses'!F9:F508),0)</f>
        <v/>
      </c>
      <c r="I103" s="222">
        <f>IFERROR(E103-H103,0)</f>
        <v/>
      </c>
      <c r="J103" s="223">
        <f>IFERROR(I103/E103,0)</f>
        <v/>
      </c>
      <c r="K103" s="49" t="n"/>
      <c r="L103" s="193">
        <f>IFERROR(L102+E103,0)</f>
        <v/>
      </c>
      <c r="M103" s="196">
        <f>IFERROR(M102+H103,0)</f>
        <v/>
      </c>
      <c r="N103" s="224">
        <f>IFERROR(L103-M103,0)</f>
        <v/>
      </c>
      <c r="O103" s="225">
        <f>IFERROR(SUMIF(B8:B103,"&gt;="&amp;(B103-WEEKDAY(B103,2)+1),E8:E103),0)</f>
        <v/>
      </c>
      <c r="P103" s="226">
        <f>IFERROR(SUMIF(B8:B103,"&gt;="&amp;(B103-WEEKDAY(B103,2)+1),H8:H103),0)</f>
        <v/>
      </c>
      <c r="Q103" s="224">
        <f>IFERROR(O103-P103,0)</f>
        <v/>
      </c>
    </row>
    <row r="104" ht="16.5" customHeight="1">
      <c r="B104" s="208" t="n"/>
      <c r="C104" s="29">
        <f>IF(B104="","",TEXT(B104,"DDD"))</f>
        <v/>
      </c>
      <c r="D104" s="30">
        <f>IF(B104="","","Soft App")</f>
        <v/>
      </c>
      <c r="E104" s="209" t="n"/>
      <c r="F104" s="210" t="n"/>
      <c r="G104" s="211">
        <f>IFERROR(E104/F104,0)</f>
        <v/>
      </c>
      <c r="H104" s="212">
        <f>IFERROR(SUMIF('💸 Expenses'!B9:B508,B104,'💸 Expenses'!F9:F508),0)</f>
        <v/>
      </c>
      <c r="I104" s="213">
        <f>IFERROR(E104-H104,0)</f>
        <v/>
      </c>
      <c r="J104" s="214">
        <f>IFERROR(I104/E104,0)</f>
        <v/>
      </c>
      <c r="K104" s="37" t="n"/>
      <c r="L104" s="187">
        <f>IFERROR(L103+E104,0)</f>
        <v/>
      </c>
      <c r="M104" s="190">
        <f>IFERROR(M103+H104,0)</f>
        <v/>
      </c>
      <c r="N104" s="215">
        <f>IFERROR(L104-M104,0)</f>
        <v/>
      </c>
      <c r="O104" s="216">
        <f>IFERROR(SUMIF(B8:B104,"&gt;="&amp;(B104-WEEKDAY(B104,2)+1),E8:E104),0)</f>
        <v/>
      </c>
      <c r="P104" s="217">
        <f>IFERROR(SUMIF(B8:B104,"&gt;="&amp;(B104-WEEKDAY(B104,2)+1),H8:H104),0)</f>
        <v/>
      </c>
      <c r="Q104" s="215">
        <f>IFERROR(O104-P104,0)</f>
        <v/>
      </c>
    </row>
    <row r="105" ht="16.5" customHeight="1">
      <c r="B105" s="208" t="n"/>
      <c r="C105" s="41">
        <f>IF(B105="","",TEXT(B105,"DDD"))</f>
        <v/>
      </c>
      <c r="D105" s="42">
        <f>IF(B105="","","Soft App")</f>
        <v/>
      </c>
      <c r="E105" s="218" t="n"/>
      <c r="F105" s="219" t="n"/>
      <c r="G105" s="220">
        <f>IFERROR(E105/F105,0)</f>
        <v/>
      </c>
      <c r="H105" s="221">
        <f>IFERROR(SUMIF('💸 Expenses'!B9:B508,B105,'💸 Expenses'!F9:F508),0)</f>
        <v/>
      </c>
      <c r="I105" s="222">
        <f>IFERROR(E105-H105,0)</f>
        <v/>
      </c>
      <c r="J105" s="223">
        <f>IFERROR(I105/E105,0)</f>
        <v/>
      </c>
      <c r="K105" s="49" t="n"/>
      <c r="L105" s="193">
        <f>IFERROR(L104+E105,0)</f>
        <v/>
      </c>
      <c r="M105" s="196">
        <f>IFERROR(M104+H105,0)</f>
        <v/>
      </c>
      <c r="N105" s="224">
        <f>IFERROR(L105-M105,0)</f>
        <v/>
      </c>
      <c r="O105" s="225">
        <f>IFERROR(SUMIF(B8:B105,"&gt;="&amp;(B105-WEEKDAY(B105,2)+1),E8:E105),0)</f>
        <v/>
      </c>
      <c r="P105" s="226">
        <f>IFERROR(SUMIF(B8:B105,"&gt;="&amp;(B105-WEEKDAY(B105,2)+1),H8:H105),0)</f>
        <v/>
      </c>
      <c r="Q105" s="224">
        <f>IFERROR(O105-P105,0)</f>
        <v/>
      </c>
    </row>
    <row r="106" ht="16.5" customHeight="1">
      <c r="B106" s="208" t="n"/>
      <c r="C106" s="29">
        <f>IF(B106="","",TEXT(B106,"DDD"))</f>
        <v/>
      </c>
      <c r="D106" s="30">
        <f>IF(B106="","","Soft App")</f>
        <v/>
      </c>
      <c r="E106" s="209" t="n"/>
      <c r="F106" s="210" t="n"/>
      <c r="G106" s="211">
        <f>IFERROR(E106/F106,0)</f>
        <v/>
      </c>
      <c r="H106" s="212">
        <f>IFERROR(SUMIF('💸 Expenses'!B9:B508,B106,'💸 Expenses'!F9:F508),0)</f>
        <v/>
      </c>
      <c r="I106" s="213">
        <f>IFERROR(E106-H106,0)</f>
        <v/>
      </c>
      <c r="J106" s="214">
        <f>IFERROR(I106/E106,0)</f>
        <v/>
      </c>
      <c r="K106" s="37" t="n"/>
      <c r="L106" s="187">
        <f>IFERROR(L105+E106,0)</f>
        <v/>
      </c>
      <c r="M106" s="190">
        <f>IFERROR(M105+H106,0)</f>
        <v/>
      </c>
      <c r="N106" s="215">
        <f>IFERROR(L106-M106,0)</f>
        <v/>
      </c>
      <c r="O106" s="216">
        <f>IFERROR(SUMIF(B8:B106,"&gt;="&amp;(B106-WEEKDAY(B106,2)+1),E8:E106),0)</f>
        <v/>
      </c>
      <c r="P106" s="217">
        <f>IFERROR(SUMIF(B8:B106,"&gt;="&amp;(B106-WEEKDAY(B106,2)+1),H8:H106),0)</f>
        <v/>
      </c>
      <c r="Q106" s="215">
        <f>IFERROR(O106-P106,0)</f>
        <v/>
      </c>
    </row>
    <row r="107" ht="16.5" customHeight="1">
      <c r="B107" s="208" t="n"/>
      <c r="C107" s="41">
        <f>IF(B107="","",TEXT(B107,"DDD"))</f>
        <v/>
      </c>
      <c r="D107" s="42">
        <f>IF(B107="","","Soft App")</f>
        <v/>
      </c>
      <c r="E107" s="218" t="n"/>
      <c r="F107" s="219" t="n"/>
      <c r="G107" s="220">
        <f>IFERROR(E107/F107,0)</f>
        <v/>
      </c>
      <c r="H107" s="221">
        <f>IFERROR(SUMIF('💸 Expenses'!B9:B508,B107,'💸 Expenses'!F9:F508),0)</f>
        <v/>
      </c>
      <c r="I107" s="222">
        <f>IFERROR(E107-H107,0)</f>
        <v/>
      </c>
      <c r="J107" s="223">
        <f>IFERROR(I107/E107,0)</f>
        <v/>
      </c>
      <c r="K107" s="49" t="n"/>
      <c r="L107" s="193">
        <f>IFERROR(L106+E107,0)</f>
        <v/>
      </c>
      <c r="M107" s="196">
        <f>IFERROR(M106+H107,0)</f>
        <v/>
      </c>
      <c r="N107" s="224">
        <f>IFERROR(L107-M107,0)</f>
        <v/>
      </c>
      <c r="O107" s="225">
        <f>IFERROR(SUMIF(B8:B107,"&gt;="&amp;(B107-WEEKDAY(B107,2)+1),E8:E107),0)</f>
        <v/>
      </c>
      <c r="P107" s="226">
        <f>IFERROR(SUMIF(B8:B107,"&gt;="&amp;(B107-WEEKDAY(B107,2)+1),H8:H107),0)</f>
        <v/>
      </c>
      <c r="Q107" s="224">
        <f>IFERROR(O107-P107,0)</f>
        <v/>
      </c>
    </row>
    <row r="108" ht="16.5" customHeight="1">
      <c r="B108" s="208" t="n"/>
      <c r="C108" s="29">
        <f>IF(B108="","",TEXT(B108,"DDD"))</f>
        <v/>
      </c>
      <c r="D108" s="30">
        <f>IF(B108="","","Soft App")</f>
        <v/>
      </c>
      <c r="E108" s="209" t="n"/>
      <c r="F108" s="210" t="n"/>
      <c r="G108" s="211">
        <f>IFERROR(E108/F108,0)</f>
        <v/>
      </c>
      <c r="H108" s="212">
        <f>IFERROR(SUMIF('💸 Expenses'!B9:B508,B108,'💸 Expenses'!F9:F508),0)</f>
        <v/>
      </c>
      <c r="I108" s="213">
        <f>IFERROR(E108-H108,0)</f>
        <v/>
      </c>
      <c r="J108" s="214">
        <f>IFERROR(I108/E108,0)</f>
        <v/>
      </c>
      <c r="K108" s="37" t="n"/>
      <c r="L108" s="187">
        <f>IFERROR(L107+E108,0)</f>
        <v/>
      </c>
      <c r="M108" s="190">
        <f>IFERROR(M107+H108,0)</f>
        <v/>
      </c>
      <c r="N108" s="215">
        <f>IFERROR(L108-M108,0)</f>
        <v/>
      </c>
      <c r="O108" s="216">
        <f>IFERROR(SUMIF(B8:B108,"&gt;="&amp;(B108-WEEKDAY(B108,2)+1),E8:E108),0)</f>
        <v/>
      </c>
      <c r="P108" s="217">
        <f>IFERROR(SUMIF(B8:B108,"&gt;="&amp;(B108-WEEKDAY(B108,2)+1),H8:H108),0)</f>
        <v/>
      </c>
      <c r="Q108" s="215">
        <f>IFERROR(O108-P108,0)</f>
        <v/>
      </c>
    </row>
    <row r="109" ht="16.5" customHeight="1">
      <c r="B109" s="208" t="n"/>
      <c r="C109" s="41">
        <f>IF(B109="","",TEXT(B109,"DDD"))</f>
        <v/>
      </c>
      <c r="D109" s="42">
        <f>IF(B109="","","Soft App")</f>
        <v/>
      </c>
      <c r="E109" s="218" t="n"/>
      <c r="F109" s="219" t="n"/>
      <c r="G109" s="220">
        <f>IFERROR(E109/F109,0)</f>
        <v/>
      </c>
      <c r="H109" s="221">
        <f>IFERROR(SUMIF('💸 Expenses'!B9:B508,B109,'💸 Expenses'!F9:F508),0)</f>
        <v/>
      </c>
      <c r="I109" s="222">
        <f>IFERROR(E109-H109,0)</f>
        <v/>
      </c>
      <c r="J109" s="223">
        <f>IFERROR(I109/E109,0)</f>
        <v/>
      </c>
      <c r="K109" s="49" t="n"/>
      <c r="L109" s="193">
        <f>IFERROR(L108+E109,0)</f>
        <v/>
      </c>
      <c r="M109" s="196">
        <f>IFERROR(M108+H109,0)</f>
        <v/>
      </c>
      <c r="N109" s="224">
        <f>IFERROR(L109-M109,0)</f>
        <v/>
      </c>
      <c r="O109" s="225">
        <f>IFERROR(SUMIF(B8:B109,"&gt;="&amp;(B109-WEEKDAY(B109,2)+1),E8:E109),0)</f>
        <v/>
      </c>
      <c r="P109" s="226">
        <f>IFERROR(SUMIF(B8:B109,"&gt;="&amp;(B109-WEEKDAY(B109,2)+1),H8:H109),0)</f>
        <v/>
      </c>
      <c r="Q109" s="224">
        <f>IFERROR(O109-P109,0)</f>
        <v/>
      </c>
    </row>
    <row r="110" ht="16.5" customHeight="1">
      <c r="B110" s="208" t="n"/>
      <c r="C110" s="29">
        <f>IF(B110="","",TEXT(B110,"DDD"))</f>
        <v/>
      </c>
      <c r="D110" s="30">
        <f>IF(B110="","","Soft App")</f>
        <v/>
      </c>
      <c r="E110" s="209" t="n"/>
      <c r="F110" s="210" t="n"/>
      <c r="G110" s="211">
        <f>IFERROR(E110/F110,0)</f>
        <v/>
      </c>
      <c r="H110" s="212">
        <f>IFERROR(SUMIF('💸 Expenses'!B9:B508,B110,'💸 Expenses'!F9:F508),0)</f>
        <v/>
      </c>
      <c r="I110" s="213">
        <f>IFERROR(E110-H110,0)</f>
        <v/>
      </c>
      <c r="J110" s="214">
        <f>IFERROR(I110/E110,0)</f>
        <v/>
      </c>
      <c r="K110" s="37" t="n"/>
      <c r="L110" s="187">
        <f>IFERROR(L109+E110,0)</f>
        <v/>
      </c>
      <c r="M110" s="190">
        <f>IFERROR(M109+H110,0)</f>
        <v/>
      </c>
      <c r="N110" s="215">
        <f>IFERROR(L110-M110,0)</f>
        <v/>
      </c>
      <c r="O110" s="216">
        <f>IFERROR(SUMIF(B8:B110,"&gt;="&amp;(B110-WEEKDAY(B110,2)+1),E8:E110),0)</f>
        <v/>
      </c>
      <c r="P110" s="217">
        <f>IFERROR(SUMIF(B8:B110,"&gt;="&amp;(B110-WEEKDAY(B110,2)+1),H8:H110),0)</f>
        <v/>
      </c>
      <c r="Q110" s="215">
        <f>IFERROR(O110-P110,0)</f>
        <v/>
      </c>
    </row>
    <row r="111" ht="16.5" customHeight="1">
      <c r="B111" s="208" t="n"/>
      <c r="C111" s="41">
        <f>IF(B111="","",TEXT(B111,"DDD"))</f>
        <v/>
      </c>
      <c r="D111" s="42">
        <f>IF(B111="","","Soft App")</f>
        <v/>
      </c>
      <c r="E111" s="218" t="n"/>
      <c r="F111" s="219" t="n"/>
      <c r="G111" s="220">
        <f>IFERROR(E111/F111,0)</f>
        <v/>
      </c>
      <c r="H111" s="221">
        <f>IFERROR(SUMIF('💸 Expenses'!B9:B508,B111,'💸 Expenses'!F9:F508),0)</f>
        <v/>
      </c>
      <c r="I111" s="222">
        <f>IFERROR(E111-H111,0)</f>
        <v/>
      </c>
      <c r="J111" s="223">
        <f>IFERROR(I111/E111,0)</f>
        <v/>
      </c>
      <c r="K111" s="49" t="n"/>
      <c r="L111" s="193">
        <f>IFERROR(L110+E111,0)</f>
        <v/>
      </c>
      <c r="M111" s="196">
        <f>IFERROR(M110+H111,0)</f>
        <v/>
      </c>
      <c r="N111" s="224">
        <f>IFERROR(L111-M111,0)</f>
        <v/>
      </c>
      <c r="O111" s="225">
        <f>IFERROR(SUMIF(B8:B111,"&gt;="&amp;(B111-WEEKDAY(B111,2)+1),E8:E111),0)</f>
        <v/>
      </c>
      <c r="P111" s="226">
        <f>IFERROR(SUMIF(B8:B111,"&gt;="&amp;(B111-WEEKDAY(B111,2)+1),H8:H111),0)</f>
        <v/>
      </c>
      <c r="Q111" s="224">
        <f>IFERROR(O111-P111,0)</f>
        <v/>
      </c>
    </row>
    <row r="112" ht="16.5" customHeight="1">
      <c r="B112" s="208" t="n"/>
      <c r="C112" s="29">
        <f>IF(B112="","",TEXT(B112,"DDD"))</f>
        <v/>
      </c>
      <c r="D112" s="30">
        <f>IF(B112="","","Soft App")</f>
        <v/>
      </c>
      <c r="E112" s="209" t="n"/>
      <c r="F112" s="210" t="n"/>
      <c r="G112" s="211">
        <f>IFERROR(E112/F112,0)</f>
        <v/>
      </c>
      <c r="H112" s="212">
        <f>IFERROR(SUMIF('💸 Expenses'!B9:B508,B112,'💸 Expenses'!F9:F508),0)</f>
        <v/>
      </c>
      <c r="I112" s="213">
        <f>IFERROR(E112-H112,0)</f>
        <v/>
      </c>
      <c r="J112" s="214">
        <f>IFERROR(I112/E112,0)</f>
        <v/>
      </c>
      <c r="K112" s="37" t="n"/>
      <c r="L112" s="187">
        <f>IFERROR(L111+E112,0)</f>
        <v/>
      </c>
      <c r="M112" s="190">
        <f>IFERROR(M111+H112,0)</f>
        <v/>
      </c>
      <c r="N112" s="215">
        <f>IFERROR(L112-M112,0)</f>
        <v/>
      </c>
      <c r="O112" s="216">
        <f>IFERROR(SUMIF(B8:B112,"&gt;="&amp;(B112-WEEKDAY(B112,2)+1),E8:E112),0)</f>
        <v/>
      </c>
      <c r="P112" s="217">
        <f>IFERROR(SUMIF(B8:B112,"&gt;="&amp;(B112-WEEKDAY(B112,2)+1),H8:H112),0)</f>
        <v/>
      </c>
      <c r="Q112" s="215">
        <f>IFERROR(O112-P112,0)</f>
        <v/>
      </c>
    </row>
    <row r="113" ht="16.5" customHeight="1">
      <c r="B113" s="208" t="n"/>
      <c r="C113" s="41">
        <f>IF(B113="","",TEXT(B113,"DDD"))</f>
        <v/>
      </c>
      <c r="D113" s="42">
        <f>IF(B113="","","Soft App")</f>
        <v/>
      </c>
      <c r="E113" s="218" t="n"/>
      <c r="F113" s="219" t="n"/>
      <c r="G113" s="220">
        <f>IFERROR(E113/F113,0)</f>
        <v/>
      </c>
      <c r="H113" s="221">
        <f>IFERROR(SUMIF('💸 Expenses'!B9:B508,B113,'💸 Expenses'!F9:F508),0)</f>
        <v/>
      </c>
      <c r="I113" s="222">
        <f>IFERROR(E113-H113,0)</f>
        <v/>
      </c>
      <c r="J113" s="223">
        <f>IFERROR(I113/E113,0)</f>
        <v/>
      </c>
      <c r="K113" s="49" t="n"/>
      <c r="L113" s="193">
        <f>IFERROR(L112+E113,0)</f>
        <v/>
      </c>
      <c r="M113" s="196">
        <f>IFERROR(M112+H113,0)</f>
        <v/>
      </c>
      <c r="N113" s="224">
        <f>IFERROR(L113-M113,0)</f>
        <v/>
      </c>
      <c r="O113" s="225">
        <f>IFERROR(SUMIF(B8:B113,"&gt;="&amp;(B113-WEEKDAY(B113,2)+1),E8:E113),0)</f>
        <v/>
      </c>
      <c r="P113" s="226">
        <f>IFERROR(SUMIF(B8:B113,"&gt;="&amp;(B113-WEEKDAY(B113,2)+1),H8:H113),0)</f>
        <v/>
      </c>
      <c r="Q113" s="224">
        <f>IFERROR(O113-P113,0)</f>
        <v/>
      </c>
    </row>
    <row r="114" ht="16.5" customHeight="1">
      <c r="B114" s="208" t="n"/>
      <c r="C114" s="29">
        <f>IF(B114="","",TEXT(B114,"DDD"))</f>
        <v/>
      </c>
      <c r="D114" s="30">
        <f>IF(B114="","","Soft App")</f>
        <v/>
      </c>
      <c r="E114" s="209" t="n"/>
      <c r="F114" s="210" t="n"/>
      <c r="G114" s="211">
        <f>IFERROR(E114/F114,0)</f>
        <v/>
      </c>
      <c r="H114" s="212">
        <f>IFERROR(SUMIF('💸 Expenses'!B9:B508,B114,'💸 Expenses'!F9:F508),0)</f>
        <v/>
      </c>
      <c r="I114" s="213">
        <f>IFERROR(E114-H114,0)</f>
        <v/>
      </c>
      <c r="J114" s="214">
        <f>IFERROR(I114/E114,0)</f>
        <v/>
      </c>
      <c r="K114" s="37" t="n"/>
      <c r="L114" s="187">
        <f>IFERROR(L113+E114,0)</f>
        <v/>
      </c>
      <c r="M114" s="190">
        <f>IFERROR(M113+H114,0)</f>
        <v/>
      </c>
      <c r="N114" s="215">
        <f>IFERROR(L114-M114,0)</f>
        <v/>
      </c>
      <c r="O114" s="216">
        <f>IFERROR(SUMIF(B8:B114,"&gt;="&amp;(B114-WEEKDAY(B114,2)+1),E8:E114),0)</f>
        <v/>
      </c>
      <c r="P114" s="217">
        <f>IFERROR(SUMIF(B8:B114,"&gt;="&amp;(B114-WEEKDAY(B114,2)+1),H8:H114),0)</f>
        <v/>
      </c>
      <c r="Q114" s="215">
        <f>IFERROR(O114-P114,0)</f>
        <v/>
      </c>
    </row>
    <row r="115" ht="16.5" customHeight="1">
      <c r="B115" s="208" t="n"/>
      <c r="C115" s="41">
        <f>IF(B115="","",TEXT(B115,"DDD"))</f>
        <v/>
      </c>
      <c r="D115" s="42">
        <f>IF(B115="","","Soft App")</f>
        <v/>
      </c>
      <c r="E115" s="218" t="n"/>
      <c r="F115" s="219" t="n"/>
      <c r="G115" s="220">
        <f>IFERROR(E115/F115,0)</f>
        <v/>
      </c>
      <c r="H115" s="221">
        <f>IFERROR(SUMIF('💸 Expenses'!B9:B508,B115,'💸 Expenses'!F9:F508),0)</f>
        <v/>
      </c>
      <c r="I115" s="222">
        <f>IFERROR(E115-H115,0)</f>
        <v/>
      </c>
      <c r="J115" s="223">
        <f>IFERROR(I115/E115,0)</f>
        <v/>
      </c>
      <c r="K115" s="49" t="n"/>
      <c r="L115" s="193">
        <f>IFERROR(L114+E115,0)</f>
        <v/>
      </c>
      <c r="M115" s="196">
        <f>IFERROR(M114+H115,0)</f>
        <v/>
      </c>
      <c r="N115" s="224">
        <f>IFERROR(L115-M115,0)</f>
        <v/>
      </c>
      <c r="O115" s="225">
        <f>IFERROR(SUMIF(B8:B115,"&gt;="&amp;(B115-WEEKDAY(B115,2)+1),E8:E115),0)</f>
        <v/>
      </c>
      <c r="P115" s="226">
        <f>IFERROR(SUMIF(B8:B115,"&gt;="&amp;(B115-WEEKDAY(B115,2)+1),H8:H115),0)</f>
        <v/>
      </c>
      <c r="Q115" s="224">
        <f>IFERROR(O115-P115,0)</f>
        <v/>
      </c>
    </row>
    <row r="116" ht="16.5" customHeight="1">
      <c r="B116" s="208" t="n"/>
      <c r="C116" s="29">
        <f>IF(B116="","",TEXT(B116,"DDD"))</f>
        <v/>
      </c>
      <c r="D116" s="30">
        <f>IF(B116="","","Soft App")</f>
        <v/>
      </c>
      <c r="E116" s="209" t="n"/>
      <c r="F116" s="210" t="n"/>
      <c r="G116" s="211">
        <f>IFERROR(E116/F116,0)</f>
        <v/>
      </c>
      <c r="H116" s="212">
        <f>IFERROR(SUMIF('💸 Expenses'!B9:B508,B116,'💸 Expenses'!F9:F508),0)</f>
        <v/>
      </c>
      <c r="I116" s="213">
        <f>IFERROR(E116-H116,0)</f>
        <v/>
      </c>
      <c r="J116" s="214">
        <f>IFERROR(I116/E116,0)</f>
        <v/>
      </c>
      <c r="K116" s="37" t="n"/>
      <c r="L116" s="187">
        <f>IFERROR(L115+E116,0)</f>
        <v/>
      </c>
      <c r="M116" s="190">
        <f>IFERROR(M115+H116,0)</f>
        <v/>
      </c>
      <c r="N116" s="215">
        <f>IFERROR(L116-M116,0)</f>
        <v/>
      </c>
      <c r="O116" s="216">
        <f>IFERROR(SUMIF(B8:B116,"&gt;="&amp;(B116-WEEKDAY(B116,2)+1),E8:E116),0)</f>
        <v/>
      </c>
      <c r="P116" s="217">
        <f>IFERROR(SUMIF(B8:B116,"&gt;="&amp;(B116-WEEKDAY(B116,2)+1),H8:H116),0)</f>
        <v/>
      </c>
      <c r="Q116" s="215">
        <f>IFERROR(O116-P116,0)</f>
        <v/>
      </c>
    </row>
    <row r="117" ht="16.5" customHeight="1">
      <c r="B117" s="208" t="n"/>
      <c r="C117" s="41">
        <f>IF(B117="","",TEXT(B117,"DDD"))</f>
        <v/>
      </c>
      <c r="D117" s="42">
        <f>IF(B117="","","Soft App")</f>
        <v/>
      </c>
      <c r="E117" s="218" t="n"/>
      <c r="F117" s="219" t="n"/>
      <c r="G117" s="220">
        <f>IFERROR(E117/F117,0)</f>
        <v/>
      </c>
      <c r="H117" s="221">
        <f>IFERROR(SUMIF('💸 Expenses'!B9:B508,B117,'💸 Expenses'!F9:F508),0)</f>
        <v/>
      </c>
      <c r="I117" s="222">
        <f>IFERROR(E117-H117,0)</f>
        <v/>
      </c>
      <c r="J117" s="223">
        <f>IFERROR(I117/E117,0)</f>
        <v/>
      </c>
      <c r="K117" s="49" t="n"/>
      <c r="L117" s="193">
        <f>IFERROR(L116+E117,0)</f>
        <v/>
      </c>
      <c r="M117" s="196">
        <f>IFERROR(M116+H117,0)</f>
        <v/>
      </c>
      <c r="N117" s="224">
        <f>IFERROR(L117-M117,0)</f>
        <v/>
      </c>
      <c r="O117" s="225">
        <f>IFERROR(SUMIF(B8:B117,"&gt;="&amp;(B117-WEEKDAY(B117,2)+1),E8:E117),0)</f>
        <v/>
      </c>
      <c r="P117" s="226">
        <f>IFERROR(SUMIF(B8:B117,"&gt;="&amp;(B117-WEEKDAY(B117,2)+1),H8:H117),0)</f>
        <v/>
      </c>
      <c r="Q117" s="224">
        <f>IFERROR(O117-P117,0)</f>
        <v/>
      </c>
    </row>
    <row r="118" ht="16.5" customHeight="1">
      <c r="B118" s="208" t="n"/>
      <c r="C118" s="29">
        <f>IF(B118="","",TEXT(B118,"DDD"))</f>
        <v/>
      </c>
      <c r="D118" s="30">
        <f>IF(B118="","","Soft App")</f>
        <v/>
      </c>
      <c r="E118" s="209" t="n"/>
      <c r="F118" s="210" t="n"/>
      <c r="G118" s="211">
        <f>IFERROR(E118/F118,0)</f>
        <v/>
      </c>
      <c r="H118" s="212">
        <f>IFERROR(SUMIF('💸 Expenses'!B9:B508,B118,'💸 Expenses'!F9:F508),0)</f>
        <v/>
      </c>
      <c r="I118" s="213">
        <f>IFERROR(E118-H118,0)</f>
        <v/>
      </c>
      <c r="J118" s="214">
        <f>IFERROR(I118/E118,0)</f>
        <v/>
      </c>
      <c r="K118" s="37" t="n"/>
      <c r="L118" s="187">
        <f>IFERROR(L117+E118,0)</f>
        <v/>
      </c>
      <c r="M118" s="190">
        <f>IFERROR(M117+H118,0)</f>
        <v/>
      </c>
      <c r="N118" s="215">
        <f>IFERROR(L118-M118,0)</f>
        <v/>
      </c>
      <c r="O118" s="216">
        <f>IFERROR(SUMIF(B8:B118,"&gt;="&amp;(B118-WEEKDAY(B118,2)+1),E8:E118),0)</f>
        <v/>
      </c>
      <c r="P118" s="217">
        <f>IFERROR(SUMIF(B8:B118,"&gt;="&amp;(B118-WEEKDAY(B118,2)+1),H8:H118),0)</f>
        <v/>
      </c>
      <c r="Q118" s="215">
        <f>IFERROR(O118-P118,0)</f>
        <v/>
      </c>
    </row>
    <row r="119" ht="16.5" customHeight="1">
      <c r="B119" s="208" t="n"/>
      <c r="C119" s="41">
        <f>IF(B119="","",TEXT(B119,"DDD"))</f>
        <v/>
      </c>
      <c r="D119" s="42">
        <f>IF(B119="","","Soft App")</f>
        <v/>
      </c>
      <c r="E119" s="218" t="n"/>
      <c r="F119" s="219" t="n"/>
      <c r="G119" s="220">
        <f>IFERROR(E119/F119,0)</f>
        <v/>
      </c>
      <c r="H119" s="221">
        <f>IFERROR(SUMIF('💸 Expenses'!B9:B508,B119,'💸 Expenses'!F9:F508),0)</f>
        <v/>
      </c>
      <c r="I119" s="222">
        <f>IFERROR(E119-H119,0)</f>
        <v/>
      </c>
      <c r="J119" s="223">
        <f>IFERROR(I119/E119,0)</f>
        <v/>
      </c>
      <c r="K119" s="49" t="n"/>
      <c r="L119" s="193">
        <f>IFERROR(L118+E119,0)</f>
        <v/>
      </c>
      <c r="M119" s="196">
        <f>IFERROR(M118+H119,0)</f>
        <v/>
      </c>
      <c r="N119" s="224">
        <f>IFERROR(L119-M119,0)</f>
        <v/>
      </c>
      <c r="O119" s="225">
        <f>IFERROR(SUMIF(B8:B119,"&gt;="&amp;(B119-WEEKDAY(B119,2)+1),E8:E119),0)</f>
        <v/>
      </c>
      <c r="P119" s="226">
        <f>IFERROR(SUMIF(B8:B119,"&gt;="&amp;(B119-WEEKDAY(B119,2)+1),H8:H119),0)</f>
        <v/>
      </c>
      <c r="Q119" s="224">
        <f>IFERROR(O119-P119,0)</f>
        <v/>
      </c>
    </row>
    <row r="120" ht="16.5" customHeight="1">
      <c r="B120" s="208" t="n"/>
      <c r="C120" s="29">
        <f>IF(B120="","",TEXT(B120,"DDD"))</f>
        <v/>
      </c>
      <c r="D120" s="30">
        <f>IF(B120="","","Soft App")</f>
        <v/>
      </c>
      <c r="E120" s="209" t="n"/>
      <c r="F120" s="210" t="n"/>
      <c r="G120" s="211">
        <f>IFERROR(E120/F120,0)</f>
        <v/>
      </c>
      <c r="H120" s="212">
        <f>IFERROR(SUMIF('💸 Expenses'!B9:B508,B120,'💸 Expenses'!F9:F508),0)</f>
        <v/>
      </c>
      <c r="I120" s="213">
        <f>IFERROR(E120-H120,0)</f>
        <v/>
      </c>
      <c r="J120" s="214">
        <f>IFERROR(I120/E120,0)</f>
        <v/>
      </c>
      <c r="K120" s="37" t="n"/>
      <c r="L120" s="187">
        <f>IFERROR(L119+E120,0)</f>
        <v/>
      </c>
      <c r="M120" s="190">
        <f>IFERROR(M119+H120,0)</f>
        <v/>
      </c>
      <c r="N120" s="215">
        <f>IFERROR(L120-M120,0)</f>
        <v/>
      </c>
      <c r="O120" s="216">
        <f>IFERROR(SUMIF(B8:B120,"&gt;="&amp;(B120-WEEKDAY(B120,2)+1),E8:E120),0)</f>
        <v/>
      </c>
      <c r="P120" s="217">
        <f>IFERROR(SUMIF(B8:B120,"&gt;="&amp;(B120-WEEKDAY(B120,2)+1),H8:H120),0)</f>
        <v/>
      </c>
      <c r="Q120" s="215">
        <f>IFERROR(O120-P120,0)</f>
        <v/>
      </c>
    </row>
    <row r="121" ht="16.5" customHeight="1">
      <c r="B121" s="208" t="n"/>
      <c r="C121" s="41">
        <f>IF(B121="","",TEXT(B121,"DDD"))</f>
        <v/>
      </c>
      <c r="D121" s="42">
        <f>IF(B121="","","Soft App")</f>
        <v/>
      </c>
      <c r="E121" s="218" t="n"/>
      <c r="F121" s="219" t="n"/>
      <c r="G121" s="220">
        <f>IFERROR(E121/F121,0)</f>
        <v/>
      </c>
      <c r="H121" s="221">
        <f>IFERROR(SUMIF('💸 Expenses'!B9:B508,B121,'💸 Expenses'!F9:F508),0)</f>
        <v/>
      </c>
      <c r="I121" s="222">
        <f>IFERROR(E121-H121,0)</f>
        <v/>
      </c>
      <c r="J121" s="223">
        <f>IFERROR(I121/E121,0)</f>
        <v/>
      </c>
      <c r="K121" s="49" t="n"/>
      <c r="L121" s="193">
        <f>IFERROR(L120+E121,0)</f>
        <v/>
      </c>
      <c r="M121" s="196">
        <f>IFERROR(M120+H121,0)</f>
        <v/>
      </c>
      <c r="N121" s="224">
        <f>IFERROR(L121-M121,0)</f>
        <v/>
      </c>
      <c r="O121" s="225">
        <f>IFERROR(SUMIF(B8:B121,"&gt;="&amp;(B121-WEEKDAY(B121,2)+1),E8:E121),0)</f>
        <v/>
      </c>
      <c r="P121" s="226">
        <f>IFERROR(SUMIF(B8:B121,"&gt;="&amp;(B121-WEEKDAY(B121,2)+1),H8:H121),0)</f>
        <v/>
      </c>
      <c r="Q121" s="224">
        <f>IFERROR(O121-P121,0)</f>
        <v/>
      </c>
    </row>
    <row r="122" ht="16.5" customHeight="1">
      <c r="B122" s="208" t="n"/>
      <c r="C122" s="29">
        <f>IF(B122="","",TEXT(B122,"DDD"))</f>
        <v/>
      </c>
      <c r="D122" s="30">
        <f>IF(B122="","","Soft App")</f>
        <v/>
      </c>
      <c r="E122" s="209" t="n"/>
      <c r="F122" s="210" t="n"/>
      <c r="G122" s="211">
        <f>IFERROR(E122/F122,0)</f>
        <v/>
      </c>
      <c r="H122" s="212">
        <f>IFERROR(SUMIF('💸 Expenses'!B9:B508,B122,'💸 Expenses'!F9:F508),0)</f>
        <v/>
      </c>
      <c r="I122" s="213">
        <f>IFERROR(E122-H122,0)</f>
        <v/>
      </c>
      <c r="J122" s="214">
        <f>IFERROR(I122/E122,0)</f>
        <v/>
      </c>
      <c r="K122" s="37" t="n"/>
      <c r="L122" s="187">
        <f>IFERROR(L121+E122,0)</f>
        <v/>
      </c>
      <c r="M122" s="190">
        <f>IFERROR(M121+H122,0)</f>
        <v/>
      </c>
      <c r="N122" s="215">
        <f>IFERROR(L122-M122,0)</f>
        <v/>
      </c>
      <c r="O122" s="216">
        <f>IFERROR(SUMIF(B8:B122,"&gt;="&amp;(B122-WEEKDAY(B122,2)+1),E8:E122),0)</f>
        <v/>
      </c>
      <c r="P122" s="217">
        <f>IFERROR(SUMIF(B8:B122,"&gt;="&amp;(B122-WEEKDAY(B122,2)+1),H8:H122),0)</f>
        <v/>
      </c>
      <c r="Q122" s="215">
        <f>IFERROR(O122-P122,0)</f>
        <v/>
      </c>
    </row>
    <row r="123" ht="16.5" customHeight="1">
      <c r="B123" s="208" t="n"/>
      <c r="C123" s="41">
        <f>IF(B123="","",TEXT(B123,"DDD"))</f>
        <v/>
      </c>
      <c r="D123" s="42">
        <f>IF(B123="","","Soft App")</f>
        <v/>
      </c>
      <c r="E123" s="218" t="n"/>
      <c r="F123" s="219" t="n"/>
      <c r="G123" s="220">
        <f>IFERROR(E123/F123,0)</f>
        <v/>
      </c>
      <c r="H123" s="221">
        <f>IFERROR(SUMIF('💸 Expenses'!B9:B508,B123,'💸 Expenses'!F9:F508),0)</f>
        <v/>
      </c>
      <c r="I123" s="222">
        <f>IFERROR(E123-H123,0)</f>
        <v/>
      </c>
      <c r="J123" s="223">
        <f>IFERROR(I123/E123,0)</f>
        <v/>
      </c>
      <c r="K123" s="49" t="n"/>
      <c r="L123" s="193">
        <f>IFERROR(L122+E123,0)</f>
        <v/>
      </c>
      <c r="M123" s="196">
        <f>IFERROR(M122+H123,0)</f>
        <v/>
      </c>
      <c r="N123" s="224">
        <f>IFERROR(L123-M123,0)</f>
        <v/>
      </c>
      <c r="O123" s="225">
        <f>IFERROR(SUMIF(B8:B123,"&gt;="&amp;(B123-WEEKDAY(B123,2)+1),E8:E123),0)</f>
        <v/>
      </c>
      <c r="P123" s="226">
        <f>IFERROR(SUMIF(B8:B123,"&gt;="&amp;(B123-WEEKDAY(B123,2)+1),H8:H123),0)</f>
        <v/>
      </c>
      <c r="Q123" s="224">
        <f>IFERROR(O123-P123,0)</f>
        <v/>
      </c>
    </row>
    <row r="124" ht="16.5" customHeight="1">
      <c r="B124" s="208" t="n"/>
      <c r="C124" s="29">
        <f>IF(B124="","",TEXT(B124,"DDD"))</f>
        <v/>
      </c>
      <c r="D124" s="30">
        <f>IF(B124="","","Soft App")</f>
        <v/>
      </c>
      <c r="E124" s="209" t="n"/>
      <c r="F124" s="210" t="n"/>
      <c r="G124" s="211">
        <f>IFERROR(E124/F124,0)</f>
        <v/>
      </c>
      <c r="H124" s="212">
        <f>IFERROR(SUMIF('💸 Expenses'!B9:B508,B124,'💸 Expenses'!F9:F508),0)</f>
        <v/>
      </c>
      <c r="I124" s="213">
        <f>IFERROR(E124-H124,0)</f>
        <v/>
      </c>
      <c r="J124" s="214">
        <f>IFERROR(I124/E124,0)</f>
        <v/>
      </c>
      <c r="K124" s="37" t="n"/>
      <c r="L124" s="187">
        <f>IFERROR(L123+E124,0)</f>
        <v/>
      </c>
      <c r="M124" s="190">
        <f>IFERROR(M123+H124,0)</f>
        <v/>
      </c>
      <c r="N124" s="215">
        <f>IFERROR(L124-M124,0)</f>
        <v/>
      </c>
      <c r="O124" s="216">
        <f>IFERROR(SUMIF(B8:B124,"&gt;="&amp;(B124-WEEKDAY(B124,2)+1),E8:E124),0)</f>
        <v/>
      </c>
      <c r="P124" s="217">
        <f>IFERROR(SUMIF(B8:B124,"&gt;="&amp;(B124-WEEKDAY(B124,2)+1),H8:H124),0)</f>
        <v/>
      </c>
      <c r="Q124" s="215">
        <f>IFERROR(O124-P124,0)</f>
        <v/>
      </c>
    </row>
    <row r="125" ht="16.5" customHeight="1">
      <c r="B125" s="208" t="n"/>
      <c r="C125" s="41">
        <f>IF(B125="","",TEXT(B125,"DDD"))</f>
        <v/>
      </c>
      <c r="D125" s="42">
        <f>IF(B125="","","Soft App")</f>
        <v/>
      </c>
      <c r="E125" s="218" t="n"/>
      <c r="F125" s="219" t="n"/>
      <c r="G125" s="220">
        <f>IFERROR(E125/F125,0)</f>
        <v/>
      </c>
      <c r="H125" s="221">
        <f>IFERROR(SUMIF('💸 Expenses'!B9:B508,B125,'💸 Expenses'!F9:F508),0)</f>
        <v/>
      </c>
      <c r="I125" s="222">
        <f>IFERROR(E125-H125,0)</f>
        <v/>
      </c>
      <c r="J125" s="223">
        <f>IFERROR(I125/E125,0)</f>
        <v/>
      </c>
      <c r="K125" s="49" t="n"/>
      <c r="L125" s="193">
        <f>IFERROR(L124+E125,0)</f>
        <v/>
      </c>
      <c r="M125" s="196">
        <f>IFERROR(M124+H125,0)</f>
        <v/>
      </c>
      <c r="N125" s="224">
        <f>IFERROR(L125-M125,0)</f>
        <v/>
      </c>
      <c r="O125" s="225">
        <f>IFERROR(SUMIF(B8:B125,"&gt;="&amp;(B125-WEEKDAY(B125,2)+1),E8:E125),0)</f>
        <v/>
      </c>
      <c r="P125" s="226">
        <f>IFERROR(SUMIF(B8:B125,"&gt;="&amp;(B125-WEEKDAY(B125,2)+1),H8:H125),0)</f>
        <v/>
      </c>
      <c r="Q125" s="224">
        <f>IFERROR(O125-P125,0)</f>
        <v/>
      </c>
    </row>
    <row r="126" ht="16.5" customHeight="1">
      <c r="B126" s="208" t="n"/>
      <c r="C126" s="29">
        <f>IF(B126="","",TEXT(B126,"DDD"))</f>
        <v/>
      </c>
      <c r="D126" s="30">
        <f>IF(B126="","","Soft App")</f>
        <v/>
      </c>
      <c r="E126" s="209" t="n"/>
      <c r="F126" s="210" t="n"/>
      <c r="G126" s="211">
        <f>IFERROR(E126/F126,0)</f>
        <v/>
      </c>
      <c r="H126" s="212">
        <f>IFERROR(SUMIF('💸 Expenses'!B9:B508,B126,'💸 Expenses'!F9:F508),0)</f>
        <v/>
      </c>
      <c r="I126" s="213">
        <f>IFERROR(E126-H126,0)</f>
        <v/>
      </c>
      <c r="J126" s="214">
        <f>IFERROR(I126/E126,0)</f>
        <v/>
      </c>
      <c r="K126" s="37" t="n"/>
      <c r="L126" s="187">
        <f>IFERROR(L125+E126,0)</f>
        <v/>
      </c>
      <c r="M126" s="190">
        <f>IFERROR(M125+H126,0)</f>
        <v/>
      </c>
      <c r="N126" s="215">
        <f>IFERROR(L126-M126,0)</f>
        <v/>
      </c>
      <c r="O126" s="216">
        <f>IFERROR(SUMIF(B8:B126,"&gt;="&amp;(B126-WEEKDAY(B126,2)+1),E8:E126),0)</f>
        <v/>
      </c>
      <c r="P126" s="217">
        <f>IFERROR(SUMIF(B8:B126,"&gt;="&amp;(B126-WEEKDAY(B126,2)+1),H8:H126),0)</f>
        <v/>
      </c>
      <c r="Q126" s="215">
        <f>IFERROR(O126-P126,0)</f>
        <v/>
      </c>
    </row>
    <row r="127" ht="16.5" customHeight="1">
      <c r="B127" s="208" t="n"/>
      <c r="C127" s="41">
        <f>IF(B127="","",TEXT(B127,"DDD"))</f>
        <v/>
      </c>
      <c r="D127" s="42">
        <f>IF(B127="","","Soft App")</f>
        <v/>
      </c>
      <c r="E127" s="218" t="n"/>
      <c r="F127" s="219" t="n"/>
      <c r="G127" s="220">
        <f>IFERROR(E127/F127,0)</f>
        <v/>
      </c>
      <c r="H127" s="221">
        <f>IFERROR(SUMIF('💸 Expenses'!B9:B508,B127,'💸 Expenses'!F9:F508),0)</f>
        <v/>
      </c>
      <c r="I127" s="222">
        <f>IFERROR(E127-H127,0)</f>
        <v/>
      </c>
      <c r="J127" s="223">
        <f>IFERROR(I127/E127,0)</f>
        <v/>
      </c>
      <c r="K127" s="49" t="n"/>
      <c r="L127" s="193">
        <f>IFERROR(L126+E127,0)</f>
        <v/>
      </c>
      <c r="M127" s="196">
        <f>IFERROR(M126+H127,0)</f>
        <v/>
      </c>
      <c r="N127" s="224">
        <f>IFERROR(L127-M127,0)</f>
        <v/>
      </c>
      <c r="O127" s="225">
        <f>IFERROR(SUMIF(B8:B127,"&gt;="&amp;(B127-WEEKDAY(B127,2)+1),E8:E127),0)</f>
        <v/>
      </c>
      <c r="P127" s="226">
        <f>IFERROR(SUMIF(B8:B127,"&gt;="&amp;(B127-WEEKDAY(B127,2)+1),H8:H127),0)</f>
        <v/>
      </c>
      <c r="Q127" s="224">
        <f>IFERROR(O127-P127,0)</f>
        <v/>
      </c>
    </row>
    <row r="128" ht="16.5" customHeight="1">
      <c r="B128" s="208" t="n"/>
      <c r="C128" s="29">
        <f>IF(B128="","",TEXT(B128,"DDD"))</f>
        <v/>
      </c>
      <c r="D128" s="30">
        <f>IF(B128="","","Soft App")</f>
        <v/>
      </c>
      <c r="E128" s="209" t="n"/>
      <c r="F128" s="210" t="n"/>
      <c r="G128" s="211">
        <f>IFERROR(E128/F128,0)</f>
        <v/>
      </c>
      <c r="H128" s="212">
        <f>IFERROR(SUMIF('💸 Expenses'!B9:B508,B128,'💸 Expenses'!F9:F508),0)</f>
        <v/>
      </c>
      <c r="I128" s="213">
        <f>IFERROR(E128-H128,0)</f>
        <v/>
      </c>
      <c r="J128" s="214">
        <f>IFERROR(I128/E128,0)</f>
        <v/>
      </c>
      <c r="K128" s="37" t="n"/>
      <c r="L128" s="187">
        <f>IFERROR(L127+E128,0)</f>
        <v/>
      </c>
      <c r="M128" s="190">
        <f>IFERROR(M127+H128,0)</f>
        <v/>
      </c>
      <c r="N128" s="215">
        <f>IFERROR(L128-M128,0)</f>
        <v/>
      </c>
      <c r="O128" s="216">
        <f>IFERROR(SUMIF(B8:B128,"&gt;="&amp;(B128-WEEKDAY(B128,2)+1),E8:E128),0)</f>
        <v/>
      </c>
      <c r="P128" s="217">
        <f>IFERROR(SUMIF(B8:B128,"&gt;="&amp;(B128-WEEKDAY(B128,2)+1),H8:H128),0)</f>
        <v/>
      </c>
      <c r="Q128" s="215">
        <f>IFERROR(O128-P128,0)</f>
        <v/>
      </c>
    </row>
    <row r="129" ht="16.5" customHeight="1">
      <c r="B129" s="208" t="n"/>
      <c r="C129" s="41">
        <f>IF(B129="","",TEXT(B129,"DDD"))</f>
        <v/>
      </c>
      <c r="D129" s="42">
        <f>IF(B129="","","Soft App")</f>
        <v/>
      </c>
      <c r="E129" s="218" t="n"/>
      <c r="F129" s="219" t="n"/>
      <c r="G129" s="220">
        <f>IFERROR(E129/F129,0)</f>
        <v/>
      </c>
      <c r="H129" s="221">
        <f>IFERROR(SUMIF('💸 Expenses'!B9:B508,B129,'💸 Expenses'!F9:F508),0)</f>
        <v/>
      </c>
      <c r="I129" s="222">
        <f>IFERROR(E129-H129,0)</f>
        <v/>
      </c>
      <c r="J129" s="223">
        <f>IFERROR(I129/E129,0)</f>
        <v/>
      </c>
      <c r="K129" s="49" t="n"/>
      <c r="L129" s="193">
        <f>IFERROR(L128+E129,0)</f>
        <v/>
      </c>
      <c r="M129" s="196">
        <f>IFERROR(M128+H129,0)</f>
        <v/>
      </c>
      <c r="N129" s="224">
        <f>IFERROR(L129-M129,0)</f>
        <v/>
      </c>
      <c r="O129" s="225">
        <f>IFERROR(SUMIF(B8:B129,"&gt;="&amp;(B129-WEEKDAY(B129,2)+1),E8:E129),0)</f>
        <v/>
      </c>
      <c r="P129" s="226">
        <f>IFERROR(SUMIF(B8:B129,"&gt;="&amp;(B129-WEEKDAY(B129,2)+1),H8:H129),0)</f>
        <v/>
      </c>
      <c r="Q129" s="224">
        <f>IFERROR(O129-P129,0)</f>
        <v/>
      </c>
    </row>
    <row r="130" ht="16.5" customHeight="1">
      <c r="B130" s="208" t="n"/>
      <c r="C130" s="29">
        <f>IF(B130="","",TEXT(B130,"DDD"))</f>
        <v/>
      </c>
      <c r="D130" s="30">
        <f>IF(B130="","","Soft App")</f>
        <v/>
      </c>
      <c r="E130" s="209" t="n"/>
      <c r="F130" s="210" t="n"/>
      <c r="G130" s="211">
        <f>IFERROR(E130/F130,0)</f>
        <v/>
      </c>
      <c r="H130" s="212">
        <f>IFERROR(SUMIF('💸 Expenses'!B9:B508,B130,'💸 Expenses'!F9:F508),0)</f>
        <v/>
      </c>
      <c r="I130" s="213">
        <f>IFERROR(E130-H130,0)</f>
        <v/>
      </c>
      <c r="J130" s="214">
        <f>IFERROR(I130/E130,0)</f>
        <v/>
      </c>
      <c r="K130" s="37" t="n"/>
      <c r="L130" s="187">
        <f>IFERROR(L129+E130,0)</f>
        <v/>
      </c>
      <c r="M130" s="190">
        <f>IFERROR(M129+H130,0)</f>
        <v/>
      </c>
      <c r="N130" s="215">
        <f>IFERROR(L130-M130,0)</f>
        <v/>
      </c>
      <c r="O130" s="216">
        <f>IFERROR(SUMIF(B8:B130,"&gt;="&amp;(B130-WEEKDAY(B130,2)+1),E8:E130),0)</f>
        <v/>
      </c>
      <c r="P130" s="217">
        <f>IFERROR(SUMIF(B8:B130,"&gt;="&amp;(B130-WEEKDAY(B130,2)+1),H8:H130),0)</f>
        <v/>
      </c>
      <c r="Q130" s="215">
        <f>IFERROR(O130-P130,0)</f>
        <v/>
      </c>
    </row>
    <row r="131" ht="16.5" customHeight="1">
      <c r="B131" s="208" t="n"/>
      <c r="C131" s="41">
        <f>IF(B131="","",TEXT(B131,"DDD"))</f>
        <v/>
      </c>
      <c r="D131" s="42">
        <f>IF(B131="","","Soft App")</f>
        <v/>
      </c>
      <c r="E131" s="218" t="n"/>
      <c r="F131" s="219" t="n"/>
      <c r="G131" s="220">
        <f>IFERROR(E131/F131,0)</f>
        <v/>
      </c>
      <c r="H131" s="221">
        <f>IFERROR(SUMIF('💸 Expenses'!B9:B508,B131,'💸 Expenses'!F9:F508),0)</f>
        <v/>
      </c>
      <c r="I131" s="222">
        <f>IFERROR(E131-H131,0)</f>
        <v/>
      </c>
      <c r="J131" s="223">
        <f>IFERROR(I131/E131,0)</f>
        <v/>
      </c>
      <c r="K131" s="49" t="n"/>
      <c r="L131" s="193">
        <f>IFERROR(L130+E131,0)</f>
        <v/>
      </c>
      <c r="M131" s="196">
        <f>IFERROR(M130+H131,0)</f>
        <v/>
      </c>
      <c r="N131" s="224">
        <f>IFERROR(L131-M131,0)</f>
        <v/>
      </c>
      <c r="O131" s="225">
        <f>IFERROR(SUMIF(B8:B131,"&gt;="&amp;(B131-WEEKDAY(B131,2)+1),E8:E131),0)</f>
        <v/>
      </c>
      <c r="P131" s="226">
        <f>IFERROR(SUMIF(B8:B131,"&gt;="&amp;(B131-WEEKDAY(B131,2)+1),H8:H131),0)</f>
        <v/>
      </c>
      <c r="Q131" s="224">
        <f>IFERROR(O131-P131,0)</f>
        <v/>
      </c>
    </row>
    <row r="132" ht="16.5" customHeight="1">
      <c r="B132" s="208" t="n"/>
      <c r="C132" s="29">
        <f>IF(B132="","",TEXT(B132,"DDD"))</f>
        <v/>
      </c>
      <c r="D132" s="30">
        <f>IF(B132="","","Soft App")</f>
        <v/>
      </c>
      <c r="E132" s="209" t="n"/>
      <c r="F132" s="210" t="n"/>
      <c r="G132" s="211">
        <f>IFERROR(E132/F132,0)</f>
        <v/>
      </c>
      <c r="H132" s="212">
        <f>IFERROR(SUMIF('💸 Expenses'!B9:B508,B132,'💸 Expenses'!F9:F508),0)</f>
        <v/>
      </c>
      <c r="I132" s="213">
        <f>IFERROR(E132-H132,0)</f>
        <v/>
      </c>
      <c r="J132" s="214">
        <f>IFERROR(I132/E132,0)</f>
        <v/>
      </c>
      <c r="K132" s="37" t="n"/>
      <c r="L132" s="187">
        <f>IFERROR(L131+E132,0)</f>
        <v/>
      </c>
      <c r="M132" s="190">
        <f>IFERROR(M131+H132,0)</f>
        <v/>
      </c>
      <c r="N132" s="215">
        <f>IFERROR(L132-M132,0)</f>
        <v/>
      </c>
      <c r="O132" s="216">
        <f>IFERROR(SUMIF(B8:B132,"&gt;="&amp;(B132-WEEKDAY(B132,2)+1),E8:E132),0)</f>
        <v/>
      </c>
      <c r="P132" s="217">
        <f>IFERROR(SUMIF(B8:B132,"&gt;="&amp;(B132-WEEKDAY(B132,2)+1),H8:H132),0)</f>
        <v/>
      </c>
      <c r="Q132" s="215">
        <f>IFERROR(O132-P132,0)</f>
        <v/>
      </c>
    </row>
    <row r="133" ht="16.5" customHeight="1">
      <c r="B133" s="208" t="n"/>
      <c r="C133" s="41">
        <f>IF(B133="","",TEXT(B133,"DDD"))</f>
        <v/>
      </c>
      <c r="D133" s="42">
        <f>IF(B133="","","Soft App")</f>
        <v/>
      </c>
      <c r="E133" s="218" t="n"/>
      <c r="F133" s="219" t="n"/>
      <c r="G133" s="220">
        <f>IFERROR(E133/F133,0)</f>
        <v/>
      </c>
      <c r="H133" s="221">
        <f>IFERROR(SUMIF('💸 Expenses'!B9:B508,B133,'💸 Expenses'!F9:F508),0)</f>
        <v/>
      </c>
      <c r="I133" s="222">
        <f>IFERROR(E133-H133,0)</f>
        <v/>
      </c>
      <c r="J133" s="223">
        <f>IFERROR(I133/E133,0)</f>
        <v/>
      </c>
      <c r="K133" s="49" t="n"/>
      <c r="L133" s="193">
        <f>IFERROR(L132+E133,0)</f>
        <v/>
      </c>
      <c r="M133" s="196">
        <f>IFERROR(M132+H133,0)</f>
        <v/>
      </c>
      <c r="N133" s="224">
        <f>IFERROR(L133-M133,0)</f>
        <v/>
      </c>
      <c r="O133" s="225">
        <f>IFERROR(SUMIF(B8:B133,"&gt;="&amp;(B133-WEEKDAY(B133,2)+1),E8:E133),0)</f>
        <v/>
      </c>
      <c r="P133" s="226">
        <f>IFERROR(SUMIF(B8:B133,"&gt;="&amp;(B133-WEEKDAY(B133,2)+1),H8:H133),0)</f>
        <v/>
      </c>
      <c r="Q133" s="224">
        <f>IFERROR(O133-P133,0)</f>
        <v/>
      </c>
    </row>
    <row r="134" ht="16.5" customHeight="1">
      <c r="B134" s="208" t="n"/>
      <c r="C134" s="29">
        <f>IF(B134="","",TEXT(B134,"DDD"))</f>
        <v/>
      </c>
      <c r="D134" s="30">
        <f>IF(B134="","","Soft App")</f>
        <v/>
      </c>
      <c r="E134" s="209" t="n"/>
      <c r="F134" s="210" t="n"/>
      <c r="G134" s="211">
        <f>IFERROR(E134/F134,0)</f>
        <v/>
      </c>
      <c r="H134" s="212">
        <f>IFERROR(SUMIF('💸 Expenses'!B9:B508,B134,'💸 Expenses'!F9:F508),0)</f>
        <v/>
      </c>
      <c r="I134" s="213">
        <f>IFERROR(E134-H134,0)</f>
        <v/>
      </c>
      <c r="J134" s="214">
        <f>IFERROR(I134/E134,0)</f>
        <v/>
      </c>
      <c r="K134" s="37" t="n"/>
      <c r="L134" s="187">
        <f>IFERROR(L133+E134,0)</f>
        <v/>
      </c>
      <c r="M134" s="190">
        <f>IFERROR(M133+H134,0)</f>
        <v/>
      </c>
      <c r="N134" s="215">
        <f>IFERROR(L134-M134,0)</f>
        <v/>
      </c>
      <c r="O134" s="216">
        <f>IFERROR(SUMIF(B8:B134,"&gt;="&amp;(B134-WEEKDAY(B134,2)+1),E8:E134),0)</f>
        <v/>
      </c>
      <c r="P134" s="217">
        <f>IFERROR(SUMIF(B8:B134,"&gt;="&amp;(B134-WEEKDAY(B134,2)+1),H8:H134),0)</f>
        <v/>
      </c>
      <c r="Q134" s="215">
        <f>IFERROR(O134-P134,0)</f>
        <v/>
      </c>
    </row>
    <row r="135" ht="16.5" customHeight="1">
      <c r="B135" s="208" t="n"/>
      <c r="C135" s="41">
        <f>IF(B135="","",TEXT(B135,"DDD"))</f>
        <v/>
      </c>
      <c r="D135" s="42">
        <f>IF(B135="","","Soft App")</f>
        <v/>
      </c>
      <c r="E135" s="218" t="n"/>
      <c r="F135" s="219" t="n"/>
      <c r="G135" s="220">
        <f>IFERROR(E135/F135,0)</f>
        <v/>
      </c>
      <c r="H135" s="221">
        <f>IFERROR(SUMIF('💸 Expenses'!B9:B508,B135,'💸 Expenses'!F9:F508),0)</f>
        <v/>
      </c>
      <c r="I135" s="222">
        <f>IFERROR(E135-H135,0)</f>
        <v/>
      </c>
      <c r="J135" s="223">
        <f>IFERROR(I135/E135,0)</f>
        <v/>
      </c>
      <c r="K135" s="49" t="n"/>
      <c r="L135" s="193">
        <f>IFERROR(L134+E135,0)</f>
        <v/>
      </c>
      <c r="M135" s="196">
        <f>IFERROR(M134+H135,0)</f>
        <v/>
      </c>
      <c r="N135" s="224">
        <f>IFERROR(L135-M135,0)</f>
        <v/>
      </c>
      <c r="O135" s="225">
        <f>IFERROR(SUMIF(B8:B135,"&gt;="&amp;(B135-WEEKDAY(B135,2)+1),E8:E135),0)</f>
        <v/>
      </c>
      <c r="P135" s="226">
        <f>IFERROR(SUMIF(B8:B135,"&gt;="&amp;(B135-WEEKDAY(B135,2)+1),H8:H135),0)</f>
        <v/>
      </c>
      <c r="Q135" s="224">
        <f>IFERROR(O135-P135,0)</f>
        <v/>
      </c>
    </row>
    <row r="136" ht="16.5" customHeight="1">
      <c r="B136" s="208" t="n"/>
      <c r="C136" s="29">
        <f>IF(B136="","",TEXT(B136,"DDD"))</f>
        <v/>
      </c>
      <c r="D136" s="30">
        <f>IF(B136="","","Soft App")</f>
        <v/>
      </c>
      <c r="E136" s="209" t="n"/>
      <c r="F136" s="210" t="n"/>
      <c r="G136" s="211">
        <f>IFERROR(E136/F136,0)</f>
        <v/>
      </c>
      <c r="H136" s="212">
        <f>IFERROR(SUMIF('💸 Expenses'!B9:B508,B136,'💸 Expenses'!F9:F508),0)</f>
        <v/>
      </c>
      <c r="I136" s="213">
        <f>IFERROR(E136-H136,0)</f>
        <v/>
      </c>
      <c r="J136" s="214">
        <f>IFERROR(I136/E136,0)</f>
        <v/>
      </c>
      <c r="K136" s="37" t="n"/>
      <c r="L136" s="187">
        <f>IFERROR(L135+E136,0)</f>
        <v/>
      </c>
      <c r="M136" s="190">
        <f>IFERROR(M135+H136,0)</f>
        <v/>
      </c>
      <c r="N136" s="215">
        <f>IFERROR(L136-M136,0)</f>
        <v/>
      </c>
      <c r="O136" s="216">
        <f>IFERROR(SUMIF(B8:B136,"&gt;="&amp;(B136-WEEKDAY(B136,2)+1),E8:E136),0)</f>
        <v/>
      </c>
      <c r="P136" s="217">
        <f>IFERROR(SUMIF(B8:B136,"&gt;="&amp;(B136-WEEKDAY(B136,2)+1),H8:H136),0)</f>
        <v/>
      </c>
      <c r="Q136" s="215">
        <f>IFERROR(O136-P136,0)</f>
        <v/>
      </c>
    </row>
    <row r="137" ht="16.5" customHeight="1">
      <c r="B137" s="208" t="n"/>
      <c r="C137" s="41">
        <f>IF(B137="","",TEXT(B137,"DDD"))</f>
        <v/>
      </c>
      <c r="D137" s="42">
        <f>IF(B137="","","Soft App")</f>
        <v/>
      </c>
      <c r="E137" s="218" t="n"/>
      <c r="F137" s="219" t="n"/>
      <c r="G137" s="220">
        <f>IFERROR(E137/F137,0)</f>
        <v/>
      </c>
      <c r="H137" s="221">
        <f>IFERROR(SUMIF('💸 Expenses'!B9:B508,B137,'💸 Expenses'!F9:F508),0)</f>
        <v/>
      </c>
      <c r="I137" s="222">
        <f>IFERROR(E137-H137,0)</f>
        <v/>
      </c>
      <c r="J137" s="223">
        <f>IFERROR(I137/E137,0)</f>
        <v/>
      </c>
      <c r="K137" s="49" t="n"/>
      <c r="L137" s="193">
        <f>IFERROR(L136+E137,0)</f>
        <v/>
      </c>
      <c r="M137" s="196">
        <f>IFERROR(M136+H137,0)</f>
        <v/>
      </c>
      <c r="N137" s="224">
        <f>IFERROR(L137-M137,0)</f>
        <v/>
      </c>
      <c r="O137" s="225">
        <f>IFERROR(SUMIF(B8:B137,"&gt;="&amp;(B137-WEEKDAY(B137,2)+1),E8:E137),0)</f>
        <v/>
      </c>
      <c r="P137" s="226">
        <f>IFERROR(SUMIF(B8:B137,"&gt;="&amp;(B137-WEEKDAY(B137,2)+1),H8:H137),0)</f>
        <v/>
      </c>
      <c r="Q137" s="224">
        <f>IFERROR(O137-P137,0)</f>
        <v/>
      </c>
    </row>
    <row r="138" ht="16.5" customHeight="1">
      <c r="B138" s="208" t="n"/>
      <c r="C138" s="29">
        <f>IF(B138="","",TEXT(B138,"DDD"))</f>
        <v/>
      </c>
      <c r="D138" s="30">
        <f>IF(B138="","","Soft App")</f>
        <v/>
      </c>
      <c r="E138" s="209" t="n"/>
      <c r="F138" s="210" t="n"/>
      <c r="G138" s="211">
        <f>IFERROR(E138/F138,0)</f>
        <v/>
      </c>
      <c r="H138" s="212">
        <f>IFERROR(SUMIF('💸 Expenses'!B9:B508,B138,'💸 Expenses'!F9:F508),0)</f>
        <v/>
      </c>
      <c r="I138" s="213">
        <f>IFERROR(E138-H138,0)</f>
        <v/>
      </c>
      <c r="J138" s="214">
        <f>IFERROR(I138/E138,0)</f>
        <v/>
      </c>
      <c r="K138" s="37" t="n"/>
      <c r="L138" s="187">
        <f>IFERROR(L137+E138,0)</f>
        <v/>
      </c>
      <c r="M138" s="190">
        <f>IFERROR(M137+H138,0)</f>
        <v/>
      </c>
      <c r="N138" s="215">
        <f>IFERROR(L138-M138,0)</f>
        <v/>
      </c>
      <c r="O138" s="216">
        <f>IFERROR(SUMIF(B8:B138,"&gt;="&amp;(B138-WEEKDAY(B138,2)+1),E8:E138),0)</f>
        <v/>
      </c>
      <c r="P138" s="217">
        <f>IFERROR(SUMIF(B8:B138,"&gt;="&amp;(B138-WEEKDAY(B138,2)+1),H8:H138),0)</f>
        <v/>
      </c>
      <c r="Q138" s="215">
        <f>IFERROR(O138-P138,0)</f>
        <v/>
      </c>
    </row>
    <row r="139" ht="16.5" customHeight="1">
      <c r="B139" s="208" t="n"/>
      <c r="C139" s="41">
        <f>IF(B139="","",TEXT(B139,"DDD"))</f>
        <v/>
      </c>
      <c r="D139" s="42">
        <f>IF(B139="","","Soft App")</f>
        <v/>
      </c>
      <c r="E139" s="218" t="n"/>
      <c r="F139" s="219" t="n"/>
      <c r="G139" s="220">
        <f>IFERROR(E139/F139,0)</f>
        <v/>
      </c>
      <c r="H139" s="221">
        <f>IFERROR(SUMIF('💸 Expenses'!B9:B508,B139,'💸 Expenses'!F9:F508),0)</f>
        <v/>
      </c>
      <c r="I139" s="222">
        <f>IFERROR(E139-H139,0)</f>
        <v/>
      </c>
      <c r="J139" s="223">
        <f>IFERROR(I139/E139,0)</f>
        <v/>
      </c>
      <c r="K139" s="49" t="n"/>
      <c r="L139" s="193">
        <f>IFERROR(L138+E139,0)</f>
        <v/>
      </c>
      <c r="M139" s="196">
        <f>IFERROR(M138+H139,0)</f>
        <v/>
      </c>
      <c r="N139" s="224">
        <f>IFERROR(L139-M139,0)</f>
        <v/>
      </c>
      <c r="O139" s="225">
        <f>IFERROR(SUMIF(B8:B139,"&gt;="&amp;(B139-WEEKDAY(B139,2)+1),E8:E139),0)</f>
        <v/>
      </c>
      <c r="P139" s="226">
        <f>IFERROR(SUMIF(B8:B139,"&gt;="&amp;(B139-WEEKDAY(B139,2)+1),H8:H139),0)</f>
        <v/>
      </c>
      <c r="Q139" s="224">
        <f>IFERROR(O139-P139,0)</f>
        <v/>
      </c>
    </row>
    <row r="140" ht="16.5" customHeight="1">
      <c r="B140" s="208" t="n"/>
      <c r="C140" s="29">
        <f>IF(B140="","",TEXT(B140,"DDD"))</f>
        <v/>
      </c>
      <c r="D140" s="30">
        <f>IF(B140="","","Soft App")</f>
        <v/>
      </c>
      <c r="E140" s="209" t="n"/>
      <c r="F140" s="210" t="n"/>
      <c r="G140" s="211">
        <f>IFERROR(E140/F140,0)</f>
        <v/>
      </c>
      <c r="H140" s="212">
        <f>IFERROR(SUMIF('💸 Expenses'!B9:B508,B140,'💸 Expenses'!F9:F508),0)</f>
        <v/>
      </c>
      <c r="I140" s="213">
        <f>IFERROR(E140-H140,0)</f>
        <v/>
      </c>
      <c r="J140" s="214">
        <f>IFERROR(I140/E140,0)</f>
        <v/>
      </c>
      <c r="K140" s="37" t="n"/>
      <c r="L140" s="187">
        <f>IFERROR(L139+E140,0)</f>
        <v/>
      </c>
      <c r="M140" s="190">
        <f>IFERROR(M139+H140,0)</f>
        <v/>
      </c>
      <c r="N140" s="215">
        <f>IFERROR(L140-M140,0)</f>
        <v/>
      </c>
      <c r="O140" s="216">
        <f>IFERROR(SUMIF(B8:B140,"&gt;="&amp;(B140-WEEKDAY(B140,2)+1),E8:E140),0)</f>
        <v/>
      </c>
      <c r="P140" s="217">
        <f>IFERROR(SUMIF(B8:B140,"&gt;="&amp;(B140-WEEKDAY(B140,2)+1),H8:H140),0)</f>
        <v/>
      </c>
      <c r="Q140" s="215">
        <f>IFERROR(O140-P140,0)</f>
        <v/>
      </c>
    </row>
    <row r="141" ht="16.5" customHeight="1">
      <c r="B141" s="208" t="n"/>
      <c r="C141" s="41">
        <f>IF(B141="","",TEXT(B141,"DDD"))</f>
        <v/>
      </c>
      <c r="D141" s="42">
        <f>IF(B141="","","Soft App")</f>
        <v/>
      </c>
      <c r="E141" s="218" t="n"/>
      <c r="F141" s="219" t="n"/>
      <c r="G141" s="220">
        <f>IFERROR(E141/F141,0)</f>
        <v/>
      </c>
      <c r="H141" s="221">
        <f>IFERROR(SUMIF('💸 Expenses'!B9:B508,B141,'💸 Expenses'!F9:F508),0)</f>
        <v/>
      </c>
      <c r="I141" s="222">
        <f>IFERROR(E141-H141,0)</f>
        <v/>
      </c>
      <c r="J141" s="223">
        <f>IFERROR(I141/E141,0)</f>
        <v/>
      </c>
      <c r="K141" s="49" t="n"/>
      <c r="L141" s="193">
        <f>IFERROR(L140+E141,0)</f>
        <v/>
      </c>
      <c r="M141" s="196">
        <f>IFERROR(M140+H141,0)</f>
        <v/>
      </c>
      <c r="N141" s="224">
        <f>IFERROR(L141-M141,0)</f>
        <v/>
      </c>
      <c r="O141" s="225">
        <f>IFERROR(SUMIF(B8:B141,"&gt;="&amp;(B141-WEEKDAY(B141,2)+1),E8:E141),0)</f>
        <v/>
      </c>
      <c r="P141" s="226">
        <f>IFERROR(SUMIF(B8:B141,"&gt;="&amp;(B141-WEEKDAY(B141,2)+1),H8:H141),0)</f>
        <v/>
      </c>
      <c r="Q141" s="224">
        <f>IFERROR(O141-P141,0)</f>
        <v/>
      </c>
    </row>
    <row r="142" ht="16.5" customHeight="1">
      <c r="B142" s="208" t="n"/>
      <c r="C142" s="29">
        <f>IF(B142="","",TEXT(B142,"DDD"))</f>
        <v/>
      </c>
      <c r="D142" s="30">
        <f>IF(B142="","","Soft App")</f>
        <v/>
      </c>
      <c r="E142" s="209" t="n"/>
      <c r="F142" s="210" t="n"/>
      <c r="G142" s="211">
        <f>IFERROR(E142/F142,0)</f>
        <v/>
      </c>
      <c r="H142" s="212">
        <f>IFERROR(SUMIF('💸 Expenses'!B9:B508,B142,'💸 Expenses'!F9:F508),0)</f>
        <v/>
      </c>
      <c r="I142" s="213">
        <f>IFERROR(E142-H142,0)</f>
        <v/>
      </c>
      <c r="J142" s="214">
        <f>IFERROR(I142/E142,0)</f>
        <v/>
      </c>
      <c r="K142" s="37" t="n"/>
      <c r="L142" s="187">
        <f>IFERROR(L141+E142,0)</f>
        <v/>
      </c>
      <c r="M142" s="190">
        <f>IFERROR(M141+H142,0)</f>
        <v/>
      </c>
      <c r="N142" s="215">
        <f>IFERROR(L142-M142,0)</f>
        <v/>
      </c>
      <c r="O142" s="216">
        <f>IFERROR(SUMIF(B8:B142,"&gt;="&amp;(B142-WEEKDAY(B142,2)+1),E8:E142),0)</f>
        <v/>
      </c>
      <c r="P142" s="217">
        <f>IFERROR(SUMIF(B8:B142,"&gt;="&amp;(B142-WEEKDAY(B142,2)+1),H8:H142),0)</f>
        <v/>
      </c>
      <c r="Q142" s="215">
        <f>IFERROR(O142-P142,0)</f>
        <v/>
      </c>
    </row>
    <row r="143" ht="16.5" customHeight="1">
      <c r="B143" s="208" t="n"/>
      <c r="C143" s="41">
        <f>IF(B143="","",TEXT(B143,"DDD"))</f>
        <v/>
      </c>
      <c r="D143" s="42">
        <f>IF(B143="","","Soft App")</f>
        <v/>
      </c>
      <c r="E143" s="218" t="n"/>
      <c r="F143" s="219" t="n"/>
      <c r="G143" s="220">
        <f>IFERROR(E143/F143,0)</f>
        <v/>
      </c>
      <c r="H143" s="221">
        <f>IFERROR(SUMIF('💸 Expenses'!B9:B508,B143,'💸 Expenses'!F9:F508),0)</f>
        <v/>
      </c>
      <c r="I143" s="222">
        <f>IFERROR(E143-H143,0)</f>
        <v/>
      </c>
      <c r="J143" s="223">
        <f>IFERROR(I143/E143,0)</f>
        <v/>
      </c>
      <c r="K143" s="49" t="n"/>
      <c r="L143" s="193">
        <f>IFERROR(L142+E143,0)</f>
        <v/>
      </c>
      <c r="M143" s="196">
        <f>IFERROR(M142+H143,0)</f>
        <v/>
      </c>
      <c r="N143" s="224">
        <f>IFERROR(L143-M143,0)</f>
        <v/>
      </c>
      <c r="O143" s="225">
        <f>IFERROR(SUMIF(B8:B143,"&gt;="&amp;(B143-WEEKDAY(B143,2)+1),E8:E143),0)</f>
        <v/>
      </c>
      <c r="P143" s="226">
        <f>IFERROR(SUMIF(B8:B143,"&gt;="&amp;(B143-WEEKDAY(B143,2)+1),H8:H143),0)</f>
        <v/>
      </c>
      <c r="Q143" s="224">
        <f>IFERROR(O143-P143,0)</f>
        <v/>
      </c>
    </row>
    <row r="144" ht="16.5" customHeight="1">
      <c r="B144" s="208" t="n"/>
      <c r="C144" s="29">
        <f>IF(B144="","",TEXT(B144,"DDD"))</f>
        <v/>
      </c>
      <c r="D144" s="30">
        <f>IF(B144="","","Soft App")</f>
        <v/>
      </c>
      <c r="E144" s="209" t="n"/>
      <c r="F144" s="210" t="n"/>
      <c r="G144" s="211">
        <f>IFERROR(E144/F144,0)</f>
        <v/>
      </c>
      <c r="H144" s="212">
        <f>IFERROR(SUMIF('💸 Expenses'!B9:B508,B144,'💸 Expenses'!F9:F508),0)</f>
        <v/>
      </c>
      <c r="I144" s="213">
        <f>IFERROR(E144-H144,0)</f>
        <v/>
      </c>
      <c r="J144" s="214">
        <f>IFERROR(I144/E144,0)</f>
        <v/>
      </c>
      <c r="K144" s="37" t="n"/>
      <c r="L144" s="187">
        <f>IFERROR(L143+E144,0)</f>
        <v/>
      </c>
      <c r="M144" s="190">
        <f>IFERROR(M143+H144,0)</f>
        <v/>
      </c>
      <c r="N144" s="215">
        <f>IFERROR(L144-M144,0)</f>
        <v/>
      </c>
      <c r="O144" s="216">
        <f>IFERROR(SUMIF(B8:B144,"&gt;="&amp;(B144-WEEKDAY(B144,2)+1),E8:E144),0)</f>
        <v/>
      </c>
      <c r="P144" s="217">
        <f>IFERROR(SUMIF(B8:B144,"&gt;="&amp;(B144-WEEKDAY(B144,2)+1),H8:H144),0)</f>
        <v/>
      </c>
      <c r="Q144" s="215">
        <f>IFERROR(O144-P144,0)</f>
        <v/>
      </c>
    </row>
    <row r="145" ht="16.5" customHeight="1">
      <c r="B145" s="208" t="n"/>
      <c r="C145" s="41">
        <f>IF(B145="","",TEXT(B145,"DDD"))</f>
        <v/>
      </c>
      <c r="D145" s="42">
        <f>IF(B145="","","Soft App")</f>
        <v/>
      </c>
      <c r="E145" s="218" t="n"/>
      <c r="F145" s="219" t="n"/>
      <c r="G145" s="220">
        <f>IFERROR(E145/F145,0)</f>
        <v/>
      </c>
      <c r="H145" s="221">
        <f>IFERROR(SUMIF('💸 Expenses'!B9:B508,B145,'💸 Expenses'!F9:F508),0)</f>
        <v/>
      </c>
      <c r="I145" s="222">
        <f>IFERROR(E145-H145,0)</f>
        <v/>
      </c>
      <c r="J145" s="223">
        <f>IFERROR(I145/E145,0)</f>
        <v/>
      </c>
      <c r="K145" s="49" t="n"/>
      <c r="L145" s="193">
        <f>IFERROR(L144+E145,0)</f>
        <v/>
      </c>
      <c r="M145" s="196">
        <f>IFERROR(M144+H145,0)</f>
        <v/>
      </c>
      <c r="N145" s="224">
        <f>IFERROR(L145-M145,0)</f>
        <v/>
      </c>
      <c r="O145" s="225">
        <f>IFERROR(SUMIF(B8:B145,"&gt;="&amp;(B145-WEEKDAY(B145,2)+1),E8:E145),0)</f>
        <v/>
      </c>
      <c r="P145" s="226">
        <f>IFERROR(SUMIF(B8:B145,"&gt;="&amp;(B145-WEEKDAY(B145,2)+1),H8:H145),0)</f>
        <v/>
      </c>
      <c r="Q145" s="224">
        <f>IFERROR(O145-P145,0)</f>
        <v/>
      </c>
    </row>
    <row r="146" ht="16.5" customHeight="1">
      <c r="B146" s="208" t="n"/>
      <c r="C146" s="29">
        <f>IF(B146="","",TEXT(B146,"DDD"))</f>
        <v/>
      </c>
      <c r="D146" s="30">
        <f>IF(B146="","","Soft App")</f>
        <v/>
      </c>
      <c r="E146" s="209" t="n"/>
      <c r="F146" s="210" t="n"/>
      <c r="G146" s="211">
        <f>IFERROR(E146/F146,0)</f>
        <v/>
      </c>
      <c r="H146" s="212">
        <f>IFERROR(SUMIF('💸 Expenses'!B9:B508,B146,'💸 Expenses'!F9:F508),0)</f>
        <v/>
      </c>
      <c r="I146" s="213">
        <f>IFERROR(E146-H146,0)</f>
        <v/>
      </c>
      <c r="J146" s="214">
        <f>IFERROR(I146/E146,0)</f>
        <v/>
      </c>
      <c r="K146" s="37" t="n"/>
      <c r="L146" s="187">
        <f>IFERROR(L145+E146,0)</f>
        <v/>
      </c>
      <c r="M146" s="190">
        <f>IFERROR(M145+H146,0)</f>
        <v/>
      </c>
      <c r="N146" s="215">
        <f>IFERROR(L146-M146,0)</f>
        <v/>
      </c>
      <c r="O146" s="216">
        <f>IFERROR(SUMIF(B8:B146,"&gt;="&amp;(B146-WEEKDAY(B146,2)+1),E8:E146),0)</f>
        <v/>
      </c>
      <c r="P146" s="217">
        <f>IFERROR(SUMIF(B8:B146,"&gt;="&amp;(B146-WEEKDAY(B146,2)+1),H8:H146),0)</f>
        <v/>
      </c>
      <c r="Q146" s="215">
        <f>IFERROR(O146-P146,0)</f>
        <v/>
      </c>
    </row>
    <row r="147" ht="16.5" customHeight="1">
      <c r="B147" s="208" t="n"/>
      <c r="C147" s="41">
        <f>IF(B147="","",TEXT(B147,"DDD"))</f>
        <v/>
      </c>
      <c r="D147" s="42">
        <f>IF(B147="","","Soft App")</f>
        <v/>
      </c>
      <c r="E147" s="218" t="n"/>
      <c r="F147" s="219" t="n"/>
      <c r="G147" s="220">
        <f>IFERROR(E147/F147,0)</f>
        <v/>
      </c>
      <c r="H147" s="221">
        <f>IFERROR(SUMIF('💸 Expenses'!B9:B508,B147,'💸 Expenses'!F9:F508),0)</f>
        <v/>
      </c>
      <c r="I147" s="222">
        <f>IFERROR(E147-H147,0)</f>
        <v/>
      </c>
      <c r="J147" s="223">
        <f>IFERROR(I147/E147,0)</f>
        <v/>
      </c>
      <c r="K147" s="49" t="n"/>
      <c r="L147" s="193">
        <f>IFERROR(L146+E147,0)</f>
        <v/>
      </c>
      <c r="M147" s="196">
        <f>IFERROR(M146+H147,0)</f>
        <v/>
      </c>
      <c r="N147" s="224">
        <f>IFERROR(L147-M147,0)</f>
        <v/>
      </c>
      <c r="O147" s="225">
        <f>IFERROR(SUMIF(B8:B147,"&gt;="&amp;(B147-WEEKDAY(B147,2)+1),E8:E147),0)</f>
        <v/>
      </c>
      <c r="P147" s="226">
        <f>IFERROR(SUMIF(B8:B147,"&gt;="&amp;(B147-WEEKDAY(B147,2)+1),H8:H147),0)</f>
        <v/>
      </c>
      <c r="Q147" s="224">
        <f>IFERROR(O147-P147,0)</f>
        <v/>
      </c>
    </row>
    <row r="148" ht="16.5" customHeight="1">
      <c r="B148" s="208" t="n"/>
      <c r="C148" s="29">
        <f>IF(B148="","",TEXT(B148,"DDD"))</f>
        <v/>
      </c>
      <c r="D148" s="30">
        <f>IF(B148="","","Soft App")</f>
        <v/>
      </c>
      <c r="E148" s="209" t="n"/>
      <c r="F148" s="210" t="n"/>
      <c r="G148" s="211">
        <f>IFERROR(E148/F148,0)</f>
        <v/>
      </c>
      <c r="H148" s="212">
        <f>IFERROR(SUMIF('💸 Expenses'!B9:B508,B148,'💸 Expenses'!F9:F508),0)</f>
        <v/>
      </c>
      <c r="I148" s="213">
        <f>IFERROR(E148-H148,0)</f>
        <v/>
      </c>
      <c r="J148" s="214">
        <f>IFERROR(I148/E148,0)</f>
        <v/>
      </c>
      <c r="K148" s="37" t="n"/>
      <c r="L148" s="187">
        <f>IFERROR(L147+E148,0)</f>
        <v/>
      </c>
      <c r="M148" s="190">
        <f>IFERROR(M147+H148,0)</f>
        <v/>
      </c>
      <c r="N148" s="215">
        <f>IFERROR(L148-M148,0)</f>
        <v/>
      </c>
      <c r="O148" s="216">
        <f>IFERROR(SUMIF(B8:B148,"&gt;="&amp;(B148-WEEKDAY(B148,2)+1),E8:E148),0)</f>
        <v/>
      </c>
      <c r="P148" s="217">
        <f>IFERROR(SUMIF(B8:B148,"&gt;="&amp;(B148-WEEKDAY(B148,2)+1),H8:H148),0)</f>
        <v/>
      </c>
      <c r="Q148" s="215">
        <f>IFERROR(O148-P148,0)</f>
        <v/>
      </c>
    </row>
    <row r="149" ht="16.5" customHeight="1">
      <c r="B149" s="208" t="n"/>
      <c r="C149" s="41">
        <f>IF(B149="","",TEXT(B149,"DDD"))</f>
        <v/>
      </c>
      <c r="D149" s="42">
        <f>IF(B149="","","Soft App")</f>
        <v/>
      </c>
      <c r="E149" s="218" t="n"/>
      <c r="F149" s="219" t="n"/>
      <c r="G149" s="220">
        <f>IFERROR(E149/F149,0)</f>
        <v/>
      </c>
      <c r="H149" s="221">
        <f>IFERROR(SUMIF('💸 Expenses'!B9:B508,B149,'💸 Expenses'!F9:F508),0)</f>
        <v/>
      </c>
      <c r="I149" s="222">
        <f>IFERROR(E149-H149,0)</f>
        <v/>
      </c>
      <c r="J149" s="223">
        <f>IFERROR(I149/E149,0)</f>
        <v/>
      </c>
      <c r="K149" s="49" t="n"/>
      <c r="L149" s="193">
        <f>IFERROR(L148+E149,0)</f>
        <v/>
      </c>
      <c r="M149" s="196">
        <f>IFERROR(M148+H149,0)</f>
        <v/>
      </c>
      <c r="N149" s="224">
        <f>IFERROR(L149-M149,0)</f>
        <v/>
      </c>
      <c r="O149" s="225">
        <f>IFERROR(SUMIF(B8:B149,"&gt;="&amp;(B149-WEEKDAY(B149,2)+1),E8:E149),0)</f>
        <v/>
      </c>
      <c r="P149" s="226">
        <f>IFERROR(SUMIF(B8:B149,"&gt;="&amp;(B149-WEEKDAY(B149,2)+1),H8:H149),0)</f>
        <v/>
      </c>
      <c r="Q149" s="224">
        <f>IFERROR(O149-P149,0)</f>
        <v/>
      </c>
    </row>
    <row r="150" ht="16.5" customHeight="1">
      <c r="B150" s="208" t="n"/>
      <c r="C150" s="29">
        <f>IF(B150="","",TEXT(B150,"DDD"))</f>
        <v/>
      </c>
      <c r="D150" s="30">
        <f>IF(B150="","","Soft App")</f>
        <v/>
      </c>
      <c r="E150" s="209" t="n"/>
      <c r="F150" s="210" t="n"/>
      <c r="G150" s="211">
        <f>IFERROR(E150/F150,0)</f>
        <v/>
      </c>
      <c r="H150" s="212">
        <f>IFERROR(SUMIF('💸 Expenses'!B9:B508,B150,'💸 Expenses'!F9:F508),0)</f>
        <v/>
      </c>
      <c r="I150" s="213">
        <f>IFERROR(E150-H150,0)</f>
        <v/>
      </c>
      <c r="J150" s="214">
        <f>IFERROR(I150/E150,0)</f>
        <v/>
      </c>
      <c r="K150" s="37" t="n"/>
      <c r="L150" s="187">
        <f>IFERROR(L149+E150,0)</f>
        <v/>
      </c>
      <c r="M150" s="190">
        <f>IFERROR(M149+H150,0)</f>
        <v/>
      </c>
      <c r="N150" s="215">
        <f>IFERROR(L150-M150,0)</f>
        <v/>
      </c>
      <c r="O150" s="216">
        <f>IFERROR(SUMIF(B8:B150,"&gt;="&amp;(B150-WEEKDAY(B150,2)+1),E8:E150),0)</f>
        <v/>
      </c>
      <c r="P150" s="217">
        <f>IFERROR(SUMIF(B8:B150,"&gt;="&amp;(B150-WEEKDAY(B150,2)+1),H8:H150),0)</f>
        <v/>
      </c>
      <c r="Q150" s="215">
        <f>IFERROR(O150-P150,0)</f>
        <v/>
      </c>
    </row>
    <row r="151" ht="16.5" customHeight="1">
      <c r="B151" s="208" t="n"/>
      <c r="C151" s="41">
        <f>IF(B151="","",TEXT(B151,"DDD"))</f>
        <v/>
      </c>
      <c r="D151" s="42">
        <f>IF(B151="","","Soft App")</f>
        <v/>
      </c>
      <c r="E151" s="218" t="n"/>
      <c r="F151" s="219" t="n"/>
      <c r="G151" s="220">
        <f>IFERROR(E151/F151,0)</f>
        <v/>
      </c>
      <c r="H151" s="221">
        <f>IFERROR(SUMIF('💸 Expenses'!B9:B508,B151,'💸 Expenses'!F9:F508),0)</f>
        <v/>
      </c>
      <c r="I151" s="222">
        <f>IFERROR(E151-H151,0)</f>
        <v/>
      </c>
      <c r="J151" s="223">
        <f>IFERROR(I151/E151,0)</f>
        <v/>
      </c>
      <c r="K151" s="49" t="n"/>
      <c r="L151" s="193">
        <f>IFERROR(L150+E151,0)</f>
        <v/>
      </c>
      <c r="M151" s="196">
        <f>IFERROR(M150+H151,0)</f>
        <v/>
      </c>
      <c r="N151" s="224">
        <f>IFERROR(L151-M151,0)</f>
        <v/>
      </c>
      <c r="O151" s="225">
        <f>IFERROR(SUMIF(B8:B151,"&gt;="&amp;(B151-WEEKDAY(B151,2)+1),E8:E151),0)</f>
        <v/>
      </c>
      <c r="P151" s="226">
        <f>IFERROR(SUMIF(B8:B151,"&gt;="&amp;(B151-WEEKDAY(B151,2)+1),H8:H151),0)</f>
        <v/>
      </c>
      <c r="Q151" s="224">
        <f>IFERROR(O151-P151,0)</f>
        <v/>
      </c>
    </row>
    <row r="152" ht="16.5" customHeight="1">
      <c r="B152" s="208" t="n"/>
      <c r="C152" s="29">
        <f>IF(B152="","",TEXT(B152,"DDD"))</f>
        <v/>
      </c>
      <c r="D152" s="30">
        <f>IF(B152="","","Soft App")</f>
        <v/>
      </c>
      <c r="E152" s="209" t="n"/>
      <c r="F152" s="210" t="n"/>
      <c r="G152" s="211">
        <f>IFERROR(E152/F152,0)</f>
        <v/>
      </c>
      <c r="H152" s="212">
        <f>IFERROR(SUMIF('💸 Expenses'!B9:B508,B152,'💸 Expenses'!F9:F508),0)</f>
        <v/>
      </c>
      <c r="I152" s="213">
        <f>IFERROR(E152-H152,0)</f>
        <v/>
      </c>
      <c r="J152" s="214">
        <f>IFERROR(I152/E152,0)</f>
        <v/>
      </c>
      <c r="K152" s="37" t="n"/>
      <c r="L152" s="187">
        <f>IFERROR(L151+E152,0)</f>
        <v/>
      </c>
      <c r="M152" s="190">
        <f>IFERROR(M151+H152,0)</f>
        <v/>
      </c>
      <c r="N152" s="215">
        <f>IFERROR(L152-M152,0)</f>
        <v/>
      </c>
      <c r="O152" s="216">
        <f>IFERROR(SUMIF(B8:B152,"&gt;="&amp;(B152-WEEKDAY(B152,2)+1),E8:E152),0)</f>
        <v/>
      </c>
      <c r="P152" s="217">
        <f>IFERROR(SUMIF(B8:B152,"&gt;="&amp;(B152-WEEKDAY(B152,2)+1),H8:H152),0)</f>
        <v/>
      </c>
      <c r="Q152" s="215">
        <f>IFERROR(O152-P152,0)</f>
        <v/>
      </c>
    </row>
    <row r="153" ht="16.5" customHeight="1">
      <c r="B153" s="208" t="n"/>
      <c r="C153" s="41">
        <f>IF(B153="","",TEXT(B153,"DDD"))</f>
        <v/>
      </c>
      <c r="D153" s="42">
        <f>IF(B153="","","Soft App")</f>
        <v/>
      </c>
      <c r="E153" s="218" t="n"/>
      <c r="F153" s="219" t="n"/>
      <c r="G153" s="220">
        <f>IFERROR(E153/F153,0)</f>
        <v/>
      </c>
      <c r="H153" s="221">
        <f>IFERROR(SUMIF('💸 Expenses'!B9:B508,B153,'💸 Expenses'!F9:F508),0)</f>
        <v/>
      </c>
      <c r="I153" s="222">
        <f>IFERROR(E153-H153,0)</f>
        <v/>
      </c>
      <c r="J153" s="223">
        <f>IFERROR(I153/E153,0)</f>
        <v/>
      </c>
      <c r="K153" s="49" t="n"/>
      <c r="L153" s="193">
        <f>IFERROR(L152+E153,0)</f>
        <v/>
      </c>
      <c r="M153" s="196">
        <f>IFERROR(M152+H153,0)</f>
        <v/>
      </c>
      <c r="N153" s="224">
        <f>IFERROR(L153-M153,0)</f>
        <v/>
      </c>
      <c r="O153" s="225">
        <f>IFERROR(SUMIF(B8:B153,"&gt;="&amp;(B153-WEEKDAY(B153,2)+1),E8:E153),0)</f>
        <v/>
      </c>
      <c r="P153" s="226">
        <f>IFERROR(SUMIF(B8:B153,"&gt;="&amp;(B153-WEEKDAY(B153,2)+1),H8:H153),0)</f>
        <v/>
      </c>
      <c r="Q153" s="224">
        <f>IFERROR(O153-P153,0)</f>
        <v/>
      </c>
    </row>
    <row r="154" ht="16.5" customHeight="1">
      <c r="B154" s="208" t="n"/>
      <c r="C154" s="29">
        <f>IF(B154="","",TEXT(B154,"DDD"))</f>
        <v/>
      </c>
      <c r="D154" s="30">
        <f>IF(B154="","","Soft App")</f>
        <v/>
      </c>
      <c r="E154" s="209" t="n"/>
      <c r="F154" s="210" t="n"/>
      <c r="G154" s="211">
        <f>IFERROR(E154/F154,0)</f>
        <v/>
      </c>
      <c r="H154" s="212">
        <f>IFERROR(SUMIF('💸 Expenses'!B9:B508,B154,'💸 Expenses'!F9:F508),0)</f>
        <v/>
      </c>
      <c r="I154" s="213">
        <f>IFERROR(E154-H154,0)</f>
        <v/>
      </c>
      <c r="J154" s="214">
        <f>IFERROR(I154/E154,0)</f>
        <v/>
      </c>
      <c r="K154" s="37" t="n"/>
      <c r="L154" s="187">
        <f>IFERROR(L153+E154,0)</f>
        <v/>
      </c>
      <c r="M154" s="190">
        <f>IFERROR(M153+H154,0)</f>
        <v/>
      </c>
      <c r="N154" s="215">
        <f>IFERROR(L154-M154,0)</f>
        <v/>
      </c>
      <c r="O154" s="216">
        <f>IFERROR(SUMIF(B8:B154,"&gt;="&amp;(B154-WEEKDAY(B154,2)+1),E8:E154),0)</f>
        <v/>
      </c>
      <c r="P154" s="217">
        <f>IFERROR(SUMIF(B8:B154,"&gt;="&amp;(B154-WEEKDAY(B154,2)+1),H8:H154),0)</f>
        <v/>
      </c>
      <c r="Q154" s="215">
        <f>IFERROR(O154-P154,0)</f>
        <v/>
      </c>
    </row>
    <row r="155" ht="16.5" customHeight="1">
      <c r="B155" s="208" t="n"/>
      <c r="C155" s="41">
        <f>IF(B155="","",TEXT(B155,"DDD"))</f>
        <v/>
      </c>
      <c r="D155" s="42">
        <f>IF(B155="","","Soft App")</f>
        <v/>
      </c>
      <c r="E155" s="218" t="n"/>
      <c r="F155" s="219" t="n"/>
      <c r="G155" s="220">
        <f>IFERROR(E155/F155,0)</f>
        <v/>
      </c>
      <c r="H155" s="221">
        <f>IFERROR(SUMIF('💸 Expenses'!B9:B508,B155,'💸 Expenses'!F9:F508),0)</f>
        <v/>
      </c>
      <c r="I155" s="222">
        <f>IFERROR(E155-H155,0)</f>
        <v/>
      </c>
      <c r="J155" s="223">
        <f>IFERROR(I155/E155,0)</f>
        <v/>
      </c>
      <c r="K155" s="49" t="n"/>
      <c r="L155" s="193">
        <f>IFERROR(L154+E155,0)</f>
        <v/>
      </c>
      <c r="M155" s="196">
        <f>IFERROR(M154+H155,0)</f>
        <v/>
      </c>
      <c r="N155" s="224">
        <f>IFERROR(L155-M155,0)</f>
        <v/>
      </c>
      <c r="O155" s="225">
        <f>IFERROR(SUMIF(B8:B155,"&gt;="&amp;(B155-WEEKDAY(B155,2)+1),E8:E155),0)</f>
        <v/>
      </c>
      <c r="P155" s="226">
        <f>IFERROR(SUMIF(B8:B155,"&gt;="&amp;(B155-WEEKDAY(B155,2)+1),H8:H155),0)</f>
        <v/>
      </c>
      <c r="Q155" s="224">
        <f>IFERROR(O155-P155,0)</f>
        <v/>
      </c>
    </row>
    <row r="156" ht="16.5" customHeight="1">
      <c r="B156" s="208" t="n"/>
      <c r="C156" s="29">
        <f>IF(B156="","",TEXT(B156,"DDD"))</f>
        <v/>
      </c>
      <c r="D156" s="30">
        <f>IF(B156="","","Soft App")</f>
        <v/>
      </c>
      <c r="E156" s="209" t="n"/>
      <c r="F156" s="210" t="n"/>
      <c r="G156" s="211">
        <f>IFERROR(E156/F156,0)</f>
        <v/>
      </c>
      <c r="H156" s="212">
        <f>IFERROR(SUMIF('💸 Expenses'!B9:B508,B156,'💸 Expenses'!F9:F508),0)</f>
        <v/>
      </c>
      <c r="I156" s="213">
        <f>IFERROR(E156-H156,0)</f>
        <v/>
      </c>
      <c r="J156" s="214">
        <f>IFERROR(I156/E156,0)</f>
        <v/>
      </c>
      <c r="K156" s="37" t="n"/>
      <c r="L156" s="187">
        <f>IFERROR(L155+E156,0)</f>
        <v/>
      </c>
      <c r="M156" s="190">
        <f>IFERROR(M155+H156,0)</f>
        <v/>
      </c>
      <c r="N156" s="215">
        <f>IFERROR(L156-M156,0)</f>
        <v/>
      </c>
      <c r="O156" s="216">
        <f>IFERROR(SUMIF(B8:B156,"&gt;="&amp;(B156-WEEKDAY(B156,2)+1),E8:E156),0)</f>
        <v/>
      </c>
      <c r="P156" s="217">
        <f>IFERROR(SUMIF(B8:B156,"&gt;="&amp;(B156-WEEKDAY(B156,2)+1),H8:H156),0)</f>
        <v/>
      </c>
      <c r="Q156" s="215">
        <f>IFERROR(O156-P156,0)</f>
        <v/>
      </c>
    </row>
    <row r="157" ht="16.5" customHeight="1">
      <c r="B157" s="208" t="n"/>
      <c r="C157" s="41">
        <f>IF(B157="","",TEXT(B157,"DDD"))</f>
        <v/>
      </c>
      <c r="D157" s="42">
        <f>IF(B157="","","Soft App")</f>
        <v/>
      </c>
      <c r="E157" s="218" t="n"/>
      <c r="F157" s="219" t="n"/>
      <c r="G157" s="220">
        <f>IFERROR(E157/F157,0)</f>
        <v/>
      </c>
      <c r="H157" s="221">
        <f>IFERROR(SUMIF('💸 Expenses'!B9:B508,B157,'💸 Expenses'!F9:F508),0)</f>
        <v/>
      </c>
      <c r="I157" s="222">
        <f>IFERROR(E157-H157,0)</f>
        <v/>
      </c>
      <c r="J157" s="223">
        <f>IFERROR(I157/E157,0)</f>
        <v/>
      </c>
      <c r="K157" s="49" t="n"/>
      <c r="L157" s="193">
        <f>IFERROR(L156+E157,0)</f>
        <v/>
      </c>
      <c r="M157" s="196">
        <f>IFERROR(M156+H157,0)</f>
        <v/>
      </c>
      <c r="N157" s="224">
        <f>IFERROR(L157-M157,0)</f>
        <v/>
      </c>
      <c r="O157" s="225">
        <f>IFERROR(SUMIF(B8:B157,"&gt;="&amp;(B157-WEEKDAY(B157,2)+1),E8:E157),0)</f>
        <v/>
      </c>
      <c r="P157" s="226">
        <f>IFERROR(SUMIF(B8:B157,"&gt;="&amp;(B157-WEEKDAY(B157,2)+1),H8:H157),0)</f>
        <v/>
      </c>
      <c r="Q157" s="224">
        <f>IFERROR(O157-P157,0)</f>
        <v/>
      </c>
    </row>
    <row r="158" ht="16.5" customHeight="1">
      <c r="B158" s="208" t="n"/>
      <c r="C158" s="29">
        <f>IF(B158="","",TEXT(B158,"DDD"))</f>
        <v/>
      </c>
      <c r="D158" s="30">
        <f>IF(B158="","","Soft App")</f>
        <v/>
      </c>
      <c r="E158" s="209" t="n"/>
      <c r="F158" s="210" t="n"/>
      <c r="G158" s="211">
        <f>IFERROR(E158/F158,0)</f>
        <v/>
      </c>
      <c r="H158" s="212">
        <f>IFERROR(SUMIF('💸 Expenses'!B9:B508,B158,'💸 Expenses'!F9:F508),0)</f>
        <v/>
      </c>
      <c r="I158" s="213">
        <f>IFERROR(E158-H158,0)</f>
        <v/>
      </c>
      <c r="J158" s="214">
        <f>IFERROR(I158/E158,0)</f>
        <v/>
      </c>
      <c r="K158" s="37" t="n"/>
      <c r="L158" s="187">
        <f>IFERROR(L157+E158,0)</f>
        <v/>
      </c>
      <c r="M158" s="190">
        <f>IFERROR(M157+H158,0)</f>
        <v/>
      </c>
      <c r="N158" s="215">
        <f>IFERROR(L158-M158,0)</f>
        <v/>
      </c>
      <c r="O158" s="216">
        <f>IFERROR(SUMIF(B8:B158,"&gt;="&amp;(B158-WEEKDAY(B158,2)+1),E8:E158),0)</f>
        <v/>
      </c>
      <c r="P158" s="217">
        <f>IFERROR(SUMIF(B8:B158,"&gt;="&amp;(B158-WEEKDAY(B158,2)+1),H8:H158),0)</f>
        <v/>
      </c>
      <c r="Q158" s="215">
        <f>IFERROR(O158-P158,0)</f>
        <v/>
      </c>
    </row>
    <row r="159" ht="16.5" customHeight="1">
      <c r="B159" s="208" t="n"/>
      <c r="C159" s="41">
        <f>IF(B159="","",TEXT(B159,"DDD"))</f>
        <v/>
      </c>
      <c r="D159" s="42">
        <f>IF(B159="","","Soft App")</f>
        <v/>
      </c>
      <c r="E159" s="218" t="n"/>
      <c r="F159" s="219" t="n"/>
      <c r="G159" s="220">
        <f>IFERROR(E159/F159,0)</f>
        <v/>
      </c>
      <c r="H159" s="221">
        <f>IFERROR(SUMIF('💸 Expenses'!B9:B508,B159,'💸 Expenses'!F9:F508),0)</f>
        <v/>
      </c>
      <c r="I159" s="222">
        <f>IFERROR(E159-H159,0)</f>
        <v/>
      </c>
      <c r="J159" s="223">
        <f>IFERROR(I159/E159,0)</f>
        <v/>
      </c>
      <c r="K159" s="49" t="n"/>
      <c r="L159" s="193">
        <f>IFERROR(L158+E159,0)</f>
        <v/>
      </c>
      <c r="M159" s="196">
        <f>IFERROR(M158+H159,0)</f>
        <v/>
      </c>
      <c r="N159" s="224">
        <f>IFERROR(L159-M159,0)</f>
        <v/>
      </c>
      <c r="O159" s="225">
        <f>IFERROR(SUMIF(B8:B159,"&gt;="&amp;(B159-WEEKDAY(B159,2)+1),E8:E159),0)</f>
        <v/>
      </c>
      <c r="P159" s="226">
        <f>IFERROR(SUMIF(B8:B159,"&gt;="&amp;(B159-WEEKDAY(B159,2)+1),H8:H159),0)</f>
        <v/>
      </c>
      <c r="Q159" s="224">
        <f>IFERROR(O159-P159,0)</f>
        <v/>
      </c>
    </row>
    <row r="160" ht="16.5" customHeight="1">
      <c r="B160" s="208" t="n"/>
      <c r="C160" s="29">
        <f>IF(B160="","",TEXT(B160,"DDD"))</f>
        <v/>
      </c>
      <c r="D160" s="30">
        <f>IF(B160="","","Soft App")</f>
        <v/>
      </c>
      <c r="E160" s="209" t="n"/>
      <c r="F160" s="210" t="n"/>
      <c r="G160" s="211">
        <f>IFERROR(E160/F160,0)</f>
        <v/>
      </c>
      <c r="H160" s="212">
        <f>IFERROR(SUMIF('💸 Expenses'!B9:B508,B160,'💸 Expenses'!F9:F508),0)</f>
        <v/>
      </c>
      <c r="I160" s="213">
        <f>IFERROR(E160-H160,0)</f>
        <v/>
      </c>
      <c r="J160" s="214">
        <f>IFERROR(I160/E160,0)</f>
        <v/>
      </c>
      <c r="K160" s="37" t="n"/>
      <c r="L160" s="187">
        <f>IFERROR(L159+E160,0)</f>
        <v/>
      </c>
      <c r="M160" s="190">
        <f>IFERROR(M159+H160,0)</f>
        <v/>
      </c>
      <c r="N160" s="215">
        <f>IFERROR(L160-M160,0)</f>
        <v/>
      </c>
      <c r="O160" s="216">
        <f>IFERROR(SUMIF(B8:B160,"&gt;="&amp;(B160-WEEKDAY(B160,2)+1),E8:E160),0)</f>
        <v/>
      </c>
      <c r="P160" s="217">
        <f>IFERROR(SUMIF(B8:B160,"&gt;="&amp;(B160-WEEKDAY(B160,2)+1),H8:H160),0)</f>
        <v/>
      </c>
      <c r="Q160" s="215">
        <f>IFERROR(O160-P160,0)</f>
        <v/>
      </c>
    </row>
    <row r="161" ht="16.5" customHeight="1">
      <c r="B161" s="208" t="n"/>
      <c r="C161" s="41">
        <f>IF(B161="","",TEXT(B161,"DDD"))</f>
        <v/>
      </c>
      <c r="D161" s="42">
        <f>IF(B161="","","Soft App")</f>
        <v/>
      </c>
      <c r="E161" s="218" t="n"/>
      <c r="F161" s="219" t="n"/>
      <c r="G161" s="220">
        <f>IFERROR(E161/F161,0)</f>
        <v/>
      </c>
      <c r="H161" s="221">
        <f>IFERROR(SUMIF('💸 Expenses'!B9:B508,B161,'💸 Expenses'!F9:F508),0)</f>
        <v/>
      </c>
      <c r="I161" s="222">
        <f>IFERROR(E161-H161,0)</f>
        <v/>
      </c>
      <c r="J161" s="223">
        <f>IFERROR(I161/E161,0)</f>
        <v/>
      </c>
      <c r="K161" s="49" t="n"/>
      <c r="L161" s="193">
        <f>IFERROR(L160+E161,0)</f>
        <v/>
      </c>
      <c r="M161" s="196">
        <f>IFERROR(M160+H161,0)</f>
        <v/>
      </c>
      <c r="N161" s="224">
        <f>IFERROR(L161-M161,0)</f>
        <v/>
      </c>
      <c r="O161" s="225">
        <f>IFERROR(SUMIF(B8:B161,"&gt;="&amp;(B161-WEEKDAY(B161,2)+1),E8:E161),0)</f>
        <v/>
      </c>
      <c r="P161" s="226">
        <f>IFERROR(SUMIF(B8:B161,"&gt;="&amp;(B161-WEEKDAY(B161,2)+1),H8:H161),0)</f>
        <v/>
      </c>
      <c r="Q161" s="224">
        <f>IFERROR(O161-P161,0)</f>
        <v/>
      </c>
    </row>
    <row r="162" ht="16.5" customHeight="1">
      <c r="B162" s="208" t="n"/>
      <c r="C162" s="29">
        <f>IF(B162="","",TEXT(B162,"DDD"))</f>
        <v/>
      </c>
      <c r="D162" s="30">
        <f>IF(B162="","","Soft App")</f>
        <v/>
      </c>
      <c r="E162" s="209" t="n"/>
      <c r="F162" s="210" t="n"/>
      <c r="G162" s="211">
        <f>IFERROR(E162/F162,0)</f>
        <v/>
      </c>
      <c r="H162" s="212">
        <f>IFERROR(SUMIF('💸 Expenses'!B9:B508,B162,'💸 Expenses'!F9:F508),0)</f>
        <v/>
      </c>
      <c r="I162" s="213">
        <f>IFERROR(E162-H162,0)</f>
        <v/>
      </c>
      <c r="J162" s="214">
        <f>IFERROR(I162/E162,0)</f>
        <v/>
      </c>
      <c r="K162" s="37" t="n"/>
      <c r="L162" s="187">
        <f>IFERROR(L161+E162,0)</f>
        <v/>
      </c>
      <c r="M162" s="190">
        <f>IFERROR(M161+H162,0)</f>
        <v/>
      </c>
      <c r="N162" s="215">
        <f>IFERROR(L162-M162,0)</f>
        <v/>
      </c>
      <c r="O162" s="216">
        <f>IFERROR(SUMIF(B8:B162,"&gt;="&amp;(B162-WEEKDAY(B162,2)+1),E8:E162),0)</f>
        <v/>
      </c>
      <c r="P162" s="217">
        <f>IFERROR(SUMIF(B8:B162,"&gt;="&amp;(B162-WEEKDAY(B162,2)+1),H8:H162),0)</f>
        <v/>
      </c>
      <c r="Q162" s="215">
        <f>IFERROR(O162-P162,0)</f>
        <v/>
      </c>
    </row>
    <row r="163" ht="16.5" customHeight="1">
      <c r="B163" s="208" t="n"/>
      <c r="C163" s="41">
        <f>IF(B163="","",TEXT(B163,"DDD"))</f>
        <v/>
      </c>
      <c r="D163" s="42">
        <f>IF(B163="","","Soft App")</f>
        <v/>
      </c>
      <c r="E163" s="218" t="n"/>
      <c r="F163" s="219" t="n"/>
      <c r="G163" s="220">
        <f>IFERROR(E163/F163,0)</f>
        <v/>
      </c>
      <c r="H163" s="221">
        <f>IFERROR(SUMIF('💸 Expenses'!B9:B508,B163,'💸 Expenses'!F9:F508),0)</f>
        <v/>
      </c>
      <c r="I163" s="222">
        <f>IFERROR(E163-H163,0)</f>
        <v/>
      </c>
      <c r="J163" s="223">
        <f>IFERROR(I163/E163,0)</f>
        <v/>
      </c>
      <c r="K163" s="49" t="n"/>
      <c r="L163" s="193">
        <f>IFERROR(L162+E163,0)</f>
        <v/>
      </c>
      <c r="M163" s="196">
        <f>IFERROR(M162+H163,0)</f>
        <v/>
      </c>
      <c r="N163" s="224">
        <f>IFERROR(L163-M163,0)</f>
        <v/>
      </c>
      <c r="O163" s="225">
        <f>IFERROR(SUMIF(B8:B163,"&gt;="&amp;(B163-WEEKDAY(B163,2)+1),E8:E163),0)</f>
        <v/>
      </c>
      <c r="P163" s="226">
        <f>IFERROR(SUMIF(B8:B163,"&gt;="&amp;(B163-WEEKDAY(B163,2)+1),H8:H163),0)</f>
        <v/>
      </c>
      <c r="Q163" s="224">
        <f>IFERROR(O163-P163,0)</f>
        <v/>
      </c>
    </row>
    <row r="164" ht="16.5" customHeight="1">
      <c r="B164" s="208" t="n"/>
      <c r="C164" s="29">
        <f>IF(B164="","",TEXT(B164,"DDD"))</f>
        <v/>
      </c>
      <c r="D164" s="30">
        <f>IF(B164="","","Soft App")</f>
        <v/>
      </c>
      <c r="E164" s="209" t="n"/>
      <c r="F164" s="210" t="n"/>
      <c r="G164" s="211">
        <f>IFERROR(E164/F164,0)</f>
        <v/>
      </c>
      <c r="H164" s="212">
        <f>IFERROR(SUMIF('💸 Expenses'!B9:B508,B164,'💸 Expenses'!F9:F508),0)</f>
        <v/>
      </c>
      <c r="I164" s="213">
        <f>IFERROR(E164-H164,0)</f>
        <v/>
      </c>
      <c r="J164" s="214">
        <f>IFERROR(I164/E164,0)</f>
        <v/>
      </c>
      <c r="K164" s="37" t="n"/>
      <c r="L164" s="187">
        <f>IFERROR(L163+E164,0)</f>
        <v/>
      </c>
      <c r="M164" s="190">
        <f>IFERROR(M163+H164,0)</f>
        <v/>
      </c>
      <c r="N164" s="215">
        <f>IFERROR(L164-M164,0)</f>
        <v/>
      </c>
      <c r="O164" s="216">
        <f>IFERROR(SUMIF(B8:B164,"&gt;="&amp;(B164-WEEKDAY(B164,2)+1),E8:E164),0)</f>
        <v/>
      </c>
      <c r="P164" s="217">
        <f>IFERROR(SUMIF(B8:B164,"&gt;="&amp;(B164-WEEKDAY(B164,2)+1),H8:H164),0)</f>
        <v/>
      </c>
      <c r="Q164" s="215">
        <f>IFERROR(O164-P164,0)</f>
        <v/>
      </c>
    </row>
    <row r="165" ht="16.5" customHeight="1">
      <c r="B165" s="208" t="n"/>
      <c r="C165" s="41">
        <f>IF(B165="","",TEXT(B165,"DDD"))</f>
        <v/>
      </c>
      <c r="D165" s="42">
        <f>IF(B165="","","Soft App")</f>
        <v/>
      </c>
      <c r="E165" s="218" t="n"/>
      <c r="F165" s="219" t="n"/>
      <c r="G165" s="220">
        <f>IFERROR(E165/F165,0)</f>
        <v/>
      </c>
      <c r="H165" s="221">
        <f>IFERROR(SUMIF('💸 Expenses'!B9:B508,B165,'💸 Expenses'!F9:F508),0)</f>
        <v/>
      </c>
      <c r="I165" s="222">
        <f>IFERROR(E165-H165,0)</f>
        <v/>
      </c>
      <c r="J165" s="223">
        <f>IFERROR(I165/E165,0)</f>
        <v/>
      </c>
      <c r="K165" s="49" t="n"/>
      <c r="L165" s="193">
        <f>IFERROR(L164+E165,0)</f>
        <v/>
      </c>
      <c r="M165" s="196">
        <f>IFERROR(M164+H165,0)</f>
        <v/>
      </c>
      <c r="N165" s="224">
        <f>IFERROR(L165-M165,0)</f>
        <v/>
      </c>
      <c r="O165" s="225">
        <f>IFERROR(SUMIF(B8:B165,"&gt;="&amp;(B165-WEEKDAY(B165,2)+1),E8:E165),0)</f>
        <v/>
      </c>
      <c r="P165" s="226">
        <f>IFERROR(SUMIF(B8:B165,"&gt;="&amp;(B165-WEEKDAY(B165,2)+1),H8:H165),0)</f>
        <v/>
      </c>
      <c r="Q165" s="224">
        <f>IFERROR(O165-P165,0)</f>
        <v/>
      </c>
    </row>
    <row r="166" ht="16.5" customHeight="1">
      <c r="B166" s="208" t="n"/>
      <c r="C166" s="29">
        <f>IF(B166="","",TEXT(B166,"DDD"))</f>
        <v/>
      </c>
      <c r="D166" s="30">
        <f>IF(B166="","","Soft App")</f>
        <v/>
      </c>
      <c r="E166" s="209" t="n"/>
      <c r="F166" s="210" t="n"/>
      <c r="G166" s="211">
        <f>IFERROR(E166/F166,0)</f>
        <v/>
      </c>
      <c r="H166" s="212">
        <f>IFERROR(SUMIF('💸 Expenses'!B9:B508,B166,'💸 Expenses'!F9:F508),0)</f>
        <v/>
      </c>
      <c r="I166" s="213">
        <f>IFERROR(E166-H166,0)</f>
        <v/>
      </c>
      <c r="J166" s="214">
        <f>IFERROR(I166/E166,0)</f>
        <v/>
      </c>
      <c r="K166" s="37" t="n"/>
      <c r="L166" s="187">
        <f>IFERROR(L165+E166,0)</f>
        <v/>
      </c>
      <c r="M166" s="190">
        <f>IFERROR(M165+H166,0)</f>
        <v/>
      </c>
      <c r="N166" s="215">
        <f>IFERROR(L166-M166,0)</f>
        <v/>
      </c>
      <c r="O166" s="216">
        <f>IFERROR(SUMIF(B8:B166,"&gt;="&amp;(B166-WEEKDAY(B166,2)+1),E8:E166),0)</f>
        <v/>
      </c>
      <c r="P166" s="217">
        <f>IFERROR(SUMIF(B8:B166,"&gt;="&amp;(B166-WEEKDAY(B166,2)+1),H8:H166),0)</f>
        <v/>
      </c>
      <c r="Q166" s="215">
        <f>IFERROR(O166-P166,0)</f>
        <v/>
      </c>
    </row>
    <row r="167" ht="16.5" customHeight="1">
      <c r="B167" s="208" t="n"/>
      <c r="C167" s="41">
        <f>IF(B167="","",TEXT(B167,"DDD"))</f>
        <v/>
      </c>
      <c r="D167" s="42">
        <f>IF(B167="","","Soft App")</f>
        <v/>
      </c>
      <c r="E167" s="218" t="n"/>
      <c r="F167" s="219" t="n"/>
      <c r="G167" s="220">
        <f>IFERROR(E167/F167,0)</f>
        <v/>
      </c>
      <c r="H167" s="221">
        <f>IFERROR(SUMIF('💸 Expenses'!B9:B508,B167,'💸 Expenses'!F9:F508),0)</f>
        <v/>
      </c>
      <c r="I167" s="222">
        <f>IFERROR(E167-H167,0)</f>
        <v/>
      </c>
      <c r="J167" s="223">
        <f>IFERROR(I167/E167,0)</f>
        <v/>
      </c>
      <c r="K167" s="49" t="n"/>
      <c r="L167" s="193">
        <f>IFERROR(L166+E167,0)</f>
        <v/>
      </c>
      <c r="M167" s="196">
        <f>IFERROR(M166+H167,0)</f>
        <v/>
      </c>
      <c r="N167" s="224">
        <f>IFERROR(L167-M167,0)</f>
        <v/>
      </c>
      <c r="O167" s="225">
        <f>IFERROR(SUMIF(B8:B167,"&gt;="&amp;(B167-WEEKDAY(B167,2)+1),E8:E167),0)</f>
        <v/>
      </c>
      <c r="P167" s="226">
        <f>IFERROR(SUMIF(B8:B167,"&gt;="&amp;(B167-WEEKDAY(B167,2)+1),H8:H167),0)</f>
        <v/>
      </c>
      <c r="Q167" s="224">
        <f>IFERROR(O167-P167,0)</f>
        <v/>
      </c>
    </row>
    <row r="168" ht="16.5" customHeight="1">
      <c r="B168" s="208" t="n"/>
      <c r="C168" s="29">
        <f>IF(B168="","",TEXT(B168,"DDD"))</f>
        <v/>
      </c>
      <c r="D168" s="30">
        <f>IF(B168="","","Soft App")</f>
        <v/>
      </c>
      <c r="E168" s="209" t="n"/>
      <c r="F168" s="210" t="n"/>
      <c r="G168" s="211">
        <f>IFERROR(E168/F168,0)</f>
        <v/>
      </c>
      <c r="H168" s="212">
        <f>IFERROR(SUMIF('💸 Expenses'!B9:B508,B168,'💸 Expenses'!F9:F508),0)</f>
        <v/>
      </c>
      <c r="I168" s="213">
        <f>IFERROR(E168-H168,0)</f>
        <v/>
      </c>
      <c r="J168" s="214">
        <f>IFERROR(I168/E168,0)</f>
        <v/>
      </c>
      <c r="K168" s="37" t="n"/>
      <c r="L168" s="187">
        <f>IFERROR(L167+E168,0)</f>
        <v/>
      </c>
      <c r="M168" s="190">
        <f>IFERROR(M167+H168,0)</f>
        <v/>
      </c>
      <c r="N168" s="215">
        <f>IFERROR(L168-M168,0)</f>
        <v/>
      </c>
      <c r="O168" s="216">
        <f>IFERROR(SUMIF(B8:B168,"&gt;="&amp;(B168-WEEKDAY(B168,2)+1),E8:E168),0)</f>
        <v/>
      </c>
      <c r="P168" s="217">
        <f>IFERROR(SUMIF(B8:B168,"&gt;="&amp;(B168-WEEKDAY(B168,2)+1),H8:H168),0)</f>
        <v/>
      </c>
      <c r="Q168" s="215">
        <f>IFERROR(O168-P168,0)</f>
        <v/>
      </c>
    </row>
    <row r="169" ht="16.5" customHeight="1">
      <c r="B169" s="208" t="n"/>
      <c r="C169" s="41">
        <f>IF(B169="","",TEXT(B169,"DDD"))</f>
        <v/>
      </c>
      <c r="D169" s="42">
        <f>IF(B169="","","Soft App")</f>
        <v/>
      </c>
      <c r="E169" s="218" t="n"/>
      <c r="F169" s="219" t="n"/>
      <c r="G169" s="220">
        <f>IFERROR(E169/F169,0)</f>
        <v/>
      </c>
      <c r="H169" s="221">
        <f>IFERROR(SUMIF('💸 Expenses'!B9:B508,B169,'💸 Expenses'!F9:F508),0)</f>
        <v/>
      </c>
      <c r="I169" s="222">
        <f>IFERROR(E169-H169,0)</f>
        <v/>
      </c>
      <c r="J169" s="223">
        <f>IFERROR(I169/E169,0)</f>
        <v/>
      </c>
      <c r="K169" s="49" t="n"/>
      <c r="L169" s="193">
        <f>IFERROR(L168+E169,0)</f>
        <v/>
      </c>
      <c r="M169" s="196">
        <f>IFERROR(M168+H169,0)</f>
        <v/>
      </c>
      <c r="N169" s="224">
        <f>IFERROR(L169-M169,0)</f>
        <v/>
      </c>
      <c r="O169" s="225">
        <f>IFERROR(SUMIF(B8:B169,"&gt;="&amp;(B169-WEEKDAY(B169,2)+1),E8:E169),0)</f>
        <v/>
      </c>
      <c r="P169" s="226">
        <f>IFERROR(SUMIF(B8:B169,"&gt;="&amp;(B169-WEEKDAY(B169,2)+1),H8:H169),0)</f>
        <v/>
      </c>
      <c r="Q169" s="224">
        <f>IFERROR(O169-P169,0)</f>
        <v/>
      </c>
    </row>
    <row r="170" ht="16.5" customHeight="1">
      <c r="B170" s="208" t="n"/>
      <c r="C170" s="29">
        <f>IF(B170="","",TEXT(B170,"DDD"))</f>
        <v/>
      </c>
      <c r="D170" s="30">
        <f>IF(B170="","","Soft App")</f>
        <v/>
      </c>
      <c r="E170" s="209" t="n"/>
      <c r="F170" s="210" t="n"/>
      <c r="G170" s="211">
        <f>IFERROR(E170/F170,0)</f>
        <v/>
      </c>
      <c r="H170" s="212">
        <f>IFERROR(SUMIF('💸 Expenses'!B9:B508,B170,'💸 Expenses'!F9:F508),0)</f>
        <v/>
      </c>
      <c r="I170" s="213">
        <f>IFERROR(E170-H170,0)</f>
        <v/>
      </c>
      <c r="J170" s="214">
        <f>IFERROR(I170/E170,0)</f>
        <v/>
      </c>
      <c r="K170" s="37" t="n"/>
      <c r="L170" s="187">
        <f>IFERROR(L169+E170,0)</f>
        <v/>
      </c>
      <c r="M170" s="190">
        <f>IFERROR(M169+H170,0)</f>
        <v/>
      </c>
      <c r="N170" s="215">
        <f>IFERROR(L170-M170,0)</f>
        <v/>
      </c>
      <c r="O170" s="216">
        <f>IFERROR(SUMIF(B8:B170,"&gt;="&amp;(B170-WEEKDAY(B170,2)+1),E8:E170),0)</f>
        <v/>
      </c>
      <c r="P170" s="217">
        <f>IFERROR(SUMIF(B8:B170,"&gt;="&amp;(B170-WEEKDAY(B170,2)+1),H8:H170),0)</f>
        <v/>
      </c>
      <c r="Q170" s="215">
        <f>IFERROR(O170-P170,0)</f>
        <v/>
      </c>
    </row>
    <row r="171" ht="16.5" customHeight="1">
      <c r="B171" s="208" t="n"/>
      <c r="C171" s="41">
        <f>IF(B171="","",TEXT(B171,"DDD"))</f>
        <v/>
      </c>
      <c r="D171" s="42">
        <f>IF(B171="","","Soft App")</f>
        <v/>
      </c>
      <c r="E171" s="218" t="n"/>
      <c r="F171" s="219" t="n"/>
      <c r="G171" s="220">
        <f>IFERROR(E171/F171,0)</f>
        <v/>
      </c>
      <c r="H171" s="221">
        <f>IFERROR(SUMIF('💸 Expenses'!B9:B508,B171,'💸 Expenses'!F9:F508),0)</f>
        <v/>
      </c>
      <c r="I171" s="222">
        <f>IFERROR(E171-H171,0)</f>
        <v/>
      </c>
      <c r="J171" s="223">
        <f>IFERROR(I171/E171,0)</f>
        <v/>
      </c>
      <c r="K171" s="49" t="n"/>
      <c r="L171" s="193">
        <f>IFERROR(L170+E171,0)</f>
        <v/>
      </c>
      <c r="M171" s="196">
        <f>IFERROR(M170+H171,0)</f>
        <v/>
      </c>
      <c r="N171" s="224">
        <f>IFERROR(L171-M171,0)</f>
        <v/>
      </c>
      <c r="O171" s="225">
        <f>IFERROR(SUMIF(B8:B171,"&gt;="&amp;(B171-WEEKDAY(B171,2)+1),E8:E171),0)</f>
        <v/>
      </c>
      <c r="P171" s="226">
        <f>IFERROR(SUMIF(B8:B171,"&gt;="&amp;(B171-WEEKDAY(B171,2)+1),H8:H171),0)</f>
        <v/>
      </c>
      <c r="Q171" s="224">
        <f>IFERROR(O171-P171,0)</f>
        <v/>
      </c>
    </row>
    <row r="172" ht="16.5" customHeight="1">
      <c r="B172" s="208" t="n"/>
      <c r="C172" s="29">
        <f>IF(B172="","",TEXT(B172,"DDD"))</f>
        <v/>
      </c>
      <c r="D172" s="30">
        <f>IF(B172="","","Soft App")</f>
        <v/>
      </c>
      <c r="E172" s="209" t="n"/>
      <c r="F172" s="210" t="n"/>
      <c r="G172" s="211">
        <f>IFERROR(E172/F172,0)</f>
        <v/>
      </c>
      <c r="H172" s="212">
        <f>IFERROR(SUMIF('💸 Expenses'!B9:B508,B172,'💸 Expenses'!F9:F508),0)</f>
        <v/>
      </c>
      <c r="I172" s="213">
        <f>IFERROR(E172-H172,0)</f>
        <v/>
      </c>
      <c r="J172" s="214">
        <f>IFERROR(I172/E172,0)</f>
        <v/>
      </c>
      <c r="K172" s="37" t="n"/>
      <c r="L172" s="187">
        <f>IFERROR(L171+E172,0)</f>
        <v/>
      </c>
      <c r="M172" s="190">
        <f>IFERROR(M171+H172,0)</f>
        <v/>
      </c>
      <c r="N172" s="215">
        <f>IFERROR(L172-M172,0)</f>
        <v/>
      </c>
      <c r="O172" s="216">
        <f>IFERROR(SUMIF(B8:B172,"&gt;="&amp;(B172-WEEKDAY(B172,2)+1),E8:E172),0)</f>
        <v/>
      </c>
      <c r="P172" s="217">
        <f>IFERROR(SUMIF(B8:B172,"&gt;="&amp;(B172-WEEKDAY(B172,2)+1),H8:H172),0)</f>
        <v/>
      </c>
      <c r="Q172" s="215">
        <f>IFERROR(O172-P172,0)</f>
        <v/>
      </c>
    </row>
    <row r="173" ht="16.5" customHeight="1">
      <c r="B173" s="208" t="n"/>
      <c r="C173" s="41">
        <f>IF(B173="","",TEXT(B173,"DDD"))</f>
        <v/>
      </c>
      <c r="D173" s="42">
        <f>IF(B173="","","Soft App")</f>
        <v/>
      </c>
      <c r="E173" s="218" t="n"/>
      <c r="F173" s="219" t="n"/>
      <c r="G173" s="220">
        <f>IFERROR(E173/F173,0)</f>
        <v/>
      </c>
      <c r="H173" s="221">
        <f>IFERROR(SUMIF('💸 Expenses'!B9:B508,B173,'💸 Expenses'!F9:F508),0)</f>
        <v/>
      </c>
      <c r="I173" s="222">
        <f>IFERROR(E173-H173,0)</f>
        <v/>
      </c>
      <c r="J173" s="223">
        <f>IFERROR(I173/E173,0)</f>
        <v/>
      </c>
      <c r="K173" s="49" t="n"/>
      <c r="L173" s="193">
        <f>IFERROR(L172+E173,0)</f>
        <v/>
      </c>
      <c r="M173" s="196">
        <f>IFERROR(M172+H173,0)</f>
        <v/>
      </c>
      <c r="N173" s="224">
        <f>IFERROR(L173-M173,0)</f>
        <v/>
      </c>
      <c r="O173" s="225">
        <f>IFERROR(SUMIF(B8:B173,"&gt;="&amp;(B173-WEEKDAY(B173,2)+1),E8:E173),0)</f>
        <v/>
      </c>
      <c r="P173" s="226">
        <f>IFERROR(SUMIF(B8:B173,"&gt;="&amp;(B173-WEEKDAY(B173,2)+1),H8:H173),0)</f>
        <v/>
      </c>
      <c r="Q173" s="224">
        <f>IFERROR(O173-P173,0)</f>
        <v/>
      </c>
    </row>
    <row r="174" ht="16.5" customHeight="1">
      <c r="B174" s="208" t="n"/>
      <c r="C174" s="29">
        <f>IF(B174="","",TEXT(B174,"DDD"))</f>
        <v/>
      </c>
      <c r="D174" s="30">
        <f>IF(B174="","","Soft App")</f>
        <v/>
      </c>
      <c r="E174" s="209" t="n"/>
      <c r="F174" s="210" t="n"/>
      <c r="G174" s="211">
        <f>IFERROR(E174/F174,0)</f>
        <v/>
      </c>
      <c r="H174" s="212">
        <f>IFERROR(SUMIF('💸 Expenses'!B9:B508,B174,'💸 Expenses'!F9:F508),0)</f>
        <v/>
      </c>
      <c r="I174" s="213">
        <f>IFERROR(E174-H174,0)</f>
        <v/>
      </c>
      <c r="J174" s="214">
        <f>IFERROR(I174/E174,0)</f>
        <v/>
      </c>
      <c r="K174" s="37" t="n"/>
      <c r="L174" s="187">
        <f>IFERROR(L173+E174,0)</f>
        <v/>
      </c>
      <c r="M174" s="190">
        <f>IFERROR(M173+H174,0)</f>
        <v/>
      </c>
      <c r="N174" s="215">
        <f>IFERROR(L174-M174,0)</f>
        <v/>
      </c>
      <c r="O174" s="216">
        <f>IFERROR(SUMIF(B8:B174,"&gt;="&amp;(B174-WEEKDAY(B174,2)+1),E8:E174),0)</f>
        <v/>
      </c>
      <c r="P174" s="217">
        <f>IFERROR(SUMIF(B8:B174,"&gt;="&amp;(B174-WEEKDAY(B174,2)+1),H8:H174),0)</f>
        <v/>
      </c>
      <c r="Q174" s="215">
        <f>IFERROR(O174-P174,0)</f>
        <v/>
      </c>
    </row>
    <row r="175" ht="16.5" customHeight="1">
      <c r="B175" s="208" t="n"/>
      <c r="C175" s="41">
        <f>IF(B175="","",TEXT(B175,"DDD"))</f>
        <v/>
      </c>
      <c r="D175" s="42">
        <f>IF(B175="","","Soft App")</f>
        <v/>
      </c>
      <c r="E175" s="218" t="n"/>
      <c r="F175" s="219" t="n"/>
      <c r="G175" s="220">
        <f>IFERROR(E175/F175,0)</f>
        <v/>
      </c>
      <c r="H175" s="221">
        <f>IFERROR(SUMIF('💸 Expenses'!B9:B508,B175,'💸 Expenses'!F9:F508),0)</f>
        <v/>
      </c>
      <c r="I175" s="222">
        <f>IFERROR(E175-H175,0)</f>
        <v/>
      </c>
      <c r="J175" s="223">
        <f>IFERROR(I175/E175,0)</f>
        <v/>
      </c>
      <c r="K175" s="49" t="n"/>
      <c r="L175" s="193">
        <f>IFERROR(L174+E175,0)</f>
        <v/>
      </c>
      <c r="M175" s="196">
        <f>IFERROR(M174+H175,0)</f>
        <v/>
      </c>
      <c r="N175" s="224">
        <f>IFERROR(L175-M175,0)</f>
        <v/>
      </c>
      <c r="O175" s="225">
        <f>IFERROR(SUMIF(B8:B175,"&gt;="&amp;(B175-WEEKDAY(B175,2)+1),E8:E175),0)</f>
        <v/>
      </c>
      <c r="P175" s="226">
        <f>IFERROR(SUMIF(B8:B175,"&gt;="&amp;(B175-WEEKDAY(B175,2)+1),H8:H175),0)</f>
        <v/>
      </c>
      <c r="Q175" s="224">
        <f>IFERROR(O175-P175,0)</f>
        <v/>
      </c>
    </row>
    <row r="176" ht="16.5" customHeight="1">
      <c r="B176" s="208" t="n"/>
      <c r="C176" s="29">
        <f>IF(B176="","",TEXT(B176,"DDD"))</f>
        <v/>
      </c>
      <c r="D176" s="30">
        <f>IF(B176="","","Soft App")</f>
        <v/>
      </c>
      <c r="E176" s="209" t="n"/>
      <c r="F176" s="210" t="n"/>
      <c r="G176" s="211">
        <f>IFERROR(E176/F176,0)</f>
        <v/>
      </c>
      <c r="H176" s="212">
        <f>IFERROR(SUMIF('💸 Expenses'!B9:B508,B176,'💸 Expenses'!F9:F508),0)</f>
        <v/>
      </c>
      <c r="I176" s="213">
        <f>IFERROR(E176-H176,0)</f>
        <v/>
      </c>
      <c r="J176" s="214">
        <f>IFERROR(I176/E176,0)</f>
        <v/>
      </c>
      <c r="K176" s="37" t="n"/>
      <c r="L176" s="187">
        <f>IFERROR(L175+E176,0)</f>
        <v/>
      </c>
      <c r="M176" s="190">
        <f>IFERROR(M175+H176,0)</f>
        <v/>
      </c>
      <c r="N176" s="215">
        <f>IFERROR(L176-M176,0)</f>
        <v/>
      </c>
      <c r="O176" s="216">
        <f>IFERROR(SUMIF(B8:B176,"&gt;="&amp;(B176-WEEKDAY(B176,2)+1),E8:E176),0)</f>
        <v/>
      </c>
      <c r="P176" s="217">
        <f>IFERROR(SUMIF(B8:B176,"&gt;="&amp;(B176-WEEKDAY(B176,2)+1),H8:H176),0)</f>
        <v/>
      </c>
      <c r="Q176" s="215">
        <f>IFERROR(O176-P176,0)</f>
        <v/>
      </c>
    </row>
    <row r="177" ht="16.5" customHeight="1">
      <c r="B177" s="208" t="n"/>
      <c r="C177" s="41">
        <f>IF(B177="","",TEXT(B177,"DDD"))</f>
        <v/>
      </c>
      <c r="D177" s="42">
        <f>IF(B177="","","Soft App")</f>
        <v/>
      </c>
      <c r="E177" s="218" t="n"/>
      <c r="F177" s="219" t="n"/>
      <c r="G177" s="220">
        <f>IFERROR(E177/F177,0)</f>
        <v/>
      </c>
      <c r="H177" s="221">
        <f>IFERROR(SUMIF('💸 Expenses'!B9:B508,B177,'💸 Expenses'!F9:F508),0)</f>
        <v/>
      </c>
      <c r="I177" s="222">
        <f>IFERROR(E177-H177,0)</f>
        <v/>
      </c>
      <c r="J177" s="223">
        <f>IFERROR(I177/E177,0)</f>
        <v/>
      </c>
      <c r="K177" s="49" t="n"/>
      <c r="L177" s="193">
        <f>IFERROR(L176+E177,0)</f>
        <v/>
      </c>
      <c r="M177" s="196">
        <f>IFERROR(M176+H177,0)</f>
        <v/>
      </c>
      <c r="N177" s="224">
        <f>IFERROR(L177-M177,0)</f>
        <v/>
      </c>
      <c r="O177" s="225">
        <f>IFERROR(SUMIF(B8:B177,"&gt;="&amp;(B177-WEEKDAY(B177,2)+1),E8:E177),0)</f>
        <v/>
      </c>
      <c r="P177" s="226">
        <f>IFERROR(SUMIF(B8:B177,"&gt;="&amp;(B177-WEEKDAY(B177,2)+1),H8:H177),0)</f>
        <v/>
      </c>
      <c r="Q177" s="224">
        <f>IFERROR(O177-P177,0)</f>
        <v/>
      </c>
    </row>
    <row r="178" ht="16.5" customHeight="1">
      <c r="B178" s="208" t="n"/>
      <c r="C178" s="29">
        <f>IF(B178="","",TEXT(B178,"DDD"))</f>
        <v/>
      </c>
      <c r="D178" s="30">
        <f>IF(B178="","","Soft App")</f>
        <v/>
      </c>
      <c r="E178" s="209" t="n"/>
      <c r="F178" s="210" t="n"/>
      <c r="G178" s="211">
        <f>IFERROR(E178/F178,0)</f>
        <v/>
      </c>
      <c r="H178" s="212">
        <f>IFERROR(SUMIF('💸 Expenses'!B9:B508,B178,'💸 Expenses'!F9:F508),0)</f>
        <v/>
      </c>
      <c r="I178" s="213">
        <f>IFERROR(E178-H178,0)</f>
        <v/>
      </c>
      <c r="J178" s="214">
        <f>IFERROR(I178/E178,0)</f>
        <v/>
      </c>
      <c r="K178" s="37" t="n"/>
      <c r="L178" s="187">
        <f>IFERROR(L177+E178,0)</f>
        <v/>
      </c>
      <c r="M178" s="190">
        <f>IFERROR(M177+H178,0)</f>
        <v/>
      </c>
      <c r="N178" s="215">
        <f>IFERROR(L178-M178,0)</f>
        <v/>
      </c>
      <c r="O178" s="216">
        <f>IFERROR(SUMIF(B8:B178,"&gt;="&amp;(B178-WEEKDAY(B178,2)+1),E8:E178),0)</f>
        <v/>
      </c>
      <c r="P178" s="217">
        <f>IFERROR(SUMIF(B8:B178,"&gt;="&amp;(B178-WEEKDAY(B178,2)+1),H8:H178),0)</f>
        <v/>
      </c>
      <c r="Q178" s="215">
        <f>IFERROR(O178-P178,0)</f>
        <v/>
      </c>
    </row>
    <row r="179" ht="16.5" customHeight="1">
      <c r="B179" s="208" t="n"/>
      <c r="C179" s="41">
        <f>IF(B179="","",TEXT(B179,"DDD"))</f>
        <v/>
      </c>
      <c r="D179" s="42">
        <f>IF(B179="","","Soft App")</f>
        <v/>
      </c>
      <c r="E179" s="218" t="n"/>
      <c r="F179" s="219" t="n"/>
      <c r="G179" s="220">
        <f>IFERROR(E179/F179,0)</f>
        <v/>
      </c>
      <c r="H179" s="221">
        <f>IFERROR(SUMIF('💸 Expenses'!B9:B508,B179,'💸 Expenses'!F9:F508),0)</f>
        <v/>
      </c>
      <c r="I179" s="222">
        <f>IFERROR(E179-H179,0)</f>
        <v/>
      </c>
      <c r="J179" s="223">
        <f>IFERROR(I179/E179,0)</f>
        <v/>
      </c>
      <c r="K179" s="49" t="n"/>
      <c r="L179" s="193">
        <f>IFERROR(L178+E179,0)</f>
        <v/>
      </c>
      <c r="M179" s="196">
        <f>IFERROR(M178+H179,0)</f>
        <v/>
      </c>
      <c r="N179" s="224">
        <f>IFERROR(L179-M179,0)</f>
        <v/>
      </c>
      <c r="O179" s="225">
        <f>IFERROR(SUMIF(B8:B179,"&gt;="&amp;(B179-WEEKDAY(B179,2)+1),E8:E179),0)</f>
        <v/>
      </c>
      <c r="P179" s="226">
        <f>IFERROR(SUMIF(B8:B179,"&gt;="&amp;(B179-WEEKDAY(B179,2)+1),H8:H179),0)</f>
        <v/>
      </c>
      <c r="Q179" s="224">
        <f>IFERROR(O179-P179,0)</f>
        <v/>
      </c>
    </row>
    <row r="180" ht="16.5" customHeight="1">
      <c r="B180" s="208" t="n"/>
      <c r="C180" s="29">
        <f>IF(B180="","",TEXT(B180,"DDD"))</f>
        <v/>
      </c>
      <c r="D180" s="30">
        <f>IF(B180="","","Soft App")</f>
        <v/>
      </c>
      <c r="E180" s="209" t="n"/>
      <c r="F180" s="210" t="n"/>
      <c r="G180" s="211">
        <f>IFERROR(E180/F180,0)</f>
        <v/>
      </c>
      <c r="H180" s="212">
        <f>IFERROR(SUMIF('💸 Expenses'!B9:B508,B180,'💸 Expenses'!F9:F508),0)</f>
        <v/>
      </c>
      <c r="I180" s="213">
        <f>IFERROR(E180-H180,0)</f>
        <v/>
      </c>
      <c r="J180" s="214">
        <f>IFERROR(I180/E180,0)</f>
        <v/>
      </c>
      <c r="K180" s="37" t="n"/>
      <c r="L180" s="187">
        <f>IFERROR(L179+E180,0)</f>
        <v/>
      </c>
      <c r="M180" s="190">
        <f>IFERROR(M179+H180,0)</f>
        <v/>
      </c>
      <c r="N180" s="215">
        <f>IFERROR(L180-M180,0)</f>
        <v/>
      </c>
      <c r="O180" s="216">
        <f>IFERROR(SUMIF(B8:B180,"&gt;="&amp;(B180-WEEKDAY(B180,2)+1),E8:E180),0)</f>
        <v/>
      </c>
      <c r="P180" s="217">
        <f>IFERROR(SUMIF(B8:B180,"&gt;="&amp;(B180-WEEKDAY(B180,2)+1),H8:H180),0)</f>
        <v/>
      </c>
      <c r="Q180" s="215">
        <f>IFERROR(O180-P180,0)</f>
        <v/>
      </c>
    </row>
    <row r="181" ht="16.5" customHeight="1">
      <c r="B181" s="208" t="n"/>
      <c r="C181" s="41">
        <f>IF(B181="","",TEXT(B181,"DDD"))</f>
        <v/>
      </c>
      <c r="D181" s="42">
        <f>IF(B181="","","Soft App")</f>
        <v/>
      </c>
      <c r="E181" s="218" t="n"/>
      <c r="F181" s="219" t="n"/>
      <c r="G181" s="220">
        <f>IFERROR(E181/F181,0)</f>
        <v/>
      </c>
      <c r="H181" s="221">
        <f>IFERROR(SUMIF('💸 Expenses'!B9:B508,B181,'💸 Expenses'!F9:F508),0)</f>
        <v/>
      </c>
      <c r="I181" s="222">
        <f>IFERROR(E181-H181,0)</f>
        <v/>
      </c>
      <c r="J181" s="223">
        <f>IFERROR(I181/E181,0)</f>
        <v/>
      </c>
      <c r="K181" s="49" t="n"/>
      <c r="L181" s="193">
        <f>IFERROR(L180+E181,0)</f>
        <v/>
      </c>
      <c r="M181" s="196">
        <f>IFERROR(M180+H181,0)</f>
        <v/>
      </c>
      <c r="N181" s="224">
        <f>IFERROR(L181-M181,0)</f>
        <v/>
      </c>
      <c r="O181" s="225">
        <f>IFERROR(SUMIF(B8:B181,"&gt;="&amp;(B181-WEEKDAY(B181,2)+1),E8:E181),0)</f>
        <v/>
      </c>
      <c r="P181" s="226">
        <f>IFERROR(SUMIF(B8:B181,"&gt;="&amp;(B181-WEEKDAY(B181,2)+1),H8:H181),0)</f>
        <v/>
      </c>
      <c r="Q181" s="224">
        <f>IFERROR(O181-P181,0)</f>
        <v/>
      </c>
    </row>
    <row r="182" ht="16.5" customHeight="1">
      <c r="B182" s="208" t="n"/>
      <c r="C182" s="29">
        <f>IF(B182="","",TEXT(B182,"DDD"))</f>
        <v/>
      </c>
      <c r="D182" s="30">
        <f>IF(B182="","","Soft App")</f>
        <v/>
      </c>
      <c r="E182" s="209" t="n"/>
      <c r="F182" s="210" t="n"/>
      <c r="G182" s="211">
        <f>IFERROR(E182/F182,0)</f>
        <v/>
      </c>
      <c r="H182" s="212">
        <f>IFERROR(SUMIF('💸 Expenses'!B9:B508,B182,'💸 Expenses'!F9:F508),0)</f>
        <v/>
      </c>
      <c r="I182" s="213">
        <f>IFERROR(E182-H182,0)</f>
        <v/>
      </c>
      <c r="J182" s="214">
        <f>IFERROR(I182/E182,0)</f>
        <v/>
      </c>
      <c r="K182" s="37" t="n"/>
      <c r="L182" s="187">
        <f>IFERROR(L181+E182,0)</f>
        <v/>
      </c>
      <c r="M182" s="190">
        <f>IFERROR(M181+H182,0)</f>
        <v/>
      </c>
      <c r="N182" s="215">
        <f>IFERROR(L182-M182,0)</f>
        <v/>
      </c>
      <c r="O182" s="216">
        <f>IFERROR(SUMIF(B8:B182,"&gt;="&amp;(B182-WEEKDAY(B182,2)+1),E8:E182),0)</f>
        <v/>
      </c>
      <c r="P182" s="217">
        <f>IFERROR(SUMIF(B8:B182,"&gt;="&amp;(B182-WEEKDAY(B182,2)+1),H8:H182),0)</f>
        <v/>
      </c>
      <c r="Q182" s="215">
        <f>IFERROR(O182-P182,0)</f>
        <v/>
      </c>
    </row>
    <row r="183" ht="16.5" customHeight="1">
      <c r="B183" s="208" t="n"/>
      <c r="C183" s="41">
        <f>IF(B183="","",TEXT(B183,"DDD"))</f>
        <v/>
      </c>
      <c r="D183" s="42">
        <f>IF(B183="","","Soft App")</f>
        <v/>
      </c>
      <c r="E183" s="218" t="n"/>
      <c r="F183" s="219" t="n"/>
      <c r="G183" s="220">
        <f>IFERROR(E183/F183,0)</f>
        <v/>
      </c>
      <c r="H183" s="221">
        <f>IFERROR(SUMIF('💸 Expenses'!B9:B508,B183,'💸 Expenses'!F9:F508),0)</f>
        <v/>
      </c>
      <c r="I183" s="222">
        <f>IFERROR(E183-H183,0)</f>
        <v/>
      </c>
      <c r="J183" s="223">
        <f>IFERROR(I183/E183,0)</f>
        <v/>
      </c>
      <c r="K183" s="49" t="n"/>
      <c r="L183" s="193">
        <f>IFERROR(L182+E183,0)</f>
        <v/>
      </c>
      <c r="M183" s="196">
        <f>IFERROR(M182+H183,0)</f>
        <v/>
      </c>
      <c r="N183" s="224">
        <f>IFERROR(L183-M183,0)</f>
        <v/>
      </c>
      <c r="O183" s="225">
        <f>IFERROR(SUMIF(B8:B183,"&gt;="&amp;(B183-WEEKDAY(B183,2)+1),E8:E183),0)</f>
        <v/>
      </c>
      <c r="P183" s="226">
        <f>IFERROR(SUMIF(B8:B183,"&gt;="&amp;(B183-WEEKDAY(B183,2)+1),H8:H183),0)</f>
        <v/>
      </c>
      <c r="Q183" s="224">
        <f>IFERROR(O183-P183,0)</f>
        <v/>
      </c>
    </row>
    <row r="184" ht="16.5" customHeight="1">
      <c r="B184" s="208" t="n"/>
      <c r="C184" s="29">
        <f>IF(B184="","",TEXT(B184,"DDD"))</f>
        <v/>
      </c>
      <c r="D184" s="30">
        <f>IF(B184="","","Soft App")</f>
        <v/>
      </c>
      <c r="E184" s="209" t="n"/>
      <c r="F184" s="210" t="n"/>
      <c r="G184" s="211">
        <f>IFERROR(E184/F184,0)</f>
        <v/>
      </c>
      <c r="H184" s="212">
        <f>IFERROR(SUMIF('💸 Expenses'!B9:B508,B184,'💸 Expenses'!F9:F508),0)</f>
        <v/>
      </c>
      <c r="I184" s="213">
        <f>IFERROR(E184-H184,0)</f>
        <v/>
      </c>
      <c r="J184" s="214">
        <f>IFERROR(I184/E184,0)</f>
        <v/>
      </c>
      <c r="K184" s="37" t="n"/>
      <c r="L184" s="187">
        <f>IFERROR(L183+E184,0)</f>
        <v/>
      </c>
      <c r="M184" s="190">
        <f>IFERROR(M183+H184,0)</f>
        <v/>
      </c>
      <c r="N184" s="215">
        <f>IFERROR(L184-M184,0)</f>
        <v/>
      </c>
      <c r="O184" s="216">
        <f>IFERROR(SUMIF(B8:B184,"&gt;="&amp;(B184-WEEKDAY(B184,2)+1),E8:E184),0)</f>
        <v/>
      </c>
      <c r="P184" s="217">
        <f>IFERROR(SUMIF(B8:B184,"&gt;="&amp;(B184-WEEKDAY(B184,2)+1),H8:H184),0)</f>
        <v/>
      </c>
      <c r="Q184" s="215">
        <f>IFERROR(O184-P184,0)</f>
        <v/>
      </c>
    </row>
    <row r="185" ht="16.5" customHeight="1">
      <c r="B185" s="208" t="n"/>
      <c r="C185" s="41">
        <f>IF(B185="","",TEXT(B185,"DDD"))</f>
        <v/>
      </c>
      <c r="D185" s="42">
        <f>IF(B185="","","Soft App")</f>
        <v/>
      </c>
      <c r="E185" s="218" t="n"/>
      <c r="F185" s="219" t="n"/>
      <c r="G185" s="220">
        <f>IFERROR(E185/F185,0)</f>
        <v/>
      </c>
      <c r="H185" s="221">
        <f>IFERROR(SUMIF('💸 Expenses'!B9:B508,B185,'💸 Expenses'!F9:F508),0)</f>
        <v/>
      </c>
      <c r="I185" s="222">
        <f>IFERROR(E185-H185,0)</f>
        <v/>
      </c>
      <c r="J185" s="223">
        <f>IFERROR(I185/E185,0)</f>
        <v/>
      </c>
      <c r="K185" s="49" t="n"/>
      <c r="L185" s="193">
        <f>IFERROR(L184+E185,0)</f>
        <v/>
      </c>
      <c r="M185" s="196">
        <f>IFERROR(M184+H185,0)</f>
        <v/>
      </c>
      <c r="N185" s="224">
        <f>IFERROR(L185-M185,0)</f>
        <v/>
      </c>
      <c r="O185" s="225">
        <f>IFERROR(SUMIF(B8:B185,"&gt;="&amp;(B185-WEEKDAY(B185,2)+1),E8:E185),0)</f>
        <v/>
      </c>
      <c r="P185" s="226">
        <f>IFERROR(SUMIF(B8:B185,"&gt;="&amp;(B185-WEEKDAY(B185,2)+1),H8:H185),0)</f>
        <v/>
      </c>
      <c r="Q185" s="224">
        <f>IFERROR(O185-P185,0)</f>
        <v/>
      </c>
    </row>
    <row r="186" ht="16.5" customHeight="1">
      <c r="B186" s="208" t="n"/>
      <c r="C186" s="29">
        <f>IF(B186="","",TEXT(B186,"DDD"))</f>
        <v/>
      </c>
      <c r="D186" s="30">
        <f>IF(B186="","","Soft App")</f>
        <v/>
      </c>
      <c r="E186" s="209" t="n"/>
      <c r="F186" s="210" t="n"/>
      <c r="G186" s="211">
        <f>IFERROR(E186/F186,0)</f>
        <v/>
      </c>
      <c r="H186" s="212">
        <f>IFERROR(SUMIF('💸 Expenses'!B9:B508,B186,'💸 Expenses'!F9:F508),0)</f>
        <v/>
      </c>
      <c r="I186" s="213">
        <f>IFERROR(E186-H186,0)</f>
        <v/>
      </c>
      <c r="J186" s="214">
        <f>IFERROR(I186/E186,0)</f>
        <v/>
      </c>
      <c r="K186" s="37" t="n"/>
      <c r="L186" s="187">
        <f>IFERROR(L185+E186,0)</f>
        <v/>
      </c>
      <c r="M186" s="190">
        <f>IFERROR(M185+H186,0)</f>
        <v/>
      </c>
      <c r="N186" s="215">
        <f>IFERROR(L186-M186,0)</f>
        <v/>
      </c>
      <c r="O186" s="216">
        <f>IFERROR(SUMIF(B8:B186,"&gt;="&amp;(B186-WEEKDAY(B186,2)+1),E8:E186),0)</f>
        <v/>
      </c>
      <c r="P186" s="217">
        <f>IFERROR(SUMIF(B8:B186,"&gt;="&amp;(B186-WEEKDAY(B186,2)+1),H8:H186),0)</f>
        <v/>
      </c>
      <c r="Q186" s="215">
        <f>IFERROR(O186-P186,0)</f>
        <v/>
      </c>
    </row>
    <row r="187" ht="16.5" customHeight="1">
      <c r="B187" s="208" t="n"/>
      <c r="C187" s="41">
        <f>IF(B187="","",TEXT(B187,"DDD"))</f>
        <v/>
      </c>
      <c r="D187" s="42">
        <f>IF(B187="","","Soft App")</f>
        <v/>
      </c>
      <c r="E187" s="218" t="n"/>
      <c r="F187" s="219" t="n"/>
      <c r="G187" s="220">
        <f>IFERROR(E187/F187,0)</f>
        <v/>
      </c>
      <c r="H187" s="221">
        <f>IFERROR(SUMIF('💸 Expenses'!B9:B508,B187,'💸 Expenses'!F9:F508),0)</f>
        <v/>
      </c>
      <c r="I187" s="222">
        <f>IFERROR(E187-H187,0)</f>
        <v/>
      </c>
      <c r="J187" s="223">
        <f>IFERROR(I187/E187,0)</f>
        <v/>
      </c>
      <c r="K187" s="49" t="n"/>
      <c r="L187" s="193">
        <f>IFERROR(L186+E187,0)</f>
        <v/>
      </c>
      <c r="M187" s="196">
        <f>IFERROR(M186+H187,0)</f>
        <v/>
      </c>
      <c r="N187" s="224">
        <f>IFERROR(L187-M187,0)</f>
        <v/>
      </c>
      <c r="O187" s="225">
        <f>IFERROR(SUMIF(B8:B187,"&gt;="&amp;(B187-WEEKDAY(B187,2)+1),E8:E187),0)</f>
        <v/>
      </c>
      <c r="P187" s="226">
        <f>IFERROR(SUMIF(B8:B187,"&gt;="&amp;(B187-WEEKDAY(B187,2)+1),H8:H187),0)</f>
        <v/>
      </c>
      <c r="Q187" s="224">
        <f>IFERROR(O187-P187,0)</f>
        <v/>
      </c>
    </row>
    <row r="188" ht="16.5" customHeight="1">
      <c r="B188" s="208" t="n"/>
      <c r="C188" s="29">
        <f>IF(B188="","",TEXT(B188,"DDD"))</f>
        <v/>
      </c>
      <c r="D188" s="30">
        <f>IF(B188="","","Soft App")</f>
        <v/>
      </c>
      <c r="E188" s="209" t="n"/>
      <c r="F188" s="210" t="n"/>
      <c r="G188" s="211">
        <f>IFERROR(E188/F188,0)</f>
        <v/>
      </c>
      <c r="H188" s="212">
        <f>IFERROR(SUMIF('💸 Expenses'!B9:B508,B188,'💸 Expenses'!F9:F508),0)</f>
        <v/>
      </c>
      <c r="I188" s="213">
        <f>IFERROR(E188-H188,0)</f>
        <v/>
      </c>
      <c r="J188" s="214">
        <f>IFERROR(I188/E188,0)</f>
        <v/>
      </c>
      <c r="K188" s="37" t="n"/>
      <c r="L188" s="187">
        <f>IFERROR(L187+E188,0)</f>
        <v/>
      </c>
      <c r="M188" s="190">
        <f>IFERROR(M187+H188,0)</f>
        <v/>
      </c>
      <c r="N188" s="215">
        <f>IFERROR(L188-M188,0)</f>
        <v/>
      </c>
      <c r="O188" s="216">
        <f>IFERROR(SUMIF(B8:B188,"&gt;="&amp;(B188-WEEKDAY(B188,2)+1),E8:E188),0)</f>
        <v/>
      </c>
      <c r="P188" s="217">
        <f>IFERROR(SUMIF(B8:B188,"&gt;="&amp;(B188-WEEKDAY(B188,2)+1),H8:H188),0)</f>
        <v/>
      </c>
      <c r="Q188" s="215">
        <f>IFERROR(O188-P188,0)</f>
        <v/>
      </c>
    </row>
    <row r="189" ht="16.5" customHeight="1">
      <c r="B189" s="208" t="n"/>
      <c r="C189" s="41">
        <f>IF(B189="","",TEXT(B189,"DDD"))</f>
        <v/>
      </c>
      <c r="D189" s="42">
        <f>IF(B189="","","Soft App")</f>
        <v/>
      </c>
      <c r="E189" s="218" t="n"/>
      <c r="F189" s="219" t="n"/>
      <c r="G189" s="220">
        <f>IFERROR(E189/F189,0)</f>
        <v/>
      </c>
      <c r="H189" s="221">
        <f>IFERROR(SUMIF('💸 Expenses'!B9:B508,B189,'💸 Expenses'!F9:F508),0)</f>
        <v/>
      </c>
      <c r="I189" s="222">
        <f>IFERROR(E189-H189,0)</f>
        <v/>
      </c>
      <c r="J189" s="223">
        <f>IFERROR(I189/E189,0)</f>
        <v/>
      </c>
      <c r="K189" s="49" t="n"/>
      <c r="L189" s="193">
        <f>IFERROR(L188+E189,0)</f>
        <v/>
      </c>
      <c r="M189" s="196">
        <f>IFERROR(M188+H189,0)</f>
        <v/>
      </c>
      <c r="N189" s="224">
        <f>IFERROR(L189-M189,0)</f>
        <v/>
      </c>
      <c r="O189" s="225">
        <f>IFERROR(SUMIF(B8:B189,"&gt;="&amp;(B189-WEEKDAY(B189,2)+1),E8:E189),0)</f>
        <v/>
      </c>
      <c r="P189" s="226">
        <f>IFERROR(SUMIF(B8:B189,"&gt;="&amp;(B189-WEEKDAY(B189,2)+1),H8:H189),0)</f>
        <v/>
      </c>
      <c r="Q189" s="224">
        <f>IFERROR(O189-P189,0)</f>
        <v/>
      </c>
    </row>
    <row r="190" ht="16.5" customHeight="1">
      <c r="B190" s="208" t="n"/>
      <c r="C190" s="29">
        <f>IF(B190="","",TEXT(B190,"DDD"))</f>
        <v/>
      </c>
      <c r="D190" s="30">
        <f>IF(B190="","","Soft App")</f>
        <v/>
      </c>
      <c r="E190" s="209" t="n"/>
      <c r="F190" s="210" t="n"/>
      <c r="G190" s="211">
        <f>IFERROR(E190/F190,0)</f>
        <v/>
      </c>
      <c r="H190" s="212">
        <f>IFERROR(SUMIF('💸 Expenses'!B9:B508,B190,'💸 Expenses'!F9:F508),0)</f>
        <v/>
      </c>
      <c r="I190" s="213">
        <f>IFERROR(E190-H190,0)</f>
        <v/>
      </c>
      <c r="J190" s="214">
        <f>IFERROR(I190/E190,0)</f>
        <v/>
      </c>
      <c r="K190" s="37" t="n"/>
      <c r="L190" s="187">
        <f>IFERROR(L189+E190,0)</f>
        <v/>
      </c>
      <c r="M190" s="190">
        <f>IFERROR(M189+H190,0)</f>
        <v/>
      </c>
      <c r="N190" s="215">
        <f>IFERROR(L190-M190,0)</f>
        <v/>
      </c>
      <c r="O190" s="216">
        <f>IFERROR(SUMIF(B8:B190,"&gt;="&amp;(B190-WEEKDAY(B190,2)+1),E8:E190),0)</f>
        <v/>
      </c>
      <c r="P190" s="217">
        <f>IFERROR(SUMIF(B8:B190,"&gt;="&amp;(B190-WEEKDAY(B190,2)+1),H8:H190),0)</f>
        <v/>
      </c>
      <c r="Q190" s="215">
        <f>IFERROR(O190-P190,0)</f>
        <v/>
      </c>
    </row>
    <row r="191" ht="16.5" customHeight="1">
      <c r="B191" s="208" t="n"/>
      <c r="C191" s="41">
        <f>IF(B191="","",TEXT(B191,"DDD"))</f>
        <v/>
      </c>
      <c r="D191" s="42">
        <f>IF(B191="","","Soft App")</f>
        <v/>
      </c>
      <c r="E191" s="218" t="n"/>
      <c r="F191" s="219" t="n"/>
      <c r="G191" s="220">
        <f>IFERROR(E191/F191,0)</f>
        <v/>
      </c>
      <c r="H191" s="221">
        <f>IFERROR(SUMIF('💸 Expenses'!B9:B508,B191,'💸 Expenses'!F9:F508),0)</f>
        <v/>
      </c>
      <c r="I191" s="222">
        <f>IFERROR(E191-H191,0)</f>
        <v/>
      </c>
      <c r="J191" s="223">
        <f>IFERROR(I191/E191,0)</f>
        <v/>
      </c>
      <c r="K191" s="49" t="n"/>
      <c r="L191" s="193">
        <f>IFERROR(L190+E191,0)</f>
        <v/>
      </c>
      <c r="M191" s="196">
        <f>IFERROR(M190+H191,0)</f>
        <v/>
      </c>
      <c r="N191" s="224">
        <f>IFERROR(L191-M191,0)</f>
        <v/>
      </c>
      <c r="O191" s="225">
        <f>IFERROR(SUMIF(B8:B191,"&gt;="&amp;(B191-WEEKDAY(B191,2)+1),E8:E191),0)</f>
        <v/>
      </c>
      <c r="P191" s="226">
        <f>IFERROR(SUMIF(B8:B191,"&gt;="&amp;(B191-WEEKDAY(B191,2)+1),H8:H191),0)</f>
        <v/>
      </c>
      <c r="Q191" s="224">
        <f>IFERROR(O191-P191,0)</f>
        <v/>
      </c>
    </row>
    <row r="192" ht="16.5" customHeight="1">
      <c r="B192" s="208" t="n"/>
      <c r="C192" s="29">
        <f>IF(B192="","",TEXT(B192,"DDD"))</f>
        <v/>
      </c>
      <c r="D192" s="30">
        <f>IF(B192="","","Soft App")</f>
        <v/>
      </c>
      <c r="E192" s="209" t="n"/>
      <c r="F192" s="210" t="n"/>
      <c r="G192" s="211">
        <f>IFERROR(E192/F192,0)</f>
        <v/>
      </c>
      <c r="H192" s="212">
        <f>IFERROR(SUMIF('💸 Expenses'!B9:B508,B192,'💸 Expenses'!F9:F508),0)</f>
        <v/>
      </c>
      <c r="I192" s="213">
        <f>IFERROR(E192-H192,0)</f>
        <v/>
      </c>
      <c r="J192" s="214">
        <f>IFERROR(I192/E192,0)</f>
        <v/>
      </c>
      <c r="K192" s="37" t="n"/>
      <c r="L192" s="187">
        <f>IFERROR(L191+E192,0)</f>
        <v/>
      </c>
      <c r="M192" s="190">
        <f>IFERROR(M191+H192,0)</f>
        <v/>
      </c>
      <c r="N192" s="215">
        <f>IFERROR(L192-M192,0)</f>
        <v/>
      </c>
      <c r="O192" s="216">
        <f>IFERROR(SUMIF(B8:B192,"&gt;="&amp;(B192-WEEKDAY(B192,2)+1),E8:E192),0)</f>
        <v/>
      </c>
      <c r="P192" s="217">
        <f>IFERROR(SUMIF(B8:B192,"&gt;="&amp;(B192-WEEKDAY(B192,2)+1),H8:H192),0)</f>
        <v/>
      </c>
      <c r="Q192" s="215">
        <f>IFERROR(O192-P192,0)</f>
        <v/>
      </c>
    </row>
    <row r="193" ht="16.5" customHeight="1">
      <c r="B193" s="208" t="n"/>
      <c r="C193" s="41">
        <f>IF(B193="","",TEXT(B193,"DDD"))</f>
        <v/>
      </c>
      <c r="D193" s="42">
        <f>IF(B193="","","Soft App")</f>
        <v/>
      </c>
      <c r="E193" s="218" t="n"/>
      <c r="F193" s="219" t="n"/>
      <c r="G193" s="220">
        <f>IFERROR(E193/F193,0)</f>
        <v/>
      </c>
      <c r="H193" s="221">
        <f>IFERROR(SUMIF('💸 Expenses'!B9:B508,B193,'💸 Expenses'!F9:F508),0)</f>
        <v/>
      </c>
      <c r="I193" s="222">
        <f>IFERROR(E193-H193,0)</f>
        <v/>
      </c>
      <c r="J193" s="223">
        <f>IFERROR(I193/E193,0)</f>
        <v/>
      </c>
      <c r="K193" s="49" t="n"/>
      <c r="L193" s="193">
        <f>IFERROR(L192+E193,0)</f>
        <v/>
      </c>
      <c r="M193" s="196">
        <f>IFERROR(M192+H193,0)</f>
        <v/>
      </c>
      <c r="N193" s="224">
        <f>IFERROR(L193-M193,0)</f>
        <v/>
      </c>
      <c r="O193" s="225">
        <f>IFERROR(SUMIF(B8:B193,"&gt;="&amp;(B193-WEEKDAY(B193,2)+1),E8:E193),0)</f>
        <v/>
      </c>
      <c r="P193" s="226">
        <f>IFERROR(SUMIF(B8:B193,"&gt;="&amp;(B193-WEEKDAY(B193,2)+1),H8:H193),0)</f>
        <v/>
      </c>
      <c r="Q193" s="224">
        <f>IFERROR(O193-P193,0)</f>
        <v/>
      </c>
    </row>
    <row r="194" ht="16.5" customHeight="1">
      <c r="B194" s="208" t="n"/>
      <c r="C194" s="29">
        <f>IF(B194="","",TEXT(B194,"DDD"))</f>
        <v/>
      </c>
      <c r="D194" s="30">
        <f>IF(B194="","","Soft App")</f>
        <v/>
      </c>
      <c r="E194" s="209" t="n"/>
      <c r="F194" s="210" t="n"/>
      <c r="G194" s="211">
        <f>IFERROR(E194/F194,0)</f>
        <v/>
      </c>
      <c r="H194" s="212">
        <f>IFERROR(SUMIF('💸 Expenses'!B9:B508,B194,'💸 Expenses'!F9:F508),0)</f>
        <v/>
      </c>
      <c r="I194" s="213">
        <f>IFERROR(E194-H194,0)</f>
        <v/>
      </c>
      <c r="J194" s="214">
        <f>IFERROR(I194/E194,0)</f>
        <v/>
      </c>
      <c r="K194" s="37" t="n"/>
      <c r="L194" s="187">
        <f>IFERROR(L193+E194,0)</f>
        <v/>
      </c>
      <c r="M194" s="190">
        <f>IFERROR(M193+H194,0)</f>
        <v/>
      </c>
      <c r="N194" s="215">
        <f>IFERROR(L194-M194,0)</f>
        <v/>
      </c>
      <c r="O194" s="216">
        <f>IFERROR(SUMIF(B8:B194,"&gt;="&amp;(B194-WEEKDAY(B194,2)+1),E8:E194),0)</f>
        <v/>
      </c>
      <c r="P194" s="217">
        <f>IFERROR(SUMIF(B8:B194,"&gt;="&amp;(B194-WEEKDAY(B194,2)+1),H8:H194),0)</f>
        <v/>
      </c>
      <c r="Q194" s="215">
        <f>IFERROR(O194-P194,0)</f>
        <v/>
      </c>
    </row>
    <row r="195" ht="16.5" customHeight="1">
      <c r="B195" s="208" t="n"/>
      <c r="C195" s="41">
        <f>IF(B195="","",TEXT(B195,"DDD"))</f>
        <v/>
      </c>
      <c r="D195" s="42">
        <f>IF(B195="","","Soft App")</f>
        <v/>
      </c>
      <c r="E195" s="218" t="n"/>
      <c r="F195" s="219" t="n"/>
      <c r="G195" s="220">
        <f>IFERROR(E195/F195,0)</f>
        <v/>
      </c>
      <c r="H195" s="221">
        <f>IFERROR(SUMIF('💸 Expenses'!B9:B508,B195,'💸 Expenses'!F9:F508),0)</f>
        <v/>
      </c>
      <c r="I195" s="222">
        <f>IFERROR(E195-H195,0)</f>
        <v/>
      </c>
      <c r="J195" s="223">
        <f>IFERROR(I195/E195,0)</f>
        <v/>
      </c>
      <c r="K195" s="49" t="n"/>
      <c r="L195" s="193">
        <f>IFERROR(L194+E195,0)</f>
        <v/>
      </c>
      <c r="M195" s="196">
        <f>IFERROR(M194+H195,0)</f>
        <v/>
      </c>
      <c r="N195" s="224">
        <f>IFERROR(L195-M195,0)</f>
        <v/>
      </c>
      <c r="O195" s="225">
        <f>IFERROR(SUMIF(B8:B195,"&gt;="&amp;(B195-WEEKDAY(B195,2)+1),E8:E195),0)</f>
        <v/>
      </c>
      <c r="P195" s="226">
        <f>IFERROR(SUMIF(B8:B195,"&gt;="&amp;(B195-WEEKDAY(B195,2)+1),H8:H195),0)</f>
        <v/>
      </c>
      <c r="Q195" s="224">
        <f>IFERROR(O195-P195,0)</f>
        <v/>
      </c>
    </row>
    <row r="196" ht="16.5" customHeight="1">
      <c r="B196" s="208" t="n"/>
      <c r="C196" s="29">
        <f>IF(B196="","",TEXT(B196,"DDD"))</f>
        <v/>
      </c>
      <c r="D196" s="30">
        <f>IF(B196="","","Soft App")</f>
        <v/>
      </c>
      <c r="E196" s="209" t="n"/>
      <c r="F196" s="210" t="n"/>
      <c r="G196" s="211">
        <f>IFERROR(E196/F196,0)</f>
        <v/>
      </c>
      <c r="H196" s="212">
        <f>IFERROR(SUMIF('💸 Expenses'!B9:B508,B196,'💸 Expenses'!F9:F508),0)</f>
        <v/>
      </c>
      <c r="I196" s="213">
        <f>IFERROR(E196-H196,0)</f>
        <v/>
      </c>
      <c r="J196" s="214">
        <f>IFERROR(I196/E196,0)</f>
        <v/>
      </c>
      <c r="K196" s="37" t="n"/>
      <c r="L196" s="187">
        <f>IFERROR(L195+E196,0)</f>
        <v/>
      </c>
      <c r="M196" s="190">
        <f>IFERROR(M195+H196,0)</f>
        <v/>
      </c>
      <c r="N196" s="215">
        <f>IFERROR(L196-M196,0)</f>
        <v/>
      </c>
      <c r="O196" s="216">
        <f>IFERROR(SUMIF(B8:B196,"&gt;="&amp;(B196-WEEKDAY(B196,2)+1),E8:E196),0)</f>
        <v/>
      </c>
      <c r="P196" s="217">
        <f>IFERROR(SUMIF(B8:B196,"&gt;="&amp;(B196-WEEKDAY(B196,2)+1),H8:H196),0)</f>
        <v/>
      </c>
      <c r="Q196" s="215">
        <f>IFERROR(O196-P196,0)</f>
        <v/>
      </c>
    </row>
    <row r="197" ht="16.5" customHeight="1">
      <c r="B197" s="208" t="n"/>
      <c r="C197" s="41">
        <f>IF(B197="","",TEXT(B197,"DDD"))</f>
        <v/>
      </c>
      <c r="D197" s="42">
        <f>IF(B197="","","Soft App")</f>
        <v/>
      </c>
      <c r="E197" s="218" t="n"/>
      <c r="F197" s="219" t="n"/>
      <c r="G197" s="220">
        <f>IFERROR(E197/F197,0)</f>
        <v/>
      </c>
      <c r="H197" s="221">
        <f>IFERROR(SUMIF('💸 Expenses'!B9:B508,B197,'💸 Expenses'!F9:F508),0)</f>
        <v/>
      </c>
      <c r="I197" s="222">
        <f>IFERROR(E197-H197,0)</f>
        <v/>
      </c>
      <c r="J197" s="223">
        <f>IFERROR(I197/E197,0)</f>
        <v/>
      </c>
      <c r="K197" s="49" t="n"/>
      <c r="L197" s="193">
        <f>IFERROR(L196+E197,0)</f>
        <v/>
      </c>
      <c r="M197" s="196">
        <f>IFERROR(M196+H197,0)</f>
        <v/>
      </c>
      <c r="N197" s="224">
        <f>IFERROR(L197-M197,0)</f>
        <v/>
      </c>
      <c r="O197" s="225">
        <f>IFERROR(SUMIF(B8:B197,"&gt;="&amp;(B197-WEEKDAY(B197,2)+1),E8:E197),0)</f>
        <v/>
      </c>
      <c r="P197" s="226">
        <f>IFERROR(SUMIF(B8:B197,"&gt;="&amp;(B197-WEEKDAY(B197,2)+1),H8:H197),0)</f>
        <v/>
      </c>
      <c r="Q197" s="224">
        <f>IFERROR(O197-P197,0)</f>
        <v/>
      </c>
    </row>
    <row r="198" ht="16.5" customHeight="1">
      <c r="B198" s="208" t="n"/>
      <c r="C198" s="29">
        <f>IF(B198="","",TEXT(B198,"DDD"))</f>
        <v/>
      </c>
      <c r="D198" s="30">
        <f>IF(B198="","","Soft App")</f>
        <v/>
      </c>
      <c r="E198" s="209" t="n"/>
      <c r="F198" s="210" t="n"/>
      <c r="G198" s="211">
        <f>IFERROR(E198/F198,0)</f>
        <v/>
      </c>
      <c r="H198" s="212">
        <f>IFERROR(SUMIF('💸 Expenses'!B9:B508,B198,'💸 Expenses'!F9:F508),0)</f>
        <v/>
      </c>
      <c r="I198" s="213">
        <f>IFERROR(E198-H198,0)</f>
        <v/>
      </c>
      <c r="J198" s="214">
        <f>IFERROR(I198/E198,0)</f>
        <v/>
      </c>
      <c r="K198" s="37" t="n"/>
      <c r="L198" s="187">
        <f>IFERROR(L197+E198,0)</f>
        <v/>
      </c>
      <c r="M198" s="190">
        <f>IFERROR(M197+H198,0)</f>
        <v/>
      </c>
      <c r="N198" s="215">
        <f>IFERROR(L198-M198,0)</f>
        <v/>
      </c>
      <c r="O198" s="216">
        <f>IFERROR(SUMIF(B8:B198,"&gt;="&amp;(B198-WEEKDAY(B198,2)+1),E8:E198),0)</f>
        <v/>
      </c>
      <c r="P198" s="217">
        <f>IFERROR(SUMIF(B8:B198,"&gt;="&amp;(B198-WEEKDAY(B198,2)+1),H8:H198),0)</f>
        <v/>
      </c>
      <c r="Q198" s="215">
        <f>IFERROR(O198-P198,0)</f>
        <v/>
      </c>
    </row>
    <row r="199" ht="16.5" customHeight="1">
      <c r="B199" s="208" t="n"/>
      <c r="C199" s="41">
        <f>IF(B199="","",TEXT(B199,"DDD"))</f>
        <v/>
      </c>
      <c r="D199" s="42">
        <f>IF(B199="","","Soft App")</f>
        <v/>
      </c>
      <c r="E199" s="218" t="n"/>
      <c r="F199" s="219" t="n"/>
      <c r="G199" s="220">
        <f>IFERROR(E199/F199,0)</f>
        <v/>
      </c>
      <c r="H199" s="221">
        <f>IFERROR(SUMIF('💸 Expenses'!B9:B508,B199,'💸 Expenses'!F9:F508),0)</f>
        <v/>
      </c>
      <c r="I199" s="222">
        <f>IFERROR(E199-H199,0)</f>
        <v/>
      </c>
      <c r="J199" s="223">
        <f>IFERROR(I199/E199,0)</f>
        <v/>
      </c>
      <c r="K199" s="49" t="n"/>
      <c r="L199" s="193">
        <f>IFERROR(L198+E199,0)</f>
        <v/>
      </c>
      <c r="M199" s="196">
        <f>IFERROR(M198+H199,0)</f>
        <v/>
      </c>
      <c r="N199" s="224">
        <f>IFERROR(L199-M199,0)</f>
        <v/>
      </c>
      <c r="O199" s="225">
        <f>IFERROR(SUMIF(B8:B199,"&gt;="&amp;(B199-WEEKDAY(B199,2)+1),E8:E199),0)</f>
        <v/>
      </c>
      <c r="P199" s="226">
        <f>IFERROR(SUMIF(B8:B199,"&gt;="&amp;(B199-WEEKDAY(B199,2)+1),H8:H199),0)</f>
        <v/>
      </c>
      <c r="Q199" s="224">
        <f>IFERROR(O199-P199,0)</f>
        <v/>
      </c>
    </row>
    <row r="200" ht="16.5" customHeight="1">
      <c r="B200" s="208" t="n"/>
      <c r="C200" s="29">
        <f>IF(B200="","",TEXT(B200,"DDD"))</f>
        <v/>
      </c>
      <c r="D200" s="30">
        <f>IF(B200="","","Soft App")</f>
        <v/>
      </c>
      <c r="E200" s="209" t="n"/>
      <c r="F200" s="210" t="n"/>
      <c r="G200" s="211">
        <f>IFERROR(E200/F200,0)</f>
        <v/>
      </c>
      <c r="H200" s="212">
        <f>IFERROR(SUMIF('💸 Expenses'!B9:B508,B200,'💸 Expenses'!F9:F508),0)</f>
        <v/>
      </c>
      <c r="I200" s="213">
        <f>IFERROR(E200-H200,0)</f>
        <v/>
      </c>
      <c r="J200" s="214">
        <f>IFERROR(I200/E200,0)</f>
        <v/>
      </c>
      <c r="K200" s="37" t="n"/>
      <c r="L200" s="187">
        <f>IFERROR(L199+E200,0)</f>
        <v/>
      </c>
      <c r="M200" s="190">
        <f>IFERROR(M199+H200,0)</f>
        <v/>
      </c>
      <c r="N200" s="215">
        <f>IFERROR(L200-M200,0)</f>
        <v/>
      </c>
      <c r="O200" s="216">
        <f>IFERROR(SUMIF(B8:B200,"&gt;="&amp;(B200-WEEKDAY(B200,2)+1),E8:E200),0)</f>
        <v/>
      </c>
      <c r="P200" s="217">
        <f>IFERROR(SUMIF(B8:B200,"&gt;="&amp;(B200-WEEKDAY(B200,2)+1),H8:H200),0)</f>
        <v/>
      </c>
      <c r="Q200" s="215">
        <f>IFERROR(O200-P200,0)</f>
        <v/>
      </c>
    </row>
    <row r="201" ht="16.5" customHeight="1">
      <c r="B201" s="208" t="n"/>
      <c r="C201" s="41">
        <f>IF(B201="","",TEXT(B201,"DDD"))</f>
        <v/>
      </c>
      <c r="D201" s="42">
        <f>IF(B201="","","Soft App")</f>
        <v/>
      </c>
      <c r="E201" s="218" t="n"/>
      <c r="F201" s="219" t="n"/>
      <c r="G201" s="220">
        <f>IFERROR(E201/F201,0)</f>
        <v/>
      </c>
      <c r="H201" s="221">
        <f>IFERROR(SUMIF('💸 Expenses'!B9:B508,B201,'💸 Expenses'!F9:F508),0)</f>
        <v/>
      </c>
      <c r="I201" s="222">
        <f>IFERROR(E201-H201,0)</f>
        <v/>
      </c>
      <c r="J201" s="223">
        <f>IFERROR(I201/E201,0)</f>
        <v/>
      </c>
      <c r="K201" s="49" t="n"/>
      <c r="L201" s="193">
        <f>IFERROR(L200+E201,0)</f>
        <v/>
      </c>
      <c r="M201" s="196">
        <f>IFERROR(M200+H201,0)</f>
        <v/>
      </c>
      <c r="N201" s="224">
        <f>IFERROR(L201-M201,0)</f>
        <v/>
      </c>
      <c r="O201" s="225">
        <f>IFERROR(SUMIF(B8:B201,"&gt;="&amp;(B201-WEEKDAY(B201,2)+1),E8:E201),0)</f>
        <v/>
      </c>
      <c r="P201" s="226">
        <f>IFERROR(SUMIF(B8:B201,"&gt;="&amp;(B201-WEEKDAY(B201,2)+1),H8:H201),0)</f>
        <v/>
      </c>
      <c r="Q201" s="224">
        <f>IFERROR(O201-P201,0)</f>
        <v/>
      </c>
    </row>
    <row r="202" ht="16.5" customHeight="1">
      <c r="B202" s="208" t="n"/>
      <c r="C202" s="29">
        <f>IF(B202="","",TEXT(B202,"DDD"))</f>
        <v/>
      </c>
      <c r="D202" s="30">
        <f>IF(B202="","","Soft App")</f>
        <v/>
      </c>
      <c r="E202" s="209" t="n"/>
      <c r="F202" s="210" t="n"/>
      <c r="G202" s="211">
        <f>IFERROR(E202/F202,0)</f>
        <v/>
      </c>
      <c r="H202" s="212">
        <f>IFERROR(SUMIF('💸 Expenses'!B9:B508,B202,'💸 Expenses'!F9:F508),0)</f>
        <v/>
      </c>
      <c r="I202" s="213">
        <f>IFERROR(E202-H202,0)</f>
        <v/>
      </c>
      <c r="J202" s="214">
        <f>IFERROR(I202/E202,0)</f>
        <v/>
      </c>
      <c r="K202" s="37" t="n"/>
      <c r="L202" s="187">
        <f>IFERROR(L201+E202,0)</f>
        <v/>
      </c>
      <c r="M202" s="190">
        <f>IFERROR(M201+H202,0)</f>
        <v/>
      </c>
      <c r="N202" s="215">
        <f>IFERROR(L202-M202,0)</f>
        <v/>
      </c>
      <c r="O202" s="216">
        <f>IFERROR(SUMIF(B8:B202,"&gt;="&amp;(B202-WEEKDAY(B202,2)+1),E8:E202),0)</f>
        <v/>
      </c>
      <c r="P202" s="217">
        <f>IFERROR(SUMIF(B8:B202,"&gt;="&amp;(B202-WEEKDAY(B202,2)+1),H8:H202),0)</f>
        <v/>
      </c>
      <c r="Q202" s="215">
        <f>IFERROR(O202-P202,0)</f>
        <v/>
      </c>
    </row>
    <row r="203" ht="16.5" customHeight="1">
      <c r="B203" s="208" t="n"/>
      <c r="C203" s="41">
        <f>IF(B203="","",TEXT(B203,"DDD"))</f>
        <v/>
      </c>
      <c r="D203" s="42">
        <f>IF(B203="","","Soft App")</f>
        <v/>
      </c>
      <c r="E203" s="218" t="n"/>
      <c r="F203" s="219" t="n"/>
      <c r="G203" s="220">
        <f>IFERROR(E203/F203,0)</f>
        <v/>
      </c>
      <c r="H203" s="221">
        <f>IFERROR(SUMIF('💸 Expenses'!B9:B508,B203,'💸 Expenses'!F9:F508),0)</f>
        <v/>
      </c>
      <c r="I203" s="222">
        <f>IFERROR(E203-H203,0)</f>
        <v/>
      </c>
      <c r="J203" s="223">
        <f>IFERROR(I203/E203,0)</f>
        <v/>
      </c>
      <c r="K203" s="49" t="n"/>
      <c r="L203" s="193">
        <f>IFERROR(L202+E203,0)</f>
        <v/>
      </c>
      <c r="M203" s="196">
        <f>IFERROR(M202+H203,0)</f>
        <v/>
      </c>
      <c r="N203" s="224">
        <f>IFERROR(L203-M203,0)</f>
        <v/>
      </c>
      <c r="O203" s="225">
        <f>IFERROR(SUMIF(B8:B203,"&gt;="&amp;(B203-WEEKDAY(B203,2)+1),E8:E203),0)</f>
        <v/>
      </c>
      <c r="P203" s="226">
        <f>IFERROR(SUMIF(B8:B203,"&gt;="&amp;(B203-WEEKDAY(B203,2)+1),H8:H203),0)</f>
        <v/>
      </c>
      <c r="Q203" s="224">
        <f>IFERROR(O203-P203,0)</f>
        <v/>
      </c>
    </row>
    <row r="204" ht="16.5" customHeight="1">
      <c r="B204" s="208" t="n"/>
      <c r="C204" s="29">
        <f>IF(B204="","",TEXT(B204,"DDD"))</f>
        <v/>
      </c>
      <c r="D204" s="30">
        <f>IF(B204="","","Soft App")</f>
        <v/>
      </c>
      <c r="E204" s="209" t="n"/>
      <c r="F204" s="210" t="n"/>
      <c r="G204" s="211">
        <f>IFERROR(E204/F204,0)</f>
        <v/>
      </c>
      <c r="H204" s="212">
        <f>IFERROR(SUMIF('💸 Expenses'!B9:B508,B204,'💸 Expenses'!F9:F508),0)</f>
        <v/>
      </c>
      <c r="I204" s="213">
        <f>IFERROR(E204-H204,0)</f>
        <v/>
      </c>
      <c r="J204" s="214">
        <f>IFERROR(I204/E204,0)</f>
        <v/>
      </c>
      <c r="K204" s="37" t="n"/>
      <c r="L204" s="187">
        <f>IFERROR(L203+E204,0)</f>
        <v/>
      </c>
      <c r="M204" s="190">
        <f>IFERROR(M203+H204,0)</f>
        <v/>
      </c>
      <c r="N204" s="215">
        <f>IFERROR(L204-M204,0)</f>
        <v/>
      </c>
      <c r="O204" s="216">
        <f>IFERROR(SUMIF(B8:B204,"&gt;="&amp;(B204-WEEKDAY(B204,2)+1),E8:E204),0)</f>
        <v/>
      </c>
      <c r="P204" s="217">
        <f>IFERROR(SUMIF(B8:B204,"&gt;="&amp;(B204-WEEKDAY(B204,2)+1),H8:H204),0)</f>
        <v/>
      </c>
      <c r="Q204" s="215">
        <f>IFERROR(O204-P204,0)</f>
        <v/>
      </c>
    </row>
    <row r="205" ht="16.5" customHeight="1">
      <c r="B205" s="208" t="n"/>
      <c r="C205" s="41">
        <f>IF(B205="","",TEXT(B205,"DDD"))</f>
        <v/>
      </c>
      <c r="D205" s="42">
        <f>IF(B205="","","Soft App")</f>
        <v/>
      </c>
      <c r="E205" s="218" t="n"/>
      <c r="F205" s="219" t="n"/>
      <c r="G205" s="220">
        <f>IFERROR(E205/F205,0)</f>
        <v/>
      </c>
      <c r="H205" s="221">
        <f>IFERROR(SUMIF('💸 Expenses'!B9:B508,B205,'💸 Expenses'!F9:F508),0)</f>
        <v/>
      </c>
      <c r="I205" s="222">
        <f>IFERROR(E205-H205,0)</f>
        <v/>
      </c>
      <c r="J205" s="223">
        <f>IFERROR(I205/E205,0)</f>
        <v/>
      </c>
      <c r="K205" s="49" t="n"/>
      <c r="L205" s="193">
        <f>IFERROR(L204+E205,0)</f>
        <v/>
      </c>
      <c r="M205" s="196">
        <f>IFERROR(M204+H205,0)</f>
        <v/>
      </c>
      <c r="N205" s="224">
        <f>IFERROR(L205-M205,0)</f>
        <v/>
      </c>
      <c r="O205" s="225">
        <f>IFERROR(SUMIF(B8:B205,"&gt;="&amp;(B205-WEEKDAY(B205,2)+1),E8:E205),0)</f>
        <v/>
      </c>
      <c r="P205" s="226">
        <f>IFERROR(SUMIF(B8:B205,"&gt;="&amp;(B205-WEEKDAY(B205,2)+1),H8:H205),0)</f>
        <v/>
      </c>
      <c r="Q205" s="224">
        <f>IFERROR(O205-P205,0)</f>
        <v/>
      </c>
    </row>
    <row r="206" ht="16.5" customHeight="1">
      <c r="B206" s="208" t="n"/>
      <c r="C206" s="29">
        <f>IF(B206="","",TEXT(B206,"DDD"))</f>
        <v/>
      </c>
      <c r="D206" s="30">
        <f>IF(B206="","","Soft App")</f>
        <v/>
      </c>
      <c r="E206" s="209" t="n"/>
      <c r="F206" s="210" t="n"/>
      <c r="G206" s="211">
        <f>IFERROR(E206/F206,0)</f>
        <v/>
      </c>
      <c r="H206" s="212">
        <f>IFERROR(SUMIF('💸 Expenses'!B9:B508,B206,'💸 Expenses'!F9:F508),0)</f>
        <v/>
      </c>
      <c r="I206" s="213">
        <f>IFERROR(E206-H206,0)</f>
        <v/>
      </c>
      <c r="J206" s="214">
        <f>IFERROR(I206/E206,0)</f>
        <v/>
      </c>
      <c r="K206" s="37" t="n"/>
      <c r="L206" s="187">
        <f>IFERROR(L205+E206,0)</f>
        <v/>
      </c>
      <c r="M206" s="190">
        <f>IFERROR(M205+H206,0)</f>
        <v/>
      </c>
      <c r="N206" s="215">
        <f>IFERROR(L206-M206,0)</f>
        <v/>
      </c>
      <c r="O206" s="216">
        <f>IFERROR(SUMIF(B8:B206,"&gt;="&amp;(B206-WEEKDAY(B206,2)+1),E8:E206),0)</f>
        <v/>
      </c>
      <c r="P206" s="217">
        <f>IFERROR(SUMIF(B8:B206,"&gt;="&amp;(B206-WEEKDAY(B206,2)+1),H8:H206),0)</f>
        <v/>
      </c>
      <c r="Q206" s="215">
        <f>IFERROR(O206-P206,0)</f>
        <v/>
      </c>
    </row>
    <row r="207" ht="16.5" customHeight="1">
      <c r="B207" s="208" t="n"/>
      <c r="C207" s="41">
        <f>IF(B207="","",TEXT(B207,"DDD"))</f>
        <v/>
      </c>
      <c r="D207" s="42">
        <f>IF(B207="","","Soft App")</f>
        <v/>
      </c>
      <c r="E207" s="218" t="n"/>
      <c r="F207" s="219" t="n"/>
      <c r="G207" s="220">
        <f>IFERROR(E207/F207,0)</f>
        <v/>
      </c>
      <c r="H207" s="221">
        <f>IFERROR(SUMIF('💸 Expenses'!B9:B508,B207,'💸 Expenses'!F9:F508),0)</f>
        <v/>
      </c>
      <c r="I207" s="222">
        <f>IFERROR(E207-H207,0)</f>
        <v/>
      </c>
      <c r="J207" s="223">
        <f>IFERROR(I207/E207,0)</f>
        <v/>
      </c>
      <c r="K207" s="49" t="n"/>
      <c r="L207" s="193">
        <f>IFERROR(L206+E207,0)</f>
        <v/>
      </c>
      <c r="M207" s="196">
        <f>IFERROR(M206+H207,0)</f>
        <v/>
      </c>
      <c r="N207" s="224">
        <f>IFERROR(L207-M207,0)</f>
        <v/>
      </c>
      <c r="O207" s="225">
        <f>IFERROR(SUMIF(B8:B207,"&gt;="&amp;(B207-WEEKDAY(B207,2)+1),E8:E207),0)</f>
        <v/>
      </c>
      <c r="P207" s="226">
        <f>IFERROR(SUMIF(B8:B207,"&gt;="&amp;(B207-WEEKDAY(B207,2)+1),H8:H207),0)</f>
        <v/>
      </c>
      <c r="Q207" s="224">
        <f>IFERROR(O207-P207,0)</f>
        <v/>
      </c>
    </row>
    <row r="208" ht="16.5" customHeight="1">
      <c r="B208" s="208" t="n"/>
      <c r="C208" s="29">
        <f>IF(B208="","",TEXT(B208,"DDD"))</f>
        <v/>
      </c>
      <c r="D208" s="30">
        <f>IF(B208="","","Soft App")</f>
        <v/>
      </c>
      <c r="E208" s="209" t="n"/>
      <c r="F208" s="210" t="n"/>
      <c r="G208" s="211">
        <f>IFERROR(E208/F208,0)</f>
        <v/>
      </c>
      <c r="H208" s="212">
        <f>IFERROR(SUMIF('💸 Expenses'!B9:B508,B208,'💸 Expenses'!F9:F508),0)</f>
        <v/>
      </c>
      <c r="I208" s="213">
        <f>IFERROR(E208-H208,0)</f>
        <v/>
      </c>
      <c r="J208" s="214">
        <f>IFERROR(I208/E208,0)</f>
        <v/>
      </c>
      <c r="K208" s="37" t="n"/>
      <c r="L208" s="187">
        <f>IFERROR(L207+E208,0)</f>
        <v/>
      </c>
      <c r="M208" s="190">
        <f>IFERROR(M207+H208,0)</f>
        <v/>
      </c>
      <c r="N208" s="215">
        <f>IFERROR(L208-M208,0)</f>
        <v/>
      </c>
      <c r="O208" s="216">
        <f>IFERROR(SUMIF(B8:B208,"&gt;="&amp;(B208-WEEKDAY(B208,2)+1),E8:E208),0)</f>
        <v/>
      </c>
      <c r="P208" s="217">
        <f>IFERROR(SUMIF(B8:B208,"&gt;="&amp;(B208-WEEKDAY(B208,2)+1),H8:H208),0)</f>
        <v/>
      </c>
      <c r="Q208" s="215">
        <f>IFERROR(O208-P208,0)</f>
        <v/>
      </c>
    </row>
    <row r="209" ht="16.5" customHeight="1">
      <c r="B209" s="208" t="n"/>
      <c r="C209" s="41">
        <f>IF(B209="","",TEXT(B209,"DDD"))</f>
        <v/>
      </c>
      <c r="D209" s="42">
        <f>IF(B209="","","Soft App")</f>
        <v/>
      </c>
      <c r="E209" s="218" t="n"/>
      <c r="F209" s="219" t="n"/>
      <c r="G209" s="220">
        <f>IFERROR(E209/F209,0)</f>
        <v/>
      </c>
      <c r="H209" s="221">
        <f>IFERROR(SUMIF('💸 Expenses'!B9:B508,B209,'💸 Expenses'!F9:F508),0)</f>
        <v/>
      </c>
      <c r="I209" s="222">
        <f>IFERROR(E209-H209,0)</f>
        <v/>
      </c>
      <c r="J209" s="223">
        <f>IFERROR(I209/E209,0)</f>
        <v/>
      </c>
      <c r="K209" s="49" t="n"/>
      <c r="L209" s="193">
        <f>IFERROR(L208+E209,0)</f>
        <v/>
      </c>
      <c r="M209" s="196">
        <f>IFERROR(M208+H209,0)</f>
        <v/>
      </c>
      <c r="N209" s="224">
        <f>IFERROR(L209-M209,0)</f>
        <v/>
      </c>
      <c r="O209" s="225">
        <f>IFERROR(SUMIF(B8:B209,"&gt;="&amp;(B209-WEEKDAY(B209,2)+1),E8:E209),0)</f>
        <v/>
      </c>
      <c r="P209" s="226">
        <f>IFERROR(SUMIF(B8:B209,"&gt;="&amp;(B209-WEEKDAY(B209,2)+1),H8:H209),0)</f>
        <v/>
      </c>
      <c r="Q209" s="224">
        <f>IFERROR(O209-P209,0)</f>
        <v/>
      </c>
    </row>
    <row r="210" ht="16.5" customHeight="1">
      <c r="B210" s="208" t="n"/>
      <c r="C210" s="29">
        <f>IF(B210="","",TEXT(B210,"DDD"))</f>
        <v/>
      </c>
      <c r="D210" s="30">
        <f>IF(B210="","","Soft App")</f>
        <v/>
      </c>
      <c r="E210" s="209" t="n"/>
      <c r="F210" s="210" t="n"/>
      <c r="G210" s="211">
        <f>IFERROR(E210/F210,0)</f>
        <v/>
      </c>
      <c r="H210" s="212">
        <f>IFERROR(SUMIF('💸 Expenses'!B9:B508,B210,'💸 Expenses'!F9:F508),0)</f>
        <v/>
      </c>
      <c r="I210" s="213">
        <f>IFERROR(E210-H210,0)</f>
        <v/>
      </c>
      <c r="J210" s="214">
        <f>IFERROR(I210/E210,0)</f>
        <v/>
      </c>
      <c r="K210" s="37" t="n"/>
      <c r="L210" s="187">
        <f>IFERROR(L209+E210,0)</f>
        <v/>
      </c>
      <c r="M210" s="190">
        <f>IFERROR(M209+H210,0)</f>
        <v/>
      </c>
      <c r="N210" s="215">
        <f>IFERROR(L210-M210,0)</f>
        <v/>
      </c>
      <c r="O210" s="216">
        <f>IFERROR(SUMIF(B8:B210,"&gt;="&amp;(B210-WEEKDAY(B210,2)+1),E8:E210),0)</f>
        <v/>
      </c>
      <c r="P210" s="217">
        <f>IFERROR(SUMIF(B8:B210,"&gt;="&amp;(B210-WEEKDAY(B210,2)+1),H8:H210),0)</f>
        <v/>
      </c>
      <c r="Q210" s="215">
        <f>IFERROR(O210-P210,0)</f>
        <v/>
      </c>
    </row>
    <row r="211" ht="16.5" customHeight="1">
      <c r="B211" s="208" t="n"/>
      <c r="C211" s="41">
        <f>IF(B211="","",TEXT(B211,"DDD"))</f>
        <v/>
      </c>
      <c r="D211" s="42">
        <f>IF(B211="","","Soft App")</f>
        <v/>
      </c>
      <c r="E211" s="218" t="n"/>
      <c r="F211" s="219" t="n"/>
      <c r="G211" s="220">
        <f>IFERROR(E211/F211,0)</f>
        <v/>
      </c>
      <c r="H211" s="221">
        <f>IFERROR(SUMIF('💸 Expenses'!B9:B508,B211,'💸 Expenses'!F9:F508),0)</f>
        <v/>
      </c>
      <c r="I211" s="222">
        <f>IFERROR(E211-H211,0)</f>
        <v/>
      </c>
      <c r="J211" s="223">
        <f>IFERROR(I211/E211,0)</f>
        <v/>
      </c>
      <c r="K211" s="49" t="n"/>
      <c r="L211" s="193">
        <f>IFERROR(L210+E211,0)</f>
        <v/>
      </c>
      <c r="M211" s="196">
        <f>IFERROR(M210+H211,0)</f>
        <v/>
      </c>
      <c r="N211" s="224">
        <f>IFERROR(L211-M211,0)</f>
        <v/>
      </c>
      <c r="O211" s="225">
        <f>IFERROR(SUMIF(B8:B211,"&gt;="&amp;(B211-WEEKDAY(B211,2)+1),E8:E211),0)</f>
        <v/>
      </c>
      <c r="P211" s="226">
        <f>IFERROR(SUMIF(B8:B211,"&gt;="&amp;(B211-WEEKDAY(B211,2)+1),H8:H211),0)</f>
        <v/>
      </c>
      <c r="Q211" s="224">
        <f>IFERROR(O211-P211,0)</f>
        <v/>
      </c>
    </row>
    <row r="212" ht="16.5" customHeight="1">
      <c r="B212" s="208" t="n"/>
      <c r="C212" s="29">
        <f>IF(B212="","",TEXT(B212,"DDD"))</f>
        <v/>
      </c>
      <c r="D212" s="30">
        <f>IF(B212="","","Soft App")</f>
        <v/>
      </c>
      <c r="E212" s="209" t="n"/>
      <c r="F212" s="210" t="n"/>
      <c r="G212" s="211">
        <f>IFERROR(E212/F212,0)</f>
        <v/>
      </c>
      <c r="H212" s="212">
        <f>IFERROR(SUMIF('💸 Expenses'!B9:B508,B212,'💸 Expenses'!F9:F508),0)</f>
        <v/>
      </c>
      <c r="I212" s="213">
        <f>IFERROR(E212-H212,0)</f>
        <v/>
      </c>
      <c r="J212" s="214">
        <f>IFERROR(I212/E212,0)</f>
        <v/>
      </c>
      <c r="K212" s="37" t="n"/>
      <c r="L212" s="187">
        <f>IFERROR(L211+E212,0)</f>
        <v/>
      </c>
      <c r="M212" s="190">
        <f>IFERROR(M211+H212,0)</f>
        <v/>
      </c>
      <c r="N212" s="215">
        <f>IFERROR(L212-M212,0)</f>
        <v/>
      </c>
      <c r="O212" s="216">
        <f>IFERROR(SUMIF(B8:B212,"&gt;="&amp;(B212-WEEKDAY(B212,2)+1),E8:E212),0)</f>
        <v/>
      </c>
      <c r="P212" s="217">
        <f>IFERROR(SUMIF(B8:B212,"&gt;="&amp;(B212-WEEKDAY(B212,2)+1),H8:H212),0)</f>
        <v/>
      </c>
      <c r="Q212" s="215">
        <f>IFERROR(O212-P212,0)</f>
        <v/>
      </c>
    </row>
    <row r="213" ht="16.5" customHeight="1">
      <c r="B213" s="208" t="n"/>
      <c r="C213" s="41">
        <f>IF(B213="","",TEXT(B213,"DDD"))</f>
        <v/>
      </c>
      <c r="D213" s="42">
        <f>IF(B213="","","Soft App")</f>
        <v/>
      </c>
      <c r="E213" s="218" t="n"/>
      <c r="F213" s="219" t="n"/>
      <c r="G213" s="220">
        <f>IFERROR(E213/F213,0)</f>
        <v/>
      </c>
      <c r="H213" s="221">
        <f>IFERROR(SUMIF('💸 Expenses'!B9:B508,B213,'💸 Expenses'!F9:F508),0)</f>
        <v/>
      </c>
      <c r="I213" s="222">
        <f>IFERROR(E213-H213,0)</f>
        <v/>
      </c>
      <c r="J213" s="223">
        <f>IFERROR(I213/E213,0)</f>
        <v/>
      </c>
      <c r="K213" s="49" t="n"/>
      <c r="L213" s="193">
        <f>IFERROR(L212+E213,0)</f>
        <v/>
      </c>
      <c r="M213" s="196">
        <f>IFERROR(M212+H213,0)</f>
        <v/>
      </c>
      <c r="N213" s="224">
        <f>IFERROR(L213-M213,0)</f>
        <v/>
      </c>
      <c r="O213" s="225">
        <f>IFERROR(SUMIF(B8:B213,"&gt;="&amp;(B213-WEEKDAY(B213,2)+1),E8:E213),0)</f>
        <v/>
      </c>
      <c r="P213" s="226">
        <f>IFERROR(SUMIF(B8:B213,"&gt;="&amp;(B213-WEEKDAY(B213,2)+1),H8:H213),0)</f>
        <v/>
      </c>
      <c r="Q213" s="224">
        <f>IFERROR(O213-P213,0)</f>
        <v/>
      </c>
    </row>
    <row r="214" ht="16.5" customHeight="1">
      <c r="B214" s="208" t="n"/>
      <c r="C214" s="29">
        <f>IF(B214="","",TEXT(B214,"DDD"))</f>
        <v/>
      </c>
      <c r="D214" s="30">
        <f>IF(B214="","","Soft App")</f>
        <v/>
      </c>
      <c r="E214" s="209" t="n"/>
      <c r="F214" s="210" t="n"/>
      <c r="G214" s="211">
        <f>IFERROR(E214/F214,0)</f>
        <v/>
      </c>
      <c r="H214" s="212">
        <f>IFERROR(SUMIF('💸 Expenses'!B9:B508,B214,'💸 Expenses'!F9:F508),0)</f>
        <v/>
      </c>
      <c r="I214" s="213">
        <f>IFERROR(E214-H214,0)</f>
        <v/>
      </c>
      <c r="J214" s="214">
        <f>IFERROR(I214/E214,0)</f>
        <v/>
      </c>
      <c r="K214" s="37" t="n"/>
      <c r="L214" s="187">
        <f>IFERROR(L213+E214,0)</f>
        <v/>
      </c>
      <c r="M214" s="190">
        <f>IFERROR(M213+H214,0)</f>
        <v/>
      </c>
      <c r="N214" s="215">
        <f>IFERROR(L214-M214,0)</f>
        <v/>
      </c>
      <c r="O214" s="216">
        <f>IFERROR(SUMIF(B8:B214,"&gt;="&amp;(B214-WEEKDAY(B214,2)+1),E8:E214),0)</f>
        <v/>
      </c>
      <c r="P214" s="217">
        <f>IFERROR(SUMIF(B8:B214,"&gt;="&amp;(B214-WEEKDAY(B214,2)+1),H8:H214),0)</f>
        <v/>
      </c>
      <c r="Q214" s="215">
        <f>IFERROR(O214-P214,0)</f>
        <v/>
      </c>
    </row>
    <row r="215" ht="16.5" customHeight="1">
      <c r="B215" s="208" t="n"/>
      <c r="C215" s="41">
        <f>IF(B215="","",TEXT(B215,"DDD"))</f>
        <v/>
      </c>
      <c r="D215" s="42">
        <f>IF(B215="","","Soft App")</f>
        <v/>
      </c>
      <c r="E215" s="218" t="n"/>
      <c r="F215" s="219" t="n"/>
      <c r="G215" s="220">
        <f>IFERROR(E215/F215,0)</f>
        <v/>
      </c>
      <c r="H215" s="221">
        <f>IFERROR(SUMIF('💸 Expenses'!B9:B508,B215,'💸 Expenses'!F9:F508),0)</f>
        <v/>
      </c>
      <c r="I215" s="222">
        <f>IFERROR(E215-H215,0)</f>
        <v/>
      </c>
      <c r="J215" s="223">
        <f>IFERROR(I215/E215,0)</f>
        <v/>
      </c>
      <c r="K215" s="49" t="n"/>
      <c r="L215" s="193">
        <f>IFERROR(L214+E215,0)</f>
        <v/>
      </c>
      <c r="M215" s="196">
        <f>IFERROR(M214+H215,0)</f>
        <v/>
      </c>
      <c r="N215" s="224">
        <f>IFERROR(L215-M215,0)</f>
        <v/>
      </c>
      <c r="O215" s="225">
        <f>IFERROR(SUMIF(B8:B215,"&gt;="&amp;(B215-WEEKDAY(B215,2)+1),E8:E215),0)</f>
        <v/>
      </c>
      <c r="P215" s="226">
        <f>IFERROR(SUMIF(B8:B215,"&gt;="&amp;(B215-WEEKDAY(B215,2)+1),H8:H215),0)</f>
        <v/>
      </c>
      <c r="Q215" s="224">
        <f>IFERROR(O215-P215,0)</f>
        <v/>
      </c>
    </row>
    <row r="216" ht="16.5" customHeight="1">
      <c r="B216" s="208" t="n"/>
      <c r="C216" s="29">
        <f>IF(B216="","",TEXT(B216,"DDD"))</f>
        <v/>
      </c>
      <c r="D216" s="30">
        <f>IF(B216="","","Soft App")</f>
        <v/>
      </c>
      <c r="E216" s="209" t="n"/>
      <c r="F216" s="210" t="n"/>
      <c r="G216" s="211">
        <f>IFERROR(E216/F216,0)</f>
        <v/>
      </c>
      <c r="H216" s="212">
        <f>IFERROR(SUMIF('💸 Expenses'!B9:B508,B216,'💸 Expenses'!F9:F508),0)</f>
        <v/>
      </c>
      <c r="I216" s="213">
        <f>IFERROR(E216-H216,0)</f>
        <v/>
      </c>
      <c r="J216" s="214">
        <f>IFERROR(I216/E216,0)</f>
        <v/>
      </c>
      <c r="K216" s="37" t="n"/>
      <c r="L216" s="187">
        <f>IFERROR(L215+E216,0)</f>
        <v/>
      </c>
      <c r="M216" s="190">
        <f>IFERROR(M215+H216,0)</f>
        <v/>
      </c>
      <c r="N216" s="215">
        <f>IFERROR(L216-M216,0)</f>
        <v/>
      </c>
      <c r="O216" s="216">
        <f>IFERROR(SUMIF(B8:B216,"&gt;="&amp;(B216-WEEKDAY(B216,2)+1),E8:E216),0)</f>
        <v/>
      </c>
      <c r="P216" s="217">
        <f>IFERROR(SUMIF(B8:B216,"&gt;="&amp;(B216-WEEKDAY(B216,2)+1),H8:H216),0)</f>
        <v/>
      </c>
      <c r="Q216" s="215">
        <f>IFERROR(O216-P216,0)</f>
        <v/>
      </c>
    </row>
    <row r="217" ht="16.5" customHeight="1">
      <c r="B217" s="208" t="n"/>
      <c r="C217" s="41">
        <f>IF(B217="","",TEXT(B217,"DDD"))</f>
        <v/>
      </c>
      <c r="D217" s="42">
        <f>IF(B217="","","Soft App")</f>
        <v/>
      </c>
      <c r="E217" s="218" t="n"/>
      <c r="F217" s="219" t="n"/>
      <c r="G217" s="220">
        <f>IFERROR(E217/F217,0)</f>
        <v/>
      </c>
      <c r="H217" s="221">
        <f>IFERROR(SUMIF('💸 Expenses'!B9:B508,B217,'💸 Expenses'!F9:F508),0)</f>
        <v/>
      </c>
      <c r="I217" s="222">
        <f>IFERROR(E217-H217,0)</f>
        <v/>
      </c>
      <c r="J217" s="223">
        <f>IFERROR(I217/E217,0)</f>
        <v/>
      </c>
      <c r="K217" s="49" t="n"/>
      <c r="L217" s="193">
        <f>IFERROR(L216+E217,0)</f>
        <v/>
      </c>
      <c r="M217" s="196">
        <f>IFERROR(M216+H217,0)</f>
        <v/>
      </c>
      <c r="N217" s="224">
        <f>IFERROR(L217-M217,0)</f>
        <v/>
      </c>
      <c r="O217" s="225">
        <f>IFERROR(SUMIF(B8:B217,"&gt;="&amp;(B217-WEEKDAY(B217,2)+1),E8:E217),0)</f>
        <v/>
      </c>
      <c r="P217" s="226">
        <f>IFERROR(SUMIF(B8:B217,"&gt;="&amp;(B217-WEEKDAY(B217,2)+1),H8:H217),0)</f>
        <v/>
      </c>
      <c r="Q217" s="224">
        <f>IFERROR(O217-P217,0)</f>
        <v/>
      </c>
    </row>
    <row r="218" ht="16.5" customHeight="1">
      <c r="B218" s="208" t="n"/>
      <c r="C218" s="29">
        <f>IF(B218="","",TEXT(B218,"DDD"))</f>
        <v/>
      </c>
      <c r="D218" s="30">
        <f>IF(B218="","","Soft App")</f>
        <v/>
      </c>
      <c r="E218" s="209" t="n"/>
      <c r="F218" s="210" t="n"/>
      <c r="G218" s="211">
        <f>IFERROR(E218/F218,0)</f>
        <v/>
      </c>
      <c r="H218" s="212">
        <f>IFERROR(SUMIF('💸 Expenses'!B9:B508,B218,'💸 Expenses'!F9:F508),0)</f>
        <v/>
      </c>
      <c r="I218" s="213">
        <f>IFERROR(E218-H218,0)</f>
        <v/>
      </c>
      <c r="J218" s="214">
        <f>IFERROR(I218/E218,0)</f>
        <v/>
      </c>
      <c r="K218" s="37" t="n"/>
      <c r="L218" s="187">
        <f>IFERROR(L217+E218,0)</f>
        <v/>
      </c>
      <c r="M218" s="190">
        <f>IFERROR(M217+H218,0)</f>
        <v/>
      </c>
      <c r="N218" s="215">
        <f>IFERROR(L218-M218,0)</f>
        <v/>
      </c>
      <c r="O218" s="216">
        <f>IFERROR(SUMIF(B8:B218,"&gt;="&amp;(B218-WEEKDAY(B218,2)+1),E8:E218),0)</f>
        <v/>
      </c>
      <c r="P218" s="217">
        <f>IFERROR(SUMIF(B8:B218,"&gt;="&amp;(B218-WEEKDAY(B218,2)+1),H8:H218),0)</f>
        <v/>
      </c>
      <c r="Q218" s="215">
        <f>IFERROR(O218-P218,0)</f>
        <v/>
      </c>
    </row>
    <row r="219" ht="16.5" customHeight="1">
      <c r="B219" s="208" t="n"/>
      <c r="C219" s="41">
        <f>IF(B219="","",TEXT(B219,"DDD"))</f>
        <v/>
      </c>
      <c r="D219" s="42">
        <f>IF(B219="","","Soft App")</f>
        <v/>
      </c>
      <c r="E219" s="218" t="n"/>
      <c r="F219" s="219" t="n"/>
      <c r="G219" s="220">
        <f>IFERROR(E219/F219,0)</f>
        <v/>
      </c>
      <c r="H219" s="221">
        <f>IFERROR(SUMIF('💸 Expenses'!B9:B508,B219,'💸 Expenses'!F9:F508),0)</f>
        <v/>
      </c>
      <c r="I219" s="222">
        <f>IFERROR(E219-H219,0)</f>
        <v/>
      </c>
      <c r="J219" s="223">
        <f>IFERROR(I219/E219,0)</f>
        <v/>
      </c>
      <c r="K219" s="49" t="n"/>
      <c r="L219" s="193">
        <f>IFERROR(L218+E219,0)</f>
        <v/>
      </c>
      <c r="M219" s="196">
        <f>IFERROR(M218+H219,0)</f>
        <v/>
      </c>
      <c r="N219" s="224">
        <f>IFERROR(L219-M219,0)</f>
        <v/>
      </c>
      <c r="O219" s="225">
        <f>IFERROR(SUMIF(B8:B219,"&gt;="&amp;(B219-WEEKDAY(B219,2)+1),E8:E219),0)</f>
        <v/>
      </c>
      <c r="P219" s="226">
        <f>IFERROR(SUMIF(B8:B219,"&gt;="&amp;(B219-WEEKDAY(B219,2)+1),H8:H219),0)</f>
        <v/>
      </c>
      <c r="Q219" s="224">
        <f>IFERROR(O219-P219,0)</f>
        <v/>
      </c>
    </row>
    <row r="220" ht="16.5" customHeight="1">
      <c r="B220" s="208" t="n"/>
      <c r="C220" s="29">
        <f>IF(B220="","",TEXT(B220,"DDD"))</f>
        <v/>
      </c>
      <c r="D220" s="30">
        <f>IF(B220="","","Soft App")</f>
        <v/>
      </c>
      <c r="E220" s="209" t="n"/>
      <c r="F220" s="210" t="n"/>
      <c r="G220" s="211">
        <f>IFERROR(E220/F220,0)</f>
        <v/>
      </c>
      <c r="H220" s="212">
        <f>IFERROR(SUMIF('💸 Expenses'!B9:B508,B220,'💸 Expenses'!F9:F508),0)</f>
        <v/>
      </c>
      <c r="I220" s="213">
        <f>IFERROR(E220-H220,0)</f>
        <v/>
      </c>
      <c r="J220" s="214">
        <f>IFERROR(I220/E220,0)</f>
        <v/>
      </c>
      <c r="K220" s="37" t="n"/>
      <c r="L220" s="187">
        <f>IFERROR(L219+E220,0)</f>
        <v/>
      </c>
      <c r="M220" s="190">
        <f>IFERROR(M219+H220,0)</f>
        <v/>
      </c>
      <c r="N220" s="215">
        <f>IFERROR(L220-M220,0)</f>
        <v/>
      </c>
      <c r="O220" s="216">
        <f>IFERROR(SUMIF(B8:B220,"&gt;="&amp;(B220-WEEKDAY(B220,2)+1),E8:E220),0)</f>
        <v/>
      </c>
      <c r="P220" s="217">
        <f>IFERROR(SUMIF(B8:B220,"&gt;="&amp;(B220-WEEKDAY(B220,2)+1),H8:H220),0)</f>
        <v/>
      </c>
      <c r="Q220" s="215">
        <f>IFERROR(O220-P220,0)</f>
        <v/>
      </c>
    </row>
    <row r="221" ht="16.5" customHeight="1">
      <c r="B221" s="208" t="n"/>
      <c r="C221" s="41">
        <f>IF(B221="","",TEXT(B221,"DDD"))</f>
        <v/>
      </c>
      <c r="D221" s="42">
        <f>IF(B221="","","Soft App")</f>
        <v/>
      </c>
      <c r="E221" s="218" t="n"/>
      <c r="F221" s="219" t="n"/>
      <c r="G221" s="220">
        <f>IFERROR(E221/F221,0)</f>
        <v/>
      </c>
      <c r="H221" s="221">
        <f>IFERROR(SUMIF('💸 Expenses'!B9:B508,B221,'💸 Expenses'!F9:F508),0)</f>
        <v/>
      </c>
      <c r="I221" s="222">
        <f>IFERROR(E221-H221,0)</f>
        <v/>
      </c>
      <c r="J221" s="223">
        <f>IFERROR(I221/E221,0)</f>
        <v/>
      </c>
      <c r="K221" s="49" t="n"/>
      <c r="L221" s="193">
        <f>IFERROR(L220+E221,0)</f>
        <v/>
      </c>
      <c r="M221" s="196">
        <f>IFERROR(M220+H221,0)</f>
        <v/>
      </c>
      <c r="N221" s="224">
        <f>IFERROR(L221-M221,0)</f>
        <v/>
      </c>
      <c r="O221" s="225">
        <f>IFERROR(SUMIF(B8:B221,"&gt;="&amp;(B221-WEEKDAY(B221,2)+1),E8:E221),0)</f>
        <v/>
      </c>
      <c r="P221" s="226">
        <f>IFERROR(SUMIF(B8:B221,"&gt;="&amp;(B221-WEEKDAY(B221,2)+1),H8:H221),0)</f>
        <v/>
      </c>
      <c r="Q221" s="224">
        <f>IFERROR(O221-P221,0)</f>
        <v/>
      </c>
    </row>
    <row r="222" ht="16.5" customHeight="1">
      <c r="B222" s="208" t="n"/>
      <c r="C222" s="29">
        <f>IF(B222="","",TEXT(B222,"DDD"))</f>
        <v/>
      </c>
      <c r="D222" s="30">
        <f>IF(B222="","","Soft App")</f>
        <v/>
      </c>
      <c r="E222" s="209" t="n"/>
      <c r="F222" s="210" t="n"/>
      <c r="G222" s="211">
        <f>IFERROR(E222/F222,0)</f>
        <v/>
      </c>
      <c r="H222" s="212">
        <f>IFERROR(SUMIF('💸 Expenses'!B9:B508,B222,'💸 Expenses'!F9:F508),0)</f>
        <v/>
      </c>
      <c r="I222" s="213">
        <f>IFERROR(E222-H222,0)</f>
        <v/>
      </c>
      <c r="J222" s="214">
        <f>IFERROR(I222/E222,0)</f>
        <v/>
      </c>
      <c r="K222" s="37" t="n"/>
      <c r="L222" s="187">
        <f>IFERROR(L221+E222,0)</f>
        <v/>
      </c>
      <c r="M222" s="190">
        <f>IFERROR(M221+H222,0)</f>
        <v/>
      </c>
      <c r="N222" s="215">
        <f>IFERROR(L222-M222,0)</f>
        <v/>
      </c>
      <c r="O222" s="216">
        <f>IFERROR(SUMIF(B8:B222,"&gt;="&amp;(B222-WEEKDAY(B222,2)+1),E8:E222),0)</f>
        <v/>
      </c>
      <c r="P222" s="217">
        <f>IFERROR(SUMIF(B8:B222,"&gt;="&amp;(B222-WEEKDAY(B222,2)+1),H8:H222),0)</f>
        <v/>
      </c>
      <c r="Q222" s="215">
        <f>IFERROR(O222-P222,0)</f>
        <v/>
      </c>
    </row>
    <row r="223" ht="16.5" customHeight="1">
      <c r="B223" s="208" t="n"/>
      <c r="C223" s="41">
        <f>IF(B223="","",TEXT(B223,"DDD"))</f>
        <v/>
      </c>
      <c r="D223" s="42">
        <f>IF(B223="","","Soft App")</f>
        <v/>
      </c>
      <c r="E223" s="218" t="n"/>
      <c r="F223" s="219" t="n"/>
      <c r="G223" s="220">
        <f>IFERROR(E223/F223,0)</f>
        <v/>
      </c>
      <c r="H223" s="221">
        <f>IFERROR(SUMIF('💸 Expenses'!B9:B508,B223,'💸 Expenses'!F9:F508),0)</f>
        <v/>
      </c>
      <c r="I223" s="222">
        <f>IFERROR(E223-H223,0)</f>
        <v/>
      </c>
      <c r="J223" s="223">
        <f>IFERROR(I223/E223,0)</f>
        <v/>
      </c>
      <c r="K223" s="49" t="n"/>
      <c r="L223" s="193">
        <f>IFERROR(L222+E223,0)</f>
        <v/>
      </c>
      <c r="M223" s="196">
        <f>IFERROR(M222+H223,0)</f>
        <v/>
      </c>
      <c r="N223" s="224">
        <f>IFERROR(L223-M223,0)</f>
        <v/>
      </c>
      <c r="O223" s="225">
        <f>IFERROR(SUMIF(B8:B223,"&gt;="&amp;(B223-WEEKDAY(B223,2)+1),E8:E223),0)</f>
        <v/>
      </c>
      <c r="P223" s="226">
        <f>IFERROR(SUMIF(B8:B223,"&gt;="&amp;(B223-WEEKDAY(B223,2)+1),H8:H223),0)</f>
        <v/>
      </c>
      <c r="Q223" s="224">
        <f>IFERROR(O223-P223,0)</f>
        <v/>
      </c>
    </row>
    <row r="224" ht="16.5" customHeight="1">
      <c r="B224" s="208" t="n"/>
      <c r="C224" s="29">
        <f>IF(B224="","",TEXT(B224,"DDD"))</f>
        <v/>
      </c>
      <c r="D224" s="30">
        <f>IF(B224="","","Soft App")</f>
        <v/>
      </c>
      <c r="E224" s="209" t="n"/>
      <c r="F224" s="210" t="n"/>
      <c r="G224" s="211">
        <f>IFERROR(E224/F224,0)</f>
        <v/>
      </c>
      <c r="H224" s="212">
        <f>IFERROR(SUMIF('💸 Expenses'!B9:B508,B224,'💸 Expenses'!F9:F508),0)</f>
        <v/>
      </c>
      <c r="I224" s="213">
        <f>IFERROR(E224-H224,0)</f>
        <v/>
      </c>
      <c r="J224" s="214">
        <f>IFERROR(I224/E224,0)</f>
        <v/>
      </c>
      <c r="K224" s="37" t="n"/>
      <c r="L224" s="187">
        <f>IFERROR(L223+E224,0)</f>
        <v/>
      </c>
      <c r="M224" s="190">
        <f>IFERROR(M223+H224,0)</f>
        <v/>
      </c>
      <c r="N224" s="215">
        <f>IFERROR(L224-M224,0)</f>
        <v/>
      </c>
      <c r="O224" s="216">
        <f>IFERROR(SUMIF(B8:B224,"&gt;="&amp;(B224-WEEKDAY(B224,2)+1),E8:E224),0)</f>
        <v/>
      </c>
      <c r="P224" s="217">
        <f>IFERROR(SUMIF(B8:B224,"&gt;="&amp;(B224-WEEKDAY(B224,2)+1),H8:H224),0)</f>
        <v/>
      </c>
      <c r="Q224" s="215">
        <f>IFERROR(O224-P224,0)</f>
        <v/>
      </c>
    </row>
    <row r="225" ht="16.5" customHeight="1">
      <c r="B225" s="208" t="n"/>
      <c r="C225" s="41">
        <f>IF(B225="","",TEXT(B225,"DDD"))</f>
        <v/>
      </c>
      <c r="D225" s="42">
        <f>IF(B225="","","Soft App")</f>
        <v/>
      </c>
      <c r="E225" s="218" t="n"/>
      <c r="F225" s="219" t="n"/>
      <c r="G225" s="220">
        <f>IFERROR(E225/F225,0)</f>
        <v/>
      </c>
      <c r="H225" s="221">
        <f>IFERROR(SUMIF('💸 Expenses'!B9:B508,B225,'💸 Expenses'!F9:F508),0)</f>
        <v/>
      </c>
      <c r="I225" s="222">
        <f>IFERROR(E225-H225,0)</f>
        <v/>
      </c>
      <c r="J225" s="223">
        <f>IFERROR(I225/E225,0)</f>
        <v/>
      </c>
      <c r="K225" s="49" t="n"/>
      <c r="L225" s="193">
        <f>IFERROR(L224+E225,0)</f>
        <v/>
      </c>
      <c r="M225" s="196">
        <f>IFERROR(M224+H225,0)</f>
        <v/>
      </c>
      <c r="N225" s="224">
        <f>IFERROR(L225-M225,0)</f>
        <v/>
      </c>
      <c r="O225" s="225">
        <f>IFERROR(SUMIF(B8:B225,"&gt;="&amp;(B225-WEEKDAY(B225,2)+1),E8:E225),0)</f>
        <v/>
      </c>
      <c r="P225" s="226">
        <f>IFERROR(SUMIF(B8:B225,"&gt;="&amp;(B225-WEEKDAY(B225,2)+1),H8:H225),0)</f>
        <v/>
      </c>
      <c r="Q225" s="224">
        <f>IFERROR(O225-P225,0)</f>
        <v/>
      </c>
    </row>
    <row r="226" ht="16.5" customHeight="1">
      <c r="B226" s="208" t="n"/>
      <c r="C226" s="29">
        <f>IF(B226="","",TEXT(B226,"DDD"))</f>
        <v/>
      </c>
      <c r="D226" s="30">
        <f>IF(B226="","","Soft App")</f>
        <v/>
      </c>
      <c r="E226" s="209" t="n"/>
      <c r="F226" s="210" t="n"/>
      <c r="G226" s="211">
        <f>IFERROR(E226/F226,0)</f>
        <v/>
      </c>
      <c r="H226" s="212">
        <f>IFERROR(SUMIF('💸 Expenses'!B9:B508,B226,'💸 Expenses'!F9:F508),0)</f>
        <v/>
      </c>
      <c r="I226" s="213">
        <f>IFERROR(E226-H226,0)</f>
        <v/>
      </c>
      <c r="J226" s="214">
        <f>IFERROR(I226/E226,0)</f>
        <v/>
      </c>
      <c r="K226" s="37" t="n"/>
      <c r="L226" s="187">
        <f>IFERROR(L225+E226,0)</f>
        <v/>
      </c>
      <c r="M226" s="190">
        <f>IFERROR(M225+H226,0)</f>
        <v/>
      </c>
      <c r="N226" s="215">
        <f>IFERROR(L226-M226,0)</f>
        <v/>
      </c>
      <c r="O226" s="216">
        <f>IFERROR(SUMIF(B8:B226,"&gt;="&amp;(B226-WEEKDAY(B226,2)+1),E8:E226),0)</f>
        <v/>
      </c>
      <c r="P226" s="217">
        <f>IFERROR(SUMIF(B8:B226,"&gt;="&amp;(B226-WEEKDAY(B226,2)+1),H8:H226),0)</f>
        <v/>
      </c>
      <c r="Q226" s="215">
        <f>IFERROR(O226-P226,0)</f>
        <v/>
      </c>
    </row>
    <row r="227" ht="16.5" customHeight="1">
      <c r="B227" s="208" t="n"/>
      <c r="C227" s="41">
        <f>IF(B227="","",TEXT(B227,"DDD"))</f>
        <v/>
      </c>
      <c r="D227" s="42">
        <f>IF(B227="","","Soft App")</f>
        <v/>
      </c>
      <c r="E227" s="218" t="n"/>
      <c r="F227" s="219" t="n"/>
      <c r="G227" s="220">
        <f>IFERROR(E227/F227,0)</f>
        <v/>
      </c>
      <c r="H227" s="221">
        <f>IFERROR(SUMIF('💸 Expenses'!B9:B508,B227,'💸 Expenses'!F9:F508),0)</f>
        <v/>
      </c>
      <c r="I227" s="222">
        <f>IFERROR(E227-H227,0)</f>
        <v/>
      </c>
      <c r="J227" s="223">
        <f>IFERROR(I227/E227,0)</f>
        <v/>
      </c>
      <c r="K227" s="49" t="n"/>
      <c r="L227" s="193">
        <f>IFERROR(L226+E227,0)</f>
        <v/>
      </c>
      <c r="M227" s="196">
        <f>IFERROR(M226+H227,0)</f>
        <v/>
      </c>
      <c r="N227" s="224">
        <f>IFERROR(L227-M227,0)</f>
        <v/>
      </c>
      <c r="O227" s="225">
        <f>IFERROR(SUMIF(B8:B227,"&gt;="&amp;(B227-WEEKDAY(B227,2)+1),E8:E227),0)</f>
        <v/>
      </c>
      <c r="P227" s="226">
        <f>IFERROR(SUMIF(B8:B227,"&gt;="&amp;(B227-WEEKDAY(B227,2)+1),H8:H227),0)</f>
        <v/>
      </c>
      <c r="Q227" s="224">
        <f>IFERROR(O227-P227,0)</f>
        <v/>
      </c>
    </row>
    <row r="228" ht="16.5" customHeight="1">
      <c r="B228" s="208" t="n"/>
      <c r="C228" s="29">
        <f>IF(B228="","",TEXT(B228,"DDD"))</f>
        <v/>
      </c>
      <c r="D228" s="30">
        <f>IF(B228="","","Soft App")</f>
        <v/>
      </c>
      <c r="E228" s="209" t="n"/>
      <c r="F228" s="210" t="n"/>
      <c r="G228" s="211">
        <f>IFERROR(E228/F228,0)</f>
        <v/>
      </c>
      <c r="H228" s="212">
        <f>IFERROR(SUMIF('💸 Expenses'!B9:B508,B228,'💸 Expenses'!F9:F508),0)</f>
        <v/>
      </c>
      <c r="I228" s="213">
        <f>IFERROR(E228-H228,0)</f>
        <v/>
      </c>
      <c r="J228" s="214">
        <f>IFERROR(I228/E228,0)</f>
        <v/>
      </c>
      <c r="K228" s="37" t="n"/>
      <c r="L228" s="187">
        <f>IFERROR(L227+E228,0)</f>
        <v/>
      </c>
      <c r="M228" s="190">
        <f>IFERROR(M227+H228,0)</f>
        <v/>
      </c>
      <c r="N228" s="215">
        <f>IFERROR(L228-M228,0)</f>
        <v/>
      </c>
      <c r="O228" s="216">
        <f>IFERROR(SUMIF(B8:B228,"&gt;="&amp;(B228-WEEKDAY(B228,2)+1),E8:E228),0)</f>
        <v/>
      </c>
      <c r="P228" s="217">
        <f>IFERROR(SUMIF(B8:B228,"&gt;="&amp;(B228-WEEKDAY(B228,2)+1),H8:H228),0)</f>
        <v/>
      </c>
      <c r="Q228" s="215">
        <f>IFERROR(O228-P228,0)</f>
        <v/>
      </c>
    </row>
    <row r="229" ht="16.5" customHeight="1">
      <c r="B229" s="208" t="n"/>
      <c r="C229" s="41">
        <f>IF(B229="","",TEXT(B229,"DDD"))</f>
        <v/>
      </c>
      <c r="D229" s="42">
        <f>IF(B229="","","Soft App")</f>
        <v/>
      </c>
      <c r="E229" s="218" t="n"/>
      <c r="F229" s="219" t="n"/>
      <c r="G229" s="220">
        <f>IFERROR(E229/F229,0)</f>
        <v/>
      </c>
      <c r="H229" s="221">
        <f>IFERROR(SUMIF('💸 Expenses'!B9:B508,B229,'💸 Expenses'!F9:F508),0)</f>
        <v/>
      </c>
      <c r="I229" s="222">
        <f>IFERROR(E229-H229,0)</f>
        <v/>
      </c>
      <c r="J229" s="223">
        <f>IFERROR(I229/E229,0)</f>
        <v/>
      </c>
      <c r="K229" s="49" t="n"/>
      <c r="L229" s="193">
        <f>IFERROR(L228+E229,0)</f>
        <v/>
      </c>
      <c r="M229" s="196">
        <f>IFERROR(M228+H229,0)</f>
        <v/>
      </c>
      <c r="N229" s="224">
        <f>IFERROR(L229-M229,0)</f>
        <v/>
      </c>
      <c r="O229" s="225">
        <f>IFERROR(SUMIF(B8:B229,"&gt;="&amp;(B229-WEEKDAY(B229,2)+1),E8:E229),0)</f>
        <v/>
      </c>
      <c r="P229" s="226">
        <f>IFERROR(SUMIF(B8:B229,"&gt;="&amp;(B229-WEEKDAY(B229,2)+1),H8:H229),0)</f>
        <v/>
      </c>
      <c r="Q229" s="224">
        <f>IFERROR(O229-P229,0)</f>
        <v/>
      </c>
    </row>
    <row r="230" ht="16.5" customHeight="1">
      <c r="B230" s="208" t="n"/>
      <c r="C230" s="29">
        <f>IF(B230="","",TEXT(B230,"DDD"))</f>
        <v/>
      </c>
      <c r="D230" s="30">
        <f>IF(B230="","","Soft App")</f>
        <v/>
      </c>
      <c r="E230" s="209" t="n"/>
      <c r="F230" s="210" t="n"/>
      <c r="G230" s="211">
        <f>IFERROR(E230/F230,0)</f>
        <v/>
      </c>
      <c r="H230" s="212">
        <f>IFERROR(SUMIF('💸 Expenses'!B9:B508,B230,'💸 Expenses'!F9:F508),0)</f>
        <v/>
      </c>
      <c r="I230" s="213">
        <f>IFERROR(E230-H230,0)</f>
        <v/>
      </c>
      <c r="J230" s="214">
        <f>IFERROR(I230/E230,0)</f>
        <v/>
      </c>
      <c r="K230" s="37" t="n"/>
      <c r="L230" s="187">
        <f>IFERROR(L229+E230,0)</f>
        <v/>
      </c>
      <c r="M230" s="190">
        <f>IFERROR(M229+H230,0)</f>
        <v/>
      </c>
      <c r="N230" s="215">
        <f>IFERROR(L230-M230,0)</f>
        <v/>
      </c>
      <c r="O230" s="216">
        <f>IFERROR(SUMIF(B8:B230,"&gt;="&amp;(B230-WEEKDAY(B230,2)+1),E8:E230),0)</f>
        <v/>
      </c>
      <c r="P230" s="217">
        <f>IFERROR(SUMIF(B8:B230,"&gt;="&amp;(B230-WEEKDAY(B230,2)+1),H8:H230),0)</f>
        <v/>
      </c>
      <c r="Q230" s="215">
        <f>IFERROR(O230-P230,0)</f>
        <v/>
      </c>
    </row>
    <row r="231" ht="16.5" customHeight="1">
      <c r="B231" s="208" t="n"/>
      <c r="C231" s="41">
        <f>IF(B231="","",TEXT(B231,"DDD"))</f>
        <v/>
      </c>
      <c r="D231" s="42">
        <f>IF(B231="","","Soft App")</f>
        <v/>
      </c>
      <c r="E231" s="218" t="n"/>
      <c r="F231" s="219" t="n"/>
      <c r="G231" s="220">
        <f>IFERROR(E231/F231,0)</f>
        <v/>
      </c>
      <c r="H231" s="221">
        <f>IFERROR(SUMIF('💸 Expenses'!B9:B508,B231,'💸 Expenses'!F9:F508),0)</f>
        <v/>
      </c>
      <c r="I231" s="222">
        <f>IFERROR(E231-H231,0)</f>
        <v/>
      </c>
      <c r="J231" s="223">
        <f>IFERROR(I231/E231,0)</f>
        <v/>
      </c>
      <c r="K231" s="49" t="n"/>
      <c r="L231" s="193">
        <f>IFERROR(L230+E231,0)</f>
        <v/>
      </c>
      <c r="M231" s="196">
        <f>IFERROR(M230+H231,0)</f>
        <v/>
      </c>
      <c r="N231" s="224">
        <f>IFERROR(L231-M231,0)</f>
        <v/>
      </c>
      <c r="O231" s="225">
        <f>IFERROR(SUMIF(B8:B231,"&gt;="&amp;(B231-WEEKDAY(B231,2)+1),E8:E231),0)</f>
        <v/>
      </c>
      <c r="P231" s="226">
        <f>IFERROR(SUMIF(B8:B231,"&gt;="&amp;(B231-WEEKDAY(B231,2)+1),H8:H231),0)</f>
        <v/>
      </c>
      <c r="Q231" s="224">
        <f>IFERROR(O231-P231,0)</f>
        <v/>
      </c>
    </row>
    <row r="232" ht="16.5" customHeight="1">
      <c r="B232" s="208" t="n"/>
      <c r="C232" s="29">
        <f>IF(B232="","",TEXT(B232,"DDD"))</f>
        <v/>
      </c>
      <c r="D232" s="30">
        <f>IF(B232="","","Soft App")</f>
        <v/>
      </c>
      <c r="E232" s="209" t="n"/>
      <c r="F232" s="210" t="n"/>
      <c r="G232" s="211">
        <f>IFERROR(E232/F232,0)</f>
        <v/>
      </c>
      <c r="H232" s="212">
        <f>IFERROR(SUMIF('💸 Expenses'!B9:B508,B232,'💸 Expenses'!F9:F508),0)</f>
        <v/>
      </c>
      <c r="I232" s="213">
        <f>IFERROR(E232-H232,0)</f>
        <v/>
      </c>
      <c r="J232" s="214">
        <f>IFERROR(I232/E232,0)</f>
        <v/>
      </c>
      <c r="K232" s="37" t="n"/>
      <c r="L232" s="187">
        <f>IFERROR(L231+E232,0)</f>
        <v/>
      </c>
      <c r="M232" s="190">
        <f>IFERROR(M231+H232,0)</f>
        <v/>
      </c>
      <c r="N232" s="215">
        <f>IFERROR(L232-M232,0)</f>
        <v/>
      </c>
      <c r="O232" s="216">
        <f>IFERROR(SUMIF(B8:B232,"&gt;="&amp;(B232-WEEKDAY(B232,2)+1),E8:E232),0)</f>
        <v/>
      </c>
      <c r="P232" s="217">
        <f>IFERROR(SUMIF(B8:B232,"&gt;="&amp;(B232-WEEKDAY(B232,2)+1),H8:H232),0)</f>
        <v/>
      </c>
      <c r="Q232" s="215">
        <f>IFERROR(O232-P232,0)</f>
        <v/>
      </c>
    </row>
    <row r="233" ht="16.5" customHeight="1">
      <c r="B233" s="208" t="n"/>
      <c r="C233" s="41">
        <f>IF(B233="","",TEXT(B233,"DDD"))</f>
        <v/>
      </c>
      <c r="D233" s="42">
        <f>IF(B233="","","Soft App")</f>
        <v/>
      </c>
      <c r="E233" s="218" t="n"/>
      <c r="F233" s="219" t="n"/>
      <c r="G233" s="220">
        <f>IFERROR(E233/F233,0)</f>
        <v/>
      </c>
      <c r="H233" s="221">
        <f>IFERROR(SUMIF('💸 Expenses'!B9:B508,B233,'💸 Expenses'!F9:F508),0)</f>
        <v/>
      </c>
      <c r="I233" s="222">
        <f>IFERROR(E233-H233,0)</f>
        <v/>
      </c>
      <c r="J233" s="223">
        <f>IFERROR(I233/E233,0)</f>
        <v/>
      </c>
      <c r="K233" s="49" t="n"/>
      <c r="L233" s="193">
        <f>IFERROR(L232+E233,0)</f>
        <v/>
      </c>
      <c r="M233" s="196">
        <f>IFERROR(M232+H233,0)</f>
        <v/>
      </c>
      <c r="N233" s="224">
        <f>IFERROR(L233-M233,0)</f>
        <v/>
      </c>
      <c r="O233" s="225">
        <f>IFERROR(SUMIF(B8:B233,"&gt;="&amp;(B233-WEEKDAY(B233,2)+1),E8:E233),0)</f>
        <v/>
      </c>
      <c r="P233" s="226">
        <f>IFERROR(SUMIF(B8:B233,"&gt;="&amp;(B233-WEEKDAY(B233,2)+1),H8:H233),0)</f>
        <v/>
      </c>
      <c r="Q233" s="224">
        <f>IFERROR(O233-P233,0)</f>
        <v/>
      </c>
    </row>
    <row r="234" ht="16.5" customHeight="1">
      <c r="B234" s="208" t="n"/>
      <c r="C234" s="29">
        <f>IF(B234="","",TEXT(B234,"DDD"))</f>
        <v/>
      </c>
      <c r="D234" s="30">
        <f>IF(B234="","","Soft App")</f>
        <v/>
      </c>
      <c r="E234" s="209" t="n"/>
      <c r="F234" s="210" t="n"/>
      <c r="G234" s="211">
        <f>IFERROR(E234/F234,0)</f>
        <v/>
      </c>
      <c r="H234" s="212">
        <f>IFERROR(SUMIF('💸 Expenses'!B9:B508,B234,'💸 Expenses'!F9:F508),0)</f>
        <v/>
      </c>
      <c r="I234" s="213">
        <f>IFERROR(E234-H234,0)</f>
        <v/>
      </c>
      <c r="J234" s="214">
        <f>IFERROR(I234/E234,0)</f>
        <v/>
      </c>
      <c r="K234" s="37" t="n"/>
      <c r="L234" s="187">
        <f>IFERROR(L233+E234,0)</f>
        <v/>
      </c>
      <c r="M234" s="190">
        <f>IFERROR(M233+H234,0)</f>
        <v/>
      </c>
      <c r="N234" s="215">
        <f>IFERROR(L234-M234,0)</f>
        <v/>
      </c>
      <c r="O234" s="216">
        <f>IFERROR(SUMIF(B8:B234,"&gt;="&amp;(B234-WEEKDAY(B234,2)+1),E8:E234),0)</f>
        <v/>
      </c>
      <c r="P234" s="217">
        <f>IFERROR(SUMIF(B8:B234,"&gt;="&amp;(B234-WEEKDAY(B234,2)+1),H8:H234),0)</f>
        <v/>
      </c>
      <c r="Q234" s="215">
        <f>IFERROR(O234-P234,0)</f>
        <v/>
      </c>
    </row>
    <row r="235" ht="16.5" customHeight="1">
      <c r="B235" s="208" t="n"/>
      <c r="C235" s="41">
        <f>IF(B235="","",TEXT(B235,"DDD"))</f>
        <v/>
      </c>
      <c r="D235" s="42">
        <f>IF(B235="","","Soft App")</f>
        <v/>
      </c>
      <c r="E235" s="218" t="n"/>
      <c r="F235" s="219" t="n"/>
      <c r="G235" s="220">
        <f>IFERROR(E235/F235,0)</f>
        <v/>
      </c>
      <c r="H235" s="221">
        <f>IFERROR(SUMIF('💸 Expenses'!B9:B508,B235,'💸 Expenses'!F9:F508),0)</f>
        <v/>
      </c>
      <c r="I235" s="222">
        <f>IFERROR(E235-H235,0)</f>
        <v/>
      </c>
      <c r="J235" s="223">
        <f>IFERROR(I235/E235,0)</f>
        <v/>
      </c>
      <c r="K235" s="49" t="n"/>
      <c r="L235" s="193">
        <f>IFERROR(L234+E235,0)</f>
        <v/>
      </c>
      <c r="M235" s="196">
        <f>IFERROR(M234+H235,0)</f>
        <v/>
      </c>
      <c r="N235" s="224">
        <f>IFERROR(L235-M235,0)</f>
        <v/>
      </c>
      <c r="O235" s="225">
        <f>IFERROR(SUMIF(B8:B235,"&gt;="&amp;(B235-WEEKDAY(B235,2)+1),E8:E235),0)</f>
        <v/>
      </c>
      <c r="P235" s="226">
        <f>IFERROR(SUMIF(B8:B235,"&gt;="&amp;(B235-WEEKDAY(B235,2)+1),H8:H235),0)</f>
        <v/>
      </c>
      <c r="Q235" s="224">
        <f>IFERROR(O235-P235,0)</f>
        <v/>
      </c>
    </row>
    <row r="236" ht="16.5" customHeight="1">
      <c r="B236" s="208" t="n"/>
      <c r="C236" s="29">
        <f>IF(B236="","",TEXT(B236,"DDD"))</f>
        <v/>
      </c>
      <c r="D236" s="30">
        <f>IF(B236="","","Soft App")</f>
        <v/>
      </c>
      <c r="E236" s="209" t="n"/>
      <c r="F236" s="210" t="n"/>
      <c r="G236" s="211">
        <f>IFERROR(E236/F236,0)</f>
        <v/>
      </c>
      <c r="H236" s="212">
        <f>IFERROR(SUMIF('💸 Expenses'!B9:B508,B236,'💸 Expenses'!F9:F508),0)</f>
        <v/>
      </c>
      <c r="I236" s="213">
        <f>IFERROR(E236-H236,0)</f>
        <v/>
      </c>
      <c r="J236" s="214">
        <f>IFERROR(I236/E236,0)</f>
        <v/>
      </c>
      <c r="K236" s="37" t="n"/>
      <c r="L236" s="187">
        <f>IFERROR(L235+E236,0)</f>
        <v/>
      </c>
      <c r="M236" s="190">
        <f>IFERROR(M235+H236,0)</f>
        <v/>
      </c>
      <c r="N236" s="215">
        <f>IFERROR(L236-M236,0)</f>
        <v/>
      </c>
      <c r="O236" s="216">
        <f>IFERROR(SUMIF(B8:B236,"&gt;="&amp;(B236-WEEKDAY(B236,2)+1),E8:E236),0)</f>
        <v/>
      </c>
      <c r="P236" s="217">
        <f>IFERROR(SUMIF(B8:B236,"&gt;="&amp;(B236-WEEKDAY(B236,2)+1),H8:H236),0)</f>
        <v/>
      </c>
      <c r="Q236" s="215">
        <f>IFERROR(O236-P236,0)</f>
        <v/>
      </c>
    </row>
    <row r="237" ht="16.5" customHeight="1">
      <c r="B237" s="208" t="n"/>
      <c r="C237" s="41">
        <f>IF(B237="","",TEXT(B237,"DDD"))</f>
        <v/>
      </c>
      <c r="D237" s="42">
        <f>IF(B237="","","Soft App")</f>
        <v/>
      </c>
      <c r="E237" s="218" t="n"/>
      <c r="F237" s="219" t="n"/>
      <c r="G237" s="220">
        <f>IFERROR(E237/F237,0)</f>
        <v/>
      </c>
      <c r="H237" s="221">
        <f>IFERROR(SUMIF('💸 Expenses'!B9:B508,B237,'💸 Expenses'!F9:F508),0)</f>
        <v/>
      </c>
      <c r="I237" s="222">
        <f>IFERROR(E237-H237,0)</f>
        <v/>
      </c>
      <c r="J237" s="223">
        <f>IFERROR(I237/E237,0)</f>
        <v/>
      </c>
      <c r="K237" s="49" t="n"/>
      <c r="L237" s="193">
        <f>IFERROR(L236+E237,0)</f>
        <v/>
      </c>
      <c r="M237" s="196">
        <f>IFERROR(M236+H237,0)</f>
        <v/>
      </c>
      <c r="N237" s="224">
        <f>IFERROR(L237-M237,0)</f>
        <v/>
      </c>
      <c r="O237" s="225">
        <f>IFERROR(SUMIF(B8:B237,"&gt;="&amp;(B237-WEEKDAY(B237,2)+1),E8:E237),0)</f>
        <v/>
      </c>
      <c r="P237" s="226">
        <f>IFERROR(SUMIF(B8:B237,"&gt;="&amp;(B237-WEEKDAY(B237,2)+1),H8:H237),0)</f>
        <v/>
      </c>
      <c r="Q237" s="224">
        <f>IFERROR(O237-P237,0)</f>
        <v/>
      </c>
    </row>
    <row r="238" ht="16.5" customHeight="1">
      <c r="B238" s="208" t="n"/>
      <c r="C238" s="29">
        <f>IF(B238="","",TEXT(B238,"DDD"))</f>
        <v/>
      </c>
      <c r="D238" s="30">
        <f>IF(B238="","","Soft App")</f>
        <v/>
      </c>
      <c r="E238" s="209" t="n"/>
      <c r="F238" s="210" t="n"/>
      <c r="G238" s="211">
        <f>IFERROR(E238/F238,0)</f>
        <v/>
      </c>
      <c r="H238" s="212">
        <f>IFERROR(SUMIF('💸 Expenses'!B9:B508,B238,'💸 Expenses'!F9:F508),0)</f>
        <v/>
      </c>
      <c r="I238" s="213">
        <f>IFERROR(E238-H238,0)</f>
        <v/>
      </c>
      <c r="J238" s="214">
        <f>IFERROR(I238/E238,0)</f>
        <v/>
      </c>
      <c r="K238" s="37" t="n"/>
      <c r="L238" s="187">
        <f>IFERROR(L237+E238,0)</f>
        <v/>
      </c>
      <c r="M238" s="190">
        <f>IFERROR(M237+H238,0)</f>
        <v/>
      </c>
      <c r="N238" s="215">
        <f>IFERROR(L238-M238,0)</f>
        <v/>
      </c>
      <c r="O238" s="216">
        <f>IFERROR(SUMIF(B8:B238,"&gt;="&amp;(B238-WEEKDAY(B238,2)+1),E8:E238),0)</f>
        <v/>
      </c>
      <c r="P238" s="217">
        <f>IFERROR(SUMIF(B8:B238,"&gt;="&amp;(B238-WEEKDAY(B238,2)+1),H8:H238),0)</f>
        <v/>
      </c>
      <c r="Q238" s="215">
        <f>IFERROR(O238-P238,0)</f>
        <v/>
      </c>
    </row>
    <row r="239" ht="16.5" customHeight="1">
      <c r="B239" s="208" t="n"/>
      <c r="C239" s="41">
        <f>IF(B239="","",TEXT(B239,"DDD"))</f>
        <v/>
      </c>
      <c r="D239" s="42">
        <f>IF(B239="","","Soft App")</f>
        <v/>
      </c>
      <c r="E239" s="218" t="n"/>
      <c r="F239" s="219" t="n"/>
      <c r="G239" s="220">
        <f>IFERROR(E239/F239,0)</f>
        <v/>
      </c>
      <c r="H239" s="221">
        <f>IFERROR(SUMIF('💸 Expenses'!B9:B508,B239,'💸 Expenses'!F9:F508),0)</f>
        <v/>
      </c>
      <c r="I239" s="222">
        <f>IFERROR(E239-H239,0)</f>
        <v/>
      </c>
      <c r="J239" s="223">
        <f>IFERROR(I239/E239,0)</f>
        <v/>
      </c>
      <c r="K239" s="49" t="n"/>
      <c r="L239" s="193">
        <f>IFERROR(L238+E239,0)</f>
        <v/>
      </c>
      <c r="M239" s="196">
        <f>IFERROR(M238+H239,0)</f>
        <v/>
      </c>
      <c r="N239" s="224">
        <f>IFERROR(L239-M239,0)</f>
        <v/>
      </c>
      <c r="O239" s="225">
        <f>IFERROR(SUMIF(B8:B239,"&gt;="&amp;(B239-WEEKDAY(B239,2)+1),E8:E239),0)</f>
        <v/>
      </c>
      <c r="P239" s="226">
        <f>IFERROR(SUMIF(B8:B239,"&gt;="&amp;(B239-WEEKDAY(B239,2)+1),H8:H239),0)</f>
        <v/>
      </c>
      <c r="Q239" s="224">
        <f>IFERROR(O239-P239,0)</f>
        <v/>
      </c>
    </row>
    <row r="240" ht="16.5" customHeight="1">
      <c r="B240" s="208" t="n"/>
      <c r="C240" s="29">
        <f>IF(B240="","",TEXT(B240,"DDD"))</f>
        <v/>
      </c>
      <c r="D240" s="30">
        <f>IF(B240="","","Soft App")</f>
        <v/>
      </c>
      <c r="E240" s="209" t="n"/>
      <c r="F240" s="210" t="n"/>
      <c r="G240" s="211">
        <f>IFERROR(E240/F240,0)</f>
        <v/>
      </c>
      <c r="H240" s="212">
        <f>IFERROR(SUMIF('💸 Expenses'!B9:B508,B240,'💸 Expenses'!F9:F508),0)</f>
        <v/>
      </c>
      <c r="I240" s="213">
        <f>IFERROR(E240-H240,0)</f>
        <v/>
      </c>
      <c r="J240" s="214">
        <f>IFERROR(I240/E240,0)</f>
        <v/>
      </c>
      <c r="K240" s="37" t="n"/>
      <c r="L240" s="187">
        <f>IFERROR(L239+E240,0)</f>
        <v/>
      </c>
      <c r="M240" s="190">
        <f>IFERROR(M239+H240,0)</f>
        <v/>
      </c>
      <c r="N240" s="215">
        <f>IFERROR(L240-M240,0)</f>
        <v/>
      </c>
      <c r="O240" s="216">
        <f>IFERROR(SUMIF(B8:B240,"&gt;="&amp;(B240-WEEKDAY(B240,2)+1),E8:E240),0)</f>
        <v/>
      </c>
      <c r="P240" s="217">
        <f>IFERROR(SUMIF(B8:B240,"&gt;="&amp;(B240-WEEKDAY(B240,2)+1),H8:H240),0)</f>
        <v/>
      </c>
      <c r="Q240" s="215">
        <f>IFERROR(O240-P240,0)</f>
        <v/>
      </c>
    </row>
    <row r="241" ht="16.5" customHeight="1">
      <c r="B241" s="208" t="n"/>
      <c r="C241" s="41">
        <f>IF(B241="","",TEXT(B241,"DDD"))</f>
        <v/>
      </c>
      <c r="D241" s="42">
        <f>IF(B241="","","Soft App")</f>
        <v/>
      </c>
      <c r="E241" s="218" t="n"/>
      <c r="F241" s="219" t="n"/>
      <c r="G241" s="220">
        <f>IFERROR(E241/F241,0)</f>
        <v/>
      </c>
      <c r="H241" s="221">
        <f>IFERROR(SUMIF('💸 Expenses'!B9:B508,B241,'💸 Expenses'!F9:F508),0)</f>
        <v/>
      </c>
      <c r="I241" s="222">
        <f>IFERROR(E241-H241,0)</f>
        <v/>
      </c>
      <c r="J241" s="223">
        <f>IFERROR(I241/E241,0)</f>
        <v/>
      </c>
      <c r="K241" s="49" t="n"/>
      <c r="L241" s="193">
        <f>IFERROR(L240+E241,0)</f>
        <v/>
      </c>
      <c r="M241" s="196">
        <f>IFERROR(M240+H241,0)</f>
        <v/>
      </c>
      <c r="N241" s="224">
        <f>IFERROR(L241-M241,0)</f>
        <v/>
      </c>
      <c r="O241" s="225">
        <f>IFERROR(SUMIF(B8:B241,"&gt;="&amp;(B241-WEEKDAY(B241,2)+1),E8:E241),0)</f>
        <v/>
      </c>
      <c r="P241" s="226">
        <f>IFERROR(SUMIF(B8:B241,"&gt;="&amp;(B241-WEEKDAY(B241,2)+1),H8:H241),0)</f>
        <v/>
      </c>
      <c r="Q241" s="224">
        <f>IFERROR(O241-P241,0)</f>
        <v/>
      </c>
    </row>
    <row r="242" ht="16.5" customHeight="1">
      <c r="B242" s="208" t="n"/>
      <c r="C242" s="29">
        <f>IF(B242="","",TEXT(B242,"DDD"))</f>
        <v/>
      </c>
      <c r="D242" s="30">
        <f>IF(B242="","","Soft App")</f>
        <v/>
      </c>
      <c r="E242" s="209" t="n"/>
      <c r="F242" s="210" t="n"/>
      <c r="G242" s="211">
        <f>IFERROR(E242/F242,0)</f>
        <v/>
      </c>
      <c r="H242" s="212">
        <f>IFERROR(SUMIF('💸 Expenses'!B9:B508,B242,'💸 Expenses'!F9:F508),0)</f>
        <v/>
      </c>
      <c r="I242" s="213">
        <f>IFERROR(E242-H242,0)</f>
        <v/>
      </c>
      <c r="J242" s="214">
        <f>IFERROR(I242/E242,0)</f>
        <v/>
      </c>
      <c r="K242" s="37" t="n"/>
      <c r="L242" s="187">
        <f>IFERROR(L241+E242,0)</f>
        <v/>
      </c>
      <c r="M242" s="190">
        <f>IFERROR(M241+H242,0)</f>
        <v/>
      </c>
      <c r="N242" s="215">
        <f>IFERROR(L242-M242,0)</f>
        <v/>
      </c>
      <c r="O242" s="216">
        <f>IFERROR(SUMIF(B8:B242,"&gt;="&amp;(B242-WEEKDAY(B242,2)+1),E8:E242),0)</f>
        <v/>
      </c>
      <c r="P242" s="217">
        <f>IFERROR(SUMIF(B8:B242,"&gt;="&amp;(B242-WEEKDAY(B242,2)+1),H8:H242),0)</f>
        <v/>
      </c>
      <c r="Q242" s="215">
        <f>IFERROR(O242-P242,0)</f>
        <v/>
      </c>
    </row>
    <row r="243" ht="16.5" customHeight="1">
      <c r="B243" s="208" t="n"/>
      <c r="C243" s="41">
        <f>IF(B243="","",TEXT(B243,"DDD"))</f>
        <v/>
      </c>
      <c r="D243" s="42">
        <f>IF(B243="","","Soft App")</f>
        <v/>
      </c>
      <c r="E243" s="218" t="n"/>
      <c r="F243" s="219" t="n"/>
      <c r="G243" s="220">
        <f>IFERROR(E243/F243,0)</f>
        <v/>
      </c>
      <c r="H243" s="221">
        <f>IFERROR(SUMIF('💸 Expenses'!B9:B508,B243,'💸 Expenses'!F9:F508),0)</f>
        <v/>
      </c>
      <c r="I243" s="222">
        <f>IFERROR(E243-H243,0)</f>
        <v/>
      </c>
      <c r="J243" s="223">
        <f>IFERROR(I243/E243,0)</f>
        <v/>
      </c>
      <c r="K243" s="49" t="n"/>
      <c r="L243" s="193">
        <f>IFERROR(L242+E243,0)</f>
        <v/>
      </c>
      <c r="M243" s="196">
        <f>IFERROR(M242+H243,0)</f>
        <v/>
      </c>
      <c r="N243" s="224">
        <f>IFERROR(L243-M243,0)</f>
        <v/>
      </c>
      <c r="O243" s="225">
        <f>IFERROR(SUMIF(B8:B243,"&gt;="&amp;(B243-WEEKDAY(B243,2)+1),E8:E243),0)</f>
        <v/>
      </c>
      <c r="P243" s="226">
        <f>IFERROR(SUMIF(B8:B243,"&gt;="&amp;(B243-WEEKDAY(B243,2)+1),H8:H243),0)</f>
        <v/>
      </c>
      <c r="Q243" s="224">
        <f>IFERROR(O243-P243,0)</f>
        <v/>
      </c>
    </row>
    <row r="244" ht="16.5" customHeight="1">
      <c r="B244" s="208" t="n"/>
      <c r="C244" s="29">
        <f>IF(B244="","",TEXT(B244,"DDD"))</f>
        <v/>
      </c>
      <c r="D244" s="30">
        <f>IF(B244="","","Soft App")</f>
        <v/>
      </c>
      <c r="E244" s="209" t="n"/>
      <c r="F244" s="210" t="n"/>
      <c r="G244" s="211">
        <f>IFERROR(E244/F244,0)</f>
        <v/>
      </c>
      <c r="H244" s="212">
        <f>IFERROR(SUMIF('💸 Expenses'!B9:B508,B244,'💸 Expenses'!F9:F508),0)</f>
        <v/>
      </c>
      <c r="I244" s="213">
        <f>IFERROR(E244-H244,0)</f>
        <v/>
      </c>
      <c r="J244" s="214">
        <f>IFERROR(I244/E244,0)</f>
        <v/>
      </c>
      <c r="K244" s="37" t="n"/>
      <c r="L244" s="187">
        <f>IFERROR(L243+E244,0)</f>
        <v/>
      </c>
      <c r="M244" s="190">
        <f>IFERROR(M243+H244,0)</f>
        <v/>
      </c>
      <c r="N244" s="215">
        <f>IFERROR(L244-M244,0)</f>
        <v/>
      </c>
      <c r="O244" s="216">
        <f>IFERROR(SUMIF(B8:B244,"&gt;="&amp;(B244-WEEKDAY(B244,2)+1),E8:E244),0)</f>
        <v/>
      </c>
      <c r="P244" s="217">
        <f>IFERROR(SUMIF(B8:B244,"&gt;="&amp;(B244-WEEKDAY(B244,2)+1),H8:H244),0)</f>
        <v/>
      </c>
      <c r="Q244" s="215">
        <f>IFERROR(O244-P244,0)</f>
        <v/>
      </c>
    </row>
    <row r="245" ht="16.5" customHeight="1">
      <c r="B245" s="208" t="n"/>
      <c r="C245" s="41">
        <f>IF(B245="","",TEXT(B245,"DDD"))</f>
        <v/>
      </c>
      <c r="D245" s="42">
        <f>IF(B245="","","Soft App")</f>
        <v/>
      </c>
      <c r="E245" s="218" t="n"/>
      <c r="F245" s="219" t="n"/>
      <c r="G245" s="220">
        <f>IFERROR(E245/F245,0)</f>
        <v/>
      </c>
      <c r="H245" s="221">
        <f>IFERROR(SUMIF('💸 Expenses'!B9:B508,B245,'💸 Expenses'!F9:F508),0)</f>
        <v/>
      </c>
      <c r="I245" s="222">
        <f>IFERROR(E245-H245,0)</f>
        <v/>
      </c>
      <c r="J245" s="223">
        <f>IFERROR(I245/E245,0)</f>
        <v/>
      </c>
      <c r="K245" s="49" t="n"/>
      <c r="L245" s="193">
        <f>IFERROR(L244+E245,0)</f>
        <v/>
      </c>
      <c r="M245" s="196">
        <f>IFERROR(M244+H245,0)</f>
        <v/>
      </c>
      <c r="N245" s="224">
        <f>IFERROR(L245-M245,0)</f>
        <v/>
      </c>
      <c r="O245" s="225">
        <f>IFERROR(SUMIF(B8:B245,"&gt;="&amp;(B245-WEEKDAY(B245,2)+1),E8:E245),0)</f>
        <v/>
      </c>
      <c r="P245" s="226">
        <f>IFERROR(SUMIF(B8:B245,"&gt;="&amp;(B245-WEEKDAY(B245,2)+1),H8:H245),0)</f>
        <v/>
      </c>
      <c r="Q245" s="224">
        <f>IFERROR(O245-P245,0)</f>
        <v/>
      </c>
    </row>
    <row r="246" ht="16.5" customHeight="1">
      <c r="B246" s="208" t="n"/>
      <c r="C246" s="29">
        <f>IF(B246="","",TEXT(B246,"DDD"))</f>
        <v/>
      </c>
      <c r="D246" s="30">
        <f>IF(B246="","","Soft App")</f>
        <v/>
      </c>
      <c r="E246" s="209" t="n"/>
      <c r="F246" s="210" t="n"/>
      <c r="G246" s="211">
        <f>IFERROR(E246/F246,0)</f>
        <v/>
      </c>
      <c r="H246" s="212">
        <f>IFERROR(SUMIF('💸 Expenses'!B9:B508,B246,'💸 Expenses'!F9:F508),0)</f>
        <v/>
      </c>
      <c r="I246" s="213">
        <f>IFERROR(E246-H246,0)</f>
        <v/>
      </c>
      <c r="J246" s="214">
        <f>IFERROR(I246/E246,0)</f>
        <v/>
      </c>
      <c r="K246" s="37" t="n"/>
      <c r="L246" s="187">
        <f>IFERROR(L245+E246,0)</f>
        <v/>
      </c>
      <c r="M246" s="190">
        <f>IFERROR(M245+H246,0)</f>
        <v/>
      </c>
      <c r="N246" s="215">
        <f>IFERROR(L246-M246,0)</f>
        <v/>
      </c>
      <c r="O246" s="216">
        <f>IFERROR(SUMIF(B8:B246,"&gt;="&amp;(B246-WEEKDAY(B246,2)+1),E8:E246),0)</f>
        <v/>
      </c>
      <c r="P246" s="217">
        <f>IFERROR(SUMIF(B8:B246,"&gt;="&amp;(B246-WEEKDAY(B246,2)+1),H8:H246),0)</f>
        <v/>
      </c>
      <c r="Q246" s="215">
        <f>IFERROR(O246-P246,0)</f>
        <v/>
      </c>
    </row>
    <row r="247" ht="16.5" customHeight="1">
      <c r="B247" s="208" t="n"/>
      <c r="C247" s="41">
        <f>IF(B247="","",TEXT(B247,"DDD"))</f>
        <v/>
      </c>
      <c r="D247" s="42">
        <f>IF(B247="","","Soft App")</f>
        <v/>
      </c>
      <c r="E247" s="218" t="n"/>
      <c r="F247" s="219" t="n"/>
      <c r="G247" s="220">
        <f>IFERROR(E247/F247,0)</f>
        <v/>
      </c>
      <c r="H247" s="221">
        <f>IFERROR(SUMIF('💸 Expenses'!B9:B508,B247,'💸 Expenses'!F9:F508),0)</f>
        <v/>
      </c>
      <c r="I247" s="222">
        <f>IFERROR(E247-H247,0)</f>
        <v/>
      </c>
      <c r="J247" s="223">
        <f>IFERROR(I247/E247,0)</f>
        <v/>
      </c>
      <c r="K247" s="49" t="n"/>
      <c r="L247" s="193">
        <f>IFERROR(L246+E247,0)</f>
        <v/>
      </c>
      <c r="M247" s="196">
        <f>IFERROR(M246+H247,0)</f>
        <v/>
      </c>
      <c r="N247" s="224">
        <f>IFERROR(L247-M247,0)</f>
        <v/>
      </c>
      <c r="O247" s="225">
        <f>IFERROR(SUMIF(B8:B247,"&gt;="&amp;(B247-WEEKDAY(B247,2)+1),E8:E247),0)</f>
        <v/>
      </c>
      <c r="P247" s="226">
        <f>IFERROR(SUMIF(B8:B247,"&gt;="&amp;(B247-WEEKDAY(B247,2)+1),H8:H247),0)</f>
        <v/>
      </c>
      <c r="Q247" s="224">
        <f>IFERROR(O247-P247,0)</f>
        <v/>
      </c>
    </row>
    <row r="248" ht="16.5" customHeight="1">
      <c r="B248" s="208" t="n"/>
      <c r="C248" s="29">
        <f>IF(B248="","",TEXT(B248,"DDD"))</f>
        <v/>
      </c>
      <c r="D248" s="30">
        <f>IF(B248="","","Soft App")</f>
        <v/>
      </c>
      <c r="E248" s="209" t="n"/>
      <c r="F248" s="210" t="n"/>
      <c r="G248" s="211">
        <f>IFERROR(E248/F248,0)</f>
        <v/>
      </c>
      <c r="H248" s="212">
        <f>IFERROR(SUMIF('💸 Expenses'!B9:B508,B248,'💸 Expenses'!F9:F508),0)</f>
        <v/>
      </c>
      <c r="I248" s="213">
        <f>IFERROR(E248-H248,0)</f>
        <v/>
      </c>
      <c r="J248" s="214">
        <f>IFERROR(I248/E248,0)</f>
        <v/>
      </c>
      <c r="K248" s="37" t="n"/>
      <c r="L248" s="187">
        <f>IFERROR(L247+E248,0)</f>
        <v/>
      </c>
      <c r="M248" s="190">
        <f>IFERROR(M247+H248,0)</f>
        <v/>
      </c>
      <c r="N248" s="215">
        <f>IFERROR(L248-M248,0)</f>
        <v/>
      </c>
      <c r="O248" s="216">
        <f>IFERROR(SUMIF(B8:B248,"&gt;="&amp;(B248-WEEKDAY(B248,2)+1),E8:E248),0)</f>
        <v/>
      </c>
      <c r="P248" s="217">
        <f>IFERROR(SUMIF(B8:B248,"&gt;="&amp;(B248-WEEKDAY(B248,2)+1),H8:H248),0)</f>
        <v/>
      </c>
      <c r="Q248" s="215">
        <f>IFERROR(O248-P248,0)</f>
        <v/>
      </c>
    </row>
    <row r="249" ht="16.5" customHeight="1">
      <c r="B249" s="208" t="n"/>
      <c r="C249" s="41">
        <f>IF(B249="","",TEXT(B249,"DDD"))</f>
        <v/>
      </c>
      <c r="D249" s="42">
        <f>IF(B249="","","Soft App")</f>
        <v/>
      </c>
      <c r="E249" s="218" t="n"/>
      <c r="F249" s="219" t="n"/>
      <c r="G249" s="220">
        <f>IFERROR(E249/F249,0)</f>
        <v/>
      </c>
      <c r="H249" s="221">
        <f>IFERROR(SUMIF('💸 Expenses'!B9:B508,B249,'💸 Expenses'!F9:F508),0)</f>
        <v/>
      </c>
      <c r="I249" s="222">
        <f>IFERROR(E249-H249,0)</f>
        <v/>
      </c>
      <c r="J249" s="223">
        <f>IFERROR(I249/E249,0)</f>
        <v/>
      </c>
      <c r="K249" s="49" t="n"/>
      <c r="L249" s="193">
        <f>IFERROR(L248+E249,0)</f>
        <v/>
      </c>
      <c r="M249" s="196">
        <f>IFERROR(M248+H249,0)</f>
        <v/>
      </c>
      <c r="N249" s="224">
        <f>IFERROR(L249-M249,0)</f>
        <v/>
      </c>
      <c r="O249" s="225">
        <f>IFERROR(SUMIF(B8:B249,"&gt;="&amp;(B249-WEEKDAY(B249,2)+1),E8:E249),0)</f>
        <v/>
      </c>
      <c r="P249" s="226">
        <f>IFERROR(SUMIF(B8:B249,"&gt;="&amp;(B249-WEEKDAY(B249,2)+1),H8:H249),0)</f>
        <v/>
      </c>
      <c r="Q249" s="224">
        <f>IFERROR(O249-P249,0)</f>
        <v/>
      </c>
    </row>
    <row r="250" ht="16.5" customHeight="1">
      <c r="B250" s="208" t="n"/>
      <c r="C250" s="29">
        <f>IF(B250="","",TEXT(B250,"DDD"))</f>
        <v/>
      </c>
      <c r="D250" s="30">
        <f>IF(B250="","","Soft App")</f>
        <v/>
      </c>
      <c r="E250" s="209" t="n"/>
      <c r="F250" s="210" t="n"/>
      <c r="G250" s="211">
        <f>IFERROR(E250/F250,0)</f>
        <v/>
      </c>
      <c r="H250" s="212">
        <f>IFERROR(SUMIF('💸 Expenses'!B9:B508,B250,'💸 Expenses'!F9:F508),0)</f>
        <v/>
      </c>
      <c r="I250" s="213">
        <f>IFERROR(E250-H250,0)</f>
        <v/>
      </c>
      <c r="J250" s="214">
        <f>IFERROR(I250/E250,0)</f>
        <v/>
      </c>
      <c r="K250" s="37" t="n"/>
      <c r="L250" s="187">
        <f>IFERROR(L249+E250,0)</f>
        <v/>
      </c>
      <c r="M250" s="190">
        <f>IFERROR(M249+H250,0)</f>
        <v/>
      </c>
      <c r="N250" s="215">
        <f>IFERROR(L250-M250,0)</f>
        <v/>
      </c>
      <c r="O250" s="216">
        <f>IFERROR(SUMIF(B8:B250,"&gt;="&amp;(B250-WEEKDAY(B250,2)+1),E8:E250),0)</f>
        <v/>
      </c>
      <c r="P250" s="217">
        <f>IFERROR(SUMIF(B8:B250,"&gt;="&amp;(B250-WEEKDAY(B250,2)+1),H8:H250),0)</f>
        <v/>
      </c>
      <c r="Q250" s="215">
        <f>IFERROR(O250-P250,0)</f>
        <v/>
      </c>
    </row>
    <row r="251" ht="16.5" customHeight="1">
      <c r="B251" s="208" t="n"/>
      <c r="C251" s="41">
        <f>IF(B251="","",TEXT(B251,"DDD"))</f>
        <v/>
      </c>
      <c r="D251" s="42">
        <f>IF(B251="","","Soft App")</f>
        <v/>
      </c>
      <c r="E251" s="218" t="n"/>
      <c r="F251" s="219" t="n"/>
      <c r="G251" s="220">
        <f>IFERROR(E251/F251,0)</f>
        <v/>
      </c>
      <c r="H251" s="221">
        <f>IFERROR(SUMIF('💸 Expenses'!B9:B508,B251,'💸 Expenses'!F9:F508),0)</f>
        <v/>
      </c>
      <c r="I251" s="222">
        <f>IFERROR(E251-H251,0)</f>
        <v/>
      </c>
      <c r="J251" s="223">
        <f>IFERROR(I251/E251,0)</f>
        <v/>
      </c>
      <c r="K251" s="49" t="n"/>
      <c r="L251" s="193">
        <f>IFERROR(L250+E251,0)</f>
        <v/>
      </c>
      <c r="M251" s="196">
        <f>IFERROR(M250+H251,0)</f>
        <v/>
      </c>
      <c r="N251" s="224">
        <f>IFERROR(L251-M251,0)</f>
        <v/>
      </c>
      <c r="O251" s="225">
        <f>IFERROR(SUMIF(B8:B251,"&gt;="&amp;(B251-WEEKDAY(B251,2)+1),E8:E251),0)</f>
        <v/>
      </c>
      <c r="P251" s="226">
        <f>IFERROR(SUMIF(B8:B251,"&gt;="&amp;(B251-WEEKDAY(B251,2)+1),H8:H251),0)</f>
        <v/>
      </c>
      <c r="Q251" s="224">
        <f>IFERROR(O251-P251,0)</f>
        <v/>
      </c>
    </row>
    <row r="252" ht="16.5" customHeight="1">
      <c r="B252" s="208" t="n"/>
      <c r="C252" s="29">
        <f>IF(B252="","",TEXT(B252,"DDD"))</f>
        <v/>
      </c>
      <c r="D252" s="30">
        <f>IF(B252="","","Soft App")</f>
        <v/>
      </c>
      <c r="E252" s="209" t="n"/>
      <c r="F252" s="210" t="n"/>
      <c r="G252" s="211">
        <f>IFERROR(E252/F252,0)</f>
        <v/>
      </c>
      <c r="H252" s="212">
        <f>IFERROR(SUMIF('💸 Expenses'!B9:B508,B252,'💸 Expenses'!F9:F508),0)</f>
        <v/>
      </c>
      <c r="I252" s="213">
        <f>IFERROR(E252-H252,0)</f>
        <v/>
      </c>
      <c r="J252" s="214">
        <f>IFERROR(I252/E252,0)</f>
        <v/>
      </c>
      <c r="K252" s="37" t="n"/>
      <c r="L252" s="187">
        <f>IFERROR(L251+E252,0)</f>
        <v/>
      </c>
      <c r="M252" s="190">
        <f>IFERROR(M251+H252,0)</f>
        <v/>
      </c>
      <c r="N252" s="215">
        <f>IFERROR(L252-M252,0)</f>
        <v/>
      </c>
      <c r="O252" s="216">
        <f>IFERROR(SUMIF(B8:B252,"&gt;="&amp;(B252-WEEKDAY(B252,2)+1),E8:E252),0)</f>
        <v/>
      </c>
      <c r="P252" s="217">
        <f>IFERROR(SUMIF(B8:B252,"&gt;="&amp;(B252-WEEKDAY(B252,2)+1),H8:H252),0)</f>
        <v/>
      </c>
      <c r="Q252" s="215">
        <f>IFERROR(O252-P252,0)</f>
        <v/>
      </c>
    </row>
    <row r="253" ht="16.5" customHeight="1">
      <c r="B253" s="208" t="n"/>
      <c r="C253" s="41">
        <f>IF(B253="","",TEXT(B253,"DDD"))</f>
        <v/>
      </c>
      <c r="D253" s="42">
        <f>IF(B253="","","Soft App")</f>
        <v/>
      </c>
      <c r="E253" s="218" t="n"/>
      <c r="F253" s="219" t="n"/>
      <c r="G253" s="220">
        <f>IFERROR(E253/F253,0)</f>
        <v/>
      </c>
      <c r="H253" s="221">
        <f>IFERROR(SUMIF('💸 Expenses'!B9:B508,B253,'💸 Expenses'!F9:F508),0)</f>
        <v/>
      </c>
      <c r="I253" s="222">
        <f>IFERROR(E253-H253,0)</f>
        <v/>
      </c>
      <c r="J253" s="223">
        <f>IFERROR(I253/E253,0)</f>
        <v/>
      </c>
      <c r="K253" s="49" t="n"/>
      <c r="L253" s="193">
        <f>IFERROR(L252+E253,0)</f>
        <v/>
      </c>
      <c r="M253" s="196">
        <f>IFERROR(M252+H253,0)</f>
        <v/>
      </c>
      <c r="N253" s="224">
        <f>IFERROR(L253-M253,0)</f>
        <v/>
      </c>
      <c r="O253" s="225">
        <f>IFERROR(SUMIF(B8:B253,"&gt;="&amp;(B253-WEEKDAY(B253,2)+1),E8:E253),0)</f>
        <v/>
      </c>
      <c r="P253" s="226">
        <f>IFERROR(SUMIF(B8:B253,"&gt;="&amp;(B253-WEEKDAY(B253,2)+1),H8:H253),0)</f>
        <v/>
      </c>
      <c r="Q253" s="224">
        <f>IFERROR(O253-P253,0)</f>
        <v/>
      </c>
    </row>
    <row r="254" ht="16.5" customHeight="1">
      <c r="B254" s="208" t="n"/>
      <c r="C254" s="29">
        <f>IF(B254="","",TEXT(B254,"DDD"))</f>
        <v/>
      </c>
      <c r="D254" s="30">
        <f>IF(B254="","","Soft App")</f>
        <v/>
      </c>
      <c r="E254" s="209" t="n"/>
      <c r="F254" s="210" t="n"/>
      <c r="G254" s="211">
        <f>IFERROR(E254/F254,0)</f>
        <v/>
      </c>
      <c r="H254" s="212">
        <f>IFERROR(SUMIF('💸 Expenses'!B9:B508,B254,'💸 Expenses'!F9:F508),0)</f>
        <v/>
      </c>
      <c r="I254" s="213">
        <f>IFERROR(E254-H254,0)</f>
        <v/>
      </c>
      <c r="J254" s="214">
        <f>IFERROR(I254/E254,0)</f>
        <v/>
      </c>
      <c r="K254" s="37" t="n"/>
      <c r="L254" s="187">
        <f>IFERROR(L253+E254,0)</f>
        <v/>
      </c>
      <c r="M254" s="190">
        <f>IFERROR(M253+H254,0)</f>
        <v/>
      </c>
      <c r="N254" s="215">
        <f>IFERROR(L254-M254,0)</f>
        <v/>
      </c>
      <c r="O254" s="216">
        <f>IFERROR(SUMIF(B8:B254,"&gt;="&amp;(B254-WEEKDAY(B254,2)+1),E8:E254),0)</f>
        <v/>
      </c>
      <c r="P254" s="217">
        <f>IFERROR(SUMIF(B8:B254,"&gt;="&amp;(B254-WEEKDAY(B254,2)+1),H8:H254),0)</f>
        <v/>
      </c>
      <c r="Q254" s="215">
        <f>IFERROR(O254-P254,0)</f>
        <v/>
      </c>
    </row>
    <row r="255" ht="16.5" customHeight="1">
      <c r="B255" s="208" t="n"/>
      <c r="C255" s="41">
        <f>IF(B255="","",TEXT(B255,"DDD"))</f>
        <v/>
      </c>
      <c r="D255" s="42">
        <f>IF(B255="","","Soft App")</f>
        <v/>
      </c>
      <c r="E255" s="218" t="n"/>
      <c r="F255" s="219" t="n"/>
      <c r="G255" s="220">
        <f>IFERROR(E255/F255,0)</f>
        <v/>
      </c>
      <c r="H255" s="221">
        <f>IFERROR(SUMIF('💸 Expenses'!B9:B508,B255,'💸 Expenses'!F9:F508),0)</f>
        <v/>
      </c>
      <c r="I255" s="222">
        <f>IFERROR(E255-H255,0)</f>
        <v/>
      </c>
      <c r="J255" s="223">
        <f>IFERROR(I255/E255,0)</f>
        <v/>
      </c>
      <c r="K255" s="49" t="n"/>
      <c r="L255" s="193">
        <f>IFERROR(L254+E255,0)</f>
        <v/>
      </c>
      <c r="M255" s="196">
        <f>IFERROR(M254+H255,0)</f>
        <v/>
      </c>
      <c r="N255" s="224">
        <f>IFERROR(L255-M255,0)</f>
        <v/>
      </c>
      <c r="O255" s="225">
        <f>IFERROR(SUMIF(B8:B255,"&gt;="&amp;(B255-WEEKDAY(B255,2)+1),E8:E255),0)</f>
        <v/>
      </c>
      <c r="P255" s="226">
        <f>IFERROR(SUMIF(B8:B255,"&gt;="&amp;(B255-WEEKDAY(B255,2)+1),H8:H255),0)</f>
        <v/>
      </c>
      <c r="Q255" s="224">
        <f>IFERROR(O255-P255,0)</f>
        <v/>
      </c>
    </row>
    <row r="256" ht="16.5" customHeight="1">
      <c r="B256" s="208" t="n"/>
      <c r="C256" s="29">
        <f>IF(B256="","",TEXT(B256,"DDD"))</f>
        <v/>
      </c>
      <c r="D256" s="30">
        <f>IF(B256="","","Soft App")</f>
        <v/>
      </c>
      <c r="E256" s="209" t="n"/>
      <c r="F256" s="210" t="n"/>
      <c r="G256" s="211">
        <f>IFERROR(E256/F256,0)</f>
        <v/>
      </c>
      <c r="H256" s="212">
        <f>IFERROR(SUMIF('💸 Expenses'!B9:B508,B256,'💸 Expenses'!F9:F508),0)</f>
        <v/>
      </c>
      <c r="I256" s="213">
        <f>IFERROR(E256-H256,0)</f>
        <v/>
      </c>
      <c r="J256" s="214">
        <f>IFERROR(I256/E256,0)</f>
        <v/>
      </c>
      <c r="K256" s="37" t="n"/>
      <c r="L256" s="187">
        <f>IFERROR(L255+E256,0)</f>
        <v/>
      </c>
      <c r="M256" s="190">
        <f>IFERROR(M255+H256,0)</f>
        <v/>
      </c>
      <c r="N256" s="215">
        <f>IFERROR(L256-M256,0)</f>
        <v/>
      </c>
      <c r="O256" s="216">
        <f>IFERROR(SUMIF(B8:B256,"&gt;="&amp;(B256-WEEKDAY(B256,2)+1),E8:E256),0)</f>
        <v/>
      </c>
      <c r="P256" s="217">
        <f>IFERROR(SUMIF(B8:B256,"&gt;="&amp;(B256-WEEKDAY(B256,2)+1),H8:H256),0)</f>
        <v/>
      </c>
      <c r="Q256" s="215">
        <f>IFERROR(O256-P256,0)</f>
        <v/>
      </c>
    </row>
    <row r="257" ht="16.5" customHeight="1">
      <c r="B257" s="208" t="n"/>
      <c r="C257" s="41">
        <f>IF(B257="","",TEXT(B257,"DDD"))</f>
        <v/>
      </c>
      <c r="D257" s="42">
        <f>IF(B257="","","Soft App")</f>
        <v/>
      </c>
      <c r="E257" s="218" t="n"/>
      <c r="F257" s="219" t="n"/>
      <c r="G257" s="220">
        <f>IFERROR(E257/F257,0)</f>
        <v/>
      </c>
      <c r="H257" s="221">
        <f>IFERROR(SUMIF('💸 Expenses'!B9:B508,B257,'💸 Expenses'!F9:F508),0)</f>
        <v/>
      </c>
      <c r="I257" s="222">
        <f>IFERROR(E257-H257,0)</f>
        <v/>
      </c>
      <c r="J257" s="223">
        <f>IFERROR(I257/E257,0)</f>
        <v/>
      </c>
      <c r="K257" s="49" t="n"/>
      <c r="L257" s="193">
        <f>IFERROR(L256+E257,0)</f>
        <v/>
      </c>
      <c r="M257" s="196">
        <f>IFERROR(M256+H257,0)</f>
        <v/>
      </c>
      <c r="N257" s="224">
        <f>IFERROR(L257-M257,0)</f>
        <v/>
      </c>
      <c r="O257" s="225">
        <f>IFERROR(SUMIF(B8:B257,"&gt;="&amp;(B257-WEEKDAY(B257,2)+1),E8:E257),0)</f>
        <v/>
      </c>
      <c r="P257" s="226">
        <f>IFERROR(SUMIF(B8:B257,"&gt;="&amp;(B257-WEEKDAY(B257,2)+1),H8:H257),0)</f>
        <v/>
      </c>
      <c r="Q257" s="224">
        <f>IFERROR(O257-P257,0)</f>
        <v/>
      </c>
    </row>
    <row r="258" ht="16.5" customHeight="1">
      <c r="B258" s="208" t="n"/>
      <c r="C258" s="29">
        <f>IF(B258="","",TEXT(B258,"DDD"))</f>
        <v/>
      </c>
      <c r="D258" s="30">
        <f>IF(B258="","","Soft App")</f>
        <v/>
      </c>
      <c r="E258" s="209" t="n"/>
      <c r="F258" s="210" t="n"/>
      <c r="G258" s="211">
        <f>IFERROR(E258/F258,0)</f>
        <v/>
      </c>
      <c r="H258" s="212">
        <f>IFERROR(SUMIF('💸 Expenses'!B9:B508,B258,'💸 Expenses'!F9:F508),0)</f>
        <v/>
      </c>
      <c r="I258" s="213">
        <f>IFERROR(E258-H258,0)</f>
        <v/>
      </c>
      <c r="J258" s="214">
        <f>IFERROR(I258/E258,0)</f>
        <v/>
      </c>
      <c r="K258" s="37" t="n"/>
      <c r="L258" s="187">
        <f>IFERROR(L257+E258,0)</f>
        <v/>
      </c>
      <c r="M258" s="190">
        <f>IFERROR(M257+H258,0)</f>
        <v/>
      </c>
      <c r="N258" s="215">
        <f>IFERROR(L258-M258,0)</f>
        <v/>
      </c>
      <c r="O258" s="216">
        <f>IFERROR(SUMIF(B8:B258,"&gt;="&amp;(B258-WEEKDAY(B258,2)+1),E8:E258),0)</f>
        <v/>
      </c>
      <c r="P258" s="217">
        <f>IFERROR(SUMIF(B8:B258,"&gt;="&amp;(B258-WEEKDAY(B258,2)+1),H8:H258),0)</f>
        <v/>
      </c>
      <c r="Q258" s="215">
        <f>IFERROR(O258-P258,0)</f>
        <v/>
      </c>
    </row>
    <row r="259" ht="16.5" customHeight="1">
      <c r="B259" s="208" t="n"/>
      <c r="C259" s="41">
        <f>IF(B259="","",TEXT(B259,"DDD"))</f>
        <v/>
      </c>
      <c r="D259" s="42">
        <f>IF(B259="","","Soft App")</f>
        <v/>
      </c>
      <c r="E259" s="218" t="n"/>
      <c r="F259" s="219" t="n"/>
      <c r="G259" s="220">
        <f>IFERROR(E259/F259,0)</f>
        <v/>
      </c>
      <c r="H259" s="221">
        <f>IFERROR(SUMIF('💸 Expenses'!B9:B508,B259,'💸 Expenses'!F9:F508),0)</f>
        <v/>
      </c>
      <c r="I259" s="222">
        <f>IFERROR(E259-H259,0)</f>
        <v/>
      </c>
      <c r="J259" s="223">
        <f>IFERROR(I259/E259,0)</f>
        <v/>
      </c>
      <c r="K259" s="49" t="n"/>
      <c r="L259" s="193">
        <f>IFERROR(L258+E259,0)</f>
        <v/>
      </c>
      <c r="M259" s="196">
        <f>IFERROR(M258+H259,0)</f>
        <v/>
      </c>
      <c r="N259" s="224">
        <f>IFERROR(L259-M259,0)</f>
        <v/>
      </c>
      <c r="O259" s="225">
        <f>IFERROR(SUMIF(B8:B259,"&gt;="&amp;(B259-WEEKDAY(B259,2)+1),E8:E259),0)</f>
        <v/>
      </c>
      <c r="P259" s="226">
        <f>IFERROR(SUMIF(B8:B259,"&gt;="&amp;(B259-WEEKDAY(B259,2)+1),H8:H259),0)</f>
        <v/>
      </c>
      <c r="Q259" s="224">
        <f>IFERROR(O259-P259,0)</f>
        <v/>
      </c>
    </row>
    <row r="260" ht="16.5" customHeight="1">
      <c r="B260" s="208" t="n"/>
      <c r="C260" s="29">
        <f>IF(B260="","",TEXT(B260,"DDD"))</f>
        <v/>
      </c>
      <c r="D260" s="30">
        <f>IF(B260="","","Soft App")</f>
        <v/>
      </c>
      <c r="E260" s="209" t="n"/>
      <c r="F260" s="210" t="n"/>
      <c r="G260" s="211">
        <f>IFERROR(E260/F260,0)</f>
        <v/>
      </c>
      <c r="H260" s="212">
        <f>IFERROR(SUMIF('💸 Expenses'!B9:B508,B260,'💸 Expenses'!F9:F508),0)</f>
        <v/>
      </c>
      <c r="I260" s="213">
        <f>IFERROR(E260-H260,0)</f>
        <v/>
      </c>
      <c r="J260" s="214">
        <f>IFERROR(I260/E260,0)</f>
        <v/>
      </c>
      <c r="K260" s="37" t="n"/>
      <c r="L260" s="187">
        <f>IFERROR(L259+E260,0)</f>
        <v/>
      </c>
      <c r="M260" s="190">
        <f>IFERROR(M259+H260,0)</f>
        <v/>
      </c>
      <c r="N260" s="215">
        <f>IFERROR(L260-M260,0)</f>
        <v/>
      </c>
      <c r="O260" s="216">
        <f>IFERROR(SUMIF(B8:B260,"&gt;="&amp;(B260-WEEKDAY(B260,2)+1),E8:E260),0)</f>
        <v/>
      </c>
      <c r="P260" s="217">
        <f>IFERROR(SUMIF(B8:B260,"&gt;="&amp;(B260-WEEKDAY(B260,2)+1),H8:H260),0)</f>
        <v/>
      </c>
      <c r="Q260" s="215">
        <f>IFERROR(O260-P260,0)</f>
        <v/>
      </c>
    </row>
    <row r="261" ht="16.5" customHeight="1">
      <c r="B261" s="208" t="n"/>
      <c r="C261" s="41">
        <f>IF(B261="","",TEXT(B261,"DDD"))</f>
        <v/>
      </c>
      <c r="D261" s="42">
        <f>IF(B261="","","Soft App")</f>
        <v/>
      </c>
      <c r="E261" s="218" t="n"/>
      <c r="F261" s="219" t="n"/>
      <c r="G261" s="220">
        <f>IFERROR(E261/F261,0)</f>
        <v/>
      </c>
      <c r="H261" s="221">
        <f>IFERROR(SUMIF('💸 Expenses'!B9:B508,B261,'💸 Expenses'!F9:F508),0)</f>
        <v/>
      </c>
      <c r="I261" s="222">
        <f>IFERROR(E261-H261,0)</f>
        <v/>
      </c>
      <c r="J261" s="223">
        <f>IFERROR(I261/E261,0)</f>
        <v/>
      </c>
      <c r="K261" s="49" t="n"/>
      <c r="L261" s="193">
        <f>IFERROR(L260+E261,0)</f>
        <v/>
      </c>
      <c r="M261" s="196">
        <f>IFERROR(M260+H261,0)</f>
        <v/>
      </c>
      <c r="N261" s="224">
        <f>IFERROR(L261-M261,0)</f>
        <v/>
      </c>
      <c r="O261" s="225">
        <f>IFERROR(SUMIF(B8:B261,"&gt;="&amp;(B261-WEEKDAY(B261,2)+1),E8:E261),0)</f>
        <v/>
      </c>
      <c r="P261" s="226">
        <f>IFERROR(SUMIF(B8:B261,"&gt;="&amp;(B261-WEEKDAY(B261,2)+1),H8:H261),0)</f>
        <v/>
      </c>
      <c r="Q261" s="224">
        <f>IFERROR(O261-P261,0)</f>
        <v/>
      </c>
    </row>
    <row r="262" ht="16.5" customHeight="1">
      <c r="B262" s="208" t="n"/>
      <c r="C262" s="29">
        <f>IF(B262="","",TEXT(B262,"DDD"))</f>
        <v/>
      </c>
      <c r="D262" s="30">
        <f>IF(B262="","","Soft App")</f>
        <v/>
      </c>
      <c r="E262" s="209" t="n"/>
      <c r="F262" s="210" t="n"/>
      <c r="G262" s="211">
        <f>IFERROR(E262/F262,0)</f>
        <v/>
      </c>
      <c r="H262" s="212">
        <f>IFERROR(SUMIF('💸 Expenses'!B9:B508,B262,'💸 Expenses'!F9:F508),0)</f>
        <v/>
      </c>
      <c r="I262" s="213">
        <f>IFERROR(E262-H262,0)</f>
        <v/>
      </c>
      <c r="J262" s="214">
        <f>IFERROR(I262/E262,0)</f>
        <v/>
      </c>
      <c r="K262" s="37" t="n"/>
      <c r="L262" s="187">
        <f>IFERROR(L261+E262,0)</f>
        <v/>
      </c>
      <c r="M262" s="190">
        <f>IFERROR(M261+H262,0)</f>
        <v/>
      </c>
      <c r="N262" s="215">
        <f>IFERROR(L262-M262,0)</f>
        <v/>
      </c>
      <c r="O262" s="216">
        <f>IFERROR(SUMIF(B8:B262,"&gt;="&amp;(B262-WEEKDAY(B262,2)+1),E8:E262),0)</f>
        <v/>
      </c>
      <c r="P262" s="217">
        <f>IFERROR(SUMIF(B8:B262,"&gt;="&amp;(B262-WEEKDAY(B262,2)+1),H8:H262),0)</f>
        <v/>
      </c>
      <c r="Q262" s="215">
        <f>IFERROR(O262-P262,0)</f>
        <v/>
      </c>
    </row>
    <row r="263" ht="16.5" customHeight="1">
      <c r="B263" s="208" t="n"/>
      <c r="C263" s="41">
        <f>IF(B263="","",TEXT(B263,"DDD"))</f>
        <v/>
      </c>
      <c r="D263" s="42">
        <f>IF(B263="","","Soft App")</f>
        <v/>
      </c>
      <c r="E263" s="218" t="n"/>
      <c r="F263" s="219" t="n"/>
      <c r="G263" s="220">
        <f>IFERROR(E263/F263,0)</f>
        <v/>
      </c>
      <c r="H263" s="221">
        <f>IFERROR(SUMIF('💸 Expenses'!B9:B508,B263,'💸 Expenses'!F9:F508),0)</f>
        <v/>
      </c>
      <c r="I263" s="222">
        <f>IFERROR(E263-H263,0)</f>
        <v/>
      </c>
      <c r="J263" s="223">
        <f>IFERROR(I263/E263,0)</f>
        <v/>
      </c>
      <c r="K263" s="49" t="n"/>
      <c r="L263" s="193">
        <f>IFERROR(L262+E263,0)</f>
        <v/>
      </c>
      <c r="M263" s="196">
        <f>IFERROR(M262+H263,0)</f>
        <v/>
      </c>
      <c r="N263" s="224">
        <f>IFERROR(L263-M263,0)</f>
        <v/>
      </c>
      <c r="O263" s="225">
        <f>IFERROR(SUMIF(B8:B263,"&gt;="&amp;(B263-WEEKDAY(B263,2)+1),E8:E263),0)</f>
        <v/>
      </c>
      <c r="P263" s="226">
        <f>IFERROR(SUMIF(B8:B263,"&gt;="&amp;(B263-WEEKDAY(B263,2)+1),H8:H263),0)</f>
        <v/>
      </c>
      <c r="Q263" s="224">
        <f>IFERROR(O263-P263,0)</f>
        <v/>
      </c>
    </row>
    <row r="264" ht="16.5" customHeight="1">
      <c r="B264" s="208" t="n"/>
      <c r="C264" s="29">
        <f>IF(B264="","",TEXT(B264,"DDD"))</f>
        <v/>
      </c>
      <c r="D264" s="30">
        <f>IF(B264="","","Soft App")</f>
        <v/>
      </c>
      <c r="E264" s="209" t="n"/>
      <c r="F264" s="210" t="n"/>
      <c r="G264" s="211">
        <f>IFERROR(E264/F264,0)</f>
        <v/>
      </c>
      <c r="H264" s="212">
        <f>IFERROR(SUMIF('💸 Expenses'!B9:B508,B264,'💸 Expenses'!F9:F508),0)</f>
        <v/>
      </c>
      <c r="I264" s="213">
        <f>IFERROR(E264-H264,0)</f>
        <v/>
      </c>
      <c r="J264" s="214">
        <f>IFERROR(I264/E264,0)</f>
        <v/>
      </c>
      <c r="K264" s="37" t="n"/>
      <c r="L264" s="187">
        <f>IFERROR(L263+E264,0)</f>
        <v/>
      </c>
      <c r="M264" s="190">
        <f>IFERROR(M263+H264,0)</f>
        <v/>
      </c>
      <c r="N264" s="215">
        <f>IFERROR(L264-M264,0)</f>
        <v/>
      </c>
      <c r="O264" s="216">
        <f>IFERROR(SUMIF(B8:B264,"&gt;="&amp;(B264-WEEKDAY(B264,2)+1),E8:E264),0)</f>
        <v/>
      </c>
      <c r="P264" s="217">
        <f>IFERROR(SUMIF(B8:B264,"&gt;="&amp;(B264-WEEKDAY(B264,2)+1),H8:H264),0)</f>
        <v/>
      </c>
      <c r="Q264" s="215">
        <f>IFERROR(O264-P264,0)</f>
        <v/>
      </c>
    </row>
    <row r="265" ht="16.5" customHeight="1">
      <c r="B265" s="208" t="n"/>
      <c r="C265" s="41">
        <f>IF(B265="","",TEXT(B265,"DDD"))</f>
        <v/>
      </c>
      <c r="D265" s="42">
        <f>IF(B265="","","Soft App")</f>
        <v/>
      </c>
      <c r="E265" s="218" t="n"/>
      <c r="F265" s="219" t="n"/>
      <c r="G265" s="220">
        <f>IFERROR(E265/F265,0)</f>
        <v/>
      </c>
      <c r="H265" s="221">
        <f>IFERROR(SUMIF('💸 Expenses'!B9:B508,B265,'💸 Expenses'!F9:F508),0)</f>
        <v/>
      </c>
      <c r="I265" s="222">
        <f>IFERROR(E265-H265,0)</f>
        <v/>
      </c>
      <c r="J265" s="223">
        <f>IFERROR(I265/E265,0)</f>
        <v/>
      </c>
      <c r="K265" s="49" t="n"/>
      <c r="L265" s="193">
        <f>IFERROR(L264+E265,0)</f>
        <v/>
      </c>
      <c r="M265" s="196">
        <f>IFERROR(M264+H265,0)</f>
        <v/>
      </c>
      <c r="N265" s="224">
        <f>IFERROR(L265-M265,0)</f>
        <v/>
      </c>
      <c r="O265" s="225">
        <f>IFERROR(SUMIF(B8:B265,"&gt;="&amp;(B265-WEEKDAY(B265,2)+1),E8:E265),0)</f>
        <v/>
      </c>
      <c r="P265" s="226">
        <f>IFERROR(SUMIF(B8:B265,"&gt;="&amp;(B265-WEEKDAY(B265,2)+1),H8:H265),0)</f>
        <v/>
      </c>
      <c r="Q265" s="224">
        <f>IFERROR(O265-P265,0)</f>
        <v/>
      </c>
    </row>
    <row r="266" ht="16.5" customHeight="1">
      <c r="B266" s="208" t="n"/>
      <c r="C266" s="29">
        <f>IF(B266="","",TEXT(B266,"DDD"))</f>
        <v/>
      </c>
      <c r="D266" s="30">
        <f>IF(B266="","","Soft App")</f>
        <v/>
      </c>
      <c r="E266" s="209" t="n"/>
      <c r="F266" s="210" t="n"/>
      <c r="G266" s="211">
        <f>IFERROR(E266/F266,0)</f>
        <v/>
      </c>
      <c r="H266" s="212">
        <f>IFERROR(SUMIF('💸 Expenses'!B9:B508,B266,'💸 Expenses'!F9:F508),0)</f>
        <v/>
      </c>
      <c r="I266" s="213">
        <f>IFERROR(E266-H266,0)</f>
        <v/>
      </c>
      <c r="J266" s="214">
        <f>IFERROR(I266/E266,0)</f>
        <v/>
      </c>
      <c r="K266" s="37" t="n"/>
      <c r="L266" s="187">
        <f>IFERROR(L265+E266,0)</f>
        <v/>
      </c>
      <c r="M266" s="190">
        <f>IFERROR(M265+H266,0)</f>
        <v/>
      </c>
      <c r="N266" s="215">
        <f>IFERROR(L266-M266,0)</f>
        <v/>
      </c>
      <c r="O266" s="216">
        <f>IFERROR(SUMIF(B8:B266,"&gt;="&amp;(B266-WEEKDAY(B266,2)+1),E8:E266),0)</f>
        <v/>
      </c>
      <c r="P266" s="217">
        <f>IFERROR(SUMIF(B8:B266,"&gt;="&amp;(B266-WEEKDAY(B266,2)+1),H8:H266),0)</f>
        <v/>
      </c>
      <c r="Q266" s="215">
        <f>IFERROR(O266-P266,0)</f>
        <v/>
      </c>
    </row>
    <row r="267" ht="16.5" customHeight="1">
      <c r="B267" s="208" t="n"/>
      <c r="C267" s="41">
        <f>IF(B267="","",TEXT(B267,"DDD"))</f>
        <v/>
      </c>
      <c r="D267" s="42">
        <f>IF(B267="","","Soft App")</f>
        <v/>
      </c>
      <c r="E267" s="218" t="n"/>
      <c r="F267" s="219" t="n"/>
      <c r="G267" s="220">
        <f>IFERROR(E267/F267,0)</f>
        <v/>
      </c>
      <c r="H267" s="221">
        <f>IFERROR(SUMIF('💸 Expenses'!B9:B508,B267,'💸 Expenses'!F9:F508),0)</f>
        <v/>
      </c>
      <c r="I267" s="222">
        <f>IFERROR(E267-H267,0)</f>
        <v/>
      </c>
      <c r="J267" s="223">
        <f>IFERROR(I267/E267,0)</f>
        <v/>
      </c>
      <c r="K267" s="49" t="n"/>
      <c r="L267" s="193">
        <f>IFERROR(L266+E267,0)</f>
        <v/>
      </c>
      <c r="M267" s="196">
        <f>IFERROR(M266+H267,0)</f>
        <v/>
      </c>
      <c r="N267" s="224">
        <f>IFERROR(L267-M267,0)</f>
        <v/>
      </c>
      <c r="O267" s="225">
        <f>IFERROR(SUMIF(B8:B267,"&gt;="&amp;(B267-WEEKDAY(B267,2)+1),E8:E267),0)</f>
        <v/>
      </c>
      <c r="P267" s="226">
        <f>IFERROR(SUMIF(B8:B267,"&gt;="&amp;(B267-WEEKDAY(B267,2)+1),H8:H267),0)</f>
        <v/>
      </c>
      <c r="Q267" s="224">
        <f>IFERROR(O267-P267,0)</f>
        <v/>
      </c>
    </row>
    <row r="268" ht="16.5" customHeight="1">
      <c r="B268" s="208" t="n"/>
      <c r="C268" s="29">
        <f>IF(B268="","",TEXT(B268,"DDD"))</f>
        <v/>
      </c>
      <c r="D268" s="30">
        <f>IF(B268="","","Soft App")</f>
        <v/>
      </c>
      <c r="E268" s="209" t="n"/>
      <c r="F268" s="210" t="n"/>
      <c r="G268" s="211">
        <f>IFERROR(E268/F268,0)</f>
        <v/>
      </c>
      <c r="H268" s="212">
        <f>IFERROR(SUMIF('💸 Expenses'!B9:B508,B268,'💸 Expenses'!F9:F508),0)</f>
        <v/>
      </c>
      <c r="I268" s="213">
        <f>IFERROR(E268-H268,0)</f>
        <v/>
      </c>
      <c r="J268" s="214">
        <f>IFERROR(I268/E268,0)</f>
        <v/>
      </c>
      <c r="K268" s="37" t="n"/>
      <c r="L268" s="187">
        <f>IFERROR(L267+E268,0)</f>
        <v/>
      </c>
      <c r="M268" s="190">
        <f>IFERROR(M267+H268,0)</f>
        <v/>
      </c>
      <c r="N268" s="215">
        <f>IFERROR(L268-M268,0)</f>
        <v/>
      </c>
      <c r="O268" s="216">
        <f>IFERROR(SUMIF(B8:B268,"&gt;="&amp;(B268-WEEKDAY(B268,2)+1),E8:E268),0)</f>
        <v/>
      </c>
      <c r="P268" s="217">
        <f>IFERROR(SUMIF(B8:B268,"&gt;="&amp;(B268-WEEKDAY(B268,2)+1),H8:H268),0)</f>
        <v/>
      </c>
      <c r="Q268" s="215">
        <f>IFERROR(O268-P268,0)</f>
        <v/>
      </c>
    </row>
    <row r="269" ht="16.5" customHeight="1">
      <c r="B269" s="208" t="n"/>
      <c r="C269" s="41">
        <f>IF(B269="","",TEXT(B269,"DDD"))</f>
        <v/>
      </c>
      <c r="D269" s="42">
        <f>IF(B269="","","Soft App")</f>
        <v/>
      </c>
      <c r="E269" s="218" t="n"/>
      <c r="F269" s="219" t="n"/>
      <c r="G269" s="220">
        <f>IFERROR(E269/F269,0)</f>
        <v/>
      </c>
      <c r="H269" s="221">
        <f>IFERROR(SUMIF('💸 Expenses'!B9:B508,B269,'💸 Expenses'!F9:F508),0)</f>
        <v/>
      </c>
      <c r="I269" s="222">
        <f>IFERROR(E269-H269,0)</f>
        <v/>
      </c>
      <c r="J269" s="223">
        <f>IFERROR(I269/E269,0)</f>
        <v/>
      </c>
      <c r="K269" s="49" t="n"/>
      <c r="L269" s="193">
        <f>IFERROR(L268+E269,0)</f>
        <v/>
      </c>
      <c r="M269" s="196">
        <f>IFERROR(M268+H269,0)</f>
        <v/>
      </c>
      <c r="N269" s="224">
        <f>IFERROR(L269-M269,0)</f>
        <v/>
      </c>
      <c r="O269" s="225">
        <f>IFERROR(SUMIF(B8:B269,"&gt;="&amp;(B269-WEEKDAY(B269,2)+1),E8:E269),0)</f>
        <v/>
      </c>
      <c r="P269" s="226">
        <f>IFERROR(SUMIF(B8:B269,"&gt;="&amp;(B269-WEEKDAY(B269,2)+1),H8:H269),0)</f>
        <v/>
      </c>
      <c r="Q269" s="224">
        <f>IFERROR(O269-P269,0)</f>
        <v/>
      </c>
    </row>
    <row r="270" ht="16.5" customHeight="1">
      <c r="B270" s="208" t="n"/>
      <c r="C270" s="29">
        <f>IF(B270="","",TEXT(B270,"DDD"))</f>
        <v/>
      </c>
      <c r="D270" s="30">
        <f>IF(B270="","","Soft App")</f>
        <v/>
      </c>
      <c r="E270" s="209" t="n"/>
      <c r="F270" s="210" t="n"/>
      <c r="G270" s="211">
        <f>IFERROR(E270/F270,0)</f>
        <v/>
      </c>
      <c r="H270" s="212">
        <f>IFERROR(SUMIF('💸 Expenses'!B9:B508,B270,'💸 Expenses'!F9:F508),0)</f>
        <v/>
      </c>
      <c r="I270" s="213">
        <f>IFERROR(E270-H270,0)</f>
        <v/>
      </c>
      <c r="J270" s="214">
        <f>IFERROR(I270/E270,0)</f>
        <v/>
      </c>
      <c r="K270" s="37" t="n"/>
      <c r="L270" s="187">
        <f>IFERROR(L269+E270,0)</f>
        <v/>
      </c>
      <c r="M270" s="190">
        <f>IFERROR(M269+H270,0)</f>
        <v/>
      </c>
      <c r="N270" s="215">
        <f>IFERROR(L270-M270,0)</f>
        <v/>
      </c>
      <c r="O270" s="216">
        <f>IFERROR(SUMIF(B8:B270,"&gt;="&amp;(B270-WEEKDAY(B270,2)+1),E8:E270),0)</f>
        <v/>
      </c>
      <c r="P270" s="217">
        <f>IFERROR(SUMIF(B8:B270,"&gt;="&amp;(B270-WEEKDAY(B270,2)+1),H8:H270),0)</f>
        <v/>
      </c>
      <c r="Q270" s="215">
        <f>IFERROR(O270-P270,0)</f>
        <v/>
      </c>
    </row>
    <row r="271" ht="16.5" customHeight="1">
      <c r="B271" s="208" t="n"/>
      <c r="C271" s="41">
        <f>IF(B271="","",TEXT(B271,"DDD"))</f>
        <v/>
      </c>
      <c r="D271" s="42">
        <f>IF(B271="","","Soft App")</f>
        <v/>
      </c>
      <c r="E271" s="218" t="n"/>
      <c r="F271" s="219" t="n"/>
      <c r="G271" s="220">
        <f>IFERROR(E271/F271,0)</f>
        <v/>
      </c>
      <c r="H271" s="221">
        <f>IFERROR(SUMIF('💸 Expenses'!B9:B508,B271,'💸 Expenses'!F9:F508),0)</f>
        <v/>
      </c>
      <c r="I271" s="222">
        <f>IFERROR(E271-H271,0)</f>
        <v/>
      </c>
      <c r="J271" s="223">
        <f>IFERROR(I271/E271,0)</f>
        <v/>
      </c>
      <c r="K271" s="49" t="n"/>
      <c r="L271" s="193">
        <f>IFERROR(L270+E271,0)</f>
        <v/>
      </c>
      <c r="M271" s="196">
        <f>IFERROR(M270+H271,0)</f>
        <v/>
      </c>
      <c r="N271" s="224">
        <f>IFERROR(L271-M271,0)</f>
        <v/>
      </c>
      <c r="O271" s="225">
        <f>IFERROR(SUMIF(B8:B271,"&gt;="&amp;(B271-WEEKDAY(B271,2)+1),E8:E271),0)</f>
        <v/>
      </c>
      <c r="P271" s="226">
        <f>IFERROR(SUMIF(B8:B271,"&gt;="&amp;(B271-WEEKDAY(B271,2)+1),H8:H271),0)</f>
        <v/>
      </c>
      <c r="Q271" s="224">
        <f>IFERROR(O271-P271,0)</f>
        <v/>
      </c>
    </row>
    <row r="272" ht="16.5" customHeight="1">
      <c r="B272" s="208" t="n"/>
      <c r="C272" s="29">
        <f>IF(B272="","",TEXT(B272,"DDD"))</f>
        <v/>
      </c>
      <c r="D272" s="30">
        <f>IF(B272="","","Soft App")</f>
        <v/>
      </c>
      <c r="E272" s="209" t="n"/>
      <c r="F272" s="210" t="n"/>
      <c r="G272" s="211">
        <f>IFERROR(E272/F272,0)</f>
        <v/>
      </c>
      <c r="H272" s="212">
        <f>IFERROR(SUMIF('💸 Expenses'!B9:B508,B272,'💸 Expenses'!F9:F508),0)</f>
        <v/>
      </c>
      <c r="I272" s="213">
        <f>IFERROR(E272-H272,0)</f>
        <v/>
      </c>
      <c r="J272" s="214">
        <f>IFERROR(I272/E272,0)</f>
        <v/>
      </c>
      <c r="K272" s="37" t="n"/>
      <c r="L272" s="187">
        <f>IFERROR(L271+E272,0)</f>
        <v/>
      </c>
      <c r="M272" s="190">
        <f>IFERROR(M271+H272,0)</f>
        <v/>
      </c>
      <c r="N272" s="215">
        <f>IFERROR(L272-M272,0)</f>
        <v/>
      </c>
      <c r="O272" s="216">
        <f>IFERROR(SUMIF(B8:B272,"&gt;="&amp;(B272-WEEKDAY(B272,2)+1),E8:E272),0)</f>
        <v/>
      </c>
      <c r="P272" s="217">
        <f>IFERROR(SUMIF(B8:B272,"&gt;="&amp;(B272-WEEKDAY(B272,2)+1),H8:H272),0)</f>
        <v/>
      </c>
      <c r="Q272" s="215">
        <f>IFERROR(O272-P272,0)</f>
        <v/>
      </c>
    </row>
    <row r="273" ht="16.5" customHeight="1">
      <c r="B273" s="208" t="n"/>
      <c r="C273" s="41">
        <f>IF(B273="","",TEXT(B273,"DDD"))</f>
        <v/>
      </c>
      <c r="D273" s="42">
        <f>IF(B273="","","Soft App")</f>
        <v/>
      </c>
      <c r="E273" s="218" t="n"/>
      <c r="F273" s="219" t="n"/>
      <c r="G273" s="220">
        <f>IFERROR(E273/F273,0)</f>
        <v/>
      </c>
      <c r="H273" s="221">
        <f>IFERROR(SUMIF('💸 Expenses'!B9:B508,B273,'💸 Expenses'!F9:F508),0)</f>
        <v/>
      </c>
      <c r="I273" s="222">
        <f>IFERROR(E273-H273,0)</f>
        <v/>
      </c>
      <c r="J273" s="223">
        <f>IFERROR(I273/E273,0)</f>
        <v/>
      </c>
      <c r="K273" s="49" t="n"/>
      <c r="L273" s="193">
        <f>IFERROR(L272+E273,0)</f>
        <v/>
      </c>
      <c r="M273" s="196">
        <f>IFERROR(M272+H273,0)</f>
        <v/>
      </c>
      <c r="N273" s="224">
        <f>IFERROR(L273-M273,0)</f>
        <v/>
      </c>
      <c r="O273" s="225">
        <f>IFERROR(SUMIF(B8:B273,"&gt;="&amp;(B273-WEEKDAY(B273,2)+1),E8:E273),0)</f>
        <v/>
      </c>
      <c r="P273" s="226">
        <f>IFERROR(SUMIF(B8:B273,"&gt;="&amp;(B273-WEEKDAY(B273,2)+1),H8:H273),0)</f>
        <v/>
      </c>
      <c r="Q273" s="224">
        <f>IFERROR(O273-P273,0)</f>
        <v/>
      </c>
    </row>
    <row r="274" ht="16.5" customHeight="1">
      <c r="B274" s="208" t="n"/>
      <c r="C274" s="29">
        <f>IF(B274="","",TEXT(B274,"DDD"))</f>
        <v/>
      </c>
      <c r="D274" s="30">
        <f>IF(B274="","","Soft App")</f>
        <v/>
      </c>
      <c r="E274" s="209" t="n"/>
      <c r="F274" s="210" t="n"/>
      <c r="G274" s="211">
        <f>IFERROR(E274/F274,0)</f>
        <v/>
      </c>
      <c r="H274" s="212">
        <f>IFERROR(SUMIF('💸 Expenses'!B9:B508,B274,'💸 Expenses'!F9:F508),0)</f>
        <v/>
      </c>
      <c r="I274" s="213">
        <f>IFERROR(E274-H274,0)</f>
        <v/>
      </c>
      <c r="J274" s="214">
        <f>IFERROR(I274/E274,0)</f>
        <v/>
      </c>
      <c r="K274" s="37" t="n"/>
      <c r="L274" s="187">
        <f>IFERROR(L273+E274,0)</f>
        <v/>
      </c>
      <c r="M274" s="190">
        <f>IFERROR(M273+H274,0)</f>
        <v/>
      </c>
      <c r="N274" s="215">
        <f>IFERROR(L274-M274,0)</f>
        <v/>
      </c>
      <c r="O274" s="216">
        <f>IFERROR(SUMIF(B8:B274,"&gt;="&amp;(B274-WEEKDAY(B274,2)+1),E8:E274),0)</f>
        <v/>
      </c>
      <c r="P274" s="217">
        <f>IFERROR(SUMIF(B8:B274,"&gt;="&amp;(B274-WEEKDAY(B274,2)+1),H8:H274),0)</f>
        <v/>
      </c>
      <c r="Q274" s="215">
        <f>IFERROR(O274-P274,0)</f>
        <v/>
      </c>
    </row>
    <row r="275" ht="16.5" customHeight="1">
      <c r="B275" s="208" t="n"/>
      <c r="C275" s="41">
        <f>IF(B275="","",TEXT(B275,"DDD"))</f>
        <v/>
      </c>
      <c r="D275" s="42">
        <f>IF(B275="","","Soft App")</f>
        <v/>
      </c>
      <c r="E275" s="218" t="n"/>
      <c r="F275" s="219" t="n"/>
      <c r="G275" s="220">
        <f>IFERROR(E275/F275,0)</f>
        <v/>
      </c>
      <c r="H275" s="221">
        <f>IFERROR(SUMIF('💸 Expenses'!B9:B508,B275,'💸 Expenses'!F9:F508),0)</f>
        <v/>
      </c>
      <c r="I275" s="222">
        <f>IFERROR(E275-H275,0)</f>
        <v/>
      </c>
      <c r="J275" s="223">
        <f>IFERROR(I275/E275,0)</f>
        <v/>
      </c>
      <c r="K275" s="49" t="n"/>
      <c r="L275" s="193">
        <f>IFERROR(L274+E275,0)</f>
        <v/>
      </c>
      <c r="M275" s="196">
        <f>IFERROR(M274+H275,0)</f>
        <v/>
      </c>
      <c r="N275" s="224">
        <f>IFERROR(L275-M275,0)</f>
        <v/>
      </c>
      <c r="O275" s="225">
        <f>IFERROR(SUMIF(B8:B275,"&gt;="&amp;(B275-WEEKDAY(B275,2)+1),E8:E275),0)</f>
        <v/>
      </c>
      <c r="P275" s="226">
        <f>IFERROR(SUMIF(B8:B275,"&gt;="&amp;(B275-WEEKDAY(B275,2)+1),H8:H275),0)</f>
        <v/>
      </c>
      <c r="Q275" s="224">
        <f>IFERROR(O275-P275,0)</f>
        <v/>
      </c>
    </row>
    <row r="276" ht="16.5" customHeight="1">
      <c r="B276" s="208" t="n"/>
      <c r="C276" s="29">
        <f>IF(B276="","",TEXT(B276,"DDD"))</f>
        <v/>
      </c>
      <c r="D276" s="30">
        <f>IF(B276="","","Soft App")</f>
        <v/>
      </c>
      <c r="E276" s="209" t="n"/>
      <c r="F276" s="210" t="n"/>
      <c r="G276" s="211">
        <f>IFERROR(E276/F276,0)</f>
        <v/>
      </c>
      <c r="H276" s="212">
        <f>IFERROR(SUMIF('💸 Expenses'!B9:B508,B276,'💸 Expenses'!F9:F508),0)</f>
        <v/>
      </c>
      <c r="I276" s="213">
        <f>IFERROR(E276-H276,0)</f>
        <v/>
      </c>
      <c r="J276" s="214">
        <f>IFERROR(I276/E276,0)</f>
        <v/>
      </c>
      <c r="K276" s="37" t="n"/>
      <c r="L276" s="187">
        <f>IFERROR(L275+E276,0)</f>
        <v/>
      </c>
      <c r="M276" s="190">
        <f>IFERROR(M275+H276,0)</f>
        <v/>
      </c>
      <c r="N276" s="215">
        <f>IFERROR(L276-M276,0)</f>
        <v/>
      </c>
      <c r="O276" s="216">
        <f>IFERROR(SUMIF(B8:B276,"&gt;="&amp;(B276-WEEKDAY(B276,2)+1),E8:E276),0)</f>
        <v/>
      </c>
      <c r="P276" s="217">
        <f>IFERROR(SUMIF(B8:B276,"&gt;="&amp;(B276-WEEKDAY(B276,2)+1),H8:H276),0)</f>
        <v/>
      </c>
      <c r="Q276" s="215">
        <f>IFERROR(O276-P276,0)</f>
        <v/>
      </c>
    </row>
    <row r="277" ht="16.5" customHeight="1">
      <c r="B277" s="208" t="n"/>
      <c r="C277" s="41">
        <f>IF(B277="","",TEXT(B277,"DDD"))</f>
        <v/>
      </c>
      <c r="D277" s="42">
        <f>IF(B277="","","Soft App")</f>
        <v/>
      </c>
      <c r="E277" s="218" t="n"/>
      <c r="F277" s="219" t="n"/>
      <c r="G277" s="220">
        <f>IFERROR(E277/F277,0)</f>
        <v/>
      </c>
      <c r="H277" s="221">
        <f>IFERROR(SUMIF('💸 Expenses'!B9:B508,B277,'💸 Expenses'!F9:F508),0)</f>
        <v/>
      </c>
      <c r="I277" s="222">
        <f>IFERROR(E277-H277,0)</f>
        <v/>
      </c>
      <c r="J277" s="223">
        <f>IFERROR(I277/E277,0)</f>
        <v/>
      </c>
      <c r="K277" s="49" t="n"/>
      <c r="L277" s="193">
        <f>IFERROR(L276+E277,0)</f>
        <v/>
      </c>
      <c r="M277" s="196">
        <f>IFERROR(M276+H277,0)</f>
        <v/>
      </c>
      <c r="N277" s="224">
        <f>IFERROR(L277-M277,0)</f>
        <v/>
      </c>
      <c r="O277" s="225">
        <f>IFERROR(SUMIF(B8:B277,"&gt;="&amp;(B277-WEEKDAY(B277,2)+1),E8:E277),0)</f>
        <v/>
      </c>
      <c r="P277" s="226">
        <f>IFERROR(SUMIF(B8:B277,"&gt;="&amp;(B277-WEEKDAY(B277,2)+1),H8:H277),0)</f>
        <v/>
      </c>
      <c r="Q277" s="224">
        <f>IFERROR(O277-P277,0)</f>
        <v/>
      </c>
    </row>
    <row r="278" ht="16.5" customHeight="1">
      <c r="B278" s="208" t="n"/>
      <c r="C278" s="29">
        <f>IF(B278="","",TEXT(B278,"DDD"))</f>
        <v/>
      </c>
      <c r="D278" s="30">
        <f>IF(B278="","","Soft App")</f>
        <v/>
      </c>
      <c r="E278" s="209" t="n"/>
      <c r="F278" s="210" t="n"/>
      <c r="G278" s="211">
        <f>IFERROR(E278/F278,0)</f>
        <v/>
      </c>
      <c r="H278" s="212">
        <f>IFERROR(SUMIF('💸 Expenses'!B9:B508,B278,'💸 Expenses'!F9:F508),0)</f>
        <v/>
      </c>
      <c r="I278" s="213">
        <f>IFERROR(E278-H278,0)</f>
        <v/>
      </c>
      <c r="J278" s="214">
        <f>IFERROR(I278/E278,0)</f>
        <v/>
      </c>
      <c r="K278" s="37" t="n"/>
      <c r="L278" s="187">
        <f>IFERROR(L277+E278,0)</f>
        <v/>
      </c>
      <c r="M278" s="190">
        <f>IFERROR(M277+H278,0)</f>
        <v/>
      </c>
      <c r="N278" s="215">
        <f>IFERROR(L278-M278,0)</f>
        <v/>
      </c>
      <c r="O278" s="216">
        <f>IFERROR(SUMIF(B8:B278,"&gt;="&amp;(B278-WEEKDAY(B278,2)+1),E8:E278),0)</f>
        <v/>
      </c>
      <c r="P278" s="217">
        <f>IFERROR(SUMIF(B8:B278,"&gt;="&amp;(B278-WEEKDAY(B278,2)+1),H8:H278),0)</f>
        <v/>
      </c>
      <c r="Q278" s="215">
        <f>IFERROR(O278-P278,0)</f>
        <v/>
      </c>
    </row>
    <row r="279" ht="16.5" customHeight="1">
      <c r="B279" s="208" t="n"/>
      <c r="C279" s="41">
        <f>IF(B279="","",TEXT(B279,"DDD"))</f>
        <v/>
      </c>
      <c r="D279" s="42">
        <f>IF(B279="","","Soft App")</f>
        <v/>
      </c>
      <c r="E279" s="218" t="n"/>
      <c r="F279" s="219" t="n"/>
      <c r="G279" s="220">
        <f>IFERROR(E279/F279,0)</f>
        <v/>
      </c>
      <c r="H279" s="221">
        <f>IFERROR(SUMIF('💸 Expenses'!B9:B508,B279,'💸 Expenses'!F9:F508),0)</f>
        <v/>
      </c>
      <c r="I279" s="222">
        <f>IFERROR(E279-H279,0)</f>
        <v/>
      </c>
      <c r="J279" s="223">
        <f>IFERROR(I279/E279,0)</f>
        <v/>
      </c>
      <c r="K279" s="49" t="n"/>
      <c r="L279" s="193">
        <f>IFERROR(L278+E279,0)</f>
        <v/>
      </c>
      <c r="M279" s="196">
        <f>IFERROR(M278+H279,0)</f>
        <v/>
      </c>
      <c r="N279" s="224">
        <f>IFERROR(L279-M279,0)</f>
        <v/>
      </c>
      <c r="O279" s="225">
        <f>IFERROR(SUMIF(B8:B279,"&gt;="&amp;(B279-WEEKDAY(B279,2)+1),E8:E279),0)</f>
        <v/>
      </c>
      <c r="P279" s="226">
        <f>IFERROR(SUMIF(B8:B279,"&gt;="&amp;(B279-WEEKDAY(B279,2)+1),H8:H279),0)</f>
        <v/>
      </c>
      <c r="Q279" s="224">
        <f>IFERROR(O279-P279,0)</f>
        <v/>
      </c>
    </row>
    <row r="280" ht="16.5" customHeight="1">
      <c r="B280" s="208" t="n"/>
      <c r="C280" s="29">
        <f>IF(B280="","",TEXT(B280,"DDD"))</f>
        <v/>
      </c>
      <c r="D280" s="30">
        <f>IF(B280="","","Soft App")</f>
        <v/>
      </c>
      <c r="E280" s="209" t="n"/>
      <c r="F280" s="210" t="n"/>
      <c r="G280" s="211">
        <f>IFERROR(E280/F280,0)</f>
        <v/>
      </c>
      <c r="H280" s="212">
        <f>IFERROR(SUMIF('💸 Expenses'!B9:B508,B280,'💸 Expenses'!F9:F508),0)</f>
        <v/>
      </c>
      <c r="I280" s="213">
        <f>IFERROR(E280-H280,0)</f>
        <v/>
      </c>
      <c r="J280" s="214">
        <f>IFERROR(I280/E280,0)</f>
        <v/>
      </c>
      <c r="K280" s="37" t="n"/>
      <c r="L280" s="187">
        <f>IFERROR(L279+E280,0)</f>
        <v/>
      </c>
      <c r="M280" s="190">
        <f>IFERROR(M279+H280,0)</f>
        <v/>
      </c>
      <c r="N280" s="215">
        <f>IFERROR(L280-M280,0)</f>
        <v/>
      </c>
      <c r="O280" s="216">
        <f>IFERROR(SUMIF(B8:B280,"&gt;="&amp;(B280-WEEKDAY(B280,2)+1),E8:E280),0)</f>
        <v/>
      </c>
      <c r="P280" s="217">
        <f>IFERROR(SUMIF(B8:B280,"&gt;="&amp;(B280-WEEKDAY(B280,2)+1),H8:H280),0)</f>
        <v/>
      </c>
      <c r="Q280" s="215">
        <f>IFERROR(O280-P280,0)</f>
        <v/>
      </c>
    </row>
    <row r="281" ht="16.5" customHeight="1">
      <c r="B281" s="208" t="n"/>
      <c r="C281" s="41">
        <f>IF(B281="","",TEXT(B281,"DDD"))</f>
        <v/>
      </c>
      <c r="D281" s="42">
        <f>IF(B281="","","Soft App")</f>
        <v/>
      </c>
      <c r="E281" s="218" t="n"/>
      <c r="F281" s="219" t="n"/>
      <c r="G281" s="220">
        <f>IFERROR(E281/F281,0)</f>
        <v/>
      </c>
      <c r="H281" s="221">
        <f>IFERROR(SUMIF('💸 Expenses'!B9:B508,B281,'💸 Expenses'!F9:F508),0)</f>
        <v/>
      </c>
      <c r="I281" s="222">
        <f>IFERROR(E281-H281,0)</f>
        <v/>
      </c>
      <c r="J281" s="223">
        <f>IFERROR(I281/E281,0)</f>
        <v/>
      </c>
      <c r="K281" s="49" t="n"/>
      <c r="L281" s="193">
        <f>IFERROR(L280+E281,0)</f>
        <v/>
      </c>
      <c r="M281" s="196">
        <f>IFERROR(M280+H281,0)</f>
        <v/>
      </c>
      <c r="N281" s="224">
        <f>IFERROR(L281-M281,0)</f>
        <v/>
      </c>
      <c r="O281" s="225">
        <f>IFERROR(SUMIF(B8:B281,"&gt;="&amp;(B281-WEEKDAY(B281,2)+1),E8:E281),0)</f>
        <v/>
      </c>
      <c r="P281" s="226">
        <f>IFERROR(SUMIF(B8:B281,"&gt;="&amp;(B281-WEEKDAY(B281,2)+1),H8:H281),0)</f>
        <v/>
      </c>
      <c r="Q281" s="224">
        <f>IFERROR(O281-P281,0)</f>
        <v/>
      </c>
    </row>
    <row r="282" ht="16.5" customHeight="1">
      <c r="B282" s="208" t="n"/>
      <c r="C282" s="29">
        <f>IF(B282="","",TEXT(B282,"DDD"))</f>
        <v/>
      </c>
      <c r="D282" s="30">
        <f>IF(B282="","","Soft App")</f>
        <v/>
      </c>
      <c r="E282" s="209" t="n"/>
      <c r="F282" s="210" t="n"/>
      <c r="G282" s="211">
        <f>IFERROR(E282/F282,0)</f>
        <v/>
      </c>
      <c r="H282" s="212">
        <f>IFERROR(SUMIF('💸 Expenses'!B9:B508,B282,'💸 Expenses'!F9:F508),0)</f>
        <v/>
      </c>
      <c r="I282" s="213">
        <f>IFERROR(E282-H282,0)</f>
        <v/>
      </c>
      <c r="J282" s="214">
        <f>IFERROR(I282/E282,0)</f>
        <v/>
      </c>
      <c r="K282" s="37" t="n"/>
      <c r="L282" s="187">
        <f>IFERROR(L281+E282,0)</f>
        <v/>
      </c>
      <c r="M282" s="190">
        <f>IFERROR(M281+H282,0)</f>
        <v/>
      </c>
      <c r="N282" s="215">
        <f>IFERROR(L282-M282,0)</f>
        <v/>
      </c>
      <c r="O282" s="216">
        <f>IFERROR(SUMIF(B8:B282,"&gt;="&amp;(B282-WEEKDAY(B282,2)+1),E8:E282),0)</f>
        <v/>
      </c>
      <c r="P282" s="217">
        <f>IFERROR(SUMIF(B8:B282,"&gt;="&amp;(B282-WEEKDAY(B282,2)+1),H8:H282),0)</f>
        <v/>
      </c>
      <c r="Q282" s="215">
        <f>IFERROR(O282-P282,0)</f>
        <v/>
      </c>
    </row>
    <row r="283" ht="16.5" customHeight="1">
      <c r="B283" s="208" t="n"/>
      <c r="C283" s="41">
        <f>IF(B283="","",TEXT(B283,"DDD"))</f>
        <v/>
      </c>
      <c r="D283" s="42">
        <f>IF(B283="","","Soft App")</f>
        <v/>
      </c>
      <c r="E283" s="218" t="n"/>
      <c r="F283" s="219" t="n"/>
      <c r="G283" s="220">
        <f>IFERROR(E283/F283,0)</f>
        <v/>
      </c>
      <c r="H283" s="221">
        <f>IFERROR(SUMIF('💸 Expenses'!B9:B508,B283,'💸 Expenses'!F9:F508),0)</f>
        <v/>
      </c>
      <c r="I283" s="222">
        <f>IFERROR(E283-H283,0)</f>
        <v/>
      </c>
      <c r="J283" s="223">
        <f>IFERROR(I283/E283,0)</f>
        <v/>
      </c>
      <c r="K283" s="49" t="n"/>
      <c r="L283" s="193">
        <f>IFERROR(L282+E283,0)</f>
        <v/>
      </c>
      <c r="M283" s="196">
        <f>IFERROR(M282+H283,0)</f>
        <v/>
      </c>
      <c r="N283" s="224">
        <f>IFERROR(L283-M283,0)</f>
        <v/>
      </c>
      <c r="O283" s="225">
        <f>IFERROR(SUMIF(B8:B283,"&gt;="&amp;(B283-WEEKDAY(B283,2)+1),E8:E283),0)</f>
        <v/>
      </c>
      <c r="P283" s="226">
        <f>IFERROR(SUMIF(B8:B283,"&gt;="&amp;(B283-WEEKDAY(B283,2)+1),H8:H283),0)</f>
        <v/>
      </c>
      <c r="Q283" s="224">
        <f>IFERROR(O283-P283,0)</f>
        <v/>
      </c>
    </row>
    <row r="284" ht="16.5" customHeight="1">
      <c r="B284" s="208" t="n"/>
      <c r="C284" s="29">
        <f>IF(B284="","",TEXT(B284,"DDD"))</f>
        <v/>
      </c>
      <c r="D284" s="30">
        <f>IF(B284="","","Soft App")</f>
        <v/>
      </c>
      <c r="E284" s="209" t="n"/>
      <c r="F284" s="210" t="n"/>
      <c r="G284" s="211">
        <f>IFERROR(E284/F284,0)</f>
        <v/>
      </c>
      <c r="H284" s="212">
        <f>IFERROR(SUMIF('💸 Expenses'!B9:B508,B284,'💸 Expenses'!F9:F508),0)</f>
        <v/>
      </c>
      <c r="I284" s="213">
        <f>IFERROR(E284-H284,0)</f>
        <v/>
      </c>
      <c r="J284" s="214">
        <f>IFERROR(I284/E284,0)</f>
        <v/>
      </c>
      <c r="K284" s="37" t="n"/>
      <c r="L284" s="187">
        <f>IFERROR(L283+E284,0)</f>
        <v/>
      </c>
      <c r="M284" s="190">
        <f>IFERROR(M283+H284,0)</f>
        <v/>
      </c>
      <c r="N284" s="215">
        <f>IFERROR(L284-M284,0)</f>
        <v/>
      </c>
      <c r="O284" s="216">
        <f>IFERROR(SUMIF(B8:B284,"&gt;="&amp;(B284-WEEKDAY(B284,2)+1),E8:E284),0)</f>
        <v/>
      </c>
      <c r="P284" s="217">
        <f>IFERROR(SUMIF(B8:B284,"&gt;="&amp;(B284-WEEKDAY(B284,2)+1),H8:H284),0)</f>
        <v/>
      </c>
      <c r="Q284" s="215">
        <f>IFERROR(O284-P284,0)</f>
        <v/>
      </c>
    </row>
    <row r="285" ht="16.5" customHeight="1">
      <c r="B285" s="208" t="n"/>
      <c r="C285" s="41">
        <f>IF(B285="","",TEXT(B285,"DDD"))</f>
        <v/>
      </c>
      <c r="D285" s="42">
        <f>IF(B285="","","Soft App")</f>
        <v/>
      </c>
      <c r="E285" s="218" t="n"/>
      <c r="F285" s="219" t="n"/>
      <c r="G285" s="220">
        <f>IFERROR(E285/F285,0)</f>
        <v/>
      </c>
      <c r="H285" s="221">
        <f>IFERROR(SUMIF('💸 Expenses'!B9:B508,B285,'💸 Expenses'!F9:F508),0)</f>
        <v/>
      </c>
      <c r="I285" s="222">
        <f>IFERROR(E285-H285,0)</f>
        <v/>
      </c>
      <c r="J285" s="223">
        <f>IFERROR(I285/E285,0)</f>
        <v/>
      </c>
      <c r="K285" s="49" t="n"/>
      <c r="L285" s="193">
        <f>IFERROR(L284+E285,0)</f>
        <v/>
      </c>
      <c r="M285" s="196">
        <f>IFERROR(M284+H285,0)</f>
        <v/>
      </c>
      <c r="N285" s="224">
        <f>IFERROR(L285-M285,0)</f>
        <v/>
      </c>
      <c r="O285" s="225">
        <f>IFERROR(SUMIF(B8:B285,"&gt;="&amp;(B285-WEEKDAY(B285,2)+1),E8:E285),0)</f>
        <v/>
      </c>
      <c r="P285" s="226">
        <f>IFERROR(SUMIF(B8:B285,"&gt;="&amp;(B285-WEEKDAY(B285,2)+1),H8:H285),0)</f>
        <v/>
      </c>
      <c r="Q285" s="224">
        <f>IFERROR(O285-P285,0)</f>
        <v/>
      </c>
    </row>
    <row r="286" ht="16.5" customHeight="1">
      <c r="B286" s="208" t="n"/>
      <c r="C286" s="29">
        <f>IF(B286="","",TEXT(B286,"DDD"))</f>
        <v/>
      </c>
      <c r="D286" s="30">
        <f>IF(B286="","","Soft App")</f>
        <v/>
      </c>
      <c r="E286" s="209" t="n"/>
      <c r="F286" s="210" t="n"/>
      <c r="G286" s="211">
        <f>IFERROR(E286/F286,0)</f>
        <v/>
      </c>
      <c r="H286" s="212">
        <f>IFERROR(SUMIF('💸 Expenses'!B9:B508,B286,'💸 Expenses'!F9:F508),0)</f>
        <v/>
      </c>
      <c r="I286" s="213">
        <f>IFERROR(E286-H286,0)</f>
        <v/>
      </c>
      <c r="J286" s="214">
        <f>IFERROR(I286/E286,0)</f>
        <v/>
      </c>
      <c r="K286" s="37" t="n"/>
      <c r="L286" s="187">
        <f>IFERROR(L285+E286,0)</f>
        <v/>
      </c>
      <c r="M286" s="190">
        <f>IFERROR(M285+H286,0)</f>
        <v/>
      </c>
      <c r="N286" s="215">
        <f>IFERROR(L286-M286,0)</f>
        <v/>
      </c>
      <c r="O286" s="216">
        <f>IFERROR(SUMIF(B8:B286,"&gt;="&amp;(B286-WEEKDAY(B286,2)+1),E8:E286),0)</f>
        <v/>
      </c>
      <c r="P286" s="217">
        <f>IFERROR(SUMIF(B8:B286,"&gt;="&amp;(B286-WEEKDAY(B286,2)+1),H8:H286),0)</f>
        <v/>
      </c>
      <c r="Q286" s="215">
        <f>IFERROR(O286-P286,0)</f>
        <v/>
      </c>
    </row>
    <row r="287" ht="16.5" customHeight="1">
      <c r="B287" s="208" t="n"/>
      <c r="C287" s="41">
        <f>IF(B287="","",TEXT(B287,"DDD"))</f>
        <v/>
      </c>
      <c r="D287" s="42">
        <f>IF(B287="","","Soft App")</f>
        <v/>
      </c>
      <c r="E287" s="218" t="n"/>
      <c r="F287" s="219" t="n"/>
      <c r="G287" s="220">
        <f>IFERROR(E287/F287,0)</f>
        <v/>
      </c>
      <c r="H287" s="221">
        <f>IFERROR(SUMIF('💸 Expenses'!B9:B508,B287,'💸 Expenses'!F9:F508),0)</f>
        <v/>
      </c>
      <c r="I287" s="222">
        <f>IFERROR(E287-H287,0)</f>
        <v/>
      </c>
      <c r="J287" s="223">
        <f>IFERROR(I287/E287,0)</f>
        <v/>
      </c>
      <c r="K287" s="49" t="n"/>
      <c r="L287" s="193">
        <f>IFERROR(L286+E287,0)</f>
        <v/>
      </c>
      <c r="M287" s="196">
        <f>IFERROR(M286+H287,0)</f>
        <v/>
      </c>
      <c r="N287" s="224">
        <f>IFERROR(L287-M287,0)</f>
        <v/>
      </c>
      <c r="O287" s="225">
        <f>IFERROR(SUMIF(B8:B287,"&gt;="&amp;(B287-WEEKDAY(B287,2)+1),E8:E287),0)</f>
        <v/>
      </c>
      <c r="P287" s="226">
        <f>IFERROR(SUMIF(B8:B287,"&gt;="&amp;(B287-WEEKDAY(B287,2)+1),H8:H287),0)</f>
        <v/>
      </c>
      <c r="Q287" s="224">
        <f>IFERROR(O287-P287,0)</f>
        <v/>
      </c>
    </row>
    <row r="288" ht="16.5" customHeight="1">
      <c r="B288" s="208" t="n"/>
      <c r="C288" s="29">
        <f>IF(B288="","",TEXT(B288,"DDD"))</f>
        <v/>
      </c>
      <c r="D288" s="30">
        <f>IF(B288="","","Soft App")</f>
        <v/>
      </c>
      <c r="E288" s="209" t="n"/>
      <c r="F288" s="210" t="n"/>
      <c r="G288" s="211">
        <f>IFERROR(E288/F288,0)</f>
        <v/>
      </c>
      <c r="H288" s="212">
        <f>IFERROR(SUMIF('💸 Expenses'!B9:B508,B288,'💸 Expenses'!F9:F508),0)</f>
        <v/>
      </c>
      <c r="I288" s="213">
        <f>IFERROR(E288-H288,0)</f>
        <v/>
      </c>
      <c r="J288" s="214">
        <f>IFERROR(I288/E288,0)</f>
        <v/>
      </c>
      <c r="K288" s="37" t="n"/>
      <c r="L288" s="187">
        <f>IFERROR(L287+E288,0)</f>
        <v/>
      </c>
      <c r="M288" s="190">
        <f>IFERROR(M287+H288,0)</f>
        <v/>
      </c>
      <c r="N288" s="215">
        <f>IFERROR(L288-M288,0)</f>
        <v/>
      </c>
      <c r="O288" s="216">
        <f>IFERROR(SUMIF(B8:B288,"&gt;="&amp;(B288-WEEKDAY(B288,2)+1),E8:E288),0)</f>
        <v/>
      </c>
      <c r="P288" s="217">
        <f>IFERROR(SUMIF(B8:B288,"&gt;="&amp;(B288-WEEKDAY(B288,2)+1),H8:H288),0)</f>
        <v/>
      </c>
      <c r="Q288" s="215">
        <f>IFERROR(O288-P288,0)</f>
        <v/>
      </c>
    </row>
    <row r="289" ht="16.5" customHeight="1">
      <c r="B289" s="208" t="n"/>
      <c r="C289" s="41">
        <f>IF(B289="","",TEXT(B289,"DDD"))</f>
        <v/>
      </c>
      <c r="D289" s="42">
        <f>IF(B289="","","Soft App")</f>
        <v/>
      </c>
      <c r="E289" s="218" t="n"/>
      <c r="F289" s="219" t="n"/>
      <c r="G289" s="220">
        <f>IFERROR(E289/F289,0)</f>
        <v/>
      </c>
      <c r="H289" s="221">
        <f>IFERROR(SUMIF('💸 Expenses'!B9:B508,B289,'💸 Expenses'!F9:F508),0)</f>
        <v/>
      </c>
      <c r="I289" s="222">
        <f>IFERROR(E289-H289,0)</f>
        <v/>
      </c>
      <c r="J289" s="223">
        <f>IFERROR(I289/E289,0)</f>
        <v/>
      </c>
      <c r="K289" s="49" t="n"/>
      <c r="L289" s="193">
        <f>IFERROR(L288+E289,0)</f>
        <v/>
      </c>
      <c r="M289" s="196">
        <f>IFERROR(M288+H289,0)</f>
        <v/>
      </c>
      <c r="N289" s="224">
        <f>IFERROR(L289-M289,0)</f>
        <v/>
      </c>
      <c r="O289" s="225">
        <f>IFERROR(SUMIF(B8:B289,"&gt;="&amp;(B289-WEEKDAY(B289,2)+1),E8:E289),0)</f>
        <v/>
      </c>
      <c r="P289" s="226">
        <f>IFERROR(SUMIF(B8:B289,"&gt;="&amp;(B289-WEEKDAY(B289,2)+1),H8:H289),0)</f>
        <v/>
      </c>
      <c r="Q289" s="224">
        <f>IFERROR(O289-P289,0)</f>
        <v/>
      </c>
    </row>
    <row r="290" ht="16.5" customHeight="1">
      <c r="B290" s="208" t="n"/>
      <c r="C290" s="29">
        <f>IF(B290="","",TEXT(B290,"DDD"))</f>
        <v/>
      </c>
      <c r="D290" s="30">
        <f>IF(B290="","","Soft App")</f>
        <v/>
      </c>
      <c r="E290" s="209" t="n"/>
      <c r="F290" s="210" t="n"/>
      <c r="G290" s="211">
        <f>IFERROR(E290/F290,0)</f>
        <v/>
      </c>
      <c r="H290" s="212">
        <f>IFERROR(SUMIF('💸 Expenses'!B9:B508,B290,'💸 Expenses'!F9:F508),0)</f>
        <v/>
      </c>
      <c r="I290" s="213">
        <f>IFERROR(E290-H290,0)</f>
        <v/>
      </c>
      <c r="J290" s="214">
        <f>IFERROR(I290/E290,0)</f>
        <v/>
      </c>
      <c r="K290" s="37" t="n"/>
      <c r="L290" s="187">
        <f>IFERROR(L289+E290,0)</f>
        <v/>
      </c>
      <c r="M290" s="190">
        <f>IFERROR(M289+H290,0)</f>
        <v/>
      </c>
      <c r="N290" s="215">
        <f>IFERROR(L290-M290,0)</f>
        <v/>
      </c>
      <c r="O290" s="216">
        <f>IFERROR(SUMIF(B8:B290,"&gt;="&amp;(B290-WEEKDAY(B290,2)+1),E8:E290),0)</f>
        <v/>
      </c>
      <c r="P290" s="217">
        <f>IFERROR(SUMIF(B8:B290,"&gt;="&amp;(B290-WEEKDAY(B290,2)+1),H8:H290),0)</f>
        <v/>
      </c>
      <c r="Q290" s="215">
        <f>IFERROR(O290-P290,0)</f>
        <v/>
      </c>
    </row>
    <row r="291" ht="16.5" customHeight="1">
      <c r="B291" s="208" t="n"/>
      <c r="C291" s="41">
        <f>IF(B291="","",TEXT(B291,"DDD"))</f>
        <v/>
      </c>
      <c r="D291" s="42">
        <f>IF(B291="","","Soft App")</f>
        <v/>
      </c>
      <c r="E291" s="218" t="n"/>
      <c r="F291" s="219" t="n"/>
      <c r="G291" s="220">
        <f>IFERROR(E291/F291,0)</f>
        <v/>
      </c>
      <c r="H291" s="221">
        <f>IFERROR(SUMIF('💸 Expenses'!B9:B508,B291,'💸 Expenses'!F9:F508),0)</f>
        <v/>
      </c>
      <c r="I291" s="222">
        <f>IFERROR(E291-H291,0)</f>
        <v/>
      </c>
      <c r="J291" s="223">
        <f>IFERROR(I291/E291,0)</f>
        <v/>
      </c>
      <c r="K291" s="49" t="n"/>
      <c r="L291" s="193">
        <f>IFERROR(L290+E291,0)</f>
        <v/>
      </c>
      <c r="M291" s="196">
        <f>IFERROR(M290+H291,0)</f>
        <v/>
      </c>
      <c r="N291" s="224">
        <f>IFERROR(L291-M291,0)</f>
        <v/>
      </c>
      <c r="O291" s="225">
        <f>IFERROR(SUMIF(B8:B291,"&gt;="&amp;(B291-WEEKDAY(B291,2)+1),E8:E291),0)</f>
        <v/>
      </c>
      <c r="P291" s="226">
        <f>IFERROR(SUMIF(B8:B291,"&gt;="&amp;(B291-WEEKDAY(B291,2)+1),H8:H291),0)</f>
        <v/>
      </c>
      <c r="Q291" s="224">
        <f>IFERROR(O291-P291,0)</f>
        <v/>
      </c>
    </row>
    <row r="292" ht="16.5" customHeight="1">
      <c r="B292" s="208" t="n"/>
      <c r="C292" s="29">
        <f>IF(B292="","",TEXT(B292,"DDD"))</f>
        <v/>
      </c>
      <c r="D292" s="30">
        <f>IF(B292="","","Soft App")</f>
        <v/>
      </c>
      <c r="E292" s="209" t="n"/>
      <c r="F292" s="210" t="n"/>
      <c r="G292" s="211">
        <f>IFERROR(E292/F292,0)</f>
        <v/>
      </c>
      <c r="H292" s="212">
        <f>IFERROR(SUMIF('💸 Expenses'!B9:B508,B292,'💸 Expenses'!F9:F508),0)</f>
        <v/>
      </c>
      <c r="I292" s="213">
        <f>IFERROR(E292-H292,0)</f>
        <v/>
      </c>
      <c r="J292" s="214">
        <f>IFERROR(I292/E292,0)</f>
        <v/>
      </c>
      <c r="K292" s="37" t="n"/>
      <c r="L292" s="187">
        <f>IFERROR(L291+E292,0)</f>
        <v/>
      </c>
      <c r="M292" s="190">
        <f>IFERROR(M291+H292,0)</f>
        <v/>
      </c>
      <c r="N292" s="215">
        <f>IFERROR(L292-M292,0)</f>
        <v/>
      </c>
      <c r="O292" s="216">
        <f>IFERROR(SUMIF(B8:B292,"&gt;="&amp;(B292-WEEKDAY(B292,2)+1),E8:E292),0)</f>
        <v/>
      </c>
      <c r="P292" s="217">
        <f>IFERROR(SUMIF(B8:B292,"&gt;="&amp;(B292-WEEKDAY(B292,2)+1),H8:H292),0)</f>
        <v/>
      </c>
      <c r="Q292" s="215">
        <f>IFERROR(O292-P292,0)</f>
        <v/>
      </c>
    </row>
    <row r="293" ht="16.5" customHeight="1">
      <c r="B293" s="208" t="n"/>
      <c r="C293" s="41">
        <f>IF(B293="","",TEXT(B293,"DDD"))</f>
        <v/>
      </c>
      <c r="D293" s="42">
        <f>IF(B293="","","Soft App")</f>
        <v/>
      </c>
      <c r="E293" s="218" t="n"/>
      <c r="F293" s="219" t="n"/>
      <c r="G293" s="220">
        <f>IFERROR(E293/F293,0)</f>
        <v/>
      </c>
      <c r="H293" s="221">
        <f>IFERROR(SUMIF('💸 Expenses'!B9:B508,B293,'💸 Expenses'!F9:F508),0)</f>
        <v/>
      </c>
      <c r="I293" s="222">
        <f>IFERROR(E293-H293,0)</f>
        <v/>
      </c>
      <c r="J293" s="223">
        <f>IFERROR(I293/E293,0)</f>
        <v/>
      </c>
      <c r="K293" s="49" t="n"/>
      <c r="L293" s="193">
        <f>IFERROR(L292+E293,0)</f>
        <v/>
      </c>
      <c r="M293" s="196">
        <f>IFERROR(M292+H293,0)</f>
        <v/>
      </c>
      <c r="N293" s="224">
        <f>IFERROR(L293-M293,0)</f>
        <v/>
      </c>
      <c r="O293" s="225">
        <f>IFERROR(SUMIF(B8:B293,"&gt;="&amp;(B293-WEEKDAY(B293,2)+1),E8:E293),0)</f>
        <v/>
      </c>
      <c r="P293" s="226">
        <f>IFERROR(SUMIF(B8:B293,"&gt;="&amp;(B293-WEEKDAY(B293,2)+1),H8:H293),0)</f>
        <v/>
      </c>
      <c r="Q293" s="224">
        <f>IFERROR(O293-P293,0)</f>
        <v/>
      </c>
    </row>
    <row r="294" ht="16.5" customHeight="1">
      <c r="B294" s="208" t="n"/>
      <c r="C294" s="29">
        <f>IF(B294="","",TEXT(B294,"DDD"))</f>
        <v/>
      </c>
      <c r="D294" s="30">
        <f>IF(B294="","","Soft App")</f>
        <v/>
      </c>
      <c r="E294" s="209" t="n"/>
      <c r="F294" s="210" t="n"/>
      <c r="G294" s="211">
        <f>IFERROR(E294/F294,0)</f>
        <v/>
      </c>
      <c r="H294" s="212">
        <f>IFERROR(SUMIF('💸 Expenses'!B9:B508,B294,'💸 Expenses'!F9:F508),0)</f>
        <v/>
      </c>
      <c r="I294" s="213">
        <f>IFERROR(E294-H294,0)</f>
        <v/>
      </c>
      <c r="J294" s="214">
        <f>IFERROR(I294/E294,0)</f>
        <v/>
      </c>
      <c r="K294" s="37" t="n"/>
      <c r="L294" s="187">
        <f>IFERROR(L293+E294,0)</f>
        <v/>
      </c>
      <c r="M294" s="190">
        <f>IFERROR(M293+H294,0)</f>
        <v/>
      </c>
      <c r="N294" s="215">
        <f>IFERROR(L294-M294,0)</f>
        <v/>
      </c>
      <c r="O294" s="216">
        <f>IFERROR(SUMIF(B8:B294,"&gt;="&amp;(B294-WEEKDAY(B294,2)+1),E8:E294),0)</f>
        <v/>
      </c>
      <c r="P294" s="217">
        <f>IFERROR(SUMIF(B8:B294,"&gt;="&amp;(B294-WEEKDAY(B294,2)+1),H8:H294),0)</f>
        <v/>
      </c>
      <c r="Q294" s="215">
        <f>IFERROR(O294-P294,0)</f>
        <v/>
      </c>
    </row>
    <row r="295" ht="16.5" customHeight="1">
      <c r="B295" s="208" t="n"/>
      <c r="C295" s="41">
        <f>IF(B295="","",TEXT(B295,"DDD"))</f>
        <v/>
      </c>
      <c r="D295" s="42">
        <f>IF(B295="","","Soft App")</f>
        <v/>
      </c>
      <c r="E295" s="218" t="n"/>
      <c r="F295" s="219" t="n"/>
      <c r="G295" s="220">
        <f>IFERROR(E295/F295,0)</f>
        <v/>
      </c>
      <c r="H295" s="221">
        <f>IFERROR(SUMIF('💸 Expenses'!B9:B508,B295,'💸 Expenses'!F9:F508),0)</f>
        <v/>
      </c>
      <c r="I295" s="222">
        <f>IFERROR(E295-H295,0)</f>
        <v/>
      </c>
      <c r="J295" s="223">
        <f>IFERROR(I295/E295,0)</f>
        <v/>
      </c>
      <c r="K295" s="49" t="n"/>
      <c r="L295" s="193">
        <f>IFERROR(L294+E295,0)</f>
        <v/>
      </c>
      <c r="M295" s="196">
        <f>IFERROR(M294+H295,0)</f>
        <v/>
      </c>
      <c r="N295" s="224">
        <f>IFERROR(L295-M295,0)</f>
        <v/>
      </c>
      <c r="O295" s="225">
        <f>IFERROR(SUMIF(B8:B295,"&gt;="&amp;(B295-WEEKDAY(B295,2)+1),E8:E295),0)</f>
        <v/>
      </c>
      <c r="P295" s="226">
        <f>IFERROR(SUMIF(B8:B295,"&gt;="&amp;(B295-WEEKDAY(B295,2)+1),H8:H295),0)</f>
        <v/>
      </c>
      <c r="Q295" s="224">
        <f>IFERROR(O295-P295,0)</f>
        <v/>
      </c>
    </row>
    <row r="296" ht="16.5" customHeight="1">
      <c r="B296" s="208" t="n"/>
      <c r="C296" s="29">
        <f>IF(B296="","",TEXT(B296,"DDD"))</f>
        <v/>
      </c>
      <c r="D296" s="30">
        <f>IF(B296="","","Soft App")</f>
        <v/>
      </c>
      <c r="E296" s="209" t="n"/>
      <c r="F296" s="210" t="n"/>
      <c r="G296" s="211">
        <f>IFERROR(E296/F296,0)</f>
        <v/>
      </c>
      <c r="H296" s="212">
        <f>IFERROR(SUMIF('💸 Expenses'!B9:B508,B296,'💸 Expenses'!F9:F508),0)</f>
        <v/>
      </c>
      <c r="I296" s="213">
        <f>IFERROR(E296-H296,0)</f>
        <v/>
      </c>
      <c r="J296" s="214">
        <f>IFERROR(I296/E296,0)</f>
        <v/>
      </c>
      <c r="K296" s="37" t="n"/>
      <c r="L296" s="187">
        <f>IFERROR(L295+E296,0)</f>
        <v/>
      </c>
      <c r="M296" s="190">
        <f>IFERROR(M295+H296,0)</f>
        <v/>
      </c>
      <c r="N296" s="215">
        <f>IFERROR(L296-M296,0)</f>
        <v/>
      </c>
      <c r="O296" s="216">
        <f>IFERROR(SUMIF(B8:B296,"&gt;="&amp;(B296-WEEKDAY(B296,2)+1),E8:E296),0)</f>
        <v/>
      </c>
      <c r="P296" s="217">
        <f>IFERROR(SUMIF(B8:B296,"&gt;="&amp;(B296-WEEKDAY(B296,2)+1),H8:H296),0)</f>
        <v/>
      </c>
      <c r="Q296" s="215">
        <f>IFERROR(O296-P296,0)</f>
        <v/>
      </c>
    </row>
    <row r="297" ht="16.5" customHeight="1">
      <c r="B297" s="208" t="n"/>
      <c r="C297" s="41">
        <f>IF(B297="","",TEXT(B297,"DDD"))</f>
        <v/>
      </c>
      <c r="D297" s="42">
        <f>IF(B297="","","Soft App")</f>
        <v/>
      </c>
      <c r="E297" s="218" t="n"/>
      <c r="F297" s="219" t="n"/>
      <c r="G297" s="220">
        <f>IFERROR(E297/F297,0)</f>
        <v/>
      </c>
      <c r="H297" s="221">
        <f>IFERROR(SUMIF('💸 Expenses'!B9:B508,B297,'💸 Expenses'!F9:F508),0)</f>
        <v/>
      </c>
      <c r="I297" s="222">
        <f>IFERROR(E297-H297,0)</f>
        <v/>
      </c>
      <c r="J297" s="223">
        <f>IFERROR(I297/E297,0)</f>
        <v/>
      </c>
      <c r="K297" s="49" t="n"/>
      <c r="L297" s="193">
        <f>IFERROR(L296+E297,0)</f>
        <v/>
      </c>
      <c r="M297" s="196">
        <f>IFERROR(M296+H297,0)</f>
        <v/>
      </c>
      <c r="N297" s="224">
        <f>IFERROR(L297-M297,0)</f>
        <v/>
      </c>
      <c r="O297" s="225">
        <f>IFERROR(SUMIF(B8:B297,"&gt;="&amp;(B297-WEEKDAY(B297,2)+1),E8:E297),0)</f>
        <v/>
      </c>
      <c r="P297" s="226">
        <f>IFERROR(SUMIF(B8:B297,"&gt;="&amp;(B297-WEEKDAY(B297,2)+1),H8:H297),0)</f>
        <v/>
      </c>
      <c r="Q297" s="224">
        <f>IFERROR(O297-P297,0)</f>
        <v/>
      </c>
    </row>
    <row r="298" ht="16.5" customHeight="1">
      <c r="B298" s="208" t="n"/>
      <c r="C298" s="29">
        <f>IF(B298="","",TEXT(B298,"DDD"))</f>
        <v/>
      </c>
      <c r="D298" s="30">
        <f>IF(B298="","","Soft App")</f>
        <v/>
      </c>
      <c r="E298" s="209" t="n"/>
      <c r="F298" s="210" t="n"/>
      <c r="G298" s="211">
        <f>IFERROR(E298/F298,0)</f>
        <v/>
      </c>
      <c r="H298" s="212">
        <f>IFERROR(SUMIF('💸 Expenses'!B9:B508,B298,'💸 Expenses'!F9:F508),0)</f>
        <v/>
      </c>
      <c r="I298" s="213">
        <f>IFERROR(E298-H298,0)</f>
        <v/>
      </c>
      <c r="J298" s="214">
        <f>IFERROR(I298/E298,0)</f>
        <v/>
      </c>
      <c r="K298" s="37" t="n"/>
      <c r="L298" s="187">
        <f>IFERROR(L297+E298,0)</f>
        <v/>
      </c>
      <c r="M298" s="190">
        <f>IFERROR(M297+H298,0)</f>
        <v/>
      </c>
      <c r="N298" s="215">
        <f>IFERROR(L298-M298,0)</f>
        <v/>
      </c>
      <c r="O298" s="216">
        <f>IFERROR(SUMIF(B8:B298,"&gt;="&amp;(B298-WEEKDAY(B298,2)+1),E8:E298),0)</f>
        <v/>
      </c>
      <c r="P298" s="217">
        <f>IFERROR(SUMIF(B8:B298,"&gt;="&amp;(B298-WEEKDAY(B298,2)+1),H8:H298),0)</f>
        <v/>
      </c>
      <c r="Q298" s="215">
        <f>IFERROR(O298-P298,0)</f>
        <v/>
      </c>
    </row>
    <row r="299" ht="16.5" customHeight="1">
      <c r="B299" s="208" t="n"/>
      <c r="C299" s="41">
        <f>IF(B299="","",TEXT(B299,"DDD"))</f>
        <v/>
      </c>
      <c r="D299" s="42">
        <f>IF(B299="","","Soft App")</f>
        <v/>
      </c>
      <c r="E299" s="218" t="n"/>
      <c r="F299" s="219" t="n"/>
      <c r="G299" s="220">
        <f>IFERROR(E299/F299,0)</f>
        <v/>
      </c>
      <c r="H299" s="221">
        <f>IFERROR(SUMIF('💸 Expenses'!B9:B508,B299,'💸 Expenses'!F9:F508),0)</f>
        <v/>
      </c>
      <c r="I299" s="222">
        <f>IFERROR(E299-H299,0)</f>
        <v/>
      </c>
      <c r="J299" s="223">
        <f>IFERROR(I299/E299,0)</f>
        <v/>
      </c>
      <c r="K299" s="49" t="n"/>
      <c r="L299" s="193">
        <f>IFERROR(L298+E299,0)</f>
        <v/>
      </c>
      <c r="M299" s="196">
        <f>IFERROR(M298+H299,0)</f>
        <v/>
      </c>
      <c r="N299" s="224">
        <f>IFERROR(L299-M299,0)</f>
        <v/>
      </c>
      <c r="O299" s="225">
        <f>IFERROR(SUMIF(B8:B299,"&gt;="&amp;(B299-WEEKDAY(B299,2)+1),E8:E299),0)</f>
        <v/>
      </c>
      <c r="P299" s="226">
        <f>IFERROR(SUMIF(B8:B299,"&gt;="&amp;(B299-WEEKDAY(B299,2)+1),H8:H299),0)</f>
        <v/>
      </c>
      <c r="Q299" s="224">
        <f>IFERROR(O299-P299,0)</f>
        <v/>
      </c>
    </row>
    <row r="300" ht="16.5" customHeight="1">
      <c r="B300" s="208" t="n"/>
      <c r="C300" s="29">
        <f>IF(B300="","",TEXT(B300,"DDD"))</f>
        <v/>
      </c>
      <c r="D300" s="30">
        <f>IF(B300="","","Soft App")</f>
        <v/>
      </c>
      <c r="E300" s="209" t="n"/>
      <c r="F300" s="210" t="n"/>
      <c r="G300" s="211">
        <f>IFERROR(E300/F300,0)</f>
        <v/>
      </c>
      <c r="H300" s="212">
        <f>IFERROR(SUMIF('💸 Expenses'!B9:B508,B300,'💸 Expenses'!F9:F508),0)</f>
        <v/>
      </c>
      <c r="I300" s="213">
        <f>IFERROR(E300-H300,0)</f>
        <v/>
      </c>
      <c r="J300" s="214">
        <f>IFERROR(I300/E300,0)</f>
        <v/>
      </c>
      <c r="K300" s="37" t="n"/>
      <c r="L300" s="187">
        <f>IFERROR(L299+E300,0)</f>
        <v/>
      </c>
      <c r="M300" s="190">
        <f>IFERROR(M299+H300,0)</f>
        <v/>
      </c>
      <c r="N300" s="215">
        <f>IFERROR(L300-M300,0)</f>
        <v/>
      </c>
      <c r="O300" s="216">
        <f>IFERROR(SUMIF(B8:B300,"&gt;="&amp;(B300-WEEKDAY(B300,2)+1),E8:E300),0)</f>
        <v/>
      </c>
      <c r="P300" s="217">
        <f>IFERROR(SUMIF(B8:B300,"&gt;="&amp;(B300-WEEKDAY(B300,2)+1),H8:H300),0)</f>
        <v/>
      </c>
      <c r="Q300" s="215">
        <f>IFERROR(O300-P300,0)</f>
        <v/>
      </c>
    </row>
    <row r="301" ht="16.5" customHeight="1">
      <c r="B301" s="208" t="n"/>
      <c r="C301" s="41">
        <f>IF(B301="","",TEXT(B301,"DDD"))</f>
        <v/>
      </c>
      <c r="D301" s="42">
        <f>IF(B301="","","Soft App")</f>
        <v/>
      </c>
      <c r="E301" s="218" t="n"/>
      <c r="F301" s="219" t="n"/>
      <c r="G301" s="220">
        <f>IFERROR(E301/F301,0)</f>
        <v/>
      </c>
      <c r="H301" s="221">
        <f>IFERROR(SUMIF('💸 Expenses'!B9:B508,B301,'💸 Expenses'!F9:F508),0)</f>
        <v/>
      </c>
      <c r="I301" s="222">
        <f>IFERROR(E301-H301,0)</f>
        <v/>
      </c>
      <c r="J301" s="223">
        <f>IFERROR(I301/E301,0)</f>
        <v/>
      </c>
      <c r="K301" s="49" t="n"/>
      <c r="L301" s="193">
        <f>IFERROR(L300+E301,0)</f>
        <v/>
      </c>
      <c r="M301" s="196">
        <f>IFERROR(M300+H301,0)</f>
        <v/>
      </c>
      <c r="N301" s="224">
        <f>IFERROR(L301-M301,0)</f>
        <v/>
      </c>
      <c r="O301" s="225">
        <f>IFERROR(SUMIF(B8:B301,"&gt;="&amp;(B301-WEEKDAY(B301,2)+1),E8:E301),0)</f>
        <v/>
      </c>
      <c r="P301" s="226">
        <f>IFERROR(SUMIF(B8:B301,"&gt;="&amp;(B301-WEEKDAY(B301,2)+1),H8:H301),0)</f>
        <v/>
      </c>
      <c r="Q301" s="224">
        <f>IFERROR(O301-P301,0)</f>
        <v/>
      </c>
    </row>
    <row r="302" ht="16.5" customHeight="1">
      <c r="B302" s="208" t="n"/>
      <c r="C302" s="29">
        <f>IF(B302="","",TEXT(B302,"DDD"))</f>
        <v/>
      </c>
      <c r="D302" s="30">
        <f>IF(B302="","","Soft App")</f>
        <v/>
      </c>
      <c r="E302" s="209" t="n"/>
      <c r="F302" s="210" t="n"/>
      <c r="G302" s="211">
        <f>IFERROR(E302/F302,0)</f>
        <v/>
      </c>
      <c r="H302" s="212">
        <f>IFERROR(SUMIF('💸 Expenses'!B9:B508,B302,'💸 Expenses'!F9:F508),0)</f>
        <v/>
      </c>
      <c r="I302" s="213">
        <f>IFERROR(E302-H302,0)</f>
        <v/>
      </c>
      <c r="J302" s="214">
        <f>IFERROR(I302/E302,0)</f>
        <v/>
      </c>
      <c r="K302" s="37" t="n"/>
      <c r="L302" s="187">
        <f>IFERROR(L301+E302,0)</f>
        <v/>
      </c>
      <c r="M302" s="190">
        <f>IFERROR(M301+H302,0)</f>
        <v/>
      </c>
      <c r="N302" s="215">
        <f>IFERROR(L302-M302,0)</f>
        <v/>
      </c>
      <c r="O302" s="216">
        <f>IFERROR(SUMIF(B8:B302,"&gt;="&amp;(B302-WEEKDAY(B302,2)+1),E8:E302),0)</f>
        <v/>
      </c>
      <c r="P302" s="217">
        <f>IFERROR(SUMIF(B8:B302,"&gt;="&amp;(B302-WEEKDAY(B302,2)+1),H8:H302),0)</f>
        <v/>
      </c>
      <c r="Q302" s="215">
        <f>IFERROR(O302-P302,0)</f>
        <v/>
      </c>
    </row>
    <row r="303" ht="16.5" customHeight="1">
      <c r="B303" s="208" t="n"/>
      <c r="C303" s="41">
        <f>IF(B303="","",TEXT(B303,"DDD"))</f>
        <v/>
      </c>
      <c r="D303" s="42">
        <f>IF(B303="","","Soft App")</f>
        <v/>
      </c>
      <c r="E303" s="218" t="n"/>
      <c r="F303" s="219" t="n"/>
      <c r="G303" s="220">
        <f>IFERROR(E303/F303,0)</f>
        <v/>
      </c>
      <c r="H303" s="221">
        <f>IFERROR(SUMIF('💸 Expenses'!B9:B508,B303,'💸 Expenses'!F9:F508),0)</f>
        <v/>
      </c>
      <c r="I303" s="222">
        <f>IFERROR(E303-H303,0)</f>
        <v/>
      </c>
      <c r="J303" s="223">
        <f>IFERROR(I303/E303,0)</f>
        <v/>
      </c>
      <c r="K303" s="49" t="n"/>
      <c r="L303" s="193">
        <f>IFERROR(L302+E303,0)</f>
        <v/>
      </c>
      <c r="M303" s="196">
        <f>IFERROR(M302+H303,0)</f>
        <v/>
      </c>
      <c r="N303" s="224">
        <f>IFERROR(L303-M303,0)</f>
        <v/>
      </c>
      <c r="O303" s="225">
        <f>IFERROR(SUMIF(B8:B303,"&gt;="&amp;(B303-WEEKDAY(B303,2)+1),E8:E303),0)</f>
        <v/>
      </c>
      <c r="P303" s="226">
        <f>IFERROR(SUMIF(B8:B303,"&gt;="&amp;(B303-WEEKDAY(B303,2)+1),H8:H303),0)</f>
        <v/>
      </c>
      <c r="Q303" s="224">
        <f>IFERROR(O303-P303,0)</f>
        <v/>
      </c>
    </row>
    <row r="304" ht="16.5" customHeight="1">
      <c r="B304" s="208" t="n"/>
      <c r="C304" s="29">
        <f>IF(B304="","",TEXT(B304,"DDD"))</f>
        <v/>
      </c>
      <c r="D304" s="30">
        <f>IF(B304="","","Soft App")</f>
        <v/>
      </c>
      <c r="E304" s="209" t="n"/>
      <c r="F304" s="210" t="n"/>
      <c r="G304" s="211">
        <f>IFERROR(E304/F304,0)</f>
        <v/>
      </c>
      <c r="H304" s="212">
        <f>IFERROR(SUMIF('💸 Expenses'!B9:B508,B304,'💸 Expenses'!F9:F508),0)</f>
        <v/>
      </c>
      <c r="I304" s="213">
        <f>IFERROR(E304-H304,0)</f>
        <v/>
      </c>
      <c r="J304" s="214">
        <f>IFERROR(I304/E304,0)</f>
        <v/>
      </c>
      <c r="K304" s="37" t="n"/>
      <c r="L304" s="187">
        <f>IFERROR(L303+E304,0)</f>
        <v/>
      </c>
      <c r="M304" s="190">
        <f>IFERROR(M303+H304,0)</f>
        <v/>
      </c>
      <c r="N304" s="215">
        <f>IFERROR(L304-M304,0)</f>
        <v/>
      </c>
      <c r="O304" s="216">
        <f>IFERROR(SUMIF(B8:B304,"&gt;="&amp;(B304-WEEKDAY(B304,2)+1),E8:E304),0)</f>
        <v/>
      </c>
      <c r="P304" s="217">
        <f>IFERROR(SUMIF(B8:B304,"&gt;="&amp;(B304-WEEKDAY(B304,2)+1),H8:H304),0)</f>
        <v/>
      </c>
      <c r="Q304" s="215">
        <f>IFERROR(O304-P304,0)</f>
        <v/>
      </c>
    </row>
    <row r="305" ht="16.5" customHeight="1">
      <c r="B305" s="208" t="n"/>
      <c r="C305" s="41">
        <f>IF(B305="","",TEXT(B305,"DDD"))</f>
        <v/>
      </c>
      <c r="D305" s="42">
        <f>IF(B305="","","Soft App")</f>
        <v/>
      </c>
      <c r="E305" s="218" t="n"/>
      <c r="F305" s="219" t="n"/>
      <c r="G305" s="220">
        <f>IFERROR(E305/F305,0)</f>
        <v/>
      </c>
      <c r="H305" s="221">
        <f>IFERROR(SUMIF('💸 Expenses'!B9:B508,B305,'💸 Expenses'!F9:F508),0)</f>
        <v/>
      </c>
      <c r="I305" s="222">
        <f>IFERROR(E305-H305,0)</f>
        <v/>
      </c>
      <c r="J305" s="223">
        <f>IFERROR(I305/E305,0)</f>
        <v/>
      </c>
      <c r="K305" s="49" t="n"/>
      <c r="L305" s="193">
        <f>IFERROR(L304+E305,0)</f>
        <v/>
      </c>
      <c r="M305" s="196">
        <f>IFERROR(M304+H305,0)</f>
        <v/>
      </c>
      <c r="N305" s="224">
        <f>IFERROR(L305-M305,0)</f>
        <v/>
      </c>
      <c r="O305" s="225">
        <f>IFERROR(SUMIF(B8:B305,"&gt;="&amp;(B305-WEEKDAY(B305,2)+1),E8:E305),0)</f>
        <v/>
      </c>
      <c r="P305" s="226">
        <f>IFERROR(SUMIF(B8:B305,"&gt;="&amp;(B305-WEEKDAY(B305,2)+1),H8:H305),0)</f>
        <v/>
      </c>
      <c r="Q305" s="224">
        <f>IFERROR(O305-P305,0)</f>
        <v/>
      </c>
    </row>
    <row r="306" ht="16.5" customHeight="1">
      <c r="B306" s="208" t="n"/>
      <c r="C306" s="29">
        <f>IF(B306="","",TEXT(B306,"DDD"))</f>
        <v/>
      </c>
      <c r="D306" s="30">
        <f>IF(B306="","","Soft App")</f>
        <v/>
      </c>
      <c r="E306" s="209" t="n"/>
      <c r="F306" s="210" t="n"/>
      <c r="G306" s="211">
        <f>IFERROR(E306/F306,0)</f>
        <v/>
      </c>
      <c r="H306" s="212">
        <f>IFERROR(SUMIF('💸 Expenses'!B9:B508,B306,'💸 Expenses'!F9:F508),0)</f>
        <v/>
      </c>
      <c r="I306" s="213">
        <f>IFERROR(E306-H306,0)</f>
        <v/>
      </c>
      <c r="J306" s="214">
        <f>IFERROR(I306/E306,0)</f>
        <v/>
      </c>
      <c r="K306" s="37" t="n"/>
      <c r="L306" s="187">
        <f>IFERROR(L305+E306,0)</f>
        <v/>
      </c>
      <c r="M306" s="190">
        <f>IFERROR(M305+H306,0)</f>
        <v/>
      </c>
      <c r="N306" s="215">
        <f>IFERROR(L306-M306,0)</f>
        <v/>
      </c>
      <c r="O306" s="216">
        <f>IFERROR(SUMIF(B8:B306,"&gt;="&amp;(B306-WEEKDAY(B306,2)+1),E8:E306),0)</f>
        <v/>
      </c>
      <c r="P306" s="217">
        <f>IFERROR(SUMIF(B8:B306,"&gt;="&amp;(B306-WEEKDAY(B306,2)+1),H8:H306),0)</f>
        <v/>
      </c>
      <c r="Q306" s="215">
        <f>IFERROR(O306-P306,0)</f>
        <v/>
      </c>
    </row>
    <row r="307" ht="16.5" customHeight="1">
      <c r="B307" s="208" t="n"/>
      <c r="C307" s="41">
        <f>IF(B307="","",TEXT(B307,"DDD"))</f>
        <v/>
      </c>
      <c r="D307" s="42">
        <f>IF(B307="","","Soft App")</f>
        <v/>
      </c>
      <c r="E307" s="218" t="n"/>
      <c r="F307" s="219" t="n"/>
      <c r="G307" s="220">
        <f>IFERROR(E307/F307,0)</f>
        <v/>
      </c>
      <c r="H307" s="221">
        <f>IFERROR(SUMIF('💸 Expenses'!B9:B508,B307,'💸 Expenses'!F9:F508),0)</f>
        <v/>
      </c>
      <c r="I307" s="222">
        <f>IFERROR(E307-H307,0)</f>
        <v/>
      </c>
      <c r="J307" s="223">
        <f>IFERROR(I307/E307,0)</f>
        <v/>
      </c>
      <c r="K307" s="49" t="n"/>
      <c r="L307" s="193">
        <f>IFERROR(L306+E307,0)</f>
        <v/>
      </c>
      <c r="M307" s="196">
        <f>IFERROR(M306+H307,0)</f>
        <v/>
      </c>
      <c r="N307" s="224">
        <f>IFERROR(L307-M307,0)</f>
        <v/>
      </c>
      <c r="O307" s="225">
        <f>IFERROR(SUMIF(B8:B307,"&gt;="&amp;(B307-WEEKDAY(B307,2)+1),E8:E307),0)</f>
        <v/>
      </c>
      <c r="P307" s="226">
        <f>IFERROR(SUMIF(B8:B307,"&gt;="&amp;(B307-WEEKDAY(B307,2)+1),H8:H307),0)</f>
        <v/>
      </c>
      <c r="Q307" s="224">
        <f>IFERROR(O307-P307,0)</f>
        <v/>
      </c>
    </row>
    <row r="308" ht="16.5" customHeight="1">
      <c r="B308" s="208" t="n"/>
      <c r="C308" s="29">
        <f>IF(B308="","",TEXT(B308,"DDD"))</f>
        <v/>
      </c>
      <c r="D308" s="30">
        <f>IF(B308="","","Soft App")</f>
        <v/>
      </c>
      <c r="E308" s="209" t="n"/>
      <c r="F308" s="210" t="n"/>
      <c r="G308" s="211">
        <f>IFERROR(E308/F308,0)</f>
        <v/>
      </c>
      <c r="H308" s="212">
        <f>IFERROR(SUMIF('💸 Expenses'!B9:B508,B308,'💸 Expenses'!F9:F508),0)</f>
        <v/>
      </c>
      <c r="I308" s="213">
        <f>IFERROR(E308-H308,0)</f>
        <v/>
      </c>
      <c r="J308" s="214">
        <f>IFERROR(I308/E308,0)</f>
        <v/>
      </c>
      <c r="K308" s="37" t="n"/>
      <c r="L308" s="187">
        <f>IFERROR(L307+E308,0)</f>
        <v/>
      </c>
      <c r="M308" s="190">
        <f>IFERROR(M307+H308,0)</f>
        <v/>
      </c>
      <c r="N308" s="215">
        <f>IFERROR(L308-M308,0)</f>
        <v/>
      </c>
      <c r="O308" s="216">
        <f>IFERROR(SUMIF(B8:B308,"&gt;="&amp;(B308-WEEKDAY(B308,2)+1),E8:E308),0)</f>
        <v/>
      </c>
      <c r="P308" s="217">
        <f>IFERROR(SUMIF(B8:B308,"&gt;="&amp;(B308-WEEKDAY(B308,2)+1),H8:H308),0)</f>
        <v/>
      </c>
      <c r="Q308" s="215">
        <f>IFERROR(O308-P308,0)</f>
        <v/>
      </c>
    </row>
    <row r="309" ht="16.5" customHeight="1">
      <c r="B309" s="208" t="n"/>
      <c r="C309" s="41">
        <f>IF(B309="","",TEXT(B309,"DDD"))</f>
        <v/>
      </c>
      <c r="D309" s="42">
        <f>IF(B309="","","Soft App")</f>
        <v/>
      </c>
      <c r="E309" s="218" t="n"/>
      <c r="F309" s="219" t="n"/>
      <c r="G309" s="220">
        <f>IFERROR(E309/F309,0)</f>
        <v/>
      </c>
      <c r="H309" s="221">
        <f>IFERROR(SUMIF('💸 Expenses'!B9:B508,B309,'💸 Expenses'!F9:F508),0)</f>
        <v/>
      </c>
      <c r="I309" s="222">
        <f>IFERROR(E309-H309,0)</f>
        <v/>
      </c>
      <c r="J309" s="223">
        <f>IFERROR(I309/E309,0)</f>
        <v/>
      </c>
      <c r="K309" s="49" t="n"/>
      <c r="L309" s="193">
        <f>IFERROR(L308+E309,0)</f>
        <v/>
      </c>
      <c r="M309" s="196">
        <f>IFERROR(M308+H309,0)</f>
        <v/>
      </c>
      <c r="N309" s="224">
        <f>IFERROR(L309-M309,0)</f>
        <v/>
      </c>
      <c r="O309" s="225">
        <f>IFERROR(SUMIF(B8:B309,"&gt;="&amp;(B309-WEEKDAY(B309,2)+1),E8:E309),0)</f>
        <v/>
      </c>
      <c r="P309" s="226">
        <f>IFERROR(SUMIF(B8:B309,"&gt;="&amp;(B309-WEEKDAY(B309,2)+1),H8:H309),0)</f>
        <v/>
      </c>
      <c r="Q309" s="224">
        <f>IFERROR(O309-P309,0)</f>
        <v/>
      </c>
    </row>
    <row r="310" ht="16.5" customHeight="1">
      <c r="B310" s="208" t="n"/>
      <c r="C310" s="29">
        <f>IF(B310="","",TEXT(B310,"DDD"))</f>
        <v/>
      </c>
      <c r="D310" s="30">
        <f>IF(B310="","","Soft App")</f>
        <v/>
      </c>
      <c r="E310" s="209" t="n"/>
      <c r="F310" s="210" t="n"/>
      <c r="G310" s="211">
        <f>IFERROR(E310/F310,0)</f>
        <v/>
      </c>
      <c r="H310" s="212">
        <f>IFERROR(SUMIF('💸 Expenses'!B9:B508,B310,'💸 Expenses'!F9:F508),0)</f>
        <v/>
      </c>
      <c r="I310" s="213">
        <f>IFERROR(E310-H310,0)</f>
        <v/>
      </c>
      <c r="J310" s="214">
        <f>IFERROR(I310/E310,0)</f>
        <v/>
      </c>
      <c r="K310" s="37" t="n"/>
      <c r="L310" s="187">
        <f>IFERROR(L309+E310,0)</f>
        <v/>
      </c>
      <c r="M310" s="190">
        <f>IFERROR(M309+H310,0)</f>
        <v/>
      </c>
      <c r="N310" s="215">
        <f>IFERROR(L310-M310,0)</f>
        <v/>
      </c>
      <c r="O310" s="216">
        <f>IFERROR(SUMIF(B8:B310,"&gt;="&amp;(B310-WEEKDAY(B310,2)+1),E8:E310),0)</f>
        <v/>
      </c>
      <c r="P310" s="217">
        <f>IFERROR(SUMIF(B8:B310,"&gt;="&amp;(B310-WEEKDAY(B310,2)+1),H8:H310),0)</f>
        <v/>
      </c>
      <c r="Q310" s="215">
        <f>IFERROR(O310-P310,0)</f>
        <v/>
      </c>
    </row>
    <row r="311" ht="16.5" customHeight="1">
      <c r="B311" s="208" t="n"/>
      <c r="C311" s="41">
        <f>IF(B311="","",TEXT(B311,"DDD"))</f>
        <v/>
      </c>
      <c r="D311" s="42">
        <f>IF(B311="","","Soft App")</f>
        <v/>
      </c>
      <c r="E311" s="218" t="n"/>
      <c r="F311" s="219" t="n"/>
      <c r="G311" s="220">
        <f>IFERROR(E311/F311,0)</f>
        <v/>
      </c>
      <c r="H311" s="221">
        <f>IFERROR(SUMIF('💸 Expenses'!B9:B508,B311,'💸 Expenses'!F9:F508),0)</f>
        <v/>
      </c>
      <c r="I311" s="222">
        <f>IFERROR(E311-H311,0)</f>
        <v/>
      </c>
      <c r="J311" s="223">
        <f>IFERROR(I311/E311,0)</f>
        <v/>
      </c>
      <c r="K311" s="49" t="n"/>
      <c r="L311" s="193">
        <f>IFERROR(L310+E311,0)</f>
        <v/>
      </c>
      <c r="M311" s="196">
        <f>IFERROR(M310+H311,0)</f>
        <v/>
      </c>
      <c r="N311" s="224">
        <f>IFERROR(L311-M311,0)</f>
        <v/>
      </c>
      <c r="O311" s="225">
        <f>IFERROR(SUMIF(B8:B311,"&gt;="&amp;(B311-WEEKDAY(B311,2)+1),E8:E311),0)</f>
        <v/>
      </c>
      <c r="P311" s="226">
        <f>IFERROR(SUMIF(B8:B311,"&gt;="&amp;(B311-WEEKDAY(B311,2)+1),H8:H311),0)</f>
        <v/>
      </c>
      <c r="Q311" s="224">
        <f>IFERROR(O311-P311,0)</f>
        <v/>
      </c>
    </row>
    <row r="312" ht="16.5" customHeight="1">
      <c r="B312" s="208" t="n"/>
      <c r="C312" s="29">
        <f>IF(B312="","",TEXT(B312,"DDD"))</f>
        <v/>
      </c>
      <c r="D312" s="30">
        <f>IF(B312="","","Soft App")</f>
        <v/>
      </c>
      <c r="E312" s="209" t="n"/>
      <c r="F312" s="210" t="n"/>
      <c r="G312" s="211">
        <f>IFERROR(E312/F312,0)</f>
        <v/>
      </c>
      <c r="H312" s="212">
        <f>IFERROR(SUMIF('💸 Expenses'!B9:B508,B312,'💸 Expenses'!F9:F508),0)</f>
        <v/>
      </c>
      <c r="I312" s="213">
        <f>IFERROR(E312-H312,0)</f>
        <v/>
      </c>
      <c r="J312" s="214">
        <f>IFERROR(I312/E312,0)</f>
        <v/>
      </c>
      <c r="K312" s="37" t="n"/>
      <c r="L312" s="187">
        <f>IFERROR(L311+E312,0)</f>
        <v/>
      </c>
      <c r="M312" s="190">
        <f>IFERROR(M311+H312,0)</f>
        <v/>
      </c>
      <c r="N312" s="215">
        <f>IFERROR(L312-M312,0)</f>
        <v/>
      </c>
      <c r="O312" s="216">
        <f>IFERROR(SUMIF(B8:B312,"&gt;="&amp;(B312-WEEKDAY(B312,2)+1),E8:E312),0)</f>
        <v/>
      </c>
      <c r="P312" s="217">
        <f>IFERROR(SUMIF(B8:B312,"&gt;="&amp;(B312-WEEKDAY(B312,2)+1),H8:H312),0)</f>
        <v/>
      </c>
      <c r="Q312" s="215">
        <f>IFERROR(O312-P312,0)</f>
        <v/>
      </c>
    </row>
    <row r="313" ht="16.5" customHeight="1">
      <c r="B313" s="208" t="n"/>
      <c r="C313" s="41">
        <f>IF(B313="","",TEXT(B313,"DDD"))</f>
        <v/>
      </c>
      <c r="D313" s="42">
        <f>IF(B313="","","Soft App")</f>
        <v/>
      </c>
      <c r="E313" s="218" t="n"/>
      <c r="F313" s="219" t="n"/>
      <c r="G313" s="220">
        <f>IFERROR(E313/F313,0)</f>
        <v/>
      </c>
      <c r="H313" s="221">
        <f>IFERROR(SUMIF('💸 Expenses'!B9:B508,B313,'💸 Expenses'!F9:F508),0)</f>
        <v/>
      </c>
      <c r="I313" s="222">
        <f>IFERROR(E313-H313,0)</f>
        <v/>
      </c>
      <c r="J313" s="223">
        <f>IFERROR(I313/E313,0)</f>
        <v/>
      </c>
      <c r="K313" s="49" t="n"/>
      <c r="L313" s="193">
        <f>IFERROR(L312+E313,0)</f>
        <v/>
      </c>
      <c r="M313" s="196">
        <f>IFERROR(M312+H313,0)</f>
        <v/>
      </c>
      <c r="N313" s="224">
        <f>IFERROR(L313-M313,0)</f>
        <v/>
      </c>
      <c r="O313" s="225">
        <f>IFERROR(SUMIF(B8:B313,"&gt;="&amp;(B313-WEEKDAY(B313,2)+1),E8:E313),0)</f>
        <v/>
      </c>
      <c r="P313" s="226">
        <f>IFERROR(SUMIF(B8:B313,"&gt;="&amp;(B313-WEEKDAY(B313,2)+1),H8:H313),0)</f>
        <v/>
      </c>
      <c r="Q313" s="224">
        <f>IFERROR(O313-P313,0)</f>
        <v/>
      </c>
    </row>
    <row r="314" ht="16.5" customHeight="1">
      <c r="B314" s="208" t="n"/>
      <c r="C314" s="29">
        <f>IF(B314="","",TEXT(B314,"DDD"))</f>
        <v/>
      </c>
      <c r="D314" s="30">
        <f>IF(B314="","","Soft App")</f>
        <v/>
      </c>
      <c r="E314" s="209" t="n"/>
      <c r="F314" s="210" t="n"/>
      <c r="G314" s="211">
        <f>IFERROR(E314/F314,0)</f>
        <v/>
      </c>
      <c r="H314" s="212">
        <f>IFERROR(SUMIF('💸 Expenses'!B9:B508,B314,'💸 Expenses'!F9:F508),0)</f>
        <v/>
      </c>
      <c r="I314" s="213">
        <f>IFERROR(E314-H314,0)</f>
        <v/>
      </c>
      <c r="J314" s="214">
        <f>IFERROR(I314/E314,0)</f>
        <v/>
      </c>
      <c r="K314" s="37" t="n"/>
      <c r="L314" s="187">
        <f>IFERROR(L313+E314,0)</f>
        <v/>
      </c>
      <c r="M314" s="190">
        <f>IFERROR(M313+H314,0)</f>
        <v/>
      </c>
      <c r="N314" s="215">
        <f>IFERROR(L314-M314,0)</f>
        <v/>
      </c>
      <c r="O314" s="216">
        <f>IFERROR(SUMIF(B8:B314,"&gt;="&amp;(B314-WEEKDAY(B314,2)+1),E8:E314),0)</f>
        <v/>
      </c>
      <c r="P314" s="217">
        <f>IFERROR(SUMIF(B8:B314,"&gt;="&amp;(B314-WEEKDAY(B314,2)+1),H8:H314),0)</f>
        <v/>
      </c>
      <c r="Q314" s="215">
        <f>IFERROR(O314-P314,0)</f>
        <v/>
      </c>
    </row>
    <row r="315" ht="16.5" customHeight="1">
      <c r="B315" s="208" t="n"/>
      <c r="C315" s="41">
        <f>IF(B315="","",TEXT(B315,"DDD"))</f>
        <v/>
      </c>
      <c r="D315" s="42">
        <f>IF(B315="","","Soft App")</f>
        <v/>
      </c>
      <c r="E315" s="218" t="n"/>
      <c r="F315" s="219" t="n"/>
      <c r="G315" s="220">
        <f>IFERROR(E315/F315,0)</f>
        <v/>
      </c>
      <c r="H315" s="221">
        <f>IFERROR(SUMIF('💸 Expenses'!B9:B508,B315,'💸 Expenses'!F9:F508),0)</f>
        <v/>
      </c>
      <c r="I315" s="222">
        <f>IFERROR(E315-H315,0)</f>
        <v/>
      </c>
      <c r="J315" s="223">
        <f>IFERROR(I315/E315,0)</f>
        <v/>
      </c>
      <c r="K315" s="49" t="n"/>
      <c r="L315" s="193">
        <f>IFERROR(L314+E315,0)</f>
        <v/>
      </c>
      <c r="M315" s="196">
        <f>IFERROR(M314+H315,0)</f>
        <v/>
      </c>
      <c r="N315" s="224">
        <f>IFERROR(L315-M315,0)</f>
        <v/>
      </c>
      <c r="O315" s="225">
        <f>IFERROR(SUMIF(B8:B315,"&gt;="&amp;(B315-WEEKDAY(B315,2)+1),E8:E315),0)</f>
        <v/>
      </c>
      <c r="P315" s="226">
        <f>IFERROR(SUMIF(B8:B315,"&gt;="&amp;(B315-WEEKDAY(B315,2)+1),H8:H315),0)</f>
        <v/>
      </c>
      <c r="Q315" s="224">
        <f>IFERROR(O315-P315,0)</f>
        <v/>
      </c>
    </row>
    <row r="316" ht="16.5" customHeight="1">
      <c r="B316" s="208" t="n"/>
      <c r="C316" s="29">
        <f>IF(B316="","",TEXT(B316,"DDD"))</f>
        <v/>
      </c>
      <c r="D316" s="30">
        <f>IF(B316="","","Soft App")</f>
        <v/>
      </c>
      <c r="E316" s="209" t="n"/>
      <c r="F316" s="210" t="n"/>
      <c r="G316" s="211">
        <f>IFERROR(E316/F316,0)</f>
        <v/>
      </c>
      <c r="H316" s="212">
        <f>IFERROR(SUMIF('💸 Expenses'!B9:B508,B316,'💸 Expenses'!F9:F508),0)</f>
        <v/>
      </c>
      <c r="I316" s="213">
        <f>IFERROR(E316-H316,0)</f>
        <v/>
      </c>
      <c r="J316" s="214">
        <f>IFERROR(I316/E316,0)</f>
        <v/>
      </c>
      <c r="K316" s="37" t="n"/>
      <c r="L316" s="187">
        <f>IFERROR(L315+E316,0)</f>
        <v/>
      </c>
      <c r="M316" s="190">
        <f>IFERROR(M315+H316,0)</f>
        <v/>
      </c>
      <c r="N316" s="215">
        <f>IFERROR(L316-M316,0)</f>
        <v/>
      </c>
      <c r="O316" s="216">
        <f>IFERROR(SUMIF(B8:B316,"&gt;="&amp;(B316-WEEKDAY(B316,2)+1),E8:E316),0)</f>
        <v/>
      </c>
      <c r="P316" s="217">
        <f>IFERROR(SUMIF(B8:B316,"&gt;="&amp;(B316-WEEKDAY(B316,2)+1),H8:H316),0)</f>
        <v/>
      </c>
      <c r="Q316" s="215">
        <f>IFERROR(O316-P316,0)</f>
        <v/>
      </c>
    </row>
    <row r="317" ht="16.5" customHeight="1">
      <c r="B317" s="208" t="n"/>
      <c r="C317" s="41">
        <f>IF(B317="","",TEXT(B317,"DDD"))</f>
        <v/>
      </c>
      <c r="D317" s="42">
        <f>IF(B317="","","Soft App")</f>
        <v/>
      </c>
      <c r="E317" s="218" t="n"/>
      <c r="F317" s="219" t="n"/>
      <c r="G317" s="220">
        <f>IFERROR(E317/F317,0)</f>
        <v/>
      </c>
      <c r="H317" s="221">
        <f>IFERROR(SUMIF('💸 Expenses'!B9:B508,B317,'💸 Expenses'!F9:F508),0)</f>
        <v/>
      </c>
      <c r="I317" s="222">
        <f>IFERROR(E317-H317,0)</f>
        <v/>
      </c>
      <c r="J317" s="223">
        <f>IFERROR(I317/E317,0)</f>
        <v/>
      </c>
      <c r="K317" s="49" t="n"/>
      <c r="L317" s="193">
        <f>IFERROR(L316+E317,0)</f>
        <v/>
      </c>
      <c r="M317" s="196">
        <f>IFERROR(M316+H317,0)</f>
        <v/>
      </c>
      <c r="N317" s="224">
        <f>IFERROR(L317-M317,0)</f>
        <v/>
      </c>
      <c r="O317" s="225">
        <f>IFERROR(SUMIF(B8:B317,"&gt;="&amp;(B317-WEEKDAY(B317,2)+1),E8:E317),0)</f>
        <v/>
      </c>
      <c r="P317" s="226">
        <f>IFERROR(SUMIF(B8:B317,"&gt;="&amp;(B317-WEEKDAY(B317,2)+1),H8:H317),0)</f>
        <v/>
      </c>
      <c r="Q317" s="224">
        <f>IFERROR(O317-P317,0)</f>
        <v/>
      </c>
    </row>
    <row r="318" ht="16.5" customHeight="1">
      <c r="B318" s="208" t="n"/>
      <c r="C318" s="29">
        <f>IF(B318="","",TEXT(B318,"DDD"))</f>
        <v/>
      </c>
      <c r="D318" s="30">
        <f>IF(B318="","","Soft App")</f>
        <v/>
      </c>
      <c r="E318" s="209" t="n"/>
      <c r="F318" s="210" t="n"/>
      <c r="G318" s="211">
        <f>IFERROR(E318/F318,0)</f>
        <v/>
      </c>
      <c r="H318" s="212">
        <f>IFERROR(SUMIF('💸 Expenses'!B9:B508,B318,'💸 Expenses'!F9:F508),0)</f>
        <v/>
      </c>
      <c r="I318" s="213">
        <f>IFERROR(E318-H318,0)</f>
        <v/>
      </c>
      <c r="J318" s="214">
        <f>IFERROR(I318/E318,0)</f>
        <v/>
      </c>
      <c r="K318" s="37" t="n"/>
      <c r="L318" s="187">
        <f>IFERROR(L317+E318,0)</f>
        <v/>
      </c>
      <c r="M318" s="190">
        <f>IFERROR(M317+H318,0)</f>
        <v/>
      </c>
      <c r="N318" s="215">
        <f>IFERROR(L318-M318,0)</f>
        <v/>
      </c>
      <c r="O318" s="216">
        <f>IFERROR(SUMIF(B8:B318,"&gt;="&amp;(B318-WEEKDAY(B318,2)+1),E8:E318),0)</f>
        <v/>
      </c>
      <c r="P318" s="217">
        <f>IFERROR(SUMIF(B8:B318,"&gt;="&amp;(B318-WEEKDAY(B318,2)+1),H8:H318),0)</f>
        <v/>
      </c>
      <c r="Q318" s="215">
        <f>IFERROR(O318-P318,0)</f>
        <v/>
      </c>
    </row>
    <row r="319" ht="16.5" customHeight="1">
      <c r="B319" s="208" t="n"/>
      <c r="C319" s="41">
        <f>IF(B319="","",TEXT(B319,"DDD"))</f>
        <v/>
      </c>
      <c r="D319" s="42">
        <f>IF(B319="","","Soft App")</f>
        <v/>
      </c>
      <c r="E319" s="218" t="n"/>
      <c r="F319" s="219" t="n"/>
      <c r="G319" s="220">
        <f>IFERROR(E319/F319,0)</f>
        <v/>
      </c>
      <c r="H319" s="221">
        <f>IFERROR(SUMIF('💸 Expenses'!B9:B508,B319,'💸 Expenses'!F9:F508),0)</f>
        <v/>
      </c>
      <c r="I319" s="222">
        <f>IFERROR(E319-H319,0)</f>
        <v/>
      </c>
      <c r="J319" s="223">
        <f>IFERROR(I319/E319,0)</f>
        <v/>
      </c>
      <c r="K319" s="49" t="n"/>
      <c r="L319" s="193">
        <f>IFERROR(L318+E319,0)</f>
        <v/>
      </c>
      <c r="M319" s="196">
        <f>IFERROR(M318+H319,0)</f>
        <v/>
      </c>
      <c r="N319" s="224">
        <f>IFERROR(L319-M319,0)</f>
        <v/>
      </c>
      <c r="O319" s="225">
        <f>IFERROR(SUMIF(B8:B319,"&gt;="&amp;(B319-WEEKDAY(B319,2)+1),E8:E319),0)</f>
        <v/>
      </c>
      <c r="P319" s="226">
        <f>IFERROR(SUMIF(B8:B319,"&gt;="&amp;(B319-WEEKDAY(B319,2)+1),H8:H319),0)</f>
        <v/>
      </c>
      <c r="Q319" s="224">
        <f>IFERROR(O319-P319,0)</f>
        <v/>
      </c>
    </row>
    <row r="320" ht="16.5" customHeight="1">
      <c r="B320" s="208" t="n"/>
      <c r="C320" s="29">
        <f>IF(B320="","",TEXT(B320,"DDD"))</f>
        <v/>
      </c>
      <c r="D320" s="30">
        <f>IF(B320="","","Soft App")</f>
        <v/>
      </c>
      <c r="E320" s="209" t="n"/>
      <c r="F320" s="210" t="n"/>
      <c r="G320" s="211">
        <f>IFERROR(E320/F320,0)</f>
        <v/>
      </c>
      <c r="H320" s="212">
        <f>IFERROR(SUMIF('💸 Expenses'!B9:B508,B320,'💸 Expenses'!F9:F508),0)</f>
        <v/>
      </c>
      <c r="I320" s="213">
        <f>IFERROR(E320-H320,0)</f>
        <v/>
      </c>
      <c r="J320" s="214">
        <f>IFERROR(I320/E320,0)</f>
        <v/>
      </c>
      <c r="K320" s="37" t="n"/>
      <c r="L320" s="187">
        <f>IFERROR(L319+E320,0)</f>
        <v/>
      </c>
      <c r="M320" s="190">
        <f>IFERROR(M319+H320,0)</f>
        <v/>
      </c>
      <c r="N320" s="215">
        <f>IFERROR(L320-M320,0)</f>
        <v/>
      </c>
      <c r="O320" s="216">
        <f>IFERROR(SUMIF(B8:B320,"&gt;="&amp;(B320-WEEKDAY(B320,2)+1),E8:E320),0)</f>
        <v/>
      </c>
      <c r="P320" s="217">
        <f>IFERROR(SUMIF(B8:B320,"&gt;="&amp;(B320-WEEKDAY(B320,2)+1),H8:H320),0)</f>
        <v/>
      </c>
      <c r="Q320" s="215">
        <f>IFERROR(O320-P320,0)</f>
        <v/>
      </c>
    </row>
    <row r="321" ht="16.5" customHeight="1">
      <c r="B321" s="208" t="n"/>
      <c r="C321" s="41">
        <f>IF(B321="","",TEXT(B321,"DDD"))</f>
        <v/>
      </c>
      <c r="D321" s="42">
        <f>IF(B321="","","Soft App")</f>
        <v/>
      </c>
      <c r="E321" s="218" t="n"/>
      <c r="F321" s="219" t="n"/>
      <c r="G321" s="220">
        <f>IFERROR(E321/F321,0)</f>
        <v/>
      </c>
      <c r="H321" s="221">
        <f>IFERROR(SUMIF('💸 Expenses'!B9:B508,B321,'💸 Expenses'!F9:F508),0)</f>
        <v/>
      </c>
      <c r="I321" s="222">
        <f>IFERROR(E321-H321,0)</f>
        <v/>
      </c>
      <c r="J321" s="223">
        <f>IFERROR(I321/E321,0)</f>
        <v/>
      </c>
      <c r="K321" s="49" t="n"/>
      <c r="L321" s="193">
        <f>IFERROR(L320+E321,0)</f>
        <v/>
      </c>
      <c r="M321" s="196">
        <f>IFERROR(M320+H321,0)</f>
        <v/>
      </c>
      <c r="N321" s="224">
        <f>IFERROR(L321-M321,0)</f>
        <v/>
      </c>
      <c r="O321" s="225">
        <f>IFERROR(SUMIF(B8:B321,"&gt;="&amp;(B321-WEEKDAY(B321,2)+1),E8:E321),0)</f>
        <v/>
      </c>
      <c r="P321" s="226">
        <f>IFERROR(SUMIF(B8:B321,"&gt;="&amp;(B321-WEEKDAY(B321,2)+1),H8:H321),0)</f>
        <v/>
      </c>
      <c r="Q321" s="224">
        <f>IFERROR(O321-P321,0)</f>
        <v/>
      </c>
    </row>
    <row r="322" ht="16.5" customHeight="1">
      <c r="B322" s="208" t="n"/>
      <c r="C322" s="29">
        <f>IF(B322="","",TEXT(B322,"DDD"))</f>
        <v/>
      </c>
      <c r="D322" s="30">
        <f>IF(B322="","","Soft App")</f>
        <v/>
      </c>
      <c r="E322" s="209" t="n"/>
      <c r="F322" s="210" t="n"/>
      <c r="G322" s="211">
        <f>IFERROR(E322/F322,0)</f>
        <v/>
      </c>
      <c r="H322" s="212">
        <f>IFERROR(SUMIF('💸 Expenses'!B9:B508,B322,'💸 Expenses'!F9:F508),0)</f>
        <v/>
      </c>
      <c r="I322" s="213">
        <f>IFERROR(E322-H322,0)</f>
        <v/>
      </c>
      <c r="J322" s="214">
        <f>IFERROR(I322/E322,0)</f>
        <v/>
      </c>
      <c r="K322" s="37" t="n"/>
      <c r="L322" s="187">
        <f>IFERROR(L321+E322,0)</f>
        <v/>
      </c>
      <c r="M322" s="190">
        <f>IFERROR(M321+H322,0)</f>
        <v/>
      </c>
      <c r="N322" s="215">
        <f>IFERROR(L322-M322,0)</f>
        <v/>
      </c>
      <c r="O322" s="216">
        <f>IFERROR(SUMIF(B8:B322,"&gt;="&amp;(B322-WEEKDAY(B322,2)+1),E8:E322),0)</f>
        <v/>
      </c>
      <c r="P322" s="217">
        <f>IFERROR(SUMIF(B8:B322,"&gt;="&amp;(B322-WEEKDAY(B322,2)+1),H8:H322),0)</f>
        <v/>
      </c>
      <c r="Q322" s="215">
        <f>IFERROR(O322-P322,0)</f>
        <v/>
      </c>
    </row>
    <row r="323" ht="16.5" customHeight="1">
      <c r="B323" s="208" t="n"/>
      <c r="C323" s="41">
        <f>IF(B323="","",TEXT(B323,"DDD"))</f>
        <v/>
      </c>
      <c r="D323" s="42">
        <f>IF(B323="","","Soft App")</f>
        <v/>
      </c>
      <c r="E323" s="218" t="n"/>
      <c r="F323" s="219" t="n"/>
      <c r="G323" s="220">
        <f>IFERROR(E323/F323,0)</f>
        <v/>
      </c>
      <c r="H323" s="221">
        <f>IFERROR(SUMIF('💸 Expenses'!B9:B508,B323,'💸 Expenses'!F9:F508),0)</f>
        <v/>
      </c>
      <c r="I323" s="222">
        <f>IFERROR(E323-H323,0)</f>
        <v/>
      </c>
      <c r="J323" s="223">
        <f>IFERROR(I323/E323,0)</f>
        <v/>
      </c>
      <c r="K323" s="49" t="n"/>
      <c r="L323" s="193">
        <f>IFERROR(L322+E323,0)</f>
        <v/>
      </c>
      <c r="M323" s="196">
        <f>IFERROR(M322+H323,0)</f>
        <v/>
      </c>
      <c r="N323" s="224">
        <f>IFERROR(L323-M323,0)</f>
        <v/>
      </c>
      <c r="O323" s="225">
        <f>IFERROR(SUMIF(B8:B323,"&gt;="&amp;(B323-WEEKDAY(B323,2)+1),E8:E323),0)</f>
        <v/>
      </c>
      <c r="P323" s="226">
        <f>IFERROR(SUMIF(B8:B323,"&gt;="&amp;(B323-WEEKDAY(B323,2)+1),H8:H323),0)</f>
        <v/>
      </c>
      <c r="Q323" s="224">
        <f>IFERROR(O323-P323,0)</f>
        <v/>
      </c>
    </row>
    <row r="324" ht="16.5" customHeight="1">
      <c r="B324" s="208" t="n"/>
      <c r="C324" s="29">
        <f>IF(B324="","",TEXT(B324,"DDD"))</f>
        <v/>
      </c>
      <c r="D324" s="30">
        <f>IF(B324="","","Soft App")</f>
        <v/>
      </c>
      <c r="E324" s="209" t="n"/>
      <c r="F324" s="210" t="n"/>
      <c r="G324" s="211">
        <f>IFERROR(E324/F324,0)</f>
        <v/>
      </c>
      <c r="H324" s="212">
        <f>IFERROR(SUMIF('💸 Expenses'!B9:B508,B324,'💸 Expenses'!F9:F508),0)</f>
        <v/>
      </c>
      <c r="I324" s="213">
        <f>IFERROR(E324-H324,0)</f>
        <v/>
      </c>
      <c r="J324" s="214">
        <f>IFERROR(I324/E324,0)</f>
        <v/>
      </c>
      <c r="K324" s="37" t="n"/>
      <c r="L324" s="187">
        <f>IFERROR(L323+E324,0)</f>
        <v/>
      </c>
      <c r="M324" s="190">
        <f>IFERROR(M323+H324,0)</f>
        <v/>
      </c>
      <c r="N324" s="215">
        <f>IFERROR(L324-M324,0)</f>
        <v/>
      </c>
      <c r="O324" s="216">
        <f>IFERROR(SUMIF(B8:B324,"&gt;="&amp;(B324-WEEKDAY(B324,2)+1),E8:E324),0)</f>
        <v/>
      </c>
      <c r="P324" s="217">
        <f>IFERROR(SUMIF(B8:B324,"&gt;="&amp;(B324-WEEKDAY(B324,2)+1),H8:H324),0)</f>
        <v/>
      </c>
      <c r="Q324" s="215">
        <f>IFERROR(O324-P324,0)</f>
        <v/>
      </c>
    </row>
    <row r="325" ht="16.5" customHeight="1">
      <c r="B325" s="208" t="n"/>
      <c r="C325" s="41">
        <f>IF(B325="","",TEXT(B325,"DDD"))</f>
        <v/>
      </c>
      <c r="D325" s="42">
        <f>IF(B325="","","Soft App")</f>
        <v/>
      </c>
      <c r="E325" s="218" t="n"/>
      <c r="F325" s="219" t="n"/>
      <c r="G325" s="220">
        <f>IFERROR(E325/F325,0)</f>
        <v/>
      </c>
      <c r="H325" s="221">
        <f>IFERROR(SUMIF('💸 Expenses'!B9:B508,B325,'💸 Expenses'!F9:F508),0)</f>
        <v/>
      </c>
      <c r="I325" s="222">
        <f>IFERROR(E325-H325,0)</f>
        <v/>
      </c>
      <c r="J325" s="223">
        <f>IFERROR(I325/E325,0)</f>
        <v/>
      </c>
      <c r="K325" s="49" t="n"/>
      <c r="L325" s="193">
        <f>IFERROR(L324+E325,0)</f>
        <v/>
      </c>
      <c r="M325" s="196">
        <f>IFERROR(M324+H325,0)</f>
        <v/>
      </c>
      <c r="N325" s="224">
        <f>IFERROR(L325-M325,0)</f>
        <v/>
      </c>
      <c r="O325" s="225">
        <f>IFERROR(SUMIF(B8:B325,"&gt;="&amp;(B325-WEEKDAY(B325,2)+1),E8:E325),0)</f>
        <v/>
      </c>
      <c r="P325" s="226">
        <f>IFERROR(SUMIF(B8:B325,"&gt;="&amp;(B325-WEEKDAY(B325,2)+1),H8:H325),0)</f>
        <v/>
      </c>
      <c r="Q325" s="224">
        <f>IFERROR(O325-P325,0)</f>
        <v/>
      </c>
    </row>
    <row r="326" ht="16.5" customHeight="1">
      <c r="B326" s="208" t="n"/>
      <c r="C326" s="29">
        <f>IF(B326="","",TEXT(B326,"DDD"))</f>
        <v/>
      </c>
      <c r="D326" s="30">
        <f>IF(B326="","","Soft App")</f>
        <v/>
      </c>
      <c r="E326" s="209" t="n"/>
      <c r="F326" s="210" t="n"/>
      <c r="G326" s="211">
        <f>IFERROR(E326/F326,0)</f>
        <v/>
      </c>
      <c r="H326" s="212">
        <f>IFERROR(SUMIF('💸 Expenses'!B9:B508,B326,'💸 Expenses'!F9:F508),0)</f>
        <v/>
      </c>
      <c r="I326" s="213">
        <f>IFERROR(E326-H326,0)</f>
        <v/>
      </c>
      <c r="J326" s="214">
        <f>IFERROR(I326/E326,0)</f>
        <v/>
      </c>
      <c r="K326" s="37" t="n"/>
      <c r="L326" s="187">
        <f>IFERROR(L325+E326,0)</f>
        <v/>
      </c>
      <c r="M326" s="190">
        <f>IFERROR(M325+H326,0)</f>
        <v/>
      </c>
      <c r="N326" s="215">
        <f>IFERROR(L326-M326,0)</f>
        <v/>
      </c>
      <c r="O326" s="216">
        <f>IFERROR(SUMIF(B8:B326,"&gt;="&amp;(B326-WEEKDAY(B326,2)+1),E8:E326),0)</f>
        <v/>
      </c>
      <c r="P326" s="217">
        <f>IFERROR(SUMIF(B8:B326,"&gt;="&amp;(B326-WEEKDAY(B326,2)+1),H8:H326),0)</f>
        <v/>
      </c>
      <c r="Q326" s="215">
        <f>IFERROR(O326-P326,0)</f>
        <v/>
      </c>
    </row>
    <row r="327" ht="16.5" customHeight="1">
      <c r="B327" s="208" t="n"/>
      <c r="C327" s="41">
        <f>IF(B327="","",TEXT(B327,"DDD"))</f>
        <v/>
      </c>
      <c r="D327" s="42">
        <f>IF(B327="","","Soft App")</f>
        <v/>
      </c>
      <c r="E327" s="218" t="n"/>
      <c r="F327" s="219" t="n"/>
      <c r="G327" s="220">
        <f>IFERROR(E327/F327,0)</f>
        <v/>
      </c>
      <c r="H327" s="221">
        <f>IFERROR(SUMIF('💸 Expenses'!B9:B508,B327,'💸 Expenses'!F9:F508),0)</f>
        <v/>
      </c>
      <c r="I327" s="222">
        <f>IFERROR(E327-H327,0)</f>
        <v/>
      </c>
      <c r="J327" s="223">
        <f>IFERROR(I327/E327,0)</f>
        <v/>
      </c>
      <c r="K327" s="49" t="n"/>
      <c r="L327" s="193">
        <f>IFERROR(L326+E327,0)</f>
        <v/>
      </c>
      <c r="M327" s="196">
        <f>IFERROR(M326+H327,0)</f>
        <v/>
      </c>
      <c r="N327" s="224">
        <f>IFERROR(L327-M327,0)</f>
        <v/>
      </c>
      <c r="O327" s="225">
        <f>IFERROR(SUMIF(B8:B327,"&gt;="&amp;(B327-WEEKDAY(B327,2)+1),E8:E327),0)</f>
        <v/>
      </c>
      <c r="P327" s="226">
        <f>IFERROR(SUMIF(B8:B327,"&gt;="&amp;(B327-WEEKDAY(B327,2)+1),H8:H327),0)</f>
        <v/>
      </c>
      <c r="Q327" s="224">
        <f>IFERROR(O327-P327,0)</f>
        <v/>
      </c>
    </row>
    <row r="328" ht="16.5" customHeight="1">
      <c r="B328" s="208" t="n"/>
      <c r="C328" s="29">
        <f>IF(B328="","",TEXT(B328,"DDD"))</f>
        <v/>
      </c>
      <c r="D328" s="30">
        <f>IF(B328="","","Soft App")</f>
        <v/>
      </c>
      <c r="E328" s="209" t="n"/>
      <c r="F328" s="210" t="n"/>
      <c r="G328" s="211">
        <f>IFERROR(E328/F328,0)</f>
        <v/>
      </c>
      <c r="H328" s="212">
        <f>IFERROR(SUMIF('💸 Expenses'!B9:B508,B328,'💸 Expenses'!F9:F508),0)</f>
        <v/>
      </c>
      <c r="I328" s="213">
        <f>IFERROR(E328-H328,0)</f>
        <v/>
      </c>
      <c r="J328" s="214">
        <f>IFERROR(I328/E328,0)</f>
        <v/>
      </c>
      <c r="K328" s="37" t="n"/>
      <c r="L328" s="187">
        <f>IFERROR(L327+E328,0)</f>
        <v/>
      </c>
      <c r="M328" s="190">
        <f>IFERROR(M327+H328,0)</f>
        <v/>
      </c>
      <c r="N328" s="215">
        <f>IFERROR(L328-M328,0)</f>
        <v/>
      </c>
      <c r="O328" s="216">
        <f>IFERROR(SUMIF(B8:B328,"&gt;="&amp;(B328-WEEKDAY(B328,2)+1),E8:E328),0)</f>
        <v/>
      </c>
      <c r="P328" s="217">
        <f>IFERROR(SUMIF(B8:B328,"&gt;="&amp;(B328-WEEKDAY(B328,2)+1),H8:H328),0)</f>
        <v/>
      </c>
      <c r="Q328" s="215">
        <f>IFERROR(O328-P328,0)</f>
        <v/>
      </c>
    </row>
    <row r="329" ht="16.5" customHeight="1">
      <c r="B329" s="208" t="n"/>
      <c r="C329" s="41">
        <f>IF(B329="","",TEXT(B329,"DDD"))</f>
        <v/>
      </c>
      <c r="D329" s="42">
        <f>IF(B329="","","Soft App")</f>
        <v/>
      </c>
      <c r="E329" s="218" t="n"/>
      <c r="F329" s="219" t="n"/>
      <c r="G329" s="220">
        <f>IFERROR(E329/F329,0)</f>
        <v/>
      </c>
      <c r="H329" s="221">
        <f>IFERROR(SUMIF('💸 Expenses'!B9:B508,B329,'💸 Expenses'!F9:F508),0)</f>
        <v/>
      </c>
      <c r="I329" s="222">
        <f>IFERROR(E329-H329,0)</f>
        <v/>
      </c>
      <c r="J329" s="223">
        <f>IFERROR(I329/E329,0)</f>
        <v/>
      </c>
      <c r="K329" s="49" t="n"/>
      <c r="L329" s="193">
        <f>IFERROR(L328+E329,0)</f>
        <v/>
      </c>
      <c r="M329" s="196">
        <f>IFERROR(M328+H329,0)</f>
        <v/>
      </c>
      <c r="N329" s="224">
        <f>IFERROR(L329-M329,0)</f>
        <v/>
      </c>
      <c r="O329" s="225">
        <f>IFERROR(SUMIF(B8:B329,"&gt;="&amp;(B329-WEEKDAY(B329,2)+1),E8:E329),0)</f>
        <v/>
      </c>
      <c r="P329" s="226">
        <f>IFERROR(SUMIF(B8:B329,"&gt;="&amp;(B329-WEEKDAY(B329,2)+1),H8:H329),0)</f>
        <v/>
      </c>
      <c r="Q329" s="224">
        <f>IFERROR(O329-P329,0)</f>
        <v/>
      </c>
    </row>
    <row r="330" ht="16.5" customHeight="1">
      <c r="B330" s="208" t="n"/>
      <c r="C330" s="29">
        <f>IF(B330="","",TEXT(B330,"DDD"))</f>
        <v/>
      </c>
      <c r="D330" s="30">
        <f>IF(B330="","","Soft App")</f>
        <v/>
      </c>
      <c r="E330" s="209" t="n"/>
      <c r="F330" s="210" t="n"/>
      <c r="G330" s="211">
        <f>IFERROR(E330/F330,0)</f>
        <v/>
      </c>
      <c r="H330" s="212">
        <f>IFERROR(SUMIF('💸 Expenses'!B9:B508,B330,'💸 Expenses'!F9:F508),0)</f>
        <v/>
      </c>
      <c r="I330" s="213">
        <f>IFERROR(E330-H330,0)</f>
        <v/>
      </c>
      <c r="J330" s="214">
        <f>IFERROR(I330/E330,0)</f>
        <v/>
      </c>
      <c r="K330" s="37" t="n"/>
      <c r="L330" s="187">
        <f>IFERROR(L329+E330,0)</f>
        <v/>
      </c>
      <c r="M330" s="190">
        <f>IFERROR(M329+H330,0)</f>
        <v/>
      </c>
      <c r="N330" s="215">
        <f>IFERROR(L330-M330,0)</f>
        <v/>
      </c>
      <c r="O330" s="216">
        <f>IFERROR(SUMIF(B8:B330,"&gt;="&amp;(B330-WEEKDAY(B330,2)+1),E8:E330),0)</f>
        <v/>
      </c>
      <c r="P330" s="217">
        <f>IFERROR(SUMIF(B8:B330,"&gt;="&amp;(B330-WEEKDAY(B330,2)+1),H8:H330),0)</f>
        <v/>
      </c>
      <c r="Q330" s="215">
        <f>IFERROR(O330-P330,0)</f>
        <v/>
      </c>
    </row>
    <row r="331" ht="16.5" customHeight="1">
      <c r="B331" s="208" t="n"/>
      <c r="C331" s="41">
        <f>IF(B331="","",TEXT(B331,"DDD"))</f>
        <v/>
      </c>
      <c r="D331" s="42">
        <f>IF(B331="","","Soft App")</f>
        <v/>
      </c>
      <c r="E331" s="218" t="n"/>
      <c r="F331" s="219" t="n"/>
      <c r="G331" s="220">
        <f>IFERROR(E331/F331,0)</f>
        <v/>
      </c>
      <c r="H331" s="221">
        <f>IFERROR(SUMIF('💸 Expenses'!B9:B508,B331,'💸 Expenses'!F9:F508),0)</f>
        <v/>
      </c>
      <c r="I331" s="222">
        <f>IFERROR(E331-H331,0)</f>
        <v/>
      </c>
      <c r="J331" s="223">
        <f>IFERROR(I331/E331,0)</f>
        <v/>
      </c>
      <c r="K331" s="49" t="n"/>
      <c r="L331" s="193">
        <f>IFERROR(L330+E331,0)</f>
        <v/>
      </c>
      <c r="M331" s="196">
        <f>IFERROR(M330+H331,0)</f>
        <v/>
      </c>
      <c r="N331" s="224">
        <f>IFERROR(L331-M331,0)</f>
        <v/>
      </c>
      <c r="O331" s="225">
        <f>IFERROR(SUMIF(B8:B331,"&gt;="&amp;(B331-WEEKDAY(B331,2)+1),E8:E331),0)</f>
        <v/>
      </c>
      <c r="P331" s="226">
        <f>IFERROR(SUMIF(B8:B331,"&gt;="&amp;(B331-WEEKDAY(B331,2)+1),H8:H331),0)</f>
        <v/>
      </c>
      <c r="Q331" s="224">
        <f>IFERROR(O331-P331,0)</f>
        <v/>
      </c>
    </row>
    <row r="332" ht="16.5" customHeight="1">
      <c r="B332" s="208" t="n"/>
      <c r="C332" s="29">
        <f>IF(B332="","",TEXT(B332,"DDD"))</f>
        <v/>
      </c>
      <c r="D332" s="30">
        <f>IF(B332="","","Soft App")</f>
        <v/>
      </c>
      <c r="E332" s="209" t="n"/>
      <c r="F332" s="210" t="n"/>
      <c r="G332" s="211">
        <f>IFERROR(E332/F332,0)</f>
        <v/>
      </c>
      <c r="H332" s="212">
        <f>IFERROR(SUMIF('💸 Expenses'!B9:B508,B332,'💸 Expenses'!F9:F508),0)</f>
        <v/>
      </c>
      <c r="I332" s="213">
        <f>IFERROR(E332-H332,0)</f>
        <v/>
      </c>
      <c r="J332" s="214">
        <f>IFERROR(I332/E332,0)</f>
        <v/>
      </c>
      <c r="K332" s="37" t="n"/>
      <c r="L332" s="187">
        <f>IFERROR(L331+E332,0)</f>
        <v/>
      </c>
      <c r="M332" s="190">
        <f>IFERROR(M331+H332,0)</f>
        <v/>
      </c>
      <c r="N332" s="215">
        <f>IFERROR(L332-M332,0)</f>
        <v/>
      </c>
      <c r="O332" s="216">
        <f>IFERROR(SUMIF(B8:B332,"&gt;="&amp;(B332-WEEKDAY(B332,2)+1),E8:E332),0)</f>
        <v/>
      </c>
      <c r="P332" s="217">
        <f>IFERROR(SUMIF(B8:B332,"&gt;="&amp;(B332-WEEKDAY(B332,2)+1),H8:H332),0)</f>
        <v/>
      </c>
      <c r="Q332" s="215">
        <f>IFERROR(O332-P332,0)</f>
        <v/>
      </c>
    </row>
    <row r="333" ht="16.5" customHeight="1">
      <c r="B333" s="208" t="n"/>
      <c r="C333" s="41">
        <f>IF(B333="","",TEXT(B333,"DDD"))</f>
        <v/>
      </c>
      <c r="D333" s="42">
        <f>IF(B333="","","Soft App")</f>
        <v/>
      </c>
      <c r="E333" s="218" t="n"/>
      <c r="F333" s="219" t="n"/>
      <c r="G333" s="220">
        <f>IFERROR(E333/F333,0)</f>
        <v/>
      </c>
      <c r="H333" s="221">
        <f>IFERROR(SUMIF('💸 Expenses'!B9:B508,B333,'💸 Expenses'!F9:F508),0)</f>
        <v/>
      </c>
      <c r="I333" s="222">
        <f>IFERROR(E333-H333,0)</f>
        <v/>
      </c>
      <c r="J333" s="223">
        <f>IFERROR(I333/E333,0)</f>
        <v/>
      </c>
      <c r="K333" s="49" t="n"/>
      <c r="L333" s="193">
        <f>IFERROR(L332+E333,0)</f>
        <v/>
      </c>
      <c r="M333" s="196">
        <f>IFERROR(M332+H333,0)</f>
        <v/>
      </c>
      <c r="N333" s="224">
        <f>IFERROR(L333-M333,0)</f>
        <v/>
      </c>
      <c r="O333" s="225">
        <f>IFERROR(SUMIF(B8:B333,"&gt;="&amp;(B333-WEEKDAY(B333,2)+1),E8:E333),0)</f>
        <v/>
      </c>
      <c r="P333" s="226">
        <f>IFERROR(SUMIF(B8:B333,"&gt;="&amp;(B333-WEEKDAY(B333,2)+1),H8:H333),0)</f>
        <v/>
      </c>
      <c r="Q333" s="224">
        <f>IFERROR(O333-P333,0)</f>
        <v/>
      </c>
    </row>
    <row r="334" ht="16.5" customHeight="1">
      <c r="B334" s="208" t="n"/>
      <c r="C334" s="29">
        <f>IF(B334="","",TEXT(B334,"DDD"))</f>
        <v/>
      </c>
      <c r="D334" s="30">
        <f>IF(B334="","","Soft App")</f>
        <v/>
      </c>
      <c r="E334" s="209" t="n"/>
      <c r="F334" s="210" t="n"/>
      <c r="G334" s="211">
        <f>IFERROR(E334/F334,0)</f>
        <v/>
      </c>
      <c r="H334" s="212">
        <f>IFERROR(SUMIF('💸 Expenses'!B9:B508,B334,'💸 Expenses'!F9:F508),0)</f>
        <v/>
      </c>
      <c r="I334" s="213">
        <f>IFERROR(E334-H334,0)</f>
        <v/>
      </c>
      <c r="J334" s="214">
        <f>IFERROR(I334/E334,0)</f>
        <v/>
      </c>
      <c r="K334" s="37" t="n"/>
      <c r="L334" s="187">
        <f>IFERROR(L333+E334,0)</f>
        <v/>
      </c>
      <c r="M334" s="190">
        <f>IFERROR(M333+H334,0)</f>
        <v/>
      </c>
      <c r="N334" s="215">
        <f>IFERROR(L334-M334,0)</f>
        <v/>
      </c>
      <c r="O334" s="216">
        <f>IFERROR(SUMIF(B8:B334,"&gt;="&amp;(B334-WEEKDAY(B334,2)+1),E8:E334),0)</f>
        <v/>
      </c>
      <c r="P334" s="217">
        <f>IFERROR(SUMIF(B8:B334,"&gt;="&amp;(B334-WEEKDAY(B334,2)+1),H8:H334),0)</f>
        <v/>
      </c>
      <c r="Q334" s="215">
        <f>IFERROR(O334-P334,0)</f>
        <v/>
      </c>
    </row>
    <row r="335" ht="16.5" customHeight="1">
      <c r="B335" s="208" t="n"/>
      <c r="C335" s="41">
        <f>IF(B335="","",TEXT(B335,"DDD"))</f>
        <v/>
      </c>
      <c r="D335" s="42">
        <f>IF(B335="","","Soft App")</f>
        <v/>
      </c>
      <c r="E335" s="218" t="n"/>
      <c r="F335" s="219" t="n"/>
      <c r="G335" s="220">
        <f>IFERROR(E335/F335,0)</f>
        <v/>
      </c>
      <c r="H335" s="221">
        <f>IFERROR(SUMIF('💸 Expenses'!B9:B508,B335,'💸 Expenses'!F9:F508),0)</f>
        <v/>
      </c>
      <c r="I335" s="222">
        <f>IFERROR(E335-H335,0)</f>
        <v/>
      </c>
      <c r="J335" s="223">
        <f>IFERROR(I335/E335,0)</f>
        <v/>
      </c>
      <c r="K335" s="49" t="n"/>
      <c r="L335" s="193">
        <f>IFERROR(L334+E335,0)</f>
        <v/>
      </c>
      <c r="M335" s="196">
        <f>IFERROR(M334+H335,0)</f>
        <v/>
      </c>
      <c r="N335" s="224">
        <f>IFERROR(L335-M335,0)</f>
        <v/>
      </c>
      <c r="O335" s="225">
        <f>IFERROR(SUMIF(B8:B335,"&gt;="&amp;(B335-WEEKDAY(B335,2)+1),E8:E335),0)</f>
        <v/>
      </c>
      <c r="P335" s="226">
        <f>IFERROR(SUMIF(B8:B335,"&gt;="&amp;(B335-WEEKDAY(B335,2)+1),H8:H335),0)</f>
        <v/>
      </c>
      <c r="Q335" s="224">
        <f>IFERROR(O335-P335,0)</f>
        <v/>
      </c>
    </row>
    <row r="336" ht="16.5" customHeight="1">
      <c r="B336" s="208" t="n"/>
      <c r="C336" s="29">
        <f>IF(B336="","",TEXT(B336,"DDD"))</f>
        <v/>
      </c>
      <c r="D336" s="30">
        <f>IF(B336="","","Soft App")</f>
        <v/>
      </c>
      <c r="E336" s="209" t="n"/>
      <c r="F336" s="210" t="n"/>
      <c r="G336" s="211">
        <f>IFERROR(E336/F336,0)</f>
        <v/>
      </c>
      <c r="H336" s="212">
        <f>IFERROR(SUMIF('💸 Expenses'!B9:B508,B336,'💸 Expenses'!F9:F508),0)</f>
        <v/>
      </c>
      <c r="I336" s="213">
        <f>IFERROR(E336-H336,0)</f>
        <v/>
      </c>
      <c r="J336" s="214">
        <f>IFERROR(I336/E336,0)</f>
        <v/>
      </c>
      <c r="K336" s="37" t="n"/>
      <c r="L336" s="187">
        <f>IFERROR(L335+E336,0)</f>
        <v/>
      </c>
      <c r="M336" s="190">
        <f>IFERROR(M335+H336,0)</f>
        <v/>
      </c>
      <c r="N336" s="215">
        <f>IFERROR(L336-M336,0)</f>
        <v/>
      </c>
      <c r="O336" s="216">
        <f>IFERROR(SUMIF(B8:B336,"&gt;="&amp;(B336-WEEKDAY(B336,2)+1),E8:E336),0)</f>
        <v/>
      </c>
      <c r="P336" s="217">
        <f>IFERROR(SUMIF(B8:B336,"&gt;="&amp;(B336-WEEKDAY(B336,2)+1),H8:H336),0)</f>
        <v/>
      </c>
      <c r="Q336" s="215">
        <f>IFERROR(O336-P336,0)</f>
        <v/>
      </c>
    </row>
    <row r="337" ht="16.5" customHeight="1">
      <c r="B337" s="208" t="n"/>
      <c r="C337" s="41">
        <f>IF(B337="","",TEXT(B337,"DDD"))</f>
        <v/>
      </c>
      <c r="D337" s="42">
        <f>IF(B337="","","Soft App")</f>
        <v/>
      </c>
      <c r="E337" s="218" t="n"/>
      <c r="F337" s="219" t="n"/>
      <c r="G337" s="220">
        <f>IFERROR(E337/F337,0)</f>
        <v/>
      </c>
      <c r="H337" s="221">
        <f>IFERROR(SUMIF('💸 Expenses'!B9:B508,B337,'💸 Expenses'!F9:F508),0)</f>
        <v/>
      </c>
      <c r="I337" s="222">
        <f>IFERROR(E337-H337,0)</f>
        <v/>
      </c>
      <c r="J337" s="223">
        <f>IFERROR(I337/E337,0)</f>
        <v/>
      </c>
      <c r="K337" s="49" t="n"/>
      <c r="L337" s="193">
        <f>IFERROR(L336+E337,0)</f>
        <v/>
      </c>
      <c r="M337" s="196">
        <f>IFERROR(M336+H337,0)</f>
        <v/>
      </c>
      <c r="N337" s="224">
        <f>IFERROR(L337-M337,0)</f>
        <v/>
      </c>
      <c r="O337" s="225">
        <f>IFERROR(SUMIF(B8:B337,"&gt;="&amp;(B337-WEEKDAY(B337,2)+1),E8:E337),0)</f>
        <v/>
      </c>
      <c r="P337" s="226">
        <f>IFERROR(SUMIF(B8:B337,"&gt;="&amp;(B337-WEEKDAY(B337,2)+1),H8:H337),0)</f>
        <v/>
      </c>
      <c r="Q337" s="224">
        <f>IFERROR(O337-P337,0)</f>
        <v/>
      </c>
    </row>
    <row r="338" ht="16.5" customHeight="1">
      <c r="B338" s="208" t="n"/>
      <c r="C338" s="29">
        <f>IF(B338="","",TEXT(B338,"DDD"))</f>
        <v/>
      </c>
      <c r="D338" s="30">
        <f>IF(B338="","","Soft App")</f>
        <v/>
      </c>
      <c r="E338" s="209" t="n"/>
      <c r="F338" s="210" t="n"/>
      <c r="G338" s="211">
        <f>IFERROR(E338/F338,0)</f>
        <v/>
      </c>
      <c r="H338" s="212">
        <f>IFERROR(SUMIF('💸 Expenses'!B9:B508,B338,'💸 Expenses'!F9:F508),0)</f>
        <v/>
      </c>
      <c r="I338" s="213">
        <f>IFERROR(E338-H338,0)</f>
        <v/>
      </c>
      <c r="J338" s="214">
        <f>IFERROR(I338/E338,0)</f>
        <v/>
      </c>
      <c r="K338" s="37" t="n"/>
      <c r="L338" s="187">
        <f>IFERROR(L337+E338,0)</f>
        <v/>
      </c>
      <c r="M338" s="190">
        <f>IFERROR(M337+H338,0)</f>
        <v/>
      </c>
      <c r="N338" s="215">
        <f>IFERROR(L338-M338,0)</f>
        <v/>
      </c>
      <c r="O338" s="216">
        <f>IFERROR(SUMIF(B8:B338,"&gt;="&amp;(B338-WEEKDAY(B338,2)+1),E8:E338),0)</f>
        <v/>
      </c>
      <c r="P338" s="217">
        <f>IFERROR(SUMIF(B8:B338,"&gt;="&amp;(B338-WEEKDAY(B338,2)+1),H8:H338),0)</f>
        <v/>
      </c>
      <c r="Q338" s="215">
        <f>IFERROR(O338-P338,0)</f>
        <v/>
      </c>
    </row>
    <row r="339" ht="16.5" customHeight="1">
      <c r="B339" s="208" t="n"/>
      <c r="C339" s="41">
        <f>IF(B339="","",TEXT(B339,"DDD"))</f>
        <v/>
      </c>
      <c r="D339" s="42">
        <f>IF(B339="","","Soft App")</f>
        <v/>
      </c>
      <c r="E339" s="218" t="n"/>
      <c r="F339" s="219" t="n"/>
      <c r="G339" s="220">
        <f>IFERROR(E339/F339,0)</f>
        <v/>
      </c>
      <c r="H339" s="221">
        <f>IFERROR(SUMIF('💸 Expenses'!B9:B508,B339,'💸 Expenses'!F9:F508),0)</f>
        <v/>
      </c>
      <c r="I339" s="222">
        <f>IFERROR(E339-H339,0)</f>
        <v/>
      </c>
      <c r="J339" s="223">
        <f>IFERROR(I339/E339,0)</f>
        <v/>
      </c>
      <c r="K339" s="49" t="n"/>
      <c r="L339" s="193">
        <f>IFERROR(L338+E339,0)</f>
        <v/>
      </c>
      <c r="M339" s="196">
        <f>IFERROR(M338+H339,0)</f>
        <v/>
      </c>
      <c r="N339" s="224">
        <f>IFERROR(L339-M339,0)</f>
        <v/>
      </c>
      <c r="O339" s="225">
        <f>IFERROR(SUMIF(B8:B339,"&gt;="&amp;(B339-WEEKDAY(B339,2)+1),E8:E339),0)</f>
        <v/>
      </c>
      <c r="P339" s="226">
        <f>IFERROR(SUMIF(B8:B339,"&gt;="&amp;(B339-WEEKDAY(B339,2)+1),H8:H339),0)</f>
        <v/>
      </c>
      <c r="Q339" s="224">
        <f>IFERROR(O339-P339,0)</f>
        <v/>
      </c>
    </row>
    <row r="340" ht="16.5" customHeight="1">
      <c r="B340" s="208" t="n"/>
      <c r="C340" s="29">
        <f>IF(B340="","",TEXT(B340,"DDD"))</f>
        <v/>
      </c>
      <c r="D340" s="30">
        <f>IF(B340="","","Soft App")</f>
        <v/>
      </c>
      <c r="E340" s="209" t="n"/>
      <c r="F340" s="210" t="n"/>
      <c r="G340" s="211">
        <f>IFERROR(E340/F340,0)</f>
        <v/>
      </c>
      <c r="H340" s="212">
        <f>IFERROR(SUMIF('💸 Expenses'!B9:B508,B340,'💸 Expenses'!F9:F508),0)</f>
        <v/>
      </c>
      <c r="I340" s="213">
        <f>IFERROR(E340-H340,0)</f>
        <v/>
      </c>
      <c r="J340" s="214">
        <f>IFERROR(I340/E340,0)</f>
        <v/>
      </c>
      <c r="K340" s="37" t="n"/>
      <c r="L340" s="187">
        <f>IFERROR(L339+E340,0)</f>
        <v/>
      </c>
      <c r="M340" s="190">
        <f>IFERROR(M339+H340,0)</f>
        <v/>
      </c>
      <c r="N340" s="215">
        <f>IFERROR(L340-M340,0)</f>
        <v/>
      </c>
      <c r="O340" s="216">
        <f>IFERROR(SUMIF(B8:B340,"&gt;="&amp;(B340-WEEKDAY(B340,2)+1),E8:E340),0)</f>
        <v/>
      </c>
      <c r="P340" s="217">
        <f>IFERROR(SUMIF(B8:B340,"&gt;="&amp;(B340-WEEKDAY(B340,2)+1),H8:H340),0)</f>
        <v/>
      </c>
      <c r="Q340" s="215">
        <f>IFERROR(O340-P340,0)</f>
        <v/>
      </c>
    </row>
    <row r="341" ht="16.5" customHeight="1">
      <c r="B341" s="208" t="n"/>
      <c r="C341" s="41">
        <f>IF(B341="","",TEXT(B341,"DDD"))</f>
        <v/>
      </c>
      <c r="D341" s="42">
        <f>IF(B341="","","Soft App")</f>
        <v/>
      </c>
      <c r="E341" s="218" t="n"/>
      <c r="F341" s="219" t="n"/>
      <c r="G341" s="220">
        <f>IFERROR(E341/F341,0)</f>
        <v/>
      </c>
      <c r="H341" s="221">
        <f>IFERROR(SUMIF('💸 Expenses'!B9:B508,B341,'💸 Expenses'!F9:F508),0)</f>
        <v/>
      </c>
      <c r="I341" s="222">
        <f>IFERROR(E341-H341,0)</f>
        <v/>
      </c>
      <c r="J341" s="223">
        <f>IFERROR(I341/E341,0)</f>
        <v/>
      </c>
      <c r="K341" s="49" t="n"/>
      <c r="L341" s="193">
        <f>IFERROR(L340+E341,0)</f>
        <v/>
      </c>
      <c r="M341" s="196">
        <f>IFERROR(M340+H341,0)</f>
        <v/>
      </c>
      <c r="N341" s="224">
        <f>IFERROR(L341-M341,0)</f>
        <v/>
      </c>
      <c r="O341" s="225">
        <f>IFERROR(SUMIF(B8:B341,"&gt;="&amp;(B341-WEEKDAY(B341,2)+1),E8:E341),0)</f>
        <v/>
      </c>
      <c r="P341" s="226">
        <f>IFERROR(SUMIF(B8:B341,"&gt;="&amp;(B341-WEEKDAY(B341,2)+1),H8:H341),0)</f>
        <v/>
      </c>
      <c r="Q341" s="224">
        <f>IFERROR(O341-P341,0)</f>
        <v/>
      </c>
    </row>
    <row r="342" ht="16.5" customHeight="1">
      <c r="B342" s="208" t="n"/>
      <c r="C342" s="29">
        <f>IF(B342="","",TEXT(B342,"DDD"))</f>
        <v/>
      </c>
      <c r="D342" s="30">
        <f>IF(B342="","","Soft App")</f>
        <v/>
      </c>
      <c r="E342" s="209" t="n"/>
      <c r="F342" s="210" t="n"/>
      <c r="G342" s="211">
        <f>IFERROR(E342/F342,0)</f>
        <v/>
      </c>
      <c r="H342" s="212">
        <f>IFERROR(SUMIF('💸 Expenses'!B9:B508,B342,'💸 Expenses'!F9:F508),0)</f>
        <v/>
      </c>
      <c r="I342" s="213">
        <f>IFERROR(E342-H342,0)</f>
        <v/>
      </c>
      <c r="J342" s="214">
        <f>IFERROR(I342/E342,0)</f>
        <v/>
      </c>
      <c r="K342" s="37" t="n"/>
      <c r="L342" s="187">
        <f>IFERROR(L341+E342,0)</f>
        <v/>
      </c>
      <c r="M342" s="190">
        <f>IFERROR(M341+H342,0)</f>
        <v/>
      </c>
      <c r="N342" s="215">
        <f>IFERROR(L342-M342,0)</f>
        <v/>
      </c>
      <c r="O342" s="216">
        <f>IFERROR(SUMIF(B8:B342,"&gt;="&amp;(B342-WEEKDAY(B342,2)+1),E8:E342),0)</f>
        <v/>
      </c>
      <c r="P342" s="217">
        <f>IFERROR(SUMIF(B8:B342,"&gt;="&amp;(B342-WEEKDAY(B342,2)+1),H8:H342),0)</f>
        <v/>
      </c>
      <c r="Q342" s="215">
        <f>IFERROR(O342-P342,0)</f>
        <v/>
      </c>
    </row>
    <row r="343" ht="16.5" customHeight="1">
      <c r="B343" s="208" t="n"/>
      <c r="C343" s="41">
        <f>IF(B343="","",TEXT(B343,"DDD"))</f>
        <v/>
      </c>
      <c r="D343" s="42">
        <f>IF(B343="","","Soft App")</f>
        <v/>
      </c>
      <c r="E343" s="218" t="n"/>
      <c r="F343" s="219" t="n"/>
      <c r="G343" s="220">
        <f>IFERROR(E343/F343,0)</f>
        <v/>
      </c>
      <c r="H343" s="221">
        <f>IFERROR(SUMIF('💸 Expenses'!B9:B508,B343,'💸 Expenses'!F9:F508),0)</f>
        <v/>
      </c>
      <c r="I343" s="222">
        <f>IFERROR(E343-H343,0)</f>
        <v/>
      </c>
      <c r="J343" s="223">
        <f>IFERROR(I343/E343,0)</f>
        <v/>
      </c>
      <c r="K343" s="49" t="n"/>
      <c r="L343" s="193">
        <f>IFERROR(L342+E343,0)</f>
        <v/>
      </c>
      <c r="M343" s="196">
        <f>IFERROR(M342+H343,0)</f>
        <v/>
      </c>
      <c r="N343" s="224">
        <f>IFERROR(L343-M343,0)</f>
        <v/>
      </c>
      <c r="O343" s="225">
        <f>IFERROR(SUMIF(B8:B343,"&gt;="&amp;(B343-WEEKDAY(B343,2)+1),E8:E343),0)</f>
        <v/>
      </c>
      <c r="P343" s="226">
        <f>IFERROR(SUMIF(B8:B343,"&gt;="&amp;(B343-WEEKDAY(B343,2)+1),H8:H343),0)</f>
        <v/>
      </c>
      <c r="Q343" s="224">
        <f>IFERROR(O343-P343,0)</f>
        <v/>
      </c>
    </row>
    <row r="344" ht="16.5" customHeight="1">
      <c r="B344" s="208" t="n"/>
      <c r="C344" s="29">
        <f>IF(B344="","",TEXT(B344,"DDD"))</f>
        <v/>
      </c>
      <c r="D344" s="30">
        <f>IF(B344="","","Soft App")</f>
        <v/>
      </c>
      <c r="E344" s="209" t="n"/>
      <c r="F344" s="210" t="n"/>
      <c r="G344" s="211">
        <f>IFERROR(E344/F344,0)</f>
        <v/>
      </c>
      <c r="H344" s="212">
        <f>IFERROR(SUMIF('💸 Expenses'!B9:B508,B344,'💸 Expenses'!F9:F508),0)</f>
        <v/>
      </c>
      <c r="I344" s="213">
        <f>IFERROR(E344-H344,0)</f>
        <v/>
      </c>
      <c r="J344" s="214">
        <f>IFERROR(I344/E344,0)</f>
        <v/>
      </c>
      <c r="K344" s="37" t="n"/>
      <c r="L344" s="187">
        <f>IFERROR(L343+E344,0)</f>
        <v/>
      </c>
      <c r="M344" s="190">
        <f>IFERROR(M343+H344,0)</f>
        <v/>
      </c>
      <c r="N344" s="215">
        <f>IFERROR(L344-M344,0)</f>
        <v/>
      </c>
      <c r="O344" s="216">
        <f>IFERROR(SUMIF(B8:B344,"&gt;="&amp;(B344-WEEKDAY(B344,2)+1),E8:E344),0)</f>
        <v/>
      </c>
      <c r="P344" s="217">
        <f>IFERROR(SUMIF(B8:B344,"&gt;="&amp;(B344-WEEKDAY(B344,2)+1),H8:H344),0)</f>
        <v/>
      </c>
      <c r="Q344" s="215">
        <f>IFERROR(O344-P344,0)</f>
        <v/>
      </c>
    </row>
    <row r="345" ht="16.5" customHeight="1">
      <c r="B345" s="208" t="n"/>
      <c r="C345" s="41">
        <f>IF(B345="","",TEXT(B345,"DDD"))</f>
        <v/>
      </c>
      <c r="D345" s="42">
        <f>IF(B345="","","Soft App")</f>
        <v/>
      </c>
      <c r="E345" s="218" t="n"/>
      <c r="F345" s="219" t="n"/>
      <c r="G345" s="220">
        <f>IFERROR(E345/F345,0)</f>
        <v/>
      </c>
      <c r="H345" s="221">
        <f>IFERROR(SUMIF('💸 Expenses'!B9:B508,B345,'💸 Expenses'!F9:F508),0)</f>
        <v/>
      </c>
      <c r="I345" s="222">
        <f>IFERROR(E345-H345,0)</f>
        <v/>
      </c>
      <c r="J345" s="223">
        <f>IFERROR(I345/E345,0)</f>
        <v/>
      </c>
      <c r="K345" s="49" t="n"/>
      <c r="L345" s="193">
        <f>IFERROR(L344+E345,0)</f>
        <v/>
      </c>
      <c r="M345" s="196">
        <f>IFERROR(M344+H345,0)</f>
        <v/>
      </c>
      <c r="N345" s="224">
        <f>IFERROR(L345-M345,0)</f>
        <v/>
      </c>
      <c r="O345" s="225">
        <f>IFERROR(SUMIF(B8:B345,"&gt;="&amp;(B345-WEEKDAY(B345,2)+1),E8:E345),0)</f>
        <v/>
      </c>
      <c r="P345" s="226">
        <f>IFERROR(SUMIF(B8:B345,"&gt;="&amp;(B345-WEEKDAY(B345,2)+1),H8:H345),0)</f>
        <v/>
      </c>
      <c r="Q345" s="224">
        <f>IFERROR(O345-P345,0)</f>
        <v/>
      </c>
    </row>
    <row r="346" ht="16.5" customHeight="1">
      <c r="B346" s="208" t="n"/>
      <c r="C346" s="29">
        <f>IF(B346="","",TEXT(B346,"DDD"))</f>
        <v/>
      </c>
      <c r="D346" s="30">
        <f>IF(B346="","","Soft App")</f>
        <v/>
      </c>
      <c r="E346" s="209" t="n"/>
      <c r="F346" s="210" t="n"/>
      <c r="G346" s="211">
        <f>IFERROR(E346/F346,0)</f>
        <v/>
      </c>
      <c r="H346" s="212">
        <f>IFERROR(SUMIF('💸 Expenses'!B9:B508,B346,'💸 Expenses'!F9:F508),0)</f>
        <v/>
      </c>
      <c r="I346" s="213">
        <f>IFERROR(E346-H346,0)</f>
        <v/>
      </c>
      <c r="J346" s="214">
        <f>IFERROR(I346/E346,0)</f>
        <v/>
      </c>
      <c r="K346" s="37" t="n"/>
      <c r="L346" s="187">
        <f>IFERROR(L345+E346,0)</f>
        <v/>
      </c>
      <c r="M346" s="190">
        <f>IFERROR(M345+H346,0)</f>
        <v/>
      </c>
      <c r="N346" s="215">
        <f>IFERROR(L346-M346,0)</f>
        <v/>
      </c>
      <c r="O346" s="216">
        <f>IFERROR(SUMIF(B8:B346,"&gt;="&amp;(B346-WEEKDAY(B346,2)+1),E8:E346),0)</f>
        <v/>
      </c>
      <c r="P346" s="217">
        <f>IFERROR(SUMIF(B8:B346,"&gt;="&amp;(B346-WEEKDAY(B346,2)+1),H8:H346),0)</f>
        <v/>
      </c>
      <c r="Q346" s="215">
        <f>IFERROR(O346-P346,0)</f>
        <v/>
      </c>
    </row>
    <row r="347" ht="16.5" customHeight="1">
      <c r="B347" s="208" t="n"/>
      <c r="C347" s="41">
        <f>IF(B347="","",TEXT(B347,"DDD"))</f>
        <v/>
      </c>
      <c r="D347" s="42">
        <f>IF(B347="","","Soft App")</f>
        <v/>
      </c>
      <c r="E347" s="218" t="n"/>
      <c r="F347" s="219" t="n"/>
      <c r="G347" s="220">
        <f>IFERROR(E347/F347,0)</f>
        <v/>
      </c>
      <c r="H347" s="221">
        <f>IFERROR(SUMIF('💸 Expenses'!B9:B508,B347,'💸 Expenses'!F9:F508),0)</f>
        <v/>
      </c>
      <c r="I347" s="222">
        <f>IFERROR(E347-H347,0)</f>
        <v/>
      </c>
      <c r="J347" s="223">
        <f>IFERROR(I347/E347,0)</f>
        <v/>
      </c>
      <c r="K347" s="49" t="n"/>
      <c r="L347" s="193">
        <f>IFERROR(L346+E347,0)</f>
        <v/>
      </c>
      <c r="M347" s="196">
        <f>IFERROR(M346+H347,0)</f>
        <v/>
      </c>
      <c r="N347" s="224">
        <f>IFERROR(L347-M347,0)</f>
        <v/>
      </c>
      <c r="O347" s="225">
        <f>IFERROR(SUMIF(B8:B347,"&gt;="&amp;(B347-WEEKDAY(B347,2)+1),E8:E347),0)</f>
        <v/>
      </c>
      <c r="P347" s="226">
        <f>IFERROR(SUMIF(B8:B347,"&gt;="&amp;(B347-WEEKDAY(B347,2)+1),H8:H347),0)</f>
        <v/>
      </c>
      <c r="Q347" s="224">
        <f>IFERROR(O347-P347,0)</f>
        <v/>
      </c>
    </row>
    <row r="348" ht="16.5" customHeight="1">
      <c r="B348" s="208" t="n"/>
      <c r="C348" s="29">
        <f>IF(B348="","",TEXT(B348,"DDD"))</f>
        <v/>
      </c>
      <c r="D348" s="30">
        <f>IF(B348="","","Soft App")</f>
        <v/>
      </c>
      <c r="E348" s="209" t="n"/>
      <c r="F348" s="210" t="n"/>
      <c r="G348" s="211">
        <f>IFERROR(E348/F348,0)</f>
        <v/>
      </c>
      <c r="H348" s="212">
        <f>IFERROR(SUMIF('💸 Expenses'!B9:B508,B348,'💸 Expenses'!F9:F508),0)</f>
        <v/>
      </c>
      <c r="I348" s="213">
        <f>IFERROR(E348-H348,0)</f>
        <v/>
      </c>
      <c r="J348" s="214">
        <f>IFERROR(I348/E348,0)</f>
        <v/>
      </c>
      <c r="K348" s="37" t="n"/>
      <c r="L348" s="187">
        <f>IFERROR(L347+E348,0)</f>
        <v/>
      </c>
      <c r="M348" s="190">
        <f>IFERROR(M347+H348,0)</f>
        <v/>
      </c>
      <c r="N348" s="215">
        <f>IFERROR(L348-M348,0)</f>
        <v/>
      </c>
      <c r="O348" s="216">
        <f>IFERROR(SUMIF(B8:B348,"&gt;="&amp;(B348-WEEKDAY(B348,2)+1),E8:E348),0)</f>
        <v/>
      </c>
      <c r="P348" s="217">
        <f>IFERROR(SUMIF(B8:B348,"&gt;="&amp;(B348-WEEKDAY(B348,2)+1),H8:H348),0)</f>
        <v/>
      </c>
      <c r="Q348" s="215">
        <f>IFERROR(O348-P348,0)</f>
        <v/>
      </c>
    </row>
    <row r="349" ht="16.5" customHeight="1">
      <c r="B349" s="208" t="n"/>
      <c r="C349" s="41">
        <f>IF(B349="","",TEXT(B349,"DDD"))</f>
        <v/>
      </c>
      <c r="D349" s="42">
        <f>IF(B349="","","Soft App")</f>
        <v/>
      </c>
      <c r="E349" s="218" t="n"/>
      <c r="F349" s="219" t="n"/>
      <c r="G349" s="220">
        <f>IFERROR(E349/F349,0)</f>
        <v/>
      </c>
      <c r="H349" s="221">
        <f>IFERROR(SUMIF('💸 Expenses'!B9:B508,B349,'💸 Expenses'!F9:F508),0)</f>
        <v/>
      </c>
      <c r="I349" s="222">
        <f>IFERROR(E349-H349,0)</f>
        <v/>
      </c>
      <c r="J349" s="223">
        <f>IFERROR(I349/E349,0)</f>
        <v/>
      </c>
      <c r="K349" s="49" t="n"/>
      <c r="L349" s="193">
        <f>IFERROR(L348+E349,0)</f>
        <v/>
      </c>
      <c r="M349" s="196">
        <f>IFERROR(M348+H349,0)</f>
        <v/>
      </c>
      <c r="N349" s="224">
        <f>IFERROR(L349-M349,0)</f>
        <v/>
      </c>
      <c r="O349" s="225">
        <f>IFERROR(SUMIF(B8:B349,"&gt;="&amp;(B349-WEEKDAY(B349,2)+1),E8:E349),0)</f>
        <v/>
      </c>
      <c r="P349" s="226">
        <f>IFERROR(SUMIF(B8:B349,"&gt;="&amp;(B349-WEEKDAY(B349,2)+1),H8:H349),0)</f>
        <v/>
      </c>
      <c r="Q349" s="224">
        <f>IFERROR(O349-P349,0)</f>
        <v/>
      </c>
    </row>
    <row r="350" ht="16.5" customHeight="1">
      <c r="B350" s="208" t="n"/>
      <c r="C350" s="29">
        <f>IF(B350="","",TEXT(B350,"DDD"))</f>
        <v/>
      </c>
      <c r="D350" s="30">
        <f>IF(B350="","","Soft App")</f>
        <v/>
      </c>
      <c r="E350" s="209" t="n"/>
      <c r="F350" s="210" t="n"/>
      <c r="G350" s="211">
        <f>IFERROR(E350/F350,0)</f>
        <v/>
      </c>
      <c r="H350" s="212">
        <f>IFERROR(SUMIF('💸 Expenses'!B9:B508,B350,'💸 Expenses'!F9:F508),0)</f>
        <v/>
      </c>
      <c r="I350" s="213">
        <f>IFERROR(E350-H350,0)</f>
        <v/>
      </c>
      <c r="J350" s="214">
        <f>IFERROR(I350/E350,0)</f>
        <v/>
      </c>
      <c r="K350" s="37" t="n"/>
      <c r="L350" s="187">
        <f>IFERROR(L349+E350,0)</f>
        <v/>
      </c>
      <c r="M350" s="190">
        <f>IFERROR(M349+H350,0)</f>
        <v/>
      </c>
      <c r="N350" s="215">
        <f>IFERROR(L350-M350,0)</f>
        <v/>
      </c>
      <c r="O350" s="216">
        <f>IFERROR(SUMIF(B8:B350,"&gt;="&amp;(B350-WEEKDAY(B350,2)+1),E8:E350),0)</f>
        <v/>
      </c>
      <c r="P350" s="217">
        <f>IFERROR(SUMIF(B8:B350,"&gt;="&amp;(B350-WEEKDAY(B350,2)+1),H8:H350),0)</f>
        <v/>
      </c>
      <c r="Q350" s="215">
        <f>IFERROR(O350-P350,0)</f>
        <v/>
      </c>
    </row>
    <row r="351" ht="16.5" customHeight="1">
      <c r="B351" s="208" t="n"/>
      <c r="C351" s="41">
        <f>IF(B351="","",TEXT(B351,"DDD"))</f>
        <v/>
      </c>
      <c r="D351" s="42">
        <f>IF(B351="","","Soft App")</f>
        <v/>
      </c>
      <c r="E351" s="218" t="n"/>
      <c r="F351" s="219" t="n"/>
      <c r="G351" s="220">
        <f>IFERROR(E351/F351,0)</f>
        <v/>
      </c>
      <c r="H351" s="221">
        <f>IFERROR(SUMIF('💸 Expenses'!B9:B508,B351,'💸 Expenses'!F9:F508),0)</f>
        <v/>
      </c>
      <c r="I351" s="222">
        <f>IFERROR(E351-H351,0)</f>
        <v/>
      </c>
      <c r="J351" s="223">
        <f>IFERROR(I351/E351,0)</f>
        <v/>
      </c>
      <c r="K351" s="49" t="n"/>
      <c r="L351" s="193">
        <f>IFERROR(L350+E351,0)</f>
        <v/>
      </c>
      <c r="M351" s="196">
        <f>IFERROR(M350+H351,0)</f>
        <v/>
      </c>
      <c r="N351" s="224">
        <f>IFERROR(L351-M351,0)</f>
        <v/>
      </c>
      <c r="O351" s="225">
        <f>IFERROR(SUMIF(B8:B351,"&gt;="&amp;(B351-WEEKDAY(B351,2)+1),E8:E351),0)</f>
        <v/>
      </c>
      <c r="P351" s="226">
        <f>IFERROR(SUMIF(B8:B351,"&gt;="&amp;(B351-WEEKDAY(B351,2)+1),H8:H351),0)</f>
        <v/>
      </c>
      <c r="Q351" s="224">
        <f>IFERROR(O351-P351,0)</f>
        <v/>
      </c>
    </row>
    <row r="352" ht="16.5" customHeight="1">
      <c r="B352" s="208" t="n"/>
      <c r="C352" s="29">
        <f>IF(B352="","",TEXT(B352,"DDD"))</f>
        <v/>
      </c>
      <c r="D352" s="30">
        <f>IF(B352="","","Soft App")</f>
        <v/>
      </c>
      <c r="E352" s="209" t="n"/>
      <c r="F352" s="210" t="n"/>
      <c r="G352" s="211">
        <f>IFERROR(E352/F352,0)</f>
        <v/>
      </c>
      <c r="H352" s="212">
        <f>IFERROR(SUMIF('💸 Expenses'!B9:B508,B352,'💸 Expenses'!F9:F508),0)</f>
        <v/>
      </c>
      <c r="I352" s="213">
        <f>IFERROR(E352-H352,0)</f>
        <v/>
      </c>
      <c r="J352" s="214">
        <f>IFERROR(I352/E352,0)</f>
        <v/>
      </c>
      <c r="K352" s="37" t="n"/>
      <c r="L352" s="187">
        <f>IFERROR(L351+E352,0)</f>
        <v/>
      </c>
      <c r="M352" s="190">
        <f>IFERROR(M351+H352,0)</f>
        <v/>
      </c>
      <c r="N352" s="215">
        <f>IFERROR(L352-M352,0)</f>
        <v/>
      </c>
      <c r="O352" s="216">
        <f>IFERROR(SUMIF(B8:B352,"&gt;="&amp;(B352-WEEKDAY(B352,2)+1),E8:E352),0)</f>
        <v/>
      </c>
      <c r="P352" s="217">
        <f>IFERROR(SUMIF(B8:B352,"&gt;="&amp;(B352-WEEKDAY(B352,2)+1),H8:H352),0)</f>
        <v/>
      </c>
      <c r="Q352" s="215">
        <f>IFERROR(O352-P352,0)</f>
        <v/>
      </c>
    </row>
    <row r="353" ht="16.5" customHeight="1">
      <c r="B353" s="208" t="n"/>
      <c r="C353" s="41">
        <f>IF(B353="","",TEXT(B353,"DDD"))</f>
        <v/>
      </c>
      <c r="D353" s="42">
        <f>IF(B353="","","Soft App")</f>
        <v/>
      </c>
      <c r="E353" s="218" t="n"/>
      <c r="F353" s="219" t="n"/>
      <c r="G353" s="220">
        <f>IFERROR(E353/F353,0)</f>
        <v/>
      </c>
      <c r="H353" s="221">
        <f>IFERROR(SUMIF('💸 Expenses'!B9:B508,B353,'💸 Expenses'!F9:F508),0)</f>
        <v/>
      </c>
      <c r="I353" s="222">
        <f>IFERROR(E353-H353,0)</f>
        <v/>
      </c>
      <c r="J353" s="223">
        <f>IFERROR(I353/E353,0)</f>
        <v/>
      </c>
      <c r="K353" s="49" t="n"/>
      <c r="L353" s="193">
        <f>IFERROR(L352+E353,0)</f>
        <v/>
      </c>
      <c r="M353" s="196">
        <f>IFERROR(M352+H353,0)</f>
        <v/>
      </c>
      <c r="N353" s="224">
        <f>IFERROR(L353-M353,0)</f>
        <v/>
      </c>
      <c r="O353" s="225">
        <f>IFERROR(SUMIF(B8:B353,"&gt;="&amp;(B353-WEEKDAY(B353,2)+1),E8:E353),0)</f>
        <v/>
      </c>
      <c r="P353" s="226">
        <f>IFERROR(SUMIF(B8:B353,"&gt;="&amp;(B353-WEEKDAY(B353,2)+1),H8:H353),0)</f>
        <v/>
      </c>
      <c r="Q353" s="224">
        <f>IFERROR(O353-P353,0)</f>
        <v/>
      </c>
    </row>
    <row r="354" ht="16.5" customHeight="1">
      <c r="B354" s="208" t="n"/>
      <c r="C354" s="29">
        <f>IF(B354="","",TEXT(B354,"DDD"))</f>
        <v/>
      </c>
      <c r="D354" s="30">
        <f>IF(B354="","","Soft App")</f>
        <v/>
      </c>
      <c r="E354" s="209" t="n"/>
      <c r="F354" s="210" t="n"/>
      <c r="G354" s="211">
        <f>IFERROR(E354/F354,0)</f>
        <v/>
      </c>
      <c r="H354" s="212">
        <f>IFERROR(SUMIF('💸 Expenses'!B9:B508,B354,'💸 Expenses'!F9:F508),0)</f>
        <v/>
      </c>
      <c r="I354" s="213">
        <f>IFERROR(E354-H354,0)</f>
        <v/>
      </c>
      <c r="J354" s="214">
        <f>IFERROR(I354/E354,0)</f>
        <v/>
      </c>
      <c r="K354" s="37" t="n"/>
      <c r="L354" s="187">
        <f>IFERROR(L353+E354,0)</f>
        <v/>
      </c>
      <c r="M354" s="190">
        <f>IFERROR(M353+H354,0)</f>
        <v/>
      </c>
      <c r="N354" s="215">
        <f>IFERROR(L354-M354,0)</f>
        <v/>
      </c>
      <c r="O354" s="216">
        <f>IFERROR(SUMIF(B8:B354,"&gt;="&amp;(B354-WEEKDAY(B354,2)+1),E8:E354),0)</f>
        <v/>
      </c>
      <c r="P354" s="217">
        <f>IFERROR(SUMIF(B8:B354,"&gt;="&amp;(B354-WEEKDAY(B354,2)+1),H8:H354),0)</f>
        <v/>
      </c>
      <c r="Q354" s="215">
        <f>IFERROR(O354-P354,0)</f>
        <v/>
      </c>
    </row>
    <row r="355" ht="16.5" customHeight="1">
      <c r="B355" s="208" t="n"/>
      <c r="C355" s="41">
        <f>IF(B355="","",TEXT(B355,"DDD"))</f>
        <v/>
      </c>
      <c r="D355" s="42">
        <f>IF(B355="","","Soft App")</f>
        <v/>
      </c>
      <c r="E355" s="218" t="n"/>
      <c r="F355" s="219" t="n"/>
      <c r="G355" s="220">
        <f>IFERROR(E355/F355,0)</f>
        <v/>
      </c>
      <c r="H355" s="221">
        <f>IFERROR(SUMIF('💸 Expenses'!B9:B508,B355,'💸 Expenses'!F9:F508),0)</f>
        <v/>
      </c>
      <c r="I355" s="222">
        <f>IFERROR(E355-H355,0)</f>
        <v/>
      </c>
      <c r="J355" s="223">
        <f>IFERROR(I355/E355,0)</f>
        <v/>
      </c>
      <c r="K355" s="49" t="n"/>
      <c r="L355" s="193">
        <f>IFERROR(L354+E355,0)</f>
        <v/>
      </c>
      <c r="M355" s="196">
        <f>IFERROR(M354+H355,0)</f>
        <v/>
      </c>
      <c r="N355" s="224">
        <f>IFERROR(L355-M355,0)</f>
        <v/>
      </c>
      <c r="O355" s="225">
        <f>IFERROR(SUMIF(B8:B355,"&gt;="&amp;(B355-WEEKDAY(B355,2)+1),E8:E355),0)</f>
        <v/>
      </c>
      <c r="P355" s="226">
        <f>IFERROR(SUMIF(B8:B355,"&gt;="&amp;(B355-WEEKDAY(B355,2)+1),H8:H355),0)</f>
        <v/>
      </c>
      <c r="Q355" s="224">
        <f>IFERROR(O355-P355,0)</f>
        <v/>
      </c>
    </row>
    <row r="356" ht="16.5" customHeight="1">
      <c r="B356" s="208" t="n"/>
      <c r="C356" s="29">
        <f>IF(B356="","",TEXT(B356,"DDD"))</f>
        <v/>
      </c>
      <c r="D356" s="30">
        <f>IF(B356="","","Soft App")</f>
        <v/>
      </c>
      <c r="E356" s="209" t="n"/>
      <c r="F356" s="210" t="n"/>
      <c r="G356" s="211">
        <f>IFERROR(E356/F356,0)</f>
        <v/>
      </c>
      <c r="H356" s="212">
        <f>IFERROR(SUMIF('💸 Expenses'!B9:B508,B356,'💸 Expenses'!F9:F508),0)</f>
        <v/>
      </c>
      <c r="I356" s="213">
        <f>IFERROR(E356-H356,0)</f>
        <v/>
      </c>
      <c r="J356" s="214">
        <f>IFERROR(I356/E356,0)</f>
        <v/>
      </c>
      <c r="K356" s="37" t="n"/>
      <c r="L356" s="187">
        <f>IFERROR(L355+E356,0)</f>
        <v/>
      </c>
      <c r="M356" s="190">
        <f>IFERROR(M355+H356,0)</f>
        <v/>
      </c>
      <c r="N356" s="215">
        <f>IFERROR(L356-M356,0)</f>
        <v/>
      </c>
      <c r="O356" s="216">
        <f>IFERROR(SUMIF(B8:B356,"&gt;="&amp;(B356-WEEKDAY(B356,2)+1),E8:E356),0)</f>
        <v/>
      </c>
      <c r="P356" s="217">
        <f>IFERROR(SUMIF(B8:B356,"&gt;="&amp;(B356-WEEKDAY(B356,2)+1),H8:H356),0)</f>
        <v/>
      </c>
      <c r="Q356" s="215">
        <f>IFERROR(O356-P356,0)</f>
        <v/>
      </c>
    </row>
    <row r="357" ht="16.5" customHeight="1">
      <c r="B357" s="208" t="n"/>
      <c r="C357" s="41">
        <f>IF(B357="","",TEXT(B357,"DDD"))</f>
        <v/>
      </c>
      <c r="D357" s="42">
        <f>IF(B357="","","Soft App")</f>
        <v/>
      </c>
      <c r="E357" s="218" t="n"/>
      <c r="F357" s="219" t="n"/>
      <c r="G357" s="220">
        <f>IFERROR(E357/F357,0)</f>
        <v/>
      </c>
      <c r="H357" s="221">
        <f>IFERROR(SUMIF('💸 Expenses'!B9:B508,B357,'💸 Expenses'!F9:F508),0)</f>
        <v/>
      </c>
      <c r="I357" s="222">
        <f>IFERROR(E357-H357,0)</f>
        <v/>
      </c>
      <c r="J357" s="223">
        <f>IFERROR(I357/E357,0)</f>
        <v/>
      </c>
      <c r="K357" s="49" t="n"/>
      <c r="L357" s="193">
        <f>IFERROR(L356+E357,0)</f>
        <v/>
      </c>
      <c r="M357" s="196">
        <f>IFERROR(M356+H357,0)</f>
        <v/>
      </c>
      <c r="N357" s="224">
        <f>IFERROR(L357-M357,0)</f>
        <v/>
      </c>
      <c r="O357" s="225">
        <f>IFERROR(SUMIF(B8:B357,"&gt;="&amp;(B357-WEEKDAY(B357,2)+1),E8:E357),0)</f>
        <v/>
      </c>
      <c r="P357" s="226">
        <f>IFERROR(SUMIF(B8:B357,"&gt;="&amp;(B357-WEEKDAY(B357,2)+1),H8:H357),0)</f>
        <v/>
      </c>
      <c r="Q357" s="224">
        <f>IFERROR(O357-P357,0)</f>
        <v/>
      </c>
    </row>
    <row r="358" ht="16.5" customHeight="1">
      <c r="B358" s="208" t="n"/>
      <c r="C358" s="29">
        <f>IF(B358="","",TEXT(B358,"DDD"))</f>
        <v/>
      </c>
      <c r="D358" s="30">
        <f>IF(B358="","","Soft App")</f>
        <v/>
      </c>
      <c r="E358" s="209" t="n"/>
      <c r="F358" s="210" t="n"/>
      <c r="G358" s="211">
        <f>IFERROR(E358/F358,0)</f>
        <v/>
      </c>
      <c r="H358" s="212">
        <f>IFERROR(SUMIF('💸 Expenses'!B9:B508,B358,'💸 Expenses'!F9:F508),0)</f>
        <v/>
      </c>
      <c r="I358" s="213">
        <f>IFERROR(E358-H358,0)</f>
        <v/>
      </c>
      <c r="J358" s="214">
        <f>IFERROR(I358/E358,0)</f>
        <v/>
      </c>
      <c r="K358" s="37" t="n"/>
      <c r="L358" s="187">
        <f>IFERROR(L357+E358,0)</f>
        <v/>
      </c>
      <c r="M358" s="190">
        <f>IFERROR(M357+H358,0)</f>
        <v/>
      </c>
      <c r="N358" s="215">
        <f>IFERROR(L358-M358,0)</f>
        <v/>
      </c>
      <c r="O358" s="216">
        <f>IFERROR(SUMIF(B8:B358,"&gt;="&amp;(B358-WEEKDAY(B358,2)+1),E8:E358),0)</f>
        <v/>
      </c>
      <c r="P358" s="217">
        <f>IFERROR(SUMIF(B8:B358,"&gt;="&amp;(B358-WEEKDAY(B358,2)+1),H8:H358),0)</f>
        <v/>
      </c>
      <c r="Q358" s="215">
        <f>IFERROR(O358-P358,0)</f>
        <v/>
      </c>
    </row>
    <row r="359" ht="16.5" customHeight="1">
      <c r="B359" s="208" t="n"/>
      <c r="C359" s="41">
        <f>IF(B359="","",TEXT(B359,"DDD"))</f>
        <v/>
      </c>
      <c r="D359" s="42">
        <f>IF(B359="","","Soft App")</f>
        <v/>
      </c>
      <c r="E359" s="218" t="n"/>
      <c r="F359" s="219" t="n"/>
      <c r="G359" s="220">
        <f>IFERROR(E359/F359,0)</f>
        <v/>
      </c>
      <c r="H359" s="221">
        <f>IFERROR(SUMIF('💸 Expenses'!B9:B508,B359,'💸 Expenses'!F9:F508),0)</f>
        <v/>
      </c>
      <c r="I359" s="222">
        <f>IFERROR(E359-H359,0)</f>
        <v/>
      </c>
      <c r="J359" s="223">
        <f>IFERROR(I359/E359,0)</f>
        <v/>
      </c>
      <c r="K359" s="49" t="n"/>
      <c r="L359" s="193">
        <f>IFERROR(L358+E359,0)</f>
        <v/>
      </c>
      <c r="M359" s="196">
        <f>IFERROR(M358+H359,0)</f>
        <v/>
      </c>
      <c r="N359" s="224">
        <f>IFERROR(L359-M359,0)</f>
        <v/>
      </c>
      <c r="O359" s="225">
        <f>IFERROR(SUMIF(B8:B359,"&gt;="&amp;(B359-WEEKDAY(B359,2)+1),E8:E359),0)</f>
        <v/>
      </c>
      <c r="P359" s="226">
        <f>IFERROR(SUMIF(B8:B359,"&gt;="&amp;(B359-WEEKDAY(B359,2)+1),H8:H359),0)</f>
        <v/>
      </c>
      <c r="Q359" s="224">
        <f>IFERROR(O359-P359,0)</f>
        <v/>
      </c>
    </row>
    <row r="360" ht="16.5" customHeight="1">
      <c r="B360" s="208" t="n"/>
      <c r="C360" s="29">
        <f>IF(B360="","",TEXT(B360,"DDD"))</f>
        <v/>
      </c>
      <c r="D360" s="30">
        <f>IF(B360="","","Soft App")</f>
        <v/>
      </c>
      <c r="E360" s="209" t="n"/>
      <c r="F360" s="210" t="n"/>
      <c r="G360" s="211">
        <f>IFERROR(E360/F360,0)</f>
        <v/>
      </c>
      <c r="H360" s="212">
        <f>IFERROR(SUMIF('💸 Expenses'!B9:B508,B360,'💸 Expenses'!F9:F508),0)</f>
        <v/>
      </c>
      <c r="I360" s="213">
        <f>IFERROR(E360-H360,0)</f>
        <v/>
      </c>
      <c r="J360" s="214">
        <f>IFERROR(I360/E360,0)</f>
        <v/>
      </c>
      <c r="K360" s="37" t="n"/>
      <c r="L360" s="187">
        <f>IFERROR(L359+E360,0)</f>
        <v/>
      </c>
      <c r="M360" s="190">
        <f>IFERROR(M359+H360,0)</f>
        <v/>
      </c>
      <c r="N360" s="215">
        <f>IFERROR(L360-M360,0)</f>
        <v/>
      </c>
      <c r="O360" s="216">
        <f>IFERROR(SUMIF(B8:B360,"&gt;="&amp;(B360-WEEKDAY(B360,2)+1),E8:E360),0)</f>
        <v/>
      </c>
      <c r="P360" s="217">
        <f>IFERROR(SUMIF(B8:B360,"&gt;="&amp;(B360-WEEKDAY(B360,2)+1),H8:H360),0)</f>
        <v/>
      </c>
      <c r="Q360" s="215">
        <f>IFERROR(O360-P360,0)</f>
        <v/>
      </c>
    </row>
    <row r="361" ht="16.5" customHeight="1">
      <c r="B361" s="208" t="n"/>
      <c r="C361" s="41">
        <f>IF(B361="","",TEXT(B361,"DDD"))</f>
        <v/>
      </c>
      <c r="D361" s="42">
        <f>IF(B361="","","Soft App")</f>
        <v/>
      </c>
      <c r="E361" s="218" t="n"/>
      <c r="F361" s="219" t="n"/>
      <c r="G361" s="220">
        <f>IFERROR(E361/F361,0)</f>
        <v/>
      </c>
      <c r="H361" s="221">
        <f>IFERROR(SUMIF('💸 Expenses'!B9:B508,B361,'💸 Expenses'!F9:F508),0)</f>
        <v/>
      </c>
      <c r="I361" s="222">
        <f>IFERROR(E361-H361,0)</f>
        <v/>
      </c>
      <c r="J361" s="223">
        <f>IFERROR(I361/E361,0)</f>
        <v/>
      </c>
      <c r="K361" s="49" t="n"/>
      <c r="L361" s="193">
        <f>IFERROR(L360+E361,0)</f>
        <v/>
      </c>
      <c r="M361" s="196">
        <f>IFERROR(M360+H361,0)</f>
        <v/>
      </c>
      <c r="N361" s="224">
        <f>IFERROR(L361-M361,0)</f>
        <v/>
      </c>
      <c r="O361" s="225">
        <f>IFERROR(SUMIF(B8:B361,"&gt;="&amp;(B361-WEEKDAY(B361,2)+1),E8:E361),0)</f>
        <v/>
      </c>
      <c r="P361" s="226">
        <f>IFERROR(SUMIF(B8:B361,"&gt;="&amp;(B361-WEEKDAY(B361,2)+1),H8:H361),0)</f>
        <v/>
      </c>
      <c r="Q361" s="224">
        <f>IFERROR(O361-P361,0)</f>
        <v/>
      </c>
    </row>
    <row r="362" ht="16.5" customHeight="1">
      <c r="B362" s="208" t="n"/>
      <c r="C362" s="29">
        <f>IF(B362="","",TEXT(B362,"DDD"))</f>
        <v/>
      </c>
      <c r="D362" s="30">
        <f>IF(B362="","","Soft App")</f>
        <v/>
      </c>
      <c r="E362" s="209" t="n"/>
      <c r="F362" s="210" t="n"/>
      <c r="G362" s="211">
        <f>IFERROR(E362/F362,0)</f>
        <v/>
      </c>
      <c r="H362" s="212">
        <f>IFERROR(SUMIF('💸 Expenses'!B9:B508,B362,'💸 Expenses'!F9:F508),0)</f>
        <v/>
      </c>
      <c r="I362" s="213">
        <f>IFERROR(E362-H362,0)</f>
        <v/>
      </c>
      <c r="J362" s="214">
        <f>IFERROR(I362/E362,0)</f>
        <v/>
      </c>
      <c r="K362" s="37" t="n"/>
      <c r="L362" s="187">
        <f>IFERROR(L361+E362,0)</f>
        <v/>
      </c>
      <c r="M362" s="190">
        <f>IFERROR(M361+H362,0)</f>
        <v/>
      </c>
      <c r="N362" s="215">
        <f>IFERROR(L362-M362,0)</f>
        <v/>
      </c>
      <c r="O362" s="216">
        <f>IFERROR(SUMIF(B8:B362,"&gt;="&amp;(B362-WEEKDAY(B362,2)+1),E8:E362),0)</f>
        <v/>
      </c>
      <c r="P362" s="217">
        <f>IFERROR(SUMIF(B8:B362,"&gt;="&amp;(B362-WEEKDAY(B362,2)+1),H8:H362),0)</f>
        <v/>
      </c>
      <c r="Q362" s="215">
        <f>IFERROR(O362-P362,0)</f>
        <v/>
      </c>
    </row>
    <row r="363" ht="16.5" customHeight="1">
      <c r="B363" s="208" t="n"/>
      <c r="C363" s="41">
        <f>IF(B363="","",TEXT(B363,"DDD"))</f>
        <v/>
      </c>
      <c r="D363" s="42">
        <f>IF(B363="","","Soft App")</f>
        <v/>
      </c>
      <c r="E363" s="218" t="n"/>
      <c r="F363" s="219" t="n"/>
      <c r="G363" s="220">
        <f>IFERROR(E363/F363,0)</f>
        <v/>
      </c>
      <c r="H363" s="221">
        <f>IFERROR(SUMIF('💸 Expenses'!B9:B508,B363,'💸 Expenses'!F9:F508),0)</f>
        <v/>
      </c>
      <c r="I363" s="222">
        <f>IFERROR(E363-H363,0)</f>
        <v/>
      </c>
      <c r="J363" s="223">
        <f>IFERROR(I363/E363,0)</f>
        <v/>
      </c>
      <c r="K363" s="49" t="n"/>
      <c r="L363" s="193">
        <f>IFERROR(L362+E363,0)</f>
        <v/>
      </c>
      <c r="M363" s="196">
        <f>IFERROR(M362+H363,0)</f>
        <v/>
      </c>
      <c r="N363" s="224">
        <f>IFERROR(L363-M363,0)</f>
        <v/>
      </c>
      <c r="O363" s="225">
        <f>IFERROR(SUMIF(B8:B363,"&gt;="&amp;(B363-WEEKDAY(B363,2)+1),E8:E363),0)</f>
        <v/>
      </c>
      <c r="P363" s="226">
        <f>IFERROR(SUMIF(B8:B363,"&gt;="&amp;(B363-WEEKDAY(B363,2)+1),H8:H363),0)</f>
        <v/>
      </c>
      <c r="Q363" s="224">
        <f>IFERROR(O363-P363,0)</f>
        <v/>
      </c>
    </row>
    <row r="364" ht="16.5" customHeight="1">
      <c r="B364" s="208" t="n"/>
      <c r="C364" s="29">
        <f>IF(B364="","",TEXT(B364,"DDD"))</f>
        <v/>
      </c>
      <c r="D364" s="30">
        <f>IF(B364="","","Soft App")</f>
        <v/>
      </c>
      <c r="E364" s="209" t="n"/>
      <c r="F364" s="210" t="n"/>
      <c r="G364" s="211">
        <f>IFERROR(E364/F364,0)</f>
        <v/>
      </c>
      <c r="H364" s="212">
        <f>IFERROR(SUMIF('💸 Expenses'!B9:B508,B364,'💸 Expenses'!F9:F508),0)</f>
        <v/>
      </c>
      <c r="I364" s="213">
        <f>IFERROR(E364-H364,0)</f>
        <v/>
      </c>
      <c r="J364" s="214">
        <f>IFERROR(I364/E364,0)</f>
        <v/>
      </c>
      <c r="K364" s="37" t="n"/>
      <c r="L364" s="187">
        <f>IFERROR(L363+E364,0)</f>
        <v/>
      </c>
      <c r="M364" s="190">
        <f>IFERROR(M363+H364,0)</f>
        <v/>
      </c>
      <c r="N364" s="215">
        <f>IFERROR(L364-M364,0)</f>
        <v/>
      </c>
      <c r="O364" s="216">
        <f>IFERROR(SUMIF(B8:B364,"&gt;="&amp;(B364-WEEKDAY(B364,2)+1),E8:E364),0)</f>
        <v/>
      </c>
      <c r="P364" s="217">
        <f>IFERROR(SUMIF(B8:B364,"&gt;="&amp;(B364-WEEKDAY(B364,2)+1),H8:H364),0)</f>
        <v/>
      </c>
      <c r="Q364" s="215">
        <f>IFERROR(O364-P364,0)</f>
        <v/>
      </c>
    </row>
    <row r="365" ht="16.5" customHeight="1">
      <c r="B365" s="208" t="n"/>
      <c r="C365" s="41">
        <f>IF(B365="","",TEXT(B365,"DDD"))</f>
        <v/>
      </c>
      <c r="D365" s="42">
        <f>IF(B365="","","Soft App")</f>
        <v/>
      </c>
      <c r="E365" s="218" t="n"/>
      <c r="F365" s="219" t="n"/>
      <c r="G365" s="220">
        <f>IFERROR(E365/F365,0)</f>
        <v/>
      </c>
      <c r="H365" s="221">
        <f>IFERROR(SUMIF('💸 Expenses'!B9:B508,B365,'💸 Expenses'!F9:F508),0)</f>
        <v/>
      </c>
      <c r="I365" s="222">
        <f>IFERROR(E365-H365,0)</f>
        <v/>
      </c>
      <c r="J365" s="223">
        <f>IFERROR(I365/E365,0)</f>
        <v/>
      </c>
      <c r="K365" s="49" t="n"/>
      <c r="L365" s="193">
        <f>IFERROR(L364+E365,0)</f>
        <v/>
      </c>
      <c r="M365" s="196">
        <f>IFERROR(M364+H365,0)</f>
        <v/>
      </c>
      <c r="N365" s="224">
        <f>IFERROR(L365-M365,0)</f>
        <v/>
      </c>
      <c r="O365" s="225">
        <f>IFERROR(SUMIF(B8:B365,"&gt;="&amp;(B365-WEEKDAY(B365,2)+1),E8:E365),0)</f>
        <v/>
      </c>
      <c r="P365" s="226">
        <f>IFERROR(SUMIF(B8:B365,"&gt;="&amp;(B365-WEEKDAY(B365,2)+1),H8:H365),0)</f>
        <v/>
      </c>
      <c r="Q365" s="224">
        <f>IFERROR(O365-P365,0)</f>
        <v/>
      </c>
    </row>
    <row r="366" ht="16.5" customHeight="1">
      <c r="B366" s="208" t="n"/>
      <c r="C366" s="29">
        <f>IF(B366="","",TEXT(B366,"DDD"))</f>
        <v/>
      </c>
      <c r="D366" s="30">
        <f>IF(B366="","","Soft App")</f>
        <v/>
      </c>
      <c r="E366" s="209" t="n"/>
      <c r="F366" s="210" t="n"/>
      <c r="G366" s="211">
        <f>IFERROR(E366/F366,0)</f>
        <v/>
      </c>
      <c r="H366" s="212">
        <f>IFERROR(SUMIF('💸 Expenses'!B9:B508,B366,'💸 Expenses'!F9:F508),0)</f>
        <v/>
      </c>
      <c r="I366" s="213">
        <f>IFERROR(E366-H366,0)</f>
        <v/>
      </c>
      <c r="J366" s="214">
        <f>IFERROR(I366/E366,0)</f>
        <v/>
      </c>
      <c r="K366" s="37" t="n"/>
      <c r="L366" s="187">
        <f>IFERROR(L365+E366,0)</f>
        <v/>
      </c>
      <c r="M366" s="190">
        <f>IFERROR(M365+H366,0)</f>
        <v/>
      </c>
      <c r="N366" s="215">
        <f>IFERROR(L366-M366,0)</f>
        <v/>
      </c>
      <c r="O366" s="216">
        <f>IFERROR(SUMIF(B8:B366,"&gt;="&amp;(B366-WEEKDAY(B366,2)+1),E8:E366),0)</f>
        <v/>
      </c>
      <c r="P366" s="217">
        <f>IFERROR(SUMIF(B8:B366,"&gt;="&amp;(B366-WEEKDAY(B366,2)+1),H8:H366),0)</f>
        <v/>
      </c>
      <c r="Q366" s="215">
        <f>IFERROR(O366-P366,0)</f>
        <v/>
      </c>
    </row>
    <row r="367" ht="16.5" customHeight="1">
      <c r="B367" s="208" t="n"/>
      <c r="C367" s="41">
        <f>IF(B367="","",TEXT(B367,"DDD"))</f>
        <v/>
      </c>
      <c r="D367" s="42">
        <f>IF(B367="","","Soft App")</f>
        <v/>
      </c>
      <c r="E367" s="218" t="n"/>
      <c r="F367" s="219" t="n"/>
      <c r="G367" s="220">
        <f>IFERROR(E367/F367,0)</f>
        <v/>
      </c>
      <c r="H367" s="221">
        <f>IFERROR(SUMIF('💸 Expenses'!B9:B508,B367,'💸 Expenses'!F9:F508),0)</f>
        <v/>
      </c>
      <c r="I367" s="222">
        <f>IFERROR(E367-H367,0)</f>
        <v/>
      </c>
      <c r="J367" s="223">
        <f>IFERROR(I367/E367,0)</f>
        <v/>
      </c>
      <c r="K367" s="49" t="n"/>
      <c r="L367" s="193">
        <f>IFERROR(L366+E367,0)</f>
        <v/>
      </c>
      <c r="M367" s="196">
        <f>IFERROR(M366+H367,0)</f>
        <v/>
      </c>
      <c r="N367" s="224">
        <f>IFERROR(L367-M367,0)</f>
        <v/>
      </c>
      <c r="O367" s="225">
        <f>IFERROR(SUMIF(B8:B367,"&gt;="&amp;(B367-WEEKDAY(B367,2)+1),E8:E367),0)</f>
        <v/>
      </c>
      <c r="P367" s="226">
        <f>IFERROR(SUMIF(B8:B367,"&gt;="&amp;(B367-WEEKDAY(B367,2)+1),H8:H367),0)</f>
        <v/>
      </c>
      <c r="Q367" s="224">
        <f>IFERROR(O367-P367,0)</f>
        <v/>
      </c>
    </row>
    <row r="368" ht="16.5" customHeight="1">
      <c r="B368" s="208" t="n"/>
      <c r="C368" s="29">
        <f>IF(B368="","",TEXT(B368,"DDD"))</f>
        <v/>
      </c>
      <c r="D368" s="30">
        <f>IF(B368="","","Soft App")</f>
        <v/>
      </c>
      <c r="E368" s="209" t="n"/>
      <c r="F368" s="210" t="n"/>
      <c r="G368" s="211">
        <f>IFERROR(E368/F368,0)</f>
        <v/>
      </c>
      <c r="H368" s="212">
        <f>IFERROR(SUMIF('💸 Expenses'!B9:B508,B368,'💸 Expenses'!F9:F508),0)</f>
        <v/>
      </c>
      <c r="I368" s="213">
        <f>IFERROR(E368-H368,0)</f>
        <v/>
      </c>
      <c r="J368" s="214">
        <f>IFERROR(I368/E368,0)</f>
        <v/>
      </c>
      <c r="K368" s="37" t="n"/>
      <c r="L368" s="187">
        <f>IFERROR(L367+E368,0)</f>
        <v/>
      </c>
      <c r="M368" s="190">
        <f>IFERROR(M367+H368,0)</f>
        <v/>
      </c>
      <c r="N368" s="215">
        <f>IFERROR(L368-M368,0)</f>
        <v/>
      </c>
      <c r="O368" s="216">
        <f>IFERROR(SUMIF(B8:B368,"&gt;="&amp;(B368-WEEKDAY(B368,2)+1),E8:E368),0)</f>
        <v/>
      </c>
      <c r="P368" s="217">
        <f>IFERROR(SUMIF(B8:B368,"&gt;="&amp;(B368-WEEKDAY(B368,2)+1),H8:H368),0)</f>
        <v/>
      </c>
      <c r="Q368" s="215">
        <f>IFERROR(O368-P368,0)</f>
        <v/>
      </c>
    </row>
    <row r="369" ht="16.5" customHeight="1">
      <c r="B369" s="208" t="n"/>
      <c r="C369" s="41">
        <f>IF(B369="","",TEXT(B369,"DDD"))</f>
        <v/>
      </c>
      <c r="D369" s="42">
        <f>IF(B369="","","Soft App")</f>
        <v/>
      </c>
      <c r="E369" s="218" t="n"/>
      <c r="F369" s="219" t="n"/>
      <c r="G369" s="220">
        <f>IFERROR(E369/F369,0)</f>
        <v/>
      </c>
      <c r="H369" s="221">
        <f>IFERROR(SUMIF('💸 Expenses'!B9:B508,B369,'💸 Expenses'!F9:F508),0)</f>
        <v/>
      </c>
      <c r="I369" s="222">
        <f>IFERROR(E369-H369,0)</f>
        <v/>
      </c>
      <c r="J369" s="223">
        <f>IFERROR(I369/E369,0)</f>
        <v/>
      </c>
      <c r="K369" s="49" t="n"/>
      <c r="L369" s="193">
        <f>IFERROR(L368+E369,0)</f>
        <v/>
      </c>
      <c r="M369" s="196">
        <f>IFERROR(M368+H369,0)</f>
        <v/>
      </c>
      <c r="N369" s="224">
        <f>IFERROR(L369-M369,0)</f>
        <v/>
      </c>
      <c r="O369" s="225">
        <f>IFERROR(SUMIF(B8:B369,"&gt;="&amp;(B369-WEEKDAY(B369,2)+1),E8:E369),0)</f>
        <v/>
      </c>
      <c r="P369" s="226">
        <f>IFERROR(SUMIF(B8:B369,"&gt;="&amp;(B369-WEEKDAY(B369,2)+1),H8:H369),0)</f>
        <v/>
      </c>
      <c r="Q369" s="224">
        <f>IFERROR(O369-P369,0)</f>
        <v/>
      </c>
    </row>
    <row r="370" ht="16.5" customHeight="1">
      <c r="B370" s="208" t="n"/>
      <c r="C370" s="29">
        <f>IF(B370="","",TEXT(B370,"DDD"))</f>
        <v/>
      </c>
      <c r="D370" s="30">
        <f>IF(B370="","","Soft App")</f>
        <v/>
      </c>
      <c r="E370" s="209" t="n"/>
      <c r="F370" s="210" t="n"/>
      <c r="G370" s="211">
        <f>IFERROR(E370/F370,0)</f>
        <v/>
      </c>
      <c r="H370" s="212">
        <f>IFERROR(SUMIF('💸 Expenses'!B9:B508,B370,'💸 Expenses'!F9:F508),0)</f>
        <v/>
      </c>
      <c r="I370" s="213">
        <f>IFERROR(E370-H370,0)</f>
        <v/>
      </c>
      <c r="J370" s="214">
        <f>IFERROR(I370/E370,0)</f>
        <v/>
      </c>
      <c r="K370" s="37" t="n"/>
      <c r="L370" s="187">
        <f>IFERROR(L369+E370,0)</f>
        <v/>
      </c>
      <c r="M370" s="190">
        <f>IFERROR(M369+H370,0)</f>
        <v/>
      </c>
      <c r="N370" s="215">
        <f>IFERROR(L370-M370,0)</f>
        <v/>
      </c>
      <c r="O370" s="216">
        <f>IFERROR(SUMIF(B8:B370,"&gt;="&amp;(B370-WEEKDAY(B370,2)+1),E8:E370),0)</f>
        <v/>
      </c>
      <c r="P370" s="217">
        <f>IFERROR(SUMIF(B8:B370,"&gt;="&amp;(B370-WEEKDAY(B370,2)+1),H8:H370),0)</f>
        <v/>
      </c>
      <c r="Q370" s="215">
        <f>IFERROR(O370-P370,0)</f>
        <v/>
      </c>
    </row>
    <row r="371" ht="16.5" customHeight="1">
      <c r="B371" s="208" t="n"/>
      <c r="C371" s="41">
        <f>IF(B371="","",TEXT(B371,"DDD"))</f>
        <v/>
      </c>
      <c r="D371" s="42">
        <f>IF(B371="","","Soft App")</f>
        <v/>
      </c>
      <c r="E371" s="218" t="n"/>
      <c r="F371" s="219" t="n"/>
      <c r="G371" s="220">
        <f>IFERROR(E371/F371,0)</f>
        <v/>
      </c>
      <c r="H371" s="221">
        <f>IFERROR(SUMIF('💸 Expenses'!B9:B508,B371,'💸 Expenses'!F9:F508),0)</f>
        <v/>
      </c>
      <c r="I371" s="222">
        <f>IFERROR(E371-H371,0)</f>
        <v/>
      </c>
      <c r="J371" s="223">
        <f>IFERROR(I371/E371,0)</f>
        <v/>
      </c>
      <c r="K371" s="49" t="n"/>
      <c r="L371" s="193">
        <f>IFERROR(L370+E371,0)</f>
        <v/>
      </c>
      <c r="M371" s="196">
        <f>IFERROR(M370+H371,0)</f>
        <v/>
      </c>
      <c r="N371" s="224">
        <f>IFERROR(L371-M371,0)</f>
        <v/>
      </c>
      <c r="O371" s="225">
        <f>IFERROR(SUMIF(B8:B371,"&gt;="&amp;(B371-WEEKDAY(B371,2)+1),E8:E371),0)</f>
        <v/>
      </c>
      <c r="P371" s="226">
        <f>IFERROR(SUMIF(B8:B371,"&gt;="&amp;(B371-WEEKDAY(B371,2)+1),H8:H371),0)</f>
        <v/>
      </c>
      <c r="Q371" s="224">
        <f>IFERROR(O371-P371,0)</f>
        <v/>
      </c>
    </row>
    <row r="372" ht="16.5" customHeight="1">
      <c r="B372" s="208" t="n"/>
      <c r="C372" s="29">
        <f>IF(B372="","",TEXT(B372,"DDD"))</f>
        <v/>
      </c>
      <c r="D372" s="30">
        <f>IF(B372="","","Soft App")</f>
        <v/>
      </c>
      <c r="E372" s="209" t="n"/>
      <c r="F372" s="210" t="n"/>
      <c r="G372" s="211">
        <f>IFERROR(E372/F372,0)</f>
        <v/>
      </c>
      <c r="H372" s="212">
        <f>IFERROR(SUMIF('💸 Expenses'!B9:B508,B372,'💸 Expenses'!F9:F508),0)</f>
        <v/>
      </c>
      <c r="I372" s="213">
        <f>IFERROR(E372-H372,0)</f>
        <v/>
      </c>
      <c r="J372" s="214">
        <f>IFERROR(I372/E372,0)</f>
        <v/>
      </c>
      <c r="K372" s="37" t="n"/>
      <c r="L372" s="187">
        <f>IFERROR(L371+E372,0)</f>
        <v/>
      </c>
      <c r="M372" s="190">
        <f>IFERROR(M371+H372,0)</f>
        <v/>
      </c>
      <c r="N372" s="215">
        <f>IFERROR(L372-M372,0)</f>
        <v/>
      </c>
      <c r="O372" s="216">
        <f>IFERROR(SUMIF(B8:B372,"&gt;="&amp;(B372-WEEKDAY(B372,2)+1),E8:E372),0)</f>
        <v/>
      </c>
      <c r="P372" s="217">
        <f>IFERROR(SUMIF(B8:B372,"&gt;="&amp;(B372-WEEKDAY(B372,2)+1),H8:H372),0)</f>
        <v/>
      </c>
      <c r="Q372" s="215">
        <f>IFERROR(O372-P372,0)</f>
        <v/>
      </c>
    </row>
  </sheetData>
  <mergeCells count="4">
    <mergeCell ref="A2:H2"/>
    <mergeCell ref="I2:P2"/>
    <mergeCell ref="A3:P3"/>
    <mergeCell ref="B5:P5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I509"/>
  <sheetViews>
    <sheetView showGridLines="0" tabSelected="1" zoomScaleNormal="100" workbookViewId="0">
      <pane ySplit="8" topLeftCell="A30" activePane="bottomLeft" state="frozen"/>
      <selection pane="bottomLeft" activeCell="H18" sqref="H18"/>
    </sheetView>
  </sheetViews>
  <sheetFormatPr baseColWidth="8" defaultColWidth="8.6640625" defaultRowHeight="14.4"/>
  <cols>
    <col width="4" customWidth="1" min="1" max="1"/>
    <col width="14" customWidth="1" min="2" max="2"/>
    <col width="24" customWidth="1" min="3" max="3"/>
    <col width="22" customWidth="1" min="4" max="4"/>
    <col width="19.77734375" bestFit="1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7.5" customHeight="1">
      <c r="A2" s="141" t="inlineStr">
        <is>
          <t>💸  LOKA — EXPENSES TRACKER</t>
        </is>
      </c>
      <c r="E2" s="142" t="inlineStr">
        <is>
          <t>Log every cost: ingredients, staff, utilities, supplies…</t>
        </is>
      </c>
    </row>
    <row r="3" ht="3.75" customHeight="1">
      <c r="A3" s="143" t="n"/>
    </row>
    <row r="4" ht="7.5" customHeight="1"/>
    <row r="5" ht="18" customHeight="1">
      <c r="B5" s="53" t="inlineStr">
        <is>
          <t>TODAY</t>
        </is>
      </c>
      <c r="C5" s="53" t="inlineStr">
        <is>
          <t>THIS WEEK</t>
        </is>
      </c>
      <c r="D5" s="53" t="inlineStr">
        <is>
          <t>THIS MONTH</t>
        </is>
      </c>
      <c r="E5" s="53" t="inlineStr">
        <is>
          <t>INGREDIENTS</t>
        </is>
      </c>
      <c r="F5" s="53" t="inlineStr">
        <is>
          <t>STAFF</t>
        </is>
      </c>
      <c r="G5" s="53" t="inlineStr">
        <is>
          <t>UTILITIES</t>
        </is>
      </c>
      <c r="H5" s="53" t="inlineStr">
        <is>
          <t>TODAY TOTAL</t>
        </is>
      </c>
      <c r="I5" s="53" t="inlineStr">
        <is>
          <t>WEEK TOTAL</t>
        </is>
      </c>
    </row>
    <row r="6" ht="25.5" customHeight="1">
      <c r="B6" s="227">
        <f>SUMIF(B9:B508,TODAY(),F9:F508)</f>
        <v/>
      </c>
      <c r="C6" s="228">
        <f>SUMIF(B9:B508,"&gt;="&amp;(TODAY()-WEEKDAY(TODAY(),2)+1),F9:F508)</f>
        <v/>
      </c>
      <c r="D6" s="229">
        <f>SUMIFS(F9:F508,B9:B508,"&gt;="&amp;DATE(YEAR(TODAY()),MONTH(TODAY()),1),B9:B508,"&lt;="&amp;TODAY())</f>
        <v/>
      </c>
      <c r="E6" s="228">
        <f>SUMIF(C9:C508,"Ingredients",F9:F508)</f>
        <v/>
      </c>
      <c r="F6" s="230">
        <f>SUMIF(C9:C508,"Staff",F9:F508)</f>
        <v/>
      </c>
      <c r="G6" s="229">
        <f>SUMIF(C9:C508,"Utilities",F9:F508)</f>
        <v/>
      </c>
      <c r="H6" s="227">
        <f>SUMIF(B9:B508,TODAY(),F9:F508)</f>
        <v/>
      </c>
      <c r="I6" s="227">
        <f>SUMIF(B9:B508,"&gt;="&amp;(TODAY()-WEEKDAY(TODAY(),2)+1),F9:F508)</f>
        <v/>
      </c>
    </row>
    <row r="7" ht="7.5" customHeight="1"/>
    <row r="8" ht="19.5" customHeight="1">
      <c r="B8" s="144" t="inlineStr">
        <is>
          <t>📌  Fill BLUE cells.  Category dropdown provided.  Date links to Daily Log automatically — expenses appear in Net Profit.</t>
        </is>
      </c>
      <c r="C8" s="173" t="n"/>
      <c r="D8" s="173" t="n"/>
      <c r="E8" s="173" t="n"/>
      <c r="F8" s="173" t="n"/>
      <c r="G8" s="173" t="n"/>
      <c r="H8" s="173" t="n"/>
      <c r="I8" s="173" t="n"/>
    </row>
    <row r="9" ht="27.75" customHeight="1">
      <c r="B9" s="160" t="inlineStr">
        <is>
          <t>Date</t>
        </is>
      </c>
      <c r="C9" s="160" t="inlineStr">
        <is>
          <t>Category</t>
        </is>
      </c>
      <c r="D9" s="160" t="inlineStr">
        <is>
          <t>Description / Item</t>
        </is>
      </c>
      <c r="E9" s="160" t="inlineStr">
        <is>
          <t>Supplier / Paid To</t>
        </is>
      </c>
      <c r="F9" s="160" t="inlineStr">
        <is>
          <t>Amount ($)</t>
        </is>
      </c>
      <c r="G9" s="160" t="inlineStr">
        <is>
          <t>Receipt #</t>
        </is>
      </c>
      <c r="H9" s="160" t="inlineStr">
        <is>
          <t>Approved By</t>
        </is>
      </c>
      <c r="I9" s="160" t="inlineStr">
        <is>
          <t>Notes</t>
        </is>
      </c>
    </row>
    <row r="10" ht="15.75" customHeight="1">
      <c r="B10" s="287" t="n">
        <v>46160</v>
      </c>
      <c r="C10" s="59" t="inlineStr">
        <is>
          <t>Ingredients</t>
        </is>
      </c>
      <c r="D10" s="60" t="inlineStr">
        <is>
          <t>Vegetables</t>
        </is>
      </c>
      <c r="E10" s="59" t="inlineStr">
        <is>
          <t>MERCADO</t>
        </is>
      </c>
      <c r="F10" s="231" t="n">
        <v>90</v>
      </c>
      <c r="G10" s="10" t="n"/>
      <c r="H10" s="10" t="n"/>
      <c r="I10" s="37" t="n"/>
    </row>
    <row r="11" ht="15.75" customHeight="1">
      <c r="B11" s="287" t="n">
        <v>46160</v>
      </c>
      <c r="C11" s="59" t="inlineStr">
        <is>
          <t>Ingredients</t>
        </is>
      </c>
      <c r="D11" s="63" t="inlineStr">
        <is>
          <t>Carne</t>
        </is>
      </c>
      <c r="E11" s="62" t="inlineStr">
        <is>
          <t>MERCADO</t>
        </is>
      </c>
      <c r="F11" s="232" t="n">
        <v>420</v>
      </c>
      <c r="G11" s="19" t="n"/>
      <c r="H11" s="19" t="n"/>
      <c r="I11" s="49" t="n"/>
    </row>
    <row r="12" ht="15.75" customHeight="1">
      <c r="B12" s="287" t="n">
        <v>46160</v>
      </c>
      <c r="C12" s="59" t="inlineStr">
        <is>
          <t>Supplies</t>
        </is>
      </c>
      <c r="D12" s="60" t="inlineStr">
        <is>
          <t>Basicos</t>
        </is>
      </c>
      <c r="E12" s="59" t="inlineStr">
        <is>
          <t>ABASTOS</t>
        </is>
      </c>
      <c r="F12" s="231" t="n">
        <v>1068</v>
      </c>
      <c r="G12" s="10" t="n"/>
      <c r="H12" s="10" t="n"/>
      <c r="I12" s="37" t="n"/>
    </row>
    <row r="13" ht="15.75" customHeight="1">
      <c r="B13" s="287" t="n">
        <v>46160</v>
      </c>
      <c r="C13" s="62" t="inlineStr">
        <is>
          <t>Ingredients</t>
        </is>
      </c>
      <c r="D13" s="63" t="inlineStr">
        <is>
          <t>Real Pan Services</t>
        </is>
      </c>
      <c r="E13" s="62" t="inlineStr">
        <is>
          <t>ABASTOS</t>
        </is>
      </c>
      <c r="F13" s="232" t="n">
        <v>522</v>
      </c>
      <c r="G13" s="19" t="n"/>
      <c r="H13" s="19" t="n"/>
      <c r="I13" s="49" t="n"/>
    </row>
    <row r="14" ht="15.75" customHeight="1">
      <c r="B14" s="287" t="n">
        <v>46160</v>
      </c>
      <c r="C14" s="59" t="inlineStr">
        <is>
          <t>Ingredients</t>
        </is>
      </c>
      <c r="D14" s="60" t="inlineStr">
        <is>
          <t>Chedruai</t>
        </is>
      </c>
      <c r="E14" s="59" t="n"/>
      <c r="F14" s="231" t="n">
        <v>129</v>
      </c>
      <c r="G14" s="10" t="n"/>
      <c r="H14" s="10" t="n"/>
      <c r="I14" s="37" t="n"/>
    </row>
    <row r="15" ht="15.75" customHeight="1">
      <c r="B15" s="287" t="n">
        <v>46160</v>
      </c>
      <c r="C15" s="62" t="inlineStr">
        <is>
          <t>Ingredients</t>
        </is>
      </c>
      <c r="D15" s="63" t="inlineStr">
        <is>
          <t>Vegetables</t>
        </is>
      </c>
      <c r="E15" s="62" t="inlineStr">
        <is>
          <t>ABASTOS</t>
        </is>
      </c>
      <c r="F15" s="232" t="n">
        <v>400</v>
      </c>
      <c r="G15" s="19" t="n"/>
      <c r="H15" s="19" t="n"/>
      <c r="I15" s="49" t="n"/>
    </row>
    <row r="16" ht="15.75" customHeight="1">
      <c r="B16" s="287" t="n">
        <v>46161</v>
      </c>
      <c r="C16" s="59" t="inlineStr">
        <is>
          <t>Ingredients</t>
        </is>
      </c>
      <c r="D16" s="63" t="inlineStr">
        <is>
          <t>Arroz</t>
        </is>
      </c>
      <c r="E16" s="59" t="inlineStr">
        <is>
          <t>OXXO</t>
        </is>
      </c>
      <c r="F16" s="231" t="n">
        <v>30</v>
      </c>
      <c r="G16" s="10" t="n"/>
      <c r="H16" s="10" t="n"/>
      <c r="I16" s="37" t="n"/>
    </row>
    <row r="17" ht="15.75" customHeight="1">
      <c r="B17" s="287" t="n">
        <v>46162</v>
      </c>
      <c r="C17" s="59" t="inlineStr">
        <is>
          <t>Ingredients</t>
        </is>
      </c>
      <c r="D17" s="63" t="inlineStr">
        <is>
          <t>Arroz</t>
        </is>
      </c>
      <c r="E17" s="59" t="inlineStr">
        <is>
          <t>OXXO</t>
        </is>
      </c>
      <c r="F17" s="232" t="n">
        <v>90</v>
      </c>
      <c r="G17" s="19" t="n"/>
      <c r="H17" s="19" t="n"/>
      <c r="I17" s="49" t="n"/>
    </row>
    <row r="18" ht="15.75" customHeight="1">
      <c r="B18" s="287" t="n">
        <v>46162</v>
      </c>
      <c r="C18" s="59" t="inlineStr">
        <is>
          <t>Ingredients</t>
        </is>
      </c>
      <c r="D18" s="60" t="inlineStr">
        <is>
          <t>Lechuga</t>
        </is>
      </c>
      <c r="E18" s="62" t="inlineStr">
        <is>
          <t>MERCADO</t>
        </is>
      </c>
      <c r="F18" s="231" t="n">
        <v>65</v>
      </c>
      <c r="G18" s="10" t="n"/>
      <c r="H18" s="10" t="n"/>
      <c r="I18" s="37" t="n"/>
    </row>
    <row r="19" ht="15.75" customHeight="1">
      <c r="B19" s="287" t="n">
        <v>46162</v>
      </c>
      <c r="C19" s="59" t="inlineStr">
        <is>
          <t>Ingredients</t>
        </is>
      </c>
      <c r="D19" s="63" t="inlineStr">
        <is>
          <t>Tortillas</t>
        </is>
      </c>
      <c r="E19" s="62" t="inlineStr">
        <is>
          <t>MERCADO</t>
        </is>
      </c>
      <c r="F19" s="232" t="n">
        <v>26</v>
      </c>
      <c r="G19" s="19" t="n"/>
      <c r="H19" s="19" t="n"/>
      <c r="I19" s="49" t="n"/>
    </row>
    <row r="20" ht="15.75" customHeight="1">
      <c r="B20" s="287" t="n">
        <v>46162</v>
      </c>
      <c r="C20" s="59" t="inlineStr">
        <is>
          <t>Ingredients</t>
        </is>
      </c>
      <c r="D20" s="60" t="inlineStr">
        <is>
          <t>Jamon Mexicana</t>
        </is>
      </c>
      <c r="E20" s="59" t="inlineStr">
        <is>
          <t>SAN JUAN MERCADO</t>
        </is>
      </c>
      <c r="F20" s="231" t="n">
        <v>88</v>
      </c>
      <c r="G20" s="10" t="n"/>
      <c r="H20" s="10" t="n"/>
      <c r="I20" s="37" t="n"/>
    </row>
    <row r="21" ht="15.75" customHeight="1">
      <c r="B21" s="287" t="n">
        <v>46162</v>
      </c>
      <c r="C21" s="59" t="inlineStr">
        <is>
          <t>Ingredients</t>
        </is>
      </c>
      <c r="D21" s="63" t="inlineStr">
        <is>
          <t>Carne</t>
        </is>
      </c>
      <c r="E21" s="62" t="inlineStr">
        <is>
          <t>MERCADO</t>
        </is>
      </c>
      <c r="F21" s="232" t="n">
        <v>1104</v>
      </c>
      <c r="G21" s="19" t="n"/>
      <c r="H21" s="19" t="n"/>
      <c r="I21" s="49" t="n"/>
    </row>
    <row r="22" ht="15.75" customHeight="1">
      <c r="B22" s="287" t="n">
        <v>46162</v>
      </c>
      <c r="C22" s="59" t="inlineStr">
        <is>
          <t>Ingredients</t>
        </is>
      </c>
      <c r="D22" s="60" t="inlineStr">
        <is>
          <t>Salmon</t>
        </is>
      </c>
      <c r="E22" s="59" t="inlineStr">
        <is>
          <t>MERCADO</t>
        </is>
      </c>
      <c r="F22" s="231" t="n">
        <v>397</v>
      </c>
      <c r="G22" s="10" t="n"/>
      <c r="H22" s="10" t="n"/>
      <c r="I22" s="37" t="n"/>
    </row>
    <row r="23" ht="15.75" customHeight="1">
      <c r="B23" s="287" t="n">
        <v>46162</v>
      </c>
      <c r="C23" s="59" t="inlineStr">
        <is>
          <t>Ingredients</t>
        </is>
      </c>
      <c r="D23" s="63" t="inlineStr">
        <is>
          <t>Pollo</t>
        </is>
      </c>
      <c r="E23" s="62" t="inlineStr">
        <is>
          <t>Girigallo #ph</t>
        </is>
      </c>
      <c r="F23" s="232" t="n">
        <v>935</v>
      </c>
      <c r="G23" s="19" t="n"/>
      <c r="H23" s="19" t="n"/>
      <c r="I23" s="49" t="n"/>
    </row>
    <row r="24" ht="15.75" customHeight="1">
      <c r="B24" s="287" t="n">
        <v>46162</v>
      </c>
      <c r="C24" s="59" t="inlineStr">
        <is>
          <t>Ingredients</t>
        </is>
      </c>
      <c r="D24" s="60" t="inlineStr">
        <is>
          <t>Queso Gouda</t>
        </is>
      </c>
      <c r="E24" s="59" t="inlineStr">
        <is>
          <t>Bodega De Queso #Ph</t>
        </is>
      </c>
      <c r="F24" s="231" t="n">
        <v>272</v>
      </c>
      <c r="G24" s="10" t="n"/>
      <c r="H24" s="10" t="n"/>
      <c r="I24" s="37" t="n"/>
    </row>
    <row r="25" ht="15.75" customHeight="1">
      <c r="B25" s="287" t="n">
        <v>46162</v>
      </c>
      <c r="C25" s="59" t="inlineStr">
        <is>
          <t>Ingredients</t>
        </is>
      </c>
      <c r="D25" s="63" t="inlineStr">
        <is>
          <t>Avia Reca</t>
        </is>
      </c>
      <c r="E25" s="62" t="inlineStr">
        <is>
          <t>Avia Reca #Ph</t>
        </is>
      </c>
      <c r="F25" s="232" t="n">
        <v>300</v>
      </c>
      <c r="G25" s="19" t="n"/>
      <c r="H25" s="19" t="n"/>
      <c r="I25" s="49" t="n"/>
    </row>
    <row r="26" ht="15.75" customHeight="1">
      <c r="B26" s="287" t="n">
        <v>46162</v>
      </c>
      <c r="C26" s="59" t="inlineStr">
        <is>
          <t>Staff</t>
        </is>
      </c>
      <c r="D26" s="60" t="inlineStr">
        <is>
          <t>John</t>
        </is>
      </c>
      <c r="E26" s="59" t="inlineStr">
        <is>
          <t>Chef</t>
        </is>
      </c>
      <c r="F26" s="231" t="n">
        <v>500</v>
      </c>
      <c r="G26" s="10" t="n"/>
      <c r="H26" s="10" t="n"/>
      <c r="I26" s="37" t="n"/>
    </row>
    <row r="27" ht="15.75" customHeight="1">
      <c r="B27" s="288" t="n">
        <v>46163</v>
      </c>
      <c r="C27" s="62" t="inlineStr">
        <is>
          <t>Ingredients</t>
        </is>
      </c>
      <c r="D27" s="63" t="inlineStr">
        <is>
          <t>Chuletas Carne</t>
        </is>
      </c>
      <c r="E27" s="171" t="inlineStr">
        <is>
          <t>MERCADO</t>
        </is>
      </c>
      <c r="F27" s="232" t="n">
        <v>213</v>
      </c>
      <c r="G27" s="19" t="n"/>
      <c r="H27" s="19" t="n"/>
      <c r="I27" s="49" t="n"/>
    </row>
    <row r="28" ht="15.75" customHeight="1">
      <c r="B28" s="288" t="n">
        <v>46163</v>
      </c>
      <c r="C28" s="62" t="inlineStr">
        <is>
          <t>Ingredients</t>
        </is>
      </c>
      <c r="D28" s="60" t="inlineStr">
        <is>
          <t>Chedruai</t>
        </is>
      </c>
      <c r="E28" s="62" t="n"/>
      <c r="F28" s="231" t="n">
        <v>232</v>
      </c>
      <c r="G28" s="10" t="n"/>
      <c r="H28" s="10" t="n"/>
      <c r="I28" s="37" t="n"/>
    </row>
    <row r="29" ht="15.75" customHeight="1">
      <c r="B29" s="288" t="n">
        <v>46163</v>
      </c>
      <c r="C29" s="62" t="inlineStr">
        <is>
          <t>Ingredients</t>
        </is>
      </c>
      <c r="D29" s="63" t="inlineStr">
        <is>
          <t>Nutralat Milk</t>
        </is>
      </c>
      <c r="E29" s="62" t="inlineStr">
        <is>
          <t>OXXO</t>
        </is>
      </c>
      <c r="F29" s="232" t="n">
        <v>24</v>
      </c>
      <c r="G29" s="19" t="n"/>
      <c r="H29" s="19" t="n"/>
      <c r="I29" s="49" t="n"/>
    </row>
    <row r="30" ht="15.75" customHeight="1">
      <c r="B30" s="288" t="n">
        <v>46163</v>
      </c>
      <c r="C30" s="62" t="inlineStr">
        <is>
          <t>Ingredients</t>
        </is>
      </c>
      <c r="D30" s="60" t="inlineStr">
        <is>
          <t>Crema y Queso</t>
        </is>
      </c>
      <c r="E30" s="59" t="inlineStr">
        <is>
          <t>CAQ</t>
        </is>
      </c>
      <c r="F30" s="231" t="n">
        <v>572</v>
      </c>
      <c r="G30" s="10" t="n"/>
      <c r="H30" s="10" t="n"/>
      <c r="I30" s="37" t="n"/>
    </row>
    <row r="31" ht="15.75" customHeight="1">
      <c r="B31" s="288" t="n">
        <v>46163</v>
      </c>
      <c r="C31" s="62" t="inlineStr">
        <is>
          <t>Ingredients</t>
        </is>
      </c>
      <c r="D31" s="63" t="inlineStr">
        <is>
          <t>Pasta</t>
        </is>
      </c>
      <c r="E31" s="62" t="n"/>
      <c r="F31" s="232" t="n">
        <v>82</v>
      </c>
      <c r="G31" s="19" t="n"/>
      <c r="H31" s="19" t="n"/>
      <c r="I31" s="49" t="n"/>
    </row>
    <row r="32" ht="15.75" customHeight="1">
      <c r="B32" s="288" t="n">
        <v>46163</v>
      </c>
      <c r="C32" s="62" t="inlineStr">
        <is>
          <t>Ingredients</t>
        </is>
      </c>
      <c r="D32" s="60" t="inlineStr">
        <is>
          <t>Vegetables</t>
        </is>
      </c>
      <c r="E32" s="59" t="inlineStr">
        <is>
          <t>ABASTOS</t>
        </is>
      </c>
      <c r="F32" s="231" t="n">
        <v>148</v>
      </c>
      <c r="G32" s="10" t="n"/>
      <c r="H32" s="10" t="n"/>
      <c r="I32" s="37" t="n"/>
    </row>
    <row r="33" ht="15.75" customHeight="1">
      <c r="B33" s="288" t="n">
        <v>46163</v>
      </c>
      <c r="C33" s="62" t="inlineStr">
        <is>
          <t>Ingredients</t>
        </is>
      </c>
      <c r="D33" s="63" t="inlineStr">
        <is>
          <t>Papas</t>
        </is>
      </c>
      <c r="E33" s="59" t="inlineStr">
        <is>
          <t>ABASTOS</t>
        </is>
      </c>
      <c r="F33" s="232" t="n">
        <v>130</v>
      </c>
      <c r="G33" s="19" t="n"/>
      <c r="H33" s="19" t="n"/>
      <c r="I33" s="49" t="n"/>
    </row>
    <row r="34" ht="15.75" customHeight="1">
      <c r="B34" s="288" t="n">
        <v>46163</v>
      </c>
      <c r="C34" s="62" t="inlineStr">
        <is>
          <t>Ingredients</t>
        </is>
      </c>
      <c r="D34" s="60" t="inlineStr">
        <is>
          <t>Vegetables</t>
        </is>
      </c>
      <c r="E34" s="59" t="inlineStr">
        <is>
          <t>ABASTOS</t>
        </is>
      </c>
      <c r="F34" s="231" t="n">
        <v>207</v>
      </c>
      <c r="G34" s="10" t="n"/>
      <c r="H34" s="10" t="n"/>
      <c r="I34" s="37" t="n"/>
    </row>
    <row r="35" ht="15.75" customHeight="1">
      <c r="B35" s="288" t="n">
        <v>46163</v>
      </c>
      <c r="C35" s="62" t="inlineStr">
        <is>
          <t>Ingredients</t>
        </is>
      </c>
      <c r="D35" s="60" t="inlineStr">
        <is>
          <t>Vegetables</t>
        </is>
      </c>
      <c r="E35" s="59" t="inlineStr">
        <is>
          <t>ABASTOS</t>
        </is>
      </c>
      <c r="F35" s="232" t="n">
        <v>185</v>
      </c>
      <c r="G35" s="19" t="n"/>
      <c r="H35" s="19" t="n"/>
      <c r="I35" s="49" t="n"/>
    </row>
    <row r="36" ht="15.75" customHeight="1">
      <c r="B36" s="288" t="n">
        <v>46163</v>
      </c>
      <c r="C36" s="62" t="inlineStr">
        <is>
          <t>Ingredients</t>
        </is>
      </c>
      <c r="D36" s="60" t="inlineStr">
        <is>
          <t>Frutas</t>
        </is>
      </c>
      <c r="E36" s="59" t="inlineStr">
        <is>
          <t>ABASTOS</t>
        </is>
      </c>
      <c r="F36" s="231" t="n">
        <v>108</v>
      </c>
      <c r="G36" s="10" t="n"/>
      <c r="H36" s="10" t="n"/>
      <c r="I36" s="37" t="n"/>
    </row>
    <row r="37" ht="15.75" customHeight="1">
      <c r="B37" s="288" t="n">
        <v>46163</v>
      </c>
      <c r="C37" s="62" t="inlineStr">
        <is>
          <t>Ingredients</t>
        </is>
      </c>
      <c r="D37" s="63" t="inlineStr">
        <is>
          <t>Panco</t>
        </is>
      </c>
      <c r="E37" s="62" t="inlineStr">
        <is>
          <t>MOLINO</t>
        </is>
      </c>
      <c r="F37" s="232" t="n">
        <v>196</v>
      </c>
      <c r="G37" s="19" t="n"/>
      <c r="H37" s="19" t="n"/>
      <c r="I37" s="49" t="n"/>
    </row>
    <row r="38" ht="15.75" customHeight="1">
      <c r="B38" s="233" t="n">
        <v>46163</v>
      </c>
      <c r="C38" s="234" t="inlineStr">
        <is>
          <t>Beverages</t>
        </is>
      </c>
      <c r="D38" s="235" t="inlineStr">
        <is>
          <t>Drinks</t>
        </is>
      </c>
      <c r="E38" s="234" t="inlineStr">
        <is>
          <t>3B GROCERIES SHOP</t>
        </is>
      </c>
      <c r="F38" s="236" t="n">
        <v>337</v>
      </c>
      <c r="G38" s="237" t="n"/>
      <c r="H38" s="237" t="n"/>
      <c r="I38" s="238" t="n"/>
    </row>
    <row r="39" ht="15.75" customHeight="1">
      <c r="B39" s="58" t="n"/>
      <c r="C39" s="62" t="n"/>
      <c r="D39" s="63" t="n"/>
      <c r="E39" s="62" t="n"/>
      <c r="F39" s="232" t="n"/>
      <c r="G39" s="19" t="n"/>
      <c r="H39" s="19" t="n"/>
      <c r="I39" s="49" t="n"/>
    </row>
    <row r="40" ht="15.75" customHeight="1">
      <c r="B40" s="58" t="n"/>
      <c r="C40" s="59" t="n"/>
      <c r="D40" s="60" t="n"/>
      <c r="E40" s="59" t="n"/>
      <c r="F40" s="231" t="n"/>
      <c r="G40" s="10" t="n"/>
      <c r="H40" s="10" t="n"/>
      <c r="I40" s="37" t="n"/>
    </row>
    <row r="41" ht="15.75" customHeight="1">
      <c r="B41" s="58" t="n"/>
      <c r="C41" s="62" t="n"/>
      <c r="D41" s="63" t="n"/>
      <c r="E41" s="62" t="n"/>
      <c r="F41" s="232" t="n"/>
      <c r="G41" s="19" t="n"/>
      <c r="H41" s="19" t="n"/>
      <c r="I41" s="49" t="n"/>
    </row>
    <row r="42" ht="15.75" customHeight="1">
      <c r="B42" s="58" t="n"/>
      <c r="C42" s="59" t="n"/>
      <c r="D42" s="60" t="n"/>
      <c r="E42" s="59" t="n"/>
      <c r="F42" s="231" t="n"/>
      <c r="G42" s="10" t="n"/>
      <c r="H42" s="10" t="n"/>
      <c r="I42" s="37" t="n"/>
    </row>
    <row r="43" ht="15.75" customHeight="1">
      <c r="B43" s="58" t="n"/>
      <c r="C43" s="62" t="n"/>
      <c r="D43" s="63" t="n"/>
      <c r="E43" s="62" t="n"/>
      <c r="F43" s="232" t="n"/>
      <c r="G43" s="19" t="n"/>
      <c r="H43" s="19" t="n"/>
      <c r="I43" s="49" t="n"/>
    </row>
    <row r="44" ht="15.75" customHeight="1">
      <c r="B44" s="58" t="n"/>
      <c r="C44" s="59" t="n"/>
      <c r="D44" s="60" t="n"/>
      <c r="E44" s="59" t="n"/>
      <c r="F44" s="231" t="n"/>
      <c r="G44" s="10" t="n"/>
      <c r="H44" s="10" t="n"/>
      <c r="I44" s="37" t="n"/>
    </row>
    <row r="45" ht="15.75" customHeight="1">
      <c r="B45" s="58" t="n"/>
      <c r="C45" s="62" t="n"/>
      <c r="D45" s="63" t="n"/>
      <c r="E45" s="62" t="n"/>
      <c r="F45" s="232" t="n"/>
      <c r="G45" s="19" t="n"/>
      <c r="H45" s="19" t="n"/>
      <c r="I45" s="49" t="n"/>
    </row>
    <row r="46" ht="15.75" customHeight="1">
      <c r="B46" s="58" t="n"/>
      <c r="C46" s="59" t="n"/>
      <c r="D46" s="60" t="n"/>
      <c r="E46" s="59" t="n"/>
      <c r="F46" s="231" t="n"/>
      <c r="G46" s="10" t="n"/>
      <c r="H46" s="10" t="n"/>
      <c r="I46" s="37" t="n"/>
    </row>
    <row r="47" ht="15.75" customHeight="1">
      <c r="B47" s="58" t="n"/>
      <c r="C47" s="62" t="n"/>
      <c r="D47" s="63" t="n"/>
      <c r="E47" s="62" t="n"/>
      <c r="F47" s="232" t="n"/>
      <c r="G47" s="19" t="n"/>
      <c r="H47" s="19" t="n"/>
      <c r="I47" s="49" t="n"/>
    </row>
    <row r="48" ht="15.75" customHeight="1">
      <c r="B48" s="58" t="n"/>
      <c r="C48" s="59" t="n"/>
      <c r="D48" s="60" t="n"/>
      <c r="E48" s="59" t="n"/>
      <c r="F48" s="231" t="n"/>
      <c r="G48" s="10" t="n"/>
      <c r="H48" s="10" t="n"/>
      <c r="I48" s="37" t="n"/>
    </row>
    <row r="49" ht="15.75" customHeight="1">
      <c r="B49" s="58" t="n"/>
      <c r="C49" s="62" t="n"/>
      <c r="D49" s="63" t="n"/>
      <c r="E49" s="62" t="n"/>
      <c r="F49" s="232" t="n"/>
      <c r="G49" s="19" t="n"/>
      <c r="H49" s="19" t="n"/>
      <c r="I49" s="49" t="n"/>
    </row>
    <row r="50" ht="15.75" customHeight="1">
      <c r="B50" s="58" t="n"/>
      <c r="C50" s="59" t="n"/>
      <c r="D50" s="60" t="n"/>
      <c r="E50" s="59" t="n"/>
      <c r="F50" s="231" t="n"/>
      <c r="G50" s="10" t="n"/>
      <c r="H50" s="10" t="n"/>
      <c r="I50" s="37" t="n"/>
    </row>
    <row r="51" ht="15.75" customHeight="1">
      <c r="B51" s="58" t="n"/>
      <c r="C51" s="62" t="n"/>
      <c r="D51" s="63" t="n"/>
      <c r="E51" s="62" t="n"/>
      <c r="F51" s="232" t="n"/>
      <c r="G51" s="19" t="n"/>
      <c r="H51" s="19" t="n"/>
      <c r="I51" s="49" t="n"/>
    </row>
    <row r="52" ht="15.75" customHeight="1">
      <c r="B52" s="58" t="n"/>
      <c r="C52" s="59" t="n"/>
      <c r="D52" s="60" t="n"/>
      <c r="E52" s="59" t="n"/>
      <c r="F52" s="231" t="n"/>
      <c r="G52" s="10" t="n"/>
      <c r="H52" s="10" t="n"/>
      <c r="I52" s="37" t="n"/>
    </row>
    <row r="53" ht="15.75" customHeight="1">
      <c r="B53" s="58" t="n"/>
      <c r="C53" s="62" t="n"/>
      <c r="D53" s="63" t="n"/>
      <c r="E53" s="62" t="n"/>
      <c r="F53" s="232" t="n"/>
      <c r="G53" s="19" t="n"/>
      <c r="H53" s="19" t="n"/>
      <c r="I53" s="49" t="n"/>
    </row>
    <row r="54" ht="15.75" customHeight="1">
      <c r="B54" s="58" t="n"/>
      <c r="C54" s="59" t="n"/>
      <c r="D54" s="60" t="n"/>
      <c r="E54" s="59" t="n"/>
      <c r="F54" s="231" t="n"/>
      <c r="G54" s="10" t="n"/>
      <c r="H54" s="10" t="n"/>
      <c r="I54" s="37" t="n"/>
    </row>
    <row r="55" ht="15.75" customHeight="1">
      <c r="B55" s="58" t="n"/>
      <c r="C55" s="62" t="n"/>
      <c r="D55" s="63" t="n"/>
      <c r="E55" s="62" t="n"/>
      <c r="F55" s="232" t="n"/>
      <c r="G55" s="19" t="n"/>
      <c r="H55" s="19" t="n"/>
      <c r="I55" s="49" t="n"/>
    </row>
    <row r="56" ht="15.75" customHeight="1">
      <c r="B56" s="58" t="n"/>
      <c r="C56" s="59" t="n"/>
      <c r="D56" s="60" t="n"/>
      <c r="E56" s="59" t="n"/>
      <c r="F56" s="231" t="n"/>
      <c r="G56" s="10" t="n"/>
      <c r="H56" s="10" t="n"/>
      <c r="I56" s="37" t="n"/>
    </row>
    <row r="57" ht="15.75" customHeight="1">
      <c r="B57" s="58" t="n"/>
      <c r="C57" s="62" t="n"/>
      <c r="D57" s="63" t="n"/>
      <c r="E57" s="62" t="n"/>
      <c r="F57" s="232" t="n"/>
      <c r="G57" s="19" t="n"/>
      <c r="H57" s="19" t="n"/>
      <c r="I57" s="49" t="n"/>
    </row>
    <row r="58" ht="15.75" customHeight="1">
      <c r="B58" s="58" t="n"/>
      <c r="C58" s="59" t="n"/>
      <c r="D58" s="60" t="n"/>
      <c r="E58" s="59" t="n"/>
      <c r="F58" s="231" t="n"/>
      <c r="G58" s="10" t="n"/>
      <c r="H58" s="10" t="n"/>
      <c r="I58" s="37" t="n"/>
    </row>
    <row r="59" ht="15.75" customHeight="1">
      <c r="B59" s="58" t="n"/>
      <c r="C59" s="62" t="n"/>
      <c r="D59" s="63" t="n"/>
      <c r="E59" s="62" t="n"/>
      <c r="F59" s="232" t="n"/>
      <c r="G59" s="19" t="n"/>
      <c r="H59" s="19" t="n"/>
      <c r="I59" s="49" t="n"/>
    </row>
    <row r="60" ht="15.75" customHeight="1">
      <c r="B60" s="58" t="n"/>
      <c r="C60" s="59" t="n"/>
      <c r="D60" s="60" t="n"/>
      <c r="E60" s="59" t="n"/>
      <c r="F60" s="231" t="n"/>
      <c r="G60" s="10" t="n"/>
      <c r="H60" s="10" t="n"/>
      <c r="I60" s="37" t="n"/>
    </row>
    <row r="61" ht="15.75" customHeight="1">
      <c r="B61" s="58" t="n"/>
      <c r="C61" s="62" t="n"/>
      <c r="D61" s="63" t="n"/>
      <c r="E61" s="62" t="n"/>
      <c r="F61" s="232" t="n"/>
      <c r="G61" s="19" t="n"/>
      <c r="H61" s="19" t="n"/>
      <c r="I61" s="49" t="n"/>
    </row>
    <row r="62" ht="15.75" customHeight="1">
      <c r="B62" s="58" t="n"/>
      <c r="C62" s="59" t="n"/>
      <c r="D62" s="60" t="n"/>
      <c r="E62" s="59" t="n"/>
      <c r="F62" s="231" t="n"/>
      <c r="G62" s="10" t="n"/>
      <c r="H62" s="10" t="n"/>
      <c r="I62" s="37" t="n"/>
    </row>
    <row r="63" ht="15.75" customHeight="1">
      <c r="B63" s="58" t="n"/>
      <c r="C63" s="62" t="n"/>
      <c r="D63" s="63" t="n"/>
      <c r="E63" s="62" t="n"/>
      <c r="F63" s="232" t="n"/>
      <c r="G63" s="19" t="n"/>
      <c r="H63" s="19" t="n"/>
      <c r="I63" s="49" t="n"/>
    </row>
    <row r="64" ht="15.75" customHeight="1">
      <c r="B64" s="58" t="n"/>
      <c r="C64" s="59" t="n"/>
      <c r="D64" s="60" t="n"/>
      <c r="E64" s="59" t="n"/>
      <c r="F64" s="231" t="n"/>
      <c r="G64" s="10" t="n"/>
      <c r="H64" s="10" t="n"/>
      <c r="I64" s="37" t="n"/>
    </row>
    <row r="65" ht="15.75" customHeight="1">
      <c r="B65" s="58" t="n"/>
      <c r="C65" s="62" t="n"/>
      <c r="D65" s="63" t="n"/>
      <c r="E65" s="62" t="n"/>
      <c r="F65" s="232" t="n"/>
      <c r="G65" s="19" t="n"/>
      <c r="H65" s="19" t="n"/>
      <c r="I65" s="49" t="n"/>
    </row>
    <row r="66" ht="15.75" customHeight="1">
      <c r="B66" s="58" t="n"/>
      <c r="C66" s="59" t="n"/>
      <c r="D66" s="60" t="n"/>
      <c r="E66" s="59" t="n"/>
      <c r="F66" s="231" t="n"/>
      <c r="G66" s="10" t="n"/>
      <c r="H66" s="10" t="n"/>
      <c r="I66" s="37" t="n"/>
    </row>
    <row r="67" ht="15.75" customHeight="1">
      <c r="B67" s="58" t="n"/>
      <c r="C67" s="62" t="n"/>
      <c r="D67" s="63" t="n"/>
      <c r="E67" s="62" t="n"/>
      <c r="F67" s="232" t="n"/>
      <c r="G67" s="19" t="n"/>
      <c r="H67" s="19" t="n"/>
      <c r="I67" s="49" t="n"/>
    </row>
    <row r="68" ht="15.75" customHeight="1">
      <c r="B68" s="58" t="n"/>
      <c r="C68" s="59" t="n"/>
      <c r="D68" s="60" t="n"/>
      <c r="E68" s="59" t="n"/>
      <c r="F68" s="231" t="n"/>
      <c r="G68" s="10" t="n"/>
      <c r="H68" s="10" t="n"/>
      <c r="I68" s="37" t="n"/>
    </row>
    <row r="69" ht="15.75" customHeight="1">
      <c r="B69" s="58" t="n"/>
      <c r="C69" s="62" t="n"/>
      <c r="D69" s="63" t="n"/>
      <c r="E69" s="62" t="n"/>
      <c r="F69" s="232" t="n"/>
      <c r="G69" s="19" t="n"/>
      <c r="H69" s="19" t="n"/>
      <c r="I69" s="49" t="n"/>
    </row>
    <row r="70" ht="15.75" customHeight="1">
      <c r="B70" s="58" t="n"/>
      <c r="C70" s="59" t="n"/>
      <c r="D70" s="60" t="n"/>
      <c r="E70" s="59" t="n"/>
      <c r="F70" s="231" t="n"/>
      <c r="G70" s="10" t="n"/>
      <c r="H70" s="10" t="n"/>
      <c r="I70" s="37" t="n"/>
    </row>
    <row r="71" ht="15.75" customHeight="1">
      <c r="B71" s="58" t="n"/>
      <c r="C71" s="62" t="n"/>
      <c r="D71" s="63" t="n"/>
      <c r="E71" s="62" t="n"/>
      <c r="F71" s="232" t="n"/>
      <c r="G71" s="19" t="n"/>
      <c r="H71" s="19" t="n"/>
      <c r="I71" s="49" t="n"/>
    </row>
    <row r="72" ht="15.75" customHeight="1">
      <c r="B72" s="58" t="n"/>
      <c r="C72" s="59" t="n"/>
      <c r="D72" s="60" t="n"/>
      <c r="E72" s="59" t="n"/>
      <c r="F72" s="231" t="n"/>
      <c r="G72" s="10" t="n"/>
      <c r="H72" s="10" t="n"/>
      <c r="I72" s="37" t="n"/>
    </row>
    <row r="73" ht="15.75" customHeight="1">
      <c r="B73" s="58" t="n"/>
      <c r="C73" s="62" t="n"/>
      <c r="D73" s="63" t="n"/>
      <c r="E73" s="62" t="n"/>
      <c r="F73" s="232" t="n"/>
      <c r="G73" s="19" t="n"/>
      <c r="H73" s="19" t="n"/>
      <c r="I73" s="49" t="n"/>
    </row>
    <row r="74" ht="15.75" customHeight="1">
      <c r="B74" s="58" t="n"/>
      <c r="C74" s="59" t="n"/>
      <c r="D74" s="60" t="n"/>
      <c r="E74" s="59" t="n"/>
      <c r="F74" s="231" t="n"/>
      <c r="G74" s="10" t="n"/>
      <c r="H74" s="10" t="n"/>
      <c r="I74" s="37" t="n"/>
    </row>
    <row r="75" ht="15.75" customHeight="1">
      <c r="B75" s="58" t="n"/>
      <c r="C75" s="62" t="n"/>
      <c r="D75" s="63" t="n"/>
      <c r="E75" s="62" t="n"/>
      <c r="F75" s="232" t="n"/>
      <c r="G75" s="19" t="n"/>
      <c r="H75" s="19" t="n"/>
      <c r="I75" s="49" t="n"/>
    </row>
    <row r="76" ht="15.75" customHeight="1">
      <c r="B76" s="58" t="n"/>
      <c r="C76" s="59" t="n"/>
      <c r="D76" s="60" t="n"/>
      <c r="E76" s="59" t="n"/>
      <c r="F76" s="231" t="n"/>
      <c r="G76" s="10" t="n"/>
      <c r="H76" s="10" t="n"/>
      <c r="I76" s="37" t="n"/>
    </row>
    <row r="77" ht="15.75" customHeight="1">
      <c r="B77" s="58" t="n"/>
      <c r="C77" s="62" t="n"/>
      <c r="D77" s="63" t="n"/>
      <c r="E77" s="62" t="n"/>
      <c r="F77" s="232" t="n"/>
      <c r="G77" s="19" t="n"/>
      <c r="H77" s="19" t="n"/>
      <c r="I77" s="49" t="n"/>
    </row>
    <row r="78" ht="15.75" customHeight="1">
      <c r="B78" s="58" t="n"/>
      <c r="C78" s="59" t="n"/>
      <c r="D78" s="60" t="n"/>
      <c r="E78" s="59" t="n"/>
      <c r="F78" s="231" t="n"/>
      <c r="G78" s="10" t="n"/>
      <c r="H78" s="10" t="n"/>
      <c r="I78" s="37" t="n"/>
    </row>
    <row r="79" ht="15.75" customHeight="1">
      <c r="B79" s="58" t="n"/>
      <c r="C79" s="62" t="n"/>
      <c r="D79" s="63" t="n"/>
      <c r="E79" s="62" t="n"/>
      <c r="F79" s="232" t="n"/>
      <c r="G79" s="19" t="n"/>
      <c r="H79" s="19" t="n"/>
      <c r="I79" s="49" t="n"/>
    </row>
    <row r="80" ht="15.75" customHeight="1">
      <c r="B80" s="58" t="n"/>
      <c r="C80" s="59" t="n"/>
      <c r="D80" s="60" t="n"/>
      <c r="E80" s="59" t="n"/>
      <c r="F80" s="231" t="n"/>
      <c r="G80" s="10" t="n"/>
      <c r="H80" s="10" t="n"/>
      <c r="I80" s="37" t="n"/>
    </row>
    <row r="81" ht="15.75" customHeight="1">
      <c r="B81" s="58" t="n"/>
      <c r="C81" s="62" t="n"/>
      <c r="D81" s="63" t="n"/>
      <c r="E81" s="62" t="n"/>
      <c r="F81" s="232" t="n"/>
      <c r="G81" s="19" t="n"/>
      <c r="H81" s="19" t="n"/>
      <c r="I81" s="49" t="n"/>
    </row>
    <row r="82" ht="15.75" customHeight="1">
      <c r="B82" s="58" t="n"/>
      <c r="C82" s="59" t="n"/>
      <c r="D82" s="60" t="n"/>
      <c r="E82" s="59" t="n"/>
      <c r="F82" s="231" t="n"/>
      <c r="G82" s="10" t="n"/>
      <c r="H82" s="10" t="n"/>
      <c r="I82" s="37" t="n"/>
    </row>
    <row r="83" ht="15.75" customHeight="1">
      <c r="B83" s="58" t="n"/>
      <c r="C83" s="62" t="n"/>
      <c r="D83" s="63" t="n"/>
      <c r="E83" s="62" t="n"/>
      <c r="F83" s="232" t="n"/>
      <c r="G83" s="19" t="n"/>
      <c r="H83" s="19" t="n"/>
      <c r="I83" s="49" t="n"/>
    </row>
    <row r="84" ht="15.75" customHeight="1">
      <c r="B84" s="58" t="n"/>
      <c r="C84" s="59" t="n"/>
      <c r="D84" s="60" t="n"/>
      <c r="E84" s="59" t="n"/>
      <c r="F84" s="231" t="n"/>
      <c r="G84" s="10" t="n"/>
      <c r="H84" s="10" t="n"/>
      <c r="I84" s="37" t="n"/>
    </row>
    <row r="85" ht="15.75" customHeight="1">
      <c r="B85" s="58" t="n"/>
      <c r="C85" s="62" t="n"/>
      <c r="D85" s="63" t="n"/>
      <c r="E85" s="62" t="n"/>
      <c r="F85" s="232" t="n"/>
      <c r="G85" s="19" t="n"/>
      <c r="H85" s="19" t="n"/>
      <c r="I85" s="49" t="n"/>
    </row>
    <row r="86" ht="15.75" customHeight="1">
      <c r="B86" s="58" t="n"/>
      <c r="C86" s="59" t="n"/>
      <c r="D86" s="60" t="n"/>
      <c r="E86" s="59" t="n"/>
      <c r="F86" s="231" t="n"/>
      <c r="G86" s="10" t="n"/>
      <c r="H86" s="10" t="n"/>
      <c r="I86" s="37" t="n"/>
    </row>
    <row r="87" ht="15.75" customHeight="1">
      <c r="B87" s="58" t="n"/>
      <c r="C87" s="62" t="n"/>
      <c r="D87" s="63" t="n"/>
      <c r="E87" s="62" t="n"/>
      <c r="F87" s="232" t="n"/>
      <c r="G87" s="19" t="n"/>
      <c r="H87" s="19" t="n"/>
      <c r="I87" s="49" t="n"/>
    </row>
    <row r="88" ht="15.75" customHeight="1">
      <c r="B88" s="58" t="n"/>
      <c r="C88" s="59" t="n"/>
      <c r="D88" s="60" t="n"/>
      <c r="E88" s="59" t="n"/>
      <c r="F88" s="231" t="n"/>
      <c r="G88" s="10" t="n"/>
      <c r="H88" s="10" t="n"/>
      <c r="I88" s="37" t="n"/>
    </row>
    <row r="89" ht="15.75" customHeight="1">
      <c r="B89" s="58" t="n"/>
      <c r="C89" s="62" t="n"/>
      <c r="D89" s="63" t="n"/>
      <c r="E89" s="62" t="n"/>
      <c r="F89" s="232" t="n"/>
      <c r="G89" s="19" t="n"/>
      <c r="H89" s="19" t="n"/>
      <c r="I89" s="49" t="n"/>
    </row>
    <row r="90" ht="15.75" customHeight="1">
      <c r="B90" s="58" t="n"/>
      <c r="C90" s="59" t="n"/>
      <c r="D90" s="60" t="n"/>
      <c r="E90" s="59" t="n"/>
      <c r="F90" s="231" t="n"/>
      <c r="G90" s="10" t="n"/>
      <c r="H90" s="10" t="n"/>
      <c r="I90" s="37" t="n"/>
    </row>
    <row r="91" ht="15.75" customHeight="1">
      <c r="B91" s="58" t="n"/>
      <c r="C91" s="62" t="n"/>
      <c r="D91" s="63" t="n"/>
      <c r="E91" s="62" t="n"/>
      <c r="F91" s="232" t="n"/>
      <c r="G91" s="19" t="n"/>
      <c r="H91" s="19" t="n"/>
      <c r="I91" s="49" t="n"/>
    </row>
    <row r="92" ht="15.75" customHeight="1">
      <c r="B92" s="58" t="n"/>
      <c r="C92" s="59" t="n"/>
      <c r="D92" s="60" t="n"/>
      <c r="E92" s="59" t="n"/>
      <c r="F92" s="231" t="n"/>
      <c r="G92" s="10" t="n"/>
      <c r="H92" s="10" t="n"/>
      <c r="I92" s="37" t="n"/>
    </row>
    <row r="93" ht="15.75" customHeight="1">
      <c r="B93" s="58" t="n"/>
      <c r="C93" s="62" t="n"/>
      <c r="D93" s="63" t="n"/>
      <c r="E93" s="62" t="n"/>
      <c r="F93" s="232" t="n"/>
      <c r="G93" s="19" t="n"/>
      <c r="H93" s="19" t="n"/>
      <c r="I93" s="49" t="n"/>
    </row>
    <row r="94" ht="15.75" customHeight="1">
      <c r="B94" s="58" t="n"/>
      <c r="C94" s="59" t="n"/>
      <c r="D94" s="60" t="n"/>
      <c r="E94" s="59" t="n"/>
      <c r="F94" s="231" t="n"/>
      <c r="G94" s="10" t="n"/>
      <c r="H94" s="10" t="n"/>
      <c r="I94" s="37" t="n"/>
    </row>
    <row r="95" ht="15.75" customHeight="1">
      <c r="B95" s="58" t="n"/>
      <c r="C95" s="62" t="n"/>
      <c r="D95" s="63" t="n"/>
      <c r="E95" s="62" t="n"/>
      <c r="F95" s="232" t="n"/>
      <c r="G95" s="19" t="n"/>
      <c r="H95" s="19" t="n"/>
      <c r="I95" s="49" t="n"/>
    </row>
    <row r="96" ht="15.75" customHeight="1">
      <c r="B96" s="58" t="n"/>
      <c r="C96" s="59" t="n"/>
      <c r="D96" s="60" t="n"/>
      <c r="E96" s="59" t="n"/>
      <c r="F96" s="231" t="n"/>
      <c r="G96" s="10" t="n"/>
      <c r="H96" s="10" t="n"/>
      <c r="I96" s="37" t="n"/>
    </row>
    <row r="97" ht="15.75" customHeight="1">
      <c r="B97" s="58" t="n"/>
      <c r="C97" s="62" t="n"/>
      <c r="D97" s="63" t="n"/>
      <c r="E97" s="62" t="n"/>
      <c r="F97" s="232" t="n"/>
      <c r="G97" s="19" t="n"/>
      <c r="H97" s="19" t="n"/>
      <c r="I97" s="49" t="n"/>
    </row>
    <row r="98" ht="15.75" customHeight="1">
      <c r="B98" s="58" t="n"/>
      <c r="C98" s="59" t="n"/>
      <c r="D98" s="60" t="n"/>
      <c r="E98" s="59" t="n"/>
      <c r="F98" s="231" t="n"/>
      <c r="G98" s="10" t="n"/>
      <c r="H98" s="10" t="n"/>
      <c r="I98" s="37" t="n"/>
    </row>
    <row r="99" ht="15.75" customHeight="1">
      <c r="B99" s="58" t="n"/>
      <c r="C99" s="62" t="n"/>
      <c r="D99" s="63" t="n"/>
      <c r="E99" s="62" t="n"/>
      <c r="F99" s="232" t="n"/>
      <c r="G99" s="19" t="n"/>
      <c r="H99" s="19" t="n"/>
      <c r="I99" s="49" t="n"/>
    </row>
    <row r="100" ht="15.75" customHeight="1">
      <c r="B100" s="58" t="n"/>
      <c r="C100" s="59" t="n"/>
      <c r="D100" s="60" t="n"/>
      <c r="E100" s="59" t="n"/>
      <c r="F100" s="231" t="n"/>
      <c r="G100" s="10" t="n"/>
      <c r="H100" s="10" t="n"/>
      <c r="I100" s="37" t="n"/>
    </row>
    <row r="101" ht="15.75" customHeight="1">
      <c r="B101" s="58" t="n"/>
      <c r="C101" s="62" t="n"/>
      <c r="D101" s="63" t="n"/>
      <c r="E101" s="62" t="n"/>
      <c r="F101" s="232" t="n"/>
      <c r="G101" s="19" t="n"/>
      <c r="H101" s="19" t="n"/>
      <c r="I101" s="49" t="n"/>
    </row>
    <row r="102" ht="15.75" customHeight="1">
      <c r="B102" s="58" t="n"/>
      <c r="C102" s="59" t="n"/>
      <c r="D102" s="60" t="n"/>
      <c r="E102" s="59" t="n"/>
      <c r="F102" s="231" t="n"/>
      <c r="G102" s="10" t="n"/>
      <c r="H102" s="10" t="n"/>
      <c r="I102" s="37" t="n"/>
    </row>
    <row r="103" ht="15.75" customHeight="1">
      <c r="B103" s="58" t="n"/>
      <c r="C103" s="62" t="n"/>
      <c r="D103" s="63" t="n"/>
      <c r="E103" s="62" t="n"/>
      <c r="F103" s="232" t="n"/>
      <c r="G103" s="19" t="n"/>
      <c r="H103" s="19" t="n"/>
      <c r="I103" s="49" t="n"/>
    </row>
    <row r="104" ht="15.75" customHeight="1">
      <c r="B104" s="58" t="n"/>
      <c r="C104" s="59" t="n"/>
      <c r="D104" s="60" t="n"/>
      <c r="E104" s="59" t="n"/>
      <c r="F104" s="231" t="n"/>
      <c r="G104" s="10" t="n"/>
      <c r="H104" s="10" t="n"/>
      <c r="I104" s="37" t="n"/>
    </row>
    <row r="105" ht="15.75" customHeight="1">
      <c r="B105" s="58" t="n"/>
      <c r="C105" s="62" t="n"/>
      <c r="D105" s="63" t="n"/>
      <c r="E105" s="62" t="n"/>
      <c r="F105" s="232" t="n"/>
      <c r="G105" s="19" t="n"/>
      <c r="H105" s="19" t="n"/>
      <c r="I105" s="49" t="n"/>
    </row>
    <row r="106" ht="15.75" customHeight="1">
      <c r="B106" s="58" t="n"/>
      <c r="C106" s="59" t="n"/>
      <c r="D106" s="60" t="n"/>
      <c r="E106" s="59" t="n"/>
      <c r="F106" s="231" t="n"/>
      <c r="G106" s="10" t="n"/>
      <c r="H106" s="10" t="n"/>
      <c r="I106" s="37" t="n"/>
    </row>
    <row r="107" ht="15.75" customHeight="1">
      <c r="B107" s="58" t="n"/>
      <c r="C107" s="62" t="n"/>
      <c r="D107" s="63" t="n"/>
      <c r="E107" s="62" t="n"/>
      <c r="F107" s="232" t="n"/>
      <c r="G107" s="19" t="n"/>
      <c r="H107" s="19" t="n"/>
      <c r="I107" s="49" t="n"/>
    </row>
    <row r="108" ht="15.75" customHeight="1">
      <c r="B108" s="58" t="n"/>
      <c r="C108" s="59" t="n"/>
      <c r="D108" s="60" t="n"/>
      <c r="E108" s="59" t="n"/>
      <c r="F108" s="231" t="n"/>
      <c r="G108" s="10" t="n"/>
      <c r="H108" s="10" t="n"/>
      <c r="I108" s="37" t="n"/>
    </row>
    <row r="109" ht="15.75" customHeight="1">
      <c r="B109" s="58" t="n"/>
      <c r="C109" s="62" t="n"/>
      <c r="D109" s="63" t="n"/>
      <c r="E109" s="62" t="n"/>
      <c r="F109" s="232" t="n"/>
      <c r="G109" s="19" t="n"/>
      <c r="H109" s="19" t="n"/>
      <c r="I109" s="49" t="n"/>
    </row>
    <row r="110" ht="15.75" customHeight="1">
      <c r="B110" s="58" t="n"/>
      <c r="C110" s="59" t="n"/>
      <c r="D110" s="60" t="n"/>
      <c r="E110" s="59" t="n"/>
      <c r="F110" s="231" t="n"/>
      <c r="G110" s="10" t="n"/>
      <c r="H110" s="10" t="n"/>
      <c r="I110" s="37" t="n"/>
    </row>
    <row r="111" ht="15.75" customHeight="1">
      <c r="B111" s="58" t="n"/>
      <c r="C111" s="62" t="n"/>
      <c r="D111" s="63" t="n"/>
      <c r="E111" s="62" t="n"/>
      <c r="F111" s="232" t="n"/>
      <c r="G111" s="19" t="n"/>
      <c r="H111" s="19" t="n"/>
      <c r="I111" s="49" t="n"/>
    </row>
    <row r="112" ht="15.75" customHeight="1">
      <c r="B112" s="58" t="n"/>
      <c r="C112" s="59" t="n"/>
      <c r="D112" s="60" t="n"/>
      <c r="E112" s="59" t="n"/>
      <c r="F112" s="231" t="n"/>
      <c r="G112" s="10" t="n"/>
      <c r="H112" s="10" t="n"/>
      <c r="I112" s="37" t="n"/>
    </row>
    <row r="113" ht="15.75" customHeight="1">
      <c r="B113" s="58" t="n"/>
      <c r="C113" s="62" t="n"/>
      <c r="D113" s="63" t="n"/>
      <c r="E113" s="62" t="n"/>
      <c r="F113" s="232" t="n"/>
      <c r="G113" s="19" t="n"/>
      <c r="H113" s="19" t="n"/>
      <c r="I113" s="49" t="n"/>
    </row>
    <row r="114" ht="15.75" customHeight="1">
      <c r="B114" s="58" t="n"/>
      <c r="C114" s="59" t="n"/>
      <c r="D114" s="60" t="n"/>
      <c r="E114" s="59" t="n"/>
      <c r="F114" s="231" t="n"/>
      <c r="G114" s="10" t="n"/>
      <c r="H114" s="10" t="n"/>
      <c r="I114" s="37" t="n"/>
    </row>
    <row r="115" ht="15.75" customHeight="1">
      <c r="B115" s="58" t="n"/>
      <c r="C115" s="62" t="n"/>
      <c r="D115" s="63" t="n"/>
      <c r="E115" s="62" t="n"/>
      <c r="F115" s="232" t="n"/>
      <c r="G115" s="19" t="n"/>
      <c r="H115" s="19" t="n"/>
      <c r="I115" s="49" t="n"/>
    </row>
    <row r="116" ht="15.75" customHeight="1">
      <c r="B116" s="58" t="n"/>
      <c r="C116" s="59" t="n"/>
      <c r="D116" s="60" t="n"/>
      <c r="E116" s="59" t="n"/>
      <c r="F116" s="231" t="n"/>
      <c r="G116" s="10" t="n"/>
      <c r="H116" s="10" t="n"/>
      <c r="I116" s="37" t="n"/>
    </row>
    <row r="117" ht="15.75" customHeight="1">
      <c r="B117" s="58" t="n"/>
      <c r="C117" s="62" t="n"/>
      <c r="D117" s="63" t="n"/>
      <c r="E117" s="62" t="n"/>
      <c r="F117" s="232" t="n"/>
      <c r="G117" s="19" t="n"/>
      <c r="H117" s="19" t="n"/>
      <c r="I117" s="49" t="n"/>
    </row>
    <row r="118" ht="15.75" customHeight="1">
      <c r="B118" s="58" t="n"/>
      <c r="C118" s="59" t="n"/>
      <c r="D118" s="60" t="n"/>
      <c r="E118" s="59" t="n"/>
      <c r="F118" s="231" t="n"/>
      <c r="G118" s="10" t="n"/>
      <c r="H118" s="10" t="n"/>
      <c r="I118" s="37" t="n"/>
    </row>
    <row r="119" ht="15.75" customHeight="1">
      <c r="B119" s="58" t="n"/>
      <c r="C119" s="62" t="n"/>
      <c r="D119" s="63" t="n"/>
      <c r="E119" s="62" t="n"/>
      <c r="F119" s="232" t="n"/>
      <c r="G119" s="19" t="n"/>
      <c r="H119" s="19" t="n"/>
      <c r="I119" s="49" t="n"/>
    </row>
    <row r="120" ht="15.75" customHeight="1">
      <c r="B120" s="58" t="n"/>
      <c r="C120" s="59" t="n"/>
      <c r="D120" s="60" t="n"/>
      <c r="E120" s="59" t="n"/>
      <c r="F120" s="231" t="n"/>
      <c r="G120" s="10" t="n"/>
      <c r="H120" s="10" t="n"/>
      <c r="I120" s="37" t="n"/>
    </row>
    <row r="121" ht="15.75" customHeight="1">
      <c r="B121" s="58" t="n"/>
      <c r="C121" s="62" t="n"/>
      <c r="D121" s="63" t="n"/>
      <c r="E121" s="62" t="n"/>
      <c r="F121" s="232" t="n"/>
      <c r="G121" s="19" t="n"/>
      <c r="H121" s="19" t="n"/>
      <c r="I121" s="49" t="n"/>
    </row>
    <row r="122" ht="15.75" customHeight="1">
      <c r="B122" s="58" t="n"/>
      <c r="C122" s="59" t="n"/>
      <c r="D122" s="60" t="n"/>
      <c r="E122" s="59" t="n"/>
      <c r="F122" s="231" t="n"/>
      <c r="G122" s="10" t="n"/>
      <c r="H122" s="10" t="n"/>
      <c r="I122" s="37" t="n"/>
    </row>
    <row r="123" ht="15.75" customHeight="1">
      <c r="B123" s="58" t="n"/>
      <c r="C123" s="62" t="n"/>
      <c r="D123" s="63" t="n"/>
      <c r="E123" s="62" t="n"/>
      <c r="F123" s="232" t="n"/>
      <c r="G123" s="19" t="n"/>
      <c r="H123" s="19" t="n"/>
      <c r="I123" s="49" t="n"/>
    </row>
    <row r="124" ht="15.75" customHeight="1">
      <c r="B124" s="58" t="n"/>
      <c r="C124" s="59" t="n"/>
      <c r="D124" s="60" t="n"/>
      <c r="E124" s="59" t="n"/>
      <c r="F124" s="231" t="n"/>
      <c r="G124" s="10" t="n"/>
      <c r="H124" s="10" t="n"/>
      <c r="I124" s="37" t="n"/>
    </row>
    <row r="125" ht="15.75" customHeight="1">
      <c r="B125" s="58" t="n"/>
      <c r="C125" s="62" t="n"/>
      <c r="D125" s="63" t="n"/>
      <c r="E125" s="62" t="n"/>
      <c r="F125" s="232" t="n"/>
      <c r="G125" s="19" t="n"/>
      <c r="H125" s="19" t="n"/>
      <c r="I125" s="49" t="n"/>
    </row>
    <row r="126" ht="15.75" customHeight="1">
      <c r="B126" s="58" t="n"/>
      <c r="C126" s="59" t="n"/>
      <c r="D126" s="60" t="n"/>
      <c r="E126" s="59" t="n"/>
      <c r="F126" s="231" t="n"/>
      <c r="G126" s="10" t="n"/>
      <c r="H126" s="10" t="n"/>
      <c r="I126" s="37" t="n"/>
    </row>
    <row r="127" ht="15.75" customHeight="1">
      <c r="B127" s="58" t="n"/>
      <c r="C127" s="62" t="n"/>
      <c r="D127" s="63" t="n"/>
      <c r="E127" s="62" t="n"/>
      <c r="F127" s="232" t="n"/>
      <c r="G127" s="19" t="n"/>
      <c r="H127" s="19" t="n"/>
      <c r="I127" s="49" t="n"/>
    </row>
    <row r="128" ht="15.75" customHeight="1">
      <c r="B128" s="58" t="n"/>
      <c r="C128" s="59" t="n"/>
      <c r="D128" s="60" t="n"/>
      <c r="E128" s="59" t="n"/>
      <c r="F128" s="231" t="n"/>
      <c r="G128" s="10" t="n"/>
      <c r="H128" s="10" t="n"/>
      <c r="I128" s="37" t="n"/>
    </row>
    <row r="129" ht="15.75" customHeight="1">
      <c r="B129" s="58" t="n"/>
      <c r="C129" s="62" t="n"/>
      <c r="D129" s="63" t="n"/>
      <c r="E129" s="62" t="n"/>
      <c r="F129" s="232" t="n"/>
      <c r="G129" s="19" t="n"/>
      <c r="H129" s="19" t="n"/>
      <c r="I129" s="49" t="n"/>
    </row>
    <row r="130" ht="15.75" customHeight="1">
      <c r="B130" s="58" t="n"/>
      <c r="C130" s="59" t="n"/>
      <c r="D130" s="60" t="n"/>
      <c r="E130" s="59" t="n"/>
      <c r="F130" s="231" t="n"/>
      <c r="G130" s="10" t="n"/>
      <c r="H130" s="10" t="n"/>
      <c r="I130" s="37" t="n"/>
    </row>
    <row r="131" ht="15.75" customHeight="1">
      <c r="B131" s="58" t="n"/>
      <c r="C131" s="62" t="n"/>
      <c r="D131" s="63" t="n"/>
      <c r="E131" s="62" t="n"/>
      <c r="F131" s="232" t="n"/>
      <c r="G131" s="19" t="n"/>
      <c r="H131" s="19" t="n"/>
      <c r="I131" s="49" t="n"/>
    </row>
    <row r="132" ht="15.75" customHeight="1">
      <c r="B132" s="58" t="n"/>
      <c r="C132" s="59" t="n"/>
      <c r="D132" s="60" t="n"/>
      <c r="E132" s="59" t="n"/>
      <c r="F132" s="231" t="n"/>
      <c r="G132" s="10" t="n"/>
      <c r="H132" s="10" t="n"/>
      <c r="I132" s="37" t="n"/>
    </row>
    <row r="133" ht="15.75" customHeight="1">
      <c r="B133" s="58" t="n"/>
      <c r="C133" s="62" t="n"/>
      <c r="D133" s="63" t="n"/>
      <c r="E133" s="62" t="n"/>
      <c r="F133" s="232" t="n"/>
      <c r="G133" s="19" t="n"/>
      <c r="H133" s="19" t="n"/>
      <c r="I133" s="49" t="n"/>
    </row>
    <row r="134" ht="15.75" customHeight="1">
      <c r="B134" s="58" t="n"/>
      <c r="C134" s="59" t="n"/>
      <c r="D134" s="60" t="n"/>
      <c r="E134" s="59" t="n"/>
      <c r="F134" s="231" t="n"/>
      <c r="G134" s="10" t="n"/>
      <c r="H134" s="10" t="n"/>
      <c r="I134" s="37" t="n"/>
    </row>
    <row r="135" ht="15.75" customHeight="1">
      <c r="B135" s="58" t="n"/>
      <c r="C135" s="62" t="n"/>
      <c r="D135" s="63" t="n"/>
      <c r="E135" s="62" t="n"/>
      <c r="F135" s="232" t="n"/>
      <c r="G135" s="19" t="n"/>
      <c r="H135" s="19" t="n"/>
      <c r="I135" s="49" t="n"/>
    </row>
    <row r="136" ht="15.75" customHeight="1">
      <c r="B136" s="58" t="n"/>
      <c r="C136" s="59" t="n"/>
      <c r="D136" s="60" t="n"/>
      <c r="E136" s="59" t="n"/>
      <c r="F136" s="231" t="n"/>
      <c r="G136" s="10" t="n"/>
      <c r="H136" s="10" t="n"/>
      <c r="I136" s="37" t="n"/>
    </row>
    <row r="137" ht="15.75" customHeight="1">
      <c r="B137" s="58" t="n"/>
      <c r="C137" s="62" t="n"/>
      <c r="D137" s="63" t="n"/>
      <c r="E137" s="62" t="n"/>
      <c r="F137" s="232" t="n"/>
      <c r="G137" s="19" t="n"/>
      <c r="H137" s="19" t="n"/>
      <c r="I137" s="49" t="n"/>
    </row>
    <row r="138" ht="15.75" customHeight="1">
      <c r="B138" s="58" t="n"/>
      <c r="C138" s="59" t="n"/>
      <c r="D138" s="60" t="n"/>
      <c r="E138" s="59" t="n"/>
      <c r="F138" s="231" t="n"/>
      <c r="G138" s="10" t="n"/>
      <c r="H138" s="10" t="n"/>
      <c r="I138" s="37" t="n"/>
    </row>
    <row r="139" ht="15.75" customHeight="1">
      <c r="B139" s="58" t="n"/>
      <c r="C139" s="62" t="n"/>
      <c r="D139" s="63" t="n"/>
      <c r="E139" s="62" t="n"/>
      <c r="F139" s="232" t="n"/>
      <c r="G139" s="19" t="n"/>
      <c r="H139" s="19" t="n"/>
      <c r="I139" s="49" t="n"/>
    </row>
    <row r="140" ht="15.75" customHeight="1">
      <c r="B140" s="58" t="n"/>
      <c r="C140" s="59" t="n"/>
      <c r="D140" s="60" t="n"/>
      <c r="E140" s="59" t="n"/>
      <c r="F140" s="231" t="n"/>
      <c r="G140" s="10" t="n"/>
      <c r="H140" s="10" t="n"/>
      <c r="I140" s="37" t="n"/>
    </row>
    <row r="141" ht="15.75" customHeight="1">
      <c r="B141" s="58" t="n"/>
      <c r="C141" s="62" t="n"/>
      <c r="D141" s="63" t="n"/>
      <c r="E141" s="62" t="n"/>
      <c r="F141" s="232" t="n"/>
      <c r="G141" s="19" t="n"/>
      <c r="H141" s="19" t="n"/>
      <c r="I141" s="49" t="n"/>
    </row>
    <row r="142" ht="15.75" customHeight="1">
      <c r="B142" s="58" t="n"/>
      <c r="C142" s="59" t="n"/>
      <c r="D142" s="60" t="n"/>
      <c r="E142" s="59" t="n"/>
      <c r="F142" s="231" t="n"/>
      <c r="G142" s="10" t="n"/>
      <c r="H142" s="10" t="n"/>
      <c r="I142" s="37" t="n"/>
    </row>
    <row r="143" ht="15.75" customHeight="1">
      <c r="B143" s="58" t="n"/>
      <c r="C143" s="62" t="n"/>
      <c r="D143" s="63" t="n"/>
      <c r="E143" s="62" t="n"/>
      <c r="F143" s="232" t="n"/>
      <c r="G143" s="19" t="n"/>
      <c r="H143" s="19" t="n"/>
      <c r="I143" s="49" t="n"/>
    </row>
    <row r="144" ht="15.75" customHeight="1">
      <c r="B144" s="58" t="n"/>
      <c r="C144" s="59" t="n"/>
      <c r="D144" s="60" t="n"/>
      <c r="E144" s="59" t="n"/>
      <c r="F144" s="231" t="n"/>
      <c r="G144" s="10" t="n"/>
      <c r="H144" s="10" t="n"/>
      <c r="I144" s="37" t="n"/>
    </row>
    <row r="145" ht="15.75" customHeight="1">
      <c r="B145" s="58" t="n"/>
      <c r="C145" s="62" t="n"/>
      <c r="D145" s="63" t="n"/>
      <c r="E145" s="62" t="n"/>
      <c r="F145" s="232" t="n"/>
      <c r="G145" s="19" t="n"/>
      <c r="H145" s="19" t="n"/>
      <c r="I145" s="49" t="n"/>
    </row>
    <row r="146" ht="15.75" customHeight="1">
      <c r="B146" s="58" t="n"/>
      <c r="C146" s="59" t="n"/>
      <c r="D146" s="60" t="n"/>
      <c r="E146" s="59" t="n"/>
      <c r="F146" s="231" t="n"/>
      <c r="G146" s="10" t="n"/>
      <c r="H146" s="10" t="n"/>
      <c r="I146" s="37" t="n"/>
    </row>
    <row r="147" ht="15.75" customHeight="1">
      <c r="B147" s="58" t="n"/>
      <c r="C147" s="62" t="n"/>
      <c r="D147" s="63" t="n"/>
      <c r="E147" s="62" t="n"/>
      <c r="F147" s="232" t="n"/>
      <c r="G147" s="19" t="n"/>
      <c r="H147" s="19" t="n"/>
      <c r="I147" s="49" t="n"/>
    </row>
    <row r="148" ht="15.75" customHeight="1">
      <c r="B148" s="58" t="n"/>
      <c r="C148" s="59" t="n"/>
      <c r="D148" s="60" t="n"/>
      <c r="E148" s="59" t="n"/>
      <c r="F148" s="231" t="n"/>
      <c r="G148" s="10" t="n"/>
      <c r="H148" s="10" t="n"/>
      <c r="I148" s="37" t="n"/>
    </row>
    <row r="149" ht="15.75" customHeight="1">
      <c r="B149" s="58" t="n"/>
      <c r="C149" s="62" t="n"/>
      <c r="D149" s="63" t="n"/>
      <c r="E149" s="62" t="n"/>
      <c r="F149" s="232" t="n"/>
      <c r="G149" s="19" t="n"/>
      <c r="H149" s="19" t="n"/>
      <c r="I149" s="49" t="n"/>
    </row>
    <row r="150" ht="15.75" customHeight="1">
      <c r="B150" s="58" t="n"/>
      <c r="C150" s="59" t="n"/>
      <c r="D150" s="60" t="n"/>
      <c r="E150" s="59" t="n"/>
      <c r="F150" s="231" t="n"/>
      <c r="G150" s="10" t="n"/>
      <c r="H150" s="10" t="n"/>
      <c r="I150" s="37" t="n"/>
    </row>
    <row r="151" ht="15.75" customHeight="1">
      <c r="B151" s="58" t="n"/>
      <c r="C151" s="62" t="n"/>
      <c r="D151" s="63" t="n"/>
      <c r="E151" s="62" t="n"/>
      <c r="F151" s="232" t="n"/>
      <c r="G151" s="19" t="n"/>
      <c r="H151" s="19" t="n"/>
      <c r="I151" s="49" t="n"/>
    </row>
    <row r="152" ht="15.75" customHeight="1">
      <c r="B152" s="58" t="n"/>
      <c r="C152" s="59" t="n"/>
      <c r="D152" s="60" t="n"/>
      <c r="E152" s="59" t="n"/>
      <c r="F152" s="231" t="n"/>
      <c r="G152" s="10" t="n"/>
      <c r="H152" s="10" t="n"/>
      <c r="I152" s="37" t="n"/>
    </row>
    <row r="153" ht="15.75" customHeight="1">
      <c r="B153" s="58" t="n"/>
      <c r="C153" s="62" t="n"/>
      <c r="D153" s="63" t="n"/>
      <c r="E153" s="62" t="n"/>
      <c r="F153" s="232" t="n"/>
      <c r="G153" s="19" t="n"/>
      <c r="H153" s="19" t="n"/>
      <c r="I153" s="49" t="n"/>
    </row>
    <row r="154" ht="15.75" customHeight="1">
      <c r="B154" s="58" t="n"/>
      <c r="C154" s="59" t="n"/>
      <c r="D154" s="60" t="n"/>
      <c r="E154" s="59" t="n"/>
      <c r="F154" s="231" t="n"/>
      <c r="G154" s="10" t="n"/>
      <c r="H154" s="10" t="n"/>
      <c r="I154" s="37" t="n"/>
    </row>
    <row r="155" ht="15.75" customHeight="1">
      <c r="B155" s="58" t="n"/>
      <c r="C155" s="62" t="n"/>
      <c r="D155" s="63" t="n"/>
      <c r="E155" s="62" t="n"/>
      <c r="F155" s="232" t="n"/>
      <c r="G155" s="19" t="n"/>
      <c r="H155" s="19" t="n"/>
      <c r="I155" s="49" t="n"/>
    </row>
    <row r="156" ht="15.75" customHeight="1">
      <c r="B156" s="58" t="n"/>
      <c r="C156" s="59" t="n"/>
      <c r="D156" s="60" t="n"/>
      <c r="E156" s="59" t="n"/>
      <c r="F156" s="231" t="n"/>
      <c r="G156" s="10" t="n"/>
      <c r="H156" s="10" t="n"/>
      <c r="I156" s="37" t="n"/>
    </row>
    <row r="157" ht="15.75" customHeight="1">
      <c r="B157" s="58" t="n"/>
      <c r="C157" s="62" t="n"/>
      <c r="D157" s="63" t="n"/>
      <c r="E157" s="62" t="n"/>
      <c r="F157" s="232" t="n"/>
      <c r="G157" s="19" t="n"/>
      <c r="H157" s="19" t="n"/>
      <c r="I157" s="49" t="n"/>
    </row>
    <row r="158" ht="15.75" customHeight="1">
      <c r="B158" s="58" t="n"/>
      <c r="C158" s="59" t="n"/>
      <c r="D158" s="60" t="n"/>
      <c r="E158" s="59" t="n"/>
      <c r="F158" s="231" t="n"/>
      <c r="G158" s="10" t="n"/>
      <c r="H158" s="10" t="n"/>
      <c r="I158" s="37" t="n"/>
    </row>
    <row r="159" ht="15.75" customHeight="1">
      <c r="B159" s="58" t="n"/>
      <c r="C159" s="62" t="n"/>
      <c r="D159" s="63" t="n"/>
      <c r="E159" s="62" t="n"/>
      <c r="F159" s="232" t="n"/>
      <c r="G159" s="19" t="n"/>
      <c r="H159" s="19" t="n"/>
      <c r="I159" s="49" t="n"/>
    </row>
    <row r="160" ht="15.75" customHeight="1">
      <c r="B160" s="58" t="n"/>
      <c r="C160" s="59" t="n"/>
      <c r="D160" s="60" t="n"/>
      <c r="E160" s="59" t="n"/>
      <c r="F160" s="231" t="n"/>
      <c r="G160" s="10" t="n"/>
      <c r="H160" s="10" t="n"/>
      <c r="I160" s="37" t="n"/>
    </row>
    <row r="161" ht="15.75" customHeight="1">
      <c r="B161" s="58" t="n"/>
      <c r="C161" s="62" t="n"/>
      <c r="D161" s="63" t="n"/>
      <c r="E161" s="62" t="n"/>
      <c r="F161" s="232" t="n"/>
      <c r="G161" s="19" t="n"/>
      <c r="H161" s="19" t="n"/>
      <c r="I161" s="49" t="n"/>
    </row>
    <row r="162" ht="15.75" customHeight="1">
      <c r="B162" s="58" t="n"/>
      <c r="C162" s="59" t="n"/>
      <c r="D162" s="60" t="n"/>
      <c r="E162" s="59" t="n"/>
      <c r="F162" s="231" t="n"/>
      <c r="G162" s="10" t="n"/>
      <c r="H162" s="10" t="n"/>
      <c r="I162" s="37" t="n"/>
    </row>
    <row r="163" ht="15.75" customHeight="1">
      <c r="B163" s="58" t="n"/>
      <c r="C163" s="62" t="n"/>
      <c r="D163" s="63" t="n"/>
      <c r="E163" s="62" t="n"/>
      <c r="F163" s="232" t="n"/>
      <c r="G163" s="19" t="n"/>
      <c r="H163" s="19" t="n"/>
      <c r="I163" s="49" t="n"/>
    </row>
    <row r="164" ht="15.75" customHeight="1">
      <c r="B164" s="58" t="n"/>
      <c r="C164" s="59" t="n"/>
      <c r="D164" s="60" t="n"/>
      <c r="E164" s="59" t="n"/>
      <c r="F164" s="231" t="n"/>
      <c r="G164" s="10" t="n"/>
      <c r="H164" s="10" t="n"/>
      <c r="I164" s="37" t="n"/>
    </row>
    <row r="165" ht="15.75" customHeight="1">
      <c r="B165" s="58" t="n"/>
      <c r="C165" s="62" t="n"/>
      <c r="D165" s="63" t="n"/>
      <c r="E165" s="62" t="n"/>
      <c r="F165" s="232" t="n"/>
      <c r="G165" s="19" t="n"/>
      <c r="H165" s="19" t="n"/>
      <c r="I165" s="49" t="n"/>
    </row>
    <row r="166" ht="15.75" customHeight="1">
      <c r="B166" s="58" t="n"/>
      <c r="C166" s="59" t="n"/>
      <c r="D166" s="60" t="n"/>
      <c r="E166" s="59" t="n"/>
      <c r="F166" s="231" t="n"/>
      <c r="G166" s="10" t="n"/>
      <c r="H166" s="10" t="n"/>
      <c r="I166" s="37" t="n"/>
    </row>
    <row r="167" ht="15.75" customHeight="1">
      <c r="B167" s="58" t="n"/>
      <c r="C167" s="62" t="n"/>
      <c r="D167" s="63" t="n"/>
      <c r="E167" s="62" t="n"/>
      <c r="F167" s="232" t="n"/>
      <c r="G167" s="19" t="n"/>
      <c r="H167" s="19" t="n"/>
      <c r="I167" s="49" t="n"/>
    </row>
    <row r="168" ht="15.75" customHeight="1">
      <c r="B168" s="58" t="n"/>
      <c r="C168" s="59" t="n"/>
      <c r="D168" s="60" t="n"/>
      <c r="E168" s="59" t="n"/>
      <c r="F168" s="231" t="n"/>
      <c r="G168" s="10" t="n"/>
      <c r="H168" s="10" t="n"/>
      <c r="I168" s="37" t="n"/>
    </row>
    <row r="169" ht="15.75" customHeight="1">
      <c r="B169" s="58" t="n"/>
      <c r="C169" s="62" t="n"/>
      <c r="D169" s="63" t="n"/>
      <c r="E169" s="62" t="n"/>
      <c r="F169" s="232" t="n"/>
      <c r="G169" s="19" t="n"/>
      <c r="H169" s="19" t="n"/>
      <c r="I169" s="49" t="n"/>
    </row>
    <row r="170" ht="15.75" customHeight="1">
      <c r="B170" s="58" t="n"/>
      <c r="C170" s="59" t="n"/>
      <c r="D170" s="60" t="n"/>
      <c r="E170" s="59" t="n"/>
      <c r="F170" s="231" t="n"/>
      <c r="G170" s="10" t="n"/>
      <c r="H170" s="10" t="n"/>
      <c r="I170" s="37" t="n"/>
    </row>
    <row r="171" ht="15.75" customHeight="1">
      <c r="B171" s="58" t="n"/>
      <c r="C171" s="62" t="n"/>
      <c r="D171" s="63" t="n"/>
      <c r="E171" s="62" t="n"/>
      <c r="F171" s="232" t="n"/>
      <c r="G171" s="19" t="n"/>
      <c r="H171" s="19" t="n"/>
      <c r="I171" s="49" t="n"/>
    </row>
    <row r="172" ht="15.75" customHeight="1">
      <c r="B172" s="58" t="n"/>
      <c r="C172" s="59" t="n"/>
      <c r="D172" s="60" t="n"/>
      <c r="E172" s="59" t="n"/>
      <c r="F172" s="231" t="n"/>
      <c r="G172" s="10" t="n"/>
      <c r="H172" s="10" t="n"/>
      <c r="I172" s="37" t="n"/>
    </row>
    <row r="173" ht="15.75" customHeight="1">
      <c r="B173" s="58" t="n"/>
      <c r="C173" s="62" t="n"/>
      <c r="D173" s="63" t="n"/>
      <c r="E173" s="62" t="n"/>
      <c r="F173" s="232" t="n"/>
      <c r="G173" s="19" t="n"/>
      <c r="H173" s="19" t="n"/>
      <c r="I173" s="49" t="n"/>
    </row>
    <row r="174" ht="15.75" customHeight="1">
      <c r="B174" s="58" t="n"/>
      <c r="C174" s="59" t="n"/>
      <c r="D174" s="60" t="n"/>
      <c r="E174" s="59" t="n"/>
      <c r="F174" s="231" t="n"/>
      <c r="G174" s="10" t="n"/>
      <c r="H174" s="10" t="n"/>
      <c r="I174" s="37" t="n"/>
    </row>
    <row r="175" ht="15.75" customHeight="1">
      <c r="B175" s="58" t="n"/>
      <c r="C175" s="62" t="n"/>
      <c r="D175" s="63" t="n"/>
      <c r="E175" s="62" t="n"/>
      <c r="F175" s="232" t="n"/>
      <c r="G175" s="19" t="n"/>
      <c r="H175" s="19" t="n"/>
      <c r="I175" s="49" t="n"/>
    </row>
    <row r="176" ht="15.75" customHeight="1">
      <c r="B176" s="58" t="n"/>
      <c r="C176" s="59" t="n"/>
      <c r="D176" s="60" t="n"/>
      <c r="E176" s="59" t="n"/>
      <c r="F176" s="231" t="n"/>
      <c r="G176" s="10" t="n"/>
      <c r="H176" s="10" t="n"/>
      <c r="I176" s="37" t="n"/>
    </row>
    <row r="177" ht="15.75" customHeight="1">
      <c r="B177" s="58" t="n"/>
      <c r="C177" s="62" t="n"/>
      <c r="D177" s="63" t="n"/>
      <c r="E177" s="62" t="n"/>
      <c r="F177" s="232" t="n"/>
      <c r="G177" s="19" t="n"/>
      <c r="H177" s="19" t="n"/>
      <c r="I177" s="49" t="n"/>
    </row>
    <row r="178" ht="15.75" customHeight="1">
      <c r="B178" s="58" t="n"/>
      <c r="C178" s="59" t="n"/>
      <c r="D178" s="60" t="n"/>
      <c r="E178" s="59" t="n"/>
      <c r="F178" s="231" t="n"/>
      <c r="G178" s="10" t="n"/>
      <c r="H178" s="10" t="n"/>
      <c r="I178" s="37" t="n"/>
    </row>
    <row r="179" ht="15.75" customHeight="1">
      <c r="B179" s="58" t="n"/>
      <c r="C179" s="62" t="n"/>
      <c r="D179" s="63" t="n"/>
      <c r="E179" s="62" t="n"/>
      <c r="F179" s="232" t="n"/>
      <c r="G179" s="19" t="n"/>
      <c r="H179" s="19" t="n"/>
      <c r="I179" s="49" t="n"/>
    </row>
    <row r="180" ht="15.75" customHeight="1">
      <c r="B180" s="58" t="n"/>
      <c r="C180" s="59" t="n"/>
      <c r="D180" s="60" t="n"/>
      <c r="E180" s="59" t="n"/>
      <c r="F180" s="231" t="n"/>
      <c r="G180" s="10" t="n"/>
      <c r="H180" s="10" t="n"/>
      <c r="I180" s="37" t="n"/>
    </row>
    <row r="181" ht="15.75" customHeight="1">
      <c r="B181" s="58" t="n"/>
      <c r="C181" s="62" t="n"/>
      <c r="D181" s="63" t="n"/>
      <c r="E181" s="62" t="n"/>
      <c r="F181" s="232" t="n"/>
      <c r="G181" s="19" t="n"/>
      <c r="H181" s="19" t="n"/>
      <c r="I181" s="49" t="n"/>
    </row>
    <row r="182" ht="15.75" customHeight="1">
      <c r="B182" s="58" t="n"/>
      <c r="C182" s="59" t="n"/>
      <c r="D182" s="60" t="n"/>
      <c r="E182" s="59" t="n"/>
      <c r="F182" s="231" t="n"/>
      <c r="G182" s="10" t="n"/>
      <c r="H182" s="10" t="n"/>
      <c r="I182" s="37" t="n"/>
    </row>
    <row r="183" ht="15.75" customHeight="1">
      <c r="B183" s="58" t="n"/>
      <c r="C183" s="62" t="n"/>
      <c r="D183" s="63" t="n"/>
      <c r="E183" s="62" t="n"/>
      <c r="F183" s="232" t="n"/>
      <c r="G183" s="19" t="n"/>
      <c r="H183" s="19" t="n"/>
      <c r="I183" s="49" t="n"/>
    </row>
    <row r="184" ht="15.75" customHeight="1">
      <c r="B184" s="58" t="n"/>
      <c r="C184" s="59" t="n"/>
      <c r="D184" s="60" t="n"/>
      <c r="E184" s="59" t="n"/>
      <c r="F184" s="231" t="n"/>
      <c r="G184" s="10" t="n"/>
      <c r="H184" s="10" t="n"/>
      <c r="I184" s="37" t="n"/>
    </row>
    <row r="185" ht="15.75" customHeight="1">
      <c r="B185" s="58" t="n"/>
      <c r="C185" s="62" t="n"/>
      <c r="D185" s="63" t="n"/>
      <c r="E185" s="62" t="n"/>
      <c r="F185" s="232" t="n"/>
      <c r="G185" s="19" t="n"/>
      <c r="H185" s="19" t="n"/>
      <c r="I185" s="49" t="n"/>
    </row>
    <row r="186" ht="15.75" customHeight="1">
      <c r="B186" s="58" t="n"/>
      <c r="C186" s="59" t="n"/>
      <c r="D186" s="60" t="n"/>
      <c r="E186" s="59" t="n"/>
      <c r="F186" s="231" t="n"/>
      <c r="G186" s="10" t="n"/>
      <c r="H186" s="10" t="n"/>
      <c r="I186" s="37" t="n"/>
    </row>
    <row r="187" ht="15.75" customHeight="1">
      <c r="B187" s="58" t="n"/>
      <c r="C187" s="62" t="n"/>
      <c r="D187" s="63" t="n"/>
      <c r="E187" s="62" t="n"/>
      <c r="F187" s="232" t="n"/>
      <c r="G187" s="19" t="n"/>
      <c r="H187" s="19" t="n"/>
      <c r="I187" s="49" t="n"/>
    </row>
    <row r="188" ht="15.75" customHeight="1">
      <c r="B188" s="58" t="n"/>
      <c r="C188" s="59" t="n"/>
      <c r="D188" s="60" t="n"/>
      <c r="E188" s="59" t="n"/>
      <c r="F188" s="231" t="n"/>
      <c r="G188" s="10" t="n"/>
      <c r="H188" s="10" t="n"/>
      <c r="I188" s="37" t="n"/>
    </row>
    <row r="189" ht="15.75" customHeight="1">
      <c r="B189" s="58" t="n"/>
      <c r="C189" s="62" t="n"/>
      <c r="D189" s="63" t="n"/>
      <c r="E189" s="62" t="n"/>
      <c r="F189" s="232" t="n"/>
      <c r="G189" s="19" t="n"/>
      <c r="H189" s="19" t="n"/>
      <c r="I189" s="49" t="n"/>
    </row>
    <row r="190" ht="15.75" customHeight="1">
      <c r="B190" s="58" t="n"/>
      <c r="C190" s="59" t="n"/>
      <c r="D190" s="60" t="n"/>
      <c r="E190" s="59" t="n"/>
      <c r="F190" s="231" t="n"/>
      <c r="G190" s="10" t="n"/>
      <c r="H190" s="10" t="n"/>
      <c r="I190" s="37" t="n"/>
    </row>
    <row r="191" ht="15.75" customHeight="1">
      <c r="B191" s="58" t="n"/>
      <c r="C191" s="62" t="n"/>
      <c r="D191" s="63" t="n"/>
      <c r="E191" s="62" t="n"/>
      <c r="F191" s="232" t="n"/>
      <c r="G191" s="19" t="n"/>
      <c r="H191" s="19" t="n"/>
      <c r="I191" s="49" t="n"/>
    </row>
    <row r="192" ht="15.75" customHeight="1">
      <c r="B192" s="58" t="n"/>
      <c r="C192" s="59" t="n"/>
      <c r="D192" s="60" t="n"/>
      <c r="E192" s="59" t="n"/>
      <c r="F192" s="231" t="n"/>
      <c r="G192" s="10" t="n"/>
      <c r="H192" s="10" t="n"/>
      <c r="I192" s="37" t="n"/>
    </row>
    <row r="193" ht="15.75" customHeight="1">
      <c r="B193" s="58" t="n"/>
      <c r="C193" s="62" t="n"/>
      <c r="D193" s="63" t="n"/>
      <c r="E193" s="62" t="n"/>
      <c r="F193" s="232" t="n"/>
      <c r="G193" s="19" t="n"/>
      <c r="H193" s="19" t="n"/>
      <c r="I193" s="49" t="n"/>
    </row>
    <row r="194" ht="15.75" customHeight="1">
      <c r="B194" s="58" t="n"/>
      <c r="C194" s="59" t="n"/>
      <c r="D194" s="60" t="n"/>
      <c r="E194" s="59" t="n"/>
      <c r="F194" s="231" t="n"/>
      <c r="G194" s="10" t="n"/>
      <c r="H194" s="10" t="n"/>
      <c r="I194" s="37" t="n"/>
    </row>
    <row r="195" ht="15.75" customHeight="1">
      <c r="B195" s="58" t="n"/>
      <c r="C195" s="62" t="n"/>
      <c r="D195" s="63" t="n"/>
      <c r="E195" s="62" t="n"/>
      <c r="F195" s="232" t="n"/>
      <c r="G195" s="19" t="n"/>
      <c r="H195" s="19" t="n"/>
      <c r="I195" s="49" t="n"/>
    </row>
    <row r="196" ht="15.75" customHeight="1">
      <c r="B196" s="58" t="n"/>
      <c r="C196" s="59" t="n"/>
      <c r="D196" s="60" t="n"/>
      <c r="E196" s="59" t="n"/>
      <c r="F196" s="231" t="n"/>
      <c r="G196" s="10" t="n"/>
      <c r="H196" s="10" t="n"/>
      <c r="I196" s="37" t="n"/>
    </row>
    <row r="197" ht="15.75" customHeight="1">
      <c r="B197" s="58" t="n"/>
      <c r="C197" s="62" t="n"/>
      <c r="D197" s="63" t="n"/>
      <c r="E197" s="62" t="n"/>
      <c r="F197" s="232" t="n"/>
      <c r="G197" s="19" t="n"/>
      <c r="H197" s="19" t="n"/>
      <c r="I197" s="49" t="n"/>
    </row>
    <row r="198" ht="15.75" customHeight="1">
      <c r="B198" s="58" t="n"/>
      <c r="C198" s="59" t="n"/>
      <c r="D198" s="60" t="n"/>
      <c r="E198" s="59" t="n"/>
      <c r="F198" s="231" t="n"/>
      <c r="G198" s="10" t="n"/>
      <c r="H198" s="10" t="n"/>
      <c r="I198" s="37" t="n"/>
    </row>
    <row r="199" ht="15.75" customHeight="1">
      <c r="B199" s="58" t="n"/>
      <c r="C199" s="62" t="n"/>
      <c r="D199" s="63" t="n"/>
      <c r="E199" s="62" t="n"/>
      <c r="F199" s="232" t="n"/>
      <c r="G199" s="19" t="n"/>
      <c r="H199" s="19" t="n"/>
      <c r="I199" s="49" t="n"/>
    </row>
    <row r="200" ht="15.75" customHeight="1">
      <c r="B200" s="58" t="n"/>
      <c r="C200" s="59" t="n"/>
      <c r="D200" s="60" t="n"/>
      <c r="E200" s="59" t="n"/>
      <c r="F200" s="231" t="n"/>
      <c r="G200" s="10" t="n"/>
      <c r="H200" s="10" t="n"/>
      <c r="I200" s="37" t="n"/>
    </row>
    <row r="201" ht="15.75" customHeight="1">
      <c r="B201" s="58" t="n"/>
      <c r="C201" s="62" t="n"/>
      <c r="D201" s="63" t="n"/>
      <c r="E201" s="62" t="n"/>
      <c r="F201" s="232" t="n"/>
      <c r="G201" s="19" t="n"/>
      <c r="H201" s="19" t="n"/>
      <c r="I201" s="49" t="n"/>
    </row>
    <row r="202" ht="15.75" customHeight="1">
      <c r="B202" s="58" t="n"/>
      <c r="C202" s="59" t="n"/>
      <c r="D202" s="60" t="n"/>
      <c r="E202" s="59" t="n"/>
      <c r="F202" s="231" t="n"/>
      <c r="G202" s="10" t="n"/>
      <c r="H202" s="10" t="n"/>
      <c r="I202" s="37" t="n"/>
    </row>
    <row r="203" ht="15.75" customHeight="1">
      <c r="B203" s="58" t="n"/>
      <c r="C203" s="62" t="n"/>
      <c r="D203" s="63" t="n"/>
      <c r="E203" s="62" t="n"/>
      <c r="F203" s="232" t="n"/>
      <c r="G203" s="19" t="n"/>
      <c r="H203" s="19" t="n"/>
      <c r="I203" s="49" t="n"/>
    </row>
    <row r="204" ht="15.75" customHeight="1">
      <c r="B204" s="58" t="n"/>
      <c r="C204" s="59" t="n"/>
      <c r="D204" s="60" t="n"/>
      <c r="E204" s="59" t="n"/>
      <c r="F204" s="231" t="n"/>
      <c r="G204" s="10" t="n"/>
      <c r="H204" s="10" t="n"/>
      <c r="I204" s="37" t="n"/>
    </row>
    <row r="205" ht="15.75" customHeight="1">
      <c r="B205" s="58" t="n"/>
      <c r="C205" s="62" t="n"/>
      <c r="D205" s="63" t="n"/>
      <c r="E205" s="62" t="n"/>
      <c r="F205" s="232" t="n"/>
      <c r="G205" s="19" t="n"/>
      <c r="H205" s="19" t="n"/>
      <c r="I205" s="49" t="n"/>
    </row>
    <row r="206" ht="15.75" customHeight="1">
      <c r="B206" s="58" t="n"/>
      <c r="C206" s="59" t="n"/>
      <c r="D206" s="60" t="n"/>
      <c r="E206" s="59" t="n"/>
      <c r="F206" s="231" t="n"/>
      <c r="G206" s="10" t="n"/>
      <c r="H206" s="10" t="n"/>
      <c r="I206" s="37" t="n"/>
    </row>
    <row r="207" ht="15.75" customHeight="1">
      <c r="B207" s="58" t="n"/>
      <c r="C207" s="62" t="n"/>
      <c r="D207" s="63" t="n"/>
      <c r="E207" s="62" t="n"/>
      <c r="F207" s="232" t="n"/>
      <c r="G207" s="19" t="n"/>
      <c r="H207" s="19" t="n"/>
      <c r="I207" s="49" t="n"/>
    </row>
    <row r="208" ht="15.75" customHeight="1">
      <c r="B208" s="58" t="n"/>
      <c r="C208" s="59" t="n"/>
      <c r="D208" s="60" t="n"/>
      <c r="E208" s="59" t="n"/>
      <c r="F208" s="231" t="n"/>
      <c r="G208" s="10" t="n"/>
      <c r="H208" s="10" t="n"/>
      <c r="I208" s="37" t="n"/>
    </row>
    <row r="209" ht="15.75" customHeight="1">
      <c r="B209" s="58" t="n"/>
      <c r="C209" s="62" t="n"/>
      <c r="D209" s="63" t="n"/>
      <c r="E209" s="62" t="n"/>
      <c r="F209" s="232" t="n"/>
      <c r="G209" s="19" t="n"/>
      <c r="H209" s="19" t="n"/>
      <c r="I209" s="49" t="n"/>
    </row>
    <row r="210" ht="15.75" customHeight="1">
      <c r="B210" s="58" t="n"/>
      <c r="C210" s="59" t="n"/>
      <c r="D210" s="60" t="n"/>
      <c r="E210" s="59" t="n"/>
      <c r="F210" s="231" t="n"/>
      <c r="G210" s="10" t="n"/>
      <c r="H210" s="10" t="n"/>
      <c r="I210" s="37" t="n"/>
    </row>
    <row r="211" ht="15.75" customHeight="1">
      <c r="B211" s="58" t="n"/>
      <c r="C211" s="62" t="n"/>
      <c r="D211" s="63" t="n"/>
      <c r="E211" s="62" t="n"/>
      <c r="F211" s="232" t="n"/>
      <c r="G211" s="19" t="n"/>
      <c r="H211" s="19" t="n"/>
      <c r="I211" s="49" t="n"/>
    </row>
    <row r="212" ht="15.75" customHeight="1">
      <c r="B212" s="58" t="n"/>
      <c r="C212" s="59" t="n"/>
      <c r="D212" s="60" t="n"/>
      <c r="E212" s="59" t="n"/>
      <c r="F212" s="231" t="n"/>
      <c r="G212" s="10" t="n"/>
      <c r="H212" s="10" t="n"/>
      <c r="I212" s="37" t="n"/>
    </row>
    <row r="213" ht="15.75" customHeight="1">
      <c r="B213" s="58" t="n"/>
      <c r="C213" s="62" t="n"/>
      <c r="D213" s="63" t="n"/>
      <c r="E213" s="62" t="n"/>
      <c r="F213" s="232" t="n"/>
      <c r="G213" s="19" t="n"/>
      <c r="H213" s="19" t="n"/>
      <c r="I213" s="49" t="n"/>
    </row>
    <row r="214" ht="15.75" customHeight="1">
      <c r="B214" s="58" t="n"/>
      <c r="C214" s="59" t="n"/>
      <c r="D214" s="60" t="n"/>
      <c r="E214" s="59" t="n"/>
      <c r="F214" s="231" t="n"/>
      <c r="G214" s="10" t="n"/>
      <c r="H214" s="10" t="n"/>
      <c r="I214" s="37" t="n"/>
    </row>
    <row r="215" ht="15.75" customHeight="1">
      <c r="B215" s="58" t="n"/>
      <c r="C215" s="62" t="n"/>
      <c r="D215" s="63" t="n"/>
      <c r="E215" s="62" t="n"/>
      <c r="F215" s="232" t="n"/>
      <c r="G215" s="19" t="n"/>
      <c r="H215" s="19" t="n"/>
      <c r="I215" s="49" t="n"/>
    </row>
    <row r="216" ht="15.75" customHeight="1">
      <c r="B216" s="58" t="n"/>
      <c r="C216" s="59" t="n"/>
      <c r="D216" s="60" t="n"/>
      <c r="E216" s="59" t="n"/>
      <c r="F216" s="231" t="n"/>
      <c r="G216" s="10" t="n"/>
      <c r="H216" s="10" t="n"/>
      <c r="I216" s="37" t="n"/>
    </row>
    <row r="217" ht="15.75" customHeight="1">
      <c r="B217" s="58" t="n"/>
      <c r="C217" s="62" t="n"/>
      <c r="D217" s="63" t="n"/>
      <c r="E217" s="62" t="n"/>
      <c r="F217" s="232" t="n"/>
      <c r="G217" s="19" t="n"/>
      <c r="H217" s="19" t="n"/>
      <c r="I217" s="49" t="n"/>
    </row>
    <row r="218" ht="15.75" customHeight="1">
      <c r="B218" s="58" t="n"/>
      <c r="C218" s="59" t="n"/>
      <c r="D218" s="60" t="n"/>
      <c r="E218" s="59" t="n"/>
      <c r="F218" s="231" t="n"/>
      <c r="G218" s="10" t="n"/>
      <c r="H218" s="10" t="n"/>
      <c r="I218" s="37" t="n"/>
    </row>
    <row r="219" ht="15.75" customHeight="1">
      <c r="B219" s="58" t="n"/>
      <c r="C219" s="62" t="n"/>
      <c r="D219" s="63" t="n"/>
      <c r="E219" s="62" t="n"/>
      <c r="F219" s="232" t="n"/>
      <c r="G219" s="19" t="n"/>
      <c r="H219" s="19" t="n"/>
      <c r="I219" s="49" t="n"/>
    </row>
    <row r="220" ht="15.75" customHeight="1">
      <c r="B220" s="58" t="n"/>
      <c r="C220" s="59" t="n"/>
      <c r="D220" s="60" t="n"/>
      <c r="E220" s="59" t="n"/>
      <c r="F220" s="231" t="n"/>
      <c r="G220" s="10" t="n"/>
      <c r="H220" s="10" t="n"/>
      <c r="I220" s="37" t="n"/>
    </row>
    <row r="221" ht="15.75" customHeight="1">
      <c r="B221" s="58" t="n"/>
      <c r="C221" s="62" t="n"/>
      <c r="D221" s="63" t="n"/>
      <c r="E221" s="62" t="n"/>
      <c r="F221" s="232" t="n"/>
      <c r="G221" s="19" t="n"/>
      <c r="H221" s="19" t="n"/>
      <c r="I221" s="49" t="n"/>
    </row>
    <row r="222" ht="15.75" customHeight="1">
      <c r="B222" s="58" t="n"/>
      <c r="C222" s="59" t="n"/>
      <c r="D222" s="60" t="n"/>
      <c r="E222" s="59" t="n"/>
      <c r="F222" s="231" t="n"/>
      <c r="G222" s="10" t="n"/>
      <c r="H222" s="10" t="n"/>
      <c r="I222" s="37" t="n"/>
    </row>
    <row r="223" ht="15.75" customHeight="1">
      <c r="B223" s="58" t="n"/>
      <c r="C223" s="62" t="n"/>
      <c r="D223" s="63" t="n"/>
      <c r="E223" s="62" t="n"/>
      <c r="F223" s="232" t="n"/>
      <c r="G223" s="19" t="n"/>
      <c r="H223" s="19" t="n"/>
      <c r="I223" s="49" t="n"/>
    </row>
    <row r="224" ht="15.75" customHeight="1">
      <c r="B224" s="58" t="n"/>
      <c r="C224" s="59" t="n"/>
      <c r="D224" s="60" t="n"/>
      <c r="E224" s="59" t="n"/>
      <c r="F224" s="231" t="n"/>
      <c r="G224" s="10" t="n"/>
      <c r="H224" s="10" t="n"/>
      <c r="I224" s="37" t="n"/>
    </row>
    <row r="225" ht="15.75" customHeight="1">
      <c r="B225" s="58" t="n"/>
      <c r="C225" s="62" t="n"/>
      <c r="D225" s="63" t="n"/>
      <c r="E225" s="62" t="n"/>
      <c r="F225" s="232" t="n"/>
      <c r="G225" s="19" t="n"/>
      <c r="H225" s="19" t="n"/>
      <c r="I225" s="49" t="n"/>
    </row>
    <row r="226" ht="15.75" customHeight="1">
      <c r="B226" s="58" t="n"/>
      <c r="C226" s="59" t="n"/>
      <c r="D226" s="60" t="n"/>
      <c r="E226" s="59" t="n"/>
      <c r="F226" s="231" t="n"/>
      <c r="G226" s="10" t="n"/>
      <c r="H226" s="10" t="n"/>
      <c r="I226" s="37" t="n"/>
    </row>
    <row r="227" ht="15.75" customHeight="1">
      <c r="B227" s="58" t="n"/>
      <c r="C227" s="62" t="n"/>
      <c r="D227" s="63" t="n"/>
      <c r="E227" s="62" t="n"/>
      <c r="F227" s="232" t="n"/>
      <c r="G227" s="19" t="n"/>
      <c r="H227" s="19" t="n"/>
      <c r="I227" s="49" t="n"/>
    </row>
    <row r="228" ht="15.75" customHeight="1">
      <c r="B228" s="58" t="n"/>
      <c r="C228" s="59" t="n"/>
      <c r="D228" s="60" t="n"/>
      <c r="E228" s="59" t="n"/>
      <c r="F228" s="231" t="n"/>
      <c r="G228" s="10" t="n"/>
      <c r="H228" s="10" t="n"/>
      <c r="I228" s="37" t="n"/>
    </row>
    <row r="229" ht="15.75" customHeight="1">
      <c r="B229" s="58" t="n"/>
      <c r="C229" s="62" t="n"/>
      <c r="D229" s="63" t="n"/>
      <c r="E229" s="62" t="n"/>
      <c r="F229" s="232" t="n"/>
      <c r="G229" s="19" t="n"/>
      <c r="H229" s="19" t="n"/>
      <c r="I229" s="49" t="n"/>
    </row>
    <row r="230" ht="15.75" customHeight="1">
      <c r="B230" s="58" t="n"/>
      <c r="C230" s="59" t="n"/>
      <c r="D230" s="60" t="n"/>
      <c r="E230" s="59" t="n"/>
      <c r="F230" s="231" t="n"/>
      <c r="G230" s="10" t="n"/>
      <c r="H230" s="10" t="n"/>
      <c r="I230" s="37" t="n"/>
    </row>
    <row r="231" ht="15.75" customHeight="1">
      <c r="B231" s="58" t="n"/>
      <c r="C231" s="62" t="n"/>
      <c r="D231" s="63" t="n"/>
      <c r="E231" s="62" t="n"/>
      <c r="F231" s="232" t="n"/>
      <c r="G231" s="19" t="n"/>
      <c r="H231" s="19" t="n"/>
      <c r="I231" s="49" t="n"/>
    </row>
    <row r="232" ht="15.75" customHeight="1">
      <c r="B232" s="58" t="n"/>
      <c r="C232" s="59" t="n"/>
      <c r="D232" s="60" t="n"/>
      <c r="E232" s="59" t="n"/>
      <c r="F232" s="231" t="n"/>
      <c r="G232" s="10" t="n"/>
      <c r="H232" s="10" t="n"/>
      <c r="I232" s="37" t="n"/>
    </row>
    <row r="233" ht="15.75" customHeight="1">
      <c r="B233" s="58" t="n"/>
      <c r="C233" s="62" t="n"/>
      <c r="D233" s="63" t="n"/>
      <c r="E233" s="62" t="n"/>
      <c r="F233" s="232" t="n"/>
      <c r="G233" s="19" t="n"/>
      <c r="H233" s="19" t="n"/>
      <c r="I233" s="49" t="n"/>
    </row>
    <row r="234" ht="15.75" customHeight="1">
      <c r="B234" s="58" t="n"/>
      <c r="C234" s="59" t="n"/>
      <c r="D234" s="60" t="n"/>
      <c r="E234" s="59" t="n"/>
      <c r="F234" s="231" t="n"/>
      <c r="G234" s="10" t="n"/>
      <c r="H234" s="10" t="n"/>
      <c r="I234" s="37" t="n"/>
    </row>
    <row r="235" ht="15.75" customHeight="1">
      <c r="B235" s="58" t="n"/>
      <c r="C235" s="62" t="n"/>
      <c r="D235" s="63" t="n"/>
      <c r="E235" s="62" t="n"/>
      <c r="F235" s="232" t="n"/>
      <c r="G235" s="19" t="n"/>
      <c r="H235" s="19" t="n"/>
      <c r="I235" s="49" t="n"/>
    </row>
    <row r="236" ht="15.75" customHeight="1">
      <c r="B236" s="58" t="n"/>
      <c r="C236" s="59" t="n"/>
      <c r="D236" s="60" t="n"/>
      <c r="E236" s="59" t="n"/>
      <c r="F236" s="231" t="n"/>
      <c r="G236" s="10" t="n"/>
      <c r="H236" s="10" t="n"/>
      <c r="I236" s="37" t="n"/>
    </row>
    <row r="237" ht="15.75" customHeight="1">
      <c r="B237" s="58" t="n"/>
      <c r="C237" s="62" t="n"/>
      <c r="D237" s="63" t="n"/>
      <c r="E237" s="62" t="n"/>
      <c r="F237" s="232" t="n"/>
      <c r="G237" s="19" t="n"/>
      <c r="H237" s="19" t="n"/>
      <c r="I237" s="49" t="n"/>
    </row>
    <row r="238" ht="15.75" customHeight="1">
      <c r="B238" s="58" t="n"/>
      <c r="C238" s="59" t="n"/>
      <c r="D238" s="60" t="n"/>
      <c r="E238" s="59" t="n"/>
      <c r="F238" s="231" t="n"/>
      <c r="G238" s="10" t="n"/>
      <c r="H238" s="10" t="n"/>
      <c r="I238" s="37" t="n"/>
    </row>
    <row r="239" ht="15.75" customHeight="1">
      <c r="B239" s="58" t="n"/>
      <c r="C239" s="62" t="n"/>
      <c r="D239" s="63" t="n"/>
      <c r="E239" s="62" t="n"/>
      <c r="F239" s="232" t="n"/>
      <c r="G239" s="19" t="n"/>
      <c r="H239" s="19" t="n"/>
      <c r="I239" s="49" t="n"/>
    </row>
    <row r="240" ht="15.75" customHeight="1">
      <c r="B240" s="58" t="n"/>
      <c r="C240" s="59" t="n"/>
      <c r="D240" s="60" t="n"/>
      <c r="E240" s="59" t="n"/>
      <c r="F240" s="231" t="n"/>
      <c r="G240" s="10" t="n"/>
      <c r="H240" s="10" t="n"/>
      <c r="I240" s="37" t="n"/>
    </row>
    <row r="241" ht="15.75" customHeight="1">
      <c r="B241" s="58" t="n"/>
      <c r="C241" s="62" t="n"/>
      <c r="D241" s="63" t="n"/>
      <c r="E241" s="62" t="n"/>
      <c r="F241" s="232" t="n"/>
      <c r="G241" s="19" t="n"/>
      <c r="H241" s="19" t="n"/>
      <c r="I241" s="49" t="n"/>
    </row>
    <row r="242" ht="15.75" customHeight="1">
      <c r="B242" s="58" t="n"/>
      <c r="C242" s="59" t="n"/>
      <c r="D242" s="60" t="n"/>
      <c r="E242" s="59" t="n"/>
      <c r="F242" s="231" t="n"/>
      <c r="G242" s="10" t="n"/>
      <c r="H242" s="10" t="n"/>
      <c r="I242" s="37" t="n"/>
    </row>
    <row r="243" ht="15.75" customHeight="1">
      <c r="B243" s="58" t="n"/>
      <c r="C243" s="62" t="n"/>
      <c r="D243" s="63" t="n"/>
      <c r="E243" s="62" t="n"/>
      <c r="F243" s="232" t="n"/>
      <c r="G243" s="19" t="n"/>
      <c r="H243" s="19" t="n"/>
      <c r="I243" s="49" t="n"/>
    </row>
    <row r="244" ht="15.75" customHeight="1">
      <c r="B244" s="58" t="n"/>
      <c r="C244" s="59" t="n"/>
      <c r="D244" s="60" t="n"/>
      <c r="E244" s="59" t="n"/>
      <c r="F244" s="231" t="n"/>
      <c r="G244" s="10" t="n"/>
      <c r="H244" s="10" t="n"/>
      <c r="I244" s="37" t="n"/>
    </row>
    <row r="245" ht="15.75" customHeight="1">
      <c r="B245" s="58" t="n"/>
      <c r="C245" s="62" t="n"/>
      <c r="D245" s="63" t="n"/>
      <c r="E245" s="62" t="n"/>
      <c r="F245" s="232" t="n"/>
      <c r="G245" s="19" t="n"/>
      <c r="H245" s="19" t="n"/>
      <c r="I245" s="49" t="n"/>
    </row>
    <row r="246" ht="15.75" customHeight="1">
      <c r="B246" s="58" t="n"/>
      <c r="C246" s="59" t="n"/>
      <c r="D246" s="60" t="n"/>
      <c r="E246" s="59" t="n"/>
      <c r="F246" s="231" t="n"/>
      <c r="G246" s="10" t="n"/>
      <c r="H246" s="10" t="n"/>
      <c r="I246" s="37" t="n"/>
    </row>
    <row r="247" ht="15.75" customHeight="1">
      <c r="B247" s="58" t="n"/>
      <c r="C247" s="62" t="n"/>
      <c r="D247" s="63" t="n"/>
      <c r="E247" s="62" t="n"/>
      <c r="F247" s="232" t="n"/>
      <c r="G247" s="19" t="n"/>
      <c r="H247" s="19" t="n"/>
      <c r="I247" s="49" t="n"/>
    </row>
    <row r="248" ht="15.75" customHeight="1">
      <c r="B248" s="58" t="n"/>
      <c r="C248" s="59" t="n"/>
      <c r="D248" s="60" t="n"/>
      <c r="E248" s="59" t="n"/>
      <c r="F248" s="231" t="n"/>
      <c r="G248" s="10" t="n"/>
      <c r="H248" s="10" t="n"/>
      <c r="I248" s="37" t="n"/>
    </row>
    <row r="249" ht="15.75" customHeight="1">
      <c r="B249" s="58" t="n"/>
      <c r="C249" s="62" t="n"/>
      <c r="D249" s="63" t="n"/>
      <c r="E249" s="62" t="n"/>
      <c r="F249" s="232" t="n"/>
      <c r="G249" s="19" t="n"/>
      <c r="H249" s="19" t="n"/>
      <c r="I249" s="49" t="n"/>
    </row>
    <row r="250" ht="15.75" customHeight="1">
      <c r="B250" s="58" t="n"/>
      <c r="C250" s="59" t="n"/>
      <c r="D250" s="60" t="n"/>
      <c r="E250" s="59" t="n"/>
      <c r="F250" s="231" t="n"/>
      <c r="G250" s="10" t="n"/>
      <c r="H250" s="10" t="n"/>
      <c r="I250" s="37" t="n"/>
    </row>
    <row r="251" ht="15.75" customHeight="1">
      <c r="B251" s="58" t="n"/>
      <c r="C251" s="62" t="n"/>
      <c r="D251" s="63" t="n"/>
      <c r="E251" s="62" t="n"/>
      <c r="F251" s="232" t="n"/>
      <c r="G251" s="19" t="n"/>
      <c r="H251" s="19" t="n"/>
      <c r="I251" s="49" t="n"/>
    </row>
    <row r="252" ht="15.75" customHeight="1">
      <c r="B252" s="58" t="n"/>
      <c r="C252" s="59" t="n"/>
      <c r="D252" s="60" t="n"/>
      <c r="E252" s="59" t="n"/>
      <c r="F252" s="231" t="n"/>
      <c r="G252" s="10" t="n"/>
      <c r="H252" s="10" t="n"/>
      <c r="I252" s="37" t="n"/>
    </row>
    <row r="253" ht="15.75" customHeight="1">
      <c r="B253" s="58" t="n"/>
      <c r="C253" s="62" t="n"/>
      <c r="D253" s="63" t="n"/>
      <c r="E253" s="62" t="n"/>
      <c r="F253" s="232" t="n"/>
      <c r="G253" s="19" t="n"/>
      <c r="H253" s="19" t="n"/>
      <c r="I253" s="49" t="n"/>
    </row>
    <row r="254" ht="15.75" customHeight="1">
      <c r="B254" s="58" t="n"/>
      <c r="C254" s="59" t="n"/>
      <c r="D254" s="60" t="n"/>
      <c r="E254" s="59" t="n"/>
      <c r="F254" s="231" t="n"/>
      <c r="G254" s="10" t="n"/>
      <c r="H254" s="10" t="n"/>
      <c r="I254" s="37" t="n"/>
    </row>
    <row r="255" ht="15.75" customHeight="1">
      <c r="B255" s="58" t="n"/>
      <c r="C255" s="62" t="n"/>
      <c r="D255" s="63" t="n"/>
      <c r="E255" s="62" t="n"/>
      <c r="F255" s="232" t="n"/>
      <c r="G255" s="19" t="n"/>
      <c r="H255" s="19" t="n"/>
      <c r="I255" s="49" t="n"/>
    </row>
    <row r="256" ht="15.75" customHeight="1">
      <c r="B256" s="58" t="n"/>
      <c r="C256" s="59" t="n"/>
      <c r="D256" s="60" t="n"/>
      <c r="E256" s="59" t="n"/>
      <c r="F256" s="231" t="n"/>
      <c r="G256" s="10" t="n"/>
      <c r="H256" s="10" t="n"/>
      <c r="I256" s="37" t="n"/>
    </row>
    <row r="257" ht="15.75" customHeight="1">
      <c r="B257" s="58" t="n"/>
      <c r="C257" s="62" t="n"/>
      <c r="D257" s="63" t="n"/>
      <c r="E257" s="62" t="n"/>
      <c r="F257" s="232" t="n"/>
      <c r="G257" s="19" t="n"/>
      <c r="H257" s="19" t="n"/>
      <c r="I257" s="49" t="n"/>
    </row>
    <row r="258" ht="15.75" customHeight="1">
      <c r="B258" s="58" t="n"/>
      <c r="C258" s="59" t="n"/>
      <c r="D258" s="60" t="n"/>
      <c r="E258" s="59" t="n"/>
      <c r="F258" s="231" t="n"/>
      <c r="G258" s="10" t="n"/>
      <c r="H258" s="10" t="n"/>
      <c r="I258" s="37" t="n"/>
    </row>
    <row r="259" ht="15.75" customHeight="1">
      <c r="B259" s="58" t="n"/>
      <c r="C259" s="62" t="n"/>
      <c r="D259" s="63" t="n"/>
      <c r="E259" s="62" t="n"/>
      <c r="F259" s="232" t="n"/>
      <c r="G259" s="19" t="n"/>
      <c r="H259" s="19" t="n"/>
      <c r="I259" s="49" t="n"/>
    </row>
    <row r="260" ht="15.75" customHeight="1">
      <c r="B260" s="58" t="n"/>
      <c r="C260" s="59" t="n"/>
      <c r="D260" s="60" t="n"/>
      <c r="E260" s="59" t="n"/>
      <c r="F260" s="231" t="n"/>
      <c r="G260" s="10" t="n"/>
      <c r="H260" s="10" t="n"/>
      <c r="I260" s="37" t="n"/>
    </row>
    <row r="261" ht="15.75" customHeight="1">
      <c r="B261" s="58" t="n"/>
      <c r="C261" s="62" t="n"/>
      <c r="D261" s="63" t="n"/>
      <c r="E261" s="62" t="n"/>
      <c r="F261" s="232" t="n"/>
      <c r="G261" s="19" t="n"/>
      <c r="H261" s="19" t="n"/>
      <c r="I261" s="49" t="n"/>
    </row>
    <row r="262" ht="15.75" customHeight="1">
      <c r="B262" s="58" t="n"/>
      <c r="C262" s="59" t="n"/>
      <c r="D262" s="60" t="n"/>
      <c r="E262" s="59" t="n"/>
      <c r="F262" s="231" t="n"/>
      <c r="G262" s="10" t="n"/>
      <c r="H262" s="10" t="n"/>
      <c r="I262" s="37" t="n"/>
    </row>
    <row r="263" ht="15.75" customHeight="1">
      <c r="B263" s="58" t="n"/>
      <c r="C263" s="62" t="n"/>
      <c r="D263" s="63" t="n"/>
      <c r="E263" s="62" t="n"/>
      <c r="F263" s="232" t="n"/>
      <c r="G263" s="19" t="n"/>
      <c r="H263" s="19" t="n"/>
      <c r="I263" s="49" t="n"/>
    </row>
    <row r="264" ht="15.75" customHeight="1">
      <c r="B264" s="58" t="n"/>
      <c r="C264" s="59" t="n"/>
      <c r="D264" s="60" t="n"/>
      <c r="E264" s="59" t="n"/>
      <c r="F264" s="231" t="n"/>
      <c r="G264" s="10" t="n"/>
      <c r="H264" s="10" t="n"/>
      <c r="I264" s="37" t="n"/>
    </row>
    <row r="265" ht="15.75" customHeight="1">
      <c r="B265" s="58" t="n"/>
      <c r="C265" s="62" t="n"/>
      <c r="D265" s="63" t="n"/>
      <c r="E265" s="62" t="n"/>
      <c r="F265" s="232" t="n"/>
      <c r="G265" s="19" t="n"/>
      <c r="H265" s="19" t="n"/>
      <c r="I265" s="49" t="n"/>
    </row>
    <row r="266" ht="15.75" customHeight="1">
      <c r="B266" s="58" t="n"/>
      <c r="C266" s="59" t="n"/>
      <c r="D266" s="60" t="n"/>
      <c r="E266" s="59" t="n"/>
      <c r="F266" s="231" t="n"/>
      <c r="G266" s="10" t="n"/>
      <c r="H266" s="10" t="n"/>
      <c r="I266" s="37" t="n"/>
    </row>
    <row r="267" ht="15.75" customHeight="1">
      <c r="B267" s="58" t="n"/>
      <c r="C267" s="62" t="n"/>
      <c r="D267" s="63" t="n"/>
      <c r="E267" s="62" t="n"/>
      <c r="F267" s="232" t="n"/>
      <c r="G267" s="19" t="n"/>
      <c r="H267" s="19" t="n"/>
      <c r="I267" s="49" t="n"/>
    </row>
    <row r="268" ht="15.75" customHeight="1">
      <c r="B268" s="58" t="n"/>
      <c r="C268" s="59" t="n"/>
      <c r="D268" s="60" t="n"/>
      <c r="E268" s="59" t="n"/>
      <c r="F268" s="231" t="n"/>
      <c r="G268" s="10" t="n"/>
      <c r="H268" s="10" t="n"/>
      <c r="I268" s="37" t="n"/>
    </row>
    <row r="269" ht="15.75" customHeight="1">
      <c r="B269" s="58" t="n"/>
      <c r="C269" s="62" t="n"/>
      <c r="D269" s="63" t="n"/>
      <c r="E269" s="62" t="n"/>
      <c r="F269" s="232" t="n"/>
      <c r="G269" s="19" t="n"/>
      <c r="H269" s="19" t="n"/>
      <c r="I269" s="49" t="n"/>
    </row>
    <row r="270" ht="15.75" customHeight="1">
      <c r="B270" s="58" t="n"/>
      <c r="C270" s="59" t="n"/>
      <c r="D270" s="60" t="n"/>
      <c r="E270" s="59" t="n"/>
      <c r="F270" s="231" t="n"/>
      <c r="G270" s="10" t="n"/>
      <c r="H270" s="10" t="n"/>
      <c r="I270" s="37" t="n"/>
    </row>
    <row r="271" ht="15.75" customHeight="1">
      <c r="B271" s="58" t="n"/>
      <c r="C271" s="62" t="n"/>
      <c r="D271" s="63" t="n"/>
      <c r="E271" s="62" t="n"/>
      <c r="F271" s="232" t="n"/>
      <c r="G271" s="19" t="n"/>
      <c r="H271" s="19" t="n"/>
      <c r="I271" s="49" t="n"/>
    </row>
    <row r="272" ht="15.75" customHeight="1">
      <c r="B272" s="58" t="n"/>
      <c r="C272" s="59" t="n"/>
      <c r="D272" s="60" t="n"/>
      <c r="E272" s="59" t="n"/>
      <c r="F272" s="231" t="n"/>
      <c r="G272" s="10" t="n"/>
      <c r="H272" s="10" t="n"/>
      <c r="I272" s="37" t="n"/>
    </row>
    <row r="273" ht="15.75" customHeight="1">
      <c r="B273" s="58" t="n"/>
      <c r="C273" s="62" t="n"/>
      <c r="D273" s="63" t="n"/>
      <c r="E273" s="62" t="n"/>
      <c r="F273" s="232" t="n"/>
      <c r="G273" s="19" t="n"/>
      <c r="H273" s="19" t="n"/>
      <c r="I273" s="49" t="n"/>
    </row>
    <row r="274" ht="15.75" customHeight="1">
      <c r="B274" s="58" t="n"/>
      <c r="C274" s="59" t="n"/>
      <c r="D274" s="60" t="n"/>
      <c r="E274" s="59" t="n"/>
      <c r="F274" s="231" t="n"/>
      <c r="G274" s="10" t="n"/>
      <c r="H274" s="10" t="n"/>
      <c r="I274" s="37" t="n"/>
    </row>
    <row r="275" ht="15.75" customHeight="1">
      <c r="B275" s="58" t="n"/>
      <c r="C275" s="62" t="n"/>
      <c r="D275" s="63" t="n"/>
      <c r="E275" s="62" t="n"/>
      <c r="F275" s="232" t="n"/>
      <c r="G275" s="19" t="n"/>
      <c r="H275" s="19" t="n"/>
      <c r="I275" s="49" t="n"/>
    </row>
    <row r="276" ht="15.75" customHeight="1">
      <c r="B276" s="58" t="n"/>
      <c r="C276" s="59" t="n"/>
      <c r="D276" s="60" t="n"/>
      <c r="E276" s="59" t="n"/>
      <c r="F276" s="231" t="n"/>
      <c r="G276" s="10" t="n"/>
      <c r="H276" s="10" t="n"/>
      <c r="I276" s="37" t="n"/>
    </row>
    <row r="277" ht="15.75" customHeight="1">
      <c r="B277" s="58" t="n"/>
      <c r="C277" s="62" t="n"/>
      <c r="D277" s="63" t="n"/>
      <c r="E277" s="62" t="n"/>
      <c r="F277" s="232" t="n"/>
      <c r="G277" s="19" t="n"/>
      <c r="H277" s="19" t="n"/>
      <c r="I277" s="49" t="n"/>
    </row>
    <row r="278" ht="15.75" customHeight="1">
      <c r="B278" s="58" t="n"/>
      <c r="C278" s="59" t="n"/>
      <c r="D278" s="60" t="n"/>
      <c r="E278" s="59" t="n"/>
      <c r="F278" s="231" t="n"/>
      <c r="G278" s="10" t="n"/>
      <c r="H278" s="10" t="n"/>
      <c r="I278" s="37" t="n"/>
    </row>
    <row r="279" ht="15.75" customHeight="1">
      <c r="B279" s="58" t="n"/>
      <c r="C279" s="62" t="n"/>
      <c r="D279" s="63" t="n"/>
      <c r="E279" s="62" t="n"/>
      <c r="F279" s="232" t="n"/>
      <c r="G279" s="19" t="n"/>
      <c r="H279" s="19" t="n"/>
      <c r="I279" s="49" t="n"/>
    </row>
    <row r="280" ht="15.75" customHeight="1">
      <c r="B280" s="58" t="n"/>
      <c r="C280" s="59" t="n"/>
      <c r="D280" s="60" t="n"/>
      <c r="E280" s="59" t="n"/>
      <c r="F280" s="231" t="n"/>
      <c r="G280" s="10" t="n"/>
      <c r="H280" s="10" t="n"/>
      <c r="I280" s="37" t="n"/>
    </row>
    <row r="281" ht="15.75" customHeight="1">
      <c r="B281" s="58" t="n"/>
      <c r="C281" s="62" t="n"/>
      <c r="D281" s="63" t="n"/>
      <c r="E281" s="62" t="n"/>
      <c r="F281" s="232" t="n"/>
      <c r="G281" s="19" t="n"/>
      <c r="H281" s="19" t="n"/>
      <c r="I281" s="49" t="n"/>
    </row>
    <row r="282" ht="15.75" customHeight="1">
      <c r="B282" s="58" t="n"/>
      <c r="C282" s="59" t="n"/>
      <c r="D282" s="60" t="n"/>
      <c r="E282" s="59" t="n"/>
      <c r="F282" s="231" t="n"/>
      <c r="G282" s="10" t="n"/>
      <c r="H282" s="10" t="n"/>
      <c r="I282" s="37" t="n"/>
    </row>
    <row r="283" ht="15.75" customHeight="1">
      <c r="B283" s="58" t="n"/>
      <c r="C283" s="62" t="n"/>
      <c r="D283" s="63" t="n"/>
      <c r="E283" s="62" t="n"/>
      <c r="F283" s="232" t="n"/>
      <c r="G283" s="19" t="n"/>
      <c r="H283" s="19" t="n"/>
      <c r="I283" s="49" t="n"/>
    </row>
    <row r="284" ht="15.75" customHeight="1">
      <c r="B284" s="58" t="n"/>
      <c r="C284" s="59" t="n"/>
      <c r="D284" s="60" t="n"/>
      <c r="E284" s="59" t="n"/>
      <c r="F284" s="231" t="n"/>
      <c r="G284" s="10" t="n"/>
      <c r="H284" s="10" t="n"/>
      <c r="I284" s="37" t="n"/>
    </row>
    <row r="285" ht="15.75" customHeight="1">
      <c r="B285" s="58" t="n"/>
      <c r="C285" s="62" t="n"/>
      <c r="D285" s="63" t="n"/>
      <c r="E285" s="62" t="n"/>
      <c r="F285" s="232" t="n"/>
      <c r="G285" s="19" t="n"/>
      <c r="H285" s="19" t="n"/>
      <c r="I285" s="49" t="n"/>
    </row>
    <row r="286" ht="15.75" customHeight="1">
      <c r="B286" s="58" t="n"/>
      <c r="C286" s="59" t="n"/>
      <c r="D286" s="60" t="n"/>
      <c r="E286" s="59" t="n"/>
      <c r="F286" s="231" t="n"/>
      <c r="G286" s="10" t="n"/>
      <c r="H286" s="10" t="n"/>
      <c r="I286" s="37" t="n"/>
    </row>
    <row r="287" ht="15.75" customHeight="1">
      <c r="B287" s="58" t="n"/>
      <c r="C287" s="62" t="n"/>
      <c r="D287" s="63" t="n"/>
      <c r="E287" s="62" t="n"/>
      <c r="F287" s="232" t="n"/>
      <c r="G287" s="19" t="n"/>
      <c r="H287" s="19" t="n"/>
      <c r="I287" s="49" t="n"/>
    </row>
    <row r="288" ht="15.75" customHeight="1">
      <c r="B288" s="58" t="n"/>
      <c r="C288" s="59" t="n"/>
      <c r="D288" s="60" t="n"/>
      <c r="E288" s="59" t="n"/>
      <c r="F288" s="231" t="n"/>
      <c r="G288" s="10" t="n"/>
      <c r="H288" s="10" t="n"/>
      <c r="I288" s="37" t="n"/>
    </row>
    <row r="289" ht="15.75" customHeight="1">
      <c r="B289" s="58" t="n"/>
      <c r="C289" s="62" t="n"/>
      <c r="D289" s="63" t="n"/>
      <c r="E289" s="62" t="n"/>
      <c r="F289" s="232" t="n"/>
      <c r="G289" s="19" t="n"/>
      <c r="H289" s="19" t="n"/>
      <c r="I289" s="49" t="n"/>
    </row>
    <row r="290" ht="15.75" customHeight="1">
      <c r="B290" s="58" t="n"/>
      <c r="C290" s="59" t="n"/>
      <c r="D290" s="60" t="n"/>
      <c r="E290" s="59" t="n"/>
      <c r="F290" s="231" t="n"/>
      <c r="G290" s="10" t="n"/>
      <c r="H290" s="10" t="n"/>
      <c r="I290" s="37" t="n"/>
    </row>
    <row r="291" ht="15.75" customHeight="1">
      <c r="B291" s="58" t="n"/>
      <c r="C291" s="62" t="n"/>
      <c r="D291" s="63" t="n"/>
      <c r="E291" s="62" t="n"/>
      <c r="F291" s="232" t="n"/>
      <c r="G291" s="19" t="n"/>
      <c r="H291" s="19" t="n"/>
      <c r="I291" s="49" t="n"/>
    </row>
    <row r="292" ht="15.75" customHeight="1">
      <c r="B292" s="58" t="n"/>
      <c r="C292" s="59" t="n"/>
      <c r="D292" s="60" t="n"/>
      <c r="E292" s="59" t="n"/>
      <c r="F292" s="231" t="n"/>
      <c r="G292" s="10" t="n"/>
      <c r="H292" s="10" t="n"/>
      <c r="I292" s="37" t="n"/>
    </row>
    <row r="293" ht="15.75" customHeight="1">
      <c r="B293" s="58" t="n"/>
      <c r="C293" s="62" t="n"/>
      <c r="D293" s="63" t="n"/>
      <c r="E293" s="62" t="n"/>
      <c r="F293" s="232" t="n"/>
      <c r="G293" s="19" t="n"/>
      <c r="H293" s="19" t="n"/>
      <c r="I293" s="49" t="n"/>
    </row>
    <row r="294" ht="15.75" customHeight="1">
      <c r="B294" s="58" t="n"/>
      <c r="C294" s="59" t="n"/>
      <c r="D294" s="60" t="n"/>
      <c r="E294" s="59" t="n"/>
      <c r="F294" s="231" t="n"/>
      <c r="G294" s="10" t="n"/>
      <c r="H294" s="10" t="n"/>
      <c r="I294" s="37" t="n"/>
    </row>
    <row r="295" ht="15.75" customHeight="1">
      <c r="B295" s="58" t="n"/>
      <c r="C295" s="62" t="n"/>
      <c r="D295" s="63" t="n"/>
      <c r="E295" s="62" t="n"/>
      <c r="F295" s="232" t="n"/>
      <c r="G295" s="19" t="n"/>
      <c r="H295" s="19" t="n"/>
      <c r="I295" s="49" t="n"/>
    </row>
    <row r="296" ht="15.75" customHeight="1">
      <c r="B296" s="58" t="n"/>
      <c r="C296" s="59" t="n"/>
      <c r="D296" s="60" t="n"/>
      <c r="E296" s="59" t="n"/>
      <c r="F296" s="231" t="n"/>
      <c r="G296" s="10" t="n"/>
      <c r="H296" s="10" t="n"/>
      <c r="I296" s="37" t="n"/>
    </row>
    <row r="297" ht="15.75" customHeight="1">
      <c r="B297" s="58" t="n"/>
      <c r="C297" s="62" t="n"/>
      <c r="D297" s="63" t="n"/>
      <c r="E297" s="62" t="n"/>
      <c r="F297" s="232" t="n"/>
      <c r="G297" s="19" t="n"/>
      <c r="H297" s="19" t="n"/>
      <c r="I297" s="49" t="n"/>
    </row>
    <row r="298" ht="15.75" customHeight="1">
      <c r="B298" s="58" t="n"/>
      <c r="C298" s="59" t="n"/>
      <c r="D298" s="60" t="n"/>
      <c r="E298" s="59" t="n"/>
      <c r="F298" s="231" t="n"/>
      <c r="G298" s="10" t="n"/>
      <c r="H298" s="10" t="n"/>
      <c r="I298" s="37" t="n"/>
    </row>
    <row r="299" ht="15.75" customHeight="1">
      <c r="B299" s="58" t="n"/>
      <c r="C299" s="62" t="n"/>
      <c r="D299" s="63" t="n"/>
      <c r="E299" s="62" t="n"/>
      <c r="F299" s="232" t="n"/>
      <c r="G299" s="19" t="n"/>
      <c r="H299" s="19" t="n"/>
      <c r="I299" s="49" t="n"/>
    </row>
    <row r="300" ht="15.75" customHeight="1">
      <c r="B300" s="58" t="n"/>
      <c r="C300" s="59" t="n"/>
      <c r="D300" s="60" t="n"/>
      <c r="E300" s="59" t="n"/>
      <c r="F300" s="231" t="n"/>
      <c r="G300" s="10" t="n"/>
      <c r="H300" s="10" t="n"/>
      <c r="I300" s="37" t="n"/>
    </row>
    <row r="301" ht="15.75" customHeight="1">
      <c r="B301" s="58" t="n"/>
      <c r="C301" s="62" t="n"/>
      <c r="D301" s="63" t="n"/>
      <c r="E301" s="62" t="n"/>
      <c r="F301" s="232" t="n"/>
      <c r="G301" s="19" t="n"/>
      <c r="H301" s="19" t="n"/>
      <c r="I301" s="49" t="n"/>
    </row>
    <row r="302" ht="15.75" customHeight="1">
      <c r="B302" s="58" t="n"/>
      <c r="C302" s="59" t="n"/>
      <c r="D302" s="60" t="n"/>
      <c r="E302" s="59" t="n"/>
      <c r="F302" s="231" t="n"/>
      <c r="G302" s="10" t="n"/>
      <c r="H302" s="10" t="n"/>
      <c r="I302" s="37" t="n"/>
    </row>
    <row r="303" ht="15.75" customHeight="1">
      <c r="B303" s="58" t="n"/>
      <c r="C303" s="62" t="n"/>
      <c r="D303" s="63" t="n"/>
      <c r="E303" s="62" t="n"/>
      <c r="F303" s="232" t="n"/>
      <c r="G303" s="19" t="n"/>
      <c r="H303" s="19" t="n"/>
      <c r="I303" s="49" t="n"/>
    </row>
    <row r="304" ht="15.75" customHeight="1">
      <c r="B304" s="58" t="n"/>
      <c r="C304" s="59" t="n"/>
      <c r="D304" s="60" t="n"/>
      <c r="E304" s="59" t="n"/>
      <c r="F304" s="231" t="n"/>
      <c r="G304" s="10" t="n"/>
      <c r="H304" s="10" t="n"/>
      <c r="I304" s="37" t="n"/>
    </row>
    <row r="305" ht="15.75" customHeight="1">
      <c r="B305" s="58" t="n"/>
      <c r="C305" s="62" t="n"/>
      <c r="D305" s="63" t="n"/>
      <c r="E305" s="62" t="n"/>
      <c r="F305" s="232" t="n"/>
      <c r="G305" s="19" t="n"/>
      <c r="H305" s="19" t="n"/>
      <c r="I305" s="49" t="n"/>
    </row>
    <row r="306" ht="15.75" customHeight="1">
      <c r="B306" s="58" t="n"/>
      <c r="C306" s="59" t="n"/>
      <c r="D306" s="60" t="n"/>
      <c r="E306" s="59" t="n"/>
      <c r="F306" s="231" t="n"/>
      <c r="G306" s="10" t="n"/>
      <c r="H306" s="10" t="n"/>
      <c r="I306" s="37" t="n"/>
    </row>
    <row r="307" ht="15.75" customHeight="1">
      <c r="B307" s="58" t="n"/>
      <c r="C307" s="62" t="n"/>
      <c r="D307" s="63" t="n"/>
      <c r="E307" s="62" t="n"/>
      <c r="F307" s="232" t="n"/>
      <c r="G307" s="19" t="n"/>
      <c r="H307" s="19" t="n"/>
      <c r="I307" s="49" t="n"/>
    </row>
    <row r="308" ht="15.75" customHeight="1">
      <c r="B308" s="58" t="n"/>
      <c r="C308" s="59" t="n"/>
      <c r="D308" s="60" t="n"/>
      <c r="E308" s="59" t="n"/>
      <c r="F308" s="231" t="n"/>
      <c r="G308" s="10" t="n"/>
      <c r="H308" s="10" t="n"/>
      <c r="I308" s="37" t="n"/>
    </row>
    <row r="309" ht="15.75" customHeight="1">
      <c r="B309" s="58" t="n"/>
      <c r="C309" s="62" t="n"/>
      <c r="D309" s="63" t="n"/>
      <c r="E309" s="62" t="n"/>
      <c r="F309" s="232" t="n"/>
      <c r="G309" s="19" t="n"/>
      <c r="H309" s="19" t="n"/>
      <c r="I309" s="49" t="n"/>
    </row>
    <row r="310" ht="15.75" customHeight="1">
      <c r="B310" s="58" t="n"/>
      <c r="C310" s="59" t="n"/>
      <c r="D310" s="60" t="n"/>
      <c r="E310" s="59" t="n"/>
      <c r="F310" s="231" t="n"/>
      <c r="G310" s="10" t="n"/>
      <c r="H310" s="10" t="n"/>
      <c r="I310" s="37" t="n"/>
    </row>
    <row r="311" ht="15.75" customHeight="1">
      <c r="B311" s="58" t="n"/>
      <c r="C311" s="62" t="n"/>
      <c r="D311" s="63" t="n"/>
      <c r="E311" s="62" t="n"/>
      <c r="F311" s="232" t="n"/>
      <c r="G311" s="19" t="n"/>
      <c r="H311" s="19" t="n"/>
      <c r="I311" s="49" t="n"/>
    </row>
    <row r="312" ht="15.75" customHeight="1">
      <c r="B312" s="58" t="n"/>
      <c r="C312" s="59" t="n"/>
      <c r="D312" s="60" t="n"/>
      <c r="E312" s="59" t="n"/>
      <c r="F312" s="231" t="n"/>
      <c r="G312" s="10" t="n"/>
      <c r="H312" s="10" t="n"/>
      <c r="I312" s="37" t="n"/>
    </row>
    <row r="313" ht="15.75" customHeight="1">
      <c r="B313" s="58" t="n"/>
      <c r="C313" s="62" t="n"/>
      <c r="D313" s="63" t="n"/>
      <c r="E313" s="62" t="n"/>
      <c r="F313" s="232" t="n"/>
      <c r="G313" s="19" t="n"/>
      <c r="H313" s="19" t="n"/>
      <c r="I313" s="49" t="n"/>
    </row>
    <row r="314" ht="15.75" customHeight="1">
      <c r="B314" s="58" t="n"/>
      <c r="C314" s="59" t="n"/>
      <c r="D314" s="60" t="n"/>
      <c r="E314" s="59" t="n"/>
      <c r="F314" s="231" t="n"/>
      <c r="G314" s="10" t="n"/>
      <c r="H314" s="10" t="n"/>
      <c r="I314" s="37" t="n"/>
    </row>
    <row r="315" ht="15.75" customHeight="1">
      <c r="B315" s="58" t="n"/>
      <c r="C315" s="62" t="n"/>
      <c r="D315" s="63" t="n"/>
      <c r="E315" s="62" t="n"/>
      <c r="F315" s="232" t="n"/>
      <c r="G315" s="19" t="n"/>
      <c r="H315" s="19" t="n"/>
      <c r="I315" s="49" t="n"/>
    </row>
    <row r="316" ht="15.75" customHeight="1">
      <c r="B316" s="58" t="n"/>
      <c r="C316" s="59" t="n"/>
      <c r="D316" s="60" t="n"/>
      <c r="E316" s="59" t="n"/>
      <c r="F316" s="231" t="n"/>
      <c r="G316" s="10" t="n"/>
      <c r="H316" s="10" t="n"/>
      <c r="I316" s="37" t="n"/>
    </row>
    <row r="317" ht="15.75" customHeight="1">
      <c r="B317" s="58" t="n"/>
      <c r="C317" s="62" t="n"/>
      <c r="D317" s="63" t="n"/>
      <c r="E317" s="62" t="n"/>
      <c r="F317" s="232" t="n"/>
      <c r="G317" s="19" t="n"/>
      <c r="H317" s="19" t="n"/>
      <c r="I317" s="49" t="n"/>
    </row>
    <row r="318" ht="15.75" customHeight="1">
      <c r="B318" s="58" t="n"/>
      <c r="C318" s="59" t="n"/>
      <c r="D318" s="60" t="n"/>
      <c r="E318" s="59" t="n"/>
      <c r="F318" s="231" t="n"/>
      <c r="G318" s="10" t="n"/>
      <c r="H318" s="10" t="n"/>
      <c r="I318" s="37" t="n"/>
    </row>
    <row r="319" ht="15.75" customHeight="1">
      <c r="B319" s="58" t="n"/>
      <c r="C319" s="62" t="n"/>
      <c r="D319" s="63" t="n"/>
      <c r="E319" s="62" t="n"/>
      <c r="F319" s="232" t="n"/>
      <c r="G319" s="19" t="n"/>
      <c r="H319" s="19" t="n"/>
      <c r="I319" s="49" t="n"/>
    </row>
    <row r="320" ht="15.75" customHeight="1">
      <c r="B320" s="58" t="n"/>
      <c r="C320" s="59" t="n"/>
      <c r="D320" s="60" t="n"/>
      <c r="E320" s="59" t="n"/>
      <c r="F320" s="231" t="n"/>
      <c r="G320" s="10" t="n"/>
      <c r="H320" s="10" t="n"/>
      <c r="I320" s="37" t="n"/>
    </row>
    <row r="321" ht="15.75" customHeight="1">
      <c r="B321" s="58" t="n"/>
      <c r="C321" s="62" t="n"/>
      <c r="D321" s="63" t="n"/>
      <c r="E321" s="62" t="n"/>
      <c r="F321" s="232" t="n"/>
      <c r="G321" s="19" t="n"/>
      <c r="H321" s="19" t="n"/>
      <c r="I321" s="49" t="n"/>
    </row>
    <row r="322" ht="15.75" customHeight="1">
      <c r="B322" s="58" t="n"/>
      <c r="C322" s="59" t="n"/>
      <c r="D322" s="60" t="n"/>
      <c r="E322" s="59" t="n"/>
      <c r="F322" s="231" t="n"/>
      <c r="G322" s="10" t="n"/>
      <c r="H322" s="10" t="n"/>
      <c r="I322" s="37" t="n"/>
    </row>
    <row r="323" ht="15.75" customHeight="1">
      <c r="B323" s="58" t="n"/>
      <c r="C323" s="62" t="n"/>
      <c r="D323" s="63" t="n"/>
      <c r="E323" s="62" t="n"/>
      <c r="F323" s="232" t="n"/>
      <c r="G323" s="19" t="n"/>
      <c r="H323" s="19" t="n"/>
      <c r="I323" s="49" t="n"/>
    </row>
    <row r="324" ht="15.75" customHeight="1">
      <c r="B324" s="58" t="n"/>
      <c r="C324" s="59" t="n"/>
      <c r="D324" s="60" t="n"/>
      <c r="E324" s="59" t="n"/>
      <c r="F324" s="231" t="n"/>
      <c r="G324" s="10" t="n"/>
      <c r="H324" s="10" t="n"/>
      <c r="I324" s="37" t="n"/>
    </row>
    <row r="325" ht="15.75" customHeight="1">
      <c r="B325" s="58" t="n"/>
      <c r="C325" s="62" t="n"/>
      <c r="D325" s="63" t="n"/>
      <c r="E325" s="62" t="n"/>
      <c r="F325" s="232" t="n"/>
      <c r="G325" s="19" t="n"/>
      <c r="H325" s="19" t="n"/>
      <c r="I325" s="49" t="n"/>
    </row>
    <row r="326" ht="15.75" customHeight="1">
      <c r="B326" s="58" t="n"/>
      <c r="C326" s="59" t="n"/>
      <c r="D326" s="60" t="n"/>
      <c r="E326" s="59" t="n"/>
      <c r="F326" s="231" t="n"/>
      <c r="G326" s="10" t="n"/>
      <c r="H326" s="10" t="n"/>
      <c r="I326" s="37" t="n"/>
    </row>
    <row r="327" ht="15.75" customHeight="1">
      <c r="B327" s="58" t="n"/>
      <c r="C327" s="62" t="n"/>
      <c r="D327" s="63" t="n"/>
      <c r="E327" s="62" t="n"/>
      <c r="F327" s="232" t="n"/>
      <c r="G327" s="19" t="n"/>
      <c r="H327" s="19" t="n"/>
      <c r="I327" s="49" t="n"/>
    </row>
    <row r="328" ht="15.75" customHeight="1">
      <c r="B328" s="58" t="n"/>
      <c r="C328" s="59" t="n"/>
      <c r="D328" s="60" t="n"/>
      <c r="E328" s="59" t="n"/>
      <c r="F328" s="231" t="n"/>
      <c r="G328" s="10" t="n"/>
      <c r="H328" s="10" t="n"/>
      <c r="I328" s="37" t="n"/>
    </row>
    <row r="329" ht="15.75" customHeight="1">
      <c r="B329" s="58" t="n"/>
      <c r="C329" s="62" t="n"/>
      <c r="D329" s="63" t="n"/>
      <c r="E329" s="62" t="n"/>
      <c r="F329" s="232" t="n"/>
      <c r="G329" s="19" t="n"/>
      <c r="H329" s="19" t="n"/>
      <c r="I329" s="49" t="n"/>
    </row>
    <row r="330" ht="15.75" customHeight="1">
      <c r="B330" s="58" t="n"/>
      <c r="C330" s="59" t="n"/>
      <c r="D330" s="60" t="n"/>
      <c r="E330" s="59" t="n"/>
      <c r="F330" s="231" t="n"/>
      <c r="G330" s="10" t="n"/>
      <c r="H330" s="10" t="n"/>
      <c r="I330" s="37" t="n"/>
    </row>
    <row r="331" ht="15.75" customHeight="1">
      <c r="B331" s="58" t="n"/>
      <c r="C331" s="62" t="n"/>
      <c r="D331" s="63" t="n"/>
      <c r="E331" s="62" t="n"/>
      <c r="F331" s="232" t="n"/>
      <c r="G331" s="19" t="n"/>
      <c r="H331" s="19" t="n"/>
      <c r="I331" s="49" t="n"/>
    </row>
    <row r="332" ht="15.75" customHeight="1">
      <c r="B332" s="58" t="n"/>
      <c r="C332" s="59" t="n"/>
      <c r="D332" s="60" t="n"/>
      <c r="E332" s="59" t="n"/>
      <c r="F332" s="231" t="n"/>
      <c r="G332" s="10" t="n"/>
      <c r="H332" s="10" t="n"/>
      <c r="I332" s="37" t="n"/>
    </row>
    <row r="333" ht="15.75" customHeight="1">
      <c r="B333" s="58" t="n"/>
      <c r="C333" s="62" t="n"/>
      <c r="D333" s="63" t="n"/>
      <c r="E333" s="62" t="n"/>
      <c r="F333" s="232" t="n"/>
      <c r="G333" s="19" t="n"/>
      <c r="H333" s="19" t="n"/>
      <c r="I333" s="49" t="n"/>
    </row>
    <row r="334" ht="15.75" customHeight="1">
      <c r="B334" s="58" t="n"/>
      <c r="C334" s="59" t="n"/>
      <c r="D334" s="60" t="n"/>
      <c r="E334" s="59" t="n"/>
      <c r="F334" s="231" t="n"/>
      <c r="G334" s="10" t="n"/>
      <c r="H334" s="10" t="n"/>
      <c r="I334" s="37" t="n"/>
    </row>
    <row r="335" ht="15.75" customHeight="1">
      <c r="B335" s="58" t="n"/>
      <c r="C335" s="62" t="n"/>
      <c r="D335" s="63" t="n"/>
      <c r="E335" s="62" t="n"/>
      <c r="F335" s="232" t="n"/>
      <c r="G335" s="19" t="n"/>
      <c r="H335" s="19" t="n"/>
      <c r="I335" s="49" t="n"/>
    </row>
    <row r="336" ht="15.75" customHeight="1">
      <c r="B336" s="58" t="n"/>
      <c r="C336" s="59" t="n"/>
      <c r="D336" s="60" t="n"/>
      <c r="E336" s="59" t="n"/>
      <c r="F336" s="231" t="n"/>
      <c r="G336" s="10" t="n"/>
      <c r="H336" s="10" t="n"/>
      <c r="I336" s="37" t="n"/>
    </row>
    <row r="337" ht="15.75" customHeight="1">
      <c r="B337" s="58" t="n"/>
      <c r="C337" s="62" t="n"/>
      <c r="D337" s="63" t="n"/>
      <c r="E337" s="62" t="n"/>
      <c r="F337" s="232" t="n"/>
      <c r="G337" s="19" t="n"/>
      <c r="H337" s="19" t="n"/>
      <c r="I337" s="49" t="n"/>
    </row>
    <row r="338" ht="15.75" customHeight="1">
      <c r="B338" s="58" t="n"/>
      <c r="C338" s="59" t="n"/>
      <c r="D338" s="60" t="n"/>
      <c r="E338" s="59" t="n"/>
      <c r="F338" s="231" t="n"/>
      <c r="G338" s="10" t="n"/>
      <c r="H338" s="10" t="n"/>
      <c r="I338" s="37" t="n"/>
    </row>
    <row r="339" ht="15.75" customHeight="1">
      <c r="B339" s="58" t="n"/>
      <c r="C339" s="62" t="n"/>
      <c r="D339" s="63" t="n"/>
      <c r="E339" s="62" t="n"/>
      <c r="F339" s="232" t="n"/>
      <c r="G339" s="19" t="n"/>
      <c r="H339" s="19" t="n"/>
      <c r="I339" s="49" t="n"/>
    </row>
    <row r="340" ht="15.75" customHeight="1">
      <c r="B340" s="58" t="n"/>
      <c r="C340" s="59" t="n"/>
      <c r="D340" s="60" t="n"/>
      <c r="E340" s="59" t="n"/>
      <c r="F340" s="231" t="n"/>
      <c r="G340" s="10" t="n"/>
      <c r="H340" s="10" t="n"/>
      <c r="I340" s="37" t="n"/>
    </row>
    <row r="341" ht="15.75" customHeight="1">
      <c r="B341" s="58" t="n"/>
      <c r="C341" s="62" t="n"/>
      <c r="D341" s="63" t="n"/>
      <c r="E341" s="62" t="n"/>
      <c r="F341" s="232" t="n"/>
      <c r="G341" s="19" t="n"/>
      <c r="H341" s="19" t="n"/>
      <c r="I341" s="49" t="n"/>
    </row>
    <row r="342" ht="15.75" customHeight="1">
      <c r="B342" s="58" t="n"/>
      <c r="C342" s="59" t="n"/>
      <c r="D342" s="60" t="n"/>
      <c r="E342" s="59" t="n"/>
      <c r="F342" s="231" t="n"/>
      <c r="G342" s="10" t="n"/>
      <c r="H342" s="10" t="n"/>
      <c r="I342" s="37" t="n"/>
    </row>
    <row r="343" ht="15.75" customHeight="1">
      <c r="B343" s="58" t="n"/>
      <c r="C343" s="62" t="n"/>
      <c r="D343" s="63" t="n"/>
      <c r="E343" s="62" t="n"/>
      <c r="F343" s="232" t="n"/>
      <c r="G343" s="19" t="n"/>
      <c r="H343" s="19" t="n"/>
      <c r="I343" s="49" t="n"/>
    </row>
    <row r="344" ht="15.75" customHeight="1">
      <c r="B344" s="58" t="n"/>
      <c r="C344" s="59" t="n"/>
      <c r="D344" s="60" t="n"/>
      <c r="E344" s="59" t="n"/>
      <c r="F344" s="231" t="n"/>
      <c r="G344" s="10" t="n"/>
      <c r="H344" s="10" t="n"/>
      <c r="I344" s="37" t="n"/>
    </row>
    <row r="345" ht="15.75" customHeight="1">
      <c r="B345" s="58" t="n"/>
      <c r="C345" s="62" t="n"/>
      <c r="D345" s="63" t="n"/>
      <c r="E345" s="62" t="n"/>
      <c r="F345" s="232" t="n"/>
      <c r="G345" s="19" t="n"/>
      <c r="H345" s="19" t="n"/>
      <c r="I345" s="49" t="n"/>
    </row>
    <row r="346" ht="15.75" customHeight="1">
      <c r="B346" s="58" t="n"/>
      <c r="C346" s="59" t="n"/>
      <c r="D346" s="60" t="n"/>
      <c r="E346" s="59" t="n"/>
      <c r="F346" s="231" t="n"/>
      <c r="G346" s="10" t="n"/>
      <c r="H346" s="10" t="n"/>
      <c r="I346" s="37" t="n"/>
    </row>
    <row r="347" ht="15.75" customHeight="1">
      <c r="B347" s="58" t="n"/>
      <c r="C347" s="62" t="n"/>
      <c r="D347" s="63" t="n"/>
      <c r="E347" s="62" t="n"/>
      <c r="F347" s="232" t="n"/>
      <c r="G347" s="19" t="n"/>
      <c r="H347" s="19" t="n"/>
      <c r="I347" s="49" t="n"/>
    </row>
    <row r="348" ht="15.75" customHeight="1">
      <c r="B348" s="58" t="n"/>
      <c r="C348" s="59" t="n"/>
      <c r="D348" s="60" t="n"/>
      <c r="E348" s="59" t="n"/>
      <c r="F348" s="231" t="n"/>
      <c r="G348" s="10" t="n"/>
      <c r="H348" s="10" t="n"/>
      <c r="I348" s="37" t="n"/>
    </row>
    <row r="349" ht="15.75" customHeight="1">
      <c r="B349" s="58" t="n"/>
      <c r="C349" s="62" t="n"/>
      <c r="D349" s="63" t="n"/>
      <c r="E349" s="62" t="n"/>
      <c r="F349" s="232" t="n"/>
      <c r="G349" s="19" t="n"/>
      <c r="H349" s="19" t="n"/>
      <c r="I349" s="49" t="n"/>
    </row>
    <row r="350" ht="15.75" customHeight="1">
      <c r="B350" s="58" t="n"/>
      <c r="C350" s="59" t="n"/>
      <c r="D350" s="60" t="n"/>
      <c r="E350" s="59" t="n"/>
      <c r="F350" s="231" t="n"/>
      <c r="G350" s="10" t="n"/>
      <c r="H350" s="10" t="n"/>
      <c r="I350" s="37" t="n"/>
    </row>
    <row r="351" ht="15.75" customHeight="1">
      <c r="B351" s="58" t="n"/>
      <c r="C351" s="62" t="n"/>
      <c r="D351" s="63" t="n"/>
      <c r="E351" s="62" t="n"/>
      <c r="F351" s="232" t="n"/>
      <c r="G351" s="19" t="n"/>
      <c r="H351" s="19" t="n"/>
      <c r="I351" s="49" t="n"/>
    </row>
    <row r="352" ht="15.75" customHeight="1">
      <c r="B352" s="58" t="n"/>
      <c r="C352" s="59" t="n"/>
      <c r="D352" s="60" t="n"/>
      <c r="E352" s="59" t="n"/>
      <c r="F352" s="231" t="n"/>
      <c r="G352" s="10" t="n"/>
      <c r="H352" s="10" t="n"/>
      <c r="I352" s="37" t="n"/>
    </row>
    <row r="353" ht="15.75" customHeight="1">
      <c r="B353" s="58" t="n"/>
      <c r="C353" s="62" t="n"/>
      <c r="D353" s="63" t="n"/>
      <c r="E353" s="62" t="n"/>
      <c r="F353" s="232" t="n"/>
      <c r="G353" s="19" t="n"/>
      <c r="H353" s="19" t="n"/>
      <c r="I353" s="49" t="n"/>
    </row>
    <row r="354" ht="15.75" customHeight="1">
      <c r="B354" s="58" t="n"/>
      <c r="C354" s="59" t="n"/>
      <c r="D354" s="60" t="n"/>
      <c r="E354" s="59" t="n"/>
      <c r="F354" s="231" t="n"/>
      <c r="G354" s="10" t="n"/>
      <c r="H354" s="10" t="n"/>
      <c r="I354" s="37" t="n"/>
    </row>
    <row r="355" ht="15.75" customHeight="1">
      <c r="B355" s="58" t="n"/>
      <c r="C355" s="62" t="n"/>
      <c r="D355" s="63" t="n"/>
      <c r="E355" s="62" t="n"/>
      <c r="F355" s="232" t="n"/>
      <c r="G355" s="19" t="n"/>
      <c r="H355" s="19" t="n"/>
      <c r="I355" s="49" t="n"/>
    </row>
    <row r="356" ht="15.75" customHeight="1">
      <c r="B356" s="58" t="n"/>
      <c r="C356" s="59" t="n"/>
      <c r="D356" s="60" t="n"/>
      <c r="E356" s="59" t="n"/>
      <c r="F356" s="231" t="n"/>
      <c r="G356" s="10" t="n"/>
      <c r="H356" s="10" t="n"/>
      <c r="I356" s="37" t="n"/>
    </row>
    <row r="357" ht="15.75" customHeight="1">
      <c r="B357" s="58" t="n"/>
      <c r="C357" s="62" t="n"/>
      <c r="D357" s="63" t="n"/>
      <c r="E357" s="62" t="n"/>
      <c r="F357" s="232" t="n"/>
      <c r="G357" s="19" t="n"/>
      <c r="H357" s="19" t="n"/>
      <c r="I357" s="49" t="n"/>
    </row>
    <row r="358" ht="15.75" customHeight="1">
      <c r="B358" s="58" t="n"/>
      <c r="C358" s="59" t="n"/>
      <c r="D358" s="60" t="n"/>
      <c r="E358" s="59" t="n"/>
      <c r="F358" s="231" t="n"/>
      <c r="G358" s="10" t="n"/>
      <c r="H358" s="10" t="n"/>
      <c r="I358" s="37" t="n"/>
    </row>
    <row r="359" ht="15.75" customHeight="1">
      <c r="B359" s="58" t="n"/>
      <c r="C359" s="62" t="n"/>
      <c r="D359" s="63" t="n"/>
      <c r="E359" s="62" t="n"/>
      <c r="F359" s="232" t="n"/>
      <c r="G359" s="19" t="n"/>
      <c r="H359" s="19" t="n"/>
      <c r="I359" s="49" t="n"/>
    </row>
    <row r="360" ht="15.75" customHeight="1">
      <c r="B360" s="58" t="n"/>
      <c r="C360" s="59" t="n"/>
      <c r="D360" s="60" t="n"/>
      <c r="E360" s="59" t="n"/>
      <c r="F360" s="231" t="n"/>
      <c r="G360" s="10" t="n"/>
      <c r="H360" s="10" t="n"/>
      <c r="I360" s="37" t="n"/>
    </row>
    <row r="361" ht="15.75" customHeight="1">
      <c r="B361" s="58" t="n"/>
      <c r="C361" s="62" t="n"/>
      <c r="D361" s="63" t="n"/>
      <c r="E361" s="62" t="n"/>
      <c r="F361" s="232" t="n"/>
      <c r="G361" s="19" t="n"/>
      <c r="H361" s="19" t="n"/>
      <c r="I361" s="49" t="n"/>
    </row>
    <row r="362" ht="15.75" customHeight="1">
      <c r="B362" s="58" t="n"/>
      <c r="C362" s="59" t="n"/>
      <c r="D362" s="60" t="n"/>
      <c r="E362" s="59" t="n"/>
      <c r="F362" s="231" t="n"/>
      <c r="G362" s="10" t="n"/>
      <c r="H362" s="10" t="n"/>
      <c r="I362" s="37" t="n"/>
    </row>
    <row r="363" ht="15.75" customHeight="1">
      <c r="B363" s="58" t="n"/>
      <c r="C363" s="62" t="n"/>
      <c r="D363" s="63" t="n"/>
      <c r="E363" s="62" t="n"/>
      <c r="F363" s="232" t="n"/>
      <c r="G363" s="19" t="n"/>
      <c r="H363" s="19" t="n"/>
      <c r="I363" s="49" t="n"/>
    </row>
    <row r="364" ht="15.75" customHeight="1">
      <c r="B364" s="58" t="n"/>
      <c r="C364" s="59" t="n"/>
      <c r="D364" s="60" t="n"/>
      <c r="E364" s="59" t="n"/>
      <c r="F364" s="231" t="n"/>
      <c r="G364" s="10" t="n"/>
      <c r="H364" s="10" t="n"/>
      <c r="I364" s="37" t="n"/>
    </row>
    <row r="365" ht="15.75" customHeight="1">
      <c r="B365" s="58" t="n"/>
      <c r="C365" s="62" t="n"/>
      <c r="D365" s="63" t="n"/>
      <c r="E365" s="62" t="n"/>
      <c r="F365" s="232" t="n"/>
      <c r="G365" s="19" t="n"/>
      <c r="H365" s="19" t="n"/>
      <c r="I365" s="49" t="n"/>
    </row>
    <row r="366" ht="15.75" customHeight="1">
      <c r="B366" s="58" t="n"/>
      <c r="C366" s="59" t="n"/>
      <c r="D366" s="60" t="n"/>
      <c r="E366" s="59" t="n"/>
      <c r="F366" s="231" t="n"/>
      <c r="G366" s="10" t="n"/>
      <c r="H366" s="10" t="n"/>
      <c r="I366" s="37" t="n"/>
    </row>
    <row r="367" ht="15.75" customHeight="1">
      <c r="B367" s="58" t="n"/>
      <c r="C367" s="62" t="n"/>
      <c r="D367" s="63" t="n"/>
      <c r="E367" s="62" t="n"/>
      <c r="F367" s="232" t="n"/>
      <c r="G367" s="19" t="n"/>
      <c r="H367" s="19" t="n"/>
      <c r="I367" s="49" t="n"/>
    </row>
    <row r="368" ht="15.75" customHeight="1">
      <c r="B368" s="58" t="n"/>
      <c r="C368" s="59" t="n"/>
      <c r="D368" s="60" t="n"/>
      <c r="E368" s="59" t="n"/>
      <c r="F368" s="231" t="n"/>
      <c r="G368" s="10" t="n"/>
      <c r="H368" s="10" t="n"/>
      <c r="I368" s="37" t="n"/>
    </row>
    <row r="369" ht="15.75" customHeight="1">
      <c r="B369" s="58" t="n"/>
      <c r="C369" s="62" t="n"/>
      <c r="D369" s="63" t="n"/>
      <c r="E369" s="62" t="n"/>
      <c r="F369" s="232" t="n"/>
      <c r="G369" s="19" t="n"/>
      <c r="H369" s="19" t="n"/>
      <c r="I369" s="49" t="n"/>
    </row>
    <row r="370" ht="15.75" customHeight="1">
      <c r="B370" s="58" t="n"/>
      <c r="C370" s="59" t="n"/>
      <c r="D370" s="60" t="n"/>
      <c r="E370" s="59" t="n"/>
      <c r="F370" s="231" t="n"/>
      <c r="G370" s="10" t="n"/>
      <c r="H370" s="10" t="n"/>
      <c r="I370" s="37" t="n"/>
    </row>
    <row r="371" ht="15.75" customHeight="1">
      <c r="B371" s="58" t="n"/>
      <c r="C371" s="62" t="n"/>
      <c r="D371" s="63" t="n"/>
      <c r="E371" s="62" t="n"/>
      <c r="F371" s="232" t="n"/>
      <c r="G371" s="19" t="n"/>
      <c r="H371" s="19" t="n"/>
      <c r="I371" s="49" t="n"/>
    </row>
    <row r="372" ht="15.75" customHeight="1">
      <c r="B372" s="58" t="n"/>
      <c r="C372" s="59" t="n"/>
      <c r="D372" s="60" t="n"/>
      <c r="E372" s="59" t="n"/>
      <c r="F372" s="231" t="n"/>
      <c r="G372" s="10" t="n"/>
      <c r="H372" s="10" t="n"/>
      <c r="I372" s="37" t="n"/>
    </row>
    <row r="373" ht="15.75" customHeight="1">
      <c r="B373" s="58" t="n"/>
      <c r="C373" s="62" t="n"/>
      <c r="D373" s="63" t="n"/>
      <c r="E373" s="62" t="n"/>
      <c r="F373" s="232" t="n"/>
      <c r="G373" s="19" t="n"/>
      <c r="H373" s="19" t="n"/>
      <c r="I373" s="49" t="n"/>
    </row>
    <row r="374" ht="15.75" customHeight="1">
      <c r="B374" s="58" t="n"/>
      <c r="C374" s="59" t="n"/>
      <c r="D374" s="60" t="n"/>
      <c r="E374" s="59" t="n"/>
      <c r="F374" s="231" t="n"/>
      <c r="G374" s="10" t="n"/>
      <c r="H374" s="10" t="n"/>
      <c r="I374" s="37" t="n"/>
    </row>
    <row r="375" ht="15.75" customHeight="1">
      <c r="B375" s="58" t="n"/>
      <c r="C375" s="62" t="n"/>
      <c r="D375" s="63" t="n"/>
      <c r="E375" s="62" t="n"/>
      <c r="F375" s="232" t="n"/>
      <c r="G375" s="19" t="n"/>
      <c r="H375" s="19" t="n"/>
      <c r="I375" s="49" t="n"/>
    </row>
    <row r="376" ht="15.75" customHeight="1">
      <c r="B376" s="58" t="n"/>
      <c r="C376" s="59" t="n"/>
      <c r="D376" s="60" t="n"/>
      <c r="E376" s="59" t="n"/>
      <c r="F376" s="231" t="n"/>
      <c r="G376" s="10" t="n"/>
      <c r="H376" s="10" t="n"/>
      <c r="I376" s="37" t="n"/>
    </row>
    <row r="377" ht="15.75" customHeight="1">
      <c r="B377" s="58" t="n"/>
      <c r="C377" s="62" t="n"/>
      <c r="D377" s="63" t="n"/>
      <c r="E377" s="62" t="n"/>
      <c r="F377" s="232" t="n"/>
      <c r="G377" s="19" t="n"/>
      <c r="H377" s="19" t="n"/>
      <c r="I377" s="49" t="n"/>
    </row>
    <row r="378" ht="15.75" customHeight="1">
      <c r="B378" s="58" t="n"/>
      <c r="C378" s="59" t="n"/>
      <c r="D378" s="60" t="n"/>
      <c r="E378" s="59" t="n"/>
      <c r="F378" s="231" t="n"/>
      <c r="G378" s="10" t="n"/>
      <c r="H378" s="10" t="n"/>
      <c r="I378" s="37" t="n"/>
    </row>
    <row r="379" ht="15.75" customHeight="1">
      <c r="B379" s="58" t="n"/>
      <c r="C379" s="62" t="n"/>
      <c r="D379" s="63" t="n"/>
      <c r="E379" s="62" t="n"/>
      <c r="F379" s="232" t="n"/>
      <c r="G379" s="19" t="n"/>
      <c r="H379" s="19" t="n"/>
      <c r="I379" s="49" t="n"/>
    </row>
    <row r="380" ht="15.75" customHeight="1">
      <c r="B380" s="58" t="n"/>
      <c r="C380" s="59" t="n"/>
      <c r="D380" s="60" t="n"/>
      <c r="E380" s="59" t="n"/>
      <c r="F380" s="231" t="n"/>
      <c r="G380" s="10" t="n"/>
      <c r="H380" s="10" t="n"/>
      <c r="I380" s="37" t="n"/>
    </row>
    <row r="381" ht="15.75" customHeight="1">
      <c r="B381" s="58" t="n"/>
      <c r="C381" s="62" t="n"/>
      <c r="D381" s="63" t="n"/>
      <c r="E381" s="62" t="n"/>
      <c r="F381" s="232" t="n"/>
      <c r="G381" s="19" t="n"/>
      <c r="H381" s="19" t="n"/>
      <c r="I381" s="49" t="n"/>
    </row>
    <row r="382" ht="15.75" customHeight="1">
      <c r="B382" s="58" t="n"/>
      <c r="C382" s="59" t="n"/>
      <c r="D382" s="60" t="n"/>
      <c r="E382" s="59" t="n"/>
      <c r="F382" s="231" t="n"/>
      <c r="G382" s="10" t="n"/>
      <c r="H382" s="10" t="n"/>
      <c r="I382" s="37" t="n"/>
    </row>
    <row r="383" ht="15.75" customHeight="1">
      <c r="B383" s="58" t="n"/>
      <c r="C383" s="62" t="n"/>
      <c r="D383" s="63" t="n"/>
      <c r="E383" s="62" t="n"/>
      <c r="F383" s="232" t="n"/>
      <c r="G383" s="19" t="n"/>
      <c r="H383" s="19" t="n"/>
      <c r="I383" s="49" t="n"/>
    </row>
    <row r="384" ht="15.75" customHeight="1">
      <c r="B384" s="58" t="n"/>
      <c r="C384" s="59" t="n"/>
      <c r="D384" s="60" t="n"/>
      <c r="E384" s="59" t="n"/>
      <c r="F384" s="231" t="n"/>
      <c r="G384" s="10" t="n"/>
      <c r="H384" s="10" t="n"/>
      <c r="I384" s="37" t="n"/>
    </row>
    <row r="385" ht="15.75" customHeight="1">
      <c r="B385" s="58" t="n"/>
      <c r="C385" s="62" t="n"/>
      <c r="D385" s="63" t="n"/>
      <c r="E385" s="62" t="n"/>
      <c r="F385" s="232" t="n"/>
      <c r="G385" s="19" t="n"/>
      <c r="H385" s="19" t="n"/>
      <c r="I385" s="49" t="n"/>
    </row>
    <row r="386" ht="15.75" customHeight="1">
      <c r="B386" s="58" t="n"/>
      <c r="C386" s="59" t="n"/>
      <c r="D386" s="60" t="n"/>
      <c r="E386" s="59" t="n"/>
      <c r="F386" s="231" t="n"/>
      <c r="G386" s="10" t="n"/>
      <c r="H386" s="10" t="n"/>
      <c r="I386" s="37" t="n"/>
    </row>
    <row r="387" ht="15.75" customHeight="1">
      <c r="B387" s="58" t="n"/>
      <c r="C387" s="62" t="n"/>
      <c r="D387" s="63" t="n"/>
      <c r="E387" s="62" t="n"/>
      <c r="F387" s="232" t="n"/>
      <c r="G387" s="19" t="n"/>
      <c r="H387" s="19" t="n"/>
      <c r="I387" s="49" t="n"/>
    </row>
    <row r="388" ht="15.75" customHeight="1">
      <c r="B388" s="58" t="n"/>
      <c r="C388" s="59" t="n"/>
      <c r="D388" s="60" t="n"/>
      <c r="E388" s="59" t="n"/>
      <c r="F388" s="231" t="n"/>
      <c r="G388" s="10" t="n"/>
      <c r="H388" s="10" t="n"/>
      <c r="I388" s="37" t="n"/>
    </row>
    <row r="389" ht="15.75" customHeight="1">
      <c r="B389" s="58" t="n"/>
      <c r="C389" s="62" t="n"/>
      <c r="D389" s="63" t="n"/>
      <c r="E389" s="62" t="n"/>
      <c r="F389" s="232" t="n"/>
      <c r="G389" s="19" t="n"/>
      <c r="H389" s="19" t="n"/>
      <c r="I389" s="49" t="n"/>
    </row>
    <row r="390" ht="15.75" customHeight="1">
      <c r="B390" s="58" t="n"/>
      <c r="C390" s="59" t="n"/>
      <c r="D390" s="60" t="n"/>
      <c r="E390" s="59" t="n"/>
      <c r="F390" s="231" t="n"/>
      <c r="G390" s="10" t="n"/>
      <c r="H390" s="10" t="n"/>
      <c r="I390" s="37" t="n"/>
    </row>
    <row r="391" ht="15.75" customHeight="1">
      <c r="B391" s="58" t="n"/>
      <c r="C391" s="62" t="n"/>
      <c r="D391" s="63" t="n"/>
      <c r="E391" s="62" t="n"/>
      <c r="F391" s="232" t="n"/>
      <c r="G391" s="19" t="n"/>
      <c r="H391" s="19" t="n"/>
      <c r="I391" s="49" t="n"/>
    </row>
    <row r="392" ht="15.75" customHeight="1">
      <c r="B392" s="58" t="n"/>
      <c r="C392" s="59" t="n"/>
      <c r="D392" s="60" t="n"/>
      <c r="E392" s="59" t="n"/>
      <c r="F392" s="231" t="n"/>
      <c r="G392" s="10" t="n"/>
      <c r="H392" s="10" t="n"/>
      <c r="I392" s="37" t="n"/>
    </row>
    <row r="393" ht="15.75" customHeight="1">
      <c r="B393" s="58" t="n"/>
      <c r="C393" s="62" t="n"/>
      <c r="D393" s="63" t="n"/>
      <c r="E393" s="62" t="n"/>
      <c r="F393" s="232" t="n"/>
      <c r="G393" s="19" t="n"/>
      <c r="H393" s="19" t="n"/>
      <c r="I393" s="49" t="n"/>
    </row>
    <row r="394" ht="15.75" customHeight="1">
      <c r="B394" s="58" t="n"/>
      <c r="C394" s="59" t="n"/>
      <c r="D394" s="60" t="n"/>
      <c r="E394" s="59" t="n"/>
      <c r="F394" s="231" t="n"/>
      <c r="G394" s="10" t="n"/>
      <c r="H394" s="10" t="n"/>
      <c r="I394" s="37" t="n"/>
    </row>
    <row r="395" ht="15.75" customHeight="1">
      <c r="B395" s="58" t="n"/>
      <c r="C395" s="62" t="n"/>
      <c r="D395" s="63" t="n"/>
      <c r="E395" s="62" t="n"/>
      <c r="F395" s="232" t="n"/>
      <c r="G395" s="19" t="n"/>
      <c r="H395" s="19" t="n"/>
      <c r="I395" s="49" t="n"/>
    </row>
    <row r="396" ht="15.75" customHeight="1">
      <c r="B396" s="58" t="n"/>
      <c r="C396" s="59" t="n"/>
      <c r="D396" s="60" t="n"/>
      <c r="E396" s="59" t="n"/>
      <c r="F396" s="231" t="n"/>
      <c r="G396" s="10" t="n"/>
      <c r="H396" s="10" t="n"/>
      <c r="I396" s="37" t="n"/>
    </row>
    <row r="397" ht="15.75" customHeight="1">
      <c r="B397" s="58" t="n"/>
      <c r="C397" s="62" t="n"/>
      <c r="D397" s="63" t="n"/>
      <c r="E397" s="62" t="n"/>
      <c r="F397" s="232" t="n"/>
      <c r="G397" s="19" t="n"/>
      <c r="H397" s="19" t="n"/>
      <c r="I397" s="49" t="n"/>
    </row>
    <row r="398" ht="15.75" customHeight="1">
      <c r="B398" s="58" t="n"/>
      <c r="C398" s="59" t="n"/>
      <c r="D398" s="60" t="n"/>
      <c r="E398" s="59" t="n"/>
      <c r="F398" s="231" t="n"/>
      <c r="G398" s="10" t="n"/>
      <c r="H398" s="10" t="n"/>
      <c r="I398" s="37" t="n"/>
    </row>
    <row r="399" ht="15.75" customHeight="1">
      <c r="B399" s="58" t="n"/>
      <c r="C399" s="62" t="n"/>
      <c r="D399" s="63" t="n"/>
      <c r="E399" s="62" t="n"/>
      <c r="F399" s="232" t="n"/>
      <c r="G399" s="19" t="n"/>
      <c r="H399" s="19" t="n"/>
      <c r="I399" s="49" t="n"/>
    </row>
    <row r="400" ht="15.75" customHeight="1">
      <c r="B400" s="58" t="n"/>
      <c r="C400" s="59" t="n"/>
      <c r="D400" s="60" t="n"/>
      <c r="E400" s="59" t="n"/>
      <c r="F400" s="231" t="n"/>
      <c r="G400" s="10" t="n"/>
      <c r="H400" s="10" t="n"/>
      <c r="I400" s="37" t="n"/>
    </row>
    <row r="401" ht="15.75" customHeight="1">
      <c r="B401" s="58" t="n"/>
      <c r="C401" s="62" t="n"/>
      <c r="D401" s="63" t="n"/>
      <c r="E401" s="62" t="n"/>
      <c r="F401" s="232" t="n"/>
      <c r="G401" s="19" t="n"/>
      <c r="H401" s="19" t="n"/>
      <c r="I401" s="49" t="n"/>
    </row>
    <row r="402" ht="15.75" customHeight="1">
      <c r="B402" s="58" t="n"/>
      <c r="C402" s="59" t="n"/>
      <c r="D402" s="60" t="n"/>
      <c r="E402" s="59" t="n"/>
      <c r="F402" s="231" t="n"/>
      <c r="G402" s="10" t="n"/>
      <c r="H402" s="10" t="n"/>
      <c r="I402" s="37" t="n"/>
    </row>
    <row r="403" ht="15.75" customHeight="1">
      <c r="B403" s="58" t="n"/>
      <c r="C403" s="62" t="n"/>
      <c r="D403" s="63" t="n"/>
      <c r="E403" s="62" t="n"/>
      <c r="F403" s="232" t="n"/>
      <c r="G403" s="19" t="n"/>
      <c r="H403" s="19" t="n"/>
      <c r="I403" s="49" t="n"/>
    </row>
    <row r="404" ht="15.75" customHeight="1">
      <c r="B404" s="58" t="n"/>
      <c r="C404" s="59" t="n"/>
      <c r="D404" s="60" t="n"/>
      <c r="E404" s="59" t="n"/>
      <c r="F404" s="231" t="n"/>
      <c r="G404" s="10" t="n"/>
      <c r="H404" s="10" t="n"/>
      <c r="I404" s="37" t="n"/>
    </row>
    <row r="405" ht="15.75" customHeight="1">
      <c r="B405" s="58" t="n"/>
      <c r="C405" s="62" t="n"/>
      <c r="D405" s="63" t="n"/>
      <c r="E405" s="62" t="n"/>
      <c r="F405" s="232" t="n"/>
      <c r="G405" s="19" t="n"/>
      <c r="H405" s="19" t="n"/>
      <c r="I405" s="49" t="n"/>
    </row>
    <row r="406" ht="15.75" customHeight="1">
      <c r="B406" s="58" t="n"/>
      <c r="C406" s="59" t="n"/>
      <c r="D406" s="60" t="n"/>
      <c r="E406" s="59" t="n"/>
      <c r="F406" s="231" t="n"/>
      <c r="G406" s="10" t="n"/>
      <c r="H406" s="10" t="n"/>
      <c r="I406" s="37" t="n"/>
    </row>
    <row r="407" ht="15.75" customHeight="1">
      <c r="B407" s="58" t="n"/>
      <c r="C407" s="62" t="n"/>
      <c r="D407" s="63" t="n"/>
      <c r="E407" s="62" t="n"/>
      <c r="F407" s="232" t="n"/>
      <c r="G407" s="19" t="n"/>
      <c r="H407" s="19" t="n"/>
      <c r="I407" s="49" t="n"/>
    </row>
    <row r="408" ht="15.75" customHeight="1">
      <c r="B408" s="58" t="n"/>
      <c r="C408" s="59" t="n"/>
      <c r="D408" s="60" t="n"/>
      <c r="E408" s="59" t="n"/>
      <c r="F408" s="231" t="n"/>
      <c r="G408" s="10" t="n"/>
      <c r="H408" s="10" t="n"/>
      <c r="I408" s="37" t="n"/>
    </row>
    <row r="409" ht="15.75" customHeight="1">
      <c r="B409" s="58" t="n"/>
      <c r="C409" s="62" t="n"/>
      <c r="D409" s="63" t="n"/>
      <c r="E409" s="62" t="n"/>
      <c r="F409" s="232" t="n"/>
      <c r="G409" s="19" t="n"/>
      <c r="H409" s="19" t="n"/>
      <c r="I409" s="49" t="n"/>
    </row>
    <row r="410" ht="15.75" customHeight="1">
      <c r="B410" s="58" t="n"/>
      <c r="C410" s="59" t="n"/>
      <c r="D410" s="60" t="n"/>
      <c r="E410" s="59" t="n"/>
      <c r="F410" s="231" t="n"/>
      <c r="G410" s="10" t="n"/>
      <c r="H410" s="10" t="n"/>
      <c r="I410" s="37" t="n"/>
    </row>
    <row r="411" ht="15.75" customHeight="1">
      <c r="B411" s="58" t="n"/>
      <c r="C411" s="62" t="n"/>
      <c r="D411" s="63" t="n"/>
      <c r="E411" s="62" t="n"/>
      <c r="F411" s="232" t="n"/>
      <c r="G411" s="19" t="n"/>
      <c r="H411" s="19" t="n"/>
      <c r="I411" s="49" t="n"/>
    </row>
    <row r="412" ht="15.75" customHeight="1">
      <c r="B412" s="58" t="n"/>
      <c r="C412" s="59" t="n"/>
      <c r="D412" s="60" t="n"/>
      <c r="E412" s="59" t="n"/>
      <c r="F412" s="231" t="n"/>
      <c r="G412" s="10" t="n"/>
      <c r="H412" s="10" t="n"/>
      <c r="I412" s="37" t="n"/>
    </row>
    <row r="413" ht="15.75" customHeight="1">
      <c r="B413" s="58" t="n"/>
      <c r="C413" s="62" t="n"/>
      <c r="D413" s="63" t="n"/>
      <c r="E413" s="62" t="n"/>
      <c r="F413" s="232" t="n"/>
      <c r="G413" s="19" t="n"/>
      <c r="H413" s="19" t="n"/>
      <c r="I413" s="49" t="n"/>
    </row>
    <row r="414" ht="15.75" customHeight="1">
      <c r="B414" s="58" t="n"/>
      <c r="C414" s="59" t="n"/>
      <c r="D414" s="60" t="n"/>
      <c r="E414" s="59" t="n"/>
      <c r="F414" s="231" t="n"/>
      <c r="G414" s="10" t="n"/>
      <c r="H414" s="10" t="n"/>
      <c r="I414" s="37" t="n"/>
    </row>
    <row r="415" ht="15.75" customHeight="1">
      <c r="B415" s="58" t="n"/>
      <c r="C415" s="62" t="n"/>
      <c r="D415" s="63" t="n"/>
      <c r="E415" s="62" t="n"/>
      <c r="F415" s="232" t="n"/>
      <c r="G415" s="19" t="n"/>
      <c r="H415" s="19" t="n"/>
      <c r="I415" s="49" t="n"/>
    </row>
    <row r="416" ht="15.75" customHeight="1">
      <c r="B416" s="58" t="n"/>
      <c r="C416" s="59" t="n"/>
      <c r="D416" s="60" t="n"/>
      <c r="E416" s="59" t="n"/>
      <c r="F416" s="231" t="n"/>
      <c r="G416" s="10" t="n"/>
      <c r="H416" s="10" t="n"/>
      <c r="I416" s="37" t="n"/>
    </row>
    <row r="417" ht="15.75" customHeight="1">
      <c r="B417" s="58" t="n"/>
      <c r="C417" s="62" t="n"/>
      <c r="D417" s="63" t="n"/>
      <c r="E417" s="62" t="n"/>
      <c r="F417" s="232" t="n"/>
      <c r="G417" s="19" t="n"/>
      <c r="H417" s="19" t="n"/>
      <c r="I417" s="49" t="n"/>
    </row>
    <row r="418" ht="15.75" customHeight="1">
      <c r="B418" s="58" t="n"/>
      <c r="C418" s="59" t="n"/>
      <c r="D418" s="60" t="n"/>
      <c r="E418" s="59" t="n"/>
      <c r="F418" s="231" t="n"/>
      <c r="G418" s="10" t="n"/>
      <c r="H418" s="10" t="n"/>
      <c r="I418" s="37" t="n"/>
    </row>
    <row r="419" ht="15.75" customHeight="1">
      <c r="B419" s="58" t="n"/>
      <c r="C419" s="62" t="n"/>
      <c r="D419" s="63" t="n"/>
      <c r="E419" s="62" t="n"/>
      <c r="F419" s="232" t="n"/>
      <c r="G419" s="19" t="n"/>
      <c r="H419" s="19" t="n"/>
      <c r="I419" s="49" t="n"/>
    </row>
    <row r="420" ht="15.75" customHeight="1">
      <c r="B420" s="58" t="n"/>
      <c r="C420" s="59" t="n"/>
      <c r="D420" s="60" t="n"/>
      <c r="E420" s="59" t="n"/>
      <c r="F420" s="231" t="n"/>
      <c r="G420" s="10" t="n"/>
      <c r="H420" s="10" t="n"/>
      <c r="I420" s="37" t="n"/>
    </row>
    <row r="421" ht="15.75" customHeight="1">
      <c r="B421" s="58" t="n"/>
      <c r="C421" s="62" t="n"/>
      <c r="D421" s="63" t="n"/>
      <c r="E421" s="62" t="n"/>
      <c r="F421" s="232" t="n"/>
      <c r="G421" s="19" t="n"/>
      <c r="H421" s="19" t="n"/>
      <c r="I421" s="49" t="n"/>
    </row>
    <row r="422" ht="15.75" customHeight="1">
      <c r="B422" s="58" t="n"/>
      <c r="C422" s="59" t="n"/>
      <c r="D422" s="60" t="n"/>
      <c r="E422" s="59" t="n"/>
      <c r="F422" s="231" t="n"/>
      <c r="G422" s="10" t="n"/>
      <c r="H422" s="10" t="n"/>
      <c r="I422" s="37" t="n"/>
    </row>
    <row r="423" ht="15.75" customHeight="1">
      <c r="B423" s="58" t="n"/>
      <c r="C423" s="62" t="n"/>
      <c r="D423" s="63" t="n"/>
      <c r="E423" s="62" t="n"/>
      <c r="F423" s="232" t="n"/>
      <c r="G423" s="19" t="n"/>
      <c r="H423" s="19" t="n"/>
      <c r="I423" s="49" t="n"/>
    </row>
    <row r="424" ht="15.75" customHeight="1">
      <c r="B424" s="58" t="n"/>
      <c r="C424" s="59" t="n"/>
      <c r="D424" s="60" t="n"/>
      <c r="E424" s="59" t="n"/>
      <c r="F424" s="231" t="n"/>
      <c r="G424" s="10" t="n"/>
      <c r="H424" s="10" t="n"/>
      <c r="I424" s="37" t="n"/>
    </row>
    <row r="425" ht="15.75" customHeight="1">
      <c r="B425" s="58" t="n"/>
      <c r="C425" s="62" t="n"/>
      <c r="D425" s="63" t="n"/>
      <c r="E425" s="62" t="n"/>
      <c r="F425" s="232" t="n"/>
      <c r="G425" s="19" t="n"/>
      <c r="H425" s="19" t="n"/>
      <c r="I425" s="49" t="n"/>
    </row>
    <row r="426" ht="15.75" customHeight="1">
      <c r="B426" s="58" t="n"/>
      <c r="C426" s="59" t="n"/>
      <c r="D426" s="60" t="n"/>
      <c r="E426" s="59" t="n"/>
      <c r="F426" s="231" t="n"/>
      <c r="G426" s="10" t="n"/>
      <c r="H426" s="10" t="n"/>
      <c r="I426" s="37" t="n"/>
    </row>
    <row r="427" ht="15.75" customHeight="1">
      <c r="B427" s="58" t="n"/>
      <c r="C427" s="62" t="n"/>
      <c r="D427" s="63" t="n"/>
      <c r="E427" s="62" t="n"/>
      <c r="F427" s="232" t="n"/>
      <c r="G427" s="19" t="n"/>
      <c r="H427" s="19" t="n"/>
      <c r="I427" s="49" t="n"/>
    </row>
    <row r="428" ht="15.75" customHeight="1">
      <c r="B428" s="58" t="n"/>
      <c r="C428" s="59" t="n"/>
      <c r="D428" s="60" t="n"/>
      <c r="E428" s="59" t="n"/>
      <c r="F428" s="231" t="n"/>
      <c r="G428" s="10" t="n"/>
      <c r="H428" s="10" t="n"/>
      <c r="I428" s="37" t="n"/>
    </row>
    <row r="429" ht="15.75" customHeight="1">
      <c r="B429" s="58" t="n"/>
      <c r="C429" s="62" t="n"/>
      <c r="D429" s="63" t="n"/>
      <c r="E429" s="62" t="n"/>
      <c r="F429" s="232" t="n"/>
      <c r="G429" s="19" t="n"/>
      <c r="H429" s="19" t="n"/>
      <c r="I429" s="49" t="n"/>
    </row>
    <row r="430" ht="15.75" customHeight="1">
      <c r="B430" s="58" t="n"/>
      <c r="C430" s="59" t="n"/>
      <c r="D430" s="60" t="n"/>
      <c r="E430" s="59" t="n"/>
      <c r="F430" s="231" t="n"/>
      <c r="G430" s="10" t="n"/>
      <c r="H430" s="10" t="n"/>
      <c r="I430" s="37" t="n"/>
    </row>
    <row r="431" ht="15.75" customHeight="1">
      <c r="B431" s="58" t="n"/>
      <c r="C431" s="62" t="n"/>
      <c r="D431" s="63" t="n"/>
      <c r="E431" s="62" t="n"/>
      <c r="F431" s="232" t="n"/>
      <c r="G431" s="19" t="n"/>
      <c r="H431" s="19" t="n"/>
      <c r="I431" s="49" t="n"/>
    </row>
    <row r="432" ht="15.75" customHeight="1">
      <c r="B432" s="58" t="n"/>
      <c r="C432" s="59" t="n"/>
      <c r="D432" s="60" t="n"/>
      <c r="E432" s="59" t="n"/>
      <c r="F432" s="231" t="n"/>
      <c r="G432" s="10" t="n"/>
      <c r="H432" s="10" t="n"/>
      <c r="I432" s="37" t="n"/>
    </row>
    <row r="433" ht="15.75" customHeight="1">
      <c r="B433" s="58" t="n"/>
      <c r="C433" s="62" t="n"/>
      <c r="D433" s="63" t="n"/>
      <c r="E433" s="62" t="n"/>
      <c r="F433" s="232" t="n"/>
      <c r="G433" s="19" t="n"/>
      <c r="H433" s="19" t="n"/>
      <c r="I433" s="49" t="n"/>
    </row>
    <row r="434" ht="15.75" customHeight="1">
      <c r="B434" s="58" t="n"/>
      <c r="C434" s="59" t="n"/>
      <c r="D434" s="60" t="n"/>
      <c r="E434" s="59" t="n"/>
      <c r="F434" s="231" t="n"/>
      <c r="G434" s="10" t="n"/>
      <c r="H434" s="10" t="n"/>
      <c r="I434" s="37" t="n"/>
    </row>
    <row r="435" ht="15.75" customHeight="1">
      <c r="B435" s="58" t="n"/>
      <c r="C435" s="62" t="n"/>
      <c r="D435" s="63" t="n"/>
      <c r="E435" s="62" t="n"/>
      <c r="F435" s="232" t="n"/>
      <c r="G435" s="19" t="n"/>
      <c r="H435" s="19" t="n"/>
      <c r="I435" s="49" t="n"/>
    </row>
    <row r="436" ht="15.75" customHeight="1">
      <c r="B436" s="58" t="n"/>
      <c r="C436" s="59" t="n"/>
      <c r="D436" s="60" t="n"/>
      <c r="E436" s="59" t="n"/>
      <c r="F436" s="231" t="n"/>
      <c r="G436" s="10" t="n"/>
      <c r="H436" s="10" t="n"/>
      <c r="I436" s="37" t="n"/>
    </row>
    <row r="437" ht="15.75" customHeight="1">
      <c r="B437" s="58" t="n"/>
      <c r="C437" s="62" t="n"/>
      <c r="D437" s="63" t="n"/>
      <c r="E437" s="62" t="n"/>
      <c r="F437" s="232" t="n"/>
      <c r="G437" s="19" t="n"/>
      <c r="H437" s="19" t="n"/>
      <c r="I437" s="49" t="n"/>
    </row>
    <row r="438" ht="15.75" customHeight="1">
      <c r="B438" s="58" t="n"/>
      <c r="C438" s="59" t="n"/>
      <c r="D438" s="60" t="n"/>
      <c r="E438" s="59" t="n"/>
      <c r="F438" s="231" t="n"/>
      <c r="G438" s="10" t="n"/>
      <c r="H438" s="10" t="n"/>
      <c r="I438" s="37" t="n"/>
    </row>
    <row r="439" ht="15.75" customHeight="1">
      <c r="B439" s="58" t="n"/>
      <c r="C439" s="62" t="n"/>
      <c r="D439" s="63" t="n"/>
      <c r="E439" s="62" t="n"/>
      <c r="F439" s="232" t="n"/>
      <c r="G439" s="19" t="n"/>
      <c r="H439" s="19" t="n"/>
      <c r="I439" s="49" t="n"/>
    </row>
    <row r="440" ht="15.75" customHeight="1">
      <c r="B440" s="58" t="n"/>
      <c r="C440" s="59" t="n"/>
      <c r="D440" s="60" t="n"/>
      <c r="E440" s="59" t="n"/>
      <c r="F440" s="231" t="n"/>
      <c r="G440" s="10" t="n"/>
      <c r="H440" s="10" t="n"/>
      <c r="I440" s="37" t="n"/>
    </row>
    <row r="441" ht="15.75" customHeight="1">
      <c r="B441" s="58" t="n"/>
      <c r="C441" s="62" t="n"/>
      <c r="D441" s="63" t="n"/>
      <c r="E441" s="62" t="n"/>
      <c r="F441" s="232" t="n"/>
      <c r="G441" s="19" t="n"/>
      <c r="H441" s="19" t="n"/>
      <c r="I441" s="49" t="n"/>
    </row>
    <row r="442" ht="15.75" customHeight="1">
      <c r="B442" s="58" t="n"/>
      <c r="C442" s="59" t="n"/>
      <c r="D442" s="60" t="n"/>
      <c r="E442" s="59" t="n"/>
      <c r="F442" s="231" t="n"/>
      <c r="G442" s="10" t="n"/>
      <c r="H442" s="10" t="n"/>
      <c r="I442" s="37" t="n"/>
    </row>
    <row r="443" ht="15.75" customHeight="1">
      <c r="B443" s="58" t="n"/>
      <c r="C443" s="62" t="n"/>
      <c r="D443" s="63" t="n"/>
      <c r="E443" s="62" t="n"/>
      <c r="F443" s="232" t="n"/>
      <c r="G443" s="19" t="n"/>
      <c r="H443" s="19" t="n"/>
      <c r="I443" s="49" t="n"/>
    </row>
    <row r="444" ht="15.75" customHeight="1">
      <c r="B444" s="58" t="n"/>
      <c r="C444" s="59" t="n"/>
      <c r="D444" s="60" t="n"/>
      <c r="E444" s="59" t="n"/>
      <c r="F444" s="231" t="n"/>
      <c r="G444" s="10" t="n"/>
      <c r="H444" s="10" t="n"/>
      <c r="I444" s="37" t="n"/>
    </row>
    <row r="445" ht="15.75" customHeight="1">
      <c r="B445" s="58" t="n"/>
      <c r="C445" s="62" t="n"/>
      <c r="D445" s="63" t="n"/>
      <c r="E445" s="62" t="n"/>
      <c r="F445" s="232" t="n"/>
      <c r="G445" s="19" t="n"/>
      <c r="H445" s="19" t="n"/>
      <c r="I445" s="49" t="n"/>
    </row>
    <row r="446" ht="15.75" customHeight="1">
      <c r="B446" s="58" t="n"/>
      <c r="C446" s="59" t="n"/>
      <c r="D446" s="60" t="n"/>
      <c r="E446" s="59" t="n"/>
      <c r="F446" s="231" t="n"/>
      <c r="G446" s="10" t="n"/>
      <c r="H446" s="10" t="n"/>
      <c r="I446" s="37" t="n"/>
    </row>
    <row r="447" ht="15.75" customHeight="1">
      <c r="B447" s="58" t="n"/>
      <c r="C447" s="62" t="n"/>
      <c r="D447" s="63" t="n"/>
      <c r="E447" s="62" t="n"/>
      <c r="F447" s="232" t="n"/>
      <c r="G447" s="19" t="n"/>
      <c r="H447" s="19" t="n"/>
      <c r="I447" s="49" t="n"/>
    </row>
    <row r="448" ht="15.75" customHeight="1">
      <c r="B448" s="58" t="n"/>
      <c r="C448" s="59" t="n"/>
      <c r="D448" s="60" t="n"/>
      <c r="E448" s="59" t="n"/>
      <c r="F448" s="231" t="n"/>
      <c r="G448" s="10" t="n"/>
      <c r="H448" s="10" t="n"/>
      <c r="I448" s="37" t="n"/>
    </row>
    <row r="449" ht="15.75" customHeight="1">
      <c r="B449" s="58" t="n"/>
      <c r="C449" s="62" t="n"/>
      <c r="D449" s="63" t="n"/>
      <c r="E449" s="62" t="n"/>
      <c r="F449" s="232" t="n"/>
      <c r="G449" s="19" t="n"/>
      <c r="H449" s="19" t="n"/>
      <c r="I449" s="49" t="n"/>
    </row>
    <row r="450" ht="15.75" customHeight="1">
      <c r="B450" s="58" t="n"/>
      <c r="C450" s="59" t="n"/>
      <c r="D450" s="60" t="n"/>
      <c r="E450" s="59" t="n"/>
      <c r="F450" s="231" t="n"/>
      <c r="G450" s="10" t="n"/>
      <c r="H450" s="10" t="n"/>
      <c r="I450" s="37" t="n"/>
    </row>
    <row r="451" ht="15.75" customHeight="1">
      <c r="B451" s="58" t="n"/>
      <c r="C451" s="62" t="n"/>
      <c r="D451" s="63" t="n"/>
      <c r="E451" s="62" t="n"/>
      <c r="F451" s="232" t="n"/>
      <c r="G451" s="19" t="n"/>
      <c r="H451" s="19" t="n"/>
      <c r="I451" s="49" t="n"/>
    </row>
    <row r="452" ht="15.75" customHeight="1">
      <c r="B452" s="58" t="n"/>
      <c r="C452" s="59" t="n"/>
      <c r="D452" s="60" t="n"/>
      <c r="E452" s="59" t="n"/>
      <c r="F452" s="231" t="n"/>
      <c r="G452" s="10" t="n"/>
      <c r="H452" s="10" t="n"/>
      <c r="I452" s="37" t="n"/>
    </row>
    <row r="453" ht="15.75" customHeight="1">
      <c r="B453" s="58" t="n"/>
      <c r="C453" s="62" t="n"/>
      <c r="D453" s="63" t="n"/>
      <c r="E453" s="62" t="n"/>
      <c r="F453" s="232" t="n"/>
      <c r="G453" s="19" t="n"/>
      <c r="H453" s="19" t="n"/>
      <c r="I453" s="49" t="n"/>
    </row>
    <row r="454" ht="15.75" customHeight="1">
      <c r="B454" s="58" t="n"/>
      <c r="C454" s="59" t="n"/>
      <c r="D454" s="60" t="n"/>
      <c r="E454" s="59" t="n"/>
      <c r="F454" s="231" t="n"/>
      <c r="G454" s="10" t="n"/>
      <c r="H454" s="10" t="n"/>
      <c r="I454" s="37" t="n"/>
    </row>
    <row r="455" ht="15.75" customHeight="1">
      <c r="B455" s="58" t="n"/>
      <c r="C455" s="62" t="n"/>
      <c r="D455" s="63" t="n"/>
      <c r="E455" s="62" t="n"/>
      <c r="F455" s="232" t="n"/>
      <c r="G455" s="19" t="n"/>
      <c r="H455" s="19" t="n"/>
      <c r="I455" s="49" t="n"/>
    </row>
    <row r="456" ht="15.75" customHeight="1">
      <c r="B456" s="58" t="n"/>
      <c r="C456" s="59" t="n"/>
      <c r="D456" s="60" t="n"/>
      <c r="E456" s="59" t="n"/>
      <c r="F456" s="231" t="n"/>
      <c r="G456" s="10" t="n"/>
      <c r="H456" s="10" t="n"/>
      <c r="I456" s="37" t="n"/>
    </row>
    <row r="457" ht="15.75" customHeight="1">
      <c r="B457" s="58" t="n"/>
      <c r="C457" s="62" t="n"/>
      <c r="D457" s="63" t="n"/>
      <c r="E457" s="62" t="n"/>
      <c r="F457" s="232" t="n"/>
      <c r="G457" s="19" t="n"/>
      <c r="H457" s="19" t="n"/>
      <c r="I457" s="49" t="n"/>
    </row>
    <row r="458" ht="15.75" customHeight="1">
      <c r="B458" s="58" t="n"/>
      <c r="C458" s="59" t="n"/>
      <c r="D458" s="60" t="n"/>
      <c r="E458" s="59" t="n"/>
      <c r="F458" s="231" t="n"/>
      <c r="G458" s="10" t="n"/>
      <c r="H458" s="10" t="n"/>
      <c r="I458" s="37" t="n"/>
    </row>
    <row r="459" ht="15.75" customHeight="1">
      <c r="B459" s="58" t="n"/>
      <c r="C459" s="62" t="n"/>
      <c r="D459" s="63" t="n"/>
      <c r="E459" s="62" t="n"/>
      <c r="F459" s="232" t="n"/>
      <c r="G459" s="19" t="n"/>
      <c r="H459" s="19" t="n"/>
      <c r="I459" s="49" t="n"/>
    </row>
    <row r="460" ht="15.75" customHeight="1">
      <c r="B460" s="58" t="n"/>
      <c r="C460" s="59" t="n"/>
      <c r="D460" s="60" t="n"/>
      <c r="E460" s="59" t="n"/>
      <c r="F460" s="231" t="n"/>
      <c r="G460" s="10" t="n"/>
      <c r="H460" s="10" t="n"/>
      <c r="I460" s="37" t="n"/>
    </row>
    <row r="461" ht="15.75" customHeight="1">
      <c r="B461" s="58" t="n"/>
      <c r="C461" s="62" t="n"/>
      <c r="D461" s="63" t="n"/>
      <c r="E461" s="62" t="n"/>
      <c r="F461" s="232" t="n"/>
      <c r="G461" s="19" t="n"/>
      <c r="H461" s="19" t="n"/>
      <c r="I461" s="49" t="n"/>
    </row>
    <row r="462" ht="15.75" customHeight="1">
      <c r="B462" s="58" t="n"/>
      <c r="C462" s="59" t="n"/>
      <c r="D462" s="60" t="n"/>
      <c r="E462" s="59" t="n"/>
      <c r="F462" s="231" t="n"/>
      <c r="G462" s="10" t="n"/>
      <c r="H462" s="10" t="n"/>
      <c r="I462" s="37" t="n"/>
    </row>
    <row r="463" ht="15.75" customHeight="1">
      <c r="B463" s="58" t="n"/>
      <c r="C463" s="62" t="n"/>
      <c r="D463" s="63" t="n"/>
      <c r="E463" s="62" t="n"/>
      <c r="F463" s="232" t="n"/>
      <c r="G463" s="19" t="n"/>
      <c r="H463" s="19" t="n"/>
      <c r="I463" s="49" t="n"/>
    </row>
    <row r="464" ht="15.75" customHeight="1">
      <c r="B464" s="58" t="n"/>
      <c r="C464" s="59" t="n"/>
      <c r="D464" s="60" t="n"/>
      <c r="E464" s="59" t="n"/>
      <c r="F464" s="231" t="n"/>
      <c r="G464" s="10" t="n"/>
      <c r="H464" s="10" t="n"/>
      <c r="I464" s="37" t="n"/>
    </row>
    <row r="465" ht="15.75" customHeight="1">
      <c r="B465" s="58" t="n"/>
      <c r="C465" s="62" t="n"/>
      <c r="D465" s="63" t="n"/>
      <c r="E465" s="62" t="n"/>
      <c r="F465" s="232" t="n"/>
      <c r="G465" s="19" t="n"/>
      <c r="H465" s="19" t="n"/>
      <c r="I465" s="49" t="n"/>
    </row>
    <row r="466" ht="15.75" customHeight="1">
      <c r="B466" s="58" t="n"/>
      <c r="C466" s="59" t="n"/>
      <c r="D466" s="60" t="n"/>
      <c r="E466" s="59" t="n"/>
      <c r="F466" s="231" t="n"/>
      <c r="G466" s="10" t="n"/>
      <c r="H466" s="10" t="n"/>
      <c r="I466" s="37" t="n"/>
    </row>
    <row r="467" ht="15.75" customHeight="1">
      <c r="B467" s="58" t="n"/>
      <c r="C467" s="62" t="n"/>
      <c r="D467" s="63" t="n"/>
      <c r="E467" s="62" t="n"/>
      <c r="F467" s="232" t="n"/>
      <c r="G467" s="19" t="n"/>
      <c r="H467" s="19" t="n"/>
      <c r="I467" s="49" t="n"/>
    </row>
    <row r="468" ht="15.75" customHeight="1">
      <c r="B468" s="58" t="n"/>
      <c r="C468" s="59" t="n"/>
      <c r="D468" s="60" t="n"/>
      <c r="E468" s="59" t="n"/>
      <c r="F468" s="231" t="n"/>
      <c r="G468" s="10" t="n"/>
      <c r="H468" s="10" t="n"/>
      <c r="I468" s="37" t="n"/>
    </row>
    <row r="469" ht="15.75" customHeight="1">
      <c r="B469" s="58" t="n"/>
      <c r="C469" s="62" t="n"/>
      <c r="D469" s="63" t="n"/>
      <c r="E469" s="62" t="n"/>
      <c r="F469" s="232" t="n"/>
      <c r="G469" s="19" t="n"/>
      <c r="H469" s="19" t="n"/>
      <c r="I469" s="49" t="n"/>
    </row>
    <row r="470" ht="15.75" customHeight="1">
      <c r="B470" s="58" t="n"/>
      <c r="C470" s="59" t="n"/>
      <c r="D470" s="60" t="n"/>
      <c r="E470" s="59" t="n"/>
      <c r="F470" s="231" t="n"/>
      <c r="G470" s="10" t="n"/>
      <c r="H470" s="10" t="n"/>
      <c r="I470" s="37" t="n"/>
    </row>
    <row r="471" ht="15.75" customHeight="1">
      <c r="B471" s="58" t="n"/>
      <c r="C471" s="62" t="n"/>
      <c r="D471" s="63" t="n"/>
      <c r="E471" s="62" t="n"/>
      <c r="F471" s="232" t="n"/>
      <c r="G471" s="19" t="n"/>
      <c r="H471" s="19" t="n"/>
      <c r="I471" s="49" t="n"/>
    </row>
    <row r="472" ht="15.75" customHeight="1">
      <c r="B472" s="58" t="n"/>
      <c r="C472" s="59" t="n"/>
      <c r="D472" s="60" t="n"/>
      <c r="E472" s="59" t="n"/>
      <c r="F472" s="231" t="n"/>
      <c r="G472" s="10" t="n"/>
      <c r="H472" s="10" t="n"/>
      <c r="I472" s="37" t="n"/>
    </row>
    <row r="473" ht="15.75" customHeight="1">
      <c r="B473" s="58" t="n"/>
      <c r="C473" s="62" t="n"/>
      <c r="D473" s="63" t="n"/>
      <c r="E473" s="62" t="n"/>
      <c r="F473" s="232" t="n"/>
      <c r="G473" s="19" t="n"/>
      <c r="H473" s="19" t="n"/>
      <c r="I473" s="49" t="n"/>
    </row>
    <row r="474" ht="15.75" customHeight="1">
      <c r="B474" s="58" t="n"/>
      <c r="C474" s="59" t="n"/>
      <c r="D474" s="60" t="n"/>
      <c r="E474" s="59" t="n"/>
      <c r="F474" s="231" t="n"/>
      <c r="G474" s="10" t="n"/>
      <c r="H474" s="10" t="n"/>
      <c r="I474" s="37" t="n"/>
    </row>
    <row r="475" ht="15.75" customHeight="1">
      <c r="B475" s="58" t="n"/>
      <c r="C475" s="62" t="n"/>
      <c r="D475" s="63" t="n"/>
      <c r="E475" s="62" t="n"/>
      <c r="F475" s="232" t="n"/>
      <c r="G475" s="19" t="n"/>
      <c r="H475" s="19" t="n"/>
      <c r="I475" s="49" t="n"/>
    </row>
    <row r="476" ht="15.75" customHeight="1">
      <c r="B476" s="58" t="n"/>
      <c r="C476" s="59" t="n"/>
      <c r="D476" s="60" t="n"/>
      <c r="E476" s="59" t="n"/>
      <c r="F476" s="231" t="n"/>
      <c r="G476" s="10" t="n"/>
      <c r="H476" s="10" t="n"/>
      <c r="I476" s="37" t="n"/>
    </row>
    <row r="477" ht="15.75" customHeight="1">
      <c r="B477" s="58" t="n"/>
      <c r="C477" s="62" t="n"/>
      <c r="D477" s="63" t="n"/>
      <c r="E477" s="62" t="n"/>
      <c r="F477" s="232" t="n"/>
      <c r="G477" s="19" t="n"/>
      <c r="H477" s="19" t="n"/>
      <c r="I477" s="49" t="n"/>
    </row>
    <row r="478" ht="15.75" customHeight="1">
      <c r="B478" s="58" t="n"/>
      <c r="C478" s="59" t="n"/>
      <c r="D478" s="60" t="n"/>
      <c r="E478" s="59" t="n"/>
      <c r="F478" s="231" t="n"/>
      <c r="G478" s="10" t="n"/>
      <c r="H478" s="10" t="n"/>
      <c r="I478" s="37" t="n"/>
    </row>
    <row r="479" ht="15.75" customHeight="1">
      <c r="B479" s="58" t="n"/>
      <c r="C479" s="62" t="n"/>
      <c r="D479" s="63" t="n"/>
      <c r="E479" s="62" t="n"/>
      <c r="F479" s="232" t="n"/>
      <c r="G479" s="19" t="n"/>
      <c r="H479" s="19" t="n"/>
      <c r="I479" s="49" t="n"/>
    </row>
    <row r="480" ht="15.75" customHeight="1">
      <c r="B480" s="58" t="n"/>
      <c r="C480" s="59" t="n"/>
      <c r="D480" s="60" t="n"/>
      <c r="E480" s="59" t="n"/>
      <c r="F480" s="231" t="n"/>
      <c r="G480" s="10" t="n"/>
      <c r="H480" s="10" t="n"/>
      <c r="I480" s="37" t="n"/>
    </row>
    <row r="481" ht="15.75" customHeight="1">
      <c r="B481" s="58" t="n"/>
      <c r="C481" s="62" t="n"/>
      <c r="D481" s="63" t="n"/>
      <c r="E481" s="62" t="n"/>
      <c r="F481" s="232" t="n"/>
      <c r="G481" s="19" t="n"/>
      <c r="H481" s="19" t="n"/>
      <c r="I481" s="49" t="n"/>
    </row>
    <row r="482" ht="15.75" customHeight="1">
      <c r="B482" s="58" t="n"/>
      <c r="C482" s="59" t="n"/>
      <c r="D482" s="60" t="n"/>
      <c r="E482" s="59" t="n"/>
      <c r="F482" s="231" t="n"/>
      <c r="G482" s="10" t="n"/>
      <c r="H482" s="10" t="n"/>
      <c r="I482" s="37" t="n"/>
    </row>
    <row r="483" ht="15.75" customHeight="1">
      <c r="B483" s="58" t="n"/>
      <c r="C483" s="62" t="n"/>
      <c r="D483" s="63" t="n"/>
      <c r="E483" s="62" t="n"/>
      <c r="F483" s="232" t="n"/>
      <c r="G483" s="19" t="n"/>
      <c r="H483" s="19" t="n"/>
      <c r="I483" s="49" t="n"/>
    </row>
    <row r="484" ht="15.75" customHeight="1">
      <c r="B484" s="58" t="n"/>
      <c r="C484" s="59" t="n"/>
      <c r="D484" s="60" t="n"/>
      <c r="E484" s="59" t="n"/>
      <c r="F484" s="231" t="n"/>
      <c r="G484" s="10" t="n"/>
      <c r="H484" s="10" t="n"/>
      <c r="I484" s="37" t="n"/>
    </row>
    <row r="485" ht="15.75" customHeight="1">
      <c r="B485" s="58" t="n"/>
      <c r="C485" s="62" t="n"/>
      <c r="D485" s="63" t="n"/>
      <c r="E485" s="62" t="n"/>
      <c r="F485" s="232" t="n"/>
      <c r="G485" s="19" t="n"/>
      <c r="H485" s="19" t="n"/>
      <c r="I485" s="49" t="n"/>
    </row>
    <row r="486" ht="15.75" customHeight="1">
      <c r="B486" s="58" t="n"/>
      <c r="C486" s="59" t="n"/>
      <c r="D486" s="60" t="n"/>
      <c r="E486" s="59" t="n"/>
      <c r="F486" s="231" t="n"/>
      <c r="G486" s="10" t="n"/>
      <c r="H486" s="10" t="n"/>
      <c r="I486" s="37" t="n"/>
    </row>
    <row r="487" ht="15.75" customHeight="1">
      <c r="B487" s="58" t="n"/>
      <c r="C487" s="62" t="n"/>
      <c r="D487" s="63" t="n"/>
      <c r="E487" s="62" t="n"/>
      <c r="F487" s="232" t="n"/>
      <c r="G487" s="19" t="n"/>
      <c r="H487" s="19" t="n"/>
      <c r="I487" s="49" t="n"/>
    </row>
    <row r="488" ht="15.75" customHeight="1">
      <c r="B488" s="58" t="n"/>
      <c r="C488" s="59" t="n"/>
      <c r="D488" s="60" t="n"/>
      <c r="E488" s="59" t="n"/>
      <c r="F488" s="231" t="n"/>
      <c r="G488" s="10" t="n"/>
      <c r="H488" s="10" t="n"/>
      <c r="I488" s="37" t="n"/>
    </row>
    <row r="489" ht="15.75" customHeight="1">
      <c r="B489" s="58" t="n"/>
      <c r="C489" s="62" t="n"/>
      <c r="D489" s="63" t="n"/>
      <c r="E489" s="62" t="n"/>
      <c r="F489" s="232" t="n"/>
      <c r="G489" s="19" t="n"/>
      <c r="H489" s="19" t="n"/>
      <c r="I489" s="49" t="n"/>
    </row>
    <row r="490" ht="15.75" customHeight="1">
      <c r="B490" s="58" t="n"/>
      <c r="C490" s="59" t="n"/>
      <c r="D490" s="60" t="n"/>
      <c r="E490" s="59" t="n"/>
      <c r="F490" s="231" t="n"/>
      <c r="G490" s="10" t="n"/>
      <c r="H490" s="10" t="n"/>
      <c r="I490" s="37" t="n"/>
    </row>
    <row r="491" ht="15.75" customHeight="1">
      <c r="B491" s="58" t="n"/>
      <c r="C491" s="62" t="n"/>
      <c r="D491" s="63" t="n"/>
      <c r="E491" s="62" t="n"/>
      <c r="F491" s="232" t="n"/>
      <c r="G491" s="19" t="n"/>
      <c r="H491" s="19" t="n"/>
      <c r="I491" s="49" t="n"/>
    </row>
    <row r="492" ht="15.75" customHeight="1">
      <c r="B492" s="58" t="n"/>
      <c r="C492" s="59" t="n"/>
      <c r="D492" s="60" t="n"/>
      <c r="E492" s="59" t="n"/>
      <c r="F492" s="231" t="n"/>
      <c r="G492" s="10" t="n"/>
      <c r="H492" s="10" t="n"/>
      <c r="I492" s="37" t="n"/>
    </row>
    <row r="493" ht="15.75" customHeight="1">
      <c r="B493" s="58" t="n"/>
      <c r="C493" s="62" t="n"/>
      <c r="D493" s="63" t="n"/>
      <c r="E493" s="62" t="n"/>
      <c r="F493" s="232" t="n"/>
      <c r="G493" s="19" t="n"/>
      <c r="H493" s="19" t="n"/>
      <c r="I493" s="49" t="n"/>
    </row>
    <row r="494" ht="15.75" customHeight="1">
      <c r="B494" s="58" t="n"/>
      <c r="C494" s="59" t="n"/>
      <c r="D494" s="60" t="n"/>
      <c r="E494" s="59" t="n"/>
      <c r="F494" s="231" t="n"/>
      <c r="G494" s="10" t="n"/>
      <c r="H494" s="10" t="n"/>
      <c r="I494" s="37" t="n"/>
    </row>
    <row r="495" ht="15.75" customHeight="1">
      <c r="B495" s="58" t="n"/>
      <c r="C495" s="62" t="n"/>
      <c r="D495" s="63" t="n"/>
      <c r="E495" s="62" t="n"/>
      <c r="F495" s="232" t="n"/>
      <c r="G495" s="19" t="n"/>
      <c r="H495" s="19" t="n"/>
      <c r="I495" s="49" t="n"/>
    </row>
    <row r="496" ht="15.75" customHeight="1">
      <c r="B496" s="58" t="n"/>
      <c r="C496" s="59" t="n"/>
      <c r="D496" s="60" t="n"/>
      <c r="E496" s="59" t="n"/>
      <c r="F496" s="231" t="n"/>
      <c r="G496" s="10" t="n"/>
      <c r="H496" s="10" t="n"/>
      <c r="I496" s="37" t="n"/>
    </row>
    <row r="497" ht="15.75" customHeight="1">
      <c r="B497" s="58" t="n"/>
      <c r="C497" s="62" t="n"/>
      <c r="D497" s="63" t="n"/>
      <c r="E497" s="62" t="n"/>
      <c r="F497" s="232" t="n"/>
      <c r="G497" s="19" t="n"/>
      <c r="H497" s="19" t="n"/>
      <c r="I497" s="49" t="n"/>
    </row>
    <row r="498" ht="15.75" customHeight="1">
      <c r="B498" s="58" t="n"/>
      <c r="C498" s="59" t="n"/>
      <c r="D498" s="60" t="n"/>
      <c r="E498" s="59" t="n"/>
      <c r="F498" s="231" t="n"/>
      <c r="G498" s="10" t="n"/>
      <c r="H498" s="10" t="n"/>
      <c r="I498" s="37" t="n"/>
    </row>
    <row r="499" ht="15.75" customHeight="1">
      <c r="B499" s="58" t="n"/>
      <c r="C499" s="62" t="n"/>
      <c r="D499" s="63" t="n"/>
      <c r="E499" s="62" t="n"/>
      <c r="F499" s="232" t="n"/>
      <c r="G499" s="19" t="n"/>
      <c r="H499" s="19" t="n"/>
      <c r="I499" s="49" t="n"/>
    </row>
    <row r="500" ht="15.75" customHeight="1">
      <c r="B500" s="58" t="n"/>
      <c r="C500" s="59" t="n"/>
      <c r="D500" s="60" t="n"/>
      <c r="E500" s="59" t="n"/>
      <c r="F500" s="231" t="n"/>
      <c r="G500" s="10" t="n"/>
      <c r="H500" s="10" t="n"/>
      <c r="I500" s="37" t="n"/>
    </row>
    <row r="501" ht="15.75" customHeight="1">
      <c r="B501" s="58" t="n"/>
      <c r="C501" s="62" t="n"/>
      <c r="D501" s="63" t="n"/>
      <c r="E501" s="62" t="n"/>
      <c r="F501" s="232" t="n"/>
      <c r="G501" s="19" t="n"/>
      <c r="H501" s="19" t="n"/>
      <c r="I501" s="49" t="n"/>
    </row>
    <row r="502" ht="15.75" customHeight="1">
      <c r="B502" s="58" t="n"/>
      <c r="C502" s="59" t="n"/>
      <c r="D502" s="60" t="n"/>
      <c r="E502" s="59" t="n"/>
      <c r="F502" s="231" t="n"/>
      <c r="G502" s="10" t="n"/>
      <c r="H502" s="10" t="n"/>
      <c r="I502" s="37" t="n"/>
    </row>
    <row r="503" ht="15.75" customHeight="1">
      <c r="B503" s="58" t="n"/>
      <c r="C503" s="62" t="n"/>
      <c r="D503" s="63" t="n"/>
      <c r="E503" s="62" t="n"/>
      <c r="F503" s="232" t="n"/>
      <c r="G503" s="19" t="n"/>
      <c r="H503" s="19" t="n"/>
      <c r="I503" s="49" t="n"/>
    </row>
    <row r="504" ht="15.75" customHeight="1">
      <c r="B504" s="58" t="n"/>
      <c r="C504" s="59" t="n"/>
      <c r="D504" s="60" t="n"/>
      <c r="E504" s="59" t="n"/>
      <c r="F504" s="231" t="n"/>
      <c r="G504" s="10" t="n"/>
      <c r="H504" s="10" t="n"/>
      <c r="I504" s="37" t="n"/>
    </row>
    <row r="505" ht="15.75" customHeight="1">
      <c r="B505" s="58" t="n"/>
      <c r="C505" s="62" t="n"/>
      <c r="D505" s="63" t="n"/>
      <c r="E505" s="62" t="n"/>
      <c r="F505" s="232" t="n"/>
      <c r="G505" s="19" t="n"/>
      <c r="H505" s="19" t="n"/>
      <c r="I505" s="49" t="n"/>
    </row>
    <row r="506" ht="15.75" customHeight="1">
      <c r="B506" s="58" t="n"/>
      <c r="C506" s="59" t="n"/>
      <c r="D506" s="60" t="n"/>
      <c r="E506" s="59" t="n"/>
      <c r="F506" s="231" t="n"/>
      <c r="G506" s="10" t="n"/>
      <c r="H506" s="10" t="n"/>
      <c r="I506" s="37" t="n"/>
    </row>
    <row r="507" ht="15.75" customHeight="1">
      <c r="B507" s="58" t="n"/>
      <c r="C507" s="62" t="n"/>
      <c r="D507" s="63" t="n"/>
      <c r="E507" s="62" t="n"/>
      <c r="F507" s="232" t="n"/>
      <c r="G507" s="19" t="n"/>
      <c r="H507" s="19" t="n"/>
      <c r="I507" s="49" t="n"/>
    </row>
    <row r="508" ht="15.75" customHeight="1">
      <c r="B508" s="58" t="n"/>
      <c r="C508" s="59" t="n"/>
      <c r="D508" s="60" t="n"/>
      <c r="E508" s="59" t="n"/>
      <c r="F508" s="231" t="n"/>
      <c r="G508" s="10" t="n"/>
      <c r="H508" s="10" t="n"/>
      <c r="I508" s="37" t="n"/>
    </row>
    <row r="509" ht="15.75" customHeight="1">
      <c r="B509" s="58" t="n"/>
      <c r="C509" s="62" t="n"/>
      <c r="D509" s="63" t="n"/>
      <c r="E509" s="62" t="n"/>
      <c r="F509" s="232" t="n"/>
      <c r="G509" s="19" t="n"/>
      <c r="H509" s="19" t="n"/>
      <c r="I509" s="49" t="n"/>
    </row>
  </sheetData>
  <mergeCells count="4">
    <mergeCell ref="A2:D2"/>
    <mergeCell ref="E2:I2"/>
    <mergeCell ref="A3:I3"/>
    <mergeCell ref="B8:I8"/>
  </mergeCells>
  <conditionalFormatting sqref="C10:C508">
    <cfRule type="expression" priority="2" dxfId="2">
      <formula>C10="Ingredients"</formula>
    </cfRule>
    <cfRule type="expression" priority="3" dxfId="10">
      <formula>C10="Staff"</formula>
    </cfRule>
    <cfRule type="expression" priority="4" dxfId="0">
      <formula>C10="Utilities"</formula>
    </cfRule>
    <cfRule type="expression" priority="5" dxfId="8">
      <formula>C10="Rent"</formula>
    </cfRule>
    <cfRule type="expression" priority="6" dxfId="7">
      <formula>C10="Supplies"</formula>
    </cfRule>
  </conditionalFormatting>
  <dataValidations count="1">
    <dataValidation sqref="C10:C508" showErrorMessage="1" showInput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67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/>
  <cols>
    <col width="4" customWidth="1" min="1" max="1"/>
    <col width="26" customWidth="1" min="2" max="2"/>
    <col width="16" customWidth="1" min="3" max="3"/>
    <col width="10" customWidth="1" min="4" max="4"/>
    <col width="14" customWidth="1" min="5" max="5"/>
    <col width="12" customWidth="1" min="6" max="7"/>
    <col width="14" customWidth="1" min="8" max="8"/>
    <col width="16" customWidth="1" min="9" max="9"/>
    <col width="20" customWidth="1" min="10" max="10"/>
    <col width="18" customWidth="1" min="11" max="11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7.5" customHeight="1">
      <c r="A2" s="141" t="inlineStr">
        <is>
          <t>📦  LOKA — INVENTORY</t>
        </is>
      </c>
      <c r="F2" s="142" t="inlineStr">
        <is>
          <t>Update stock levels when you receive deliveries or do stock checks</t>
        </is>
      </c>
    </row>
    <row r="3" ht="3.75" customHeight="1">
      <c r="A3" s="143" t="n"/>
    </row>
    <row r="4" ht="7.5" customHeight="1"/>
    <row r="5" ht="18" customHeight="1">
      <c r="B5" s="53" t="inlineStr">
        <is>
          <t>TOTAL ITEMS</t>
        </is>
      </c>
      <c r="D5" s="53" t="inlineStr">
        <is>
          <t>⚠️ LOW STOCK</t>
        </is>
      </c>
      <c r="E5" s="53" t="inlineStr">
        <is>
          <t>LOW STOCK #</t>
        </is>
      </c>
      <c r="F5" s="53" t="inlineStr">
        <is>
          <t>🚫 OUT OF STOCK</t>
        </is>
      </c>
      <c r="H5" s="53" t="inlineStr">
        <is>
          <t>ALERT COUNT</t>
        </is>
      </c>
      <c r="J5" s="53" t="inlineStr">
        <is>
          <t>LAST UPDATED</t>
        </is>
      </c>
    </row>
    <row r="6" ht="25.5" customHeight="1">
      <c r="B6" s="239">
        <f>COUNTA(B9:B200)</f>
        <v/>
      </c>
      <c r="D6" s="240">
        <f>COUNTIF(J9:J200,"⚠️ LOW STOCK")</f>
        <v/>
      </c>
      <c r="E6" s="240">
        <f>COUNTIF(J9:J200,"⚠️ LOW STOCK")+COUNTIF(J9:J200,"🚫 OUT OF STOCK")</f>
        <v/>
      </c>
      <c r="F6" s="241">
        <f>COUNTIF(J9:J200,"🚫 OUT OF STOCK")</f>
        <v/>
      </c>
      <c r="H6" s="241">
        <f>COUNTIF(J9:J200,"⚠️ LOW STOCK")+COUNTIF(J9:J200,"🚫 OUT OF STOCK")</f>
        <v/>
      </c>
      <c r="J6" s="68">
        <f>TODAY()</f>
        <v/>
      </c>
    </row>
    <row r="7" ht="7.5" customHeight="1"/>
    <row r="8" ht="19.5" customHeight="1">
      <c r="B8" s="144" t="inlineStr">
        <is>
          <t>📌  Update the BLUE 'Current Stock' column when you receive deliveries or do a stock count. Status column updates automatically.</t>
        </is>
      </c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</row>
    <row r="9" ht="27.75" customHeight="1">
      <c r="B9" s="160" t="inlineStr">
        <is>
          <t>Ingredient</t>
        </is>
      </c>
      <c r="C9" s="160" t="inlineStr">
        <is>
          <t>Category</t>
        </is>
      </c>
      <c r="D9" s="160" t="inlineStr">
        <is>
          <t>Unit</t>
        </is>
      </c>
      <c r="E9" s="160" t="inlineStr">
        <is>
          <t>Current Stock</t>
        </is>
      </c>
      <c r="F9" s="160" t="inlineStr">
        <is>
          <t>Min Level</t>
        </is>
      </c>
      <c r="G9" s="160" t="inlineStr">
        <is>
          <t>Cost/Unit ($)</t>
        </is>
      </c>
      <c r="H9" s="160" t="inlineStr">
        <is>
          <t>Reorder Qty</t>
        </is>
      </c>
      <c r="I9" s="160" t="inlineStr">
        <is>
          <t>Stock Value ($)</t>
        </is>
      </c>
      <c r="J9" s="160" t="inlineStr">
        <is>
          <t>Status</t>
        </is>
      </c>
      <c r="K9" s="160" t="inlineStr">
        <is>
          <t>Supplier / Notes</t>
        </is>
      </c>
    </row>
    <row r="10" ht="15.75" customHeight="1">
      <c r="B10" s="69" t="inlineStr">
        <is>
          <t>Tortillas Blanco</t>
        </is>
      </c>
      <c r="C10" s="155" t="inlineStr">
        <is>
          <t>Grains</t>
        </is>
      </c>
      <c r="D10" s="10" t="inlineStr">
        <is>
          <t>pcs</t>
        </is>
      </c>
      <c r="E10" s="242" t="n">
        <v>200</v>
      </c>
      <c r="F10" s="243" t="n">
        <v>100</v>
      </c>
      <c r="G10" s="244" t="n">
        <v>1.5</v>
      </c>
      <c r="H10" s="243" t="n">
        <v>200</v>
      </c>
      <c r="I10" s="245">
        <f>E10*G10</f>
        <v/>
      </c>
      <c r="J10" s="74">
        <f>IF(E10=0,"🚫 OUT OF STOCK",IF(E10&lt;=F10,"⚠️ LOW STOCK","✅ OK"))</f>
        <v/>
      </c>
      <c r="K10" s="75" t="n"/>
    </row>
    <row r="11" ht="15.75" customHeight="1">
      <c r="B11" s="76" t="inlineStr">
        <is>
          <t>Tortillas de Trigo</t>
        </is>
      </c>
      <c r="C11" s="156" t="inlineStr">
        <is>
          <t>Grains</t>
        </is>
      </c>
      <c r="D11" s="19" t="inlineStr">
        <is>
          <t>pcs</t>
        </is>
      </c>
      <c r="E11" s="246" t="n">
        <v>100</v>
      </c>
      <c r="F11" s="247" t="n">
        <v>50</v>
      </c>
      <c r="G11" s="248" t="n">
        <v>2</v>
      </c>
      <c r="H11" s="247" t="n">
        <v>100</v>
      </c>
      <c r="I11" s="249">
        <f>E11*G11</f>
        <v/>
      </c>
      <c r="J11" s="81">
        <f>IF(E11=0,"🚫 OUT OF STOCK",IF(E11&lt;=F11,"⚠️ LOW STOCK","✅ OK"))</f>
        <v/>
      </c>
      <c r="K11" s="82" t="n"/>
    </row>
    <row r="12" ht="15.75" customHeight="1">
      <c r="B12" s="69" t="inlineStr">
        <is>
          <t>Pan Artesanal Masa Madre</t>
        </is>
      </c>
      <c r="C12" s="155" t="inlineStr">
        <is>
          <t>Bakery</t>
        </is>
      </c>
      <c r="D12" s="10" t="inlineStr">
        <is>
          <t>pcs</t>
        </is>
      </c>
      <c r="E12" s="242" t="n">
        <v>30</v>
      </c>
      <c r="F12" s="243" t="n">
        <v>15</v>
      </c>
      <c r="G12" s="244" t="n">
        <v>18</v>
      </c>
      <c r="H12" s="243" t="n">
        <v>30</v>
      </c>
      <c r="I12" s="245">
        <f>E12*G12</f>
        <v/>
      </c>
      <c r="J12" s="74">
        <f>IF(E12=0,"🚫 OUT OF STOCK",IF(E12&lt;=F12,"⚠️ LOW STOCK","✅ OK"))</f>
        <v/>
      </c>
      <c r="K12" s="75" t="n"/>
    </row>
    <row r="13" ht="15.75" customHeight="1">
      <c r="B13" s="76" t="inlineStr">
        <is>
          <t>Pan Suave Hamburguesa</t>
        </is>
      </c>
      <c r="C13" s="156" t="inlineStr">
        <is>
          <t>Bakery</t>
        </is>
      </c>
      <c r="D13" s="19" t="inlineStr">
        <is>
          <t>pcs</t>
        </is>
      </c>
      <c r="E13" s="246" t="n">
        <v>40</v>
      </c>
      <c r="F13" s="247" t="n">
        <v>20</v>
      </c>
      <c r="G13" s="248" t="n">
        <v>8</v>
      </c>
      <c r="H13" s="247" t="n">
        <v>40</v>
      </c>
      <c r="I13" s="249">
        <f>E13*G13</f>
        <v/>
      </c>
      <c r="J13" s="81">
        <f>IF(E13=0,"🚫 OUT OF STOCK",IF(E13&lt;=F13,"⚠️ LOW STOCK","✅ OK"))</f>
        <v/>
      </c>
      <c r="K13" s="82" t="n"/>
    </row>
    <row r="14" ht="15.75" customHeight="1">
      <c r="B14" s="69" t="inlineStr">
        <is>
          <t>Chapata Artesanal</t>
        </is>
      </c>
      <c r="C14" s="155" t="inlineStr">
        <is>
          <t>Bakery</t>
        </is>
      </c>
      <c r="D14" s="10" t="inlineStr">
        <is>
          <t>pcs</t>
        </is>
      </c>
      <c r="E14" s="242" t="n">
        <v>25</v>
      </c>
      <c r="F14" s="243" t="n">
        <v>10</v>
      </c>
      <c r="G14" s="244" t="n">
        <v>20</v>
      </c>
      <c r="H14" s="243" t="n">
        <v>25</v>
      </c>
      <c r="I14" s="245">
        <f>E14*G14</f>
        <v/>
      </c>
      <c r="J14" s="74">
        <f>IF(E14=0,"🚫 OUT OF STOCK",IF(E14&lt;=F14,"⚠️ LOW STOCK","✅ OK"))</f>
        <v/>
      </c>
      <c r="K14" s="75" t="n"/>
    </row>
    <row r="15" ht="15.75" customHeight="1">
      <c r="B15" s="76" t="inlineStr">
        <is>
          <t>Hot Cake / Waffle Mix</t>
        </is>
      </c>
      <c r="C15" s="156" t="inlineStr">
        <is>
          <t>Bakery</t>
        </is>
      </c>
      <c r="D15" s="19" t="inlineStr">
        <is>
          <t>kg</t>
        </is>
      </c>
      <c r="E15" s="246" t="n">
        <v>3</v>
      </c>
      <c r="F15" s="247" t="n">
        <v>1</v>
      </c>
      <c r="G15" s="248" t="n">
        <v>45</v>
      </c>
      <c r="H15" s="247" t="n">
        <v>5</v>
      </c>
      <c r="I15" s="249">
        <f>E15*G15</f>
        <v/>
      </c>
      <c r="J15" s="81">
        <f>IF(E15=0,"🚫 OUT OF STOCK",IF(E15&lt;=F15,"⚠️ LOW STOCK","✅ OK"))</f>
        <v/>
      </c>
      <c r="K15" s="82" t="n"/>
    </row>
    <row r="16" ht="15.75" customHeight="1">
      <c r="B16" s="69" t="inlineStr">
        <is>
          <t>Pechuga de Pollo</t>
        </is>
      </c>
      <c r="C16" s="155" t="inlineStr">
        <is>
          <t>Protein</t>
        </is>
      </c>
      <c r="D16" s="10" t="inlineStr">
        <is>
          <t>kg</t>
        </is>
      </c>
      <c r="E16" s="242" t="n">
        <v>8</v>
      </c>
      <c r="F16" s="243" t="n">
        <v>3</v>
      </c>
      <c r="G16" s="244" t="n">
        <v>85</v>
      </c>
      <c r="H16" s="243" t="n">
        <v>10</v>
      </c>
      <c r="I16" s="245">
        <f>E16*G16</f>
        <v/>
      </c>
      <c r="J16" s="74">
        <f>IF(E16=0,"🚫 OUT OF STOCK",IF(E16&lt;=F16,"⚠️ LOW STOCK","✅ OK"))</f>
        <v/>
      </c>
      <c r="K16" s="75" t="n"/>
    </row>
    <row r="17" ht="15.75" customHeight="1">
      <c r="B17" s="76" t="inlineStr">
        <is>
          <t>Carne de Res (Hamburguesa)</t>
        </is>
      </c>
      <c r="C17" s="156" t="inlineStr">
        <is>
          <t>Protein</t>
        </is>
      </c>
      <c r="D17" s="19" t="inlineStr">
        <is>
          <t>kg</t>
        </is>
      </c>
      <c r="E17" s="246" t="n">
        <v>5</v>
      </c>
      <c r="F17" s="247" t="n">
        <v>2</v>
      </c>
      <c r="G17" s="248" t="n">
        <v>130</v>
      </c>
      <c r="H17" s="247" t="n">
        <v>8</v>
      </c>
      <c r="I17" s="249">
        <f>E17*G17</f>
        <v/>
      </c>
      <c r="J17" s="81">
        <f>IF(E17=0,"🚫 OUT OF STOCK",IF(E17&lt;=F17,"⚠️ LOW STOCK","✅ OK"))</f>
        <v/>
      </c>
      <c r="K17" s="82" t="n"/>
    </row>
    <row r="18" ht="15.75" customHeight="1">
      <c r="B18" s="69" t="inlineStr">
        <is>
          <t>Arrachera</t>
        </is>
      </c>
      <c r="C18" s="155" t="inlineStr">
        <is>
          <t>Protein</t>
        </is>
      </c>
      <c r="D18" s="10" t="inlineStr">
        <is>
          <t>kg</t>
        </is>
      </c>
      <c r="E18" s="242" t="n">
        <v>3</v>
      </c>
      <c r="F18" s="243" t="n">
        <v>1</v>
      </c>
      <c r="G18" s="244" t="n">
        <v>160</v>
      </c>
      <c r="H18" s="243" t="n">
        <v>5</v>
      </c>
      <c r="I18" s="245">
        <f>E18*G18</f>
        <v/>
      </c>
      <c r="J18" s="74">
        <f>IF(E18=0,"🚫 OUT OF STOCK",IF(E18&lt;=F18,"⚠️ LOW STOCK","✅ OK"))</f>
        <v/>
      </c>
      <c r="K18" s="75" t="n"/>
    </row>
    <row r="19" ht="15.75" customHeight="1">
      <c r="B19" s="76" t="inlineStr">
        <is>
          <t>Bistec de Res</t>
        </is>
      </c>
      <c r="C19" s="156" t="inlineStr">
        <is>
          <t>Protein</t>
        </is>
      </c>
      <c r="D19" s="19" t="inlineStr">
        <is>
          <t>kg</t>
        </is>
      </c>
      <c r="E19" s="246" t="n">
        <v>4</v>
      </c>
      <c r="F19" s="247" t="n">
        <v>2</v>
      </c>
      <c r="G19" s="248" t="n">
        <v>120</v>
      </c>
      <c r="H19" s="247" t="n">
        <v>6</v>
      </c>
      <c r="I19" s="249">
        <f>E19*G19</f>
        <v/>
      </c>
      <c r="J19" s="81">
        <f>IF(E19=0,"🚫 OUT OF STOCK",IF(E19&lt;=F19,"⚠️ LOW STOCK","✅ OK"))</f>
        <v/>
      </c>
      <c r="K19" s="82" t="n"/>
    </row>
    <row r="20" ht="15.75" customHeight="1">
      <c r="B20" s="69" t="inlineStr">
        <is>
          <t>Tocino</t>
        </is>
      </c>
      <c r="C20" s="155" t="inlineStr">
        <is>
          <t>Protein</t>
        </is>
      </c>
      <c r="D20" s="10" t="inlineStr">
        <is>
          <t>kg</t>
        </is>
      </c>
      <c r="E20" s="242" t="n">
        <v>2</v>
      </c>
      <c r="F20" s="243" t="n">
        <v>1</v>
      </c>
      <c r="G20" s="244" t="n">
        <v>95</v>
      </c>
      <c r="H20" s="243" t="n">
        <v>3</v>
      </c>
      <c r="I20" s="245">
        <f>E20*G20</f>
        <v/>
      </c>
      <c r="J20" s="74">
        <f>IF(E20=0,"🚫 OUT OF STOCK",IF(E20&lt;=F20,"⚠️ LOW STOCK","✅ OK"))</f>
        <v/>
      </c>
      <c r="K20" s="75" t="n"/>
    </row>
    <row r="21" ht="15.75" customHeight="1">
      <c r="B21" s="76" t="inlineStr">
        <is>
          <t>Jamon de Pavo</t>
        </is>
      </c>
      <c r="C21" s="156" t="inlineStr">
        <is>
          <t>Protein</t>
        </is>
      </c>
      <c r="D21" s="19" t="inlineStr">
        <is>
          <t>kg</t>
        </is>
      </c>
      <c r="E21" s="246" t="n">
        <v>2</v>
      </c>
      <c r="F21" s="247" t="n">
        <v>1</v>
      </c>
      <c r="G21" s="248" t="n">
        <v>80</v>
      </c>
      <c r="H21" s="247" t="n">
        <v>3</v>
      </c>
      <c r="I21" s="249">
        <f>E21*G21</f>
        <v/>
      </c>
      <c r="J21" s="81">
        <f>IF(E21=0,"🚫 OUT OF STOCK",IF(E21&lt;=F21,"⚠️ LOW STOCK","✅ OK"))</f>
        <v/>
      </c>
      <c r="K21" s="82" t="n"/>
    </row>
    <row r="22" ht="15.75" customHeight="1">
      <c r="B22" s="69" t="inlineStr">
        <is>
          <t>Jamon Serrano</t>
        </is>
      </c>
      <c r="C22" s="155" t="inlineStr">
        <is>
          <t>Protein</t>
        </is>
      </c>
      <c r="D22" s="10" t="inlineStr">
        <is>
          <t>kg</t>
        </is>
      </c>
      <c r="E22" s="242" t="n">
        <v>1</v>
      </c>
      <c r="F22" s="243" t="n">
        <v>0.5</v>
      </c>
      <c r="G22" s="244" t="n">
        <v>220</v>
      </c>
      <c r="H22" s="243" t="n">
        <v>2</v>
      </c>
      <c r="I22" s="245">
        <f>E22*G22</f>
        <v/>
      </c>
      <c r="J22" s="74">
        <f>IF(E22=0,"🚫 OUT OF STOCK",IF(E22&lt;=F22,"⚠️ LOW STOCK","✅ OK"))</f>
        <v/>
      </c>
      <c r="K22" s="75" t="n"/>
    </row>
    <row r="23" ht="15.75" customHeight="1">
      <c r="B23" s="76" t="inlineStr">
        <is>
          <t>Salmon (filete)</t>
        </is>
      </c>
      <c r="C23" s="156" t="inlineStr">
        <is>
          <t>Protein</t>
        </is>
      </c>
      <c r="D23" s="19" t="inlineStr">
        <is>
          <t>kg</t>
        </is>
      </c>
      <c r="E23" s="246" t="n">
        <v>2</v>
      </c>
      <c r="F23" s="247" t="n">
        <v>1</v>
      </c>
      <c r="G23" s="248" t="n">
        <v>280</v>
      </c>
      <c r="H23" s="247" t="n">
        <v>3</v>
      </c>
      <c r="I23" s="249">
        <f>E23*G23</f>
        <v/>
      </c>
      <c r="J23" s="81">
        <f>IF(E23=0,"🚫 OUT OF STOCK",IF(E23&lt;=F23,"⚠️ LOW STOCK","✅ OK"))</f>
        <v/>
      </c>
      <c r="K23" s="82" t="n"/>
    </row>
    <row r="24" ht="15.75" customHeight="1">
      <c r="B24" s="69" t="inlineStr">
        <is>
          <t>Atun (lata)</t>
        </is>
      </c>
      <c r="C24" s="155" t="inlineStr">
        <is>
          <t>Protein</t>
        </is>
      </c>
      <c r="D24" s="10" t="inlineStr">
        <is>
          <t>lata</t>
        </is>
      </c>
      <c r="E24" s="242" t="n">
        <v>20</v>
      </c>
      <c r="F24" s="243" t="n">
        <v>10</v>
      </c>
      <c r="G24" s="244" t="n">
        <v>28</v>
      </c>
      <c r="H24" s="243" t="n">
        <v>20</v>
      </c>
      <c r="I24" s="245">
        <f>E24*G24</f>
        <v/>
      </c>
      <c r="J24" s="74">
        <f>IF(E24=0,"🚫 OUT OF STOCK",IF(E24&lt;=F24,"⚠️ LOW STOCK","✅ OK"))</f>
        <v/>
      </c>
      <c r="K24" s="75" t="n"/>
    </row>
    <row r="25" ht="15.75" customHeight="1">
      <c r="B25" s="76" t="inlineStr">
        <is>
          <t>Chorizo</t>
        </is>
      </c>
      <c r="C25" s="156" t="inlineStr">
        <is>
          <t>Protein</t>
        </is>
      </c>
      <c r="D25" s="19" t="inlineStr">
        <is>
          <t>kg</t>
        </is>
      </c>
      <c r="E25" s="246" t="n">
        <v>1.5</v>
      </c>
      <c r="F25" s="247" t="n">
        <v>0.5</v>
      </c>
      <c r="G25" s="248" t="n">
        <v>95</v>
      </c>
      <c r="H25" s="247" t="n">
        <v>2</v>
      </c>
      <c r="I25" s="249">
        <f>E25*G25</f>
        <v/>
      </c>
      <c r="J25" s="81">
        <f>IF(E25=0,"🚫 OUT OF STOCK",IF(E25&lt;=F25,"⚠️ LOW STOCK","✅ OK"))</f>
        <v/>
      </c>
      <c r="K25" s="82" t="n"/>
    </row>
    <row r="26" ht="15.75" customHeight="1">
      <c r="B26" s="69" t="inlineStr">
        <is>
          <t>Huevos Organicos</t>
        </is>
      </c>
      <c r="C26" s="155" t="inlineStr">
        <is>
          <t>Dairy &amp; Eggs</t>
        </is>
      </c>
      <c r="D26" s="10" t="inlineStr">
        <is>
          <t>pcs</t>
        </is>
      </c>
      <c r="E26" s="242" t="n">
        <v>120</v>
      </c>
      <c r="F26" s="243" t="n">
        <v>60</v>
      </c>
      <c r="G26" s="244" t="n">
        <v>3.5</v>
      </c>
      <c r="H26" s="243" t="n">
        <v>120</v>
      </c>
      <c r="I26" s="245">
        <f>E26*G26</f>
        <v/>
      </c>
      <c r="J26" s="74">
        <f>IF(E26=0,"🚫 OUT OF STOCK",IF(E26&lt;=F26,"⚠️ LOW STOCK","✅ OK"))</f>
        <v/>
      </c>
      <c r="K26" s="75" t="n"/>
    </row>
    <row r="27" ht="15.75" customHeight="1">
      <c r="B27" s="76" t="inlineStr">
        <is>
          <t>Leche Entera</t>
        </is>
      </c>
      <c r="C27" s="156" t="inlineStr">
        <is>
          <t>Dairy &amp; Eggs</t>
        </is>
      </c>
      <c r="D27" s="19" t="inlineStr">
        <is>
          <t>lt</t>
        </is>
      </c>
      <c r="E27" s="246" t="n">
        <v>10</v>
      </c>
      <c r="F27" s="247" t="n">
        <v>5</v>
      </c>
      <c r="G27" s="248" t="n">
        <v>22</v>
      </c>
      <c r="H27" s="247" t="n">
        <v>10</v>
      </c>
      <c r="I27" s="249">
        <f>E27*G27</f>
        <v/>
      </c>
      <c r="J27" s="81">
        <f>IF(E27=0,"🚫 OUT OF STOCK",IF(E27&lt;=F27,"⚠️ LOW STOCK","✅ OK"))</f>
        <v/>
      </c>
      <c r="K27" s="82" t="n"/>
    </row>
    <row r="28" ht="15.75" customHeight="1">
      <c r="B28" s="69" t="inlineStr">
        <is>
          <t>Leche Deslactosada</t>
        </is>
      </c>
      <c r="C28" s="155" t="inlineStr">
        <is>
          <t>Dairy &amp; Eggs</t>
        </is>
      </c>
      <c r="D28" s="10" t="inlineStr">
        <is>
          <t>lt</t>
        </is>
      </c>
      <c r="E28" s="242" t="n">
        <v>5</v>
      </c>
      <c r="F28" s="243" t="n">
        <v>2</v>
      </c>
      <c r="G28" s="244" t="n">
        <v>26</v>
      </c>
      <c r="H28" s="243" t="n">
        <v>6</v>
      </c>
      <c r="I28" s="245">
        <f>E28*G28</f>
        <v/>
      </c>
      <c r="J28" s="74">
        <f>IF(E28=0,"🚫 OUT OF STOCK",IF(E28&lt;=F28,"⚠️ LOW STOCK","✅ OK"))</f>
        <v/>
      </c>
      <c r="K28" s="75" t="n"/>
    </row>
    <row r="29" ht="15.75" customHeight="1">
      <c r="B29" s="76" t="inlineStr">
        <is>
          <t>Leche de Coco</t>
        </is>
      </c>
      <c r="C29" s="156" t="inlineStr">
        <is>
          <t>Dairy &amp; Eggs</t>
        </is>
      </c>
      <c r="D29" s="19" t="inlineStr">
        <is>
          <t>lt</t>
        </is>
      </c>
      <c r="E29" s="246" t="n">
        <v>3</v>
      </c>
      <c r="F29" s="247" t="n">
        <v>1</v>
      </c>
      <c r="G29" s="248" t="n">
        <v>55</v>
      </c>
      <c r="H29" s="247" t="n">
        <v>4</v>
      </c>
      <c r="I29" s="249">
        <f>E29*G29</f>
        <v/>
      </c>
      <c r="J29" s="81">
        <f>IF(E29=0,"🚫 OUT OF STOCK",IF(E29&lt;=F29,"⚠️ LOW STOCK","✅ OK"))</f>
        <v/>
      </c>
      <c r="K29" s="82" t="n"/>
    </row>
    <row r="30" ht="15.75" customHeight="1">
      <c r="B30" s="69" t="inlineStr">
        <is>
          <t>Leche de Almendra</t>
        </is>
      </c>
      <c r="C30" s="155" t="inlineStr">
        <is>
          <t>Dairy &amp; Eggs</t>
        </is>
      </c>
      <c r="D30" s="10" t="inlineStr">
        <is>
          <t>lt</t>
        </is>
      </c>
      <c r="E30" s="242" t="n">
        <v>3</v>
      </c>
      <c r="F30" s="243" t="n">
        <v>1</v>
      </c>
      <c r="G30" s="244" t="n">
        <v>60</v>
      </c>
      <c r="H30" s="243" t="n">
        <v>4</v>
      </c>
      <c r="I30" s="245">
        <f>E30*G30</f>
        <v/>
      </c>
      <c r="J30" s="74">
        <f>IF(E30=0,"🚫 OUT OF STOCK",IF(E30&lt;=F30,"⚠️ LOW STOCK","✅ OK"))</f>
        <v/>
      </c>
      <c r="K30" s="75" t="n"/>
    </row>
    <row r="31" ht="15.75" customHeight="1">
      <c r="B31" s="76" t="inlineStr">
        <is>
          <t>Crema</t>
        </is>
      </c>
      <c r="C31" s="156" t="inlineStr">
        <is>
          <t>Dairy &amp; Eggs</t>
        </is>
      </c>
      <c r="D31" s="19" t="inlineStr">
        <is>
          <t>lt</t>
        </is>
      </c>
      <c r="E31" s="246" t="n">
        <v>3</v>
      </c>
      <c r="F31" s="247" t="n">
        <v>1</v>
      </c>
      <c r="G31" s="248" t="n">
        <v>38</v>
      </c>
      <c r="H31" s="247" t="n">
        <v>3</v>
      </c>
      <c r="I31" s="249">
        <f>E31*G31</f>
        <v/>
      </c>
      <c r="J31" s="81">
        <f>IF(E31=0,"🚫 OUT OF STOCK",IF(E31&lt;=F31,"⚠️ LOW STOCK","✅ OK"))</f>
        <v/>
      </c>
      <c r="K31" s="82" t="n"/>
    </row>
    <row r="32" ht="15.75" customHeight="1">
      <c r="B32" s="69" t="inlineStr">
        <is>
          <t>Queso Fresco</t>
        </is>
      </c>
      <c r="C32" s="155" t="inlineStr">
        <is>
          <t>Dairy &amp; Eggs</t>
        </is>
      </c>
      <c r="D32" s="10" t="inlineStr">
        <is>
          <t>kg</t>
        </is>
      </c>
      <c r="E32" s="242" t="n">
        <v>2</v>
      </c>
      <c r="F32" s="243" t="n">
        <v>1</v>
      </c>
      <c r="G32" s="244" t="n">
        <v>85</v>
      </c>
      <c r="H32" s="243" t="n">
        <v>3</v>
      </c>
      <c r="I32" s="245">
        <f>E32*G32</f>
        <v/>
      </c>
      <c r="J32" s="74">
        <f>IF(E32=0,"🚫 OUT OF STOCK",IF(E32&lt;=F32,"⚠️ LOW STOCK","✅ OK"))</f>
        <v/>
      </c>
      <c r="K32" s="75" t="n"/>
    </row>
    <row r="33" ht="15.75" customHeight="1">
      <c r="B33" s="76" t="inlineStr">
        <is>
          <t>Queso Aleman</t>
        </is>
      </c>
      <c r="C33" s="156" t="inlineStr">
        <is>
          <t>Dairy &amp; Eggs</t>
        </is>
      </c>
      <c r="D33" s="19" t="inlineStr">
        <is>
          <t>kg</t>
        </is>
      </c>
      <c r="E33" s="246" t="n">
        <v>1.5</v>
      </c>
      <c r="F33" s="247" t="n">
        <v>0.5</v>
      </c>
      <c r="G33" s="248" t="n">
        <v>120</v>
      </c>
      <c r="H33" s="247" t="n">
        <v>2</v>
      </c>
      <c r="I33" s="249">
        <f>E33*G33</f>
        <v/>
      </c>
      <c r="J33" s="81">
        <f>IF(E33=0,"🚫 OUT OF STOCK",IF(E33&lt;=F33,"⚠️ LOW STOCK","✅ OK"))</f>
        <v/>
      </c>
      <c r="K33" s="82" t="n"/>
    </row>
    <row r="34" ht="15.75" customHeight="1">
      <c r="B34" s="69" t="inlineStr">
        <is>
          <t>Queso Cheddar</t>
        </is>
      </c>
      <c r="C34" s="155" t="inlineStr">
        <is>
          <t>Dairy &amp; Eggs</t>
        </is>
      </c>
      <c r="D34" s="10" t="inlineStr">
        <is>
          <t>kg</t>
        </is>
      </c>
      <c r="E34" s="242" t="n">
        <v>1.5</v>
      </c>
      <c r="F34" s="243" t="n">
        <v>0.5</v>
      </c>
      <c r="G34" s="244" t="n">
        <v>110</v>
      </c>
      <c r="H34" s="243" t="n">
        <v>2</v>
      </c>
      <c r="I34" s="245">
        <f>E34*G34</f>
        <v/>
      </c>
      <c r="J34" s="74">
        <f>IF(E34=0,"🚫 OUT OF STOCK",IF(E34&lt;=F34,"⚠️ LOW STOCK","✅ OK"))</f>
        <v/>
      </c>
      <c r="K34" s="75" t="n"/>
    </row>
    <row r="35" ht="15.75" customHeight="1">
      <c r="B35" s="76" t="inlineStr">
        <is>
          <t>Queso Mozzarella</t>
        </is>
      </c>
      <c r="C35" s="156" t="inlineStr">
        <is>
          <t>Dairy &amp; Eggs</t>
        </is>
      </c>
      <c r="D35" s="19" t="inlineStr">
        <is>
          <t>kg</t>
        </is>
      </c>
      <c r="E35" s="246" t="n">
        <v>1</v>
      </c>
      <c r="F35" s="247" t="n">
        <v>0.5</v>
      </c>
      <c r="G35" s="248" t="n">
        <v>130</v>
      </c>
      <c r="H35" s="247" t="n">
        <v>2</v>
      </c>
      <c r="I35" s="249">
        <f>E35*G35</f>
        <v/>
      </c>
      <c r="J35" s="81">
        <f>IF(E35=0,"🚫 OUT OF STOCK",IF(E35&lt;=F35,"⚠️ LOW STOCK","✅ OK"))</f>
        <v/>
      </c>
      <c r="K35" s="82" t="n"/>
    </row>
    <row r="36" ht="15.75" customHeight="1">
      <c r="B36" s="69" t="inlineStr">
        <is>
          <t>Queso de Cabra</t>
        </is>
      </c>
      <c r="C36" s="155" t="inlineStr">
        <is>
          <t>Dairy &amp; Eggs</t>
        </is>
      </c>
      <c r="D36" s="10" t="inlineStr">
        <is>
          <t>kg</t>
        </is>
      </c>
      <c r="E36" s="242" t="n">
        <v>0.5</v>
      </c>
      <c r="F36" s="243" t="n">
        <v>0.2</v>
      </c>
      <c r="G36" s="244" t="n">
        <v>180</v>
      </c>
      <c r="H36" s="243" t="n">
        <v>1</v>
      </c>
      <c r="I36" s="245">
        <f>E36*G36</f>
        <v/>
      </c>
      <c r="J36" s="74">
        <f>IF(E36=0,"🚫 OUT OF STOCK",IF(E36&lt;=F36,"⚠️ LOW STOCK","✅ OK"))</f>
        <v/>
      </c>
      <c r="K36" s="75" t="n"/>
    </row>
    <row r="37" ht="15.75" customHeight="1">
      <c r="B37" s="76" t="inlineStr">
        <is>
          <t>Aguacate</t>
        </is>
      </c>
      <c r="C37" s="156" t="inlineStr">
        <is>
          <t>Produce</t>
        </is>
      </c>
      <c r="D37" s="19" t="inlineStr">
        <is>
          <t>kg</t>
        </is>
      </c>
      <c r="E37" s="246" t="n">
        <v>5</v>
      </c>
      <c r="F37" s="247" t="n">
        <v>2</v>
      </c>
      <c r="G37" s="248" t="n">
        <v>55</v>
      </c>
      <c r="H37" s="247" t="n">
        <v>6</v>
      </c>
      <c r="I37" s="249">
        <f>E37*G37</f>
        <v/>
      </c>
      <c r="J37" s="81">
        <f>IF(E37=0,"🚫 OUT OF STOCK",IF(E37&lt;=F37,"⚠️ LOW STOCK","✅ OK"))</f>
        <v/>
      </c>
      <c r="K37" s="82" t="n"/>
    </row>
    <row r="38" ht="15.75" customHeight="1">
      <c r="B38" s="69" t="inlineStr">
        <is>
          <t>Jitomate</t>
        </is>
      </c>
      <c r="C38" s="155" t="inlineStr">
        <is>
          <t>Produce</t>
        </is>
      </c>
      <c r="D38" s="10" t="inlineStr">
        <is>
          <t>kg</t>
        </is>
      </c>
      <c r="E38" s="242" t="n">
        <v>4</v>
      </c>
      <c r="F38" s="243" t="n">
        <v>2</v>
      </c>
      <c r="G38" s="244" t="n">
        <v>32</v>
      </c>
      <c r="H38" s="243" t="n">
        <v>5</v>
      </c>
      <c r="I38" s="245">
        <f>E38*G38</f>
        <v/>
      </c>
      <c r="J38" s="74">
        <f>IF(E38=0,"🚫 OUT OF STOCK",IF(E38&lt;=F38,"⚠️ LOW STOCK","✅ OK"))</f>
        <v/>
      </c>
      <c r="K38" s="75" t="n"/>
    </row>
    <row r="39" ht="15.75" customHeight="1">
      <c r="B39" s="76" t="inlineStr">
        <is>
          <t>Lechuga</t>
        </is>
      </c>
      <c r="C39" s="156" t="inlineStr">
        <is>
          <t>Produce</t>
        </is>
      </c>
      <c r="D39" s="19" t="inlineStr">
        <is>
          <t>pza</t>
        </is>
      </c>
      <c r="E39" s="246" t="n">
        <v>8</v>
      </c>
      <c r="F39" s="247" t="n">
        <v>4</v>
      </c>
      <c r="G39" s="248" t="n">
        <v>18</v>
      </c>
      <c r="H39" s="247" t="n">
        <v>10</v>
      </c>
      <c r="I39" s="249">
        <f>E39*G39</f>
        <v/>
      </c>
      <c r="J39" s="81">
        <f>IF(E39=0,"🚫 OUT OF STOCK",IF(E39&lt;=F39,"⚠️ LOW STOCK","✅ OK"))</f>
        <v/>
      </c>
      <c r="K39" s="82" t="n"/>
    </row>
    <row r="40" ht="15.75" customHeight="1">
      <c r="B40" s="69" t="inlineStr">
        <is>
          <t>Cebolla</t>
        </is>
      </c>
      <c r="C40" s="155" t="inlineStr">
        <is>
          <t>Produce</t>
        </is>
      </c>
      <c r="D40" s="10" t="inlineStr">
        <is>
          <t>kg</t>
        </is>
      </c>
      <c r="E40" s="242" t="n">
        <v>3</v>
      </c>
      <c r="F40" s="243" t="n">
        <v>1</v>
      </c>
      <c r="G40" s="244" t="n">
        <v>22</v>
      </c>
      <c r="H40" s="243" t="n">
        <v>4</v>
      </c>
      <c r="I40" s="245">
        <f>E40*G40</f>
        <v/>
      </c>
      <c r="J40" s="74">
        <f>IF(E40=0,"🚫 OUT OF STOCK",IF(E40&lt;=F40,"⚠️ LOW STOCK","✅ OK"))</f>
        <v/>
      </c>
      <c r="K40" s="75" t="n"/>
    </row>
    <row r="41" ht="15.75" customHeight="1">
      <c r="B41" s="76" t="inlineStr">
        <is>
          <t>Champiñones</t>
        </is>
      </c>
      <c r="C41" s="156" t="inlineStr">
        <is>
          <t>Produce</t>
        </is>
      </c>
      <c r="D41" s="19" t="inlineStr">
        <is>
          <t>kg</t>
        </is>
      </c>
      <c r="E41" s="246" t="n">
        <v>1.5</v>
      </c>
      <c r="F41" s="247" t="n">
        <v>0.5</v>
      </c>
      <c r="G41" s="248" t="n">
        <v>75</v>
      </c>
      <c r="H41" s="247" t="n">
        <v>2</v>
      </c>
      <c r="I41" s="249">
        <f>E41*G41</f>
        <v/>
      </c>
      <c r="J41" s="81">
        <f>IF(E41=0,"🚫 OUT OF STOCK",IF(E41&lt;=F41,"⚠️ LOW STOCK","✅ OK"))</f>
        <v/>
      </c>
      <c r="K41" s="82" t="n"/>
    </row>
    <row r="42" ht="15.75" customHeight="1">
      <c r="B42" s="69" t="inlineStr">
        <is>
          <t>Espinacas</t>
        </is>
      </c>
      <c r="C42" s="155" t="inlineStr">
        <is>
          <t>Produce</t>
        </is>
      </c>
      <c r="D42" s="10" t="inlineStr">
        <is>
          <t>kg</t>
        </is>
      </c>
      <c r="E42" s="242" t="n">
        <v>1</v>
      </c>
      <c r="F42" s="243" t="n">
        <v>0.5</v>
      </c>
      <c r="G42" s="244" t="n">
        <v>45</v>
      </c>
      <c r="H42" s="243" t="n">
        <v>2</v>
      </c>
      <c r="I42" s="245">
        <f>E42*G42</f>
        <v/>
      </c>
      <c r="J42" s="74">
        <f>IF(E42=0,"🚫 OUT OF STOCK",IF(E42&lt;=F42,"⚠️ LOW STOCK","✅ OK"))</f>
        <v/>
      </c>
      <c r="K42" s="75" t="n"/>
    </row>
    <row r="43" ht="15.75" customHeight="1">
      <c r="B43" s="76" t="inlineStr">
        <is>
          <t>Elote</t>
        </is>
      </c>
      <c r="C43" s="156" t="inlineStr">
        <is>
          <t>Produce</t>
        </is>
      </c>
      <c r="D43" s="19" t="inlineStr">
        <is>
          <t>pza</t>
        </is>
      </c>
      <c r="E43" s="246" t="n">
        <v>15</v>
      </c>
      <c r="F43" s="247" t="n">
        <v>8</v>
      </c>
      <c r="G43" s="248" t="n">
        <v>8</v>
      </c>
      <c r="H43" s="247" t="n">
        <v>20</v>
      </c>
      <c r="I43" s="249">
        <f>E43*G43</f>
        <v/>
      </c>
      <c r="J43" s="81">
        <f>IF(E43=0,"🚫 OUT OF STOCK",IF(E43&lt;=F43,"⚠️ LOW STOCK","✅ OK"))</f>
        <v/>
      </c>
      <c r="K43" s="82" t="n"/>
    </row>
    <row r="44" ht="15.75" customHeight="1">
      <c r="B44" s="69" t="inlineStr">
        <is>
          <t>Papa</t>
        </is>
      </c>
      <c r="C44" s="155" t="inlineStr">
        <is>
          <t>Produce</t>
        </is>
      </c>
      <c r="D44" s="10" t="inlineStr">
        <is>
          <t>kg</t>
        </is>
      </c>
      <c r="E44" s="242" t="n">
        <v>8</v>
      </c>
      <c r="F44" s="243" t="n">
        <v>4</v>
      </c>
      <c r="G44" s="244" t="n">
        <v>18</v>
      </c>
      <c r="H44" s="243" t="n">
        <v>10</v>
      </c>
      <c r="I44" s="245">
        <f>E44*G44</f>
        <v/>
      </c>
      <c r="J44" s="74">
        <f>IF(E44=0,"🚫 OUT OF STOCK",IF(E44&lt;=F44,"⚠️ LOW STOCK","✅ OK"))</f>
        <v/>
      </c>
      <c r="K44" s="75" t="n"/>
    </row>
    <row r="45" ht="15.75" customHeight="1">
      <c r="B45" s="76" t="inlineStr">
        <is>
          <t>Frutas Mixtas / Bowl</t>
        </is>
      </c>
      <c r="C45" s="156" t="inlineStr">
        <is>
          <t>Produce</t>
        </is>
      </c>
      <c r="D45" s="19" t="inlineStr">
        <is>
          <t>kg</t>
        </is>
      </c>
      <c r="E45" s="246" t="n">
        <v>3</v>
      </c>
      <c r="F45" s="247" t="n">
        <v>1.5</v>
      </c>
      <c r="G45" s="248" t="n">
        <v>60</v>
      </c>
      <c r="H45" s="247" t="n">
        <v>4</v>
      </c>
      <c r="I45" s="249">
        <f>E45*G45</f>
        <v/>
      </c>
      <c r="J45" s="81">
        <f>IF(E45=0,"🚫 OUT OF STOCK",IF(E45&lt;=F45,"⚠️ LOW STOCK","✅ OK"))</f>
        <v/>
      </c>
      <c r="K45" s="82" t="n"/>
    </row>
    <row r="46" ht="15.75" customHeight="1">
      <c r="B46" s="69" t="inlineStr">
        <is>
          <t>Fresa</t>
        </is>
      </c>
      <c r="C46" s="155" t="inlineStr">
        <is>
          <t>Produce</t>
        </is>
      </c>
      <c r="D46" s="10" t="inlineStr">
        <is>
          <t>kg</t>
        </is>
      </c>
      <c r="E46" s="242" t="n">
        <v>1</v>
      </c>
      <c r="F46" s="243" t="n">
        <v>0.5</v>
      </c>
      <c r="G46" s="244" t="n">
        <v>95</v>
      </c>
      <c r="H46" s="243" t="n">
        <v>2</v>
      </c>
      <c r="I46" s="245">
        <f>E46*G46</f>
        <v/>
      </c>
      <c r="J46" s="74">
        <f>IF(E46=0,"🚫 OUT OF STOCK",IF(E46&lt;=F46,"⚠️ LOW STOCK","✅ OK"))</f>
        <v/>
      </c>
      <c r="K46" s="75" t="n"/>
    </row>
    <row r="47" ht="15.75" customHeight="1">
      <c r="B47" s="76" t="inlineStr">
        <is>
          <t>Mango</t>
        </is>
      </c>
      <c r="C47" s="156" t="inlineStr">
        <is>
          <t>Produce</t>
        </is>
      </c>
      <c r="D47" s="19" t="inlineStr">
        <is>
          <t>kg</t>
        </is>
      </c>
      <c r="E47" s="246" t="n">
        <v>1</v>
      </c>
      <c r="F47" s="247" t="n">
        <v>0.5</v>
      </c>
      <c r="G47" s="248" t="n">
        <v>55</v>
      </c>
      <c r="H47" s="247" t="n">
        <v>2</v>
      </c>
      <c r="I47" s="249">
        <f>E47*G47</f>
        <v/>
      </c>
      <c r="J47" s="81">
        <f>IF(E47=0,"🚫 OUT OF STOCK",IF(E47&lt;=F47,"⚠️ LOW STOCK","✅ OK"))</f>
        <v/>
      </c>
      <c r="K47" s="82" t="n"/>
    </row>
    <row r="48" ht="15.75" customHeight="1">
      <c r="B48" s="69" t="inlineStr">
        <is>
          <t>Aguacate Tomate Cherry</t>
        </is>
      </c>
      <c r="C48" s="155" t="inlineStr">
        <is>
          <t>Produce</t>
        </is>
      </c>
      <c r="D48" s="10" t="inlineStr">
        <is>
          <t>kg</t>
        </is>
      </c>
      <c r="E48" s="242" t="n">
        <v>0.5</v>
      </c>
      <c r="F48" s="243" t="n">
        <v>0.2</v>
      </c>
      <c r="G48" s="244" t="n">
        <v>85</v>
      </c>
      <c r="H48" s="243" t="n">
        <v>1</v>
      </c>
      <c r="I48" s="245">
        <f>E48*G48</f>
        <v/>
      </c>
      <c r="J48" s="74">
        <f>IF(E48=0,"🚫 OUT OF STOCK",IF(E48&lt;=F48,"⚠️ LOW STOCK","✅ OK"))</f>
        <v/>
      </c>
      <c r="K48" s="75" t="n"/>
    </row>
    <row r="49" ht="15.75" customHeight="1">
      <c r="B49" s="76" t="inlineStr">
        <is>
          <t>Cafe Grano / Molido</t>
        </is>
      </c>
      <c r="C49" s="156" t="inlineStr">
        <is>
          <t>Beverages</t>
        </is>
      </c>
      <c r="D49" s="19" t="inlineStr">
        <is>
          <t>kg</t>
        </is>
      </c>
      <c r="E49" s="246" t="n">
        <v>3</v>
      </c>
      <c r="F49" s="247" t="n">
        <v>1</v>
      </c>
      <c r="G49" s="248" t="n">
        <v>220</v>
      </c>
      <c r="H49" s="247" t="n">
        <v>3</v>
      </c>
      <c r="I49" s="249">
        <f>E49*G49</f>
        <v/>
      </c>
      <c r="J49" s="81">
        <f>IF(E49=0,"🚫 OUT OF STOCK",IF(E49&lt;=F49,"⚠️ LOW STOCK","✅ OK"))</f>
        <v/>
      </c>
      <c r="K49" s="82" t="n"/>
    </row>
    <row r="50" ht="15.75" customHeight="1">
      <c r="B50" s="69" t="inlineStr">
        <is>
          <t>Cocoa / Chocolate</t>
        </is>
      </c>
      <c r="C50" s="155" t="inlineStr">
        <is>
          <t>Beverages</t>
        </is>
      </c>
      <c r="D50" s="10" t="inlineStr">
        <is>
          <t>kg</t>
        </is>
      </c>
      <c r="E50" s="242" t="n">
        <v>1</v>
      </c>
      <c r="F50" s="243" t="n">
        <v>0.5</v>
      </c>
      <c r="G50" s="244" t="n">
        <v>95</v>
      </c>
      <c r="H50" s="243" t="n">
        <v>2</v>
      </c>
      <c r="I50" s="245">
        <f>E50*G50</f>
        <v/>
      </c>
      <c r="J50" s="74">
        <f>IF(E50=0,"🚫 OUT OF STOCK",IF(E50&lt;=F50,"⚠️ LOW STOCK","✅ OK"))</f>
        <v/>
      </c>
      <c r="K50" s="75" t="n"/>
    </row>
    <row r="51" ht="15.75" customHeight="1">
      <c r="B51" s="76" t="inlineStr">
        <is>
          <t>Te Surtido</t>
        </is>
      </c>
      <c r="C51" s="156" t="inlineStr">
        <is>
          <t>Beverages</t>
        </is>
      </c>
      <c r="D51" s="19" t="inlineStr">
        <is>
          <t>caja</t>
        </is>
      </c>
      <c r="E51" s="246" t="n">
        <v>3</v>
      </c>
      <c r="F51" s="247" t="n">
        <v>1</v>
      </c>
      <c r="G51" s="248" t="n">
        <v>85</v>
      </c>
      <c r="H51" s="247" t="n">
        <v>3</v>
      </c>
      <c r="I51" s="249">
        <f>E51*G51</f>
        <v/>
      </c>
      <c r="J51" s="81">
        <f>IF(E51=0,"🚫 OUT OF STOCK",IF(E51&lt;=F51,"⚠️ LOW STOCK","✅ OK"))</f>
        <v/>
      </c>
      <c r="K51" s="82" t="n"/>
    </row>
    <row r="52" ht="15.75" customHeight="1">
      <c r="B52" s="69" t="inlineStr">
        <is>
          <t>Chai Mix</t>
        </is>
      </c>
      <c r="C52" s="155" t="inlineStr">
        <is>
          <t>Beverages</t>
        </is>
      </c>
      <c r="D52" s="10" t="inlineStr">
        <is>
          <t>kg</t>
        </is>
      </c>
      <c r="E52" s="242" t="n">
        <v>1</v>
      </c>
      <c r="F52" s="243" t="n">
        <v>0.5</v>
      </c>
      <c r="G52" s="244" t="n">
        <v>180</v>
      </c>
      <c r="H52" s="243" t="n">
        <v>2</v>
      </c>
      <c r="I52" s="245">
        <f>E52*G52</f>
        <v/>
      </c>
      <c r="J52" s="74">
        <f>IF(E52=0,"🚫 OUT OF STOCK",IF(E52&lt;=F52,"⚠️ LOW STOCK","✅ OK"))</f>
        <v/>
      </c>
      <c r="K52" s="75" t="n"/>
    </row>
    <row r="53" ht="15.75" customHeight="1">
      <c r="B53" s="76" t="inlineStr">
        <is>
          <t>Matcha Polvo</t>
        </is>
      </c>
      <c r="C53" s="156" t="inlineStr">
        <is>
          <t>Beverages</t>
        </is>
      </c>
      <c r="D53" s="19" t="inlineStr">
        <is>
          <t>kg</t>
        </is>
      </c>
      <c r="E53" s="246" t="n">
        <v>0.3</v>
      </c>
      <c r="F53" s="247" t="n">
        <v>0.1</v>
      </c>
      <c r="G53" s="248" t="n">
        <v>450</v>
      </c>
      <c r="H53" s="247" t="n">
        <v>0.5</v>
      </c>
      <c r="I53" s="249">
        <f>E53*G53</f>
        <v/>
      </c>
      <c r="J53" s="81">
        <f>IF(E53=0,"🚫 OUT OF STOCK",IF(E53&lt;=F53,"⚠️ LOW STOCK","✅ OK"))</f>
        <v/>
      </c>
      <c r="K53" s="82" t="n"/>
    </row>
    <row r="54" ht="15.75" customHeight="1">
      <c r="B54" s="69" t="inlineStr">
        <is>
          <t>Taro Polvo</t>
        </is>
      </c>
      <c r="C54" s="155" t="inlineStr">
        <is>
          <t>Beverages</t>
        </is>
      </c>
      <c r="D54" s="10" t="inlineStr">
        <is>
          <t>kg</t>
        </is>
      </c>
      <c r="E54" s="242" t="n">
        <v>0.3</v>
      </c>
      <c r="F54" s="243" t="n">
        <v>0.1</v>
      </c>
      <c r="G54" s="244" t="n">
        <v>380</v>
      </c>
      <c r="H54" s="243" t="n">
        <v>0.5</v>
      </c>
      <c r="I54" s="245">
        <f>E54*G54</f>
        <v/>
      </c>
      <c r="J54" s="74">
        <f>IF(E54=0,"🚫 OUT OF STOCK",IF(E54&lt;=F54,"⚠️ LOW STOCK","✅ OK"))</f>
        <v/>
      </c>
      <c r="K54" s="75" t="n"/>
    </row>
    <row r="55" ht="15.75" customHeight="1">
      <c r="B55" s="76" t="inlineStr">
        <is>
          <t>Azucar</t>
        </is>
      </c>
      <c r="C55" s="156" t="inlineStr">
        <is>
          <t>Dry Goods</t>
        </is>
      </c>
      <c r="D55" s="19" t="inlineStr">
        <is>
          <t>kg</t>
        </is>
      </c>
      <c r="E55" s="246" t="n">
        <v>5</v>
      </c>
      <c r="F55" s="247" t="n">
        <v>2</v>
      </c>
      <c r="G55" s="248" t="n">
        <v>22</v>
      </c>
      <c r="H55" s="247" t="n">
        <v>5</v>
      </c>
      <c r="I55" s="249">
        <f>E55*G55</f>
        <v/>
      </c>
      <c r="J55" s="81">
        <f>IF(E55=0,"🚫 OUT OF STOCK",IF(E55&lt;=F55,"⚠️ LOW STOCK","✅ OK"))</f>
        <v/>
      </c>
      <c r="K55" s="82" t="n"/>
    </row>
    <row r="56" ht="15.75" customHeight="1">
      <c r="B56" s="69" t="inlineStr">
        <is>
          <t>Harina</t>
        </is>
      </c>
      <c r="C56" s="155" t="inlineStr">
        <is>
          <t>Dry Goods</t>
        </is>
      </c>
      <c r="D56" s="10" t="inlineStr">
        <is>
          <t>kg</t>
        </is>
      </c>
      <c r="E56" s="242" t="n">
        <v>5</v>
      </c>
      <c r="F56" s="243" t="n">
        <v>2</v>
      </c>
      <c r="G56" s="244" t="n">
        <v>18</v>
      </c>
      <c r="H56" s="243" t="n">
        <v>5</v>
      </c>
      <c r="I56" s="245">
        <f>E56*G56</f>
        <v/>
      </c>
      <c r="J56" s="74">
        <f>IF(E56=0,"🚫 OUT OF STOCK",IF(E56&lt;=F56,"⚠️ LOW STOCK","✅ OK"))</f>
        <v/>
      </c>
      <c r="K56" s="75" t="n"/>
    </row>
    <row r="57" ht="15.75" customHeight="1">
      <c r="B57" s="76" t="inlineStr">
        <is>
          <t>Aceite Vegetal</t>
        </is>
      </c>
      <c r="C57" s="156" t="inlineStr">
        <is>
          <t>Dry Goods</t>
        </is>
      </c>
      <c r="D57" s="19" t="inlineStr">
        <is>
          <t>lt</t>
        </is>
      </c>
      <c r="E57" s="246" t="n">
        <v>5</v>
      </c>
      <c r="F57" s="247" t="n">
        <v>2</v>
      </c>
      <c r="G57" s="248" t="n">
        <v>38</v>
      </c>
      <c r="H57" s="247" t="n">
        <v>5</v>
      </c>
      <c r="I57" s="249">
        <f>E57*G57</f>
        <v/>
      </c>
      <c r="J57" s="81">
        <f>IF(E57=0,"🚫 OUT OF STOCK",IF(E57&lt;=F57,"⚠️ LOW STOCK","✅ OK"))</f>
        <v/>
      </c>
      <c r="K57" s="82" t="n"/>
    </row>
    <row r="58" ht="15.75" customHeight="1">
      <c r="B58" s="69" t="inlineStr">
        <is>
          <t>Salsa Verde / Roja (prep)</t>
        </is>
      </c>
      <c r="C58" s="155" t="inlineStr">
        <is>
          <t>Sauces</t>
        </is>
      </c>
      <c r="D58" s="10" t="inlineStr">
        <is>
          <t>lt</t>
        </is>
      </c>
      <c r="E58" s="242" t="n">
        <v>3</v>
      </c>
      <c r="F58" s="243" t="n">
        <v>1</v>
      </c>
      <c r="G58" s="244" t="n">
        <v>25</v>
      </c>
      <c r="H58" s="243" t="n">
        <v>3</v>
      </c>
      <c r="I58" s="245">
        <f>E58*G58</f>
        <v/>
      </c>
      <c r="J58" s="74">
        <f>IF(E58=0,"🚫 OUT OF STOCK",IF(E58&lt;=F58,"⚠️ LOW STOCK","✅ OK"))</f>
        <v/>
      </c>
      <c r="K58" s="75" t="n"/>
    </row>
    <row r="59" ht="15.75" customHeight="1">
      <c r="B59" s="76" t="inlineStr">
        <is>
          <t>Frijoles Refritos</t>
        </is>
      </c>
      <c r="C59" s="156" t="inlineStr">
        <is>
          <t>Sauces</t>
        </is>
      </c>
      <c r="D59" s="19" t="inlineStr">
        <is>
          <t>kg</t>
        </is>
      </c>
      <c r="E59" s="246" t="n">
        <v>3</v>
      </c>
      <c r="F59" s="247" t="n">
        <v>1</v>
      </c>
      <c r="G59" s="248" t="n">
        <v>20</v>
      </c>
      <c r="H59" s="247" t="n">
        <v>3</v>
      </c>
      <c r="I59" s="249">
        <f>E59*G59</f>
        <v/>
      </c>
      <c r="J59" s="81">
        <f>IF(E59=0,"🚫 OUT OF STOCK",IF(E59&lt;=F59,"⚠️ LOW STOCK","✅ OK"))</f>
        <v/>
      </c>
      <c r="K59" s="82" t="n"/>
    </row>
    <row r="60" ht="15.75" customHeight="1">
      <c r="B60" s="69" t="inlineStr">
        <is>
          <t>Mayonesa</t>
        </is>
      </c>
      <c r="C60" s="155" t="inlineStr">
        <is>
          <t>Sauces</t>
        </is>
      </c>
      <c r="D60" s="10" t="inlineStr">
        <is>
          <t>kg</t>
        </is>
      </c>
      <c r="E60" s="242" t="n">
        <v>1</v>
      </c>
      <c r="F60" s="243" t="n">
        <v>0.5</v>
      </c>
      <c r="G60" s="244" t="n">
        <v>55</v>
      </c>
      <c r="H60" s="243" t="n">
        <v>2</v>
      </c>
      <c r="I60" s="245">
        <f>E60*G60</f>
        <v/>
      </c>
      <c r="J60" s="74">
        <f>IF(E60=0,"🚫 OUT OF STOCK",IF(E60&lt;=F60,"⚠️ LOW STOCK","✅ OK"))</f>
        <v/>
      </c>
      <c r="K60" s="75" t="n"/>
    </row>
    <row r="61" ht="15.75" customHeight="1">
      <c r="B61" s="76" t="inlineStr">
        <is>
          <t>Yogurt</t>
        </is>
      </c>
      <c r="C61" s="156" t="inlineStr">
        <is>
          <t>Dairy &amp; Eggs</t>
        </is>
      </c>
      <c r="D61" s="19" t="inlineStr">
        <is>
          <t>kg</t>
        </is>
      </c>
      <c r="E61" s="246" t="n">
        <v>1</v>
      </c>
      <c r="F61" s="247" t="n">
        <v>0.5</v>
      </c>
      <c r="G61" s="248" t="n">
        <v>65</v>
      </c>
      <c r="H61" s="247" t="n">
        <v>2</v>
      </c>
      <c r="I61" s="249">
        <f>E61*G61</f>
        <v/>
      </c>
      <c r="J61" s="81">
        <f>IF(E61=0,"🚫 OUT OF STOCK",IF(E61&lt;=F61,"⚠️ LOW STOCK","✅ OK"))</f>
        <v/>
      </c>
      <c r="K61" s="82" t="n"/>
    </row>
    <row r="62" ht="15.75" customHeight="1">
      <c r="B62" s="69" t="inlineStr">
        <is>
          <t>Avena</t>
        </is>
      </c>
      <c r="C62" s="155" t="inlineStr">
        <is>
          <t>Dry Goods</t>
        </is>
      </c>
      <c r="D62" s="10" t="inlineStr">
        <is>
          <t>kg</t>
        </is>
      </c>
      <c r="E62" s="242" t="n">
        <v>1</v>
      </c>
      <c r="F62" s="243" t="n">
        <v>0.5</v>
      </c>
      <c r="G62" s="244" t="n">
        <v>45</v>
      </c>
      <c r="H62" s="243" t="n">
        <v>2</v>
      </c>
      <c r="I62" s="245">
        <f>E62*G62</f>
        <v/>
      </c>
      <c r="J62" s="74">
        <f>IF(E62=0,"🚫 OUT OF STOCK",IF(E62&lt;=F62,"⚠️ LOW STOCK","✅ OK"))</f>
        <v/>
      </c>
      <c r="K62" s="75" t="n"/>
    </row>
    <row r="63" ht="15.75" customHeight="1">
      <c r="B63" s="76" t="inlineStr">
        <is>
          <t>Especias Peri Peri</t>
        </is>
      </c>
      <c r="C63" s="156" t="inlineStr">
        <is>
          <t>Dry Goods</t>
        </is>
      </c>
      <c r="D63" s="19" t="inlineStr">
        <is>
          <t>kg</t>
        </is>
      </c>
      <c r="E63" s="246" t="n">
        <v>0.5</v>
      </c>
      <c r="F63" s="247" t="n">
        <v>0.1</v>
      </c>
      <c r="G63" s="248" t="n">
        <v>180</v>
      </c>
      <c r="H63" s="247" t="n">
        <v>1</v>
      </c>
      <c r="I63" s="249">
        <f>E63*G63</f>
        <v/>
      </c>
      <c r="J63" s="81">
        <f>IF(E63=0,"🚫 OUT OF STOCK",IF(E63&lt;=F63,"⚠️ LOW STOCK","✅ OK"))</f>
        <v/>
      </c>
      <c r="K63" s="82" t="n"/>
    </row>
    <row r="64" ht="15.75" customHeight="1">
      <c r="B64" s="69" t="inlineStr">
        <is>
          <t>Galletas Oreo</t>
        </is>
      </c>
      <c r="C64" s="155" t="inlineStr">
        <is>
          <t>Supplies</t>
        </is>
      </c>
      <c r="D64" s="10" t="inlineStr">
        <is>
          <t>paq</t>
        </is>
      </c>
      <c r="E64" s="242" t="n">
        <v>5</v>
      </c>
      <c r="F64" s="243" t="n">
        <v>2</v>
      </c>
      <c r="G64" s="244" t="n">
        <v>42</v>
      </c>
      <c r="H64" s="243" t="n">
        <v>6</v>
      </c>
      <c r="I64" s="245">
        <f>E64*G64</f>
        <v/>
      </c>
      <c r="J64" s="74">
        <f>IF(E64=0,"🚫 OUT OF STOCK",IF(E64&lt;=F64,"⚠️ LOW STOCK","✅ OK"))</f>
        <v/>
      </c>
      <c r="K64" s="75" t="n"/>
    </row>
    <row r="65" ht="15.75" customHeight="1">
      <c r="B65" s="76" t="inlineStr">
        <is>
          <t>Ferrero Rocher</t>
        </is>
      </c>
      <c r="C65" s="156" t="inlineStr">
        <is>
          <t>Supplies</t>
        </is>
      </c>
      <c r="D65" s="19" t="inlineStr">
        <is>
          <t>pza</t>
        </is>
      </c>
      <c r="E65" s="246" t="n">
        <v>20</v>
      </c>
      <c r="F65" s="247" t="n">
        <v>10</v>
      </c>
      <c r="G65" s="248" t="n">
        <v>18</v>
      </c>
      <c r="H65" s="247" t="n">
        <v>24</v>
      </c>
      <c r="I65" s="249">
        <f>E65*G65</f>
        <v/>
      </c>
      <c r="J65" s="81">
        <f>IF(E65=0,"🚫 OUT OF STOCK",IF(E65&lt;=F65,"⚠️ LOW STOCK","✅ OK"))</f>
        <v/>
      </c>
      <c r="K65" s="82" t="n"/>
    </row>
    <row r="66" ht="15.75" customHeight="1">
      <c r="B66" s="69" t="inlineStr">
        <is>
          <t>Piña</t>
        </is>
      </c>
      <c r="C66" s="155" t="inlineStr">
        <is>
          <t>Produce</t>
        </is>
      </c>
      <c r="D66" s="10" t="inlineStr">
        <is>
          <t>pza</t>
        </is>
      </c>
      <c r="E66" s="242" t="n">
        <v>4</v>
      </c>
      <c r="F66" s="243" t="n">
        <v>2</v>
      </c>
      <c r="G66" s="244" t="n">
        <v>35</v>
      </c>
      <c r="H66" s="243" t="n">
        <v>6</v>
      </c>
      <c r="I66" s="245">
        <f>E66*G66</f>
        <v/>
      </c>
      <c r="J66" s="74">
        <f>IF(E66=0,"🚫 OUT OF STOCK",IF(E66&lt;=F66,"⚠️ LOW STOCK","✅ OK"))</f>
        <v/>
      </c>
      <c r="K66" s="75" t="n"/>
    </row>
    <row r="67" ht="15.75" customHeight="1">
      <c r="B67" s="76" t="inlineStr">
        <is>
          <t>Arandanos Deshidratados</t>
        </is>
      </c>
      <c r="C67" s="156" t="inlineStr">
        <is>
          <t>Produce</t>
        </is>
      </c>
      <c r="D67" s="19" t="inlineStr">
        <is>
          <t>kg</t>
        </is>
      </c>
      <c r="E67" s="246" t="n">
        <v>0.3</v>
      </c>
      <c r="F67" s="247" t="n">
        <v>0.1</v>
      </c>
      <c r="G67" s="248" t="n">
        <v>220</v>
      </c>
      <c r="H67" s="247" t="n">
        <v>0.5</v>
      </c>
      <c r="I67" s="249">
        <f>E67*G67</f>
        <v/>
      </c>
      <c r="J67" s="81">
        <f>IF(E67=0,"🚫 OUT OF STOCK",IF(E67&lt;=F67,"⚠️ LOW STOCK","✅ OK"))</f>
        <v/>
      </c>
      <c r="K67" s="82" t="n"/>
    </row>
  </sheetData>
  <mergeCells count="4">
    <mergeCell ref="A2:E2"/>
    <mergeCell ref="F2:K2"/>
    <mergeCell ref="A3:K3"/>
    <mergeCell ref="B8:K8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29"/>
  <sheetViews>
    <sheetView showGridLines="0" topLeftCell="A13" zoomScaleNormal="100" workbookViewId="0">
      <selection activeCell="L13" sqref="L13"/>
    </sheetView>
  </sheetViews>
  <sheetFormatPr baseColWidth="8" defaultColWidth="8.6640625" defaultRowHeight="14.4"/>
  <cols>
    <col width="4" customWidth="1" min="1" max="1"/>
    <col width="20" customWidth="1" min="2" max="2"/>
    <col width="14" customWidth="1" min="3" max="3"/>
    <col width="13" customWidth="1" min="4" max="4"/>
    <col width="11" customWidth="1" min="5" max="11"/>
    <col width="13" customWidth="1" min="12" max="12"/>
    <col width="16" customWidth="1" min="13" max="13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7.5" customHeight="1">
      <c r="A2" s="141" t="inlineStr">
        <is>
          <t>👥  LOKA — STAFF &amp; PAYROLL</t>
        </is>
      </c>
      <c r="G2" s="142" t="inlineStr">
        <is>
          <t>Weekly schedule + auto payroll calculation</t>
        </is>
      </c>
    </row>
    <row r="3" ht="3.75" customHeight="1">
      <c r="A3" s="143" t="n"/>
    </row>
    <row r="4" ht="7.5" customHeight="1"/>
    <row r="5" ht="7.5" customHeight="1"/>
    <row r="6" ht="21.75" customHeight="1">
      <c r="B6" s="146" t="inlineStr">
        <is>
          <t xml:space="preserve">  STAFF SCHEDULE  —  Week of:</t>
        </is>
      </c>
      <c r="C6" s="172" t="n"/>
      <c r="D6" s="172" t="n"/>
      <c r="E6" s="170">
        <f>TODAY()-WEEKDAY(TODAY(),2)+1</f>
        <v/>
      </c>
      <c r="F6" s="173" t="n"/>
      <c r="G6" s="173" t="n"/>
      <c r="H6" s="173" t="n"/>
      <c r="I6" s="173" t="n"/>
      <c r="J6" s="173" t="n"/>
      <c r="K6" s="173" t="n"/>
      <c r="L6" s="173" t="n"/>
      <c r="M6" s="173" t="n"/>
    </row>
    <row r="7" ht="27.75" customHeight="1">
      <c r="B7" s="160" t="inlineStr">
        <is>
          <t>Staff Name</t>
        </is>
      </c>
      <c r="C7" s="160" t="inlineStr">
        <is>
          <t>Role</t>
        </is>
      </c>
      <c r="D7" s="160" t="inlineStr">
        <is>
          <t>Daily Rate ($)</t>
        </is>
      </c>
      <c r="E7" s="160" t="inlineStr">
        <is>
          <t>Mon</t>
        </is>
      </c>
      <c r="F7" s="160" t="inlineStr">
        <is>
          <t>Tue</t>
        </is>
      </c>
      <c r="G7" s="160" t="inlineStr">
        <is>
          <t>Wed</t>
        </is>
      </c>
      <c r="H7" s="160" t="inlineStr">
        <is>
          <t>Thu</t>
        </is>
      </c>
      <c r="I7" s="160" t="inlineStr">
        <is>
          <t>Fri</t>
        </is>
      </c>
      <c r="J7" s="160" t="inlineStr">
        <is>
          <t>Sat</t>
        </is>
      </c>
      <c r="K7" s="160" t="inlineStr">
        <is>
          <t>Sun</t>
        </is>
      </c>
      <c r="L7" s="160" t="inlineStr">
        <is>
          <t>Days Worked</t>
        </is>
      </c>
      <c r="M7" s="160" t="inlineStr">
        <is>
          <t>Week Pay ($)</t>
        </is>
      </c>
    </row>
    <row r="8" ht="19.5" customHeight="1">
      <c r="B8" s="83" t="inlineStr">
        <is>
          <t>John</t>
        </is>
      </c>
      <c r="C8" s="84" t="inlineStr">
        <is>
          <t>Head Chef</t>
        </is>
      </c>
      <c r="D8" s="250" t="n">
        <v>450</v>
      </c>
      <c r="E8" s="86" t="inlineStr">
        <is>
          <t>Full Day</t>
        </is>
      </c>
      <c r="F8" s="86" t="inlineStr">
        <is>
          <t>Full Day</t>
        </is>
      </c>
      <c r="G8" s="86" t="inlineStr">
        <is>
          <t>Full Day</t>
        </is>
      </c>
      <c r="H8" s="86" t="inlineStr">
        <is>
          <t>Full Day</t>
        </is>
      </c>
      <c r="I8" s="86" t="inlineStr">
        <is>
          <t>Full Day</t>
        </is>
      </c>
      <c r="J8" s="86" t="inlineStr">
        <is>
          <t>Full Day</t>
        </is>
      </c>
      <c r="K8" s="86" t="inlineStr">
        <is>
          <t>Day Off</t>
        </is>
      </c>
      <c r="L8" s="251">
        <f>COUNTIF(E8:K8,"Full Day")+COUNTIF(E8:K8,"Morning")*0.5+COUNTIF(E8:K8,"Afternoon")*0.5</f>
        <v/>
      </c>
      <c r="M8" s="252">
        <f>COUNTIF(E8:K8,"Full Day")*D8+COUNTIF(E8:K8,"Morning")*D8*0.5+COUNTIF(E8:K8,"Afternoon")*D8*0.5</f>
        <v/>
      </c>
    </row>
    <row r="9" ht="19.5" customHeight="1">
      <c r="B9" s="83" t="inlineStr">
        <is>
          <t>Debi</t>
        </is>
      </c>
      <c r="C9" s="89" t="inlineStr">
        <is>
          <t>Cleaner</t>
        </is>
      </c>
      <c r="D9" s="253" t="n">
        <v>220</v>
      </c>
      <c r="E9" s="91" t="inlineStr">
        <is>
          <t>Full Day</t>
        </is>
      </c>
      <c r="F9" s="91" t="inlineStr">
        <is>
          <t>Full Day</t>
        </is>
      </c>
      <c r="G9" s="91" t="inlineStr">
        <is>
          <t>Full Day</t>
        </is>
      </c>
      <c r="H9" s="91" t="inlineStr">
        <is>
          <t>Full Day</t>
        </is>
      </c>
      <c r="I9" s="91" t="inlineStr">
        <is>
          <t>Full Day</t>
        </is>
      </c>
      <c r="J9" s="91" t="inlineStr">
        <is>
          <t>Full Day</t>
        </is>
      </c>
      <c r="K9" s="91" t="inlineStr">
        <is>
          <t>Day Off</t>
        </is>
      </c>
      <c r="L9" s="254">
        <f>COUNTIF(E9:K9,"Full Day")+COUNTIF(E9:K9,"Morning")*0.5+COUNTIF(E9:K9,"Afternoon")*0.5</f>
        <v/>
      </c>
      <c r="M9" s="255">
        <f>COUNTIF(E9:K9,"Full Day")*D9+COUNTIF(E9:K9,"Morning")*D9*0.5+COUNTIF(E9:K9,"Afternoon")*D9*0.5</f>
        <v/>
      </c>
    </row>
    <row r="10" ht="19.5" customHeight="1">
      <c r="B10" s="83" t="inlineStr">
        <is>
          <t>Staff 3 Name</t>
        </is>
      </c>
      <c r="C10" s="84" t="inlineStr">
        <is>
          <t>Waiter</t>
        </is>
      </c>
      <c r="D10" s="253" t="n">
        <v>333.33</v>
      </c>
      <c r="E10" s="86" t="inlineStr">
        <is>
          <t>Full Day</t>
        </is>
      </c>
      <c r="F10" s="86" t="inlineStr">
        <is>
          <t>Full Day</t>
        </is>
      </c>
      <c r="G10" s="86" t="inlineStr">
        <is>
          <t>Full Day</t>
        </is>
      </c>
      <c r="H10" s="86" t="inlineStr">
        <is>
          <t>Full Day</t>
        </is>
      </c>
      <c r="I10" s="86" t="inlineStr">
        <is>
          <t>Full Day</t>
        </is>
      </c>
      <c r="J10" s="86" t="inlineStr">
        <is>
          <t>Full Day</t>
        </is>
      </c>
      <c r="K10" s="86" t="inlineStr">
        <is>
          <t>Day Off</t>
        </is>
      </c>
      <c r="L10" s="251">
        <f>COUNTIF(E10:K10,"Full Day")+COUNTIF(E10:K10,"Morning")*0.5+COUNTIF(E10:K10,"Afternoon")*0.5</f>
        <v/>
      </c>
      <c r="M10" s="252">
        <f>COUNTIF(E10:K10,"Full Day")*D10+COUNTIF(E10:K10,"Morning")*D10*0.5+COUNTIF(E10:K10,"Afternoon")*D10*0.5</f>
        <v/>
      </c>
    </row>
    <row r="11" ht="19.5" customHeight="1">
      <c r="B11" s="83" t="n"/>
      <c r="C11" s="89" t="n"/>
      <c r="D11" s="253" t="n"/>
      <c r="E11" s="91" t="n"/>
      <c r="F11" s="91" t="n"/>
      <c r="G11" s="91" t="n"/>
      <c r="H11" s="91" t="n"/>
      <c r="I11" s="91" t="n"/>
      <c r="J11" s="91" t="n"/>
      <c r="K11" s="91" t="n"/>
      <c r="L11" s="254" t="n"/>
      <c r="M11" s="255" t="n"/>
    </row>
    <row r="12" ht="19.5" customHeight="1">
      <c r="B12" s="83" t="n"/>
      <c r="C12" s="84" t="n"/>
      <c r="D12" s="250" t="n"/>
      <c r="E12" s="86" t="n"/>
      <c r="F12" s="86" t="n"/>
      <c r="G12" s="86" t="n"/>
      <c r="H12" s="86" t="n"/>
      <c r="I12" s="86" t="n"/>
      <c r="J12" s="86" t="n"/>
      <c r="K12" s="86" t="n"/>
      <c r="L12" s="251" t="n"/>
      <c r="M12" s="252" t="n"/>
    </row>
    <row r="13" ht="19.5" customHeight="1">
      <c r="B13" s="83" t="n"/>
      <c r="C13" s="89" t="n"/>
      <c r="D13" s="253" t="n"/>
      <c r="E13" s="91" t="n"/>
      <c r="F13" s="91" t="n"/>
      <c r="G13" s="91" t="n"/>
      <c r="H13" s="91" t="n"/>
      <c r="I13" s="91" t="n"/>
      <c r="J13" s="91" t="n"/>
      <c r="K13" s="91" t="n"/>
      <c r="L13" s="254" t="n"/>
      <c r="M13" s="255" t="n"/>
    </row>
    <row r="14" ht="19.5" customHeight="1">
      <c r="B14" s="83" t="n"/>
      <c r="C14" s="84" t="n"/>
      <c r="D14" s="250" t="n"/>
      <c r="E14" s="86" t="n"/>
      <c r="F14" s="86" t="n"/>
      <c r="G14" s="86" t="n"/>
      <c r="H14" s="86" t="n"/>
      <c r="I14" s="86" t="n"/>
      <c r="J14" s="86" t="n"/>
      <c r="K14" s="86" t="n"/>
      <c r="L14" s="251" t="n"/>
      <c r="M14" s="252" t="n"/>
    </row>
    <row r="15" ht="19.5" customHeight="1">
      <c r="B15" s="83" t="n"/>
      <c r="C15" s="89" t="n"/>
      <c r="D15" s="253" t="n"/>
      <c r="E15" s="91" t="n"/>
      <c r="F15" s="91" t="n"/>
      <c r="G15" s="91" t="n"/>
      <c r="H15" s="91" t="n"/>
      <c r="I15" s="91" t="n"/>
      <c r="J15" s="91" t="n"/>
      <c r="K15" s="91" t="n"/>
      <c r="L15" s="254" t="n"/>
      <c r="M15" s="255" t="n"/>
    </row>
    <row r="16" ht="21.75" customHeight="1">
      <c r="B16" s="169" t="inlineStr">
        <is>
          <t>TOTAL WEEKLY PAYROLL</t>
        </is>
      </c>
      <c r="C16" s="173" t="n"/>
      <c r="D16" s="173" t="n"/>
      <c r="E16" s="173" t="n"/>
      <c r="F16" s="173" t="n"/>
      <c r="G16" s="173" t="n"/>
      <c r="H16" s="173" t="n"/>
      <c r="I16" s="173" t="n"/>
      <c r="J16" s="173" t="n"/>
      <c r="K16" s="173" t="n"/>
      <c r="L16" s="256">
        <f>SUM(L8:L15)</f>
        <v/>
      </c>
      <c r="M16" s="257">
        <f>SUM(M8:M15)</f>
        <v/>
      </c>
    </row>
    <row r="18" ht="7.5" customHeight="1"/>
    <row r="19" ht="19.5" customHeight="1">
      <c r="B19" s="146" t="inlineStr">
        <is>
          <t xml:space="preserve">  MONTHLY PAYROLL PROJECTION</t>
        </is>
      </c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</row>
    <row r="20" ht="27.75" customHeight="1">
      <c r="B20" s="160" t="inlineStr">
        <is>
          <t>Staff Name</t>
        </is>
      </c>
      <c r="C20" s="160" t="inlineStr">
        <is>
          <t>Role</t>
        </is>
      </c>
      <c r="D20" s="160" t="inlineStr">
        <is>
          <t>Week Pay ($)</t>
        </is>
      </c>
      <c r="E20" s="160" t="inlineStr">
        <is>
          <t>x Weeks/Month</t>
        </is>
      </c>
      <c r="F20" s="160" t="inlineStr">
        <is>
          <t>Monthly ($)</t>
        </is>
      </c>
      <c r="G20" s="160" t="inlineStr">
        <is>
          <t>IMSS / Benefits %</t>
        </is>
      </c>
      <c r="H20" s="160" t="inlineStr">
        <is>
          <t>Total Monthly Cost ($)</t>
        </is>
      </c>
      <c r="I20" s="160" t="inlineStr">
        <is>
          <t>Notes</t>
        </is>
      </c>
    </row>
    <row r="21" ht="18" customHeight="1">
      <c r="B21" s="96">
        <f>B8</f>
        <v/>
      </c>
      <c r="C21" s="155" t="inlineStr">
        <is>
          <t>Head Chef</t>
        </is>
      </c>
      <c r="D21" s="258">
        <f>M8</f>
        <v/>
      </c>
      <c r="E21" s="259" t="n">
        <v>4</v>
      </c>
      <c r="F21" s="260">
        <f>D21*E21</f>
        <v/>
      </c>
      <c r="G21" s="261" t="n">
        <v>0.08</v>
      </c>
      <c r="H21" s="262">
        <f>F21*(1+G21)</f>
        <v/>
      </c>
      <c r="I21" s="75" t="n"/>
    </row>
    <row r="22" ht="18" customHeight="1">
      <c r="B22" s="102">
        <f>B9</f>
        <v/>
      </c>
      <c r="C22" s="156" t="inlineStr">
        <is>
          <t>Sous Chef</t>
        </is>
      </c>
      <c r="D22" s="263">
        <f>M9</f>
        <v/>
      </c>
      <c r="E22" s="264" t="n">
        <v>4</v>
      </c>
      <c r="F22" s="265">
        <f>D22*E22</f>
        <v/>
      </c>
      <c r="G22" s="266" t="n">
        <v>0.08</v>
      </c>
      <c r="H22" s="267">
        <f>F22*(1+G22)</f>
        <v/>
      </c>
      <c r="I22" s="82" t="n"/>
    </row>
    <row r="23" ht="18" customHeight="1">
      <c r="B23" s="96">
        <f>B10</f>
        <v/>
      </c>
      <c r="C23" s="155" t="inlineStr">
        <is>
          <t>Waiter 1</t>
        </is>
      </c>
      <c r="D23" s="258">
        <f>M10</f>
        <v/>
      </c>
      <c r="E23" s="259" t="n">
        <v>4</v>
      </c>
      <c r="F23" s="260">
        <f>D23*E23</f>
        <v/>
      </c>
      <c r="G23" s="261" t="n">
        <v>0.08</v>
      </c>
      <c r="H23" s="262">
        <f>F23*(1+G23)</f>
        <v/>
      </c>
      <c r="I23" s="75" t="n"/>
    </row>
    <row r="24" ht="18" customHeight="1">
      <c r="B24" s="102">
        <f>B11</f>
        <v/>
      </c>
      <c r="C24" s="156" t="inlineStr">
        <is>
          <t>Waiter 2</t>
        </is>
      </c>
      <c r="D24" s="263">
        <f>M11</f>
        <v/>
      </c>
      <c r="E24" s="264" t="n">
        <v>4</v>
      </c>
      <c r="F24" s="265">
        <f>D24*E24</f>
        <v/>
      </c>
      <c r="G24" s="266" t="n">
        <v>0.08</v>
      </c>
      <c r="H24" s="267">
        <f>F24*(1+G24)</f>
        <v/>
      </c>
      <c r="I24" s="82" t="n"/>
    </row>
    <row r="25" ht="18" customHeight="1">
      <c r="B25" s="96">
        <f>B12</f>
        <v/>
      </c>
      <c r="C25" s="155" t="inlineStr">
        <is>
          <t>Barista</t>
        </is>
      </c>
      <c r="D25" s="258">
        <f>M12</f>
        <v/>
      </c>
      <c r="E25" s="259" t="n">
        <v>4</v>
      </c>
      <c r="F25" s="260">
        <f>D25*E25</f>
        <v/>
      </c>
      <c r="G25" s="261" t="n">
        <v>0.08</v>
      </c>
      <c r="H25" s="262">
        <f>F25*(1+G25)</f>
        <v/>
      </c>
      <c r="I25" s="75" t="n"/>
    </row>
    <row r="26" ht="18" customHeight="1">
      <c r="B26" s="102">
        <f>B13</f>
        <v/>
      </c>
      <c r="C26" s="156" t="inlineStr">
        <is>
          <t>Cashier</t>
        </is>
      </c>
      <c r="D26" s="263">
        <f>M13</f>
        <v/>
      </c>
      <c r="E26" s="264" t="n">
        <v>4</v>
      </c>
      <c r="F26" s="265">
        <f>D26*E26</f>
        <v/>
      </c>
      <c r="G26" s="266" t="n">
        <v>0.08</v>
      </c>
      <c r="H26" s="267">
        <f>F26*(1+G26)</f>
        <v/>
      </c>
      <c r="I26" s="82" t="n"/>
    </row>
    <row r="27" ht="18" customHeight="1">
      <c r="B27" s="96">
        <f>B14</f>
        <v/>
      </c>
      <c r="C27" s="155" t="inlineStr">
        <is>
          <t>Kitchen Helper</t>
        </is>
      </c>
      <c r="D27" s="258">
        <f>M14</f>
        <v/>
      </c>
      <c r="E27" s="259" t="n">
        <v>4</v>
      </c>
      <c r="F27" s="260">
        <f>D27*E27</f>
        <v/>
      </c>
      <c r="G27" s="261" t="n">
        <v>0.08</v>
      </c>
      <c r="H27" s="262">
        <f>F27*(1+G27)</f>
        <v/>
      </c>
      <c r="I27" s="75" t="n"/>
    </row>
    <row r="28" ht="18" customHeight="1">
      <c r="B28" s="102">
        <f>B15</f>
        <v/>
      </c>
      <c r="C28" s="156" t="inlineStr">
        <is>
          <t>Cleaner</t>
        </is>
      </c>
      <c r="D28" s="263">
        <f>M15</f>
        <v/>
      </c>
      <c r="E28" s="264" t="n">
        <v>4</v>
      </c>
      <c r="F28" s="265">
        <f>D28*E28</f>
        <v/>
      </c>
      <c r="G28" s="266" t="n">
        <v>0.08</v>
      </c>
      <c r="H28" s="267">
        <f>F28*(1+G28)</f>
        <v/>
      </c>
      <c r="I28" s="82" t="n"/>
    </row>
    <row r="29" ht="21.75" customHeight="1">
      <c r="B29" s="169" t="inlineStr">
        <is>
          <t>TOTAL MONTHLY PAYROLL COST</t>
        </is>
      </c>
      <c r="C29" s="173" t="n"/>
      <c r="D29" s="173" t="n"/>
      <c r="E29" s="173" t="n"/>
      <c r="F29" s="173" t="n"/>
      <c r="G29" s="173" t="n"/>
      <c r="H29" s="257">
        <f>SUM(H21:H28)</f>
        <v/>
      </c>
    </row>
  </sheetData>
  <mergeCells count="8">
    <mergeCell ref="B16:K16"/>
    <mergeCell ref="B19:M19"/>
    <mergeCell ref="B29:G29"/>
    <mergeCell ref="A2:F2"/>
    <mergeCell ref="G2:M2"/>
    <mergeCell ref="A3:M3"/>
    <mergeCell ref="B6:D6"/>
    <mergeCell ref="E6:M6"/>
  </mergeCells>
  <dataValidations count="1">
    <dataValidation sqref="E8:K50" showErrorMessage="1" showInput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/>
  <cols>
    <col width="4" customWidth="1" min="1" max="1"/>
    <col width="14" customWidth="1" min="2" max="2"/>
    <col width="22" customWidth="1" min="3" max="3"/>
    <col width="20" customWidth="1" min="4" max="4"/>
    <col width="12" customWidth="1" min="5" max="5"/>
    <col width="10" customWidth="1" min="6" max="6"/>
    <col width="12" customWidth="1" min="7" max="7"/>
    <col width="14" customWidth="1" min="8" max="9"/>
    <col width="18" customWidth="1" min="10" max="10"/>
    <col width="16" customWidth="1" min="11" max="11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7.5" customHeight="1">
      <c r="A2" s="141" t="inlineStr">
        <is>
          <t>🚚  LOKA — SUPPLIER ORDERS</t>
        </is>
      </c>
      <c r="F2" s="142" t="inlineStr">
        <is>
          <t>Track purchase orders from suppliers</t>
        </is>
      </c>
    </row>
    <row r="3" ht="3.75" customHeight="1">
      <c r="A3" s="143" t="n"/>
    </row>
    <row r="4" ht="7.5" customHeight="1"/>
    <row r="5" ht="18" customHeight="1">
      <c r="B5" s="53" t="inlineStr">
        <is>
          <t>TOTAL ORDERS</t>
        </is>
      </c>
      <c r="C5" s="53" t="inlineStr">
        <is>
          <t>PENDING</t>
        </is>
      </c>
      <c r="D5" s="53" t="inlineStr">
        <is>
          <t>IN TRANSIT</t>
        </is>
      </c>
      <c r="E5" s="53" t="inlineStr">
        <is>
          <t>RECEIVED</t>
        </is>
      </c>
      <c r="F5" s="53" t="inlineStr">
        <is>
          <t>MONTH SPEND</t>
        </is>
      </c>
      <c r="G5" s="53" t="inlineStr">
        <is>
          <t>PENDING VALUE</t>
        </is>
      </c>
      <c r="H5" s="53" t="inlineStr">
        <is>
          <t>PENDING COUNT</t>
        </is>
      </c>
    </row>
    <row r="6" ht="25.5" customHeight="1">
      <c r="B6" s="239">
        <f>COUNTA(C9:C308)-1</f>
        <v/>
      </c>
      <c r="C6" s="268">
        <f>COUNTIF(K9:K308,"Pending")</f>
        <v/>
      </c>
      <c r="D6" s="269">
        <f>COUNTIF(K9:K308,"In Transit")</f>
        <v/>
      </c>
      <c r="E6" s="270">
        <f>COUNTIF(K9:K308,"Received")</f>
        <v/>
      </c>
      <c r="F6" s="271">
        <f>SUMIF(K9:K308,"Received",J9:J308)</f>
        <v/>
      </c>
      <c r="G6" s="228">
        <f>SUMIF(K9:K308,"Pending",J9:J308)</f>
        <v/>
      </c>
      <c r="H6" s="268">
        <f>COUNTIF(K9:K308,"Pending")+COUNTIF(K9:K308,"In Transit")</f>
        <v/>
      </c>
    </row>
    <row r="7" ht="7.5" customHeight="1"/>
    <row r="8" ht="19.5" customHeight="1">
      <c r="B8" s="144" t="inlineStr">
        <is>
          <t>📌  Log every supplier order here. Update Status as it progresses: Pending → Confirmed → In Transit → Received. Amount auto-calculates.</t>
        </is>
      </c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</row>
    <row r="9" ht="27.75" customHeight="1">
      <c r="B9" s="160" t="inlineStr">
        <is>
          <t>Order Date</t>
        </is>
      </c>
      <c r="C9" s="160" t="inlineStr">
        <is>
          <t>Item / Ingredient</t>
        </is>
      </c>
      <c r="D9" s="160" t="inlineStr">
        <is>
          <t>Supplier</t>
        </is>
      </c>
      <c r="E9" s="160" t="inlineStr">
        <is>
          <t>Category</t>
        </is>
      </c>
      <c r="F9" s="160" t="inlineStr">
        <is>
          <t>Qty</t>
        </is>
      </c>
      <c r="G9" s="160" t="inlineStr">
        <is>
          <t>Unit</t>
        </is>
      </c>
      <c r="H9" s="160" t="inlineStr">
        <is>
          <t>Unit Price ($)</t>
        </is>
      </c>
      <c r="I9" s="160" t="inlineStr">
        <is>
          <t>Expected Date</t>
        </is>
      </c>
      <c r="J9" s="160" t="inlineStr">
        <is>
          <t>Total ($)</t>
        </is>
      </c>
      <c r="K9" s="160" t="inlineStr">
        <is>
          <t>Status</t>
        </is>
      </c>
    </row>
    <row r="10" ht="15.75" customHeight="1">
      <c r="B10" s="58" t="n"/>
      <c r="C10" s="60" t="n"/>
      <c r="D10" s="59" t="n"/>
      <c r="E10" s="59" t="n"/>
      <c r="F10" s="272" t="n"/>
      <c r="G10" s="10" t="n"/>
      <c r="H10" s="273" t="n"/>
      <c r="I10" s="114" t="n"/>
      <c r="J10" s="274">
        <f>IFERROR(IF(F10*H10=0,"",F10*H10),"")</f>
        <v/>
      </c>
      <c r="K10" s="74" t="inlineStr">
        <is>
          <t>Pending</t>
        </is>
      </c>
    </row>
    <row r="11" ht="15.75" customHeight="1">
      <c r="B11" s="58" t="n"/>
      <c r="C11" s="63" t="n"/>
      <c r="D11" s="62" t="n"/>
      <c r="E11" s="62" t="n"/>
      <c r="F11" s="275" t="n"/>
      <c r="G11" s="19" t="n"/>
      <c r="H11" s="276" t="n"/>
      <c r="I11" s="118" t="n"/>
      <c r="J11" s="277">
        <f>IFERROR(IF(F11*H11=0,"",F11*H11),"")</f>
        <v/>
      </c>
      <c r="K11" s="81" t="inlineStr">
        <is>
          <t>Pending</t>
        </is>
      </c>
    </row>
    <row r="12" ht="15.75" customHeight="1">
      <c r="B12" s="58" t="n"/>
      <c r="C12" s="60" t="n"/>
      <c r="D12" s="59" t="n"/>
      <c r="E12" s="59" t="n"/>
      <c r="F12" s="272" t="n"/>
      <c r="G12" s="10" t="n"/>
      <c r="H12" s="273" t="n"/>
      <c r="I12" s="114" t="n"/>
      <c r="J12" s="274">
        <f>IFERROR(IF(F12*H12=0,"",F12*H12),"")</f>
        <v/>
      </c>
      <c r="K12" s="74" t="inlineStr">
        <is>
          <t>Pending</t>
        </is>
      </c>
    </row>
    <row r="13" ht="15.75" customHeight="1">
      <c r="B13" s="58" t="n"/>
      <c r="C13" s="63" t="n"/>
      <c r="D13" s="62" t="n"/>
      <c r="E13" s="62" t="n"/>
      <c r="F13" s="275" t="n"/>
      <c r="G13" s="19" t="n"/>
      <c r="H13" s="276" t="n"/>
      <c r="I13" s="118" t="n"/>
      <c r="J13" s="277">
        <f>IFERROR(IF(F13*H13=0,"",F13*H13),"")</f>
        <v/>
      </c>
      <c r="K13" s="81" t="inlineStr">
        <is>
          <t>Pending</t>
        </is>
      </c>
    </row>
    <row r="14" ht="15.75" customHeight="1">
      <c r="B14" s="58" t="n"/>
      <c r="C14" s="60" t="n"/>
      <c r="D14" s="59" t="n"/>
      <c r="E14" s="59" t="n"/>
      <c r="F14" s="272" t="n"/>
      <c r="G14" s="10" t="n"/>
      <c r="H14" s="273" t="n"/>
      <c r="I14" s="114" t="n"/>
      <c r="J14" s="274">
        <f>IFERROR(IF(F14*H14=0,"",F14*H14),"")</f>
        <v/>
      </c>
      <c r="K14" s="74" t="inlineStr">
        <is>
          <t>Pending</t>
        </is>
      </c>
    </row>
    <row r="15" ht="15.75" customHeight="1">
      <c r="B15" s="58" t="n"/>
      <c r="C15" s="63" t="n"/>
      <c r="D15" s="62" t="n"/>
      <c r="E15" s="62" t="n"/>
      <c r="F15" s="275" t="n"/>
      <c r="G15" s="19" t="n"/>
      <c r="H15" s="276" t="n"/>
      <c r="I15" s="118" t="n"/>
      <c r="J15" s="277">
        <f>IFERROR(IF(F15*H15=0,"",F15*H15),"")</f>
        <v/>
      </c>
      <c r="K15" s="81" t="inlineStr">
        <is>
          <t>Pending</t>
        </is>
      </c>
    </row>
    <row r="16" ht="15.75" customHeight="1">
      <c r="B16" s="58" t="n"/>
      <c r="C16" s="60" t="n"/>
      <c r="D16" s="59" t="n"/>
      <c r="E16" s="59" t="n"/>
      <c r="F16" s="272" t="n"/>
      <c r="G16" s="10" t="n"/>
      <c r="H16" s="273" t="n"/>
      <c r="I16" s="114" t="n"/>
      <c r="J16" s="274">
        <f>IFERROR(IF(F16*H16=0,"",F16*H16),"")</f>
        <v/>
      </c>
      <c r="K16" s="74" t="inlineStr">
        <is>
          <t>Pending</t>
        </is>
      </c>
    </row>
    <row r="17" ht="15.75" customHeight="1">
      <c r="B17" s="58" t="n"/>
      <c r="C17" s="63" t="n"/>
      <c r="D17" s="62" t="n"/>
      <c r="E17" s="62" t="n"/>
      <c r="F17" s="275" t="n"/>
      <c r="G17" s="19" t="n"/>
      <c r="H17" s="276" t="n"/>
      <c r="I17" s="118" t="n"/>
      <c r="J17" s="277">
        <f>IFERROR(IF(F17*H17=0,"",F17*H17),"")</f>
        <v/>
      </c>
      <c r="K17" s="81" t="inlineStr">
        <is>
          <t>Pending</t>
        </is>
      </c>
    </row>
    <row r="18" ht="15.75" customHeight="1">
      <c r="B18" s="58" t="n"/>
      <c r="C18" s="60" t="n"/>
      <c r="D18" s="59" t="n"/>
      <c r="E18" s="59" t="n"/>
      <c r="F18" s="272" t="n"/>
      <c r="G18" s="10" t="n"/>
      <c r="H18" s="273" t="n"/>
      <c r="I18" s="114" t="n"/>
      <c r="J18" s="274">
        <f>IFERROR(IF(F18*H18=0,"",F18*H18),"")</f>
        <v/>
      </c>
      <c r="K18" s="74" t="inlineStr">
        <is>
          <t>Pending</t>
        </is>
      </c>
    </row>
    <row r="19" ht="15.75" customHeight="1">
      <c r="B19" s="58" t="n"/>
      <c r="C19" s="63" t="n"/>
      <c r="D19" s="62" t="n"/>
      <c r="E19" s="62" t="n"/>
      <c r="F19" s="275" t="n"/>
      <c r="G19" s="19" t="n"/>
      <c r="H19" s="276" t="n"/>
      <c r="I19" s="118" t="n"/>
      <c r="J19" s="277">
        <f>IFERROR(IF(F19*H19=0,"",F19*H19),"")</f>
        <v/>
      </c>
      <c r="K19" s="81" t="inlineStr">
        <is>
          <t>Pending</t>
        </is>
      </c>
    </row>
    <row r="20" ht="15.75" customHeight="1">
      <c r="B20" s="58" t="n"/>
      <c r="C20" s="60" t="n"/>
      <c r="D20" s="59" t="n"/>
      <c r="E20" s="59" t="n"/>
      <c r="F20" s="272" t="n"/>
      <c r="G20" s="10" t="n"/>
      <c r="H20" s="273" t="n"/>
      <c r="I20" s="114" t="n"/>
      <c r="J20" s="274">
        <f>IFERROR(IF(F20*H20=0,"",F20*H20),"")</f>
        <v/>
      </c>
      <c r="K20" s="74" t="inlineStr">
        <is>
          <t>Pending</t>
        </is>
      </c>
    </row>
    <row r="21" ht="15.75" customHeight="1">
      <c r="B21" s="58" t="n"/>
      <c r="C21" s="63" t="n"/>
      <c r="D21" s="62" t="n"/>
      <c r="E21" s="62" t="n"/>
      <c r="F21" s="275" t="n"/>
      <c r="G21" s="19" t="n"/>
      <c r="H21" s="276" t="n"/>
      <c r="I21" s="118" t="n"/>
      <c r="J21" s="277">
        <f>IFERROR(IF(F21*H21=0,"",F21*H21),"")</f>
        <v/>
      </c>
      <c r="K21" s="81" t="inlineStr">
        <is>
          <t>Pending</t>
        </is>
      </c>
    </row>
    <row r="22" ht="15.75" customHeight="1">
      <c r="B22" s="58" t="n"/>
      <c r="C22" s="60" t="n"/>
      <c r="D22" s="59" t="n"/>
      <c r="E22" s="59" t="n"/>
      <c r="F22" s="272" t="n"/>
      <c r="G22" s="10" t="n"/>
      <c r="H22" s="273" t="n"/>
      <c r="I22" s="114" t="n"/>
      <c r="J22" s="274">
        <f>IFERROR(IF(F22*H22=0,"",F22*H22),"")</f>
        <v/>
      </c>
      <c r="K22" s="74" t="inlineStr">
        <is>
          <t>Pending</t>
        </is>
      </c>
    </row>
    <row r="23" ht="15.75" customHeight="1">
      <c r="B23" s="58" t="n"/>
      <c r="C23" s="63" t="n"/>
      <c r="D23" s="62" t="n"/>
      <c r="E23" s="62" t="n"/>
      <c r="F23" s="275" t="n"/>
      <c r="G23" s="19" t="n"/>
      <c r="H23" s="276" t="n"/>
      <c r="I23" s="118" t="n"/>
      <c r="J23" s="277">
        <f>IFERROR(IF(F23*H23=0,"",F23*H23),"")</f>
        <v/>
      </c>
      <c r="K23" s="81" t="inlineStr">
        <is>
          <t>Pending</t>
        </is>
      </c>
    </row>
    <row r="24" ht="15.75" customHeight="1">
      <c r="B24" s="58" t="n"/>
      <c r="C24" s="60" t="n"/>
      <c r="D24" s="59" t="n"/>
      <c r="E24" s="59" t="n"/>
      <c r="F24" s="272" t="n"/>
      <c r="G24" s="10" t="n"/>
      <c r="H24" s="273" t="n"/>
      <c r="I24" s="114" t="n"/>
      <c r="J24" s="274">
        <f>IFERROR(IF(F24*H24=0,"",F24*H24),"")</f>
        <v/>
      </c>
      <c r="K24" s="74" t="inlineStr">
        <is>
          <t>Pending</t>
        </is>
      </c>
    </row>
    <row r="25" ht="15.75" customHeight="1">
      <c r="B25" s="58" t="n"/>
      <c r="C25" s="63" t="n"/>
      <c r="D25" s="62" t="n"/>
      <c r="E25" s="62" t="n"/>
      <c r="F25" s="275" t="n"/>
      <c r="G25" s="19" t="n"/>
      <c r="H25" s="276" t="n"/>
      <c r="I25" s="118" t="n"/>
      <c r="J25" s="277">
        <f>IFERROR(IF(F25*H25=0,"",F25*H25),"")</f>
        <v/>
      </c>
      <c r="K25" s="81" t="inlineStr">
        <is>
          <t>Pending</t>
        </is>
      </c>
    </row>
    <row r="26" ht="15.75" customHeight="1">
      <c r="B26" s="58" t="n"/>
      <c r="C26" s="60" t="n"/>
      <c r="D26" s="59" t="n"/>
      <c r="E26" s="59" t="n"/>
      <c r="F26" s="272" t="n"/>
      <c r="G26" s="10" t="n"/>
      <c r="H26" s="273" t="n"/>
      <c r="I26" s="114" t="n"/>
      <c r="J26" s="274">
        <f>IFERROR(IF(F26*H26=0,"",F26*H26),"")</f>
        <v/>
      </c>
      <c r="K26" s="74" t="inlineStr">
        <is>
          <t>Pending</t>
        </is>
      </c>
    </row>
    <row r="27" ht="15.75" customHeight="1">
      <c r="B27" s="58" t="n"/>
      <c r="C27" s="63" t="n"/>
      <c r="D27" s="62" t="n"/>
      <c r="E27" s="62" t="n"/>
      <c r="F27" s="275" t="n"/>
      <c r="G27" s="19" t="n"/>
      <c r="H27" s="276" t="n"/>
      <c r="I27" s="118" t="n"/>
      <c r="J27" s="277">
        <f>IFERROR(IF(F27*H27=0,"",F27*H27),"")</f>
        <v/>
      </c>
      <c r="K27" s="81" t="inlineStr">
        <is>
          <t>Pending</t>
        </is>
      </c>
    </row>
    <row r="28" ht="15.75" customHeight="1">
      <c r="B28" s="58" t="n"/>
      <c r="C28" s="60" t="n"/>
      <c r="D28" s="59" t="n"/>
      <c r="E28" s="59" t="n"/>
      <c r="F28" s="272" t="n"/>
      <c r="G28" s="10" t="n"/>
      <c r="H28" s="273" t="n"/>
      <c r="I28" s="114" t="n"/>
      <c r="J28" s="274">
        <f>IFERROR(IF(F28*H28=0,"",F28*H28),"")</f>
        <v/>
      </c>
      <c r="K28" s="74" t="inlineStr">
        <is>
          <t>Pending</t>
        </is>
      </c>
    </row>
    <row r="29" ht="15.75" customHeight="1">
      <c r="B29" s="58" t="n"/>
      <c r="C29" s="63" t="n"/>
      <c r="D29" s="62" t="n"/>
      <c r="E29" s="62" t="n"/>
      <c r="F29" s="275" t="n"/>
      <c r="G29" s="19" t="n"/>
      <c r="H29" s="276" t="n"/>
      <c r="I29" s="118" t="n"/>
      <c r="J29" s="277">
        <f>IFERROR(IF(F29*H29=0,"",F29*H29),"")</f>
        <v/>
      </c>
      <c r="K29" s="81" t="inlineStr">
        <is>
          <t>Pending</t>
        </is>
      </c>
    </row>
    <row r="30" ht="15.75" customHeight="1">
      <c r="B30" s="58" t="n"/>
      <c r="C30" s="60" t="n"/>
      <c r="D30" s="59" t="n"/>
      <c r="E30" s="59" t="n"/>
      <c r="F30" s="272" t="n"/>
      <c r="G30" s="10" t="n"/>
      <c r="H30" s="273" t="n"/>
      <c r="I30" s="114" t="n"/>
      <c r="J30" s="274">
        <f>IFERROR(IF(F30*H30=0,"",F30*H30),"")</f>
        <v/>
      </c>
      <c r="K30" s="74" t="inlineStr">
        <is>
          <t>Pending</t>
        </is>
      </c>
    </row>
    <row r="31" ht="15.75" customHeight="1">
      <c r="B31" s="58" t="n"/>
      <c r="C31" s="63" t="n"/>
      <c r="D31" s="62" t="n"/>
      <c r="E31" s="62" t="n"/>
      <c r="F31" s="275" t="n"/>
      <c r="G31" s="19" t="n"/>
      <c r="H31" s="276" t="n"/>
      <c r="I31" s="118" t="n"/>
      <c r="J31" s="277">
        <f>IFERROR(IF(F31*H31=0,"",F31*H31),"")</f>
        <v/>
      </c>
      <c r="K31" s="81" t="inlineStr">
        <is>
          <t>Pending</t>
        </is>
      </c>
    </row>
    <row r="32" ht="15.75" customHeight="1">
      <c r="B32" s="58" t="n"/>
      <c r="C32" s="60" t="n"/>
      <c r="D32" s="59" t="n"/>
      <c r="E32" s="59" t="n"/>
      <c r="F32" s="272" t="n"/>
      <c r="G32" s="10" t="n"/>
      <c r="H32" s="273" t="n"/>
      <c r="I32" s="114" t="n"/>
      <c r="J32" s="274">
        <f>IFERROR(IF(F32*H32=0,"",F32*H32),"")</f>
        <v/>
      </c>
      <c r="K32" s="74" t="inlineStr">
        <is>
          <t>Pending</t>
        </is>
      </c>
    </row>
    <row r="33" ht="15.75" customHeight="1">
      <c r="B33" s="58" t="n"/>
      <c r="C33" s="63" t="n"/>
      <c r="D33" s="62" t="n"/>
      <c r="E33" s="62" t="n"/>
      <c r="F33" s="275" t="n"/>
      <c r="G33" s="19" t="n"/>
      <c r="H33" s="276" t="n"/>
      <c r="I33" s="118" t="n"/>
      <c r="J33" s="277">
        <f>IFERROR(IF(F33*H33=0,"",F33*H33),"")</f>
        <v/>
      </c>
      <c r="K33" s="81" t="inlineStr">
        <is>
          <t>Pending</t>
        </is>
      </c>
    </row>
    <row r="34" ht="15.75" customHeight="1">
      <c r="B34" s="58" t="n"/>
      <c r="C34" s="60" t="n"/>
      <c r="D34" s="59" t="n"/>
      <c r="E34" s="59" t="n"/>
      <c r="F34" s="272" t="n"/>
      <c r="G34" s="10" t="n"/>
      <c r="H34" s="273" t="n"/>
      <c r="I34" s="114" t="n"/>
      <c r="J34" s="274">
        <f>IFERROR(IF(F34*H34=0,"",F34*H34),"")</f>
        <v/>
      </c>
      <c r="K34" s="74" t="inlineStr">
        <is>
          <t>Pending</t>
        </is>
      </c>
    </row>
    <row r="35" ht="15.75" customHeight="1">
      <c r="B35" s="58" t="n"/>
      <c r="C35" s="63" t="n"/>
      <c r="D35" s="62" t="n"/>
      <c r="E35" s="62" t="n"/>
      <c r="F35" s="275" t="n"/>
      <c r="G35" s="19" t="n"/>
      <c r="H35" s="276" t="n"/>
      <c r="I35" s="118" t="n"/>
      <c r="J35" s="277">
        <f>IFERROR(IF(F35*H35=0,"",F35*H35),"")</f>
        <v/>
      </c>
      <c r="K35" s="81" t="inlineStr">
        <is>
          <t>Pending</t>
        </is>
      </c>
    </row>
    <row r="36" ht="15.75" customHeight="1">
      <c r="B36" s="58" t="n"/>
      <c r="C36" s="60" t="n"/>
      <c r="D36" s="59" t="n"/>
      <c r="E36" s="59" t="n"/>
      <c r="F36" s="272" t="n"/>
      <c r="G36" s="10" t="n"/>
      <c r="H36" s="273" t="n"/>
      <c r="I36" s="114" t="n"/>
      <c r="J36" s="274">
        <f>IFERROR(IF(F36*H36=0,"",F36*H36),"")</f>
        <v/>
      </c>
      <c r="K36" s="74" t="inlineStr">
        <is>
          <t>Pending</t>
        </is>
      </c>
    </row>
    <row r="37" ht="15.75" customHeight="1">
      <c r="B37" s="58" t="n"/>
      <c r="C37" s="63" t="n"/>
      <c r="D37" s="62" t="n"/>
      <c r="E37" s="62" t="n"/>
      <c r="F37" s="275" t="n"/>
      <c r="G37" s="19" t="n"/>
      <c r="H37" s="276" t="n"/>
      <c r="I37" s="118" t="n"/>
      <c r="J37" s="277">
        <f>IFERROR(IF(F37*H37=0,"",F37*H37),"")</f>
        <v/>
      </c>
      <c r="K37" s="81" t="inlineStr">
        <is>
          <t>Pending</t>
        </is>
      </c>
    </row>
    <row r="38" ht="15.75" customHeight="1">
      <c r="B38" s="58" t="n"/>
      <c r="C38" s="60" t="n"/>
      <c r="D38" s="59" t="n"/>
      <c r="E38" s="59" t="n"/>
      <c r="F38" s="272" t="n"/>
      <c r="G38" s="10" t="n"/>
      <c r="H38" s="273" t="n"/>
      <c r="I38" s="114" t="n"/>
      <c r="J38" s="274">
        <f>IFERROR(IF(F38*H38=0,"",F38*H38),"")</f>
        <v/>
      </c>
      <c r="K38" s="74" t="inlineStr">
        <is>
          <t>Pending</t>
        </is>
      </c>
    </row>
    <row r="39" ht="15.75" customHeight="1">
      <c r="B39" s="58" t="n"/>
      <c r="C39" s="63" t="n"/>
      <c r="D39" s="62" t="n"/>
      <c r="E39" s="62" t="n"/>
      <c r="F39" s="275" t="n"/>
      <c r="G39" s="19" t="n"/>
      <c r="H39" s="276" t="n"/>
      <c r="I39" s="118" t="n"/>
      <c r="J39" s="277">
        <f>IFERROR(IF(F39*H39=0,"",F39*H39),"")</f>
        <v/>
      </c>
      <c r="K39" s="81" t="inlineStr">
        <is>
          <t>Pending</t>
        </is>
      </c>
    </row>
    <row r="40" ht="15.75" customHeight="1">
      <c r="B40" s="58" t="n"/>
      <c r="C40" s="60" t="n"/>
      <c r="D40" s="59" t="n"/>
      <c r="E40" s="59" t="n"/>
      <c r="F40" s="272" t="n"/>
      <c r="G40" s="10" t="n"/>
      <c r="H40" s="273" t="n"/>
      <c r="I40" s="114" t="n"/>
      <c r="J40" s="274">
        <f>IFERROR(IF(F40*H40=0,"",F40*H40),"")</f>
        <v/>
      </c>
      <c r="K40" s="74" t="inlineStr">
        <is>
          <t>Pending</t>
        </is>
      </c>
    </row>
    <row r="41" ht="15.75" customHeight="1">
      <c r="B41" s="58" t="n"/>
      <c r="C41" s="63" t="n"/>
      <c r="D41" s="62" t="n"/>
      <c r="E41" s="62" t="n"/>
      <c r="F41" s="275" t="n"/>
      <c r="G41" s="19" t="n"/>
      <c r="H41" s="276" t="n"/>
      <c r="I41" s="118" t="n"/>
      <c r="J41" s="277">
        <f>IFERROR(IF(F41*H41=0,"",F41*H41),"")</f>
        <v/>
      </c>
      <c r="K41" s="81" t="inlineStr">
        <is>
          <t>Pending</t>
        </is>
      </c>
    </row>
    <row r="42" ht="15.75" customHeight="1">
      <c r="B42" s="58" t="n"/>
      <c r="C42" s="60" t="n"/>
      <c r="D42" s="59" t="n"/>
      <c r="E42" s="59" t="n"/>
      <c r="F42" s="272" t="n"/>
      <c r="G42" s="10" t="n"/>
      <c r="H42" s="273" t="n"/>
      <c r="I42" s="114" t="n"/>
      <c r="J42" s="274">
        <f>IFERROR(IF(F42*H42=0,"",F42*H42),"")</f>
        <v/>
      </c>
      <c r="K42" s="74" t="inlineStr">
        <is>
          <t>Pending</t>
        </is>
      </c>
    </row>
    <row r="43" ht="15.75" customHeight="1">
      <c r="B43" s="58" t="n"/>
      <c r="C43" s="63" t="n"/>
      <c r="D43" s="62" t="n"/>
      <c r="E43" s="62" t="n"/>
      <c r="F43" s="275" t="n"/>
      <c r="G43" s="19" t="n"/>
      <c r="H43" s="276" t="n"/>
      <c r="I43" s="118" t="n"/>
      <c r="J43" s="277">
        <f>IFERROR(IF(F43*H43=0,"",F43*H43),"")</f>
        <v/>
      </c>
      <c r="K43" s="81" t="inlineStr">
        <is>
          <t>Pending</t>
        </is>
      </c>
    </row>
    <row r="44" ht="15.75" customHeight="1">
      <c r="B44" s="58" t="n"/>
      <c r="C44" s="60" t="n"/>
      <c r="D44" s="59" t="n"/>
      <c r="E44" s="59" t="n"/>
      <c r="F44" s="272" t="n"/>
      <c r="G44" s="10" t="n"/>
      <c r="H44" s="273" t="n"/>
      <c r="I44" s="114" t="n"/>
      <c r="J44" s="274">
        <f>IFERROR(IF(F44*H44=0,"",F44*H44),"")</f>
        <v/>
      </c>
      <c r="K44" s="74" t="inlineStr">
        <is>
          <t>Pending</t>
        </is>
      </c>
    </row>
    <row r="45" ht="15.75" customHeight="1">
      <c r="B45" s="58" t="n"/>
      <c r="C45" s="63" t="n"/>
      <c r="D45" s="62" t="n"/>
      <c r="E45" s="62" t="n"/>
      <c r="F45" s="275" t="n"/>
      <c r="G45" s="19" t="n"/>
      <c r="H45" s="276" t="n"/>
      <c r="I45" s="118" t="n"/>
      <c r="J45" s="277">
        <f>IFERROR(IF(F45*H45=0,"",F45*H45),"")</f>
        <v/>
      </c>
      <c r="K45" s="81" t="inlineStr">
        <is>
          <t>Pending</t>
        </is>
      </c>
    </row>
    <row r="46" ht="15.75" customHeight="1">
      <c r="B46" s="58" t="n"/>
      <c r="C46" s="60" t="n"/>
      <c r="D46" s="59" t="n"/>
      <c r="E46" s="59" t="n"/>
      <c r="F46" s="272" t="n"/>
      <c r="G46" s="10" t="n"/>
      <c r="H46" s="273" t="n"/>
      <c r="I46" s="114" t="n"/>
      <c r="J46" s="274">
        <f>IFERROR(IF(F46*H46=0,"",F46*H46),"")</f>
        <v/>
      </c>
      <c r="K46" s="74" t="inlineStr">
        <is>
          <t>Pending</t>
        </is>
      </c>
    </row>
    <row r="47" ht="15.75" customHeight="1">
      <c r="B47" s="58" t="n"/>
      <c r="C47" s="63" t="n"/>
      <c r="D47" s="62" t="n"/>
      <c r="E47" s="62" t="n"/>
      <c r="F47" s="275" t="n"/>
      <c r="G47" s="19" t="n"/>
      <c r="H47" s="276" t="n"/>
      <c r="I47" s="118" t="n"/>
      <c r="J47" s="277">
        <f>IFERROR(IF(F47*H47=0,"",F47*H47),"")</f>
        <v/>
      </c>
      <c r="K47" s="81" t="inlineStr">
        <is>
          <t>Pending</t>
        </is>
      </c>
    </row>
    <row r="48" ht="15.75" customHeight="1">
      <c r="B48" s="58" t="n"/>
      <c r="C48" s="60" t="n"/>
      <c r="D48" s="59" t="n"/>
      <c r="E48" s="59" t="n"/>
      <c r="F48" s="272" t="n"/>
      <c r="G48" s="10" t="n"/>
      <c r="H48" s="273" t="n"/>
      <c r="I48" s="114" t="n"/>
      <c r="J48" s="274">
        <f>IFERROR(IF(F48*H48=0,"",F48*H48),"")</f>
        <v/>
      </c>
      <c r="K48" s="74" t="inlineStr">
        <is>
          <t>Pending</t>
        </is>
      </c>
    </row>
    <row r="49" ht="15.75" customHeight="1">
      <c r="B49" s="58" t="n"/>
      <c r="C49" s="63" t="n"/>
      <c r="D49" s="62" t="n"/>
      <c r="E49" s="62" t="n"/>
      <c r="F49" s="275" t="n"/>
      <c r="G49" s="19" t="n"/>
      <c r="H49" s="276" t="n"/>
      <c r="I49" s="118" t="n"/>
      <c r="J49" s="277">
        <f>IFERROR(IF(F49*H49=0,"",F49*H49),"")</f>
        <v/>
      </c>
      <c r="K49" s="81" t="inlineStr">
        <is>
          <t>Pending</t>
        </is>
      </c>
    </row>
    <row r="50" ht="15.75" customHeight="1">
      <c r="B50" s="58" t="n"/>
      <c r="C50" s="60" t="n"/>
      <c r="D50" s="59" t="n"/>
      <c r="E50" s="59" t="n"/>
      <c r="F50" s="272" t="n"/>
      <c r="G50" s="10" t="n"/>
      <c r="H50" s="273" t="n"/>
      <c r="I50" s="114" t="n"/>
      <c r="J50" s="274">
        <f>IFERROR(IF(F50*H50=0,"",F50*H50),"")</f>
        <v/>
      </c>
      <c r="K50" s="74" t="inlineStr">
        <is>
          <t>Pending</t>
        </is>
      </c>
    </row>
    <row r="51" ht="15.75" customHeight="1">
      <c r="B51" s="58" t="n"/>
      <c r="C51" s="63" t="n"/>
      <c r="D51" s="62" t="n"/>
      <c r="E51" s="62" t="n"/>
      <c r="F51" s="275" t="n"/>
      <c r="G51" s="19" t="n"/>
      <c r="H51" s="276" t="n"/>
      <c r="I51" s="118" t="n"/>
      <c r="J51" s="277">
        <f>IFERROR(IF(F51*H51=0,"",F51*H51),"")</f>
        <v/>
      </c>
      <c r="K51" s="81" t="inlineStr">
        <is>
          <t>Pending</t>
        </is>
      </c>
    </row>
    <row r="52" ht="15.75" customHeight="1">
      <c r="B52" s="58" t="n"/>
      <c r="C52" s="60" t="n"/>
      <c r="D52" s="59" t="n"/>
      <c r="E52" s="59" t="n"/>
      <c r="F52" s="272" t="n"/>
      <c r="G52" s="10" t="n"/>
      <c r="H52" s="273" t="n"/>
      <c r="I52" s="114" t="n"/>
      <c r="J52" s="274">
        <f>IFERROR(IF(F52*H52=0,"",F52*H52),"")</f>
        <v/>
      </c>
      <c r="K52" s="74" t="inlineStr">
        <is>
          <t>Pending</t>
        </is>
      </c>
    </row>
    <row r="53" ht="15.75" customHeight="1">
      <c r="B53" s="58" t="n"/>
      <c r="C53" s="63" t="n"/>
      <c r="D53" s="62" t="n"/>
      <c r="E53" s="62" t="n"/>
      <c r="F53" s="275" t="n"/>
      <c r="G53" s="19" t="n"/>
      <c r="H53" s="276" t="n"/>
      <c r="I53" s="118" t="n"/>
      <c r="J53" s="277">
        <f>IFERROR(IF(F53*H53=0,"",F53*H53),"")</f>
        <v/>
      </c>
      <c r="K53" s="81" t="inlineStr">
        <is>
          <t>Pending</t>
        </is>
      </c>
    </row>
    <row r="54" ht="15.75" customHeight="1">
      <c r="B54" s="58" t="n"/>
      <c r="C54" s="60" t="n"/>
      <c r="D54" s="59" t="n"/>
      <c r="E54" s="59" t="n"/>
      <c r="F54" s="272" t="n"/>
      <c r="G54" s="10" t="n"/>
      <c r="H54" s="273" t="n"/>
      <c r="I54" s="114" t="n"/>
      <c r="J54" s="274">
        <f>IFERROR(IF(F54*H54=0,"",F54*H54),"")</f>
        <v/>
      </c>
      <c r="K54" s="74" t="inlineStr">
        <is>
          <t>Pending</t>
        </is>
      </c>
    </row>
    <row r="55" ht="15.75" customHeight="1">
      <c r="B55" s="58" t="n"/>
      <c r="C55" s="63" t="n"/>
      <c r="D55" s="62" t="n"/>
      <c r="E55" s="62" t="n"/>
      <c r="F55" s="275" t="n"/>
      <c r="G55" s="19" t="n"/>
      <c r="H55" s="276" t="n"/>
      <c r="I55" s="118" t="n"/>
      <c r="J55" s="277">
        <f>IFERROR(IF(F55*H55=0,"",F55*H55),"")</f>
        <v/>
      </c>
      <c r="K55" s="81" t="inlineStr">
        <is>
          <t>Pending</t>
        </is>
      </c>
    </row>
    <row r="56" ht="15.75" customHeight="1">
      <c r="B56" s="58" t="n"/>
      <c r="C56" s="60" t="n"/>
      <c r="D56" s="59" t="n"/>
      <c r="E56" s="59" t="n"/>
      <c r="F56" s="272" t="n"/>
      <c r="G56" s="10" t="n"/>
      <c r="H56" s="273" t="n"/>
      <c r="I56" s="114" t="n"/>
      <c r="J56" s="274">
        <f>IFERROR(IF(F56*H56=0,"",F56*H56),"")</f>
        <v/>
      </c>
      <c r="K56" s="74" t="inlineStr">
        <is>
          <t>Pending</t>
        </is>
      </c>
    </row>
    <row r="57" ht="15.75" customHeight="1">
      <c r="B57" s="58" t="n"/>
      <c r="C57" s="63" t="n"/>
      <c r="D57" s="62" t="n"/>
      <c r="E57" s="62" t="n"/>
      <c r="F57" s="275" t="n"/>
      <c r="G57" s="19" t="n"/>
      <c r="H57" s="276" t="n"/>
      <c r="I57" s="118" t="n"/>
      <c r="J57" s="277">
        <f>IFERROR(IF(F57*H57=0,"",F57*H57),"")</f>
        <v/>
      </c>
      <c r="K57" s="81" t="inlineStr">
        <is>
          <t>Pending</t>
        </is>
      </c>
    </row>
    <row r="58" ht="15.75" customHeight="1">
      <c r="B58" s="58" t="n"/>
      <c r="C58" s="60" t="n"/>
      <c r="D58" s="59" t="n"/>
      <c r="E58" s="59" t="n"/>
      <c r="F58" s="272" t="n"/>
      <c r="G58" s="10" t="n"/>
      <c r="H58" s="273" t="n"/>
      <c r="I58" s="114" t="n"/>
      <c r="J58" s="274">
        <f>IFERROR(IF(F58*H58=0,"",F58*H58),"")</f>
        <v/>
      </c>
      <c r="K58" s="74" t="inlineStr">
        <is>
          <t>Pending</t>
        </is>
      </c>
    </row>
    <row r="59" ht="15.75" customHeight="1">
      <c r="B59" s="58" t="n"/>
      <c r="C59" s="63" t="n"/>
      <c r="D59" s="62" t="n"/>
      <c r="E59" s="62" t="n"/>
      <c r="F59" s="275" t="n"/>
      <c r="G59" s="19" t="n"/>
      <c r="H59" s="276" t="n"/>
      <c r="I59" s="118" t="n"/>
      <c r="J59" s="277">
        <f>IFERROR(IF(F59*H59=0,"",F59*H59),"")</f>
        <v/>
      </c>
      <c r="K59" s="81" t="inlineStr">
        <is>
          <t>Pending</t>
        </is>
      </c>
    </row>
    <row r="60" ht="15.75" customHeight="1">
      <c r="B60" s="58" t="n"/>
      <c r="C60" s="60" t="n"/>
      <c r="D60" s="59" t="n"/>
      <c r="E60" s="59" t="n"/>
      <c r="F60" s="272" t="n"/>
      <c r="G60" s="10" t="n"/>
      <c r="H60" s="273" t="n"/>
      <c r="I60" s="114" t="n"/>
      <c r="J60" s="274">
        <f>IFERROR(IF(F60*H60=0,"",F60*H60),"")</f>
        <v/>
      </c>
      <c r="K60" s="74" t="inlineStr">
        <is>
          <t>Pending</t>
        </is>
      </c>
    </row>
    <row r="61" ht="15.75" customHeight="1">
      <c r="B61" s="58" t="n"/>
      <c r="C61" s="63" t="n"/>
      <c r="D61" s="62" t="n"/>
      <c r="E61" s="62" t="n"/>
      <c r="F61" s="275" t="n"/>
      <c r="G61" s="19" t="n"/>
      <c r="H61" s="276" t="n"/>
      <c r="I61" s="118" t="n"/>
      <c r="J61" s="277">
        <f>IFERROR(IF(F61*H61=0,"",F61*H61),"")</f>
        <v/>
      </c>
      <c r="K61" s="81" t="inlineStr">
        <is>
          <t>Pending</t>
        </is>
      </c>
    </row>
    <row r="62" ht="15.75" customHeight="1">
      <c r="B62" s="58" t="n"/>
      <c r="C62" s="60" t="n"/>
      <c r="D62" s="59" t="n"/>
      <c r="E62" s="59" t="n"/>
      <c r="F62" s="272" t="n"/>
      <c r="G62" s="10" t="n"/>
      <c r="H62" s="273" t="n"/>
      <c r="I62" s="114" t="n"/>
      <c r="J62" s="274">
        <f>IFERROR(IF(F62*H62=0,"",F62*H62),"")</f>
        <v/>
      </c>
      <c r="K62" s="74" t="inlineStr">
        <is>
          <t>Pending</t>
        </is>
      </c>
    </row>
    <row r="63" ht="15.75" customHeight="1">
      <c r="B63" s="58" t="n"/>
      <c r="C63" s="63" t="n"/>
      <c r="D63" s="62" t="n"/>
      <c r="E63" s="62" t="n"/>
      <c r="F63" s="275" t="n"/>
      <c r="G63" s="19" t="n"/>
      <c r="H63" s="276" t="n"/>
      <c r="I63" s="118" t="n"/>
      <c r="J63" s="277">
        <f>IFERROR(IF(F63*H63=0,"",F63*H63),"")</f>
        <v/>
      </c>
      <c r="K63" s="81" t="inlineStr">
        <is>
          <t>Pending</t>
        </is>
      </c>
    </row>
    <row r="64" ht="15.75" customHeight="1">
      <c r="B64" s="58" t="n"/>
      <c r="C64" s="60" t="n"/>
      <c r="D64" s="59" t="n"/>
      <c r="E64" s="59" t="n"/>
      <c r="F64" s="272" t="n"/>
      <c r="G64" s="10" t="n"/>
      <c r="H64" s="273" t="n"/>
      <c r="I64" s="114" t="n"/>
      <c r="J64" s="274">
        <f>IFERROR(IF(F64*H64=0,"",F64*H64),"")</f>
        <v/>
      </c>
      <c r="K64" s="74" t="inlineStr">
        <is>
          <t>Pending</t>
        </is>
      </c>
    </row>
    <row r="65" ht="15.75" customHeight="1">
      <c r="B65" s="58" t="n"/>
      <c r="C65" s="63" t="n"/>
      <c r="D65" s="62" t="n"/>
      <c r="E65" s="62" t="n"/>
      <c r="F65" s="275" t="n"/>
      <c r="G65" s="19" t="n"/>
      <c r="H65" s="276" t="n"/>
      <c r="I65" s="118" t="n"/>
      <c r="J65" s="277">
        <f>IFERROR(IF(F65*H65=0,"",F65*H65),"")</f>
        <v/>
      </c>
      <c r="K65" s="81" t="inlineStr">
        <is>
          <t>Pending</t>
        </is>
      </c>
    </row>
    <row r="66" ht="15.75" customHeight="1">
      <c r="B66" s="58" t="n"/>
      <c r="C66" s="60" t="n"/>
      <c r="D66" s="59" t="n"/>
      <c r="E66" s="59" t="n"/>
      <c r="F66" s="272" t="n"/>
      <c r="G66" s="10" t="n"/>
      <c r="H66" s="273" t="n"/>
      <c r="I66" s="114" t="n"/>
      <c r="J66" s="274">
        <f>IFERROR(IF(F66*H66=0,"",F66*H66),"")</f>
        <v/>
      </c>
      <c r="K66" s="74" t="inlineStr">
        <is>
          <t>Pending</t>
        </is>
      </c>
    </row>
    <row r="67" ht="15.75" customHeight="1">
      <c r="B67" s="58" t="n"/>
      <c r="C67" s="63" t="n"/>
      <c r="D67" s="62" t="n"/>
      <c r="E67" s="62" t="n"/>
      <c r="F67" s="275" t="n"/>
      <c r="G67" s="19" t="n"/>
      <c r="H67" s="276" t="n"/>
      <c r="I67" s="118" t="n"/>
      <c r="J67" s="277">
        <f>IFERROR(IF(F67*H67=0,"",F67*H67),"")</f>
        <v/>
      </c>
      <c r="K67" s="81" t="inlineStr">
        <is>
          <t>Pending</t>
        </is>
      </c>
    </row>
    <row r="68" ht="15.75" customHeight="1">
      <c r="B68" s="58" t="n"/>
      <c r="C68" s="60" t="n"/>
      <c r="D68" s="59" t="n"/>
      <c r="E68" s="59" t="n"/>
      <c r="F68" s="272" t="n"/>
      <c r="G68" s="10" t="n"/>
      <c r="H68" s="273" t="n"/>
      <c r="I68" s="114" t="n"/>
      <c r="J68" s="274">
        <f>IFERROR(IF(F68*H68=0,"",F68*H68),"")</f>
        <v/>
      </c>
      <c r="K68" s="74" t="inlineStr">
        <is>
          <t>Pending</t>
        </is>
      </c>
    </row>
    <row r="69" ht="15.75" customHeight="1">
      <c r="B69" s="58" t="n"/>
      <c r="C69" s="63" t="n"/>
      <c r="D69" s="62" t="n"/>
      <c r="E69" s="62" t="n"/>
      <c r="F69" s="275" t="n"/>
      <c r="G69" s="19" t="n"/>
      <c r="H69" s="276" t="n"/>
      <c r="I69" s="118" t="n"/>
      <c r="J69" s="277">
        <f>IFERROR(IF(F69*H69=0,"",F69*H69),"")</f>
        <v/>
      </c>
      <c r="K69" s="81" t="inlineStr">
        <is>
          <t>Pending</t>
        </is>
      </c>
    </row>
    <row r="70" ht="15.75" customHeight="1">
      <c r="B70" s="58" t="n"/>
      <c r="C70" s="60" t="n"/>
      <c r="D70" s="59" t="n"/>
      <c r="E70" s="59" t="n"/>
      <c r="F70" s="272" t="n"/>
      <c r="G70" s="10" t="n"/>
      <c r="H70" s="273" t="n"/>
      <c r="I70" s="114" t="n"/>
      <c r="J70" s="274">
        <f>IFERROR(IF(F70*H70=0,"",F70*H70),"")</f>
        <v/>
      </c>
      <c r="K70" s="74" t="inlineStr">
        <is>
          <t>Pending</t>
        </is>
      </c>
    </row>
    <row r="71" ht="15.75" customHeight="1">
      <c r="B71" s="58" t="n"/>
      <c r="C71" s="63" t="n"/>
      <c r="D71" s="62" t="n"/>
      <c r="E71" s="62" t="n"/>
      <c r="F71" s="275" t="n"/>
      <c r="G71" s="19" t="n"/>
      <c r="H71" s="276" t="n"/>
      <c r="I71" s="118" t="n"/>
      <c r="J71" s="277">
        <f>IFERROR(IF(F71*H71=0,"",F71*H71),"")</f>
        <v/>
      </c>
      <c r="K71" s="81" t="inlineStr">
        <is>
          <t>Pending</t>
        </is>
      </c>
    </row>
    <row r="72" ht="15.75" customHeight="1">
      <c r="B72" s="58" t="n"/>
      <c r="C72" s="60" t="n"/>
      <c r="D72" s="59" t="n"/>
      <c r="E72" s="59" t="n"/>
      <c r="F72" s="272" t="n"/>
      <c r="G72" s="10" t="n"/>
      <c r="H72" s="273" t="n"/>
      <c r="I72" s="114" t="n"/>
      <c r="J72" s="274">
        <f>IFERROR(IF(F72*H72=0,"",F72*H72),"")</f>
        <v/>
      </c>
      <c r="K72" s="74" t="inlineStr">
        <is>
          <t>Pending</t>
        </is>
      </c>
    </row>
    <row r="73" ht="15.75" customHeight="1">
      <c r="B73" s="58" t="n"/>
      <c r="C73" s="63" t="n"/>
      <c r="D73" s="62" t="n"/>
      <c r="E73" s="62" t="n"/>
      <c r="F73" s="275" t="n"/>
      <c r="G73" s="19" t="n"/>
      <c r="H73" s="276" t="n"/>
      <c r="I73" s="118" t="n"/>
      <c r="J73" s="277">
        <f>IFERROR(IF(F73*H73=0,"",F73*H73),"")</f>
        <v/>
      </c>
      <c r="K73" s="81" t="inlineStr">
        <is>
          <t>Pending</t>
        </is>
      </c>
    </row>
    <row r="74" ht="15.75" customHeight="1">
      <c r="B74" s="58" t="n"/>
      <c r="C74" s="60" t="n"/>
      <c r="D74" s="59" t="n"/>
      <c r="E74" s="59" t="n"/>
      <c r="F74" s="272" t="n"/>
      <c r="G74" s="10" t="n"/>
      <c r="H74" s="273" t="n"/>
      <c r="I74" s="114" t="n"/>
      <c r="J74" s="274">
        <f>IFERROR(IF(F74*H74=0,"",F74*H74),"")</f>
        <v/>
      </c>
      <c r="K74" s="74" t="inlineStr">
        <is>
          <t>Pending</t>
        </is>
      </c>
    </row>
    <row r="75" ht="15.75" customHeight="1">
      <c r="B75" s="58" t="n"/>
      <c r="C75" s="63" t="n"/>
      <c r="D75" s="62" t="n"/>
      <c r="E75" s="62" t="n"/>
      <c r="F75" s="275" t="n"/>
      <c r="G75" s="19" t="n"/>
      <c r="H75" s="276" t="n"/>
      <c r="I75" s="118" t="n"/>
      <c r="J75" s="277">
        <f>IFERROR(IF(F75*H75=0,"",F75*H75),"")</f>
        <v/>
      </c>
      <c r="K75" s="81" t="inlineStr">
        <is>
          <t>Pending</t>
        </is>
      </c>
    </row>
    <row r="76" ht="15.75" customHeight="1">
      <c r="B76" s="58" t="n"/>
      <c r="C76" s="60" t="n"/>
      <c r="D76" s="59" t="n"/>
      <c r="E76" s="59" t="n"/>
      <c r="F76" s="272" t="n"/>
      <c r="G76" s="10" t="n"/>
      <c r="H76" s="273" t="n"/>
      <c r="I76" s="114" t="n"/>
      <c r="J76" s="274">
        <f>IFERROR(IF(F76*H76=0,"",F76*H76),"")</f>
        <v/>
      </c>
      <c r="K76" s="74" t="inlineStr">
        <is>
          <t>Pending</t>
        </is>
      </c>
    </row>
    <row r="77" ht="15.75" customHeight="1">
      <c r="B77" s="58" t="n"/>
      <c r="C77" s="63" t="n"/>
      <c r="D77" s="62" t="n"/>
      <c r="E77" s="62" t="n"/>
      <c r="F77" s="275" t="n"/>
      <c r="G77" s="19" t="n"/>
      <c r="H77" s="276" t="n"/>
      <c r="I77" s="118" t="n"/>
      <c r="J77" s="277">
        <f>IFERROR(IF(F77*H77=0,"",F77*H77),"")</f>
        <v/>
      </c>
      <c r="K77" s="81" t="inlineStr">
        <is>
          <t>Pending</t>
        </is>
      </c>
    </row>
    <row r="78" ht="15.75" customHeight="1">
      <c r="B78" s="58" t="n"/>
      <c r="C78" s="60" t="n"/>
      <c r="D78" s="59" t="n"/>
      <c r="E78" s="59" t="n"/>
      <c r="F78" s="272" t="n"/>
      <c r="G78" s="10" t="n"/>
      <c r="H78" s="273" t="n"/>
      <c r="I78" s="114" t="n"/>
      <c r="J78" s="274">
        <f>IFERROR(IF(F78*H78=0,"",F78*H78),"")</f>
        <v/>
      </c>
      <c r="K78" s="74" t="inlineStr">
        <is>
          <t>Pending</t>
        </is>
      </c>
    </row>
    <row r="79" ht="15.75" customHeight="1">
      <c r="B79" s="58" t="n"/>
      <c r="C79" s="63" t="n"/>
      <c r="D79" s="62" t="n"/>
      <c r="E79" s="62" t="n"/>
      <c r="F79" s="275" t="n"/>
      <c r="G79" s="19" t="n"/>
      <c r="H79" s="276" t="n"/>
      <c r="I79" s="118" t="n"/>
      <c r="J79" s="277">
        <f>IFERROR(IF(F79*H79=0,"",F79*H79),"")</f>
        <v/>
      </c>
      <c r="K79" s="81" t="inlineStr">
        <is>
          <t>Pending</t>
        </is>
      </c>
    </row>
    <row r="80" ht="15.75" customHeight="1">
      <c r="B80" s="58" t="n"/>
      <c r="C80" s="60" t="n"/>
      <c r="D80" s="59" t="n"/>
      <c r="E80" s="59" t="n"/>
      <c r="F80" s="272" t="n"/>
      <c r="G80" s="10" t="n"/>
      <c r="H80" s="273" t="n"/>
      <c r="I80" s="114" t="n"/>
      <c r="J80" s="274">
        <f>IFERROR(IF(F80*H80=0,"",F80*H80),"")</f>
        <v/>
      </c>
      <c r="K80" s="74" t="inlineStr">
        <is>
          <t>Pending</t>
        </is>
      </c>
    </row>
    <row r="81" ht="15.75" customHeight="1">
      <c r="B81" s="58" t="n"/>
      <c r="C81" s="63" t="n"/>
      <c r="D81" s="62" t="n"/>
      <c r="E81" s="62" t="n"/>
      <c r="F81" s="275" t="n"/>
      <c r="G81" s="19" t="n"/>
      <c r="H81" s="276" t="n"/>
      <c r="I81" s="118" t="n"/>
      <c r="J81" s="277">
        <f>IFERROR(IF(F81*H81=0,"",F81*H81),"")</f>
        <v/>
      </c>
      <c r="K81" s="81" t="inlineStr">
        <is>
          <t>Pending</t>
        </is>
      </c>
    </row>
    <row r="82" ht="15.75" customHeight="1">
      <c r="B82" s="58" t="n"/>
      <c r="C82" s="60" t="n"/>
      <c r="D82" s="59" t="n"/>
      <c r="E82" s="59" t="n"/>
      <c r="F82" s="272" t="n"/>
      <c r="G82" s="10" t="n"/>
      <c r="H82" s="273" t="n"/>
      <c r="I82" s="114" t="n"/>
      <c r="J82" s="274">
        <f>IFERROR(IF(F82*H82=0,"",F82*H82),"")</f>
        <v/>
      </c>
      <c r="K82" s="74" t="inlineStr">
        <is>
          <t>Pending</t>
        </is>
      </c>
    </row>
    <row r="83" ht="15.75" customHeight="1">
      <c r="B83" s="58" t="n"/>
      <c r="C83" s="63" t="n"/>
      <c r="D83" s="62" t="n"/>
      <c r="E83" s="62" t="n"/>
      <c r="F83" s="275" t="n"/>
      <c r="G83" s="19" t="n"/>
      <c r="H83" s="276" t="n"/>
      <c r="I83" s="118" t="n"/>
      <c r="J83" s="277">
        <f>IFERROR(IF(F83*H83=0,"",F83*H83),"")</f>
        <v/>
      </c>
      <c r="K83" s="81" t="inlineStr">
        <is>
          <t>Pending</t>
        </is>
      </c>
    </row>
    <row r="84" ht="15.75" customHeight="1">
      <c r="B84" s="58" t="n"/>
      <c r="C84" s="60" t="n"/>
      <c r="D84" s="59" t="n"/>
      <c r="E84" s="59" t="n"/>
      <c r="F84" s="272" t="n"/>
      <c r="G84" s="10" t="n"/>
      <c r="H84" s="273" t="n"/>
      <c r="I84" s="114" t="n"/>
      <c r="J84" s="274">
        <f>IFERROR(IF(F84*H84=0,"",F84*H84),"")</f>
        <v/>
      </c>
      <c r="K84" s="74" t="inlineStr">
        <is>
          <t>Pending</t>
        </is>
      </c>
    </row>
    <row r="85" ht="15.75" customHeight="1">
      <c r="B85" s="58" t="n"/>
      <c r="C85" s="63" t="n"/>
      <c r="D85" s="62" t="n"/>
      <c r="E85" s="62" t="n"/>
      <c r="F85" s="275" t="n"/>
      <c r="G85" s="19" t="n"/>
      <c r="H85" s="276" t="n"/>
      <c r="I85" s="118" t="n"/>
      <c r="J85" s="277">
        <f>IFERROR(IF(F85*H85=0,"",F85*H85),"")</f>
        <v/>
      </c>
      <c r="K85" s="81" t="inlineStr">
        <is>
          <t>Pending</t>
        </is>
      </c>
    </row>
    <row r="86" ht="15.75" customHeight="1">
      <c r="B86" s="58" t="n"/>
      <c r="C86" s="60" t="n"/>
      <c r="D86" s="59" t="n"/>
      <c r="E86" s="59" t="n"/>
      <c r="F86" s="272" t="n"/>
      <c r="G86" s="10" t="n"/>
      <c r="H86" s="273" t="n"/>
      <c r="I86" s="114" t="n"/>
      <c r="J86" s="274">
        <f>IFERROR(IF(F86*H86=0,"",F86*H86),"")</f>
        <v/>
      </c>
      <c r="K86" s="74" t="inlineStr">
        <is>
          <t>Pending</t>
        </is>
      </c>
    </row>
    <row r="87" ht="15.75" customHeight="1">
      <c r="B87" s="58" t="n"/>
      <c r="C87" s="63" t="n"/>
      <c r="D87" s="62" t="n"/>
      <c r="E87" s="62" t="n"/>
      <c r="F87" s="275" t="n"/>
      <c r="G87" s="19" t="n"/>
      <c r="H87" s="276" t="n"/>
      <c r="I87" s="118" t="n"/>
      <c r="J87" s="277">
        <f>IFERROR(IF(F87*H87=0,"",F87*H87),"")</f>
        <v/>
      </c>
      <c r="K87" s="81" t="inlineStr">
        <is>
          <t>Pending</t>
        </is>
      </c>
    </row>
    <row r="88" ht="15.75" customHeight="1">
      <c r="B88" s="58" t="n"/>
      <c r="C88" s="60" t="n"/>
      <c r="D88" s="59" t="n"/>
      <c r="E88" s="59" t="n"/>
      <c r="F88" s="272" t="n"/>
      <c r="G88" s="10" t="n"/>
      <c r="H88" s="273" t="n"/>
      <c r="I88" s="114" t="n"/>
      <c r="J88" s="274">
        <f>IFERROR(IF(F88*H88=0,"",F88*H88),"")</f>
        <v/>
      </c>
      <c r="K88" s="74" t="inlineStr">
        <is>
          <t>Pending</t>
        </is>
      </c>
    </row>
    <row r="89" ht="15.75" customHeight="1">
      <c r="B89" s="58" t="n"/>
      <c r="C89" s="63" t="n"/>
      <c r="D89" s="62" t="n"/>
      <c r="E89" s="62" t="n"/>
      <c r="F89" s="275" t="n"/>
      <c r="G89" s="19" t="n"/>
      <c r="H89" s="276" t="n"/>
      <c r="I89" s="118" t="n"/>
      <c r="J89" s="277">
        <f>IFERROR(IF(F89*H89=0,"",F89*H89),"")</f>
        <v/>
      </c>
      <c r="K89" s="81" t="inlineStr">
        <is>
          <t>Pending</t>
        </is>
      </c>
    </row>
    <row r="90" ht="15.75" customHeight="1">
      <c r="B90" s="58" t="n"/>
      <c r="C90" s="60" t="n"/>
      <c r="D90" s="59" t="n"/>
      <c r="E90" s="59" t="n"/>
      <c r="F90" s="272" t="n"/>
      <c r="G90" s="10" t="n"/>
      <c r="H90" s="273" t="n"/>
      <c r="I90" s="114" t="n"/>
      <c r="J90" s="274">
        <f>IFERROR(IF(F90*H90=0,"",F90*H90),"")</f>
        <v/>
      </c>
      <c r="K90" s="74" t="inlineStr">
        <is>
          <t>Pending</t>
        </is>
      </c>
    </row>
    <row r="91" ht="15.75" customHeight="1">
      <c r="B91" s="58" t="n"/>
      <c r="C91" s="63" t="n"/>
      <c r="D91" s="62" t="n"/>
      <c r="E91" s="62" t="n"/>
      <c r="F91" s="275" t="n"/>
      <c r="G91" s="19" t="n"/>
      <c r="H91" s="276" t="n"/>
      <c r="I91" s="118" t="n"/>
      <c r="J91" s="277">
        <f>IFERROR(IF(F91*H91=0,"",F91*H91),"")</f>
        <v/>
      </c>
      <c r="K91" s="81" t="inlineStr">
        <is>
          <t>Pending</t>
        </is>
      </c>
    </row>
    <row r="92" ht="15.75" customHeight="1">
      <c r="B92" s="58" t="n"/>
      <c r="C92" s="60" t="n"/>
      <c r="D92" s="59" t="n"/>
      <c r="E92" s="59" t="n"/>
      <c r="F92" s="272" t="n"/>
      <c r="G92" s="10" t="n"/>
      <c r="H92" s="273" t="n"/>
      <c r="I92" s="114" t="n"/>
      <c r="J92" s="274">
        <f>IFERROR(IF(F92*H92=0,"",F92*H92),"")</f>
        <v/>
      </c>
      <c r="K92" s="74" t="inlineStr">
        <is>
          <t>Pending</t>
        </is>
      </c>
    </row>
    <row r="93" ht="15.75" customHeight="1">
      <c r="B93" s="58" t="n"/>
      <c r="C93" s="63" t="n"/>
      <c r="D93" s="62" t="n"/>
      <c r="E93" s="62" t="n"/>
      <c r="F93" s="275" t="n"/>
      <c r="G93" s="19" t="n"/>
      <c r="H93" s="276" t="n"/>
      <c r="I93" s="118" t="n"/>
      <c r="J93" s="277">
        <f>IFERROR(IF(F93*H93=0,"",F93*H93),"")</f>
        <v/>
      </c>
      <c r="K93" s="81" t="inlineStr">
        <is>
          <t>Pending</t>
        </is>
      </c>
    </row>
    <row r="94" ht="15.75" customHeight="1">
      <c r="B94" s="58" t="n"/>
      <c r="C94" s="60" t="n"/>
      <c r="D94" s="59" t="n"/>
      <c r="E94" s="59" t="n"/>
      <c r="F94" s="272" t="n"/>
      <c r="G94" s="10" t="n"/>
      <c r="H94" s="273" t="n"/>
      <c r="I94" s="114" t="n"/>
      <c r="J94" s="274">
        <f>IFERROR(IF(F94*H94=0,"",F94*H94),"")</f>
        <v/>
      </c>
      <c r="K94" s="74" t="inlineStr">
        <is>
          <t>Pending</t>
        </is>
      </c>
    </row>
    <row r="95" ht="15.75" customHeight="1">
      <c r="B95" s="58" t="n"/>
      <c r="C95" s="63" t="n"/>
      <c r="D95" s="62" t="n"/>
      <c r="E95" s="62" t="n"/>
      <c r="F95" s="275" t="n"/>
      <c r="G95" s="19" t="n"/>
      <c r="H95" s="276" t="n"/>
      <c r="I95" s="118" t="n"/>
      <c r="J95" s="277">
        <f>IFERROR(IF(F95*H95=0,"",F95*H95),"")</f>
        <v/>
      </c>
      <c r="K95" s="81" t="inlineStr">
        <is>
          <t>Pending</t>
        </is>
      </c>
    </row>
    <row r="96" ht="15.75" customHeight="1">
      <c r="B96" s="58" t="n"/>
      <c r="C96" s="60" t="n"/>
      <c r="D96" s="59" t="n"/>
      <c r="E96" s="59" t="n"/>
      <c r="F96" s="272" t="n"/>
      <c r="G96" s="10" t="n"/>
      <c r="H96" s="273" t="n"/>
      <c r="I96" s="114" t="n"/>
      <c r="J96" s="274">
        <f>IFERROR(IF(F96*H96=0,"",F96*H96),"")</f>
        <v/>
      </c>
      <c r="K96" s="74" t="inlineStr">
        <is>
          <t>Pending</t>
        </is>
      </c>
    </row>
    <row r="97" ht="15.75" customHeight="1">
      <c r="B97" s="58" t="n"/>
      <c r="C97" s="63" t="n"/>
      <c r="D97" s="62" t="n"/>
      <c r="E97" s="62" t="n"/>
      <c r="F97" s="275" t="n"/>
      <c r="G97" s="19" t="n"/>
      <c r="H97" s="276" t="n"/>
      <c r="I97" s="118" t="n"/>
      <c r="J97" s="277">
        <f>IFERROR(IF(F97*H97=0,"",F97*H97),"")</f>
        <v/>
      </c>
      <c r="K97" s="81" t="inlineStr">
        <is>
          <t>Pending</t>
        </is>
      </c>
    </row>
    <row r="98" ht="15.75" customHeight="1">
      <c r="B98" s="58" t="n"/>
      <c r="C98" s="60" t="n"/>
      <c r="D98" s="59" t="n"/>
      <c r="E98" s="59" t="n"/>
      <c r="F98" s="272" t="n"/>
      <c r="G98" s="10" t="n"/>
      <c r="H98" s="273" t="n"/>
      <c r="I98" s="114" t="n"/>
      <c r="J98" s="274">
        <f>IFERROR(IF(F98*H98=0,"",F98*H98),"")</f>
        <v/>
      </c>
      <c r="K98" s="74" t="inlineStr">
        <is>
          <t>Pending</t>
        </is>
      </c>
    </row>
    <row r="99" ht="15.75" customHeight="1">
      <c r="B99" s="58" t="n"/>
      <c r="C99" s="63" t="n"/>
      <c r="D99" s="62" t="n"/>
      <c r="E99" s="62" t="n"/>
      <c r="F99" s="275" t="n"/>
      <c r="G99" s="19" t="n"/>
      <c r="H99" s="276" t="n"/>
      <c r="I99" s="118" t="n"/>
      <c r="J99" s="277">
        <f>IFERROR(IF(F99*H99=0,"",F99*H99),"")</f>
        <v/>
      </c>
      <c r="K99" s="81" t="inlineStr">
        <is>
          <t>Pending</t>
        </is>
      </c>
    </row>
    <row r="100" ht="15.75" customHeight="1">
      <c r="B100" s="58" t="n"/>
      <c r="C100" s="60" t="n"/>
      <c r="D100" s="59" t="n"/>
      <c r="E100" s="59" t="n"/>
      <c r="F100" s="272" t="n"/>
      <c r="G100" s="10" t="n"/>
      <c r="H100" s="273" t="n"/>
      <c r="I100" s="114" t="n"/>
      <c r="J100" s="274">
        <f>IFERROR(IF(F100*H100=0,"",F100*H100),"")</f>
        <v/>
      </c>
      <c r="K100" s="74" t="inlineStr">
        <is>
          <t>Pending</t>
        </is>
      </c>
    </row>
    <row r="101" ht="15.75" customHeight="1">
      <c r="B101" s="58" t="n"/>
      <c r="C101" s="63" t="n"/>
      <c r="D101" s="62" t="n"/>
      <c r="E101" s="62" t="n"/>
      <c r="F101" s="275" t="n"/>
      <c r="G101" s="19" t="n"/>
      <c r="H101" s="276" t="n"/>
      <c r="I101" s="118" t="n"/>
      <c r="J101" s="277">
        <f>IFERROR(IF(F101*H101=0,"",F101*H101),"")</f>
        <v/>
      </c>
      <c r="K101" s="81" t="inlineStr">
        <is>
          <t>Pending</t>
        </is>
      </c>
    </row>
    <row r="102" ht="15.75" customHeight="1">
      <c r="B102" s="58" t="n"/>
      <c r="C102" s="60" t="n"/>
      <c r="D102" s="59" t="n"/>
      <c r="E102" s="59" t="n"/>
      <c r="F102" s="272" t="n"/>
      <c r="G102" s="10" t="n"/>
      <c r="H102" s="273" t="n"/>
      <c r="I102" s="114" t="n"/>
      <c r="J102" s="274">
        <f>IFERROR(IF(F102*H102=0,"",F102*H102),"")</f>
        <v/>
      </c>
      <c r="K102" s="74" t="inlineStr">
        <is>
          <t>Pending</t>
        </is>
      </c>
    </row>
    <row r="103" ht="15.75" customHeight="1">
      <c r="B103" s="58" t="n"/>
      <c r="C103" s="63" t="n"/>
      <c r="D103" s="62" t="n"/>
      <c r="E103" s="62" t="n"/>
      <c r="F103" s="275" t="n"/>
      <c r="G103" s="19" t="n"/>
      <c r="H103" s="276" t="n"/>
      <c r="I103" s="118" t="n"/>
      <c r="J103" s="277">
        <f>IFERROR(IF(F103*H103=0,"",F103*H103),"")</f>
        <v/>
      </c>
      <c r="K103" s="81" t="inlineStr">
        <is>
          <t>Pending</t>
        </is>
      </c>
    </row>
    <row r="104" ht="15.75" customHeight="1">
      <c r="B104" s="58" t="n"/>
      <c r="C104" s="60" t="n"/>
      <c r="D104" s="59" t="n"/>
      <c r="E104" s="59" t="n"/>
      <c r="F104" s="272" t="n"/>
      <c r="G104" s="10" t="n"/>
      <c r="H104" s="273" t="n"/>
      <c r="I104" s="114" t="n"/>
      <c r="J104" s="274">
        <f>IFERROR(IF(F104*H104=0,"",F104*H104),"")</f>
        <v/>
      </c>
      <c r="K104" s="74" t="inlineStr">
        <is>
          <t>Pending</t>
        </is>
      </c>
    </row>
    <row r="105" ht="15.75" customHeight="1">
      <c r="B105" s="58" t="n"/>
      <c r="C105" s="63" t="n"/>
      <c r="D105" s="62" t="n"/>
      <c r="E105" s="62" t="n"/>
      <c r="F105" s="275" t="n"/>
      <c r="G105" s="19" t="n"/>
      <c r="H105" s="276" t="n"/>
      <c r="I105" s="118" t="n"/>
      <c r="J105" s="277">
        <f>IFERROR(IF(F105*H105=0,"",F105*H105),"")</f>
        <v/>
      </c>
      <c r="K105" s="81" t="inlineStr">
        <is>
          <t>Pending</t>
        </is>
      </c>
    </row>
    <row r="106" ht="15.75" customHeight="1">
      <c r="B106" s="58" t="n"/>
      <c r="C106" s="60" t="n"/>
      <c r="D106" s="59" t="n"/>
      <c r="E106" s="59" t="n"/>
      <c r="F106" s="272" t="n"/>
      <c r="G106" s="10" t="n"/>
      <c r="H106" s="273" t="n"/>
      <c r="I106" s="114" t="n"/>
      <c r="J106" s="274">
        <f>IFERROR(IF(F106*H106=0,"",F106*H106),"")</f>
        <v/>
      </c>
      <c r="K106" s="74" t="inlineStr">
        <is>
          <t>Pending</t>
        </is>
      </c>
    </row>
    <row r="107" ht="15.75" customHeight="1">
      <c r="B107" s="58" t="n"/>
      <c r="C107" s="63" t="n"/>
      <c r="D107" s="62" t="n"/>
      <c r="E107" s="62" t="n"/>
      <c r="F107" s="275" t="n"/>
      <c r="G107" s="19" t="n"/>
      <c r="H107" s="276" t="n"/>
      <c r="I107" s="118" t="n"/>
      <c r="J107" s="277">
        <f>IFERROR(IF(F107*H107=0,"",F107*H107),"")</f>
        <v/>
      </c>
      <c r="K107" s="81" t="inlineStr">
        <is>
          <t>Pending</t>
        </is>
      </c>
    </row>
    <row r="108" ht="15.75" customHeight="1">
      <c r="B108" s="58" t="n"/>
      <c r="C108" s="60" t="n"/>
      <c r="D108" s="59" t="n"/>
      <c r="E108" s="59" t="n"/>
      <c r="F108" s="272" t="n"/>
      <c r="G108" s="10" t="n"/>
      <c r="H108" s="273" t="n"/>
      <c r="I108" s="114" t="n"/>
      <c r="J108" s="274">
        <f>IFERROR(IF(F108*H108=0,"",F108*H108),"")</f>
        <v/>
      </c>
      <c r="K108" s="74" t="inlineStr">
        <is>
          <t>Pending</t>
        </is>
      </c>
    </row>
    <row r="109" ht="15.75" customHeight="1">
      <c r="B109" s="58" t="n"/>
      <c r="C109" s="63" t="n"/>
      <c r="D109" s="62" t="n"/>
      <c r="E109" s="62" t="n"/>
      <c r="F109" s="275" t="n"/>
      <c r="G109" s="19" t="n"/>
      <c r="H109" s="276" t="n"/>
      <c r="I109" s="118" t="n"/>
      <c r="J109" s="277">
        <f>IFERROR(IF(F109*H109=0,"",F109*H109),"")</f>
        <v/>
      </c>
      <c r="K109" s="81" t="inlineStr">
        <is>
          <t>Pending</t>
        </is>
      </c>
    </row>
    <row r="110" ht="15.75" customHeight="1">
      <c r="B110" s="58" t="n"/>
      <c r="C110" s="60" t="n"/>
      <c r="D110" s="59" t="n"/>
      <c r="E110" s="59" t="n"/>
      <c r="F110" s="272" t="n"/>
      <c r="G110" s="10" t="n"/>
      <c r="H110" s="273" t="n"/>
      <c r="I110" s="114" t="n"/>
      <c r="J110" s="274">
        <f>IFERROR(IF(F110*H110=0,"",F110*H110),"")</f>
        <v/>
      </c>
      <c r="K110" s="74" t="inlineStr">
        <is>
          <t>Pending</t>
        </is>
      </c>
    </row>
    <row r="111" ht="15.75" customHeight="1">
      <c r="B111" s="58" t="n"/>
      <c r="C111" s="63" t="n"/>
      <c r="D111" s="62" t="n"/>
      <c r="E111" s="62" t="n"/>
      <c r="F111" s="275" t="n"/>
      <c r="G111" s="19" t="n"/>
      <c r="H111" s="276" t="n"/>
      <c r="I111" s="118" t="n"/>
      <c r="J111" s="277">
        <f>IFERROR(IF(F111*H111=0,"",F111*H111),"")</f>
        <v/>
      </c>
      <c r="K111" s="81" t="inlineStr">
        <is>
          <t>Pending</t>
        </is>
      </c>
    </row>
    <row r="112" ht="15.75" customHeight="1">
      <c r="B112" s="58" t="n"/>
      <c r="C112" s="60" t="n"/>
      <c r="D112" s="59" t="n"/>
      <c r="E112" s="59" t="n"/>
      <c r="F112" s="272" t="n"/>
      <c r="G112" s="10" t="n"/>
      <c r="H112" s="273" t="n"/>
      <c r="I112" s="114" t="n"/>
      <c r="J112" s="274">
        <f>IFERROR(IF(F112*H112=0,"",F112*H112),"")</f>
        <v/>
      </c>
      <c r="K112" s="74" t="inlineStr">
        <is>
          <t>Pending</t>
        </is>
      </c>
    </row>
    <row r="113" ht="15.75" customHeight="1">
      <c r="B113" s="58" t="n"/>
      <c r="C113" s="63" t="n"/>
      <c r="D113" s="62" t="n"/>
      <c r="E113" s="62" t="n"/>
      <c r="F113" s="275" t="n"/>
      <c r="G113" s="19" t="n"/>
      <c r="H113" s="276" t="n"/>
      <c r="I113" s="118" t="n"/>
      <c r="J113" s="277">
        <f>IFERROR(IF(F113*H113=0,"",F113*H113),"")</f>
        <v/>
      </c>
      <c r="K113" s="81" t="inlineStr">
        <is>
          <t>Pending</t>
        </is>
      </c>
    </row>
    <row r="114" ht="15.75" customHeight="1">
      <c r="B114" s="58" t="n"/>
      <c r="C114" s="60" t="n"/>
      <c r="D114" s="59" t="n"/>
      <c r="E114" s="59" t="n"/>
      <c r="F114" s="272" t="n"/>
      <c r="G114" s="10" t="n"/>
      <c r="H114" s="273" t="n"/>
      <c r="I114" s="114" t="n"/>
      <c r="J114" s="274">
        <f>IFERROR(IF(F114*H114=0,"",F114*H114),"")</f>
        <v/>
      </c>
      <c r="K114" s="74" t="inlineStr">
        <is>
          <t>Pending</t>
        </is>
      </c>
    </row>
    <row r="115" ht="15.75" customHeight="1">
      <c r="B115" s="58" t="n"/>
      <c r="C115" s="63" t="n"/>
      <c r="D115" s="62" t="n"/>
      <c r="E115" s="62" t="n"/>
      <c r="F115" s="275" t="n"/>
      <c r="G115" s="19" t="n"/>
      <c r="H115" s="276" t="n"/>
      <c r="I115" s="118" t="n"/>
      <c r="J115" s="277">
        <f>IFERROR(IF(F115*H115=0,"",F115*H115),"")</f>
        <v/>
      </c>
      <c r="K115" s="81" t="inlineStr">
        <is>
          <t>Pending</t>
        </is>
      </c>
    </row>
    <row r="116" ht="15.75" customHeight="1">
      <c r="B116" s="58" t="n"/>
      <c r="C116" s="60" t="n"/>
      <c r="D116" s="59" t="n"/>
      <c r="E116" s="59" t="n"/>
      <c r="F116" s="272" t="n"/>
      <c r="G116" s="10" t="n"/>
      <c r="H116" s="273" t="n"/>
      <c r="I116" s="114" t="n"/>
      <c r="J116" s="274">
        <f>IFERROR(IF(F116*H116=0,"",F116*H116),"")</f>
        <v/>
      </c>
      <c r="K116" s="74" t="inlineStr">
        <is>
          <t>Pending</t>
        </is>
      </c>
    </row>
    <row r="117" ht="15.75" customHeight="1">
      <c r="B117" s="58" t="n"/>
      <c r="C117" s="63" t="n"/>
      <c r="D117" s="62" t="n"/>
      <c r="E117" s="62" t="n"/>
      <c r="F117" s="275" t="n"/>
      <c r="G117" s="19" t="n"/>
      <c r="H117" s="276" t="n"/>
      <c r="I117" s="118" t="n"/>
      <c r="J117" s="277">
        <f>IFERROR(IF(F117*H117=0,"",F117*H117),"")</f>
        <v/>
      </c>
      <c r="K117" s="81" t="inlineStr">
        <is>
          <t>Pending</t>
        </is>
      </c>
    </row>
    <row r="118" ht="15.75" customHeight="1">
      <c r="B118" s="58" t="n"/>
      <c r="C118" s="60" t="n"/>
      <c r="D118" s="59" t="n"/>
      <c r="E118" s="59" t="n"/>
      <c r="F118" s="272" t="n"/>
      <c r="G118" s="10" t="n"/>
      <c r="H118" s="273" t="n"/>
      <c r="I118" s="114" t="n"/>
      <c r="J118" s="274">
        <f>IFERROR(IF(F118*H118=0,"",F118*H118),"")</f>
        <v/>
      </c>
      <c r="K118" s="74" t="inlineStr">
        <is>
          <t>Pending</t>
        </is>
      </c>
    </row>
    <row r="119" ht="15.75" customHeight="1">
      <c r="B119" s="58" t="n"/>
      <c r="C119" s="63" t="n"/>
      <c r="D119" s="62" t="n"/>
      <c r="E119" s="62" t="n"/>
      <c r="F119" s="275" t="n"/>
      <c r="G119" s="19" t="n"/>
      <c r="H119" s="276" t="n"/>
      <c r="I119" s="118" t="n"/>
      <c r="J119" s="277">
        <f>IFERROR(IF(F119*H119=0,"",F119*H119),"")</f>
        <v/>
      </c>
      <c r="K119" s="81" t="inlineStr">
        <is>
          <t>Pending</t>
        </is>
      </c>
    </row>
    <row r="120" ht="15.75" customHeight="1">
      <c r="B120" s="58" t="n"/>
      <c r="C120" s="60" t="n"/>
      <c r="D120" s="59" t="n"/>
      <c r="E120" s="59" t="n"/>
      <c r="F120" s="272" t="n"/>
      <c r="G120" s="10" t="n"/>
      <c r="H120" s="273" t="n"/>
      <c r="I120" s="114" t="n"/>
      <c r="J120" s="274">
        <f>IFERROR(IF(F120*H120=0,"",F120*H120),"")</f>
        <v/>
      </c>
      <c r="K120" s="74" t="inlineStr">
        <is>
          <t>Pending</t>
        </is>
      </c>
    </row>
    <row r="121" ht="15.75" customHeight="1">
      <c r="B121" s="58" t="n"/>
      <c r="C121" s="63" t="n"/>
      <c r="D121" s="62" t="n"/>
      <c r="E121" s="62" t="n"/>
      <c r="F121" s="275" t="n"/>
      <c r="G121" s="19" t="n"/>
      <c r="H121" s="276" t="n"/>
      <c r="I121" s="118" t="n"/>
      <c r="J121" s="277">
        <f>IFERROR(IF(F121*H121=0,"",F121*H121),"")</f>
        <v/>
      </c>
      <c r="K121" s="81" t="inlineStr">
        <is>
          <t>Pending</t>
        </is>
      </c>
    </row>
    <row r="122" ht="15.75" customHeight="1">
      <c r="B122" s="58" t="n"/>
      <c r="C122" s="60" t="n"/>
      <c r="D122" s="59" t="n"/>
      <c r="E122" s="59" t="n"/>
      <c r="F122" s="272" t="n"/>
      <c r="G122" s="10" t="n"/>
      <c r="H122" s="273" t="n"/>
      <c r="I122" s="114" t="n"/>
      <c r="J122" s="274">
        <f>IFERROR(IF(F122*H122=0,"",F122*H122),"")</f>
        <v/>
      </c>
      <c r="K122" s="74" t="inlineStr">
        <is>
          <t>Pending</t>
        </is>
      </c>
    </row>
    <row r="123" ht="15.75" customHeight="1">
      <c r="B123" s="58" t="n"/>
      <c r="C123" s="63" t="n"/>
      <c r="D123" s="62" t="n"/>
      <c r="E123" s="62" t="n"/>
      <c r="F123" s="275" t="n"/>
      <c r="G123" s="19" t="n"/>
      <c r="H123" s="276" t="n"/>
      <c r="I123" s="118" t="n"/>
      <c r="J123" s="277">
        <f>IFERROR(IF(F123*H123=0,"",F123*H123),"")</f>
        <v/>
      </c>
      <c r="K123" s="81" t="inlineStr">
        <is>
          <t>Pending</t>
        </is>
      </c>
    </row>
    <row r="124" ht="15.75" customHeight="1">
      <c r="B124" s="58" t="n"/>
      <c r="C124" s="60" t="n"/>
      <c r="D124" s="59" t="n"/>
      <c r="E124" s="59" t="n"/>
      <c r="F124" s="272" t="n"/>
      <c r="G124" s="10" t="n"/>
      <c r="H124" s="273" t="n"/>
      <c r="I124" s="114" t="n"/>
      <c r="J124" s="274">
        <f>IFERROR(IF(F124*H124=0,"",F124*H124),"")</f>
        <v/>
      </c>
      <c r="K124" s="74" t="inlineStr">
        <is>
          <t>Pending</t>
        </is>
      </c>
    </row>
    <row r="125" ht="15.75" customHeight="1">
      <c r="B125" s="58" t="n"/>
      <c r="C125" s="63" t="n"/>
      <c r="D125" s="62" t="n"/>
      <c r="E125" s="62" t="n"/>
      <c r="F125" s="275" t="n"/>
      <c r="G125" s="19" t="n"/>
      <c r="H125" s="276" t="n"/>
      <c r="I125" s="118" t="n"/>
      <c r="J125" s="277">
        <f>IFERROR(IF(F125*H125=0,"",F125*H125),"")</f>
        <v/>
      </c>
      <c r="K125" s="81" t="inlineStr">
        <is>
          <t>Pending</t>
        </is>
      </c>
    </row>
    <row r="126" ht="15.75" customHeight="1">
      <c r="B126" s="58" t="n"/>
      <c r="C126" s="60" t="n"/>
      <c r="D126" s="59" t="n"/>
      <c r="E126" s="59" t="n"/>
      <c r="F126" s="272" t="n"/>
      <c r="G126" s="10" t="n"/>
      <c r="H126" s="273" t="n"/>
      <c r="I126" s="114" t="n"/>
      <c r="J126" s="274">
        <f>IFERROR(IF(F126*H126=0,"",F126*H126),"")</f>
        <v/>
      </c>
      <c r="K126" s="74" t="inlineStr">
        <is>
          <t>Pending</t>
        </is>
      </c>
    </row>
    <row r="127" ht="15.75" customHeight="1">
      <c r="B127" s="58" t="n"/>
      <c r="C127" s="63" t="n"/>
      <c r="D127" s="62" t="n"/>
      <c r="E127" s="62" t="n"/>
      <c r="F127" s="275" t="n"/>
      <c r="G127" s="19" t="n"/>
      <c r="H127" s="276" t="n"/>
      <c r="I127" s="118" t="n"/>
      <c r="J127" s="277">
        <f>IFERROR(IF(F127*H127=0,"",F127*H127),"")</f>
        <v/>
      </c>
      <c r="K127" s="81" t="inlineStr">
        <is>
          <t>Pending</t>
        </is>
      </c>
    </row>
    <row r="128" ht="15.75" customHeight="1">
      <c r="B128" s="58" t="n"/>
      <c r="C128" s="60" t="n"/>
      <c r="D128" s="59" t="n"/>
      <c r="E128" s="59" t="n"/>
      <c r="F128" s="272" t="n"/>
      <c r="G128" s="10" t="n"/>
      <c r="H128" s="273" t="n"/>
      <c r="I128" s="114" t="n"/>
      <c r="J128" s="274">
        <f>IFERROR(IF(F128*H128=0,"",F128*H128),"")</f>
        <v/>
      </c>
      <c r="K128" s="74" t="inlineStr">
        <is>
          <t>Pending</t>
        </is>
      </c>
    </row>
    <row r="129" ht="15.75" customHeight="1">
      <c r="B129" s="58" t="n"/>
      <c r="C129" s="63" t="n"/>
      <c r="D129" s="62" t="n"/>
      <c r="E129" s="62" t="n"/>
      <c r="F129" s="275" t="n"/>
      <c r="G129" s="19" t="n"/>
      <c r="H129" s="276" t="n"/>
      <c r="I129" s="118" t="n"/>
      <c r="J129" s="277">
        <f>IFERROR(IF(F129*H129=0,"",F129*H129),"")</f>
        <v/>
      </c>
      <c r="K129" s="81" t="inlineStr">
        <is>
          <t>Pending</t>
        </is>
      </c>
    </row>
    <row r="130" ht="15.75" customHeight="1">
      <c r="B130" s="58" t="n"/>
      <c r="C130" s="60" t="n"/>
      <c r="D130" s="59" t="n"/>
      <c r="E130" s="59" t="n"/>
      <c r="F130" s="272" t="n"/>
      <c r="G130" s="10" t="n"/>
      <c r="H130" s="273" t="n"/>
      <c r="I130" s="114" t="n"/>
      <c r="J130" s="274">
        <f>IFERROR(IF(F130*H130=0,"",F130*H130),"")</f>
        <v/>
      </c>
      <c r="K130" s="74" t="inlineStr">
        <is>
          <t>Pending</t>
        </is>
      </c>
    </row>
    <row r="131" ht="15.75" customHeight="1">
      <c r="B131" s="58" t="n"/>
      <c r="C131" s="63" t="n"/>
      <c r="D131" s="62" t="n"/>
      <c r="E131" s="62" t="n"/>
      <c r="F131" s="275" t="n"/>
      <c r="G131" s="19" t="n"/>
      <c r="H131" s="276" t="n"/>
      <c r="I131" s="118" t="n"/>
      <c r="J131" s="277">
        <f>IFERROR(IF(F131*H131=0,"",F131*H131),"")</f>
        <v/>
      </c>
      <c r="K131" s="81" t="inlineStr">
        <is>
          <t>Pending</t>
        </is>
      </c>
    </row>
    <row r="132" ht="15.75" customHeight="1">
      <c r="B132" s="58" t="n"/>
      <c r="C132" s="60" t="n"/>
      <c r="D132" s="59" t="n"/>
      <c r="E132" s="59" t="n"/>
      <c r="F132" s="272" t="n"/>
      <c r="G132" s="10" t="n"/>
      <c r="H132" s="273" t="n"/>
      <c r="I132" s="114" t="n"/>
      <c r="J132" s="274">
        <f>IFERROR(IF(F132*H132=0,"",F132*H132),"")</f>
        <v/>
      </c>
      <c r="K132" s="74" t="inlineStr">
        <is>
          <t>Pending</t>
        </is>
      </c>
    </row>
    <row r="133" ht="15.75" customHeight="1">
      <c r="B133" s="58" t="n"/>
      <c r="C133" s="63" t="n"/>
      <c r="D133" s="62" t="n"/>
      <c r="E133" s="62" t="n"/>
      <c r="F133" s="275" t="n"/>
      <c r="G133" s="19" t="n"/>
      <c r="H133" s="276" t="n"/>
      <c r="I133" s="118" t="n"/>
      <c r="J133" s="277">
        <f>IFERROR(IF(F133*H133=0,"",F133*H133),"")</f>
        <v/>
      </c>
      <c r="K133" s="81" t="inlineStr">
        <is>
          <t>Pending</t>
        </is>
      </c>
    </row>
    <row r="134" ht="15.75" customHeight="1">
      <c r="B134" s="58" t="n"/>
      <c r="C134" s="60" t="n"/>
      <c r="D134" s="59" t="n"/>
      <c r="E134" s="59" t="n"/>
      <c r="F134" s="272" t="n"/>
      <c r="G134" s="10" t="n"/>
      <c r="H134" s="273" t="n"/>
      <c r="I134" s="114" t="n"/>
      <c r="J134" s="274">
        <f>IFERROR(IF(F134*H134=0,"",F134*H134),"")</f>
        <v/>
      </c>
      <c r="K134" s="74" t="inlineStr">
        <is>
          <t>Pending</t>
        </is>
      </c>
    </row>
    <row r="135" ht="15.75" customHeight="1">
      <c r="B135" s="58" t="n"/>
      <c r="C135" s="63" t="n"/>
      <c r="D135" s="62" t="n"/>
      <c r="E135" s="62" t="n"/>
      <c r="F135" s="275" t="n"/>
      <c r="G135" s="19" t="n"/>
      <c r="H135" s="276" t="n"/>
      <c r="I135" s="118" t="n"/>
      <c r="J135" s="277">
        <f>IFERROR(IF(F135*H135=0,"",F135*H135),"")</f>
        <v/>
      </c>
      <c r="K135" s="81" t="inlineStr">
        <is>
          <t>Pending</t>
        </is>
      </c>
    </row>
    <row r="136" ht="15.75" customHeight="1">
      <c r="B136" s="58" t="n"/>
      <c r="C136" s="60" t="n"/>
      <c r="D136" s="59" t="n"/>
      <c r="E136" s="59" t="n"/>
      <c r="F136" s="272" t="n"/>
      <c r="G136" s="10" t="n"/>
      <c r="H136" s="273" t="n"/>
      <c r="I136" s="114" t="n"/>
      <c r="J136" s="274">
        <f>IFERROR(IF(F136*H136=0,"",F136*H136),"")</f>
        <v/>
      </c>
      <c r="K136" s="74" t="inlineStr">
        <is>
          <t>Pending</t>
        </is>
      </c>
    </row>
    <row r="137" ht="15.75" customHeight="1">
      <c r="B137" s="58" t="n"/>
      <c r="C137" s="63" t="n"/>
      <c r="D137" s="62" t="n"/>
      <c r="E137" s="62" t="n"/>
      <c r="F137" s="275" t="n"/>
      <c r="G137" s="19" t="n"/>
      <c r="H137" s="276" t="n"/>
      <c r="I137" s="118" t="n"/>
      <c r="J137" s="277">
        <f>IFERROR(IF(F137*H137=0,"",F137*H137),"")</f>
        <v/>
      </c>
      <c r="K137" s="81" t="inlineStr">
        <is>
          <t>Pending</t>
        </is>
      </c>
    </row>
    <row r="138" ht="15.75" customHeight="1">
      <c r="B138" s="58" t="n"/>
      <c r="C138" s="60" t="n"/>
      <c r="D138" s="59" t="n"/>
      <c r="E138" s="59" t="n"/>
      <c r="F138" s="272" t="n"/>
      <c r="G138" s="10" t="n"/>
      <c r="H138" s="273" t="n"/>
      <c r="I138" s="114" t="n"/>
      <c r="J138" s="274">
        <f>IFERROR(IF(F138*H138=0,"",F138*H138),"")</f>
        <v/>
      </c>
      <c r="K138" s="74" t="inlineStr">
        <is>
          <t>Pending</t>
        </is>
      </c>
    </row>
    <row r="139" ht="15.75" customHeight="1">
      <c r="B139" s="58" t="n"/>
      <c r="C139" s="63" t="n"/>
      <c r="D139" s="62" t="n"/>
      <c r="E139" s="62" t="n"/>
      <c r="F139" s="275" t="n"/>
      <c r="G139" s="19" t="n"/>
      <c r="H139" s="276" t="n"/>
      <c r="I139" s="118" t="n"/>
      <c r="J139" s="277">
        <f>IFERROR(IF(F139*H139=0,"",F139*H139),"")</f>
        <v/>
      </c>
      <c r="K139" s="81" t="inlineStr">
        <is>
          <t>Pending</t>
        </is>
      </c>
    </row>
    <row r="140" ht="15.75" customHeight="1">
      <c r="B140" s="58" t="n"/>
      <c r="C140" s="60" t="n"/>
      <c r="D140" s="59" t="n"/>
      <c r="E140" s="59" t="n"/>
      <c r="F140" s="272" t="n"/>
      <c r="G140" s="10" t="n"/>
      <c r="H140" s="273" t="n"/>
      <c r="I140" s="114" t="n"/>
      <c r="J140" s="274">
        <f>IFERROR(IF(F140*H140=0,"",F140*H140),"")</f>
        <v/>
      </c>
      <c r="K140" s="74" t="inlineStr">
        <is>
          <t>Pending</t>
        </is>
      </c>
    </row>
    <row r="141" ht="15.75" customHeight="1">
      <c r="B141" s="58" t="n"/>
      <c r="C141" s="63" t="n"/>
      <c r="D141" s="62" t="n"/>
      <c r="E141" s="62" t="n"/>
      <c r="F141" s="275" t="n"/>
      <c r="G141" s="19" t="n"/>
      <c r="H141" s="276" t="n"/>
      <c r="I141" s="118" t="n"/>
      <c r="J141" s="277">
        <f>IFERROR(IF(F141*H141=0,"",F141*H141),"")</f>
        <v/>
      </c>
      <c r="K141" s="81" t="inlineStr">
        <is>
          <t>Pending</t>
        </is>
      </c>
    </row>
    <row r="142" ht="15.75" customHeight="1">
      <c r="B142" s="58" t="n"/>
      <c r="C142" s="60" t="n"/>
      <c r="D142" s="59" t="n"/>
      <c r="E142" s="59" t="n"/>
      <c r="F142" s="272" t="n"/>
      <c r="G142" s="10" t="n"/>
      <c r="H142" s="273" t="n"/>
      <c r="I142" s="114" t="n"/>
      <c r="J142" s="274">
        <f>IFERROR(IF(F142*H142=0,"",F142*H142),"")</f>
        <v/>
      </c>
      <c r="K142" s="74" t="inlineStr">
        <is>
          <t>Pending</t>
        </is>
      </c>
    </row>
    <row r="143" ht="15.75" customHeight="1">
      <c r="B143" s="58" t="n"/>
      <c r="C143" s="63" t="n"/>
      <c r="D143" s="62" t="n"/>
      <c r="E143" s="62" t="n"/>
      <c r="F143" s="275" t="n"/>
      <c r="G143" s="19" t="n"/>
      <c r="H143" s="276" t="n"/>
      <c r="I143" s="118" t="n"/>
      <c r="J143" s="277">
        <f>IFERROR(IF(F143*H143=0,"",F143*H143),"")</f>
        <v/>
      </c>
      <c r="K143" s="81" t="inlineStr">
        <is>
          <t>Pending</t>
        </is>
      </c>
    </row>
    <row r="144" ht="15.75" customHeight="1">
      <c r="B144" s="58" t="n"/>
      <c r="C144" s="60" t="n"/>
      <c r="D144" s="59" t="n"/>
      <c r="E144" s="59" t="n"/>
      <c r="F144" s="272" t="n"/>
      <c r="G144" s="10" t="n"/>
      <c r="H144" s="273" t="n"/>
      <c r="I144" s="114" t="n"/>
      <c r="J144" s="274">
        <f>IFERROR(IF(F144*H144=0,"",F144*H144),"")</f>
        <v/>
      </c>
      <c r="K144" s="74" t="inlineStr">
        <is>
          <t>Pending</t>
        </is>
      </c>
    </row>
    <row r="145" ht="15.75" customHeight="1">
      <c r="B145" s="58" t="n"/>
      <c r="C145" s="63" t="n"/>
      <c r="D145" s="62" t="n"/>
      <c r="E145" s="62" t="n"/>
      <c r="F145" s="275" t="n"/>
      <c r="G145" s="19" t="n"/>
      <c r="H145" s="276" t="n"/>
      <c r="I145" s="118" t="n"/>
      <c r="J145" s="277">
        <f>IFERROR(IF(F145*H145=0,"",F145*H145),"")</f>
        <v/>
      </c>
      <c r="K145" s="81" t="inlineStr">
        <is>
          <t>Pending</t>
        </is>
      </c>
    </row>
    <row r="146" ht="15.75" customHeight="1">
      <c r="B146" s="58" t="n"/>
      <c r="C146" s="60" t="n"/>
      <c r="D146" s="59" t="n"/>
      <c r="E146" s="59" t="n"/>
      <c r="F146" s="272" t="n"/>
      <c r="G146" s="10" t="n"/>
      <c r="H146" s="273" t="n"/>
      <c r="I146" s="114" t="n"/>
      <c r="J146" s="274">
        <f>IFERROR(IF(F146*H146=0,"",F146*H146),"")</f>
        <v/>
      </c>
      <c r="K146" s="74" t="inlineStr">
        <is>
          <t>Pending</t>
        </is>
      </c>
    </row>
    <row r="147" ht="15.75" customHeight="1">
      <c r="B147" s="58" t="n"/>
      <c r="C147" s="63" t="n"/>
      <c r="D147" s="62" t="n"/>
      <c r="E147" s="62" t="n"/>
      <c r="F147" s="275" t="n"/>
      <c r="G147" s="19" t="n"/>
      <c r="H147" s="276" t="n"/>
      <c r="I147" s="118" t="n"/>
      <c r="J147" s="277">
        <f>IFERROR(IF(F147*H147=0,"",F147*H147),"")</f>
        <v/>
      </c>
      <c r="K147" s="81" t="inlineStr">
        <is>
          <t>Pending</t>
        </is>
      </c>
    </row>
    <row r="148" ht="15.75" customHeight="1">
      <c r="B148" s="58" t="n"/>
      <c r="C148" s="60" t="n"/>
      <c r="D148" s="59" t="n"/>
      <c r="E148" s="59" t="n"/>
      <c r="F148" s="272" t="n"/>
      <c r="G148" s="10" t="n"/>
      <c r="H148" s="273" t="n"/>
      <c r="I148" s="114" t="n"/>
      <c r="J148" s="274">
        <f>IFERROR(IF(F148*H148=0,"",F148*H148),"")</f>
        <v/>
      </c>
      <c r="K148" s="74" t="inlineStr">
        <is>
          <t>Pending</t>
        </is>
      </c>
    </row>
    <row r="149" ht="15.75" customHeight="1">
      <c r="B149" s="58" t="n"/>
      <c r="C149" s="63" t="n"/>
      <c r="D149" s="62" t="n"/>
      <c r="E149" s="62" t="n"/>
      <c r="F149" s="275" t="n"/>
      <c r="G149" s="19" t="n"/>
      <c r="H149" s="276" t="n"/>
      <c r="I149" s="118" t="n"/>
      <c r="J149" s="277">
        <f>IFERROR(IF(F149*H149=0,"",F149*H149),"")</f>
        <v/>
      </c>
      <c r="K149" s="81" t="inlineStr">
        <is>
          <t>Pending</t>
        </is>
      </c>
    </row>
    <row r="150" ht="15.75" customHeight="1">
      <c r="B150" s="58" t="n"/>
      <c r="C150" s="60" t="n"/>
      <c r="D150" s="59" t="n"/>
      <c r="E150" s="59" t="n"/>
      <c r="F150" s="272" t="n"/>
      <c r="G150" s="10" t="n"/>
      <c r="H150" s="273" t="n"/>
      <c r="I150" s="114" t="n"/>
      <c r="J150" s="274">
        <f>IFERROR(IF(F150*H150=0,"",F150*H150),"")</f>
        <v/>
      </c>
      <c r="K150" s="74" t="inlineStr">
        <is>
          <t>Pending</t>
        </is>
      </c>
    </row>
    <row r="151" ht="15.75" customHeight="1">
      <c r="B151" s="58" t="n"/>
      <c r="C151" s="63" t="n"/>
      <c r="D151" s="62" t="n"/>
      <c r="E151" s="62" t="n"/>
      <c r="F151" s="275" t="n"/>
      <c r="G151" s="19" t="n"/>
      <c r="H151" s="276" t="n"/>
      <c r="I151" s="118" t="n"/>
      <c r="J151" s="277">
        <f>IFERROR(IF(F151*H151=0,"",F151*H151),"")</f>
        <v/>
      </c>
      <c r="K151" s="81" t="inlineStr">
        <is>
          <t>Pending</t>
        </is>
      </c>
    </row>
    <row r="152" ht="15.75" customHeight="1">
      <c r="B152" s="58" t="n"/>
      <c r="C152" s="60" t="n"/>
      <c r="D152" s="59" t="n"/>
      <c r="E152" s="59" t="n"/>
      <c r="F152" s="272" t="n"/>
      <c r="G152" s="10" t="n"/>
      <c r="H152" s="273" t="n"/>
      <c r="I152" s="114" t="n"/>
      <c r="J152" s="274">
        <f>IFERROR(IF(F152*H152=0,"",F152*H152),"")</f>
        <v/>
      </c>
      <c r="K152" s="74" t="inlineStr">
        <is>
          <t>Pending</t>
        </is>
      </c>
    </row>
    <row r="153" ht="15.75" customHeight="1">
      <c r="B153" s="58" t="n"/>
      <c r="C153" s="63" t="n"/>
      <c r="D153" s="62" t="n"/>
      <c r="E153" s="62" t="n"/>
      <c r="F153" s="275" t="n"/>
      <c r="G153" s="19" t="n"/>
      <c r="H153" s="276" t="n"/>
      <c r="I153" s="118" t="n"/>
      <c r="J153" s="277">
        <f>IFERROR(IF(F153*H153=0,"",F153*H153),"")</f>
        <v/>
      </c>
      <c r="K153" s="81" t="inlineStr">
        <is>
          <t>Pending</t>
        </is>
      </c>
    </row>
    <row r="154" ht="15.75" customHeight="1">
      <c r="B154" s="58" t="n"/>
      <c r="C154" s="60" t="n"/>
      <c r="D154" s="59" t="n"/>
      <c r="E154" s="59" t="n"/>
      <c r="F154" s="272" t="n"/>
      <c r="G154" s="10" t="n"/>
      <c r="H154" s="273" t="n"/>
      <c r="I154" s="114" t="n"/>
      <c r="J154" s="274">
        <f>IFERROR(IF(F154*H154=0,"",F154*H154),"")</f>
        <v/>
      </c>
      <c r="K154" s="74" t="inlineStr">
        <is>
          <t>Pending</t>
        </is>
      </c>
    </row>
    <row r="155" ht="15.75" customHeight="1">
      <c r="B155" s="58" t="n"/>
      <c r="C155" s="63" t="n"/>
      <c r="D155" s="62" t="n"/>
      <c r="E155" s="62" t="n"/>
      <c r="F155" s="275" t="n"/>
      <c r="G155" s="19" t="n"/>
      <c r="H155" s="276" t="n"/>
      <c r="I155" s="118" t="n"/>
      <c r="J155" s="277">
        <f>IFERROR(IF(F155*H155=0,"",F155*H155),"")</f>
        <v/>
      </c>
      <c r="K155" s="81" t="inlineStr">
        <is>
          <t>Pending</t>
        </is>
      </c>
    </row>
    <row r="156" ht="15.75" customHeight="1">
      <c r="B156" s="58" t="n"/>
      <c r="C156" s="60" t="n"/>
      <c r="D156" s="59" t="n"/>
      <c r="E156" s="59" t="n"/>
      <c r="F156" s="272" t="n"/>
      <c r="G156" s="10" t="n"/>
      <c r="H156" s="273" t="n"/>
      <c r="I156" s="114" t="n"/>
      <c r="J156" s="274">
        <f>IFERROR(IF(F156*H156=0,"",F156*H156),"")</f>
        <v/>
      </c>
      <c r="K156" s="74" t="inlineStr">
        <is>
          <t>Pending</t>
        </is>
      </c>
    </row>
    <row r="157" ht="15.75" customHeight="1">
      <c r="B157" s="58" t="n"/>
      <c r="C157" s="63" t="n"/>
      <c r="D157" s="62" t="n"/>
      <c r="E157" s="62" t="n"/>
      <c r="F157" s="275" t="n"/>
      <c r="G157" s="19" t="n"/>
      <c r="H157" s="276" t="n"/>
      <c r="I157" s="118" t="n"/>
      <c r="J157" s="277">
        <f>IFERROR(IF(F157*H157=0,"",F157*H157),"")</f>
        <v/>
      </c>
      <c r="K157" s="81" t="inlineStr">
        <is>
          <t>Pending</t>
        </is>
      </c>
    </row>
    <row r="158" ht="15.75" customHeight="1">
      <c r="B158" s="58" t="n"/>
      <c r="C158" s="60" t="n"/>
      <c r="D158" s="59" t="n"/>
      <c r="E158" s="59" t="n"/>
      <c r="F158" s="272" t="n"/>
      <c r="G158" s="10" t="n"/>
      <c r="H158" s="273" t="n"/>
      <c r="I158" s="114" t="n"/>
      <c r="J158" s="274">
        <f>IFERROR(IF(F158*H158=0,"",F158*H158),"")</f>
        <v/>
      </c>
      <c r="K158" s="74" t="inlineStr">
        <is>
          <t>Pending</t>
        </is>
      </c>
    </row>
    <row r="159" ht="15.75" customHeight="1">
      <c r="B159" s="58" t="n"/>
      <c r="C159" s="63" t="n"/>
      <c r="D159" s="62" t="n"/>
      <c r="E159" s="62" t="n"/>
      <c r="F159" s="275" t="n"/>
      <c r="G159" s="19" t="n"/>
      <c r="H159" s="276" t="n"/>
      <c r="I159" s="118" t="n"/>
      <c r="J159" s="277">
        <f>IFERROR(IF(F159*H159=0,"",F159*H159),"")</f>
        <v/>
      </c>
      <c r="K159" s="81" t="inlineStr">
        <is>
          <t>Pending</t>
        </is>
      </c>
    </row>
    <row r="160" ht="15.75" customHeight="1">
      <c r="B160" s="58" t="n"/>
      <c r="C160" s="60" t="n"/>
      <c r="D160" s="59" t="n"/>
      <c r="E160" s="59" t="n"/>
      <c r="F160" s="272" t="n"/>
      <c r="G160" s="10" t="n"/>
      <c r="H160" s="273" t="n"/>
      <c r="I160" s="114" t="n"/>
      <c r="J160" s="274">
        <f>IFERROR(IF(F160*H160=0,"",F160*H160),"")</f>
        <v/>
      </c>
      <c r="K160" s="74" t="inlineStr">
        <is>
          <t>Pending</t>
        </is>
      </c>
    </row>
    <row r="161" ht="15.75" customHeight="1">
      <c r="B161" s="58" t="n"/>
      <c r="C161" s="63" t="n"/>
      <c r="D161" s="62" t="n"/>
      <c r="E161" s="62" t="n"/>
      <c r="F161" s="275" t="n"/>
      <c r="G161" s="19" t="n"/>
      <c r="H161" s="276" t="n"/>
      <c r="I161" s="118" t="n"/>
      <c r="J161" s="277">
        <f>IFERROR(IF(F161*H161=0,"",F161*H161),"")</f>
        <v/>
      </c>
      <c r="K161" s="81" t="inlineStr">
        <is>
          <t>Pending</t>
        </is>
      </c>
    </row>
    <row r="162" ht="15.75" customHeight="1">
      <c r="B162" s="58" t="n"/>
      <c r="C162" s="60" t="n"/>
      <c r="D162" s="59" t="n"/>
      <c r="E162" s="59" t="n"/>
      <c r="F162" s="272" t="n"/>
      <c r="G162" s="10" t="n"/>
      <c r="H162" s="273" t="n"/>
      <c r="I162" s="114" t="n"/>
      <c r="J162" s="274">
        <f>IFERROR(IF(F162*H162=0,"",F162*H162),"")</f>
        <v/>
      </c>
      <c r="K162" s="74" t="inlineStr">
        <is>
          <t>Pending</t>
        </is>
      </c>
    </row>
    <row r="163" ht="15.75" customHeight="1">
      <c r="B163" s="58" t="n"/>
      <c r="C163" s="63" t="n"/>
      <c r="D163" s="62" t="n"/>
      <c r="E163" s="62" t="n"/>
      <c r="F163" s="275" t="n"/>
      <c r="G163" s="19" t="n"/>
      <c r="H163" s="276" t="n"/>
      <c r="I163" s="118" t="n"/>
      <c r="J163" s="277">
        <f>IFERROR(IF(F163*H163=0,"",F163*H163),"")</f>
        <v/>
      </c>
      <c r="K163" s="81" t="inlineStr">
        <is>
          <t>Pending</t>
        </is>
      </c>
    </row>
    <row r="164" ht="15.75" customHeight="1">
      <c r="B164" s="58" t="n"/>
      <c r="C164" s="60" t="n"/>
      <c r="D164" s="59" t="n"/>
      <c r="E164" s="59" t="n"/>
      <c r="F164" s="272" t="n"/>
      <c r="G164" s="10" t="n"/>
      <c r="H164" s="273" t="n"/>
      <c r="I164" s="114" t="n"/>
      <c r="J164" s="274">
        <f>IFERROR(IF(F164*H164=0,"",F164*H164),"")</f>
        <v/>
      </c>
      <c r="K164" s="74" t="inlineStr">
        <is>
          <t>Pending</t>
        </is>
      </c>
    </row>
    <row r="165" ht="15.75" customHeight="1">
      <c r="B165" s="58" t="n"/>
      <c r="C165" s="63" t="n"/>
      <c r="D165" s="62" t="n"/>
      <c r="E165" s="62" t="n"/>
      <c r="F165" s="275" t="n"/>
      <c r="G165" s="19" t="n"/>
      <c r="H165" s="276" t="n"/>
      <c r="I165" s="118" t="n"/>
      <c r="J165" s="277">
        <f>IFERROR(IF(F165*H165=0,"",F165*H165),"")</f>
        <v/>
      </c>
      <c r="K165" s="81" t="inlineStr">
        <is>
          <t>Pending</t>
        </is>
      </c>
    </row>
    <row r="166" ht="15.75" customHeight="1">
      <c r="B166" s="58" t="n"/>
      <c r="C166" s="60" t="n"/>
      <c r="D166" s="59" t="n"/>
      <c r="E166" s="59" t="n"/>
      <c r="F166" s="272" t="n"/>
      <c r="G166" s="10" t="n"/>
      <c r="H166" s="273" t="n"/>
      <c r="I166" s="114" t="n"/>
      <c r="J166" s="274">
        <f>IFERROR(IF(F166*H166=0,"",F166*H166),"")</f>
        <v/>
      </c>
      <c r="K166" s="74" t="inlineStr">
        <is>
          <t>Pending</t>
        </is>
      </c>
    </row>
    <row r="167" ht="15.75" customHeight="1">
      <c r="B167" s="58" t="n"/>
      <c r="C167" s="63" t="n"/>
      <c r="D167" s="62" t="n"/>
      <c r="E167" s="62" t="n"/>
      <c r="F167" s="275" t="n"/>
      <c r="G167" s="19" t="n"/>
      <c r="H167" s="276" t="n"/>
      <c r="I167" s="118" t="n"/>
      <c r="J167" s="277">
        <f>IFERROR(IF(F167*H167=0,"",F167*H167),"")</f>
        <v/>
      </c>
      <c r="K167" s="81" t="inlineStr">
        <is>
          <t>Pending</t>
        </is>
      </c>
    </row>
    <row r="168" ht="15.75" customHeight="1">
      <c r="B168" s="58" t="n"/>
      <c r="C168" s="60" t="n"/>
      <c r="D168" s="59" t="n"/>
      <c r="E168" s="59" t="n"/>
      <c r="F168" s="272" t="n"/>
      <c r="G168" s="10" t="n"/>
      <c r="H168" s="273" t="n"/>
      <c r="I168" s="114" t="n"/>
      <c r="J168" s="274">
        <f>IFERROR(IF(F168*H168=0,"",F168*H168),"")</f>
        <v/>
      </c>
      <c r="K168" s="74" t="inlineStr">
        <is>
          <t>Pending</t>
        </is>
      </c>
    </row>
    <row r="169" ht="15.75" customHeight="1">
      <c r="B169" s="58" t="n"/>
      <c r="C169" s="63" t="n"/>
      <c r="D169" s="62" t="n"/>
      <c r="E169" s="62" t="n"/>
      <c r="F169" s="275" t="n"/>
      <c r="G169" s="19" t="n"/>
      <c r="H169" s="276" t="n"/>
      <c r="I169" s="118" t="n"/>
      <c r="J169" s="277">
        <f>IFERROR(IF(F169*H169=0,"",F169*H169),"")</f>
        <v/>
      </c>
      <c r="K169" s="81" t="inlineStr">
        <is>
          <t>Pending</t>
        </is>
      </c>
    </row>
    <row r="170" ht="15.75" customHeight="1">
      <c r="B170" s="58" t="n"/>
      <c r="C170" s="60" t="n"/>
      <c r="D170" s="59" t="n"/>
      <c r="E170" s="59" t="n"/>
      <c r="F170" s="272" t="n"/>
      <c r="G170" s="10" t="n"/>
      <c r="H170" s="273" t="n"/>
      <c r="I170" s="114" t="n"/>
      <c r="J170" s="274">
        <f>IFERROR(IF(F170*H170=0,"",F170*H170),"")</f>
        <v/>
      </c>
      <c r="K170" s="74" t="inlineStr">
        <is>
          <t>Pending</t>
        </is>
      </c>
    </row>
    <row r="171" ht="15.75" customHeight="1">
      <c r="B171" s="58" t="n"/>
      <c r="C171" s="63" t="n"/>
      <c r="D171" s="62" t="n"/>
      <c r="E171" s="62" t="n"/>
      <c r="F171" s="275" t="n"/>
      <c r="G171" s="19" t="n"/>
      <c r="H171" s="276" t="n"/>
      <c r="I171" s="118" t="n"/>
      <c r="J171" s="277">
        <f>IFERROR(IF(F171*H171=0,"",F171*H171),"")</f>
        <v/>
      </c>
      <c r="K171" s="81" t="inlineStr">
        <is>
          <t>Pending</t>
        </is>
      </c>
    </row>
    <row r="172" ht="15.75" customHeight="1">
      <c r="B172" s="58" t="n"/>
      <c r="C172" s="60" t="n"/>
      <c r="D172" s="59" t="n"/>
      <c r="E172" s="59" t="n"/>
      <c r="F172" s="272" t="n"/>
      <c r="G172" s="10" t="n"/>
      <c r="H172" s="273" t="n"/>
      <c r="I172" s="114" t="n"/>
      <c r="J172" s="274">
        <f>IFERROR(IF(F172*H172=0,"",F172*H172),"")</f>
        <v/>
      </c>
      <c r="K172" s="74" t="inlineStr">
        <is>
          <t>Pending</t>
        </is>
      </c>
    </row>
    <row r="173" ht="15.75" customHeight="1">
      <c r="B173" s="58" t="n"/>
      <c r="C173" s="63" t="n"/>
      <c r="D173" s="62" t="n"/>
      <c r="E173" s="62" t="n"/>
      <c r="F173" s="275" t="n"/>
      <c r="G173" s="19" t="n"/>
      <c r="H173" s="276" t="n"/>
      <c r="I173" s="118" t="n"/>
      <c r="J173" s="277">
        <f>IFERROR(IF(F173*H173=0,"",F173*H173),"")</f>
        <v/>
      </c>
      <c r="K173" s="81" t="inlineStr">
        <is>
          <t>Pending</t>
        </is>
      </c>
    </row>
    <row r="174" ht="15.75" customHeight="1">
      <c r="B174" s="58" t="n"/>
      <c r="C174" s="60" t="n"/>
      <c r="D174" s="59" t="n"/>
      <c r="E174" s="59" t="n"/>
      <c r="F174" s="272" t="n"/>
      <c r="G174" s="10" t="n"/>
      <c r="H174" s="273" t="n"/>
      <c r="I174" s="114" t="n"/>
      <c r="J174" s="274">
        <f>IFERROR(IF(F174*H174=0,"",F174*H174),"")</f>
        <v/>
      </c>
      <c r="K174" s="74" t="inlineStr">
        <is>
          <t>Pending</t>
        </is>
      </c>
    </row>
    <row r="175" ht="15.75" customHeight="1">
      <c r="B175" s="58" t="n"/>
      <c r="C175" s="63" t="n"/>
      <c r="D175" s="62" t="n"/>
      <c r="E175" s="62" t="n"/>
      <c r="F175" s="275" t="n"/>
      <c r="G175" s="19" t="n"/>
      <c r="H175" s="276" t="n"/>
      <c r="I175" s="118" t="n"/>
      <c r="J175" s="277">
        <f>IFERROR(IF(F175*H175=0,"",F175*H175),"")</f>
        <v/>
      </c>
      <c r="K175" s="81" t="inlineStr">
        <is>
          <t>Pending</t>
        </is>
      </c>
    </row>
    <row r="176" ht="15.75" customHeight="1">
      <c r="B176" s="58" t="n"/>
      <c r="C176" s="60" t="n"/>
      <c r="D176" s="59" t="n"/>
      <c r="E176" s="59" t="n"/>
      <c r="F176" s="272" t="n"/>
      <c r="G176" s="10" t="n"/>
      <c r="H176" s="273" t="n"/>
      <c r="I176" s="114" t="n"/>
      <c r="J176" s="274">
        <f>IFERROR(IF(F176*H176=0,"",F176*H176),"")</f>
        <v/>
      </c>
      <c r="K176" s="74" t="inlineStr">
        <is>
          <t>Pending</t>
        </is>
      </c>
    </row>
    <row r="177" ht="15.75" customHeight="1">
      <c r="B177" s="58" t="n"/>
      <c r="C177" s="63" t="n"/>
      <c r="D177" s="62" t="n"/>
      <c r="E177" s="62" t="n"/>
      <c r="F177" s="275" t="n"/>
      <c r="G177" s="19" t="n"/>
      <c r="H177" s="276" t="n"/>
      <c r="I177" s="118" t="n"/>
      <c r="J177" s="277">
        <f>IFERROR(IF(F177*H177=0,"",F177*H177),"")</f>
        <v/>
      </c>
      <c r="K177" s="81" t="inlineStr">
        <is>
          <t>Pending</t>
        </is>
      </c>
    </row>
    <row r="178" ht="15.75" customHeight="1">
      <c r="B178" s="58" t="n"/>
      <c r="C178" s="60" t="n"/>
      <c r="D178" s="59" t="n"/>
      <c r="E178" s="59" t="n"/>
      <c r="F178" s="272" t="n"/>
      <c r="G178" s="10" t="n"/>
      <c r="H178" s="273" t="n"/>
      <c r="I178" s="114" t="n"/>
      <c r="J178" s="274">
        <f>IFERROR(IF(F178*H178=0,"",F178*H178),"")</f>
        <v/>
      </c>
      <c r="K178" s="74" t="inlineStr">
        <is>
          <t>Pending</t>
        </is>
      </c>
    </row>
    <row r="179" ht="15.75" customHeight="1">
      <c r="B179" s="58" t="n"/>
      <c r="C179" s="63" t="n"/>
      <c r="D179" s="62" t="n"/>
      <c r="E179" s="62" t="n"/>
      <c r="F179" s="275" t="n"/>
      <c r="G179" s="19" t="n"/>
      <c r="H179" s="276" t="n"/>
      <c r="I179" s="118" t="n"/>
      <c r="J179" s="277">
        <f>IFERROR(IF(F179*H179=0,"",F179*H179),"")</f>
        <v/>
      </c>
      <c r="K179" s="81" t="inlineStr">
        <is>
          <t>Pending</t>
        </is>
      </c>
    </row>
    <row r="180" ht="15.75" customHeight="1">
      <c r="B180" s="58" t="n"/>
      <c r="C180" s="60" t="n"/>
      <c r="D180" s="59" t="n"/>
      <c r="E180" s="59" t="n"/>
      <c r="F180" s="272" t="n"/>
      <c r="G180" s="10" t="n"/>
      <c r="H180" s="273" t="n"/>
      <c r="I180" s="114" t="n"/>
      <c r="J180" s="274">
        <f>IFERROR(IF(F180*H180=0,"",F180*H180),"")</f>
        <v/>
      </c>
      <c r="K180" s="74" t="inlineStr">
        <is>
          <t>Pending</t>
        </is>
      </c>
    </row>
    <row r="181" ht="15.75" customHeight="1">
      <c r="B181" s="58" t="n"/>
      <c r="C181" s="63" t="n"/>
      <c r="D181" s="62" t="n"/>
      <c r="E181" s="62" t="n"/>
      <c r="F181" s="275" t="n"/>
      <c r="G181" s="19" t="n"/>
      <c r="H181" s="276" t="n"/>
      <c r="I181" s="118" t="n"/>
      <c r="J181" s="277">
        <f>IFERROR(IF(F181*H181=0,"",F181*H181),"")</f>
        <v/>
      </c>
      <c r="K181" s="81" t="inlineStr">
        <is>
          <t>Pending</t>
        </is>
      </c>
    </row>
    <row r="182" ht="15.75" customHeight="1">
      <c r="B182" s="58" t="n"/>
      <c r="C182" s="60" t="n"/>
      <c r="D182" s="59" t="n"/>
      <c r="E182" s="59" t="n"/>
      <c r="F182" s="272" t="n"/>
      <c r="G182" s="10" t="n"/>
      <c r="H182" s="273" t="n"/>
      <c r="I182" s="114" t="n"/>
      <c r="J182" s="274">
        <f>IFERROR(IF(F182*H182=0,"",F182*H182),"")</f>
        <v/>
      </c>
      <c r="K182" s="74" t="inlineStr">
        <is>
          <t>Pending</t>
        </is>
      </c>
    </row>
    <row r="183" ht="15.75" customHeight="1">
      <c r="B183" s="58" t="n"/>
      <c r="C183" s="63" t="n"/>
      <c r="D183" s="62" t="n"/>
      <c r="E183" s="62" t="n"/>
      <c r="F183" s="275" t="n"/>
      <c r="G183" s="19" t="n"/>
      <c r="H183" s="276" t="n"/>
      <c r="I183" s="118" t="n"/>
      <c r="J183" s="277">
        <f>IFERROR(IF(F183*H183=0,"",F183*H183),"")</f>
        <v/>
      </c>
      <c r="K183" s="81" t="inlineStr">
        <is>
          <t>Pending</t>
        </is>
      </c>
    </row>
    <row r="184" ht="15.75" customHeight="1">
      <c r="B184" s="58" t="n"/>
      <c r="C184" s="60" t="n"/>
      <c r="D184" s="59" t="n"/>
      <c r="E184" s="59" t="n"/>
      <c r="F184" s="272" t="n"/>
      <c r="G184" s="10" t="n"/>
      <c r="H184" s="273" t="n"/>
      <c r="I184" s="114" t="n"/>
      <c r="J184" s="274">
        <f>IFERROR(IF(F184*H184=0,"",F184*H184),"")</f>
        <v/>
      </c>
      <c r="K184" s="74" t="inlineStr">
        <is>
          <t>Pending</t>
        </is>
      </c>
    </row>
    <row r="185" ht="15.75" customHeight="1">
      <c r="B185" s="58" t="n"/>
      <c r="C185" s="63" t="n"/>
      <c r="D185" s="62" t="n"/>
      <c r="E185" s="62" t="n"/>
      <c r="F185" s="275" t="n"/>
      <c r="G185" s="19" t="n"/>
      <c r="H185" s="276" t="n"/>
      <c r="I185" s="118" t="n"/>
      <c r="J185" s="277">
        <f>IFERROR(IF(F185*H185=0,"",F185*H185),"")</f>
        <v/>
      </c>
      <c r="K185" s="81" t="inlineStr">
        <is>
          <t>Pending</t>
        </is>
      </c>
    </row>
    <row r="186" ht="15.75" customHeight="1">
      <c r="B186" s="58" t="n"/>
      <c r="C186" s="60" t="n"/>
      <c r="D186" s="59" t="n"/>
      <c r="E186" s="59" t="n"/>
      <c r="F186" s="272" t="n"/>
      <c r="G186" s="10" t="n"/>
      <c r="H186" s="273" t="n"/>
      <c r="I186" s="114" t="n"/>
      <c r="J186" s="274">
        <f>IFERROR(IF(F186*H186=0,"",F186*H186),"")</f>
        <v/>
      </c>
      <c r="K186" s="74" t="inlineStr">
        <is>
          <t>Pending</t>
        </is>
      </c>
    </row>
    <row r="187" ht="15.75" customHeight="1">
      <c r="B187" s="58" t="n"/>
      <c r="C187" s="63" t="n"/>
      <c r="D187" s="62" t="n"/>
      <c r="E187" s="62" t="n"/>
      <c r="F187" s="275" t="n"/>
      <c r="G187" s="19" t="n"/>
      <c r="H187" s="276" t="n"/>
      <c r="I187" s="118" t="n"/>
      <c r="J187" s="277">
        <f>IFERROR(IF(F187*H187=0,"",F187*H187),"")</f>
        <v/>
      </c>
      <c r="K187" s="81" t="inlineStr">
        <is>
          <t>Pending</t>
        </is>
      </c>
    </row>
    <row r="188" ht="15.75" customHeight="1">
      <c r="B188" s="58" t="n"/>
      <c r="C188" s="60" t="n"/>
      <c r="D188" s="59" t="n"/>
      <c r="E188" s="59" t="n"/>
      <c r="F188" s="272" t="n"/>
      <c r="G188" s="10" t="n"/>
      <c r="H188" s="273" t="n"/>
      <c r="I188" s="114" t="n"/>
      <c r="J188" s="274">
        <f>IFERROR(IF(F188*H188=0,"",F188*H188),"")</f>
        <v/>
      </c>
      <c r="K188" s="74" t="inlineStr">
        <is>
          <t>Pending</t>
        </is>
      </c>
    </row>
    <row r="189" ht="15.75" customHeight="1">
      <c r="B189" s="58" t="n"/>
      <c r="C189" s="63" t="n"/>
      <c r="D189" s="62" t="n"/>
      <c r="E189" s="62" t="n"/>
      <c r="F189" s="275" t="n"/>
      <c r="G189" s="19" t="n"/>
      <c r="H189" s="276" t="n"/>
      <c r="I189" s="118" t="n"/>
      <c r="J189" s="277">
        <f>IFERROR(IF(F189*H189=0,"",F189*H189),"")</f>
        <v/>
      </c>
      <c r="K189" s="81" t="inlineStr">
        <is>
          <t>Pending</t>
        </is>
      </c>
    </row>
    <row r="190" ht="15.75" customHeight="1">
      <c r="B190" s="58" t="n"/>
      <c r="C190" s="60" t="n"/>
      <c r="D190" s="59" t="n"/>
      <c r="E190" s="59" t="n"/>
      <c r="F190" s="272" t="n"/>
      <c r="G190" s="10" t="n"/>
      <c r="H190" s="273" t="n"/>
      <c r="I190" s="114" t="n"/>
      <c r="J190" s="274">
        <f>IFERROR(IF(F190*H190=0,"",F190*H190),"")</f>
        <v/>
      </c>
      <c r="K190" s="74" t="inlineStr">
        <is>
          <t>Pending</t>
        </is>
      </c>
    </row>
    <row r="191" ht="15.75" customHeight="1">
      <c r="B191" s="58" t="n"/>
      <c r="C191" s="63" t="n"/>
      <c r="D191" s="62" t="n"/>
      <c r="E191" s="62" t="n"/>
      <c r="F191" s="275" t="n"/>
      <c r="G191" s="19" t="n"/>
      <c r="H191" s="276" t="n"/>
      <c r="I191" s="118" t="n"/>
      <c r="J191" s="277">
        <f>IFERROR(IF(F191*H191=0,"",F191*H191),"")</f>
        <v/>
      </c>
      <c r="K191" s="81" t="inlineStr">
        <is>
          <t>Pending</t>
        </is>
      </c>
    </row>
    <row r="192" ht="15.75" customHeight="1">
      <c r="B192" s="58" t="n"/>
      <c r="C192" s="60" t="n"/>
      <c r="D192" s="59" t="n"/>
      <c r="E192" s="59" t="n"/>
      <c r="F192" s="272" t="n"/>
      <c r="G192" s="10" t="n"/>
      <c r="H192" s="273" t="n"/>
      <c r="I192" s="114" t="n"/>
      <c r="J192" s="274">
        <f>IFERROR(IF(F192*H192=0,"",F192*H192),"")</f>
        <v/>
      </c>
      <c r="K192" s="74" t="inlineStr">
        <is>
          <t>Pending</t>
        </is>
      </c>
    </row>
    <row r="193" ht="15.75" customHeight="1">
      <c r="B193" s="58" t="n"/>
      <c r="C193" s="63" t="n"/>
      <c r="D193" s="62" t="n"/>
      <c r="E193" s="62" t="n"/>
      <c r="F193" s="275" t="n"/>
      <c r="G193" s="19" t="n"/>
      <c r="H193" s="276" t="n"/>
      <c r="I193" s="118" t="n"/>
      <c r="J193" s="277">
        <f>IFERROR(IF(F193*H193=0,"",F193*H193),"")</f>
        <v/>
      </c>
      <c r="K193" s="81" t="inlineStr">
        <is>
          <t>Pending</t>
        </is>
      </c>
    </row>
    <row r="194" ht="15.75" customHeight="1">
      <c r="B194" s="58" t="n"/>
      <c r="C194" s="60" t="n"/>
      <c r="D194" s="59" t="n"/>
      <c r="E194" s="59" t="n"/>
      <c r="F194" s="272" t="n"/>
      <c r="G194" s="10" t="n"/>
      <c r="H194" s="273" t="n"/>
      <c r="I194" s="114" t="n"/>
      <c r="J194" s="274">
        <f>IFERROR(IF(F194*H194=0,"",F194*H194),"")</f>
        <v/>
      </c>
      <c r="K194" s="74" t="inlineStr">
        <is>
          <t>Pending</t>
        </is>
      </c>
    </row>
    <row r="195" ht="15.75" customHeight="1">
      <c r="B195" s="58" t="n"/>
      <c r="C195" s="63" t="n"/>
      <c r="D195" s="62" t="n"/>
      <c r="E195" s="62" t="n"/>
      <c r="F195" s="275" t="n"/>
      <c r="G195" s="19" t="n"/>
      <c r="H195" s="276" t="n"/>
      <c r="I195" s="118" t="n"/>
      <c r="J195" s="277">
        <f>IFERROR(IF(F195*H195=0,"",F195*H195),"")</f>
        <v/>
      </c>
      <c r="K195" s="81" t="inlineStr">
        <is>
          <t>Pending</t>
        </is>
      </c>
    </row>
    <row r="196" ht="15.75" customHeight="1">
      <c r="B196" s="58" t="n"/>
      <c r="C196" s="60" t="n"/>
      <c r="D196" s="59" t="n"/>
      <c r="E196" s="59" t="n"/>
      <c r="F196" s="272" t="n"/>
      <c r="G196" s="10" t="n"/>
      <c r="H196" s="273" t="n"/>
      <c r="I196" s="114" t="n"/>
      <c r="J196" s="274">
        <f>IFERROR(IF(F196*H196=0,"",F196*H196),"")</f>
        <v/>
      </c>
      <c r="K196" s="74" t="inlineStr">
        <is>
          <t>Pending</t>
        </is>
      </c>
    </row>
    <row r="197" ht="15.75" customHeight="1">
      <c r="B197" s="58" t="n"/>
      <c r="C197" s="63" t="n"/>
      <c r="D197" s="62" t="n"/>
      <c r="E197" s="62" t="n"/>
      <c r="F197" s="275" t="n"/>
      <c r="G197" s="19" t="n"/>
      <c r="H197" s="276" t="n"/>
      <c r="I197" s="118" t="n"/>
      <c r="J197" s="277">
        <f>IFERROR(IF(F197*H197=0,"",F197*H197),"")</f>
        <v/>
      </c>
      <c r="K197" s="81" t="inlineStr">
        <is>
          <t>Pending</t>
        </is>
      </c>
    </row>
    <row r="198" ht="15.75" customHeight="1">
      <c r="B198" s="58" t="n"/>
      <c r="C198" s="60" t="n"/>
      <c r="D198" s="59" t="n"/>
      <c r="E198" s="59" t="n"/>
      <c r="F198" s="272" t="n"/>
      <c r="G198" s="10" t="n"/>
      <c r="H198" s="273" t="n"/>
      <c r="I198" s="114" t="n"/>
      <c r="J198" s="274">
        <f>IFERROR(IF(F198*H198=0,"",F198*H198),"")</f>
        <v/>
      </c>
      <c r="K198" s="74" t="inlineStr">
        <is>
          <t>Pending</t>
        </is>
      </c>
    </row>
    <row r="199" ht="15.75" customHeight="1">
      <c r="B199" s="58" t="n"/>
      <c r="C199" s="63" t="n"/>
      <c r="D199" s="62" t="n"/>
      <c r="E199" s="62" t="n"/>
      <c r="F199" s="275" t="n"/>
      <c r="G199" s="19" t="n"/>
      <c r="H199" s="276" t="n"/>
      <c r="I199" s="118" t="n"/>
      <c r="J199" s="277">
        <f>IFERROR(IF(F199*H199=0,"",F199*H199),"")</f>
        <v/>
      </c>
      <c r="K199" s="81" t="inlineStr">
        <is>
          <t>Pending</t>
        </is>
      </c>
    </row>
    <row r="200" ht="15.75" customHeight="1">
      <c r="B200" s="58" t="n"/>
      <c r="C200" s="60" t="n"/>
      <c r="D200" s="59" t="n"/>
      <c r="E200" s="59" t="n"/>
      <c r="F200" s="272" t="n"/>
      <c r="G200" s="10" t="n"/>
      <c r="H200" s="273" t="n"/>
      <c r="I200" s="114" t="n"/>
      <c r="J200" s="274">
        <f>IFERROR(IF(F200*H200=0,"",F200*H200),"")</f>
        <v/>
      </c>
      <c r="K200" s="74" t="inlineStr">
        <is>
          <t>Pending</t>
        </is>
      </c>
    </row>
    <row r="201" ht="15.75" customHeight="1">
      <c r="B201" s="58" t="n"/>
      <c r="C201" s="63" t="n"/>
      <c r="D201" s="62" t="n"/>
      <c r="E201" s="62" t="n"/>
      <c r="F201" s="275" t="n"/>
      <c r="G201" s="19" t="n"/>
      <c r="H201" s="276" t="n"/>
      <c r="I201" s="118" t="n"/>
      <c r="J201" s="277">
        <f>IFERROR(IF(F201*H201=0,"",F201*H201),"")</f>
        <v/>
      </c>
      <c r="K201" s="81" t="inlineStr">
        <is>
          <t>Pending</t>
        </is>
      </c>
    </row>
    <row r="202" ht="15.75" customHeight="1">
      <c r="B202" s="58" t="n"/>
      <c r="C202" s="60" t="n"/>
      <c r="D202" s="59" t="n"/>
      <c r="E202" s="59" t="n"/>
      <c r="F202" s="272" t="n"/>
      <c r="G202" s="10" t="n"/>
      <c r="H202" s="273" t="n"/>
      <c r="I202" s="114" t="n"/>
      <c r="J202" s="274">
        <f>IFERROR(IF(F202*H202=0,"",F202*H202),"")</f>
        <v/>
      </c>
      <c r="K202" s="74" t="inlineStr">
        <is>
          <t>Pending</t>
        </is>
      </c>
    </row>
    <row r="203" ht="15.75" customHeight="1">
      <c r="B203" s="58" t="n"/>
      <c r="C203" s="63" t="n"/>
      <c r="D203" s="62" t="n"/>
      <c r="E203" s="62" t="n"/>
      <c r="F203" s="275" t="n"/>
      <c r="G203" s="19" t="n"/>
      <c r="H203" s="276" t="n"/>
      <c r="I203" s="118" t="n"/>
      <c r="J203" s="277">
        <f>IFERROR(IF(F203*H203=0,"",F203*H203),"")</f>
        <v/>
      </c>
      <c r="K203" s="81" t="inlineStr">
        <is>
          <t>Pending</t>
        </is>
      </c>
    </row>
    <row r="204" ht="15.75" customHeight="1">
      <c r="B204" s="58" t="n"/>
      <c r="C204" s="60" t="n"/>
      <c r="D204" s="59" t="n"/>
      <c r="E204" s="59" t="n"/>
      <c r="F204" s="272" t="n"/>
      <c r="G204" s="10" t="n"/>
      <c r="H204" s="273" t="n"/>
      <c r="I204" s="114" t="n"/>
      <c r="J204" s="274">
        <f>IFERROR(IF(F204*H204=0,"",F204*H204),"")</f>
        <v/>
      </c>
      <c r="K204" s="74" t="inlineStr">
        <is>
          <t>Pending</t>
        </is>
      </c>
    </row>
    <row r="205" ht="15.75" customHeight="1">
      <c r="B205" s="58" t="n"/>
      <c r="C205" s="63" t="n"/>
      <c r="D205" s="62" t="n"/>
      <c r="E205" s="62" t="n"/>
      <c r="F205" s="275" t="n"/>
      <c r="G205" s="19" t="n"/>
      <c r="H205" s="276" t="n"/>
      <c r="I205" s="118" t="n"/>
      <c r="J205" s="277">
        <f>IFERROR(IF(F205*H205=0,"",F205*H205),"")</f>
        <v/>
      </c>
      <c r="K205" s="81" t="inlineStr">
        <is>
          <t>Pending</t>
        </is>
      </c>
    </row>
    <row r="206" ht="15.75" customHeight="1">
      <c r="B206" s="58" t="n"/>
      <c r="C206" s="60" t="n"/>
      <c r="D206" s="59" t="n"/>
      <c r="E206" s="59" t="n"/>
      <c r="F206" s="272" t="n"/>
      <c r="G206" s="10" t="n"/>
      <c r="H206" s="273" t="n"/>
      <c r="I206" s="114" t="n"/>
      <c r="J206" s="274">
        <f>IFERROR(IF(F206*H206=0,"",F206*H206),"")</f>
        <v/>
      </c>
      <c r="K206" s="74" t="inlineStr">
        <is>
          <t>Pending</t>
        </is>
      </c>
    </row>
    <row r="207" ht="15.75" customHeight="1">
      <c r="B207" s="58" t="n"/>
      <c r="C207" s="63" t="n"/>
      <c r="D207" s="62" t="n"/>
      <c r="E207" s="62" t="n"/>
      <c r="F207" s="275" t="n"/>
      <c r="G207" s="19" t="n"/>
      <c r="H207" s="276" t="n"/>
      <c r="I207" s="118" t="n"/>
      <c r="J207" s="277">
        <f>IFERROR(IF(F207*H207=0,"",F207*H207),"")</f>
        <v/>
      </c>
      <c r="K207" s="81" t="inlineStr">
        <is>
          <t>Pending</t>
        </is>
      </c>
    </row>
    <row r="208" ht="15.75" customHeight="1">
      <c r="B208" s="58" t="n"/>
      <c r="C208" s="60" t="n"/>
      <c r="D208" s="59" t="n"/>
      <c r="E208" s="59" t="n"/>
      <c r="F208" s="272" t="n"/>
      <c r="G208" s="10" t="n"/>
      <c r="H208" s="273" t="n"/>
      <c r="I208" s="114" t="n"/>
      <c r="J208" s="274">
        <f>IFERROR(IF(F208*H208=0,"",F208*H208),"")</f>
        <v/>
      </c>
      <c r="K208" s="74" t="inlineStr">
        <is>
          <t>Pending</t>
        </is>
      </c>
    </row>
    <row r="209" ht="15.75" customHeight="1">
      <c r="B209" s="58" t="n"/>
      <c r="C209" s="63" t="n"/>
      <c r="D209" s="62" t="n"/>
      <c r="E209" s="62" t="n"/>
      <c r="F209" s="275" t="n"/>
      <c r="G209" s="19" t="n"/>
      <c r="H209" s="276" t="n"/>
      <c r="I209" s="118" t="n"/>
      <c r="J209" s="277">
        <f>IFERROR(IF(F209*H209=0,"",F209*H209),"")</f>
        <v/>
      </c>
      <c r="K209" s="81" t="inlineStr">
        <is>
          <t>Pending</t>
        </is>
      </c>
    </row>
    <row r="210" ht="15.75" customHeight="1">
      <c r="B210" s="58" t="n"/>
      <c r="C210" s="60" t="n"/>
      <c r="D210" s="59" t="n"/>
      <c r="E210" s="59" t="n"/>
      <c r="F210" s="272" t="n"/>
      <c r="G210" s="10" t="n"/>
      <c r="H210" s="273" t="n"/>
      <c r="I210" s="114" t="n"/>
      <c r="J210" s="274">
        <f>IFERROR(IF(F210*H210=0,"",F210*H210),"")</f>
        <v/>
      </c>
      <c r="K210" s="74" t="inlineStr">
        <is>
          <t>Pending</t>
        </is>
      </c>
    </row>
    <row r="211" ht="15.75" customHeight="1">
      <c r="B211" s="58" t="n"/>
      <c r="C211" s="63" t="n"/>
      <c r="D211" s="62" t="n"/>
      <c r="E211" s="62" t="n"/>
      <c r="F211" s="275" t="n"/>
      <c r="G211" s="19" t="n"/>
      <c r="H211" s="276" t="n"/>
      <c r="I211" s="118" t="n"/>
      <c r="J211" s="277">
        <f>IFERROR(IF(F211*H211=0,"",F211*H211),"")</f>
        <v/>
      </c>
      <c r="K211" s="81" t="inlineStr">
        <is>
          <t>Pending</t>
        </is>
      </c>
    </row>
    <row r="212" ht="15.75" customHeight="1">
      <c r="B212" s="58" t="n"/>
      <c r="C212" s="60" t="n"/>
      <c r="D212" s="59" t="n"/>
      <c r="E212" s="59" t="n"/>
      <c r="F212" s="272" t="n"/>
      <c r="G212" s="10" t="n"/>
      <c r="H212" s="273" t="n"/>
      <c r="I212" s="114" t="n"/>
      <c r="J212" s="274">
        <f>IFERROR(IF(F212*H212=0,"",F212*H212),"")</f>
        <v/>
      </c>
      <c r="K212" s="74" t="inlineStr">
        <is>
          <t>Pending</t>
        </is>
      </c>
    </row>
    <row r="213" ht="15.75" customHeight="1">
      <c r="B213" s="58" t="n"/>
      <c r="C213" s="63" t="n"/>
      <c r="D213" s="62" t="n"/>
      <c r="E213" s="62" t="n"/>
      <c r="F213" s="275" t="n"/>
      <c r="G213" s="19" t="n"/>
      <c r="H213" s="276" t="n"/>
      <c r="I213" s="118" t="n"/>
      <c r="J213" s="277">
        <f>IFERROR(IF(F213*H213=0,"",F213*H213),"")</f>
        <v/>
      </c>
      <c r="K213" s="81" t="inlineStr">
        <is>
          <t>Pending</t>
        </is>
      </c>
    </row>
    <row r="214" ht="15.75" customHeight="1">
      <c r="B214" s="58" t="n"/>
      <c r="C214" s="60" t="n"/>
      <c r="D214" s="59" t="n"/>
      <c r="E214" s="59" t="n"/>
      <c r="F214" s="272" t="n"/>
      <c r="G214" s="10" t="n"/>
      <c r="H214" s="273" t="n"/>
      <c r="I214" s="114" t="n"/>
      <c r="J214" s="274">
        <f>IFERROR(IF(F214*H214=0,"",F214*H214),"")</f>
        <v/>
      </c>
      <c r="K214" s="74" t="inlineStr">
        <is>
          <t>Pending</t>
        </is>
      </c>
    </row>
    <row r="215" ht="15.75" customHeight="1">
      <c r="B215" s="58" t="n"/>
      <c r="C215" s="63" t="n"/>
      <c r="D215" s="62" t="n"/>
      <c r="E215" s="62" t="n"/>
      <c r="F215" s="275" t="n"/>
      <c r="G215" s="19" t="n"/>
      <c r="H215" s="276" t="n"/>
      <c r="I215" s="118" t="n"/>
      <c r="J215" s="277">
        <f>IFERROR(IF(F215*H215=0,"",F215*H215),"")</f>
        <v/>
      </c>
      <c r="K215" s="81" t="inlineStr">
        <is>
          <t>Pending</t>
        </is>
      </c>
    </row>
    <row r="216" ht="15.75" customHeight="1">
      <c r="B216" s="58" t="n"/>
      <c r="C216" s="60" t="n"/>
      <c r="D216" s="59" t="n"/>
      <c r="E216" s="59" t="n"/>
      <c r="F216" s="272" t="n"/>
      <c r="G216" s="10" t="n"/>
      <c r="H216" s="273" t="n"/>
      <c r="I216" s="114" t="n"/>
      <c r="J216" s="274">
        <f>IFERROR(IF(F216*H216=0,"",F216*H216),"")</f>
        <v/>
      </c>
      <c r="K216" s="74" t="inlineStr">
        <is>
          <t>Pending</t>
        </is>
      </c>
    </row>
    <row r="217" ht="15.75" customHeight="1">
      <c r="B217" s="58" t="n"/>
      <c r="C217" s="63" t="n"/>
      <c r="D217" s="62" t="n"/>
      <c r="E217" s="62" t="n"/>
      <c r="F217" s="275" t="n"/>
      <c r="G217" s="19" t="n"/>
      <c r="H217" s="276" t="n"/>
      <c r="I217" s="118" t="n"/>
      <c r="J217" s="277">
        <f>IFERROR(IF(F217*H217=0,"",F217*H217),"")</f>
        <v/>
      </c>
      <c r="K217" s="81" t="inlineStr">
        <is>
          <t>Pending</t>
        </is>
      </c>
    </row>
    <row r="218" ht="15.75" customHeight="1">
      <c r="B218" s="58" t="n"/>
      <c r="C218" s="60" t="n"/>
      <c r="D218" s="59" t="n"/>
      <c r="E218" s="59" t="n"/>
      <c r="F218" s="272" t="n"/>
      <c r="G218" s="10" t="n"/>
      <c r="H218" s="273" t="n"/>
      <c r="I218" s="114" t="n"/>
      <c r="J218" s="274">
        <f>IFERROR(IF(F218*H218=0,"",F218*H218),"")</f>
        <v/>
      </c>
      <c r="K218" s="74" t="inlineStr">
        <is>
          <t>Pending</t>
        </is>
      </c>
    </row>
    <row r="219" ht="15.75" customHeight="1">
      <c r="B219" s="58" t="n"/>
      <c r="C219" s="63" t="n"/>
      <c r="D219" s="62" t="n"/>
      <c r="E219" s="62" t="n"/>
      <c r="F219" s="275" t="n"/>
      <c r="G219" s="19" t="n"/>
      <c r="H219" s="276" t="n"/>
      <c r="I219" s="118" t="n"/>
      <c r="J219" s="277">
        <f>IFERROR(IF(F219*H219=0,"",F219*H219),"")</f>
        <v/>
      </c>
      <c r="K219" s="81" t="inlineStr">
        <is>
          <t>Pending</t>
        </is>
      </c>
    </row>
    <row r="220" ht="15.75" customHeight="1">
      <c r="B220" s="58" t="n"/>
      <c r="C220" s="60" t="n"/>
      <c r="D220" s="59" t="n"/>
      <c r="E220" s="59" t="n"/>
      <c r="F220" s="272" t="n"/>
      <c r="G220" s="10" t="n"/>
      <c r="H220" s="273" t="n"/>
      <c r="I220" s="114" t="n"/>
      <c r="J220" s="274">
        <f>IFERROR(IF(F220*H220=0,"",F220*H220),"")</f>
        <v/>
      </c>
      <c r="K220" s="74" t="inlineStr">
        <is>
          <t>Pending</t>
        </is>
      </c>
    </row>
    <row r="221" ht="15.75" customHeight="1">
      <c r="B221" s="58" t="n"/>
      <c r="C221" s="63" t="n"/>
      <c r="D221" s="62" t="n"/>
      <c r="E221" s="62" t="n"/>
      <c r="F221" s="275" t="n"/>
      <c r="G221" s="19" t="n"/>
      <c r="H221" s="276" t="n"/>
      <c r="I221" s="118" t="n"/>
      <c r="J221" s="277">
        <f>IFERROR(IF(F221*H221=0,"",F221*H221),"")</f>
        <v/>
      </c>
      <c r="K221" s="81" t="inlineStr">
        <is>
          <t>Pending</t>
        </is>
      </c>
    </row>
    <row r="222" ht="15.75" customHeight="1">
      <c r="B222" s="58" t="n"/>
      <c r="C222" s="60" t="n"/>
      <c r="D222" s="59" t="n"/>
      <c r="E222" s="59" t="n"/>
      <c r="F222" s="272" t="n"/>
      <c r="G222" s="10" t="n"/>
      <c r="H222" s="273" t="n"/>
      <c r="I222" s="114" t="n"/>
      <c r="J222" s="274">
        <f>IFERROR(IF(F222*H222=0,"",F222*H222),"")</f>
        <v/>
      </c>
      <c r="K222" s="74" t="inlineStr">
        <is>
          <t>Pending</t>
        </is>
      </c>
    </row>
    <row r="223" ht="15.75" customHeight="1">
      <c r="B223" s="58" t="n"/>
      <c r="C223" s="63" t="n"/>
      <c r="D223" s="62" t="n"/>
      <c r="E223" s="62" t="n"/>
      <c r="F223" s="275" t="n"/>
      <c r="G223" s="19" t="n"/>
      <c r="H223" s="276" t="n"/>
      <c r="I223" s="118" t="n"/>
      <c r="J223" s="277">
        <f>IFERROR(IF(F223*H223=0,"",F223*H223),"")</f>
        <v/>
      </c>
      <c r="K223" s="81" t="inlineStr">
        <is>
          <t>Pending</t>
        </is>
      </c>
    </row>
    <row r="224" ht="15.75" customHeight="1">
      <c r="B224" s="58" t="n"/>
      <c r="C224" s="60" t="n"/>
      <c r="D224" s="59" t="n"/>
      <c r="E224" s="59" t="n"/>
      <c r="F224" s="272" t="n"/>
      <c r="G224" s="10" t="n"/>
      <c r="H224" s="273" t="n"/>
      <c r="I224" s="114" t="n"/>
      <c r="J224" s="274">
        <f>IFERROR(IF(F224*H224=0,"",F224*H224),"")</f>
        <v/>
      </c>
      <c r="K224" s="74" t="inlineStr">
        <is>
          <t>Pending</t>
        </is>
      </c>
    </row>
    <row r="225" ht="15.75" customHeight="1">
      <c r="B225" s="58" t="n"/>
      <c r="C225" s="63" t="n"/>
      <c r="D225" s="62" t="n"/>
      <c r="E225" s="62" t="n"/>
      <c r="F225" s="275" t="n"/>
      <c r="G225" s="19" t="n"/>
      <c r="H225" s="276" t="n"/>
      <c r="I225" s="118" t="n"/>
      <c r="J225" s="277">
        <f>IFERROR(IF(F225*H225=0,"",F225*H225),"")</f>
        <v/>
      </c>
      <c r="K225" s="81" t="inlineStr">
        <is>
          <t>Pending</t>
        </is>
      </c>
    </row>
    <row r="226" ht="15.75" customHeight="1">
      <c r="B226" s="58" t="n"/>
      <c r="C226" s="60" t="n"/>
      <c r="D226" s="59" t="n"/>
      <c r="E226" s="59" t="n"/>
      <c r="F226" s="272" t="n"/>
      <c r="G226" s="10" t="n"/>
      <c r="H226" s="273" t="n"/>
      <c r="I226" s="114" t="n"/>
      <c r="J226" s="274">
        <f>IFERROR(IF(F226*H226=0,"",F226*H226),"")</f>
        <v/>
      </c>
      <c r="K226" s="74" t="inlineStr">
        <is>
          <t>Pending</t>
        </is>
      </c>
    </row>
    <row r="227" ht="15.75" customHeight="1">
      <c r="B227" s="58" t="n"/>
      <c r="C227" s="63" t="n"/>
      <c r="D227" s="62" t="n"/>
      <c r="E227" s="62" t="n"/>
      <c r="F227" s="275" t="n"/>
      <c r="G227" s="19" t="n"/>
      <c r="H227" s="276" t="n"/>
      <c r="I227" s="118" t="n"/>
      <c r="J227" s="277">
        <f>IFERROR(IF(F227*H227=0,"",F227*H227),"")</f>
        <v/>
      </c>
      <c r="K227" s="81" t="inlineStr">
        <is>
          <t>Pending</t>
        </is>
      </c>
    </row>
    <row r="228" ht="15.75" customHeight="1">
      <c r="B228" s="58" t="n"/>
      <c r="C228" s="60" t="n"/>
      <c r="D228" s="59" t="n"/>
      <c r="E228" s="59" t="n"/>
      <c r="F228" s="272" t="n"/>
      <c r="G228" s="10" t="n"/>
      <c r="H228" s="273" t="n"/>
      <c r="I228" s="114" t="n"/>
      <c r="J228" s="274">
        <f>IFERROR(IF(F228*H228=0,"",F228*H228),"")</f>
        <v/>
      </c>
      <c r="K228" s="74" t="inlineStr">
        <is>
          <t>Pending</t>
        </is>
      </c>
    </row>
    <row r="229" ht="15.75" customHeight="1">
      <c r="B229" s="58" t="n"/>
      <c r="C229" s="63" t="n"/>
      <c r="D229" s="62" t="n"/>
      <c r="E229" s="62" t="n"/>
      <c r="F229" s="275" t="n"/>
      <c r="G229" s="19" t="n"/>
      <c r="H229" s="276" t="n"/>
      <c r="I229" s="118" t="n"/>
      <c r="J229" s="277">
        <f>IFERROR(IF(F229*H229=0,"",F229*H229),"")</f>
        <v/>
      </c>
      <c r="K229" s="81" t="inlineStr">
        <is>
          <t>Pending</t>
        </is>
      </c>
    </row>
    <row r="230" ht="15.75" customHeight="1">
      <c r="B230" s="58" t="n"/>
      <c r="C230" s="60" t="n"/>
      <c r="D230" s="59" t="n"/>
      <c r="E230" s="59" t="n"/>
      <c r="F230" s="272" t="n"/>
      <c r="G230" s="10" t="n"/>
      <c r="H230" s="273" t="n"/>
      <c r="I230" s="114" t="n"/>
      <c r="J230" s="274">
        <f>IFERROR(IF(F230*H230=0,"",F230*H230),"")</f>
        <v/>
      </c>
      <c r="K230" s="74" t="inlineStr">
        <is>
          <t>Pending</t>
        </is>
      </c>
    </row>
    <row r="231" ht="15.75" customHeight="1">
      <c r="B231" s="58" t="n"/>
      <c r="C231" s="63" t="n"/>
      <c r="D231" s="62" t="n"/>
      <c r="E231" s="62" t="n"/>
      <c r="F231" s="275" t="n"/>
      <c r="G231" s="19" t="n"/>
      <c r="H231" s="276" t="n"/>
      <c r="I231" s="118" t="n"/>
      <c r="J231" s="277">
        <f>IFERROR(IF(F231*H231=0,"",F231*H231),"")</f>
        <v/>
      </c>
      <c r="K231" s="81" t="inlineStr">
        <is>
          <t>Pending</t>
        </is>
      </c>
    </row>
    <row r="232" ht="15.75" customHeight="1">
      <c r="B232" s="58" t="n"/>
      <c r="C232" s="60" t="n"/>
      <c r="D232" s="59" t="n"/>
      <c r="E232" s="59" t="n"/>
      <c r="F232" s="272" t="n"/>
      <c r="G232" s="10" t="n"/>
      <c r="H232" s="273" t="n"/>
      <c r="I232" s="114" t="n"/>
      <c r="J232" s="274">
        <f>IFERROR(IF(F232*H232=0,"",F232*H232),"")</f>
        <v/>
      </c>
      <c r="K232" s="74" t="inlineStr">
        <is>
          <t>Pending</t>
        </is>
      </c>
    </row>
    <row r="233" ht="15.75" customHeight="1">
      <c r="B233" s="58" t="n"/>
      <c r="C233" s="63" t="n"/>
      <c r="D233" s="62" t="n"/>
      <c r="E233" s="62" t="n"/>
      <c r="F233" s="275" t="n"/>
      <c r="G233" s="19" t="n"/>
      <c r="H233" s="276" t="n"/>
      <c r="I233" s="118" t="n"/>
      <c r="J233" s="277">
        <f>IFERROR(IF(F233*H233=0,"",F233*H233),"")</f>
        <v/>
      </c>
      <c r="K233" s="81" t="inlineStr">
        <is>
          <t>Pending</t>
        </is>
      </c>
    </row>
    <row r="234" ht="15.75" customHeight="1">
      <c r="B234" s="58" t="n"/>
      <c r="C234" s="60" t="n"/>
      <c r="D234" s="59" t="n"/>
      <c r="E234" s="59" t="n"/>
      <c r="F234" s="272" t="n"/>
      <c r="G234" s="10" t="n"/>
      <c r="H234" s="273" t="n"/>
      <c r="I234" s="114" t="n"/>
      <c r="J234" s="274">
        <f>IFERROR(IF(F234*H234=0,"",F234*H234),"")</f>
        <v/>
      </c>
      <c r="K234" s="74" t="inlineStr">
        <is>
          <t>Pending</t>
        </is>
      </c>
    </row>
    <row r="235" ht="15.75" customHeight="1">
      <c r="B235" s="58" t="n"/>
      <c r="C235" s="63" t="n"/>
      <c r="D235" s="62" t="n"/>
      <c r="E235" s="62" t="n"/>
      <c r="F235" s="275" t="n"/>
      <c r="G235" s="19" t="n"/>
      <c r="H235" s="276" t="n"/>
      <c r="I235" s="118" t="n"/>
      <c r="J235" s="277">
        <f>IFERROR(IF(F235*H235=0,"",F235*H235),"")</f>
        <v/>
      </c>
      <c r="K235" s="81" t="inlineStr">
        <is>
          <t>Pending</t>
        </is>
      </c>
    </row>
    <row r="236" ht="15.75" customHeight="1">
      <c r="B236" s="58" t="n"/>
      <c r="C236" s="60" t="n"/>
      <c r="D236" s="59" t="n"/>
      <c r="E236" s="59" t="n"/>
      <c r="F236" s="272" t="n"/>
      <c r="G236" s="10" t="n"/>
      <c r="H236" s="273" t="n"/>
      <c r="I236" s="114" t="n"/>
      <c r="J236" s="274">
        <f>IFERROR(IF(F236*H236=0,"",F236*H236),"")</f>
        <v/>
      </c>
      <c r="K236" s="74" t="inlineStr">
        <is>
          <t>Pending</t>
        </is>
      </c>
    </row>
    <row r="237" ht="15.75" customHeight="1">
      <c r="B237" s="58" t="n"/>
      <c r="C237" s="63" t="n"/>
      <c r="D237" s="62" t="n"/>
      <c r="E237" s="62" t="n"/>
      <c r="F237" s="275" t="n"/>
      <c r="G237" s="19" t="n"/>
      <c r="H237" s="276" t="n"/>
      <c r="I237" s="118" t="n"/>
      <c r="J237" s="277">
        <f>IFERROR(IF(F237*H237=0,"",F237*H237),"")</f>
        <v/>
      </c>
      <c r="K237" s="81" t="inlineStr">
        <is>
          <t>Pending</t>
        </is>
      </c>
    </row>
    <row r="238" ht="15.75" customHeight="1">
      <c r="B238" s="58" t="n"/>
      <c r="C238" s="60" t="n"/>
      <c r="D238" s="59" t="n"/>
      <c r="E238" s="59" t="n"/>
      <c r="F238" s="272" t="n"/>
      <c r="G238" s="10" t="n"/>
      <c r="H238" s="273" t="n"/>
      <c r="I238" s="114" t="n"/>
      <c r="J238" s="274">
        <f>IFERROR(IF(F238*H238=0,"",F238*H238),"")</f>
        <v/>
      </c>
      <c r="K238" s="74" t="inlineStr">
        <is>
          <t>Pending</t>
        </is>
      </c>
    </row>
    <row r="239" ht="15.75" customHeight="1">
      <c r="B239" s="58" t="n"/>
      <c r="C239" s="63" t="n"/>
      <c r="D239" s="62" t="n"/>
      <c r="E239" s="62" t="n"/>
      <c r="F239" s="275" t="n"/>
      <c r="G239" s="19" t="n"/>
      <c r="H239" s="276" t="n"/>
      <c r="I239" s="118" t="n"/>
      <c r="J239" s="277">
        <f>IFERROR(IF(F239*H239=0,"",F239*H239),"")</f>
        <v/>
      </c>
      <c r="K239" s="81" t="inlineStr">
        <is>
          <t>Pending</t>
        </is>
      </c>
    </row>
    <row r="240" ht="15.75" customHeight="1">
      <c r="B240" s="58" t="n"/>
      <c r="C240" s="60" t="n"/>
      <c r="D240" s="59" t="n"/>
      <c r="E240" s="59" t="n"/>
      <c r="F240" s="272" t="n"/>
      <c r="G240" s="10" t="n"/>
      <c r="H240" s="273" t="n"/>
      <c r="I240" s="114" t="n"/>
      <c r="J240" s="274">
        <f>IFERROR(IF(F240*H240=0,"",F240*H240),"")</f>
        <v/>
      </c>
      <c r="K240" s="74" t="inlineStr">
        <is>
          <t>Pending</t>
        </is>
      </c>
    </row>
    <row r="241" ht="15.75" customHeight="1">
      <c r="B241" s="58" t="n"/>
      <c r="C241" s="63" t="n"/>
      <c r="D241" s="62" t="n"/>
      <c r="E241" s="62" t="n"/>
      <c r="F241" s="275" t="n"/>
      <c r="G241" s="19" t="n"/>
      <c r="H241" s="276" t="n"/>
      <c r="I241" s="118" t="n"/>
      <c r="J241" s="277">
        <f>IFERROR(IF(F241*H241=0,"",F241*H241),"")</f>
        <v/>
      </c>
      <c r="K241" s="81" t="inlineStr">
        <is>
          <t>Pending</t>
        </is>
      </c>
    </row>
    <row r="242" ht="15.75" customHeight="1">
      <c r="B242" s="58" t="n"/>
      <c r="C242" s="60" t="n"/>
      <c r="D242" s="59" t="n"/>
      <c r="E242" s="59" t="n"/>
      <c r="F242" s="272" t="n"/>
      <c r="G242" s="10" t="n"/>
      <c r="H242" s="273" t="n"/>
      <c r="I242" s="114" t="n"/>
      <c r="J242" s="274">
        <f>IFERROR(IF(F242*H242=0,"",F242*H242),"")</f>
        <v/>
      </c>
      <c r="K242" s="74" t="inlineStr">
        <is>
          <t>Pending</t>
        </is>
      </c>
    </row>
    <row r="243" ht="15.75" customHeight="1">
      <c r="B243" s="58" t="n"/>
      <c r="C243" s="63" t="n"/>
      <c r="D243" s="62" t="n"/>
      <c r="E243" s="62" t="n"/>
      <c r="F243" s="275" t="n"/>
      <c r="G243" s="19" t="n"/>
      <c r="H243" s="276" t="n"/>
      <c r="I243" s="118" t="n"/>
      <c r="J243" s="277">
        <f>IFERROR(IF(F243*H243=0,"",F243*H243),"")</f>
        <v/>
      </c>
      <c r="K243" s="81" t="inlineStr">
        <is>
          <t>Pending</t>
        </is>
      </c>
    </row>
    <row r="244" ht="15.75" customHeight="1">
      <c r="B244" s="58" t="n"/>
      <c r="C244" s="60" t="n"/>
      <c r="D244" s="59" t="n"/>
      <c r="E244" s="59" t="n"/>
      <c r="F244" s="272" t="n"/>
      <c r="G244" s="10" t="n"/>
      <c r="H244" s="273" t="n"/>
      <c r="I244" s="114" t="n"/>
      <c r="J244" s="274">
        <f>IFERROR(IF(F244*H244=0,"",F244*H244),"")</f>
        <v/>
      </c>
      <c r="K244" s="74" t="inlineStr">
        <is>
          <t>Pending</t>
        </is>
      </c>
    </row>
    <row r="245" ht="15.75" customHeight="1">
      <c r="B245" s="58" t="n"/>
      <c r="C245" s="63" t="n"/>
      <c r="D245" s="62" t="n"/>
      <c r="E245" s="62" t="n"/>
      <c r="F245" s="275" t="n"/>
      <c r="G245" s="19" t="n"/>
      <c r="H245" s="276" t="n"/>
      <c r="I245" s="118" t="n"/>
      <c r="J245" s="277">
        <f>IFERROR(IF(F245*H245=0,"",F245*H245),"")</f>
        <v/>
      </c>
      <c r="K245" s="81" t="inlineStr">
        <is>
          <t>Pending</t>
        </is>
      </c>
    </row>
    <row r="246" ht="15.75" customHeight="1">
      <c r="B246" s="58" t="n"/>
      <c r="C246" s="60" t="n"/>
      <c r="D246" s="59" t="n"/>
      <c r="E246" s="59" t="n"/>
      <c r="F246" s="272" t="n"/>
      <c r="G246" s="10" t="n"/>
      <c r="H246" s="273" t="n"/>
      <c r="I246" s="114" t="n"/>
      <c r="J246" s="274">
        <f>IFERROR(IF(F246*H246=0,"",F246*H246),"")</f>
        <v/>
      </c>
      <c r="K246" s="74" t="inlineStr">
        <is>
          <t>Pending</t>
        </is>
      </c>
    </row>
    <row r="247" ht="15.75" customHeight="1">
      <c r="B247" s="58" t="n"/>
      <c r="C247" s="63" t="n"/>
      <c r="D247" s="62" t="n"/>
      <c r="E247" s="62" t="n"/>
      <c r="F247" s="275" t="n"/>
      <c r="G247" s="19" t="n"/>
      <c r="H247" s="276" t="n"/>
      <c r="I247" s="118" t="n"/>
      <c r="J247" s="277">
        <f>IFERROR(IF(F247*H247=0,"",F247*H247),"")</f>
        <v/>
      </c>
      <c r="K247" s="81" t="inlineStr">
        <is>
          <t>Pending</t>
        </is>
      </c>
    </row>
    <row r="248" ht="15.75" customHeight="1">
      <c r="B248" s="58" t="n"/>
      <c r="C248" s="60" t="n"/>
      <c r="D248" s="59" t="n"/>
      <c r="E248" s="59" t="n"/>
      <c r="F248" s="272" t="n"/>
      <c r="G248" s="10" t="n"/>
      <c r="H248" s="273" t="n"/>
      <c r="I248" s="114" t="n"/>
      <c r="J248" s="274">
        <f>IFERROR(IF(F248*H248=0,"",F248*H248),"")</f>
        <v/>
      </c>
      <c r="K248" s="74" t="inlineStr">
        <is>
          <t>Pending</t>
        </is>
      </c>
    </row>
    <row r="249" ht="15.75" customHeight="1">
      <c r="B249" s="58" t="n"/>
      <c r="C249" s="63" t="n"/>
      <c r="D249" s="62" t="n"/>
      <c r="E249" s="62" t="n"/>
      <c r="F249" s="275" t="n"/>
      <c r="G249" s="19" t="n"/>
      <c r="H249" s="276" t="n"/>
      <c r="I249" s="118" t="n"/>
      <c r="J249" s="277">
        <f>IFERROR(IF(F249*H249=0,"",F249*H249),"")</f>
        <v/>
      </c>
      <c r="K249" s="81" t="inlineStr">
        <is>
          <t>Pending</t>
        </is>
      </c>
    </row>
    <row r="250" ht="15.75" customHeight="1">
      <c r="B250" s="58" t="n"/>
      <c r="C250" s="60" t="n"/>
      <c r="D250" s="59" t="n"/>
      <c r="E250" s="59" t="n"/>
      <c r="F250" s="272" t="n"/>
      <c r="G250" s="10" t="n"/>
      <c r="H250" s="273" t="n"/>
      <c r="I250" s="114" t="n"/>
      <c r="J250" s="274">
        <f>IFERROR(IF(F250*H250=0,"",F250*H250),"")</f>
        <v/>
      </c>
      <c r="K250" s="74" t="inlineStr">
        <is>
          <t>Pending</t>
        </is>
      </c>
    </row>
    <row r="251" ht="15.75" customHeight="1">
      <c r="B251" s="58" t="n"/>
      <c r="C251" s="63" t="n"/>
      <c r="D251" s="62" t="n"/>
      <c r="E251" s="62" t="n"/>
      <c r="F251" s="275" t="n"/>
      <c r="G251" s="19" t="n"/>
      <c r="H251" s="276" t="n"/>
      <c r="I251" s="118" t="n"/>
      <c r="J251" s="277">
        <f>IFERROR(IF(F251*H251=0,"",F251*H251),"")</f>
        <v/>
      </c>
      <c r="K251" s="81" t="inlineStr">
        <is>
          <t>Pending</t>
        </is>
      </c>
    </row>
    <row r="252" ht="15.75" customHeight="1">
      <c r="B252" s="58" t="n"/>
      <c r="C252" s="60" t="n"/>
      <c r="D252" s="59" t="n"/>
      <c r="E252" s="59" t="n"/>
      <c r="F252" s="272" t="n"/>
      <c r="G252" s="10" t="n"/>
      <c r="H252" s="273" t="n"/>
      <c r="I252" s="114" t="n"/>
      <c r="J252" s="274">
        <f>IFERROR(IF(F252*H252=0,"",F252*H252),"")</f>
        <v/>
      </c>
      <c r="K252" s="74" t="inlineStr">
        <is>
          <t>Pending</t>
        </is>
      </c>
    </row>
    <row r="253" ht="15.75" customHeight="1">
      <c r="B253" s="58" t="n"/>
      <c r="C253" s="63" t="n"/>
      <c r="D253" s="62" t="n"/>
      <c r="E253" s="62" t="n"/>
      <c r="F253" s="275" t="n"/>
      <c r="G253" s="19" t="n"/>
      <c r="H253" s="276" t="n"/>
      <c r="I253" s="118" t="n"/>
      <c r="J253" s="277">
        <f>IFERROR(IF(F253*H253=0,"",F253*H253),"")</f>
        <v/>
      </c>
      <c r="K253" s="81" t="inlineStr">
        <is>
          <t>Pending</t>
        </is>
      </c>
    </row>
    <row r="254" ht="15.75" customHeight="1">
      <c r="B254" s="58" t="n"/>
      <c r="C254" s="60" t="n"/>
      <c r="D254" s="59" t="n"/>
      <c r="E254" s="59" t="n"/>
      <c r="F254" s="272" t="n"/>
      <c r="G254" s="10" t="n"/>
      <c r="H254" s="273" t="n"/>
      <c r="I254" s="114" t="n"/>
      <c r="J254" s="274">
        <f>IFERROR(IF(F254*H254=0,"",F254*H254),"")</f>
        <v/>
      </c>
      <c r="K254" s="74" t="inlineStr">
        <is>
          <t>Pending</t>
        </is>
      </c>
    </row>
    <row r="255" ht="15.75" customHeight="1">
      <c r="B255" s="58" t="n"/>
      <c r="C255" s="63" t="n"/>
      <c r="D255" s="62" t="n"/>
      <c r="E255" s="62" t="n"/>
      <c r="F255" s="275" t="n"/>
      <c r="G255" s="19" t="n"/>
      <c r="H255" s="276" t="n"/>
      <c r="I255" s="118" t="n"/>
      <c r="J255" s="277">
        <f>IFERROR(IF(F255*H255=0,"",F255*H255),"")</f>
        <v/>
      </c>
      <c r="K255" s="81" t="inlineStr">
        <is>
          <t>Pending</t>
        </is>
      </c>
    </row>
    <row r="256" ht="15.75" customHeight="1">
      <c r="B256" s="58" t="n"/>
      <c r="C256" s="60" t="n"/>
      <c r="D256" s="59" t="n"/>
      <c r="E256" s="59" t="n"/>
      <c r="F256" s="272" t="n"/>
      <c r="G256" s="10" t="n"/>
      <c r="H256" s="273" t="n"/>
      <c r="I256" s="114" t="n"/>
      <c r="J256" s="274">
        <f>IFERROR(IF(F256*H256=0,"",F256*H256),"")</f>
        <v/>
      </c>
      <c r="K256" s="74" t="inlineStr">
        <is>
          <t>Pending</t>
        </is>
      </c>
    </row>
    <row r="257" ht="15.75" customHeight="1">
      <c r="B257" s="58" t="n"/>
      <c r="C257" s="63" t="n"/>
      <c r="D257" s="62" t="n"/>
      <c r="E257" s="62" t="n"/>
      <c r="F257" s="275" t="n"/>
      <c r="G257" s="19" t="n"/>
      <c r="H257" s="276" t="n"/>
      <c r="I257" s="118" t="n"/>
      <c r="J257" s="277">
        <f>IFERROR(IF(F257*H257=0,"",F257*H257),"")</f>
        <v/>
      </c>
      <c r="K257" s="81" t="inlineStr">
        <is>
          <t>Pending</t>
        </is>
      </c>
    </row>
    <row r="258" ht="15.75" customHeight="1">
      <c r="B258" s="58" t="n"/>
      <c r="C258" s="60" t="n"/>
      <c r="D258" s="59" t="n"/>
      <c r="E258" s="59" t="n"/>
      <c r="F258" s="272" t="n"/>
      <c r="G258" s="10" t="n"/>
      <c r="H258" s="273" t="n"/>
      <c r="I258" s="114" t="n"/>
      <c r="J258" s="274">
        <f>IFERROR(IF(F258*H258=0,"",F258*H258),"")</f>
        <v/>
      </c>
      <c r="K258" s="74" t="inlineStr">
        <is>
          <t>Pending</t>
        </is>
      </c>
    </row>
    <row r="259" ht="15.75" customHeight="1">
      <c r="B259" s="58" t="n"/>
      <c r="C259" s="63" t="n"/>
      <c r="D259" s="62" t="n"/>
      <c r="E259" s="62" t="n"/>
      <c r="F259" s="275" t="n"/>
      <c r="G259" s="19" t="n"/>
      <c r="H259" s="276" t="n"/>
      <c r="I259" s="118" t="n"/>
      <c r="J259" s="277">
        <f>IFERROR(IF(F259*H259=0,"",F259*H259),"")</f>
        <v/>
      </c>
      <c r="K259" s="81" t="inlineStr">
        <is>
          <t>Pending</t>
        </is>
      </c>
    </row>
    <row r="260" ht="15.75" customHeight="1">
      <c r="B260" s="58" t="n"/>
      <c r="C260" s="60" t="n"/>
      <c r="D260" s="59" t="n"/>
      <c r="E260" s="59" t="n"/>
      <c r="F260" s="272" t="n"/>
      <c r="G260" s="10" t="n"/>
      <c r="H260" s="273" t="n"/>
      <c r="I260" s="114" t="n"/>
      <c r="J260" s="274">
        <f>IFERROR(IF(F260*H260=0,"",F260*H260),"")</f>
        <v/>
      </c>
      <c r="K260" s="74" t="inlineStr">
        <is>
          <t>Pending</t>
        </is>
      </c>
    </row>
    <row r="261" ht="15.75" customHeight="1">
      <c r="B261" s="58" t="n"/>
      <c r="C261" s="63" t="n"/>
      <c r="D261" s="62" t="n"/>
      <c r="E261" s="62" t="n"/>
      <c r="F261" s="275" t="n"/>
      <c r="G261" s="19" t="n"/>
      <c r="H261" s="276" t="n"/>
      <c r="I261" s="118" t="n"/>
      <c r="J261" s="277">
        <f>IFERROR(IF(F261*H261=0,"",F261*H261),"")</f>
        <v/>
      </c>
      <c r="K261" s="81" t="inlineStr">
        <is>
          <t>Pending</t>
        </is>
      </c>
    </row>
    <row r="262" ht="15.75" customHeight="1">
      <c r="B262" s="58" t="n"/>
      <c r="C262" s="60" t="n"/>
      <c r="D262" s="59" t="n"/>
      <c r="E262" s="59" t="n"/>
      <c r="F262" s="272" t="n"/>
      <c r="G262" s="10" t="n"/>
      <c r="H262" s="273" t="n"/>
      <c r="I262" s="114" t="n"/>
      <c r="J262" s="274">
        <f>IFERROR(IF(F262*H262=0,"",F262*H262),"")</f>
        <v/>
      </c>
      <c r="K262" s="74" t="inlineStr">
        <is>
          <t>Pending</t>
        </is>
      </c>
    </row>
    <row r="263" ht="15.75" customHeight="1">
      <c r="B263" s="58" t="n"/>
      <c r="C263" s="63" t="n"/>
      <c r="D263" s="62" t="n"/>
      <c r="E263" s="62" t="n"/>
      <c r="F263" s="275" t="n"/>
      <c r="G263" s="19" t="n"/>
      <c r="H263" s="276" t="n"/>
      <c r="I263" s="118" t="n"/>
      <c r="J263" s="277">
        <f>IFERROR(IF(F263*H263=0,"",F263*H263),"")</f>
        <v/>
      </c>
      <c r="K263" s="81" t="inlineStr">
        <is>
          <t>Pending</t>
        </is>
      </c>
    </row>
    <row r="264" ht="15.75" customHeight="1">
      <c r="B264" s="58" t="n"/>
      <c r="C264" s="60" t="n"/>
      <c r="D264" s="59" t="n"/>
      <c r="E264" s="59" t="n"/>
      <c r="F264" s="272" t="n"/>
      <c r="G264" s="10" t="n"/>
      <c r="H264" s="273" t="n"/>
      <c r="I264" s="114" t="n"/>
      <c r="J264" s="274">
        <f>IFERROR(IF(F264*H264=0,"",F264*H264),"")</f>
        <v/>
      </c>
      <c r="K264" s="74" t="inlineStr">
        <is>
          <t>Pending</t>
        </is>
      </c>
    </row>
    <row r="265" ht="15.75" customHeight="1">
      <c r="B265" s="58" t="n"/>
      <c r="C265" s="63" t="n"/>
      <c r="D265" s="62" t="n"/>
      <c r="E265" s="62" t="n"/>
      <c r="F265" s="275" t="n"/>
      <c r="G265" s="19" t="n"/>
      <c r="H265" s="276" t="n"/>
      <c r="I265" s="118" t="n"/>
      <c r="J265" s="277">
        <f>IFERROR(IF(F265*H265=0,"",F265*H265),"")</f>
        <v/>
      </c>
      <c r="K265" s="81" t="inlineStr">
        <is>
          <t>Pending</t>
        </is>
      </c>
    </row>
    <row r="266" ht="15.75" customHeight="1">
      <c r="B266" s="58" t="n"/>
      <c r="C266" s="60" t="n"/>
      <c r="D266" s="59" t="n"/>
      <c r="E266" s="59" t="n"/>
      <c r="F266" s="272" t="n"/>
      <c r="G266" s="10" t="n"/>
      <c r="H266" s="273" t="n"/>
      <c r="I266" s="114" t="n"/>
      <c r="J266" s="274">
        <f>IFERROR(IF(F266*H266=0,"",F266*H266),"")</f>
        <v/>
      </c>
      <c r="K266" s="74" t="inlineStr">
        <is>
          <t>Pending</t>
        </is>
      </c>
    </row>
    <row r="267" ht="15.75" customHeight="1">
      <c r="B267" s="58" t="n"/>
      <c r="C267" s="63" t="n"/>
      <c r="D267" s="62" t="n"/>
      <c r="E267" s="62" t="n"/>
      <c r="F267" s="275" t="n"/>
      <c r="G267" s="19" t="n"/>
      <c r="H267" s="276" t="n"/>
      <c r="I267" s="118" t="n"/>
      <c r="J267" s="277">
        <f>IFERROR(IF(F267*H267=0,"",F267*H267),"")</f>
        <v/>
      </c>
      <c r="K267" s="81" t="inlineStr">
        <is>
          <t>Pending</t>
        </is>
      </c>
    </row>
    <row r="268" ht="15.75" customHeight="1">
      <c r="B268" s="58" t="n"/>
      <c r="C268" s="60" t="n"/>
      <c r="D268" s="59" t="n"/>
      <c r="E268" s="59" t="n"/>
      <c r="F268" s="272" t="n"/>
      <c r="G268" s="10" t="n"/>
      <c r="H268" s="273" t="n"/>
      <c r="I268" s="114" t="n"/>
      <c r="J268" s="274">
        <f>IFERROR(IF(F268*H268=0,"",F268*H268),"")</f>
        <v/>
      </c>
      <c r="K268" s="74" t="inlineStr">
        <is>
          <t>Pending</t>
        </is>
      </c>
    </row>
    <row r="269" ht="15.75" customHeight="1">
      <c r="B269" s="58" t="n"/>
      <c r="C269" s="63" t="n"/>
      <c r="D269" s="62" t="n"/>
      <c r="E269" s="62" t="n"/>
      <c r="F269" s="275" t="n"/>
      <c r="G269" s="19" t="n"/>
      <c r="H269" s="276" t="n"/>
      <c r="I269" s="118" t="n"/>
      <c r="J269" s="277">
        <f>IFERROR(IF(F269*H269=0,"",F269*H269),"")</f>
        <v/>
      </c>
      <c r="K269" s="81" t="inlineStr">
        <is>
          <t>Pending</t>
        </is>
      </c>
    </row>
    <row r="270" ht="15.75" customHeight="1">
      <c r="B270" s="58" t="n"/>
      <c r="C270" s="60" t="n"/>
      <c r="D270" s="59" t="n"/>
      <c r="E270" s="59" t="n"/>
      <c r="F270" s="272" t="n"/>
      <c r="G270" s="10" t="n"/>
      <c r="H270" s="273" t="n"/>
      <c r="I270" s="114" t="n"/>
      <c r="J270" s="274">
        <f>IFERROR(IF(F270*H270=0,"",F270*H270),"")</f>
        <v/>
      </c>
      <c r="K270" s="74" t="inlineStr">
        <is>
          <t>Pending</t>
        </is>
      </c>
    </row>
    <row r="271" ht="15.75" customHeight="1">
      <c r="B271" s="58" t="n"/>
      <c r="C271" s="63" t="n"/>
      <c r="D271" s="62" t="n"/>
      <c r="E271" s="62" t="n"/>
      <c r="F271" s="275" t="n"/>
      <c r="G271" s="19" t="n"/>
      <c r="H271" s="276" t="n"/>
      <c r="I271" s="118" t="n"/>
      <c r="J271" s="277">
        <f>IFERROR(IF(F271*H271=0,"",F271*H271),"")</f>
        <v/>
      </c>
      <c r="K271" s="81" t="inlineStr">
        <is>
          <t>Pending</t>
        </is>
      </c>
    </row>
    <row r="272" ht="15.75" customHeight="1">
      <c r="B272" s="58" t="n"/>
      <c r="C272" s="60" t="n"/>
      <c r="D272" s="59" t="n"/>
      <c r="E272" s="59" t="n"/>
      <c r="F272" s="272" t="n"/>
      <c r="G272" s="10" t="n"/>
      <c r="H272" s="273" t="n"/>
      <c r="I272" s="114" t="n"/>
      <c r="J272" s="274">
        <f>IFERROR(IF(F272*H272=0,"",F272*H272),"")</f>
        <v/>
      </c>
      <c r="K272" s="74" t="inlineStr">
        <is>
          <t>Pending</t>
        </is>
      </c>
    </row>
    <row r="273" ht="15.75" customHeight="1">
      <c r="B273" s="58" t="n"/>
      <c r="C273" s="63" t="n"/>
      <c r="D273" s="62" t="n"/>
      <c r="E273" s="62" t="n"/>
      <c r="F273" s="275" t="n"/>
      <c r="G273" s="19" t="n"/>
      <c r="H273" s="276" t="n"/>
      <c r="I273" s="118" t="n"/>
      <c r="J273" s="277">
        <f>IFERROR(IF(F273*H273=0,"",F273*H273),"")</f>
        <v/>
      </c>
      <c r="K273" s="81" t="inlineStr">
        <is>
          <t>Pending</t>
        </is>
      </c>
    </row>
    <row r="274" ht="15.75" customHeight="1">
      <c r="B274" s="58" t="n"/>
      <c r="C274" s="60" t="n"/>
      <c r="D274" s="59" t="n"/>
      <c r="E274" s="59" t="n"/>
      <c r="F274" s="272" t="n"/>
      <c r="G274" s="10" t="n"/>
      <c r="H274" s="273" t="n"/>
      <c r="I274" s="114" t="n"/>
      <c r="J274" s="274">
        <f>IFERROR(IF(F274*H274=0,"",F274*H274),"")</f>
        <v/>
      </c>
      <c r="K274" s="74" t="inlineStr">
        <is>
          <t>Pending</t>
        </is>
      </c>
    </row>
    <row r="275" ht="15.75" customHeight="1">
      <c r="B275" s="58" t="n"/>
      <c r="C275" s="63" t="n"/>
      <c r="D275" s="62" t="n"/>
      <c r="E275" s="62" t="n"/>
      <c r="F275" s="275" t="n"/>
      <c r="G275" s="19" t="n"/>
      <c r="H275" s="276" t="n"/>
      <c r="I275" s="118" t="n"/>
      <c r="J275" s="277">
        <f>IFERROR(IF(F275*H275=0,"",F275*H275),"")</f>
        <v/>
      </c>
      <c r="K275" s="81" t="inlineStr">
        <is>
          <t>Pending</t>
        </is>
      </c>
    </row>
    <row r="276" ht="15.75" customHeight="1">
      <c r="B276" s="58" t="n"/>
      <c r="C276" s="60" t="n"/>
      <c r="D276" s="59" t="n"/>
      <c r="E276" s="59" t="n"/>
      <c r="F276" s="272" t="n"/>
      <c r="G276" s="10" t="n"/>
      <c r="H276" s="273" t="n"/>
      <c r="I276" s="114" t="n"/>
      <c r="J276" s="274">
        <f>IFERROR(IF(F276*H276=0,"",F276*H276),"")</f>
        <v/>
      </c>
      <c r="K276" s="74" t="inlineStr">
        <is>
          <t>Pending</t>
        </is>
      </c>
    </row>
    <row r="277" ht="15.75" customHeight="1">
      <c r="B277" s="58" t="n"/>
      <c r="C277" s="63" t="n"/>
      <c r="D277" s="62" t="n"/>
      <c r="E277" s="62" t="n"/>
      <c r="F277" s="275" t="n"/>
      <c r="G277" s="19" t="n"/>
      <c r="H277" s="276" t="n"/>
      <c r="I277" s="118" t="n"/>
      <c r="J277" s="277">
        <f>IFERROR(IF(F277*H277=0,"",F277*H277),"")</f>
        <v/>
      </c>
      <c r="K277" s="81" t="inlineStr">
        <is>
          <t>Pending</t>
        </is>
      </c>
    </row>
    <row r="278" ht="15.75" customHeight="1">
      <c r="B278" s="58" t="n"/>
      <c r="C278" s="60" t="n"/>
      <c r="D278" s="59" t="n"/>
      <c r="E278" s="59" t="n"/>
      <c r="F278" s="272" t="n"/>
      <c r="G278" s="10" t="n"/>
      <c r="H278" s="273" t="n"/>
      <c r="I278" s="114" t="n"/>
      <c r="J278" s="274">
        <f>IFERROR(IF(F278*H278=0,"",F278*H278),"")</f>
        <v/>
      </c>
      <c r="K278" s="74" t="inlineStr">
        <is>
          <t>Pending</t>
        </is>
      </c>
    </row>
    <row r="279" ht="15.75" customHeight="1">
      <c r="B279" s="58" t="n"/>
      <c r="C279" s="63" t="n"/>
      <c r="D279" s="62" t="n"/>
      <c r="E279" s="62" t="n"/>
      <c r="F279" s="275" t="n"/>
      <c r="G279" s="19" t="n"/>
      <c r="H279" s="276" t="n"/>
      <c r="I279" s="118" t="n"/>
      <c r="J279" s="277">
        <f>IFERROR(IF(F279*H279=0,"",F279*H279),"")</f>
        <v/>
      </c>
      <c r="K279" s="81" t="inlineStr">
        <is>
          <t>Pending</t>
        </is>
      </c>
    </row>
    <row r="280" ht="15.75" customHeight="1">
      <c r="B280" s="58" t="n"/>
      <c r="C280" s="60" t="n"/>
      <c r="D280" s="59" t="n"/>
      <c r="E280" s="59" t="n"/>
      <c r="F280" s="272" t="n"/>
      <c r="G280" s="10" t="n"/>
      <c r="H280" s="273" t="n"/>
      <c r="I280" s="114" t="n"/>
      <c r="J280" s="274">
        <f>IFERROR(IF(F280*H280=0,"",F280*H280),"")</f>
        <v/>
      </c>
      <c r="K280" s="74" t="inlineStr">
        <is>
          <t>Pending</t>
        </is>
      </c>
    </row>
    <row r="281" ht="15.75" customHeight="1">
      <c r="B281" s="58" t="n"/>
      <c r="C281" s="63" t="n"/>
      <c r="D281" s="62" t="n"/>
      <c r="E281" s="62" t="n"/>
      <c r="F281" s="275" t="n"/>
      <c r="G281" s="19" t="n"/>
      <c r="H281" s="276" t="n"/>
      <c r="I281" s="118" t="n"/>
      <c r="J281" s="277">
        <f>IFERROR(IF(F281*H281=0,"",F281*H281),"")</f>
        <v/>
      </c>
      <c r="K281" s="81" t="inlineStr">
        <is>
          <t>Pending</t>
        </is>
      </c>
    </row>
    <row r="282" ht="15.75" customHeight="1">
      <c r="B282" s="58" t="n"/>
      <c r="C282" s="60" t="n"/>
      <c r="D282" s="59" t="n"/>
      <c r="E282" s="59" t="n"/>
      <c r="F282" s="272" t="n"/>
      <c r="G282" s="10" t="n"/>
      <c r="H282" s="273" t="n"/>
      <c r="I282" s="114" t="n"/>
      <c r="J282" s="274">
        <f>IFERROR(IF(F282*H282=0,"",F282*H282),"")</f>
        <v/>
      </c>
      <c r="K282" s="74" t="inlineStr">
        <is>
          <t>Pending</t>
        </is>
      </c>
    </row>
    <row r="283" ht="15.75" customHeight="1">
      <c r="B283" s="58" t="n"/>
      <c r="C283" s="63" t="n"/>
      <c r="D283" s="62" t="n"/>
      <c r="E283" s="62" t="n"/>
      <c r="F283" s="275" t="n"/>
      <c r="G283" s="19" t="n"/>
      <c r="H283" s="276" t="n"/>
      <c r="I283" s="118" t="n"/>
      <c r="J283" s="277">
        <f>IFERROR(IF(F283*H283=0,"",F283*H283),"")</f>
        <v/>
      </c>
      <c r="K283" s="81" t="inlineStr">
        <is>
          <t>Pending</t>
        </is>
      </c>
    </row>
    <row r="284" ht="15.75" customHeight="1">
      <c r="B284" s="58" t="n"/>
      <c r="C284" s="60" t="n"/>
      <c r="D284" s="59" t="n"/>
      <c r="E284" s="59" t="n"/>
      <c r="F284" s="272" t="n"/>
      <c r="G284" s="10" t="n"/>
      <c r="H284" s="273" t="n"/>
      <c r="I284" s="114" t="n"/>
      <c r="J284" s="274">
        <f>IFERROR(IF(F284*H284=0,"",F284*H284),"")</f>
        <v/>
      </c>
      <c r="K284" s="74" t="inlineStr">
        <is>
          <t>Pending</t>
        </is>
      </c>
    </row>
    <row r="285" ht="15.75" customHeight="1">
      <c r="B285" s="58" t="n"/>
      <c r="C285" s="63" t="n"/>
      <c r="D285" s="62" t="n"/>
      <c r="E285" s="62" t="n"/>
      <c r="F285" s="275" t="n"/>
      <c r="G285" s="19" t="n"/>
      <c r="H285" s="276" t="n"/>
      <c r="I285" s="118" t="n"/>
      <c r="J285" s="277">
        <f>IFERROR(IF(F285*H285=0,"",F285*H285),"")</f>
        <v/>
      </c>
      <c r="K285" s="81" t="inlineStr">
        <is>
          <t>Pending</t>
        </is>
      </c>
    </row>
    <row r="286" ht="15.75" customHeight="1">
      <c r="B286" s="58" t="n"/>
      <c r="C286" s="60" t="n"/>
      <c r="D286" s="59" t="n"/>
      <c r="E286" s="59" t="n"/>
      <c r="F286" s="272" t="n"/>
      <c r="G286" s="10" t="n"/>
      <c r="H286" s="273" t="n"/>
      <c r="I286" s="114" t="n"/>
      <c r="J286" s="274">
        <f>IFERROR(IF(F286*H286=0,"",F286*H286),"")</f>
        <v/>
      </c>
      <c r="K286" s="74" t="inlineStr">
        <is>
          <t>Pending</t>
        </is>
      </c>
    </row>
    <row r="287" ht="15.75" customHeight="1">
      <c r="B287" s="58" t="n"/>
      <c r="C287" s="63" t="n"/>
      <c r="D287" s="62" t="n"/>
      <c r="E287" s="62" t="n"/>
      <c r="F287" s="275" t="n"/>
      <c r="G287" s="19" t="n"/>
      <c r="H287" s="276" t="n"/>
      <c r="I287" s="118" t="n"/>
      <c r="J287" s="277">
        <f>IFERROR(IF(F287*H287=0,"",F287*H287),"")</f>
        <v/>
      </c>
      <c r="K287" s="81" t="inlineStr">
        <is>
          <t>Pending</t>
        </is>
      </c>
    </row>
    <row r="288" ht="15.75" customHeight="1">
      <c r="B288" s="58" t="n"/>
      <c r="C288" s="60" t="n"/>
      <c r="D288" s="59" t="n"/>
      <c r="E288" s="59" t="n"/>
      <c r="F288" s="272" t="n"/>
      <c r="G288" s="10" t="n"/>
      <c r="H288" s="273" t="n"/>
      <c r="I288" s="114" t="n"/>
      <c r="J288" s="274">
        <f>IFERROR(IF(F288*H288=0,"",F288*H288),"")</f>
        <v/>
      </c>
      <c r="K288" s="74" t="inlineStr">
        <is>
          <t>Pending</t>
        </is>
      </c>
    </row>
    <row r="289" ht="15.75" customHeight="1">
      <c r="B289" s="58" t="n"/>
      <c r="C289" s="63" t="n"/>
      <c r="D289" s="62" t="n"/>
      <c r="E289" s="62" t="n"/>
      <c r="F289" s="275" t="n"/>
      <c r="G289" s="19" t="n"/>
      <c r="H289" s="276" t="n"/>
      <c r="I289" s="118" t="n"/>
      <c r="J289" s="277">
        <f>IFERROR(IF(F289*H289=0,"",F289*H289),"")</f>
        <v/>
      </c>
      <c r="K289" s="81" t="inlineStr">
        <is>
          <t>Pending</t>
        </is>
      </c>
    </row>
    <row r="290" ht="15.75" customHeight="1">
      <c r="B290" s="58" t="n"/>
      <c r="C290" s="60" t="n"/>
      <c r="D290" s="59" t="n"/>
      <c r="E290" s="59" t="n"/>
      <c r="F290" s="272" t="n"/>
      <c r="G290" s="10" t="n"/>
      <c r="H290" s="273" t="n"/>
      <c r="I290" s="114" t="n"/>
      <c r="J290" s="274">
        <f>IFERROR(IF(F290*H290=0,"",F290*H290),"")</f>
        <v/>
      </c>
      <c r="K290" s="74" t="inlineStr">
        <is>
          <t>Pending</t>
        </is>
      </c>
    </row>
    <row r="291" ht="15.75" customHeight="1">
      <c r="B291" s="58" t="n"/>
      <c r="C291" s="63" t="n"/>
      <c r="D291" s="62" t="n"/>
      <c r="E291" s="62" t="n"/>
      <c r="F291" s="275" t="n"/>
      <c r="G291" s="19" t="n"/>
      <c r="H291" s="276" t="n"/>
      <c r="I291" s="118" t="n"/>
      <c r="J291" s="277">
        <f>IFERROR(IF(F291*H291=0,"",F291*H291),"")</f>
        <v/>
      </c>
      <c r="K291" s="81" t="inlineStr">
        <is>
          <t>Pending</t>
        </is>
      </c>
    </row>
    <row r="292" ht="15.75" customHeight="1">
      <c r="B292" s="58" t="n"/>
      <c r="C292" s="60" t="n"/>
      <c r="D292" s="59" t="n"/>
      <c r="E292" s="59" t="n"/>
      <c r="F292" s="272" t="n"/>
      <c r="G292" s="10" t="n"/>
      <c r="H292" s="273" t="n"/>
      <c r="I292" s="114" t="n"/>
      <c r="J292" s="274">
        <f>IFERROR(IF(F292*H292=0,"",F292*H292),"")</f>
        <v/>
      </c>
      <c r="K292" s="74" t="inlineStr">
        <is>
          <t>Pending</t>
        </is>
      </c>
    </row>
    <row r="293" ht="15.75" customHeight="1">
      <c r="B293" s="58" t="n"/>
      <c r="C293" s="63" t="n"/>
      <c r="D293" s="62" t="n"/>
      <c r="E293" s="62" t="n"/>
      <c r="F293" s="275" t="n"/>
      <c r="G293" s="19" t="n"/>
      <c r="H293" s="276" t="n"/>
      <c r="I293" s="118" t="n"/>
      <c r="J293" s="277">
        <f>IFERROR(IF(F293*H293=0,"",F293*H293),"")</f>
        <v/>
      </c>
      <c r="K293" s="81" t="inlineStr">
        <is>
          <t>Pending</t>
        </is>
      </c>
    </row>
    <row r="294" ht="15.75" customHeight="1">
      <c r="B294" s="58" t="n"/>
      <c r="C294" s="60" t="n"/>
      <c r="D294" s="59" t="n"/>
      <c r="E294" s="59" t="n"/>
      <c r="F294" s="272" t="n"/>
      <c r="G294" s="10" t="n"/>
      <c r="H294" s="273" t="n"/>
      <c r="I294" s="114" t="n"/>
      <c r="J294" s="274">
        <f>IFERROR(IF(F294*H294=0,"",F294*H294),"")</f>
        <v/>
      </c>
      <c r="K294" s="74" t="inlineStr">
        <is>
          <t>Pending</t>
        </is>
      </c>
    </row>
    <row r="295" ht="15.75" customHeight="1">
      <c r="B295" s="58" t="n"/>
      <c r="C295" s="63" t="n"/>
      <c r="D295" s="62" t="n"/>
      <c r="E295" s="62" t="n"/>
      <c r="F295" s="275" t="n"/>
      <c r="G295" s="19" t="n"/>
      <c r="H295" s="276" t="n"/>
      <c r="I295" s="118" t="n"/>
      <c r="J295" s="277">
        <f>IFERROR(IF(F295*H295=0,"",F295*H295),"")</f>
        <v/>
      </c>
      <c r="K295" s="81" t="inlineStr">
        <is>
          <t>Pending</t>
        </is>
      </c>
    </row>
    <row r="296" ht="15.75" customHeight="1">
      <c r="B296" s="58" t="n"/>
      <c r="C296" s="60" t="n"/>
      <c r="D296" s="59" t="n"/>
      <c r="E296" s="59" t="n"/>
      <c r="F296" s="272" t="n"/>
      <c r="G296" s="10" t="n"/>
      <c r="H296" s="273" t="n"/>
      <c r="I296" s="114" t="n"/>
      <c r="J296" s="274">
        <f>IFERROR(IF(F296*H296=0,"",F296*H296),"")</f>
        <v/>
      </c>
      <c r="K296" s="74" t="inlineStr">
        <is>
          <t>Pending</t>
        </is>
      </c>
    </row>
    <row r="297" ht="15.75" customHeight="1">
      <c r="B297" s="58" t="n"/>
      <c r="C297" s="63" t="n"/>
      <c r="D297" s="62" t="n"/>
      <c r="E297" s="62" t="n"/>
      <c r="F297" s="275" t="n"/>
      <c r="G297" s="19" t="n"/>
      <c r="H297" s="276" t="n"/>
      <c r="I297" s="118" t="n"/>
      <c r="J297" s="277">
        <f>IFERROR(IF(F297*H297=0,"",F297*H297),"")</f>
        <v/>
      </c>
      <c r="K297" s="81" t="inlineStr">
        <is>
          <t>Pending</t>
        </is>
      </c>
    </row>
    <row r="298" ht="15.75" customHeight="1">
      <c r="B298" s="58" t="n"/>
      <c r="C298" s="60" t="n"/>
      <c r="D298" s="59" t="n"/>
      <c r="E298" s="59" t="n"/>
      <c r="F298" s="272" t="n"/>
      <c r="G298" s="10" t="n"/>
      <c r="H298" s="273" t="n"/>
      <c r="I298" s="114" t="n"/>
      <c r="J298" s="274">
        <f>IFERROR(IF(F298*H298=0,"",F298*H298),"")</f>
        <v/>
      </c>
      <c r="K298" s="74" t="inlineStr">
        <is>
          <t>Pending</t>
        </is>
      </c>
    </row>
    <row r="299" ht="15.75" customHeight="1">
      <c r="B299" s="58" t="n"/>
      <c r="C299" s="63" t="n"/>
      <c r="D299" s="62" t="n"/>
      <c r="E299" s="62" t="n"/>
      <c r="F299" s="275" t="n"/>
      <c r="G299" s="19" t="n"/>
      <c r="H299" s="276" t="n"/>
      <c r="I299" s="118" t="n"/>
      <c r="J299" s="277">
        <f>IFERROR(IF(F299*H299=0,"",F299*H299),"")</f>
        <v/>
      </c>
      <c r="K299" s="81" t="inlineStr">
        <is>
          <t>Pending</t>
        </is>
      </c>
    </row>
    <row r="300" ht="15.75" customHeight="1">
      <c r="B300" s="58" t="n"/>
      <c r="C300" s="60" t="n"/>
      <c r="D300" s="59" t="n"/>
      <c r="E300" s="59" t="n"/>
      <c r="F300" s="272" t="n"/>
      <c r="G300" s="10" t="n"/>
      <c r="H300" s="273" t="n"/>
      <c r="I300" s="114" t="n"/>
      <c r="J300" s="274">
        <f>IFERROR(IF(F300*H300=0,"",F300*H300),"")</f>
        <v/>
      </c>
      <c r="K300" s="74" t="inlineStr">
        <is>
          <t>Pending</t>
        </is>
      </c>
    </row>
    <row r="301" ht="15.75" customHeight="1">
      <c r="B301" s="58" t="n"/>
      <c r="C301" s="63" t="n"/>
      <c r="D301" s="62" t="n"/>
      <c r="E301" s="62" t="n"/>
      <c r="F301" s="275" t="n"/>
      <c r="G301" s="19" t="n"/>
      <c r="H301" s="276" t="n"/>
      <c r="I301" s="118" t="n"/>
      <c r="J301" s="277">
        <f>IFERROR(IF(F301*H301=0,"",F301*H301),"")</f>
        <v/>
      </c>
      <c r="K301" s="81" t="inlineStr">
        <is>
          <t>Pending</t>
        </is>
      </c>
    </row>
    <row r="302" ht="15.75" customHeight="1">
      <c r="B302" s="58" t="n"/>
      <c r="C302" s="60" t="n"/>
      <c r="D302" s="59" t="n"/>
      <c r="E302" s="59" t="n"/>
      <c r="F302" s="272" t="n"/>
      <c r="G302" s="10" t="n"/>
      <c r="H302" s="273" t="n"/>
      <c r="I302" s="114" t="n"/>
      <c r="J302" s="274">
        <f>IFERROR(IF(F302*H302=0,"",F302*H302),"")</f>
        <v/>
      </c>
      <c r="K302" s="74" t="inlineStr">
        <is>
          <t>Pending</t>
        </is>
      </c>
    </row>
    <row r="303" ht="15.75" customHeight="1">
      <c r="B303" s="58" t="n"/>
      <c r="C303" s="63" t="n"/>
      <c r="D303" s="62" t="n"/>
      <c r="E303" s="62" t="n"/>
      <c r="F303" s="275" t="n"/>
      <c r="G303" s="19" t="n"/>
      <c r="H303" s="276" t="n"/>
      <c r="I303" s="118" t="n"/>
      <c r="J303" s="277">
        <f>IFERROR(IF(F303*H303=0,"",F303*H303),"")</f>
        <v/>
      </c>
      <c r="K303" s="81" t="inlineStr">
        <is>
          <t>Pending</t>
        </is>
      </c>
    </row>
    <row r="304" ht="15.75" customHeight="1">
      <c r="B304" s="58" t="n"/>
      <c r="C304" s="60" t="n"/>
      <c r="D304" s="59" t="n"/>
      <c r="E304" s="59" t="n"/>
      <c r="F304" s="272" t="n"/>
      <c r="G304" s="10" t="n"/>
      <c r="H304" s="273" t="n"/>
      <c r="I304" s="114" t="n"/>
      <c r="J304" s="274">
        <f>IFERROR(IF(F304*H304=0,"",F304*H304),"")</f>
        <v/>
      </c>
      <c r="K304" s="74" t="inlineStr">
        <is>
          <t>Pending</t>
        </is>
      </c>
    </row>
    <row r="305" ht="15.75" customHeight="1">
      <c r="B305" s="58" t="n"/>
      <c r="C305" s="63" t="n"/>
      <c r="D305" s="62" t="n"/>
      <c r="E305" s="62" t="n"/>
      <c r="F305" s="275" t="n"/>
      <c r="G305" s="19" t="n"/>
      <c r="H305" s="276" t="n"/>
      <c r="I305" s="118" t="n"/>
      <c r="J305" s="277">
        <f>IFERROR(IF(F305*H305=0,"",F305*H305),"")</f>
        <v/>
      </c>
      <c r="K305" s="81" t="inlineStr">
        <is>
          <t>Pending</t>
        </is>
      </c>
    </row>
    <row r="306" ht="15.75" customHeight="1">
      <c r="B306" s="58" t="n"/>
      <c r="C306" s="60" t="n"/>
      <c r="D306" s="59" t="n"/>
      <c r="E306" s="59" t="n"/>
      <c r="F306" s="272" t="n"/>
      <c r="G306" s="10" t="n"/>
      <c r="H306" s="273" t="n"/>
      <c r="I306" s="114" t="n"/>
      <c r="J306" s="274">
        <f>IFERROR(IF(F306*H306=0,"",F306*H306),"")</f>
        <v/>
      </c>
      <c r="K306" s="74" t="inlineStr">
        <is>
          <t>Pending</t>
        </is>
      </c>
    </row>
    <row r="307" ht="15.75" customHeight="1">
      <c r="B307" s="58" t="n"/>
      <c r="C307" s="63" t="n"/>
      <c r="D307" s="62" t="n"/>
      <c r="E307" s="62" t="n"/>
      <c r="F307" s="275" t="n"/>
      <c r="G307" s="19" t="n"/>
      <c r="H307" s="276" t="n"/>
      <c r="I307" s="118" t="n"/>
      <c r="J307" s="277">
        <f>IFERROR(IF(F307*H307=0,"",F307*H307),"")</f>
        <v/>
      </c>
      <c r="K307" s="81" t="inlineStr">
        <is>
          <t>Pending</t>
        </is>
      </c>
    </row>
    <row r="308" ht="15.75" customHeight="1">
      <c r="B308" s="58" t="n"/>
      <c r="C308" s="60" t="n"/>
      <c r="D308" s="59" t="n"/>
      <c r="E308" s="59" t="n"/>
      <c r="F308" s="272" t="n"/>
      <c r="G308" s="10" t="n"/>
      <c r="H308" s="273" t="n"/>
      <c r="I308" s="114" t="n"/>
      <c r="J308" s="274">
        <f>IFERROR(IF(F308*H308=0,"",F308*H308),"")</f>
        <v/>
      </c>
      <c r="K308" s="74" t="inlineStr">
        <is>
          <t>Pending</t>
        </is>
      </c>
    </row>
    <row r="309" ht="15.75" customHeight="1">
      <c r="B309" s="58" t="n"/>
      <c r="C309" s="63" t="n"/>
      <c r="D309" s="62" t="n"/>
      <c r="E309" s="62" t="n"/>
      <c r="F309" s="275" t="n"/>
      <c r="G309" s="19" t="n"/>
      <c r="H309" s="276" t="n"/>
      <c r="I309" s="118" t="n"/>
      <c r="J309" s="277">
        <f>IFERROR(IF(F309*H309=0,"",F309*H309),"")</f>
        <v/>
      </c>
      <c r="K309" s="81" t="inlineStr">
        <is>
          <t>Pending</t>
        </is>
      </c>
    </row>
  </sheetData>
  <mergeCells count="4">
    <mergeCell ref="A2:E2"/>
    <mergeCell ref="F2:K2"/>
    <mergeCell ref="A3:K3"/>
    <mergeCell ref="B8:K8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K10:K308" showErrorMessage="1" showInputMessage="1" allowBlank="0" type="list">
      <formula1>"Pending,Confirmed,In Transit,Received,Cancelled"</formula1>
      <formula2>0</formula2>
    </dataValidation>
    <dataValidation sqref="E10:E308" showErrorMessage="1" showInputMessage="1" allowBlank="0" type="list">
      <formula1>"Proteins,Produce,Dairy,Grains,Bakery,Beverages,Dry Goods,Sauces,Supplies,Other"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" zoomScaleNormal="100" workbookViewId="0">
      <selection activeCell="A1" sqref="A1"/>
    </sheetView>
  </sheetViews>
  <sheetFormatPr baseColWidth="8" defaultColWidth="8.6640625" defaultRowHeight="14.4"/>
  <cols>
    <col width="4" customWidth="1" min="1" max="1"/>
    <col width="30" customWidth="1" min="2" max="2"/>
    <col width="16" customWidth="1" min="3" max="8"/>
    <col width="18" customWidth="1" min="9" max="9"/>
  </cols>
  <sheetData>
    <row r="1" ht="4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7.5" customHeight="1">
      <c r="A2" s="141" t="inlineStr">
        <is>
          <t>📈  LOKA — MONTHLY P&amp;L</t>
        </is>
      </c>
      <c r="E2" s="142" t="inlineStr">
        <is>
          <t>Revenue &amp; Expense summary — fill monthly totals from Daily Log &amp; Expenses</t>
        </is>
      </c>
    </row>
    <row r="3" ht="3.75" customHeight="1">
      <c r="A3" s="143" t="n"/>
    </row>
    <row r="4" ht="7.5" customHeight="1"/>
    <row r="5" ht="9.75" customHeight="1"/>
    <row r="6" ht="21.75" customHeight="1">
      <c r="B6" s="120" t="inlineStr">
        <is>
          <t>YEAR:</t>
        </is>
      </c>
      <c r="C6" s="121" t="n">
        <v>2025</v>
      </c>
    </row>
    <row r="7" ht="7.5" customHeight="1"/>
    <row r="8" ht="27.75" customHeight="1">
      <c r="B8" s="160" t="inlineStr">
        <is>
          <t>P&amp;L Line Item</t>
        </is>
      </c>
      <c r="C8" s="160" t="inlineStr">
        <is>
          <t>Jan</t>
        </is>
      </c>
      <c r="D8" s="160" t="inlineStr">
        <is>
          <t>Feb</t>
        </is>
      </c>
      <c r="E8" s="160" t="inlineStr">
        <is>
          <t>Mar</t>
        </is>
      </c>
      <c r="F8" s="160" t="inlineStr">
        <is>
          <t>Apr</t>
        </is>
      </c>
      <c r="G8" s="160" t="inlineStr">
        <is>
          <t>May</t>
        </is>
      </c>
      <c r="H8" s="160" t="inlineStr">
        <is>
          <t>Jun</t>
        </is>
      </c>
      <c r="I8" s="160" t="inlineStr">
        <is>
          <t>H1 TOTAL</t>
        </is>
      </c>
    </row>
    <row r="9" ht="19.5" customHeight="1">
      <c r="B9" s="146" t="inlineStr">
        <is>
          <t xml:space="preserve">  A. REVENUE</t>
        </is>
      </c>
      <c r="C9" s="172" t="n"/>
      <c r="D9" s="172" t="n"/>
      <c r="E9" s="172" t="n"/>
      <c r="F9" s="172" t="n"/>
      <c r="G9" s="172" t="n"/>
      <c r="H9" s="172" t="n"/>
      <c r="I9" s="172" t="n"/>
    </row>
    <row r="10" ht="18" customHeight="1">
      <c r="B10" s="122" t="inlineStr">
        <is>
          <t xml:space="preserve">  Total Revenue (from Soft App)</t>
        </is>
      </c>
      <c r="C10" s="248" t="n">
        <v>0</v>
      </c>
      <c r="D10" s="248" t="n">
        <v>0</v>
      </c>
      <c r="E10" s="248" t="n">
        <v>0</v>
      </c>
      <c r="F10" s="248" t="n">
        <v>0</v>
      </c>
      <c r="G10" s="248" t="n">
        <v>0</v>
      </c>
      <c r="H10" s="248" t="n">
        <v>0</v>
      </c>
      <c r="I10" s="263">
        <f>SUM(C10:H10)</f>
        <v/>
      </c>
    </row>
    <row r="11" ht="19.5" customHeight="1">
      <c r="B11" s="146" t="inlineStr">
        <is>
          <t xml:space="preserve">  B. COST OF GOODS (from Expenses)</t>
        </is>
      </c>
      <c r="C11" s="172" t="n"/>
      <c r="D11" s="172" t="n"/>
      <c r="E11" s="172" t="n"/>
      <c r="F11" s="172" t="n"/>
      <c r="G11" s="172" t="n"/>
      <c r="H11" s="172" t="n"/>
      <c r="I11" s="172" t="n"/>
    </row>
    <row r="12" ht="18" customHeight="1">
      <c r="B12" s="123" t="inlineStr">
        <is>
          <t xml:space="preserve">  Ingredient / Food Cost</t>
        </is>
      </c>
      <c r="C12" s="248" t="n">
        <v>0</v>
      </c>
      <c r="D12" s="248" t="n">
        <v>0</v>
      </c>
      <c r="E12" s="248" t="n">
        <v>0</v>
      </c>
      <c r="F12" s="248" t="n">
        <v>0</v>
      </c>
      <c r="G12" s="248" t="n">
        <v>0</v>
      </c>
      <c r="H12" s="248" t="n">
        <v>0</v>
      </c>
      <c r="I12" s="278">
        <f>SUM(C12:H12)</f>
        <v/>
      </c>
    </row>
    <row r="13" ht="18" customHeight="1">
      <c r="B13" s="125" t="inlineStr">
        <is>
          <t xml:space="preserve">  Other Supplies</t>
        </is>
      </c>
      <c r="C13" s="244" t="n">
        <v>0</v>
      </c>
      <c r="D13" s="244" t="n">
        <v>0</v>
      </c>
      <c r="E13" s="244" t="n">
        <v>0</v>
      </c>
      <c r="F13" s="244" t="n">
        <v>0</v>
      </c>
      <c r="G13" s="244" t="n">
        <v>0</v>
      </c>
      <c r="H13" s="244" t="n">
        <v>0</v>
      </c>
      <c r="I13" s="279">
        <f>SUM(C13:H13)</f>
        <v/>
      </c>
    </row>
    <row r="14" ht="18" customHeight="1">
      <c r="B14" s="127" t="inlineStr">
        <is>
          <t>TOTAL COGS</t>
        </is>
      </c>
      <c r="C14" s="262">
        <f>C10+{3}</f>
        <v/>
      </c>
      <c r="D14" s="262">
        <f>D10+{3}</f>
        <v/>
      </c>
      <c r="E14" s="262">
        <f>E10+{3}</f>
        <v/>
      </c>
      <c r="F14" s="262">
        <f>F10+{3}</f>
        <v/>
      </c>
      <c r="G14" s="262">
        <f>G10+{3}</f>
        <v/>
      </c>
      <c r="H14" s="262">
        <f>H10+{3}</f>
        <v/>
      </c>
      <c r="I14" s="262">
        <f>SUM(C14:H14)</f>
        <v/>
      </c>
    </row>
    <row r="15" ht="18" customHeight="1">
      <c r="B15" s="128" t="inlineStr">
        <is>
          <t>GROSS PROFIT</t>
        </is>
      </c>
      <c r="C15" s="260">
        <f>{1}-C13</f>
        <v/>
      </c>
      <c r="D15" s="260">
        <f>{1}-D13</f>
        <v/>
      </c>
      <c r="E15" s="260">
        <f>{1}-E13</f>
        <v/>
      </c>
      <c r="F15" s="260">
        <f>{1}-F13</f>
        <v/>
      </c>
      <c r="G15" s="260">
        <f>{1}-G13</f>
        <v/>
      </c>
      <c r="H15" s="260">
        <f>{1}-H13</f>
        <v/>
      </c>
      <c r="I15" s="260">
        <f>SUM(C15:H15)</f>
        <v/>
      </c>
    </row>
    <row r="16" ht="18" customHeight="1">
      <c r="B16" s="129" t="inlineStr">
        <is>
          <t>GROSS MARGIN %</t>
        </is>
      </c>
      <c r="C16" s="280">
        <f>IFERROR(C14/{1},0)</f>
        <v/>
      </c>
      <c r="D16" s="280">
        <f>IFERROR(D14/{1},0)</f>
        <v/>
      </c>
      <c r="E16" s="280">
        <f>IFERROR(E14/{1},0)</f>
        <v/>
      </c>
      <c r="F16" s="280">
        <f>IFERROR(F14/{1},0)</f>
        <v/>
      </c>
      <c r="G16" s="280">
        <f>IFERROR(G14/{1},0)</f>
        <v/>
      </c>
      <c r="H16" s="280">
        <f>IFERROR(H14/{1},0)</f>
        <v/>
      </c>
      <c r="I16" s="280">
        <f>IFERROR(AVERAGE(C16:H16),0)</f>
        <v/>
      </c>
    </row>
    <row r="17" ht="19.5" customHeight="1">
      <c r="B17" s="146" t="inlineStr">
        <is>
          <t xml:space="preserve">  C. OPERATING EXPENSES</t>
        </is>
      </c>
      <c r="C17" s="172" t="n"/>
      <c r="D17" s="172" t="n"/>
      <c r="E17" s="172" t="n"/>
      <c r="F17" s="172" t="n"/>
      <c r="G17" s="172" t="n"/>
      <c r="H17" s="172" t="n"/>
      <c r="I17" s="172" t="n"/>
    </row>
    <row r="18" ht="18" customHeight="1">
      <c r="B18" s="123" t="inlineStr">
        <is>
          <t xml:space="preserve">  Staff / Payroll</t>
        </is>
      </c>
      <c r="C18" s="248" t="n">
        <v>0</v>
      </c>
      <c r="D18" s="248" t="n">
        <v>0</v>
      </c>
      <c r="E18" s="248" t="n">
        <v>0</v>
      </c>
      <c r="F18" s="248" t="n">
        <v>0</v>
      </c>
      <c r="G18" s="248" t="n">
        <v>0</v>
      </c>
      <c r="H18" s="248" t="n">
        <v>0</v>
      </c>
      <c r="I18" s="278">
        <f>SUM(C18:H18)</f>
        <v/>
      </c>
    </row>
    <row r="19" ht="18" customHeight="1">
      <c r="B19" s="125" t="inlineStr">
        <is>
          <t xml:space="preserve">  Rent</t>
        </is>
      </c>
      <c r="C19" s="244" t="n">
        <v>0</v>
      </c>
      <c r="D19" s="244" t="n">
        <v>0</v>
      </c>
      <c r="E19" s="244" t="n">
        <v>0</v>
      </c>
      <c r="F19" s="244" t="n">
        <v>0</v>
      </c>
      <c r="G19" s="244" t="n">
        <v>0</v>
      </c>
      <c r="H19" s="244" t="n">
        <v>0</v>
      </c>
      <c r="I19" s="279">
        <f>SUM(C19:H19)</f>
        <v/>
      </c>
    </row>
    <row r="20" ht="18" customHeight="1">
      <c r="B20" s="123" t="inlineStr">
        <is>
          <t xml:space="preserve">  Utilities (Gas, Electric, Water)</t>
        </is>
      </c>
      <c r="C20" s="248" t="n">
        <v>0</v>
      </c>
      <c r="D20" s="248" t="n">
        <v>0</v>
      </c>
      <c r="E20" s="248" t="n">
        <v>0</v>
      </c>
      <c r="F20" s="248" t="n">
        <v>0</v>
      </c>
      <c r="G20" s="248" t="n">
        <v>0</v>
      </c>
      <c r="H20" s="248" t="n">
        <v>0</v>
      </c>
      <c r="I20" s="278">
        <f>SUM(C20:H20)</f>
        <v/>
      </c>
    </row>
    <row r="21" ht="18" customHeight="1">
      <c r="B21" s="125" t="inlineStr">
        <is>
          <t xml:space="preserve">  Marketing</t>
        </is>
      </c>
      <c r="C21" s="244" t="n">
        <v>0</v>
      </c>
      <c r="D21" s="244" t="n">
        <v>0</v>
      </c>
      <c r="E21" s="244" t="n">
        <v>0</v>
      </c>
      <c r="F21" s="244" t="n">
        <v>0</v>
      </c>
      <c r="G21" s="244" t="n">
        <v>0</v>
      </c>
      <c r="H21" s="244" t="n">
        <v>0</v>
      </c>
      <c r="I21" s="279">
        <f>SUM(C21:H21)</f>
        <v/>
      </c>
    </row>
    <row r="22" ht="18" customHeight="1">
      <c r="B22" s="123" t="inlineStr">
        <is>
          <t xml:space="preserve">  Maintenance &amp; Other</t>
        </is>
      </c>
      <c r="C22" s="248" t="n">
        <v>0</v>
      </c>
      <c r="D22" s="248" t="n">
        <v>0</v>
      </c>
      <c r="E22" s="248" t="n">
        <v>0</v>
      </c>
      <c r="F22" s="248" t="n">
        <v>0</v>
      </c>
      <c r="G22" s="248" t="n">
        <v>0</v>
      </c>
      <c r="H22" s="248" t="n">
        <v>0</v>
      </c>
      <c r="I22" s="278">
        <f>SUM(C22:H22)</f>
        <v/>
      </c>
    </row>
    <row r="23" ht="18" customHeight="1">
      <c r="B23" s="127" t="inlineStr">
        <is>
          <t>TOTAL OPEX</t>
        </is>
      </c>
      <c r="C23" s="262">
        <f>{9}+C18+C19+C20+C21</f>
        <v/>
      </c>
      <c r="D23" s="262">
        <f>{9}+D18+D19+D20+D21</f>
        <v/>
      </c>
      <c r="E23" s="262">
        <f>{9}+E18+E19+E20+E21</f>
        <v/>
      </c>
      <c r="F23" s="262">
        <f>{9}+F18+F19+F20+F21</f>
        <v/>
      </c>
      <c r="G23" s="262">
        <f>{9}+G18+G19+G20+G21</f>
        <v/>
      </c>
      <c r="H23" s="262">
        <f>{9}+H18+H19+H20+H21</f>
        <v/>
      </c>
      <c r="I23" s="262">
        <f>SUM(C23:H23)</f>
        <v/>
      </c>
    </row>
    <row r="24" ht="18" customHeight="1">
      <c r="B24" s="131" t="inlineStr">
        <is>
          <t>EBITDA</t>
        </is>
      </c>
      <c r="C24" s="281">
        <f>C14-C22</f>
        <v/>
      </c>
      <c r="D24" s="281">
        <f>D14-D22</f>
        <v/>
      </c>
      <c r="E24" s="281">
        <f>E14-E22</f>
        <v/>
      </c>
      <c r="F24" s="281">
        <f>F14-F22</f>
        <v/>
      </c>
      <c r="G24" s="281">
        <f>G14-G22</f>
        <v/>
      </c>
      <c r="H24" s="281">
        <f>H14-H22</f>
        <v/>
      </c>
      <c r="I24" s="281">
        <f>SUM(C24:H24)</f>
        <v/>
      </c>
    </row>
    <row r="25" ht="18" customHeight="1">
      <c r="B25" s="133" t="inlineStr">
        <is>
          <t>EBITDA MARGIN %</t>
        </is>
      </c>
      <c r="C25" s="282">
        <f>IFERROR(C23/{1},0)</f>
        <v/>
      </c>
      <c r="D25" s="282">
        <f>IFERROR(D23/{1},0)</f>
        <v/>
      </c>
      <c r="E25" s="282">
        <f>IFERROR(E23/{1},0)</f>
        <v/>
      </c>
      <c r="F25" s="282">
        <f>IFERROR(F23/{1},0)</f>
        <v/>
      </c>
      <c r="G25" s="282">
        <f>IFERROR(G23/{1},0)</f>
        <v/>
      </c>
      <c r="H25" s="282">
        <f>IFERROR(H23/{1},0)</f>
        <v/>
      </c>
      <c r="I25" s="282">
        <f>IFERROR(AVERAGE(C25:H25),0)</f>
        <v/>
      </c>
    </row>
    <row r="26" ht="18" customHeight="1">
      <c r="B26" s="123" t="inlineStr">
        <is>
          <t xml:space="preserve">  Depreciation</t>
        </is>
      </c>
      <c r="C26" s="248" t="n">
        <v>0</v>
      </c>
      <c r="D26" s="248" t="n">
        <v>0</v>
      </c>
      <c r="E26" s="248" t="n">
        <v>0</v>
      </c>
      <c r="F26" s="248" t="n">
        <v>0</v>
      </c>
      <c r="G26" s="248" t="n">
        <v>0</v>
      </c>
      <c r="H26" s="248" t="n">
        <v>0</v>
      </c>
      <c r="I26" s="278">
        <f>SUM(C26:H26)</f>
        <v/>
      </c>
    </row>
    <row r="27" ht="18" customHeight="1">
      <c r="B27" s="125" t="inlineStr">
        <is>
          <t xml:space="preserve">  Taxes (ISR / IVA)</t>
        </is>
      </c>
      <c r="C27" s="244" t="n">
        <v>0</v>
      </c>
      <c r="D27" s="244" t="n">
        <v>0</v>
      </c>
      <c r="E27" s="244" t="n">
        <v>0</v>
      </c>
      <c r="F27" s="244" t="n">
        <v>0</v>
      </c>
      <c r="G27" s="244" t="n">
        <v>0</v>
      </c>
      <c r="H27" s="244" t="n">
        <v>0</v>
      </c>
      <c r="I27" s="279">
        <f>SUM(C27:H27)</f>
        <v/>
      </c>
    </row>
    <row r="28" ht="18" customHeight="1">
      <c r="B28" s="128" t="inlineStr">
        <is>
          <t>NET PROFIT</t>
        </is>
      </c>
      <c r="C28" s="260">
        <f>C23-C25-C26</f>
        <v/>
      </c>
      <c r="D28" s="260">
        <f>D23-D25-D26</f>
        <v/>
      </c>
      <c r="E28" s="260">
        <f>E23-E25-E26</f>
        <v/>
      </c>
      <c r="F28" s="260">
        <f>F23-F25-F26</f>
        <v/>
      </c>
      <c r="G28" s="260">
        <f>G23-G25-G26</f>
        <v/>
      </c>
      <c r="H28" s="260">
        <f>H23-H25-H26</f>
        <v/>
      </c>
      <c r="I28" s="260">
        <f>SUM(C28:H28)</f>
        <v/>
      </c>
    </row>
    <row r="29" ht="18" customHeight="1">
      <c r="B29" s="129" t="inlineStr">
        <is>
          <t>NET MARGIN %</t>
        </is>
      </c>
      <c r="C29" s="280">
        <f>IFERROR(C27/{1},0)</f>
        <v/>
      </c>
      <c r="D29" s="280">
        <f>IFERROR(D27/{1},0)</f>
        <v/>
      </c>
      <c r="E29" s="280">
        <f>IFERROR(E27/{1},0)</f>
        <v/>
      </c>
      <c r="F29" s="280">
        <f>IFERROR(F27/{1},0)</f>
        <v/>
      </c>
      <c r="G29" s="280">
        <f>IFERROR(G27/{1},0)</f>
        <v/>
      </c>
      <c r="H29" s="280">
        <f>IFERROR(H27/{1},0)</f>
        <v/>
      </c>
      <c r="I29" s="280">
        <f>IFERROR(AVERAGE(C29:H29),0)</f>
        <v/>
      </c>
    </row>
    <row r="30" ht="19.5" customHeight="1">
      <c r="B30" s="146" t="inlineStr">
        <is>
          <t xml:space="preserve">  D. KEY METRICS</t>
        </is>
      </c>
      <c r="C30" s="172" t="n"/>
      <c r="D30" s="172" t="n"/>
      <c r="E30" s="172" t="n"/>
      <c r="F30" s="172" t="n"/>
      <c r="G30" s="172" t="n"/>
      <c r="H30" s="172" t="n"/>
      <c r="I30" s="172" t="n"/>
    </row>
    <row r="31" ht="18" customHeight="1">
      <c r="B31" s="96" t="inlineStr">
        <is>
          <t xml:space="preserve">  Total Orders (from Soft)</t>
        </is>
      </c>
      <c r="C31" s="259" t="n">
        <v>0</v>
      </c>
      <c r="D31" s="259" t="n">
        <v>0</v>
      </c>
      <c r="E31" s="259" t="n">
        <v>0</v>
      </c>
      <c r="F31" s="259" t="n">
        <v>0</v>
      </c>
      <c r="G31" s="259" t="n">
        <v>0</v>
      </c>
      <c r="H31" s="259" t="n">
        <v>0</v>
      </c>
      <c r="I31" s="283">
        <f>SUM(C31:H31)</f>
        <v/>
      </c>
    </row>
    <row r="32" ht="18" customHeight="1">
      <c r="B32" s="102" t="inlineStr">
        <is>
          <t xml:space="preserve">  Avg Ticket ($)</t>
        </is>
      </c>
      <c r="C32" s="284">
        <f>IFERROR({1}/{22}*1000,0)</f>
        <v/>
      </c>
      <c r="D32" s="284">
        <f>IFERROR({1}/{22}*1000,0)</f>
        <v/>
      </c>
      <c r="E32" s="284">
        <f>IFERROR({1}/{22}*1000,0)</f>
        <v/>
      </c>
      <c r="F32" s="284">
        <f>IFERROR({1}/{22}*1000,0)</f>
        <v/>
      </c>
      <c r="G32" s="284">
        <f>IFERROR({1}/{22}*1000,0)</f>
        <v/>
      </c>
      <c r="H32" s="284">
        <f>IFERROR({1}/{22}*1000,0)</f>
        <v/>
      </c>
      <c r="I32" s="284">
        <f>SUM(C32:H32)</f>
        <v/>
      </c>
    </row>
    <row r="33" ht="18" customHeight="1">
      <c r="B33" s="96" t="inlineStr">
        <is>
          <t xml:space="preserve">  Working Days</t>
        </is>
      </c>
      <c r="C33" s="259" t="n">
        <v>0</v>
      </c>
      <c r="D33" s="259" t="n">
        <v>0</v>
      </c>
      <c r="E33" s="259" t="n">
        <v>0</v>
      </c>
      <c r="F33" s="259" t="n">
        <v>0</v>
      </c>
      <c r="G33" s="259" t="n">
        <v>0</v>
      </c>
      <c r="H33" s="259" t="n">
        <v>0</v>
      </c>
      <c r="I33" s="283">
        <f>SUM(C33:H33)</f>
        <v/>
      </c>
    </row>
    <row r="34" ht="18" customHeight="1">
      <c r="B34" s="102" t="inlineStr">
        <is>
          <t xml:space="preserve">  Revenue per Day ($)</t>
        </is>
      </c>
      <c r="C34" s="284">
        <f>IFERROR({1}/C32,0)</f>
        <v/>
      </c>
      <c r="D34" s="284">
        <f>IFERROR({1}/D32,0)</f>
        <v/>
      </c>
      <c r="E34" s="284">
        <f>IFERROR({1}/E32,0)</f>
        <v/>
      </c>
      <c r="F34" s="284">
        <f>IFERROR({1}/F32,0)</f>
        <v/>
      </c>
      <c r="G34" s="284">
        <f>IFERROR({1}/G32,0)</f>
        <v/>
      </c>
      <c r="H34" s="284">
        <f>IFERROR({1}/H32,0)</f>
        <v/>
      </c>
      <c r="I34" s="284">
        <f>SUM(C34:H34)</f>
        <v/>
      </c>
    </row>
    <row r="35" ht="7.5" customHeight="1"/>
    <row r="36" ht="19.5" customHeight="1">
      <c r="B36" s="146" t="inlineStr">
        <is>
          <t xml:space="preserve">  SECOND HALF  (Jul – Dec)</t>
        </is>
      </c>
      <c r="C36" s="172" t="n"/>
      <c r="D36" s="172" t="n"/>
      <c r="E36" s="172" t="n"/>
      <c r="F36" s="172" t="n"/>
      <c r="G36" s="172" t="n"/>
      <c r="H36" s="172" t="n"/>
      <c r="I36" s="172" t="n"/>
    </row>
    <row r="37" ht="27.75" customHeight="1">
      <c r="B37" s="160" t="inlineStr">
        <is>
          <t>P&amp;L Line Item</t>
        </is>
      </c>
      <c r="C37" s="160" t="inlineStr">
        <is>
          <t>Jul</t>
        </is>
      </c>
      <c r="D37" s="160" t="inlineStr">
        <is>
          <t>Aug</t>
        </is>
      </c>
      <c r="E37" s="160" t="inlineStr">
        <is>
          <t>Sep</t>
        </is>
      </c>
      <c r="F37" s="160" t="inlineStr">
        <is>
          <t>Oct</t>
        </is>
      </c>
      <c r="G37" s="160" t="inlineStr">
        <is>
          <t>Nov</t>
        </is>
      </c>
      <c r="H37" s="160" t="inlineStr">
        <is>
          <t>Dec</t>
        </is>
      </c>
      <c r="I37" s="160" t="inlineStr">
        <is>
          <t>H2 TOTAL</t>
        </is>
      </c>
    </row>
    <row r="38" ht="18" customHeight="1">
      <c r="B38" s="122" t="inlineStr">
        <is>
          <t xml:space="preserve">  Total Revenue (from Soft App)</t>
        </is>
      </c>
      <c r="C38" s="248" t="n">
        <v>0</v>
      </c>
      <c r="D38" s="248" t="n">
        <v>0</v>
      </c>
      <c r="E38" s="248" t="n">
        <v>0</v>
      </c>
      <c r="F38" s="248" t="n">
        <v>0</v>
      </c>
      <c r="G38" s="248" t="n">
        <v>0</v>
      </c>
      <c r="H38" s="248" t="n">
        <v>0</v>
      </c>
      <c r="I38" s="248" t="n">
        <v>0</v>
      </c>
    </row>
    <row r="39" ht="18" customHeight="1">
      <c r="B39" s="123" t="inlineStr">
        <is>
          <t xml:space="preserve">  Ingredient / Food Cost</t>
        </is>
      </c>
      <c r="C39" s="248" t="n">
        <v>0</v>
      </c>
      <c r="D39" s="248" t="n">
        <v>0</v>
      </c>
      <c r="E39" s="248" t="n">
        <v>0</v>
      </c>
      <c r="F39" s="248" t="n">
        <v>0</v>
      </c>
      <c r="G39" s="248" t="n">
        <v>0</v>
      </c>
      <c r="H39" s="248" t="n">
        <v>0</v>
      </c>
      <c r="I39" s="248" t="n">
        <v>0</v>
      </c>
    </row>
    <row r="40" ht="18" customHeight="1">
      <c r="B40" s="125" t="inlineStr">
        <is>
          <t xml:space="preserve">  Other Supplies</t>
        </is>
      </c>
      <c r="C40" s="244" t="n">
        <v>0</v>
      </c>
      <c r="D40" s="244" t="n">
        <v>0</v>
      </c>
      <c r="E40" s="244" t="n">
        <v>0</v>
      </c>
      <c r="F40" s="244" t="n">
        <v>0</v>
      </c>
      <c r="G40" s="244" t="n">
        <v>0</v>
      </c>
      <c r="H40" s="244" t="n">
        <v>0</v>
      </c>
      <c r="I40" s="244" t="n">
        <v>0</v>
      </c>
    </row>
    <row r="41" ht="18" customHeight="1">
      <c r="B41" s="127" t="inlineStr">
        <is>
          <t>TOTAL COGS</t>
        </is>
      </c>
      <c r="C41" s="285" t="n">
        <v>0</v>
      </c>
      <c r="D41" s="285" t="n">
        <v>0</v>
      </c>
      <c r="E41" s="285" t="n">
        <v>0</v>
      </c>
      <c r="F41" s="285" t="n">
        <v>0</v>
      </c>
      <c r="G41" s="285" t="n">
        <v>0</v>
      </c>
      <c r="H41" s="285" t="n">
        <v>0</v>
      </c>
      <c r="I41" s="285" t="n">
        <v>0</v>
      </c>
    </row>
    <row r="42" ht="18" customHeight="1">
      <c r="B42" s="128" t="inlineStr">
        <is>
          <t>GROSS PROFIT</t>
        </is>
      </c>
      <c r="C42" s="286" t="n">
        <v>0</v>
      </c>
      <c r="D42" s="286" t="n">
        <v>0</v>
      </c>
      <c r="E42" s="286" t="n">
        <v>0</v>
      </c>
      <c r="F42" s="286" t="n">
        <v>0</v>
      </c>
      <c r="G42" s="286" t="n">
        <v>0</v>
      </c>
      <c r="H42" s="286" t="n">
        <v>0</v>
      </c>
      <c r="I42" s="286" t="n">
        <v>0</v>
      </c>
    </row>
    <row r="43" ht="18" customHeight="1">
      <c r="B43" s="122" t="inlineStr">
        <is>
          <t>GROSS MARGIN %</t>
        </is>
      </c>
      <c r="C43" s="266" t="n">
        <v>0</v>
      </c>
      <c r="D43" s="266" t="n">
        <v>0</v>
      </c>
      <c r="E43" s="266" t="n">
        <v>0</v>
      </c>
      <c r="F43" s="266" t="n">
        <v>0</v>
      </c>
      <c r="G43" s="266" t="n">
        <v>0</v>
      </c>
      <c r="H43" s="266" t="n">
        <v>0</v>
      </c>
      <c r="I43" s="266" t="n">
        <v>0</v>
      </c>
    </row>
    <row r="44" ht="18" customHeight="1">
      <c r="B44" s="123" t="inlineStr">
        <is>
          <t xml:space="preserve">  Staff / Payroll</t>
        </is>
      </c>
      <c r="C44" s="248" t="n">
        <v>0</v>
      </c>
      <c r="D44" s="248" t="n">
        <v>0</v>
      </c>
      <c r="E44" s="248" t="n">
        <v>0</v>
      </c>
      <c r="F44" s="248" t="n">
        <v>0</v>
      </c>
      <c r="G44" s="248" t="n">
        <v>0</v>
      </c>
      <c r="H44" s="248" t="n">
        <v>0</v>
      </c>
      <c r="I44" s="248" t="n">
        <v>0</v>
      </c>
    </row>
    <row r="45" ht="18" customHeight="1">
      <c r="B45" s="125" t="inlineStr">
        <is>
          <t xml:space="preserve">  Rent</t>
        </is>
      </c>
      <c r="C45" s="244" t="n">
        <v>0</v>
      </c>
      <c r="D45" s="244" t="n">
        <v>0</v>
      </c>
      <c r="E45" s="244" t="n">
        <v>0</v>
      </c>
      <c r="F45" s="244" t="n">
        <v>0</v>
      </c>
      <c r="G45" s="244" t="n">
        <v>0</v>
      </c>
      <c r="H45" s="244" t="n">
        <v>0</v>
      </c>
      <c r="I45" s="244" t="n">
        <v>0</v>
      </c>
    </row>
    <row r="46" ht="18" customHeight="1">
      <c r="B46" s="123" t="inlineStr">
        <is>
          <t xml:space="preserve">  Utilities (Gas, Electric, Water)</t>
        </is>
      </c>
      <c r="C46" s="248" t="n">
        <v>0</v>
      </c>
      <c r="D46" s="248" t="n">
        <v>0</v>
      </c>
      <c r="E46" s="248" t="n">
        <v>0</v>
      </c>
      <c r="F46" s="248" t="n">
        <v>0</v>
      </c>
      <c r="G46" s="248" t="n">
        <v>0</v>
      </c>
      <c r="H46" s="248" t="n">
        <v>0</v>
      </c>
      <c r="I46" s="248" t="n">
        <v>0</v>
      </c>
    </row>
    <row r="47" ht="18" customHeight="1">
      <c r="B47" s="125" t="inlineStr">
        <is>
          <t xml:space="preserve">  Marketing</t>
        </is>
      </c>
      <c r="C47" s="244" t="n">
        <v>0</v>
      </c>
      <c r="D47" s="244" t="n">
        <v>0</v>
      </c>
      <c r="E47" s="244" t="n">
        <v>0</v>
      </c>
      <c r="F47" s="244" t="n">
        <v>0</v>
      </c>
      <c r="G47" s="244" t="n">
        <v>0</v>
      </c>
      <c r="H47" s="244" t="n">
        <v>0</v>
      </c>
      <c r="I47" s="244" t="n">
        <v>0</v>
      </c>
    </row>
    <row r="48" ht="18" customHeight="1">
      <c r="B48" s="123" t="inlineStr">
        <is>
          <t xml:space="preserve">  Maintenance &amp; Other</t>
        </is>
      </c>
      <c r="C48" s="248" t="n">
        <v>0</v>
      </c>
      <c r="D48" s="248" t="n">
        <v>0</v>
      </c>
      <c r="E48" s="248" t="n">
        <v>0</v>
      </c>
      <c r="F48" s="248" t="n">
        <v>0</v>
      </c>
      <c r="G48" s="248" t="n">
        <v>0</v>
      </c>
      <c r="H48" s="248" t="n">
        <v>0</v>
      </c>
      <c r="I48" s="248" t="n">
        <v>0</v>
      </c>
    </row>
    <row r="49" ht="18" customHeight="1">
      <c r="B49" s="127" t="inlineStr">
        <is>
          <t>TOTAL OPEX</t>
        </is>
      </c>
      <c r="C49" s="285" t="n">
        <v>0</v>
      </c>
      <c r="D49" s="285" t="n">
        <v>0</v>
      </c>
      <c r="E49" s="285" t="n">
        <v>0</v>
      </c>
      <c r="F49" s="285" t="n">
        <v>0</v>
      </c>
      <c r="G49" s="285" t="n">
        <v>0</v>
      </c>
      <c r="H49" s="285" t="n">
        <v>0</v>
      </c>
      <c r="I49" s="285" t="n">
        <v>0</v>
      </c>
    </row>
    <row r="50" ht="18" customHeight="1">
      <c r="B50" s="139" t="inlineStr">
        <is>
          <t>EBITDA</t>
        </is>
      </c>
      <c r="C50" s="248" t="n">
        <v>0</v>
      </c>
      <c r="D50" s="248" t="n">
        <v>0</v>
      </c>
      <c r="E50" s="248" t="n">
        <v>0</v>
      </c>
      <c r="F50" s="248" t="n">
        <v>0</v>
      </c>
      <c r="G50" s="248" t="n">
        <v>0</v>
      </c>
      <c r="H50" s="248" t="n">
        <v>0</v>
      </c>
      <c r="I50" s="248" t="n">
        <v>0</v>
      </c>
    </row>
    <row r="51" ht="18" customHeight="1">
      <c r="B51" s="60" t="inlineStr">
        <is>
          <t>EBITDA MARGIN %</t>
        </is>
      </c>
      <c r="C51" s="261" t="n">
        <v>0</v>
      </c>
      <c r="D51" s="261" t="n">
        <v>0</v>
      </c>
      <c r="E51" s="261" t="n">
        <v>0</v>
      </c>
      <c r="F51" s="261" t="n">
        <v>0</v>
      </c>
      <c r="G51" s="261" t="n">
        <v>0</v>
      </c>
      <c r="H51" s="261" t="n">
        <v>0</v>
      </c>
      <c r="I51" s="261" t="n">
        <v>0</v>
      </c>
    </row>
    <row r="52" ht="18" customHeight="1">
      <c r="B52" s="123" t="inlineStr">
        <is>
          <t xml:space="preserve">  Depreciation</t>
        </is>
      </c>
      <c r="C52" s="248" t="n">
        <v>0</v>
      </c>
      <c r="D52" s="248" t="n">
        <v>0</v>
      </c>
      <c r="E52" s="248" t="n">
        <v>0</v>
      </c>
      <c r="F52" s="248" t="n">
        <v>0</v>
      </c>
      <c r="G52" s="248" t="n">
        <v>0</v>
      </c>
      <c r="H52" s="248" t="n">
        <v>0</v>
      </c>
      <c r="I52" s="248" t="n">
        <v>0</v>
      </c>
    </row>
    <row r="53" ht="18" customHeight="1">
      <c r="B53" s="125" t="inlineStr">
        <is>
          <t xml:space="preserve">  Taxes (ISR / IVA)</t>
        </is>
      </c>
      <c r="C53" s="244" t="n">
        <v>0</v>
      </c>
      <c r="D53" s="244" t="n">
        <v>0</v>
      </c>
      <c r="E53" s="244" t="n">
        <v>0</v>
      </c>
      <c r="F53" s="244" t="n">
        <v>0</v>
      </c>
      <c r="G53" s="244" t="n">
        <v>0</v>
      </c>
      <c r="H53" s="244" t="n">
        <v>0</v>
      </c>
      <c r="I53" s="244" t="n">
        <v>0</v>
      </c>
    </row>
    <row r="54" ht="18" customHeight="1">
      <c r="B54" s="128" t="inlineStr">
        <is>
          <t>NET PROFIT</t>
        </is>
      </c>
      <c r="C54" s="286" t="n">
        <v>0</v>
      </c>
      <c r="D54" s="286" t="n">
        <v>0</v>
      </c>
      <c r="E54" s="286" t="n">
        <v>0</v>
      </c>
      <c r="F54" s="286" t="n">
        <v>0</v>
      </c>
      <c r="G54" s="286" t="n">
        <v>0</v>
      </c>
      <c r="H54" s="286" t="n">
        <v>0</v>
      </c>
      <c r="I54" s="286" t="n">
        <v>0</v>
      </c>
    </row>
    <row r="55" ht="18" customHeight="1">
      <c r="B55" s="140" t="inlineStr">
        <is>
          <t>NET MARGIN %</t>
        </is>
      </c>
      <c r="C55" s="261" t="n">
        <v>0</v>
      </c>
      <c r="D55" s="261" t="n">
        <v>0</v>
      </c>
      <c r="E55" s="261" t="n">
        <v>0</v>
      </c>
      <c r="F55" s="261" t="n">
        <v>0</v>
      </c>
      <c r="G55" s="261" t="n">
        <v>0</v>
      </c>
      <c r="H55" s="261" t="n">
        <v>0</v>
      </c>
      <c r="I55" s="261" t="n">
        <v>0</v>
      </c>
    </row>
    <row r="56" ht="18" customHeight="1">
      <c r="B56" s="96" t="inlineStr">
        <is>
          <t xml:space="preserve">  Total Orders (from Soft)</t>
        </is>
      </c>
      <c r="C56" s="259" t="n">
        <v>0</v>
      </c>
      <c r="D56" s="259" t="n">
        <v>0</v>
      </c>
      <c r="E56" s="259" t="n">
        <v>0</v>
      </c>
      <c r="F56" s="259" t="n">
        <v>0</v>
      </c>
      <c r="G56" s="259" t="n">
        <v>0</v>
      </c>
      <c r="H56" s="259" t="n">
        <v>0</v>
      </c>
      <c r="I56" s="259" t="n">
        <v>0</v>
      </c>
    </row>
    <row r="57" ht="18" customHeight="1">
      <c r="B57" s="102" t="inlineStr">
        <is>
          <t xml:space="preserve">  Avg Ticket ($)</t>
        </is>
      </c>
      <c r="C57" s="248" t="n">
        <v>0</v>
      </c>
      <c r="D57" s="248" t="n">
        <v>0</v>
      </c>
      <c r="E57" s="248" t="n">
        <v>0</v>
      </c>
      <c r="F57" s="248" t="n">
        <v>0</v>
      </c>
      <c r="G57" s="248" t="n">
        <v>0</v>
      </c>
      <c r="H57" s="248" t="n">
        <v>0</v>
      </c>
      <c r="I57" s="248" t="n">
        <v>0</v>
      </c>
    </row>
    <row r="58" ht="18" customHeight="1">
      <c r="B58" s="96" t="inlineStr">
        <is>
          <t xml:space="preserve">  Working Days</t>
        </is>
      </c>
      <c r="C58" s="259" t="n">
        <v>0</v>
      </c>
      <c r="D58" s="259" t="n">
        <v>0</v>
      </c>
      <c r="E58" s="259" t="n">
        <v>0</v>
      </c>
      <c r="F58" s="259" t="n">
        <v>0</v>
      </c>
      <c r="G58" s="259" t="n">
        <v>0</v>
      </c>
      <c r="H58" s="259" t="n">
        <v>0</v>
      </c>
      <c r="I58" s="259" t="n">
        <v>0</v>
      </c>
    </row>
    <row r="59" ht="18" customHeight="1">
      <c r="B59" s="102" t="inlineStr">
        <is>
          <t xml:space="preserve">  Revenue per Day ($)</t>
        </is>
      </c>
      <c r="C59" s="248" t="n">
        <v>0</v>
      </c>
      <c r="D59" s="248" t="n">
        <v>0</v>
      </c>
      <c r="E59" s="248" t="n">
        <v>0</v>
      </c>
      <c r="F59" s="248" t="n">
        <v>0</v>
      </c>
      <c r="G59" s="248" t="n">
        <v>0</v>
      </c>
      <c r="H59" s="248" t="n">
        <v>0</v>
      </c>
      <c r="I59" s="248" t="n">
        <v>0</v>
      </c>
    </row>
  </sheetData>
  <mergeCells count="8">
    <mergeCell ref="B17:I17"/>
    <mergeCell ref="B30:I30"/>
    <mergeCell ref="B36:I36"/>
    <mergeCell ref="A2:D2"/>
    <mergeCell ref="E2:I2"/>
    <mergeCell ref="A3:I3"/>
    <mergeCell ref="B9:I9"/>
    <mergeCell ref="B11:I1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2026-05-19T05:24:03Z</dcterms:created>
  <dcterms:modified xsi:type="dcterms:W3CDTF">2026-05-22T00:02:03Z</dcterms:modified>
  <cp:lastModifiedBy>LOHITH REDDY</cp:lastModifiedBy>
  <cp:revision>0</cp:revision>
</cp:coreProperties>
</file>