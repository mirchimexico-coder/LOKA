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-20411.71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105522.29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1455.0</v>
      </c>
      <c r="G6" s="31">
        <f>SUMIFS($G$8:$G$5000,$B$8:$B$5000,TODAY())</f>
        <v>0.0</v>
      </c>
      <c r="H6" s="28">
        <f>SUMIFS($H$8:$H$5000,$B$8:$B$5000,TODAY())</f>
        <v>1085.0</v>
      </c>
      <c r="I6" s="32">
        <f>F6-H6</f>
        <v>370.0</v>
      </c>
      <c r="J6">
        <f>IFERROR(I6/F6,0)</f>
        <v>0.254296</v>
      </c>
      <c r="K6" s="28" t="n"/>
      <c r="L6" s="31" t="n"/>
      <c r="M6" s="28">
        <f>SUMIFS($F$8:$F$5000,$B$8:$B$5000,"&gt;="&amp;(TODAY()-WEEKDAY(TODAY(),2)+1),$B$8:$B$5000,"&lt;"&amp;(TODAY()-WEEKDAY(TODAY(),2)+8))</f>
        <v>11360.0</v>
      </c>
      <c r="N6" s="33">
        <f>SUMIFS($F$8:$F$5000,$B$8:$B$5000,"&gt;="&amp;(TODAY()-WEEKDAY(TODAY(),2)+1),$B$8:$B$5000,"&lt;"&amp;(TODAY()-WEEKDAY(TODAY(),2)+8))</f>
        <v>11360.0</v>
      </c>
      <c r="O6" s="33">
        <f>SUMIFS($F$8:$F$5000,$B$8:$B$5000,"&gt;="&amp;DATE(YEAR(TODAY()),MONTH(TODAY()),1),$B$8:$B$5000,"&lt;"&amp;DATE(YEAR(TODAY()),MONTH(TODAY())+1,1))</f>
        <v>20115.0</v>
      </c>
      <c r="P6">
        <f>SUMIFS('💸 Expenses'!$F$8:$F$5000,'💸 Expenses'!$B$8:$B$5000,"&gt;="&amp;(TODAY()-WEEKDAY(TODAY(),2)+1),'💸 Expenses'!$B$8:$B$5000,"&lt;"&amp;(TODAY()-WEEKDAY(TODAY(),2)+8))</f>
        <v>35171.68</v>
      </c>
      <c r="Q6">
        <f>M6-P6</f>
        <v>-23811.68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427" t="n">
        <v>46302</v>
      </c>
      <c r="C133" s="255" t="inlineStr">
        <is>
          <t>Wed</t>
        </is>
      </c>
      <c r="D133" s="256" t="n">
        <v>360</v>
      </c>
      <c r="E133" s="49" t="n">
        <v>1095</v>
      </c>
      <c r="F133" s="50">
        <f>IFERROR(D133+E133+G133+U133+Y133,0)</f>
        <v>1455.0</v>
      </c>
      <c r="G133" s="257" t="n">
        <v>0</v>
      </c>
      <c r="H133" s="258">
        <f>SUMIFS('💸 Expenses'!$F$8:$F$5000,'💸 Expenses'!$B$8:$B$5000,"&gt;="&amp;B133,'💸 Expenses'!$B$8:$B$5000,"&lt;"&amp;(B133+1))</f>
        <v>1085.0</v>
      </c>
      <c r="I133" s="259">
        <f>IFERROR(F133-H133,0)</f>
        <v>370.0</v>
      </c>
      <c r="J133" s="260">
        <f>IFERROR(I133/F133,0)</f>
        <v>0.254296</v>
      </c>
      <c r="K133" s="254" t="n"/>
      <c r="L133" s="261" t="inlineStr">
        <is>
          <t>Cierre via loka.py</t>
        </is>
      </c>
      <c r="M133" s="291" t="n"/>
      <c r="N133" s="292" t="n"/>
      <c r="O133" s="293" t="n"/>
      <c r="P133" s="294" t="n"/>
      <c r="Q133" s="292" t="n"/>
      <c r="R133" s="443">
        <f>IFERROR(D133*$T$7,0)</f>
        <v>14.62</v>
      </c>
      <c r="S133" s="292" t="n"/>
      <c r="T133" s="292" t="n"/>
      <c r="U133" s="443" t="n">
        <v>0</v>
      </c>
      <c r="V133" s="443" t="n">
        <v>0</v>
      </c>
      <c r="W133" s="292" t="n"/>
      <c r="X133" s="292" t="n"/>
      <c r="Y133" s="443" t="n">
        <v>0</v>
      </c>
      <c r="Z133" s="443" t="n">
        <v>0</v>
      </c>
      <c r="AA133" s="292" t="n"/>
      <c r="AB133" s="292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43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  <row r="841">
      <c r="B841" s="429" t="n">
        <v>46302</v>
      </c>
      <c r="C841" s="297" t="inlineStr">
        <is>
          <t>Carne</t>
        </is>
      </c>
      <c r="D841" s="298" t="inlineStr">
        <is>
          <t>No bill</t>
        </is>
      </c>
      <c r="E841" s="297" t="inlineStr">
        <is>
          <t>Ingredients - Meat</t>
        </is>
      </c>
      <c r="F841" s="299" t="n">
        <v>189</v>
      </c>
      <c r="G841" s="300" t="inlineStr">
        <is>
          <t>Restaurant</t>
        </is>
      </c>
      <c r="H841" s="300" t="inlineStr">
        <is>
          <t>Cash</t>
        </is>
      </c>
      <c r="I841" s="301" t="inlineStr">
        <is>
          <t>✅ Paid</t>
        </is>
      </c>
      <c r="J841" s="423" t="inlineStr">
        <is>
          <t>No receipt; cash</t>
        </is>
      </c>
    </row>
    <row r="842">
      <c r="B842" s="429" t="n">
        <v>46302</v>
      </c>
      <c r="C842" s="297" t="inlineStr">
        <is>
          <t>Guimar</t>
        </is>
      </c>
      <c r="D842" s="298" t="inlineStr">
        <is>
          <t>Guimar Polietilenos</t>
        </is>
      </c>
      <c r="E842" s="297" t="inlineStr">
        <is>
          <t>Packaging/Disposables</t>
        </is>
      </c>
      <c r="F842" s="299" t="n">
        <v>146</v>
      </c>
      <c r="G842" s="300" t="inlineStr">
        <is>
          <t>Restaurant</t>
        </is>
      </c>
      <c r="H842" s="300" t="inlineStr">
        <is>
          <t>Cash</t>
        </is>
      </c>
      <c r="I842" s="301" t="inlineStr">
        <is>
          <t>✅ Paid</t>
        </is>
      </c>
      <c r="J842" s="423" t="inlineStr">
        <is>
          <t>No receipt; cash</t>
        </is>
      </c>
    </row>
    <row r="843">
      <c r="B843" s="429" t="n">
        <v>46302</v>
      </c>
      <c r="C843" s="297" t="inlineStr">
        <is>
          <t>Avia Reca</t>
        </is>
      </c>
      <c r="D843" s="298" t="inlineStr">
        <is>
          <t>Reca</t>
        </is>
      </c>
      <c r="E843" s="297" t="inlineStr">
        <is>
          <t>Ingredients - Beverages</t>
        </is>
      </c>
      <c r="F843" s="299" t="n">
        <v>750</v>
      </c>
      <c r="G843" s="300" t="inlineStr">
        <is>
          <t>Restaurant</t>
        </is>
      </c>
      <c r="H843" s="300" t="inlineStr">
        <is>
          <t>Cash</t>
        </is>
      </c>
      <c r="I843" s="301" t="inlineStr">
        <is>
          <t>✅ Paid</t>
        </is>
      </c>
      <c r="J843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Beverages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Bread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inlineStr">
        <is>
          <t>TOTALS &amp; CURRENT BALANCE</t>
        </is>
      </c>
      <c r="B105" s="232" t="n"/>
      <c r="C105" s="232" t="n"/>
      <c r="D105" s="232">
        <f>SUM(D4:D104)</f>
        <v/>
      </c>
      <c r="E105" s="233">
        <f>SUM(E4:E104)</f>
        <v/>
      </c>
      <c r="F105" s="233">
        <f>F104</f>
        <v/>
      </c>
      <c r="G105" s="232">
        <f>IF(F104&gt;0,"Restaurant owes Lohith $"&amp;TEXT(F104,"#,##0"),IF(F104&lt;0,"Lohith holds $"&amp;TEXT(ABS(F104),"#,##0"),"Zero balance"))</f>
        <v/>
      </c>
      <c r="H10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2026-10-12T23:34:28Z</dcterms:modified>
  <cp:lastModifiedBy>LOHITH REDDY</cp:lastModifiedBy>
</cp:coreProperties>
</file>