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9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  <font>
      <b val="1"/>
      <color rgb="00FFFFFF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9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  <xf numFmtId="0" fontId="86" fillId="52" borderId="0" applyAlignment="1" pivotButton="0" quotePrefix="0" xfId="0">
      <alignment horizontal="center"/>
    </xf>
    <xf numFmtId="0" fontId="90" fillId="53" borderId="20" applyAlignment="1" pivotButton="0" quotePrefix="0" xfId="0">
      <alignment horizontal="center" vertical="center"/>
    </xf>
    <xf numFmtId="0" fontId="90" fillId="53" borderId="20" pivotButton="0" quotePrefix="0" xfId="0"/>
    <xf numFmtId="0" fontId="88" fillId="0" borderId="20" pivotButton="0" quotePrefix="0" xfId="0"/>
    <xf numFmtId="4" fontId="88" fillId="13" borderId="20" applyAlignment="1" pivotButton="0" quotePrefix="0" xfId="0">
      <alignment horizontal="right" vertical="center"/>
    </xf>
    <xf numFmtId="4" fontId="88" fillId="19" borderId="20" applyAlignment="1" pivotButton="0" quotePrefix="0" xfId="0">
      <alignment horizontal="center" vertical="center"/>
    </xf>
    <xf numFmtId="4" fontId="16" fillId="10" borderId="20" applyAlignment="1" pivotButton="0" quotePrefix="0" xfId="0">
      <alignment horizontal="center" vertical="center" wrapText="1"/>
    </xf>
    <xf numFmtId="0" fontId="90" fillId="53" borderId="20" applyAlignment="1" pivotButton="0" quotePrefix="0" xfId="0">
      <alignment horizontal="left" vertical="center"/>
    </xf>
    <xf numFmtId="166" fontId="90" fillId="53" borderId="20" applyAlignment="1" pivotButton="0" quotePrefix="0" xfId="0">
      <alignment horizontal="center" vertical="center"/>
    </xf>
    <xf numFmtId="4" fontId="9" fillId="10" borderId="20" applyAlignment="1" pivotButton="0" quotePrefix="0" xfId="0">
      <alignment horizontal="center" vertical="center"/>
    </xf>
    <xf numFmtId="4" fontId="42" fillId="20" borderId="20" applyAlignment="1" pivotButton="0" quotePrefix="0" xfId="0">
      <alignment horizontal="left" vertical="center"/>
    </xf>
    <xf numFmtId="4" fontId="37" fillId="20" borderId="20" applyAlignment="1" pivotButton="0" quotePrefix="0" xfId="0">
      <alignment horizontal="center" vertical="center"/>
    </xf>
    <xf numFmtId="4" fontId="42" fillId="19" borderId="20" applyAlignment="1" pivotButton="0" quotePrefix="0" xfId="0">
      <alignment horizontal="left" vertical="center"/>
    </xf>
    <xf numFmtId="4" fontId="37" fillId="19" borderId="20" applyAlignment="1" pivotButton="0" quotePrefix="0" xfId="0">
      <alignment horizontal="center" vertical="center"/>
    </xf>
    <xf numFmtId="4" fontId="43" fillId="18" borderId="20" applyAlignment="1" pivotButton="0" quotePrefix="0" xfId="0">
      <alignment horizontal="left" vertical="center"/>
    </xf>
    <xf numFmtId="4" fontId="67" fillId="18" borderId="20" applyAlignment="1" pivotButton="0" quotePrefix="0" xfId="0">
      <alignment horizontal="center" vertical="center"/>
    </xf>
    <xf numFmtId="4" fontId="72" fillId="17" borderId="20" applyAlignment="1" pivotButton="0" quotePrefix="0" xfId="0">
      <alignment horizontal="left" vertical="center"/>
    </xf>
    <xf numFmtId="4" fontId="68" fillId="17" borderId="20" applyAlignment="1" pivotButton="0" quotePrefix="0" xfId="0">
      <alignment horizontal="center" vertical="center"/>
    </xf>
    <xf numFmtId="4" fontId="40" fillId="16" borderId="20" applyAlignment="1" pivotButton="0" quotePrefix="0" xfId="0">
      <alignment horizontal="left" vertical="center"/>
    </xf>
    <xf numFmtId="4" fontId="51" fillId="16" borderId="20" applyAlignment="1" pivotButton="0" quotePrefix="0" xfId="0">
      <alignment horizontal="center" vertical="center"/>
    </xf>
    <xf numFmtId="4" fontId="51" fillId="16" borderId="20" applyAlignment="1" pivotButton="0" quotePrefix="0" xfId="0">
      <alignment horizontal="left" vertical="center"/>
    </xf>
    <xf numFmtId="4" fontId="37" fillId="16" borderId="20" applyAlignment="1" pivotButton="0" quotePrefix="0" xfId="0">
      <alignment horizontal="center" vertical="center"/>
    </xf>
    <xf numFmtId="4" fontId="64" fillId="14" borderId="20" applyAlignment="1" pivotButton="0" quotePrefix="0" xfId="0">
      <alignment horizontal="left" vertical="center"/>
    </xf>
    <xf numFmtId="4" fontId="43" fillId="14" borderId="20" applyAlignment="1" pivotButton="0" quotePrefix="0" xfId="0">
      <alignment horizontal="center" vertical="center"/>
    </xf>
    <xf numFmtId="4" fontId="62" fillId="19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center" vertical="center"/>
    </xf>
    <xf numFmtId="4" fontId="88" fillId="19" borderId="20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/>
      <c r="C278" s="69" t="n"/>
      <c r="D278" s="68" t="n"/>
      <c r="E278" s="69" t="n"/>
      <c r="F278" s="70" t="n"/>
      <c r="G278" s="23" t="n"/>
      <c r="H278" s="23" t="n"/>
      <c r="I278" s="55" t="n"/>
    </row>
    <row r="279">
      <c r="B279" s="64" t="n"/>
      <c r="C279" s="65" t="n"/>
      <c r="D279" s="66" t="n"/>
      <c r="E279" s="65" t="n"/>
      <c r="F279" s="67" t="n"/>
      <c r="G279" s="14" t="n"/>
      <c r="H279" s="14" t="n"/>
      <c r="I279" s="43" t="n"/>
    </row>
    <row r="280">
      <c r="B280" s="64" t="n"/>
      <c r="C280" s="69" t="n"/>
      <c r="D280" s="68" t="n"/>
      <c r="E280" s="69" t="n"/>
      <c r="F280" s="70" t="n"/>
      <c r="G280" s="23" t="n"/>
      <c r="H280" s="23" t="n"/>
      <c r="I280" s="55" t="n"/>
    </row>
    <row r="281">
      <c r="B281" s="64" t="n"/>
      <c r="C281" s="65" t="n"/>
      <c r="D281" s="66" t="n"/>
      <c r="E281" s="65" t="n"/>
      <c r="F281" s="67" t="n"/>
      <c r="G281" s="14" t="n"/>
      <c r="H281" s="14" t="n"/>
      <c r="I281" s="43" t="n"/>
    </row>
    <row r="282">
      <c r="B282" s="64" t="n"/>
      <c r="C282" s="69" t="n"/>
      <c r="D282" s="68" t="n"/>
      <c r="E282" s="69" t="n"/>
      <c r="F282" s="70" t="n"/>
      <c r="G282" s="23" t="n"/>
      <c r="H282" s="23" t="n"/>
      <c r="I282" s="55" t="n"/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Current roster: John + Debi + Samu (no mesero)</t>
        </is>
      </c>
      <c r="B45" s="227" t="n">
        <v>12050</v>
      </c>
      <c r="C45" s="227" t="n">
        <v>23750</v>
      </c>
      <c r="D45" s="227" t="n">
        <v>24550</v>
      </c>
      <c r="E45" s="227" t="n">
        <v>3758</v>
      </c>
      <c r="F45" s="227" t="inlineStr">
        <is>
          <t>Cesar resigned — fixed costs down $2,000/wk</t>
        </is>
      </c>
      <c r="G45" s="227" t="inlineStr">
        <is>
          <t>Break-even ≈ $3,758/day (fixed $12,050 + variable $10,500, ÷6 days)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O20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30" customWidth="1" style="274" min="1" max="1"/>
    <col width="15" customWidth="1" style="274" min="2" max="2"/>
    <col width="15" customWidth="1" style="274" min="3" max="8"/>
    <col width="18" customWidth="1" style="274" min="9" max="9"/>
  </cols>
  <sheetData>
    <row r="1" ht="24" customHeight="1" s="274">
      <c r="A1" s="365" t="inlineStr">
        <is>
          <t>LOKA — MONTHLY P&amp;L  (auto-summary by month)</t>
        </is>
      </c>
      <c r="E1" s="5" t="n"/>
      <c r="F1" s="5" t="n"/>
      <c r="G1" s="5" t="n"/>
      <c r="H1" s="5" t="n"/>
      <c r="I1" s="5" t="n"/>
    </row>
    <row r="2" ht="37.5" customHeight="1" s="274">
      <c r="A2" s="340" t="n"/>
      <c r="E2" s="313" t="n"/>
    </row>
    <row r="3" ht="3.75" customHeight="1" s="274">
      <c r="A3" s="366" t="inlineStr">
        <is>
          <t>SUMMARY</t>
        </is>
      </c>
      <c r="B3" s="367" t="inlineStr">
        <is>
          <t>May 2026</t>
        </is>
      </c>
      <c r="C3" s="367" t="inlineStr">
        <is>
          <t>Jun 2026</t>
        </is>
      </c>
    </row>
    <row r="4" ht="7.5" customHeight="1" s="274">
      <c r="A4" s="360" t="inlineStr">
        <is>
          <t>Total Income</t>
        </is>
      </c>
      <c r="B4" s="361" t="n">
        <v>52949</v>
      </c>
      <c r="C4" s="361" t="n">
        <v>53931</v>
      </c>
    </row>
    <row r="5" ht="9.75" customHeight="1" s="274">
      <c r="A5" s="360" t="inlineStr">
        <is>
          <t>Total Expenses</t>
        </is>
      </c>
      <c r="B5" s="361" t="n">
        <v>32919.63</v>
      </c>
      <c r="C5" s="361" t="n">
        <v>71774.64999999999</v>
      </c>
    </row>
    <row r="6" ht="21.75" customHeight="1" s="274">
      <c r="A6" s="368" t="inlineStr">
        <is>
          <t>NET PROFIT / LOSS</t>
        </is>
      </c>
      <c r="B6" s="369" t="n">
        <v>20029.37</v>
      </c>
      <c r="C6" s="370" t="n">
        <v>-17843.65</v>
      </c>
    </row>
    <row r="7" ht="7.5" customHeight="1" s="274">
      <c r="A7" s="360" t="inlineStr">
        <is>
          <t>Trading Days</t>
        </is>
      </c>
      <c r="B7" s="361" t="n">
        <v>14</v>
      </c>
      <c r="C7" s="361" t="n">
        <v>14</v>
      </c>
    </row>
    <row r="8" ht="27.75" customHeight="1" s="274">
      <c r="A8" s="360" t="inlineStr">
        <is>
          <t>Avg Income / Day</t>
        </is>
      </c>
      <c r="B8" s="371" t="n">
        <v>3782.07</v>
      </c>
      <c r="C8" s="371" t="n">
        <v>3852.21</v>
      </c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</row>
    <row r="10" ht="18" customHeight="1" s="274">
      <c r="A10" s="367" t="inlineStr">
        <is>
          <t>INCOME BY TYPE</t>
        </is>
      </c>
      <c r="B10" s="372" t="inlineStr">
        <is>
          <t>May 2026</t>
        </is>
      </c>
      <c r="C10" s="373" t="inlineStr">
        <is>
          <t>Jun 2026</t>
        </is>
      </c>
      <c r="D10" s="93" t="n"/>
      <c r="E10" s="93" t="n"/>
      <c r="F10" s="93" t="n"/>
      <c r="G10" s="93" t="n"/>
      <c r="H10" s="93" t="n"/>
      <c r="I10" s="116" t="n"/>
    </row>
    <row r="11" ht="19.5" customHeight="1" s="274">
      <c r="A11" s="360" t="inlineStr">
        <is>
          <t>Card</t>
        </is>
      </c>
      <c r="B11" s="374" t="n">
        <v>26684</v>
      </c>
      <c r="C11" s="361" t="n">
        <v>27158</v>
      </c>
    </row>
    <row r="12" ht="18" customHeight="1" s="274">
      <c r="A12" s="360" t="inlineStr">
        <is>
          <t>Cash</t>
        </is>
      </c>
      <c r="B12" s="375" t="n">
        <v>26265</v>
      </c>
      <c r="C12" s="376" t="n">
        <v>25826</v>
      </c>
      <c r="D12" s="93" t="n"/>
      <c r="E12" s="93" t="n"/>
      <c r="F12" s="93" t="n"/>
      <c r="G12" s="93" t="n"/>
      <c r="H12" s="93" t="n"/>
      <c r="I12" s="137" t="n"/>
    </row>
    <row r="13" ht="18" customHeight="1" s="274">
      <c r="A13" s="360" t="inlineStr">
        <is>
          <t>Transfer</t>
        </is>
      </c>
      <c r="B13" s="377" t="n">
        <v>0</v>
      </c>
      <c r="C13" s="378" t="n">
        <v>947</v>
      </c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A15" s="367" t="inlineStr">
        <is>
          <t>EXPENSES BY CATEGORY</t>
        </is>
      </c>
      <c r="B15" s="372" t="inlineStr">
        <is>
          <t>May 2026</t>
        </is>
      </c>
      <c r="C15" s="373" t="inlineStr">
        <is>
          <t>Jun 2026</t>
        </is>
      </c>
      <c r="D15" s="112" t="n"/>
      <c r="E15" s="112" t="n"/>
      <c r="F15" s="112" t="n"/>
      <c r="G15" s="112" t="n"/>
      <c r="H15" s="112" t="n"/>
      <c r="I15" s="112" t="n"/>
    </row>
    <row r="16" ht="18" customHeight="1" s="274">
      <c r="A16" s="360" t="inlineStr">
        <is>
          <t>Ingredients - Beverages</t>
        </is>
      </c>
      <c r="B16" s="379" t="n">
        <v>905.23</v>
      </c>
      <c r="C16" s="380" t="n">
        <v>5567.39</v>
      </c>
      <c r="D16" s="143" t="n"/>
      <c r="E16" s="143" t="n"/>
      <c r="F16" s="143" t="n"/>
      <c r="G16" s="143" t="n"/>
      <c r="H16" s="143" t="n"/>
      <c r="I16" s="143" t="n"/>
    </row>
    <row r="17" ht="19.5" customHeight="1" s="274">
      <c r="A17" s="360" t="inlineStr">
        <is>
          <t>Ingredients - Bread</t>
        </is>
      </c>
      <c r="B17" s="374" t="n">
        <v>1976.5</v>
      </c>
      <c r="C17" s="361" t="n">
        <v>972.54</v>
      </c>
    </row>
    <row r="18" ht="18" customHeight="1" s="274">
      <c r="A18" s="360" t="inlineStr">
        <is>
          <t>Ingredients - Dairy</t>
        </is>
      </c>
      <c r="B18" s="375" t="n">
        <v>2388.12</v>
      </c>
      <c r="C18" s="376" t="n">
        <v>2732.39</v>
      </c>
      <c r="D18" s="93" t="n"/>
      <c r="E18" s="93" t="n"/>
      <c r="F18" s="93" t="n"/>
      <c r="G18" s="93" t="n"/>
      <c r="H18" s="93" t="n"/>
      <c r="I18" s="137" t="n"/>
    </row>
    <row r="19" ht="18" customHeight="1" s="274">
      <c r="A19" s="360" t="inlineStr">
        <is>
          <t>Ingredients - Desserts</t>
        </is>
      </c>
      <c r="B19" s="377" t="n">
        <v>260</v>
      </c>
      <c r="C19" s="378" t="n">
        <v>0</v>
      </c>
      <c r="D19" s="86" t="n"/>
      <c r="E19" s="86" t="n"/>
      <c r="F19" s="86" t="n"/>
      <c r="G19" s="86" t="n"/>
      <c r="H19" s="86" t="n"/>
      <c r="I19" s="139" t="n"/>
    </row>
    <row r="20" ht="18" customHeight="1" s="274">
      <c r="A20" s="360" t="inlineStr">
        <is>
          <t>Ingredients - Fruit</t>
        </is>
      </c>
      <c r="B20" s="375" t="n">
        <v>794.0599999999999</v>
      </c>
      <c r="C20" s="376" t="n">
        <v>1043.79</v>
      </c>
      <c r="D20" s="93" t="n"/>
      <c r="E20" s="93" t="n"/>
      <c r="F20" s="93" t="n"/>
      <c r="G20" s="93" t="n"/>
      <c r="H20" s="93" t="n"/>
      <c r="I20" s="137" t="n"/>
    </row>
    <row r="21" ht="18" customHeight="1" s="274">
      <c r="A21" s="360" t="inlineStr">
        <is>
          <t>Ingredients - Meat</t>
        </is>
      </c>
      <c r="B21" s="377" t="n">
        <v>5617.49</v>
      </c>
      <c r="C21" s="378" t="n">
        <v>12947.35</v>
      </c>
      <c r="D21" s="86" t="n"/>
      <c r="E21" s="86" t="n"/>
      <c r="F21" s="86" t="n"/>
      <c r="G21" s="86" t="n"/>
      <c r="H21" s="86" t="n"/>
      <c r="I21" s="139" t="n"/>
    </row>
    <row r="22" ht="18" customHeight="1" s="274">
      <c r="A22" s="360" t="inlineStr">
        <is>
          <t>Ingredients - Meat &amp; Fish</t>
        </is>
      </c>
      <c r="B22" s="375" t="n">
        <v>1540.7</v>
      </c>
      <c r="C22" s="376" t="n">
        <v>901.4</v>
      </c>
      <c r="D22" s="93" t="n"/>
      <c r="E22" s="93" t="n"/>
      <c r="F22" s="93" t="n"/>
      <c r="G22" s="93" t="n"/>
      <c r="H22" s="93" t="n"/>
      <c r="I22" s="137" t="n"/>
    </row>
    <row r="23" ht="18" customHeight="1" s="274">
      <c r="A23" s="360" t="inlineStr">
        <is>
          <t>Ingredients - Other</t>
        </is>
      </c>
      <c r="B23" s="381" t="n">
        <v>0</v>
      </c>
      <c r="C23" s="382" t="n">
        <v>608</v>
      </c>
      <c r="D23" s="114" t="n"/>
      <c r="E23" s="114" t="n"/>
      <c r="F23" s="114" t="n"/>
      <c r="G23" s="114" t="n"/>
      <c r="H23" s="114" t="n"/>
      <c r="I23" s="114" t="n"/>
    </row>
    <row r="24" ht="18" customHeight="1" s="274">
      <c r="A24" s="360" t="inlineStr">
        <is>
          <t>Ingredients - Pantry</t>
        </is>
      </c>
      <c r="B24" s="383" t="n">
        <v>3505.54</v>
      </c>
      <c r="C24" s="384" t="n">
        <v>2729.76</v>
      </c>
      <c r="D24" s="145" t="n"/>
      <c r="E24" s="145" t="n"/>
      <c r="F24" s="145" t="n"/>
      <c r="G24" s="145" t="n"/>
      <c r="H24" s="145" t="n"/>
      <c r="I24" s="145" t="n"/>
    </row>
    <row r="25" ht="18" customHeight="1" s="274">
      <c r="A25" s="360" t="inlineStr">
        <is>
          <t>Ingredients - Produce</t>
        </is>
      </c>
      <c r="B25" s="385" t="n">
        <v>0</v>
      </c>
      <c r="C25" s="386" t="n">
        <v>48</v>
      </c>
      <c r="D25" s="147" t="n"/>
      <c r="E25" s="147" t="n"/>
      <c r="F25" s="147" t="n"/>
      <c r="G25" s="147" t="n"/>
      <c r="H25" s="147" t="n"/>
      <c r="I25" s="147" t="n"/>
    </row>
    <row r="26" ht="18" customHeight="1" s="274">
      <c r="A26" s="360" t="inlineStr">
        <is>
          <t>Ingredients - Vegetables</t>
        </is>
      </c>
      <c r="B26" s="375" t="n">
        <v>3439.79</v>
      </c>
      <c r="C26" s="376" t="n">
        <v>3208.63</v>
      </c>
      <c r="D26" s="93" t="n"/>
      <c r="E26" s="93" t="n"/>
      <c r="F26" s="93" t="n"/>
      <c r="G26" s="93" t="n"/>
      <c r="H26" s="93" t="n"/>
      <c r="I26" s="137" t="n"/>
    </row>
    <row r="27" ht="18" customHeight="1" s="274">
      <c r="A27" s="360" t="inlineStr">
        <is>
          <t>Maintenance</t>
        </is>
      </c>
      <c r="B27" s="377" t="n">
        <v>0</v>
      </c>
      <c r="C27" s="378" t="n">
        <v>5000</v>
      </c>
      <c r="D27" s="86" t="n"/>
      <c r="E27" s="86" t="n"/>
      <c r="F27" s="86" t="n"/>
      <c r="G27" s="86" t="n"/>
      <c r="H27" s="86" t="n"/>
      <c r="I27" s="139" t="n"/>
    </row>
    <row r="28" ht="18" customHeight="1" s="274">
      <c r="A28" s="360" t="inlineStr">
        <is>
          <t>Rent</t>
        </is>
      </c>
      <c r="B28" s="387" t="n">
        <v>0</v>
      </c>
      <c r="C28" s="388" t="n">
        <v>15000</v>
      </c>
      <c r="D28" s="112" t="n"/>
      <c r="E28" s="112" t="n"/>
      <c r="F28" s="112" t="n"/>
      <c r="G28" s="112" t="n"/>
      <c r="H28" s="112" t="n"/>
      <c r="I28" s="112" t="n"/>
    </row>
    <row r="29" ht="18" customHeight="1" s="274">
      <c r="A29" s="360" t="inlineStr">
        <is>
          <t>Staff - Advance</t>
        </is>
      </c>
      <c r="B29" s="379" t="n">
        <v>500</v>
      </c>
      <c r="C29" s="380" t="n">
        <v>0</v>
      </c>
      <c r="D29" s="143" t="n"/>
      <c r="E29" s="143" t="n"/>
      <c r="F29" s="143" t="n"/>
      <c r="G29" s="143" t="n"/>
      <c r="H29" s="143" t="n"/>
      <c r="I29" s="143" t="n"/>
    </row>
    <row r="30" ht="19.5" customHeight="1" s="274">
      <c r="A30" s="360" t="inlineStr">
        <is>
          <t>Staff - Salary</t>
        </is>
      </c>
      <c r="B30" s="374" t="n">
        <v>10666</v>
      </c>
      <c r="C30" s="361" t="n">
        <v>14956.65</v>
      </c>
    </row>
    <row r="31" ht="18" customHeight="1" s="274">
      <c r="A31" s="360" t="inlineStr">
        <is>
          <t>Supermarket / General</t>
        </is>
      </c>
      <c r="B31" s="389" t="n">
        <v>698</v>
      </c>
      <c r="C31" s="378" t="n">
        <v>2621.1</v>
      </c>
      <c r="D31" s="111" t="n"/>
      <c r="E31" s="111" t="n"/>
      <c r="F31" s="111" t="n"/>
      <c r="G31" s="111" t="n"/>
      <c r="H31" s="111" t="n"/>
      <c r="I31" s="148" t="n"/>
    </row>
    <row r="32" ht="18" customHeight="1" s="274">
      <c r="A32" s="360" t="inlineStr">
        <is>
          <t>Supplies / Other</t>
        </is>
      </c>
      <c r="B32" s="390" t="n">
        <v>628.2</v>
      </c>
      <c r="C32" s="391" t="n">
        <v>3437.65</v>
      </c>
      <c r="D32" s="149" t="n"/>
      <c r="E32" s="149" t="n"/>
      <c r="F32" s="149" t="n"/>
      <c r="G32" s="149" t="n"/>
      <c r="H32" s="149" t="n"/>
      <c r="I32" s="149" t="n"/>
    </row>
    <row r="33" ht="18" customHeight="1" s="274">
      <c r="A33" s="368" t="inlineStr">
        <is>
          <t>TOTAL EXPENSES</t>
        </is>
      </c>
      <c r="B33" s="392" t="n">
        <v>32919.63</v>
      </c>
      <c r="C33" s="370" t="n">
        <v>71774.64999999999</v>
      </c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362" t="inlineStr">
        <is>
          <t>TOTALS &amp; CURRENT BALANCE</t>
        </is>
      </c>
      <c r="B24" s="362" t="n"/>
      <c r="C24" s="362" t="n"/>
      <c r="D24" s="363">
        <f>SUM(D4:D23)</f>
        <v/>
      </c>
      <c r="E24" s="363">
        <f>SUM(E4:E23)</f>
        <v/>
      </c>
      <c r="F24" s="363">
        <f>F23</f>
        <v/>
      </c>
      <c r="G24" s="362">
        <f>IF(F23&gt;0,"Restaurant owes Lohith $"&amp;TEXT(F23,"#,##0"),IF(F23&lt;0,"Lohith holds $"&amp;TEXT(ABS(F23),"#,##0"),"Zero balance"))</f>
        <v/>
      </c>
      <c r="H24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2026-06-17T02:43:49Z</dcterms:modified>
  <cp:lastModifiedBy>LOHITH REDDY</cp:lastModifiedBy>
</cp:coreProperties>
</file>