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98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8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19"/>
  </cellStyleXfs>
  <cellXfs count="397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  <xf numFmtId="176" fontId="51" fillId="19" borderId="13" applyAlignment="1" pivotButton="0" quotePrefix="0" xfId="0">
      <alignment horizontal="center" vertical="center"/>
    </xf>
    <xf numFmtId="0" fontId="0" fillId="0" borderId="19" pivotButton="0" quotePrefix="0" xfId="0"/>
    <xf numFmtId="0" fontId="95" fillId="57" borderId="27" applyAlignment="1" pivotButton="0" quotePrefix="0" xfId="0">
      <alignment horizontal="center"/>
    </xf>
    <xf numFmtId="176" fontId="37" fillId="19" borderId="13" applyAlignment="1" pivotButton="0" quotePrefix="0" xfId="0">
      <alignment horizontal="center" vertical="center"/>
    </xf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17 Jun 2026  |  Capital, Acquisition, Pre-Opening &amp; Renovation CapEx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$8,235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A26" s="383" t="n"/>
      <c r="B26" s="393" t="inlineStr">
        <is>
          <t>Payment to Previous Owners — Jun 22</t>
        </is>
      </c>
      <c r="C26" s="394" t="n">
        <v>46195</v>
      </c>
      <c r="D26" s="395" t="n">
        <v>60000</v>
      </c>
      <c r="E26" s="396" t="inlineStr">
        <is>
          <t>Lohith Reddy</t>
        </is>
      </c>
      <c r="F26" s="396" t="inlineStr">
        <is>
          <t>✅ PAID</t>
        </is>
      </c>
      <c r="G26" s="393" t="inlineStr">
        <is>
          <t>Capital payment to previous owners — 22 Jun 2026</t>
        </is>
      </c>
    </row>
    <row r="27" ht="19.95" customHeight="1" s="278">
      <c r="B27" s="149" t="n"/>
      <c r="C27" s="180" t="n"/>
      <c r="D27" s="157" t="n"/>
      <c r="E27" s="172" t="n"/>
      <c r="F27" s="172" t="n"/>
      <c r="G27" s="149" t="n"/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$366,235 paid (Jun 3–22) − $15,530 electricity offset = $8,235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125000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n"/>
      <c r="C61" s="236" t="n"/>
      <c r="D61" s="191" t="n"/>
      <c r="E61" s="190" t="n"/>
      <c r="F61" s="190" t="n"/>
      <c r="G61" s="189" t="n"/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190" t="n"/>
      <c r="C79" s="236" t="n"/>
      <c r="D79" s="263" t="n"/>
      <c r="E79" s="190" t="n"/>
      <c r="F79" s="190" t="n"/>
      <c r="G79" s="190" t="n"/>
    </row>
    <row r="80" ht="19.95" customHeight="1" s="278">
      <c r="B80" s="190" t="n"/>
      <c r="C80" s="236" t="n"/>
      <c r="D80" s="263" t="n"/>
      <c r="E80" s="190" t="n"/>
      <c r="F80" s="190" t="n"/>
      <c r="G80" s="190" t="n"/>
    </row>
    <row r="81" ht="19.95" customHeight="1" s="278">
      <c r="B81" s="189" t="n"/>
      <c r="C81" s="190" t="n"/>
      <c r="D81" s="191" t="n"/>
      <c r="E81" s="190" t="n"/>
      <c r="F81" s="190" t="n"/>
      <c r="G81" s="189" t="n"/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>
        <f>REMAINING WITH ME</f>
        <v/>
      </c>
      <c r="D139" s="242">
        <f>D136-D137-D138</f>
        <v/>
      </c>
    </row>
    <row r="142">
      <c r="B142" s="247" t="n"/>
    </row>
    <row r="143">
      <c r="B143" s="189" t="n"/>
      <c r="C143" s="236" t="n"/>
      <c r="D143" s="191" t="n"/>
      <c r="E143" s="190" t="n"/>
      <c r="F143" s="190" t="n"/>
      <c r="G143" s="189" t="n"/>
    </row>
    <row r="144">
      <c r="B144" s="189" t="n"/>
      <c r="C144" s="236" t="n"/>
      <c r="D144" s="191" t="n"/>
      <c r="E144" s="190" t="n"/>
      <c r="F144" s="190" t="n"/>
      <c r="G144" s="189" t="n"/>
    </row>
  </sheetData>
  <mergeCells count="4">
    <mergeCell ref="B1:H1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</row>
    <row r="42" ht="16.5" customHeight="1" s="278">
      <c r="B42" s="385" t="n">
        <v>46194</v>
      </c>
      <c r="C42" s="386" t="inlineStr">
        <is>
          <t>Sun</t>
        </is>
      </c>
      <c r="D42" s="387" t="n">
        <v>0</v>
      </c>
      <c r="E42" s="37" t="n">
        <v>0</v>
      </c>
      <c r="F42" s="38">
        <f>IFERROR(D42+E42+G42,0)</f>
        <v/>
      </c>
      <c r="G42" s="388" t="n">
        <v>0</v>
      </c>
      <c r="H42" s="389">
        <f>SUMIFS('💸 Expenses'!$F$8:$F$500,'💸 Expenses'!$B$8:$B$500,"&gt;="&amp;B42,'💸 Expenses'!$B$8:$B$500,"&lt;"&amp;(B42+1))</f>
        <v/>
      </c>
      <c r="I42" s="390">
        <f>IFERROR(F42-H42,0)</f>
        <v/>
      </c>
      <c r="J42" s="391">
        <f>IFERROR(I42/F42,0)</f>
        <v/>
      </c>
      <c r="K42" s="251" t="n"/>
      <c r="L42" s="392" t="inlineStr">
        <is>
          <t>Cierre via loka.py</t>
        </is>
      </c>
      <c r="M42" s="12" t="n"/>
      <c r="N42" s="44" t="n"/>
      <c r="O42" s="45" t="n"/>
      <c r="P42" s="46" t="n"/>
      <c r="Q42" s="44" t="n"/>
    </row>
    <row r="43" ht="16.5" customHeight="1" s="278">
      <c r="B43" s="385" t="n">
        <v>46195</v>
      </c>
      <c r="C43" s="256" t="inlineStr">
        <is>
          <t>Mon</t>
        </is>
      </c>
      <c r="D43" s="257" t="n">
        <v>2459</v>
      </c>
      <c r="E43" s="49" t="n">
        <v>1800</v>
      </c>
      <c r="F43" s="50">
        <f>IFERROR(D43+E43+G43,0)</f>
        <v/>
      </c>
      <c r="G43" s="258" t="n">
        <v>0</v>
      </c>
      <c r="H43" s="259">
        <f>SUMIFS('💸 Expenses'!$F$8:$F$500,'💸 Expenses'!$B$8:$B$500,"&gt;="&amp;B43,'💸 Expenses'!$B$8:$B$500,"&lt;"&amp;(B43+1))</f>
        <v/>
      </c>
      <c r="I43" s="260">
        <f>IFERROR(F43-H43,0)</f>
        <v/>
      </c>
      <c r="J43" s="261">
        <f>IFERROR(I43/F43,0)</f>
        <v/>
      </c>
      <c r="K43" s="255" t="n"/>
      <c r="L43" s="262" t="inlineStr">
        <is>
          <t>Cierre via loka.py</t>
        </is>
      </c>
      <c r="M43" s="21" t="n"/>
      <c r="N43" s="56" t="n"/>
      <c r="O43" s="57" t="n"/>
      <c r="P43" s="58" t="n"/>
      <c r="Q43" s="56" t="n"/>
    </row>
    <row r="44" ht="16.5" customHeight="1" s="278">
      <c r="B44" s="385" t="n">
        <v>46196</v>
      </c>
      <c r="C44" s="386" t="inlineStr">
        <is>
          <t>Tue</t>
        </is>
      </c>
      <c r="D44" s="387" t="n">
        <v>1452</v>
      </c>
      <c r="E44" s="37" t="n">
        <v>1515</v>
      </c>
      <c r="F44" s="38">
        <f>IFERROR(D44+E44+G44,0)</f>
        <v/>
      </c>
      <c r="G44" s="388" t="n">
        <v>0</v>
      </c>
      <c r="H44" s="389">
        <f>SUMIFS('💸 Expenses'!$F$8:$F$500,'💸 Expenses'!$B$8:$B$500,"&gt;="&amp;B44,'💸 Expenses'!$B$8:$B$500,"&lt;"&amp;(B44+1))</f>
        <v/>
      </c>
      <c r="I44" s="390">
        <f>IFERROR(F44-H44,0)</f>
        <v/>
      </c>
      <c r="J44" s="391">
        <f>IFERROR(I44/F44,0)</f>
        <v/>
      </c>
      <c r="K44" s="251" t="n"/>
      <c r="L44" s="392" t="inlineStr">
        <is>
          <t>Cierre via loka.py</t>
        </is>
      </c>
      <c r="M44" s="12" t="n"/>
      <c r="N44" s="44" t="n"/>
      <c r="O44" s="45" t="n"/>
      <c r="P44" s="46" t="n"/>
      <c r="Q44" s="44" t="n"/>
    </row>
    <row r="45" ht="16.5" customHeight="1" s="278">
      <c r="B45" s="385" t="n">
        <v>46197</v>
      </c>
      <c r="C45" s="256" t="inlineStr">
        <is>
          <t>Wed</t>
        </is>
      </c>
      <c r="D45" s="257" t="n">
        <v>1064</v>
      </c>
      <c r="E45" s="49" t="n">
        <v>2525</v>
      </c>
      <c r="F45" s="50">
        <f>IFERROR(D45+E45+G45,0)</f>
        <v/>
      </c>
      <c r="G45" s="258" t="n">
        <v>0</v>
      </c>
      <c r="H45" s="259">
        <f>SUMIFS('💸 Expenses'!$F$8:$F$500,'💸 Expenses'!$B$8:$B$500,"&gt;="&amp;B45,'💸 Expenses'!$B$8:$B$500,"&lt;"&amp;(B45+1))</f>
        <v/>
      </c>
      <c r="I45" s="260">
        <f>IFERROR(F45-H45,0)</f>
        <v/>
      </c>
      <c r="J45" s="261">
        <f>IFERROR(I45/F45,0)</f>
        <v/>
      </c>
      <c r="K45" s="255" t="n"/>
      <c r="L45" s="262" t="inlineStr">
        <is>
          <t>Cierre via loka.py</t>
        </is>
      </c>
      <c r="M45" s="21" t="n"/>
      <c r="N45" s="56" t="n"/>
      <c r="O45" s="57" t="n"/>
      <c r="P45" s="58" t="n"/>
      <c r="Q45" s="56" t="n"/>
    </row>
    <row r="46" ht="16.5" customHeight="1" s="278">
      <c r="B46" s="385" t="n">
        <v>46198</v>
      </c>
      <c r="C46" s="386" t="inlineStr">
        <is>
          <t>Thu</t>
        </is>
      </c>
      <c r="D46" s="387" t="n">
        <v>1735</v>
      </c>
      <c r="E46" s="37" t="n">
        <v>1853</v>
      </c>
      <c r="F46" s="38">
        <f>IFERROR(D46+E46+G46,0)</f>
        <v/>
      </c>
      <c r="G46" s="388" t="n">
        <v>0</v>
      </c>
      <c r="H46" s="389">
        <f>SUMIFS('💸 Expenses'!$F$8:$F$500,'💸 Expenses'!$B$8:$B$500,"&gt;="&amp;B46,'💸 Expenses'!$B$8:$B$500,"&lt;"&amp;(B46+1))</f>
        <v/>
      </c>
      <c r="I46" s="390">
        <f>IFERROR(F46-H46,0)</f>
        <v/>
      </c>
      <c r="J46" s="391">
        <f>IFERROR(I46/F46,0)</f>
        <v/>
      </c>
      <c r="K46" s="251" t="n"/>
      <c r="L46" s="392" t="inlineStr">
        <is>
          <t>Cierre via loka.py</t>
        </is>
      </c>
      <c r="M46" s="12" t="n"/>
      <c r="N46" s="44" t="n"/>
      <c r="O46" s="45" t="n"/>
      <c r="P46" s="46" t="n"/>
      <c r="Q46" s="44" t="n"/>
    </row>
    <row r="47" ht="16.5" customHeight="1" s="278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8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8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8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8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8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8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8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8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8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8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8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8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382" t="n">
        <v>46176</v>
      </c>
      <c r="C306" s="252" t="inlineStr">
        <is>
          <t>Cuchara de Moka 6pcs 10.5cm (x2)</t>
        </is>
      </c>
      <c r="D306" s="253" t="inlineStr">
        <is>
          <t>Small China</t>
        </is>
      </c>
      <c r="E306" s="252" t="inlineStr">
        <is>
          <t>Kitchen Supplies</t>
        </is>
      </c>
      <c r="F306" s="70" t="n">
        <v>178</v>
      </c>
      <c r="G306" s="254" t="inlineStr">
        <is>
          <t>Restaurant</t>
        </is>
      </c>
      <c r="H306" s="254" t="inlineStr">
        <is>
          <t>Card</t>
        </is>
      </c>
      <c r="I306" s="255" t="inlineStr">
        <is>
          <t>✅ Paid</t>
        </is>
      </c>
      <c r="J306" s="383" t="inlineStr">
        <is>
          <t>Tarjeta crédito · serial D2606031530065 (back-dated 3 Jun)</t>
        </is>
      </c>
    </row>
    <row r="307">
      <c r="B307" s="382" t="n">
        <v>46193</v>
      </c>
      <c r="C307" s="248" t="inlineStr">
        <is>
          <t>Topo Chico (2 packs)</t>
        </is>
      </c>
      <c r="D307" s="249" t="inlineStr">
        <is>
          <t>Sam's Club</t>
        </is>
      </c>
      <c r="E307" s="248" t="inlineStr">
        <is>
          <t>Ingredients - Beverages</t>
        </is>
      </c>
      <c r="F307" s="67" t="n">
        <v>464</v>
      </c>
      <c r="G307" s="250" t="inlineStr">
        <is>
          <t>Restaurant</t>
        </is>
      </c>
      <c r="H307" s="250" t="inlineStr">
        <is>
          <t>Card</t>
        </is>
      </c>
      <c r="I307" s="251" t="inlineStr">
        <is>
          <t>✅ Paid</t>
        </is>
      </c>
      <c r="J307" s="383" t="inlineStr">
        <is>
          <t>No receipt</t>
        </is>
      </c>
    </row>
    <row r="308">
      <c r="B308" s="382" t="n">
        <v>46192</v>
      </c>
      <c r="C308" s="252" t="inlineStr">
        <is>
          <t>Soft Restaurant — POS app subscription</t>
        </is>
      </c>
      <c r="D308" s="253" t="inlineStr">
        <is>
          <t>Soft Restaurant</t>
        </is>
      </c>
      <c r="E308" s="252" t="inlineStr">
        <is>
          <t>Software / Subscription</t>
        </is>
      </c>
      <c r="F308" s="70" t="n">
        <v>810</v>
      </c>
      <c r="G308" s="254" t="inlineStr">
        <is>
          <t>Restaurant</t>
        </is>
      </c>
      <c r="H308" s="254" t="inlineStr">
        <is>
          <t>Card</t>
        </is>
      </c>
      <c r="I308" s="255" t="inlineStr">
        <is>
          <t>✅ Paid</t>
        </is>
      </c>
      <c r="J308" s="383" t="inlineStr">
        <is>
          <t>No receipt · POS software subscription</t>
        </is>
      </c>
    </row>
    <row r="309">
      <c r="B309" s="382" t="n">
        <v>46194</v>
      </c>
      <c r="C309" s="248" t="inlineStr">
        <is>
          <t>Morrón surtido, espinaca, betabel</t>
        </is>
      </c>
      <c r="D309" s="249" t="inlineStr">
        <is>
          <t>Verduras Selectas Oscar</t>
        </is>
      </c>
      <c r="E309" s="248" t="inlineStr">
        <is>
          <t>Ingredients - Vegetables</t>
        </is>
      </c>
      <c r="F309" s="67" t="n">
        <v>84</v>
      </c>
      <c r="G309" s="250" t="inlineStr">
        <is>
          <t>Restaurant</t>
        </is>
      </c>
      <c r="H309" s="250" t="inlineStr">
        <is>
          <t>Cash</t>
        </is>
      </c>
      <c r="I309" s="251" t="inlineStr">
        <is>
          <t>✅ Paid</t>
        </is>
      </c>
      <c r="J309" s="383" t="inlineStr">
        <is>
          <t>Mercado de Abastos</t>
        </is>
      </c>
    </row>
    <row r="310">
      <c r="B310" s="382" t="n">
        <v>46194</v>
      </c>
      <c r="C310" s="252" t="inlineStr">
        <is>
          <t>Champiñón 1.02kg + Manzana Mexicana 1.13kg</t>
        </is>
      </c>
      <c r="D310" s="253" t="inlineStr">
        <is>
          <t>Mercado de Abastos</t>
        </is>
      </c>
      <c r="E310" s="252" t="inlineStr">
        <is>
          <t>Ingredients - Vegetables</t>
        </is>
      </c>
      <c r="F310" s="70" t="n">
        <v>153.62</v>
      </c>
      <c r="G310" s="254" t="inlineStr">
        <is>
          <t>Restaurant</t>
        </is>
      </c>
      <c r="H310" s="254" t="inlineStr">
        <is>
          <t>Cash</t>
        </is>
      </c>
      <c r="I310" s="255" t="inlineStr">
        <is>
          <t>✅ Paid</t>
        </is>
      </c>
      <c r="J310" s="383" t="inlineStr">
        <is>
          <t>Ticket 26351 (incl. apple)</t>
        </is>
      </c>
    </row>
    <row r="311">
      <c r="B311" s="382" t="n">
        <v>46194</v>
      </c>
      <c r="C311" s="248" t="inlineStr">
        <is>
          <t>Huevo (2 conos)</t>
        </is>
      </c>
      <c r="D311" s="249" t="inlineStr">
        <is>
          <t>Jaime (Mercado Abastos)</t>
        </is>
      </c>
      <c r="E311" s="248" t="inlineStr">
        <is>
          <t>Ingredients - Eggs</t>
        </is>
      </c>
      <c r="F311" s="67" t="n">
        <v>102</v>
      </c>
      <c r="G311" s="250" t="inlineStr">
        <is>
          <t>Restaurant</t>
        </is>
      </c>
      <c r="H311" s="250" t="inlineStr">
        <is>
          <t>Cash</t>
        </is>
      </c>
      <c r="I311" s="251" t="inlineStr">
        <is>
          <t>✅ Paid</t>
        </is>
      </c>
      <c r="J311" s="383" t="inlineStr"/>
    </row>
    <row r="312">
      <c r="B312" s="382" t="n">
        <v>46194</v>
      </c>
      <c r="C312" s="252" t="inlineStr">
        <is>
          <t>Zanahoria, jalapeño, serrano, cebolla</t>
        </is>
      </c>
      <c r="D312" s="253" t="inlineStr">
        <is>
          <t>Mi Joven</t>
        </is>
      </c>
      <c r="E312" s="252" t="inlineStr">
        <is>
          <t>Ingredients - Vegetables</t>
        </is>
      </c>
      <c r="F312" s="70" t="n">
        <v>131.5</v>
      </c>
      <c r="G312" s="254" t="inlineStr">
        <is>
          <t>Restaurant</t>
        </is>
      </c>
      <c r="H312" s="254" t="inlineStr">
        <is>
          <t>Cash</t>
        </is>
      </c>
      <c r="I312" s="255" t="inlineStr">
        <is>
          <t>✅ Paid</t>
        </is>
      </c>
      <c r="J312" s="383" t="inlineStr">
        <is>
          <t>Folio 19465</t>
        </is>
      </c>
    </row>
    <row r="313">
      <c r="B313" s="382" t="n">
        <v>46194</v>
      </c>
      <c r="C313" s="248" t="inlineStr">
        <is>
          <t>Calabaza 1.7kg</t>
        </is>
      </c>
      <c r="D313" s="249" t="inlineStr">
        <is>
          <t>Mi Joven</t>
        </is>
      </c>
      <c r="E313" s="248" t="inlineStr">
        <is>
          <t>Ingredients - Vegetables</t>
        </is>
      </c>
      <c r="F313" s="67" t="n">
        <v>34</v>
      </c>
      <c r="G313" s="250" t="inlineStr">
        <is>
          <t>Restaurant</t>
        </is>
      </c>
      <c r="H313" s="250" t="inlineStr">
        <is>
          <t>Cash</t>
        </is>
      </c>
      <c r="I313" s="251" t="inlineStr">
        <is>
          <t>✅ Paid</t>
        </is>
      </c>
      <c r="J313" s="383" t="inlineStr">
        <is>
          <t>Folio 19466</t>
        </is>
      </c>
    </row>
    <row r="314">
      <c r="B314" s="382" t="n">
        <v>46194</v>
      </c>
      <c r="C314" s="252" t="inlineStr">
        <is>
          <t>Tomate, limón, pepino, jícama</t>
        </is>
      </c>
      <c r="D314" s="253" t="inlineStr">
        <is>
          <t>Mercado de Abastos</t>
        </is>
      </c>
      <c r="E314" s="252" t="inlineStr">
        <is>
          <t>Ingredients - Vegetables</t>
        </is>
      </c>
      <c r="F314" s="70" t="n">
        <v>240</v>
      </c>
      <c r="G314" s="254" t="inlineStr">
        <is>
          <t>Restaurant</t>
        </is>
      </c>
      <c r="H314" s="254" t="inlineStr">
        <is>
          <t>Cash</t>
        </is>
      </c>
      <c r="I314" s="255" t="inlineStr">
        <is>
          <t>✅ Paid</t>
        </is>
      </c>
      <c r="J314" s="383" t="inlineStr">
        <is>
          <t>Handwritten note</t>
        </is>
      </c>
    </row>
    <row r="315">
      <c r="B315" s="382" t="n">
        <v>46194</v>
      </c>
      <c r="C315" s="248" t="inlineStr">
        <is>
          <t>Jitomate 7kg</t>
        </is>
      </c>
      <c r="D315" s="249" t="inlineStr">
        <is>
          <t>Frutas Finas Ana Pao</t>
        </is>
      </c>
      <c r="E315" s="248" t="inlineStr">
        <is>
          <t>Ingredients - Vegetables</t>
        </is>
      </c>
      <c r="F315" s="67" t="n">
        <v>105</v>
      </c>
      <c r="G315" s="250" t="inlineStr">
        <is>
          <t>Restaurant</t>
        </is>
      </c>
      <c r="H315" s="250" t="inlineStr">
        <is>
          <t>Cash</t>
        </is>
      </c>
      <c r="I315" s="251" t="inlineStr">
        <is>
          <t>✅ Paid</t>
        </is>
      </c>
      <c r="J315" s="383" t="inlineStr"/>
    </row>
    <row r="316">
      <c r="B316" s="382" t="n">
        <v>46194</v>
      </c>
      <c r="C316" s="252" t="inlineStr">
        <is>
          <t>Sandía, papaya, plátano, melón</t>
        </is>
      </c>
      <c r="D316" s="253" t="inlineStr">
        <is>
          <t>Mercado de Abastos</t>
        </is>
      </c>
      <c r="E316" s="252" t="inlineStr">
        <is>
          <t>Ingredients - Fruit</t>
        </is>
      </c>
      <c r="F316" s="70" t="n">
        <v>208</v>
      </c>
      <c r="G316" s="254" t="inlineStr">
        <is>
          <t>Restaurant</t>
        </is>
      </c>
      <c r="H316" s="254" t="inlineStr">
        <is>
          <t>Cash</t>
        </is>
      </c>
      <c r="I316" s="255" t="inlineStr">
        <is>
          <t>✅ Paid</t>
        </is>
      </c>
      <c r="J316" s="383" t="inlineStr">
        <is>
          <t>Handwritten note</t>
        </is>
      </c>
    </row>
    <row r="317">
      <c r="B317" s="382" t="n">
        <v>46194</v>
      </c>
      <c r="C317" s="248" t="inlineStr">
        <is>
          <t>Papa (3 x $35)</t>
        </is>
      </c>
      <c r="D317" s="249" t="inlineStr">
        <is>
          <t>Papas San Miguel</t>
        </is>
      </c>
      <c r="E317" s="248" t="inlineStr">
        <is>
          <t>Ingredients - Vegetables</t>
        </is>
      </c>
      <c r="F317" s="67" t="n">
        <v>105</v>
      </c>
      <c r="G317" s="250" t="inlineStr">
        <is>
          <t>Restaurant</t>
        </is>
      </c>
      <c r="H317" s="250" t="inlineStr">
        <is>
          <t>Cash</t>
        </is>
      </c>
      <c r="I317" s="251" t="inlineStr">
        <is>
          <t>✅ Paid</t>
        </is>
      </c>
      <c r="J317" s="383" t="inlineStr"/>
    </row>
    <row r="318">
      <c r="B318" s="382" t="n">
        <v>46194</v>
      </c>
      <c r="C318" s="252" t="inlineStr">
        <is>
          <t>Aguacate Hass + habanero</t>
        </is>
      </c>
      <c r="D318" s="253" t="inlineStr">
        <is>
          <t>Rey Tacamba</t>
        </is>
      </c>
      <c r="E318" s="252" t="inlineStr">
        <is>
          <t>Ingredients - Vegetables</t>
        </is>
      </c>
      <c r="F318" s="70" t="n">
        <v>214</v>
      </c>
      <c r="G318" s="254" t="inlineStr">
        <is>
          <t>Restaurant</t>
        </is>
      </c>
      <c r="H318" s="254" t="inlineStr">
        <is>
          <t>Cash</t>
        </is>
      </c>
      <c r="I318" s="255" t="inlineStr">
        <is>
          <t>✅ Paid</t>
        </is>
      </c>
      <c r="J318" s="383" t="inlineStr">
        <is>
          <t>Hass $94 + habanero $120</t>
        </is>
      </c>
    </row>
    <row r="319">
      <c r="B319" s="382" t="n">
        <v>46194</v>
      </c>
      <c r="C319" s="248" t="inlineStr">
        <is>
          <t>Chicharrón (1 hoja)</t>
        </is>
      </c>
      <c r="D319" s="249" t="inlineStr">
        <is>
          <t>Chicharronería San Nicolás</t>
        </is>
      </c>
      <c r="E319" s="248" t="inlineStr">
        <is>
          <t>Ingredients - Meat</t>
        </is>
      </c>
      <c r="F319" s="67" t="n">
        <v>89</v>
      </c>
      <c r="G319" s="250" t="inlineStr">
        <is>
          <t>Restaurant</t>
        </is>
      </c>
      <c r="H319" s="250" t="inlineStr">
        <is>
          <t>Cash</t>
        </is>
      </c>
      <c r="I319" s="251" t="inlineStr">
        <is>
          <t>✅ Paid</t>
        </is>
      </c>
      <c r="J319" s="383" t="inlineStr">
        <is>
          <t>Corrected to \ per Reddy (was read as 899)</t>
        </is>
      </c>
    </row>
    <row r="320">
      <c r="B320" s="382" t="n">
        <v>46194</v>
      </c>
      <c r="C320" s="252" t="inlineStr">
        <is>
          <t>Vasos, tapas, cucharas, biocup vaso papel</t>
        </is>
      </c>
      <c r="D320" s="253" t="inlineStr">
        <is>
          <t>MPPD - Materias Primas Plasticos</t>
        </is>
      </c>
      <c r="E320" s="252" t="inlineStr">
        <is>
          <t>Packaging / Disposables</t>
        </is>
      </c>
      <c r="F320" s="70" t="n">
        <v>295.73</v>
      </c>
      <c r="G320" s="254" t="inlineStr">
        <is>
          <t>Restaurant</t>
        </is>
      </c>
      <c r="H320" s="254" t="inlineStr">
        <is>
          <t>Cash</t>
        </is>
      </c>
      <c r="I320" s="255" t="inlineStr">
        <is>
          <t>✅ Paid</t>
        </is>
      </c>
      <c r="J320" s="383" t="inlineStr">
        <is>
          <t>Folio 381088</t>
        </is>
      </c>
    </row>
    <row r="321">
      <c r="B321" s="382" t="n">
        <v>46194</v>
      </c>
      <c r="C321" s="248" t="inlineStr">
        <is>
          <t>Cilantro, hierbabuena, lechuga italiana</t>
        </is>
      </c>
      <c r="D321" s="249" t="inlineStr">
        <is>
          <t>Hnos. Labra's</t>
        </is>
      </c>
      <c r="E321" s="248" t="inlineStr">
        <is>
          <t>Ingredients - Vegetables</t>
        </is>
      </c>
      <c r="F321" s="67" t="n">
        <v>215</v>
      </c>
      <c r="G321" s="250" t="inlineStr">
        <is>
          <t>Restaurant</t>
        </is>
      </c>
      <c r="H321" s="250" t="inlineStr">
        <is>
          <t>Cash</t>
        </is>
      </c>
      <c r="I321" s="251" t="inlineStr">
        <is>
          <t>✅ Paid</t>
        </is>
      </c>
      <c r="J321" s="383" t="inlineStr"/>
    </row>
    <row r="322">
      <c r="B322" s="382" t="n">
        <v>46194</v>
      </c>
      <c r="C322" s="252" t="inlineStr">
        <is>
          <t>Pens (office/stationery)</t>
        </is>
      </c>
      <c r="D322" s="253" t="inlineStr">
        <is>
          <t>Local purchase</t>
        </is>
      </c>
      <c r="E322" s="252" t="inlineStr">
        <is>
          <t>Office Supplies</t>
        </is>
      </c>
      <c r="F322" s="70" t="n">
        <v>30</v>
      </c>
      <c r="G322" s="254" t="inlineStr">
        <is>
          <t>Restaurant</t>
        </is>
      </c>
      <c r="H322" s="254" t="inlineStr">
        <is>
          <t>Cash</t>
        </is>
      </c>
      <c r="I322" s="255" t="inlineStr">
        <is>
          <t>✅ Paid</t>
        </is>
      </c>
      <c r="J322" s="383" t="inlineStr">
        <is>
          <t>No receipt</t>
        </is>
      </c>
    </row>
    <row r="323">
      <c r="B323" s="382" t="n">
        <v>46194</v>
      </c>
      <c r="C323" s="248" t="inlineStr">
        <is>
          <t>Restaurant Command booklet (comandas)</t>
        </is>
      </c>
      <c r="D323" s="249" t="inlineStr">
        <is>
          <t>Local purchase</t>
        </is>
      </c>
      <c r="E323" s="248" t="inlineStr">
        <is>
          <t>Office Supplies</t>
        </is>
      </c>
      <c r="F323" s="67" t="n">
        <v>59</v>
      </c>
      <c r="G323" s="250" t="inlineStr">
        <is>
          <t>Restaurant</t>
        </is>
      </c>
      <c r="H323" s="250" t="inlineStr">
        <is>
          <t>Cash</t>
        </is>
      </c>
      <c r="I323" s="251" t="inlineStr">
        <is>
          <t>✅ Paid</t>
        </is>
      </c>
      <c r="J323" s="383" t="inlineStr">
        <is>
          <t>No receipt — order pads</t>
        </is>
      </c>
    </row>
    <row r="324">
      <c r="B324" s="382" t="n">
        <v>46195</v>
      </c>
      <c r="C324" s="252" t="inlineStr">
        <is>
          <t>Pollo: muslo 4.95kg, pechuga 3.32kg, milanesa 1.64kg, ala 1.74kg</t>
        </is>
      </c>
      <c r="D324" s="253" t="inlineStr">
        <is>
          <t>Polleria local</t>
        </is>
      </c>
      <c r="E324" s="252" t="inlineStr">
        <is>
          <t>Ingredients - Meat</t>
        </is>
      </c>
      <c r="F324" s="70" t="n">
        <v>940</v>
      </c>
      <c r="G324" s="254" t="inlineStr">
        <is>
          <t>Restaurant</t>
        </is>
      </c>
      <c r="H324" s="254" t="inlineStr">
        <is>
          <t>Cash</t>
        </is>
      </c>
      <c r="I324" s="255" t="inlineStr">
        <is>
          <t>✅ Paid</t>
        </is>
      </c>
      <c r="J324" s="383" t="inlineStr">
        <is>
          <t>Nota remision LOKA Cafe</t>
        </is>
      </c>
    </row>
    <row r="325">
      <c r="B325" s="382" t="n">
        <v>46195</v>
      </c>
      <c r="C325" s="248" t="inlineStr">
        <is>
          <t>Carne ~3 kg</t>
        </is>
      </c>
      <c r="D325" s="249" t="inlineStr">
        <is>
          <t>Miscelanea LC La Cruz</t>
        </is>
      </c>
      <c r="E325" s="248" t="inlineStr">
        <is>
          <t>Ingredients - Meat</t>
        </is>
      </c>
      <c r="F325" s="67" t="n">
        <v>291</v>
      </c>
      <c r="G325" s="250" t="inlineStr">
        <is>
          <t>Restaurant</t>
        </is>
      </c>
      <c r="H325" s="250" t="inlineStr">
        <is>
          <t>Card</t>
        </is>
      </c>
      <c r="I325" s="251" t="inlineStr">
        <is>
          <t>✅ Paid</t>
        </is>
      </c>
      <c r="J325" s="383" t="inlineStr">
        <is>
          <t>Getnet 3982 Aut 358593</t>
        </is>
      </c>
    </row>
    <row r="326">
      <c r="B326" s="382" t="n">
        <v>46195</v>
      </c>
      <c r="C326" s="252" t="inlineStr">
        <is>
          <t>Agua natural</t>
        </is>
      </c>
      <c r="D326" s="253" t="inlineStr">
        <is>
          <t>Local purchase</t>
        </is>
      </c>
      <c r="E326" s="252" t="inlineStr">
        <is>
          <t>Ingredients - Beverages</t>
        </is>
      </c>
      <c r="F326" s="70" t="n">
        <v>60</v>
      </c>
      <c r="G326" s="254" t="inlineStr">
        <is>
          <t>Restaurant</t>
        </is>
      </c>
      <c r="H326" s="254" t="inlineStr">
        <is>
          <t>Cash</t>
        </is>
      </c>
      <c r="I326" s="255" t="inlineStr">
        <is>
          <t>✅ Paid</t>
        </is>
      </c>
      <c r="J326" s="383" t="inlineStr">
        <is>
          <t>No receipt</t>
        </is>
      </c>
    </row>
    <row r="327">
      <c r="B327" s="382" t="n">
        <v>46195</v>
      </c>
      <c r="C327" s="248" t="inlineStr">
        <is>
          <t>Tortillas</t>
        </is>
      </c>
      <c r="D327" s="249" t="inlineStr">
        <is>
          <t>Local purchase</t>
        </is>
      </c>
      <c r="E327" s="248" t="inlineStr">
        <is>
          <t>Ingredients - Bread</t>
        </is>
      </c>
      <c r="F327" s="67" t="n">
        <v>26</v>
      </c>
      <c r="G327" s="250" t="inlineStr">
        <is>
          <t>Restaurant</t>
        </is>
      </c>
      <c r="H327" s="250" t="inlineStr">
        <is>
          <t>Cash</t>
        </is>
      </c>
      <c r="I327" s="251" t="inlineStr">
        <is>
          <t>✅ Paid</t>
        </is>
      </c>
      <c r="J327" s="383" t="inlineStr">
        <is>
          <t>No receipt</t>
        </is>
      </c>
    </row>
    <row r="328">
      <c r="B328" s="382" t="n">
        <v>46195</v>
      </c>
      <c r="C328" s="252" t="inlineStr">
        <is>
          <t>Pan dulces</t>
        </is>
      </c>
      <c r="D328" s="253" t="inlineStr">
        <is>
          <t>Local purchase</t>
        </is>
      </c>
      <c r="E328" s="252" t="inlineStr">
        <is>
          <t>Ingredients - Bread</t>
        </is>
      </c>
      <c r="F328" s="70" t="n">
        <v>134</v>
      </c>
      <c r="G328" s="254" t="inlineStr">
        <is>
          <t>Restaurant</t>
        </is>
      </c>
      <c r="H328" s="254" t="inlineStr">
        <is>
          <t>Cash</t>
        </is>
      </c>
      <c r="I328" s="255" t="inlineStr">
        <is>
          <t>✅ Paid</t>
        </is>
      </c>
      <c r="J328" s="383" t="inlineStr">
        <is>
          <t>No receipt</t>
        </is>
      </c>
    </row>
    <row r="329">
      <c r="B329" s="382" t="n">
        <v>46192</v>
      </c>
      <c r="C329" s="248" t="inlineStr">
        <is>
          <t>Panko (x2)</t>
        </is>
      </c>
      <c r="D329" s="249" t="inlineStr">
        <is>
          <t>Molino y Condimentos La Cruz</t>
        </is>
      </c>
      <c r="E329" s="248" t="inlineStr">
        <is>
          <t>Ingredients - Pantry</t>
        </is>
      </c>
      <c r="F329" s="67" t="n">
        <v>196</v>
      </c>
      <c r="G329" s="250" t="inlineStr">
        <is>
          <t>Restaurant</t>
        </is>
      </c>
      <c r="H329" s="250" t="inlineStr">
        <is>
          <t>Cash</t>
        </is>
      </c>
      <c r="I329" s="251" t="inlineStr">
        <is>
          <t>✅ Paid</t>
        </is>
      </c>
      <c r="J329" s="383" t="inlineStr">
        <is>
          <t>Nota 202067 back-dated 19 Jun; paid by another person, reimbursed by Lohith 22-Jun</t>
        </is>
      </c>
    </row>
    <row r="330">
      <c r="B330" s="382" t="n">
        <v>46192</v>
      </c>
      <c r="C330" s="252" t="inlineStr">
        <is>
          <t>Papel alimenticio (food paper)</t>
        </is>
      </c>
      <c r="D330" s="253" t="inlineStr">
        <is>
          <t>Guimar Polietilenos</t>
        </is>
      </c>
      <c r="E330" s="252" t="inlineStr">
        <is>
          <t>Packaging / Disposables</t>
        </is>
      </c>
      <c r="F330" s="70" t="n">
        <v>35</v>
      </c>
      <c r="G330" s="254" t="inlineStr">
        <is>
          <t>Restaurant</t>
        </is>
      </c>
      <c r="H330" s="254" t="inlineStr">
        <is>
          <t>Cash</t>
        </is>
      </c>
      <c r="I330" s="255" t="inlineStr">
        <is>
          <t>✅ Paid</t>
        </is>
      </c>
      <c r="J330" s="383" t="inlineStr">
        <is>
          <t>Folio XCC37706 back-dated 19 Jun; paid by another person, reimbursed by Lohith 22-Jun</t>
        </is>
      </c>
    </row>
    <row r="331">
      <c r="B331" s="382" t="n">
        <v>46196</v>
      </c>
      <c r="C331" s="248" t="inlineStr">
        <is>
          <t>Sushi ingredients: arroz para sushi + alga nori</t>
        </is>
      </c>
      <c r="D331" s="249" t="inlineStr">
        <is>
          <t>H-E-B</t>
        </is>
      </c>
      <c r="E331" s="248" t="inlineStr">
        <is>
          <t>Ingredients - Pantry</t>
        </is>
      </c>
      <c r="F331" s="67" t="n">
        <v>269.5</v>
      </c>
      <c r="G331" s="250" t="inlineStr">
        <is>
          <t>Restaurant</t>
        </is>
      </c>
      <c r="H331" s="250" t="inlineStr">
        <is>
          <t>Card</t>
        </is>
      </c>
      <c r="I331" s="251" t="inlineStr">
        <is>
          <t>✅ Paid</t>
        </is>
      </c>
      <c r="J331" s="383" t="inlineStr">
        <is>
          <t>CB PROSA 3982 Aut 766296 (part of 366 ticket)</t>
        </is>
      </c>
    </row>
    <row r="332">
      <c r="B332" s="382" t="n">
        <v>46196</v>
      </c>
      <c r="C332" s="252" t="inlineStr">
        <is>
          <t>Sushi supplies: makisu mat + palillos</t>
        </is>
      </c>
      <c r="D332" s="253" t="inlineStr">
        <is>
          <t>H-E-B</t>
        </is>
      </c>
      <c r="E332" s="252" t="inlineStr">
        <is>
          <t>Kitchen Supplies</t>
        </is>
      </c>
      <c r="F332" s="70" t="n">
        <v>96.5</v>
      </c>
      <c r="G332" s="254" t="inlineStr">
        <is>
          <t>Restaurant</t>
        </is>
      </c>
      <c r="H332" s="254" t="inlineStr">
        <is>
          <t>Card</t>
        </is>
      </c>
      <c r="I332" s="255" t="inlineStr">
        <is>
          <t>✅ Paid</t>
        </is>
      </c>
      <c r="J332" s="383" t="inlineStr">
        <is>
          <t>Part of 366 H-E-B ticket</t>
        </is>
      </c>
    </row>
    <row r="333">
      <c r="B333" s="382" t="n">
        <v>46196</v>
      </c>
      <c r="C333" s="248" t="inlineStr">
        <is>
          <t>Carne / meat (handwritten remision)</t>
        </is>
      </c>
      <c r="D333" s="249" t="inlineStr">
        <is>
          <t>Miscelanea LC La Cruz</t>
        </is>
      </c>
      <c r="E333" s="248" t="inlineStr">
        <is>
          <t>Ingredients - Meat</t>
        </is>
      </c>
      <c r="F333" s="67" t="n">
        <v>151</v>
      </c>
      <c r="G333" s="250" t="inlineStr">
        <is>
          <t>Restaurant</t>
        </is>
      </c>
      <c r="H333" s="250" t="inlineStr">
        <is>
          <t>Card</t>
        </is>
      </c>
      <c r="I333" s="251" t="inlineStr">
        <is>
          <t>✅ Paid</t>
        </is>
      </c>
      <c r="J333" s="383" t="inlineStr">
        <is>
          <t>Getnet 3982 Aut 993325</t>
        </is>
      </c>
    </row>
    <row r="334">
      <c r="B334" s="382" t="n">
        <v>46196</v>
      </c>
      <c r="C334" s="252" t="inlineStr">
        <is>
          <t>Hielo (ice)</t>
        </is>
      </c>
      <c r="D334" s="253" t="inlineStr">
        <is>
          <t>Local purchase</t>
        </is>
      </c>
      <c r="E334" s="252" t="inlineStr">
        <is>
          <t>Ingredients - Beverages</t>
        </is>
      </c>
      <c r="F334" s="70" t="n">
        <v>150</v>
      </c>
      <c r="G334" s="254" t="inlineStr">
        <is>
          <t>Restaurant</t>
        </is>
      </c>
      <c r="H334" s="254" t="inlineStr">
        <is>
          <t>Cash</t>
        </is>
      </c>
      <c r="I334" s="255" t="inlineStr">
        <is>
          <t>✅ Paid</t>
        </is>
      </c>
      <c r="J334" s="383" t="inlineStr">
        <is>
          <t>No bill</t>
        </is>
      </c>
    </row>
    <row r="335">
      <c r="B335" s="382" t="n">
        <v>46196</v>
      </c>
      <c r="C335" s="248" t="inlineStr">
        <is>
          <t>Pan molido (breadcrumbs)</t>
        </is>
      </c>
      <c r="D335" s="249" t="inlineStr">
        <is>
          <t>Local purchase</t>
        </is>
      </c>
      <c r="E335" s="248" t="inlineStr">
        <is>
          <t>Ingredients - Pantry</t>
        </is>
      </c>
      <c r="F335" s="67" t="n">
        <v>46</v>
      </c>
      <c r="G335" s="250" t="inlineStr">
        <is>
          <t>Restaurant</t>
        </is>
      </c>
      <c r="H335" s="250" t="inlineStr">
        <is>
          <t>Cash</t>
        </is>
      </c>
      <c r="I335" s="251" t="inlineStr">
        <is>
          <t>✅ Paid</t>
        </is>
      </c>
      <c r="J335" s="383" t="inlineStr">
        <is>
          <t>No bill</t>
        </is>
      </c>
    </row>
    <row r="336">
      <c r="B336" s="382" t="n">
        <v>46196</v>
      </c>
      <c r="C336" s="252" t="inlineStr">
        <is>
          <t>Tortillas blanca 3.395 kg</t>
        </is>
      </c>
      <c r="D336" s="253" t="inlineStr">
        <is>
          <t>Chedraui Selecto</t>
        </is>
      </c>
      <c r="E336" s="252" t="inlineStr">
        <is>
          <t>Ingredients - Bread</t>
        </is>
      </c>
      <c r="F336" s="70" t="n">
        <v>44.13</v>
      </c>
      <c r="G336" s="254" t="inlineStr">
        <is>
          <t>Restaurant</t>
        </is>
      </c>
      <c r="H336" s="254" t="inlineStr">
        <is>
          <t>Card</t>
        </is>
      </c>
      <c r="I336" s="255" t="inlineStr">
        <is>
          <t>✅ Paid</t>
        </is>
      </c>
      <c r="J336" s="383" t="inlineStr">
        <is>
          <t>Debito BBVA 3982 Aut 651338 Folio 2606230937026818</t>
        </is>
      </c>
    </row>
    <row r="337">
      <c r="B337" s="382" t="n">
        <v>46197</v>
      </c>
      <c r="C337" s="248" t="inlineStr">
        <is>
          <t>Queso crema Lala 190g x2</t>
        </is>
      </c>
      <c r="D337" s="249" t="inlineStr">
        <is>
          <t>Chedraui Paseo</t>
        </is>
      </c>
      <c r="E337" s="248" t="inlineStr">
        <is>
          <t>Ingredients - Dairy</t>
        </is>
      </c>
      <c r="F337" s="67" t="n">
        <v>72</v>
      </c>
      <c r="G337" s="250" t="inlineStr">
        <is>
          <t>Restaurant</t>
        </is>
      </c>
      <c r="H337" s="250" t="inlineStr">
        <is>
          <t>Card</t>
        </is>
      </c>
      <c r="I337" s="251" t="inlineStr">
        <is>
          <t>✅ Paid</t>
        </is>
      </c>
      <c r="J337" s="383" t="inlineStr">
        <is>
          <t>Debito BBVA 3982; Chedraui Paseo ticket total 126.33 (crema+tortillas), dairy portion</t>
        </is>
      </c>
    </row>
    <row r="338">
      <c r="B338" s="382" t="n">
        <v>46197</v>
      </c>
      <c r="C338" s="252" t="inlineStr">
        <is>
          <t>Tortillas blancas x2</t>
        </is>
      </c>
      <c r="D338" s="253" t="inlineStr">
        <is>
          <t>Chedraui Paseo</t>
        </is>
      </c>
      <c r="E338" s="252" t="inlineStr">
        <is>
          <t>Ingredients - Bread</t>
        </is>
      </c>
      <c r="F338" s="70" t="n">
        <v>54.33</v>
      </c>
      <c r="G338" s="254" t="inlineStr">
        <is>
          <t>Restaurant</t>
        </is>
      </c>
      <c r="H338" s="254" t="inlineStr">
        <is>
          <t>Card</t>
        </is>
      </c>
      <c r="I338" s="255" t="inlineStr">
        <is>
          <t>✅ Paid</t>
        </is>
      </c>
      <c r="J338" s="383" t="inlineStr">
        <is>
          <t>Debito BBVA 3982; same Chedraui ticket, bread portion</t>
        </is>
      </c>
    </row>
    <row r="339">
      <c r="B339" s="382" t="n">
        <v>46197</v>
      </c>
      <c r="C339" s="248" t="inlineStr">
        <is>
          <t>Crema acida x2</t>
        </is>
      </c>
      <c r="D339" s="249" t="inlineStr">
        <is>
          <t>Sam's Club</t>
        </is>
      </c>
      <c r="E339" s="248" t="inlineStr">
        <is>
          <t>Ingredients - Dairy</t>
        </is>
      </c>
      <c r="F339" s="67" t="n">
        <v>479.84</v>
      </c>
      <c r="G339" s="250" t="inlineStr">
        <is>
          <t>Restaurant</t>
        </is>
      </c>
      <c r="H339" s="250" t="inlineStr">
        <is>
          <t>Card</t>
        </is>
      </c>
      <c r="I339" s="251" t="inlineStr">
        <is>
          <t>✅ Paid</t>
        </is>
      </c>
      <c r="J339" s="383" t="inlineStr">
        <is>
          <t>Debito Mastercard **82; Sam's ticket 1512.00 net of cuponera -32.73 + descuento -34.77; dairy portion of split</t>
        </is>
      </c>
    </row>
    <row r="340">
      <c r="B340" s="382" t="n">
        <v>46197</v>
      </c>
      <c r="C340" s="252" t="inlineStr">
        <is>
          <t>Condimix 3.6, Mayo Real, Arroz Morel</t>
        </is>
      </c>
      <c r="D340" s="253" t="inlineStr">
        <is>
          <t>Sam's Club</t>
        </is>
      </c>
      <c r="E340" s="252" t="inlineStr">
        <is>
          <t>Ingredients - Pantry</t>
        </is>
      </c>
      <c r="F340" s="70" t="n">
        <v>1032.16</v>
      </c>
      <c r="G340" s="254" t="inlineStr">
        <is>
          <t>Restaurant</t>
        </is>
      </c>
      <c r="H340" s="254" t="inlineStr">
        <is>
          <t>Card</t>
        </is>
      </c>
      <c r="I340" s="255" t="inlineStr">
        <is>
          <t>✅ Paid</t>
        </is>
      </c>
      <c r="J340" s="383" t="inlineStr">
        <is>
          <t>Debito Mastercard **82; pantry portion of 1512.00 Sam's ticket</t>
        </is>
      </c>
    </row>
    <row r="341">
      <c r="B341" s="382" t="n">
        <v>46197</v>
      </c>
      <c r="C341" s="248" t="inlineStr">
        <is>
          <t>Gas LP</t>
        </is>
      </c>
      <c r="D341" s="249" t="inlineStr">
        <is>
          <t>Gas Tomza de Mexico</t>
        </is>
      </c>
      <c r="E341" s="248" t="inlineStr">
        <is>
          <t>Utilities / Gas</t>
        </is>
      </c>
      <c r="F341" s="67" t="n">
        <v>1499.52</v>
      </c>
      <c r="G341" s="250" t="inlineStr">
        <is>
          <t>Restaurant</t>
        </is>
      </c>
      <c r="H341" s="250" t="inlineStr">
        <is>
          <t>Cash</t>
        </is>
      </c>
      <c r="I341" s="251" t="inlineStr">
        <is>
          <t>✅ Paid</t>
        </is>
      </c>
      <c r="J341" s="383" t="inlineStr">
        <is>
          <t>Remision 8900 @ $10.58/L IVA incl; pague antes 25/06; paid cash</t>
        </is>
      </c>
    </row>
    <row r="342">
      <c r="B342" s="382" t="n">
        <v>46197</v>
      </c>
      <c r="C342" s="252" t="inlineStr">
        <is>
          <t>Filete de salmon 1.03 kg @ 350/kg</t>
        </is>
      </c>
      <c r="D342" s="253" t="inlineStr">
        <is>
          <t>Brisa del Mar</t>
        </is>
      </c>
      <c r="E342" s="252" t="inlineStr">
        <is>
          <t>Ingredients - Meat &amp; Fish</t>
        </is>
      </c>
      <c r="F342" s="70" t="n">
        <v>360.5</v>
      </c>
      <c r="G342" s="254" t="inlineStr">
        <is>
          <t>Restaurant</t>
        </is>
      </c>
      <c r="H342" s="254" t="inlineStr">
        <is>
          <t>Cash</t>
        </is>
      </c>
      <c r="I342" s="255" t="inlineStr">
        <is>
          <t>✅ Paid</t>
        </is>
      </c>
      <c r="J342" s="383" t="inlineStr">
        <is>
          <t>Contado; NT 027672</t>
        </is>
      </c>
    </row>
    <row r="343">
      <c r="B343" s="382" t="n">
        <v>46197</v>
      </c>
      <c r="C343" s="248" t="inlineStr">
        <is>
          <t>Naranjada 1L x6</t>
        </is>
      </c>
      <c r="D343" s="249" t="inlineStr">
        <is>
          <t>Casa Reca</t>
        </is>
      </c>
      <c r="E343" s="248" t="inlineStr">
        <is>
          <t>Ingredients - Beverages</t>
        </is>
      </c>
      <c r="F343" s="67" t="n">
        <v>150</v>
      </c>
      <c r="G343" s="250" t="inlineStr">
        <is>
          <t>Restaurant</t>
        </is>
      </c>
      <c r="H343" s="250" t="inlineStr">
        <is>
          <t>Cash</t>
        </is>
      </c>
      <c r="I343" s="251" t="inlineStr">
        <is>
          <t>✅ Paid</t>
        </is>
      </c>
      <c r="J343" s="383" t="inlineStr">
        <is>
          <t>Nota QR-37; 6 pzas; canje CJ-4 (horchata/naranjada/tamarindo) $0; paid cash</t>
        </is>
      </c>
    </row>
    <row r="344">
      <c r="B344" s="382" t="n">
        <v>46197</v>
      </c>
      <c r="C344" s="252" t="inlineStr">
        <is>
          <t>Papas (potatoes)</t>
        </is>
      </c>
      <c r="D344" s="253" t="inlineStr">
        <is>
          <t>Local purchase</t>
        </is>
      </c>
      <c r="E344" s="252" t="inlineStr">
        <is>
          <t>Ingredients - Vegetables</t>
        </is>
      </c>
      <c r="F344" s="70" t="n">
        <v>133</v>
      </c>
      <c r="G344" s="254" t="inlineStr">
        <is>
          <t>Restaurant</t>
        </is>
      </c>
      <c r="H344" s="254" t="inlineStr">
        <is>
          <t>Cash</t>
        </is>
      </c>
      <c r="I344" s="255" t="inlineStr">
        <is>
          <t>✅ Paid</t>
        </is>
      </c>
      <c r="J344" s="383" t="inlineStr">
        <is>
          <t>No bill</t>
        </is>
      </c>
    </row>
    <row r="345">
      <c r="B345" s="382" t="n">
        <v>46198</v>
      </c>
      <c r="C345" s="248" t="inlineStr">
        <is>
          <t>Muslo (chicken thigh) ~12.3 kg @ $50/kg</t>
        </is>
      </c>
      <c r="D345" s="249" t="inlineStr">
        <is>
          <t>Oh lele / Local</t>
        </is>
      </c>
      <c r="E345" s="248" t="inlineStr">
        <is>
          <t>Ingredients - Meat</t>
        </is>
      </c>
      <c r="F345" s="67" t="n">
        <v>615</v>
      </c>
      <c r="G345" s="250" t="inlineStr">
        <is>
          <t>Restaurant</t>
        </is>
      </c>
      <c r="H345" s="250" t="inlineStr">
        <is>
          <t>Cash</t>
        </is>
      </c>
      <c r="I345" s="251" t="inlineStr">
        <is>
          <t>✅ Paid</t>
        </is>
      </c>
      <c r="J345" s="383" t="inlineStr">
        <is>
          <t>Nota de remision (handwritten, Loka Cafe); total $615; cash</t>
        </is>
      </c>
    </row>
    <row r="346">
      <c r="B346" s="382" t="n">
        <v>46198</v>
      </c>
      <c r="C346" s="252" t="inlineStr">
        <is>
          <t>Costilla cd (pork ribs) 3.15 kg @ ~$103/kg</t>
        </is>
      </c>
      <c r="D346" s="253" t="inlineStr">
        <is>
          <t>Miscelanea LC La Cruz</t>
        </is>
      </c>
      <c r="E346" s="252" t="inlineStr">
        <is>
          <t>Ingredients - Meat</t>
        </is>
      </c>
      <c r="F346" s="70" t="n">
        <v>318</v>
      </c>
      <c r="G346" s="254" t="inlineStr">
        <is>
          <t>Restaurant</t>
        </is>
      </c>
      <c r="H346" s="254" t="inlineStr">
        <is>
          <t>Card</t>
        </is>
      </c>
      <c r="I346" s="255" t="inlineStr">
        <is>
          <t>✅ Paid</t>
        </is>
      </c>
      <c r="J346" s="383" t="inlineStr">
        <is>
          <t>Remision ~319 handwritten; Getnet card charge 318.00; card **3982 Aut 298095; LC remision partly illegible</t>
        </is>
      </c>
    </row>
    <row r="347">
      <c r="B347" s="382" t="n">
        <v>46198</v>
      </c>
      <c r="C347" s="248" t="inlineStr">
        <is>
          <t>Papas (potatoes)</t>
        </is>
      </c>
      <c r="D347" s="249" t="inlineStr">
        <is>
          <t>Local purchase</t>
        </is>
      </c>
      <c r="E347" s="248" t="inlineStr">
        <is>
          <t>Ingredients - Vegetables</t>
        </is>
      </c>
      <c r="F347" s="67" t="n">
        <v>64</v>
      </c>
      <c r="G347" s="250" t="inlineStr">
        <is>
          <t>Restaurant</t>
        </is>
      </c>
      <c r="H347" s="250" t="inlineStr">
        <is>
          <t>Cash</t>
        </is>
      </c>
      <c r="I347" s="251" t="inlineStr">
        <is>
          <t>✅ Paid</t>
        </is>
      </c>
      <c r="J347" s="383" t="inlineStr">
        <is>
          <t>No bill</t>
        </is>
      </c>
    </row>
    <row r="348">
      <c r="B348" s="382" t="n">
        <v>46198</v>
      </c>
      <c r="C348" s="252" t="inlineStr">
        <is>
          <t>Pan dulces</t>
        </is>
      </c>
      <c r="D348" s="253" t="inlineStr">
        <is>
          <t>Local purchase</t>
        </is>
      </c>
      <c r="E348" s="252" t="inlineStr">
        <is>
          <t>Ingredients - Bread</t>
        </is>
      </c>
      <c r="F348" s="70" t="n">
        <v>96</v>
      </c>
      <c r="G348" s="254" t="inlineStr">
        <is>
          <t>Restaurant</t>
        </is>
      </c>
      <c r="H348" s="254" t="inlineStr">
        <is>
          <t>Cash</t>
        </is>
      </c>
      <c r="I348" s="255" t="inlineStr">
        <is>
          <t>✅ Paid</t>
        </is>
      </c>
      <c r="J348" s="383" t="inlineStr">
        <is>
          <t>No bill</t>
        </is>
      </c>
    </row>
    <row r="349">
      <c r="B349" s="382" t="n">
        <v>46198</v>
      </c>
      <c r="C349" s="248" t="inlineStr">
        <is>
          <t>Agua natural</t>
        </is>
      </c>
      <c r="D349" s="249" t="inlineStr">
        <is>
          <t>Local purchase</t>
        </is>
      </c>
      <c r="E349" s="248" t="inlineStr">
        <is>
          <t>Supplies / Other</t>
        </is>
      </c>
      <c r="F349" s="67" t="n">
        <v>60</v>
      </c>
      <c r="G349" s="250" t="inlineStr">
        <is>
          <t>Restaurant</t>
        </is>
      </c>
      <c r="H349" s="250" t="inlineStr">
        <is>
          <t>Cash</t>
        </is>
      </c>
      <c r="I349" s="251" t="inlineStr">
        <is>
          <t>✅ Paid</t>
        </is>
      </c>
      <c r="J349" s="383" t="inlineStr">
        <is>
          <t>No bill</t>
        </is>
      </c>
    </row>
    <row r="350">
      <c r="B350" s="382" t="n">
        <v>46198</v>
      </c>
      <c r="C350" s="252" t="inlineStr">
        <is>
          <t>Frigadora (kitchenware)</t>
        </is>
      </c>
      <c r="D350" s="253" t="inlineStr">
        <is>
          <t>Local purchase</t>
        </is>
      </c>
      <c r="E350" s="252" t="inlineStr">
        <is>
          <t>Kitchen Supplies</t>
        </is>
      </c>
      <c r="F350" s="70" t="n">
        <v>45</v>
      </c>
      <c r="G350" s="254" t="inlineStr">
        <is>
          <t>Restaurant</t>
        </is>
      </c>
      <c r="H350" s="254" t="inlineStr">
        <is>
          <t>Cash</t>
        </is>
      </c>
      <c r="I350" s="255" t="inlineStr">
        <is>
          <t>✅ Paid</t>
        </is>
      </c>
      <c r="J350" s="383" t="inlineStr">
        <is>
          <t>No bill</t>
        </is>
      </c>
    </row>
    <row r="351">
      <c r="B351" s="382" t="n">
        <v>46198</v>
      </c>
      <c r="C351" s="248" t="inlineStr">
        <is>
          <t>Gancho (hook)</t>
        </is>
      </c>
      <c r="D351" s="249" t="inlineStr">
        <is>
          <t>Local purchase</t>
        </is>
      </c>
      <c r="E351" s="248" t="inlineStr">
        <is>
          <t>Supplies / Other</t>
        </is>
      </c>
      <c r="F351" s="67" t="n">
        <v>30</v>
      </c>
      <c r="G351" s="250" t="inlineStr">
        <is>
          <t>Restaurant</t>
        </is>
      </c>
      <c r="H351" s="250" t="inlineStr">
        <is>
          <t>Cash</t>
        </is>
      </c>
      <c r="I351" s="251" t="inlineStr">
        <is>
          <t>✅ Paid</t>
        </is>
      </c>
      <c r="J351" s="383" t="inlineStr">
        <is>
          <t>No bill</t>
        </is>
      </c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9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72" t="inlineStr">
        <is>
          <t>LOKA — MONTHLY P&amp;L   (live formulas — auto-updates from Daily Log &amp; Expenses)</t>
        </is>
      </c>
      <c r="B1" s="373" t="n"/>
      <c r="C1" s="373" t="n"/>
      <c r="D1" s="374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4" t="n"/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4" t="n"/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4" t="n"/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4" t="n"/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74" t="n"/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4" t="n"/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4" t="n"/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4" t="n"/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4" t="n"/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4" t="n"/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4" t="n"/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Staff - Salary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4" t="n"/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Ingredients - Meat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4" t="n"/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Rent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4" t="n"/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Pantry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4" t="n"/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Vegetables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4" t="n"/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Beverages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4" t="n"/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4" t="n"/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Supermarket / General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4" t="n"/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Maintenance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4" t="n"/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Supplies / Other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4" t="n"/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Ingredients - Bread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4" t="n"/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4" t="n"/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4" t="n"/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Utilities / Gas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4" t="n"/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Software / Subscription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4" t="n"/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Ingredients - Other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4" t="n"/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Staff - Advance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4" t="n"/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Utilities / Internet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4" t="n"/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Packaging / Disposables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4" t="n"/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80" t="inlineStr">
        <is>
          <t>Kitchen Supplies</t>
        </is>
      </c>
      <c r="B36" s="378">
        <f>SUMIFS('💸 Expenses'!$F$8:$F$500,'💸 Expenses'!$E$8:$E$500,$A36,'💸 Expenses'!$B$8:$B$500,"&gt;="&amp;DATE(2026,5,1),'💸 Expenses'!$B$8:$B$500,"&lt;"&amp;DATE(2026,6,1))</f>
        <v/>
      </c>
      <c r="C36" s="378">
        <f>SUMIFS('💸 Expenses'!$F$8:$F$500,'💸 Expenses'!$E$8:$E$500,$A36,'💸 Expenses'!$B$8:$B$500,"&gt;="&amp;DATE(2026,6,1),'💸 Expenses'!$B$8:$B$500,"&lt;"&amp;DATE(2026,7,1))</f>
        <v/>
      </c>
      <c r="D36" s="374" t="n"/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80" t="inlineStr">
        <is>
          <t>Ingredients - Desserts</t>
        </is>
      </c>
      <c r="B37" s="378">
        <f>SUMIFS('💸 Expenses'!$F$8:$F$500,'💸 Expenses'!$E$8:$E$500,$A37,'💸 Expenses'!$B$8:$B$500,"&gt;="&amp;DATE(2026,5,1),'💸 Expenses'!$B$8:$B$500,"&lt;"&amp;DATE(2026,6,1))</f>
        <v/>
      </c>
      <c r="C37" s="378">
        <f>SUMIFS('💸 Expenses'!$F$8:$F$500,'💸 Expenses'!$E$8:$E$500,$A37,'💸 Expenses'!$B$8:$B$500,"&gt;="&amp;DATE(2026,6,1),'💸 Expenses'!$B$8:$B$500,"&lt;"&amp;DATE(2026,7,1))</f>
        <v/>
      </c>
      <c r="D37" s="374" t="n"/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80" t="inlineStr">
        <is>
          <t>Staff - Propinas</t>
        </is>
      </c>
      <c r="B38" s="378">
        <f>SUMIFS('💸 Expenses'!$F$8:$F$500,'💸 Expenses'!$E$8:$E$500,$A38,'💸 Expenses'!$B$8:$B$500,"&gt;="&amp;DATE(2026,5,1),'💸 Expenses'!$B$8:$B$500,"&lt;"&amp;DATE(2026,6,1))</f>
        <v/>
      </c>
      <c r="C38" s="378">
        <f>SUMIFS('💸 Expenses'!$F$8:$F$500,'💸 Expenses'!$E$8:$E$500,$A38,'💸 Expenses'!$B$8:$B$500,"&gt;="&amp;DATE(2026,6,1),'💸 Expenses'!$B$8:$B$500,"&lt;"&amp;DATE(2026,7,1))</f>
        <v/>
      </c>
      <c r="D38" s="374" t="n"/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80" t="inlineStr">
        <is>
          <t>Ingredients - Eggs</t>
        </is>
      </c>
      <c r="B39" s="378">
        <f>SUMIFS('💸 Expenses'!$F$8:$F$500,'💸 Expenses'!$E$8:$E$500,$A39,'💸 Expenses'!$B$8:$B$500,"&gt;="&amp;DATE(2026,5,1),'💸 Expenses'!$B$8:$B$500,"&lt;"&amp;DATE(2026,6,1))</f>
        <v/>
      </c>
      <c r="C39" s="378">
        <f>SUMIFS('💸 Expenses'!$F$8:$F$500,'💸 Expenses'!$E$8:$E$500,$A39,'💸 Expenses'!$B$8:$B$500,"&gt;="&amp;DATE(2026,6,1),'💸 Expenses'!$B$8:$B$500,"&lt;"&amp;DATE(2026,7,1))</f>
        <v/>
      </c>
      <c r="D39" s="374" t="n"/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80" t="inlineStr">
        <is>
          <t>Office Supplies</t>
        </is>
      </c>
      <c r="B40" s="378">
        <f>SUMIFS('💸 Expenses'!$F$8:$F$500,'💸 Expenses'!$E$8:$E$500,$A40,'💸 Expenses'!$B$8:$B$500,"&gt;="&amp;DATE(2026,5,1),'💸 Expenses'!$B$8:$B$500,"&lt;"&amp;DATE(2026,6,1))</f>
        <v/>
      </c>
      <c r="C40" s="378">
        <f>SUMIFS('💸 Expenses'!$F$8:$F$500,'💸 Expenses'!$E$8:$E$500,$A40,'💸 Expenses'!$B$8:$B$500,"&gt;="&amp;DATE(2026,6,1),'💸 Expenses'!$B$8:$B$500,"&lt;"&amp;DATE(2026,7,1))</f>
        <v/>
      </c>
      <c r="D40" s="374" t="n"/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80" t="inlineStr">
        <is>
          <t>Ingredients - Produce</t>
        </is>
      </c>
      <c r="B41" s="378">
        <f>SUMIFS('💸 Expenses'!$F$8:$F$500,'💸 Expenses'!$E$8:$E$500,$A41,'💸 Expenses'!$B$8:$B$500,"&gt;="&amp;DATE(2026,5,1),'💸 Expenses'!$B$8:$B$500,"&lt;"&amp;DATE(2026,6,1))</f>
        <v/>
      </c>
      <c r="C41" s="378">
        <f>SUMIFS('💸 Expenses'!$F$8:$F$500,'💸 Expenses'!$E$8:$E$500,$A41,'💸 Expenses'!$B$8:$B$500,"&gt;="&amp;DATE(2026,6,1),'💸 Expenses'!$B$8:$B$500,"&lt;"&amp;DATE(2026,7,1))</f>
        <v/>
      </c>
      <c r="D41" s="374" t="n"/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77" t="inlineStr">
        <is>
          <t>TOTAL EXPENSES</t>
        </is>
      </c>
      <c r="B42" s="379">
        <f>SUMIFS('💸 Expenses'!$F$8:$F$500,'💸 Expenses'!$B$8:$B$500,"&gt;="&amp;DATE(2026,5,1),'💸 Expenses'!$B$8:$B$500,"&lt;"&amp;DATE(2026,6,1))</f>
        <v/>
      </c>
      <c r="C42" s="379">
        <f>SUMIFS('💸 Expenses'!$F$8:$F$500,'💸 Expenses'!$B$8:$B$500,"&gt;="&amp;DATE(2026,6,1),'💸 Expenses'!$B$8:$B$500,"&lt;"&amp;DATE(2026,7,1))</f>
        <v/>
      </c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77" t="inlineStr">
        <is>
          <t>NET PROFIT / LOSS</t>
        </is>
      </c>
      <c r="B43" s="379">
        <f>B4-B42</f>
        <v/>
      </c>
      <c r="C43" s="379">
        <f>C4-C42</f>
        <v/>
      </c>
      <c r="D43" s="374" t="n"/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4" t="n"/>
      <c r="B44" s="374" t="n"/>
      <c r="C44" s="374" t="n"/>
      <c r="D44" s="374" t="n"/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4" t="n"/>
      <c r="B45" s="374" t="n"/>
      <c r="C45" s="374" t="n"/>
      <c r="D45" s="374" t="n"/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C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inlineStr">
        <is>
          <t>TOTALS &amp; CURRENT BALANCE</t>
        </is>
      </c>
      <c r="B26" s="232" t="n"/>
      <c r="C26" s="232" t="n"/>
      <c r="D26" s="232">
        <f>SUM(D4:D25)</f>
        <v/>
      </c>
      <c r="E26" s="233">
        <f>SUM(E4:E25)</f>
        <v/>
      </c>
      <c r="F26" s="233">
        <f>F25</f>
        <v/>
      </c>
      <c r="G26" s="232">
        <f>IF(F25&gt;0,"Restaurant owes Lohith $"&amp;TEXT(F25,"#,##0"),IF(F25&lt;0,"Lohith holds $"&amp;TEXT(ABS(F25),"#,##0"),"Zero balance"))</f>
        <v/>
      </c>
      <c r="H26" s="232" t="n"/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2026-06-26T04:08:42Z</dcterms:modified>
  <cp:lastModifiedBy>LOHITH REDDY</cp:lastModifiedBy>
</cp:coreProperties>
</file>