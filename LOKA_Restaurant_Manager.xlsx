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9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39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176" fontId="0" fillId="0" borderId="16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17 Jun 2026  |  Capital, Acquisition, Pre-Opening &amp; Renovation CapEx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$8,235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n"/>
      <c r="C27" s="180" t="n"/>
      <c r="D27" s="157" t="n"/>
      <c r="E27" s="172" t="n"/>
      <c r="F27" s="172" t="n"/>
      <c r="G27" s="149" t="n"/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$366,235 paid (Jun 3–22) − $15,530 electricity offset = $8,235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125000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>
        <f>REMAINING WITH ME</f>
        <v/>
      </c>
      <c r="D139" s="242">
        <f>D136-D137-D138</f>
        <v/>
      </c>
    </row>
    <row r="142">
      <c r="B142" s="247" t="n"/>
    </row>
    <row r="143">
      <c r="B143" s="189" t="n"/>
      <c r="C143" s="236" t="n"/>
      <c r="D143" s="191" t="n"/>
      <c r="E143" s="190" t="n"/>
      <c r="F143" s="190" t="n"/>
      <c r="G143" s="189" t="n"/>
    </row>
    <row r="144">
      <c r="B144" s="189" t="n"/>
      <c r="C144" s="236" t="n"/>
      <c r="D144" s="191" t="n"/>
      <c r="E144" s="190" t="n"/>
      <c r="F144" s="190" t="n"/>
      <c r="G144" s="189" t="n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</row>
    <row r="44" ht="16.5" customHeight="1" s="278">
      <c r="B44" s="385" t="n">
        <v>46196</v>
      </c>
      <c r="C44" s="386" t="inlineStr">
        <is>
          <t>Tue</t>
        </is>
      </c>
      <c r="D44" s="387" t="n">
        <v>1452</v>
      </c>
      <c r="E44" s="37" t="n">
        <v>1515</v>
      </c>
      <c r="F44" s="38">
        <f>IFERROR(D44+E44+G44,0)</f>
        <v/>
      </c>
      <c r="G44" s="388" t="n">
        <v>0</v>
      </c>
      <c r="H44" s="389">
        <f>SUMIFS('💸 Expenses'!$F$8:$F$500,'💸 Expenses'!$B$8:$B$500,"&gt;="&amp;B44,'💸 Expenses'!$B$8:$B$500,"&lt;"&amp;(B44+1))</f>
        <v/>
      </c>
      <c r="I44" s="390">
        <f>IFERROR(F44-H44,0)</f>
        <v/>
      </c>
      <c r="J44" s="391">
        <f>IFERROR(I44/F44,0)</f>
        <v/>
      </c>
      <c r="K44" s="251" t="n"/>
      <c r="L44" s="392" t="inlineStr">
        <is>
          <t>Cierre via loka.py</t>
        </is>
      </c>
      <c r="M44" s="12" t="n"/>
      <c r="N44" s="44" t="n"/>
      <c r="O44" s="45" t="n"/>
      <c r="P44" s="46" t="n"/>
      <c r="Q44" s="44" t="n"/>
    </row>
    <row r="45" ht="16.5" customHeight="1" s="278">
      <c r="B45" s="385" t="n">
        <v>46197</v>
      </c>
      <c r="C45" s="256" t="inlineStr">
        <is>
          <t>Wed</t>
        </is>
      </c>
      <c r="D45" s="257" t="n">
        <v>1064</v>
      </c>
      <c r="E45" s="49" t="n">
        <v>2525</v>
      </c>
      <c r="F45" s="50">
        <f>IFERROR(D45+E45+G45,0)</f>
        <v/>
      </c>
      <c r="G45" s="258" t="n">
        <v>0</v>
      </c>
      <c r="H45" s="259">
        <f>SUMIFS('💸 Expenses'!$F$8:$F$500,'💸 Expenses'!$B$8:$B$500,"&gt;="&amp;B45,'💸 Expenses'!$B$8:$B$500,"&lt;"&amp;(B45+1))</f>
        <v/>
      </c>
      <c r="I45" s="260">
        <f>IFERROR(F45-H45,0)</f>
        <v/>
      </c>
      <c r="J45" s="261">
        <f>IFERROR(I45/F45,0)</f>
        <v/>
      </c>
      <c r="K45" s="255" t="n"/>
      <c r="L45" s="262" t="inlineStr">
        <is>
          <t>Cierre via loka.py</t>
        </is>
      </c>
      <c r="M45" s="21" t="n"/>
      <c r="N45" s="56" t="n"/>
      <c r="O45" s="57" t="n"/>
      <c r="P45" s="58" t="n"/>
      <c r="Q45" s="56" t="n"/>
    </row>
    <row r="46" ht="16.5" customHeight="1" s="278">
      <c r="B46" s="385" t="n">
        <v>46198</v>
      </c>
      <c r="C46" s="386" t="inlineStr">
        <is>
          <t>Thu</t>
        </is>
      </c>
      <c r="D46" s="387" t="n">
        <v>1735</v>
      </c>
      <c r="E46" s="37" t="n">
        <v>1853</v>
      </c>
      <c r="F46" s="38">
        <f>IFERROR(D46+E46+G46,0)</f>
        <v/>
      </c>
      <c r="G46" s="388" t="n">
        <v>0</v>
      </c>
      <c r="H46" s="389">
        <f>SUMIFS('💸 Expenses'!$F$8:$F$500,'💸 Expenses'!$B$8:$B$500,"&gt;="&amp;B46,'💸 Expenses'!$B$8:$B$500,"&lt;"&amp;(B46+1))</f>
        <v/>
      </c>
      <c r="I46" s="390">
        <f>IFERROR(F46-H46,0)</f>
        <v/>
      </c>
      <c r="J46" s="391">
        <f>IFERROR(I46/F46,0)</f>
        <v/>
      </c>
      <c r="K46" s="251" t="n"/>
      <c r="L46" s="392" t="inlineStr">
        <is>
          <t>Cierre via loka.py</t>
        </is>
      </c>
      <c r="M46" s="12" t="n"/>
      <c r="N46" s="44" t="n"/>
      <c r="O46" s="45" t="n"/>
      <c r="P46" s="46" t="n"/>
      <c r="Q46" s="44" t="n"/>
    </row>
    <row r="47" ht="16.5" customHeight="1" s="278">
      <c r="B47" s="385" t="n">
        <v>46199</v>
      </c>
      <c r="C47" s="256" t="inlineStr">
        <is>
          <t>Fri</t>
        </is>
      </c>
      <c r="D47" s="257" t="n">
        <v>1719</v>
      </c>
      <c r="E47" s="49" t="n">
        <v>2593</v>
      </c>
      <c r="F47" s="50">
        <f>IFERROR(D47+E47+G47,0)</f>
        <v/>
      </c>
      <c r="G47" s="258" t="n">
        <v>165</v>
      </c>
      <c r="H47" s="259">
        <f>SUMIFS('💸 Expenses'!$F$8:$F$500,'💸 Expenses'!$B$8:$B$500,"&gt;="&amp;B47,'💸 Expenses'!$B$8:$B$500,"&lt;"&amp;(B47+1))</f>
        <v/>
      </c>
      <c r="I47" s="260">
        <f>IFERROR(F47-H47,0)</f>
        <v/>
      </c>
      <c r="J47" s="261">
        <f>IFERROR(I47/F47,0)</f>
        <v/>
      </c>
      <c r="K47" s="255" t="n"/>
      <c r="L47" s="262" t="inlineStr">
        <is>
          <t>Cierre via loka.py</t>
        </is>
      </c>
      <c r="M47" s="21" t="n"/>
      <c r="N47" s="56" t="n"/>
      <c r="O47" s="57" t="n"/>
      <c r="P47" s="58" t="n"/>
      <c r="Q47" s="56" t="n"/>
    </row>
    <row r="48" ht="16.5" customHeight="1" s="278">
      <c r="B48" s="385" t="n">
        <v>46200</v>
      </c>
      <c r="C48" s="386" t="inlineStr">
        <is>
          <t>Sat</t>
        </is>
      </c>
      <c r="D48" s="387" t="n">
        <v>175</v>
      </c>
      <c r="E48" s="37" t="n">
        <v>1854</v>
      </c>
      <c r="F48" s="38">
        <f>IFERROR(D48+E48+G48,0)</f>
        <v/>
      </c>
      <c r="G48" s="388" t="n">
        <v>0</v>
      </c>
      <c r="H48" s="389">
        <f>SUMIFS('💸 Expenses'!$F$8:$F$500,'💸 Expenses'!$B$8:$B$500,"&gt;="&amp;B48,'💸 Expenses'!$B$8:$B$500,"&lt;"&amp;(B48+1))</f>
        <v/>
      </c>
      <c r="I48" s="390">
        <f>IFERROR(F48-H48,0)</f>
        <v/>
      </c>
      <c r="J48" s="391">
        <f>IFERROR(I48/F48,0)</f>
        <v/>
      </c>
      <c r="K48" s="251" t="n"/>
      <c r="L48" s="392" t="inlineStr">
        <is>
          <t>Cierre via loka.py</t>
        </is>
      </c>
      <c r="M48" s="12" t="n"/>
      <c r="N48" s="44" t="n"/>
      <c r="O48" s="45" t="n"/>
      <c r="P48" s="46" t="n"/>
      <c r="Q48" s="44" t="n"/>
    </row>
    <row r="49" ht="16.5" customHeight="1" s="278">
      <c r="B49" s="385" t="n">
        <v>46201</v>
      </c>
      <c r="C49" s="256" t="inlineStr">
        <is>
          <t>Sun</t>
        </is>
      </c>
      <c r="D49" s="257" t="n">
        <v>0</v>
      </c>
      <c r="E49" s="49" t="n">
        <v>0</v>
      </c>
      <c r="F49" s="50">
        <f>IFERROR(D49+E49+G49,0)</f>
        <v/>
      </c>
      <c r="G49" s="258" t="n">
        <v>0</v>
      </c>
      <c r="H49" s="259">
        <f>SUMIFS('💸 Expenses'!$F$8:$F$500,'💸 Expenses'!$B$8:$B$500,"&gt;="&amp;B49,'💸 Expenses'!$B$8:$B$500,"&lt;"&amp;(B49+1))</f>
        <v/>
      </c>
      <c r="I49" s="260">
        <f>IFERROR(F49-H49,0)</f>
        <v/>
      </c>
      <c r="J49" s="261">
        <f>IFERROR(I49/F49,0)</f>
        <v/>
      </c>
      <c r="K49" s="255" t="n"/>
      <c r="L49" s="262" t="inlineStr">
        <is>
          <t>Cierre via loka.py</t>
        </is>
      </c>
      <c r="M49" s="21" t="n"/>
      <c r="N49" s="56" t="n"/>
      <c r="O49" s="57" t="n"/>
      <c r="P49" s="58" t="n"/>
      <c r="Q49" s="56" t="n"/>
    </row>
    <row r="50" ht="16.5" customHeight="1" s="278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8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8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382" t="n">
        <v>46196</v>
      </c>
      <c r="C331" s="248" t="inlineStr">
        <is>
          <t>Sushi ingredients: arroz para sushi + alga nori</t>
        </is>
      </c>
      <c r="D331" s="249" t="inlineStr">
        <is>
          <t>H-E-B</t>
        </is>
      </c>
      <c r="E331" s="248" t="inlineStr">
        <is>
          <t>Ingredients - Pantry</t>
        </is>
      </c>
      <c r="F331" s="67" t="n">
        <v>269.5</v>
      </c>
      <c r="G331" s="250" t="inlineStr">
        <is>
          <t>Restaurant</t>
        </is>
      </c>
      <c r="H331" s="250" t="inlineStr">
        <is>
          <t>Card</t>
        </is>
      </c>
      <c r="I331" s="251" t="inlineStr">
        <is>
          <t>✅ Paid</t>
        </is>
      </c>
      <c r="J331" s="383" t="inlineStr">
        <is>
          <t>CB PROSA 3982 Aut 766296 (part of 366 ticket)</t>
        </is>
      </c>
    </row>
    <row r="332">
      <c r="B332" s="382" t="n">
        <v>46196</v>
      </c>
      <c r="C332" s="252" t="inlineStr">
        <is>
          <t>Sushi supplies: makisu mat + palillos</t>
        </is>
      </c>
      <c r="D332" s="253" t="inlineStr">
        <is>
          <t>H-E-B</t>
        </is>
      </c>
      <c r="E332" s="252" t="inlineStr">
        <is>
          <t>Kitchen Supplies</t>
        </is>
      </c>
      <c r="F332" s="70" t="n">
        <v>96.5</v>
      </c>
      <c r="G332" s="254" t="inlineStr">
        <is>
          <t>Restaurant</t>
        </is>
      </c>
      <c r="H332" s="254" t="inlineStr">
        <is>
          <t>Card</t>
        </is>
      </c>
      <c r="I332" s="255" t="inlineStr">
        <is>
          <t>✅ Paid</t>
        </is>
      </c>
      <c r="J332" s="383" t="inlineStr">
        <is>
          <t>Part of 366 H-E-B ticket</t>
        </is>
      </c>
    </row>
    <row r="333">
      <c r="B333" s="382" t="n">
        <v>46196</v>
      </c>
      <c r="C333" s="248" t="inlineStr">
        <is>
          <t>Carne / meat (handwritten remision)</t>
        </is>
      </c>
      <c r="D333" s="249" t="inlineStr">
        <is>
          <t>Miscelanea LC La Cruz</t>
        </is>
      </c>
      <c r="E333" s="248" t="inlineStr">
        <is>
          <t>Ingredients - Meat</t>
        </is>
      </c>
      <c r="F333" s="67" t="n">
        <v>151</v>
      </c>
      <c r="G333" s="250" t="inlineStr">
        <is>
          <t>Restaurant</t>
        </is>
      </c>
      <c r="H333" s="250" t="inlineStr">
        <is>
          <t>Card</t>
        </is>
      </c>
      <c r="I333" s="251" t="inlineStr">
        <is>
          <t>✅ Paid</t>
        </is>
      </c>
      <c r="J333" s="383" t="inlineStr">
        <is>
          <t>Getnet 3982 Aut 993325</t>
        </is>
      </c>
    </row>
    <row r="334">
      <c r="B334" s="382" t="n">
        <v>46196</v>
      </c>
      <c r="C334" s="252" t="inlineStr">
        <is>
          <t>Hielo (ice)</t>
        </is>
      </c>
      <c r="D334" s="253" t="inlineStr">
        <is>
          <t>Local purchase</t>
        </is>
      </c>
      <c r="E334" s="252" t="inlineStr">
        <is>
          <t>Ingredients - Beverages</t>
        </is>
      </c>
      <c r="F334" s="70" t="n">
        <v>150</v>
      </c>
      <c r="G334" s="254" t="inlineStr">
        <is>
          <t>Restaurant</t>
        </is>
      </c>
      <c r="H334" s="254" t="inlineStr">
        <is>
          <t>Cash</t>
        </is>
      </c>
      <c r="I334" s="255" t="inlineStr">
        <is>
          <t>✅ Paid</t>
        </is>
      </c>
      <c r="J334" s="383" t="inlineStr">
        <is>
          <t>No bill</t>
        </is>
      </c>
    </row>
    <row r="335">
      <c r="B335" s="382" t="n">
        <v>46196</v>
      </c>
      <c r="C335" s="248" t="inlineStr">
        <is>
          <t>Pan molido (breadcrumbs)</t>
        </is>
      </c>
      <c r="D335" s="249" t="inlineStr">
        <is>
          <t>Local purchase</t>
        </is>
      </c>
      <c r="E335" s="248" t="inlineStr">
        <is>
          <t>Ingredients - Pantry</t>
        </is>
      </c>
      <c r="F335" s="67" t="n">
        <v>46</v>
      </c>
      <c r="G335" s="250" t="inlineStr">
        <is>
          <t>Restaurant</t>
        </is>
      </c>
      <c r="H335" s="250" t="inlineStr">
        <is>
          <t>Cash</t>
        </is>
      </c>
      <c r="I335" s="251" t="inlineStr">
        <is>
          <t>✅ Paid</t>
        </is>
      </c>
      <c r="J335" s="383" t="inlineStr">
        <is>
          <t>No bill</t>
        </is>
      </c>
    </row>
    <row r="336">
      <c r="B336" s="382" t="n">
        <v>46196</v>
      </c>
      <c r="C336" s="252" t="inlineStr">
        <is>
          <t>Tortillas blanca 3.395 kg</t>
        </is>
      </c>
      <c r="D336" s="253" t="inlineStr">
        <is>
          <t>Chedraui Selecto</t>
        </is>
      </c>
      <c r="E336" s="252" t="inlineStr">
        <is>
          <t>Ingredients - Bread</t>
        </is>
      </c>
      <c r="F336" s="70" t="n">
        <v>44.13</v>
      </c>
      <c r="G336" s="254" t="inlineStr">
        <is>
          <t>Restaurant</t>
        </is>
      </c>
      <c r="H336" s="254" t="inlineStr">
        <is>
          <t>Card</t>
        </is>
      </c>
      <c r="I336" s="255" t="inlineStr">
        <is>
          <t>✅ Paid</t>
        </is>
      </c>
      <c r="J336" s="383" t="inlineStr">
        <is>
          <t>Debito BBVA 3982 Aut 651338 Folio 2606230937026818</t>
        </is>
      </c>
    </row>
    <row r="337">
      <c r="B337" s="382" t="n">
        <v>46197</v>
      </c>
      <c r="C337" s="248" t="inlineStr">
        <is>
          <t>Queso crema Lala 190g x2</t>
        </is>
      </c>
      <c r="D337" s="249" t="inlineStr">
        <is>
          <t>Chedraui Paseo</t>
        </is>
      </c>
      <c r="E337" s="248" t="inlineStr">
        <is>
          <t>Ingredients - Dairy</t>
        </is>
      </c>
      <c r="F337" s="67" t="n">
        <v>72</v>
      </c>
      <c r="G337" s="250" t="inlineStr">
        <is>
          <t>Restaurant</t>
        </is>
      </c>
      <c r="H337" s="250" t="inlineStr">
        <is>
          <t>Card</t>
        </is>
      </c>
      <c r="I337" s="251" t="inlineStr">
        <is>
          <t>✅ Paid</t>
        </is>
      </c>
      <c r="J337" s="383" t="inlineStr">
        <is>
          <t>Debito BBVA 3982; Chedraui Paseo ticket total 126.33 (crema+tortillas), dairy portion</t>
        </is>
      </c>
    </row>
    <row r="338">
      <c r="B338" s="382" t="n">
        <v>46197</v>
      </c>
      <c r="C338" s="252" t="inlineStr">
        <is>
          <t>Tortillas blancas x2</t>
        </is>
      </c>
      <c r="D338" s="253" t="inlineStr">
        <is>
          <t>Chedraui Paseo</t>
        </is>
      </c>
      <c r="E338" s="252" t="inlineStr">
        <is>
          <t>Ingredients - Bread</t>
        </is>
      </c>
      <c r="F338" s="70" t="n">
        <v>54.33</v>
      </c>
      <c r="G338" s="254" t="inlineStr">
        <is>
          <t>Restaurant</t>
        </is>
      </c>
      <c r="H338" s="254" t="inlineStr">
        <is>
          <t>Card</t>
        </is>
      </c>
      <c r="I338" s="255" t="inlineStr">
        <is>
          <t>✅ Paid</t>
        </is>
      </c>
      <c r="J338" s="383" t="inlineStr">
        <is>
          <t>Debito BBVA 3982; same Chedraui ticket, bread portion</t>
        </is>
      </c>
    </row>
    <row r="339">
      <c r="B339" s="382" t="n">
        <v>46197</v>
      </c>
      <c r="C339" s="248" t="inlineStr">
        <is>
          <t>Crema acida x2</t>
        </is>
      </c>
      <c r="D339" s="249" t="inlineStr">
        <is>
          <t>Sam's Club</t>
        </is>
      </c>
      <c r="E339" s="248" t="inlineStr">
        <is>
          <t>Ingredients - Dairy</t>
        </is>
      </c>
      <c r="F339" s="67" t="n">
        <v>479.84</v>
      </c>
      <c r="G339" s="250" t="inlineStr">
        <is>
          <t>Restaurant</t>
        </is>
      </c>
      <c r="H339" s="250" t="inlineStr">
        <is>
          <t>Card</t>
        </is>
      </c>
      <c r="I339" s="251" t="inlineStr">
        <is>
          <t>✅ Paid</t>
        </is>
      </c>
      <c r="J339" s="383" t="inlineStr">
        <is>
          <t>Debito Mastercard **82; Sam's ticket 1512.00 net of cuponera -32.73 + descuento -34.77; dairy portion of split</t>
        </is>
      </c>
    </row>
    <row r="340">
      <c r="B340" s="382" t="n">
        <v>46197</v>
      </c>
      <c r="C340" s="252" t="inlineStr">
        <is>
          <t>Condimix 3.6, Mayo Real, Arroz Morel</t>
        </is>
      </c>
      <c r="D340" s="253" t="inlineStr">
        <is>
          <t>Sam's Club</t>
        </is>
      </c>
      <c r="E340" s="252" t="inlineStr">
        <is>
          <t>Ingredients - Pantry</t>
        </is>
      </c>
      <c r="F340" s="70" t="n">
        <v>1032.16</v>
      </c>
      <c r="G340" s="254" t="inlineStr">
        <is>
          <t>Restaurant</t>
        </is>
      </c>
      <c r="H340" s="254" t="inlineStr">
        <is>
          <t>Card</t>
        </is>
      </c>
      <c r="I340" s="255" t="inlineStr">
        <is>
          <t>✅ Paid</t>
        </is>
      </c>
      <c r="J340" s="383" t="inlineStr">
        <is>
          <t>Debito Mastercard **82; pantry portion of 1512.00 Sam's ticket</t>
        </is>
      </c>
    </row>
    <row r="341">
      <c r="B341" s="382" t="n">
        <v>46197</v>
      </c>
      <c r="C341" s="248" t="inlineStr">
        <is>
          <t>Gas LP</t>
        </is>
      </c>
      <c r="D341" s="249" t="inlineStr">
        <is>
          <t>Gas Tomza de Mexico</t>
        </is>
      </c>
      <c r="E341" s="248" t="inlineStr">
        <is>
          <t>Utilities / Gas</t>
        </is>
      </c>
      <c r="F341" s="67" t="n">
        <v>1499.52</v>
      </c>
      <c r="G341" s="250" t="inlineStr">
        <is>
          <t>Restaurant</t>
        </is>
      </c>
      <c r="H341" s="250" t="inlineStr">
        <is>
          <t>Cash</t>
        </is>
      </c>
      <c r="I341" s="251" t="inlineStr">
        <is>
          <t>✅ Paid</t>
        </is>
      </c>
      <c r="J341" s="383" t="inlineStr">
        <is>
          <t>Remision 8900 @ $10.58/L IVA incl; pague antes 25/06; paid cash</t>
        </is>
      </c>
    </row>
    <row r="342">
      <c r="B342" s="382" t="n">
        <v>46197</v>
      </c>
      <c r="C342" s="252" t="inlineStr">
        <is>
          <t>Filete de salmon 1.03 kg @ 350/kg</t>
        </is>
      </c>
      <c r="D342" s="253" t="inlineStr">
        <is>
          <t>Brisa del Mar</t>
        </is>
      </c>
      <c r="E342" s="252" t="inlineStr">
        <is>
          <t>Ingredients - Meat &amp; Fish</t>
        </is>
      </c>
      <c r="F342" s="70" t="n">
        <v>360.5</v>
      </c>
      <c r="G342" s="254" t="inlineStr">
        <is>
          <t>Restaurant</t>
        </is>
      </c>
      <c r="H342" s="254" t="inlineStr">
        <is>
          <t>Cash</t>
        </is>
      </c>
      <c r="I342" s="255" t="inlineStr">
        <is>
          <t>✅ Paid</t>
        </is>
      </c>
      <c r="J342" s="383" t="inlineStr">
        <is>
          <t>Contado; NT 027672</t>
        </is>
      </c>
    </row>
    <row r="343">
      <c r="B343" s="382" t="n">
        <v>46197</v>
      </c>
      <c r="C343" s="248" t="inlineStr">
        <is>
          <t>Naranjada 1L x6</t>
        </is>
      </c>
      <c r="D343" s="249" t="inlineStr">
        <is>
          <t>Casa Reca</t>
        </is>
      </c>
      <c r="E343" s="248" t="inlineStr">
        <is>
          <t>Ingredients - Beverages</t>
        </is>
      </c>
      <c r="F343" s="67" t="n">
        <v>150</v>
      </c>
      <c r="G343" s="250" t="inlineStr">
        <is>
          <t>Restaurant</t>
        </is>
      </c>
      <c r="H343" s="250" t="inlineStr">
        <is>
          <t>Cash</t>
        </is>
      </c>
      <c r="I343" s="251" t="inlineStr">
        <is>
          <t>✅ Paid</t>
        </is>
      </c>
      <c r="J343" s="383" t="inlineStr">
        <is>
          <t>Nota QR-37; 6 pzas; canje CJ-4 (horchata/naranjada/tamarindo) $0; paid cash</t>
        </is>
      </c>
    </row>
    <row r="344">
      <c r="B344" s="382" t="n">
        <v>46197</v>
      </c>
      <c r="C344" s="252" t="inlineStr">
        <is>
          <t>Papas (potatoes)</t>
        </is>
      </c>
      <c r="D344" s="253" t="inlineStr">
        <is>
          <t>Local purchase</t>
        </is>
      </c>
      <c r="E344" s="252" t="inlineStr">
        <is>
          <t>Ingredients - Vegetables</t>
        </is>
      </c>
      <c r="F344" s="70" t="n">
        <v>133</v>
      </c>
      <c r="G344" s="254" t="inlineStr">
        <is>
          <t>Restaurant</t>
        </is>
      </c>
      <c r="H344" s="254" t="inlineStr">
        <is>
          <t>Cash</t>
        </is>
      </c>
      <c r="I344" s="255" t="inlineStr">
        <is>
          <t>✅ Paid</t>
        </is>
      </c>
      <c r="J344" s="383" t="inlineStr">
        <is>
          <t>No bill</t>
        </is>
      </c>
    </row>
    <row r="345">
      <c r="B345" s="382" t="n">
        <v>46198</v>
      </c>
      <c r="C345" s="248" t="inlineStr">
        <is>
          <t>Muslo (chicken thigh) ~12.3 kg @ $50/kg</t>
        </is>
      </c>
      <c r="D345" s="249" t="inlineStr">
        <is>
          <t>Oh lele / Local</t>
        </is>
      </c>
      <c r="E345" s="248" t="inlineStr">
        <is>
          <t>Ingredients - Meat</t>
        </is>
      </c>
      <c r="F345" s="67" t="n">
        <v>615</v>
      </c>
      <c r="G345" s="250" t="inlineStr">
        <is>
          <t>Restaurant</t>
        </is>
      </c>
      <c r="H345" s="250" t="inlineStr">
        <is>
          <t>Cash</t>
        </is>
      </c>
      <c r="I345" s="251" t="inlineStr">
        <is>
          <t>✅ Paid</t>
        </is>
      </c>
      <c r="J345" s="383" t="inlineStr">
        <is>
          <t>Nota de remision (handwritten, Loka Cafe); total $615; cash</t>
        </is>
      </c>
    </row>
    <row r="346">
      <c r="B346" s="382" t="n">
        <v>46198</v>
      </c>
      <c r="C346" s="252" t="inlineStr">
        <is>
          <t>Costilla cd (pork ribs) 3.15 kg @ ~$103/kg</t>
        </is>
      </c>
      <c r="D346" s="253" t="inlineStr">
        <is>
          <t>Miscelanea LC La Cruz</t>
        </is>
      </c>
      <c r="E346" s="252" t="inlineStr">
        <is>
          <t>Ingredients - Meat</t>
        </is>
      </c>
      <c r="F346" s="70" t="n">
        <v>318</v>
      </c>
      <c r="G346" s="254" t="inlineStr">
        <is>
          <t>Restaurant</t>
        </is>
      </c>
      <c r="H346" s="254" t="inlineStr">
        <is>
          <t>Card</t>
        </is>
      </c>
      <c r="I346" s="255" t="inlineStr">
        <is>
          <t>✅ Paid</t>
        </is>
      </c>
      <c r="J346" s="383" t="inlineStr">
        <is>
          <t>Remision ~319 handwritten; Getnet card charge 318.00; card **3982 Aut 298095; LC remision partly illegible</t>
        </is>
      </c>
    </row>
    <row r="347">
      <c r="B347" s="382" t="n">
        <v>46198</v>
      </c>
      <c r="C347" s="248" t="inlineStr">
        <is>
          <t>Papas (potatoes)</t>
        </is>
      </c>
      <c r="D347" s="249" t="inlineStr">
        <is>
          <t>Local purchase</t>
        </is>
      </c>
      <c r="E347" s="248" t="inlineStr">
        <is>
          <t>Ingredients - Vegetables</t>
        </is>
      </c>
      <c r="F347" s="67" t="n">
        <v>64</v>
      </c>
      <c r="G347" s="250" t="inlineStr">
        <is>
          <t>Restaurant</t>
        </is>
      </c>
      <c r="H347" s="250" t="inlineStr">
        <is>
          <t>Cash</t>
        </is>
      </c>
      <c r="I347" s="251" t="inlineStr">
        <is>
          <t>✅ Paid</t>
        </is>
      </c>
      <c r="J347" s="383" t="inlineStr">
        <is>
          <t>No bill</t>
        </is>
      </c>
    </row>
    <row r="348">
      <c r="B348" s="382" t="n">
        <v>46198</v>
      </c>
      <c r="C348" s="252" t="inlineStr">
        <is>
          <t>Pan dulces</t>
        </is>
      </c>
      <c r="D348" s="253" t="inlineStr">
        <is>
          <t>Local purchase</t>
        </is>
      </c>
      <c r="E348" s="252" t="inlineStr">
        <is>
          <t>Ingredients - Bread</t>
        </is>
      </c>
      <c r="F348" s="70" t="n">
        <v>96</v>
      </c>
      <c r="G348" s="254" t="inlineStr">
        <is>
          <t>Restaurant</t>
        </is>
      </c>
      <c r="H348" s="254" t="inlineStr">
        <is>
          <t>Cash</t>
        </is>
      </c>
      <c r="I348" s="255" t="inlineStr">
        <is>
          <t>✅ Paid</t>
        </is>
      </c>
      <c r="J348" s="383" t="inlineStr">
        <is>
          <t>No bill</t>
        </is>
      </c>
    </row>
    <row r="349">
      <c r="B349" s="382" t="n">
        <v>46198</v>
      </c>
      <c r="C349" s="248" t="inlineStr">
        <is>
          <t>Agua natural</t>
        </is>
      </c>
      <c r="D349" s="249" t="inlineStr">
        <is>
          <t>Local purchase</t>
        </is>
      </c>
      <c r="E349" s="248" t="inlineStr">
        <is>
          <t>Supplies / Other</t>
        </is>
      </c>
      <c r="F349" s="67" t="n">
        <v>60</v>
      </c>
      <c r="G349" s="250" t="inlineStr">
        <is>
          <t>Restaurant</t>
        </is>
      </c>
      <c r="H349" s="250" t="inlineStr">
        <is>
          <t>Cash</t>
        </is>
      </c>
      <c r="I349" s="251" t="inlineStr">
        <is>
          <t>✅ Paid</t>
        </is>
      </c>
      <c r="J349" s="383" t="inlineStr">
        <is>
          <t>No bill</t>
        </is>
      </c>
    </row>
    <row r="350">
      <c r="B350" s="382" t="n">
        <v>46198</v>
      </c>
      <c r="C350" s="252" t="inlineStr">
        <is>
          <t>Frigadora (kitchenware)</t>
        </is>
      </c>
      <c r="D350" s="253" t="inlineStr">
        <is>
          <t>Local purchase</t>
        </is>
      </c>
      <c r="E350" s="252" t="inlineStr">
        <is>
          <t>Kitchen Supplies</t>
        </is>
      </c>
      <c r="F350" s="70" t="n">
        <v>45</v>
      </c>
      <c r="G350" s="254" t="inlineStr">
        <is>
          <t>Restaurant</t>
        </is>
      </c>
      <c r="H350" s="254" t="inlineStr">
        <is>
          <t>Cash</t>
        </is>
      </c>
      <c r="I350" s="255" t="inlineStr">
        <is>
          <t>✅ Paid</t>
        </is>
      </c>
      <c r="J350" s="383" t="inlineStr">
        <is>
          <t>No bill</t>
        </is>
      </c>
    </row>
    <row r="351">
      <c r="B351" s="382" t="n">
        <v>46198</v>
      </c>
      <c r="C351" s="248" t="inlineStr">
        <is>
          <t>Gancho (hook)</t>
        </is>
      </c>
      <c r="D351" s="249" t="inlineStr">
        <is>
          <t>Local purchase</t>
        </is>
      </c>
      <c r="E351" s="248" t="inlineStr">
        <is>
          <t>Supplies / Other</t>
        </is>
      </c>
      <c r="F351" s="67" t="n">
        <v>30</v>
      </c>
      <c r="G351" s="250" t="inlineStr">
        <is>
          <t>Restaurant</t>
        </is>
      </c>
      <c r="H351" s="250" t="inlineStr">
        <is>
          <t>Cash</t>
        </is>
      </c>
      <c r="I351" s="251" t="inlineStr">
        <is>
          <t>✅ Paid</t>
        </is>
      </c>
      <c r="J351" s="383" t="inlineStr">
        <is>
          <t>No bill</t>
        </is>
      </c>
    </row>
    <row r="352">
      <c r="B352" s="382" t="n">
        <v>46199</v>
      </c>
      <c r="C352" s="252" t="inlineStr">
        <is>
          <t>Zanahoria, cilantro, tomate (granel)</t>
        </is>
      </c>
      <c r="D352" s="253" t="inlineStr">
        <is>
          <t>Chedraui Paseo</t>
        </is>
      </c>
      <c r="E352" s="252" t="inlineStr">
        <is>
          <t>Ingredients - Vegetables</t>
        </is>
      </c>
      <c r="F352" s="70" t="n">
        <v>45.74</v>
      </c>
      <c r="G352" s="254" t="inlineStr">
        <is>
          <t>Restaurant</t>
        </is>
      </c>
      <c r="H352" s="254" t="inlineStr">
        <is>
          <t>Card</t>
        </is>
      </c>
      <c r="I352" s="255" t="inlineStr">
        <is>
          <t>✅ Paid</t>
        </is>
      </c>
      <c r="J352" s="383" t="inlineStr">
        <is>
          <t>Debito BBVA 3982; Chedraui ticket total 99.53 (veg+tortillas), veg portion</t>
        </is>
      </c>
    </row>
    <row r="353">
      <c r="B353" s="382" t="n">
        <v>46199</v>
      </c>
      <c r="C353" s="248" t="inlineStr">
        <is>
          <t>Tortillas blancas x2</t>
        </is>
      </c>
      <c r="D353" s="249" t="inlineStr">
        <is>
          <t>Chedraui Paseo</t>
        </is>
      </c>
      <c r="E353" s="248" t="inlineStr">
        <is>
          <t>Ingredients - Bread</t>
        </is>
      </c>
      <c r="F353" s="67" t="n">
        <v>53.79</v>
      </c>
      <c r="G353" s="250" t="inlineStr">
        <is>
          <t>Restaurant</t>
        </is>
      </c>
      <c r="H353" s="250" t="inlineStr">
        <is>
          <t>Card</t>
        </is>
      </c>
      <c r="I353" s="251" t="inlineStr">
        <is>
          <t>✅ Paid</t>
        </is>
      </c>
      <c r="J353" s="383" t="inlineStr">
        <is>
          <t>Debito BBVA 3982; same Chedraui ticket, bread portion</t>
        </is>
      </c>
    </row>
    <row r="354">
      <c r="B354" s="382" t="n">
        <v>46199</v>
      </c>
      <c r="C354" s="252" t="inlineStr">
        <is>
          <t>Curcuma (turmeric) 70g</t>
        </is>
      </c>
      <c r="D354" s="253" t="inlineStr">
        <is>
          <t>H-E-B</t>
        </is>
      </c>
      <c r="E354" s="252" t="inlineStr">
        <is>
          <t>Ingredients - Pantry</t>
        </is>
      </c>
      <c r="F354" s="70" t="n">
        <v>14</v>
      </c>
      <c r="G354" s="254" t="inlineStr">
        <is>
          <t>Restaurant</t>
        </is>
      </c>
      <c r="H354" s="254" t="inlineStr">
        <is>
          <t>Cash</t>
        </is>
      </c>
      <c r="I354" s="255" t="inlineStr">
        <is>
          <t>✅ Paid</t>
        </is>
      </c>
      <c r="J354" s="383" t="inlineStr">
        <is>
          <t>Efectivo; ticket 215/07/02997</t>
        </is>
      </c>
    </row>
    <row r="355">
      <c r="B355" s="382" t="n">
        <v>46199</v>
      </c>
      <c r="C355" s="248" t="inlineStr">
        <is>
          <t>Lechugas (lettuce)</t>
        </is>
      </c>
      <c r="D355" s="249" t="inlineStr">
        <is>
          <t>Local purchase</t>
        </is>
      </c>
      <c r="E355" s="248" t="inlineStr">
        <is>
          <t>Ingredients - Vegetables</t>
        </is>
      </c>
      <c r="F355" s="67" t="n">
        <v>40</v>
      </c>
      <c r="G355" s="250" t="inlineStr">
        <is>
          <t>Restaurant</t>
        </is>
      </c>
      <c r="H355" s="250" t="inlineStr">
        <is>
          <t>Cash</t>
        </is>
      </c>
      <c r="I355" s="251" t="inlineStr">
        <is>
          <t>✅ Paid</t>
        </is>
      </c>
      <c r="J355" s="383" t="inlineStr">
        <is>
          <t>No bill</t>
        </is>
      </c>
    </row>
    <row r="356">
      <c r="B356" s="382" t="n">
        <v>46199</v>
      </c>
      <c r="C356" s="252" t="inlineStr">
        <is>
          <t>Queso Panela</t>
        </is>
      </c>
      <c r="D356" s="253" t="inlineStr">
        <is>
          <t>Local purchase</t>
        </is>
      </c>
      <c r="E356" s="252" t="inlineStr">
        <is>
          <t>Ingredients - Dairy</t>
        </is>
      </c>
      <c r="F356" s="70" t="n">
        <v>592</v>
      </c>
      <c r="G356" s="254" t="inlineStr">
        <is>
          <t>Restaurant</t>
        </is>
      </c>
      <c r="H356" s="254" t="inlineStr">
        <is>
          <t>Cash</t>
        </is>
      </c>
      <c r="I356" s="255" t="inlineStr">
        <is>
          <t>✅ Paid</t>
        </is>
      </c>
      <c r="J356" s="383" t="inlineStr">
        <is>
          <t>No bill</t>
        </is>
      </c>
    </row>
    <row r="357">
      <c r="B357" s="382" t="n">
        <v>46201</v>
      </c>
      <c r="C357" s="248" t="inlineStr">
        <is>
          <t>Mi Huevo Blanco (white eggs) 5.59 kg @ $24/kg</t>
        </is>
      </c>
      <c r="D357" s="249" t="inlineStr">
        <is>
          <t>Delgado Semillas y Especias</t>
        </is>
      </c>
      <c r="E357" s="248" t="inlineStr">
        <is>
          <t>Ingredients - Eggs</t>
        </is>
      </c>
      <c r="F357" s="67" t="n">
        <v>134.16</v>
      </c>
      <c r="G357" s="250" t="inlineStr">
        <is>
          <t>Restaurant</t>
        </is>
      </c>
      <c r="H357" s="250" t="inlineStr">
        <is>
          <t>Cash</t>
        </is>
      </c>
      <c r="I357" s="251" t="inlineStr">
        <is>
          <t>✅ Paid</t>
        </is>
      </c>
      <c r="J357" s="383" t="inlineStr">
        <is>
          <t>Folio 134837; efectivo</t>
        </is>
      </c>
    </row>
    <row r="358">
      <c r="B358" s="382" t="n">
        <v>46201</v>
      </c>
      <c r="C358" s="252" t="inlineStr">
        <is>
          <t>Dart lids 10oz + Dart cups 10 + aluminum foil 45cm</t>
        </is>
      </c>
      <c r="D358" s="253" t="inlineStr">
        <is>
          <t>Basicos en Alimentos</t>
        </is>
      </c>
      <c r="E358" s="252" t="inlineStr">
        <is>
          <t>Supplies / Other</t>
        </is>
      </c>
      <c r="F358" s="70" t="n">
        <v>395</v>
      </c>
      <c r="G358" s="254" t="inlineStr">
        <is>
          <t>Restaurant</t>
        </is>
      </c>
      <c r="H358" s="254" t="inlineStr">
        <is>
          <t>Card</t>
        </is>
      </c>
      <c r="I358" s="255" t="inlineStr">
        <is>
          <t>✅ Paid</t>
        </is>
      </c>
      <c r="J358" s="383" t="inlineStr">
        <is>
          <t>Ticket Sec 93; 403.72 less desc 8.72; tarjeta debito</t>
        </is>
      </c>
    </row>
    <row r="359">
      <c r="B359" s="382" t="n">
        <v>46201</v>
      </c>
      <c r="C359" s="248" t="inlineStr">
        <is>
          <t>Fajilla de papel economica 1000pz</t>
        </is>
      </c>
      <c r="D359" s="249" t="inlineStr">
        <is>
          <t>Guimar Polietilenos</t>
        </is>
      </c>
      <c r="E359" s="248" t="inlineStr">
        <is>
          <t>Supplies / Other</t>
        </is>
      </c>
      <c r="F359" s="67" t="n">
        <v>104.4</v>
      </c>
      <c r="G359" s="250" t="inlineStr">
        <is>
          <t>Restaurant</t>
        </is>
      </c>
      <c r="H359" s="250" t="inlineStr">
        <is>
          <t>Card</t>
        </is>
      </c>
      <c r="I359" s="251" t="inlineStr">
        <is>
          <t>✅ Paid</t>
        </is>
      </c>
      <c r="J359" s="383" t="inlineStr">
        <is>
          <t>Folio AK89660; tarjeta debito</t>
        </is>
      </c>
    </row>
    <row r="360">
      <c r="B360" s="382" t="n">
        <v>46201</v>
      </c>
      <c r="C360" s="252" t="inlineStr">
        <is>
          <t>Vaso plastico 4CH Reyma 20/50 + Tapa vaso 20/50</t>
        </is>
      </c>
      <c r="D360" s="253" t="inlineStr">
        <is>
          <t>Guimar Polietilenos</t>
        </is>
      </c>
      <c r="E360" s="252" t="inlineStr">
        <is>
          <t>Supplies / Other</t>
        </is>
      </c>
      <c r="F360" s="70" t="n">
        <v>828</v>
      </c>
      <c r="G360" s="254" t="inlineStr">
        <is>
          <t>Restaurant</t>
        </is>
      </c>
      <c r="H360" s="254" t="inlineStr">
        <is>
          <t>Card</t>
        </is>
      </c>
      <c r="I360" s="255" t="inlineStr">
        <is>
          <t>✅ Paid</t>
        </is>
      </c>
      <c r="J360" s="383" t="inlineStr">
        <is>
          <t>Folio AK89656; ahorro 92; tarjeta debito</t>
        </is>
      </c>
    </row>
    <row r="361">
      <c r="B361" s="382" t="n">
        <v>46201</v>
      </c>
      <c r="C361" s="248" t="inlineStr">
        <is>
          <t>Gelatina D'Gari (durazno, fresa, pina) 120g</t>
        </is>
      </c>
      <c r="D361" s="249" t="inlineStr">
        <is>
          <t>Basicos en Alimentos</t>
        </is>
      </c>
      <c r="E361" s="248" t="inlineStr">
        <is>
          <t>Ingredients - Pantry</t>
        </is>
      </c>
      <c r="F361" s="67" t="n">
        <v>96</v>
      </c>
      <c r="G361" s="250" t="inlineStr">
        <is>
          <t>Restaurant</t>
        </is>
      </c>
      <c r="H361" s="250" t="inlineStr">
        <is>
          <t>Card</t>
        </is>
      </c>
      <c r="I361" s="251" t="inlineStr">
        <is>
          <t>✅ Paid</t>
        </is>
      </c>
      <c r="J361" s="383" t="inlineStr">
        <is>
          <t>Ticket Sec 77; dessert gelatin</t>
        </is>
      </c>
    </row>
    <row r="362">
      <c r="B362" s="382" t="n">
        <v>46201</v>
      </c>
      <c r="C362" s="252" t="inlineStr">
        <is>
          <t>Clorox King 5.8L + Detergente Roma 5kg</t>
        </is>
      </c>
      <c r="D362" s="253" t="inlineStr">
        <is>
          <t>Basicos en Alimentos</t>
        </is>
      </c>
      <c r="E362" s="252" t="inlineStr">
        <is>
          <t>Supplies / Other</t>
        </is>
      </c>
      <c r="F362" s="70" t="n">
        <v>297.5</v>
      </c>
      <c r="G362" s="254" t="inlineStr">
        <is>
          <t>Restaurant</t>
        </is>
      </c>
      <c r="H362" s="254" t="inlineStr">
        <is>
          <t>Card</t>
        </is>
      </c>
      <c r="I362" s="255" t="inlineStr">
        <is>
          <t>✅ Paid</t>
        </is>
      </c>
      <c r="J362" s="383" t="inlineStr">
        <is>
          <t>Ticket Sec 77; cleaning</t>
        </is>
      </c>
    </row>
    <row r="363">
      <c r="B363" s="382" t="n">
        <v>46201</v>
      </c>
      <c r="C363" s="248" t="inlineStr">
        <is>
          <t>Servilleta Maxima cuadrada 500pz x8</t>
        </is>
      </c>
      <c r="D363" s="249" t="inlineStr">
        <is>
          <t>Basicos en Alimentos</t>
        </is>
      </c>
      <c r="E363" s="248" t="inlineStr">
        <is>
          <t>Supplies / Other</t>
        </is>
      </c>
      <c r="F363" s="67" t="n">
        <v>340</v>
      </c>
      <c r="G363" s="250" t="inlineStr">
        <is>
          <t>Restaurant</t>
        </is>
      </c>
      <c r="H363" s="250" t="inlineStr">
        <is>
          <t>Card</t>
        </is>
      </c>
      <c r="I363" s="251" t="inlineStr">
        <is>
          <t>✅ Paid</t>
        </is>
      </c>
      <c r="J363" s="383" t="inlineStr">
        <is>
          <t>Ticket Sec 77; napkins</t>
        </is>
      </c>
    </row>
    <row r="364">
      <c r="B364" s="382" t="n">
        <v>46201</v>
      </c>
      <c r="C364" s="252" t="inlineStr">
        <is>
          <t>Manzana (apple)</t>
        </is>
      </c>
      <c r="D364" s="253" t="inlineStr">
        <is>
          <t>Local purchase</t>
        </is>
      </c>
      <c r="E364" s="252" t="inlineStr">
        <is>
          <t>Ingredients - Fruit</t>
        </is>
      </c>
      <c r="F364" s="70" t="n">
        <v>89</v>
      </c>
      <c r="G364" s="254" t="inlineStr">
        <is>
          <t>Restaurant</t>
        </is>
      </c>
      <c r="H364" s="254" t="inlineStr">
        <is>
          <t>Cash</t>
        </is>
      </c>
      <c r="I364" s="255" t="inlineStr">
        <is>
          <t>✅ Paid</t>
        </is>
      </c>
      <c r="J364" s="383" t="inlineStr">
        <is>
          <t>No bill</t>
        </is>
      </c>
    </row>
    <row r="365">
      <c r="B365" s="382" t="n">
        <v>46201</v>
      </c>
      <c r="C365" s="248" t="inlineStr">
        <is>
          <t>Pepino (cucumber)</t>
        </is>
      </c>
      <c r="D365" s="249" t="inlineStr">
        <is>
          <t>Local purchase</t>
        </is>
      </c>
      <c r="E365" s="248" t="inlineStr">
        <is>
          <t>Ingredients - Vegetables</t>
        </is>
      </c>
      <c r="F365" s="67" t="n">
        <v>80</v>
      </c>
      <c r="G365" s="250" t="inlineStr">
        <is>
          <t>Restaurant</t>
        </is>
      </c>
      <c r="H365" s="250" t="inlineStr">
        <is>
          <t>Cash</t>
        </is>
      </c>
      <c r="I365" s="251" t="inlineStr">
        <is>
          <t>✅ Paid</t>
        </is>
      </c>
      <c r="J365" s="383" t="inlineStr">
        <is>
          <t>No bill</t>
        </is>
      </c>
    </row>
    <row r="366">
      <c r="B366" s="382" t="n">
        <v>46201</v>
      </c>
      <c r="C366" s="252" t="inlineStr">
        <is>
          <t>Tomate verde (tomatillo)</t>
        </is>
      </c>
      <c r="D366" s="253" t="inlineStr">
        <is>
          <t>Local purchase</t>
        </is>
      </c>
      <c r="E366" s="252" t="inlineStr">
        <is>
          <t>Ingredients - Vegetables</t>
        </is>
      </c>
      <c r="F366" s="70" t="n">
        <v>80</v>
      </c>
      <c r="G366" s="254" t="inlineStr">
        <is>
          <t>Restaurant</t>
        </is>
      </c>
      <c r="H366" s="254" t="inlineStr">
        <is>
          <t>Cash</t>
        </is>
      </c>
      <c r="I366" s="255" t="inlineStr">
        <is>
          <t>✅ Paid</t>
        </is>
      </c>
      <c r="J366" s="383" t="inlineStr">
        <is>
          <t>No bill</t>
        </is>
      </c>
    </row>
    <row r="367">
      <c r="B367" s="382" t="n">
        <v>46201</v>
      </c>
      <c r="C367" s="248" t="inlineStr">
        <is>
          <t>Papas (potatoes)</t>
        </is>
      </c>
      <c r="D367" s="249" t="inlineStr">
        <is>
          <t>Local purchase</t>
        </is>
      </c>
      <c r="E367" s="248" t="inlineStr">
        <is>
          <t>Ingredients - Vegetables</t>
        </is>
      </c>
      <c r="F367" s="67" t="n">
        <v>195</v>
      </c>
      <c r="G367" s="250" t="inlineStr">
        <is>
          <t>Restaurant</t>
        </is>
      </c>
      <c r="H367" s="250" t="inlineStr">
        <is>
          <t>Cash</t>
        </is>
      </c>
      <c r="I367" s="251" t="inlineStr">
        <is>
          <t>✅ Paid</t>
        </is>
      </c>
      <c r="J367" s="383" t="inlineStr">
        <is>
          <t>No bill</t>
        </is>
      </c>
    </row>
    <row r="368">
      <c r="B368" s="382" t="n">
        <v>46201</v>
      </c>
      <c r="C368" s="252" t="inlineStr">
        <is>
          <t>Guayaba (guava)</t>
        </is>
      </c>
      <c r="D368" s="253" t="inlineStr">
        <is>
          <t>Local purchase</t>
        </is>
      </c>
      <c r="E368" s="252" t="inlineStr">
        <is>
          <t>Ingredients - Fruit</t>
        </is>
      </c>
      <c r="F368" s="70" t="n">
        <v>100</v>
      </c>
      <c r="G368" s="254" t="inlineStr">
        <is>
          <t>Restaurant</t>
        </is>
      </c>
      <c r="H368" s="254" t="inlineStr">
        <is>
          <t>Cash</t>
        </is>
      </c>
      <c r="I368" s="255" t="inlineStr">
        <is>
          <t>✅ Paid</t>
        </is>
      </c>
      <c r="J368" s="383" t="inlineStr">
        <is>
          <t>No bill</t>
        </is>
      </c>
    </row>
    <row r="369">
      <c r="B369" s="382" t="n">
        <v>46201</v>
      </c>
      <c r="C369" s="248" t="inlineStr">
        <is>
          <t>Platano (banana)</t>
        </is>
      </c>
      <c r="D369" s="249" t="inlineStr">
        <is>
          <t>Local purchase</t>
        </is>
      </c>
      <c r="E369" s="248" t="inlineStr">
        <is>
          <t>Ingredients - Fruit</t>
        </is>
      </c>
      <c r="F369" s="67" t="n">
        <v>54</v>
      </c>
      <c r="G369" s="250" t="inlineStr">
        <is>
          <t>Restaurant</t>
        </is>
      </c>
      <c r="H369" s="250" t="inlineStr">
        <is>
          <t>Cash</t>
        </is>
      </c>
      <c r="I369" s="251" t="inlineStr">
        <is>
          <t>✅ Paid</t>
        </is>
      </c>
      <c r="J369" s="383" t="inlineStr">
        <is>
          <t>No bill</t>
        </is>
      </c>
    </row>
    <row r="370">
      <c r="B370" s="382" t="n">
        <v>46201</v>
      </c>
      <c r="C370" s="252" t="inlineStr">
        <is>
          <t>Betabel (beet)</t>
        </is>
      </c>
      <c r="D370" s="253" t="inlineStr">
        <is>
          <t>Local purchase</t>
        </is>
      </c>
      <c r="E370" s="252" t="inlineStr">
        <is>
          <t>Ingredients - Vegetables</t>
        </is>
      </c>
      <c r="F370" s="70" t="n">
        <v>80</v>
      </c>
      <c r="G370" s="254" t="inlineStr">
        <is>
          <t>Restaurant</t>
        </is>
      </c>
      <c r="H370" s="254" t="inlineStr">
        <is>
          <t>Cash</t>
        </is>
      </c>
      <c r="I370" s="255" t="inlineStr">
        <is>
          <t>✅ Paid</t>
        </is>
      </c>
      <c r="J370" s="383" t="inlineStr">
        <is>
          <t>No bill</t>
        </is>
      </c>
    </row>
    <row r="371">
      <c r="B371" s="382" t="n">
        <v>46201</v>
      </c>
      <c r="C371" s="248" t="inlineStr">
        <is>
          <t>Cilantro</t>
        </is>
      </c>
      <c r="D371" s="249" t="inlineStr">
        <is>
          <t>Local purchase</t>
        </is>
      </c>
      <c r="E371" s="248" t="inlineStr">
        <is>
          <t>Ingredients - Vegetables</t>
        </is>
      </c>
      <c r="F371" s="67" t="n">
        <v>60</v>
      </c>
      <c r="G371" s="250" t="inlineStr">
        <is>
          <t>Restaurant</t>
        </is>
      </c>
      <c r="H371" s="250" t="inlineStr">
        <is>
          <t>Cash</t>
        </is>
      </c>
      <c r="I371" s="251" t="inlineStr">
        <is>
          <t>✅ Paid</t>
        </is>
      </c>
      <c r="J371" s="383" t="inlineStr">
        <is>
          <t>No bill</t>
        </is>
      </c>
    </row>
    <row r="372">
      <c r="B372" s="382" t="n">
        <v>46201</v>
      </c>
      <c r="C372" s="252" t="inlineStr">
        <is>
          <t>Nopal (cactus)</t>
        </is>
      </c>
      <c r="D372" s="253" t="inlineStr">
        <is>
          <t>Local purchase</t>
        </is>
      </c>
      <c r="E372" s="252" t="inlineStr">
        <is>
          <t>Ingredients - Vegetables</t>
        </is>
      </c>
      <c r="F372" s="70" t="n">
        <v>50</v>
      </c>
      <c r="G372" s="254" t="inlineStr">
        <is>
          <t>Restaurant</t>
        </is>
      </c>
      <c r="H372" s="254" t="inlineStr">
        <is>
          <t>Cash</t>
        </is>
      </c>
      <c r="I372" s="255" t="inlineStr">
        <is>
          <t>✅ Paid</t>
        </is>
      </c>
      <c r="J372" s="383" t="inlineStr">
        <is>
          <t>No bill</t>
        </is>
      </c>
    </row>
    <row r="373">
      <c r="B373" s="382" t="n">
        <v>46201</v>
      </c>
      <c r="C373" s="248" t="inlineStr">
        <is>
          <t>Jitomate (tomato)</t>
        </is>
      </c>
      <c r="D373" s="249" t="inlineStr">
        <is>
          <t>Local purchase</t>
        </is>
      </c>
      <c r="E373" s="248" t="inlineStr">
        <is>
          <t>Ingredients - Vegetables</t>
        </is>
      </c>
      <c r="F373" s="67" t="n">
        <v>80</v>
      </c>
      <c r="G373" s="250" t="inlineStr">
        <is>
          <t>Restaurant</t>
        </is>
      </c>
      <c r="H373" s="250" t="inlineStr">
        <is>
          <t>Cash</t>
        </is>
      </c>
      <c r="I373" s="251" t="inlineStr">
        <is>
          <t>✅ Paid</t>
        </is>
      </c>
      <c r="J373" s="383" t="inlineStr">
        <is>
          <t>No bill</t>
        </is>
      </c>
    </row>
    <row r="374">
      <c r="B374" s="382" t="n">
        <v>46201</v>
      </c>
      <c r="C374" s="252" t="inlineStr">
        <is>
          <t>Lechuga italiana</t>
        </is>
      </c>
      <c r="D374" s="253" t="inlineStr">
        <is>
          <t>Local purchase</t>
        </is>
      </c>
      <c r="E374" s="252" t="inlineStr">
        <is>
          <t>Ingredients - Vegetables</t>
        </is>
      </c>
      <c r="F374" s="70" t="n">
        <v>148</v>
      </c>
      <c r="G374" s="254" t="inlineStr">
        <is>
          <t>Restaurant</t>
        </is>
      </c>
      <c r="H374" s="254" t="inlineStr">
        <is>
          <t>Cash</t>
        </is>
      </c>
      <c r="I374" s="255" t="inlineStr">
        <is>
          <t>✅ Paid</t>
        </is>
      </c>
      <c r="J374" s="383" t="inlineStr">
        <is>
          <t>No bill</t>
        </is>
      </c>
    </row>
    <row r="375">
      <c r="B375" s="382" t="n">
        <v>46201</v>
      </c>
      <c r="C375" s="248" t="inlineStr">
        <is>
          <t>Espinaca (spinach)</t>
        </is>
      </c>
      <c r="D375" s="249" t="inlineStr">
        <is>
          <t>Local purchase</t>
        </is>
      </c>
      <c r="E375" s="248" t="inlineStr">
        <is>
          <t>Ingredients - Vegetables</t>
        </is>
      </c>
      <c r="F375" s="67" t="n">
        <v>30</v>
      </c>
      <c r="G375" s="250" t="inlineStr">
        <is>
          <t>Restaurant</t>
        </is>
      </c>
      <c r="H375" s="250" t="inlineStr">
        <is>
          <t>Cash</t>
        </is>
      </c>
      <c r="I375" s="251" t="inlineStr">
        <is>
          <t>✅ Paid</t>
        </is>
      </c>
      <c r="J375" s="383" t="inlineStr">
        <is>
          <t>No bill</t>
        </is>
      </c>
    </row>
    <row r="376">
      <c r="B376" s="382" t="n">
        <v>46201</v>
      </c>
      <c r="C376" s="252" t="inlineStr">
        <is>
          <t>Limones (limes)</t>
        </is>
      </c>
      <c r="D376" s="253" t="inlineStr">
        <is>
          <t>Local purchase</t>
        </is>
      </c>
      <c r="E376" s="252" t="inlineStr">
        <is>
          <t>Ingredients - Fruit</t>
        </is>
      </c>
      <c r="F376" s="70" t="n">
        <v>20</v>
      </c>
      <c r="G376" s="254" t="inlineStr">
        <is>
          <t>Restaurant</t>
        </is>
      </c>
      <c r="H376" s="254" t="inlineStr">
        <is>
          <t>Cash</t>
        </is>
      </c>
      <c r="I376" s="255" t="inlineStr">
        <is>
          <t>✅ Paid</t>
        </is>
      </c>
      <c r="J376" s="383" t="inlineStr">
        <is>
          <t>No bill</t>
        </is>
      </c>
    </row>
    <row r="377">
      <c r="B377" s="382" t="n">
        <v>46201</v>
      </c>
      <c r="C377" s="248" t="inlineStr">
        <is>
          <t>Verduras variadas (vegetables)</t>
        </is>
      </c>
      <c r="D377" s="249" t="inlineStr">
        <is>
          <t>Local purchase</t>
        </is>
      </c>
      <c r="E377" s="248" t="inlineStr">
        <is>
          <t>Ingredients - Vegetables</t>
        </is>
      </c>
      <c r="F377" s="67" t="n">
        <v>211</v>
      </c>
      <c r="G377" s="250" t="inlineStr">
        <is>
          <t>Restaurant</t>
        </is>
      </c>
      <c r="H377" s="250" t="inlineStr">
        <is>
          <t>Cash</t>
        </is>
      </c>
      <c r="I377" s="251" t="inlineStr">
        <is>
          <t>✅ Paid</t>
        </is>
      </c>
      <c r="J377" s="383" t="inlineStr">
        <is>
          <t>No bill</t>
        </is>
      </c>
    </row>
    <row r="378">
      <c r="B378" s="382" t="n">
        <v>46201</v>
      </c>
      <c r="C378" s="252" t="inlineStr">
        <is>
          <t>Frutas variadas (fruit)</t>
        </is>
      </c>
      <c r="D378" s="253" t="inlineStr">
        <is>
          <t>Local purchase</t>
        </is>
      </c>
      <c r="E378" s="252" t="inlineStr">
        <is>
          <t>Ingredients - Fruit</t>
        </is>
      </c>
      <c r="F378" s="70" t="n">
        <v>324</v>
      </c>
      <c r="G378" s="254" t="inlineStr">
        <is>
          <t>Restaurant</t>
        </is>
      </c>
      <c r="H378" s="254" t="inlineStr">
        <is>
          <t>Cash</t>
        </is>
      </c>
      <c r="I378" s="255" t="inlineStr">
        <is>
          <t>✅ Paid</t>
        </is>
      </c>
      <c r="J378" s="383" t="inlineStr">
        <is>
          <t>No bill</t>
        </is>
      </c>
    </row>
    <row r="379">
      <c r="B379" s="382" t="n">
        <v>46199</v>
      </c>
      <c r="C379" s="248" t="inlineStr">
        <is>
          <t>Samu — Ayudante Week 6</t>
        </is>
      </c>
      <c r="D379" s="249" t="inlineStr">
        <is>
          <t>Payroll</t>
        </is>
      </c>
      <c r="E379" s="248" t="inlineStr">
        <is>
          <t>Staff - Salary</t>
        </is>
      </c>
      <c r="F379" s="67" t="n">
        <v>1200</v>
      </c>
      <c r="G379" s="250" t="inlineStr">
        <is>
          <t>Restaurant</t>
        </is>
      </c>
      <c r="H379" s="250" t="inlineStr">
        <is>
          <t>Cash</t>
        </is>
      </c>
      <c r="I379" s="251" t="inlineStr">
        <is>
          <t>✅ Paid</t>
        </is>
      </c>
      <c r="J379" s="383" t="inlineStr">
        <is>
          <t>Week 6 salary, paid Friday</t>
        </is>
      </c>
    </row>
    <row r="380">
      <c r="B380" s="382" t="n">
        <v>46200</v>
      </c>
      <c r="C380" s="252" t="inlineStr">
        <is>
          <t>John — Head Chef Week 6 (full week)</t>
        </is>
      </c>
      <c r="D380" s="253" t="inlineStr">
        <is>
          <t>Payroll</t>
        </is>
      </c>
      <c r="E380" s="252" t="inlineStr">
        <is>
          <t>Staff - Salary</t>
        </is>
      </c>
      <c r="F380" s="70" t="n">
        <v>3750</v>
      </c>
      <c r="G380" s="254" t="inlineStr">
        <is>
          <t>Restaurant</t>
        </is>
      </c>
      <c r="H380" s="254" t="inlineStr">
        <is>
          <t>Cash</t>
        </is>
      </c>
      <c r="I380" s="255" t="inlineStr">
        <is>
          <t>✅ Paid</t>
        </is>
      </c>
      <c r="J380" s="383" t="inlineStr">
        <is>
          <t>Week 6 salary, paid Saturday</t>
        </is>
      </c>
    </row>
    <row r="381">
      <c r="B381" s="382" t="n">
        <v>46200</v>
      </c>
      <c r="C381" s="248" t="inlineStr">
        <is>
          <t>Duvi/Debi — Limpieza Week 6</t>
        </is>
      </c>
      <c r="D381" s="249" t="inlineStr">
        <is>
          <t>Payroll</t>
        </is>
      </c>
      <c r="E381" s="248" t="inlineStr">
        <is>
          <t>Staff - Salary</t>
        </is>
      </c>
      <c r="F381" s="67" t="n">
        <v>1500</v>
      </c>
      <c r="G381" s="250" t="inlineStr">
        <is>
          <t>Restaurant</t>
        </is>
      </c>
      <c r="H381" s="250" t="inlineStr">
        <is>
          <t>Cash</t>
        </is>
      </c>
      <c r="I381" s="251" t="inlineStr">
        <is>
          <t>✅ Paid</t>
        </is>
      </c>
      <c r="J381" s="383" t="inlineStr">
        <is>
          <t>Week 6 salary, paid Saturday</t>
        </is>
      </c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9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4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4" t="n"/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4" t="n"/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4" t="n"/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74" t="n"/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4" t="n"/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4" t="n"/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4" t="n"/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4" t="n"/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4" t="n"/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4" t="n"/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4" t="n"/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4" t="n"/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4" t="n"/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Pantry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4" t="n"/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4" t="n"/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4" t="n"/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Supplies / Other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4" t="n"/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Supermarket / General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4" t="n"/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Maintenance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Ingredients - Bread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4" t="n"/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4" t="n"/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4" t="n"/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Utilities / Gas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Software / Subscription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4" t="n"/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Ingredients - Other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4" t="n"/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Staff - Advance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4" t="n"/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Utilities / Internet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4" t="n"/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Packaging / Disposables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4" t="n"/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Kitchen Supplies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4" t="n"/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Ingredients - Desserts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4" t="n"/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Ingredients - Eggs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4" t="n"/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Staff - Propinas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4" t="n"/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Office Supplies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4" t="n"/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80" t="inlineStr">
        <is>
          <t>Ingredients - Produce</t>
        </is>
      </c>
      <c r="B41" s="378">
        <f>SUMIFS('💸 Expenses'!$F$8:$F$500,'💸 Expenses'!$E$8:$E$500,$A41,'💸 Expenses'!$B$8:$B$500,"&gt;="&amp;DATE(2026,5,1),'💸 Expenses'!$B$8:$B$500,"&lt;"&amp;DATE(2026,6,1))</f>
        <v/>
      </c>
      <c r="C41" s="378">
        <f>SUMIFS('💸 Expenses'!$F$8:$F$500,'💸 Expenses'!$E$8:$E$500,$A41,'💸 Expenses'!$B$8:$B$500,"&gt;="&amp;DATE(2026,6,1),'💸 Expenses'!$B$8:$B$500,"&lt;"&amp;DATE(2026,7,1))</f>
        <v/>
      </c>
      <c r="D41" s="374" t="n"/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7" t="inlineStr">
        <is>
          <t>TOTAL EXPENSES</t>
        </is>
      </c>
      <c r="B42" s="379">
        <f>SUMIFS('💸 Expenses'!$F$8:$F$500,'💸 Expenses'!$B$8:$B$500,"&gt;="&amp;DATE(2026,5,1),'💸 Expenses'!$B$8:$B$500,"&lt;"&amp;DATE(2026,6,1))</f>
        <v/>
      </c>
      <c r="C42" s="379">
        <f>SUMIFS('💸 Expenses'!$F$8:$F$500,'💸 Expenses'!$B$8:$B$500,"&gt;="&amp;DATE(2026,6,1),'💸 Expenses'!$B$8:$B$500,"&lt;"&amp;DATE(2026,7,1))</f>
        <v/>
      </c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7" t="inlineStr">
        <is>
          <t>NET PROFIT / LOSS</t>
        </is>
      </c>
      <c r="B43" s="379">
        <f>B4-B42</f>
        <v/>
      </c>
      <c r="C43" s="379">
        <f>C4-C42</f>
        <v/>
      </c>
      <c r="D43" s="374" t="n"/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C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397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397" t="inlineStr">
        <is>
          <t>TOTALS &amp; CURRENT BALANCE</t>
        </is>
      </c>
      <c r="B27" s="232" t="n"/>
      <c r="C27" s="232" t="n"/>
      <c r="D27" s="232">
        <f>SUM(D4:D26)</f>
        <v/>
      </c>
      <c r="E27" s="233">
        <f>SUM(E4:E26)</f>
        <v/>
      </c>
      <c r="F27" s="233">
        <f>F26</f>
        <v/>
      </c>
      <c r="G27" s="232">
        <f>IF(F26&gt;0,"Restaurant owes Lohith $"&amp;TEXT(F26,"#,##0"),IF(F26&lt;0,"Lohith holds $"&amp;TEXT(ABS(F26),"#,##0"),"Zero balance"))</f>
        <v/>
      </c>
      <c r="H27" s="232" t="n"/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2026-06-29T01:24:48Z</dcterms:modified>
  <cp:lastModifiedBy>LOHITH REDDY</cp:lastModifiedBy>
</cp:coreProperties>
</file>