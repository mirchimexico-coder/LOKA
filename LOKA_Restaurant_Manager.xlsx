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2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19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n"/>
      <c r="C62" s="236" t="n"/>
      <c r="D62" s="191" t="n"/>
      <c r="E62" s="190" t="n"/>
      <c r="F62" s="190" t="n"/>
      <c r="G62" s="189" t="n"/>
    </row>
    <row r="63" ht="19.95" customHeight="1" s="313">
      <c r="B63" s="137" t="n"/>
      <c r="C63" s="137" t="n"/>
      <c r="D63" s="162" t="n"/>
      <c r="E63" s="137" t="n"/>
      <c r="F63" s="137" t="n"/>
      <c r="G63" s="137" t="n"/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>
        <f>REMAINING WITH ME (budget left WITH Lohith)</f>
        <v/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Log'!D8:D500)+SUM('📅 Daily Log'!E8:E500)+SUM('📅 Daily Log'!G8:G500)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39314.81</v>
      </c>
      <c r="E147" s="286" t="inlineStr">
        <is>
          <t>Operating costs funded from capital: ledger settlement 30 Jun ($19,314.81) + rent paid from capital 05 Jul ($20,000). Add future capital-funded operating costs here.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/>
      </c>
      <c r="G41" s="257" t="n">
        <v>0</v>
      </c>
      <c r="H41" s="258">
        <f>SUMIFS('💸 Expenses'!$F$8:$F$500,'💸 Expenses'!$B$8:$B$500,"&gt;="&amp;B41,'💸 Expenses'!$B$8:$B$500,"&lt;"&amp;(B41+1))</f>
        <v/>
      </c>
      <c r="I41" s="259">
        <f>IFERROR(F41-H41,0)</f>
        <v/>
      </c>
      <c r="J41" s="260">
        <f>IFERROR(I41/F41,0)</f>
        <v/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/>
      </c>
      <c r="G42" s="272" t="n">
        <v>0</v>
      </c>
      <c r="H42" s="273">
        <f>SUMIFS('💸 Expenses'!$F$8:$F$500,'💸 Expenses'!$B$8:$B$500,"&gt;="&amp;B42,'💸 Expenses'!$B$8:$B$500,"&lt;"&amp;(B42+1))</f>
        <v/>
      </c>
      <c r="I42" s="274">
        <f>IFERROR(F42-H42,0)</f>
        <v/>
      </c>
      <c r="J42" s="275">
        <f>IFERROR(I42/F42,0)</f>
        <v/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/>
      </c>
      <c r="G43" s="257" t="n">
        <v>0</v>
      </c>
      <c r="H43" s="258">
        <f>SUMIFS('💸 Expenses'!$F$8:$F$500,'💸 Expenses'!$B$8:$B$500,"&gt;="&amp;B43,'💸 Expenses'!$B$8:$B$500,"&lt;"&amp;(B43+1))</f>
        <v/>
      </c>
      <c r="I43" s="259">
        <f>IFERROR(F43-H43,0)</f>
        <v/>
      </c>
      <c r="J43" s="260">
        <f>IFERROR(I43/F43,0)</f>
        <v/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/>
      </c>
      <c r="G44" s="272" t="n">
        <v>0</v>
      </c>
      <c r="H44" s="273">
        <f>SUMIFS('💸 Expenses'!$F$8:$F$500,'💸 Expenses'!$B$8:$B$500,"&gt;="&amp;B44,'💸 Expenses'!$B$8:$B$500,"&lt;"&amp;(B44+1))</f>
        <v/>
      </c>
      <c r="I44" s="274">
        <f>IFERROR(F44-H44,0)</f>
        <v/>
      </c>
      <c r="J44" s="275">
        <f>IFERROR(I44/F44,0)</f>
        <v/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/>
      </c>
      <c r="G45" s="257" t="n">
        <v>0</v>
      </c>
      <c r="H45" s="258">
        <f>SUMIFS('💸 Expenses'!$F$8:$F$500,'💸 Expenses'!$B$8:$B$500,"&gt;="&amp;B45,'💸 Expenses'!$B$8:$B$500,"&lt;"&amp;(B45+1))</f>
        <v/>
      </c>
      <c r="I45" s="259">
        <f>IFERROR(F45-H45,0)</f>
        <v/>
      </c>
      <c r="J45" s="260">
        <f>IFERROR(I45/F45,0)</f>
        <v/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/>
      </c>
      <c r="G46" s="272" t="n">
        <v>0</v>
      </c>
      <c r="H46" s="273">
        <f>SUMIFS('💸 Expenses'!$F$8:$F$500,'💸 Expenses'!$B$8:$B$500,"&gt;="&amp;B46,'💸 Expenses'!$B$8:$B$500,"&lt;"&amp;(B46+1))</f>
        <v/>
      </c>
      <c r="I46" s="274">
        <f>IFERROR(F46-H46,0)</f>
        <v/>
      </c>
      <c r="J46" s="275">
        <f>IFERROR(I46/F46,0)</f>
        <v/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/>
      </c>
      <c r="G47" s="257" t="n">
        <v>165</v>
      </c>
      <c r="H47" s="258">
        <f>SUMIFS('💸 Expenses'!$F$8:$F$500,'💸 Expenses'!$B$8:$B$500,"&gt;="&amp;B47,'💸 Expenses'!$B$8:$B$500,"&lt;"&amp;(B47+1))</f>
        <v/>
      </c>
      <c r="I47" s="259">
        <f>IFERROR(F47-H47,0)</f>
        <v/>
      </c>
      <c r="J47" s="260">
        <f>IFERROR(I47/F47,0)</f>
        <v/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/>
      </c>
      <c r="G48" s="272" t="n">
        <v>0</v>
      </c>
      <c r="H48" s="273">
        <f>SUMIFS('💸 Expenses'!$F$8:$F$500,'💸 Expenses'!$B$8:$B$500,"&gt;="&amp;B48,'💸 Expenses'!$B$8:$B$500,"&lt;"&amp;(B48+1))</f>
        <v/>
      </c>
      <c r="I48" s="274">
        <f>IFERROR(F48-H48,0)</f>
        <v/>
      </c>
      <c r="J48" s="275">
        <f>IFERROR(I48/F48,0)</f>
        <v/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/>
      </c>
      <c r="G49" s="257" t="n">
        <v>0</v>
      </c>
      <c r="H49" s="258">
        <f>SUMIFS('💸 Expenses'!$F$8:$F$500,'💸 Expenses'!$B$8:$B$500,"&gt;="&amp;B49,'💸 Expenses'!$B$8:$B$500,"&lt;"&amp;(B49+1))</f>
        <v/>
      </c>
      <c r="I49" s="259">
        <f>IFERROR(F49-H49,0)</f>
        <v/>
      </c>
      <c r="J49" s="260">
        <f>IFERROR(I49/F49,0)</f>
        <v/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/>
      </c>
      <c r="G50" s="272" t="n">
        <v>0</v>
      </c>
      <c r="H50" s="273">
        <f>SUMIFS('💸 Expenses'!$F$8:$F$500,'💸 Expenses'!$B$8:$B$500,"&gt;="&amp;B50,'💸 Expenses'!$B$8:$B$500,"&lt;"&amp;(B50+1))</f>
        <v/>
      </c>
      <c r="I50" s="274">
        <f>IFERROR(F50-H50,0)</f>
        <v/>
      </c>
      <c r="J50" s="275">
        <f>IFERROR(I50/F50,0)</f>
        <v/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/>
      </c>
      <c r="G51" s="257" t="n">
        <v>55</v>
      </c>
      <c r="H51" s="258">
        <f>SUMIFS('💸 Expenses'!$F$8:$F$500,'💸 Expenses'!$B$8:$B$500,"&gt;="&amp;B51,'💸 Expenses'!$B$8:$B$500,"&lt;"&amp;(B51+1))</f>
        <v/>
      </c>
      <c r="I51" s="259">
        <f>IFERROR(F51-H51,0)</f>
        <v/>
      </c>
      <c r="J51" s="260">
        <f>IFERROR(I51/F51,0)</f>
        <v/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/>
      </c>
      <c r="G52" s="272" t="n">
        <v>0</v>
      </c>
      <c r="H52" s="273">
        <f>SUMIFS('💸 Expenses'!$F$8:$F$500,'💸 Expenses'!$B$8:$B$500,"&gt;="&amp;B52,'💸 Expenses'!$B$8:$B$500,"&lt;"&amp;(B52+1))</f>
        <v/>
      </c>
      <c r="I52" s="274">
        <f>IFERROR(F52-H52,0)</f>
        <v/>
      </c>
      <c r="J52" s="275">
        <f>IFERROR(I52/F52,0)</f>
        <v/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/>
      </c>
      <c r="G53" s="257" t="n">
        <v>0</v>
      </c>
      <c r="H53" s="258">
        <f>SUMIFS('💸 Expenses'!$F$8:$F$500,'💸 Expenses'!$B$8:$B$500,"&gt;="&amp;B53,'💸 Expenses'!$B$8:$B$500,"&lt;"&amp;(B53+1))</f>
        <v/>
      </c>
      <c r="I53" s="259">
        <f>IFERROR(F53-H53,0)</f>
        <v/>
      </c>
      <c r="J53" s="260">
        <f>IFERROR(I53/F53,0)</f>
        <v/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/>
      </c>
      <c r="G54" s="272" t="n">
        <v>0</v>
      </c>
      <c r="H54" s="273">
        <f>SUMIFS('💸 Expenses'!$F$8:$F$500,'💸 Expenses'!$B$8:$B$500,"&gt;="&amp;B54,'💸 Expenses'!$B$8:$B$500,"&lt;"&amp;(B54+1))</f>
        <v/>
      </c>
      <c r="I54" s="274">
        <f>IFERROR(F54-H54,0)</f>
        <v/>
      </c>
      <c r="J54" s="275">
        <f>IFERROR(I54/F54,0)</f>
        <v/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/>
      </c>
      <c r="G55" s="257" t="n">
        <v>0</v>
      </c>
      <c r="H55" s="258">
        <f>SUMIFS('💸 Expenses'!$F$8:$F$500,'💸 Expenses'!$B$8:$B$500,"&gt;="&amp;B55,'💸 Expenses'!$B$8:$B$500,"&lt;"&amp;(B55+1))</f>
        <v/>
      </c>
      <c r="I55" s="259">
        <f>IFERROR(F55-H55,0)</f>
        <v/>
      </c>
      <c r="J55" s="260">
        <f>IFERROR(I55/F55,0)</f>
        <v/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/>
      </c>
      <c r="G56" s="272" t="n">
        <v>0</v>
      </c>
      <c r="H56" s="273">
        <f>SUMIFS('💸 Expenses'!$F$8:$F$500,'💸 Expenses'!$B$8:$B$500,"&gt;="&amp;B56,'💸 Expenses'!$B$8:$B$500,"&lt;"&amp;(B56+1))</f>
        <v/>
      </c>
      <c r="I56" s="274">
        <f>IFERROR(F56-H56,0)</f>
        <v/>
      </c>
      <c r="J56" s="275">
        <f>IFERROR(I56/F56,0)</f>
        <v/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/>
      </c>
      <c r="G57" s="257" t="n">
        <v>0</v>
      </c>
      <c r="H57" s="258">
        <f>SUMIFS('💸 Expenses'!$F$8:$F$500,'💸 Expenses'!$B$8:$B$500,"&gt;="&amp;B57,'💸 Expenses'!$B$8:$B$500,"&lt;"&amp;(B57+1))</f>
        <v/>
      </c>
      <c r="I57" s="259">
        <f>IFERROR(F57-H57,0)</f>
        <v/>
      </c>
      <c r="J57" s="260">
        <f>IFERROR(I57/F57,0)</f>
        <v/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/>
      </c>
      <c r="G58" s="257" t="n">
        <v>195</v>
      </c>
      <c r="H58" s="258">
        <f>SUMIFS('💸 Expenses'!$F$8:$F$500,'💸 Expenses'!$B$8:$B$500,"&gt;="&amp;B58,'💸 Expenses'!$B$8:$B$500,"&lt;"&amp;(B58+1))</f>
        <v/>
      </c>
      <c r="I58" s="259">
        <f>IFERROR(F58-H58,0)</f>
        <v/>
      </c>
      <c r="J58" s="260">
        <f>IFERROR(I58/F58,0)</f>
        <v/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/>
      </c>
      <c r="G59" s="257" t="n">
        <v>120</v>
      </c>
      <c r="H59" s="258">
        <f>SUMIFS('💸 Expenses'!$F$8:$F$500,'💸 Expenses'!$B$8:$B$500,"&gt;="&amp;B59,'💸 Expenses'!$B$8:$B$500,"&lt;"&amp;(B59+1))</f>
        <v/>
      </c>
      <c r="I59" s="259">
        <f>IFERROR(F59-H59,0)</f>
        <v/>
      </c>
      <c r="J59" s="260">
        <f>IFERROR(I59/F59,0)</f>
        <v/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/>
      </c>
      <c r="G60" s="257" t="n">
        <v>70</v>
      </c>
      <c r="H60" s="258">
        <f>SUMIFS('💸 Expenses'!$F$8:$F$500,'💸 Expenses'!$B$8:$B$500,"&gt;="&amp;B60,'💸 Expenses'!$B$8:$B$500,"&lt;"&amp;(B60+1))</f>
        <v/>
      </c>
      <c r="I60" s="259">
        <f>IFERROR(F60-H60,0)</f>
        <v/>
      </c>
      <c r="J60" s="260">
        <f>IFERROR(I60/F60,0)</f>
        <v/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/>
      </c>
      <c r="G61" s="257" t="n">
        <v>0</v>
      </c>
      <c r="H61" s="258">
        <f>SUMIFS('💸 Expenses'!$F$8:$F$500,'💸 Expenses'!$B$8:$B$500,"&gt;="&amp;B61,'💸 Expenses'!$B$8:$B$500,"&lt;"&amp;(B61+1))</f>
        <v/>
      </c>
      <c r="I61" s="259">
        <f>IFERROR(F61-H61,0)</f>
        <v/>
      </c>
      <c r="J61" s="260">
        <f>IFERROR(I61/F61,0)</f>
        <v/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/>
      </c>
      <c r="G62" s="257" t="n">
        <v>120</v>
      </c>
      <c r="H62" s="258">
        <f>SUMIFS('💸 Expenses'!$F$8:$F$500,'💸 Expenses'!$B$8:$B$500,"&gt;="&amp;B62,'💸 Expenses'!$B$8:$B$500,"&lt;"&amp;(B62+1))</f>
        <v/>
      </c>
      <c r="I62" s="259">
        <f>IFERROR(F62-H62,0)</f>
        <v/>
      </c>
      <c r="J62" s="260">
        <f>IFERROR(I62/F62,0)</f>
        <v/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  <c r="Z63" s="56" t="n"/>
      <c r="AA63" s="56" t="n"/>
      <c r="AB63" s="56" t="n"/>
    </row>
    <row r="64" ht="16.5" customHeight="1" s="313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  <c r="R64" s="44" t="n"/>
      <c r="S64" s="44" t="n"/>
      <c r="T64" s="44" t="n"/>
      <c r="U64" s="44" t="n"/>
      <c r="V64" s="44" t="n"/>
      <c r="W64" s="44" t="n"/>
      <c r="X64" s="44" t="n"/>
      <c r="Y64" s="44" t="n"/>
      <c r="Z64" s="44" t="n"/>
      <c r="AA64" s="44" t="n"/>
      <c r="AB64" s="44" t="n"/>
    </row>
    <row r="65" ht="16.5" customHeight="1" s="313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  <c r="Z65" s="56" t="n"/>
      <c r="AA65" s="56" t="n"/>
      <c r="AB65" s="56" t="n"/>
    </row>
    <row r="66" ht="16.5" customHeight="1" s="313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  <c r="R66" s="44" t="n"/>
      <c r="S66" s="44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</row>
    <row r="67" ht="16.5" customHeight="1" s="313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  <c r="Z67" s="56" t="n"/>
      <c r="AA67" s="56" t="n"/>
      <c r="AB67" s="56" t="n"/>
    </row>
    <row r="68" ht="16.5" customHeight="1" s="313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  <c r="R68" s="44" t="n"/>
      <c r="S68" s="44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</row>
    <row r="69" ht="16.5" customHeight="1" s="313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  <c r="Z69" s="56" t="n"/>
      <c r="AA69" s="56" t="n"/>
      <c r="AB69" s="56" t="n"/>
    </row>
    <row r="70" ht="16.5" customHeight="1" s="313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</row>
    <row r="71" ht="16.5" customHeight="1" s="313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  <c r="Z71" s="56" t="n"/>
      <c r="AA71" s="56" t="n"/>
      <c r="AB71" s="56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4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17" t="inlineStr">
        <is>
          <t>LOKA — MONTHLY P&amp;L   (live formulas — auto-updates from Daily Log &amp; Expenses)</t>
        </is>
      </c>
      <c r="B1" s="418" t="n"/>
      <c r="C1" s="418" t="n"/>
      <c r="D1" s="41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Ingredients - Beverages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Dairy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Supplies / Other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Supermarket/General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Software / Subscription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Kitchen Supplies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Staff - Advance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Utilities / Internet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Packaging / Disposables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Ingredients - Desserts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Eggs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Packaging/Disposables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Staff - Propinas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Ingredients - Produce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2" t="inlineStr">
        <is>
          <t>TOTAL EXPENSES</t>
        </is>
      </c>
      <c r="B44" s="414">
        <f>SUMIFS('💸 Expenses'!$F$8:$F$500,'💸 Expenses'!$B$8:$B$500,"&gt;="&amp;DATE(2026,5,1),'💸 Expenses'!$B$8:$B$500,"&lt;"&amp;DATE(2026,6,1))</f>
        <v/>
      </c>
      <c r="C44" s="414">
        <f>SUMIFS('💸 Expenses'!$F$8:$F$500,'💸 Expenses'!$B$8:$B$500,"&gt;="&amp;DATE(2026,6,1),'💸 Expenses'!$B$8:$B$500,"&lt;"&amp;DATE(2026,7,1))</f>
        <v/>
      </c>
      <c r="D44" s="414">
        <f>SUMIFS('💸 Expenses'!$F$8:$F$500,'💸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NET PROFIT / LOSS</t>
        </is>
      </c>
      <c r="B45" s="414">
        <f>B4-B44</f>
        <v/>
      </c>
      <c r="C45" s="414">
        <f>C4-C44</f>
        <v/>
      </c>
      <c r="D45" s="414">
        <f>D4-D44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09" t="n"/>
      <c r="B46" s="409" t="n"/>
      <c r="C46" s="409" t="n"/>
      <c r="D46" s="409" t="n"/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inlineStr">
        <is>
          <t>TOTALS &amp; CURRENT BALANCE</t>
        </is>
      </c>
      <c r="B39" s="232" t="n"/>
      <c r="C39" s="232" t="n"/>
      <c r="D39" s="232">
        <f>SUM(D4:D38)</f>
        <v/>
      </c>
      <c r="E39" s="233">
        <f>SUM(E4:E38)</f>
        <v/>
      </c>
      <c r="F39" s="233">
        <f>F38</f>
        <v/>
      </c>
      <c r="G39" s="232">
        <f>IF(F38&gt;0,"Restaurant owes Lohith $"&amp;TEXT(F38,"#,##0"),IF(F38&lt;0,"Lohith holds $"&amp;TEXT(ABS(F38),"#,##0"),"Zero balance"))</f>
        <v/>
      </c>
      <c r="H39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2026-07-14T04:29:02Z</dcterms:modified>
  <cp:lastModifiedBy>LOHITH REDDY</cp:lastModifiedBy>
</cp:coreProperties>
</file>