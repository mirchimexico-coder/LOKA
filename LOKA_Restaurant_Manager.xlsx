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-16345.53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109588.47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3975.0</v>
      </c>
      <c r="G6" s="31">
        <f>SUMIFS($G$8:$G$5000,$B$8:$B$5000,TODAY())</f>
        <v>0.0</v>
      </c>
      <c r="H6" s="28">
        <f>SUMIFS($H$8:$H$5000,$B$8:$B$5000,TODAY())</f>
        <v>2075.0</v>
      </c>
      <c r="I6" s="32">
        <f>F6-H6</f>
        <v>1900.0</v>
      </c>
      <c r="J6">
        <f>IFERROR(I6/F6,0)</f>
        <v>0.477987</v>
      </c>
      <c r="K6" s="28" t="n"/>
      <c r="L6" s="31" t="n"/>
      <c r="M6" s="28">
        <f>SUMIFS($F$8:$F$5000,$B$8:$B$5000,"&gt;="&amp;(TODAY()-WEEKDAY(TODAY(),2)+1),$B$8:$B$5000,"&lt;"&amp;(TODAY()-WEEKDAY(TODAY(),2)+8))</f>
        <v>15610.0</v>
      </c>
      <c r="N6" s="33">
        <f>SUMIFS($F$8:$F$5000,$B$8:$B$5000,"&gt;="&amp;(TODAY()-WEEKDAY(TODAY(),2)+1),$B$8:$B$5000,"&lt;"&amp;(TODAY()-WEEKDAY(TODAY(),2)+8))</f>
        <v>15610.0</v>
      </c>
      <c r="O6" s="33">
        <f>SUMIFS($F$8:$F$5000,$B$8:$B$5000,"&gt;="&amp;DATE(YEAR(TODAY()),MONTH(TODAY()),1),$B$8:$B$5000,"&lt;"&amp;DATE(YEAR(TODAY()),MONTH(TODAY())+1,1))</f>
        <v>46130.0</v>
      </c>
      <c r="P6">
        <f>SUMIFS('💸 Expenses'!$F$8:$F$5000,'💸 Expenses'!$B$8:$B$5000,"&gt;="&amp;(TODAY()-WEEKDAY(TODAY(),2)+1),'💸 Expenses'!$B$8:$B$5000,"&lt;"&amp;(TODAY()-WEEKDAY(TODAY(),2)+8))</f>
        <v>6985.0</v>
      </c>
      <c r="Q6">
        <f>M6-P6</f>
        <v>8625.0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427" t="n">
        <v>46302</v>
      </c>
      <c r="C133" s="255" t="inlineStr">
        <is>
          <t>Wed</t>
        </is>
      </c>
      <c r="D133" s="256" t="n">
        <v>360</v>
      </c>
      <c r="E133" s="49" t="n">
        <v>1095</v>
      </c>
      <c r="F133" s="50">
        <f>IFERROR(D133+E133+G133+U133+Y133,0)</f>
        <v>1455.0</v>
      </c>
      <c r="G133" s="257" t="n">
        <v>0</v>
      </c>
      <c r="H133" s="258">
        <f>SUMIFS('💸 Expenses'!$F$8:$F$5000,'💸 Expenses'!$B$8:$B$5000,"&gt;="&amp;B133,'💸 Expenses'!$B$8:$B$5000,"&lt;"&amp;(B133+1))</f>
        <v>1085.0</v>
      </c>
      <c r="I133" s="259">
        <f>IFERROR(F133-H133,0)</f>
        <v>370.0</v>
      </c>
      <c r="J133" s="260">
        <f>IFERROR(I133/F133,0)</f>
        <v>0.254296</v>
      </c>
      <c r="K133" s="254" t="n"/>
      <c r="L133" s="261" t="inlineStr">
        <is>
          <t>Cierre via loka.py</t>
        </is>
      </c>
      <c r="M133" s="291" t="n"/>
      <c r="N133" s="292" t="n"/>
      <c r="O133" s="293" t="n"/>
      <c r="P133" s="294" t="n"/>
      <c r="Q133" s="292" t="n"/>
      <c r="R133" s="443">
        <f>IFERROR(D133*$T$7,0)</f>
        <v>14.62</v>
      </c>
      <c r="S133" s="292" t="n"/>
      <c r="T133" s="292" t="n"/>
      <c r="U133" s="443" t="n">
        <v>0</v>
      </c>
      <c r="V133" s="443" t="n">
        <v>0</v>
      </c>
      <c r="W133" s="292" t="n"/>
      <c r="X133" s="292" t="n"/>
      <c r="Y133" s="443" t="n">
        <v>0</v>
      </c>
      <c r="Z133" s="443" t="n">
        <v>0</v>
      </c>
      <c r="AA133" s="292" t="n"/>
      <c r="AB133" s="292" t="n"/>
    </row>
    <row r="134" ht="16.5" customHeight="1" s="331">
      <c r="B134" s="427" t="n">
        <v>46303</v>
      </c>
      <c r="C134" s="270" t="inlineStr">
        <is>
          <t>Thu</t>
        </is>
      </c>
      <c r="D134" s="271" t="n">
        <v>1565</v>
      </c>
      <c r="E134" s="37" t="n">
        <v>1015</v>
      </c>
      <c r="F134" s="38">
        <f>IFERROR(D134+E134+G134+U134+Y134,0)</f>
        <v>2665.0</v>
      </c>
      <c r="G134" s="272" t="n">
        <v>85</v>
      </c>
      <c r="H134" s="273">
        <f>SUMIFS('💸 Expenses'!$F$8:$F$5000,'💸 Expenses'!$B$8:$B$5000,"&gt;="&amp;B134,'💸 Expenses'!$B$8:$B$5000,"&lt;"&amp;(B134+1))</f>
        <v>296.0</v>
      </c>
      <c r="I134" s="274">
        <f>IFERROR(F134-H134,0)</f>
        <v>2369.0</v>
      </c>
      <c r="J134" s="275">
        <f>IFERROR(I134/F134,0)</f>
        <v>0.888931</v>
      </c>
      <c r="K134" s="250" t="n"/>
      <c r="L134" s="276" t="inlineStr">
        <is>
          <t>Cierre via loka.py</t>
        </is>
      </c>
      <c r="M134" s="323" t="n"/>
      <c r="N134" s="324" t="n"/>
      <c r="O134" s="325" t="n"/>
      <c r="P134" s="326" t="n"/>
      <c r="Q134" s="324" t="n"/>
      <c r="R134" s="428">
        <f>IFERROR(D134*$T$7,0)</f>
        <v>63.54</v>
      </c>
      <c r="S134" s="324" t="n"/>
      <c r="T134" s="324" t="n"/>
      <c r="U134" s="428" t="n">
        <v>0</v>
      </c>
      <c r="V134" s="428" t="n">
        <v>0</v>
      </c>
      <c r="W134" s="324" t="n"/>
      <c r="X134" s="324" t="n"/>
      <c r="Y134" s="428" t="n">
        <v>0</v>
      </c>
      <c r="Z134" s="428" t="n">
        <v>0</v>
      </c>
      <c r="AA134" s="324" t="n"/>
      <c r="AB134" s="324" t="n"/>
    </row>
    <row r="135" ht="16.5" customHeight="1" s="331">
      <c r="B135" s="427" t="n">
        <v>46304</v>
      </c>
      <c r="C135" s="255" t="inlineStr">
        <is>
          <t>Fri</t>
        </is>
      </c>
      <c r="D135" s="256" t="n">
        <v>2871</v>
      </c>
      <c r="E135" s="49" t="n">
        <v>1479</v>
      </c>
      <c r="F135" s="50">
        <f>IFERROR(D135+E135+G135+U135+Y135,0)</f>
        <v>4480.0</v>
      </c>
      <c r="G135" s="257" t="n">
        <v>130</v>
      </c>
      <c r="H135" s="258">
        <f>SUMIFS('💸 Expenses'!$F$8:$F$5000,'💸 Expenses'!$B$8:$B$5000,"&gt;="&amp;B135,'💸 Expenses'!$B$8:$B$5000,"&lt;"&amp;(B135+1))</f>
        <v>1460.0</v>
      </c>
      <c r="I135" s="259">
        <f>IFERROR(F135-H135,0)</f>
        <v>3020.0</v>
      </c>
      <c r="J135" s="260">
        <f>IFERROR(I135/F135,0)</f>
        <v>0.674107</v>
      </c>
      <c r="K135" s="254" t="n"/>
      <c r="L135" s="261" t="inlineStr">
        <is>
          <t>Cierre via loka.py</t>
        </is>
      </c>
      <c r="M135" s="291" t="n"/>
      <c r="N135" s="292" t="n"/>
      <c r="O135" s="293" t="n"/>
      <c r="P135" s="294" t="n"/>
      <c r="Q135" s="292" t="n"/>
      <c r="R135" s="443">
        <f>IFERROR(D135*$T$7,0)</f>
        <v>116.56</v>
      </c>
      <c r="S135" s="292" t="n"/>
      <c r="T135" s="292" t="n"/>
      <c r="U135" s="443" t="n">
        <v>0</v>
      </c>
      <c r="V135" s="443" t="n">
        <v>0</v>
      </c>
      <c r="W135" s="292" t="n"/>
      <c r="X135" s="292" t="n"/>
      <c r="Y135" s="443" t="n">
        <v>0</v>
      </c>
      <c r="Z135" s="443" t="n">
        <v>0</v>
      </c>
      <c r="AA135" s="292" t="n"/>
      <c r="AB135" s="292" t="n"/>
    </row>
    <row r="136" ht="16.5" customHeight="1" s="331">
      <c r="B136" s="427" t="n">
        <v>46305</v>
      </c>
      <c r="C136" s="270" t="inlineStr">
        <is>
          <t>Sat</t>
        </is>
      </c>
      <c r="D136" s="271" t="n">
        <v>1140</v>
      </c>
      <c r="E136" s="37" t="n">
        <v>1900</v>
      </c>
      <c r="F136" s="38">
        <f>IFERROR(D136+E136+G136+U136+Y136,0)</f>
        <v>3260.0</v>
      </c>
      <c r="G136" s="272" t="n">
        <v>220</v>
      </c>
      <c r="H136" s="273">
        <f>SUMIFS('💸 Expenses'!$F$8:$F$5000,'💸 Expenses'!$B$8:$B$5000,"&gt;="&amp;B136,'💸 Expenses'!$B$8:$B$5000,"&lt;"&amp;(B136+1))</f>
        <v>13069.0</v>
      </c>
      <c r="I136" s="274">
        <f>IFERROR(F136-H136,0)</f>
        <v>-9809.0</v>
      </c>
      <c r="J136" s="275">
        <f>IFERROR(I136/F136,0)</f>
        <v>-3.008896</v>
      </c>
      <c r="K136" s="250" t="n"/>
      <c r="L136" s="276" t="inlineStr">
        <is>
          <t>Cierre via loka.py</t>
        </is>
      </c>
      <c r="M136" s="323" t="n"/>
      <c r="N136" s="324" t="n"/>
      <c r="O136" s="325" t="n"/>
      <c r="P136" s="326" t="n"/>
      <c r="Q136" s="324" t="n"/>
      <c r="R136" s="428">
        <f>IFERROR(D136*$T$7,0)</f>
        <v>46.28</v>
      </c>
      <c r="S136" s="324" t="n"/>
      <c r="T136" s="324" t="n"/>
      <c r="U136" s="428" t="n">
        <v>0</v>
      </c>
      <c r="V136" s="428" t="n">
        <v>0</v>
      </c>
      <c r="W136" s="324" t="n"/>
      <c r="X136" s="324" t="n"/>
      <c r="Y136" s="428" t="n">
        <v>0</v>
      </c>
      <c r="Z136" s="428" t="n">
        <v>0</v>
      </c>
      <c r="AA136" s="324" t="n"/>
      <c r="AB136" s="324" t="n"/>
    </row>
    <row r="137" ht="16.5" customHeight="1" s="331">
      <c r="B137" s="427" t="n">
        <v>46307</v>
      </c>
      <c r="C137" s="255" t="inlineStr">
        <is>
          <t>Mon</t>
        </is>
      </c>
      <c r="D137" s="256" t="n">
        <v>1990</v>
      </c>
      <c r="E137" s="49" t="n">
        <v>2855</v>
      </c>
      <c r="F137" s="50">
        <f>IFERROR(D137+E137+G137+U137+Y137,0)</f>
        <v>4930.0</v>
      </c>
      <c r="G137" s="257" t="n">
        <v>85</v>
      </c>
      <c r="H137" s="258">
        <f>SUMIFS('💸 Expenses'!$F$8:$F$5000,'💸 Expenses'!$B$8:$B$5000,"&gt;="&amp;B137,'💸 Expenses'!$B$8:$B$5000,"&lt;"&amp;(B137+1))</f>
        <v>3040.0</v>
      </c>
      <c r="I137" s="259">
        <f>IFERROR(F137-H137,0)</f>
        <v>1890.0</v>
      </c>
      <c r="J137" s="260">
        <f>IFERROR(I137/F137,0)</f>
        <v>0.383367</v>
      </c>
      <c r="K137" s="254" t="n"/>
      <c r="L137" s="261" t="inlineStr">
        <is>
          <t>Cierre via loka.py</t>
        </is>
      </c>
      <c r="M137" s="291" t="n"/>
      <c r="N137" s="292" t="n"/>
      <c r="O137" s="293" t="n"/>
      <c r="P137" s="294" t="n"/>
      <c r="Q137" s="292" t="n"/>
      <c r="R137" s="443">
        <f>IFERROR(D137*$T$7,0)</f>
        <v>80.79</v>
      </c>
      <c r="S137" s="292" t="n"/>
      <c r="T137" s="292" t="n"/>
      <c r="U137" s="443" t="n">
        <v>0</v>
      </c>
      <c r="V137" s="443" t="n">
        <v>0</v>
      </c>
      <c r="W137" s="292" t="n"/>
      <c r="X137" s="292" t="n"/>
      <c r="Y137" s="443" t="n">
        <v>0</v>
      </c>
      <c r="Z137" s="443" t="n">
        <v>0</v>
      </c>
      <c r="AA137" s="292" t="n"/>
      <c r="AB137" s="292" t="n"/>
    </row>
    <row r="138" ht="16.5" customHeight="1" s="331">
      <c r="B138" s="427" t="n">
        <v>46308</v>
      </c>
      <c r="C138" s="270" t="inlineStr">
        <is>
          <t>Tue</t>
        </is>
      </c>
      <c r="D138" s="271" t="n">
        <v>2525</v>
      </c>
      <c r="E138" s="37" t="n">
        <v>1790</v>
      </c>
      <c r="F138" s="38">
        <f>IFERROR(D138+E138+G138+U138+Y138,0)</f>
        <v>4435.0</v>
      </c>
      <c r="G138" s="272" t="n">
        <v>120</v>
      </c>
      <c r="H138" s="273">
        <f>SUMIFS('💸 Expenses'!$F$8:$F$5000,'💸 Expenses'!$B$8:$B$5000,"&gt;="&amp;B138,'💸 Expenses'!$B$8:$B$5000,"&lt;"&amp;(B138+1))</f>
        <v>1389.0</v>
      </c>
      <c r="I138" s="274">
        <f>IFERROR(F138-H138,0)</f>
        <v>3046.0</v>
      </c>
      <c r="J138" s="275">
        <f>IFERROR(I138/F138,0)</f>
        <v>0.686809</v>
      </c>
      <c r="K138" s="250" t="n"/>
      <c r="L138" s="276" t="inlineStr">
        <is>
          <t>Cierre via loka.py</t>
        </is>
      </c>
      <c r="M138" s="323" t="n"/>
      <c r="N138" s="324" t="n"/>
      <c r="O138" s="325" t="n"/>
      <c r="P138" s="326" t="n"/>
      <c r="Q138" s="324" t="n"/>
      <c r="R138" s="428">
        <f>IFERROR(D138*$T$7,0)</f>
        <v>102.51</v>
      </c>
      <c r="S138" s="324" t="n"/>
      <c r="T138" s="324" t="n"/>
      <c r="U138" s="428" t="n">
        <v>0</v>
      </c>
      <c r="V138" s="428" t="n">
        <v>0</v>
      </c>
      <c r="W138" s="324" t="n"/>
      <c r="X138" s="324" t="n"/>
      <c r="Y138" s="428" t="n">
        <v>0</v>
      </c>
      <c r="Z138" s="428" t="n">
        <v>0</v>
      </c>
      <c r="AA138" s="324" t="n"/>
      <c r="AB138" s="324" t="n"/>
    </row>
    <row r="139" ht="16.5" customHeight="1" s="331">
      <c r="B139" s="427" t="n">
        <v>46309</v>
      </c>
      <c r="C139" s="255" t="inlineStr">
        <is>
          <t>Wed</t>
        </is>
      </c>
      <c r="D139" s="256" t="n">
        <v>925</v>
      </c>
      <c r="E139" s="49" t="n">
        <v>1345</v>
      </c>
      <c r="F139" s="50">
        <f>IFERROR(D139+E139+G139+U139+Y139,0)</f>
        <v>2270.0</v>
      </c>
      <c r="G139" s="257" t="n">
        <v>0</v>
      </c>
      <c r="H139" s="258">
        <f>SUMIFS('💸 Expenses'!$F$8:$F$5000,'💸 Expenses'!$B$8:$B$5000,"&gt;="&amp;B139,'💸 Expenses'!$B$8:$B$5000,"&lt;"&amp;(B139+1))</f>
        <v>481.0</v>
      </c>
      <c r="I139" s="259">
        <f>IFERROR(F139-H139,0)</f>
        <v>1789.0</v>
      </c>
      <c r="J139" s="260">
        <f>IFERROR(I139/F139,0)</f>
        <v>0.788106</v>
      </c>
      <c r="K139" s="254" t="n"/>
      <c r="L139" s="261" t="inlineStr">
        <is>
          <t>Cierre via loka.py</t>
        </is>
      </c>
      <c r="M139" s="291" t="n"/>
      <c r="N139" s="292" t="n"/>
      <c r="O139" s="293" t="n"/>
      <c r="P139" s="294" t="n"/>
      <c r="Q139" s="292" t="n"/>
      <c r="R139" s="443">
        <f>IFERROR(D139*$T$7,0)</f>
        <v>37.55</v>
      </c>
      <c r="S139" s="292" t="n"/>
      <c r="T139" s="292" t="n"/>
      <c r="U139" s="443" t="n">
        <v>0</v>
      </c>
      <c r="V139" s="443" t="n">
        <v>0</v>
      </c>
      <c r="W139" s="292" t="n"/>
      <c r="X139" s="292" t="n"/>
      <c r="Y139" s="443" t="n">
        <v>0</v>
      </c>
      <c r="Z139" s="443" t="n">
        <v>0</v>
      </c>
      <c r="AA139" s="292" t="n"/>
      <c r="AB139" s="292" t="n"/>
    </row>
    <row r="140" ht="16.5" customHeight="1" s="331">
      <c r="B140" s="427" t="n">
        <v>46310</v>
      </c>
      <c r="C140" s="270" t="inlineStr">
        <is>
          <t>Thu</t>
        </is>
      </c>
      <c r="D140" s="271" t="n">
        <v>2625</v>
      </c>
      <c r="E140" s="37" t="n">
        <v>1350</v>
      </c>
      <c r="F140" s="38">
        <f>IFERROR(D140+E140+G140+U140+Y140,0)</f>
        <v>3975.0</v>
      </c>
      <c r="G140" s="272" t="n">
        <v>0</v>
      </c>
      <c r="H140" s="273">
        <f>SUMIFS('💸 Expenses'!$F$8:$F$5000,'💸 Expenses'!$B$8:$B$5000,"&gt;="&amp;B140,'💸 Expenses'!$B$8:$B$5000,"&lt;"&amp;(B140+1))</f>
        <v>2075.0</v>
      </c>
      <c r="I140" s="274">
        <f>IFERROR(F140-H140,0)</f>
        <v>1900.0</v>
      </c>
      <c r="J140" s="275">
        <f>IFERROR(I140/F140,0)</f>
        <v>0.477987</v>
      </c>
      <c r="K140" s="250" t="n"/>
      <c r="L140" s="276" t="inlineStr">
        <is>
          <t>Cierre via loka.py</t>
        </is>
      </c>
      <c r="M140" s="323" t="n"/>
      <c r="N140" s="324" t="n"/>
      <c r="O140" s="325" t="n"/>
      <c r="P140" s="326" t="n"/>
      <c r="Q140" s="324" t="n"/>
      <c r="R140" s="428">
        <f>IFERROR(D140*$T$7,0)</f>
        <v>106.57</v>
      </c>
      <c r="S140" s="324" t="n"/>
      <c r="T140" s="324" t="n"/>
      <c r="U140" s="428" t="n">
        <v>0</v>
      </c>
      <c r="V140" s="428" t="n">
        <v>0</v>
      </c>
      <c r="W140" s="324" t="n"/>
      <c r="X140" s="324" t="n"/>
      <c r="Y140" s="428" t="n">
        <v>0</v>
      </c>
      <c r="Z140" s="428" t="n">
        <v>0</v>
      </c>
      <c r="AA140" s="324" t="n"/>
      <c r="AB140" s="32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870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  <row r="841">
      <c r="B841" s="429" t="n">
        <v>46302</v>
      </c>
      <c r="C841" s="297" t="inlineStr">
        <is>
          <t>Carne</t>
        </is>
      </c>
      <c r="D841" s="298" t="inlineStr">
        <is>
          <t>No bill</t>
        </is>
      </c>
      <c r="E841" s="297" t="inlineStr">
        <is>
          <t>Ingredients - Meat</t>
        </is>
      </c>
      <c r="F841" s="299" t="n">
        <v>189</v>
      </c>
      <c r="G841" s="300" t="inlineStr">
        <is>
          <t>Restaurant</t>
        </is>
      </c>
      <c r="H841" s="300" t="inlineStr">
        <is>
          <t>Cash</t>
        </is>
      </c>
      <c r="I841" s="301" t="inlineStr">
        <is>
          <t>✅ Paid</t>
        </is>
      </c>
      <c r="J841" s="423" t="inlineStr">
        <is>
          <t>No receipt; cash</t>
        </is>
      </c>
    </row>
    <row r="842">
      <c r="B842" s="429" t="n">
        <v>46302</v>
      </c>
      <c r="C842" s="297" t="inlineStr">
        <is>
          <t>Guimar</t>
        </is>
      </c>
      <c r="D842" s="298" t="inlineStr">
        <is>
          <t>Guimar Polietilenos</t>
        </is>
      </c>
      <c r="E842" s="297" t="inlineStr">
        <is>
          <t>Packaging/Disposables</t>
        </is>
      </c>
      <c r="F842" s="299" t="n">
        <v>146</v>
      </c>
      <c r="G842" s="300" t="inlineStr">
        <is>
          <t>Restaurant</t>
        </is>
      </c>
      <c r="H842" s="300" t="inlineStr">
        <is>
          <t>Cash</t>
        </is>
      </c>
      <c r="I842" s="301" t="inlineStr">
        <is>
          <t>✅ Paid</t>
        </is>
      </c>
      <c r="J842" s="423" t="inlineStr">
        <is>
          <t>No receipt; cash</t>
        </is>
      </c>
    </row>
    <row r="843">
      <c r="B843" s="429" t="n">
        <v>46302</v>
      </c>
      <c r="C843" s="297" t="inlineStr">
        <is>
          <t>Avia Reca</t>
        </is>
      </c>
      <c r="D843" s="298" t="inlineStr">
        <is>
          <t>Reca</t>
        </is>
      </c>
      <c r="E843" s="297" t="inlineStr">
        <is>
          <t>Ingredients - Beverages</t>
        </is>
      </c>
      <c r="F843" s="299" t="n">
        <v>750</v>
      </c>
      <c r="G843" s="300" t="inlineStr">
        <is>
          <t>Restaurant</t>
        </is>
      </c>
      <c r="H843" s="300" t="inlineStr">
        <is>
          <t>Cash</t>
        </is>
      </c>
      <c r="I843" s="301" t="inlineStr">
        <is>
          <t>✅ Paid</t>
        </is>
      </c>
      <c r="J843" s="423" t="inlineStr">
        <is>
          <t>No receipt; cash</t>
        </is>
      </c>
    </row>
    <row r="844">
      <c r="B844" s="429" t="n">
        <v>46303</v>
      </c>
      <c r="C844" s="297" t="inlineStr">
        <is>
          <t>Oxxo Arroz</t>
        </is>
      </c>
      <c r="D844" s="298" t="inlineStr">
        <is>
          <t>OXXO</t>
        </is>
      </c>
      <c r="E844" s="297" t="inlineStr">
        <is>
          <t>Ingredients - Pantry</t>
        </is>
      </c>
      <c r="F844" s="299" t="n">
        <v>130</v>
      </c>
      <c r="G844" s="300" t="inlineStr">
        <is>
          <t>Restaurant</t>
        </is>
      </c>
      <c r="H844" s="300" t="inlineStr">
        <is>
          <t>Cash</t>
        </is>
      </c>
      <c r="I844" s="301" t="inlineStr">
        <is>
          <t>✅ Paid</t>
        </is>
      </c>
      <c r="J844" s="423" t="inlineStr">
        <is>
          <t>No receipt; cash</t>
        </is>
      </c>
    </row>
    <row r="845">
      <c r="B845" s="429" t="n">
        <v>46303</v>
      </c>
      <c r="C845" s="297" t="inlineStr">
        <is>
          <t>Agua</t>
        </is>
      </c>
      <c r="D845" s="298" t="inlineStr">
        <is>
          <t>No bill</t>
        </is>
      </c>
      <c r="E845" s="297" t="inlineStr">
        <is>
          <t>Ingredients - Beverages</t>
        </is>
      </c>
      <c r="F845" s="299" t="n">
        <v>45</v>
      </c>
      <c r="G845" s="300" t="inlineStr">
        <is>
          <t>Restaurant</t>
        </is>
      </c>
      <c r="H845" s="300" t="inlineStr">
        <is>
          <t>Cash</t>
        </is>
      </c>
      <c r="I845" s="301" t="inlineStr">
        <is>
          <t>✅ Paid</t>
        </is>
      </c>
      <c r="J845" s="423" t="inlineStr">
        <is>
          <t>No receipt; cash</t>
        </is>
      </c>
    </row>
    <row r="846">
      <c r="B846" s="429" t="n">
        <v>46303</v>
      </c>
      <c r="C846" s="297" t="inlineStr">
        <is>
          <t>Chedraui</t>
        </is>
      </c>
      <c r="D846" s="298" t="inlineStr">
        <is>
          <t>Chedraui</t>
        </is>
      </c>
      <c r="E846" s="297" t="inlineStr">
        <is>
          <t>Supermarket/General</t>
        </is>
      </c>
      <c r="F846" s="299" t="n">
        <v>121</v>
      </c>
      <c r="G846" s="300" t="inlineStr">
        <is>
          <t>Restaurant</t>
        </is>
      </c>
      <c r="H846" s="300" t="inlineStr">
        <is>
          <t>Cash</t>
        </is>
      </c>
      <c r="I846" s="301" t="inlineStr">
        <is>
          <t>✅ Paid</t>
        </is>
      </c>
      <c r="J846" s="423" t="inlineStr">
        <is>
          <t>No receipt; cash</t>
        </is>
      </c>
    </row>
    <row r="847">
      <c r="B847" s="429" t="n">
        <v>46304</v>
      </c>
      <c r="C847" s="297" t="inlineStr">
        <is>
          <t>Duvi - salary</t>
        </is>
      </c>
      <c r="D847" s="298" t="inlineStr">
        <is>
          <t>Payroll</t>
        </is>
      </c>
      <c r="E847" s="297" t="inlineStr">
        <is>
          <t>Staff - Salary</t>
        </is>
      </c>
      <c r="F847" s="299" t="n">
        <v>1460</v>
      </c>
      <c r="G847" s="300" t="inlineStr">
        <is>
          <t>Restaurant</t>
        </is>
      </c>
      <c r="H847" s="300" t="inlineStr">
        <is>
          <t>Cash</t>
        </is>
      </c>
      <c r="I847" s="301" t="inlineStr">
        <is>
          <t>✅ Paid</t>
        </is>
      </c>
      <c r="J847" s="423" t="inlineStr">
        <is>
          <t>Weekly salary</t>
        </is>
      </c>
    </row>
    <row r="848">
      <c r="B848" s="429" t="n">
        <v>46305</v>
      </c>
      <c r="C848" s="297" t="inlineStr">
        <is>
          <t>Vegetables</t>
        </is>
      </c>
      <c r="D848" s="298" t="inlineStr">
        <is>
          <t>No bill</t>
        </is>
      </c>
      <c r="E848" s="297" t="inlineStr">
        <is>
          <t>Ingredients - Vegetables</t>
        </is>
      </c>
      <c r="F848" s="299" t="n">
        <v>2000</v>
      </c>
      <c r="G848" s="300" t="inlineStr">
        <is>
          <t>Restaurant</t>
        </is>
      </c>
      <c r="H848" s="300" t="inlineStr">
        <is>
          <t>Cash</t>
        </is>
      </c>
      <c r="I848" s="301" t="inlineStr">
        <is>
          <t>✅ Paid</t>
        </is>
      </c>
      <c r="J848" s="423" t="inlineStr">
        <is>
          <t>No receipt; cash</t>
        </is>
      </c>
    </row>
    <row r="849">
      <c r="B849" s="429" t="n">
        <v>46305</v>
      </c>
      <c r="C849" s="297" t="inlineStr">
        <is>
          <t>Molino</t>
        </is>
      </c>
      <c r="D849" s="298" t="inlineStr">
        <is>
          <t>No bill</t>
        </is>
      </c>
      <c r="E849" s="297" t="inlineStr">
        <is>
          <t>Supermarket/General</t>
        </is>
      </c>
      <c r="F849" s="299" t="n">
        <v>72</v>
      </c>
      <c r="G849" s="300" t="inlineStr">
        <is>
          <t>Restaurant</t>
        </is>
      </c>
      <c r="H849" s="300" t="inlineStr">
        <is>
          <t>Cash</t>
        </is>
      </c>
      <c r="I849" s="301" t="inlineStr">
        <is>
          <t>✅ Paid</t>
        </is>
      </c>
      <c r="J849" s="423" t="inlineStr">
        <is>
          <t>No receipt; cash</t>
        </is>
      </c>
    </row>
    <row r="850">
      <c r="B850" s="429" t="n">
        <v>46305</v>
      </c>
      <c r="C850" s="297" t="inlineStr">
        <is>
          <t>Carne</t>
        </is>
      </c>
      <c r="D850" s="298" t="inlineStr">
        <is>
          <t>No bill</t>
        </is>
      </c>
      <c r="E850" s="297" t="inlineStr">
        <is>
          <t>Ingredients - Meat</t>
        </is>
      </c>
      <c r="F850" s="299" t="n">
        <v>297</v>
      </c>
      <c r="G850" s="300" t="inlineStr">
        <is>
          <t>Restaurant</t>
        </is>
      </c>
      <c r="H850" s="300" t="inlineStr">
        <is>
          <t>Cash</t>
        </is>
      </c>
      <c r="I850" s="301" t="inlineStr">
        <is>
          <t>✅ Paid</t>
        </is>
      </c>
      <c r="J850" s="423" t="inlineStr">
        <is>
          <t>No receipt; cash</t>
        </is>
      </c>
    </row>
    <row r="851">
      <c r="B851" s="429" t="n">
        <v>46305</v>
      </c>
      <c r="C851" s="297" t="inlineStr">
        <is>
          <t>3B</t>
        </is>
      </c>
      <c r="D851" s="298" t="inlineStr">
        <is>
          <t>Tres B</t>
        </is>
      </c>
      <c r="E851" s="297" t="inlineStr">
        <is>
          <t>Supermarket/General</t>
        </is>
      </c>
      <c r="F851" s="299" t="n">
        <v>938</v>
      </c>
      <c r="G851" s="300" t="inlineStr">
        <is>
          <t>Restaurant</t>
        </is>
      </c>
      <c r="H851" s="300" t="inlineStr">
        <is>
          <t>Cash</t>
        </is>
      </c>
      <c r="I851" s="301" t="inlineStr">
        <is>
          <t>✅ Paid</t>
        </is>
      </c>
      <c r="J851" s="423" t="inlineStr">
        <is>
          <t>No receipt; cash</t>
        </is>
      </c>
    </row>
    <row r="852">
      <c r="B852" s="429" t="n">
        <v>46305</v>
      </c>
      <c r="C852" s="297" t="inlineStr">
        <is>
          <t>Gas</t>
        </is>
      </c>
      <c r="D852" s="298" t="inlineStr">
        <is>
          <t>No bill</t>
        </is>
      </c>
      <c r="E852" s="297" t="inlineStr">
        <is>
          <t>Utilities/Gas</t>
        </is>
      </c>
      <c r="F852" s="299" t="n">
        <v>1500</v>
      </c>
      <c r="G852" s="300" t="inlineStr">
        <is>
          <t>Restaurant</t>
        </is>
      </c>
      <c r="H852" s="300" t="inlineStr">
        <is>
          <t>Cash</t>
        </is>
      </c>
      <c r="I852" s="301" t="inlineStr">
        <is>
          <t>✅ Paid</t>
        </is>
      </c>
      <c r="J852" s="423" t="inlineStr">
        <is>
          <t>No receipt; cash</t>
        </is>
      </c>
    </row>
    <row r="853">
      <c r="B853" s="429" t="n">
        <v>46305</v>
      </c>
      <c r="C853" s="297" t="inlineStr">
        <is>
          <t>Queso Bodega</t>
        </is>
      </c>
      <c r="D853" s="298" t="inlineStr">
        <is>
          <t>No bill</t>
        </is>
      </c>
      <c r="E853" s="297" t="inlineStr">
        <is>
          <t>Supermarket/General</t>
        </is>
      </c>
      <c r="F853" s="299" t="n">
        <v>570</v>
      </c>
      <c r="G853" s="300" t="inlineStr">
        <is>
          <t>Restaurant</t>
        </is>
      </c>
      <c r="H853" s="300" t="inlineStr">
        <is>
          <t>Cash</t>
        </is>
      </c>
      <c r="I853" s="301" t="inlineStr">
        <is>
          <t>✅ Paid</t>
        </is>
      </c>
      <c r="J853" s="423" t="inlineStr">
        <is>
          <t>No receipt; cash</t>
        </is>
      </c>
    </row>
    <row r="854">
      <c r="B854" s="429" t="n">
        <v>46305</v>
      </c>
      <c r="C854" s="297" t="inlineStr">
        <is>
          <t>Queso Panela</t>
        </is>
      </c>
      <c r="D854" s="298" t="inlineStr">
        <is>
          <t>No bill</t>
        </is>
      </c>
      <c r="E854" s="297" t="inlineStr">
        <is>
          <t>Ingredients - Dairy</t>
        </is>
      </c>
      <c r="F854" s="299" t="n">
        <v>687</v>
      </c>
      <c r="G854" s="300" t="inlineStr">
        <is>
          <t>Restaurant</t>
        </is>
      </c>
      <c r="H854" s="300" t="inlineStr">
        <is>
          <t>Cash</t>
        </is>
      </c>
      <c r="I854" s="301" t="inlineStr">
        <is>
          <t>✅ Paid</t>
        </is>
      </c>
      <c r="J854" s="423" t="inlineStr">
        <is>
          <t>No receipt; cash</t>
        </is>
      </c>
    </row>
    <row r="855">
      <c r="B855" s="429" t="n">
        <v>46305</v>
      </c>
      <c r="C855" s="297" t="inlineStr">
        <is>
          <t>Pollo</t>
        </is>
      </c>
      <c r="D855" s="298" t="inlineStr">
        <is>
          <t>No bill</t>
        </is>
      </c>
      <c r="E855" s="297" t="inlineStr">
        <is>
          <t>Ingredients - Meat</t>
        </is>
      </c>
      <c r="F855" s="299" t="n">
        <v>1055</v>
      </c>
      <c r="G855" s="300" t="inlineStr">
        <is>
          <t>Lohith</t>
        </is>
      </c>
      <c r="H855" s="300" t="inlineStr">
        <is>
          <t>Cash</t>
        </is>
      </c>
      <c r="I855" s="301" t="inlineStr">
        <is>
          <t>✅ Paid</t>
        </is>
      </c>
      <c r="J855" s="423" t="inlineStr">
        <is>
          <t>Pagado por Lohith (bolsillo); reembolsable via Owner Ledger</t>
        </is>
      </c>
    </row>
    <row r="856">
      <c r="B856" s="429" t="n">
        <v>46305</v>
      </c>
      <c r="C856" s="297" t="inlineStr">
        <is>
          <t>Josias - salary</t>
        </is>
      </c>
      <c r="D856" s="298" t="inlineStr">
        <is>
          <t>Payroll</t>
        </is>
      </c>
      <c r="E856" s="297" t="inlineStr">
        <is>
          <t>Staff - Salary</t>
        </is>
      </c>
      <c r="F856" s="299" t="n">
        <v>2200</v>
      </c>
      <c r="G856" s="300" t="inlineStr">
        <is>
          <t>Restaurant</t>
        </is>
      </c>
      <c r="H856" s="300" t="inlineStr">
        <is>
          <t>Cash</t>
        </is>
      </c>
      <c r="I856" s="301" t="inlineStr">
        <is>
          <t>✅ Paid</t>
        </is>
      </c>
      <c r="J856" s="423" t="inlineStr">
        <is>
          <t>Weekly salary</t>
        </is>
      </c>
    </row>
    <row r="857">
      <c r="B857" s="429" t="n">
        <v>46305</v>
      </c>
      <c r="C857" s="297" t="inlineStr">
        <is>
          <t>Jhon - salary</t>
        </is>
      </c>
      <c r="D857" s="298" t="inlineStr">
        <is>
          <t>Payroll</t>
        </is>
      </c>
      <c r="E857" s="297" t="inlineStr">
        <is>
          <t>Staff - Salary</t>
        </is>
      </c>
      <c r="F857" s="299" t="n">
        <v>3750</v>
      </c>
      <c r="G857" s="300" t="inlineStr">
        <is>
          <t>Restaurant</t>
        </is>
      </c>
      <c r="H857" s="300" t="inlineStr">
        <is>
          <t>Cash</t>
        </is>
      </c>
      <c r="I857" s="301" t="inlineStr">
        <is>
          <t>✅ Paid</t>
        </is>
      </c>
      <c r="J857" s="423" t="inlineStr">
        <is>
          <t>Weekly salary</t>
        </is>
      </c>
    </row>
    <row r="858">
      <c r="B858" s="429" t="n">
        <v>46307</v>
      </c>
      <c r="C858" s="297" t="inlineStr">
        <is>
          <t>Electric Issue</t>
        </is>
      </c>
      <c r="D858" s="298" t="inlineStr">
        <is>
          <t>No bill</t>
        </is>
      </c>
      <c r="E858" s="297" t="inlineStr">
        <is>
          <t>Utilities/Electricity</t>
        </is>
      </c>
      <c r="F858" s="299" t="n">
        <v>2700</v>
      </c>
      <c r="G858" s="300" t="inlineStr">
        <is>
          <t>Restaurant</t>
        </is>
      </c>
      <c r="H858" s="300" t="inlineStr">
        <is>
          <t>Cash</t>
        </is>
      </c>
      <c r="I858" s="301" t="inlineStr">
        <is>
          <t>✅ Paid</t>
        </is>
      </c>
      <c r="J858" s="423" t="inlineStr">
        <is>
          <t>No receipt; cash</t>
        </is>
      </c>
    </row>
    <row r="859">
      <c r="B859" s="429" t="n">
        <v>46307</v>
      </c>
      <c r="C859" s="297" t="inlineStr">
        <is>
          <t>Chedraui</t>
        </is>
      </c>
      <c r="D859" s="298" t="inlineStr">
        <is>
          <t>Chedraui</t>
        </is>
      </c>
      <c r="E859" s="297" t="inlineStr">
        <is>
          <t>Supermarket/General</t>
        </is>
      </c>
      <c r="F859" s="299" t="n">
        <v>340</v>
      </c>
      <c r="G859" s="300" t="inlineStr">
        <is>
          <t>Restaurant</t>
        </is>
      </c>
      <c r="H859" s="300" t="inlineStr">
        <is>
          <t>Cash</t>
        </is>
      </c>
      <c r="I859" s="301" t="inlineStr">
        <is>
          <t>✅ Paid</t>
        </is>
      </c>
      <c r="J859" s="423" t="inlineStr">
        <is>
          <t>No receipt; cash</t>
        </is>
      </c>
    </row>
    <row r="860">
      <c r="B860" s="429" t="n">
        <v>46308</v>
      </c>
      <c r="C860" s="297" t="inlineStr">
        <is>
          <t>Molino</t>
        </is>
      </c>
      <c r="D860" s="298" t="inlineStr">
        <is>
          <t>No bill</t>
        </is>
      </c>
      <c r="E860" s="297" t="inlineStr">
        <is>
          <t>Supermarket/General</t>
        </is>
      </c>
      <c r="F860" s="299" t="n">
        <v>116</v>
      </c>
      <c r="G860" s="300" t="inlineStr">
        <is>
          <t>Restaurant</t>
        </is>
      </c>
      <c r="H860" s="300" t="inlineStr">
        <is>
          <t>Cash</t>
        </is>
      </c>
      <c r="I860" s="301" t="inlineStr">
        <is>
          <t>✅ Paid</t>
        </is>
      </c>
      <c r="J860" s="423" t="inlineStr">
        <is>
          <t>No receipt; cash</t>
        </is>
      </c>
    </row>
    <row r="861">
      <c r="B861" s="429" t="n">
        <v>46308</v>
      </c>
      <c r="C861" s="297" t="inlineStr">
        <is>
          <t>Carne</t>
        </is>
      </c>
      <c r="D861" s="298" t="inlineStr">
        <is>
          <t>No bill</t>
        </is>
      </c>
      <c r="E861" s="297" t="inlineStr">
        <is>
          <t>Ingredients - Meat</t>
        </is>
      </c>
      <c r="F861" s="299" t="n">
        <v>826</v>
      </c>
      <c r="G861" s="300" t="inlineStr">
        <is>
          <t>Restaurant</t>
        </is>
      </c>
      <c r="H861" s="300" t="inlineStr">
        <is>
          <t>Cash</t>
        </is>
      </c>
      <c r="I861" s="301" t="inlineStr">
        <is>
          <t>✅ Paid</t>
        </is>
      </c>
      <c r="J861" s="423" t="inlineStr">
        <is>
          <t>No receipt; cash</t>
        </is>
      </c>
    </row>
    <row r="862">
      <c r="B862" s="429" t="n">
        <v>46308</v>
      </c>
      <c r="C862" s="297" t="inlineStr">
        <is>
          <t>Carne Hamburguesa</t>
        </is>
      </c>
      <c r="D862" s="298" t="inlineStr">
        <is>
          <t>No bill</t>
        </is>
      </c>
      <c r="E862" s="297" t="inlineStr">
        <is>
          <t>Ingredients - Meat</t>
        </is>
      </c>
      <c r="F862" s="299" t="n">
        <v>380</v>
      </c>
      <c r="G862" s="300" t="inlineStr">
        <is>
          <t>Restaurant</t>
        </is>
      </c>
      <c r="H862" s="300" t="inlineStr">
        <is>
          <t>Cash</t>
        </is>
      </c>
      <c r="I862" s="301" t="inlineStr">
        <is>
          <t>✅ Paid</t>
        </is>
      </c>
      <c r="J862" s="423" t="inlineStr">
        <is>
          <t>No receipt; cash</t>
        </is>
      </c>
    </row>
    <row r="863">
      <c r="B863" s="429" t="n">
        <v>46308</v>
      </c>
      <c r="C863" s="297" t="inlineStr">
        <is>
          <t>Chedraui</t>
        </is>
      </c>
      <c r="D863" s="298" t="inlineStr">
        <is>
          <t>Chedraui</t>
        </is>
      </c>
      <c r="E863" s="297" t="inlineStr">
        <is>
          <t>Supermarket/General</t>
        </is>
      </c>
      <c r="F863" s="299" t="n">
        <v>67</v>
      </c>
      <c r="G863" s="300" t="inlineStr">
        <is>
          <t>Restaurant</t>
        </is>
      </c>
      <c r="H863" s="300" t="inlineStr">
        <is>
          <t>Cash</t>
        </is>
      </c>
      <c r="I863" s="301" t="inlineStr">
        <is>
          <t>✅ Paid</t>
        </is>
      </c>
      <c r="J863" s="423" t="inlineStr">
        <is>
          <t>No receipt; cash</t>
        </is>
      </c>
    </row>
    <row r="864">
      <c r="B864" s="429" t="n">
        <v>46309</v>
      </c>
      <c r="C864" s="297" t="inlineStr">
        <is>
          <t>Pescado</t>
        </is>
      </c>
      <c r="D864" s="298" t="inlineStr">
        <is>
          <t>No bill</t>
        </is>
      </c>
      <c r="E864" s="297" t="inlineStr">
        <is>
          <t>Ingredients - Meat &amp; Fish</t>
        </is>
      </c>
      <c r="F864" s="299" t="n">
        <v>313</v>
      </c>
      <c r="G864" s="300" t="inlineStr">
        <is>
          <t>Restaurant</t>
        </is>
      </c>
      <c r="H864" s="300" t="inlineStr">
        <is>
          <t>Cash</t>
        </is>
      </c>
      <c r="I864" s="301" t="inlineStr">
        <is>
          <t>✅ Paid</t>
        </is>
      </c>
      <c r="J864" s="423" t="inlineStr">
        <is>
          <t>No receipt; cash</t>
        </is>
      </c>
    </row>
    <row r="865">
      <c r="B865" s="429" t="n">
        <v>46309</v>
      </c>
      <c r="C865" s="297" t="inlineStr">
        <is>
          <t>Molino</t>
        </is>
      </c>
      <c r="D865" s="298" t="inlineStr">
        <is>
          <t>No bill</t>
        </is>
      </c>
      <c r="E865" s="297" t="inlineStr">
        <is>
          <t>Supermarket/General</t>
        </is>
      </c>
      <c r="F865" s="299" t="n">
        <v>28</v>
      </c>
      <c r="G865" s="300" t="inlineStr">
        <is>
          <t>Restaurant</t>
        </is>
      </c>
      <c r="H865" s="300" t="inlineStr">
        <is>
          <t>Cash</t>
        </is>
      </c>
      <c r="I865" s="301" t="inlineStr">
        <is>
          <t>✅ Paid</t>
        </is>
      </c>
      <c r="J865" s="423" t="inlineStr">
        <is>
          <t>No receipt; cash</t>
        </is>
      </c>
    </row>
    <row r="866">
      <c r="B866" s="429" t="n">
        <v>46309</v>
      </c>
      <c r="C866" s="297" t="inlineStr">
        <is>
          <t>Vegetables</t>
        </is>
      </c>
      <c r="D866" s="298" t="inlineStr">
        <is>
          <t>No bill</t>
        </is>
      </c>
      <c r="E866" s="297" t="inlineStr">
        <is>
          <t>Ingredients - Vegetables</t>
        </is>
      </c>
      <c r="F866" s="299" t="n">
        <v>140</v>
      </c>
      <c r="G866" s="300" t="inlineStr">
        <is>
          <t>Restaurant</t>
        </is>
      </c>
      <c r="H866" s="300" t="inlineStr">
        <is>
          <t>Cash</t>
        </is>
      </c>
      <c r="I866" s="301" t="inlineStr">
        <is>
          <t>✅ Paid</t>
        </is>
      </c>
      <c r="J866" s="423" t="inlineStr">
        <is>
          <t>No receipt; cash</t>
        </is>
      </c>
    </row>
    <row r="867">
      <c r="B867" s="429" t="n">
        <v>46310</v>
      </c>
      <c r="C867" s="297" t="inlineStr">
        <is>
          <t>Vegetables</t>
        </is>
      </c>
      <c r="D867" s="298" t="inlineStr">
        <is>
          <t>No bill</t>
        </is>
      </c>
      <c r="E867" s="297" t="inlineStr">
        <is>
          <t>Ingredients - Vegetables</t>
        </is>
      </c>
      <c r="F867" s="299" t="n">
        <v>198</v>
      </c>
      <c r="G867" s="300" t="inlineStr">
        <is>
          <t>Restaurant</t>
        </is>
      </c>
      <c r="H867" s="300" t="inlineStr">
        <is>
          <t>Cash</t>
        </is>
      </c>
      <c r="I867" s="301" t="inlineStr">
        <is>
          <t>✅ Paid</t>
        </is>
      </c>
      <c r="J867" s="423" t="inlineStr">
        <is>
          <t>No receipt; cash</t>
        </is>
      </c>
    </row>
    <row r="868">
      <c r="B868" s="429" t="n">
        <v>46310</v>
      </c>
      <c r="C868" s="297" t="inlineStr">
        <is>
          <t>Carne</t>
        </is>
      </c>
      <c r="D868" s="298" t="inlineStr">
        <is>
          <t>No bill</t>
        </is>
      </c>
      <c r="E868" s="297" t="inlineStr">
        <is>
          <t>Ingredients - Meat</t>
        </is>
      </c>
      <c r="F868" s="299" t="n">
        <v>378</v>
      </c>
      <c r="G868" s="300" t="inlineStr">
        <is>
          <t>Restaurant</t>
        </is>
      </c>
      <c r="H868" s="300" t="inlineStr">
        <is>
          <t>Cash</t>
        </is>
      </c>
      <c r="I868" s="301" t="inlineStr">
        <is>
          <t>✅ Paid</t>
        </is>
      </c>
      <c r="J868" s="423" t="inlineStr">
        <is>
          <t>No receipt; cash</t>
        </is>
      </c>
    </row>
    <row r="869">
      <c r="B869" s="429" t="n">
        <v>46310</v>
      </c>
      <c r="C869" s="297" t="inlineStr">
        <is>
          <t>Chedraui</t>
        </is>
      </c>
      <c r="D869" s="298" t="inlineStr">
        <is>
          <t>Chedraui</t>
        </is>
      </c>
      <c r="E869" s="297" t="inlineStr">
        <is>
          <t>Supermarket/General</t>
        </is>
      </c>
      <c r="F869" s="299" t="n">
        <v>149</v>
      </c>
      <c r="G869" s="300" t="inlineStr">
        <is>
          <t>Restaurant</t>
        </is>
      </c>
      <c r="H869" s="300" t="inlineStr">
        <is>
          <t>Cash</t>
        </is>
      </c>
      <c r="I869" s="301" t="inlineStr">
        <is>
          <t>✅ Paid</t>
        </is>
      </c>
      <c r="J869" s="423" t="inlineStr">
        <is>
          <t>No receipt; cash</t>
        </is>
      </c>
    </row>
    <row r="870">
      <c r="B870" s="429" t="n">
        <v>46310</v>
      </c>
      <c r="C870" s="297" t="inlineStr">
        <is>
          <t>Josias - salary</t>
        </is>
      </c>
      <c r="D870" s="298" t="inlineStr">
        <is>
          <t>Payroll</t>
        </is>
      </c>
      <c r="E870" s="297" t="inlineStr">
        <is>
          <t>Staff - Salary</t>
        </is>
      </c>
      <c r="F870" s="299" t="n">
        <v>1350</v>
      </c>
      <c r="G870" s="300" t="inlineStr">
        <is>
          <t>Restaurant</t>
        </is>
      </c>
      <c r="H870" s="300" t="inlineStr">
        <is>
          <t>Cash</t>
        </is>
      </c>
      <c r="I870" s="301" t="inlineStr">
        <is>
          <t>✅ Paid</t>
        </is>
      </c>
      <c r="J870" s="423" t="inlineStr">
        <is>
          <t>Weekly salary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3" t="n"/>
      <c r="I21" s="433" t="n"/>
      <c r="J21" s="433" t="n"/>
      <c r="K21" s="433" t="n"/>
      <c r="L21" s="433" t="n"/>
    </row>
    <row r="22">
      <c r="A22" s="439" t="inlineStr">
        <is>
          <t>Utilities/Electricity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3" t="n"/>
      <c r="I22" s="433" t="n"/>
      <c r="J22" s="433" t="n"/>
      <c r="K22" s="433" t="n"/>
      <c r="L22" s="433" t="n"/>
    </row>
    <row r="23">
      <c r="A23" s="439" t="inlineStr">
        <is>
          <t>Taxes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3" t="n"/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3" t="n"/>
      <c r="I24" s="433" t="n"/>
      <c r="J24" s="433" t="n"/>
      <c r="K24" s="433" t="n"/>
      <c r="L24" s="433" t="n"/>
    </row>
    <row r="25">
      <c r="A25" s="439" t="inlineStr">
        <is>
          <t>Ingredients - Beverages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3" t="n"/>
      <c r="I25" s="433" t="n"/>
      <c r="J25" s="433" t="n"/>
      <c r="K25" s="433" t="n"/>
      <c r="L25" s="433" t="n"/>
    </row>
    <row r="26">
      <c r="A26" s="439" t="inlineStr">
        <is>
          <t>Ingredients - Dairy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3" t="n"/>
      <c r="I26" s="433" t="n"/>
      <c r="J26" s="433" t="n"/>
      <c r="K26" s="433" t="n"/>
      <c r="L26" s="433" t="n"/>
    </row>
    <row r="27">
      <c r="A27" s="439" t="inlineStr">
        <is>
          <t>Ingredients - Bread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3" t="n"/>
      <c r="I28" s="433" t="n"/>
      <c r="J28" s="433" t="n"/>
      <c r="K28" s="433" t="n"/>
      <c r="L28" s="433" t="n"/>
    </row>
    <row r="29">
      <c r="A29" s="439" t="inlineStr">
        <is>
          <t>Supplies/Other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3" t="n"/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3" t="n"/>
      <c r="I31" s="433" t="n"/>
      <c r="J31" s="433" t="n"/>
      <c r="K31" s="433" t="n"/>
      <c r="L31" s="433" t="n"/>
    </row>
    <row r="32">
      <c r="A32" s="439" t="inlineStr">
        <is>
          <t>Packaging/Disposables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3" t="n"/>
      <c r="I33" s="433" t="n"/>
      <c r="J33" s="433" t="n"/>
      <c r="K33" s="433" t="n"/>
      <c r="L33" s="433" t="n"/>
    </row>
    <row r="34">
      <c r="A34" s="439" t="inlineStr">
        <is>
          <t>Professional Services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3" t="n"/>
      <c r="I34" s="433" t="n"/>
      <c r="J34" s="433" t="n"/>
      <c r="K34" s="433" t="n"/>
      <c r="L34" s="433" t="n"/>
    </row>
    <row r="35">
      <c r="A35" s="439" t="inlineStr">
        <is>
          <t>Ingredients - Fruit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3" t="n"/>
      <c r="I35" s="433" t="n"/>
      <c r="J35" s="433" t="n"/>
      <c r="K35" s="433" t="n"/>
      <c r="L35" s="433" t="n"/>
    </row>
    <row r="36">
      <c r="A36" s="439" t="inlineStr">
        <is>
          <t>Software/Subscription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3" t="n"/>
      <c r="I36" s="433" t="n"/>
      <c r="J36" s="433" t="n"/>
      <c r="K36" s="433" t="n"/>
      <c r="L36" s="433" t="n"/>
    </row>
    <row r="37">
      <c r="A37" s="439" t="inlineStr">
        <is>
          <t>Utilities/Internet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3" t="n"/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3" t="n"/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G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1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n">
        <v>46303</v>
      </c>
      <c r="B105" s="232" t="inlineStr">
        <is>
          <t>Transfer-to-me (customer payment 08-Oct)</t>
        </is>
      </c>
      <c r="C105" s="232" t="inlineStr">
        <is>
          <t>Transfer Received</t>
        </is>
      </c>
      <c r="D105" s="232" t="n"/>
      <c r="E105" s="233" t="n">
        <v>85</v>
      </c>
      <c r="F105" s="233">
        <f>IFERROR(F104+D105-E105,0)</f>
        <v/>
      </c>
      <c r="G105" s="232" t="inlineStr">
        <is>
          <t>✅ Received</t>
        </is>
      </c>
      <c r="H105" s="232" t="inlineStr">
        <is>
          <t>Customer paid Lohith personal acct</t>
        </is>
      </c>
    </row>
    <row r="106">
      <c r="A106" s="430" t="n">
        <v>46304</v>
      </c>
      <c r="B106" s="232" t="inlineStr">
        <is>
          <t>Transfer-to-me (customer payment 09-Oct)</t>
        </is>
      </c>
      <c r="C106" s="232" t="inlineStr">
        <is>
          <t>Transfer Received</t>
        </is>
      </c>
      <c r="D106" s="232" t="n"/>
      <c r="E106" s="233" t="n">
        <v>130</v>
      </c>
      <c r="F106" s="233">
        <f>IFERROR(F105+D106-E106,0)</f>
        <v/>
      </c>
      <c r="G106" s="232" t="inlineStr">
        <is>
          <t>✅ Received</t>
        </is>
      </c>
      <c r="H106" s="232" t="inlineStr">
        <is>
          <t>Customer paid Lohith personal acct</t>
        </is>
      </c>
    </row>
    <row r="107">
      <c r="A107" s="430" t="n">
        <v>46305</v>
      </c>
      <c r="B107" s="232" t="inlineStr">
        <is>
          <t>Transfer-to-me (customer payment 10-Oct)</t>
        </is>
      </c>
      <c r="C107" s="232" t="inlineStr">
        <is>
          <t>Transfer Received</t>
        </is>
      </c>
      <c r="D107" s="232" t="n"/>
      <c r="E107" s="233" t="n">
        <v>220</v>
      </c>
      <c r="F107" s="233">
        <f>IFERROR(F106+D107-E107,0)</f>
        <v/>
      </c>
      <c r="G107" s="232" t="inlineStr">
        <is>
          <t>✅ Received</t>
        </is>
      </c>
      <c r="H107" s="232" t="inlineStr">
        <is>
          <t>Customer paid Lohith personal acct</t>
        </is>
      </c>
    </row>
    <row r="108">
      <c r="A108" s="430" t="n">
        <v>46305</v>
      </c>
      <c r="B108" s="232" t="inlineStr">
        <is>
          <t>Pollo $1,055 (paid by Lohith)</t>
        </is>
      </c>
      <c r="C108" s="232" t="inlineStr">
        <is>
          <t>Expense - Personal</t>
        </is>
      </c>
      <c r="D108" s="232" t="n">
        <v>1055</v>
      </c>
      <c r="E108" s="233" t="n"/>
      <c r="F108" s="233">
        <f>IFERROR(F107+D108-E108,0)</f>
        <v/>
      </c>
      <c r="G108" s="232" t="inlineStr">
        <is>
          <t>⏳ Reimburse</t>
        </is>
      </c>
      <c r="H108" s="232" t="inlineStr">
        <is>
          <t>Fronted from own pocket; excluded from till via cash_adjust</t>
        </is>
      </c>
    </row>
    <row r="109">
      <c r="A109" s="430" t="n">
        <v>46307</v>
      </c>
      <c r="B109" s="232" t="inlineStr">
        <is>
          <t>Transfer-to-me (customer payment 12-Oct)</t>
        </is>
      </c>
      <c r="C109" s="232" t="inlineStr">
        <is>
          <t>Transfer Received</t>
        </is>
      </c>
      <c r="D109" s="232" t="n"/>
      <c r="E109" s="233" t="n">
        <v>85</v>
      </c>
      <c r="F109" s="233">
        <f>IFERROR(F108+D109-E109,0)</f>
        <v/>
      </c>
      <c r="G109" s="232" t="inlineStr">
        <is>
          <t>✅ Received</t>
        </is>
      </c>
      <c r="H109" s="232" t="inlineStr">
        <is>
          <t>Customer paid Lohith personal acct</t>
        </is>
      </c>
    </row>
    <row r="110">
      <c r="A110" s="430" t="n">
        <v>46308</v>
      </c>
      <c r="B110" s="232" t="inlineStr">
        <is>
          <t>Transfer-to-me (customer payment 13-Oct)</t>
        </is>
      </c>
      <c r="C110" s="232" t="inlineStr">
        <is>
          <t>Transfer Received</t>
        </is>
      </c>
      <c r="D110" s="232" t="n"/>
      <c r="E110" s="233" t="n">
        <v>120</v>
      </c>
      <c r="F110" s="233">
        <f>IFERROR(F109+D110-E110,0)</f>
        <v/>
      </c>
      <c r="G110" s="232" t="inlineStr">
        <is>
          <t>✅ Received</t>
        </is>
      </c>
      <c r="H110" s="232" t="inlineStr">
        <is>
          <t>Customer paid Lohith personal acct</t>
        </is>
      </c>
    </row>
    <row r="111">
      <c r="A111" s="430" t="inlineStr">
        <is>
          <t>TOTALS &amp; CURRENT BALANCE</t>
        </is>
      </c>
      <c r="B111" s="232" t="n"/>
      <c r="C111" s="232" t="n"/>
      <c r="D111" s="232">
        <f>SUM(D4:D110)</f>
        <v/>
      </c>
      <c r="E111" s="233">
        <f>SUM(E4:E110)</f>
        <v/>
      </c>
      <c r="F111" s="233">
        <f>F110</f>
        <v/>
      </c>
      <c r="G111" s="232">
        <f>IF(F110&gt;0,"Restaurant owes Lohith $"&amp;TEXT(F110,"#,##0"),IF(F110&lt;0,"Lohith holds $"&amp;TEXT(ABS(F110),"#,##0"),"Zero balance"))</f>
        <v/>
      </c>
      <c r="H111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2026-10-22T02:35:11Z</dcterms:modified>
  <cp:lastModifiedBy>LOHITH REDDY</cp:lastModifiedBy>
</cp:coreProperties>
</file>