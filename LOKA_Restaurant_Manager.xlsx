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45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32415.85</v>
      </c>
      <c r="E147" s="286" t="inlineStr">
        <is>
          <t>Operating costs funded from partner capital, net of repayments. Funded: 20,000 (rent Jul) + 17,200.04 (rent Aug) + 8,789 (luz Aug) + 19,314.81 (liquidacion ledger) = 65,303.85. Repaid from operating cash: 20,000 (21-Jul) + 2,587 (22-Jul) + 10,301 (05-Aug) = 32,888. Still owed by Operations: 32,415.85.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-32888</v>
      </c>
      <c r="E149" t="inlineStr">
        <is>
          <t>Cumulative repaid from operating cash (latest 04-Aug-2026 $10,301.00).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6540.0</v>
      </c>
      <c r="G6" s="31">
        <f>SUMIFS($G$8:$G$5000,$B$8:$B$5000,TODAY())</f>
        <v>130.0</v>
      </c>
      <c r="H6" s="28">
        <f>SUMIFS($H$8:$H$5000,$B$8:$B$5000,TODAY())</f>
        <v>1138.0</v>
      </c>
      <c r="I6" s="32">
        <f>F6-H6</f>
        <v>5402.0</v>
      </c>
      <c r="J6">
        <f>IFERROR(I6/F6,0)</f>
        <v>0.825994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6540.0</v>
      </c>
      <c r="N6" s="33">
        <f>SUMPRODUCT((ISNUMBER($B$8:$B$5000))*($B$8:$B$5000&gt;=TODAY()-MOD(TODAY()-2,7))*($B$8:$B$5000&lt;TODAY()-MOD(TODAY()-2,7)+7)*IF(ISNUMBER($F$8:$F$5000),$F$8:$F$5000,0))</f>
        <v>6540.0</v>
      </c>
      <c r="O6" s="33">
        <f>SUMPRODUCT((ISNUMBER($B$8:$B$5000))*(MONTH($B$8:$B$5000)=MONTH(TODAY()))*(YEAR($B$8:$B$5000)=YEAR(TODAY()))*IF(ISNUMBER($F$8:$F$5000),$F$8:$F$5000,0))</f>
        <v>36478.0</v>
      </c>
      <c r="P6">
        <f>SUMPRODUCT((ISNUMBER($B$8:$B$5000))*($B$8:$B$5000&gt;=TODAY()-MOD(TODAY()-2,7))*($B$8:$B$5000&lt;TODAY()-MOD(TODAY()-2,7)+7)*IF(ISNUMBER($H$8:$H$5000),$H$8:$H$5000,0))</f>
        <v>1138.0</v>
      </c>
      <c r="Q6">
        <f>M6-P6</f>
        <v>5402.0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31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31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31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31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31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31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31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31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31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31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31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31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31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31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31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31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31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31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31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31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31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31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31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31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31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31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31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31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31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31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31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613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31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9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3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3" t="n"/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3" t="n"/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3" t="n"/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3" t="n"/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33" t="n"/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3" t="n"/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3" t="n"/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3" t="n"/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3" t="n"/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3" t="n"/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3" t="n"/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3" t="n"/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3" t="n"/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3" t="n"/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3" t="n"/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3" t="n"/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3" t="n"/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3" t="n"/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Dairy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3" t="n"/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Beverages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3" t="n"/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Utilities/Electricity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3" t="n"/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Ingredients - Bread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3" t="n"/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Supplies/Other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3" t="n"/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3" t="n"/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Maintenance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3" t="n"/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Packaging/Disposables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3" t="n"/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3" t="n"/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Ingredients - Fruit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3" t="n"/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3" t="n"/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Utilities/Internet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3" t="n"/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Ingredients - Other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3" t="n"/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Office Supplies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3" t="n"/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Software/Subscription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3" t="n"/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Staff - Advance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3" t="n"/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Desserts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3" t="n"/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Ingredients - Eggs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3" t="n"/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Staff - Propinas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3" t="n"/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TOTAL EXPENSES</t>
        </is>
      </c>
      <c r="B42" s="438">
        <f>SUMIFS('💸 Expenses'!$F$8:$F$5000,'💸 Expenses'!$B$8:$B$5000,"&gt;="&amp;DATE(2026,5,1),'💸 Expenses'!$B$8:$B$5000,"&lt;"&amp;DATE(2026,6,1))</f>
        <v/>
      </c>
      <c r="C42" s="438">
        <f>SUMIFS('💸 Expenses'!$F$8:$F$5000,'💸 Expenses'!$B$8:$B$5000,"&gt;="&amp;DATE(2026,6,1),'💸 Expenses'!$B$8:$B$5000,"&lt;"&amp;DATE(2026,7,1))</f>
        <v/>
      </c>
      <c r="D42" s="438">
        <f>SUMIFS('💸 Expenses'!$F$8:$F$5000,'💸 Expenses'!$B$8:$B$5000,"&gt;="&amp;DATE(2026,7,1),'💸 Expenses'!$B$8:$B$5000,"&lt;"&amp;DATE(2026,8,1))</f>
        <v/>
      </c>
      <c r="E42" s="438">
        <f>SUMIFS('💸 Expenses'!$F$8:$F$5000,'💸 Expenses'!$B$8:$B$5000,"&gt;="&amp;DATE(2026,8,1),'💸 Expenses'!$B$8:$B$5000,"&lt;"&amp;DATE(2026,9,1))</f>
        <v/>
      </c>
      <c r="F42" s="433" t="n"/>
      <c r="G42" s="433" t="n"/>
      <c r="H42" s="433" t="n"/>
      <c r="I42" s="433" t="n"/>
      <c r="J42" s="433" t="n"/>
      <c r="K42" s="433" t="n"/>
      <c r="L42" s="433" t="n"/>
    </row>
    <row r="43">
      <c r="A43" s="436" t="inlineStr">
        <is>
          <t>NET PROFIT / LOSS</t>
        </is>
      </c>
      <c r="B43" s="438">
        <f>B4-B42</f>
        <v/>
      </c>
      <c r="C43" s="438">
        <f>C4-C42</f>
        <v/>
      </c>
      <c r="D43" s="438">
        <f>D4-D42</f>
        <v/>
      </c>
      <c r="E43" s="438">
        <f>E4-E42</f>
        <v/>
      </c>
      <c r="F43" s="433" t="n"/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E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inlineStr">
        <is>
          <t>TOTALS &amp; CURRENT BALANCE</t>
        </is>
      </c>
      <c r="B65" s="232" t="n"/>
      <c r="C65" s="232" t="n"/>
      <c r="D65" s="232">
        <f>SUM(D4:D64)</f>
        <v/>
      </c>
      <c r="E65" s="233">
        <f>SUM(E4:E64)</f>
        <v/>
      </c>
      <c r="F65" s="233">
        <f>F64</f>
        <v/>
      </c>
      <c r="G65" s="232">
        <f>IF(F64&gt;0,"Restaurant owes Lohith $"&amp;TEXT(F64,"#,##0"),IF(F64&lt;0,"Lohith holds $"&amp;TEXT(ABS(F64),"#,##0"),"Zero balance"))</f>
        <v/>
      </c>
      <c r="H65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2026-08-11T01:57:57Z</dcterms:modified>
  <cp:lastModifiedBy>LOHITH REDDY</cp:lastModifiedBy>
</cp:coreProperties>
</file>