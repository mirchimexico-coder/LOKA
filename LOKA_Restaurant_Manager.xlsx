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-18138.96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107795.04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2270.0</v>
      </c>
      <c r="G6" s="31">
        <f>SUMIFS($G$8:$G$5000,$B$8:$B$5000,TODAY())</f>
        <v>0.0</v>
      </c>
      <c r="H6" s="28">
        <f>SUMIFS($H$8:$H$5000,$B$8:$B$5000,TODAY())</f>
        <v>481.0</v>
      </c>
      <c r="I6" s="32">
        <f>F6-H6</f>
        <v>1789.0</v>
      </c>
      <c r="J6">
        <f>IFERROR(I6/F6,0)</f>
        <v>0.788106</v>
      </c>
      <c r="K6" s="28" t="n"/>
      <c r="L6" s="31" t="n"/>
      <c r="M6" s="28">
        <f>SUMIFS($F$8:$F$5000,$B$8:$B$5000,"&gt;="&amp;(TODAY()-WEEKDAY(TODAY(),2)+1),$B$8:$B$5000,"&lt;"&amp;(TODAY()-WEEKDAY(TODAY(),2)+8))</f>
        <v>11635.0</v>
      </c>
      <c r="N6" s="33">
        <f>SUMIFS($F$8:$F$5000,$B$8:$B$5000,"&gt;="&amp;(TODAY()-WEEKDAY(TODAY(),2)+1),$B$8:$B$5000,"&lt;"&amp;(TODAY()-WEEKDAY(TODAY(),2)+8))</f>
        <v>11635.0</v>
      </c>
      <c r="O6" s="33">
        <f>SUMIFS($F$8:$F$5000,$B$8:$B$5000,"&gt;="&amp;DATE(YEAR(TODAY()),MONTH(TODAY()),1),$B$8:$B$5000,"&lt;"&amp;DATE(YEAR(TODAY()),MONTH(TODAY())+1,1))</f>
        <v>42155.0</v>
      </c>
      <c r="P6">
        <f>SUMIFS('💸 Expenses'!$F$8:$F$5000,'💸 Expenses'!$B$8:$B$5000,"&gt;="&amp;(TODAY()-WEEKDAY(TODAY(),2)+1),'💸 Expenses'!$B$8:$B$5000,"&lt;"&amp;(TODAY()-WEEKDAY(TODAY(),2)+8))</f>
        <v>4910.0</v>
      </c>
      <c r="Q6">
        <f>M6-P6</f>
        <v>6725.0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427" t="n">
        <v>46308</v>
      </c>
      <c r="C138" s="270" t="inlineStr">
        <is>
          <t>Tue</t>
        </is>
      </c>
      <c r="D138" s="271" t="n">
        <v>2525</v>
      </c>
      <c r="E138" s="37" t="n">
        <v>1790</v>
      </c>
      <c r="F138" s="38">
        <f>IFERROR(D138+E138+G138+U138+Y138,0)</f>
        <v>4435.0</v>
      </c>
      <c r="G138" s="272" t="n">
        <v>120</v>
      </c>
      <c r="H138" s="273">
        <f>SUMIFS('💸 Expenses'!$F$8:$F$5000,'💸 Expenses'!$B$8:$B$5000,"&gt;="&amp;B138,'💸 Expenses'!$B$8:$B$5000,"&lt;"&amp;(B138+1))</f>
        <v>1389.0</v>
      </c>
      <c r="I138" s="274">
        <f>IFERROR(F138-H138,0)</f>
        <v>3046.0</v>
      </c>
      <c r="J138" s="275">
        <f>IFERROR(I138/F138,0)</f>
        <v>0.686809</v>
      </c>
      <c r="K138" s="250" t="n"/>
      <c r="L138" s="276" t="inlineStr">
        <is>
          <t>Cierre via loka.py</t>
        </is>
      </c>
      <c r="M138" s="323" t="n"/>
      <c r="N138" s="324" t="n"/>
      <c r="O138" s="325" t="n"/>
      <c r="P138" s="326" t="n"/>
      <c r="Q138" s="324" t="n"/>
      <c r="R138" s="428">
        <f>IFERROR(D138*$T$7,0)</f>
        <v>102.51</v>
      </c>
      <c r="S138" s="324" t="n"/>
      <c r="T138" s="324" t="n"/>
      <c r="U138" s="428" t="n">
        <v>0</v>
      </c>
      <c r="V138" s="428" t="n">
        <v>0</v>
      </c>
      <c r="W138" s="324" t="n"/>
      <c r="X138" s="324" t="n"/>
      <c r="Y138" s="428" t="n">
        <v>0</v>
      </c>
      <c r="Z138" s="428" t="n">
        <v>0</v>
      </c>
      <c r="AA138" s="324" t="n"/>
      <c r="AB138" s="324" t="n"/>
    </row>
    <row r="139" ht="16.5" customHeight="1" s="331">
      <c r="B139" s="427" t="n">
        <v>46309</v>
      </c>
      <c r="C139" s="255" t="inlineStr">
        <is>
          <t>Wed</t>
        </is>
      </c>
      <c r="D139" s="256" t="n">
        <v>925</v>
      </c>
      <c r="E139" s="49" t="n">
        <v>1345</v>
      </c>
      <c r="F139" s="50">
        <f>IFERROR(D139+E139+G139+U139+Y139,0)</f>
        <v>2270.0</v>
      </c>
      <c r="G139" s="257" t="n">
        <v>0</v>
      </c>
      <c r="H139" s="258">
        <f>SUMIFS('💸 Expenses'!$F$8:$F$5000,'💸 Expenses'!$B$8:$B$5000,"&gt;="&amp;B139,'💸 Expenses'!$B$8:$B$5000,"&lt;"&amp;(B139+1))</f>
        <v>481.0</v>
      </c>
      <c r="I139" s="259">
        <f>IFERROR(F139-H139,0)</f>
        <v>1789.0</v>
      </c>
      <c r="J139" s="260">
        <f>IFERROR(I139/F139,0)</f>
        <v>0.788106</v>
      </c>
      <c r="K139" s="254" t="n"/>
      <c r="L139" s="261" t="inlineStr">
        <is>
          <t>Cierre via loka.py</t>
        </is>
      </c>
      <c r="M139" s="291" t="n"/>
      <c r="N139" s="292" t="n"/>
      <c r="O139" s="293" t="n"/>
      <c r="P139" s="294" t="n"/>
      <c r="Q139" s="292" t="n"/>
      <c r="R139" s="443">
        <f>IFERROR(D139*$T$7,0)</f>
        <v>37.55</v>
      </c>
      <c r="S139" s="292" t="n"/>
      <c r="T139" s="292" t="n"/>
      <c r="U139" s="443" t="n">
        <v>0</v>
      </c>
      <c r="V139" s="443" t="n">
        <v>0</v>
      </c>
      <c r="W139" s="292" t="n"/>
      <c r="X139" s="292" t="n"/>
      <c r="Y139" s="443" t="n">
        <v>0</v>
      </c>
      <c r="Z139" s="443" t="n">
        <v>0</v>
      </c>
      <c r="AA139" s="292" t="n"/>
      <c r="AB139" s="292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66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  <row r="860">
      <c r="B860" s="429" t="n">
        <v>46308</v>
      </c>
      <c r="C860" s="297" t="inlineStr">
        <is>
          <t>Molino</t>
        </is>
      </c>
      <c r="D860" s="298" t="inlineStr">
        <is>
          <t>No bill</t>
        </is>
      </c>
      <c r="E860" s="297" t="inlineStr">
        <is>
          <t>Supermarket/General</t>
        </is>
      </c>
      <c r="F860" s="299" t="n">
        <v>116</v>
      </c>
      <c r="G860" s="300" t="inlineStr">
        <is>
          <t>Restaurant</t>
        </is>
      </c>
      <c r="H860" s="300" t="inlineStr">
        <is>
          <t>Cash</t>
        </is>
      </c>
      <c r="I860" s="301" t="inlineStr">
        <is>
          <t>✅ Paid</t>
        </is>
      </c>
      <c r="J860" s="423" t="inlineStr">
        <is>
          <t>No receipt; cash</t>
        </is>
      </c>
    </row>
    <row r="861">
      <c r="B861" s="429" t="n">
        <v>46308</v>
      </c>
      <c r="C861" s="297" t="inlineStr">
        <is>
          <t>Carne</t>
        </is>
      </c>
      <c r="D861" s="298" t="inlineStr">
        <is>
          <t>No bill</t>
        </is>
      </c>
      <c r="E861" s="297" t="inlineStr">
        <is>
          <t>Ingredients - Meat</t>
        </is>
      </c>
      <c r="F861" s="299" t="n">
        <v>826</v>
      </c>
      <c r="G861" s="300" t="inlineStr">
        <is>
          <t>Restaurant</t>
        </is>
      </c>
      <c r="H861" s="300" t="inlineStr">
        <is>
          <t>Cash</t>
        </is>
      </c>
      <c r="I861" s="301" t="inlineStr">
        <is>
          <t>✅ Paid</t>
        </is>
      </c>
      <c r="J861" s="423" t="inlineStr">
        <is>
          <t>No receipt; cash</t>
        </is>
      </c>
    </row>
    <row r="862">
      <c r="B862" s="429" t="n">
        <v>46308</v>
      </c>
      <c r="C862" s="297" t="inlineStr">
        <is>
          <t>Carne Hamburguesa</t>
        </is>
      </c>
      <c r="D862" s="298" t="inlineStr">
        <is>
          <t>No bill</t>
        </is>
      </c>
      <c r="E862" s="297" t="inlineStr">
        <is>
          <t>Ingredients - Meat</t>
        </is>
      </c>
      <c r="F862" s="299" t="n">
        <v>380</v>
      </c>
      <c r="G862" s="300" t="inlineStr">
        <is>
          <t>Restaurant</t>
        </is>
      </c>
      <c r="H862" s="300" t="inlineStr">
        <is>
          <t>Cash</t>
        </is>
      </c>
      <c r="I862" s="301" t="inlineStr">
        <is>
          <t>✅ Paid</t>
        </is>
      </c>
      <c r="J862" s="423" t="inlineStr">
        <is>
          <t>No receipt; cash</t>
        </is>
      </c>
    </row>
    <row r="863">
      <c r="B863" s="429" t="n">
        <v>46308</v>
      </c>
      <c r="C863" s="297" t="inlineStr">
        <is>
          <t>Chedraui</t>
        </is>
      </c>
      <c r="D863" s="298" t="inlineStr">
        <is>
          <t>Chedraui</t>
        </is>
      </c>
      <c r="E863" s="297" t="inlineStr">
        <is>
          <t>Supermarket/General</t>
        </is>
      </c>
      <c r="F863" s="299" t="n">
        <v>67</v>
      </c>
      <c r="G863" s="300" t="inlineStr">
        <is>
          <t>Restaurant</t>
        </is>
      </c>
      <c r="H863" s="300" t="inlineStr">
        <is>
          <t>Cash</t>
        </is>
      </c>
      <c r="I863" s="301" t="inlineStr">
        <is>
          <t>✅ Paid</t>
        </is>
      </c>
      <c r="J863" s="423" t="inlineStr">
        <is>
          <t>No receipt; cash</t>
        </is>
      </c>
    </row>
    <row r="864">
      <c r="B864" s="429" t="n">
        <v>46309</v>
      </c>
      <c r="C864" s="297" t="inlineStr">
        <is>
          <t>Pescado</t>
        </is>
      </c>
      <c r="D864" s="298" t="inlineStr">
        <is>
          <t>No bill</t>
        </is>
      </c>
      <c r="E864" s="297" t="inlineStr">
        <is>
          <t>Ingredients - Meat &amp; Fish</t>
        </is>
      </c>
      <c r="F864" s="299" t="n">
        <v>313</v>
      </c>
      <c r="G864" s="300" t="inlineStr">
        <is>
          <t>Restaurant</t>
        </is>
      </c>
      <c r="H864" s="300" t="inlineStr">
        <is>
          <t>Cash</t>
        </is>
      </c>
      <c r="I864" s="301" t="inlineStr">
        <is>
          <t>✅ Paid</t>
        </is>
      </c>
      <c r="J864" s="423" t="inlineStr">
        <is>
          <t>No receipt; cash</t>
        </is>
      </c>
    </row>
    <row r="865">
      <c r="B865" s="429" t="n">
        <v>46309</v>
      </c>
      <c r="C865" s="297" t="inlineStr">
        <is>
          <t>Molino</t>
        </is>
      </c>
      <c r="D865" s="298" t="inlineStr">
        <is>
          <t>No bill</t>
        </is>
      </c>
      <c r="E865" s="297" t="inlineStr">
        <is>
          <t>Supermarket/General</t>
        </is>
      </c>
      <c r="F865" s="299" t="n">
        <v>28</v>
      </c>
      <c r="G865" s="300" t="inlineStr">
        <is>
          <t>Restaurant</t>
        </is>
      </c>
      <c r="H865" s="300" t="inlineStr">
        <is>
          <t>Cash</t>
        </is>
      </c>
      <c r="I865" s="301" t="inlineStr">
        <is>
          <t>✅ Paid</t>
        </is>
      </c>
      <c r="J865" s="423" t="inlineStr">
        <is>
          <t>No receipt; cash</t>
        </is>
      </c>
    </row>
    <row r="866">
      <c r="B866" s="429" t="n">
        <v>46309</v>
      </c>
      <c r="C866" s="297" t="inlineStr">
        <is>
          <t>Vegetables</t>
        </is>
      </c>
      <c r="D866" s="298" t="inlineStr">
        <is>
          <t>No bill</t>
        </is>
      </c>
      <c r="E866" s="297" t="inlineStr">
        <is>
          <t>Ingredients - Vegetables</t>
        </is>
      </c>
      <c r="F866" s="299" t="n">
        <v>140</v>
      </c>
      <c r="G866" s="300" t="inlineStr">
        <is>
          <t>Restaurant</t>
        </is>
      </c>
      <c r="H866" s="300" t="inlineStr">
        <is>
          <t>Cash</t>
        </is>
      </c>
      <c r="I866" s="301" t="inlineStr">
        <is>
          <t>✅ Paid</t>
        </is>
      </c>
      <c r="J866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Utilities/Electricity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Taxes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Beverages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Dairy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Bread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Supplies/Other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Packaging/Disposables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Professional Services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Ingredients - Fruit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Software/Subscription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1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n">
        <v>46308</v>
      </c>
      <c r="B110" s="232" t="inlineStr">
        <is>
          <t>Transfer-to-me (customer payment 13-Oct)</t>
        </is>
      </c>
      <c r="C110" s="232" t="inlineStr">
        <is>
          <t>Transfer Received</t>
        </is>
      </c>
      <c r="D110" s="232" t="n"/>
      <c r="E110" s="233" t="n">
        <v>120</v>
      </c>
      <c r="F110" s="233">
        <f>IFERROR(F109+D110-E110,0)</f>
        <v/>
      </c>
      <c r="G110" s="232" t="inlineStr">
        <is>
          <t>✅ Received</t>
        </is>
      </c>
      <c r="H110" s="232" t="inlineStr">
        <is>
          <t>Customer paid Lohith personal acct</t>
        </is>
      </c>
    </row>
    <row r="111">
      <c r="A111" s="430" t="inlineStr">
        <is>
          <t>TOTALS &amp; CURRENT BALANCE</t>
        </is>
      </c>
      <c r="B111" s="232" t="n"/>
      <c r="C111" s="232" t="n"/>
      <c r="D111" s="232">
        <f>SUM(D4:D110)</f>
        <v/>
      </c>
      <c r="E111" s="233">
        <f>SUM(E4:E110)</f>
        <v/>
      </c>
      <c r="F111" s="233">
        <f>F110</f>
        <v/>
      </c>
      <c r="G111" s="232">
        <f>IF(F110&gt;0,"Restaurant owes Lohith $"&amp;TEXT(F110,"#,##0"),IF(F110&lt;0,"Lohith holds $"&amp;TEXT(ABS(F110),"#,##0"),"Zero balance"))</f>
        <v/>
      </c>
      <c r="H111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2026-10-15T02:27:26Z</dcterms:modified>
  <cp:lastModifiedBy>LOHITH REDDY</cp:lastModifiedBy>
</cp:coreProperties>
</file>