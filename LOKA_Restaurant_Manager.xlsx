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32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39314.81</v>
      </c>
      <c r="E147" s="286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/>
      </c>
      <c r="G6" s="31">
        <f>SUMIFS($G$8:$G$5000,$B$8:$B$5000,TODAY())</f>
        <v/>
      </c>
      <c r="H6" s="28">
        <f>SUMIFS($H$8:$H$5000,$B$8:$B$5000,TODAY())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/>
      </c>
      <c r="N6" s="33">
        <f>SUMPRODUCT((ISNUMBER($B$8:$B$5000))*($B$8:$B$5000&gt;=TODAY()-MOD(TODAY()-2,7))*($B$8:$B$5000&lt;TODAY()-MOD(TODAY()-2,7)+7)*IF(ISNUMBER($F$8:$F$5000),$F$8:$F$5000,0))</f>
        <v/>
      </c>
      <c r="O6" s="33">
        <f>SUMPRODUCT((ISNUMBER($B$8:$B$5000))*(MONTH($B$8:$B$5000)=MONTH(TODAY()))*(YEAR($B$8:$B$5000)=YEAR(TODAY()))*IF(ISNUMBER($F$8:$F$5000),$F$8:$F$5000,0))</f>
        <v/>
      </c>
      <c r="P6">
        <f>SUMPRODUCT((ISNUMBER($B$8:$B$5000))*($B$8:$B$5000&gt;=TODAY()-MOD(TODAY()-2,7))*($B$8:$B$5000&lt;TODAY()-MOD(TODAY()-2,7)+7)*IF(ISNUMBER($H$8:$H$5000),$H$8:$H$5000,0))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Expenses'!$F$8:$F$5000,'💸 Expenses'!$B$8:$B$5000,"&gt;="&amp;B8,'💸 Expenses'!$B$8:$B$5000,"&lt;"&amp;(B8+1))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Expenses'!$F$8:$F$5000,'💸 Expenses'!$B$8:$B$5000,"&gt;="&amp;B9,'💸 Expenses'!$B$8:$B$5000,"&lt;"&amp;(B9+1))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Expenses'!$F$8:$F$5000,'💸 Expenses'!$B$8:$B$5000,"&gt;="&amp;B10,'💸 Expenses'!$B$8:$B$5000,"&lt;"&amp;(B10+1))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Expenses'!$F$8:$F$5000,'💸 Expenses'!$B$8:$B$5000,"&gt;="&amp;B11,'💸 Expenses'!$B$8:$B$5000,"&lt;"&amp;(B11+1))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Expenses'!$F$8:$F$5000,'💸 Expenses'!$B$8:$B$5000,"&gt;="&amp;B12,'💸 Expenses'!$B$8:$B$5000,"&lt;"&amp;(B12+1))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Expenses'!$F$8:$F$5000,'💸 Expenses'!$B$8:$B$5000,"&gt;="&amp;B13,'💸 Expenses'!$B$8:$B$5000,"&lt;"&amp;(B13+1))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Expenses'!$F$8:$F$5000,'💸 Expenses'!$B$8:$B$5000,"&gt;="&amp;B14,'💸 Expenses'!$B$8:$B$5000,"&lt;"&amp;(B14+1))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Expenses'!$F$8:$F$5000,'💸 Expenses'!$B$8:$B$5000,"&gt;="&amp;B15,'💸 Expenses'!$B$8:$B$5000,"&lt;"&amp;(B15+1))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Expenses'!$F$8:$F$5000,'💸 Expenses'!$B$8:$B$5000,"&gt;="&amp;B16,'💸 Expenses'!$B$8:$B$5000,"&lt;"&amp;(B16+1))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Expenses'!$F$8:$F$5000,'💸 Expenses'!$B$8:$B$5000,"&gt;="&amp;B17,'💸 Expenses'!$B$8:$B$5000,"&lt;"&amp;(B17+1))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Expenses'!$F$8:$F$5000,'💸 Expenses'!$B$8:$B$5000,"&gt;="&amp;B18,'💸 Expenses'!$B$8:$B$5000,"&lt;"&amp;(B18+1))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Expenses'!$F$8:$F$5000,'💸 Expenses'!$B$8:$B$5000,"&gt;="&amp;B19,'💸 Expenses'!$B$8:$B$5000,"&lt;"&amp;(B19+1))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Expenses'!$F$8:$F$5000,'💸 Expenses'!$B$8:$B$5000,"&gt;="&amp;B20,'💸 Expenses'!$B$8:$B$5000,"&lt;"&amp;(B20+1))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Expenses'!$F$8:$F$5000,'💸 Expenses'!$B$8:$B$5000,"&gt;="&amp;B21,'💸 Expenses'!$B$8:$B$5000,"&lt;"&amp;(B21+1))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Expenses'!$F$8:$F$5000,'💸 Expenses'!$B$8:$B$5000,"&gt;="&amp;B22,'💸 Expenses'!$B$8:$B$5000,"&lt;"&amp;(B22+1))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Expenses'!$F$8:$F$5000,'💸 Expenses'!$B$8:$B$5000,"&gt;="&amp;B23,'💸 Expenses'!$B$8:$B$5000,"&lt;"&amp;(B23+1))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Expenses'!$F$8:$F$5000,'💸 Expenses'!$B$8:$B$5000,"&gt;="&amp;B24,'💸 Expenses'!$B$8:$B$5000,"&lt;"&amp;(B24+1))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Expenses'!$F$8:$F$5000,'💸 Expenses'!$B$8:$B$5000,"&gt;="&amp;B25,'💸 Expenses'!$B$8:$B$5000,"&lt;"&amp;(B25+1))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Expenses'!$F$8:$F$5000,'💸 Expenses'!$B$8:$B$5000,"&gt;="&amp;B26,'💸 Expenses'!$B$8:$B$5000,"&lt;"&amp;(B26+1))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Expenses'!$F$8:$F$5000,'💸 Expenses'!$B$8:$B$5000,"&gt;="&amp;B27,'💸 Expenses'!$B$8:$B$5000,"&lt;"&amp;(B27+1))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Expenses'!$F$8:$F$5000,'💸 Expenses'!$B$8:$B$5000,"&gt;="&amp;B28,'💸 Expenses'!$B$8:$B$5000,"&lt;"&amp;(B28+1))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Expenses'!$F$8:$F$5000,'💸 Expenses'!$B$8:$B$5000,"&gt;="&amp;B29,'💸 Expenses'!$B$8:$B$5000,"&lt;"&amp;(B29+1))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Expenses'!$F$8:$F$5000,'💸 Expenses'!$B$8:$B$5000,"&gt;="&amp;B30,'💸 Expenses'!$B$8:$B$5000,"&lt;"&amp;(B30+1))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Expenses'!$F$8:$F$5000,'💸 Expenses'!$B$8:$B$5000,"&gt;="&amp;B31,'💸 Expenses'!$B$8:$B$5000,"&lt;"&amp;(B31+1))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Expenses'!$F$8:$F$5000,'💸 Expenses'!$B$8:$B$5000,"&gt;="&amp;B32,'💸 Expenses'!$B$8:$B$5000,"&lt;"&amp;(B32+1))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Expenses'!$F$8:$F$5000,'💸 Expenses'!$B$8:$B$5000,"&gt;="&amp;B33,'💸 Expenses'!$B$8:$B$5000,"&lt;"&amp;(B33+1))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Expenses'!$F$8:$F$5000,'💸 Expenses'!$B$8:$B$5000,"&gt;="&amp;B34,'💸 Expenses'!$B$8:$B$5000,"&lt;"&amp;(B34+1))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Expenses'!$F$8:$F$5000,'💸 Expenses'!$B$8:$B$5000,"&gt;="&amp;B35,'💸 Expenses'!$B$8:$B$5000,"&lt;"&amp;(B35+1))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Expenses'!$F$8:$F$5000,'💸 Expenses'!$B$8:$B$5000,"&gt;="&amp;B36,'💸 Expenses'!$B$8:$B$5000,"&lt;"&amp;(B36+1))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Expenses'!$F$8:$F$5000,'💸 Expenses'!$B$8:$B$5000,"&gt;="&amp;B37,'💸 Expenses'!$B$8:$B$5000,"&lt;"&amp;(B37+1))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Expenses'!$F$8:$F$5000,'💸 Expenses'!$B$8:$B$5000,"&gt;="&amp;B38,'💸 Expenses'!$B$8:$B$5000,"&lt;"&amp;(B38+1))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Expenses'!$F$8:$F$5000,'💸 Expenses'!$B$8:$B$5000,"&gt;="&amp;B39,'💸 Expenses'!$B$8:$B$5000,"&lt;"&amp;(B39+1))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Expenses'!$F$8:$F$5000,'💸 Expenses'!$B$8:$B$5000,"&gt;="&amp;B40,'💸 Expenses'!$B$8:$B$5000,"&lt;"&amp;(B40+1))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Expenses'!$F$8:$F$5000,'💸 Expenses'!$B$8:$B$5000,"&gt;="&amp;B41,'💸 Expenses'!$B$8:$B$5000,"&lt;"&amp;(B41+1))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Expenses'!$F$8:$F$5000,'💸 Expenses'!$B$8:$B$5000,"&gt;="&amp;B42,'💸 Expenses'!$B$8:$B$5000,"&lt;"&amp;(B42+1))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Expenses'!$F$8:$F$5000,'💸 Expenses'!$B$8:$B$5000,"&gt;="&amp;B43,'💸 Expenses'!$B$8:$B$5000,"&lt;"&amp;(B43+1))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Expenses'!$F$8:$F$5000,'💸 Expenses'!$B$8:$B$5000,"&gt;="&amp;B44,'💸 Expenses'!$B$8:$B$5000,"&lt;"&amp;(B44+1))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Expenses'!$F$8:$F$5000,'💸 Expenses'!$B$8:$B$5000,"&gt;="&amp;B45,'💸 Expenses'!$B$8:$B$5000,"&lt;"&amp;(B45+1))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Expenses'!$F$8:$F$5000,'💸 Expenses'!$B$8:$B$5000,"&gt;="&amp;B46,'💸 Expenses'!$B$8:$B$5000,"&lt;"&amp;(B46+1))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Expenses'!$F$8:$F$5000,'💸 Expenses'!$B$8:$B$5000,"&gt;="&amp;B47,'💸 Expenses'!$B$8:$B$5000,"&lt;"&amp;(B47+1))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Expenses'!$F$8:$F$5000,'💸 Expenses'!$B$8:$B$5000,"&gt;="&amp;B48,'💸 Expenses'!$B$8:$B$5000,"&lt;"&amp;(B48+1))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Expenses'!$F$8:$F$5000,'💸 Expenses'!$B$8:$B$5000,"&gt;="&amp;B49,'💸 Expenses'!$B$8:$B$5000,"&lt;"&amp;(B49+1))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Expenses'!$F$8:$F$5000,'💸 Expenses'!$B$8:$B$5000,"&gt;="&amp;B50,'💸 Expenses'!$B$8:$B$5000,"&lt;"&amp;(B50+1))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Expenses'!$F$8:$F$5000,'💸 Expenses'!$B$8:$B$5000,"&gt;="&amp;B51,'💸 Expenses'!$B$8:$B$5000,"&lt;"&amp;(B51+1))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Expenses'!$F$8:$F$5000,'💸 Expenses'!$B$8:$B$5000,"&gt;="&amp;B52,'💸 Expenses'!$B$8:$B$5000,"&lt;"&amp;(B52+1))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Expenses'!$F$8:$F$5000,'💸 Expenses'!$B$8:$B$5000,"&gt;="&amp;B53,'💸 Expenses'!$B$8:$B$5000,"&lt;"&amp;(B53+1))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Expenses'!$F$8:$F$5000,'💸 Expenses'!$B$8:$B$5000,"&gt;="&amp;B54,'💸 Expenses'!$B$8:$B$5000,"&lt;"&amp;(B54+1))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Expenses'!$F$8:$F$5000,'💸 Expenses'!$B$8:$B$5000,"&gt;="&amp;B55,'💸 Expenses'!$B$8:$B$5000,"&lt;"&amp;(B55+1))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Expenses'!$F$8:$F$5000,'💸 Expenses'!$B$8:$B$5000,"&gt;="&amp;B56,'💸 Expenses'!$B$8:$B$5000,"&lt;"&amp;(B56+1))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Expenses'!$F$8:$F$5000,'💸 Expenses'!$B$8:$B$5000,"&gt;="&amp;B57,'💸 Expenses'!$B$8:$B$5000,"&lt;"&amp;(B57+1))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Expenses'!$F$8:$F$5000,'💸 Expenses'!$B$8:$B$5000,"&gt;="&amp;B58,'💸 Expenses'!$B$8:$B$5000,"&lt;"&amp;(B58+1))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Expenses'!$F$8:$F$5000,'💸 Expenses'!$B$8:$B$5000,"&gt;="&amp;B59,'💸 Expenses'!$B$8:$B$5000,"&lt;"&amp;(B59+1))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Expenses'!$F$8:$F$5000,'💸 Expenses'!$B$8:$B$5000,"&gt;="&amp;B60,'💸 Expenses'!$B$8:$B$5000,"&lt;"&amp;(B60+1))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Expenses'!$F$8:$F$5000,'💸 Expenses'!$B$8:$B$5000,"&gt;="&amp;B61,'💸 Expenses'!$B$8:$B$5000,"&lt;"&amp;(B61+1))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Expenses'!$F$8:$F$5000,'💸 Expenses'!$B$8:$B$5000,"&gt;="&amp;B62,'💸 Expenses'!$B$8:$B$5000,"&lt;"&amp;(B62+1))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/>
      </c>
      <c r="G63" s="257" t="n">
        <v>0</v>
      </c>
      <c r="H63" s="258">
        <f>SUMIFS('💸 Expenses'!$F$8:$F$5000,'💸 Expenses'!$B$8:$B$5000,"&gt;="&amp;B63,'💸 Expenses'!$B$8:$B$5000,"&lt;"&amp;(B63+1))</f>
        <v/>
      </c>
      <c r="I63" s="259">
        <f>IFERROR(F63-H63,0)</f>
        <v/>
      </c>
      <c r="J63" s="260">
        <f>IFERROR(I63/F63,0)</f>
        <v/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/>
      </c>
      <c r="G64" s="257" t="n">
        <v>130</v>
      </c>
      <c r="H64" s="258">
        <f>SUMIFS('💸 Expenses'!$F$8:$F$5000,'💸 Expenses'!$B$8:$B$5000,"&gt;="&amp;B64,'💸 Expenses'!$B$8:$B$5000,"&lt;"&amp;(B64+1))</f>
        <v/>
      </c>
      <c r="I64" s="259">
        <f>IFERROR(F64-H64,0)</f>
        <v/>
      </c>
      <c r="J64" s="260">
        <f>IFERROR(I64/F64,0)</f>
        <v/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/>
      </c>
      <c r="G65" s="257" t="n">
        <v>2385</v>
      </c>
      <c r="H65" s="258">
        <f>SUMIFS('💸 Expenses'!$F$8:$F$5000,'💸 Expenses'!$B$8:$B$5000,"&gt;="&amp;B65,'💸 Expenses'!$B$8:$B$5000,"&lt;"&amp;(B65+1))</f>
        <v/>
      </c>
      <c r="I65" s="259">
        <f>IFERROR(F65-H65,0)</f>
        <v/>
      </c>
      <c r="J65" s="260">
        <f>IFERROR(I65/F65,0)</f>
        <v/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/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/>
      </c>
      <c r="G66" s="257" t="n">
        <v>300</v>
      </c>
      <c r="H66" s="258">
        <f>SUMIFS('💸 Expenses'!$F$8:$F$5000,'💸 Expenses'!$B$8:$B$5000,"&gt;="&amp;B66,'💸 Expenses'!$B$8:$B$5000,"&lt;"&amp;(B66+1))</f>
        <v/>
      </c>
      <c r="I66" s="259">
        <f>IFERROR(F66-H66,0)</f>
        <v/>
      </c>
      <c r="J66" s="260">
        <f>IFERROR(I66/F66,0)</f>
        <v/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/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/>
      </c>
      <c r="G67" s="257" t="n">
        <v>290</v>
      </c>
      <c r="H67" s="258">
        <f>SUMIFS('💸 Expenses'!$F$8:$F$5000,'💸 Expenses'!$B$8:$B$5000,"&gt;="&amp;B67,'💸 Expenses'!$B$8:$B$5000,"&lt;"&amp;(B67+1))</f>
        <v/>
      </c>
      <c r="I67" s="259">
        <f>IFERROR(F67-H67,0)</f>
        <v/>
      </c>
      <c r="J67" s="260">
        <f>IFERROR(I67/F67,0)</f>
        <v/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/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/>
      </c>
      <c r="G68" s="257" t="n">
        <v>0</v>
      </c>
      <c r="H68" s="258">
        <f>SUMIFS('💸 Expenses'!$F$8:$F$5000,'💸 Expenses'!$B$8:$B$5000,"&gt;="&amp;B68,'💸 Expenses'!$B$8:$B$5000,"&lt;"&amp;(B68+1))</f>
        <v/>
      </c>
      <c r="I68" s="259">
        <f>IFERROR(F68-H68,0)</f>
        <v/>
      </c>
      <c r="J68" s="260">
        <f>IFERROR(I68/F68,0)</f>
        <v/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/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  <c r="Z69" s="56" t="n"/>
      <c r="AA69" s="56" t="n"/>
      <c r="AB69" s="56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09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4"/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17" t="inlineStr">
        <is>
          <t>LOKA — MONTHLY P&amp;L   (live formulas — auto-updates from Daily Log &amp; Expenses)</t>
        </is>
      </c>
      <c r="B1" s="418" t="n"/>
      <c r="C1" s="418" t="n"/>
      <c r="D1" s="41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Log'!$F$8:$F$5000,'📅 Daily Log'!$B$8:$B$5000,"&gt;="&amp;DATE(2026,5,1),'📅 Daily Log'!$B$8:$B$5000,"&lt;"&amp;DATE(2026,6,1))</f>
        <v/>
      </c>
      <c r="C4" s="413">
        <f>SUMIFS('📅 Daily Log'!$F$8:$F$5000,'📅 Daily Log'!$B$8:$B$5000,"&gt;="&amp;DATE(2026,6,1),'📅 Daily Log'!$B$8:$B$5000,"&lt;"&amp;DATE(2026,7,1))</f>
        <v/>
      </c>
      <c r="D4" s="413">
        <f>SUMIFS('📅 Daily Log'!$F$8:$F$5000,'📅 Daily Log'!$B$8:$B$5000,"&gt;="&amp;DATE(2026,7,1),'📅 Daily Log'!$B$8:$B$5000,"&lt;"&amp;DATE(2026,8,1))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Expenses'!$F$8:$F$5000,'💸 Expenses'!$B$8:$B$5000,"&gt;="&amp;DATE(2026,5,1),'💸 Expenses'!$B$8:$B$5000,"&lt;"&amp;DATE(2026,6,1))</f>
        <v/>
      </c>
      <c r="C5" s="413">
        <f>SUMIFS('💸 Expenses'!$F$8:$F$5000,'💸 Expenses'!$B$8:$B$5000,"&gt;="&amp;DATE(2026,6,1),'💸 Expenses'!$B$8:$B$5000,"&lt;"&amp;DATE(2026,7,1))</f>
        <v/>
      </c>
      <c r="D5" s="413">
        <f>SUMIFS('💸 Expenses'!$F$8:$F$5000,'💸 Expenses'!$B$8:$B$5000,"&gt;="&amp;DATE(2026,7,1),'💸 Expenses'!$B$8:$B$5000,"&lt;"&amp;DATE(2026,8,1))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Log'!$F$8:$F$5000,"&gt;0",'📅 Daily Log'!$B$8:$B$5000,"&gt;="&amp;DATE(2026,5,1),'📅 Daily Log'!$B$8:$B$5000,"&lt;"&amp;DATE(2026,6,1))</f>
        <v/>
      </c>
      <c r="C7" s="416">
        <f>COUNTIFS('📅 Daily Log'!$F$8:$F$5000,"&gt;0",'📅 Daily Log'!$B$8:$B$5000,"&gt;="&amp;DATE(2026,6,1),'📅 Daily Log'!$B$8:$B$5000,"&lt;"&amp;DATE(2026,7,1))</f>
        <v/>
      </c>
      <c r="D7" s="416">
        <f>COUNTIFS('📅 Daily Log'!$F$8:$F$5000,"&gt;0",'📅 Daily Log'!$B$8:$B$5000,"&gt;="&amp;DATE(2026,7,1),'📅 Daily Log'!$B$8:$B$5000,"&lt;"&amp;DATE(2026,8,1))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Log'!$D$8:$D$5000,'📅 Daily Log'!$B$8:$B$5000,"&gt;="&amp;DATE(2026,5,1),'📅 Daily Log'!$B$8:$B$5000,"&lt;"&amp;DATE(2026,6,1))</f>
        <v/>
      </c>
      <c r="C11" s="413">
        <f>SUMIFS('📅 Daily Log'!$D$8:$D$5000,'📅 Daily Log'!$B$8:$B$5000,"&gt;="&amp;DATE(2026,6,1),'📅 Daily Log'!$B$8:$B$5000,"&lt;"&amp;DATE(2026,7,1))</f>
        <v/>
      </c>
      <c r="D11" s="413">
        <f>SUMIFS('📅 Daily Log'!$D$8:$D$5000,'📅 Daily Log'!$B$8:$B$5000,"&gt;="&amp;DATE(2026,7,1),'📅 Daily Log'!$B$8:$B$5000,"&lt;"&amp;DATE(2026,8,1))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Log'!$E$8:$E$5000,'📅 Daily Log'!$B$8:$B$5000,"&gt;="&amp;DATE(2026,5,1),'📅 Daily Log'!$B$8:$B$5000,"&lt;"&amp;DATE(2026,6,1))</f>
        <v/>
      </c>
      <c r="C12" s="413">
        <f>SUMIFS('📅 Daily Log'!$E$8:$E$5000,'📅 Daily Log'!$B$8:$B$5000,"&gt;="&amp;DATE(2026,6,1),'📅 Daily Log'!$B$8:$B$5000,"&lt;"&amp;DATE(2026,7,1))</f>
        <v/>
      </c>
      <c r="D12" s="413">
        <f>SUMIFS('📅 Daily Log'!$E$8:$E$5000,'📅 Daily Log'!$B$8:$B$5000,"&gt;="&amp;DATE(2026,7,1),'📅 Daily Log'!$B$8:$B$5000,"&lt;"&amp;DATE(2026,8,1))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Log'!$G$8:$G$5000,'📅 Daily Log'!$B$8:$B$5000,"&gt;="&amp;DATE(2026,5,1),'📅 Daily Log'!$B$8:$B$5000,"&lt;"&amp;DATE(2026,6,1))</f>
        <v/>
      </c>
      <c r="C13" s="413">
        <f>SUMIFS('📅 Daily Log'!$G$8:$G$5000,'📅 Daily Log'!$B$8:$B$5000,"&gt;="&amp;DATE(2026,6,1),'📅 Daily Log'!$B$8:$B$5000,"&lt;"&amp;DATE(2026,7,1))</f>
        <v/>
      </c>
      <c r="D13" s="413">
        <f>SUMIFS('📅 Daily Log'!$G$8:$G$5000,'📅 Daily Log'!$B$8:$B$5000,"&gt;="&amp;DATE(2026,7,1),'📅 Daily Log'!$B$8:$B$5000,"&lt;"&amp;DATE(2026,8,1))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Expenses'!$F$8:$F$5000,'💸 Expenses'!$E$8:$E$5000,$A17,'💸 Expenses'!$B$8:$B$5000,"&gt;="&amp;DATE(2026,5,1),'💸 Expenses'!$B$8:$B$5000,"&lt;"&amp;DATE(2026,6,1))</f>
        <v/>
      </c>
      <c r="C17" s="413">
        <f>SUMIFS('💸 Expenses'!$F$8:$F$5000,'💸 Expenses'!$E$8:$E$5000,$A17,'💸 Expenses'!$B$8:$B$5000,"&gt;="&amp;DATE(2026,6,1),'💸 Expenses'!$B$8:$B$5000,"&lt;"&amp;DATE(2026,7,1))</f>
        <v/>
      </c>
      <c r="D17" s="413">
        <f>SUMIFS('💸 Expenses'!$F$8:$F$5000,'💸 Expenses'!$E$8:$E$5000,$A17,'💸 Expenses'!$B$8:$B$5000,"&gt;="&amp;DATE(2026,7,1),'💸 Expenses'!$B$8:$B$5000,"&lt;"&amp;DATE(2026,8,1))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Expenses'!$F$8:$F$5000,'💸 Expenses'!$E$8:$E$5000,$A18,'💸 Expenses'!$B$8:$B$5000,"&gt;="&amp;DATE(2026,5,1),'💸 Expenses'!$B$8:$B$5000,"&lt;"&amp;DATE(2026,6,1))</f>
        <v/>
      </c>
      <c r="C18" s="413">
        <f>SUMIFS('💸 Expenses'!$F$8:$F$5000,'💸 Expenses'!$E$8:$E$5000,$A18,'💸 Expenses'!$B$8:$B$5000,"&gt;="&amp;DATE(2026,6,1),'💸 Expenses'!$B$8:$B$5000,"&lt;"&amp;DATE(2026,7,1))</f>
        <v/>
      </c>
      <c r="D18" s="413">
        <f>SUMIFS('💸 Expenses'!$F$8:$F$5000,'💸 Expenses'!$E$8:$E$5000,$A18,'💸 Expenses'!$B$8:$B$5000,"&gt;="&amp;DATE(2026,7,1),'💸 Expenses'!$B$8:$B$5000,"&lt;"&amp;DATE(2026,8,1))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Expenses'!$F$8:$F$5000,'💸 Expenses'!$E$8:$E$5000,$A19,'💸 Expenses'!$B$8:$B$5000,"&gt;="&amp;DATE(2026,5,1),'💸 Expenses'!$B$8:$B$5000,"&lt;"&amp;DATE(2026,6,1))</f>
        <v/>
      </c>
      <c r="C19" s="413">
        <f>SUMIFS('💸 Expenses'!$F$8:$F$5000,'💸 Expenses'!$E$8:$E$5000,$A19,'💸 Expenses'!$B$8:$B$5000,"&gt;="&amp;DATE(2026,6,1),'💸 Expenses'!$B$8:$B$5000,"&lt;"&amp;DATE(2026,7,1))</f>
        <v/>
      </c>
      <c r="D19" s="413">
        <f>SUMIFS('💸 Expenses'!$F$8:$F$5000,'💸 Expenses'!$E$8:$E$5000,$A19,'💸 Expenses'!$B$8:$B$5000,"&gt;="&amp;DATE(2026,7,1),'💸 Expenses'!$B$8:$B$5000,"&lt;"&amp;DATE(2026,8,1))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Expenses'!$F$8:$F$5000,'💸 Expenses'!$E$8:$E$5000,$A20,'💸 Expenses'!$B$8:$B$5000,"&gt;="&amp;DATE(2026,5,1),'💸 Expenses'!$B$8:$B$5000,"&lt;"&amp;DATE(2026,6,1))</f>
        <v/>
      </c>
      <c r="C20" s="413">
        <f>SUMIFS('💸 Expenses'!$F$8:$F$5000,'💸 Expenses'!$E$8:$E$5000,$A20,'💸 Expenses'!$B$8:$B$5000,"&gt;="&amp;DATE(2026,6,1),'💸 Expenses'!$B$8:$B$5000,"&lt;"&amp;DATE(2026,7,1))</f>
        <v/>
      </c>
      <c r="D20" s="413">
        <f>SUMIFS('💸 Expenses'!$F$8:$F$5000,'💸 Expenses'!$E$8:$E$5000,$A20,'💸 Expenses'!$B$8:$B$5000,"&gt;="&amp;DATE(2026,7,1),'💸 Expenses'!$B$8:$B$5000,"&lt;"&amp;DATE(2026,8,1))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Expenses'!$F$8:$F$5000,'💸 Expenses'!$E$8:$E$5000,$A21,'💸 Expenses'!$B$8:$B$5000,"&gt;="&amp;DATE(2026,5,1),'💸 Expenses'!$B$8:$B$5000,"&lt;"&amp;DATE(2026,6,1))</f>
        <v/>
      </c>
      <c r="C21" s="413">
        <f>SUMIFS('💸 Expenses'!$F$8:$F$5000,'💸 Expenses'!$E$8:$E$5000,$A21,'💸 Expenses'!$B$8:$B$5000,"&gt;="&amp;DATE(2026,6,1),'💸 Expenses'!$B$8:$B$5000,"&lt;"&amp;DATE(2026,7,1))</f>
        <v/>
      </c>
      <c r="D21" s="413">
        <f>SUMIFS('💸 Expenses'!$F$8:$F$5000,'💸 Expenses'!$E$8:$E$5000,$A21,'💸 Expenses'!$B$8:$B$5000,"&gt;="&amp;DATE(2026,7,1),'💸 Expenses'!$B$8:$B$5000,"&lt;"&amp;DATE(2026,8,1))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Supermarket/General</t>
        </is>
      </c>
      <c r="B22" s="413">
        <f>SUMIFS('💸 Expenses'!$F$8:$F$5000,'💸 Expenses'!$E$8:$E$5000,$A22,'💸 Expenses'!$B$8:$B$5000,"&gt;="&amp;DATE(2026,5,1),'💸 Expenses'!$B$8:$B$5000,"&lt;"&amp;DATE(2026,6,1))</f>
        <v/>
      </c>
      <c r="C22" s="413">
        <f>SUMIFS('💸 Expenses'!$F$8:$F$5000,'💸 Expenses'!$E$8:$E$5000,$A22,'💸 Expenses'!$B$8:$B$5000,"&gt;="&amp;DATE(2026,6,1),'💸 Expenses'!$B$8:$B$5000,"&lt;"&amp;DATE(2026,7,1))</f>
        <v/>
      </c>
      <c r="D22" s="413">
        <f>SUMIFS('💸 Expenses'!$F$8:$F$5000,'💸 Expenses'!$E$8:$E$5000,$A22,'💸 Expenses'!$B$8:$B$5000,"&gt;="&amp;DATE(2026,7,1),'💸 Expenses'!$B$8:$B$5000,"&lt;"&amp;DATE(2026,8,1))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Expenses'!$F$8:$F$5000,'💸 Expenses'!$E$8:$E$5000,$A23,'💸 Expenses'!$B$8:$B$5000,"&gt;="&amp;DATE(2026,5,1),'💸 Expenses'!$B$8:$B$5000,"&lt;"&amp;DATE(2026,6,1))</f>
        <v/>
      </c>
      <c r="C23" s="413">
        <f>SUMIFS('💸 Expenses'!$F$8:$F$5000,'💸 Expenses'!$E$8:$E$5000,$A23,'💸 Expenses'!$B$8:$B$5000,"&gt;="&amp;DATE(2026,6,1),'💸 Expenses'!$B$8:$B$5000,"&lt;"&amp;DATE(2026,7,1))</f>
        <v/>
      </c>
      <c r="D23" s="413">
        <f>SUMIFS('💸 Expenses'!$F$8:$F$5000,'💸 Expenses'!$E$8:$E$5000,$A23,'💸 Expenses'!$B$8:$B$5000,"&gt;="&amp;DATE(2026,7,1),'💸 Expenses'!$B$8:$B$5000,"&lt;"&amp;DATE(2026,8,1))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Expenses'!$F$8:$F$5000,'💸 Expenses'!$E$8:$E$5000,$A24,'💸 Expenses'!$B$8:$B$5000,"&gt;="&amp;DATE(2026,5,1),'💸 Expenses'!$B$8:$B$5000,"&lt;"&amp;DATE(2026,6,1))</f>
        <v/>
      </c>
      <c r="C24" s="413">
        <f>SUMIFS('💸 Expenses'!$F$8:$F$5000,'💸 Expenses'!$E$8:$E$5000,$A24,'💸 Expenses'!$B$8:$B$5000,"&gt;="&amp;DATE(2026,6,1),'💸 Expenses'!$B$8:$B$5000,"&lt;"&amp;DATE(2026,7,1))</f>
        <v/>
      </c>
      <c r="D24" s="413">
        <f>SUMIFS('💸 Expenses'!$F$8:$F$5000,'💸 Expenses'!$E$8:$E$5000,$A24,'💸 Expenses'!$B$8:$B$5000,"&gt;="&amp;DATE(2026,7,1),'💸 Expenses'!$B$8:$B$5000,"&lt;"&amp;DATE(2026,8,1))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Supplies / Other</t>
        </is>
      </c>
      <c r="B25" s="413">
        <f>SUMIFS('💸 Expenses'!$F$8:$F$5000,'💸 Expenses'!$E$8:$E$5000,$A25,'💸 Expenses'!$B$8:$B$5000,"&gt;="&amp;DATE(2026,5,1),'💸 Expenses'!$B$8:$B$5000,"&lt;"&amp;DATE(2026,6,1))</f>
        <v/>
      </c>
      <c r="C25" s="413">
        <f>SUMIFS('💸 Expenses'!$F$8:$F$5000,'💸 Expenses'!$E$8:$E$5000,$A25,'💸 Expenses'!$B$8:$B$5000,"&gt;="&amp;DATE(2026,6,1),'💸 Expenses'!$B$8:$B$5000,"&lt;"&amp;DATE(2026,7,1))</f>
        <v/>
      </c>
      <c r="D25" s="413">
        <f>SUMIFS('💸 Expenses'!$F$8:$F$5000,'💸 Expenses'!$E$8:$E$5000,$A25,'💸 Expenses'!$B$8:$B$5000,"&gt;="&amp;DATE(2026,7,1),'💸 Expenses'!$B$8:$B$5000,"&lt;"&amp;DATE(2026,8,1))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Expenses'!$F$8:$F$5000,'💸 Expenses'!$E$8:$E$5000,$A26,'💸 Expenses'!$B$8:$B$5000,"&gt;="&amp;DATE(2026,5,1),'💸 Expenses'!$B$8:$B$5000,"&lt;"&amp;DATE(2026,6,1))</f>
        <v/>
      </c>
      <c r="C26" s="413">
        <f>SUMIFS('💸 Expenses'!$F$8:$F$5000,'💸 Expenses'!$E$8:$E$5000,$A26,'💸 Expenses'!$B$8:$B$5000,"&gt;="&amp;DATE(2026,6,1),'💸 Expenses'!$B$8:$B$5000,"&lt;"&amp;DATE(2026,7,1))</f>
        <v/>
      </c>
      <c r="D26" s="413">
        <f>SUMIFS('💸 Expenses'!$F$8:$F$5000,'💸 Expenses'!$E$8:$E$5000,$A26,'💸 Expenses'!$B$8:$B$5000,"&gt;="&amp;DATE(2026,7,1),'💸 Expenses'!$B$8:$B$5000,"&lt;"&amp;DATE(2026,8,1))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Expenses'!$F$8:$F$5000,'💸 Expenses'!$E$8:$E$5000,$A27,'💸 Expenses'!$B$8:$B$5000,"&gt;="&amp;DATE(2026,5,1),'💸 Expenses'!$B$8:$B$5000,"&lt;"&amp;DATE(2026,6,1))</f>
        <v/>
      </c>
      <c r="C27" s="413">
        <f>SUMIFS('💸 Expenses'!$F$8:$F$5000,'💸 Expenses'!$E$8:$E$5000,$A27,'💸 Expenses'!$B$8:$B$5000,"&gt;="&amp;DATE(2026,6,1),'💸 Expenses'!$B$8:$B$5000,"&lt;"&amp;DATE(2026,7,1))</f>
        <v/>
      </c>
      <c r="D27" s="413">
        <f>SUMIFS('💸 Expenses'!$F$8:$F$5000,'💸 Expenses'!$E$8:$E$5000,$A27,'💸 Expenses'!$B$8:$B$5000,"&gt;="&amp;DATE(2026,7,1),'💸 Expenses'!$B$8:$B$5000,"&lt;"&amp;DATE(2026,8,1))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Expenses'!$F$8:$F$5000,'💸 Expenses'!$E$8:$E$5000,$A28,'💸 Expenses'!$B$8:$B$5000,"&gt;="&amp;DATE(2026,5,1),'💸 Expenses'!$B$8:$B$5000,"&lt;"&amp;DATE(2026,6,1))</f>
        <v/>
      </c>
      <c r="C28" s="413">
        <f>SUMIFS('💸 Expenses'!$F$8:$F$5000,'💸 Expenses'!$E$8:$E$5000,$A28,'💸 Expenses'!$B$8:$B$5000,"&gt;="&amp;DATE(2026,6,1),'💸 Expenses'!$B$8:$B$5000,"&lt;"&amp;DATE(2026,7,1))</f>
        <v/>
      </c>
      <c r="D28" s="413">
        <f>SUMIFS('💸 Expenses'!$F$8:$F$5000,'💸 Expenses'!$E$8:$E$5000,$A28,'💸 Expenses'!$B$8:$B$5000,"&gt;="&amp;DATE(2026,7,1),'💸 Expenses'!$B$8:$B$5000,"&lt;"&amp;DATE(2026,8,1))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Expenses'!$F$8:$F$5000,'💸 Expenses'!$E$8:$E$5000,$A29,'💸 Expenses'!$B$8:$B$5000,"&gt;="&amp;DATE(2026,5,1),'💸 Expenses'!$B$8:$B$5000,"&lt;"&amp;DATE(2026,6,1))</f>
        <v/>
      </c>
      <c r="C29" s="413">
        <f>SUMIFS('💸 Expenses'!$F$8:$F$5000,'💸 Expenses'!$E$8:$E$5000,$A29,'💸 Expenses'!$B$8:$B$5000,"&gt;="&amp;DATE(2026,6,1),'💸 Expenses'!$B$8:$B$5000,"&lt;"&amp;DATE(2026,7,1))</f>
        <v/>
      </c>
      <c r="D29" s="413">
        <f>SUMIFS('💸 Expenses'!$F$8:$F$5000,'💸 Expenses'!$E$8:$E$5000,$A29,'💸 Expenses'!$B$8:$B$5000,"&gt;="&amp;DATE(2026,7,1),'💸 Expenses'!$B$8:$B$5000,"&lt;"&amp;DATE(2026,8,1))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Expenses'!$F$8:$F$5000,'💸 Expenses'!$E$8:$E$5000,$A30,'💸 Expenses'!$B$8:$B$5000,"&gt;="&amp;DATE(2026,5,1),'💸 Expenses'!$B$8:$B$5000,"&lt;"&amp;DATE(2026,6,1))</f>
        <v/>
      </c>
      <c r="C30" s="413">
        <f>SUMIFS('💸 Expenses'!$F$8:$F$5000,'💸 Expenses'!$E$8:$E$5000,$A30,'💸 Expenses'!$B$8:$B$5000,"&gt;="&amp;DATE(2026,6,1),'💸 Expenses'!$B$8:$B$5000,"&lt;"&amp;DATE(2026,7,1))</f>
        <v/>
      </c>
      <c r="D30" s="413">
        <f>SUMIFS('💸 Expenses'!$F$8:$F$5000,'💸 Expenses'!$E$8:$E$5000,$A30,'💸 Expenses'!$B$8:$B$5000,"&gt;="&amp;DATE(2026,7,1),'💸 Expenses'!$B$8:$B$5000,"&lt;"&amp;DATE(2026,8,1))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Expenses'!$F$8:$F$5000,'💸 Expenses'!$E$8:$E$5000,$A31,'💸 Expenses'!$B$8:$B$5000,"&gt;="&amp;DATE(2026,5,1),'💸 Expenses'!$B$8:$B$5000,"&lt;"&amp;DATE(2026,6,1))</f>
        <v/>
      </c>
      <c r="C31" s="413">
        <f>SUMIFS('💸 Expenses'!$F$8:$F$5000,'💸 Expenses'!$E$8:$E$5000,$A31,'💸 Expenses'!$B$8:$B$5000,"&gt;="&amp;DATE(2026,6,1),'💸 Expenses'!$B$8:$B$5000,"&lt;"&amp;DATE(2026,7,1))</f>
        <v/>
      </c>
      <c r="D31" s="413">
        <f>SUMIFS('💸 Expenses'!$F$8:$F$5000,'💸 Expenses'!$E$8:$E$5000,$A31,'💸 Expenses'!$B$8:$B$5000,"&gt;="&amp;DATE(2026,7,1),'💸 Expenses'!$B$8:$B$5000,"&lt;"&amp;DATE(2026,8,1))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Expenses'!$F$8:$F$5000,'💸 Expenses'!$E$8:$E$5000,$A32,'💸 Expenses'!$B$8:$B$5000,"&gt;="&amp;DATE(2026,5,1),'💸 Expenses'!$B$8:$B$5000,"&lt;"&amp;DATE(2026,6,1))</f>
        <v/>
      </c>
      <c r="C32" s="413">
        <f>SUMIFS('💸 Expenses'!$F$8:$F$5000,'💸 Expenses'!$E$8:$E$5000,$A32,'💸 Expenses'!$B$8:$B$5000,"&gt;="&amp;DATE(2026,6,1),'💸 Expenses'!$B$8:$B$5000,"&lt;"&amp;DATE(2026,7,1))</f>
        <v/>
      </c>
      <c r="D32" s="413">
        <f>SUMIFS('💸 Expenses'!$F$8:$F$5000,'💸 Expenses'!$E$8:$E$5000,$A32,'💸 Expenses'!$B$8:$B$5000,"&gt;="&amp;DATE(2026,7,1),'💸 Expenses'!$B$8:$B$5000,"&lt;"&amp;DATE(2026,8,1))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Expenses'!$F$8:$F$5000,'💸 Expenses'!$E$8:$E$5000,$A33,'💸 Expenses'!$B$8:$B$5000,"&gt;="&amp;DATE(2026,5,1),'💸 Expenses'!$B$8:$B$5000,"&lt;"&amp;DATE(2026,6,1))</f>
        <v/>
      </c>
      <c r="C33" s="413">
        <f>SUMIFS('💸 Expenses'!$F$8:$F$5000,'💸 Expenses'!$E$8:$E$5000,$A33,'💸 Expenses'!$B$8:$B$5000,"&gt;="&amp;DATE(2026,6,1),'💸 Expenses'!$B$8:$B$5000,"&lt;"&amp;DATE(2026,7,1))</f>
        <v/>
      </c>
      <c r="D33" s="413">
        <f>SUMIFS('💸 Expenses'!$F$8:$F$5000,'💸 Expenses'!$E$8:$E$5000,$A33,'💸 Expenses'!$B$8:$B$5000,"&gt;="&amp;DATE(2026,7,1),'💸 Expenses'!$B$8:$B$5000,"&lt;"&amp;DATE(2026,8,1))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Kitchen Supplies</t>
        </is>
      </c>
      <c r="B34" s="413">
        <f>SUMIFS('💸 Expenses'!$F$8:$F$5000,'💸 Expenses'!$E$8:$E$5000,$A34,'💸 Expenses'!$B$8:$B$5000,"&gt;="&amp;DATE(2026,5,1),'💸 Expenses'!$B$8:$B$5000,"&lt;"&amp;DATE(2026,6,1))</f>
        <v/>
      </c>
      <c r="C34" s="413">
        <f>SUMIFS('💸 Expenses'!$F$8:$F$5000,'💸 Expenses'!$E$8:$E$5000,$A34,'💸 Expenses'!$B$8:$B$5000,"&gt;="&amp;DATE(2026,6,1),'💸 Expenses'!$B$8:$B$5000,"&lt;"&amp;DATE(2026,7,1))</f>
        <v/>
      </c>
      <c r="D34" s="413">
        <f>SUMIFS('💸 Expenses'!$F$8:$F$5000,'💸 Expenses'!$E$8:$E$5000,$A34,'💸 Expenses'!$B$8:$B$5000,"&gt;="&amp;DATE(2026,7,1),'💸 Expenses'!$B$8:$B$5000,"&lt;"&amp;DATE(2026,8,1))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Software / Subscription</t>
        </is>
      </c>
      <c r="B35" s="413">
        <f>SUMIFS('💸 Expenses'!$F$8:$F$5000,'💸 Expenses'!$E$8:$E$5000,$A35,'💸 Expenses'!$B$8:$B$5000,"&gt;="&amp;DATE(2026,5,1),'💸 Expenses'!$B$8:$B$5000,"&lt;"&amp;DATE(2026,6,1))</f>
        <v/>
      </c>
      <c r="C35" s="413">
        <f>SUMIFS('💸 Expenses'!$F$8:$F$5000,'💸 Expenses'!$E$8:$E$5000,$A35,'💸 Expenses'!$B$8:$B$5000,"&gt;="&amp;DATE(2026,6,1),'💸 Expenses'!$B$8:$B$5000,"&lt;"&amp;DATE(2026,7,1))</f>
        <v/>
      </c>
      <c r="D35" s="413">
        <f>SUMIFS('💸 Expenses'!$F$8:$F$5000,'💸 Expenses'!$E$8:$E$5000,$A35,'💸 Expenses'!$B$8:$B$5000,"&gt;="&amp;DATE(2026,7,1),'💸 Expenses'!$B$8:$B$5000,"&lt;"&amp;DATE(2026,8,1))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Expenses'!$F$8:$F$5000,'💸 Expenses'!$E$8:$E$5000,$A36,'💸 Expenses'!$B$8:$B$5000,"&gt;="&amp;DATE(2026,5,1),'💸 Expenses'!$B$8:$B$5000,"&lt;"&amp;DATE(2026,6,1))</f>
        <v/>
      </c>
      <c r="C36" s="413">
        <f>SUMIFS('💸 Expenses'!$F$8:$F$5000,'💸 Expenses'!$E$8:$E$5000,$A36,'💸 Expenses'!$B$8:$B$5000,"&gt;="&amp;DATE(2026,6,1),'💸 Expenses'!$B$8:$B$5000,"&lt;"&amp;DATE(2026,7,1))</f>
        <v/>
      </c>
      <c r="D36" s="413">
        <f>SUMIFS('💸 Expenses'!$F$8:$F$5000,'💸 Expenses'!$E$8:$E$5000,$A36,'💸 Expenses'!$B$8:$B$5000,"&gt;="&amp;DATE(2026,7,1),'💸 Expenses'!$B$8:$B$5000,"&lt;"&amp;DATE(2026,8,1))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Expenses'!$F$8:$F$5000,'💸 Expenses'!$E$8:$E$5000,$A37,'💸 Expenses'!$B$8:$B$5000,"&gt;="&amp;DATE(2026,5,1),'💸 Expenses'!$B$8:$B$5000,"&lt;"&amp;DATE(2026,6,1))</f>
        <v/>
      </c>
      <c r="C37" s="413">
        <f>SUMIFS('💸 Expenses'!$F$8:$F$5000,'💸 Expenses'!$E$8:$E$5000,$A37,'💸 Expenses'!$B$8:$B$5000,"&gt;="&amp;DATE(2026,6,1),'💸 Expenses'!$B$8:$B$5000,"&lt;"&amp;DATE(2026,7,1))</f>
        <v/>
      </c>
      <c r="D37" s="413">
        <f>SUMIFS('💸 Expenses'!$F$8:$F$5000,'💸 Expenses'!$E$8:$E$5000,$A37,'💸 Expenses'!$B$8:$B$5000,"&gt;="&amp;DATE(2026,7,1),'💸 Expenses'!$B$8:$B$5000,"&lt;"&amp;DATE(2026,8,1))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Utilities/Internet</t>
        </is>
      </c>
      <c r="B38" s="413">
        <f>SUMIFS('💸 Expenses'!$F$8:$F$5000,'💸 Expenses'!$E$8:$E$5000,$A38,'💸 Expenses'!$B$8:$B$5000,"&gt;="&amp;DATE(2026,5,1),'💸 Expenses'!$B$8:$B$5000,"&lt;"&amp;DATE(2026,6,1))</f>
        <v/>
      </c>
      <c r="C38" s="413">
        <f>SUMIFS('💸 Expenses'!$F$8:$F$5000,'💸 Expenses'!$E$8:$E$5000,$A38,'💸 Expenses'!$B$8:$B$5000,"&gt;="&amp;DATE(2026,6,1),'💸 Expenses'!$B$8:$B$5000,"&lt;"&amp;DATE(2026,7,1))</f>
        <v/>
      </c>
      <c r="D38" s="413">
        <f>SUMIFS('💸 Expenses'!$F$8:$F$5000,'💸 Expenses'!$E$8:$E$5000,$A38,'💸 Expenses'!$B$8:$B$5000,"&gt;="&amp;DATE(2026,7,1),'💸 Expenses'!$B$8:$B$5000,"&lt;"&amp;DATE(2026,8,1))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Packaging / Disposables</t>
        </is>
      </c>
      <c r="B39" s="413">
        <f>SUMIFS('💸 Expenses'!$F$8:$F$5000,'💸 Expenses'!$E$8:$E$5000,$A39,'💸 Expenses'!$B$8:$B$5000,"&gt;="&amp;DATE(2026,5,1),'💸 Expenses'!$B$8:$B$5000,"&lt;"&amp;DATE(2026,6,1))</f>
        <v/>
      </c>
      <c r="C39" s="413">
        <f>SUMIFS('💸 Expenses'!$F$8:$F$5000,'💸 Expenses'!$E$8:$E$5000,$A39,'💸 Expenses'!$B$8:$B$5000,"&gt;="&amp;DATE(2026,6,1),'💸 Expenses'!$B$8:$B$5000,"&lt;"&amp;DATE(2026,7,1))</f>
        <v/>
      </c>
      <c r="D39" s="413">
        <f>SUMIFS('💸 Expenses'!$F$8:$F$5000,'💸 Expenses'!$E$8:$E$5000,$A39,'💸 Expenses'!$B$8:$B$5000,"&gt;="&amp;DATE(2026,7,1),'💸 Expenses'!$B$8:$B$5000,"&lt;"&amp;DATE(2026,8,1))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Desserts</t>
        </is>
      </c>
      <c r="B40" s="413">
        <f>SUMIFS('💸 Expenses'!$F$8:$F$5000,'💸 Expenses'!$E$8:$E$5000,$A40,'💸 Expenses'!$B$8:$B$5000,"&gt;="&amp;DATE(2026,5,1),'💸 Expenses'!$B$8:$B$5000,"&lt;"&amp;DATE(2026,6,1))</f>
        <v/>
      </c>
      <c r="C40" s="413">
        <f>SUMIFS('💸 Expenses'!$F$8:$F$5000,'💸 Expenses'!$E$8:$E$5000,$A40,'💸 Expenses'!$B$8:$B$5000,"&gt;="&amp;DATE(2026,6,1),'💸 Expenses'!$B$8:$B$5000,"&lt;"&amp;DATE(2026,7,1))</f>
        <v/>
      </c>
      <c r="D40" s="413">
        <f>SUMIFS('💸 Expenses'!$F$8:$F$5000,'💸 Expenses'!$E$8:$E$5000,$A40,'💸 Expenses'!$B$8:$B$5000,"&gt;="&amp;DATE(2026,7,1),'💸 Expenses'!$B$8:$B$5000,"&lt;"&amp;DATE(2026,8,1))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Expenses'!$F$8:$F$5000,'💸 Expenses'!$E$8:$E$5000,$A41,'💸 Expenses'!$B$8:$B$5000,"&gt;="&amp;DATE(2026,5,1),'💸 Expenses'!$B$8:$B$5000,"&lt;"&amp;DATE(2026,6,1))</f>
        <v/>
      </c>
      <c r="C41" s="413">
        <f>SUMIFS('💸 Expenses'!$F$8:$F$5000,'💸 Expenses'!$E$8:$E$5000,$A41,'💸 Expenses'!$B$8:$B$5000,"&gt;="&amp;DATE(2026,6,1),'💸 Expenses'!$B$8:$B$5000,"&lt;"&amp;DATE(2026,7,1))</f>
        <v/>
      </c>
      <c r="D41" s="413">
        <f>SUMIFS('💸 Expenses'!$F$8:$F$5000,'💸 Expenses'!$E$8:$E$5000,$A41,'💸 Expenses'!$B$8:$B$5000,"&gt;="&amp;DATE(2026,7,1),'💸 Expenses'!$B$8:$B$5000,"&lt;"&amp;DATE(2026,8,1))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Ingredients - Eggs</t>
        </is>
      </c>
      <c r="B42" s="413">
        <f>SUMIFS('💸 Expenses'!$F$8:$F$5000,'💸 Expenses'!$E$8:$E$5000,$A42,'💸 Expenses'!$B$8:$B$5000,"&gt;="&amp;DATE(2026,5,1),'💸 Expenses'!$B$8:$B$5000,"&lt;"&amp;DATE(2026,6,1))</f>
        <v/>
      </c>
      <c r="C42" s="413">
        <f>SUMIFS('💸 Expenses'!$F$8:$F$5000,'💸 Expenses'!$E$8:$E$5000,$A42,'💸 Expenses'!$B$8:$B$5000,"&gt;="&amp;DATE(2026,6,1),'💸 Expenses'!$B$8:$B$5000,"&lt;"&amp;DATE(2026,7,1))</f>
        <v/>
      </c>
      <c r="D42" s="413">
        <f>SUMIFS('💸 Expenses'!$F$8:$F$5000,'💸 Expenses'!$E$8:$E$5000,$A42,'💸 Expenses'!$B$8:$B$5000,"&gt;="&amp;DATE(2026,7,1),'💸 Expenses'!$B$8:$B$5000,"&lt;"&amp;DATE(2026,8,1))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Expenses'!$F$8:$F$5000,'💸 Expenses'!$E$8:$E$5000,$A43,'💸 Expenses'!$B$8:$B$5000,"&gt;="&amp;DATE(2026,5,1),'💸 Expenses'!$B$8:$B$5000,"&lt;"&amp;DATE(2026,6,1))</f>
        <v/>
      </c>
      <c r="C43" s="413">
        <f>SUMIFS('💸 Expenses'!$F$8:$F$5000,'💸 Expenses'!$E$8:$E$5000,$A43,'💸 Expenses'!$B$8:$B$5000,"&gt;="&amp;DATE(2026,6,1),'💸 Expenses'!$B$8:$B$5000,"&lt;"&amp;DATE(2026,7,1))</f>
        <v/>
      </c>
      <c r="D43" s="413">
        <f>SUMIFS('💸 Expenses'!$F$8:$F$5000,'💸 Expenses'!$E$8:$E$5000,$A43,'💸 Expenses'!$B$8:$B$5000,"&gt;="&amp;DATE(2026,7,1),'💸 Expenses'!$B$8:$B$5000,"&lt;"&amp;DATE(2026,8,1))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Expenses'!$F$8:$F$5000,'💸 Expenses'!$E$8:$E$5000,$A44,'💸 Expenses'!$B$8:$B$5000,"&gt;="&amp;DATE(2026,5,1),'💸 Expenses'!$B$8:$B$5000,"&lt;"&amp;DATE(2026,6,1))</f>
        <v/>
      </c>
      <c r="C44" s="413">
        <f>SUMIFS('💸 Expenses'!$F$8:$F$5000,'💸 Expenses'!$E$8:$E$5000,$A44,'💸 Expenses'!$B$8:$B$5000,"&gt;="&amp;DATE(2026,6,1),'💸 Expenses'!$B$8:$B$5000,"&lt;"&amp;DATE(2026,7,1))</f>
        <v/>
      </c>
      <c r="D44" s="413">
        <f>SUMIFS('💸 Expenses'!$F$8:$F$5000,'💸 Expenses'!$E$8:$E$5000,$A44,'💸 Expenses'!$B$8:$B$5000,"&gt;="&amp;DATE(2026,7,1),'💸 Expenses'!$B$8:$B$5000,"&lt;"&amp;DATE(2026,8,1))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Expenses'!$F$8:$F$5000,'💸 Expenses'!$B$8:$B$5000,"&gt;="&amp;DATE(2026,5,1),'💸 Expenses'!$B$8:$B$5000,"&lt;"&amp;DATE(2026,6,1))</f>
        <v/>
      </c>
      <c r="C45" s="414">
        <f>SUMIFS('💸 Expenses'!$F$8:$F$5000,'💸 Expenses'!$B$8:$B$5000,"&gt;="&amp;DATE(2026,6,1),'💸 Expenses'!$B$8:$B$5000,"&lt;"&amp;DATE(2026,7,1))</f>
        <v/>
      </c>
      <c r="D45" s="414">
        <f>SUMIFS('💸 Expenses'!$F$8:$F$5000,'💸 Expenses'!$B$8:$B$5000,"&gt;="&amp;DATE(2026,7,1),'💸 Expenses'!$B$8:$B$5000,"&lt;"&amp;DATE(2026,8,1))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inlineStr">
        <is>
          <t>TOTALS &amp; CURRENT BALANCE</t>
        </is>
      </c>
      <c r="B45" s="232" t="n"/>
      <c r="C45" s="232" t="n"/>
      <c r="D45" s="232">
        <f>SUM(D4:D44)</f>
        <v/>
      </c>
      <c r="E45" s="233">
        <f>SUM(E4:E44)</f>
        <v/>
      </c>
      <c r="F45" s="233">
        <f>F44</f>
        <v/>
      </c>
      <c r="G45" s="232">
        <f>IF(F44&gt;0,"Restaurant owes Lohith $"&amp;TEXT(F44,"#,##0"),IF(F44&lt;0,"Lohith holds $"&amp;TEXT(ABS(F44),"#,##0"),"Zero balance"))</f>
        <v/>
      </c>
      <c r="H45" s="232" t="n"/>
    </row>
    <row r="46">
      <c r="A46" s="231" t="n"/>
      <c r="B46" s="232" t="n"/>
      <c r="C46" s="232" t="n"/>
      <c r="D46" s="232" t="n"/>
      <c r="E46" s="233" t="n"/>
      <c r="F46" s="233" t="n"/>
      <c r="G46" s="232" t="n"/>
      <c r="H4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2026-07-21T13:02:49Z</dcterms:modified>
  <cp:lastModifiedBy>LOHITH REDDY</cp:lastModifiedBy>
</cp:coreProperties>
</file>