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-9264.030000000001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116669.97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3135.0</v>
      </c>
      <c r="G6" s="31">
        <f>SUMIFS($G$8:$G$5000,$B$8:$B$5000,TODAY())</f>
        <v>0.0</v>
      </c>
      <c r="H6" s="28">
        <f>SUMIFS($H$8:$H$5000,$B$8:$B$5000,TODAY())</f>
        <v>45.0</v>
      </c>
      <c r="I6" s="32">
        <f>F6-H6</f>
        <v>3090.0</v>
      </c>
      <c r="J6">
        <f>IFERROR(I6/F6,0)</f>
        <v>0.985646</v>
      </c>
      <c r="K6" s="28" t="n"/>
      <c r="L6" s="31" t="n"/>
      <c r="M6" s="28">
        <f>SUMIFS($F$8:$F$5000,$B$8:$B$5000,"&gt;="&amp;(TODAY()-WEEKDAY(TODAY(),2)+1),$B$8:$B$5000,"&lt;"&amp;(TODAY()-WEEKDAY(TODAY(),2)+8))</f>
        <v>7314.0</v>
      </c>
      <c r="N6" s="33">
        <f>SUMIFS($F$8:$F$5000,$B$8:$B$5000,"&gt;="&amp;(TODAY()-WEEKDAY(TODAY(),2)+1),$B$8:$B$5000,"&lt;"&amp;(TODAY()-WEEKDAY(TODAY(),2)+8))</f>
        <v>7314.0</v>
      </c>
      <c r="O6" s="33">
        <f>SUMIFS($F$8:$F$5000,$B$8:$B$5000,"&gt;="&amp;DATE(YEAR(TODAY()),MONTH(TODAY()),1),$B$8:$B$5000,"&lt;"&amp;DATE(YEAR(TODAY()),MONTH(TODAY())+1,1))</f>
        <v>93574.0</v>
      </c>
      <c r="P6">
        <f>SUMIFS('💸 Expenses'!$F$8:$F$5000,'💸 Expenses'!$B$8:$B$5000,"&gt;="&amp;(TODAY()-WEEKDAY(TODAY(),2)+1),'💸 Expenses'!$B$8:$B$5000,"&lt;"&amp;(TODAY()-WEEKDAY(TODAY(),2)+8))</f>
        <v>2324.0</v>
      </c>
      <c r="Q6">
        <f>M6-P6</f>
        <v>4990.0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427" t="n">
        <v>46317</v>
      </c>
      <c r="C146" s="270" t="inlineStr">
        <is>
          <t>Thu</t>
        </is>
      </c>
      <c r="D146" s="271" t="n">
        <v>1895</v>
      </c>
      <c r="E146" s="37" t="n">
        <v>1365</v>
      </c>
      <c r="F146" s="38">
        <f>IFERROR(D146+E146+G146+U146+Y146,0)</f>
        <v>4690.0</v>
      </c>
      <c r="G146" s="272" t="n">
        <v>0</v>
      </c>
      <c r="H146" s="273">
        <f>SUMIFS('💸 Expenses'!$F$8:$F$5000,'💸 Expenses'!$B$8:$B$5000,"&gt;="&amp;B146,'💸 Expenses'!$B$8:$B$5000,"&lt;"&amp;(B146+1))</f>
        <v>1294.0</v>
      </c>
      <c r="I146" s="274">
        <f>IFERROR(F146-H146,0)</f>
        <v>3396.0</v>
      </c>
      <c r="J146" s="275">
        <f>IFERROR(I146/F146,0)</f>
        <v>0.724094</v>
      </c>
      <c r="K146" s="250" t="n"/>
      <c r="L146" s="276" t="inlineStr">
        <is>
          <t>Cierre via loka.py</t>
        </is>
      </c>
      <c r="M146" s="323" t="n"/>
      <c r="N146" s="324" t="n"/>
      <c r="O146" s="325" t="n"/>
      <c r="P146" s="326" t="n"/>
      <c r="Q146" s="324" t="n"/>
      <c r="R146" s="428">
        <f>IFERROR(D146*$T$7,0)</f>
        <v>76.94</v>
      </c>
      <c r="S146" s="324" t="n"/>
      <c r="T146" s="324" t="n"/>
      <c r="U146" s="428" t="n">
        <v>0</v>
      </c>
      <c r="V146" s="428" t="n">
        <v>0</v>
      </c>
      <c r="W146" s="324" t="n"/>
      <c r="X146" s="324" t="n"/>
      <c r="Y146" s="428" t="n">
        <v>1430</v>
      </c>
      <c r="Z146" s="428" t="n">
        <v>27.17</v>
      </c>
      <c r="AA146" s="324" t="n"/>
      <c r="AB146" s="324" t="n"/>
    </row>
    <row r="147" ht="16.5" customHeight="1" s="331">
      <c r="B147" s="427" t="n">
        <v>46318</v>
      </c>
      <c r="C147" s="255" t="inlineStr">
        <is>
          <t>Fri</t>
        </is>
      </c>
      <c r="D147" s="256" t="n">
        <v>2155</v>
      </c>
      <c r="E147" s="49" t="n">
        <v>2455</v>
      </c>
      <c r="F147" s="50">
        <f>IFERROR(D147+E147+G147+U147+Y147,0)</f>
        <v>7170.0</v>
      </c>
      <c r="G147" s="257" t="n">
        <v>0</v>
      </c>
      <c r="H147" s="258">
        <f>SUMIFS('💸 Expenses'!$F$8:$F$5000,'💸 Expenses'!$B$8:$B$5000,"&gt;="&amp;B147,'💸 Expenses'!$B$8:$B$5000,"&lt;"&amp;(B147+1))</f>
        <v>2619.0</v>
      </c>
      <c r="I147" s="259">
        <f>IFERROR(F147-H147,0)</f>
        <v>4551.0</v>
      </c>
      <c r="J147" s="260">
        <f>IFERROR(I147/F147,0)</f>
        <v>0.634728</v>
      </c>
      <c r="K147" s="254" t="n"/>
      <c r="L147" s="261" t="inlineStr">
        <is>
          <t>Cierre via loka.py</t>
        </is>
      </c>
      <c r="M147" s="291" t="n"/>
      <c r="N147" s="292" t="n"/>
      <c r="O147" s="293" t="n"/>
      <c r="P147" s="294" t="n"/>
      <c r="Q147" s="292" t="n"/>
      <c r="R147" s="443">
        <f>IFERROR(D147*$T$7,0)</f>
        <v>87.49</v>
      </c>
      <c r="S147" s="292" t="n"/>
      <c r="T147" s="292" t="n"/>
      <c r="U147" s="443" t="n">
        <v>0</v>
      </c>
      <c r="V147" s="443" t="n">
        <v>0</v>
      </c>
      <c r="W147" s="292" t="n"/>
      <c r="X147" s="292" t="n"/>
      <c r="Y147" s="443" t="n">
        <v>2560</v>
      </c>
      <c r="Z147" s="443" t="n">
        <v>48.64</v>
      </c>
      <c r="AA147" s="292" t="n"/>
      <c r="AB147" s="292" t="n"/>
    </row>
    <row r="148" ht="16.5" customHeight="1" s="331">
      <c r="B148" s="427" t="n">
        <v>46319</v>
      </c>
      <c r="C148" s="270" t="inlineStr">
        <is>
          <t>Sat</t>
        </is>
      </c>
      <c r="D148" s="271" t="n">
        <v>1425</v>
      </c>
      <c r="E148" s="37" t="n">
        <v>1120</v>
      </c>
      <c r="F148" s="38">
        <f>IFERROR(D148+E148+G148+U148+Y148,0)</f>
        <v>2900.0</v>
      </c>
      <c r="G148" s="272" t="n">
        <v>355</v>
      </c>
      <c r="H148" s="273">
        <f>SUMIFS('💸 Expenses'!$F$8:$F$5000,'💸 Expenses'!$B$8:$B$5000,"&gt;="&amp;B148,'💸 Expenses'!$B$8:$B$5000,"&lt;"&amp;(B148+1))</f>
        <v>10022.0</v>
      </c>
      <c r="I148" s="274">
        <f>IFERROR(F148-H148,0)</f>
        <v>-7122.0</v>
      </c>
      <c r="J148" s="275">
        <f>IFERROR(I148/F148,0)</f>
        <v>-2.455862</v>
      </c>
      <c r="K148" s="250" t="n"/>
      <c r="L148" s="276" t="inlineStr">
        <is>
          <t>Cierre via loka.py</t>
        </is>
      </c>
      <c r="M148" s="323" t="n"/>
      <c r="N148" s="324" t="n"/>
      <c r="O148" s="325" t="n"/>
      <c r="P148" s="326" t="n"/>
      <c r="Q148" s="324" t="n"/>
      <c r="R148" s="428">
        <f>IFERROR(D148*$T$7,0)</f>
        <v>57.85</v>
      </c>
      <c r="S148" s="324" t="n"/>
      <c r="T148" s="324" t="n"/>
      <c r="U148" s="428" t="n">
        <v>0</v>
      </c>
      <c r="V148" s="428" t="n">
        <v>0</v>
      </c>
      <c r="W148" s="324" t="n"/>
      <c r="X148" s="324" t="n"/>
      <c r="Y148" s="428" t="n">
        <v>0</v>
      </c>
      <c r="Z148" s="428" t="n">
        <v>0</v>
      </c>
      <c r="AA148" s="324" t="n"/>
      <c r="AB148" s="324" t="n"/>
    </row>
    <row r="149" ht="16.5" customHeight="1" s="331">
      <c r="B149" s="427" t="n">
        <v>46321</v>
      </c>
      <c r="C149" s="255" t="inlineStr">
        <is>
          <t>Mon</t>
        </is>
      </c>
      <c r="D149" s="256" t="n">
        <v>2210</v>
      </c>
      <c r="E149" s="49" t="n">
        <v>1760</v>
      </c>
      <c r="F149" s="50">
        <f>IFERROR(D149+E149+G149+U149+Y149,0)</f>
        <v>4179.0</v>
      </c>
      <c r="G149" s="257" t="n">
        <v>209</v>
      </c>
      <c r="H149" s="258">
        <f>SUMIFS('💸 Expenses'!$F$8:$F$5000,'💸 Expenses'!$B$8:$B$5000,"&gt;="&amp;B149,'💸 Expenses'!$B$8:$B$5000,"&lt;"&amp;(B149+1))</f>
        <v>2279.0</v>
      </c>
      <c r="I149" s="259">
        <f>IFERROR(F149-H149,0)</f>
        <v>1900.0</v>
      </c>
      <c r="J149" s="260">
        <f>IFERROR(I149/F149,0)</f>
        <v>0.454654</v>
      </c>
      <c r="K149" s="254" t="n"/>
      <c r="L149" s="261" t="inlineStr">
        <is>
          <t>Cierre via loka.py</t>
        </is>
      </c>
      <c r="M149" s="291" t="n"/>
      <c r="N149" s="292" t="n"/>
      <c r="O149" s="293" t="n"/>
      <c r="P149" s="294" t="n"/>
      <c r="Q149" s="292" t="n"/>
      <c r="R149" s="443">
        <f>IFERROR(D149*$T$7,0)</f>
        <v>89.73</v>
      </c>
      <c r="S149" s="292" t="n"/>
      <c r="T149" s="292" t="n"/>
      <c r="U149" s="443" t="n">
        <v>0</v>
      </c>
      <c r="V149" s="443" t="n">
        <v>0</v>
      </c>
      <c r="W149" s="292" t="n"/>
      <c r="X149" s="292" t="n"/>
      <c r="Y149" s="443" t="n">
        <v>0</v>
      </c>
      <c r="Z149" s="443" t="n">
        <v>0</v>
      </c>
      <c r="AA149" s="292" t="n"/>
      <c r="AB149" s="292" t="n"/>
    </row>
    <row r="150" ht="16.5" customHeight="1" s="331">
      <c r="B150" s="427" t="n">
        <v>46322</v>
      </c>
      <c r="C150" s="270" t="inlineStr">
        <is>
          <t>Tue</t>
        </is>
      </c>
      <c r="D150" s="271" t="n">
        <v>260</v>
      </c>
      <c r="E150" s="37" t="n">
        <v>1295</v>
      </c>
      <c r="F150" s="38">
        <f>IFERROR(D150+E150+G150+U150+Y150,0)</f>
        <v>3135.0</v>
      </c>
      <c r="G150" s="272" t="n">
        <v>0</v>
      </c>
      <c r="H150" s="273">
        <f>SUMIFS('💸 Expenses'!$F$8:$F$5000,'💸 Expenses'!$B$8:$B$5000,"&gt;="&amp;B150,'💸 Expenses'!$B$8:$B$5000,"&lt;"&amp;(B150+1))</f>
        <v>45.0</v>
      </c>
      <c r="I150" s="274">
        <f>IFERROR(F150-H150,0)</f>
        <v>3090.0</v>
      </c>
      <c r="J150" s="275">
        <f>IFERROR(I150/F150,0)</f>
        <v>0.985646</v>
      </c>
      <c r="K150" s="250" t="n"/>
      <c r="L150" s="276" t="inlineStr">
        <is>
          <t>Cierre via loka.py</t>
        </is>
      </c>
      <c r="M150" s="323" t="n"/>
      <c r="N150" s="324" t="n"/>
      <c r="O150" s="325" t="n"/>
      <c r="P150" s="326" t="n"/>
      <c r="Q150" s="324" t="n"/>
      <c r="R150" s="428">
        <f>IFERROR(D150*$T$7,0)</f>
        <v>10.56</v>
      </c>
      <c r="S150" s="324" t="n"/>
      <c r="T150" s="324" t="n"/>
      <c r="U150" s="428" t="n">
        <v>0</v>
      </c>
      <c r="V150" s="428" t="n">
        <v>0</v>
      </c>
      <c r="W150" s="324" t="n"/>
      <c r="X150" s="324" t="n"/>
      <c r="Y150" s="428" t="n">
        <v>1580</v>
      </c>
      <c r="Z150" s="428" t="n">
        <v>30.02</v>
      </c>
      <c r="AA150" s="324" t="n"/>
      <c r="AB150" s="32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920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  <row r="896">
      <c r="B896" s="429" t="n">
        <v>46317</v>
      </c>
      <c r="C896" s="297" t="inlineStr">
        <is>
          <t>Chedraui</t>
        </is>
      </c>
      <c r="D896" s="298" t="inlineStr">
        <is>
          <t>Chedraui</t>
        </is>
      </c>
      <c r="E896" s="297" t="inlineStr">
        <is>
          <t>Supermarket/General</t>
        </is>
      </c>
      <c r="F896" s="299" t="n">
        <v>252</v>
      </c>
      <c r="G896" s="300" t="inlineStr">
        <is>
          <t>Restaurant</t>
        </is>
      </c>
      <c r="H896" s="300" t="inlineStr">
        <is>
          <t>Cash</t>
        </is>
      </c>
      <c r="I896" s="301" t="inlineStr">
        <is>
          <t>✅ Paid</t>
        </is>
      </c>
      <c r="J896" s="423" t="inlineStr">
        <is>
          <t>No receipt; cash</t>
        </is>
      </c>
    </row>
    <row r="897">
      <c r="B897" s="429" t="n">
        <v>46317</v>
      </c>
      <c r="C897" s="297" t="inlineStr">
        <is>
          <t>Vegetables</t>
        </is>
      </c>
      <c r="D897" s="298" t="inlineStr">
        <is>
          <t>No bill</t>
        </is>
      </c>
      <c r="E897" s="297" t="inlineStr">
        <is>
          <t>Ingredients - Vegetables</t>
        </is>
      </c>
      <c r="F897" s="299" t="n">
        <v>118</v>
      </c>
      <c r="G897" s="300" t="inlineStr">
        <is>
          <t>Restaurant</t>
        </is>
      </c>
      <c r="H897" s="300" t="inlineStr">
        <is>
          <t>Cash</t>
        </is>
      </c>
      <c r="I897" s="301" t="inlineStr">
        <is>
          <t>✅ Paid</t>
        </is>
      </c>
      <c r="J897" s="423" t="inlineStr">
        <is>
          <t>No receipt; cash</t>
        </is>
      </c>
    </row>
    <row r="898">
      <c r="B898" s="429" t="n">
        <v>46317</v>
      </c>
      <c r="C898" s="297" t="inlineStr">
        <is>
          <t>Mango</t>
        </is>
      </c>
      <c r="D898" s="298" t="inlineStr">
        <is>
          <t>No bill</t>
        </is>
      </c>
      <c r="E898" s="297" t="inlineStr">
        <is>
          <t>Ingredients - Vegetables</t>
        </is>
      </c>
      <c r="F898" s="299" t="n">
        <v>425</v>
      </c>
      <c r="G898" s="300" t="inlineStr">
        <is>
          <t>Restaurant</t>
        </is>
      </c>
      <c r="H898" s="300" t="inlineStr">
        <is>
          <t>Cash</t>
        </is>
      </c>
      <c r="I898" s="301" t="inlineStr">
        <is>
          <t>✅ Paid</t>
        </is>
      </c>
      <c r="J898" s="423" t="inlineStr">
        <is>
          <t>No receipt; cash</t>
        </is>
      </c>
    </row>
    <row r="899">
      <c r="B899" s="429" t="n">
        <v>46317</v>
      </c>
      <c r="C899" s="297" t="inlineStr">
        <is>
          <t>Pan Dulce</t>
        </is>
      </c>
      <c r="D899" s="298" t="inlineStr">
        <is>
          <t>No bill</t>
        </is>
      </c>
      <c r="E899" s="297" t="inlineStr">
        <is>
          <t>Ingredients - Bread</t>
        </is>
      </c>
      <c r="F899" s="299" t="n">
        <v>64</v>
      </c>
      <c r="G899" s="300" t="inlineStr">
        <is>
          <t>Restaurant</t>
        </is>
      </c>
      <c r="H899" s="300" t="inlineStr">
        <is>
          <t>Cash</t>
        </is>
      </c>
      <c r="I899" s="301" t="inlineStr">
        <is>
          <t>✅ Paid</t>
        </is>
      </c>
      <c r="J899" s="423" t="inlineStr">
        <is>
          <t>No receipt; cash</t>
        </is>
      </c>
    </row>
    <row r="900">
      <c r="B900" s="429" t="n">
        <v>46317</v>
      </c>
      <c r="C900" s="297" t="inlineStr">
        <is>
          <t>Pollo</t>
        </is>
      </c>
      <c r="D900" s="298" t="inlineStr">
        <is>
          <t>No bill</t>
        </is>
      </c>
      <c r="E900" s="297" t="inlineStr">
        <is>
          <t>Ingredients - Meat</t>
        </is>
      </c>
      <c r="F900" s="299" t="n">
        <v>185</v>
      </c>
      <c r="G900" s="300" t="inlineStr">
        <is>
          <t>Restaurant</t>
        </is>
      </c>
      <c r="H900" s="300" t="inlineStr">
        <is>
          <t>Cash</t>
        </is>
      </c>
      <c r="I900" s="301" t="inlineStr">
        <is>
          <t>✅ Paid</t>
        </is>
      </c>
      <c r="J900" s="423" t="inlineStr">
        <is>
          <t>No receipt; cash</t>
        </is>
      </c>
    </row>
    <row r="901">
      <c r="B901" s="429" t="n">
        <v>46317</v>
      </c>
      <c r="C901" s="297" t="inlineStr">
        <is>
          <t>Molino</t>
        </is>
      </c>
      <c r="D901" s="298" t="inlineStr">
        <is>
          <t>No bill</t>
        </is>
      </c>
      <c r="E901" s="297" t="inlineStr">
        <is>
          <t>Supermarket/General</t>
        </is>
      </c>
      <c r="F901" s="299" t="n">
        <v>138</v>
      </c>
      <c r="G901" s="300" t="inlineStr">
        <is>
          <t>Restaurant</t>
        </is>
      </c>
      <c r="H901" s="300" t="inlineStr">
        <is>
          <t>Cash</t>
        </is>
      </c>
      <c r="I901" s="301" t="inlineStr">
        <is>
          <t>✅ Paid</t>
        </is>
      </c>
      <c r="J901" s="423" t="inlineStr">
        <is>
          <t>No receipt; cash</t>
        </is>
      </c>
    </row>
    <row r="902">
      <c r="B902" s="429" t="n">
        <v>46317</v>
      </c>
      <c r="C902" s="297" t="inlineStr">
        <is>
          <t>Oxxo Aceite</t>
        </is>
      </c>
      <c r="D902" s="298" t="inlineStr">
        <is>
          <t>OXXO</t>
        </is>
      </c>
      <c r="E902" s="297" t="inlineStr">
        <is>
          <t>Ingredients - Pantry</t>
        </is>
      </c>
      <c r="F902" s="299" t="n">
        <v>112</v>
      </c>
      <c r="G902" s="300" t="inlineStr">
        <is>
          <t>Restaurant</t>
        </is>
      </c>
      <c r="H902" s="300" t="inlineStr">
        <is>
          <t>Cash</t>
        </is>
      </c>
      <c r="I902" s="301" t="inlineStr">
        <is>
          <t>✅ Paid</t>
        </is>
      </c>
      <c r="J902" s="423" t="inlineStr">
        <is>
          <t>No receipt; cash</t>
        </is>
      </c>
    </row>
    <row r="903">
      <c r="B903" s="429" t="n">
        <v>46318</v>
      </c>
      <c r="C903" s="297" t="inlineStr">
        <is>
          <t>Pan Real</t>
        </is>
      </c>
      <c r="D903" s="298" t="inlineStr">
        <is>
          <t>No bill</t>
        </is>
      </c>
      <c r="E903" s="297" t="inlineStr">
        <is>
          <t>Ingredients - Bread</t>
        </is>
      </c>
      <c r="F903" s="299" t="n">
        <v>288</v>
      </c>
      <c r="G903" s="300" t="inlineStr">
        <is>
          <t>Restaurant</t>
        </is>
      </c>
      <c r="H903" s="300" t="inlineStr">
        <is>
          <t>Cash</t>
        </is>
      </c>
      <c r="I903" s="301" t="inlineStr">
        <is>
          <t>✅ Paid</t>
        </is>
      </c>
      <c r="J903" s="423" t="inlineStr">
        <is>
          <t>No receipt; cash</t>
        </is>
      </c>
    </row>
    <row r="904">
      <c r="B904" s="429" t="n">
        <v>46318</v>
      </c>
      <c r="C904" s="297" t="inlineStr">
        <is>
          <t>Oxxo</t>
        </is>
      </c>
      <c r="D904" s="298" t="inlineStr">
        <is>
          <t>OXXO</t>
        </is>
      </c>
      <c r="E904" s="297" t="inlineStr">
        <is>
          <t>Ingredients - Pantry</t>
        </is>
      </c>
      <c r="F904" s="299" t="n">
        <v>108</v>
      </c>
      <c r="G904" s="300" t="inlineStr">
        <is>
          <t>Restaurant</t>
        </is>
      </c>
      <c r="H904" s="300" t="inlineStr">
        <is>
          <t>Cash</t>
        </is>
      </c>
      <c r="I904" s="301" t="inlineStr">
        <is>
          <t>✅ Paid</t>
        </is>
      </c>
      <c r="J904" s="423" t="inlineStr">
        <is>
          <t>No receipt; cash</t>
        </is>
      </c>
    </row>
    <row r="905">
      <c r="B905" s="429" t="n">
        <v>46318</v>
      </c>
      <c r="C905" s="297" t="inlineStr">
        <is>
          <t>Carne</t>
        </is>
      </c>
      <c r="D905" s="298" t="inlineStr">
        <is>
          <t>No bill</t>
        </is>
      </c>
      <c r="E905" s="297" t="inlineStr">
        <is>
          <t>Ingredients - Meat</t>
        </is>
      </c>
      <c r="F905" s="299" t="n">
        <v>292</v>
      </c>
      <c r="G905" s="300" t="inlineStr">
        <is>
          <t>Restaurant</t>
        </is>
      </c>
      <c r="H905" s="300" t="inlineStr">
        <is>
          <t>Cash</t>
        </is>
      </c>
      <c r="I905" s="301" t="inlineStr">
        <is>
          <t>✅ Paid</t>
        </is>
      </c>
      <c r="J905" s="423" t="inlineStr">
        <is>
          <t>No receipt; cash</t>
        </is>
      </c>
    </row>
    <row r="906">
      <c r="B906" s="429" t="n">
        <v>46318</v>
      </c>
      <c r="C906" s="297" t="inlineStr">
        <is>
          <t>Sams club</t>
        </is>
      </c>
      <c r="D906" s="298" t="inlineStr">
        <is>
          <t>Sam's Club</t>
        </is>
      </c>
      <c r="E906" s="297" t="inlineStr">
        <is>
          <t>Supermarket/General</t>
        </is>
      </c>
      <c r="F906" s="299" t="n">
        <v>471</v>
      </c>
      <c r="G906" s="300" t="inlineStr">
        <is>
          <t>Restaurant</t>
        </is>
      </c>
      <c r="H906" s="300" t="inlineStr">
        <is>
          <t>Cash</t>
        </is>
      </c>
      <c r="I906" s="301" t="inlineStr">
        <is>
          <t>✅ Paid</t>
        </is>
      </c>
      <c r="J906" s="423" t="inlineStr">
        <is>
          <t>No receipt; cash</t>
        </is>
      </c>
    </row>
    <row r="907">
      <c r="B907" s="429" t="n">
        <v>46318</v>
      </c>
      <c r="C907" s="297" t="inlineStr">
        <is>
          <t>Duvi - salary</t>
        </is>
      </c>
      <c r="D907" s="298" t="inlineStr">
        <is>
          <t>Payroll</t>
        </is>
      </c>
      <c r="E907" s="297" t="inlineStr">
        <is>
          <t>Staff - Salary</t>
        </is>
      </c>
      <c r="F907" s="299" t="n">
        <v>1460</v>
      </c>
      <c r="G907" s="300" t="inlineStr">
        <is>
          <t>Restaurant</t>
        </is>
      </c>
      <c r="H907" s="300" t="inlineStr">
        <is>
          <t>Cash</t>
        </is>
      </c>
      <c r="I907" s="301" t="inlineStr">
        <is>
          <t>✅ Paid</t>
        </is>
      </c>
      <c r="J907" s="423" t="inlineStr">
        <is>
          <t>Weekly salary</t>
        </is>
      </c>
    </row>
    <row r="908">
      <c r="B908" s="429" t="n">
        <v>46319</v>
      </c>
      <c r="C908" s="297" t="inlineStr">
        <is>
          <t>Walmart</t>
        </is>
      </c>
      <c r="D908" s="298" t="inlineStr">
        <is>
          <t>Walmart</t>
        </is>
      </c>
      <c r="E908" s="297" t="inlineStr">
        <is>
          <t>Supermarket/General</t>
        </is>
      </c>
      <c r="F908" s="299" t="n">
        <v>363</v>
      </c>
      <c r="G908" s="300" t="inlineStr">
        <is>
          <t>Restaurant</t>
        </is>
      </c>
      <c r="H908" s="300" t="inlineStr">
        <is>
          <t>Cash</t>
        </is>
      </c>
      <c r="I908" s="301" t="inlineStr">
        <is>
          <t>✅ Paid</t>
        </is>
      </c>
      <c r="J908" s="423" t="inlineStr">
        <is>
          <t>No receipt; cash</t>
        </is>
      </c>
    </row>
    <row r="909">
      <c r="B909" s="429" t="n">
        <v>46319</v>
      </c>
      <c r="C909" s="297" t="inlineStr">
        <is>
          <t>3B</t>
        </is>
      </c>
      <c r="D909" s="298" t="inlineStr">
        <is>
          <t>Tres B</t>
        </is>
      </c>
      <c r="E909" s="297" t="inlineStr">
        <is>
          <t>Supermarket/General</t>
        </is>
      </c>
      <c r="F909" s="299" t="n">
        <v>879</v>
      </c>
      <c r="G909" s="300" t="inlineStr">
        <is>
          <t>Restaurant</t>
        </is>
      </c>
      <c r="H909" s="300" t="inlineStr">
        <is>
          <t>Cash</t>
        </is>
      </c>
      <c r="I909" s="301" t="inlineStr">
        <is>
          <t>✅ Paid</t>
        </is>
      </c>
      <c r="J909" s="423" t="inlineStr">
        <is>
          <t>No receipt; cash</t>
        </is>
      </c>
    </row>
    <row r="910">
      <c r="B910" s="429" t="n">
        <v>46319</v>
      </c>
      <c r="C910" s="297" t="inlineStr">
        <is>
          <t>Decoration</t>
        </is>
      </c>
      <c r="D910" s="298" t="inlineStr">
        <is>
          <t>No bill</t>
        </is>
      </c>
      <c r="E910" s="297" t="inlineStr">
        <is>
          <t>Supplies/Other</t>
        </is>
      </c>
      <c r="F910" s="299" t="n">
        <v>180</v>
      </c>
      <c r="G910" s="300" t="inlineStr">
        <is>
          <t>Restaurant</t>
        </is>
      </c>
      <c r="H910" s="300" t="inlineStr">
        <is>
          <t>Cash</t>
        </is>
      </c>
      <c r="I910" s="301" t="inlineStr">
        <is>
          <t>✅ Paid</t>
        </is>
      </c>
      <c r="J910" s="423" t="inlineStr">
        <is>
          <t>No receipt; cash</t>
        </is>
      </c>
    </row>
    <row r="911">
      <c r="B911" s="429" t="n">
        <v>46319</v>
      </c>
      <c r="C911" s="297" t="inlineStr">
        <is>
          <t>Vegetables</t>
        </is>
      </c>
      <c r="D911" s="298" t="inlineStr">
        <is>
          <t>No bill</t>
        </is>
      </c>
      <c r="E911" s="297" t="inlineStr">
        <is>
          <t>Ingredients - Vegetables</t>
        </is>
      </c>
      <c r="F911" s="299" t="n">
        <v>1500</v>
      </c>
      <c r="G911" s="300" t="inlineStr">
        <is>
          <t>Restaurant</t>
        </is>
      </c>
      <c r="H911" s="300" t="inlineStr">
        <is>
          <t>Cash</t>
        </is>
      </c>
      <c r="I911" s="301" t="inlineStr">
        <is>
          <t>✅ Paid</t>
        </is>
      </c>
      <c r="J911" s="423" t="inlineStr">
        <is>
          <t>No receipt; cash</t>
        </is>
      </c>
    </row>
    <row r="912">
      <c r="B912" s="429" t="n">
        <v>46319</v>
      </c>
      <c r="C912" s="297" t="inlineStr">
        <is>
          <t>Rodrigo - salary</t>
        </is>
      </c>
      <c r="D912" s="298" t="inlineStr">
        <is>
          <t>Payroll</t>
        </is>
      </c>
      <c r="E912" s="297" t="inlineStr">
        <is>
          <t>Staff - Salary</t>
        </is>
      </c>
      <c r="F912" s="299" t="n">
        <v>1500</v>
      </c>
      <c r="G912" s="300" t="inlineStr">
        <is>
          <t>Restaurant</t>
        </is>
      </c>
      <c r="H912" s="300" t="inlineStr">
        <is>
          <t>Cash</t>
        </is>
      </c>
      <c r="I912" s="301" t="inlineStr">
        <is>
          <t>✅ Paid</t>
        </is>
      </c>
      <c r="J912" s="423" t="inlineStr">
        <is>
          <t>Weekly salary</t>
        </is>
      </c>
    </row>
    <row r="913">
      <c r="B913" s="429" t="n">
        <v>46319</v>
      </c>
      <c r="C913" s="297" t="inlineStr">
        <is>
          <t>Josias - salary</t>
        </is>
      </c>
      <c r="D913" s="298" t="inlineStr">
        <is>
          <t>Payroll</t>
        </is>
      </c>
      <c r="E913" s="297" t="inlineStr">
        <is>
          <t>Staff - Salary</t>
        </is>
      </c>
      <c r="F913" s="299" t="n">
        <v>1850</v>
      </c>
      <c r="G913" s="300" t="inlineStr">
        <is>
          <t>Restaurant</t>
        </is>
      </c>
      <c r="H913" s="300" t="inlineStr">
        <is>
          <t>Cash</t>
        </is>
      </c>
      <c r="I913" s="301" t="inlineStr">
        <is>
          <t>✅ Paid</t>
        </is>
      </c>
      <c r="J913" s="423" t="inlineStr">
        <is>
          <t>Weekly salary</t>
        </is>
      </c>
    </row>
    <row r="914">
      <c r="B914" s="429" t="n">
        <v>46319</v>
      </c>
      <c r="C914" s="297" t="inlineStr">
        <is>
          <t>Jhon - salary</t>
        </is>
      </c>
      <c r="D914" s="298" t="inlineStr">
        <is>
          <t>Payroll</t>
        </is>
      </c>
      <c r="E914" s="297" t="inlineStr">
        <is>
          <t>Staff - Salary</t>
        </is>
      </c>
      <c r="F914" s="299" t="n">
        <v>3750</v>
      </c>
      <c r="G914" s="300" t="inlineStr">
        <is>
          <t>Restaurant</t>
        </is>
      </c>
      <c r="H914" s="300" t="inlineStr">
        <is>
          <t>Cash</t>
        </is>
      </c>
      <c r="I914" s="301" t="inlineStr">
        <is>
          <t>✅ Paid</t>
        </is>
      </c>
      <c r="J914" s="423" t="inlineStr">
        <is>
          <t>Weekly salary</t>
        </is>
      </c>
    </row>
    <row r="915">
      <c r="B915" s="429" t="n">
        <v>46321</v>
      </c>
      <c r="C915" s="297" t="inlineStr">
        <is>
          <t>Carne</t>
        </is>
      </c>
      <c r="D915" s="298" t="inlineStr">
        <is>
          <t>No bill</t>
        </is>
      </c>
      <c r="E915" s="297" t="inlineStr">
        <is>
          <t>Ingredients - Meat</t>
        </is>
      </c>
      <c r="F915" s="299" t="n">
        <v>1081</v>
      </c>
      <c r="G915" s="300" t="inlineStr">
        <is>
          <t>Restaurant</t>
        </is>
      </c>
      <c r="H915" s="300" t="inlineStr">
        <is>
          <t>Cash</t>
        </is>
      </c>
      <c r="I915" s="301" t="inlineStr">
        <is>
          <t>✅ Paid</t>
        </is>
      </c>
      <c r="J915" s="423" t="inlineStr">
        <is>
          <t>No receipt; cash</t>
        </is>
      </c>
    </row>
    <row r="916">
      <c r="B916" s="429" t="n">
        <v>46321</v>
      </c>
      <c r="C916" s="297" t="inlineStr">
        <is>
          <t>Jamon</t>
        </is>
      </c>
      <c r="D916" s="298" t="inlineStr">
        <is>
          <t>No bill</t>
        </is>
      </c>
      <c r="E916" s="297" t="inlineStr">
        <is>
          <t>Ingredients - Meat</t>
        </is>
      </c>
      <c r="F916" s="299" t="n">
        <v>181</v>
      </c>
      <c r="G916" s="300" t="inlineStr">
        <is>
          <t>Restaurant</t>
        </is>
      </c>
      <c r="H916" s="300" t="inlineStr">
        <is>
          <t>Cash</t>
        </is>
      </c>
      <c r="I916" s="301" t="inlineStr">
        <is>
          <t>✅ Paid</t>
        </is>
      </c>
      <c r="J916" s="423" t="inlineStr">
        <is>
          <t>No receipt; cash</t>
        </is>
      </c>
    </row>
    <row r="917">
      <c r="B917" s="429" t="n">
        <v>46321</v>
      </c>
      <c r="C917" s="297" t="inlineStr">
        <is>
          <t>Chedraui</t>
        </is>
      </c>
      <c r="D917" s="298" t="inlineStr">
        <is>
          <t>Chedraui</t>
        </is>
      </c>
      <c r="E917" s="297" t="inlineStr">
        <is>
          <t>Supermarket/General</t>
        </is>
      </c>
      <c r="F917" s="299" t="n">
        <v>280</v>
      </c>
      <c r="G917" s="300" t="inlineStr">
        <is>
          <t>Restaurant</t>
        </is>
      </c>
      <c r="H917" s="300" t="inlineStr">
        <is>
          <t>Cash</t>
        </is>
      </c>
      <c r="I917" s="301" t="inlineStr">
        <is>
          <t>✅ Paid</t>
        </is>
      </c>
      <c r="J917" s="423" t="inlineStr">
        <is>
          <t>No receipt; cash</t>
        </is>
      </c>
    </row>
    <row r="918">
      <c r="B918" s="429" t="n">
        <v>46321</v>
      </c>
      <c r="C918" s="297" t="inlineStr">
        <is>
          <t>Tortillas</t>
        </is>
      </c>
      <c r="D918" s="298" t="inlineStr">
        <is>
          <t>No bill</t>
        </is>
      </c>
      <c r="E918" s="297" t="inlineStr">
        <is>
          <t>Ingredients - Bread</t>
        </is>
      </c>
      <c r="F918" s="299" t="n">
        <v>70</v>
      </c>
      <c r="G918" s="300" t="inlineStr">
        <is>
          <t>Restaurant</t>
        </is>
      </c>
      <c r="H918" s="300" t="inlineStr">
        <is>
          <t>Cash</t>
        </is>
      </c>
      <c r="I918" s="301" t="inlineStr">
        <is>
          <t>✅ Paid</t>
        </is>
      </c>
      <c r="J918" s="423" t="inlineStr">
        <is>
          <t>No receipt; cash</t>
        </is>
      </c>
    </row>
    <row r="919">
      <c r="B919" s="429" t="n">
        <v>46321</v>
      </c>
      <c r="C919" s="297" t="inlineStr">
        <is>
          <t>Pollo</t>
        </is>
      </c>
      <c r="D919" s="298" t="inlineStr">
        <is>
          <t>No bill</t>
        </is>
      </c>
      <c r="E919" s="297" t="inlineStr">
        <is>
          <t>Ingredients - Meat</t>
        </is>
      </c>
      <c r="F919" s="299" t="n">
        <v>667</v>
      </c>
      <c r="G919" s="300" t="inlineStr">
        <is>
          <t>Lohith</t>
        </is>
      </c>
      <c r="H919" s="300" t="inlineStr">
        <is>
          <t>Cash</t>
        </is>
      </c>
      <c r="I919" s="301" t="inlineStr">
        <is>
          <t>✅ Paid</t>
        </is>
      </c>
      <c r="J919" s="423" t="inlineStr">
        <is>
          <t>Pagado por Lohith (bolsillo); reembolsable via Owner Ledger</t>
        </is>
      </c>
    </row>
    <row r="920">
      <c r="B920" s="429" t="n">
        <v>46322</v>
      </c>
      <c r="C920" s="297" t="inlineStr">
        <is>
          <t>Agua Natural</t>
        </is>
      </c>
      <c r="D920" s="298" t="inlineStr">
        <is>
          <t>No bill</t>
        </is>
      </c>
      <c r="E920" s="297" t="inlineStr">
        <is>
          <t>Ingredients - Beverages</t>
        </is>
      </c>
      <c r="F920" s="299" t="n">
        <v>45</v>
      </c>
      <c r="G920" s="300" t="inlineStr">
        <is>
          <t>Restaurant</t>
        </is>
      </c>
      <c r="H920" s="300" t="inlineStr">
        <is>
          <t>Cash</t>
        </is>
      </c>
      <c r="I920" s="301" t="inlineStr">
        <is>
          <t>✅ Paid</t>
        </is>
      </c>
      <c r="J920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6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n">
        <v>46319</v>
      </c>
      <c r="B113" s="232" t="inlineStr">
        <is>
          <t>Transfer-to-me (customer payment 24-Oct)</t>
        </is>
      </c>
      <c r="C113" s="232" t="inlineStr">
        <is>
          <t>Transfer Received</t>
        </is>
      </c>
      <c r="D113" s="232" t="n"/>
      <c r="E113" s="233" t="n">
        <v>355</v>
      </c>
      <c r="F113" s="233">
        <f>IFERROR(F112+D113-E113,0)</f>
        <v/>
      </c>
      <c r="G113" s="232" t="inlineStr">
        <is>
          <t>✅ Received</t>
        </is>
      </c>
      <c r="H113" s="232" t="inlineStr">
        <is>
          <t>Customer paid Lohith personal acct</t>
        </is>
      </c>
    </row>
    <row r="114">
      <c r="A114" s="430" t="n">
        <v>46321</v>
      </c>
      <c r="B114" s="232" t="inlineStr">
        <is>
          <t>Transfer-to-me (customer payment 26-Oct)</t>
        </is>
      </c>
      <c r="C114" s="232" t="inlineStr">
        <is>
          <t>Transfer Received</t>
        </is>
      </c>
      <c r="D114" s="232" t="n"/>
      <c r="E114" s="233" t="n">
        <v>209</v>
      </c>
      <c r="F114" s="233">
        <f>IFERROR(F113+D114-E114,0)</f>
        <v/>
      </c>
      <c r="G114" s="232" t="inlineStr">
        <is>
          <t>✅ Received</t>
        </is>
      </c>
      <c r="H114" s="232" t="inlineStr">
        <is>
          <t>Customer paid Lohith personal acct</t>
        </is>
      </c>
    </row>
    <row r="115">
      <c r="A115" s="430" t="n">
        <v>46321</v>
      </c>
      <c r="B115" s="232" t="inlineStr">
        <is>
          <t>Pollo $667 (paid by Lohith)</t>
        </is>
      </c>
      <c r="C115" s="232" t="inlineStr">
        <is>
          <t>Expense - Personal</t>
        </is>
      </c>
      <c r="D115" s="232" t="n">
        <v>667</v>
      </c>
      <c r="E115" s="233" t="n"/>
      <c r="F115" s="233">
        <f>IFERROR(F114+D115-E115,0)</f>
        <v/>
      </c>
      <c r="G115" s="232" t="inlineStr">
        <is>
          <t>⏳ Reimburse</t>
        </is>
      </c>
      <c r="H115" s="232" t="inlineStr">
        <is>
          <t>Fronted from own pocket; excluded from till via cash_adjust</t>
        </is>
      </c>
    </row>
    <row r="116">
      <c r="A116" s="430" t="inlineStr">
        <is>
          <t>TOTALS &amp; CURRENT BALANCE</t>
        </is>
      </c>
      <c r="B116" s="232" t="n"/>
      <c r="C116" s="232" t="n"/>
      <c r="D116" s="232">
        <f>SUM(D4:D115)</f>
        <v/>
      </c>
      <c r="E116" s="233">
        <f>SUM(E4:E115)</f>
        <v/>
      </c>
      <c r="F116" s="233">
        <f>F115</f>
        <v/>
      </c>
      <c r="G116" s="232">
        <f>IF(F115&gt;0,"Restaurant owes Lohith $"&amp;TEXT(F115,"#,##0"),IF(F115&lt;0,"Lohith holds $"&amp;TEXT(ABS(F115),"#,##0"),"Zero balance"))</f>
        <v/>
      </c>
      <c r="H11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2026-10-28T22:59:44Z</dcterms:modified>
  <cp:lastModifiedBy>LOHITH REDDY</cp:lastModifiedBy>
</cp:coreProperties>
</file>