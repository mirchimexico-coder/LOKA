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3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$#,##0.00"/>
    <numFmt numFmtId="176" formatCode="dd-mmm-yyyy"/>
  </numFmts>
  <fonts count="102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1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2"/>
  </cellStyleXfs>
  <cellXfs count="440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0" fontId="94" fillId="0" borderId="22" pivotButton="0" quotePrefix="0" xfId="0"/>
    <xf numFmtId="0" fontId="96" fillId="57" borderId="23" applyAlignment="1" pivotButton="0" quotePrefix="0" xfId="0">
      <alignment horizontal="left"/>
    </xf>
    <xf numFmtId="0" fontId="96" fillId="57" borderId="23" applyAlignment="1" pivotButton="0" quotePrefix="0" xfId="0">
      <alignment horizontal="right"/>
    </xf>
    <xf numFmtId="0" fontId="97" fillId="0" borderId="23" applyAlignment="1" pivotButton="0" quotePrefix="0" xfId="0">
      <alignment horizontal="left"/>
    </xf>
    <xf numFmtId="174" fontId="94" fillId="0" borderId="23" applyAlignment="1" pivotButton="0" quotePrefix="0" xfId="0">
      <alignment horizontal="right"/>
    </xf>
    <xf numFmtId="174" fontId="97" fillId="0" borderId="23" applyAlignment="1" pivotButton="0" quotePrefix="0" xfId="0">
      <alignment horizontal="right"/>
    </xf>
    <xf numFmtId="0" fontId="94" fillId="0" borderId="23" applyAlignment="1" pivotButton="0" quotePrefix="0" xfId="0">
      <alignment horizontal="left"/>
    </xf>
    <xf numFmtId="3" fontId="94" fillId="0" borderId="23" applyAlignment="1" pivotButton="0" quotePrefix="0" xfId="0">
      <alignment horizontal="right"/>
    </xf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0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0" applyAlignment="1" pivotButton="0" quotePrefix="0" xfId="0">
      <alignment horizontal="right" vertical="center"/>
    </xf>
    <xf numFmtId="0" fontId="5" fillId="11" borderId="20" applyAlignment="1" pivotButton="0" quotePrefix="0" xfId="0">
      <alignment horizontal="center" vertical="center"/>
    </xf>
    <xf numFmtId="0" fontId="1" fillId="2" borderId="2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0" pivotButton="0" quotePrefix="0" xfId="0"/>
    <xf numFmtId="0" fontId="75" fillId="44" borderId="20" applyAlignment="1" pivotButton="0" quotePrefix="0" xfId="0">
      <alignment horizontal="left" vertical="center"/>
    </xf>
    <xf numFmtId="0" fontId="2" fillId="3" borderId="20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0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0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0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0" applyAlignment="1" pivotButton="0" quotePrefix="0" xfId="0">
      <alignment horizontal="center" vertical="center"/>
    </xf>
    <xf numFmtId="0" fontId="95" fillId="56" borderId="22" applyAlignment="1" pivotButton="0" quotePrefix="0" xfId="0">
      <alignment horizontal="center"/>
    </xf>
    <xf numFmtId="0" fontId="0" fillId="56" borderId="20" pivotButton="0" quotePrefix="0" xfId="0"/>
    <xf numFmtId="0" fontId="85" fillId="51" borderId="20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2" fillId="3" borderId="22" applyAlignment="1" pivotButton="0" quotePrefix="0" xfId="0">
      <alignment horizontal="center" vertical="center" wrapText="1"/>
    </xf>
    <xf numFmtId="0" fontId="75" fillId="44" borderId="22" applyAlignment="1" pivotButton="0" quotePrefix="0" xfId="0">
      <alignment horizontal="left" vertical="center"/>
    </xf>
    <xf numFmtId="0" fontId="93" fillId="0" borderId="22" pivotButton="0" quotePrefix="0" xfId="0"/>
    <xf numFmtId="0" fontId="6" fillId="10" borderId="22" applyAlignment="1" pivotButton="0" quotePrefix="0" xfId="0">
      <alignment horizontal="left" vertical="center"/>
    </xf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26" fillId="2" borderId="22" applyAlignment="1" pivotButton="0" quotePrefix="0" xfId="0">
      <alignment horizontal="left" vertical="center"/>
    </xf>
    <xf numFmtId="0" fontId="30" fillId="4" borderId="22" applyAlignment="1" pivotButton="0" quotePrefix="0" xfId="0">
      <alignment horizontal="left" vertical="center"/>
    </xf>
    <xf numFmtId="0" fontId="6" fillId="10" borderId="22" applyAlignment="1" pivotButton="0" quotePrefix="0" xfId="0">
      <alignment horizontal="center" vertical="center"/>
    </xf>
    <xf numFmtId="0" fontId="7" fillId="10" borderId="22" applyAlignment="1" pivotButton="0" quotePrefix="0" xfId="0">
      <alignment horizontal="center" vertical="center"/>
    </xf>
    <xf numFmtId="0" fontId="85" fillId="51" borderId="22" applyAlignment="1" pivotButton="0" quotePrefix="0" xfId="0">
      <alignment horizontal="center" vertical="center"/>
    </xf>
    <xf numFmtId="0" fontId="99" fillId="58" borderId="28" applyAlignment="1" pivotButton="0" quotePrefix="0" xfId="0">
      <alignment horizontal="center"/>
    </xf>
    <xf numFmtId="0" fontId="0" fillId="58" borderId="22" pivotButton="0" quotePrefix="0" xfId="0"/>
    <xf numFmtId="0" fontId="98" fillId="0" borderId="28" pivotButton="0" quotePrefix="0" xfId="0"/>
    <xf numFmtId="0" fontId="100" fillId="59" borderId="29" applyAlignment="1" pivotButton="0" quotePrefix="0" xfId="0">
      <alignment horizontal="left"/>
    </xf>
    <xf numFmtId="0" fontId="100" fillId="59" borderId="29" applyAlignment="1" pivotButton="0" quotePrefix="0" xfId="0">
      <alignment horizontal="right"/>
    </xf>
    <xf numFmtId="0" fontId="101" fillId="0" borderId="29" applyAlignment="1" pivotButton="0" quotePrefix="0" xfId="0">
      <alignment horizontal="left"/>
    </xf>
    <xf numFmtId="175" fontId="98" fillId="0" borderId="29" applyAlignment="1" pivotButton="0" quotePrefix="0" xfId="0">
      <alignment horizontal="right"/>
    </xf>
    <xf numFmtId="175" fontId="101" fillId="0" borderId="29" applyAlignment="1" pivotButton="0" quotePrefix="0" xfId="0">
      <alignment horizontal="right"/>
    </xf>
    <xf numFmtId="0" fontId="98" fillId="0" borderId="29" applyAlignment="1" pivotButton="0" quotePrefix="0" xfId="0">
      <alignment horizontal="left"/>
    </xf>
    <xf numFmtId="3" fontId="98" fillId="0" borderId="29" applyAlignment="1" pivotButton="0" quotePrefix="0" xfId="0">
      <alignment horizontal="right"/>
    </xf>
    <xf numFmtId="0" fontId="99" fillId="58" borderId="30" applyAlignment="1" pivotButton="0" quotePrefix="0" xfId="0">
      <alignment horizontal="center"/>
    </xf>
    <xf numFmtId="0" fontId="0" fillId="0" borderId="22" pivotButton="0" quotePrefix="0" xfId="0"/>
    <xf numFmtId="176" fontId="51" fillId="0" borderId="13" applyAlignment="1" pivotButton="0" quotePrefix="0" xfId="0">
      <alignment horizontal="center" vertical="center"/>
    </xf>
    <xf numFmtId="176" fontId="37" fillId="19" borderId="13" applyAlignment="1" pivotButton="0" quotePrefix="0" xfId="0">
      <alignment horizontal="center" vertical="center"/>
    </xf>
    <xf numFmtId="175" fontId="46" fillId="20" borderId="15" applyAlignment="1" pivotButton="0" quotePrefix="0" xfId="0">
      <alignment horizontal="center" vertical="center"/>
    </xf>
    <xf numFmtId="176" fontId="51" fillId="0" borderId="13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101" fillId="0" borderId="0" pivotButton="0" quotePrefix="0" xfId="0"/>
    <xf numFmtId="175" fontId="101" fillId="0" borderId="0" pivotButton="0" quotePrefix="0" xfId="0"/>
    <xf numFmtId="0" fontId="98" fillId="0" borderId="0" pivotButton="0" quotePrefix="0" xfId="0"/>
    <xf numFmtId="175" fontId="98" fillId="0" borderId="0" pivotButton="0" quotePrefix="0" xfId="0"/>
    <xf numFmtId="0" fontId="97" fillId="0" borderId="0" pivotButton="0" quotePrefix="0" xfId="0"/>
    <xf numFmtId="175" fontId="97" fillId="0" borderId="0" pivotButton="0" quotePrefix="0" xfId="0"/>
    <xf numFmtId="166" fontId="22" fillId="19" borderId="15" applyAlignment="1" pivotButton="0" quotePrefix="0" xfId="0">
      <alignment horizontal="center" vertical="center"/>
    </xf>
    <xf numFmtId="166" fontId="46" fillId="19" borderId="15" applyAlignment="1" pivotButton="0" quotePrefix="0" xfId="0">
      <alignment horizontal="center" vertical="center"/>
    </xf>
    <xf numFmtId="166" fontId="19" fillId="14" borderId="15" applyAlignment="1" pivotButton="0" quotePrefix="0" xfId="0">
      <alignment horizontal="center" vertical="center"/>
    </xf>
    <xf numFmtId="166" fontId="22" fillId="17" borderId="15" applyAlignment="1" pivotButton="0" quotePrefix="0" xfId="0">
      <alignment horizontal="center" vertical="center"/>
    </xf>
    <xf numFmtId="175" fontId="46" fillId="19" borderId="15" applyAlignment="1" pivotButton="0" quotePrefix="0" xfId="0">
      <alignment horizontal="center" vertical="center"/>
    </xf>
    <xf numFmtId="176" fontId="0" fillId="0" borderId="16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1"/>
  <sheetViews>
    <sheetView zoomScaleNormal="100" workbookViewId="0">
      <selection activeCell="B11" sqref="B11:H11"/>
    </sheetView>
  </sheetViews>
  <sheetFormatPr baseColWidth="8" defaultRowHeight="14.4" customHeight="1"/>
  <cols>
    <col width="3" customWidth="1" style="313" min="1" max="1"/>
    <col width="48" customWidth="1" style="313" min="2" max="2"/>
    <col width="18" customWidth="1" style="317" min="3" max="3"/>
    <col width="20" customWidth="1" style="317" min="4" max="6"/>
    <col width="71.77734375" customWidth="1" style="313" min="7" max="7"/>
    <col width="26" customWidth="1" style="313" min="8" max="8"/>
  </cols>
  <sheetData>
    <row r="1" ht="36" customHeight="1" s="313">
      <c r="B1" s="395" t="inlineStr">
        <is>
          <t>LOKA  —  CAPITAL, OWNERSHIP &amp; PRE-OPENING EXPENSES</t>
        </is>
      </c>
    </row>
    <row r="2" ht="24" customHeight="1" s="313">
      <c r="B2" s="396" t="inlineStr">
        <is>
          <t>Last updated: 1 Jul 2026  |  Capital, Acquisition, Pre-Opening, Renovation CapEx &amp; Operations↔Capital</t>
        </is>
      </c>
    </row>
    <row r="4" ht="25.95" customHeight="1" s="313">
      <c r="B4" s="397" t="inlineStr">
        <is>
          <t xml:space="preserve">  A.  OWNERSHIP STRUCTURE</t>
        </is>
      </c>
    </row>
    <row r="5" ht="22.05" customHeight="1" s="313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13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13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13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13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13">
      <c r="B11" s="397" t="inlineStr">
        <is>
          <t xml:space="preserve">  B.  RESTAURANT ACQUISITION  —  $390,000 TOTAL</t>
        </is>
      </c>
    </row>
    <row r="12" ht="22.05" customHeight="1" s="313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13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13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13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13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13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13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13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13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13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13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13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13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13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13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13">
      <c r="B28" s="149" t="n"/>
      <c r="C28" s="180" t="n"/>
      <c r="D28" s="157" t="n"/>
      <c r="E28" s="172" t="n"/>
      <c r="F28" s="172" t="n"/>
      <c r="G28" s="149" t="n"/>
    </row>
    <row r="29" ht="19.95" customHeight="1" s="313">
      <c r="B29" s="149" t="n"/>
      <c r="C29" s="180" t="n"/>
      <c r="D29" s="157" t="n"/>
      <c r="E29" s="172" t="n"/>
      <c r="F29" s="172" t="n"/>
      <c r="G29" s="149" t="n"/>
    </row>
    <row r="30" ht="19.95" customHeight="1" s="313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13">
      <c r="B32" s="189" t="n"/>
      <c r="C32" s="236" t="n"/>
      <c r="D32" s="191" t="n"/>
      <c r="E32" s="190" t="n"/>
      <c r="F32" s="190" t="n"/>
      <c r="G32" s="189" t="n"/>
    </row>
    <row r="33" ht="22.05" customHeight="1" s="313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13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13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13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13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13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13"/>
    <row r="40" ht="19.95" customHeight="1" s="313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13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13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13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13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22" t="n"/>
    </row>
    <row r="46" ht="19.95" customHeight="1" s="313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13">
      <c r="B47" s="137" t="n"/>
      <c r="C47" s="137" t="n"/>
      <c r="D47" s="162" t="n"/>
      <c r="E47" s="137" t="n"/>
      <c r="F47" s="137" t="n"/>
      <c r="G47" s="137" t="n"/>
    </row>
    <row r="48" ht="19.95" customHeight="1" s="313">
      <c r="B48" s="137" t="n"/>
      <c r="C48" s="137" t="n"/>
      <c r="D48" s="162" t="n"/>
      <c r="E48" s="137" t="n"/>
      <c r="F48" s="137" t="n"/>
      <c r="G48" s="137" t="n"/>
    </row>
    <row r="49" ht="19.95" customHeight="1" s="313">
      <c r="B49" s="137" t="n"/>
      <c r="C49" s="137" t="n"/>
      <c r="D49" s="162" t="n"/>
      <c r="E49" s="137" t="n"/>
      <c r="F49" s="137" t="n"/>
      <c r="G49" s="137" t="n"/>
    </row>
    <row r="50" ht="19.95" customHeight="1" s="313">
      <c r="B50" s="137" t="n"/>
      <c r="C50" s="137" t="n"/>
      <c r="D50" s="162" t="n"/>
      <c r="E50" s="137" t="n"/>
      <c r="F50" s="137" t="n"/>
      <c r="G50" s="137" t="n"/>
    </row>
    <row r="51" ht="19.95" customHeight="1" s="313">
      <c r="B51" s="137" t="n"/>
      <c r="C51" s="137" t="n"/>
      <c r="D51" s="162" t="n"/>
      <c r="E51" s="137" t="n"/>
      <c r="F51" s="137" t="n"/>
      <c r="G51" s="137" t="n"/>
    </row>
    <row r="52" ht="19.95" customHeight="1" s="313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13"/>
    <row r="54" ht="19.95" customHeight="1" s="313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13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13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13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13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13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22" t="n"/>
    </row>
    <row r="61" ht="22.05" customHeight="1" s="313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13">
      <c r="B62" s="237" t="inlineStr">
        <is>
          <t>Additional License Costs</t>
        </is>
      </c>
      <c r="C62" s="423" t="n">
        <v>46223</v>
      </c>
      <c r="D62" s="424" t="n">
        <v>2300</v>
      </c>
      <c r="E62" s="425" t="inlineStr">
        <is>
          <t>Gov / License</t>
        </is>
      </c>
      <c r="F62" s="425" t="inlineStr">
        <is>
          <t>Legal / License</t>
        </is>
      </c>
      <c r="G62" s="426" t="inlineStr">
        <is>
          <t>Additional license fees — paid by Lohith (from pooled partner capital)</t>
        </is>
      </c>
    </row>
    <row r="63" ht="19.95" customHeight="1" s="313">
      <c r="B63" s="237" t="inlineStr">
        <is>
          <t>Coffee board + flyers, visiting cards</t>
        </is>
      </c>
      <c r="C63" s="423" t="n">
        <v>46223</v>
      </c>
      <c r="D63" s="424" t="n">
        <v>2620</v>
      </c>
      <c r="E63" s="425" t="inlineStr">
        <is>
          <t>Print Shop</t>
        </is>
      </c>
      <c r="F63" s="425" t="inlineStr">
        <is>
          <t>Branding / Printing</t>
        </is>
      </c>
      <c r="G63" s="426" t="inlineStr">
        <is>
          <t>Coffee menu board, flyers, visiting cards — paid by Lohith (from pooled partner capital)</t>
        </is>
      </c>
    </row>
    <row r="64" ht="19.95" customHeight="1" s="313">
      <c r="B64" s="137" t="n"/>
      <c r="C64" s="137" t="n"/>
      <c r="D64" s="162" t="n"/>
      <c r="E64" s="137" t="n"/>
      <c r="F64" s="137" t="n"/>
      <c r="G64" s="137" t="n"/>
    </row>
    <row r="65" ht="19.95" customHeight="1" s="313">
      <c r="B65" s="137" t="n"/>
      <c r="C65" s="137" t="n"/>
      <c r="D65" s="162" t="n"/>
      <c r="E65" s="137" t="n"/>
      <c r="F65" s="137" t="n"/>
      <c r="G65" s="137" t="n"/>
    </row>
    <row r="66" ht="19.95" customHeight="1" s="313">
      <c r="B66" s="137" t="n"/>
      <c r="C66" s="137" t="n"/>
      <c r="D66" s="162" t="n"/>
      <c r="E66" s="137" t="n"/>
      <c r="F66" s="137" t="n"/>
      <c r="G66" s="137" t="n"/>
    </row>
    <row r="67" ht="19.95" customHeight="1" s="313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13"/>
    <row r="69" ht="19.95" customHeight="1" s="313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13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13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13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13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22" t="n"/>
    </row>
    <row r="75" ht="19.95" customHeight="1" s="313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13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13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13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13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13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13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13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22" t="n"/>
    </row>
    <row r="83" ht="19.95" customHeight="1" s="313"/>
    <row r="84" ht="19.95" customHeight="1" s="313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13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13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13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</f>
        <v/>
      </c>
      <c r="D92" s="167">
        <f>C92/C86</f>
        <v/>
      </c>
      <c r="E92" s="140" t="inlineStr">
        <is>
          <t>Advance + Notary + Poliza + Alejandra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13">
      <c r="B98" s="144" t="inlineStr">
        <is>
          <t xml:space="preserve">  G.  REMAINING TRANSFERS DUE TO LOHITH REDDY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($)</t>
        </is>
      </c>
      <c r="E99" s="170" t="inlineStr">
        <is>
          <t>Direct Expenses ($)</t>
        </is>
      </c>
      <c r="F99" s="170" t="inlineStr">
        <is>
          <t>Still Owed to Lohith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 t="inlineStr">
        <is>
          <t>⏳ PENDING</t>
        </is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 t="inlineStr">
        <is>
          <t>⏳ PENDING</t>
        </is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13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13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13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REMAINING WITH ME (budget left WITH Lohith)</t>
        </is>
      </c>
      <c r="D140">
        <f>D136-D137-D138-D139</f>
        <v/>
      </c>
    </row>
    <row r="142" ht="22.05" customHeight="1" s="313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from Daily Log)</t>
        </is>
      </c>
      <c r="C143" s="283">
        <f>SUM('📅 Daily Log'!D8:D5000)+SUM('📅 Daily Log'!E8:E5000)+SUM('📅 Daily Log'!G8:G5000)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MP Commission (auto: card × 4.06%)</t>
        </is>
      </c>
      <c r="C145" s="268">
        <f>SUM('📅 Daily Log'!R8:R5000)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16727.81</v>
      </c>
      <c r="E147" s="286" t="inlineStr">
        <is>
          <t>Advance from capital-funded operating costs; repaid from operating cash: $20,000 (21-Jul) + $2,587 (22-Jul). Net advance still owed = $16,727.81.</t>
        </is>
      </c>
    </row>
    <row r="148">
      <c r="B148" s="398" t="inlineStr">
        <is>
          <t>MP commission now auto-calculated per day in Daily Log (col R) at the rate in T7; feeds this result and Cash-on-Hand automatically.</t>
        </is>
      </c>
    </row>
    <row r="149">
      <c r="B149" s="432" t="inlineStr">
        <is>
          <t xml:space="preserve">  &gt;&gt; Repaid to Capital from operating cash</t>
        </is>
      </c>
      <c r="C149" s="433" t="n">
        <v>-22587</v>
      </c>
      <c r="E149" t="inlineStr">
        <is>
          <t>21-Jul $20,000 + 22-Jul $2,587 = $22,587 repaid from restaurant operating cash. Reduces advance owed &amp; Cash-on-Hand; NOT a P&amp;L expense.</t>
        </is>
      </c>
    </row>
    <row r="150">
      <c r="B150" s="427" t="inlineStr">
        <is>
          <t xml:space="preserve">  L.  POOLED CAPITAL POSITION  (single $600k pot — reconciles fully)</t>
        </is>
      </c>
    </row>
    <row r="151">
      <c r="B151" s="428" t="inlineStr">
        <is>
          <t>Line Item</t>
        </is>
      </c>
      <c r="C151" s="428" t="inlineStr">
        <is>
          <t>Amount ($)</t>
        </is>
      </c>
      <c r="E151" s="428" t="inlineStr">
        <is>
          <t>Notes</t>
        </is>
      </c>
    </row>
    <row r="152">
      <c r="B152" s="428" t="inlineStr">
        <is>
          <t>POOLED COMMITTED BUDGET</t>
        </is>
      </c>
      <c r="C152" s="429">
        <f>SUM(D6:D8)</f>
        <v/>
      </c>
      <c r="E152" t="inlineStr">
        <is>
          <t>Lohith 300k + Kashi 180k + Shashi 120k</t>
        </is>
      </c>
    </row>
    <row r="153">
      <c r="B153" s="428" t="inlineStr">
        <is>
          <t>CAPITAL DEPLOYED (spent / committed out):</t>
        </is>
      </c>
    </row>
    <row r="154">
      <c r="B154" s="430" t="inlineStr">
        <is>
          <t xml:space="preserve">   Acquisition — paid to previous owners</t>
        </is>
      </c>
      <c r="C154" s="431">
        <f>SUM(D14:D30)</f>
        <v/>
      </c>
      <c r="E154" t="inlineStr">
        <is>
          <t>of $390k (incl $15,530 CFE offset); incl $5k advance</t>
        </is>
      </c>
    </row>
    <row r="155">
      <c r="B155" s="430" t="inlineStr">
        <is>
          <t xml:space="preserve">   Lohith pre-opening (excl. $5k advance)</t>
        </is>
      </c>
      <c r="C155" s="431">
        <f>D67-D56</f>
        <v/>
      </c>
      <c r="E155" t="inlineStr">
        <is>
          <t>Notary, poliza, licenses, branding (advance is in acq. above)</t>
        </is>
      </c>
    </row>
    <row r="156">
      <c r="B156" s="430" t="inlineStr">
        <is>
          <t xml:space="preserve">   Kashigoud — direct ops</t>
        </is>
      </c>
      <c r="C156" s="431">
        <f>SUM(D43:D51)</f>
        <v/>
      </c>
      <c r="E156" t="inlineStr">
        <is>
          <t>Soft license + MP terminal + cameras (his card)</t>
        </is>
      </c>
    </row>
    <row r="157">
      <c r="B157" s="430" t="inlineStr">
        <is>
          <t xml:space="preserve">   Shashirekha — direct expenses</t>
        </is>
      </c>
      <c r="C157" s="431">
        <f>SUM(D72:D81)</f>
        <v/>
      </c>
      <c r="E157" t="inlineStr">
        <is>
          <t>Signage, Temu, menus (net of reimb.)</t>
        </is>
      </c>
    </row>
    <row r="158">
      <c r="B158" s="430" t="inlineStr">
        <is>
          <t xml:space="preserve">   Renovation / post-opening CapEx</t>
        </is>
      </c>
      <c r="C158" s="431">
        <f>D129</f>
        <v/>
      </c>
      <c r="E158" t="inlineStr">
        <is>
          <t>Section I</t>
        </is>
      </c>
    </row>
    <row r="159">
      <c r="B159" s="430" t="inlineStr">
        <is>
          <t xml:space="preserve">   Operating costs funded from capital</t>
        </is>
      </c>
      <c r="C159" s="431">
        <f>C147</f>
        <v/>
      </c>
      <c r="E159" t="inlineStr">
        <is>
          <t>Rent-from-capital + owner-ledger settlement (Section K)</t>
        </is>
      </c>
    </row>
    <row r="160">
      <c r="B160" s="428" t="inlineStr">
        <is>
          <t>TOTAL CAPITAL DEPLOYED</t>
        </is>
      </c>
      <c r="C160" s="429">
        <f>SUM(C154:C159)</f>
        <v/>
      </c>
      <c r="E160" t="inlineStr">
        <is>
          <t>Money spent OR committed out of the pool</t>
        </is>
      </c>
    </row>
    <row r="161">
      <c r="B161" s="428" t="inlineStr">
        <is>
          <t>CAPITAL STILL AVAILABLE:</t>
        </is>
      </c>
    </row>
    <row r="162">
      <c r="B162" s="430" t="inlineStr">
        <is>
          <t xml:space="preserve">   Cash still WITH Lohith (Section J)</t>
        </is>
      </c>
      <c r="C162" s="431">
        <f>D140</f>
        <v/>
      </c>
      <c r="E162" t="inlineStr">
        <is>
          <t>Undeployed capital physically in Lohith’s hands</t>
        </is>
      </c>
    </row>
    <row r="163">
      <c r="B163" s="430" t="inlineStr">
        <is>
          <t xml:space="preserve">   Kashigoud still to TRANSFER IN</t>
        </is>
      </c>
      <c r="C163" s="431">
        <f>F100</f>
        <v/>
      </c>
      <c r="E163" t="inlineStr">
        <is>
          <t>Committed $180k not yet fully sent</t>
        </is>
      </c>
    </row>
    <row r="164">
      <c r="B164" s="430" t="inlineStr">
        <is>
          <t xml:space="preserve">   Shashirekha still to TRANSFER IN</t>
        </is>
      </c>
      <c r="C164" s="431">
        <f>F101</f>
        <v/>
      </c>
      <c r="E164" t="inlineStr">
        <is>
          <t>~0 (fully deployed)</t>
        </is>
      </c>
    </row>
    <row r="165">
      <c r="B165" s="428" t="inlineStr">
        <is>
          <t>TOTAL CAPITAL AVAILABLE</t>
        </is>
      </c>
      <c r="C165" s="429">
        <f>C162+C163+C164</f>
        <v/>
      </c>
      <c r="E165" t="inlineStr">
        <is>
          <t>With Lohith + still to come in</t>
        </is>
      </c>
    </row>
    <row r="166">
      <c r="B166" s="428" t="inlineStr">
        <is>
          <t>CHECK: Deployed + Available</t>
        </is>
      </c>
      <c r="C166" s="429">
        <f>C160+C165</f>
        <v/>
      </c>
      <c r="E166" t="inlineStr">
        <is>
          <t>MUST equal $600,000</t>
        </is>
      </c>
    </row>
    <row r="167">
      <c r="B167" s="428" t="n"/>
    </row>
    <row r="168">
      <c r="B168" s="430" t="n"/>
      <c r="C168" s="431" t="n"/>
    </row>
    <row r="169">
      <c r="B169" s="430" t="n"/>
      <c r="C169" s="431" t="n"/>
    </row>
    <row r="170">
      <c r="B170" s="430" t="n"/>
      <c r="C170" s="431" t="n"/>
    </row>
    <row r="171">
      <c r="B171" s="428" t="n"/>
      <c r="C171" s="429" t="n"/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13" min="1" max="1"/>
    <col width="18" customWidth="1" style="313" min="2" max="2"/>
    <col width="14" customWidth="1" style="313" min="3" max="7"/>
    <col width="16" customWidth="1" style="313" min="8" max="8"/>
    <col width="14" customWidth="1" style="313" min="9" max="14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13">
      <c r="A2" s="399" t="inlineStr">
        <is>
          <t>🍽️  LOKA Cafe Restaurante</t>
        </is>
      </c>
      <c r="H2" s="400" t="inlineStr">
        <is>
          <t>Restaurant Manager — powered by Soft + Excel</t>
        </is>
      </c>
    </row>
    <row r="3" ht="3.75" customHeight="1" s="313">
      <c r="A3" s="401" t="n"/>
    </row>
    <row r="4" ht="7.5" customHeight="1" s="313"/>
    <row r="5" ht="36" customHeight="1" s="313">
      <c r="B5" s="310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11" t="n"/>
      <c r="D5" s="311" t="n"/>
      <c r="E5" s="311" t="n"/>
      <c r="F5" s="311" t="n"/>
      <c r="G5" s="311" t="n"/>
      <c r="H5" s="311" t="n"/>
      <c r="I5" s="311" t="n"/>
      <c r="J5" s="311" t="n"/>
      <c r="K5" s="311" t="n"/>
      <c r="L5" s="311" t="n"/>
      <c r="M5" s="311" t="n"/>
    </row>
    <row r="6" ht="9.75" customHeight="1" s="313"/>
    <row r="7" ht="19.5" customHeight="1" s="313">
      <c r="B7" s="342" t="inlineStr">
        <is>
          <t xml:space="preserve">  💰  REVENUE  (auto-pulled from Daily Log)</t>
        </is>
      </c>
      <c r="C7" s="311" t="n"/>
      <c r="D7" s="311" t="n"/>
      <c r="E7" s="311" t="n"/>
      <c r="F7" s="311" t="n"/>
      <c r="G7" s="311" t="n"/>
      <c r="H7" s="311" t="n"/>
      <c r="I7" s="311" t="n"/>
      <c r="J7" s="311" t="n"/>
      <c r="K7" s="311" t="n"/>
      <c r="L7" s="311" t="n"/>
      <c r="M7" s="311" t="n"/>
    </row>
    <row r="8" ht="6" customHeight="1" s="313"/>
    <row r="9" ht="18" customHeight="1" s="313">
      <c r="B9" s="330" t="inlineStr">
        <is>
          <t>TODAY'S REVENUE</t>
        </is>
      </c>
      <c r="C9" s="328" t="n"/>
      <c r="D9" s="330" t="inlineStr">
        <is>
          <t>WEEK REVENUE</t>
        </is>
      </c>
      <c r="E9" s="328" t="n"/>
      <c r="F9" s="330" t="inlineStr">
        <is>
          <t>MONTH REVENUE</t>
        </is>
      </c>
      <c r="G9" s="328" t="n"/>
      <c r="H9" s="330" t="inlineStr">
        <is>
          <t>TODAY'S EXPENSES</t>
        </is>
      </c>
      <c r="I9" s="328" t="n"/>
      <c r="J9" s="330" t="inlineStr">
        <is>
          <t>TODAY'S NET PROFIT</t>
        </is>
      </c>
      <c r="K9" s="328" t="n"/>
      <c r="L9" s="330" t="inlineStr">
        <is>
          <t>AVG TICKET</t>
        </is>
      </c>
      <c r="M9" s="328" t="n"/>
    </row>
    <row r="10" ht="19.5" customHeight="1" s="313">
      <c r="B10" s="361">
        <f>'📅 Daily Log'!F6</f>
        <v/>
      </c>
      <c r="C10" s="333" t="n"/>
      <c r="D10" s="332">
        <f>'📅 Daily Log'!N6</f>
        <v/>
      </c>
      <c r="E10" s="333" t="n"/>
      <c r="F10" s="357">
        <f>'📅 Daily Log'!O6</f>
        <v/>
      </c>
      <c r="G10" s="333" t="n"/>
      <c r="H10" s="337">
        <f>'📅 Daily Log'!H6</f>
        <v/>
      </c>
      <c r="I10" s="333" t="n"/>
      <c r="J10" s="361">
        <f>'📅 Daily Log'!I6</f>
        <v/>
      </c>
      <c r="K10" s="333" t="n"/>
      <c r="L10" s="378">
        <f>IFERROR('📅 Daily Log'!F6/'📅 Daily Log'!G6,0)</f>
        <v/>
      </c>
      <c r="M10" s="333" t="n"/>
    </row>
    <row r="11" ht="19.5" customHeight="1" s="313">
      <c r="B11" s="334" t="n"/>
      <c r="D11" s="334" t="n"/>
      <c r="F11" s="334" t="n"/>
      <c r="H11" s="334" t="n"/>
      <c r="J11" s="334" t="n"/>
      <c r="L11" s="334" t="n"/>
    </row>
    <row r="12" ht="19.5" customHeight="1" s="313">
      <c r="B12" s="334" t="n"/>
      <c r="D12" s="334" t="n"/>
      <c r="F12" s="334" t="n"/>
      <c r="H12" s="334" t="n"/>
      <c r="J12" s="334" t="n"/>
      <c r="L12" s="334" t="n"/>
    </row>
    <row r="13" ht="9.75" customHeight="1" s="313"/>
    <row r="14" ht="19.5" customHeight="1" s="313">
      <c r="B14" s="342" t="inlineStr">
        <is>
          <t xml:space="preserve">  📊  OPERATIONS</t>
        </is>
      </c>
      <c r="C14" s="311" t="n"/>
      <c r="D14" s="311" t="n"/>
      <c r="E14" s="311" t="n"/>
      <c r="F14" s="311" t="n"/>
      <c r="G14" s="311" t="n"/>
      <c r="H14" s="311" t="n"/>
      <c r="I14" s="311" t="n"/>
      <c r="J14" s="311" t="n"/>
      <c r="K14" s="311" t="n"/>
      <c r="L14" s="311" t="n"/>
      <c r="M14" s="311" t="n"/>
    </row>
    <row r="15" ht="6" customHeight="1" s="313"/>
    <row r="16" ht="18" customHeight="1" s="313">
      <c r="B16" s="330" t="inlineStr">
        <is>
          <t>TODAY'S ORDERS</t>
        </is>
      </c>
      <c r="C16" s="328" t="n"/>
      <c r="D16" s="330" t="inlineStr">
        <is>
          <t>WEEK ORDERS</t>
        </is>
      </c>
      <c r="E16" s="328" t="n"/>
      <c r="F16" s="330" t="inlineStr">
        <is>
          <t>PROFIT MARGIN %</t>
        </is>
      </c>
      <c r="G16" s="328" t="n"/>
      <c r="H16" s="330" t="inlineStr">
        <is>
          <t>LOW STOCK ITEMS</t>
        </is>
      </c>
      <c r="I16" s="328" t="n"/>
      <c r="J16" s="330" t="inlineStr">
        <is>
          <t>WEEK EXPENSES</t>
        </is>
      </c>
      <c r="K16" s="328" t="n"/>
      <c r="L16" s="330" t="inlineStr">
        <is>
          <t>PENDING ORDERS</t>
        </is>
      </c>
      <c r="M16" s="328" t="n"/>
    </row>
    <row r="17" ht="19.5" customHeight="1" s="313">
      <c r="B17" s="363">
        <f>'📅 Daily Log'!G6</f>
        <v/>
      </c>
      <c r="C17" s="333" t="n"/>
      <c r="D17" s="363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33" t="n"/>
      <c r="F17" s="367">
        <f>IFERROR('📅 Daily Log'!J6,0)</f>
        <v/>
      </c>
      <c r="G17" s="333" t="n"/>
      <c r="H17" s="368">
        <f>'📦 Inventory'!H5</f>
        <v/>
      </c>
      <c r="I17" s="333" t="n"/>
      <c r="J17" s="337">
        <f>'📅 Daily Log'!P6</f>
        <v/>
      </c>
      <c r="K17" s="333" t="n"/>
      <c r="L17" s="339">
        <f>'🚚 Suppliers'!H5</f>
        <v/>
      </c>
      <c r="M17" s="333" t="n"/>
    </row>
    <row r="18" ht="19.5" customHeight="1" s="313">
      <c r="B18" s="334" t="n"/>
      <c r="D18" s="334" t="n"/>
      <c r="F18" s="334" t="n"/>
      <c r="H18" s="334" t="n"/>
      <c r="J18" s="334" t="n"/>
      <c r="L18" s="334" t="n"/>
    </row>
    <row r="19" ht="19.5" customHeight="1" s="313">
      <c r="B19" s="334" t="n"/>
      <c r="D19" s="334" t="n"/>
      <c r="F19" s="334" t="n"/>
      <c r="H19" s="334" t="n"/>
      <c r="J19" s="334" t="n"/>
      <c r="L19" s="334" t="n"/>
    </row>
    <row r="20" ht="9.75" customHeight="1" s="313"/>
    <row r="21" ht="19.5" customHeight="1" s="313">
      <c r="B21" s="342" t="inlineStr">
        <is>
          <t xml:space="preserve">  📅  LAST 10 DAYS  (from Daily Log — updates automatically)</t>
        </is>
      </c>
      <c r="C21" s="311" t="n"/>
      <c r="D21" s="311" t="n"/>
      <c r="E21" s="311" t="n"/>
      <c r="F21" s="311" t="n"/>
      <c r="G21" s="311" t="n"/>
      <c r="H21" s="311" t="n"/>
      <c r="I21" s="311" t="n"/>
      <c r="J21" s="311" t="n"/>
      <c r="K21" s="311" t="n"/>
      <c r="L21" s="311" t="n"/>
      <c r="M21" s="311" t="n"/>
    </row>
    <row r="22" ht="27.75" customHeight="1" s="313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58" t="inlineStr">
        <is>
          <t>vs Prev Day</t>
        </is>
      </c>
      <c r="L22" s="328" t="n"/>
      <c r="M22" s="324" t="n"/>
    </row>
    <row r="23" ht="16.5" customHeight="1" s="313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44" t="inlineStr">
        <is>
          <t>—</t>
        </is>
      </c>
      <c r="L23" s="328" t="n"/>
      <c r="M23" s="324" t="n"/>
    </row>
    <row r="24" ht="16.5" customHeight="1" s="313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27">
        <f>IFERROR(IF(D24&gt;D23,"▲ +"&amp;TEXT(D24-D23,"$#,##0"),IF(D24&lt;D23,"▼ "&amp;TEXT(D24-D23,"$#,##0"),"— same")),"")</f>
        <v/>
      </c>
      <c r="L24" s="328" t="n"/>
      <c r="M24" s="324" t="n"/>
    </row>
    <row r="25" ht="16.5" customHeight="1" s="313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44">
        <f>IFERROR(IF(D25&gt;D24,"▲ +"&amp;TEXT(D25-D24,"$#,##0"),IF(D25&lt;D24,"▼ "&amp;TEXT(D25-D24,"$#,##0"),"— same")),"")</f>
        <v/>
      </c>
      <c r="L25" s="328" t="n"/>
      <c r="M25" s="324" t="n"/>
    </row>
    <row r="26" ht="16.5" customHeight="1" s="313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27">
        <f>IFERROR(IF(D26&gt;D25,"▲ +"&amp;TEXT(D26-D25,"$#,##0"),IF(D26&lt;D25,"▼ "&amp;TEXT(D26-D25,"$#,##0"),"— same")),"")</f>
        <v/>
      </c>
      <c r="L26" s="328" t="n"/>
      <c r="M26" s="324" t="n"/>
    </row>
    <row r="27" ht="16.5" customHeight="1" s="313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44">
        <f>IFERROR(IF(D27&gt;D26,"▲ +"&amp;TEXT(D27-D26,"$#,##0"),IF(D27&lt;D26,"▼ "&amp;TEXT(D27-D26,"$#,##0"),"— same")),"")</f>
        <v/>
      </c>
      <c r="L27" s="328" t="n"/>
      <c r="M27" s="324" t="n"/>
    </row>
    <row r="28" ht="16.5" customHeight="1" s="313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27">
        <f>IFERROR(IF(D28&gt;D27,"▲ +"&amp;TEXT(D28-D27,"$#,##0"),IF(D28&lt;D27,"▼ "&amp;TEXT(D28-D27,"$#,##0"),"— same")),"")</f>
        <v/>
      </c>
      <c r="L28" s="328" t="n"/>
      <c r="M28" s="324" t="n"/>
    </row>
    <row r="29" ht="16.5" customHeight="1" s="313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44">
        <f>IFERROR(IF(D29&gt;D28,"▲ +"&amp;TEXT(D29-D28,"$#,##0"),IF(D29&lt;D28,"▼ "&amp;TEXT(D29-D28,"$#,##0"),"— same")),"")</f>
        <v/>
      </c>
      <c r="L29" s="328" t="n"/>
      <c r="M29" s="324" t="n"/>
    </row>
    <row r="30" ht="16.5" customHeight="1" s="313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27">
        <f>IFERROR(IF(D30&gt;D29,"▲ +"&amp;TEXT(D30-D29,"$#,##0"),IF(D30&lt;D29,"▼ "&amp;TEXT(D30-D29,"$#,##0"),"— same")),"")</f>
        <v/>
      </c>
      <c r="L30" s="328" t="n"/>
      <c r="M30" s="324" t="n"/>
    </row>
    <row r="31" ht="16.5" customHeight="1" s="313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44">
        <f>IFERROR(IF(D31&gt;D30,"▲ +"&amp;TEXT(D31-D30,"$#,##0"),IF(D31&lt;D30,"▼ "&amp;TEXT(D31-D30,"$#,##0"),"— same")),"")</f>
        <v/>
      </c>
      <c r="L31" s="328" t="n"/>
      <c r="M31" s="324" t="n"/>
    </row>
    <row r="32" ht="16.5" customHeight="1" s="313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27">
        <f>IFERROR(IF(D32&gt;D31,"▲ +"&amp;TEXT(D32-D31,"$#,##0"),IF(D32&lt;D31,"▼ "&amp;TEXT(D32-D31,"$#,##0"),"— same")),"")</f>
        <v/>
      </c>
      <c r="L32" s="328" t="n"/>
      <c r="M32" s="324" t="n"/>
    </row>
    <row r="33" ht="9.75" customHeight="1" s="313"/>
    <row r="34" ht="19.5" customHeight="1" s="313">
      <c r="B34" s="342" t="inlineStr">
        <is>
          <t xml:space="preserve">  ⚠️  INVENTORY ALERTS  (from Inventory sheet)</t>
        </is>
      </c>
      <c r="C34" s="311" t="n"/>
      <c r="D34" s="311" t="n"/>
      <c r="E34" s="311" t="n"/>
      <c r="F34" s="311" t="n"/>
      <c r="G34" s="311" t="n"/>
      <c r="H34" s="311" t="n"/>
      <c r="I34" s="311" t="n"/>
      <c r="J34" s="311" t="n"/>
      <c r="K34" s="311" t="n"/>
      <c r="L34" s="311" t="n"/>
      <c r="M34" s="311" t="n"/>
    </row>
    <row r="35" ht="27.75" customHeight="1" s="313">
      <c r="B35" s="323" t="inlineStr">
        <is>
          <t>Ingredient</t>
        </is>
      </c>
      <c r="C35" s="328" t="n"/>
      <c r="D35" s="324" t="n"/>
      <c r="E35" s="6" t="n"/>
      <c r="F35" s="323" t="inlineStr">
        <is>
          <t>Min Level</t>
        </is>
      </c>
      <c r="G35" s="324" t="n"/>
      <c r="H35" s="323" t="inlineStr">
        <is>
          <t>Status</t>
        </is>
      </c>
      <c r="I35" s="324" t="n"/>
      <c r="J35" s="323" t="inlineStr">
        <is>
          <t>Action Needed</t>
        </is>
      </c>
      <c r="K35" s="328" t="n"/>
      <c r="L35" s="328" t="n"/>
      <c r="M35" s="324" t="n"/>
    </row>
    <row r="36" ht="16.5" customHeight="1" s="313">
      <c r="B36" s="365">
        <f>'📦 Inventory'!B9</f>
        <v/>
      </c>
      <c r="C36" s="328" t="n"/>
      <c r="D36" s="328" t="n"/>
      <c r="E36" s="352">
        <f>'📦 Inventory'!E9</f>
        <v/>
      </c>
      <c r="F36" s="328" t="n"/>
      <c r="G36" s="360">
        <f>'📦 Inventory'!F9</f>
        <v/>
      </c>
      <c r="H36" s="328" t="n"/>
      <c r="I36" s="335">
        <f>'📦 Inventory'!J9</f>
        <v/>
      </c>
      <c r="J36" s="328" t="n"/>
      <c r="K36" s="335">
        <f>IF('📦 Inventory'!E9=0,"🚫 Order immediately",IF('📦 Inventory'!E9&lt;='📦 Inventory'!F9,"⚠️ Reorder soon","✅ OK"))</f>
        <v/>
      </c>
      <c r="L36" s="328" t="n"/>
      <c r="M36" s="328" t="n"/>
    </row>
    <row r="37" ht="16.5" customHeight="1" s="313">
      <c r="B37" s="343">
        <f>'📦 Inventory'!B10</f>
        <v/>
      </c>
      <c r="C37" s="328" t="n"/>
      <c r="D37" s="328" t="n"/>
      <c r="E37" s="374">
        <f>'📦 Inventory'!E10</f>
        <v/>
      </c>
      <c r="F37" s="328" t="n"/>
      <c r="G37" s="375">
        <f>'📦 Inventory'!F10</f>
        <v/>
      </c>
      <c r="H37" s="328" t="n"/>
      <c r="I37" s="376">
        <f>'📦 Inventory'!J10</f>
        <v/>
      </c>
      <c r="J37" s="328" t="n"/>
      <c r="K37" s="376">
        <f>IF('📦 Inventory'!E10=0,"🚫 Order immediately",IF('📦 Inventory'!E10&lt;='📦 Inventory'!F10,"⚠️ Reorder soon","✅ OK"))</f>
        <v/>
      </c>
      <c r="L37" s="328" t="n"/>
      <c r="M37" s="328" t="n"/>
    </row>
    <row r="38" ht="16.5" customHeight="1" s="313">
      <c r="B38" s="365">
        <f>'📦 Inventory'!B11</f>
        <v/>
      </c>
      <c r="C38" s="328" t="n"/>
      <c r="D38" s="328" t="n"/>
      <c r="E38" s="352">
        <f>'📦 Inventory'!E11</f>
        <v/>
      </c>
      <c r="F38" s="328" t="n"/>
      <c r="G38" s="360">
        <f>'📦 Inventory'!F11</f>
        <v/>
      </c>
      <c r="H38" s="328" t="n"/>
      <c r="I38" s="335">
        <f>'📦 Inventory'!J11</f>
        <v/>
      </c>
      <c r="J38" s="328" t="n"/>
      <c r="K38" s="335">
        <f>IF('📦 Inventory'!E11=0,"🚫 Order immediately",IF('📦 Inventory'!E11&lt;='📦 Inventory'!F11,"⚠️ Reorder soon","✅ OK"))</f>
        <v/>
      </c>
      <c r="L38" s="328" t="n"/>
      <c r="M38" s="328" t="n"/>
    </row>
    <row r="39" ht="16.5" customHeight="1" s="313">
      <c r="B39" s="343">
        <f>'📦 Inventory'!B12</f>
        <v/>
      </c>
      <c r="C39" s="328" t="n"/>
      <c r="D39" s="328" t="n"/>
      <c r="E39" s="374">
        <f>'📦 Inventory'!E12</f>
        <v/>
      </c>
      <c r="F39" s="328" t="n"/>
      <c r="G39" s="375">
        <f>'📦 Inventory'!F12</f>
        <v/>
      </c>
      <c r="H39" s="328" t="n"/>
      <c r="I39" s="376">
        <f>'📦 Inventory'!J12</f>
        <v/>
      </c>
      <c r="J39" s="328" t="n"/>
      <c r="K39" s="376">
        <f>IF('📦 Inventory'!E12=0,"🚫 Order immediately",IF('📦 Inventory'!E12&lt;='📦 Inventory'!F12,"⚠️ Reorder soon","✅ OK"))</f>
        <v/>
      </c>
      <c r="L39" s="328" t="n"/>
      <c r="M39" s="328" t="n"/>
    </row>
    <row r="40" ht="16.5" customHeight="1" s="313">
      <c r="B40" s="365">
        <f>'📦 Inventory'!B13</f>
        <v/>
      </c>
      <c r="C40" s="328" t="n"/>
      <c r="D40" s="328" t="n"/>
      <c r="E40" s="352">
        <f>'📦 Inventory'!E13</f>
        <v/>
      </c>
      <c r="F40" s="328" t="n"/>
      <c r="G40" s="360">
        <f>'📦 Inventory'!F13</f>
        <v/>
      </c>
      <c r="H40" s="328" t="n"/>
      <c r="I40" s="335">
        <f>'📦 Inventory'!J13</f>
        <v/>
      </c>
      <c r="J40" s="328" t="n"/>
      <c r="K40" s="335">
        <f>IF('📦 Inventory'!E13=0,"🚫 Order immediately",IF('📦 Inventory'!E13&lt;='📦 Inventory'!F13,"⚠️ Reorder soon","✅ OK"))</f>
        <v/>
      </c>
      <c r="L40" s="328" t="n"/>
      <c r="M40" s="328" t="n"/>
    </row>
    <row r="41" ht="7.5" customHeight="1" s="313"/>
    <row r="42" ht="30" customHeight="1" s="313">
      <c r="B42" s="402" t="inlineStr">
        <is>
          <t>💼  CAPITAL &amp; ACQUISITION STATUS  —  live from Capital &amp; Ownership sheet</t>
        </is>
      </c>
    </row>
    <row r="43" ht="6" customHeight="1" s="313"/>
    <row r="44" ht="16.05" customHeight="1" s="313">
      <c r="B44" s="377" t="inlineStr">
        <is>
          <t>TOTAL BUDGET</t>
        </is>
      </c>
      <c r="C44" s="322" t="n"/>
      <c r="D44" s="386" t="inlineStr">
        <is>
          <t>TOTAL CASH OUT</t>
        </is>
      </c>
      <c r="E44" s="322" t="n"/>
      <c r="F44" s="387" t="inlineStr">
        <is>
          <t>REMAINING BUDGET</t>
        </is>
      </c>
      <c r="G44" s="322" t="n"/>
      <c r="H44" s="383" t="inlineStr">
        <is>
          <t>ACQUISITION PRICE</t>
        </is>
      </c>
      <c r="I44" s="322" t="n"/>
      <c r="J44" s="380" t="inlineStr">
        <is>
          <t>ADVANCE PAID</t>
        </is>
      </c>
      <c r="K44" s="322" t="n"/>
      <c r="L44" s="369" t="inlineStr">
        <is>
          <t>BALANCE PENDING</t>
        </is>
      </c>
      <c r="M44" s="322" t="n"/>
    </row>
    <row r="45" ht="22.05" customHeight="1" s="313">
      <c r="B45" s="379">
        <f>'Capital &amp; Ownership'!C75</f>
        <v/>
      </c>
      <c r="C45" s="322" t="n"/>
      <c r="D45" s="341">
        <f>'Capital &amp; Ownership'!C86</f>
        <v/>
      </c>
      <c r="E45" s="322" t="n"/>
      <c r="F45" s="362">
        <f>'Capital &amp; Ownership'!C87</f>
        <v/>
      </c>
      <c r="G45" s="322" t="n"/>
      <c r="H45" s="350">
        <f>'Capital &amp; Ownership'!C76</f>
        <v/>
      </c>
      <c r="I45" s="322" t="n"/>
      <c r="J45" s="346">
        <f>'Capital &amp; Ownership'!C77</f>
        <v/>
      </c>
      <c r="K45" s="322" t="n"/>
      <c r="L45" s="347">
        <f>'Capital &amp; Ownership'!C78</f>
        <v/>
      </c>
      <c r="M45" s="322" t="n"/>
    </row>
    <row r="46" ht="16.05" customHeight="1" s="313">
      <c r="B46" s="381" t="inlineStr">
        <is>
          <t>All 3 partners</t>
        </is>
      </c>
      <c r="C46" s="322" t="n"/>
      <c r="D46" s="382" t="inlineStr">
        <is>
          <t>Excl. internal transfers</t>
        </is>
      </c>
      <c r="E46" s="322" t="n"/>
      <c r="F46" s="366" t="inlineStr">
        <is>
          <t>Available for operations</t>
        </is>
      </c>
      <c r="G46" s="322" t="n"/>
      <c r="H46" s="384" t="inlineStr">
        <is>
          <t>To previous owners</t>
        </is>
      </c>
      <c r="I46" s="322" t="n"/>
      <c r="J46" s="370" t="inlineStr">
        <is>
          <t>✅ Paid by Lohith</t>
        </is>
      </c>
      <c r="K46" s="322" t="n"/>
      <c r="L46" s="371" t="inlineStr">
        <is>
          <t>⏳ Outstanding</t>
        </is>
      </c>
      <c r="M46" s="322" t="n"/>
    </row>
    <row r="47" ht="7.95" customHeight="1" s="313"/>
    <row r="48" ht="22.05" customHeight="1" s="313">
      <c r="B48" s="403" t="inlineStr">
        <is>
          <t xml:space="preserve">  👥  OWNER CAPITAL SUMMARY</t>
        </is>
      </c>
    </row>
    <row r="49" ht="19.95" customHeight="1" s="313">
      <c r="B49" s="354" t="inlineStr">
        <is>
          <t>OWNER</t>
        </is>
      </c>
      <c r="C49" s="322" t="n"/>
      <c r="D49" s="354" t="inlineStr">
        <is>
          <t>SHARE %</t>
        </is>
      </c>
      <c r="E49" s="322" t="n"/>
      <c r="F49" s="354" t="inlineStr">
        <is>
          <t>CAPITAL ($)</t>
        </is>
      </c>
      <c r="G49" s="354" t="inlineStr">
        <is>
          <t>ROLE</t>
        </is>
      </c>
      <c r="H49" s="354" t="inlineStr">
        <is>
          <t>EXPENSES ($)</t>
        </is>
      </c>
      <c r="I49" s="322" t="n"/>
      <c r="J49" s="354" t="inlineStr">
        <is>
          <t>REMAINING ($)</t>
        </is>
      </c>
      <c r="K49" s="322" t="n"/>
      <c r="L49" s="354" t="inlineStr">
        <is>
          <t>% SPENT</t>
        </is>
      </c>
      <c r="M49" s="322" t="n"/>
    </row>
    <row r="50" ht="19.95" customHeight="1" s="313">
      <c r="B50" s="353">
        <f>'Capital &amp; Ownership'!B6</f>
        <v/>
      </c>
      <c r="C50" s="322" t="n"/>
      <c r="D50" s="340">
        <f>'Capital &amp; Ownership'!C6</f>
        <v/>
      </c>
      <c r="E50" s="322" t="n"/>
      <c r="F50" s="348">
        <f>'Capital &amp; Ownership'!D6</f>
        <v/>
      </c>
      <c r="G50" s="331" t="inlineStr">
        <is>
          <t>50% — Managing Partner</t>
        </is>
      </c>
      <c r="H50" s="348">
        <f>'Capital &amp; Ownership'!E6</f>
        <v/>
      </c>
      <c r="I50" s="322" t="n"/>
      <c r="J50" s="348">
        <f>'Capital &amp; Ownership'!F6</f>
        <v/>
      </c>
      <c r="K50" s="322" t="n"/>
      <c r="L50" s="340">
        <f>IFERROR('Capital &amp; Ownership'!E6/'Capital &amp; Ownership'!D6,0)</f>
        <v/>
      </c>
      <c r="M50" s="322" t="n"/>
    </row>
    <row r="51" ht="19.95" customHeight="1" s="313">
      <c r="B51" s="355">
        <f>'Capital &amp; Ownership'!B7</f>
        <v/>
      </c>
      <c r="C51" s="322" t="n"/>
      <c r="D51" s="356">
        <f>'Capital &amp; Ownership'!C7</f>
        <v/>
      </c>
      <c r="E51" s="322" t="n"/>
      <c r="F51" s="372">
        <f>'Capital &amp; Ownership'!D7</f>
        <v/>
      </c>
      <c r="G51" s="26" t="inlineStr">
        <is>
          <t>30% — Partner</t>
        </is>
      </c>
      <c r="H51" s="372">
        <f>'Capital &amp; Ownership'!E7</f>
        <v/>
      </c>
      <c r="I51" s="322" t="n"/>
      <c r="J51" s="372">
        <f>'Capital &amp; Ownership'!F7</f>
        <v/>
      </c>
      <c r="K51" s="322" t="n"/>
      <c r="L51" s="356">
        <f>IFERROR('Capital &amp; Ownership'!E7/'Capital &amp; Ownership'!D7,0)</f>
        <v/>
      </c>
      <c r="M51" s="322" t="n"/>
    </row>
    <row r="52" ht="19.95" customHeight="1" s="313">
      <c r="B52" s="353">
        <f>'Capital &amp; Ownership'!B8</f>
        <v/>
      </c>
      <c r="C52" s="322" t="n"/>
      <c r="D52" s="340">
        <f>'Capital &amp; Ownership'!C8</f>
        <v/>
      </c>
      <c r="E52" s="322" t="n"/>
      <c r="F52" s="348">
        <f>'Capital &amp; Ownership'!D8</f>
        <v/>
      </c>
      <c r="G52" s="331" t="inlineStr">
        <is>
          <t>20% — Partner</t>
        </is>
      </c>
      <c r="H52" s="348">
        <f>'Capital &amp; Ownership'!E8</f>
        <v/>
      </c>
      <c r="I52" s="322" t="n"/>
      <c r="J52" s="348">
        <f>'Capital &amp; Ownership'!F8</f>
        <v/>
      </c>
      <c r="K52" s="322" t="n"/>
      <c r="L52" s="340">
        <f>IFERROR('Capital &amp; Ownership'!E8/'Capital &amp; Ownership'!D8,0)</f>
        <v/>
      </c>
      <c r="M52" s="322" t="n"/>
    </row>
    <row r="53" ht="22.05" customHeight="1" s="313">
      <c r="B53" s="364" t="inlineStr">
        <is>
          <t>TOTAL</t>
        </is>
      </c>
      <c r="C53" s="322" t="n"/>
      <c r="D53" s="338">
        <f>'Capital &amp; Ownership'!C9</f>
        <v/>
      </c>
      <c r="E53" s="322" t="n"/>
      <c r="F53" s="321">
        <f>'Capital &amp; Ownership'!D9</f>
        <v/>
      </c>
      <c r="G53" s="354" t="n"/>
      <c r="H53" s="321">
        <f>'Capital &amp; Ownership'!E9</f>
        <v/>
      </c>
      <c r="I53" s="322" t="n"/>
      <c r="J53" s="321">
        <f>'Capital &amp; Ownership'!F9</f>
        <v/>
      </c>
      <c r="K53" s="322" t="n"/>
      <c r="L53" s="338">
        <f>IFERROR('Capital &amp; Ownership'!E9/'Capital &amp; Ownership'!D9,0)</f>
        <v/>
      </c>
      <c r="M53" s="322" t="n"/>
    </row>
    <row r="54" ht="7.95" customHeight="1" s="313"/>
    <row r="55" ht="22.05" customHeight="1" s="313">
      <c r="B55" s="403" t="inlineStr">
        <is>
          <t xml:space="preserve">  🧾  PRE-OPENING EXPENSES BREAKDOWN</t>
        </is>
      </c>
    </row>
    <row r="56" ht="19.95" customHeight="1" s="313">
      <c r="B56" s="354" t="inlineStr">
        <is>
          <t>EXPENSE ITEM</t>
        </is>
      </c>
      <c r="C56" s="326" t="n"/>
      <c r="D56" s="322" t="n"/>
      <c r="E56" s="354" t="inlineStr">
        <is>
          <t>PAID BY</t>
        </is>
      </c>
      <c r="F56" s="322" t="n"/>
      <c r="G56" s="354" t="inlineStr">
        <is>
          <t>AMOUNT ($)</t>
        </is>
      </c>
      <c r="H56" s="322" t="n"/>
      <c r="I56" s="354" t="inlineStr">
        <is>
          <t>CATEGORY</t>
        </is>
      </c>
      <c r="J56" s="322" t="n"/>
      <c r="K56" s="354" t="inlineStr">
        <is>
          <t>STATUS</t>
        </is>
      </c>
      <c r="L56" s="322" t="n"/>
    </row>
    <row r="57" ht="19.95" customHeight="1" s="313">
      <c r="B57" s="336">
        <f>'Capital &amp; Ownership'!B13</f>
        <v/>
      </c>
      <c r="C57" s="326" t="n"/>
      <c r="D57" s="322" t="n"/>
      <c r="E57" s="359" t="inlineStr">
        <is>
          <t>All Partners</t>
        </is>
      </c>
      <c r="F57" s="322" t="n"/>
      <c r="G57" s="345">
        <f>'Capital &amp; Ownership'!D13</f>
        <v/>
      </c>
      <c r="H57" s="322" t="n"/>
      <c r="I57" s="359" t="inlineStr">
        <is>
          <t>Acquisition</t>
        </is>
      </c>
      <c r="J57" s="322" t="n"/>
      <c r="K57" s="359" t="inlineStr">
        <is>
          <t>⚠️ Not Fully Paid</t>
        </is>
      </c>
      <c r="L57" s="322" t="n"/>
    </row>
    <row r="58" ht="19.95" customHeight="1" s="313">
      <c r="B58" s="325">
        <f>'Capital &amp; Ownership'!B14</f>
        <v/>
      </c>
      <c r="C58" s="326" t="n"/>
      <c r="D58" s="322" t="n"/>
      <c r="E58" s="349" t="inlineStr">
        <is>
          <t>Lohith Reddy</t>
        </is>
      </c>
      <c r="F58" s="322" t="n"/>
      <c r="G58" s="351">
        <f>'Capital &amp; Ownership'!D14</f>
        <v/>
      </c>
      <c r="H58" s="322" t="n"/>
      <c r="I58" s="349" t="inlineStr">
        <is>
          <t>Acquisition Advance</t>
        </is>
      </c>
      <c r="J58" s="322" t="n"/>
      <c r="K58" s="349" t="inlineStr">
        <is>
          <t>✅ Paid</t>
        </is>
      </c>
      <c r="L58" s="322" t="n"/>
    </row>
    <row r="59" ht="19.95" customHeight="1" s="313">
      <c r="B59" s="325">
        <f>'Capital &amp; Ownership'!B35</f>
        <v/>
      </c>
      <c r="C59" s="326" t="n"/>
      <c r="D59" s="322" t="n"/>
      <c r="E59" s="349" t="inlineStr">
        <is>
          <t>Kashigoud Patil</t>
        </is>
      </c>
      <c r="F59" s="322" t="n"/>
      <c r="G59" s="351">
        <f>'Capital &amp; Ownership'!D35</f>
        <v/>
      </c>
      <c r="H59" s="322" t="n"/>
      <c r="I59" s="349" t="inlineStr">
        <is>
          <t>Software / License</t>
        </is>
      </c>
      <c r="J59" s="322" t="n"/>
      <c r="K59" s="349" t="inlineStr">
        <is>
          <t>✅ Paid</t>
        </is>
      </c>
      <c r="L59" s="322" t="n"/>
    </row>
    <row r="60" ht="19.95" customHeight="1" s="313">
      <c r="B60" s="325">
        <f>'Capital &amp; Ownership'!B36</f>
        <v/>
      </c>
      <c r="C60" s="326" t="n"/>
      <c r="D60" s="322" t="n"/>
      <c r="E60" s="349" t="inlineStr">
        <is>
          <t>Kashigoud Patil</t>
        </is>
      </c>
      <c r="F60" s="322" t="n"/>
      <c r="G60" s="351">
        <f>'Capital &amp; Ownership'!D36</f>
        <v/>
      </c>
      <c r="H60" s="322" t="n"/>
      <c r="I60" s="349" t="inlineStr">
        <is>
          <t>Equipment</t>
        </is>
      </c>
      <c r="J60" s="322" t="n"/>
      <c r="K60" s="349" t="inlineStr">
        <is>
          <t>✅ Paid</t>
        </is>
      </c>
      <c r="L60" s="322" t="n"/>
    </row>
    <row r="61" ht="19.95" customHeight="1" s="313">
      <c r="B61" s="353">
        <f>'Capital &amp; Ownership'!B47</f>
        <v/>
      </c>
      <c r="C61" s="326" t="n"/>
      <c r="D61" s="322" t="n"/>
      <c r="E61" s="331" t="inlineStr">
        <is>
          <t>Lohith Reddy</t>
        </is>
      </c>
      <c r="F61" s="322" t="n"/>
      <c r="G61" s="348">
        <f>'Capital &amp; Ownership'!D47</f>
        <v/>
      </c>
      <c r="H61" s="322" t="n"/>
      <c r="I61" s="331" t="inlineStr">
        <is>
          <t>Legal / Notary</t>
        </is>
      </c>
      <c r="J61" s="322" t="n"/>
      <c r="K61" s="331" t="inlineStr">
        <is>
          <t>✅ Paid</t>
        </is>
      </c>
      <c r="L61" s="322" t="n"/>
    </row>
    <row r="62" ht="19.95" customHeight="1" s="313">
      <c r="B62" s="353">
        <f>'Capital &amp; Ownership'!B50</f>
        <v/>
      </c>
      <c r="C62" s="326" t="n"/>
      <c r="D62" s="322" t="n"/>
      <c r="E62" s="331" t="inlineStr">
        <is>
          <t>Lohith Reddy</t>
        </is>
      </c>
      <c r="F62" s="322" t="n"/>
      <c r="G62" s="348">
        <f>'Capital &amp; Ownership'!D50</f>
        <v/>
      </c>
      <c r="H62" s="322" t="n"/>
      <c r="I62" s="331" t="inlineStr">
        <is>
          <t>Legal / Insurance</t>
        </is>
      </c>
      <c r="J62" s="322" t="n"/>
      <c r="K62" s="331" t="inlineStr">
        <is>
          <t>✅ Paid</t>
        </is>
      </c>
      <c r="L62" s="322" t="n"/>
    </row>
    <row r="63" ht="19.95" customHeight="1" s="313">
      <c r="B63" s="353">
        <f>'Capital &amp; Ownership'!B51</f>
        <v/>
      </c>
      <c r="C63" s="326" t="n"/>
      <c r="D63" s="322" t="n"/>
      <c r="E63" s="331" t="inlineStr">
        <is>
          <t>Lohith Reddy</t>
        </is>
      </c>
      <c r="F63" s="322" t="n"/>
      <c r="G63" s="348">
        <f>'Capital &amp; Ownership'!D51</f>
        <v/>
      </c>
      <c r="H63" s="322" t="n"/>
      <c r="I63" s="331" t="inlineStr">
        <is>
          <t>Professional Services</t>
        </is>
      </c>
      <c r="J63" s="322" t="n"/>
      <c r="K63" s="331" t="inlineStr">
        <is>
          <t>✅ Paid</t>
        </is>
      </c>
      <c r="L63" s="322" t="n"/>
    </row>
    <row r="64" ht="19.95" customHeight="1" s="313">
      <c r="B64" s="385" t="inlineStr">
        <is>
          <t xml:space="preserve">  ℹ️  Internal transfers:  Kashigoud → Lohith  $125,000  |  Shashirekha → Lohith  $100,000  (not counted as expenses — capital reallocation only)</t>
        </is>
      </c>
      <c r="C64" s="326" t="n"/>
      <c r="D64" s="326" t="n"/>
      <c r="E64" s="326" t="n"/>
      <c r="F64" s="326" t="n"/>
      <c r="G64" s="326" t="n"/>
      <c r="H64" s="326" t="n"/>
      <c r="I64" s="326" t="n"/>
      <c r="J64" s="326" t="n"/>
      <c r="K64" s="326" t="n"/>
      <c r="L64" s="326" t="n"/>
      <c r="M64" s="322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E56:F56"/>
    <mergeCell ref="J52:K52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B64:M64"/>
    <mergeCell ref="D16:E16"/>
    <mergeCell ref="K59:L59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abSelected="1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13" min="1" max="1"/>
    <col width="18" customWidth="1" style="313" min="2" max="2"/>
    <col width="16" customWidth="1" style="313" min="3" max="5"/>
    <col width="12" customWidth="1" style="313" min="6" max="6"/>
    <col width="14" customWidth="1" style="313" min="7" max="7"/>
    <col width="16" customWidth="1" style="313" min="8" max="9"/>
    <col width="12" customWidth="1" style="313" min="10" max="10"/>
    <col width="30" customWidth="1" style="313" min="11" max="11"/>
    <col width="16" customWidth="1" style="313" min="12" max="17"/>
    <col width="14.33203125" bestFit="1" customWidth="1" style="313" min="21" max="21"/>
    <col width="13" customWidth="1" style="313" min="22" max="24"/>
    <col width="14.33203125" customWidth="1" style="313" min="25" max="25"/>
    <col width="13" customWidth="1" style="313" min="26" max="28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13">
      <c r="A2" s="399" t="inlineStr">
        <is>
          <t>📅  LOKA — DAILY LOG</t>
        </is>
      </c>
      <c r="I2" s="400" t="inlineStr">
        <is>
          <t>Enter 2 values from Soft App each day → everything else calculates</t>
        </is>
      </c>
    </row>
    <row r="3" ht="3.75" customHeight="1" s="313">
      <c r="A3" s="401" t="n"/>
    </row>
    <row r="4" ht="7.5" customHeight="1" s="313"/>
    <row r="5" ht="49.5" customHeight="1" s="313">
      <c r="B5" s="310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11" t="n"/>
      <c r="D5" s="311" t="n"/>
      <c r="E5" s="311" t="n"/>
      <c r="F5" s="311" t="n"/>
      <c r="G5" s="311" t="n"/>
      <c r="H5" s="311" t="n"/>
      <c r="I5" s="311" t="n"/>
      <c r="J5" s="311" t="n"/>
      <c r="K5" s="311" t="n"/>
      <c r="L5" s="311" t="n"/>
      <c r="M5" s="311" t="n"/>
      <c r="N5" s="311" t="n"/>
      <c r="O5" s="311" t="n"/>
      <c r="P5" s="311" t="n"/>
    </row>
    <row r="6" ht="7.5" customHeight="1" s="313">
      <c r="B6" s="27" t="n"/>
      <c r="D6" s="28" t="n"/>
      <c r="E6" s="29" t="n"/>
      <c r="F6" s="30">
        <f>SUMIFS($D$8:$D$5000,$B$8:$B$5000,TODAY())+SUMIFS($E$8:$E$5000,$B$8:$B$5000,TODAY())+SUMIFS($G$8:$G$5000,$B$8:$B$5000,TODAY())</f>
        <v>5250.0</v>
      </c>
      <c r="G6" s="31">
        <f>SUMIFS($G$8:$G$5000,$B$8:$B$5000,TODAY())</f>
        <v>130.0</v>
      </c>
      <c r="H6" s="28">
        <f>SUMIFS($H$8:$H$5000,$B$8:$B$5000,TODAY())</f>
        <v>1504.0</v>
      </c>
      <c r="I6" s="32">
        <f>F6-H6</f>
        <v>3746.0</v>
      </c>
      <c r="J6">
        <f>IFERROR(I6/F6,0)</f>
        <v>0.713524</v>
      </c>
      <c r="K6" s="28" t="n"/>
      <c r="L6" s="31" t="n"/>
      <c r="M6" s="28">
        <f>SUMPRODUCT((ISNUMBER($B$8:$B$5000))*($B$8:$B$5000&gt;=TODAY()-MOD(TODAY()-2,7))*($B$8:$B$5000&lt;TODAY()-MOD(TODAY()-2,7)+7)*IF(ISNUMBER($F$8:$F$5000),$F$8:$F$5000,0))</f>
        <v>8430.0</v>
      </c>
      <c r="N6" s="33">
        <f>SUMPRODUCT((ISNUMBER($B$8:$B$5000))*($B$8:$B$5000&gt;=TODAY()-MOD(TODAY()-2,7))*($B$8:$B$5000&lt;TODAY()-MOD(TODAY()-2,7)+7)*IF(ISNUMBER($F$8:$F$5000),$F$8:$F$5000,0))</f>
        <v>8430.0</v>
      </c>
      <c r="O6" s="33">
        <f>SUMPRODUCT((ISNUMBER($B$8:$B$5000))*(MONTH($B$8:$B$5000)=MONTH(TODAY()))*(YEAR($B$8:$B$5000)=YEAR(TODAY()))*IF(ISNUMBER($F$8:$F$5000),$F$8:$F$5000,0))</f>
        <v>106246.0</v>
      </c>
      <c r="P6">
        <f>SUMPRODUCT((ISNUMBER($B$8:$B$5000))*($B$8:$B$5000&gt;=TODAY()-MOD(TODAY()-2,7))*($B$8:$B$5000&lt;TODAY()-MOD(TODAY()-2,7)+7)*IF(ISNUMBER($H$8:$H$5000),$H$8:$H$5000,0))</f>
        <v>2432.0</v>
      </c>
      <c r="Q6">
        <f>M6-P6</f>
        <v>5998.0</v>
      </c>
    </row>
    <row r="7" ht="27.75" customHeight="1" s="313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13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>3689.0</v>
      </c>
      <c r="G8" s="39" t="n"/>
      <c r="H8" s="40">
        <f>SUMIFS('💸 Expenses'!$F$8:$F$5000,'💸 Expenses'!$B$8:$B$5000,"&gt;="&amp;B8,'💸 Expenses'!$B$8:$B$5000,"&lt;"&amp;(B8+1))</f>
        <v>2629.0</v>
      </c>
      <c r="I8" s="41">
        <f>IFERROR(F8-H8,0)</f>
        <v>1060.0</v>
      </c>
      <c r="J8" s="42">
        <f>IFERROR(I8/F8,0)</f>
        <v>0.287341</v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>90.5</v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13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>3854.0</v>
      </c>
      <c r="G9" s="51" t="n"/>
      <c r="H9" s="52">
        <f>SUMIFS('💸 Expenses'!$F$8:$F$5000,'💸 Expenses'!$B$8:$B$5000,"&gt;="&amp;B9,'💸 Expenses'!$B$8:$B$5000,"&lt;"&amp;(B9+1))</f>
        <v>30.0</v>
      </c>
      <c r="I9" s="53">
        <f>IFERROR(F9-H9,0)</f>
        <v>3824.0</v>
      </c>
      <c r="J9" s="54">
        <f>IFERROR(I9/F9,0)</f>
        <v>0.992216</v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>86.27</v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13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>4124.0</v>
      </c>
      <c r="G10" s="39" t="n"/>
      <c r="H10" s="40">
        <f>SUMIFS('💸 Expenses'!$F$8:$F$5000,'💸 Expenses'!$B$8:$B$5000,"&gt;="&amp;B10,'💸 Expenses'!$B$8:$B$5000,"&lt;"&amp;(B10+1))</f>
        <v>3777.0</v>
      </c>
      <c r="I10" s="41">
        <f>IFERROR(F10-H10,0)</f>
        <v>347.0</v>
      </c>
      <c r="J10" s="42">
        <f>IFERROR(I10/F10,0)</f>
        <v>0.084142</v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>59.24</v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13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>4733.0</v>
      </c>
      <c r="G11" s="51" t="n"/>
      <c r="H11" s="52">
        <f>SUMIFS('💸 Expenses'!$F$8:$F$5000,'💸 Expenses'!$B$8:$B$5000,"&gt;="&amp;B11,'💸 Expenses'!$B$8:$B$5000,"&lt;"&amp;(B11+1))</f>
        <v>2434.0</v>
      </c>
      <c r="I11" s="53">
        <f>IFERROR(F11-H11,0)</f>
        <v>2299.0</v>
      </c>
      <c r="J11" s="54">
        <f>IFERROR(I11/F11,0)</f>
        <v>0.485738</v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>104.34</v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13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>4282.0</v>
      </c>
      <c r="G12" s="39" t="n"/>
      <c r="H12" s="40">
        <f>SUMIFS('💸 Expenses'!$F$8:$F$5000,'💸 Expenses'!$B$8:$B$5000,"&gt;="&amp;B12,'💸 Expenses'!$B$8:$B$5000,"&lt;"&amp;(B12+1))</f>
        <v>1457.0</v>
      </c>
      <c r="I12" s="41">
        <f>IFERROR(F12-H12,0)</f>
        <v>2825.0</v>
      </c>
      <c r="J12" s="42">
        <f>IFERROR(I12/F12,0)</f>
        <v>0.659738</v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>79.54</v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13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>3802.0</v>
      </c>
      <c r="G13" s="51" t="n"/>
      <c r="H13" s="52">
        <f>SUMIFS('💸 Expenses'!$F$8:$F$5000,'💸 Expenses'!$B$8:$B$5000,"&gt;="&amp;B13,'💸 Expenses'!$B$8:$B$5000,"&lt;"&amp;(B13+1))</f>
        <v>7755.43</v>
      </c>
      <c r="I13" s="53">
        <f>IFERROR(F13-H13,0)</f>
        <v>-3953.43</v>
      </c>
      <c r="J13" s="54">
        <f>IFERROR(I13/F13,0)</f>
        <v>-1.039829</v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>82.99</v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13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>1198.0</v>
      </c>
      <c r="G14" s="39" t="n"/>
      <c r="H14" s="40">
        <f>SUMIFS('💸 Expenses'!$F$8:$F$5000,'💸 Expenses'!$B$8:$B$5000,"&gt;="&amp;B14,'💸 Expenses'!$B$8:$B$5000,"&lt;"&amp;(B14+1))</f>
        <v>1076.0</v>
      </c>
      <c r="I14" s="41">
        <f>IFERROR(F14-H14,0)</f>
        <v>122.0</v>
      </c>
      <c r="J14" s="42">
        <f>IFERROR(I14/F14,0)</f>
        <v>0.101836</v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>0.0</v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13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>3730.0</v>
      </c>
      <c r="G15" s="51" t="n"/>
      <c r="H15" s="52">
        <f>SUMIFS('💸 Expenses'!$F$8:$F$5000,'💸 Expenses'!$B$8:$B$5000,"&gt;="&amp;B15,'💸 Expenses'!$B$8:$B$5000,"&lt;"&amp;(B15+1))</f>
        <v>3021.45</v>
      </c>
      <c r="I15" s="53">
        <f>IFERROR(F15-H15,0)</f>
        <v>708.55</v>
      </c>
      <c r="J15" s="54">
        <f>IFERROR(I15/F15,0)</f>
        <v>0.18996</v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>85.5</v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13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>4264.0</v>
      </c>
      <c r="G16" s="39" t="n"/>
      <c r="H16" s="40">
        <f>SUMIFS('💸 Expenses'!$F$8:$F$5000,'💸 Expenses'!$B$8:$B$5000,"&gt;="&amp;B16,'💸 Expenses'!$B$8:$B$5000,"&lt;"&amp;(B16+1))</f>
        <v>1191.6</v>
      </c>
      <c r="I16" s="41">
        <f>IFERROR(F16-H16,0)</f>
        <v>3072.4</v>
      </c>
      <c r="J16" s="42">
        <f>IFERROR(I16/F16,0)</f>
        <v>0.720544</v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>77.51</v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13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>3621.0</v>
      </c>
      <c r="G17" s="51" t="n"/>
      <c r="H17" s="52">
        <f>SUMIFS('💸 Expenses'!$F$8:$F$5000,'💸 Expenses'!$B$8:$B$5000,"&gt;="&amp;B17,'💸 Expenses'!$B$8:$B$5000,"&lt;"&amp;(B17+1))</f>
        <v>1073.22</v>
      </c>
      <c r="I17" s="53">
        <f>IFERROR(F17-H17,0)</f>
        <v>2547.78</v>
      </c>
      <c r="J17" s="54">
        <f>IFERROR(I17/F17,0)</f>
        <v>0.703612</v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>79.41</v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13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>4070.0</v>
      </c>
      <c r="G18" s="39" t="n"/>
      <c r="H18" s="40">
        <f>SUMIFS('💸 Expenses'!$F$8:$F$5000,'💸 Expenses'!$B$8:$B$5000,"&gt;="&amp;B18,'💸 Expenses'!$B$8:$B$5000,"&lt;"&amp;(B18+1))</f>
        <v>1931.34</v>
      </c>
      <c r="I18" s="41">
        <f>IFERROR(F18-H18,0)</f>
        <v>2138.66</v>
      </c>
      <c r="J18" s="42">
        <f>IFERROR(I18/F18,0)</f>
        <v>0.525469</v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>60.94</v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13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>6086.0</v>
      </c>
      <c r="G19" s="51" t="n"/>
      <c r="H19" s="52">
        <f>SUMIFS('💸 Expenses'!$F$8:$F$5000,'💸 Expenses'!$B$8:$B$5000,"&gt;="&amp;B19,'💸 Expenses'!$B$8:$B$5000,"&lt;"&amp;(B19+1))</f>
        <v>257.29</v>
      </c>
      <c r="I19" s="53">
        <f>IFERROR(F19-H19,0)</f>
        <v>5828.71</v>
      </c>
      <c r="J19" s="54">
        <f>IFERROR(I19/F19,0)</f>
        <v>0.957724</v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>136.78</v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13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>4603.0</v>
      </c>
      <c r="G20" s="39" t="n"/>
      <c r="H20" s="40">
        <f>SUMIFS('💸 Expenses'!$F$8:$F$5000,'💸 Expenses'!$B$8:$B$5000,"&gt;="&amp;B20,'💸 Expenses'!$B$8:$B$5000,"&lt;"&amp;(B20+1))</f>
        <v>5974.3</v>
      </c>
      <c r="I20" s="41">
        <f>IFERROR(F20-H20,0)</f>
        <v>-1371.3</v>
      </c>
      <c r="J20" s="42">
        <f>IFERROR(I20/F20,0)</f>
        <v>-0.297914</v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>140.35</v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13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>893.0</v>
      </c>
      <c r="G21" s="51" t="n"/>
      <c r="H21" s="52">
        <f>SUMIFS('💸 Expenses'!$F$8:$F$5000,'💸 Expenses'!$B$8:$B$5000,"&gt;="&amp;B21,'💸 Expenses'!$B$8:$B$5000,"&lt;"&amp;(B21+1))</f>
        <v>10312.0</v>
      </c>
      <c r="I21" s="53">
        <f>IFERROR(F21-H21,0)</f>
        <v>-9419.0</v>
      </c>
      <c r="J21" s="54">
        <f>IFERROR(I21/F21,0)</f>
        <v>-10.547592</v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>0.0</v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13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>5019.0</v>
      </c>
      <c r="G22" s="39" t="n">
        <v>310</v>
      </c>
      <c r="H22" s="40">
        <f>SUMIFS('💸 Expenses'!$F$8:$F$5000,'💸 Expenses'!$B$8:$B$5000,"&gt;="&amp;B22,'💸 Expenses'!$B$8:$B$5000,"&lt;"&amp;(B22+1))</f>
        <v>5329.64</v>
      </c>
      <c r="I22" s="41">
        <f>IFERROR(F22-H22,0)</f>
        <v>-310.64</v>
      </c>
      <c r="J22" s="42">
        <f>IFERROR(I22/F22,0)</f>
        <v>-0.061893</v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>139.38</v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13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>1843.0</v>
      </c>
      <c r="G23" s="51" t="n">
        <v>283</v>
      </c>
      <c r="H23" s="52">
        <f>SUMIFS('💸 Expenses'!$F$8:$F$5000,'💸 Expenses'!$B$8:$B$5000,"&gt;="&amp;B23,'💸 Expenses'!$B$8:$B$5000,"&lt;"&amp;(B23+1))</f>
        <v>2379.11</v>
      </c>
      <c r="I23" s="53">
        <f>IFERROR(F23-H23,0)</f>
        <v>-536.11</v>
      </c>
      <c r="J23" s="54">
        <f>IFERROR(I23/F23,0)</f>
        <v>-0.29089</v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>50.34</v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13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>3912.0</v>
      </c>
      <c r="G24" s="39" t="n">
        <v>120</v>
      </c>
      <c r="H24" s="40">
        <f>SUMIFS('💸 Expenses'!$F$8:$F$5000,'💸 Expenses'!$B$8:$B$5000,"&gt;="&amp;B24,'💸 Expenses'!$B$8:$B$5000,"&lt;"&amp;(B24+1))</f>
        <v>4211.86</v>
      </c>
      <c r="I24" s="41">
        <f>IFERROR(F24-H24,0)</f>
        <v>-299.86</v>
      </c>
      <c r="J24" s="42">
        <f>IFERROR(I24/F24,0)</f>
        <v>-0.076651</v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>75.23</v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13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>3757.0</v>
      </c>
      <c r="G25" s="51" t="n"/>
      <c r="H25" s="52">
        <f>SUMIFS('💸 Expenses'!$F$8:$F$5000,'💸 Expenses'!$B$8:$B$5000,"&gt;="&amp;B25,'💸 Expenses'!$B$8:$B$5000,"&lt;"&amp;(B25+1))</f>
        <v>20959.96</v>
      </c>
      <c r="I25" s="53">
        <f>IFERROR(F25-H25,0)</f>
        <v>-17202.96</v>
      </c>
      <c r="J25" s="54">
        <f>IFERROR(I25/F25,0)</f>
        <v>-4.578909</v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>110.11</v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13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>4408.0</v>
      </c>
      <c r="G26" s="39" t="n">
        <v>135</v>
      </c>
      <c r="H26" s="40">
        <f>SUMIFS('💸 Expenses'!$F$8:$F$5000,'💸 Expenses'!$B$8:$B$5000,"&gt;="&amp;B26,'💸 Expenses'!$B$8:$B$5000,"&lt;"&amp;(B26+1))</f>
        <v>878.06</v>
      </c>
      <c r="I26" s="41">
        <f>IFERROR(F26-H26,0)</f>
        <v>3529.94</v>
      </c>
      <c r="J26" s="42">
        <f>IFERROR(I26/F26,0)</f>
        <v>0.800803</v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>101.3</v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13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>2334.0</v>
      </c>
      <c r="G27" s="51" t="n"/>
      <c r="H27" s="52">
        <f>SUMIFS('💸 Expenses'!$F$8:$F$5000,'💸 Expenses'!$B$8:$B$5000,"&gt;="&amp;B27,'💸 Expenses'!$B$8:$B$5000,"&lt;"&amp;(B27+1))</f>
        <v>5414.0</v>
      </c>
      <c r="I27" s="53">
        <f>IFERROR(F27-H27,0)</f>
        <v>-3080.0</v>
      </c>
      <c r="J27" s="54">
        <f>IFERROR(I27/F27,0)</f>
        <v>-1.319623</v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>23.55</v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13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IFERROR(D28+E28+G28,0)</f>
        <v>0.0</v>
      </c>
      <c r="G28" s="39" t="n"/>
      <c r="H28" s="40">
        <f>SUMIFS('💸 Expenses'!$F$8:$F$5000,'💸 Expenses'!$B$8:$B$5000,"&gt;="&amp;B28,'💸 Expenses'!$B$8:$B$5000,"&lt;"&amp;(B28+1))</f>
        <v>1671.0</v>
      </c>
      <c r="I28" s="41">
        <f>IFERROR(F28-H28,0)</f>
        <v>-1671.0</v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>0.0</v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13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>3727.0</v>
      </c>
      <c r="G29" s="51" t="n">
        <v>99</v>
      </c>
      <c r="H29" s="52">
        <f>SUMIFS('💸 Expenses'!$F$8:$F$5000,'💸 Expenses'!$B$8:$B$5000,"&gt;="&amp;B29,'💸 Expenses'!$B$8:$B$5000,"&lt;"&amp;(B29+1))</f>
        <v>3187.11</v>
      </c>
      <c r="I29" s="53">
        <f>IFERROR(F29-H29,0)</f>
        <v>539.89</v>
      </c>
      <c r="J29" s="54">
        <f>IFERROR(I29/F29,0)</f>
        <v>0.144859</v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>72.19</v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13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>5410.0</v>
      </c>
      <c r="G30" s="39" t="n"/>
      <c r="H30" s="40">
        <f>SUMIFS('💸 Expenses'!$F$8:$F$5000,'💸 Expenses'!$B$8:$B$5000,"&gt;="&amp;B30,'💸 Expenses'!$B$8:$B$5000,"&lt;"&amp;(B30+1))</f>
        <v>6623.98</v>
      </c>
      <c r="I30" s="41">
        <f>IFERROR(F30-H30,0)</f>
        <v>-1213.98</v>
      </c>
      <c r="J30" s="42">
        <f>IFERROR(I30/F30,0)</f>
        <v>-0.224396</v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>37.76</v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13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>4265.0</v>
      </c>
      <c r="G31" s="51" t="n"/>
      <c r="H31" s="52">
        <f>SUMIFS('💸 Expenses'!$F$8:$F$5000,'💸 Expenses'!$B$8:$B$5000,"&gt;="&amp;B31,'💸 Expenses'!$B$8:$B$5000,"&lt;"&amp;(B31+1))</f>
        <v>1341.81</v>
      </c>
      <c r="I31" s="53">
        <f>IFERROR(F31-H31,0)</f>
        <v>2923.19</v>
      </c>
      <c r="J31" s="54">
        <f>IFERROR(I31/F31,0)</f>
        <v>0.68539</v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>101.74</v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13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>4166.0</v>
      </c>
      <c r="G32" s="39" t="n">
        <v>0</v>
      </c>
      <c r="H32" s="40">
        <f>SUMIFS('💸 Expenses'!$F$8:$F$5000,'💸 Expenses'!$B$8:$B$5000,"&gt;="&amp;B32,'💸 Expenses'!$B$8:$B$5000,"&lt;"&amp;(B32+1))</f>
        <v>4044.0</v>
      </c>
      <c r="I32" s="41">
        <f>IFERROR(F32-H32,0)</f>
        <v>122.0</v>
      </c>
      <c r="J32" s="42">
        <f>IFERROR(I32/F32,0)</f>
        <v>0.029285</v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>84.24</v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13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>6070.0</v>
      </c>
      <c r="G33" s="51" t="n">
        <v>0</v>
      </c>
      <c r="H33" s="52">
        <f>SUMIFS('💸 Expenses'!$F$8:$F$5000,'💸 Expenses'!$B$8:$B$5000,"&gt;="&amp;B33,'💸 Expenses'!$B$8:$B$5000,"&lt;"&amp;(B33+1))</f>
        <v>901.8</v>
      </c>
      <c r="I33" s="53">
        <f>IFERROR(F33-H33,0)</f>
        <v>5168.2</v>
      </c>
      <c r="J33" s="54">
        <f>IFERROR(I33/F33,0)</f>
        <v>0.851433</v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>106.98</v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13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>1811.0</v>
      </c>
      <c r="G34" s="39" t="n">
        <v>0</v>
      </c>
      <c r="H34" s="40">
        <f>SUMIFS('💸 Expenses'!$F$8:$F$5000,'💸 Expenses'!$B$8:$B$5000,"&gt;="&amp;B34,'💸 Expenses'!$B$8:$B$5000,"&lt;"&amp;(B34+1))</f>
        <v>8084.16</v>
      </c>
      <c r="I34" s="41">
        <f>IFERROR(F34-H34,0)</f>
        <v>-6273.16</v>
      </c>
      <c r="J34" s="42">
        <f>IFERROR(I34/F34,0)</f>
        <v>-3.46392</v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>40.8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13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>0.0</v>
      </c>
      <c r="G35" s="51" t="n">
        <v>0</v>
      </c>
      <c r="H35" s="52">
        <f>SUMIFS('💸 Expenses'!$F$8:$F$5000,'💸 Expenses'!$B$8:$B$5000,"&gt;="&amp;B35,'💸 Expenses'!$B$8:$B$5000,"&lt;"&amp;(B35+1))</f>
        <v>1526.18</v>
      </c>
      <c r="I35" s="53">
        <f>IFERROR(F35-H35,0)</f>
        <v>-1526.18</v>
      </c>
      <c r="J35" s="54">
        <f>IFERROR(I35/F35,0)</f>
        <v>0</v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>0.0</v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13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>4423.0</v>
      </c>
      <c r="G36" s="39" t="n">
        <v>0</v>
      </c>
      <c r="H36" s="40">
        <f>SUMIFS('💸 Expenses'!$F$8:$F$5000,'💸 Expenses'!$B$8:$B$5000,"&gt;="&amp;B36,'💸 Expenses'!$B$8:$B$5000,"&lt;"&amp;(B36+1))</f>
        <v>2858.08</v>
      </c>
      <c r="I36" s="41">
        <f>IFERROR(F36-H36,0)</f>
        <v>1564.92</v>
      </c>
      <c r="J36" s="42">
        <f>IFERROR(I36/F36,0)</f>
        <v>0.353814</v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>84.24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13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>2786.0</v>
      </c>
      <c r="G37" s="51" t="n">
        <v>0</v>
      </c>
      <c r="H37" s="52">
        <f>SUMIFS('💸 Expenses'!$F$8:$F$5000,'💸 Expenses'!$B$8:$B$5000,"&gt;="&amp;B37,'💸 Expenses'!$B$8:$B$5000,"&lt;"&amp;(B37+1))</f>
        <v>2541.9</v>
      </c>
      <c r="I37" s="53">
        <f>IFERROR(F37-H37,0)</f>
        <v>244.1</v>
      </c>
      <c r="J37" s="54">
        <f>IFERROR(I37/F37,0)</f>
        <v>0.087617</v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>74.74</v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13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>4404.0</v>
      </c>
      <c r="G38" s="39" t="n">
        <v>0</v>
      </c>
      <c r="H38" s="40">
        <f>SUMIFS('💸 Expenses'!$F$8:$F$5000,'💸 Expenses'!$B$8:$B$5000,"&gt;="&amp;B38,'💸 Expenses'!$B$8:$B$5000,"&lt;"&amp;(B38+1))</f>
        <v>2353.0</v>
      </c>
      <c r="I38" s="41">
        <f>IFERROR(F38-H38,0)</f>
        <v>2051.0</v>
      </c>
      <c r="J38" s="42">
        <f>IFERROR(I38/F38,0)</f>
        <v>0.465713</v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>86.19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13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IFERROR(D39+E39+G39,0)</f>
        <v>4165.0</v>
      </c>
      <c r="G39" s="51" t="n">
        <v>400</v>
      </c>
      <c r="H39" s="52">
        <f>SUMIFS('💸 Expenses'!$F$8:$F$5000,'💸 Expenses'!$B$8:$B$5000,"&gt;="&amp;B39,'💸 Expenses'!$B$8:$B$5000,"&lt;"&amp;(B39+1))</f>
        <v>2958.83</v>
      </c>
      <c r="I39" s="53">
        <f>IFERROR(F39-H39,0)</f>
        <v>1206.17</v>
      </c>
      <c r="J39" s="54">
        <f>IFERROR(I39/F39,0)</f>
        <v>0.289597</v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>89.77</v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13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IFERROR(D40+E40+G40,0)</f>
        <v>6804.0</v>
      </c>
      <c r="G40" s="39" t="n">
        <v>120</v>
      </c>
      <c r="H40" s="40">
        <f>SUMIFS('💸 Expenses'!$F$8:$F$5000,'💸 Expenses'!$B$8:$B$5000,"&gt;="&amp;B40,'💸 Expenses'!$B$8:$B$5000,"&lt;"&amp;(B40+1))</f>
        <v>1483.0</v>
      </c>
      <c r="I40" s="41">
        <f>IFERROR(F40-H40,0)</f>
        <v>5321.0</v>
      </c>
      <c r="J40" s="42">
        <f>IFERROR(I40/F40,0)</f>
        <v>0.78204</v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>169.67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13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IFERROR(D41+E41+G41,0)</f>
        <v>2251.0</v>
      </c>
      <c r="G41" s="257" t="n">
        <v>0</v>
      </c>
      <c r="H41" s="258">
        <f>SUMIFS('💸 Expenses'!$F$8:$F$5000,'💸 Expenses'!$B$8:$B$5000,"&gt;="&amp;B41,'💸 Expenses'!$B$8:$B$5000,"&lt;"&amp;(B41+1))</f>
        <v>9320.81</v>
      </c>
      <c r="I41" s="259">
        <f>IFERROR(F41-H41,0)</f>
        <v>-7069.81</v>
      </c>
      <c r="J41" s="260">
        <f>IFERROR(I41/F41,0)</f>
        <v>-3.140742</v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>47.58</v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13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IFERROR(D42+E42+G42,0)</f>
        <v>0.0</v>
      </c>
      <c r="G42" s="272" t="n">
        <v>0</v>
      </c>
      <c r="H42" s="273">
        <f>SUMIFS('💸 Expenses'!$F$8:$F$5000,'💸 Expenses'!$B$8:$B$5000,"&gt;="&amp;B42,'💸 Expenses'!$B$8:$B$5000,"&lt;"&amp;(B42+1))</f>
        <v>2065.85</v>
      </c>
      <c r="I42" s="274">
        <f>IFERROR(F42-H42,0)</f>
        <v>-2065.85</v>
      </c>
      <c r="J42" s="275">
        <f>IFERROR(I42/F42,0)</f>
        <v>0</v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>0.0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13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IFERROR(D43+E43+G43,0)</f>
        <v>4259.0</v>
      </c>
      <c r="G43" s="257" t="n">
        <v>0</v>
      </c>
      <c r="H43" s="258">
        <f>SUMIFS('💸 Expenses'!$F$8:$F$5000,'💸 Expenses'!$B$8:$B$5000,"&gt;="&amp;B43,'💸 Expenses'!$B$8:$B$5000,"&lt;"&amp;(B43+1))</f>
        <v>1451.0</v>
      </c>
      <c r="I43" s="259">
        <f>IFERROR(F43-H43,0)</f>
        <v>2808.0</v>
      </c>
      <c r="J43" s="260">
        <f>IFERROR(I43/F43,0)</f>
        <v>0.65931</v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>99.84</v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13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IFERROR(D44+E44+G44,0)</f>
        <v>2967.0</v>
      </c>
      <c r="G44" s="272" t="n">
        <v>0</v>
      </c>
      <c r="H44" s="273">
        <f>SUMIFS('💸 Expenses'!$F$8:$F$5000,'💸 Expenses'!$B$8:$B$5000,"&gt;="&amp;B44,'💸 Expenses'!$B$8:$B$5000,"&lt;"&amp;(B44+1))</f>
        <v>757.13</v>
      </c>
      <c r="I44" s="274">
        <f>IFERROR(F44-H44,0)</f>
        <v>2209.87</v>
      </c>
      <c r="J44" s="275">
        <f>IFERROR(I44/F44,0)</f>
        <v>0.744816</v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>58.95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13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IFERROR(D45+E45+G45,0)</f>
        <v>3589.0</v>
      </c>
      <c r="G45" s="257" t="n">
        <v>0</v>
      </c>
      <c r="H45" s="258">
        <f>SUMIFS('💸 Expenses'!$F$8:$F$5000,'💸 Expenses'!$B$8:$B$5000,"&gt;="&amp;B45,'💸 Expenses'!$B$8:$B$5000,"&lt;"&amp;(B45+1))</f>
        <v>3781.35</v>
      </c>
      <c r="I45" s="259">
        <f>IFERROR(F45-H45,0)</f>
        <v>-192.35</v>
      </c>
      <c r="J45" s="260">
        <f>IFERROR(I45/F45,0)</f>
        <v>-0.053594</v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>43.2</v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13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IFERROR(D46+E46+G46,0)</f>
        <v>3588.0</v>
      </c>
      <c r="G46" s="272" t="n">
        <v>0</v>
      </c>
      <c r="H46" s="273">
        <f>SUMIFS('💸 Expenses'!$F$8:$F$5000,'💸 Expenses'!$B$8:$B$5000,"&gt;="&amp;B46,'💸 Expenses'!$B$8:$B$5000,"&lt;"&amp;(B46+1))</f>
        <v>1228.0</v>
      </c>
      <c r="I46" s="274">
        <f>IFERROR(F46-H46,0)</f>
        <v>2360.0</v>
      </c>
      <c r="J46" s="275">
        <f>IFERROR(I46/F46,0)</f>
        <v>0.657748</v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>70.44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13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IFERROR(D47+E47+G47,0)</f>
        <v>4477.0</v>
      </c>
      <c r="G47" s="257" t="n">
        <v>165</v>
      </c>
      <c r="H47" s="258">
        <f>SUMIFS('💸 Expenses'!$F$8:$F$5000,'💸 Expenses'!$B$8:$B$5000,"&gt;="&amp;B47,'💸 Expenses'!$B$8:$B$5000,"&lt;"&amp;(B47+1))</f>
        <v>1945.53</v>
      </c>
      <c r="I47" s="259">
        <f>IFERROR(F47-H47,0)</f>
        <v>2531.47</v>
      </c>
      <c r="J47" s="260">
        <f>IFERROR(I47/F47,0)</f>
        <v>0.565439</v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>69.79</v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13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IFERROR(D48+E48+G48,0)</f>
        <v>2029.0</v>
      </c>
      <c r="G48" s="272" t="n">
        <v>0</v>
      </c>
      <c r="H48" s="273">
        <f>SUMIFS('💸 Expenses'!$F$8:$F$5000,'💸 Expenses'!$B$8:$B$5000,"&gt;="&amp;B48,'💸 Expenses'!$B$8:$B$5000,"&lt;"&amp;(B48+1))</f>
        <v>5250.0</v>
      </c>
      <c r="I48" s="274">
        <f>IFERROR(F48-H48,0)</f>
        <v>-3221.0</v>
      </c>
      <c r="J48" s="275">
        <f>IFERROR(I48/F48,0)</f>
        <v>-1.587482</v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>7.1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13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IFERROR(D49+E49+G49,0)</f>
        <v>0.0</v>
      </c>
      <c r="G49" s="257" t="n">
        <v>0</v>
      </c>
      <c r="H49" s="258">
        <f>SUMIFS('💸 Expenses'!$F$8:$F$5000,'💸 Expenses'!$B$8:$B$5000,"&gt;="&amp;B49,'💸 Expenses'!$B$8:$B$5000,"&lt;"&amp;(B49+1))</f>
        <v>3865.06</v>
      </c>
      <c r="I49" s="259">
        <f>IFERROR(F49-H49,0)</f>
        <v>-3865.06</v>
      </c>
      <c r="J49" s="260">
        <f>IFERROR(I49/F49,0)</f>
        <v>0</v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>0.0</v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13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IFERROR(D50+E50+G50,0)</f>
        <v>3389.0</v>
      </c>
      <c r="G50" s="272" t="n">
        <v>0</v>
      </c>
      <c r="H50" s="273">
        <f>SUMIFS('💸 Expenses'!$F$8:$F$5000,'💸 Expenses'!$B$8:$B$5000,"&gt;="&amp;B50,'💸 Expenses'!$B$8:$B$5000,"&lt;"&amp;(B50+1))</f>
        <v>2683.27</v>
      </c>
      <c r="I50" s="274">
        <f>IFERROR(F50-H50,0)</f>
        <v>705.73</v>
      </c>
      <c r="J50" s="275">
        <f>IFERROR(I50/F50,0)</f>
        <v>0.208241</v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>73.65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13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IFERROR(D51+E51+G51,0)</f>
        <v>4133.0</v>
      </c>
      <c r="G51" s="257" t="n">
        <v>55</v>
      </c>
      <c r="H51" s="258">
        <f>SUMIFS('💸 Expenses'!$F$8:$F$5000,'💸 Expenses'!$B$8:$B$5000,"&gt;="&amp;B51,'💸 Expenses'!$B$8:$B$5000,"&lt;"&amp;(B51+1))</f>
        <v>1581.27</v>
      </c>
      <c r="I51" s="259">
        <f>IFERROR(F51-H51,0)</f>
        <v>2551.73</v>
      </c>
      <c r="J51" s="260">
        <f>IFERROR(I51/F51,0)</f>
        <v>0.617404</v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>97.76</v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13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IFERROR(D52+E52+G52,0)</f>
        <v>4522.0</v>
      </c>
      <c r="G52" s="272" t="n">
        <v>0</v>
      </c>
      <c r="H52" s="273">
        <f>SUMIFS('💸 Expenses'!$F$8:$F$5000,'💸 Expenses'!$B$8:$B$5000,"&gt;="&amp;B52,'💸 Expenses'!$B$8:$B$5000,"&lt;"&amp;(B52+1))</f>
        <v>2341.23</v>
      </c>
      <c r="I52" s="274">
        <f>IFERROR(F52-H52,0)</f>
        <v>2180.77</v>
      </c>
      <c r="J52" s="275">
        <f>IFERROR(I52/F52,0)</f>
        <v>0.482258</v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>101.42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13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IFERROR(D53+E53+G53,0)</f>
        <v>3108.0</v>
      </c>
      <c r="G53" s="257" t="n">
        <v>0</v>
      </c>
      <c r="H53" s="258">
        <f>SUMIFS('💸 Expenses'!$F$8:$F$5000,'💸 Expenses'!$B$8:$B$5000,"&gt;="&amp;B53,'💸 Expenses'!$B$8:$B$5000,"&lt;"&amp;(B53+1))</f>
        <v>318.0</v>
      </c>
      <c r="I53" s="259">
        <f>IFERROR(F53-H53,0)</f>
        <v>2790.0</v>
      </c>
      <c r="J53" s="260">
        <f>IFERROR(I53/F53,0)</f>
        <v>0.897683</v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>75.48</v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13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IFERROR(D54+E54+G54,0)</f>
        <v>6077.0</v>
      </c>
      <c r="G54" s="272" t="n">
        <v>0</v>
      </c>
      <c r="H54" s="273">
        <f>SUMIFS('💸 Expenses'!$F$8:$F$5000,'💸 Expenses'!$B$8:$B$5000,"&gt;="&amp;B54,'💸 Expenses'!$B$8:$B$5000,"&lt;"&amp;(B54+1))</f>
        <v>2809.6</v>
      </c>
      <c r="I54" s="274">
        <f>IFERROR(F54-H54,0)</f>
        <v>3267.4</v>
      </c>
      <c r="J54" s="275">
        <f>IFERROR(I54/F54,0)</f>
        <v>0.537667</v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>150.3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13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IFERROR(D55+E55+G55,0)</f>
        <v>2634.0</v>
      </c>
      <c r="G55" s="257" t="n">
        <v>0</v>
      </c>
      <c r="H55" s="258">
        <f>SUMIFS('💸 Expenses'!$F$8:$F$5000,'💸 Expenses'!$B$8:$B$5000,"&gt;="&amp;B55,'💸 Expenses'!$B$8:$B$5000,"&lt;"&amp;(B55+1))</f>
        <v>6877.73</v>
      </c>
      <c r="I55" s="259">
        <f>IFERROR(F55-H55,0)</f>
        <v>-4243.73</v>
      </c>
      <c r="J55" s="260">
        <f>IFERROR(I55/F55,0)</f>
        <v>-1.611135</v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>70.6</v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13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IFERROR(D56+E56+G56,0)</f>
        <v>3690.0</v>
      </c>
      <c r="G56" s="272" t="n">
        <v>0</v>
      </c>
      <c r="H56" s="273">
        <f>SUMIFS('💸 Expenses'!$F$8:$F$5000,'💸 Expenses'!$B$8:$B$5000,"&gt;="&amp;B56,'💸 Expenses'!$B$8:$B$5000,"&lt;"&amp;(B56+1))</f>
        <v>4200.0</v>
      </c>
      <c r="I56" s="274">
        <f>IFERROR(F56-H56,0)</f>
        <v>-510.0</v>
      </c>
      <c r="J56" s="275">
        <f>IFERROR(I56/F56,0)</f>
        <v>-0.138211</v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>88.91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13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IFERROR(D57+E57+G57,0)</f>
        <v>3660.0</v>
      </c>
      <c r="G57" s="257" t="n">
        <v>0</v>
      </c>
      <c r="H57" s="258">
        <f>SUMIFS('💸 Expenses'!$F$8:$F$5000,'💸 Expenses'!$B$8:$B$5000,"&gt;="&amp;B57,'💸 Expenses'!$B$8:$B$5000,"&lt;"&amp;(B57+1))</f>
        <v>49.0</v>
      </c>
      <c r="I57" s="259">
        <f>IFERROR(F57-H57,0)</f>
        <v>3611.0</v>
      </c>
      <c r="J57" s="260">
        <f>IFERROR(I57/F57,0)</f>
        <v>0.986612</v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>74.7</v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13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IFERROR(D58+E58+G58+U58,0)</f>
        <v>3688.0</v>
      </c>
      <c r="G58" s="257" t="n">
        <v>195</v>
      </c>
      <c r="H58" s="258">
        <f>SUMIFS('💸 Expenses'!$F$8:$F$5000,'💸 Expenses'!$B$8:$B$5000,"&gt;="&amp;B58,'💸 Expenses'!$B$8:$B$5000,"&lt;"&amp;(B58+1))</f>
        <v>1415.43</v>
      </c>
      <c r="I58" s="259">
        <f>IFERROR(F58-H58,0)</f>
        <v>2272.57</v>
      </c>
      <c r="J58" s="260">
        <f>IFERROR(I58/F58,0)</f>
        <v>0.616207</v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>14.62</v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13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IFERROR(D59+E59+G59+U59,0)</f>
        <v>6015.0</v>
      </c>
      <c r="G59" s="257" t="n">
        <v>120</v>
      </c>
      <c r="H59" s="258">
        <f>SUMIFS('💸 Expenses'!$F$8:$F$5000,'💸 Expenses'!$B$8:$B$5000,"&gt;="&amp;B59,'💸 Expenses'!$B$8:$B$5000,"&lt;"&amp;(B59+1))</f>
        <v>1820.89</v>
      </c>
      <c r="I59" s="259">
        <f>IFERROR(F59-H59,0)</f>
        <v>4194.11</v>
      </c>
      <c r="J59" s="260">
        <f>IFERROR(I59/F59,0)</f>
        <v>0.697275</v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>78.76</v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13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IFERROR(D60+E60+G60+U60,0)</f>
        <v>3500.0</v>
      </c>
      <c r="G60" s="257" t="n">
        <v>70</v>
      </c>
      <c r="H60" s="258">
        <f>SUMIFS('💸 Expenses'!$F$8:$F$5000,'💸 Expenses'!$B$8:$B$5000,"&gt;="&amp;B60,'💸 Expenses'!$B$8:$B$5000,"&lt;"&amp;(B60+1))</f>
        <v>2094.0</v>
      </c>
      <c r="I60" s="259">
        <f>IFERROR(F60-H60,0)</f>
        <v>1406.0</v>
      </c>
      <c r="J60" s="260">
        <f>IFERROR(I60/F60,0)</f>
        <v>0.401714</v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>69.02</v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13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IFERROR(D61+E61+G61+U61,0)</f>
        <v>2725.0</v>
      </c>
      <c r="G61" s="257" t="n">
        <v>0</v>
      </c>
      <c r="H61" s="258">
        <f>SUMIFS('💸 Expenses'!$F$8:$F$5000,'💸 Expenses'!$B$8:$B$5000,"&gt;="&amp;B61,'💸 Expenses'!$B$8:$B$5000,"&lt;"&amp;(B61+1))</f>
        <v>10207.0</v>
      </c>
      <c r="I61" s="259">
        <f>IFERROR(F61-H61,0)</f>
        <v>-7482.0</v>
      </c>
      <c r="J61" s="260">
        <f>IFERROR(I61/F61,0)</f>
        <v>-2.745688</v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>11.37</v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13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>3990.0</v>
      </c>
      <c r="G62" s="257" t="n">
        <v>120</v>
      </c>
      <c r="H62" s="258">
        <f>SUMIFS('💸 Expenses'!$F$8:$F$5000,'💸 Expenses'!$B$8:$B$5000,"&gt;="&amp;B62,'💸 Expenses'!$B$8:$B$5000,"&lt;"&amp;(B62+1))</f>
        <v>3142.0</v>
      </c>
      <c r="I62" s="259">
        <f>IFERROR(F62-H62,0)</f>
        <v>848.0</v>
      </c>
      <c r="J62" s="260">
        <f>IFERROR(I62/F62,0)</f>
        <v>0.212531</v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>0.0</v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13">
      <c r="B63" s="420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>3915.0</v>
      </c>
      <c r="G63" s="257" t="n">
        <v>0</v>
      </c>
      <c r="H63" s="258">
        <f>SUMIFS('💸 Expenses'!$F$8:$F$5000,'💸 Expenses'!$B$8:$B$5000,"&gt;="&amp;B63,'💸 Expenses'!$B$8:$B$5000,"&lt;"&amp;(B63+1))</f>
        <v>596.38</v>
      </c>
      <c r="I63" s="259">
        <f>IFERROR(F63-H63,0)</f>
        <v>3318.62</v>
      </c>
      <c r="J63" s="260">
        <f>IFERROR(I63/F63,0)</f>
        <v>0.847668</v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421">
        <f>IFERROR(D63*$T$7,0)</f>
        <v>0.0</v>
      </c>
      <c r="S63" s="292" t="n"/>
      <c r="T63" s="292" t="n"/>
      <c r="U63" s="421" t="n">
        <v>0</v>
      </c>
      <c r="V63" s="421" t="n">
        <v>0</v>
      </c>
      <c r="W63" s="292" t="n"/>
      <c r="X63" s="292" t="n"/>
      <c r="Y63" s="421" t="n">
        <v>1955</v>
      </c>
      <c r="Z63" s="421" t="n">
        <v>37.15</v>
      </c>
      <c r="AA63" s="292" t="n"/>
      <c r="AB63" s="292" t="n"/>
    </row>
    <row r="64" ht="16.5" customHeight="1" s="313">
      <c r="B64" s="420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>5565.0</v>
      </c>
      <c r="G64" s="257" t="n">
        <v>130</v>
      </c>
      <c r="H64" s="258">
        <f>SUMIFS('💸 Expenses'!$F$8:$F$5000,'💸 Expenses'!$B$8:$B$5000,"&gt;="&amp;B64,'💸 Expenses'!$B$8:$B$5000,"&lt;"&amp;(B64+1))</f>
        <v>2606.86</v>
      </c>
      <c r="I64" s="259">
        <f>IFERROR(F64-H64,0)</f>
        <v>2958.14</v>
      </c>
      <c r="J64" s="260">
        <f>IFERROR(I64/F64,0)</f>
        <v>0.531562</v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421">
        <f>IFERROR(D64*$T$7,0)</f>
        <v>0.0</v>
      </c>
      <c r="S64" s="292" t="n"/>
      <c r="T64" s="292" t="n"/>
      <c r="U64" s="421" t="n">
        <v>0</v>
      </c>
      <c r="V64" s="421" t="n">
        <v>0</v>
      </c>
      <c r="W64" s="292" t="n"/>
      <c r="X64" s="292" t="n"/>
      <c r="Y64" s="421" t="n">
        <v>3330</v>
      </c>
      <c r="Z64" s="421" t="n">
        <v>63.27</v>
      </c>
      <c r="AA64" s="292" t="n"/>
      <c r="AB64" s="292" t="n"/>
    </row>
    <row r="65" ht="16.5" customHeight="1" s="313">
      <c r="B65" s="420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>12495.0</v>
      </c>
      <c r="G65" s="257" t="n">
        <v>2385</v>
      </c>
      <c r="H65" s="258">
        <f>SUMIFS('💸 Expenses'!$F$8:$F$5000,'💸 Expenses'!$B$8:$B$5000,"&gt;="&amp;B65,'💸 Expenses'!$B$8:$B$5000,"&lt;"&amp;(B65+1))</f>
        <v>1657.0</v>
      </c>
      <c r="I65" s="259">
        <f>IFERROR(F65-H65,0)</f>
        <v>10838.0</v>
      </c>
      <c r="J65" s="260">
        <f>IFERROR(I65/F65,0)</f>
        <v>0.867387</v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421">
        <f>IFERROR(D65*$T$7,0)</f>
        <v>0.0</v>
      </c>
      <c r="S65" s="292" t="n"/>
      <c r="T65" s="292" t="n"/>
      <c r="U65" s="421" t="n">
        <v>0</v>
      </c>
      <c r="V65" s="421" t="n">
        <v>0</v>
      </c>
      <c r="W65" s="292" t="n"/>
      <c r="X65" s="292" t="n"/>
      <c r="Y65" s="421" t="n">
        <v>5260</v>
      </c>
      <c r="Z65" s="421" t="n">
        <v>99.94</v>
      </c>
      <c r="AA65" s="292" t="n"/>
      <c r="AB65" s="292" t="n"/>
    </row>
    <row r="66" ht="16.5" customHeight="1" s="313">
      <c r="B66" s="420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>2622.0</v>
      </c>
      <c r="G66" s="257" t="n">
        <v>300</v>
      </c>
      <c r="H66" s="258">
        <f>SUMIFS('💸 Expenses'!$F$8:$F$5000,'💸 Expenses'!$B$8:$B$5000,"&gt;="&amp;B66,'💸 Expenses'!$B$8:$B$5000,"&lt;"&amp;(B66+1))</f>
        <v>1951.0</v>
      </c>
      <c r="I66" s="259">
        <f>IFERROR(F66-H66,0)</f>
        <v>671.0</v>
      </c>
      <c r="J66" s="260">
        <f>IFERROR(I66/F66,0)</f>
        <v>0.255912</v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421">
        <f>IFERROR(D66*$T$7,0)</f>
        <v>0.0</v>
      </c>
      <c r="S66" s="292" t="n"/>
      <c r="T66" s="292" t="n"/>
      <c r="U66" s="421" t="n">
        <v>0</v>
      </c>
      <c r="V66" s="421" t="n">
        <v>0</v>
      </c>
      <c r="W66" s="292" t="n"/>
      <c r="X66" s="292" t="n"/>
      <c r="Y66" s="421" t="n">
        <v>1537</v>
      </c>
      <c r="Z66" s="421" t="n">
        <v>29.2</v>
      </c>
      <c r="AA66" s="292" t="n"/>
      <c r="AB66" s="292" t="n"/>
    </row>
    <row r="67" ht="16.5" customHeight="1" s="313">
      <c r="B67" s="420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>2900.0</v>
      </c>
      <c r="G67" s="257" t="n">
        <v>290</v>
      </c>
      <c r="H67" s="258">
        <f>SUMIFS('💸 Expenses'!$F$8:$F$5000,'💸 Expenses'!$B$8:$B$5000,"&gt;="&amp;B67,'💸 Expenses'!$B$8:$B$5000,"&lt;"&amp;(B67+1))</f>
        <v>6770.0</v>
      </c>
      <c r="I67" s="259">
        <f>IFERROR(F67-H67,0)</f>
        <v>-3870.0</v>
      </c>
      <c r="J67" s="260">
        <f>IFERROR(I67/F67,0)</f>
        <v>-1.334483</v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421">
        <f>IFERROR(D67*$T$7,0)</f>
        <v>0.0</v>
      </c>
      <c r="S67" s="292" t="n"/>
      <c r="T67" s="292" t="n"/>
      <c r="U67" s="421" t="n">
        <v>0</v>
      </c>
      <c r="V67" s="421" t="n">
        <v>0</v>
      </c>
      <c r="W67" s="292" t="n"/>
      <c r="X67" s="292" t="n"/>
      <c r="Y67" s="421" t="n">
        <v>1865</v>
      </c>
      <c r="Z67" s="421" t="n">
        <v>35.44</v>
      </c>
      <c r="AA67" s="292" t="n"/>
      <c r="AB67" s="292" t="n"/>
    </row>
    <row r="68" ht="16.5" customHeight="1" s="313">
      <c r="B68" s="420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>4955.0</v>
      </c>
      <c r="G68" s="257" t="n">
        <v>0</v>
      </c>
      <c r="H68" s="258">
        <f>SUMIFS('💸 Expenses'!$F$8:$F$5000,'💸 Expenses'!$B$8:$B$5000,"&gt;="&amp;B68,'💸 Expenses'!$B$8:$B$5000,"&lt;"&amp;(B68+1))</f>
        <v>2459.0</v>
      </c>
      <c r="I68" s="259">
        <f>IFERROR(F68-H68,0)</f>
        <v>2496.0</v>
      </c>
      <c r="J68" s="260">
        <f>IFERROR(I68/F68,0)</f>
        <v>0.503734</v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421">
        <f>IFERROR(D68*$T$7,0)</f>
        <v>0.0</v>
      </c>
      <c r="S68" s="292" t="n"/>
      <c r="T68" s="292" t="n"/>
      <c r="U68" s="421" t="n">
        <v>80</v>
      </c>
      <c r="V68" s="421" t="n">
        <v>1.48</v>
      </c>
      <c r="W68" s="292" t="n"/>
      <c r="X68" s="292" t="n"/>
      <c r="Y68" s="421" t="n">
        <v>3485</v>
      </c>
      <c r="Z68" s="421" t="n">
        <v>66.22</v>
      </c>
      <c r="AA68" s="292" t="n"/>
      <c r="AB68" s="292" t="n"/>
    </row>
    <row r="69" ht="16.5" customHeight="1" s="313">
      <c r="B69" s="420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>5480.0</v>
      </c>
      <c r="G69" s="257" t="n">
        <v>0</v>
      </c>
      <c r="H69" s="258">
        <f>SUMIFS('💸 Expenses'!$F$8:$F$5000,'💸 Expenses'!$B$8:$B$5000,"&gt;="&amp;B69,'💸 Expenses'!$B$8:$B$5000,"&lt;"&amp;(B69+1))</f>
        <v>2197.0</v>
      </c>
      <c r="I69" s="259">
        <f>IFERROR(F69-H69,0)</f>
        <v>3283.0</v>
      </c>
      <c r="J69" s="260">
        <f>IFERROR(I69/F69,0)</f>
        <v>0.599088</v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421">
        <f>IFERROR(D69*$T$7,0)</f>
        <v>0.0</v>
      </c>
      <c r="S69" s="292" t="n"/>
      <c r="T69" s="292" t="n"/>
      <c r="U69" s="421" t="n">
        <v>0</v>
      </c>
      <c r="V69" s="421" t="n">
        <v>0</v>
      </c>
      <c r="W69" s="292" t="n"/>
      <c r="X69" s="292" t="n"/>
      <c r="Y69" s="421" t="n">
        <v>2010</v>
      </c>
      <c r="Z69" s="421" t="n">
        <v>38.19</v>
      </c>
      <c r="AA69" s="292" t="n"/>
      <c r="AB69" s="292" t="n"/>
    </row>
    <row r="70" ht="16.5" customHeight="1" s="313">
      <c r="B70" s="420" t="n">
        <v>46225</v>
      </c>
      <c r="C70" s="255" t="inlineStr">
        <is>
          <t>Wed</t>
        </is>
      </c>
      <c r="D70" s="256" t="n">
        <v>2310</v>
      </c>
      <c r="E70" s="49" t="n">
        <v>1730</v>
      </c>
      <c r="F70" s="50">
        <f>IFERROR(D70+E70+G70+U70+Y70,0)</f>
        <v>5205.0</v>
      </c>
      <c r="G70" s="257" t="n">
        <v>355</v>
      </c>
      <c r="H70" s="258">
        <f>SUMIFS('💸 Expenses'!$F$8:$F$5000,'💸 Expenses'!$B$8:$B$5000,"&gt;="&amp;B70,'💸 Expenses'!$B$8:$B$5000,"&lt;"&amp;(B70+1))</f>
        <v>3819.0</v>
      </c>
      <c r="I70" s="259">
        <f>IFERROR(F70-H70,0)</f>
        <v>1386.0</v>
      </c>
      <c r="J70" s="260">
        <f>IFERROR(I70/F70,0)</f>
        <v>0.266282</v>
      </c>
      <c r="K70" s="254" t="n"/>
      <c r="L70" s="261" t="inlineStr">
        <is>
          <t>EOD close (MP + BBVA + cash). Transfer col = $260 to-me (ledger) + $95 to restaurant BBVA bank (revenue, no comm). | +$240 additional cash income</t>
        </is>
      </c>
      <c r="M70" s="291" t="n"/>
      <c r="N70" s="292" t="n"/>
      <c r="O70" s="293" t="n"/>
      <c r="P70" s="294" t="n"/>
      <c r="Q70" s="292" t="n"/>
      <c r="R70" s="421">
        <f>IFERROR(D70*$T$7,0)</f>
        <v>93.79</v>
      </c>
      <c r="S70" s="292" t="n"/>
      <c r="T70" s="292" t="n"/>
      <c r="U70" s="421" t="n">
        <v>0</v>
      </c>
      <c r="V70" s="421" t="n">
        <v>0</v>
      </c>
      <c r="W70" s="292" t="n"/>
      <c r="X70" s="292" t="n"/>
      <c r="Y70" s="421" t="n">
        <v>810</v>
      </c>
      <c r="Z70" s="421" t="n">
        <v>15.39</v>
      </c>
      <c r="AA70" s="292" t="n"/>
      <c r="AB70" s="292" t="n"/>
    </row>
    <row r="71" ht="16.5" customHeight="1" s="313">
      <c r="B71" s="420" t="n">
        <v>46226</v>
      </c>
      <c r="C71" s="255" t="inlineStr">
        <is>
          <t>Thu</t>
        </is>
      </c>
      <c r="D71" s="256" t="n">
        <v>1695</v>
      </c>
      <c r="E71" s="49" t="n">
        <v>2380</v>
      </c>
      <c r="F71" s="50">
        <f>IFERROR(D71+E71+G71+U71+Y71,0)</f>
        <v>4075.0</v>
      </c>
      <c r="G71" s="257" t="n">
        <v>0</v>
      </c>
      <c r="H71" s="258">
        <f>SUMIFS('💸 Expenses'!$F$8:$F$5000,'💸 Expenses'!$B$8:$B$5000,"&gt;="&amp;B71,'💸 Expenses'!$B$8:$B$5000,"&lt;"&amp;(B71+1))</f>
        <v>5348.83</v>
      </c>
      <c r="I71" s="259">
        <f>IFERROR(F71-H71,0)</f>
        <v>-1273.83</v>
      </c>
      <c r="J71" s="260">
        <f>IFERROR(I71/F71,0)</f>
        <v>-0.312596</v>
      </c>
      <c r="K71" s="254" t="n"/>
      <c r="L71" s="261" t="inlineStr">
        <is>
          <t>EOD close (MP + cash; no BBVA/Soft, no transfers). Heavy Guimar packaging restock day.</t>
        </is>
      </c>
      <c r="M71" s="291" t="n"/>
      <c r="N71" s="292" t="n"/>
      <c r="O71" s="293" t="n"/>
      <c r="P71" s="294" t="n"/>
      <c r="Q71" s="292" t="n"/>
      <c r="R71" s="421">
        <f>IFERROR(D71*$T$7,0)</f>
        <v>68.82</v>
      </c>
      <c r="S71" s="292" t="n"/>
      <c r="T71" s="292" t="n"/>
      <c r="U71" s="421" t="n">
        <v>0</v>
      </c>
      <c r="V71" s="421" t="n">
        <v>0</v>
      </c>
      <c r="W71" s="292" t="n"/>
      <c r="X71" s="292" t="n"/>
      <c r="Y71" s="421" t="n">
        <v>0</v>
      </c>
      <c r="Z71" s="421" t="n">
        <v>0</v>
      </c>
      <c r="AA71" s="292" t="n"/>
      <c r="AB71" s="292" t="n"/>
    </row>
    <row r="72" ht="16.5" customHeight="1" s="313">
      <c r="B72" s="420" t="n">
        <v>46227</v>
      </c>
      <c r="C72" s="255" t="inlineStr">
        <is>
          <t>Fri</t>
        </is>
      </c>
      <c r="D72" s="256" t="n">
        <v>2455</v>
      </c>
      <c r="E72" s="49" t="n">
        <v>3315</v>
      </c>
      <c r="F72" s="50">
        <f>IFERROR(D72+E72+G72+U72+Y72,0)</f>
        <v>5770.0</v>
      </c>
      <c r="G72" s="257" t="n">
        <v>0</v>
      </c>
      <c r="H72" s="258">
        <f>SUMIFS('💸 Expenses'!$F$8:$F$5000,'💸 Expenses'!$B$8:$B$5000,"&gt;="&amp;B72,'💸 Expenses'!$B$8:$B$5000,"&lt;"&amp;(B72+1))</f>
        <v>1886.0</v>
      </c>
      <c r="I72" s="259">
        <f>IFERROR(F72-H72,0)</f>
        <v>3884.0</v>
      </c>
      <c r="J72" s="260">
        <f>IFERROR(I72/F72,0)</f>
        <v>0.673137</v>
      </c>
      <c r="K72" s="254" t="n"/>
      <c r="L72" s="261" t="inlineStr">
        <is>
          <t>EOD close (MP + cash). Samu Week 10 salary paid.</t>
        </is>
      </c>
      <c r="M72" s="291" t="n"/>
      <c r="N72" s="292" t="n"/>
      <c r="O72" s="293" t="n"/>
      <c r="P72" s="294" t="n"/>
      <c r="Q72" s="292" t="n"/>
      <c r="R72" s="421">
        <f>IFERROR(D72*$T$7,0)</f>
        <v>99.67</v>
      </c>
      <c r="S72" s="292" t="n"/>
      <c r="T72" s="292" t="n"/>
      <c r="U72" s="421" t="n">
        <v>0</v>
      </c>
      <c r="V72" s="421" t="n">
        <v>0</v>
      </c>
      <c r="W72" s="292" t="n"/>
      <c r="X72" s="292" t="n"/>
      <c r="Y72" s="421" t="n">
        <v>0</v>
      </c>
      <c r="Z72" s="421" t="n">
        <v>0</v>
      </c>
      <c r="AA72" s="292" t="n"/>
      <c r="AB72" s="292" t="n"/>
    </row>
    <row r="73" ht="16.5" customHeight="1" s="313">
      <c r="B73" s="420" t="n">
        <v>46228</v>
      </c>
      <c r="C73" s="255" t="inlineStr">
        <is>
          <t>Sat</t>
        </is>
      </c>
      <c r="D73" s="256" t="n">
        <v>155</v>
      </c>
      <c r="E73" s="49" t="n">
        <v>1070</v>
      </c>
      <c r="F73" s="50">
        <f>IFERROR(D73+E73+G73+U73+Y73,0)</f>
        <v>1225.0</v>
      </c>
      <c r="G73" s="257" t="n">
        <v>0</v>
      </c>
      <c r="H73" s="258">
        <f>SUMIFS('💸 Expenses'!$F$8:$F$5000,'💸 Expenses'!$B$8:$B$5000,"&gt;="&amp;B73,'💸 Expenses'!$B$8:$B$5000,"&lt;"&amp;(B73+1))</f>
        <v>6613.0</v>
      </c>
      <c r="I73" s="259">
        <f>IFERROR(F73-H73,0)</f>
        <v>-5388.0</v>
      </c>
      <c r="J73" s="260">
        <f>IFERROR(I73/F73,0)</f>
        <v>-4.398367</v>
      </c>
      <c r="K73" s="254" t="n"/>
      <c r="L73" s="261" t="inlineStr">
        <is>
          <t>EOD close (MP + cash). John + Duvi Week 10 salaries paid.</t>
        </is>
      </c>
      <c r="M73" s="291" t="n"/>
      <c r="N73" s="292" t="n"/>
      <c r="O73" s="293" t="n"/>
      <c r="P73" s="294" t="n"/>
      <c r="Q73" s="292" t="n"/>
      <c r="R73" s="421">
        <f>IFERROR(D73*$T$7,0)</f>
        <v>6.29</v>
      </c>
      <c r="S73" s="292" t="n"/>
      <c r="T73" s="292" t="n"/>
      <c r="U73" s="421" t="n">
        <v>0</v>
      </c>
      <c r="V73" s="421" t="n">
        <v>0</v>
      </c>
      <c r="W73" s="292" t="n"/>
      <c r="X73" s="292" t="n"/>
      <c r="Y73" s="421" t="n">
        <v>0</v>
      </c>
      <c r="Z73" s="421" t="n">
        <v>0</v>
      </c>
      <c r="AA73" s="292" t="n"/>
      <c r="AB73" s="292" t="n"/>
    </row>
    <row r="74" ht="16.5" customHeight="1" s="313">
      <c r="B74" s="420" t="n">
        <v>46230</v>
      </c>
      <c r="C74" s="270" t="inlineStr">
        <is>
          <t>Mon</t>
        </is>
      </c>
      <c r="D74" s="271" t="n">
        <v>1100</v>
      </c>
      <c r="E74" s="37" t="n">
        <v>1380</v>
      </c>
      <c r="F74" s="38">
        <f>IFERROR(D74+E74+G74+U74+Y74,0)</f>
        <v>3180.0</v>
      </c>
      <c r="G74" s="272" t="n">
        <v>700</v>
      </c>
      <c r="H74" s="273">
        <f>SUMIFS('💸 Expenses'!$F$8:$F$5000,'💸 Expenses'!$B$8:$B$5000,"&gt;="&amp;B74,'💸 Expenses'!$B$8:$B$5000,"&lt;"&amp;(B74+1))</f>
        <v>928.0</v>
      </c>
      <c r="I74" s="274">
        <f>IFERROR(F74-H74,0)</f>
        <v>2252.0</v>
      </c>
      <c r="J74" s="275">
        <f>IFERROR(I74/F74,0)</f>
        <v>0.708176</v>
      </c>
      <c r="K74" s="250" t="n"/>
      <c r="L74" s="276" t="inlineStr">
        <is>
          <t>Cierre via loka.py</t>
        </is>
      </c>
      <c r="M74" s="434" t="n"/>
      <c r="N74" s="435" t="n"/>
      <c r="O74" s="436" t="n"/>
      <c r="P74" s="437" t="n"/>
      <c r="Q74" s="435" t="n"/>
      <c r="R74" s="438">
        <f>IFERROR(D74*$T$7,0)</f>
        <v>44.66</v>
      </c>
      <c r="S74" s="435" t="n"/>
      <c r="T74" s="435" t="n"/>
      <c r="U74" s="438" t="n">
        <v>0</v>
      </c>
      <c r="V74" s="438" t="n">
        <v>0</v>
      </c>
      <c r="W74" s="435" t="n"/>
      <c r="X74" s="435" t="n"/>
      <c r="Y74" s="438" t="n">
        <v>0</v>
      </c>
      <c r="Z74" s="438" t="n">
        <v>0</v>
      </c>
      <c r="AA74" s="435" t="n"/>
      <c r="AB74" s="435" t="n"/>
    </row>
    <row r="75" ht="16.5" customHeight="1" s="313">
      <c r="B75" s="420" t="n">
        <v>46231</v>
      </c>
      <c r="C75" s="255" t="inlineStr">
        <is>
          <t>Tue</t>
        </is>
      </c>
      <c r="D75" s="256" t="n">
        <v>3205</v>
      </c>
      <c r="E75" s="49" t="n">
        <v>1565</v>
      </c>
      <c r="F75" s="50">
        <f>IFERROR(D75+E75+G75+U75+Y75,0)</f>
        <v>5250.0</v>
      </c>
      <c r="G75" s="257" t="n">
        <v>130</v>
      </c>
      <c r="H75" s="258">
        <f>SUMIFS('💸 Expenses'!$F$8:$F$5000,'💸 Expenses'!$B$8:$B$5000,"&gt;="&amp;B75,'💸 Expenses'!$B$8:$B$5000,"&lt;"&amp;(B75+1))</f>
        <v>1504.0</v>
      </c>
      <c r="I75" s="259">
        <f>IFERROR(F75-H75,0)</f>
        <v>3746.0</v>
      </c>
      <c r="J75" s="260">
        <f>IFERROR(I75/F75,0)</f>
        <v>0.713524</v>
      </c>
      <c r="K75" s="254" t="n"/>
      <c r="L75" s="261" t="inlineStr">
        <is>
          <t>Cierre via loka.py</t>
        </is>
      </c>
      <c r="M75" s="291" t="n"/>
      <c r="N75" s="292" t="n"/>
      <c r="O75" s="293" t="n"/>
      <c r="P75" s="294" t="n"/>
      <c r="Q75" s="292" t="n"/>
      <c r="R75" s="421">
        <f>IFERROR(D75*$T$7,0)</f>
        <v>130.12</v>
      </c>
      <c r="S75" s="292" t="n"/>
      <c r="T75" s="292" t="n"/>
      <c r="U75" s="421" t="n">
        <v>0</v>
      </c>
      <c r="V75" s="421" t="n">
        <v>0</v>
      </c>
      <c r="W75" s="292" t="n"/>
      <c r="X75" s="292" t="n"/>
      <c r="Y75" s="421" t="n">
        <v>350</v>
      </c>
      <c r="Z75" s="421" t="n">
        <v>6.65</v>
      </c>
      <c r="AA75" s="292" t="n"/>
      <c r="AB75" s="292" t="n"/>
    </row>
    <row r="76" ht="16.5" customHeight="1" s="313">
      <c r="B76" s="34" t="n"/>
      <c r="C76" s="35" t="n"/>
      <c r="D76" s="36" t="n"/>
      <c r="E76" s="37" t="n"/>
      <c r="F76" s="38" t="n"/>
      <c r="G76" s="39" t="n"/>
      <c r="H76" s="40" t="n"/>
      <c r="I76" s="41" t="n"/>
      <c r="J76" s="42" t="n"/>
      <c r="K76" s="43" t="n"/>
      <c r="L76" s="9" t="n"/>
      <c r="M76" s="12" t="n"/>
      <c r="N76" s="44" t="n"/>
      <c r="O76" s="45" t="n"/>
      <c r="P76" s="46" t="n"/>
      <c r="Q76" s="44" t="n"/>
      <c r="R76" s="44" t="n"/>
      <c r="S76" s="44" t="n"/>
      <c r="T76" s="44" t="n"/>
      <c r="U76" s="44" t="n"/>
      <c r="V76" s="44" t="n"/>
      <c r="W76" s="44" t="n"/>
      <c r="X76" s="44" t="n"/>
      <c r="Y76" s="44" t="n"/>
      <c r="Z76" s="44" t="n"/>
      <c r="AA76" s="44" t="n"/>
      <c r="AB76" s="44" t="n"/>
    </row>
    <row r="77" ht="16.5" customHeight="1" s="313">
      <c r="B77" s="34" t="n"/>
      <c r="C77" s="47" t="n"/>
      <c r="D77" s="48" t="n"/>
      <c r="E77" s="49" t="n"/>
      <c r="F77" s="50" t="n"/>
      <c r="G77" s="51" t="n"/>
      <c r="H77" s="52" t="n"/>
      <c r="I77" s="53" t="n"/>
      <c r="J77" s="54" t="n"/>
      <c r="K77" s="55" t="n"/>
      <c r="L77" s="18" t="n"/>
      <c r="M77" s="21" t="n"/>
      <c r="N77" s="56" t="n"/>
      <c r="O77" s="57" t="n"/>
      <c r="P77" s="58" t="n"/>
      <c r="Q77" s="56" t="n"/>
      <c r="R77" s="56" t="n"/>
      <c r="S77" s="56" t="n"/>
      <c r="T77" s="56" t="n"/>
      <c r="U77" s="56" t="n"/>
      <c r="V77" s="56" t="n"/>
      <c r="W77" s="56" t="n"/>
      <c r="X77" s="56" t="n"/>
      <c r="Y77" s="56" t="n"/>
      <c r="Z77" s="56" t="n"/>
      <c r="AA77" s="56" t="n"/>
      <c r="AB77" s="56" t="n"/>
    </row>
    <row r="78" ht="16.5" customHeight="1" s="313">
      <c r="B78" s="34" t="n"/>
      <c r="C78" s="35" t="n"/>
      <c r="D78" s="36" t="n"/>
      <c r="E78" s="37" t="n"/>
      <c r="F78" s="38" t="n"/>
      <c r="G78" s="39" t="n"/>
      <c r="H78" s="40" t="n"/>
      <c r="I78" s="41" t="n"/>
      <c r="J78" s="42" t="n"/>
      <c r="K78" s="43" t="n"/>
      <c r="L78" s="9" t="n"/>
      <c r="M78" s="12" t="n"/>
      <c r="N78" s="44" t="n"/>
      <c r="O78" s="45" t="n"/>
      <c r="P78" s="46" t="n"/>
      <c r="Q78" s="44" t="n"/>
      <c r="R78" s="44" t="n"/>
      <c r="S78" s="44" t="n"/>
      <c r="T78" s="44" t="n"/>
      <c r="U78" s="44" t="n"/>
      <c r="V78" s="44" t="n"/>
      <c r="W78" s="44" t="n"/>
      <c r="X78" s="44" t="n"/>
      <c r="Y78" s="44" t="n"/>
      <c r="Z78" s="44" t="n"/>
      <c r="AA78" s="44" t="n"/>
      <c r="AB78" s="44" t="n"/>
    </row>
    <row r="79" ht="16.5" customHeight="1" s="313">
      <c r="B79" s="34" t="n"/>
      <c r="C79" s="47" t="n"/>
      <c r="D79" s="48" t="n"/>
      <c r="E79" s="49" t="n"/>
      <c r="F79" s="50" t="n"/>
      <c r="G79" s="51" t="n"/>
      <c r="H79" s="52" t="n"/>
      <c r="I79" s="53" t="n"/>
      <c r="J79" s="54" t="n"/>
      <c r="K79" s="55" t="n"/>
      <c r="L79" s="18" t="n"/>
      <c r="M79" s="21" t="n"/>
      <c r="N79" s="56" t="n"/>
      <c r="O79" s="57" t="n"/>
      <c r="P79" s="58" t="n"/>
      <c r="Q79" s="56" t="n"/>
      <c r="R79" s="56" t="n"/>
      <c r="S79" s="56" t="n"/>
      <c r="T79" s="56" t="n"/>
      <c r="U79" s="56" t="n"/>
      <c r="V79" s="56" t="n"/>
      <c r="W79" s="56" t="n"/>
      <c r="X79" s="56" t="n"/>
      <c r="Y79" s="56" t="n"/>
      <c r="Z79" s="56" t="n"/>
      <c r="AA79" s="56" t="n"/>
      <c r="AB79" s="56" t="n"/>
    </row>
    <row r="80" ht="16.5" customHeight="1" s="313">
      <c r="B80" s="34" t="n"/>
      <c r="C80" s="35" t="n"/>
      <c r="D80" s="36" t="n"/>
      <c r="E80" s="37" t="n"/>
      <c r="F80" s="38" t="n"/>
      <c r="G80" s="39" t="n"/>
      <c r="H80" s="40" t="n"/>
      <c r="I80" s="41" t="n"/>
      <c r="J80" s="42" t="n"/>
      <c r="K80" s="43" t="n"/>
      <c r="L80" s="9" t="n"/>
      <c r="M80" s="12" t="n"/>
      <c r="N80" s="44" t="n"/>
      <c r="O80" s="45" t="n"/>
      <c r="P80" s="46" t="n"/>
      <c r="Q80" s="44" t="n"/>
      <c r="R80" s="44" t="n"/>
      <c r="S80" s="44" t="n"/>
      <c r="T80" s="44" t="n"/>
      <c r="U80" s="44" t="n"/>
      <c r="V80" s="44" t="n"/>
      <c r="W80" s="44" t="n"/>
      <c r="X80" s="44" t="n"/>
      <c r="Y80" s="44" t="n"/>
      <c r="Z80" s="44" t="n"/>
      <c r="AA80" s="44" t="n"/>
      <c r="AB80" s="44" t="n"/>
    </row>
    <row r="81" ht="16.5" customHeight="1" s="313">
      <c r="B81" s="34" t="n"/>
      <c r="C81" s="47" t="n"/>
      <c r="D81" s="48" t="n"/>
      <c r="E81" s="49" t="n"/>
      <c r="F81" s="50" t="n"/>
      <c r="G81" s="51" t="n"/>
      <c r="H81" s="52" t="n"/>
      <c r="I81" s="53" t="n"/>
      <c r="J81" s="54" t="n"/>
      <c r="K81" s="55" t="n"/>
      <c r="L81" s="18" t="n"/>
      <c r="M81" s="21" t="n"/>
      <c r="N81" s="56" t="n"/>
      <c r="O81" s="57" t="n"/>
      <c r="P81" s="58" t="n"/>
      <c r="Q81" s="56" t="n"/>
      <c r="R81" s="56" t="n"/>
      <c r="S81" s="56" t="n"/>
      <c r="T81" s="56" t="n"/>
      <c r="U81" s="56" t="n"/>
      <c r="V81" s="56" t="n"/>
      <c r="W81" s="56" t="n"/>
      <c r="X81" s="56" t="n"/>
      <c r="Y81" s="56" t="n"/>
      <c r="Z81" s="56" t="n"/>
      <c r="AA81" s="56" t="n"/>
      <c r="AB81" s="56" t="n"/>
    </row>
    <row r="82" ht="16.5" customHeight="1" s="313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  <c r="R82" s="44" t="n"/>
      <c r="S82" s="44" t="n"/>
      <c r="T82" s="44" t="n"/>
      <c r="U82" s="44" t="n"/>
      <c r="V82" s="44" t="n"/>
      <c r="W82" s="44" t="n"/>
      <c r="X82" s="44" t="n"/>
      <c r="Y82" s="44" t="n"/>
      <c r="Z82" s="44" t="n"/>
      <c r="AA82" s="44" t="n"/>
      <c r="AB82" s="44" t="n"/>
    </row>
    <row r="83" ht="16.5" customHeight="1" s="313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  <c r="R83" s="56" t="n"/>
      <c r="S83" s="56" t="n"/>
      <c r="T83" s="56" t="n"/>
      <c r="U83" s="56" t="n"/>
      <c r="V83" s="56" t="n"/>
      <c r="W83" s="56" t="n"/>
      <c r="X83" s="56" t="n"/>
      <c r="Y83" s="56" t="n"/>
      <c r="Z83" s="56" t="n"/>
      <c r="AA83" s="56" t="n"/>
      <c r="AB83" s="56" t="n"/>
    </row>
    <row r="84" ht="16.5" customHeight="1" s="313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  <c r="R84" s="44" t="n"/>
      <c r="S84" s="44" t="n"/>
      <c r="T84" s="44" t="n"/>
      <c r="U84" s="44" t="n"/>
      <c r="V84" s="44" t="n"/>
      <c r="W84" s="44" t="n"/>
      <c r="X84" s="44" t="n"/>
      <c r="Y84" s="44" t="n"/>
      <c r="Z84" s="44" t="n"/>
      <c r="AA84" s="44" t="n"/>
      <c r="AB84" s="44" t="n"/>
    </row>
    <row r="85" ht="16.5" customHeight="1" s="313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  <c r="R85" s="56" t="n"/>
      <c r="S85" s="56" t="n"/>
      <c r="T85" s="56" t="n"/>
      <c r="U85" s="56" t="n"/>
      <c r="V85" s="56" t="n"/>
      <c r="W85" s="56" t="n"/>
      <c r="X85" s="56" t="n"/>
      <c r="Y85" s="56" t="n"/>
      <c r="Z85" s="56" t="n"/>
      <c r="AA85" s="56" t="n"/>
      <c r="AB85" s="56" t="n"/>
    </row>
    <row r="86" ht="16.5" customHeight="1" s="313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  <c r="R86" s="44" t="n"/>
      <c r="S86" s="44" t="n"/>
      <c r="T86" s="44" t="n"/>
      <c r="U86" s="44" t="n"/>
      <c r="V86" s="44" t="n"/>
      <c r="W86" s="44" t="n"/>
      <c r="X86" s="44" t="n"/>
      <c r="Y86" s="44" t="n"/>
      <c r="Z86" s="44" t="n"/>
      <c r="AA86" s="44" t="n"/>
      <c r="AB86" s="44" t="n"/>
    </row>
    <row r="87" ht="16.5" customHeight="1" s="313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  <c r="R87" s="56" t="n"/>
      <c r="S87" s="56" t="n"/>
      <c r="T87" s="56" t="n"/>
      <c r="U87" s="56" t="n"/>
      <c r="V87" s="56" t="n"/>
      <c r="W87" s="56" t="n"/>
      <c r="X87" s="56" t="n"/>
      <c r="Y87" s="56" t="n"/>
      <c r="Z87" s="56" t="n"/>
      <c r="AA87" s="56" t="n"/>
      <c r="AB87" s="56" t="n"/>
    </row>
    <row r="88" ht="16.5" customHeight="1" s="313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  <c r="R88" s="44" t="n"/>
      <c r="S88" s="44" t="n"/>
      <c r="T88" s="44" t="n"/>
      <c r="U88" s="44" t="n"/>
      <c r="V88" s="44" t="n"/>
      <c r="W88" s="44" t="n"/>
      <c r="X88" s="44" t="n"/>
      <c r="Y88" s="44" t="n"/>
      <c r="Z88" s="44" t="n"/>
      <c r="AA88" s="44" t="n"/>
      <c r="AB88" s="44" t="n"/>
    </row>
    <row r="89" ht="16.5" customHeight="1" s="313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  <c r="R89" s="56" t="n"/>
      <c r="S89" s="56" t="n"/>
      <c r="T89" s="56" t="n"/>
      <c r="U89" s="56" t="n"/>
      <c r="V89" s="56" t="n"/>
      <c r="W89" s="56" t="n"/>
      <c r="X89" s="56" t="n"/>
      <c r="Y89" s="56" t="n"/>
      <c r="Z89" s="56" t="n"/>
      <c r="AA89" s="56" t="n"/>
      <c r="AB89" s="56" t="n"/>
    </row>
    <row r="90" ht="16.5" customHeight="1" s="313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  <c r="R90" s="44" t="n"/>
      <c r="S90" s="44" t="n"/>
      <c r="T90" s="44" t="n"/>
      <c r="U90" s="44" t="n"/>
      <c r="V90" s="44" t="n"/>
      <c r="W90" s="44" t="n"/>
      <c r="X90" s="44" t="n"/>
      <c r="Y90" s="44" t="n"/>
      <c r="Z90" s="44" t="n"/>
      <c r="AA90" s="44" t="n"/>
      <c r="AB90" s="44" t="n"/>
    </row>
    <row r="91" ht="16.5" customHeight="1" s="313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  <c r="R91" s="56" t="n"/>
      <c r="S91" s="56" t="n"/>
      <c r="T91" s="56" t="n"/>
      <c r="U91" s="56" t="n"/>
      <c r="V91" s="56" t="n"/>
      <c r="W91" s="56" t="n"/>
      <c r="X91" s="56" t="n"/>
      <c r="Y91" s="56" t="n"/>
      <c r="Z91" s="56" t="n"/>
      <c r="AA91" s="56" t="n"/>
      <c r="AB91" s="56" t="n"/>
    </row>
    <row r="92" ht="16.5" customHeight="1" s="313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  <c r="R92" s="44" t="n"/>
      <c r="S92" s="44" t="n"/>
      <c r="T92" s="44" t="n"/>
      <c r="U92" s="44" t="n"/>
      <c r="V92" s="44" t="n"/>
      <c r="W92" s="44" t="n"/>
      <c r="X92" s="44" t="n"/>
      <c r="Y92" s="44" t="n"/>
      <c r="Z92" s="44" t="n"/>
      <c r="AA92" s="44" t="n"/>
      <c r="AB92" s="44" t="n"/>
    </row>
    <row r="93" ht="16.5" customHeight="1" s="313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  <c r="R93" s="56" t="n"/>
      <c r="S93" s="56" t="n"/>
      <c r="T93" s="56" t="n"/>
      <c r="U93" s="56" t="n"/>
      <c r="V93" s="56" t="n"/>
      <c r="W93" s="56" t="n"/>
      <c r="X93" s="56" t="n"/>
      <c r="Y93" s="56" t="n"/>
      <c r="Z93" s="56" t="n"/>
      <c r="AA93" s="56" t="n"/>
      <c r="AB93" s="56" t="n"/>
    </row>
    <row r="94" ht="16.5" customHeight="1" s="313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  <c r="R94" s="44" t="n"/>
      <c r="S94" s="44" t="n"/>
      <c r="T94" s="44" t="n"/>
      <c r="U94" s="44" t="n"/>
      <c r="V94" s="44" t="n"/>
      <c r="W94" s="44" t="n"/>
      <c r="X94" s="44" t="n"/>
      <c r="Y94" s="44" t="n"/>
      <c r="Z94" s="44" t="n"/>
      <c r="AA94" s="44" t="n"/>
      <c r="AB94" s="44" t="n"/>
    </row>
    <row r="95" ht="16.5" customHeight="1" s="313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  <c r="R95" s="56" t="n"/>
      <c r="S95" s="56" t="n"/>
      <c r="T95" s="56" t="n"/>
      <c r="U95" s="56" t="n"/>
      <c r="V95" s="56" t="n"/>
      <c r="W95" s="56" t="n"/>
      <c r="X95" s="56" t="n"/>
      <c r="Y95" s="56" t="n"/>
      <c r="Z95" s="56" t="n"/>
      <c r="AA95" s="56" t="n"/>
      <c r="AB95" s="56" t="n"/>
    </row>
    <row r="96" ht="16.5" customHeight="1" s="313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  <c r="R96" s="44" t="n"/>
      <c r="S96" s="44" t="n"/>
      <c r="T96" s="44" t="n"/>
      <c r="U96" s="44" t="n"/>
      <c r="V96" s="44" t="n"/>
      <c r="W96" s="44" t="n"/>
      <c r="X96" s="44" t="n"/>
      <c r="Y96" s="44" t="n"/>
      <c r="Z96" s="44" t="n"/>
      <c r="AA96" s="44" t="n"/>
      <c r="AB96" s="44" t="n"/>
    </row>
    <row r="97" ht="16.5" customHeight="1" s="313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  <c r="R97" s="56" t="n"/>
      <c r="S97" s="56" t="n"/>
      <c r="T97" s="56" t="n"/>
      <c r="U97" s="56" t="n"/>
      <c r="V97" s="56" t="n"/>
      <c r="W97" s="56" t="n"/>
      <c r="X97" s="56" t="n"/>
      <c r="Y97" s="56" t="n"/>
      <c r="Z97" s="56" t="n"/>
      <c r="AA97" s="56" t="n"/>
      <c r="AB97" s="56" t="n"/>
    </row>
    <row r="98" ht="16.5" customHeight="1" s="313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  <c r="R98" s="44" t="n"/>
      <c r="S98" s="44" t="n"/>
      <c r="T98" s="44" t="n"/>
      <c r="U98" s="44" t="n"/>
      <c r="V98" s="44" t="n"/>
      <c r="W98" s="44" t="n"/>
      <c r="X98" s="44" t="n"/>
      <c r="Y98" s="44" t="n"/>
      <c r="Z98" s="44" t="n"/>
      <c r="AA98" s="44" t="n"/>
      <c r="AB98" s="44" t="n"/>
    </row>
    <row r="99" ht="16.5" customHeight="1" s="313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  <c r="R99" s="56" t="n"/>
      <c r="S99" s="56" t="n"/>
      <c r="T99" s="56" t="n"/>
      <c r="U99" s="56" t="n"/>
      <c r="V99" s="56" t="n"/>
      <c r="W99" s="56" t="n"/>
      <c r="X99" s="56" t="n"/>
      <c r="Y99" s="56" t="n"/>
      <c r="Z99" s="56" t="n"/>
      <c r="AA99" s="56" t="n"/>
      <c r="AB99" s="56" t="n"/>
    </row>
    <row r="100" ht="16.5" customHeight="1" s="313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  <c r="R100" s="44" t="n"/>
      <c r="S100" s="44" t="n"/>
      <c r="T100" s="44" t="n"/>
      <c r="U100" s="44" t="n"/>
      <c r="V100" s="44" t="n"/>
      <c r="W100" s="44" t="n"/>
      <c r="X100" s="44" t="n"/>
      <c r="Y100" s="44" t="n"/>
      <c r="Z100" s="44" t="n"/>
      <c r="AA100" s="44" t="n"/>
      <c r="AB100" s="44" t="n"/>
    </row>
    <row r="101" ht="16.5" customHeight="1" s="313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  <c r="R101" s="56" t="n"/>
      <c r="S101" s="56" t="n"/>
      <c r="T101" s="56" t="n"/>
      <c r="U101" s="56" t="n"/>
      <c r="V101" s="56" t="n"/>
      <c r="W101" s="56" t="n"/>
      <c r="X101" s="56" t="n"/>
      <c r="Y101" s="56" t="n"/>
      <c r="Z101" s="56" t="n"/>
      <c r="AA101" s="56" t="n"/>
      <c r="AB101" s="56" t="n"/>
    </row>
    <row r="102" ht="16.5" customHeight="1" s="313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  <c r="R102" s="44" t="n"/>
      <c r="S102" s="44" t="n"/>
      <c r="T102" s="44" t="n"/>
      <c r="U102" s="44" t="n"/>
      <c r="V102" s="44" t="n"/>
      <c r="W102" s="44" t="n"/>
      <c r="X102" s="44" t="n"/>
      <c r="Y102" s="44" t="n"/>
      <c r="Z102" s="44" t="n"/>
      <c r="AA102" s="44" t="n"/>
      <c r="AB102" s="44" t="n"/>
    </row>
    <row r="103" ht="16.5" customHeight="1" s="313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  <c r="R103" s="56" t="n"/>
      <c r="S103" s="56" t="n"/>
      <c r="T103" s="56" t="n"/>
      <c r="U103" s="56" t="n"/>
      <c r="V103" s="56" t="n"/>
      <c r="W103" s="56" t="n"/>
      <c r="X103" s="56" t="n"/>
      <c r="Y103" s="56" t="n"/>
      <c r="Z103" s="56" t="n"/>
      <c r="AA103" s="56" t="n"/>
      <c r="AB103" s="56" t="n"/>
    </row>
    <row r="104" ht="16.5" customHeight="1" s="313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  <c r="R104" s="44" t="n"/>
      <c r="S104" s="44" t="n"/>
      <c r="T104" s="44" t="n"/>
      <c r="U104" s="44" t="n"/>
      <c r="V104" s="44" t="n"/>
      <c r="W104" s="44" t="n"/>
      <c r="X104" s="44" t="n"/>
      <c r="Y104" s="44" t="n"/>
      <c r="Z104" s="44" t="n"/>
      <c r="AA104" s="44" t="n"/>
      <c r="AB104" s="44" t="n"/>
    </row>
    <row r="105" ht="16.5" customHeight="1" s="313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  <c r="R105" s="56" t="n"/>
      <c r="S105" s="56" t="n"/>
      <c r="T105" s="56" t="n"/>
      <c r="U105" s="56" t="n"/>
      <c r="V105" s="56" t="n"/>
      <c r="W105" s="56" t="n"/>
      <c r="X105" s="56" t="n"/>
      <c r="Y105" s="56" t="n"/>
      <c r="Z105" s="56" t="n"/>
      <c r="AA105" s="56" t="n"/>
      <c r="AB105" s="56" t="n"/>
    </row>
    <row r="106" ht="16.5" customHeight="1" s="313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  <c r="R106" s="44" t="n"/>
      <c r="S106" s="44" t="n"/>
      <c r="T106" s="44" t="n"/>
      <c r="U106" s="44" t="n"/>
      <c r="V106" s="44" t="n"/>
      <c r="W106" s="44" t="n"/>
      <c r="X106" s="44" t="n"/>
      <c r="Y106" s="44" t="n"/>
      <c r="Z106" s="44" t="n"/>
      <c r="AA106" s="44" t="n"/>
      <c r="AB106" s="44" t="n"/>
    </row>
    <row r="107" ht="16.5" customHeight="1" s="313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  <c r="R107" s="56" t="n"/>
      <c r="S107" s="56" t="n"/>
      <c r="T107" s="56" t="n"/>
      <c r="U107" s="56" t="n"/>
      <c r="V107" s="56" t="n"/>
      <c r="W107" s="56" t="n"/>
      <c r="X107" s="56" t="n"/>
      <c r="Y107" s="56" t="n"/>
      <c r="Z107" s="56" t="n"/>
      <c r="AA107" s="56" t="n"/>
      <c r="AB107" s="56" t="n"/>
    </row>
    <row r="108" ht="16.5" customHeight="1" s="313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  <c r="R108" s="44" t="n"/>
      <c r="S108" s="44" t="n"/>
      <c r="T108" s="44" t="n"/>
      <c r="U108" s="44" t="n"/>
      <c r="V108" s="44" t="n"/>
      <c r="W108" s="44" t="n"/>
      <c r="X108" s="44" t="n"/>
      <c r="Y108" s="44" t="n"/>
      <c r="Z108" s="44" t="n"/>
      <c r="AA108" s="44" t="n"/>
      <c r="AB108" s="44" t="n"/>
    </row>
    <row r="109" ht="16.5" customHeight="1" s="313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  <c r="R109" s="56" t="n"/>
      <c r="S109" s="56" t="n"/>
      <c r="T109" s="56" t="n"/>
      <c r="U109" s="56" t="n"/>
      <c r="V109" s="56" t="n"/>
      <c r="W109" s="56" t="n"/>
      <c r="X109" s="56" t="n"/>
      <c r="Y109" s="56" t="n"/>
      <c r="Z109" s="56" t="n"/>
      <c r="AA109" s="56" t="n"/>
      <c r="AB109" s="56" t="n"/>
    </row>
    <row r="110" ht="16.5" customHeight="1" s="313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  <c r="R110" s="44" t="n"/>
      <c r="S110" s="44" t="n"/>
      <c r="T110" s="44" t="n"/>
      <c r="U110" s="44" t="n"/>
      <c r="V110" s="44" t="n"/>
      <c r="W110" s="44" t="n"/>
      <c r="X110" s="44" t="n"/>
      <c r="Y110" s="44" t="n"/>
      <c r="Z110" s="44" t="n"/>
      <c r="AA110" s="44" t="n"/>
      <c r="AB110" s="44" t="n"/>
    </row>
    <row r="111" ht="16.5" customHeight="1" s="313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  <c r="R111" s="56" t="n"/>
      <c r="S111" s="56" t="n"/>
      <c r="T111" s="56" t="n"/>
      <c r="U111" s="56" t="n"/>
      <c r="V111" s="56" t="n"/>
      <c r="W111" s="56" t="n"/>
      <c r="X111" s="56" t="n"/>
      <c r="Y111" s="56" t="n"/>
      <c r="Z111" s="56" t="n"/>
      <c r="AA111" s="56" t="n"/>
      <c r="AB111" s="56" t="n"/>
    </row>
    <row r="112" ht="16.5" customHeight="1" s="313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  <c r="R112" s="44" t="n"/>
      <c r="S112" s="44" t="n"/>
      <c r="T112" s="44" t="n"/>
      <c r="U112" s="44" t="n"/>
      <c r="V112" s="44" t="n"/>
      <c r="W112" s="44" t="n"/>
      <c r="X112" s="44" t="n"/>
      <c r="Y112" s="44" t="n"/>
      <c r="Z112" s="44" t="n"/>
      <c r="AA112" s="44" t="n"/>
      <c r="AB112" s="44" t="n"/>
    </row>
    <row r="113" ht="16.5" customHeight="1" s="313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  <c r="R113" s="56" t="n"/>
      <c r="S113" s="56" t="n"/>
      <c r="T113" s="56" t="n"/>
      <c r="U113" s="56" t="n"/>
      <c r="V113" s="56" t="n"/>
      <c r="W113" s="56" t="n"/>
      <c r="X113" s="56" t="n"/>
      <c r="Y113" s="56" t="n"/>
      <c r="Z113" s="56" t="n"/>
      <c r="AA113" s="56" t="n"/>
      <c r="AB113" s="56" t="n"/>
    </row>
    <row r="114" ht="16.5" customHeight="1" s="313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  <c r="R114" s="44" t="n"/>
      <c r="S114" s="44" t="n"/>
      <c r="T114" s="44" t="n"/>
      <c r="U114" s="44" t="n"/>
      <c r="V114" s="44" t="n"/>
      <c r="W114" s="44" t="n"/>
      <c r="X114" s="44" t="n"/>
      <c r="Y114" s="44" t="n"/>
      <c r="Z114" s="44" t="n"/>
      <c r="AA114" s="44" t="n"/>
      <c r="AB114" s="44" t="n"/>
    </row>
    <row r="115" ht="16.5" customHeight="1" s="313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  <c r="R115" s="56" t="n"/>
      <c r="S115" s="56" t="n"/>
      <c r="T115" s="56" t="n"/>
      <c r="U115" s="56" t="n"/>
      <c r="V115" s="56" t="n"/>
      <c r="W115" s="56" t="n"/>
      <c r="X115" s="56" t="n"/>
      <c r="Y115" s="56" t="n"/>
      <c r="Z115" s="56" t="n"/>
      <c r="AA115" s="56" t="n"/>
      <c r="AB115" s="56" t="n"/>
    </row>
    <row r="116" ht="16.5" customHeight="1" s="313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  <c r="R116" s="44" t="n"/>
      <c r="S116" s="44" t="n"/>
      <c r="T116" s="44" t="n"/>
      <c r="U116" s="44" t="n"/>
      <c r="V116" s="44" t="n"/>
      <c r="W116" s="44" t="n"/>
      <c r="X116" s="44" t="n"/>
      <c r="Y116" s="44" t="n"/>
      <c r="Z116" s="44" t="n"/>
      <c r="AA116" s="44" t="n"/>
      <c r="AB116" s="44" t="n"/>
    </row>
    <row r="117" ht="16.5" customHeight="1" s="313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  <c r="R117" s="56" t="n"/>
      <c r="S117" s="56" t="n"/>
      <c r="T117" s="56" t="n"/>
      <c r="U117" s="56" t="n"/>
      <c r="V117" s="56" t="n"/>
      <c r="W117" s="56" t="n"/>
      <c r="X117" s="56" t="n"/>
      <c r="Y117" s="56" t="n"/>
      <c r="Z117" s="56" t="n"/>
      <c r="AA117" s="56" t="n"/>
      <c r="AB117" s="56" t="n"/>
    </row>
    <row r="118" ht="16.5" customHeight="1" s="313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  <c r="R118" s="44" t="n"/>
      <c r="S118" s="44" t="n"/>
      <c r="T118" s="44" t="n"/>
      <c r="U118" s="44" t="n"/>
      <c r="V118" s="44" t="n"/>
      <c r="W118" s="44" t="n"/>
      <c r="X118" s="44" t="n"/>
      <c r="Y118" s="44" t="n"/>
      <c r="Z118" s="44" t="n"/>
      <c r="AA118" s="44" t="n"/>
      <c r="AB118" s="44" t="n"/>
    </row>
    <row r="119" ht="16.5" customHeight="1" s="313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  <c r="R119" s="56" t="n"/>
      <c r="S119" s="56" t="n"/>
      <c r="T119" s="56" t="n"/>
      <c r="U119" s="56" t="n"/>
      <c r="V119" s="56" t="n"/>
      <c r="W119" s="56" t="n"/>
      <c r="X119" s="56" t="n"/>
      <c r="Y119" s="56" t="n"/>
      <c r="Z119" s="56" t="n"/>
      <c r="AA119" s="56" t="n"/>
      <c r="AB119" s="56" t="n"/>
    </row>
    <row r="120" ht="16.5" customHeight="1" s="313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  <c r="R120" s="44" t="n"/>
      <c r="S120" s="44" t="n"/>
      <c r="T120" s="44" t="n"/>
      <c r="U120" s="44" t="n"/>
      <c r="V120" s="44" t="n"/>
      <c r="W120" s="44" t="n"/>
      <c r="X120" s="44" t="n"/>
      <c r="Y120" s="44" t="n"/>
      <c r="Z120" s="44" t="n"/>
      <c r="AA120" s="44" t="n"/>
      <c r="AB120" s="44" t="n"/>
    </row>
    <row r="121" ht="16.5" customHeight="1" s="313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  <c r="R121" s="56" t="n"/>
      <c r="S121" s="56" t="n"/>
      <c r="T121" s="56" t="n"/>
      <c r="U121" s="56" t="n"/>
      <c r="V121" s="56" t="n"/>
      <c r="W121" s="56" t="n"/>
      <c r="X121" s="56" t="n"/>
      <c r="Y121" s="56" t="n"/>
      <c r="Z121" s="56" t="n"/>
      <c r="AA121" s="56" t="n"/>
      <c r="AB121" s="56" t="n"/>
    </row>
    <row r="122" ht="16.5" customHeight="1" s="313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  <c r="R122" s="44" t="n"/>
      <c r="S122" s="44" t="n"/>
      <c r="T122" s="44" t="n"/>
      <c r="U122" s="44" t="n"/>
      <c r="V122" s="44" t="n"/>
      <c r="W122" s="44" t="n"/>
      <c r="X122" s="44" t="n"/>
      <c r="Y122" s="44" t="n"/>
      <c r="Z122" s="44" t="n"/>
      <c r="AA122" s="44" t="n"/>
      <c r="AB122" s="44" t="n"/>
    </row>
    <row r="123" ht="16.5" customHeight="1" s="313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  <c r="R123" s="56" t="n"/>
      <c r="S123" s="56" t="n"/>
      <c r="T123" s="56" t="n"/>
      <c r="U123" s="56" t="n"/>
      <c r="V123" s="56" t="n"/>
      <c r="W123" s="56" t="n"/>
      <c r="X123" s="56" t="n"/>
      <c r="Y123" s="56" t="n"/>
      <c r="Z123" s="56" t="n"/>
      <c r="AA123" s="56" t="n"/>
      <c r="AB123" s="56" t="n"/>
    </row>
    <row r="124" ht="16.5" customHeight="1" s="313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  <c r="R124" s="44" t="n"/>
      <c r="S124" s="44" t="n"/>
      <c r="T124" s="44" t="n"/>
      <c r="U124" s="44" t="n"/>
      <c r="V124" s="44" t="n"/>
      <c r="W124" s="44" t="n"/>
      <c r="X124" s="44" t="n"/>
      <c r="Y124" s="44" t="n"/>
      <c r="Z124" s="44" t="n"/>
      <c r="AA124" s="44" t="n"/>
      <c r="AB124" s="44" t="n"/>
    </row>
    <row r="125" ht="16.5" customHeight="1" s="313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  <c r="R125" s="56" t="n"/>
      <c r="S125" s="56" t="n"/>
      <c r="T125" s="56" t="n"/>
      <c r="U125" s="56" t="n"/>
      <c r="V125" s="56" t="n"/>
      <c r="W125" s="56" t="n"/>
      <c r="X125" s="56" t="n"/>
      <c r="Y125" s="56" t="n"/>
      <c r="Z125" s="56" t="n"/>
      <c r="AA125" s="56" t="n"/>
      <c r="AB125" s="56" t="n"/>
    </row>
    <row r="126" ht="16.5" customHeight="1" s="313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  <c r="R126" s="44" t="n"/>
      <c r="S126" s="44" t="n"/>
      <c r="T126" s="44" t="n"/>
      <c r="U126" s="44" t="n"/>
      <c r="V126" s="44" t="n"/>
      <c r="W126" s="44" t="n"/>
      <c r="X126" s="44" t="n"/>
      <c r="Y126" s="44" t="n"/>
      <c r="Z126" s="44" t="n"/>
      <c r="AA126" s="44" t="n"/>
      <c r="AB126" s="44" t="n"/>
    </row>
    <row r="127" ht="16.5" customHeight="1" s="313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  <c r="R127" s="56" t="n"/>
      <c r="S127" s="56" t="n"/>
      <c r="T127" s="56" t="n"/>
      <c r="U127" s="56" t="n"/>
      <c r="V127" s="56" t="n"/>
      <c r="W127" s="56" t="n"/>
      <c r="X127" s="56" t="n"/>
      <c r="Y127" s="56" t="n"/>
      <c r="Z127" s="56" t="n"/>
      <c r="AA127" s="56" t="n"/>
      <c r="AB127" s="56" t="n"/>
    </row>
    <row r="128" ht="16.5" customHeight="1" s="313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  <c r="R128" s="44" t="n"/>
      <c r="S128" s="44" t="n"/>
      <c r="T128" s="44" t="n"/>
      <c r="U128" s="44" t="n"/>
      <c r="V128" s="44" t="n"/>
      <c r="W128" s="44" t="n"/>
      <c r="X128" s="44" t="n"/>
      <c r="Y128" s="44" t="n"/>
      <c r="Z128" s="44" t="n"/>
      <c r="AA128" s="44" t="n"/>
      <c r="AB128" s="44" t="n"/>
    </row>
    <row r="129" ht="16.5" customHeight="1" s="313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  <c r="R129" s="56" t="n"/>
      <c r="S129" s="56" t="n"/>
      <c r="T129" s="56" t="n"/>
      <c r="U129" s="56" t="n"/>
      <c r="V129" s="56" t="n"/>
      <c r="W129" s="56" t="n"/>
      <c r="X129" s="56" t="n"/>
      <c r="Y129" s="56" t="n"/>
      <c r="Z129" s="56" t="n"/>
      <c r="AA129" s="56" t="n"/>
      <c r="AB129" s="56" t="n"/>
    </row>
    <row r="130" ht="16.5" customHeight="1" s="313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  <c r="R130" s="44" t="n"/>
      <c r="S130" s="44" t="n"/>
      <c r="T130" s="44" t="n"/>
      <c r="U130" s="44" t="n"/>
      <c r="V130" s="44" t="n"/>
      <c r="W130" s="44" t="n"/>
      <c r="X130" s="44" t="n"/>
      <c r="Y130" s="44" t="n"/>
      <c r="Z130" s="44" t="n"/>
      <c r="AA130" s="44" t="n"/>
      <c r="AB130" s="44" t="n"/>
    </row>
    <row r="131" ht="16.5" customHeight="1" s="313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  <c r="R131" s="56" t="n"/>
      <c r="S131" s="56" t="n"/>
      <c r="T131" s="56" t="n"/>
      <c r="U131" s="56" t="n"/>
      <c r="V131" s="56" t="n"/>
      <c r="W131" s="56" t="n"/>
      <c r="X131" s="56" t="n"/>
      <c r="Y131" s="56" t="n"/>
      <c r="Z131" s="56" t="n"/>
      <c r="AA131" s="56" t="n"/>
      <c r="AB131" s="56" t="n"/>
    </row>
    <row r="132" ht="16.5" customHeight="1" s="313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  <c r="R132" s="44" t="n"/>
      <c r="S132" s="44" t="n"/>
      <c r="T132" s="44" t="n"/>
      <c r="U132" s="44" t="n"/>
      <c r="V132" s="44" t="n"/>
      <c r="W132" s="44" t="n"/>
      <c r="X132" s="44" t="n"/>
      <c r="Y132" s="44" t="n"/>
      <c r="Z132" s="44" t="n"/>
      <c r="AA132" s="44" t="n"/>
      <c r="AB132" s="44" t="n"/>
    </row>
    <row r="133" ht="16.5" customHeight="1" s="313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  <c r="Z133" s="56" t="n"/>
      <c r="AA133" s="56" t="n"/>
      <c r="AB133" s="56" t="n"/>
    </row>
    <row r="134" ht="16.5" customHeight="1" s="313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  <c r="Z134" s="44" t="n"/>
      <c r="AA134" s="44" t="n"/>
      <c r="AB134" s="44" t="n"/>
    </row>
    <row r="135" ht="16.5" customHeight="1" s="313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  <c r="Z135" s="56" t="n"/>
      <c r="AA135" s="56" t="n"/>
      <c r="AB135" s="56" t="n"/>
    </row>
    <row r="136" ht="16.5" customHeight="1" s="313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  <c r="Z136" s="44" t="n"/>
      <c r="AA136" s="44" t="n"/>
      <c r="AB136" s="44" t="n"/>
    </row>
    <row r="137" ht="16.5" customHeight="1" s="313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  <c r="Z137" s="56" t="n"/>
      <c r="AA137" s="56" t="n"/>
      <c r="AB137" s="56" t="n"/>
    </row>
    <row r="138" ht="16.5" customHeight="1" s="313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  <c r="Z138" s="44" t="n"/>
      <c r="AA138" s="44" t="n"/>
      <c r="AB138" s="44" t="n"/>
    </row>
    <row r="139" ht="16.5" customHeight="1" s="313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  <c r="Z139" s="56" t="n"/>
      <c r="AA139" s="56" t="n"/>
      <c r="AB139" s="56" t="n"/>
    </row>
    <row r="140" ht="16.5" customHeight="1" s="313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  <c r="Z140" s="44" t="n"/>
      <c r="AA140" s="44" t="n"/>
      <c r="AB140" s="44" t="n"/>
    </row>
    <row r="141" ht="16.5" customHeight="1" s="313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  <c r="Z141" s="56" t="n"/>
      <c r="AA141" s="56" t="n"/>
      <c r="AB141" s="56" t="n"/>
    </row>
    <row r="142" ht="16.5" customHeight="1" s="313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</row>
    <row r="143" ht="16.5" customHeight="1" s="313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  <c r="Z143" s="56" t="n"/>
      <c r="AA143" s="56" t="n"/>
      <c r="AB143" s="56" t="n"/>
    </row>
    <row r="144" ht="16.5" customHeight="1" s="313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</row>
    <row r="145" ht="16.5" customHeight="1" s="313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  <c r="Z145" s="56" t="n"/>
      <c r="AA145" s="56" t="n"/>
      <c r="AB145" s="56" t="n"/>
    </row>
    <row r="146" ht="16.5" customHeight="1" s="313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</row>
    <row r="147" ht="16.5" customHeight="1" s="313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  <c r="Z147" s="56" t="n"/>
      <c r="AA147" s="56" t="n"/>
      <c r="AB147" s="56" t="n"/>
    </row>
    <row r="148" ht="16.5" customHeight="1" s="313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</row>
    <row r="149" ht="16.5" customHeight="1" s="313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  <c r="Z149" s="56" t="n"/>
      <c r="AA149" s="56" t="n"/>
      <c r="AB149" s="56" t="n"/>
    </row>
    <row r="150" ht="16.5" customHeight="1" s="313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</row>
    <row r="151" ht="16.5" customHeight="1" s="313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13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13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13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13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13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13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13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13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13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13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13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13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13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13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13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13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13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13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13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13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13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13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13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13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13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13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13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13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13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13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13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13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13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13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13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13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13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13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13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13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13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13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13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13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13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13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13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13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13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13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13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13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13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13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13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13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13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13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13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13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13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13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13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13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13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13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13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13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13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13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13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13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13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13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13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13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13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13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13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13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13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13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13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13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13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13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13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13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13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13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13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13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13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13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13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13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13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13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13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13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13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13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13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13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13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13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13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13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13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13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13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13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13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13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13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13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13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13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13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13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13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13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13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13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13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13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13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13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13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13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13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13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13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13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13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13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13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13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13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13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13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13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13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13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13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13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13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13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13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13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13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13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13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13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13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13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13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13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13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13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13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13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13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13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13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13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13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13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13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13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13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13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13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13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13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13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13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13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13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13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13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13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13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13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13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13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13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13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13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13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13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13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13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13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13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13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13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13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13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13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13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13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13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13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13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13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13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13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13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13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13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13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13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13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13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13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13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13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13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13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13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B5:P5"/>
    <mergeCell ref="A2:H2"/>
    <mergeCell ref="I2:P2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552"/>
  <sheetViews>
    <sheetView showGridLines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13" min="1" max="1"/>
    <col width="14" customWidth="1" style="313" min="2" max="2"/>
    <col width="24" customWidth="1" style="313" min="3" max="3"/>
    <col width="22" customWidth="1" style="313" min="4" max="4"/>
    <col width="19.77734375" customWidth="1" style="313" min="5" max="5"/>
    <col width="16" customWidth="1" style="313" min="6" max="6"/>
    <col width="14" customWidth="1" style="313" min="7" max="7"/>
    <col width="16" customWidth="1" style="313" min="8" max="8"/>
    <col width="18" customWidth="1" style="313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13">
      <c r="A2" s="399" t="inlineStr">
        <is>
          <t>💸  LOKA — EXPENSES TRACKER</t>
        </is>
      </c>
      <c r="E2" s="400" t="inlineStr">
        <is>
          <t>Log every cost: ingredients, staff, utilities, supplies…</t>
        </is>
      </c>
    </row>
    <row r="3">
      <c r="A3" s="401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13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Supermarket/General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Supplies/Other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Supermarket/General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Supermarket/General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13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Supplies/Other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13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13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13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13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13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13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13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Supplies/Other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13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Supplies/Other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Supplies/Other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Supplies/Other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Supplies/Other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Supplies/Other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Supplies/Other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Supplies/Other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Supplies/Other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Supplies/Other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Supplies/Other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Supplies/Other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Supplies/Other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Supplies/Other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Supplies/Other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Supplies/Other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Supplies/Other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Supplies/Other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Supplies/Other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Supplies/Other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Supplies/Other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Supplies/Other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Supermarket/General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Supplies/Other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Supermarket/General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Supermarket/General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Vegetables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Supermarket/General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Supplies/Other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Supplies/Other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Supermarket/General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Supplies/Other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Supermarket/General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Supplies/Other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Supermarket/General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Supplies/Other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Supermarket/General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Utilities/Internet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Supermarket/General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Software/Subscription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Packaging/Disposables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Packaging/Disposables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Utilities/Gas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Supplies/Other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Supplies/Other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Supplies/Other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Supplies/Other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Supplies/Other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Supplies/Other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Supplies/Other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304" t="n">
        <v>46216</v>
      </c>
      <c r="C471" s="305" t="inlineStr">
        <is>
          <t>Aceite (Oxxo)</t>
        </is>
      </c>
      <c r="D471" s="306" t="inlineStr">
        <is>
          <t>OXXO</t>
        </is>
      </c>
      <c r="E471" s="305" t="inlineStr">
        <is>
          <t>Ingredients - Pantry</t>
        </is>
      </c>
      <c r="F471" s="307" t="n">
        <v>112</v>
      </c>
      <c r="G471" s="308" t="inlineStr">
        <is>
          <t>Restaurant</t>
        </is>
      </c>
      <c r="H471" s="308" t="inlineStr">
        <is>
          <t>Cash</t>
        </is>
      </c>
      <c r="I471" s="309" t="inlineStr">
        <is>
          <t>✅ Paid</t>
        </is>
      </c>
      <c r="J471" s="295" t="inlineStr">
        <is>
          <t>No receipt; cash</t>
        </is>
      </c>
    </row>
    <row r="472">
      <c r="B472" s="304" t="n">
        <v>46216</v>
      </c>
      <c r="C472" s="305" t="inlineStr">
        <is>
          <t>Agua</t>
        </is>
      </c>
      <c r="D472" s="306" t="inlineStr">
        <is>
          <t>No bill</t>
        </is>
      </c>
      <c r="E472" s="305" t="inlineStr">
        <is>
          <t>Ingredients - Beverages</t>
        </is>
      </c>
      <c r="F472" s="307" t="n">
        <v>60</v>
      </c>
      <c r="G472" s="308" t="inlineStr">
        <is>
          <t>Lohith</t>
        </is>
      </c>
      <c r="H472" s="308" t="inlineStr">
        <is>
          <t>Cash</t>
        </is>
      </c>
      <c r="I472" s="309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304" t="n">
        <v>46216</v>
      </c>
      <c r="C473" s="305" t="inlineStr">
        <is>
          <t>Aceite</t>
        </is>
      </c>
      <c r="D473" s="306" t="inlineStr">
        <is>
          <t>No bill</t>
        </is>
      </c>
      <c r="E473" s="305" t="inlineStr">
        <is>
          <t>Ingredients - Pantry</t>
        </is>
      </c>
      <c r="F473" s="307" t="n">
        <v>330</v>
      </c>
      <c r="G473" s="308" t="inlineStr">
        <is>
          <t>Lohith</t>
        </is>
      </c>
      <c r="H473" s="308" t="inlineStr">
        <is>
          <t>Cash</t>
        </is>
      </c>
      <c r="I473" s="309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304" t="n">
        <v>46216</v>
      </c>
      <c r="C474" s="305" t="inlineStr">
        <is>
          <t>Clorox</t>
        </is>
      </c>
      <c r="D474" s="306" t="inlineStr">
        <is>
          <t>No bill</t>
        </is>
      </c>
      <c r="E474" s="305" t="inlineStr">
        <is>
          <t>Kitchen Supplies</t>
        </is>
      </c>
      <c r="F474" s="307" t="n">
        <v>10</v>
      </c>
      <c r="G474" s="308" t="inlineStr">
        <is>
          <t>Lohith</t>
        </is>
      </c>
      <c r="H474" s="308" t="inlineStr">
        <is>
          <t>Cash</t>
        </is>
      </c>
      <c r="I474" s="309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422" t="n">
        <v>46217</v>
      </c>
      <c r="C475" s="305" t="inlineStr">
        <is>
          <t>Clorox 3.8L + Tortillas blancas x3 + Rosca marmoleada + Bolillo x6</t>
        </is>
      </c>
      <c r="D475" s="306" t="inlineStr">
        <is>
          <t>Chedraui Paseo</t>
        </is>
      </c>
      <c r="E475" s="305" t="inlineStr">
        <is>
          <t>Supermarket/General</t>
        </is>
      </c>
      <c r="F475" s="307" t="n">
        <v>224.38</v>
      </c>
      <c r="G475" s="308" t="inlineStr">
        <is>
          <t>Restaurant</t>
        </is>
      </c>
      <c r="H475" s="308" t="inlineStr">
        <is>
          <t>Card</t>
        </is>
      </c>
      <c r="I475" s="309" t="inlineStr">
        <is>
          <t>✅ Paid</t>
        </is>
      </c>
      <c r="J475" s="418" t="inlineStr">
        <is>
          <t>Debito BBVA ***3982 AUT 312881; 14-Jul 09:17; subtotal $228 - desc $3.62 = $224.38</t>
        </is>
      </c>
    </row>
    <row r="476">
      <c r="B476" s="422" t="n">
        <v>46217</v>
      </c>
      <c r="C476" s="305" t="inlineStr">
        <is>
          <t>Mojarra (pescado)</t>
        </is>
      </c>
      <c r="D476" s="306" t="inlineStr">
        <is>
          <t>No bill</t>
        </is>
      </c>
      <c r="E476" s="305" t="inlineStr">
        <is>
          <t>Ingredients - Meat &amp; Fish</t>
        </is>
      </c>
      <c r="F476" s="307" t="n">
        <v>372</v>
      </c>
      <c r="G476" s="308" t="inlineStr">
        <is>
          <t>Restaurant</t>
        </is>
      </c>
      <c r="H476" s="308" t="inlineStr">
        <is>
          <t>Cash</t>
        </is>
      </c>
      <c r="I476" s="309" t="inlineStr">
        <is>
          <t>✅ Paid</t>
        </is>
      </c>
      <c r="J476" s="418" t="inlineStr">
        <is>
          <t>No receipt; cash</t>
        </is>
      </c>
    </row>
    <row r="477">
      <c r="B477" s="422" t="n">
        <v>46218</v>
      </c>
      <c r="C477" s="305" t="inlineStr">
        <is>
          <t>Italpast 1kg x5</t>
        </is>
      </c>
      <c r="D477" s="306" t="inlineStr">
        <is>
          <t>Sam's Club</t>
        </is>
      </c>
      <c r="E477" s="305" t="inlineStr">
        <is>
          <t>Ingredients - Pantry</t>
        </is>
      </c>
      <c r="F477" s="307" t="n">
        <v>195</v>
      </c>
      <c r="G477" s="308" t="inlineStr">
        <is>
          <t>Lohith</t>
        </is>
      </c>
      <c r="H477" s="308" t="inlineStr">
        <is>
          <t>Cash</t>
        </is>
      </c>
      <c r="I477" s="309" t="inlineStr">
        <is>
          <t>✅ Paid</t>
        </is>
      </c>
      <c r="J477" s="418" t="inlineStr">
        <is>
          <t>Sam's $195 (sub $199.50 - desc $4.50). Pagado en EFECTIVO por LOHITH (bolsillo propio, no de la caja). Reembolsable via Owner Ledger.</t>
        </is>
      </c>
    </row>
    <row r="478">
      <c r="B478" s="422" t="n">
        <v>46218</v>
      </c>
      <c r="C478" s="305" t="inlineStr">
        <is>
          <t>Leche deslactosada, Unico fresco, Crutones</t>
        </is>
      </c>
      <c r="D478" s="306" t="inlineStr">
        <is>
          <t>Costco</t>
        </is>
      </c>
      <c r="E478" s="305" t="inlineStr">
        <is>
          <t>Supermarket/General</t>
        </is>
      </c>
      <c r="F478" s="307" t="n">
        <v>615</v>
      </c>
      <c r="G478" s="308" t="inlineStr">
        <is>
          <t>Restaurant</t>
        </is>
      </c>
      <c r="H478" s="308" t="inlineStr">
        <is>
          <t>Card</t>
        </is>
      </c>
      <c r="I478" s="309" t="inlineStr">
        <is>
          <t>✅ Paid</t>
        </is>
      </c>
      <c r="J478" s="418" t="inlineStr">
        <is>
          <t>Debito ***3982 ticket 1672; total $615 (sub $629.13 - desc $14.13)</t>
        </is>
      </c>
    </row>
    <row r="479">
      <c r="B479" s="422" t="n">
        <v>46218</v>
      </c>
      <c r="C479" s="305" t="inlineStr">
        <is>
          <t>Snickers, Queso Philadelphia x2, tortillas, baguette</t>
        </is>
      </c>
      <c r="D479" s="306" t="inlineStr">
        <is>
          <t>Chedraui Selecto</t>
        </is>
      </c>
      <c r="E479" s="305" t="inlineStr">
        <is>
          <t>Supermarket/General</t>
        </is>
      </c>
      <c r="F479" s="307" t="n">
        <v>282.86</v>
      </c>
      <c r="G479" s="308" t="inlineStr">
        <is>
          <t>Restaurant</t>
        </is>
      </c>
      <c r="H479" s="308" t="inlineStr">
        <is>
          <t>Card</t>
        </is>
      </c>
      <c r="I479" s="309" t="inlineStr">
        <is>
          <t>✅ Paid</t>
        </is>
      </c>
      <c r="J479" s="418" t="inlineStr">
        <is>
          <t>Debito ***3982 AUT 305923; sub $286.87 - desc $3.01 = $282.86</t>
        </is>
      </c>
    </row>
    <row r="480">
      <c r="B480" s="422" t="n">
        <v>46218</v>
      </c>
      <c r="C480" s="305" t="inlineStr">
        <is>
          <t>Carne</t>
        </is>
      </c>
      <c r="D480" s="306" t="inlineStr">
        <is>
          <t>No bill</t>
        </is>
      </c>
      <c r="E480" s="305" t="inlineStr">
        <is>
          <t>Ingredients - Meat</t>
        </is>
      </c>
      <c r="F480" s="307" t="n">
        <v>581</v>
      </c>
      <c r="G480" s="308" t="inlineStr">
        <is>
          <t>Restaurant</t>
        </is>
      </c>
      <c r="H480" s="308" t="inlineStr">
        <is>
          <t>Cash</t>
        </is>
      </c>
      <c r="I480" s="309" t="inlineStr">
        <is>
          <t>✅ Paid</t>
        </is>
      </c>
      <c r="J480" s="418" t="inlineStr">
        <is>
          <t>No receipt; cash</t>
        </is>
      </c>
    </row>
    <row r="481">
      <c r="B481" s="422" t="n">
        <v>46218</v>
      </c>
      <c r="C481" s="305" t="inlineStr">
        <is>
          <t>Cilantro</t>
        </is>
      </c>
      <c r="D481" s="306" t="inlineStr">
        <is>
          <t>No bill</t>
        </is>
      </c>
      <c r="E481" s="305" t="inlineStr">
        <is>
          <t>Ingredients - Vegetables</t>
        </is>
      </c>
      <c r="F481" s="307" t="n">
        <v>5</v>
      </c>
      <c r="G481" s="308" t="inlineStr">
        <is>
          <t>Restaurant</t>
        </is>
      </c>
      <c r="H481" s="308" t="inlineStr">
        <is>
          <t>Cash</t>
        </is>
      </c>
      <c r="I481" s="309" t="inlineStr">
        <is>
          <t>✅ Paid</t>
        </is>
      </c>
      <c r="J481" s="418" t="inlineStr">
        <is>
          <t>No receipt; cash</t>
        </is>
      </c>
    </row>
    <row r="482">
      <c r="B482" s="422" t="n">
        <v>46218</v>
      </c>
      <c r="C482" s="305" t="inlineStr">
        <is>
          <t>Pollo</t>
        </is>
      </c>
      <c r="D482" s="306" t="inlineStr">
        <is>
          <t>No bill</t>
        </is>
      </c>
      <c r="E482" s="305" t="inlineStr">
        <is>
          <t>Ingredients - Meat</t>
        </is>
      </c>
      <c r="F482" s="307" t="n">
        <v>579</v>
      </c>
      <c r="G482" s="308" t="inlineStr">
        <is>
          <t>Restaurant</t>
        </is>
      </c>
      <c r="H482" s="308" t="inlineStr">
        <is>
          <t>Cash</t>
        </is>
      </c>
      <c r="I482" s="309" t="inlineStr">
        <is>
          <t>✅ Paid</t>
        </is>
      </c>
      <c r="J482" s="418" t="inlineStr">
        <is>
          <t>No receipt; cash</t>
        </is>
      </c>
    </row>
    <row r="483">
      <c r="B483" s="422" t="n">
        <v>46218</v>
      </c>
      <c r="C483" s="305" t="inlineStr">
        <is>
          <t>Telmex (internet/telefono)</t>
        </is>
      </c>
      <c r="D483" s="306" t="inlineStr">
        <is>
          <t>Telmex</t>
        </is>
      </c>
      <c r="E483" s="305" t="inlineStr">
        <is>
          <t>Utilities/Internet</t>
        </is>
      </c>
      <c r="F483" s="307" t="n">
        <v>349</v>
      </c>
      <c r="G483" s="308" t="inlineStr">
        <is>
          <t>Restaurant</t>
        </is>
      </c>
      <c r="H483" s="308" t="inlineStr">
        <is>
          <t>Cash</t>
        </is>
      </c>
      <c r="I483" s="309" t="inlineStr">
        <is>
          <t>✅ Paid</t>
        </is>
      </c>
      <c r="J483" s="418" t="inlineStr">
        <is>
          <t>No receipt; cash; monthly internet/phone</t>
        </is>
      </c>
    </row>
    <row r="484">
      <c r="B484" s="422" t="n">
        <v>46219</v>
      </c>
      <c r="C484" s="305" t="inlineStr">
        <is>
          <t>Vasos plastico + Reyma tapas (desechables)</t>
        </is>
      </c>
      <c r="D484" s="306" t="inlineStr">
        <is>
          <t>Guimar Polietilenos</t>
        </is>
      </c>
      <c r="E484" s="305" t="inlineStr">
        <is>
          <t>Packaging/Disposables</t>
        </is>
      </c>
      <c r="F484" s="307" t="n">
        <v>106</v>
      </c>
      <c r="G484" s="308" t="inlineStr">
        <is>
          <t>Restaurant</t>
        </is>
      </c>
      <c r="H484" s="308" t="inlineStr">
        <is>
          <t>Cash</t>
        </is>
      </c>
      <c r="I484" s="309" t="inlineStr">
        <is>
          <t>✅ Paid</t>
        </is>
      </c>
      <c r="J484" s="418" t="inlineStr">
        <is>
          <t>Folio XCC39648; disposables</t>
        </is>
      </c>
    </row>
    <row r="485">
      <c r="B485" s="422" t="n">
        <v>46219</v>
      </c>
      <c r="C485" s="305" t="inlineStr">
        <is>
          <t>Jamaica</t>
        </is>
      </c>
      <c r="D485" s="306" t="inlineStr">
        <is>
          <t>Molino y Condimentos La Cruz</t>
        </is>
      </c>
      <c r="E485" s="305" t="inlineStr">
        <is>
          <t>Ingredients - Beverages</t>
        </is>
      </c>
      <c r="F485" s="307" t="n">
        <v>110</v>
      </c>
      <c r="G485" s="308" t="inlineStr">
        <is>
          <t>Restaurant</t>
        </is>
      </c>
      <c r="H485" s="308" t="inlineStr">
        <is>
          <t>Cash</t>
        </is>
      </c>
      <c r="I485" s="309" t="inlineStr">
        <is>
          <t>✅ Paid</t>
        </is>
      </c>
      <c r="J485" s="418" t="inlineStr">
        <is>
          <t>Molino La Cruz; jamaica (agua fresca)</t>
        </is>
      </c>
    </row>
    <row r="486">
      <c r="B486" s="422" t="n">
        <v>46219</v>
      </c>
      <c r="C486" s="305" t="inlineStr">
        <is>
          <t>Queso</t>
        </is>
      </c>
      <c r="D486" s="306" t="inlineStr">
        <is>
          <t>La Bodega del Buen Queso</t>
        </is>
      </c>
      <c r="E486" s="305" t="inlineStr">
        <is>
          <t>Ingredients - Dairy</t>
        </is>
      </c>
      <c r="F486" s="307" t="n">
        <v>409</v>
      </c>
      <c r="G486" s="308" t="inlineStr">
        <is>
          <t>Restaurant</t>
        </is>
      </c>
      <c r="H486" s="308" t="inlineStr">
        <is>
          <t>Cash</t>
        </is>
      </c>
      <c r="I486" s="309" t="inlineStr">
        <is>
          <t>✅ Paid</t>
        </is>
      </c>
      <c r="J486" s="418" t="inlineStr">
        <is>
          <t>Nota de venta 16-Jul</t>
        </is>
      </c>
    </row>
    <row r="487">
      <c r="B487" s="422" t="n">
        <v>46219</v>
      </c>
      <c r="C487" s="305" t="inlineStr">
        <is>
          <t>Fideo La Moderna x3</t>
        </is>
      </c>
      <c r="D487" s="306" t="inlineStr">
        <is>
          <t>Tres B</t>
        </is>
      </c>
      <c r="E487" s="305" t="inlineStr">
        <is>
          <t>Ingredients - Pantry</t>
        </is>
      </c>
      <c r="F487" s="307" t="n">
        <v>51</v>
      </c>
      <c r="G487" s="308" t="inlineStr">
        <is>
          <t>Restaurant</t>
        </is>
      </c>
      <c r="H487" s="308" t="inlineStr">
        <is>
          <t>Card</t>
        </is>
      </c>
      <c r="I487" s="309" t="inlineStr">
        <is>
          <t>✅ Paid</t>
        </is>
      </c>
      <c r="J487" s="418" t="inlineStr">
        <is>
          <t>3x $17; Mercado Libre contactless</t>
        </is>
      </c>
    </row>
    <row r="488">
      <c r="B488" s="422" t="n">
        <v>46219</v>
      </c>
      <c r="C488" s="305" t="inlineStr">
        <is>
          <t>Carne</t>
        </is>
      </c>
      <c r="D488" s="306" t="inlineStr">
        <is>
          <t>No bill</t>
        </is>
      </c>
      <c r="E488" s="305" t="inlineStr">
        <is>
          <t>Ingredients - Meat</t>
        </is>
      </c>
      <c r="F488" s="307" t="n">
        <v>263</v>
      </c>
      <c r="G488" s="308" t="inlineStr">
        <is>
          <t>Restaurant</t>
        </is>
      </c>
      <c r="H488" s="308" t="inlineStr">
        <is>
          <t>Cash</t>
        </is>
      </c>
      <c r="I488" s="309" t="inlineStr">
        <is>
          <t>✅ Paid</t>
        </is>
      </c>
      <c r="J488" s="418" t="inlineStr">
        <is>
          <t>No receipt; cash</t>
        </is>
      </c>
    </row>
    <row r="489">
      <c r="B489" s="422" t="n">
        <v>46219</v>
      </c>
      <c r="C489" s="305" t="inlineStr">
        <is>
          <t>Wine glasses</t>
        </is>
      </c>
      <c r="D489" s="306" t="inlineStr">
        <is>
          <t>No bill</t>
        </is>
      </c>
      <c r="E489" s="305" t="inlineStr">
        <is>
          <t>Kitchen Supplies</t>
        </is>
      </c>
      <c r="F489" s="307" t="n">
        <v>150</v>
      </c>
      <c r="G489" s="308" t="inlineStr">
        <is>
          <t>Restaurant</t>
        </is>
      </c>
      <c r="H489" s="308" t="inlineStr">
        <is>
          <t>Cash</t>
        </is>
      </c>
      <c r="I489" s="309" t="inlineStr">
        <is>
          <t>✅ Paid</t>
        </is>
      </c>
      <c r="J489" s="418" t="inlineStr">
        <is>
          <t>No receipt; cash; glassware</t>
        </is>
      </c>
    </row>
    <row r="490">
      <c r="B490" s="422" t="n">
        <v>46219</v>
      </c>
      <c r="C490" s="305" t="inlineStr">
        <is>
          <t>Salvo (lavatrastes)</t>
        </is>
      </c>
      <c r="D490" s="306" t="inlineStr">
        <is>
          <t>No bill</t>
        </is>
      </c>
      <c r="E490" s="305" t="inlineStr">
        <is>
          <t>Kitchen Supplies</t>
        </is>
      </c>
      <c r="F490" s="307" t="n">
        <v>28</v>
      </c>
      <c r="G490" s="308" t="inlineStr">
        <is>
          <t>Restaurant</t>
        </is>
      </c>
      <c r="H490" s="308" t="inlineStr">
        <is>
          <t>Cash</t>
        </is>
      </c>
      <c r="I490" s="309" t="inlineStr">
        <is>
          <t>✅ Paid</t>
        </is>
      </c>
      <c r="J490" s="418" t="inlineStr">
        <is>
          <t>No receipt; cash; dish soap</t>
        </is>
      </c>
    </row>
    <row r="491">
      <c r="B491" s="422" t="n">
        <v>46219</v>
      </c>
      <c r="C491" s="305" t="inlineStr">
        <is>
          <t>Topo Chico (Oxxo)</t>
        </is>
      </c>
      <c r="D491" s="306" t="inlineStr">
        <is>
          <t>OXXO</t>
        </is>
      </c>
      <c r="E491" s="305" t="inlineStr">
        <is>
          <t>Ingredients - Beverages</t>
        </is>
      </c>
      <c r="F491" s="307" t="n">
        <v>40</v>
      </c>
      <c r="G491" s="308" t="inlineStr">
        <is>
          <t>Restaurant</t>
        </is>
      </c>
      <c r="H491" s="308" t="inlineStr">
        <is>
          <t>Cash</t>
        </is>
      </c>
      <c r="I491" s="309" t="inlineStr">
        <is>
          <t>✅ Paid</t>
        </is>
      </c>
      <c r="J491" s="418" t="inlineStr">
        <is>
          <t>No receipt; cash</t>
        </is>
      </c>
    </row>
    <row r="492">
      <c r="B492" s="422" t="n">
        <v>46214</v>
      </c>
      <c r="C492" s="305" t="inlineStr">
        <is>
          <t>Pan y salsas</t>
        </is>
      </c>
      <c r="D492" s="306" t="inlineStr">
        <is>
          <t>Pan Reales</t>
        </is>
      </c>
      <c r="E492" s="305" t="inlineStr">
        <is>
          <t>Ingredients - Bread</t>
        </is>
      </c>
      <c r="F492" s="307" t="n">
        <v>867</v>
      </c>
      <c r="G492" s="308" t="inlineStr">
        <is>
          <t>Restaurant</t>
        </is>
      </c>
      <c r="H492" s="308" t="inlineStr">
        <is>
          <t>Cash</t>
        </is>
      </c>
      <c r="I492" s="309" t="inlineStr">
        <is>
          <t>✅ Paid</t>
        </is>
      </c>
      <c r="J492" s="418" t="inlineStr">
        <is>
          <t>Pan + salsas; gasto de 11-Jul agregado despues (missed en el EOD original)</t>
        </is>
      </c>
    </row>
    <row r="493">
      <c r="B493" s="422" t="n">
        <v>46219</v>
      </c>
      <c r="C493" s="305" t="inlineStr">
        <is>
          <t>John (Head Chef) — pago por quedarse tarde (wine party)</t>
        </is>
      </c>
      <c r="D493" s="306" t="inlineStr">
        <is>
          <t>Payroll</t>
        </is>
      </c>
      <c r="E493" s="305" t="inlineStr">
        <is>
          <t>Staff - Salary</t>
        </is>
      </c>
      <c r="F493" s="307" t="n">
        <v>500</v>
      </c>
      <c r="G493" s="308" t="inlineStr">
        <is>
          <t>Restaurant</t>
        </is>
      </c>
      <c r="H493" s="308" t="inlineStr">
        <is>
          <t>Cash</t>
        </is>
      </c>
      <c r="I493" s="309" t="inlineStr">
        <is>
          <t>✅ Paid</t>
        </is>
      </c>
      <c r="J493" s="418" t="inlineStr">
        <is>
          <t>Pago extra al chef por trabajar tarde en el evento de vino (16-Jul). Sueldo/bono, no propina.</t>
        </is>
      </c>
    </row>
    <row r="494">
      <c r="B494" s="422" t="n">
        <v>46220</v>
      </c>
      <c r="C494" s="305" t="inlineStr">
        <is>
          <t>Arroz (Oxxo)</t>
        </is>
      </c>
      <c r="D494" s="306" t="inlineStr">
        <is>
          <t>OXXO</t>
        </is>
      </c>
      <c r="E494" s="305" t="inlineStr">
        <is>
          <t>Ingredients - Pantry</t>
        </is>
      </c>
      <c r="F494" s="307" t="n">
        <v>52</v>
      </c>
      <c r="G494" s="308" t="inlineStr">
        <is>
          <t>Restaurant</t>
        </is>
      </c>
      <c r="H494" s="308" t="inlineStr">
        <is>
          <t>Cash</t>
        </is>
      </c>
      <c r="I494" s="309" t="inlineStr">
        <is>
          <t>✅ Paid</t>
        </is>
      </c>
      <c r="J494" s="418" t="inlineStr">
        <is>
          <t>No receipt; cash</t>
        </is>
      </c>
    </row>
    <row r="495">
      <c r="B495" s="422" t="n">
        <v>46220</v>
      </c>
      <c r="C495" s="305" t="inlineStr">
        <is>
          <t>Pollo</t>
        </is>
      </c>
      <c r="D495" s="306" t="inlineStr">
        <is>
          <t>No bill</t>
        </is>
      </c>
      <c r="E495" s="305" t="inlineStr">
        <is>
          <t>Ingredients - Meat</t>
        </is>
      </c>
      <c r="F495" s="307" t="n">
        <v>300</v>
      </c>
      <c r="G495" s="308" t="inlineStr">
        <is>
          <t>Lohith</t>
        </is>
      </c>
      <c r="H495" s="308" t="inlineStr">
        <is>
          <t>Cash</t>
        </is>
      </c>
      <c r="I495" s="309" t="inlineStr">
        <is>
          <t>✅ Paid</t>
        </is>
      </c>
      <c r="J495" s="418" t="inlineStr">
        <is>
          <t>Pollo pagado personalmente por Lohith (17-Jul); gasto operativo real, reembolsable via Owner Ledger. No salio de la caja.</t>
        </is>
      </c>
    </row>
    <row r="496">
      <c r="B496" s="422" t="n">
        <v>46220</v>
      </c>
      <c r="C496" s="305" t="inlineStr">
        <is>
          <t>Vegetables</t>
        </is>
      </c>
      <c r="D496" s="306" t="inlineStr">
        <is>
          <t>No bill</t>
        </is>
      </c>
      <c r="E496" s="305" t="inlineStr">
        <is>
          <t>Ingredients - Vegetables</t>
        </is>
      </c>
      <c r="F496" s="307" t="n">
        <v>51</v>
      </c>
      <c r="G496" s="308" t="inlineStr">
        <is>
          <t>Restaurant</t>
        </is>
      </c>
      <c r="H496" s="308" t="inlineStr">
        <is>
          <t>Cash</t>
        </is>
      </c>
      <c r="I496" s="309" t="inlineStr">
        <is>
          <t>✅ Paid</t>
        </is>
      </c>
      <c r="J496" s="418" t="inlineStr">
        <is>
          <t>No receipt; cash</t>
        </is>
      </c>
    </row>
    <row r="497">
      <c r="B497" s="422" t="n">
        <v>46220</v>
      </c>
      <c r="C497" s="305" t="inlineStr">
        <is>
          <t>Lechuga</t>
        </is>
      </c>
      <c r="D497" s="306" t="inlineStr">
        <is>
          <t>No bill</t>
        </is>
      </c>
      <c r="E497" s="305" t="inlineStr">
        <is>
          <t>Ingredients - Vegetables</t>
        </is>
      </c>
      <c r="F497" s="307" t="n">
        <v>88</v>
      </c>
      <c r="G497" s="308" t="inlineStr">
        <is>
          <t>Restaurant</t>
        </is>
      </c>
      <c r="H497" s="308" t="inlineStr">
        <is>
          <t>Cash</t>
        </is>
      </c>
      <c r="I497" s="309" t="inlineStr">
        <is>
          <t>✅ Paid</t>
        </is>
      </c>
      <c r="J497" s="418" t="inlineStr">
        <is>
          <t>No receipt; cash</t>
        </is>
      </c>
    </row>
    <row r="498">
      <c r="B498" s="422" t="n">
        <v>46220</v>
      </c>
      <c r="C498" s="305" t="inlineStr">
        <is>
          <t>Bistec</t>
        </is>
      </c>
      <c r="D498" s="306" t="inlineStr">
        <is>
          <t>No bill</t>
        </is>
      </c>
      <c r="E498" s="305" t="inlineStr">
        <is>
          <t>Ingredients - Meat</t>
        </is>
      </c>
      <c r="F498" s="307" t="n">
        <v>96</v>
      </c>
      <c r="G498" s="308" t="inlineStr">
        <is>
          <t>Restaurant</t>
        </is>
      </c>
      <c r="H498" s="308" t="inlineStr">
        <is>
          <t>Cash</t>
        </is>
      </c>
      <c r="I498" s="309" t="inlineStr">
        <is>
          <t>✅ Paid</t>
        </is>
      </c>
      <c r="J498" s="418" t="inlineStr">
        <is>
          <t>No receipt; cash</t>
        </is>
      </c>
    </row>
    <row r="499">
      <c r="B499" s="422" t="n">
        <v>46220</v>
      </c>
      <c r="C499" s="305" t="inlineStr">
        <is>
          <t>Chedraui (varios)</t>
        </is>
      </c>
      <c r="D499" s="306" t="inlineStr">
        <is>
          <t>Chedraui</t>
        </is>
      </c>
      <c r="E499" s="305" t="inlineStr">
        <is>
          <t>Supermarket/General</t>
        </is>
      </c>
      <c r="F499" s="307" t="n">
        <v>164</v>
      </c>
      <c r="G499" s="308" t="inlineStr">
        <is>
          <t>Restaurant</t>
        </is>
      </c>
      <c r="H499" s="308" t="inlineStr">
        <is>
          <t>Cash</t>
        </is>
      </c>
      <c r="I499" s="309" t="inlineStr">
        <is>
          <t>✅ Paid</t>
        </is>
      </c>
      <c r="J499" s="418" t="inlineStr">
        <is>
          <t>No receipt provided; cash</t>
        </is>
      </c>
    </row>
    <row r="500">
      <c r="B500" s="422" t="n">
        <v>46220</v>
      </c>
      <c r="C500" s="305" t="inlineStr">
        <is>
          <t>Samu — Ayudante Week 9</t>
        </is>
      </c>
      <c r="D500" s="306" t="inlineStr">
        <is>
          <t>Payroll</t>
        </is>
      </c>
      <c r="E500" s="305" t="inlineStr">
        <is>
          <t>Staff - Salary</t>
        </is>
      </c>
      <c r="F500" s="307" t="n">
        <v>1200</v>
      </c>
      <c r="G500" s="308" t="inlineStr">
        <is>
          <t>Restaurant</t>
        </is>
      </c>
      <c r="H500" s="308" t="inlineStr">
        <is>
          <t>Cash</t>
        </is>
      </c>
      <c r="I500" s="309" t="inlineStr">
        <is>
          <t>✅ Paid</t>
        </is>
      </c>
      <c r="J500" s="418" t="inlineStr">
        <is>
          <t>Week 9 salary, paid Friday 17 Jul</t>
        </is>
      </c>
    </row>
    <row r="501">
      <c r="B501" s="422" t="n">
        <v>46221</v>
      </c>
      <c r="C501" s="305" t="inlineStr">
        <is>
          <t>John — Head Chef Week 9</t>
        </is>
      </c>
      <c r="D501" s="306" t="inlineStr">
        <is>
          <t>Payroll</t>
        </is>
      </c>
      <c r="E501" s="305" t="inlineStr">
        <is>
          <t>Staff - Salary</t>
        </is>
      </c>
      <c r="F501" s="307" t="n">
        <v>3750</v>
      </c>
      <c r="G501" s="308" t="inlineStr">
        <is>
          <t>Restaurant</t>
        </is>
      </c>
      <c r="H501" s="308" t="inlineStr">
        <is>
          <t>Cash</t>
        </is>
      </c>
      <c r="I501" s="309" t="inlineStr">
        <is>
          <t>✅ Paid</t>
        </is>
      </c>
      <c r="J501" s="418" t="inlineStr">
        <is>
          <t>Week 9 salary, paid Saturday 18 Jul</t>
        </is>
      </c>
    </row>
    <row r="502">
      <c r="B502" s="422" t="n">
        <v>46221</v>
      </c>
      <c r="C502" s="305" t="inlineStr">
        <is>
          <t>Duvi/Debi — Limpieza Week 9</t>
        </is>
      </c>
      <c r="D502" s="306" t="inlineStr">
        <is>
          <t>Payroll</t>
        </is>
      </c>
      <c r="E502" s="305" t="inlineStr">
        <is>
          <t>Staff - Salary</t>
        </is>
      </c>
      <c r="F502" s="307" t="n">
        <v>1500</v>
      </c>
      <c r="G502" s="308" t="inlineStr">
        <is>
          <t>Restaurant</t>
        </is>
      </c>
      <c r="H502" s="308" t="inlineStr">
        <is>
          <t>Cash</t>
        </is>
      </c>
      <c r="I502" s="309" t="inlineStr">
        <is>
          <t>✅ Paid</t>
        </is>
      </c>
      <c r="J502" s="418" t="inlineStr">
        <is>
          <t>Week 9 salary, paid Saturday 18 Jul (full week)</t>
        </is>
      </c>
    </row>
    <row r="503">
      <c r="B503" s="422" t="n">
        <v>46223</v>
      </c>
      <c r="C503" s="305" t="inlineStr">
        <is>
          <t>Milk (Oxxo)</t>
        </is>
      </c>
      <c r="D503" s="306" t="inlineStr">
        <is>
          <t>OXXO</t>
        </is>
      </c>
      <c r="E503" s="305" t="inlineStr">
        <is>
          <t>Ingredients - Dairy</t>
        </is>
      </c>
      <c r="F503" s="307" t="n">
        <v>36</v>
      </c>
      <c r="G503" s="308" t="inlineStr">
        <is>
          <t>Restaurant</t>
        </is>
      </c>
      <c r="H503" s="308" t="inlineStr">
        <is>
          <t>Cash</t>
        </is>
      </c>
      <c r="I503" s="309" t="inlineStr">
        <is>
          <t>✅ Paid</t>
        </is>
      </c>
      <c r="J503" s="418" t="inlineStr">
        <is>
          <t>No receipt; cash</t>
        </is>
      </c>
    </row>
    <row r="504">
      <c r="B504" s="422" t="n">
        <v>46223</v>
      </c>
      <c r="C504" s="305" t="inlineStr">
        <is>
          <t>Bistec</t>
        </is>
      </c>
      <c r="D504" s="306" t="inlineStr">
        <is>
          <t>No bill</t>
        </is>
      </c>
      <c r="E504" s="305" t="inlineStr">
        <is>
          <t>Ingredients - Meat</t>
        </is>
      </c>
      <c r="F504" s="307" t="n">
        <v>290</v>
      </c>
      <c r="G504" s="308" t="inlineStr">
        <is>
          <t>Lohith</t>
        </is>
      </c>
      <c r="H504" s="308" t="inlineStr">
        <is>
          <t>Cash</t>
        </is>
      </c>
      <c r="I504" s="309" t="inlineStr">
        <is>
          <t>✅ Paid</t>
        </is>
      </c>
      <c r="J504" s="418" t="inlineStr">
        <is>
          <t>Pagado por Lohith (bolsillo); reembolsable via Owner Ledger; no de la caja</t>
        </is>
      </c>
    </row>
    <row r="505">
      <c r="B505" s="422" t="n">
        <v>46223</v>
      </c>
      <c r="C505" s="305" t="inlineStr">
        <is>
          <t>Pollo</t>
        </is>
      </c>
      <c r="D505" s="306" t="inlineStr">
        <is>
          <t>No bill</t>
        </is>
      </c>
      <c r="E505" s="305" t="inlineStr">
        <is>
          <t>Ingredients - Meat</t>
        </is>
      </c>
      <c r="F505" s="307" t="n">
        <v>89</v>
      </c>
      <c r="G505" s="308" t="inlineStr">
        <is>
          <t>Lohith</t>
        </is>
      </c>
      <c r="H505" s="308" t="inlineStr">
        <is>
          <t>Cash</t>
        </is>
      </c>
      <c r="I505" s="309" t="inlineStr">
        <is>
          <t>✅ Paid</t>
        </is>
      </c>
      <c r="J505" s="418" t="inlineStr">
        <is>
          <t>Pagado por Lohith (bolsillo); reembolsable via Owner Ledger; no de la caja</t>
        </is>
      </c>
    </row>
    <row r="506">
      <c r="B506" s="422" t="n">
        <v>46223</v>
      </c>
      <c r="C506" s="305" t="inlineStr">
        <is>
          <t>Agua natural</t>
        </is>
      </c>
      <c r="D506" s="306" t="inlineStr">
        <is>
          <t>No bill</t>
        </is>
      </c>
      <c r="E506" s="305" t="inlineStr">
        <is>
          <t>Ingredients - Beverages</t>
        </is>
      </c>
      <c r="F506" s="307" t="n">
        <v>30</v>
      </c>
      <c r="G506" s="308" t="inlineStr">
        <is>
          <t>Restaurant</t>
        </is>
      </c>
      <c r="H506" s="308" t="inlineStr">
        <is>
          <t>Cash</t>
        </is>
      </c>
      <c r="I506" s="309" t="inlineStr">
        <is>
          <t>✅ Paid</t>
        </is>
      </c>
      <c r="J506" s="418" t="inlineStr">
        <is>
          <t>No receipt; cash</t>
        </is>
      </c>
    </row>
    <row r="507">
      <c r="B507" s="422" t="n">
        <v>46223</v>
      </c>
      <c r="C507" s="305" t="inlineStr">
        <is>
          <t>Hielo (Oxxo)</t>
        </is>
      </c>
      <c r="D507" s="306" t="inlineStr">
        <is>
          <t>OXXO</t>
        </is>
      </c>
      <c r="E507" s="305" t="inlineStr">
        <is>
          <t>Kitchen Supplies</t>
        </is>
      </c>
      <c r="F507" s="307" t="n">
        <v>54</v>
      </c>
      <c r="G507" s="308" t="inlineStr">
        <is>
          <t>Lohith</t>
        </is>
      </c>
      <c r="H507" s="308" t="inlineStr">
        <is>
          <t>Cash</t>
        </is>
      </c>
      <c r="I507" s="309" t="inlineStr">
        <is>
          <t>✅ Paid</t>
        </is>
      </c>
      <c r="J507" s="418" t="inlineStr">
        <is>
          <t>Pagado por Lohith (bolsillo); reembolsable via Owner Ledger; no de la caja</t>
        </is>
      </c>
    </row>
    <row r="508">
      <c r="B508" s="422" t="n">
        <v>46223</v>
      </c>
      <c r="C508" s="305" t="inlineStr">
        <is>
          <t>Hielos (mercado)</t>
        </is>
      </c>
      <c r="D508" s="306" t="inlineStr">
        <is>
          <t>No bill</t>
        </is>
      </c>
      <c r="E508" s="305" t="inlineStr">
        <is>
          <t>Kitchen Supplies</t>
        </is>
      </c>
      <c r="F508" s="307" t="n">
        <v>200</v>
      </c>
      <c r="G508" s="308" t="inlineStr">
        <is>
          <t>Restaurant</t>
        </is>
      </c>
      <c r="H508" s="308" t="inlineStr">
        <is>
          <t>Cash</t>
        </is>
      </c>
      <c r="I508" s="309" t="inlineStr">
        <is>
          <t>✅ Paid</t>
        </is>
      </c>
      <c r="J508" s="418" t="inlineStr">
        <is>
          <t>No receipt; cash</t>
        </is>
      </c>
    </row>
    <row r="509">
      <c r="B509" s="422" t="n">
        <v>46223</v>
      </c>
      <c r="C509" s="305" t="inlineStr">
        <is>
          <t>Sam's Club (varios)</t>
        </is>
      </c>
      <c r="D509" s="306" t="inlineStr">
        <is>
          <t>Sam's Club</t>
        </is>
      </c>
      <c r="E509" s="305" t="inlineStr">
        <is>
          <t>Supermarket/General</t>
        </is>
      </c>
      <c r="F509" s="307" t="n">
        <v>1760</v>
      </c>
      <c r="G509" s="308" t="inlineStr">
        <is>
          <t>Restaurant</t>
        </is>
      </c>
      <c r="H509" s="308" t="inlineStr">
        <is>
          <t>Card</t>
        </is>
      </c>
      <c r="I509" s="309" t="inlineStr">
        <is>
          <t>✅ Paid</t>
        </is>
      </c>
      <c r="J509" s="418" t="inlineStr">
        <is>
          <t>No receipt provided; restaurant-paid</t>
        </is>
      </c>
    </row>
    <row r="510">
      <c r="B510" s="422" t="n">
        <v>46221</v>
      </c>
      <c r="C510" s="305" t="inlineStr">
        <is>
          <t>Vegetables</t>
        </is>
      </c>
      <c r="D510" s="306" t="inlineStr">
        <is>
          <t>No bill</t>
        </is>
      </c>
      <c r="E510" s="305" t="inlineStr">
        <is>
          <t>Ingredients - Vegetables</t>
        </is>
      </c>
      <c r="F510" s="307" t="n">
        <v>1520</v>
      </c>
      <c r="G510" s="308" t="inlineStr">
        <is>
          <t>Restaurant</t>
        </is>
      </c>
      <c r="H510" s="308" t="inlineStr">
        <is>
          <t>Cash</t>
        </is>
      </c>
      <c r="I510" s="309" t="inlineStr">
        <is>
          <t>✅ Paid</t>
        </is>
      </c>
      <c r="J510" s="418" t="inlineStr">
        <is>
          <t>No receipt; cash; added later (Saturday expense)</t>
        </is>
      </c>
    </row>
    <row r="511">
      <c r="B511" s="422" t="n">
        <v>46224</v>
      </c>
      <c r="C511" s="305" t="inlineStr">
        <is>
          <t>Jamon</t>
        </is>
      </c>
      <c r="D511" s="306" t="inlineStr">
        <is>
          <t>No bill</t>
        </is>
      </c>
      <c r="E511" s="305" t="inlineStr">
        <is>
          <t>Ingredients - Meat</t>
        </is>
      </c>
      <c r="F511" s="307" t="n">
        <v>174</v>
      </c>
      <c r="G511" s="308" t="inlineStr">
        <is>
          <t>Restaurant</t>
        </is>
      </c>
      <c r="H511" s="308" t="inlineStr">
        <is>
          <t>Cash</t>
        </is>
      </c>
      <c r="I511" s="309" t="inlineStr">
        <is>
          <t>✅ Paid</t>
        </is>
      </c>
      <c r="J511" s="418" t="inlineStr">
        <is>
          <t>No receipt; cash</t>
        </is>
      </c>
    </row>
    <row r="512">
      <c r="B512" s="422" t="n">
        <v>46224</v>
      </c>
      <c r="C512" s="305" t="inlineStr">
        <is>
          <t>Carnes</t>
        </is>
      </c>
      <c r="D512" s="306" t="inlineStr">
        <is>
          <t>No bill</t>
        </is>
      </c>
      <c r="E512" s="305" t="inlineStr">
        <is>
          <t>Ingredients - Meat</t>
        </is>
      </c>
      <c r="F512" s="307" t="n">
        <v>562</v>
      </c>
      <c r="G512" s="308" t="inlineStr">
        <is>
          <t>Restaurant</t>
        </is>
      </c>
      <c r="H512" s="308" t="inlineStr">
        <is>
          <t>Cash</t>
        </is>
      </c>
      <c r="I512" s="309" t="inlineStr">
        <is>
          <t>✅ Paid</t>
        </is>
      </c>
      <c r="J512" s="418" t="inlineStr">
        <is>
          <t>No receipt; cash</t>
        </is>
      </c>
    </row>
    <row r="513">
      <c r="B513" s="422" t="n">
        <v>46224</v>
      </c>
      <c r="C513" s="305" t="inlineStr">
        <is>
          <t>Carne de hamburguesa</t>
        </is>
      </c>
      <c r="D513" s="306" t="inlineStr">
        <is>
          <t>No bill</t>
        </is>
      </c>
      <c r="E513" s="305" t="inlineStr">
        <is>
          <t>Ingredients - Meat</t>
        </is>
      </c>
      <c r="F513" s="307" t="n">
        <v>380</v>
      </c>
      <c r="G513" s="308" t="inlineStr">
        <is>
          <t>Restaurant</t>
        </is>
      </c>
      <c r="H513" s="308" t="inlineStr">
        <is>
          <t>Cash</t>
        </is>
      </c>
      <c r="I513" s="309" t="inlineStr">
        <is>
          <t>✅ Paid</t>
        </is>
      </c>
      <c r="J513" s="418" t="inlineStr">
        <is>
          <t>No receipt; cash</t>
        </is>
      </c>
    </row>
    <row r="514">
      <c r="B514" s="422" t="n">
        <v>46224</v>
      </c>
      <c r="C514" s="305" t="inlineStr">
        <is>
          <t>Arroz (Oxxo)</t>
        </is>
      </c>
      <c r="D514" s="306" t="inlineStr">
        <is>
          <t>OXXO</t>
        </is>
      </c>
      <c r="E514" s="305" t="inlineStr">
        <is>
          <t>Ingredients - Pantry</t>
        </is>
      </c>
      <c r="F514" s="307" t="n">
        <v>26</v>
      </c>
      <c r="G514" s="308" t="inlineStr">
        <is>
          <t>Restaurant</t>
        </is>
      </c>
      <c r="H514" s="308" t="inlineStr">
        <is>
          <t>Cash</t>
        </is>
      </c>
      <c r="I514" s="309" t="inlineStr">
        <is>
          <t>✅ Paid</t>
        </is>
      </c>
      <c r="J514" s="418" t="inlineStr">
        <is>
          <t>No receipt; cash</t>
        </is>
      </c>
    </row>
    <row r="515">
      <c r="B515" s="422" t="n">
        <v>46224</v>
      </c>
      <c r="C515" s="305" t="inlineStr">
        <is>
          <t>Chedraui (varios)</t>
        </is>
      </c>
      <c r="D515" s="306" t="inlineStr">
        <is>
          <t>Chedraui</t>
        </is>
      </c>
      <c r="E515" s="305" t="inlineStr">
        <is>
          <t>Supermarket/General</t>
        </is>
      </c>
      <c r="F515" s="307" t="n">
        <v>116</v>
      </c>
      <c r="G515" s="308" t="inlineStr">
        <is>
          <t>Restaurant</t>
        </is>
      </c>
      <c r="H515" s="308" t="inlineStr">
        <is>
          <t>Cash</t>
        </is>
      </c>
      <c r="I515" s="309" t="inlineStr">
        <is>
          <t>✅ Paid</t>
        </is>
      </c>
      <c r="J515" s="418" t="inlineStr">
        <is>
          <t>No receipt provided; cash</t>
        </is>
      </c>
    </row>
    <row r="516">
      <c r="B516" s="422" t="n">
        <v>46224</v>
      </c>
      <c r="C516" s="305" t="inlineStr">
        <is>
          <t>Pollo</t>
        </is>
      </c>
      <c r="D516" s="306" t="inlineStr">
        <is>
          <t>No bill</t>
        </is>
      </c>
      <c r="E516" s="305" t="inlineStr">
        <is>
          <t>Ingredients - Meat</t>
        </is>
      </c>
      <c r="F516" s="307" t="n">
        <v>939</v>
      </c>
      <c r="G516" s="308" t="inlineStr">
        <is>
          <t>Restaurant</t>
        </is>
      </c>
      <c r="H516" s="308" t="inlineStr">
        <is>
          <t>Cash</t>
        </is>
      </c>
      <c r="I516" s="309" t="inlineStr">
        <is>
          <t>✅ Paid</t>
        </is>
      </c>
      <c r="J516" s="418" t="inlineStr">
        <is>
          <t>No receipt; cash</t>
        </is>
      </c>
    </row>
    <row r="517">
      <c r="B517" s="422" t="n">
        <v>46225</v>
      </c>
      <c r="C517" s="305" t="inlineStr">
        <is>
          <t>Avia Reca (bebidas)</t>
        </is>
      </c>
      <c r="D517" s="306" t="inlineStr">
        <is>
          <t>Reca</t>
        </is>
      </c>
      <c r="E517" s="305" t="inlineStr">
        <is>
          <t>Ingredients - Beverages</t>
        </is>
      </c>
      <c r="F517" s="307" t="n">
        <v>300</v>
      </c>
      <c r="G517" s="308" t="inlineStr">
        <is>
          <t>Restaurant</t>
        </is>
      </c>
      <c r="H517" s="308" t="inlineStr">
        <is>
          <t>Cash</t>
        </is>
      </c>
      <c r="I517" s="309" t="inlineStr">
        <is>
          <t>✅ Paid</t>
        </is>
      </c>
      <c r="J517" s="418" t="inlineStr">
        <is>
          <t>Marca de bebidas; gasto operativo recurrente de inventario de bebidas.</t>
        </is>
      </c>
    </row>
    <row r="518">
      <c r="B518" s="422" t="n">
        <v>46225</v>
      </c>
      <c r="C518" s="305" t="inlineStr">
        <is>
          <t>Carnes</t>
        </is>
      </c>
      <c r="D518" s="306" t="inlineStr">
        <is>
          <t>No bill</t>
        </is>
      </c>
      <c r="E518" s="305" t="inlineStr">
        <is>
          <t>Ingredients - Meat</t>
        </is>
      </c>
      <c r="F518" s="307" t="n">
        <v>833</v>
      </c>
      <c r="G518" s="308" t="inlineStr">
        <is>
          <t>Restaurant</t>
        </is>
      </c>
      <c r="H518" s="308" t="inlineStr">
        <is>
          <t>Cash</t>
        </is>
      </c>
      <c r="I518" s="309" t="inlineStr">
        <is>
          <t>✅ Paid</t>
        </is>
      </c>
      <c r="J518" s="418" t="inlineStr">
        <is>
          <t>No receipt; cash</t>
        </is>
      </c>
    </row>
    <row r="519">
      <c r="B519" s="422" t="n">
        <v>46225</v>
      </c>
      <c r="C519" s="305" t="inlineStr">
        <is>
          <t>Elote (Oxxo)</t>
        </is>
      </c>
      <c r="D519" s="306" t="inlineStr">
        <is>
          <t>OXXO</t>
        </is>
      </c>
      <c r="E519" s="305" t="inlineStr">
        <is>
          <t>Ingredients - Vegetables</t>
        </is>
      </c>
      <c r="F519" s="307" t="n">
        <v>20</v>
      </c>
      <c r="G519" s="308" t="inlineStr">
        <is>
          <t>Restaurant</t>
        </is>
      </c>
      <c r="H519" s="308" t="inlineStr">
        <is>
          <t>Cash</t>
        </is>
      </c>
      <c r="I519" s="309" t="inlineStr">
        <is>
          <t>✅ Paid</t>
        </is>
      </c>
      <c r="J519" s="418" t="inlineStr">
        <is>
          <t>No receipt; cash</t>
        </is>
      </c>
    </row>
    <row r="520">
      <c r="B520" s="422" t="n">
        <v>46225</v>
      </c>
      <c r="C520" s="305" t="inlineStr">
        <is>
          <t>Tilapia</t>
        </is>
      </c>
      <c r="D520" s="306" t="inlineStr">
        <is>
          <t>Brisa del Mar</t>
        </is>
      </c>
      <c r="E520" s="305" t="inlineStr">
        <is>
          <t>Ingredients - Meat &amp; Fish</t>
        </is>
      </c>
      <c r="F520" s="307" t="n">
        <v>366</v>
      </c>
      <c r="G520" s="308" t="inlineStr">
        <is>
          <t>Restaurant</t>
        </is>
      </c>
      <c r="H520" s="308" t="inlineStr">
        <is>
          <t>Cash</t>
        </is>
      </c>
      <c r="I520" s="309" t="inlineStr">
        <is>
          <t>✅ Paid</t>
        </is>
      </c>
      <c r="J520" s="418" t="inlineStr">
        <is>
          <t>No receipt; cash; pescado</t>
        </is>
      </c>
    </row>
    <row r="521">
      <c r="B521" s="422" t="n">
        <v>46225</v>
      </c>
      <c r="C521" s="305" t="inlineStr">
        <is>
          <t>Pollo</t>
        </is>
      </c>
      <c r="D521" s="306" t="inlineStr">
        <is>
          <t>No bill</t>
        </is>
      </c>
      <c r="E521" s="305" t="inlineStr">
        <is>
          <t>Ingredients - Meat</t>
        </is>
      </c>
      <c r="F521" s="307" t="n">
        <v>234</v>
      </c>
      <c r="G521" s="308" t="inlineStr">
        <is>
          <t>Lohith</t>
        </is>
      </c>
      <c r="H521" s="308" t="inlineStr">
        <is>
          <t>Cash</t>
        </is>
      </c>
      <c r="I521" s="309" t="inlineStr">
        <is>
          <t>✅ Paid</t>
        </is>
      </c>
      <c r="J521" s="418" t="inlineStr">
        <is>
          <t>Pagado por Lohith (bolsillo); reembolsable via Owner Ledger; no de la caja</t>
        </is>
      </c>
    </row>
    <row r="522">
      <c r="B522" s="422" t="n">
        <v>46225</v>
      </c>
      <c r="C522" s="305" t="inlineStr">
        <is>
          <t>Soft Restaurant app subscription</t>
        </is>
      </c>
      <c r="D522" s="306" t="inlineStr">
        <is>
          <t>Soft Restaurant</t>
        </is>
      </c>
      <c r="E522" s="305" t="inlineStr">
        <is>
          <t>Utilities/Internet</t>
        </is>
      </c>
      <c r="F522" s="307" t="n">
        <v>810</v>
      </c>
      <c r="G522" s="308" t="inlineStr">
        <is>
          <t>Restaurant</t>
        </is>
      </c>
      <c r="H522" s="308" t="inlineStr">
        <is>
          <t>Cash</t>
        </is>
      </c>
      <c r="I522" s="309" t="inlineStr">
        <is>
          <t>✅ Paid</t>
        </is>
      </c>
      <c r="J522" s="418" t="inlineStr">
        <is>
          <t>Suscripcion MENSUAL recurrente del software POS Soft Restaurant. Gasto OPERATIVO (no capital) - se repite cada mes.</t>
        </is>
      </c>
    </row>
    <row r="523">
      <c r="B523" s="422" t="n">
        <v>46225</v>
      </c>
      <c r="C523" s="305" t="inlineStr">
        <is>
          <t>Groceries (Tres B)</t>
        </is>
      </c>
      <c r="D523" s="306" t="inlineStr">
        <is>
          <t>Tres B</t>
        </is>
      </c>
      <c r="E523" s="305" t="inlineStr">
        <is>
          <t>Supermarket/General</t>
        </is>
      </c>
      <c r="F523" s="307" t="n">
        <v>1186</v>
      </c>
      <c r="G523" s="308" t="inlineStr">
        <is>
          <t>Restaurant</t>
        </is>
      </c>
      <c r="H523" s="308" t="inlineStr">
        <is>
          <t>Cash</t>
        </is>
      </c>
      <c r="I523" s="309" t="inlineStr">
        <is>
          <t>✅ Paid</t>
        </is>
      </c>
      <c r="J523" s="418" t="inlineStr">
        <is>
          <t>No receipt provided; cash; abarrotes</t>
        </is>
      </c>
    </row>
    <row r="524">
      <c r="B524" s="422" t="n">
        <v>46225</v>
      </c>
      <c r="C524" s="305" t="inlineStr">
        <is>
          <t>Agua natural</t>
        </is>
      </c>
      <c r="D524" s="306" t="inlineStr">
        <is>
          <t>No bill</t>
        </is>
      </c>
      <c r="E524" s="305" t="inlineStr">
        <is>
          <t>Ingredients - Beverages</t>
        </is>
      </c>
      <c r="F524" s="307" t="n">
        <v>70</v>
      </c>
      <c r="G524" s="308" t="inlineStr">
        <is>
          <t>Restaurant</t>
        </is>
      </c>
      <c r="H524" s="308" t="inlineStr">
        <is>
          <t>Cash</t>
        </is>
      </c>
      <c r="I524" s="309" t="inlineStr">
        <is>
          <t>✅ Paid</t>
        </is>
      </c>
      <c r="J524" s="418" t="inlineStr">
        <is>
          <t>No receipt; cash</t>
        </is>
      </c>
    </row>
    <row r="525">
      <c r="B525" s="422" t="n">
        <v>46226</v>
      </c>
      <c r="C525" s="305" t="inlineStr">
        <is>
          <t>Vegetables</t>
        </is>
      </c>
      <c r="D525" s="306" t="inlineStr">
        <is>
          <t>No bill</t>
        </is>
      </c>
      <c r="E525" s="305" t="inlineStr">
        <is>
          <t>Ingredients - Vegetables</t>
        </is>
      </c>
      <c r="F525" s="307" t="n">
        <v>105</v>
      </c>
      <c r="G525" s="308" t="inlineStr">
        <is>
          <t>Restaurant</t>
        </is>
      </c>
      <c r="H525" s="308" t="inlineStr">
        <is>
          <t>Cash</t>
        </is>
      </c>
      <c r="I525" s="309" t="inlineStr">
        <is>
          <t>✅ Paid</t>
        </is>
      </c>
      <c r="J525" s="418" t="inlineStr">
        <is>
          <t>No receipt; cash</t>
        </is>
      </c>
    </row>
    <row r="526">
      <c r="B526" s="422" t="n">
        <v>46226</v>
      </c>
      <c r="C526" s="305" t="inlineStr">
        <is>
          <t>Carnes</t>
        </is>
      </c>
      <c r="D526" s="306" t="inlineStr">
        <is>
          <t>No bill</t>
        </is>
      </c>
      <c r="E526" s="305" t="inlineStr">
        <is>
          <t>Ingredients - Meat</t>
        </is>
      </c>
      <c r="F526" s="307" t="n">
        <v>600</v>
      </c>
      <c r="G526" s="308" t="inlineStr">
        <is>
          <t>Restaurant</t>
        </is>
      </c>
      <c r="H526" s="308" t="inlineStr">
        <is>
          <t>Cash</t>
        </is>
      </c>
      <c r="I526" s="309" t="inlineStr">
        <is>
          <t>✅ Paid</t>
        </is>
      </c>
      <c r="J526" s="418" t="inlineStr">
        <is>
          <t>No receipt; cash</t>
        </is>
      </c>
    </row>
    <row r="527">
      <c r="B527" s="422" t="n">
        <v>46226</v>
      </c>
      <c r="C527" s="305" t="inlineStr">
        <is>
          <t>Pollo</t>
        </is>
      </c>
      <c r="D527" s="306" t="inlineStr">
        <is>
          <t>No bill</t>
        </is>
      </c>
      <c r="E527" s="305" t="inlineStr">
        <is>
          <t>Ingredients - Meat</t>
        </is>
      </c>
      <c r="F527" s="307" t="n">
        <v>220</v>
      </c>
      <c r="G527" s="308" t="inlineStr">
        <is>
          <t>Restaurant</t>
        </is>
      </c>
      <c r="H527" s="308" t="inlineStr">
        <is>
          <t>Cash</t>
        </is>
      </c>
      <c r="I527" s="309" t="inlineStr">
        <is>
          <t>✅ Paid</t>
        </is>
      </c>
      <c r="J527" s="418" t="inlineStr">
        <is>
          <t>No receipt; cash</t>
        </is>
      </c>
    </row>
    <row r="528">
      <c r="B528" s="422" t="n">
        <v>46226</v>
      </c>
      <c r="C528" s="305" t="inlineStr">
        <is>
          <t>Vasos plast. 12 + Reyma tapas + bolsa negra + stretch film</t>
        </is>
      </c>
      <c r="D528" s="306" t="inlineStr">
        <is>
          <t>Guimar Polietilenos</t>
        </is>
      </c>
      <c r="E528" s="305" t="inlineStr">
        <is>
          <t>Packaging/Disposables</t>
        </is>
      </c>
      <c r="F528" s="307" t="n">
        <v>1544.98</v>
      </c>
      <c r="G528" s="308" t="inlineStr">
        <is>
          <t>Restaurant</t>
        </is>
      </c>
      <c r="H528" s="308" t="inlineStr">
        <is>
          <t>Card</t>
        </is>
      </c>
      <c r="I528" s="309" t="inlineStr">
        <is>
          <t>✅ Paid</t>
        </is>
      </c>
      <c r="J528" s="418" t="inlineStr">
        <is>
          <t>Folio AK93904 10:48. Pagado con tarjeta de Lohith pero YA reembolsado con dinero del restaurante -&gt; gasto del restaurante, sin entrada en Owner Ledger.</t>
        </is>
      </c>
    </row>
    <row r="529">
      <c r="B529" s="422" t="n">
        <v>46226</v>
      </c>
      <c r="C529" s="305" t="inlineStr">
        <is>
          <t>Elote Herdez, agua mineral, detergente 5kg, tortillas, bolillo, rosca de nuez</t>
        </is>
      </c>
      <c r="D529" s="306" t="inlineStr">
        <is>
          <t>Chedraui Selecto</t>
        </is>
      </c>
      <c r="E529" s="305" t="inlineStr">
        <is>
          <t>Supermarket/General</t>
        </is>
      </c>
      <c r="F529" s="307" t="n">
        <v>515.4</v>
      </c>
      <c r="G529" s="308" t="inlineStr">
        <is>
          <t>Restaurant</t>
        </is>
      </c>
      <c r="H529" s="308" t="inlineStr">
        <is>
          <t>Card</t>
        </is>
      </c>
      <c r="I529" s="309" t="inlineStr">
        <is>
          <t>✅ Paid</t>
        </is>
      </c>
      <c r="J529" s="418" t="inlineStr">
        <is>
          <t>Debito BBVA ***3982 AUT 006060; 23-Jul 11:34; 16 articulos</t>
        </is>
      </c>
    </row>
    <row r="530">
      <c r="B530" s="422" t="n">
        <v>46226</v>
      </c>
      <c r="C530" s="305" t="inlineStr">
        <is>
          <t>Contenedor termico 8x8D + papel alimenticio + bolsa poliseda + bolsa en rollo</t>
        </is>
      </c>
      <c r="D530" s="306" t="inlineStr">
        <is>
          <t>Guimar Polietilenos</t>
        </is>
      </c>
      <c r="E530" s="305" t="inlineStr">
        <is>
          <t>Packaging/Disposables</t>
        </is>
      </c>
      <c r="F530" s="307" t="n">
        <v>1481.45</v>
      </c>
      <c r="G530" s="308" t="inlineStr">
        <is>
          <t>Restaurant</t>
        </is>
      </c>
      <c r="H530" s="308" t="inlineStr">
        <is>
          <t>Card</t>
        </is>
      </c>
      <c r="I530" s="309" t="inlineStr">
        <is>
          <t>✅ Paid</t>
        </is>
      </c>
      <c r="J530" s="418" t="inlineStr">
        <is>
          <t>Folio AK93900 10:37. Term.8x8D 8x115.25=922 + papel alim. 275 + bolsa poliseda 2x82=164 + bolsa rollo 1.65x73=120.45. Tarjeta de Lohith, YA reembolsado con dinero del restaurante -&gt; sin entrada en Owner Ledger.</t>
        </is>
      </c>
    </row>
    <row r="531">
      <c r="B531" s="422" t="n">
        <v>46226</v>
      </c>
      <c r="C531" s="305" t="inlineStr">
        <is>
          <t>Arroz (Oxxo)</t>
        </is>
      </c>
      <c r="D531" s="306" t="inlineStr">
        <is>
          <t>OXXO</t>
        </is>
      </c>
      <c r="E531" s="305" t="inlineStr">
        <is>
          <t>Ingredients - Pantry</t>
        </is>
      </c>
      <c r="F531" s="307" t="n">
        <v>35</v>
      </c>
      <c r="G531" s="308" t="inlineStr">
        <is>
          <t>Restaurant</t>
        </is>
      </c>
      <c r="H531" s="308" t="inlineStr">
        <is>
          <t>Cash</t>
        </is>
      </c>
      <c r="I531" s="309" t="inlineStr">
        <is>
          <t>✅ Paid</t>
        </is>
      </c>
      <c r="J531" s="418" t="inlineStr">
        <is>
          <t>No receipt; cash</t>
        </is>
      </c>
    </row>
    <row r="532">
      <c r="B532" s="422" t="n">
        <v>46226</v>
      </c>
      <c r="C532" s="305" t="inlineStr">
        <is>
          <t>Pan y salsas</t>
        </is>
      </c>
      <c r="D532" s="306" t="inlineStr">
        <is>
          <t>Pan Reales</t>
        </is>
      </c>
      <c r="E532" s="305" t="inlineStr">
        <is>
          <t>Ingredients - Bread</t>
        </is>
      </c>
      <c r="F532" s="307" t="n">
        <v>847</v>
      </c>
      <c r="G532" s="308" t="inlineStr">
        <is>
          <t>Restaurant</t>
        </is>
      </c>
      <c r="H532" s="308" t="inlineStr">
        <is>
          <t>Cash</t>
        </is>
      </c>
      <c r="I532" s="309" t="inlineStr">
        <is>
          <t>✅ Paid</t>
        </is>
      </c>
      <c r="J532" s="418" t="inlineStr">
        <is>
          <t>No receipt; cash</t>
        </is>
      </c>
    </row>
    <row r="533">
      <c r="B533" s="422" t="n">
        <v>46227</v>
      </c>
      <c r="C533" s="305" t="inlineStr">
        <is>
          <t>Pan molido</t>
        </is>
      </c>
      <c r="D533" s="306" t="inlineStr">
        <is>
          <t>No bill</t>
        </is>
      </c>
      <c r="E533" s="305" t="inlineStr">
        <is>
          <t>Ingredients - Bread</t>
        </is>
      </c>
      <c r="F533" s="307" t="n">
        <v>72</v>
      </c>
      <c r="G533" s="308" t="inlineStr">
        <is>
          <t>Restaurant</t>
        </is>
      </c>
      <c r="H533" s="308" t="inlineStr">
        <is>
          <t>Cash</t>
        </is>
      </c>
      <c r="I533" s="309" t="inlineStr">
        <is>
          <t>✅ Paid</t>
        </is>
      </c>
      <c r="J533" s="418" t="inlineStr">
        <is>
          <t>No receipt; cash; breadcrumbs</t>
        </is>
      </c>
    </row>
    <row r="534">
      <c r="B534" s="422" t="n">
        <v>46227</v>
      </c>
      <c r="C534" s="305" t="inlineStr">
        <is>
          <t>Azucar (Oxxo)</t>
        </is>
      </c>
      <c r="D534" s="306" t="inlineStr">
        <is>
          <t>OXXO</t>
        </is>
      </c>
      <c r="E534" s="305" t="inlineStr">
        <is>
          <t>Ingredients - Pantry</t>
        </is>
      </c>
      <c r="F534" s="307" t="n">
        <v>24</v>
      </c>
      <c r="G534" s="308" t="inlineStr">
        <is>
          <t>Restaurant</t>
        </is>
      </c>
      <c r="H534" s="308" t="inlineStr">
        <is>
          <t>Cash</t>
        </is>
      </c>
      <c r="I534" s="309" t="inlineStr">
        <is>
          <t>✅ Paid</t>
        </is>
      </c>
      <c r="J534" s="418" t="inlineStr">
        <is>
          <t>No receipt; cash</t>
        </is>
      </c>
    </row>
    <row r="535">
      <c r="B535" s="422" t="n">
        <v>46227</v>
      </c>
      <c r="C535" s="305" t="inlineStr">
        <is>
          <t>Queso panela</t>
        </is>
      </c>
      <c r="D535" s="306" t="inlineStr">
        <is>
          <t>No bill</t>
        </is>
      </c>
      <c r="E535" s="305" t="inlineStr">
        <is>
          <t>Ingredients - Dairy</t>
        </is>
      </c>
      <c r="F535" s="307" t="n">
        <v>590</v>
      </c>
      <c r="G535" s="308" t="inlineStr">
        <is>
          <t>Restaurant</t>
        </is>
      </c>
      <c r="H535" s="308" t="inlineStr">
        <is>
          <t>Cash</t>
        </is>
      </c>
      <c r="I535" s="309" t="inlineStr">
        <is>
          <t>✅ Paid</t>
        </is>
      </c>
      <c r="J535" s="418" t="inlineStr">
        <is>
          <t>No receipt; cash</t>
        </is>
      </c>
    </row>
    <row r="536">
      <c r="B536" s="422" t="n">
        <v>46227</v>
      </c>
      <c r="C536" s="305" t="inlineStr">
        <is>
          <t>Samu — Ayudante Week 10</t>
        </is>
      </c>
      <c r="D536" s="306" t="inlineStr">
        <is>
          <t>Payroll</t>
        </is>
      </c>
      <c r="E536" s="305" t="inlineStr">
        <is>
          <t>Staff - Salary</t>
        </is>
      </c>
      <c r="F536" s="307" t="n">
        <v>1200</v>
      </c>
      <c r="G536" s="308" t="inlineStr">
        <is>
          <t>Restaurant</t>
        </is>
      </c>
      <c r="H536" s="308" t="inlineStr">
        <is>
          <t>Cash</t>
        </is>
      </c>
      <c r="I536" s="309" t="inlineStr">
        <is>
          <t>✅ Paid</t>
        </is>
      </c>
      <c r="J536" s="418" t="inlineStr">
        <is>
          <t>Week 10 salary, paid Friday 24 Jul</t>
        </is>
      </c>
    </row>
    <row r="537">
      <c r="B537" s="422" t="n">
        <v>46228</v>
      </c>
      <c r="C537" s="305" t="inlineStr">
        <is>
          <t>Vegetables</t>
        </is>
      </c>
      <c r="D537" s="306" t="inlineStr">
        <is>
          <t>No bill</t>
        </is>
      </c>
      <c r="E537" s="305" t="inlineStr">
        <is>
          <t>Ingredients - Vegetables</t>
        </is>
      </c>
      <c r="F537" s="307" t="n">
        <v>150</v>
      </c>
      <c r="G537" s="308" t="inlineStr">
        <is>
          <t>Restaurant</t>
        </is>
      </c>
      <c r="H537" s="308" t="inlineStr">
        <is>
          <t>Cash</t>
        </is>
      </c>
      <c r="I537" s="309" t="inlineStr">
        <is>
          <t>✅ Paid</t>
        </is>
      </c>
      <c r="J537" s="418" t="inlineStr">
        <is>
          <t>No receipt; cash</t>
        </is>
      </c>
    </row>
    <row r="538">
      <c r="B538" s="422" t="n">
        <v>46228</v>
      </c>
      <c r="C538" s="305" t="inlineStr">
        <is>
          <t>Carne bistec</t>
        </is>
      </c>
      <c r="D538" s="306" t="inlineStr">
        <is>
          <t>No bill</t>
        </is>
      </c>
      <c r="E538" s="305" t="inlineStr">
        <is>
          <t>Ingredients - Meat</t>
        </is>
      </c>
      <c r="F538" s="307" t="n">
        <v>284</v>
      </c>
      <c r="G538" s="308" t="inlineStr">
        <is>
          <t>Restaurant</t>
        </is>
      </c>
      <c r="H538" s="308" t="inlineStr">
        <is>
          <t>Cash</t>
        </is>
      </c>
      <c r="I538" s="309" t="inlineStr">
        <is>
          <t>✅ Paid</t>
        </is>
      </c>
      <c r="J538" s="418" t="inlineStr">
        <is>
          <t>No receipt; cash</t>
        </is>
      </c>
    </row>
    <row r="539">
      <c r="B539" s="422" t="n">
        <v>46228</v>
      </c>
      <c r="C539" s="305" t="inlineStr">
        <is>
          <t>Pollo</t>
        </is>
      </c>
      <c r="D539" s="306" t="inlineStr">
        <is>
          <t>No bill</t>
        </is>
      </c>
      <c r="E539" s="305" t="inlineStr">
        <is>
          <t>Ingredients - Meat</t>
        </is>
      </c>
      <c r="F539" s="307" t="n">
        <v>905</v>
      </c>
      <c r="G539" s="308" t="inlineStr">
        <is>
          <t>Restaurant</t>
        </is>
      </c>
      <c r="H539" s="308" t="inlineStr">
        <is>
          <t>Cash</t>
        </is>
      </c>
      <c r="I539" s="309" t="inlineStr">
        <is>
          <t>✅ Paid</t>
        </is>
      </c>
      <c r="J539" s="418" t="inlineStr">
        <is>
          <t>No receipt; cash</t>
        </is>
      </c>
    </row>
    <row r="540">
      <c r="B540" s="422" t="n">
        <v>46228</v>
      </c>
      <c r="C540" s="305" t="inlineStr">
        <is>
          <t>Azucar (Oxxo)</t>
        </is>
      </c>
      <c r="D540" s="306" t="inlineStr">
        <is>
          <t>OXXO</t>
        </is>
      </c>
      <c r="E540" s="305" t="inlineStr">
        <is>
          <t>Ingredients - Pantry</t>
        </is>
      </c>
      <c r="F540" s="307" t="n">
        <v>24</v>
      </c>
      <c r="G540" s="308" t="inlineStr">
        <is>
          <t>Restaurant</t>
        </is>
      </c>
      <c r="H540" s="308" t="inlineStr">
        <is>
          <t>Cash</t>
        </is>
      </c>
      <c r="I540" s="309" t="inlineStr">
        <is>
          <t>✅ Paid</t>
        </is>
      </c>
      <c r="J540" s="418" t="inlineStr">
        <is>
          <t>No receipt; cash</t>
        </is>
      </c>
    </row>
    <row r="541">
      <c r="B541" s="422" t="n">
        <v>46228</v>
      </c>
      <c r="C541" s="305" t="inlineStr">
        <is>
          <t>John — Head Chef Week 10</t>
        </is>
      </c>
      <c r="D541" s="306" t="inlineStr">
        <is>
          <t>Payroll</t>
        </is>
      </c>
      <c r="E541" s="305" t="inlineStr">
        <is>
          <t>Staff - Salary</t>
        </is>
      </c>
      <c r="F541" s="307" t="n">
        <v>3750</v>
      </c>
      <c r="G541" s="308" t="inlineStr">
        <is>
          <t>Restaurant</t>
        </is>
      </c>
      <c r="H541" s="308" t="inlineStr">
        <is>
          <t>Cash</t>
        </is>
      </c>
      <c r="I541" s="309" t="inlineStr">
        <is>
          <t>✅ Paid</t>
        </is>
      </c>
      <c r="J541" s="418" t="inlineStr">
        <is>
          <t>Week 10 salary, paid Saturday 25 Jul</t>
        </is>
      </c>
    </row>
    <row r="542">
      <c r="B542" s="422" t="n">
        <v>46228</v>
      </c>
      <c r="C542" s="305" t="inlineStr">
        <is>
          <t>Duvi/Debi — Limpieza Week 10</t>
        </is>
      </c>
      <c r="D542" s="306" t="inlineStr">
        <is>
          <t>Payroll</t>
        </is>
      </c>
      <c r="E542" s="305" t="inlineStr">
        <is>
          <t>Staff - Salary</t>
        </is>
      </c>
      <c r="F542" s="307" t="n">
        <v>1500</v>
      </c>
      <c r="G542" s="308" t="inlineStr">
        <is>
          <t>Restaurant</t>
        </is>
      </c>
      <c r="H542" s="308" t="inlineStr">
        <is>
          <t>Cash</t>
        </is>
      </c>
      <c r="I542" s="309" t="inlineStr">
        <is>
          <t>✅ Paid</t>
        </is>
      </c>
      <c r="J542" s="418" t="inlineStr">
        <is>
          <t>Week 10 salary, paid Saturday 25 Jul (full week)</t>
        </is>
      </c>
    </row>
    <row r="543">
      <c r="B543" s="422" t="n">
        <v>46229</v>
      </c>
      <c r="C543" s="305" t="inlineStr">
        <is>
          <t>Vegetables (Central de Abastos)</t>
        </is>
      </c>
      <c r="D543" s="306" t="inlineStr">
        <is>
          <t>Central de Abastos</t>
        </is>
      </c>
      <c r="E543" s="305" t="inlineStr">
        <is>
          <t>Ingredients - Vegetables</t>
        </is>
      </c>
      <c r="F543" s="307" t="n">
        <v>1832</v>
      </c>
      <c r="G543" s="308" t="inlineStr">
        <is>
          <t>Restaurant</t>
        </is>
      </c>
      <c r="H543" s="308" t="inlineStr">
        <is>
          <t>Cash</t>
        </is>
      </c>
      <c r="I543" s="309" t="inlineStr">
        <is>
          <t>✅ Paid</t>
        </is>
      </c>
      <c r="J543" s="418" t="inlineStr">
        <is>
          <t>No receipt; cash; compra semanal (domingo, restaurante cerrado)</t>
        </is>
      </c>
    </row>
    <row r="544">
      <c r="B544" s="422" t="n">
        <v>46229</v>
      </c>
      <c r="C544" s="305" t="inlineStr">
        <is>
          <t>Arroz (Oxxo)</t>
        </is>
      </c>
      <c r="D544" s="306" t="inlineStr">
        <is>
          <t>OXXO</t>
        </is>
      </c>
      <c r="E544" s="305" t="inlineStr">
        <is>
          <t>Ingredients - Pantry</t>
        </is>
      </c>
      <c r="F544" s="307" t="n">
        <v>78</v>
      </c>
      <c r="G544" s="308" t="inlineStr">
        <is>
          <t>Restaurant</t>
        </is>
      </c>
      <c r="H544" s="308" t="inlineStr">
        <is>
          <t>Cash</t>
        </is>
      </c>
      <c r="I544" s="309" t="inlineStr">
        <is>
          <t>✅ Paid</t>
        </is>
      </c>
      <c r="J544" s="418" t="inlineStr">
        <is>
          <t>No receipt; cash; domingo shopping</t>
        </is>
      </c>
    </row>
    <row r="545">
      <c r="B545" s="422" t="n">
        <v>46229</v>
      </c>
      <c r="C545" s="305" t="inlineStr">
        <is>
          <t>Sam's Club (varios)</t>
        </is>
      </c>
      <c r="D545" s="306" t="inlineStr">
        <is>
          <t>Sam's Club</t>
        </is>
      </c>
      <c r="E545" s="305" t="inlineStr">
        <is>
          <t>Supermarket/General</t>
        </is>
      </c>
      <c r="F545" s="307" t="n">
        <v>1157</v>
      </c>
      <c r="G545" s="308" t="inlineStr">
        <is>
          <t>Restaurant</t>
        </is>
      </c>
      <c r="H545" s="308" t="inlineStr">
        <is>
          <t>Card</t>
        </is>
      </c>
      <c r="I545" s="309" t="inlineStr">
        <is>
          <t>✅ Paid</t>
        </is>
      </c>
      <c r="J545" s="418" t="inlineStr">
        <is>
          <t>No receipt provided; restaurant-paid; domingo shopping</t>
        </is>
      </c>
    </row>
    <row r="546">
      <c r="B546" s="422" t="n">
        <v>46230</v>
      </c>
      <c r="C546" s="305" t="inlineStr">
        <is>
          <t>Agua Natural</t>
        </is>
      </c>
      <c r="D546" s="306" t="inlineStr">
        <is>
          <t>No bill</t>
        </is>
      </c>
      <c r="E546" s="305" t="inlineStr">
        <is>
          <t>Ingredients - Beverages</t>
        </is>
      </c>
      <c r="F546" s="307" t="n">
        <v>60</v>
      </c>
      <c r="G546" s="308" t="inlineStr">
        <is>
          <t>Restaurant</t>
        </is>
      </c>
      <c r="H546" s="308" t="inlineStr">
        <is>
          <t>Cash</t>
        </is>
      </c>
      <c r="I546" s="309" t="inlineStr">
        <is>
          <t>✅ Paid</t>
        </is>
      </c>
      <c r="J546" s="418" t="inlineStr">
        <is>
          <t>No receipt; cash</t>
        </is>
      </c>
    </row>
    <row r="547">
      <c r="B547" s="422" t="n">
        <v>46230</v>
      </c>
      <c r="C547" s="305" t="inlineStr">
        <is>
          <t>Sams Club</t>
        </is>
      </c>
      <c r="D547" s="306" t="inlineStr">
        <is>
          <t>Sam's Club</t>
        </is>
      </c>
      <c r="E547" s="305" t="inlineStr">
        <is>
          <t>Supermarket/General</t>
        </is>
      </c>
      <c r="F547" s="307" t="n">
        <v>491</v>
      </c>
      <c r="G547" s="308" t="inlineStr">
        <is>
          <t>Restaurant</t>
        </is>
      </c>
      <c r="H547" s="308" t="inlineStr">
        <is>
          <t>Cash</t>
        </is>
      </c>
      <c r="I547" s="309" t="inlineStr">
        <is>
          <t>✅ Paid</t>
        </is>
      </c>
      <c r="J547" s="418" t="inlineStr">
        <is>
          <t>No receipt; cash</t>
        </is>
      </c>
    </row>
    <row r="548">
      <c r="B548" s="422" t="n">
        <v>46230</v>
      </c>
      <c r="C548" s="305" t="inlineStr">
        <is>
          <t>Chedruai</t>
        </is>
      </c>
      <c r="D548" s="306" t="inlineStr">
        <is>
          <t>Chedraui</t>
        </is>
      </c>
      <c r="E548" s="305" t="inlineStr">
        <is>
          <t>Supermarket/General</t>
        </is>
      </c>
      <c r="F548" s="307" t="n">
        <v>377</v>
      </c>
      <c r="G548" s="308" t="inlineStr">
        <is>
          <t>Restaurant</t>
        </is>
      </c>
      <c r="H548" s="308" t="inlineStr">
        <is>
          <t>Cash</t>
        </is>
      </c>
      <c r="I548" s="309" t="inlineStr">
        <is>
          <t>✅ Paid</t>
        </is>
      </c>
      <c r="J548" s="418" t="inlineStr">
        <is>
          <t>No receipt; cash</t>
        </is>
      </c>
    </row>
    <row r="549">
      <c r="B549" s="422" t="n">
        <v>46231</v>
      </c>
      <c r="C549" s="305" t="inlineStr">
        <is>
          <t>Utensils Sushi Kit</t>
        </is>
      </c>
      <c r="D549" s="306" t="inlineStr">
        <is>
          <t>No bill</t>
        </is>
      </c>
      <c r="E549" s="305" t="inlineStr">
        <is>
          <t>Kitchen Supplies</t>
        </is>
      </c>
      <c r="F549" s="307" t="n">
        <v>521</v>
      </c>
      <c r="G549" s="308" t="inlineStr">
        <is>
          <t>Restaurant</t>
        </is>
      </c>
      <c r="H549" s="308" t="inlineStr">
        <is>
          <t>Cash</t>
        </is>
      </c>
      <c r="I549" s="309" t="inlineStr">
        <is>
          <t>✅ Paid</t>
        </is>
      </c>
      <c r="J549" s="418" t="inlineStr">
        <is>
          <t>No receipt; cash</t>
        </is>
      </c>
    </row>
    <row r="550">
      <c r="B550" s="422" t="n">
        <v>46231</v>
      </c>
      <c r="C550" s="305" t="inlineStr">
        <is>
          <t>Chedraui</t>
        </is>
      </c>
      <c r="D550" s="306" t="inlineStr">
        <is>
          <t>Chedraui</t>
        </is>
      </c>
      <c r="E550" s="305" t="inlineStr">
        <is>
          <t>Supermarket/General</t>
        </is>
      </c>
      <c r="F550" s="307" t="n">
        <v>82</v>
      </c>
      <c r="G550" s="308" t="inlineStr">
        <is>
          <t>Restaurant</t>
        </is>
      </c>
      <c r="H550" s="308" t="inlineStr">
        <is>
          <t>Cash</t>
        </is>
      </c>
      <c r="I550" s="309" t="inlineStr">
        <is>
          <t>✅ Paid</t>
        </is>
      </c>
      <c r="J550" s="418" t="inlineStr">
        <is>
          <t>No receipt; cash</t>
        </is>
      </c>
    </row>
    <row r="551">
      <c r="B551" s="422" t="n">
        <v>46231</v>
      </c>
      <c r="C551" s="305" t="inlineStr">
        <is>
          <t>Carne</t>
        </is>
      </c>
      <c r="D551" s="306" t="inlineStr">
        <is>
          <t>No bill</t>
        </is>
      </c>
      <c r="E551" s="305" t="inlineStr">
        <is>
          <t>Ingredients - Meat</t>
        </is>
      </c>
      <c r="F551" s="307" t="n">
        <v>505</v>
      </c>
      <c r="G551" s="308" t="inlineStr">
        <is>
          <t>Restaurant</t>
        </is>
      </c>
      <c r="H551" s="308" t="inlineStr">
        <is>
          <t>Cash</t>
        </is>
      </c>
      <c r="I551" s="309" t="inlineStr">
        <is>
          <t>✅ Paid</t>
        </is>
      </c>
      <c r="J551" s="418" t="inlineStr">
        <is>
          <t>No receipt; cash</t>
        </is>
      </c>
    </row>
    <row r="552">
      <c r="B552" s="422" t="n">
        <v>46231</v>
      </c>
      <c r="C552" s="305" t="inlineStr">
        <is>
          <t>Pollo</t>
        </is>
      </c>
      <c r="D552" s="306" t="inlineStr">
        <is>
          <t>No bill</t>
        </is>
      </c>
      <c r="E552" s="305" t="inlineStr">
        <is>
          <t>Ingredients - Meat</t>
        </is>
      </c>
      <c r="F552" s="307" t="n">
        <v>396</v>
      </c>
      <c r="G552" s="308" t="inlineStr">
        <is>
          <t>Lohith</t>
        </is>
      </c>
      <c r="H552" s="308" t="inlineStr">
        <is>
          <t>Cash</t>
        </is>
      </c>
      <c r="I552" s="309" t="inlineStr">
        <is>
          <t>✅ Paid</t>
        </is>
      </c>
      <c r="J552" s="418" t="inlineStr">
        <is>
          <t>Pagado por Lohith (bolsillo); reembolsable via Owner Ledger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13" min="1" max="1"/>
    <col width="26" customWidth="1" style="313" min="2" max="2"/>
    <col width="16" customWidth="1" style="313" min="3" max="3"/>
    <col width="10" customWidth="1" style="313" min="4" max="4"/>
    <col width="14" customWidth="1" style="313" min="5" max="5"/>
    <col width="12" customWidth="1" style="313" min="6" max="7"/>
    <col width="14" customWidth="1" style="313" min="8" max="8"/>
    <col width="16" customWidth="1" style="313" min="9" max="9"/>
    <col width="20" customWidth="1" style="313" min="10" max="10"/>
    <col width="18" customWidth="1" style="313" min="11" max="11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13">
      <c r="A2" s="399" t="inlineStr">
        <is>
          <t>📦  LOKA — INVENTORY</t>
        </is>
      </c>
      <c r="F2" s="400" t="inlineStr">
        <is>
          <t>Update stock levels when you receive deliveries or do stock checks</t>
        </is>
      </c>
    </row>
    <row r="3" ht="3.75" customHeight="1" s="313">
      <c r="A3" s="401" t="n"/>
    </row>
    <row r="4" ht="7.5" customHeight="1" s="313"/>
    <row r="5" ht="18" customHeight="1" s="313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13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13"/>
    <row r="8" ht="19.5" customHeight="1" s="313">
      <c r="B8" s="388" t="inlineStr">
        <is>
          <t>Item Name  |  Category  |  Unit  |  Min Stock  |  Current Stock  |  Last Ordered  |  Supplier  |  Status  |  Notes</t>
        </is>
      </c>
      <c r="C8" s="328" t="n"/>
      <c r="D8" s="328" t="n"/>
      <c r="E8" s="328" t="n"/>
      <c r="F8" s="328" t="n"/>
      <c r="G8" s="328" t="n"/>
      <c r="H8" s="328" t="n"/>
      <c r="I8" s="328" t="n"/>
      <c r="J8" s="328" t="n"/>
      <c r="K8" s="328" t="n"/>
    </row>
    <row r="9" ht="27.75" customHeight="1" s="313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13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13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13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13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13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13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13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13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13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13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13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13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13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13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13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13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13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13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13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13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13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13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13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13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13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13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13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13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13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13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13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13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13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13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13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13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13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13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13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13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13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13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13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13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13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13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13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13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13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13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13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13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13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13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13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13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13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13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13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13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13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13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13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13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13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13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13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13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13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13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13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13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13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13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13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13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13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13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13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13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13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13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13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13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13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13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13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13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13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13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13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13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13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13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13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13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13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13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13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13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13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13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13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13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13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13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13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13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13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13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13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13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13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13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13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13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13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13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13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13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13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13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13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13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13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13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13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13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13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13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13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13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13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13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13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13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13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13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13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13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13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13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13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13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13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13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13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13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13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13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13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13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13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13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13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13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13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13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13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13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13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13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13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13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13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13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13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13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13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13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13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13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13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13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13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13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13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13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13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13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13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13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13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13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13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13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13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13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13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13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13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13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13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13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13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13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13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13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13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13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13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13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13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13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13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13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13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13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13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13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13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13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13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13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13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13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13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99"/>
  <sheetViews>
    <sheetView showGridLines="0" topLeftCell="A86" zoomScaleNormal="100" workbookViewId="0">
      <selection activeCell="G64" sqref="G64"/>
    </sheetView>
  </sheetViews>
  <sheetFormatPr baseColWidth="8" defaultColWidth="8.6640625" defaultRowHeight="14.4" customHeight="1"/>
  <cols>
    <col width="18.33203125" customWidth="1" style="313" min="1" max="1"/>
    <col width="32.5546875" customWidth="1" style="313" min="2" max="2"/>
    <col width="19.44140625" bestFit="1" customWidth="1" style="313" min="3" max="3"/>
    <col width="15.21875" customWidth="1" style="313" min="4" max="4"/>
    <col width="13.88671875" customWidth="1" style="313" min="5" max="6"/>
    <col width="12.33203125" customWidth="1" style="313" min="7" max="7"/>
    <col width="12.88671875" customWidth="1" style="313" min="8" max="8"/>
    <col width="7.33203125" bestFit="1" customWidth="1" style="313" min="9" max="9"/>
    <col width="7.21875" bestFit="1" customWidth="1" style="313" min="10" max="10"/>
    <col width="11" bestFit="1" customWidth="1" style="313" min="11" max="11"/>
    <col width="10.77734375" bestFit="1" customWidth="1" style="313" min="12" max="12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13">
      <c r="A2" s="404" t="inlineStr">
        <is>
          <t>👥  LOKA — STAFF &amp; PAYROLL</t>
        </is>
      </c>
      <c r="D2" s="405" t="inlineStr">
        <is>
          <t>Weekly schedule + auto payroll calculation</t>
        </is>
      </c>
    </row>
    <row r="3" ht="3.75" customHeight="1" s="313"/>
    <row r="4" ht="7.5" customHeight="1" s="313"/>
    <row r="5" ht="7.5" customHeight="1" s="313" thickBot="1"/>
    <row r="6" ht="21.75" customHeight="1" s="313" thickBot="1">
      <c r="A6" s="342" t="inlineStr">
        <is>
          <t xml:space="preserve">  STAFF SCHEDULE  —  Week of:</t>
        </is>
      </c>
      <c r="B6" s="311" t="n"/>
      <c r="C6" s="311" t="n"/>
      <c r="D6" s="192">
        <f>TODAY()-WEEKDAY(TODAY(),2)+1</f>
        <v/>
      </c>
      <c r="E6" s="328" t="n"/>
      <c r="F6" s="328" t="n"/>
      <c r="G6" s="328" t="n"/>
      <c r="H6" s="328" t="n"/>
      <c r="I6" s="328" t="n"/>
      <c r="J6" s="328" t="n"/>
      <c r="K6" s="328" t="n"/>
      <c r="L6" s="328" t="n"/>
    </row>
    <row r="7" ht="27.75" customHeight="1" s="313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13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13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13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13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13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13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313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313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13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13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13"/>
    <row r="19" ht="19.5" customHeight="1" s="313" thickBot="1"/>
    <row r="20" ht="27.75" customHeight="1" s="313" thickBot="1">
      <c r="A20" s="342" t="inlineStr">
        <is>
          <t xml:space="preserve">  MONTHLY PAYROLL PROJECTION</t>
        </is>
      </c>
      <c r="B20" s="311" t="n"/>
      <c r="C20" s="311" t="n"/>
      <c r="D20" s="311" t="n"/>
      <c r="E20" s="311" t="n"/>
      <c r="F20" s="311" t="n"/>
      <c r="G20" s="311" t="n"/>
      <c r="H20" s="311" t="n"/>
      <c r="I20" s="311" t="n"/>
      <c r="J20" s="311" t="n"/>
      <c r="K20" s="311" t="n"/>
      <c r="L20" s="311" t="n"/>
    </row>
    <row r="21" ht="18" customHeight="1" s="313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13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13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13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13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13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13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13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13">
      <c r="A29" s="115">
        <f>A15</f>
        <v/>
      </c>
      <c r="B29" s="328" t="n"/>
      <c r="C29" s="328" t="n"/>
      <c r="D29" s="328" t="n"/>
      <c r="E29" s="194">
        <f>C29*D29</f>
        <v/>
      </c>
      <c r="F29" s="324" t="n"/>
      <c r="G29" s="120">
        <f>E29*(1+F29)</f>
        <v/>
      </c>
      <c r="H29" s="96" t="n"/>
    </row>
    <row r="30" ht="17.4" customHeight="1" s="313">
      <c r="A30" s="390" t="inlineStr">
        <is>
          <t>TOTAL MONTHLY PAYROLL COST</t>
        </is>
      </c>
      <c r="B30" s="328" t="n"/>
      <c r="C30" s="328" t="n"/>
      <c r="D30" s="328" t="n"/>
      <c r="E30" s="328" t="n"/>
      <c r="F30" s="324" t="n"/>
      <c r="G30" s="108">
        <f>SUM(G21:G28)</f>
        <v/>
      </c>
    </row>
    <row r="33" ht="15.6" customHeight="1" s="313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1500</v>
      </c>
      <c r="C36" s="201" t="n">
        <v>6000</v>
      </c>
      <c r="D36" s="199" t="inlineStr">
        <is>
          <t>Confirmed weekly rate</t>
        </is>
      </c>
    </row>
    <row r="37">
      <c r="A37" t="inlineStr">
        <is>
          <t>Cesar — Mesero Salary (RESIGNED)</t>
        </is>
      </c>
      <c r="B37" s="199" t="n">
        <v>0</v>
      </c>
      <c r="C37" s="220" t="n">
        <v>0</v>
      </c>
      <c r="D37" s="221" t="inlineStr">
        <is>
          <t>Resigned — Week 4 paid in full · removed from forward fixed costs</t>
        </is>
      </c>
      <c r="E37" s="222" t="n"/>
    </row>
    <row r="38">
      <c r="A38" t="inlineStr">
        <is>
          <t>Samu — Ayudante Salary</t>
        </is>
      </c>
      <c r="B38" s="193" t="n">
        <v>800</v>
      </c>
      <c r="C38" s="223" t="n">
        <v>3200</v>
      </c>
      <c r="D38" s="224" t="inlineStr">
        <is>
          <t>Confirmed — $800/week | $160/day | 5 days Mon–Fri | Start 9 Jun 2026</t>
        </is>
      </c>
      <c r="E38" s="225" t="n"/>
    </row>
    <row r="39">
      <c r="A39" s="193" t="inlineStr">
        <is>
          <t>Rent + Maintenance (actual — $20,000/mo)</t>
        </is>
      </c>
      <c r="B39" s="197" t="n">
        <v>5000</v>
      </c>
      <c r="C39" s="198" t="n">
        <v>20000</v>
      </c>
      <c r="D39" s="193" t="inlineStr">
        <is>
          <t>Confirmed — $20,000/month actual</t>
        </is>
      </c>
    </row>
    <row r="40">
      <c r="A40" s="199" t="inlineStr">
        <is>
          <t>Utilities — Electricity + Gas (estimated)</t>
        </is>
      </c>
      <c r="B40" s="200" t="n">
        <v>1000</v>
      </c>
      <c r="C40" s="201" t="n">
        <v>4000</v>
      </c>
      <c r="D40" s="199" t="inlineStr">
        <is>
          <t>⏳ Approx — bills pending · electricity + gas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MESERO STATUS — ✅ CESAR + SAMU ACTIVE FROM 9 JUN 2026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13">
      <c r="A45" s="203" t="inlineStr">
        <is>
          <t>Current roster: John + Debi + Samu (no mesero)</t>
        </is>
      </c>
      <c r="B45" s="204" t="n">
        <v>12050</v>
      </c>
      <c r="C45" s="204" t="n">
        <v>23750</v>
      </c>
      <c r="D45" s="204" t="n">
        <v>24550</v>
      </c>
      <c r="E45" s="204" t="n">
        <v>3758</v>
      </c>
      <c r="F45" s="204" t="inlineStr">
        <is>
          <t>Cesar resigned — fixed costs down $2,000/wk</t>
        </is>
      </c>
      <c r="G45" s="204" t="inlineStr">
        <is>
          <t>Break-even ≈ $3,758/day (fixed $12,050 + variable $10,500, ÷6 days)</t>
        </is>
      </c>
      <c r="H45" s="204" t="n"/>
    </row>
    <row r="47" ht="15.6" customHeight="1" s="313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Without Mesero (NOW)</t>
        </is>
      </c>
      <c r="B49" s="205" t="n">
        <v>11250</v>
      </c>
      <c r="C49" s="206" t="n">
        <v>10500</v>
      </c>
      <c r="D49" s="207" t="n">
        <v>21750</v>
      </c>
      <c r="E49" s="208" t="n">
        <v>3625</v>
      </c>
      <c r="F49" s="204" t="n">
        <v>4011</v>
      </c>
      <c r="G49" s="204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09" t="inlineStr">
        <is>
          <t>With Mesero (~$2,250)</t>
        </is>
      </c>
      <c r="B50" s="210" t="n">
        <v>13500</v>
      </c>
      <c r="C50" s="211" t="n">
        <v>10500</v>
      </c>
      <c r="D50" s="212" t="n">
        <v>24000</v>
      </c>
      <c r="E50" s="213" t="n">
        <v>4000</v>
      </c>
      <c r="F50" s="209" t="n">
        <v>4011</v>
      </c>
      <c r="G50" s="209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14" t="inlineStr">
        <is>
          <t>Safety buffer (+15%)</t>
        </is>
      </c>
      <c r="B51" s="215" t="n">
        <v>11250</v>
      </c>
      <c r="C51" s="216" t="n">
        <v>10500</v>
      </c>
      <c r="D51" s="217" t="n">
        <v>25012</v>
      </c>
      <c r="E51" s="218" t="n">
        <v>4169</v>
      </c>
      <c r="F51" s="214" t="n">
        <v>4011</v>
      </c>
      <c r="G51" s="214" t="inlineStr">
        <is>
          <t>Target for healthy buffer: $4,169/day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avg ingredients + supplies per week based on Weeks 1-2 actual data (~$10,500)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Break-even revised: Rent+Maintenance confirmed $20,000/mo · Utilities est. $4,000/mo → Total overhead $24,000/mo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Min daily (no mesero): $3,625 · With mesero: $4,000 · Comfortable target: $4,169+/day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Utilities (electricity+gas) ~$4,000/mo is ESTIMATED — update when bills arrive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13"/>
    <row r="61" ht="15.6" customHeight="1" s="313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>
        <v>46225</v>
      </c>
      <c r="B78" s="262" t="inlineStr">
        <is>
          <t>John (Week 9: 13-19 Jul)</t>
        </is>
      </c>
      <c r="C78" s="262" t="n"/>
      <c r="D78" s="264" t="n">
        <v>160</v>
      </c>
    </row>
    <row r="79">
      <c r="A79" s="263" t="n">
        <v>46225</v>
      </c>
      <c r="B79" s="262" t="inlineStr">
        <is>
          <t>Duvi/Debi (Week 9: 13-19 Jul)</t>
        </is>
      </c>
      <c r="C79" s="262" t="n"/>
      <c r="D79" s="264" t="n">
        <v>160</v>
      </c>
    </row>
    <row r="80">
      <c r="A80" s="263" t="n">
        <v>46225</v>
      </c>
      <c r="B80" s="262" t="inlineStr">
        <is>
          <t>Samu (Week 9: 13-19 Jul)</t>
        </is>
      </c>
      <c r="C80" s="262" t="n"/>
      <c r="D80" s="264" t="n">
        <v>160</v>
      </c>
    </row>
    <row r="81">
      <c r="A81" s="263" t="n"/>
      <c r="B81" s="262" t="n"/>
      <c r="C81" s="262" t="n"/>
      <c r="D81" s="264" t="n"/>
    </row>
    <row r="82">
      <c r="A82" s="263" t="n"/>
      <c r="B82" s="262" t="n"/>
      <c r="C82" s="262" t="n"/>
      <c r="D82" s="264" t="n"/>
    </row>
    <row r="83">
      <c r="A83" s="263" t="n"/>
      <c r="B83" s="262" t="n"/>
      <c r="C83" s="262" t="n"/>
      <c r="D83" s="264" t="n"/>
    </row>
    <row r="84">
      <c r="A84" s="263" t="n"/>
      <c r="B84" s="262" t="n"/>
      <c r="C84" s="262" t="n"/>
      <c r="D84" s="264" t="n"/>
    </row>
    <row r="85">
      <c r="A85" s="263" t="n"/>
      <c r="B85" s="262" t="n"/>
      <c r="C85" s="262" t="n"/>
      <c r="D85" s="264" t="n"/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2" t="n"/>
      <c r="B93" s="262" t="inlineStr">
        <is>
          <t>TOTAL TIPS PASSED THROUGH</t>
        </is>
      </c>
      <c r="C93" s="262" t="n"/>
      <c r="D93" s="264">
        <f>SUM(D63:D92)</f>
        <v/>
      </c>
    </row>
    <row r="94">
      <c r="A94" s="262" t="inlineStr">
        <is>
          <t>Customer tips collected &amp; handed to staff. Excluded from P&amp;L — nets to zero (received = paid).</t>
        </is>
      </c>
      <c r="B94" s="262" t="n"/>
      <c r="C94" s="262" t="n"/>
      <c r="D94" s="262" t="n"/>
    </row>
    <row r="96">
      <c r="A96" t="inlineStr">
        <is>
          <t>── CASH RECONCILIATION (15 Jun 2026) ──</t>
        </is>
      </c>
    </row>
    <row r="97">
      <c r="A97" t="inlineStr">
        <is>
          <t>Actual restaurant cash on hand</t>
        </is>
      </c>
      <c r="D97" s="228" t="n">
        <v>20283</v>
      </c>
    </row>
    <row r="98">
      <c r="A98" t="inlineStr">
        <is>
          <t>Adjustment: restaurant cash added to tips + Mercado Pago commission (vs running estimate)</t>
        </is>
      </c>
      <c r="D98" s="228" t="n">
        <v>-165</v>
      </c>
    </row>
    <row r="99">
      <c r="A99" t="inlineStr">
        <is>
          <t>Reconciled to physical count provided by Reddy. $20,283 is net of MP % deductions.</t>
        </is>
      </c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13" min="1" max="1"/>
    <col width="14" customWidth="1" style="313" min="2" max="2"/>
    <col width="22" customWidth="1" style="313" min="3" max="3"/>
    <col width="20" customWidth="1" style="313" min="4" max="4"/>
    <col width="12" customWidth="1" style="313" min="5" max="5"/>
    <col width="10" customWidth="1" style="313" min="6" max="6"/>
    <col width="12" customWidth="1" style="313" min="7" max="7"/>
    <col width="14" customWidth="1" style="313" min="8" max="9"/>
    <col width="18" customWidth="1" style="313" min="10" max="10"/>
    <col width="16" customWidth="1" style="313" min="11" max="11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13">
      <c r="A2" s="399" t="inlineStr">
        <is>
          <t>🚚  LOKA — SUPPLIER ORDERS</t>
        </is>
      </c>
      <c r="F2" s="400" t="inlineStr">
        <is>
          <t>Track purchase orders from suppliers</t>
        </is>
      </c>
    </row>
    <row r="3" ht="3.75" customHeight="1" s="313">
      <c r="A3" s="401" t="n"/>
    </row>
    <row r="4" ht="7.5" customHeight="1" s="313"/>
    <row r="5" ht="18" customHeight="1" s="313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13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13"/>
    <row r="8" ht="19.5" customHeight="1" s="313">
      <c r="B8" s="388" t="n"/>
      <c r="C8" s="328" t="n"/>
      <c r="D8" s="328" t="n"/>
      <c r="E8" s="328" t="n"/>
      <c r="F8" s="328" t="n"/>
      <c r="G8" s="328" t="n"/>
      <c r="H8" s="328" t="n"/>
      <c r="I8" s="328" t="n"/>
      <c r="J8" s="328" t="n"/>
      <c r="K8" s="328" t="n"/>
    </row>
    <row r="9" ht="27.75" customHeight="1" s="313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13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13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13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13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13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13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13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13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13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13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13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13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13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13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13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13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13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13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13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13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13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13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13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13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13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13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13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13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13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13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13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13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13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13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13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13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13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13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13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13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13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13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13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13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13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13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13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13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13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13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13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13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13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13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13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13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13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13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13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13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13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13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13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13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13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13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13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13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13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13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13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13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13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13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13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13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13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13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13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13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13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13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13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13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13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13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13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13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13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13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13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13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13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13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13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13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13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13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13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13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13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13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13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13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13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13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13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13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13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13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13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13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13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13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13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13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13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13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13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13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13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13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13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13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13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13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13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13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13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13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13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13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13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13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13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13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13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13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13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13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13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13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13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13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13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13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13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13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13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13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13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13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13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13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13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13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13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13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13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13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13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13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13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13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13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13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13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13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13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13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13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13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13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13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13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13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13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13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13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13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13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13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13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13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13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13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13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13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13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13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13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13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13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13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13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13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13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13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13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13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13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13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13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13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13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13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13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13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13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13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13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13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13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13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13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13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13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13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13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13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13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13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13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13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13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13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13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13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13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13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13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13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13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13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13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13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13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13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13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13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13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13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13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13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13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13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13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13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13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13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13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13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13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13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13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13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13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13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13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13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13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13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13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13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13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13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13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13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13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13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13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13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13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13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13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13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13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13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13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13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13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13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13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13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13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13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13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13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13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13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13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13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13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13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13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13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13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13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13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13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313" min="2" max="2"/>
    <col width="14.33203125" bestFit="1" customWidth="1" style="313" min="3" max="3"/>
    <col width="44" bestFit="1" customWidth="1" style="313" min="4" max="4"/>
    <col width="87.77734375" bestFit="1" customWidth="1" style="313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13" min="1" max="1"/>
    <col width="15" bestFit="1" customWidth="1" style="313" min="2" max="2"/>
    <col width="15" customWidth="1" style="313" min="3" max="4"/>
    <col width="15" customWidth="1" style="313" min="4" max="4"/>
    <col width="9" customWidth="1" style="313" min="5" max="14"/>
    <col width="9" customWidth="1" style="313" min="6" max="6"/>
    <col width="9" customWidth="1" style="313" min="7" max="7"/>
    <col width="9" customWidth="1" style="313" min="8" max="8"/>
    <col width="9" customWidth="1" style="313" min="9" max="9"/>
    <col width="9" customWidth="1" style="313" min="10" max="10"/>
    <col width="9" customWidth="1" style="313" min="11" max="11"/>
    <col width="9" customWidth="1" style="313" min="12" max="12"/>
    <col width="9" customWidth="1" style="313" min="13" max="13"/>
    <col width="9" customWidth="1" style="313" min="14" max="14"/>
  </cols>
  <sheetData>
    <row r="1" ht="26" customHeight="1" s="313">
      <c r="A1" s="407" t="inlineStr">
        <is>
          <t>LOKA — MONTHLY P&amp;L   (live formulas — auto-updates from Daily Log &amp; Expenses)</t>
        </is>
      </c>
      <c r="B1" s="408" t="n"/>
      <c r="C1" s="408" t="n"/>
      <c r="D1" s="408" t="n"/>
      <c r="E1" s="409" t="n"/>
      <c r="F1" s="409" t="n"/>
      <c r="G1" s="409" t="n"/>
      <c r="H1" s="409" t="n"/>
      <c r="I1" s="409" t="n"/>
      <c r="J1" s="409" t="n"/>
      <c r="K1" s="409" t="n"/>
      <c r="L1" s="409" t="n"/>
    </row>
    <row r="2">
      <c r="A2" s="409" t="n"/>
      <c r="B2" s="409" t="n"/>
      <c r="C2" s="409" t="n"/>
      <c r="D2" s="409" t="n"/>
      <c r="E2" s="409" t="n"/>
      <c r="F2" s="409" t="n"/>
      <c r="G2" s="409" t="n"/>
      <c r="H2" s="409" t="n"/>
      <c r="I2" s="409" t="n"/>
      <c r="J2" s="409" t="n"/>
      <c r="K2" s="409" t="n"/>
      <c r="L2" s="409" t="n"/>
    </row>
    <row r="3">
      <c r="A3" s="410" t="inlineStr">
        <is>
          <t>SUMMARY</t>
        </is>
      </c>
      <c r="B3" s="411" t="inlineStr">
        <is>
          <t>May 2026</t>
        </is>
      </c>
      <c r="C3" s="411" t="inlineStr">
        <is>
          <t>Jun 2026</t>
        </is>
      </c>
      <c r="D3" s="411" t="inlineStr">
        <is>
          <t>Jul 2026</t>
        </is>
      </c>
      <c r="E3" s="409" t="n"/>
      <c r="F3" s="409" t="n"/>
      <c r="G3" s="409" t="n"/>
      <c r="H3" s="409" t="n"/>
      <c r="I3" s="409" t="n"/>
      <c r="J3" s="409" t="n"/>
      <c r="K3" s="409" t="n"/>
      <c r="L3" s="409" t="n"/>
    </row>
    <row r="4">
      <c r="A4" s="412" t="inlineStr">
        <is>
          <t>Total Income</t>
        </is>
      </c>
      <c r="B4" s="413">
        <f>SUMIFS('📅 Daily Log'!$F$8:$F$5000,'📅 Daily Log'!$B$8:$B$5000,"&gt;="&amp;DATE(2026,5,1),'📅 Daily Log'!$B$8:$B$5000,"&lt;"&amp;DATE(2026,6,1))</f>
        <v/>
      </c>
      <c r="C4" s="413">
        <f>SUMIFS('📅 Daily Log'!$F$8:$F$5000,'📅 Daily Log'!$B$8:$B$5000,"&gt;="&amp;DATE(2026,6,1),'📅 Daily Log'!$B$8:$B$5000,"&lt;"&amp;DATE(2026,7,1))</f>
        <v/>
      </c>
      <c r="D4" s="413">
        <f>SUMIFS('📅 Daily Log'!$F$8:$F$5000,'📅 Daily Log'!$B$8:$B$5000,"&gt;="&amp;DATE(2026,7,1),'📅 Daily Log'!$B$8:$B$5000,"&lt;"&amp;DATE(2026,8,1))</f>
        <v/>
      </c>
      <c r="E4" s="409" t="n"/>
      <c r="F4" s="409" t="n"/>
      <c r="G4" s="409" t="n"/>
      <c r="H4" s="409" t="n"/>
      <c r="I4" s="409" t="n"/>
      <c r="J4" s="409" t="n"/>
      <c r="K4" s="409" t="n"/>
      <c r="L4" s="409" t="n"/>
    </row>
    <row r="5">
      <c r="A5" s="412" t="inlineStr">
        <is>
          <t>Total Expenses</t>
        </is>
      </c>
      <c r="B5" s="413">
        <f>SUMIFS('💸 Expenses'!$F$8:$F$5000,'💸 Expenses'!$B$8:$B$5000,"&gt;="&amp;DATE(2026,5,1),'💸 Expenses'!$B$8:$B$5000,"&lt;"&amp;DATE(2026,6,1))</f>
        <v/>
      </c>
      <c r="C5" s="413">
        <f>SUMIFS('💸 Expenses'!$F$8:$F$5000,'💸 Expenses'!$B$8:$B$5000,"&gt;="&amp;DATE(2026,6,1),'💸 Expenses'!$B$8:$B$5000,"&lt;"&amp;DATE(2026,7,1))</f>
        <v/>
      </c>
      <c r="D5" s="413">
        <f>SUMIFS('💸 Expenses'!$F$8:$F$5000,'💸 Expenses'!$B$8:$B$5000,"&gt;="&amp;DATE(2026,7,1),'💸 Expenses'!$B$8:$B$5000,"&lt;"&amp;DATE(2026,8,1))</f>
        <v/>
      </c>
      <c r="E5" s="409" t="n"/>
      <c r="F5" s="409" t="n"/>
      <c r="G5" s="409" t="n"/>
      <c r="H5" s="409" t="n"/>
      <c r="I5" s="409" t="n"/>
      <c r="J5" s="409" t="n"/>
      <c r="K5" s="409" t="n"/>
      <c r="L5" s="409" t="n"/>
    </row>
    <row r="6">
      <c r="A6" s="412" t="inlineStr">
        <is>
          <t>NET PROFIT / LOSS</t>
        </is>
      </c>
      <c r="B6" s="414">
        <f>B4-B5</f>
        <v/>
      </c>
      <c r="C6" s="414">
        <f>C4-C5</f>
        <v/>
      </c>
      <c r="D6" s="414">
        <f>D4-D5</f>
        <v/>
      </c>
      <c r="E6" s="409" t="n"/>
      <c r="F6" s="409" t="n"/>
      <c r="G6" s="409" t="n"/>
      <c r="H6" s="409" t="n"/>
      <c r="I6" s="409" t="n"/>
      <c r="J6" s="409" t="n"/>
      <c r="K6" s="409" t="n"/>
      <c r="L6" s="409" t="n"/>
    </row>
    <row r="7">
      <c r="A7" s="415" t="inlineStr">
        <is>
          <t>Trading Days</t>
        </is>
      </c>
      <c r="B7" s="416">
        <f>COUNTIFS('📅 Daily Log'!$F$8:$F$5000,"&gt;0",'📅 Daily Log'!$B$8:$B$5000,"&gt;="&amp;DATE(2026,5,1),'📅 Daily Log'!$B$8:$B$5000,"&lt;"&amp;DATE(2026,6,1))</f>
        <v/>
      </c>
      <c r="C7" s="416">
        <f>COUNTIFS('📅 Daily Log'!$F$8:$F$5000,"&gt;0",'📅 Daily Log'!$B$8:$B$5000,"&gt;="&amp;DATE(2026,6,1),'📅 Daily Log'!$B$8:$B$5000,"&lt;"&amp;DATE(2026,7,1))</f>
        <v/>
      </c>
      <c r="D7" s="416">
        <f>COUNTIFS('📅 Daily Log'!$F$8:$F$5000,"&gt;0",'📅 Daily Log'!$B$8:$B$5000,"&gt;="&amp;DATE(2026,7,1),'📅 Daily Log'!$B$8:$B$5000,"&lt;"&amp;DATE(2026,8,1))</f>
        <v/>
      </c>
      <c r="E7" s="409" t="n"/>
      <c r="F7" s="409" t="n"/>
      <c r="G7" s="409" t="n"/>
      <c r="H7" s="409" t="n"/>
      <c r="I7" s="409" t="n"/>
      <c r="J7" s="409" t="n"/>
      <c r="K7" s="409" t="n"/>
      <c r="L7" s="409" t="n"/>
    </row>
    <row r="8">
      <c r="A8" s="415" t="inlineStr">
        <is>
          <t>Avg Income / Day</t>
        </is>
      </c>
      <c r="B8" s="413">
        <f>IFERROR(B4/B7,0)</f>
        <v/>
      </c>
      <c r="C8" s="413">
        <f>IFERROR(C4/C7,0)</f>
        <v/>
      </c>
      <c r="D8" s="413">
        <f>IFERROR(D4/D7,0)</f>
        <v/>
      </c>
      <c r="E8" s="409" t="n"/>
      <c r="F8" s="409" t="n"/>
      <c r="G8" s="409" t="n"/>
      <c r="H8" s="409" t="n"/>
      <c r="I8" s="409" t="n"/>
      <c r="J8" s="409" t="n"/>
      <c r="K8" s="409" t="n"/>
      <c r="L8" s="409" t="n"/>
    </row>
    <row r="9">
      <c r="A9" s="409" t="n"/>
      <c r="B9" s="409" t="n"/>
      <c r="C9" s="409" t="n"/>
      <c r="D9" s="409" t="n"/>
      <c r="E9" s="409" t="n"/>
      <c r="F9" s="409" t="n"/>
      <c r="G9" s="409" t="n"/>
      <c r="H9" s="409" t="n"/>
      <c r="I9" s="409" t="n"/>
      <c r="J9" s="409" t="n"/>
      <c r="K9" s="409" t="n"/>
      <c r="L9" s="409" t="n"/>
    </row>
    <row r="10">
      <c r="A10" s="410" t="inlineStr">
        <is>
          <t>INCOME BY TYPE</t>
        </is>
      </c>
      <c r="B10" s="411" t="inlineStr">
        <is>
          <t>May 2026</t>
        </is>
      </c>
      <c r="C10" s="411" t="inlineStr">
        <is>
          <t>Jun 2026</t>
        </is>
      </c>
      <c r="D10" s="411" t="inlineStr">
        <is>
          <t>Jul 2026</t>
        </is>
      </c>
      <c r="E10" s="409" t="n"/>
      <c r="F10" s="409" t="n"/>
      <c r="G10" s="409" t="n"/>
      <c r="H10" s="409" t="n"/>
      <c r="I10" s="409" t="n"/>
      <c r="J10" s="409" t="n"/>
      <c r="K10" s="409" t="n"/>
      <c r="L10" s="409" t="n"/>
    </row>
    <row r="11">
      <c r="A11" s="415" t="inlineStr">
        <is>
          <t>Card</t>
        </is>
      </c>
      <c r="B11" s="413">
        <f>SUMIFS('📅 Daily Log'!$D$8:$D$5000,'📅 Daily Log'!$B$8:$B$5000,"&gt;="&amp;DATE(2026,5,1),'📅 Daily Log'!$B$8:$B$5000,"&lt;"&amp;DATE(2026,6,1))</f>
        <v/>
      </c>
      <c r="C11" s="413">
        <f>SUMIFS('📅 Daily Log'!$D$8:$D$5000,'📅 Daily Log'!$B$8:$B$5000,"&gt;="&amp;DATE(2026,6,1),'📅 Daily Log'!$B$8:$B$5000,"&lt;"&amp;DATE(2026,7,1))</f>
        <v/>
      </c>
      <c r="D11" s="413">
        <f>SUMIFS('📅 Daily Log'!$D$8:$D$5000,'📅 Daily Log'!$B$8:$B$5000,"&gt;="&amp;DATE(2026,7,1),'📅 Daily Log'!$B$8:$B$5000,"&lt;"&amp;DATE(2026,8,1))</f>
        <v/>
      </c>
      <c r="E11" s="409" t="n"/>
      <c r="F11" s="409" t="n"/>
      <c r="G11" s="409" t="n"/>
      <c r="H11" s="409" t="n"/>
      <c r="I11" s="409" t="n"/>
      <c r="J11" s="409" t="n"/>
      <c r="K11" s="409" t="n"/>
      <c r="L11" s="409" t="n"/>
    </row>
    <row r="12">
      <c r="A12" s="415" t="inlineStr">
        <is>
          <t>Cash</t>
        </is>
      </c>
      <c r="B12" s="413">
        <f>SUMIFS('📅 Daily Log'!$E$8:$E$5000,'📅 Daily Log'!$B$8:$B$5000,"&gt;="&amp;DATE(2026,5,1),'📅 Daily Log'!$B$8:$B$5000,"&lt;"&amp;DATE(2026,6,1))</f>
        <v/>
      </c>
      <c r="C12" s="413">
        <f>SUMIFS('📅 Daily Log'!$E$8:$E$5000,'📅 Daily Log'!$B$8:$B$5000,"&gt;="&amp;DATE(2026,6,1),'📅 Daily Log'!$B$8:$B$5000,"&lt;"&amp;DATE(2026,7,1))</f>
        <v/>
      </c>
      <c r="D12" s="413">
        <f>SUMIFS('📅 Daily Log'!$E$8:$E$5000,'📅 Daily Log'!$B$8:$B$5000,"&gt;="&amp;DATE(2026,7,1),'📅 Daily Log'!$B$8:$B$5000,"&lt;"&amp;DATE(2026,8,1))</f>
        <v/>
      </c>
      <c r="E12" s="409" t="n"/>
      <c r="F12" s="409" t="n"/>
      <c r="G12" s="409" t="n"/>
      <c r="H12" s="409" t="n"/>
      <c r="I12" s="409" t="n"/>
      <c r="J12" s="409" t="n"/>
      <c r="K12" s="409" t="n"/>
      <c r="L12" s="409" t="n"/>
    </row>
    <row r="13">
      <c r="A13" s="415" t="inlineStr">
        <is>
          <t>Transfer</t>
        </is>
      </c>
      <c r="B13" s="413">
        <f>SUMIFS('📅 Daily Log'!$G$8:$G$5000,'📅 Daily Log'!$B$8:$B$5000,"&gt;="&amp;DATE(2026,5,1),'📅 Daily Log'!$B$8:$B$5000,"&lt;"&amp;DATE(2026,6,1))</f>
        <v/>
      </c>
      <c r="C13" s="413">
        <f>SUMIFS('📅 Daily Log'!$G$8:$G$5000,'📅 Daily Log'!$B$8:$B$5000,"&gt;="&amp;DATE(2026,6,1),'📅 Daily Log'!$B$8:$B$5000,"&lt;"&amp;DATE(2026,7,1))</f>
        <v/>
      </c>
      <c r="D13" s="413">
        <f>SUMIFS('📅 Daily Log'!$G$8:$G$5000,'📅 Daily Log'!$B$8:$B$5000,"&gt;="&amp;DATE(2026,7,1),'📅 Daily Log'!$B$8:$B$5000,"&lt;"&amp;DATE(2026,8,1))</f>
        <v/>
      </c>
      <c r="E13" s="409" t="n"/>
      <c r="F13" s="409" t="n"/>
      <c r="G13" s="409" t="n"/>
      <c r="H13" s="409" t="n"/>
      <c r="I13" s="409" t="n"/>
      <c r="J13" s="409" t="n"/>
      <c r="K13" s="409" t="n"/>
      <c r="L13" s="409" t="n"/>
    </row>
    <row r="14">
      <c r="A14" s="412" t="inlineStr">
        <is>
          <t>Total Income</t>
        </is>
      </c>
      <c r="B14" s="414">
        <f>B11+B12+B13</f>
        <v/>
      </c>
      <c r="C14" s="414">
        <f>C11+C12+C13</f>
        <v/>
      </c>
      <c r="D14" s="414">
        <f>D11+D12+D13</f>
        <v/>
      </c>
      <c r="E14" s="409" t="n"/>
      <c r="F14" s="409" t="n"/>
      <c r="G14" s="409" t="n"/>
      <c r="H14" s="409" t="n"/>
      <c r="I14" s="409" t="n"/>
      <c r="J14" s="409" t="n"/>
      <c r="K14" s="409" t="n"/>
      <c r="L14" s="409" t="n"/>
    </row>
    <row r="15">
      <c r="A15" s="409" t="n"/>
      <c r="B15" s="409" t="n"/>
      <c r="C15" s="409" t="n"/>
      <c r="D15" s="409" t="n"/>
      <c r="E15" s="409" t="n"/>
      <c r="F15" s="409" t="n"/>
      <c r="G15" s="409" t="n"/>
      <c r="H15" s="409" t="n"/>
      <c r="I15" s="409" t="n"/>
      <c r="J15" s="409" t="n"/>
      <c r="K15" s="409" t="n"/>
      <c r="L15" s="409" t="n"/>
    </row>
    <row r="16">
      <c r="A16" s="410" t="inlineStr">
        <is>
          <t>EXPENSES BY CATEGORY (high → low)</t>
        </is>
      </c>
      <c r="B16" s="411" t="inlineStr">
        <is>
          <t>May 2026</t>
        </is>
      </c>
      <c r="C16" s="411" t="inlineStr">
        <is>
          <t>Jun 2026</t>
        </is>
      </c>
      <c r="D16" s="411" t="inlineStr">
        <is>
          <t>Jul 2026</t>
        </is>
      </c>
      <c r="E16" s="409" t="n"/>
      <c r="F16" s="409" t="n"/>
      <c r="G16" s="409" t="n"/>
      <c r="H16" s="409" t="n"/>
      <c r="I16" s="409" t="n"/>
      <c r="J16" s="409" t="n"/>
      <c r="K16" s="409" t="n"/>
      <c r="L16" s="409" t="n"/>
    </row>
    <row r="17">
      <c r="A17" s="415" t="inlineStr">
        <is>
          <t>Staff - Salary</t>
        </is>
      </c>
      <c r="B17" s="413">
        <f>SUMIFS('💸 Expenses'!$F$8:$F$5000,'💸 Expenses'!$E$8:$E$5000,$A17,'💸 Expenses'!$B$8:$B$5000,"&gt;="&amp;DATE(2026,5,1),'💸 Expenses'!$B$8:$B$5000,"&lt;"&amp;DATE(2026,6,1))</f>
        <v/>
      </c>
      <c r="C17" s="413">
        <f>SUMIFS('💸 Expenses'!$F$8:$F$5000,'💸 Expenses'!$E$8:$E$5000,$A17,'💸 Expenses'!$B$8:$B$5000,"&gt;="&amp;DATE(2026,6,1),'💸 Expenses'!$B$8:$B$5000,"&lt;"&amp;DATE(2026,7,1))</f>
        <v/>
      </c>
      <c r="D17" s="413">
        <f>SUMIFS('💸 Expenses'!$F$8:$F$5000,'💸 Expenses'!$E$8:$E$5000,$A17,'💸 Expenses'!$B$8:$B$5000,"&gt;="&amp;DATE(2026,7,1),'💸 Expenses'!$B$8:$B$5000,"&lt;"&amp;DATE(2026,8,1))</f>
        <v/>
      </c>
      <c r="E17" s="409" t="n"/>
      <c r="F17" s="409" t="n"/>
      <c r="G17" s="409" t="n"/>
      <c r="H17" s="409" t="n"/>
      <c r="I17" s="409" t="n"/>
      <c r="J17" s="409" t="n"/>
      <c r="K17" s="409" t="n"/>
      <c r="L17" s="409" t="n"/>
    </row>
    <row r="18">
      <c r="A18" s="415" t="inlineStr">
        <is>
          <t>Rent</t>
        </is>
      </c>
      <c r="B18" s="413">
        <f>SUMIFS('💸 Expenses'!$F$8:$F$5000,'💸 Expenses'!$E$8:$E$5000,$A18,'💸 Expenses'!$B$8:$B$5000,"&gt;="&amp;DATE(2026,5,1),'💸 Expenses'!$B$8:$B$5000,"&lt;"&amp;DATE(2026,6,1))</f>
        <v/>
      </c>
      <c r="C18" s="413">
        <f>SUMIFS('💸 Expenses'!$F$8:$F$5000,'💸 Expenses'!$E$8:$E$5000,$A18,'💸 Expenses'!$B$8:$B$5000,"&gt;="&amp;DATE(2026,6,1),'💸 Expenses'!$B$8:$B$5000,"&lt;"&amp;DATE(2026,7,1))</f>
        <v/>
      </c>
      <c r="D18" s="413">
        <f>SUMIFS('💸 Expenses'!$F$8:$F$5000,'💸 Expenses'!$E$8:$E$5000,$A18,'💸 Expenses'!$B$8:$B$5000,"&gt;="&amp;DATE(2026,7,1),'💸 Expenses'!$B$8:$B$5000,"&lt;"&amp;DATE(2026,8,1))</f>
        <v/>
      </c>
      <c r="E18" s="409" t="n"/>
      <c r="F18" s="409" t="n"/>
      <c r="G18" s="409" t="n"/>
      <c r="H18" s="409" t="n"/>
      <c r="I18" s="409" t="n"/>
      <c r="J18" s="409" t="n"/>
      <c r="K18" s="409" t="n"/>
      <c r="L18" s="409" t="n"/>
    </row>
    <row r="19">
      <c r="A19" s="415" t="inlineStr">
        <is>
          <t>Ingredients - Meat</t>
        </is>
      </c>
      <c r="B19" s="413">
        <f>SUMIFS('💸 Expenses'!$F$8:$F$5000,'💸 Expenses'!$E$8:$E$5000,$A19,'💸 Expenses'!$B$8:$B$5000,"&gt;="&amp;DATE(2026,5,1),'💸 Expenses'!$B$8:$B$5000,"&lt;"&amp;DATE(2026,6,1))</f>
        <v/>
      </c>
      <c r="C19" s="413">
        <f>SUMIFS('💸 Expenses'!$F$8:$F$5000,'💸 Expenses'!$E$8:$E$5000,$A19,'💸 Expenses'!$B$8:$B$5000,"&gt;="&amp;DATE(2026,6,1),'💸 Expenses'!$B$8:$B$5000,"&lt;"&amp;DATE(2026,7,1))</f>
        <v/>
      </c>
      <c r="D19" s="413">
        <f>SUMIFS('💸 Expenses'!$F$8:$F$5000,'💸 Expenses'!$E$8:$E$5000,$A19,'💸 Expenses'!$B$8:$B$5000,"&gt;="&amp;DATE(2026,7,1),'💸 Expenses'!$B$8:$B$5000,"&lt;"&amp;DATE(2026,8,1))</f>
        <v/>
      </c>
      <c r="E19" s="409" t="n"/>
      <c r="F19" s="409" t="n"/>
      <c r="G19" s="409" t="n"/>
      <c r="H19" s="409" t="n"/>
      <c r="I19" s="409" t="n"/>
      <c r="J19" s="409" t="n"/>
      <c r="K19" s="409" t="n"/>
      <c r="L19" s="409" t="n"/>
    </row>
    <row r="20">
      <c r="A20" s="415" t="inlineStr">
        <is>
          <t>Supermarket/General</t>
        </is>
      </c>
      <c r="B20" s="413">
        <f>SUMIFS('💸 Expenses'!$F$8:$F$5000,'💸 Expenses'!$E$8:$E$5000,$A20,'💸 Expenses'!$B$8:$B$5000,"&gt;="&amp;DATE(2026,5,1),'💸 Expenses'!$B$8:$B$5000,"&lt;"&amp;DATE(2026,6,1))</f>
        <v/>
      </c>
      <c r="C20" s="413">
        <f>SUMIFS('💸 Expenses'!$F$8:$F$5000,'💸 Expenses'!$E$8:$E$5000,$A20,'💸 Expenses'!$B$8:$B$5000,"&gt;="&amp;DATE(2026,6,1),'💸 Expenses'!$B$8:$B$5000,"&lt;"&amp;DATE(2026,7,1))</f>
        <v/>
      </c>
      <c r="D20" s="413">
        <f>SUMIFS('💸 Expenses'!$F$8:$F$5000,'💸 Expenses'!$E$8:$E$5000,$A20,'💸 Expenses'!$B$8:$B$5000,"&gt;="&amp;DATE(2026,7,1),'💸 Expenses'!$B$8:$B$5000,"&lt;"&amp;DATE(2026,8,1))</f>
        <v/>
      </c>
      <c r="E20" s="409" t="n"/>
      <c r="F20" s="409" t="n"/>
      <c r="G20" s="409" t="n"/>
      <c r="H20" s="409" t="n"/>
      <c r="I20" s="409" t="n"/>
      <c r="J20" s="409" t="n"/>
      <c r="K20" s="409" t="n"/>
      <c r="L20" s="409" t="n"/>
    </row>
    <row r="21">
      <c r="A21" s="415" t="inlineStr">
        <is>
          <t>Ingredients - Vegetables</t>
        </is>
      </c>
      <c r="B21" s="413">
        <f>SUMIFS('💸 Expenses'!$F$8:$F$5000,'💸 Expenses'!$E$8:$E$5000,$A21,'💸 Expenses'!$B$8:$B$5000,"&gt;="&amp;DATE(2026,5,1),'💸 Expenses'!$B$8:$B$5000,"&lt;"&amp;DATE(2026,6,1))</f>
        <v/>
      </c>
      <c r="C21" s="413">
        <f>SUMIFS('💸 Expenses'!$F$8:$F$5000,'💸 Expenses'!$E$8:$E$5000,$A21,'💸 Expenses'!$B$8:$B$5000,"&gt;="&amp;DATE(2026,6,1),'💸 Expenses'!$B$8:$B$5000,"&lt;"&amp;DATE(2026,7,1))</f>
        <v/>
      </c>
      <c r="D21" s="413">
        <f>SUMIFS('💸 Expenses'!$F$8:$F$5000,'💸 Expenses'!$E$8:$E$5000,$A21,'💸 Expenses'!$B$8:$B$5000,"&gt;="&amp;DATE(2026,7,1),'💸 Expenses'!$B$8:$B$5000,"&lt;"&amp;DATE(2026,8,1))</f>
        <v/>
      </c>
      <c r="E21" s="409" t="n"/>
      <c r="F21" s="409" t="n"/>
      <c r="G21" s="409" t="n"/>
      <c r="H21" s="409" t="n"/>
      <c r="I21" s="409" t="n"/>
      <c r="J21" s="409" t="n"/>
      <c r="K21" s="409" t="n"/>
      <c r="L21" s="409" t="n"/>
    </row>
    <row r="22">
      <c r="A22" s="415" t="inlineStr">
        <is>
          <t>Ingredients - Pantry</t>
        </is>
      </c>
      <c r="B22" s="413">
        <f>SUMIFS('💸 Expenses'!$F$8:$F$5000,'💸 Expenses'!$E$8:$E$5000,$A22,'💸 Expenses'!$B$8:$B$5000,"&gt;="&amp;DATE(2026,5,1),'💸 Expenses'!$B$8:$B$5000,"&lt;"&amp;DATE(2026,6,1))</f>
        <v/>
      </c>
      <c r="C22" s="413">
        <f>SUMIFS('💸 Expenses'!$F$8:$F$5000,'💸 Expenses'!$E$8:$E$5000,$A22,'💸 Expenses'!$B$8:$B$5000,"&gt;="&amp;DATE(2026,6,1),'💸 Expenses'!$B$8:$B$5000,"&lt;"&amp;DATE(2026,7,1))</f>
        <v/>
      </c>
      <c r="D22" s="413">
        <f>SUMIFS('💸 Expenses'!$F$8:$F$5000,'💸 Expenses'!$E$8:$E$5000,$A22,'💸 Expenses'!$B$8:$B$5000,"&gt;="&amp;DATE(2026,7,1),'💸 Expenses'!$B$8:$B$5000,"&lt;"&amp;DATE(2026,8,1))</f>
        <v/>
      </c>
      <c r="E22" s="409" t="n"/>
      <c r="F22" s="409" t="n"/>
      <c r="G22" s="409" t="n"/>
      <c r="H22" s="409" t="n"/>
      <c r="I22" s="409" t="n"/>
      <c r="J22" s="409" t="n"/>
      <c r="K22" s="409" t="n"/>
      <c r="L22" s="409" t="n"/>
    </row>
    <row r="23">
      <c r="A23" s="415" t="inlineStr">
        <is>
          <t>Ingredients - Beverages</t>
        </is>
      </c>
      <c r="B23" s="413">
        <f>SUMIFS('💸 Expenses'!$F$8:$F$5000,'💸 Expenses'!$E$8:$E$5000,$A23,'💸 Expenses'!$B$8:$B$5000,"&gt;="&amp;DATE(2026,5,1),'💸 Expenses'!$B$8:$B$5000,"&lt;"&amp;DATE(2026,6,1))</f>
        <v/>
      </c>
      <c r="C23" s="413">
        <f>SUMIFS('💸 Expenses'!$F$8:$F$5000,'💸 Expenses'!$E$8:$E$5000,$A23,'💸 Expenses'!$B$8:$B$5000,"&gt;="&amp;DATE(2026,6,1),'💸 Expenses'!$B$8:$B$5000,"&lt;"&amp;DATE(2026,7,1))</f>
        <v/>
      </c>
      <c r="D23" s="413">
        <f>SUMIFS('💸 Expenses'!$F$8:$F$5000,'💸 Expenses'!$E$8:$E$5000,$A23,'💸 Expenses'!$B$8:$B$5000,"&gt;="&amp;DATE(2026,7,1),'💸 Expenses'!$B$8:$B$5000,"&lt;"&amp;DATE(2026,8,1))</f>
        <v/>
      </c>
      <c r="E23" s="409" t="n"/>
      <c r="F23" s="409" t="n"/>
      <c r="G23" s="409" t="n"/>
      <c r="H23" s="409" t="n"/>
      <c r="I23" s="409" t="n"/>
      <c r="J23" s="409" t="n"/>
      <c r="K23" s="409" t="n"/>
      <c r="L23" s="409" t="n"/>
    </row>
    <row r="24">
      <c r="A24" s="415" t="inlineStr">
        <is>
          <t>Ingredients - Dairy</t>
        </is>
      </c>
      <c r="B24" s="413">
        <f>SUMIFS('💸 Expenses'!$F$8:$F$5000,'💸 Expenses'!$E$8:$E$5000,$A24,'💸 Expenses'!$B$8:$B$5000,"&gt;="&amp;DATE(2026,5,1),'💸 Expenses'!$B$8:$B$5000,"&lt;"&amp;DATE(2026,6,1))</f>
        <v/>
      </c>
      <c r="C24" s="413">
        <f>SUMIFS('💸 Expenses'!$F$8:$F$5000,'💸 Expenses'!$E$8:$E$5000,$A24,'💸 Expenses'!$B$8:$B$5000,"&gt;="&amp;DATE(2026,6,1),'💸 Expenses'!$B$8:$B$5000,"&lt;"&amp;DATE(2026,7,1))</f>
        <v/>
      </c>
      <c r="D24" s="413">
        <f>SUMIFS('💸 Expenses'!$F$8:$F$5000,'💸 Expenses'!$E$8:$E$5000,$A24,'💸 Expenses'!$B$8:$B$5000,"&gt;="&amp;DATE(2026,7,1),'💸 Expenses'!$B$8:$B$5000,"&lt;"&amp;DATE(2026,8,1))</f>
        <v/>
      </c>
      <c r="E24" s="409" t="n"/>
      <c r="F24" s="409" t="n"/>
      <c r="G24" s="409" t="n"/>
      <c r="H24" s="409" t="n"/>
      <c r="I24" s="409" t="n"/>
      <c r="J24" s="409" t="n"/>
      <c r="K24" s="409" t="n"/>
      <c r="L24" s="409" t="n"/>
    </row>
    <row r="25">
      <c r="A25" s="415" t="inlineStr">
        <is>
          <t>Ingredients - Bread</t>
        </is>
      </c>
      <c r="B25" s="413">
        <f>SUMIFS('💸 Expenses'!$F$8:$F$5000,'💸 Expenses'!$E$8:$E$5000,$A25,'💸 Expenses'!$B$8:$B$5000,"&gt;="&amp;DATE(2026,5,1),'💸 Expenses'!$B$8:$B$5000,"&lt;"&amp;DATE(2026,6,1))</f>
        <v/>
      </c>
      <c r="C25" s="413">
        <f>SUMIFS('💸 Expenses'!$F$8:$F$5000,'💸 Expenses'!$E$8:$E$5000,$A25,'💸 Expenses'!$B$8:$B$5000,"&gt;="&amp;DATE(2026,6,1),'💸 Expenses'!$B$8:$B$5000,"&lt;"&amp;DATE(2026,7,1))</f>
        <v/>
      </c>
      <c r="D25" s="413">
        <f>SUMIFS('💸 Expenses'!$F$8:$F$5000,'💸 Expenses'!$E$8:$E$5000,$A25,'💸 Expenses'!$B$8:$B$5000,"&gt;="&amp;DATE(2026,7,1),'💸 Expenses'!$B$8:$B$5000,"&lt;"&amp;DATE(2026,8,1))</f>
        <v/>
      </c>
      <c r="E25" s="409" t="n"/>
      <c r="F25" s="409" t="n"/>
      <c r="G25" s="409" t="n"/>
      <c r="H25" s="409" t="n"/>
      <c r="I25" s="409" t="n"/>
      <c r="J25" s="409" t="n"/>
      <c r="K25" s="409" t="n"/>
      <c r="L25" s="409" t="n"/>
    </row>
    <row r="26">
      <c r="A26" s="415" t="inlineStr">
        <is>
          <t>Supplies/Other</t>
        </is>
      </c>
      <c r="B26" s="413">
        <f>SUMIFS('💸 Expenses'!$F$8:$F$5000,'💸 Expenses'!$E$8:$E$5000,$A26,'💸 Expenses'!$B$8:$B$5000,"&gt;="&amp;DATE(2026,5,1),'💸 Expenses'!$B$8:$B$5000,"&lt;"&amp;DATE(2026,6,1))</f>
        <v/>
      </c>
      <c r="C26" s="413">
        <f>SUMIFS('💸 Expenses'!$F$8:$F$5000,'💸 Expenses'!$E$8:$E$5000,$A26,'💸 Expenses'!$B$8:$B$5000,"&gt;="&amp;DATE(2026,6,1),'💸 Expenses'!$B$8:$B$5000,"&lt;"&amp;DATE(2026,7,1))</f>
        <v/>
      </c>
      <c r="D26" s="413">
        <f>SUMIFS('💸 Expenses'!$F$8:$F$5000,'💸 Expenses'!$E$8:$E$5000,$A26,'💸 Expenses'!$B$8:$B$5000,"&gt;="&amp;DATE(2026,7,1),'💸 Expenses'!$B$8:$B$5000,"&lt;"&amp;DATE(2026,8,1))</f>
        <v/>
      </c>
      <c r="E26" s="409" t="n"/>
      <c r="F26" s="409" t="n"/>
      <c r="G26" s="409" t="n"/>
      <c r="H26" s="409" t="n"/>
      <c r="I26" s="409" t="n"/>
      <c r="J26" s="409" t="n"/>
      <c r="K26" s="409" t="n"/>
      <c r="L26" s="409" t="n"/>
    </row>
    <row r="27">
      <c r="A27" s="415" t="inlineStr">
        <is>
          <t>Maintenance</t>
        </is>
      </c>
      <c r="B27" s="413">
        <f>SUMIFS('💸 Expenses'!$F$8:$F$5000,'💸 Expenses'!$E$8:$E$5000,$A27,'💸 Expenses'!$B$8:$B$5000,"&gt;="&amp;DATE(2026,5,1),'💸 Expenses'!$B$8:$B$5000,"&lt;"&amp;DATE(2026,6,1))</f>
        <v/>
      </c>
      <c r="C27" s="413">
        <f>SUMIFS('💸 Expenses'!$F$8:$F$5000,'💸 Expenses'!$E$8:$E$5000,$A27,'💸 Expenses'!$B$8:$B$5000,"&gt;="&amp;DATE(2026,6,1),'💸 Expenses'!$B$8:$B$5000,"&lt;"&amp;DATE(2026,7,1))</f>
        <v/>
      </c>
      <c r="D27" s="413">
        <f>SUMIFS('💸 Expenses'!$F$8:$F$5000,'💸 Expenses'!$E$8:$E$5000,$A27,'💸 Expenses'!$B$8:$B$5000,"&gt;="&amp;DATE(2026,7,1),'💸 Expenses'!$B$8:$B$5000,"&lt;"&amp;DATE(2026,8,1))</f>
        <v/>
      </c>
      <c r="E27" s="409" t="n"/>
      <c r="F27" s="409" t="n"/>
      <c r="G27" s="409" t="n"/>
      <c r="H27" s="409" t="n"/>
      <c r="I27" s="409" t="n"/>
      <c r="J27" s="409" t="n"/>
      <c r="K27" s="409" t="n"/>
      <c r="L27" s="409" t="n"/>
    </row>
    <row r="28">
      <c r="A28" s="415" t="inlineStr">
        <is>
          <t>Ingredients - Meat &amp; Fish</t>
        </is>
      </c>
      <c r="B28" s="413">
        <f>SUMIFS('💸 Expenses'!$F$8:$F$5000,'💸 Expenses'!$E$8:$E$5000,$A28,'💸 Expenses'!$B$8:$B$5000,"&gt;="&amp;DATE(2026,5,1),'💸 Expenses'!$B$8:$B$5000,"&lt;"&amp;DATE(2026,6,1))</f>
        <v/>
      </c>
      <c r="C28" s="413">
        <f>SUMIFS('💸 Expenses'!$F$8:$F$5000,'💸 Expenses'!$E$8:$E$5000,$A28,'💸 Expenses'!$B$8:$B$5000,"&gt;="&amp;DATE(2026,6,1),'💸 Expenses'!$B$8:$B$5000,"&lt;"&amp;DATE(2026,7,1))</f>
        <v/>
      </c>
      <c r="D28" s="413">
        <f>SUMIFS('💸 Expenses'!$F$8:$F$5000,'💸 Expenses'!$E$8:$E$5000,$A28,'💸 Expenses'!$B$8:$B$5000,"&gt;="&amp;DATE(2026,7,1),'💸 Expenses'!$B$8:$B$5000,"&lt;"&amp;DATE(2026,8,1))</f>
        <v/>
      </c>
      <c r="E28" s="409" t="n"/>
      <c r="F28" s="409" t="n"/>
      <c r="G28" s="409" t="n"/>
      <c r="H28" s="409" t="n"/>
      <c r="I28" s="409" t="n"/>
      <c r="J28" s="409" t="n"/>
      <c r="K28" s="409" t="n"/>
      <c r="L28" s="409" t="n"/>
    </row>
    <row r="29">
      <c r="A29" s="415" t="inlineStr">
        <is>
          <t>Packaging/Disposables</t>
        </is>
      </c>
      <c r="B29" s="413">
        <f>SUMIFS('💸 Expenses'!$F$8:$F$5000,'💸 Expenses'!$E$8:$E$5000,$A29,'💸 Expenses'!$B$8:$B$5000,"&gt;="&amp;DATE(2026,5,1),'💸 Expenses'!$B$8:$B$5000,"&lt;"&amp;DATE(2026,6,1))</f>
        <v/>
      </c>
      <c r="C29" s="413">
        <f>SUMIFS('💸 Expenses'!$F$8:$F$5000,'💸 Expenses'!$E$8:$E$5000,$A29,'💸 Expenses'!$B$8:$B$5000,"&gt;="&amp;DATE(2026,6,1),'💸 Expenses'!$B$8:$B$5000,"&lt;"&amp;DATE(2026,7,1))</f>
        <v/>
      </c>
      <c r="D29" s="413">
        <f>SUMIFS('💸 Expenses'!$F$8:$F$5000,'💸 Expenses'!$E$8:$E$5000,$A29,'💸 Expenses'!$B$8:$B$5000,"&gt;="&amp;DATE(2026,7,1),'💸 Expenses'!$B$8:$B$5000,"&lt;"&amp;DATE(2026,8,1))</f>
        <v/>
      </c>
      <c r="E29" s="409" t="n"/>
      <c r="F29" s="409" t="n"/>
      <c r="G29" s="409" t="n"/>
      <c r="H29" s="409" t="n"/>
      <c r="I29" s="409" t="n"/>
      <c r="J29" s="409" t="n"/>
      <c r="K29" s="409" t="n"/>
      <c r="L29" s="409" t="n"/>
    </row>
    <row r="30">
      <c r="A30" s="415" t="inlineStr">
        <is>
          <t>Ingredients - Fruit</t>
        </is>
      </c>
      <c r="B30" s="413">
        <f>SUMIFS('💸 Expenses'!$F$8:$F$5000,'💸 Expenses'!$E$8:$E$5000,$A30,'💸 Expenses'!$B$8:$B$5000,"&gt;="&amp;DATE(2026,5,1),'💸 Expenses'!$B$8:$B$5000,"&lt;"&amp;DATE(2026,6,1))</f>
        <v/>
      </c>
      <c r="C30" s="413">
        <f>SUMIFS('💸 Expenses'!$F$8:$F$5000,'💸 Expenses'!$E$8:$E$5000,$A30,'💸 Expenses'!$B$8:$B$5000,"&gt;="&amp;DATE(2026,6,1),'💸 Expenses'!$B$8:$B$5000,"&lt;"&amp;DATE(2026,7,1))</f>
        <v/>
      </c>
      <c r="D30" s="413">
        <f>SUMIFS('💸 Expenses'!$F$8:$F$5000,'💸 Expenses'!$E$8:$E$5000,$A30,'💸 Expenses'!$B$8:$B$5000,"&gt;="&amp;DATE(2026,7,1),'💸 Expenses'!$B$8:$B$5000,"&lt;"&amp;DATE(2026,8,1))</f>
        <v/>
      </c>
      <c r="E30" s="409" t="n"/>
      <c r="F30" s="409" t="n"/>
      <c r="G30" s="409" t="n"/>
      <c r="H30" s="409" t="n"/>
      <c r="I30" s="409" t="n"/>
      <c r="J30" s="409" t="n"/>
      <c r="K30" s="409" t="n"/>
      <c r="L30" s="409" t="n"/>
    </row>
    <row r="31">
      <c r="A31" s="415" t="inlineStr">
        <is>
          <t>Kitchen Supplies</t>
        </is>
      </c>
      <c r="B31" s="413">
        <f>SUMIFS('💸 Expenses'!$F$8:$F$5000,'💸 Expenses'!$E$8:$E$5000,$A31,'💸 Expenses'!$B$8:$B$5000,"&gt;="&amp;DATE(2026,5,1),'💸 Expenses'!$B$8:$B$5000,"&lt;"&amp;DATE(2026,6,1))</f>
        <v/>
      </c>
      <c r="C31" s="413">
        <f>SUMIFS('💸 Expenses'!$F$8:$F$5000,'💸 Expenses'!$E$8:$E$5000,$A31,'💸 Expenses'!$B$8:$B$5000,"&gt;="&amp;DATE(2026,6,1),'💸 Expenses'!$B$8:$B$5000,"&lt;"&amp;DATE(2026,7,1))</f>
        <v/>
      </c>
      <c r="D31" s="413">
        <f>SUMIFS('💸 Expenses'!$F$8:$F$5000,'💸 Expenses'!$E$8:$E$5000,$A31,'💸 Expenses'!$B$8:$B$5000,"&gt;="&amp;DATE(2026,7,1),'💸 Expenses'!$B$8:$B$5000,"&lt;"&amp;DATE(2026,8,1))</f>
        <v/>
      </c>
      <c r="E31" s="409" t="n"/>
      <c r="F31" s="409" t="n"/>
      <c r="G31" s="409" t="n"/>
      <c r="H31" s="409" t="n"/>
      <c r="I31" s="409" t="n"/>
      <c r="J31" s="409" t="n"/>
      <c r="K31" s="409" t="n"/>
      <c r="L31" s="409" t="n"/>
    </row>
    <row r="32">
      <c r="A32" s="415" t="inlineStr">
        <is>
          <t>Utilities/Internet</t>
        </is>
      </c>
      <c r="B32" s="413">
        <f>SUMIFS('💸 Expenses'!$F$8:$F$5000,'💸 Expenses'!$E$8:$E$5000,$A32,'💸 Expenses'!$B$8:$B$5000,"&gt;="&amp;DATE(2026,5,1),'💸 Expenses'!$B$8:$B$5000,"&lt;"&amp;DATE(2026,6,1))</f>
        <v/>
      </c>
      <c r="C32" s="413">
        <f>SUMIFS('💸 Expenses'!$F$8:$F$5000,'💸 Expenses'!$E$8:$E$5000,$A32,'💸 Expenses'!$B$8:$B$5000,"&gt;="&amp;DATE(2026,6,1),'💸 Expenses'!$B$8:$B$5000,"&lt;"&amp;DATE(2026,7,1))</f>
        <v/>
      </c>
      <c r="D32" s="413">
        <f>SUMIFS('💸 Expenses'!$F$8:$F$5000,'💸 Expenses'!$E$8:$E$5000,$A32,'💸 Expenses'!$B$8:$B$5000,"&gt;="&amp;DATE(2026,7,1),'💸 Expenses'!$B$8:$B$5000,"&lt;"&amp;DATE(2026,8,1))</f>
        <v/>
      </c>
      <c r="E32" s="409" t="n"/>
      <c r="F32" s="409" t="n"/>
      <c r="G32" s="409" t="n"/>
      <c r="H32" s="409" t="n"/>
      <c r="I32" s="409" t="n"/>
      <c r="J32" s="409" t="n"/>
      <c r="K32" s="409" t="n"/>
      <c r="L32" s="409" t="n"/>
    </row>
    <row r="33">
      <c r="A33" s="415" t="inlineStr">
        <is>
          <t>Utilities/Gas</t>
        </is>
      </c>
      <c r="B33" s="413">
        <f>SUMIFS('💸 Expenses'!$F$8:$F$5000,'💸 Expenses'!$E$8:$E$5000,$A33,'💸 Expenses'!$B$8:$B$5000,"&gt;="&amp;DATE(2026,5,1),'💸 Expenses'!$B$8:$B$5000,"&lt;"&amp;DATE(2026,6,1))</f>
        <v/>
      </c>
      <c r="C33" s="413">
        <f>SUMIFS('💸 Expenses'!$F$8:$F$5000,'💸 Expenses'!$E$8:$E$5000,$A33,'💸 Expenses'!$B$8:$B$5000,"&gt;="&amp;DATE(2026,6,1),'💸 Expenses'!$B$8:$B$5000,"&lt;"&amp;DATE(2026,7,1))</f>
        <v/>
      </c>
      <c r="D33" s="413">
        <f>SUMIFS('💸 Expenses'!$F$8:$F$5000,'💸 Expenses'!$E$8:$E$5000,$A33,'💸 Expenses'!$B$8:$B$5000,"&gt;="&amp;DATE(2026,7,1),'💸 Expenses'!$B$8:$B$5000,"&lt;"&amp;DATE(2026,8,1))</f>
        <v/>
      </c>
      <c r="E33" s="409" t="n"/>
      <c r="F33" s="409" t="n"/>
      <c r="G33" s="409" t="n"/>
      <c r="H33" s="409" t="n"/>
      <c r="I33" s="409" t="n"/>
      <c r="J33" s="409" t="n"/>
      <c r="K33" s="409" t="n"/>
      <c r="L33" s="409" t="n"/>
    </row>
    <row r="34">
      <c r="A34" s="415" t="inlineStr">
        <is>
          <t>Ingredients - Other</t>
        </is>
      </c>
      <c r="B34" s="413">
        <f>SUMIFS('💸 Expenses'!$F$8:$F$5000,'💸 Expenses'!$E$8:$E$5000,$A34,'💸 Expenses'!$B$8:$B$5000,"&gt;="&amp;DATE(2026,5,1),'💸 Expenses'!$B$8:$B$5000,"&lt;"&amp;DATE(2026,6,1))</f>
        <v/>
      </c>
      <c r="C34" s="413">
        <f>SUMIFS('💸 Expenses'!$F$8:$F$5000,'💸 Expenses'!$E$8:$E$5000,$A34,'💸 Expenses'!$B$8:$B$5000,"&gt;="&amp;DATE(2026,6,1),'💸 Expenses'!$B$8:$B$5000,"&lt;"&amp;DATE(2026,7,1))</f>
        <v/>
      </c>
      <c r="D34" s="413">
        <f>SUMIFS('💸 Expenses'!$F$8:$F$5000,'💸 Expenses'!$E$8:$E$5000,$A34,'💸 Expenses'!$B$8:$B$5000,"&gt;="&amp;DATE(2026,7,1),'💸 Expenses'!$B$8:$B$5000,"&lt;"&amp;DATE(2026,8,1))</f>
        <v/>
      </c>
      <c r="E34" s="409" t="n"/>
      <c r="F34" s="409" t="n"/>
      <c r="G34" s="409" t="n"/>
      <c r="H34" s="409" t="n"/>
      <c r="I34" s="409" t="n"/>
      <c r="J34" s="409" t="n"/>
      <c r="K34" s="409" t="n"/>
      <c r="L34" s="409" t="n"/>
    </row>
    <row r="35">
      <c r="A35" s="415" t="inlineStr">
        <is>
          <t>Office Supplies</t>
        </is>
      </c>
      <c r="B35" s="413">
        <f>SUMIFS('💸 Expenses'!$F$8:$F$5000,'💸 Expenses'!$E$8:$E$5000,$A35,'💸 Expenses'!$B$8:$B$5000,"&gt;="&amp;DATE(2026,5,1),'💸 Expenses'!$B$8:$B$5000,"&lt;"&amp;DATE(2026,6,1))</f>
        <v/>
      </c>
      <c r="C35" s="413">
        <f>SUMIFS('💸 Expenses'!$F$8:$F$5000,'💸 Expenses'!$E$8:$E$5000,$A35,'💸 Expenses'!$B$8:$B$5000,"&gt;="&amp;DATE(2026,6,1),'💸 Expenses'!$B$8:$B$5000,"&lt;"&amp;DATE(2026,7,1))</f>
        <v/>
      </c>
      <c r="D35" s="413">
        <f>SUMIFS('💸 Expenses'!$F$8:$F$5000,'💸 Expenses'!$E$8:$E$5000,$A35,'💸 Expenses'!$B$8:$B$5000,"&gt;="&amp;DATE(2026,7,1),'💸 Expenses'!$B$8:$B$5000,"&lt;"&amp;DATE(2026,8,1))</f>
        <v/>
      </c>
      <c r="E35" s="409" t="n"/>
      <c r="F35" s="409" t="n"/>
      <c r="G35" s="409" t="n"/>
      <c r="H35" s="409" t="n"/>
      <c r="I35" s="409" t="n"/>
      <c r="J35" s="409" t="n"/>
      <c r="K35" s="409" t="n"/>
      <c r="L35" s="409" t="n"/>
    </row>
    <row r="36">
      <c r="A36" s="415" t="inlineStr">
        <is>
          <t>Software/Subscription</t>
        </is>
      </c>
      <c r="B36" s="413">
        <f>SUMIFS('💸 Expenses'!$F$8:$F$5000,'💸 Expenses'!$E$8:$E$5000,$A36,'💸 Expenses'!$B$8:$B$5000,"&gt;="&amp;DATE(2026,5,1),'💸 Expenses'!$B$8:$B$5000,"&lt;"&amp;DATE(2026,6,1))</f>
        <v/>
      </c>
      <c r="C36" s="413">
        <f>SUMIFS('💸 Expenses'!$F$8:$F$5000,'💸 Expenses'!$E$8:$E$5000,$A36,'💸 Expenses'!$B$8:$B$5000,"&gt;="&amp;DATE(2026,6,1),'💸 Expenses'!$B$8:$B$5000,"&lt;"&amp;DATE(2026,7,1))</f>
        <v/>
      </c>
      <c r="D36" s="413">
        <f>SUMIFS('💸 Expenses'!$F$8:$F$5000,'💸 Expenses'!$E$8:$E$5000,$A36,'💸 Expenses'!$B$8:$B$5000,"&gt;="&amp;DATE(2026,7,1),'💸 Expenses'!$B$8:$B$5000,"&lt;"&amp;DATE(2026,8,1))</f>
        <v/>
      </c>
      <c r="E36" s="409" t="n"/>
      <c r="F36" s="409" t="n"/>
      <c r="G36" s="409" t="n"/>
      <c r="H36" s="409" t="n"/>
      <c r="I36" s="409" t="n"/>
      <c r="J36" s="409" t="n"/>
      <c r="K36" s="409" t="n"/>
      <c r="L36" s="409" t="n"/>
    </row>
    <row r="37">
      <c r="A37" s="415" t="inlineStr">
        <is>
          <t>Staff - Advance</t>
        </is>
      </c>
      <c r="B37" s="413">
        <f>SUMIFS('💸 Expenses'!$F$8:$F$5000,'💸 Expenses'!$E$8:$E$5000,$A37,'💸 Expenses'!$B$8:$B$5000,"&gt;="&amp;DATE(2026,5,1),'💸 Expenses'!$B$8:$B$5000,"&lt;"&amp;DATE(2026,6,1))</f>
        <v/>
      </c>
      <c r="C37" s="413">
        <f>SUMIFS('💸 Expenses'!$F$8:$F$5000,'💸 Expenses'!$E$8:$E$5000,$A37,'💸 Expenses'!$B$8:$B$5000,"&gt;="&amp;DATE(2026,6,1),'💸 Expenses'!$B$8:$B$5000,"&lt;"&amp;DATE(2026,7,1))</f>
        <v/>
      </c>
      <c r="D37" s="413">
        <f>SUMIFS('💸 Expenses'!$F$8:$F$5000,'💸 Expenses'!$E$8:$E$5000,$A37,'💸 Expenses'!$B$8:$B$5000,"&gt;="&amp;DATE(2026,7,1),'💸 Expenses'!$B$8:$B$5000,"&lt;"&amp;DATE(2026,8,1))</f>
        <v/>
      </c>
      <c r="E37" s="409" t="n"/>
      <c r="F37" s="409" t="n"/>
      <c r="G37" s="409" t="n"/>
      <c r="H37" s="409" t="n"/>
      <c r="I37" s="409" t="n"/>
      <c r="J37" s="409" t="n"/>
      <c r="K37" s="409" t="n"/>
      <c r="L37" s="409" t="n"/>
    </row>
    <row r="38">
      <c r="A38" s="415" t="inlineStr">
        <is>
          <t>Ingredients - Desserts</t>
        </is>
      </c>
      <c r="B38" s="413">
        <f>SUMIFS('💸 Expenses'!$F$8:$F$5000,'💸 Expenses'!$E$8:$E$5000,$A38,'💸 Expenses'!$B$8:$B$5000,"&gt;="&amp;DATE(2026,5,1),'💸 Expenses'!$B$8:$B$5000,"&lt;"&amp;DATE(2026,6,1))</f>
        <v/>
      </c>
      <c r="C38" s="413">
        <f>SUMIFS('💸 Expenses'!$F$8:$F$5000,'💸 Expenses'!$E$8:$E$5000,$A38,'💸 Expenses'!$B$8:$B$5000,"&gt;="&amp;DATE(2026,6,1),'💸 Expenses'!$B$8:$B$5000,"&lt;"&amp;DATE(2026,7,1))</f>
        <v/>
      </c>
      <c r="D38" s="413">
        <f>SUMIFS('💸 Expenses'!$F$8:$F$5000,'💸 Expenses'!$E$8:$E$5000,$A38,'💸 Expenses'!$B$8:$B$5000,"&gt;="&amp;DATE(2026,7,1),'💸 Expenses'!$B$8:$B$5000,"&lt;"&amp;DATE(2026,8,1))</f>
        <v/>
      </c>
      <c r="E38" s="409" t="n"/>
      <c r="F38" s="409" t="n"/>
      <c r="G38" s="409" t="n"/>
      <c r="H38" s="409" t="n"/>
      <c r="I38" s="409" t="n"/>
      <c r="J38" s="409" t="n"/>
      <c r="K38" s="409" t="n"/>
      <c r="L38" s="409" t="n"/>
    </row>
    <row r="39">
      <c r="A39" s="415" t="inlineStr">
        <is>
          <t>Ingredients - Eggs</t>
        </is>
      </c>
      <c r="B39" s="413">
        <f>SUMIFS('💸 Expenses'!$F$8:$F$5000,'💸 Expenses'!$E$8:$E$5000,$A39,'💸 Expenses'!$B$8:$B$5000,"&gt;="&amp;DATE(2026,5,1),'💸 Expenses'!$B$8:$B$5000,"&lt;"&amp;DATE(2026,6,1))</f>
        <v/>
      </c>
      <c r="C39" s="413">
        <f>SUMIFS('💸 Expenses'!$F$8:$F$5000,'💸 Expenses'!$E$8:$E$5000,$A39,'💸 Expenses'!$B$8:$B$5000,"&gt;="&amp;DATE(2026,6,1),'💸 Expenses'!$B$8:$B$5000,"&lt;"&amp;DATE(2026,7,1))</f>
        <v/>
      </c>
      <c r="D39" s="413">
        <f>SUMIFS('💸 Expenses'!$F$8:$F$5000,'💸 Expenses'!$E$8:$E$5000,$A39,'💸 Expenses'!$B$8:$B$5000,"&gt;="&amp;DATE(2026,7,1),'💸 Expenses'!$B$8:$B$5000,"&lt;"&amp;DATE(2026,8,1))</f>
        <v/>
      </c>
      <c r="E39" s="409" t="n"/>
      <c r="F39" s="409" t="n"/>
      <c r="G39" s="409" t="n"/>
      <c r="H39" s="409" t="n"/>
      <c r="I39" s="409" t="n"/>
      <c r="J39" s="409" t="n"/>
      <c r="K39" s="409" t="n"/>
      <c r="L39" s="409" t="n"/>
    </row>
    <row r="40">
      <c r="A40" s="415" t="inlineStr">
        <is>
          <t>Staff - Propinas</t>
        </is>
      </c>
      <c r="B40" s="413">
        <f>SUMIFS('💸 Expenses'!$F$8:$F$5000,'💸 Expenses'!$E$8:$E$5000,$A40,'💸 Expenses'!$B$8:$B$5000,"&gt;="&amp;DATE(2026,5,1),'💸 Expenses'!$B$8:$B$5000,"&lt;"&amp;DATE(2026,6,1))</f>
        <v/>
      </c>
      <c r="C40" s="413">
        <f>SUMIFS('💸 Expenses'!$F$8:$F$5000,'💸 Expenses'!$E$8:$E$5000,$A40,'💸 Expenses'!$B$8:$B$5000,"&gt;="&amp;DATE(2026,6,1),'💸 Expenses'!$B$8:$B$5000,"&lt;"&amp;DATE(2026,7,1))</f>
        <v/>
      </c>
      <c r="D40" s="413">
        <f>SUMIFS('💸 Expenses'!$F$8:$F$5000,'💸 Expenses'!$E$8:$E$5000,$A40,'💸 Expenses'!$B$8:$B$5000,"&gt;="&amp;DATE(2026,7,1),'💸 Expenses'!$B$8:$B$5000,"&lt;"&amp;DATE(2026,8,1))</f>
        <v/>
      </c>
      <c r="E40" s="409" t="n"/>
      <c r="F40" s="409" t="n"/>
      <c r="G40" s="409" t="n"/>
      <c r="H40" s="409" t="n"/>
      <c r="I40" s="409" t="n"/>
      <c r="J40" s="409" t="n"/>
      <c r="K40" s="409" t="n"/>
      <c r="L40" s="409" t="n"/>
    </row>
    <row r="41">
      <c r="A41" s="412" t="inlineStr">
        <is>
          <t>TOTAL EXPENSES</t>
        </is>
      </c>
      <c r="B41" s="414">
        <f>SUMIFS('💸 Expenses'!$F$8:$F$5000,'💸 Expenses'!$B$8:$B$5000,"&gt;="&amp;DATE(2026,5,1),'💸 Expenses'!$B$8:$B$5000,"&lt;"&amp;DATE(2026,6,1))</f>
        <v/>
      </c>
      <c r="C41" s="414">
        <f>SUMIFS('💸 Expenses'!$F$8:$F$5000,'💸 Expenses'!$B$8:$B$5000,"&gt;="&amp;DATE(2026,6,1),'💸 Expenses'!$B$8:$B$5000,"&lt;"&amp;DATE(2026,7,1))</f>
        <v/>
      </c>
      <c r="D41" s="414">
        <f>SUMIFS('💸 Expenses'!$F$8:$F$5000,'💸 Expenses'!$B$8:$B$5000,"&gt;="&amp;DATE(2026,7,1),'💸 Expenses'!$B$8:$B$5000,"&lt;"&amp;DATE(2026,8,1))</f>
        <v/>
      </c>
      <c r="E41" s="409" t="n"/>
      <c r="F41" s="409" t="n"/>
      <c r="G41" s="409" t="n"/>
      <c r="H41" s="409" t="n"/>
      <c r="I41" s="409" t="n"/>
      <c r="J41" s="409" t="n"/>
      <c r="K41" s="409" t="n"/>
      <c r="L41" s="409" t="n"/>
    </row>
    <row r="42">
      <c r="A42" s="412" t="inlineStr">
        <is>
          <t>NET PROFIT / LOSS</t>
        </is>
      </c>
      <c r="B42" s="414">
        <f>B4-B41</f>
        <v/>
      </c>
      <c r="C42" s="414">
        <f>C4-C41</f>
        <v/>
      </c>
      <c r="D42" s="414">
        <f>D4-D41</f>
        <v/>
      </c>
      <c r="E42" s="409" t="n"/>
      <c r="F42" s="409" t="n"/>
      <c r="G42" s="409" t="n"/>
      <c r="H42" s="409" t="n"/>
      <c r="I42" s="409" t="n"/>
      <c r="J42" s="409" t="n"/>
      <c r="K42" s="409" t="n"/>
      <c r="L42" s="409" t="n"/>
    </row>
    <row r="43">
      <c r="A43" s="409" t="n"/>
      <c r="B43" s="409" t="n"/>
      <c r="C43" s="409" t="n"/>
      <c r="D43" s="409" t="n"/>
      <c r="E43" s="409" t="n"/>
      <c r="F43" s="409" t="n"/>
      <c r="G43" s="409" t="n"/>
      <c r="H43" s="409" t="n"/>
      <c r="I43" s="409" t="n"/>
      <c r="J43" s="409" t="n"/>
      <c r="K43" s="409" t="n"/>
      <c r="L43" s="409" t="n"/>
    </row>
    <row r="44">
      <c r="A44" s="409" t="n"/>
      <c r="B44" s="409" t="n"/>
      <c r="C44" s="409" t="n"/>
      <c r="D44" s="409" t="n"/>
      <c r="E44" s="409" t="n"/>
      <c r="F44" s="409" t="n"/>
      <c r="G44" s="409" t="n"/>
      <c r="H44" s="409" t="n"/>
      <c r="I44" s="409" t="n"/>
      <c r="J44" s="409" t="n"/>
      <c r="K44" s="409" t="n"/>
      <c r="L44" s="409" t="n"/>
    </row>
    <row r="45">
      <c r="A45" s="409" t="n"/>
      <c r="B45" s="409" t="n"/>
      <c r="C45" s="409" t="n"/>
      <c r="D45" s="409" t="n"/>
      <c r="E45" s="409" t="n"/>
      <c r="F45" s="409" t="n"/>
      <c r="G45" s="409" t="n"/>
      <c r="H45" s="409" t="n"/>
      <c r="I45" s="409" t="n"/>
      <c r="J45" s="409" t="n"/>
      <c r="K45" s="409" t="n"/>
      <c r="L45" s="409" t="n"/>
    </row>
    <row r="46">
      <c r="A46" s="409" t="n"/>
      <c r="B46" s="409" t="n"/>
      <c r="C46" s="409" t="n"/>
      <c r="D46" s="409" t="n"/>
      <c r="E46" s="409" t="n"/>
      <c r="F46" s="409" t="n"/>
      <c r="G46" s="409" t="n"/>
      <c r="H46" s="409" t="n"/>
      <c r="I46" s="409" t="n"/>
      <c r="J46" s="409" t="n"/>
      <c r="K46" s="409" t="n"/>
      <c r="L46" s="409" t="n"/>
    </row>
    <row r="47">
      <c r="A47" s="409" t="n"/>
      <c r="B47" s="409" t="n"/>
      <c r="C47" s="409" t="n"/>
      <c r="D47" s="409" t="n"/>
      <c r="E47" s="409" t="n"/>
      <c r="F47" s="409" t="n"/>
      <c r="G47" s="409" t="n"/>
      <c r="H47" s="409" t="n"/>
      <c r="I47" s="409" t="n"/>
      <c r="J47" s="409" t="n"/>
      <c r="K47" s="409" t="n"/>
      <c r="L47" s="409" t="n"/>
    </row>
    <row r="48">
      <c r="A48" s="409" t="n"/>
      <c r="B48" s="409" t="n"/>
      <c r="C48" s="409" t="n"/>
      <c r="D48" s="409" t="n"/>
      <c r="E48" s="409" t="n"/>
      <c r="F48" s="409" t="n"/>
      <c r="G48" s="409" t="n"/>
      <c r="H48" s="409" t="n"/>
      <c r="I48" s="409" t="n"/>
      <c r="J48" s="409" t="n"/>
      <c r="K48" s="409" t="n"/>
      <c r="L48" s="409" t="n"/>
    </row>
    <row r="49">
      <c r="A49" s="409" t="n"/>
      <c r="B49" s="409" t="n"/>
      <c r="C49" s="409" t="n"/>
      <c r="D49" s="409" t="n"/>
      <c r="E49" s="409" t="n"/>
      <c r="F49" s="409" t="n"/>
      <c r="G49" s="409" t="n"/>
      <c r="H49" s="409" t="n"/>
      <c r="I49" s="409" t="n"/>
      <c r="J49" s="409" t="n"/>
      <c r="K49" s="409" t="n"/>
      <c r="L49" s="409" t="n"/>
    </row>
    <row r="50">
      <c r="A50" s="409" t="n"/>
      <c r="B50" s="409" t="n"/>
      <c r="C50" s="409" t="n"/>
      <c r="D50" s="409" t="n"/>
      <c r="E50" s="409" t="n"/>
      <c r="F50" s="409" t="n"/>
      <c r="G50" s="409" t="n"/>
      <c r="H50" s="409" t="n"/>
      <c r="I50" s="409" t="n"/>
      <c r="J50" s="409" t="n"/>
      <c r="K50" s="409" t="n"/>
      <c r="L50" s="409" t="n"/>
    </row>
    <row r="51">
      <c r="A51" s="409" t="n"/>
      <c r="B51" s="409" t="n"/>
      <c r="C51" s="409" t="n"/>
      <c r="D51" s="409" t="n"/>
      <c r="E51" s="409" t="n"/>
      <c r="F51" s="409" t="n"/>
      <c r="G51" s="409" t="n"/>
      <c r="H51" s="409" t="n"/>
      <c r="I51" s="409" t="n"/>
      <c r="J51" s="409" t="n"/>
      <c r="K51" s="409" t="n"/>
      <c r="L51" s="409" t="n"/>
    </row>
    <row r="52">
      <c r="A52" s="409" t="n"/>
      <c r="B52" s="409" t="n"/>
      <c r="C52" s="409" t="n"/>
      <c r="D52" s="409" t="n"/>
      <c r="E52" s="409" t="n"/>
      <c r="F52" s="409" t="n"/>
      <c r="G52" s="409" t="n"/>
      <c r="H52" s="409" t="n"/>
      <c r="I52" s="409" t="n"/>
      <c r="J52" s="409" t="n"/>
      <c r="K52" s="409" t="n"/>
      <c r="L52" s="409" t="n"/>
    </row>
    <row r="53">
      <c r="A53" s="409" t="n"/>
      <c r="B53" s="409" t="n"/>
      <c r="C53" s="409" t="n"/>
      <c r="D53" s="409" t="n"/>
      <c r="E53" s="409" t="n"/>
      <c r="F53" s="409" t="n"/>
      <c r="G53" s="409" t="n"/>
      <c r="H53" s="409" t="n"/>
      <c r="I53" s="409" t="n"/>
      <c r="J53" s="409" t="n"/>
      <c r="K53" s="409" t="n"/>
      <c r="L53" s="409" t="n"/>
    </row>
    <row r="54">
      <c r="A54" s="409" t="n"/>
      <c r="B54" s="409" t="n"/>
      <c r="C54" s="409" t="n"/>
      <c r="D54" s="409" t="n"/>
      <c r="E54" s="409" t="n"/>
      <c r="F54" s="409" t="n"/>
      <c r="G54" s="409" t="n"/>
      <c r="H54" s="409" t="n"/>
      <c r="I54" s="409" t="n"/>
      <c r="J54" s="409" t="n"/>
      <c r="K54" s="409" t="n"/>
      <c r="L54" s="409" t="n"/>
    </row>
    <row r="55">
      <c r="A55" s="409" t="n"/>
      <c r="B55" s="409" t="n"/>
      <c r="C55" s="409" t="n"/>
      <c r="D55" s="409" t="n"/>
      <c r="E55" s="409" t="n"/>
      <c r="F55" s="409" t="n"/>
      <c r="G55" s="409" t="n"/>
      <c r="H55" s="409" t="n"/>
      <c r="I55" s="409" t="n"/>
      <c r="J55" s="409" t="n"/>
      <c r="K55" s="409" t="n"/>
      <c r="L55" s="409" t="n"/>
    </row>
    <row r="56">
      <c r="A56" s="409" t="n"/>
      <c r="B56" s="409" t="n"/>
      <c r="C56" s="409" t="n"/>
      <c r="D56" s="409" t="n"/>
      <c r="E56" s="409" t="n"/>
      <c r="F56" s="409" t="n"/>
      <c r="G56" s="409" t="n"/>
      <c r="H56" s="409" t="n"/>
      <c r="I56" s="409" t="n"/>
      <c r="J56" s="409" t="n"/>
      <c r="K56" s="409" t="n"/>
      <c r="L56" s="409" t="n"/>
    </row>
    <row r="57">
      <c r="A57" s="409" t="n"/>
      <c r="B57" s="409" t="n"/>
      <c r="C57" s="409" t="n"/>
      <c r="D57" s="409" t="n"/>
      <c r="E57" s="409" t="n"/>
      <c r="F57" s="409" t="n"/>
      <c r="G57" s="409" t="n"/>
      <c r="H57" s="409" t="n"/>
      <c r="I57" s="409" t="n"/>
      <c r="J57" s="409" t="n"/>
      <c r="K57" s="409" t="n"/>
      <c r="L57" s="409" t="n"/>
    </row>
    <row r="58">
      <c r="A58" s="409" t="n"/>
      <c r="B58" s="409" t="n"/>
      <c r="C58" s="409" t="n"/>
      <c r="D58" s="409" t="n"/>
      <c r="E58" s="409" t="n"/>
      <c r="F58" s="409" t="n"/>
      <c r="G58" s="409" t="n"/>
      <c r="H58" s="409" t="n"/>
      <c r="I58" s="409" t="n"/>
      <c r="J58" s="409" t="n"/>
      <c r="K58" s="409" t="n"/>
      <c r="L58" s="409" t="n"/>
    </row>
    <row r="59">
      <c r="A59" s="409" t="n"/>
      <c r="B59" s="409" t="n"/>
      <c r="C59" s="409" t="n"/>
      <c r="D59" s="409" t="n"/>
      <c r="E59" s="409" t="n"/>
      <c r="F59" s="409" t="n"/>
      <c r="G59" s="409" t="n"/>
      <c r="H59" s="409" t="n"/>
      <c r="I59" s="409" t="n"/>
      <c r="J59" s="409" t="n"/>
      <c r="K59" s="409" t="n"/>
      <c r="L59" s="409" t="n"/>
    </row>
    <row r="60">
      <c r="A60" s="409" t="n"/>
      <c r="B60" s="409" t="n"/>
      <c r="C60" s="409" t="n"/>
      <c r="D60" s="409" t="n"/>
      <c r="E60" s="409" t="n"/>
      <c r="F60" s="409" t="n"/>
      <c r="G60" s="409" t="n"/>
      <c r="H60" s="409" t="n"/>
      <c r="I60" s="409" t="n"/>
      <c r="J60" s="409" t="n"/>
      <c r="K60" s="409" t="n"/>
      <c r="L60" s="409" t="n"/>
    </row>
  </sheetData>
  <mergeCells count="1">
    <mergeCell ref="A1:D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13" min="1" max="1"/>
    <col width="46" customWidth="1" style="313" min="2" max="2"/>
    <col width="18" customWidth="1" style="313" min="3" max="4"/>
    <col width="22" customWidth="1" style="313" min="5" max="5"/>
    <col width="18" customWidth="1" style="313" min="6" max="6"/>
    <col width="22" customWidth="1" style="313" min="7" max="7"/>
    <col width="40" customWidth="1" style="313" min="8" max="8"/>
  </cols>
  <sheetData>
    <row r="1" ht="25.95" customHeight="1" s="313">
      <c r="A1" s="406" t="inlineStr">
        <is>
          <t>LOHITH — OWNER LEDGER &amp; PERSONAL BALANCE TRACKER</t>
        </is>
      </c>
    </row>
    <row r="3" ht="30" customHeight="1" s="313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n">
        <v>46225</v>
      </c>
      <c r="B45" s="232" t="inlineStr">
        <is>
          <t>Transfer-to-me (customer payment 22-Jul)</t>
        </is>
      </c>
      <c r="C45" s="232" t="inlineStr">
        <is>
          <t>Transfer Received</t>
        </is>
      </c>
      <c r="D45" s="232" t="n"/>
      <c r="E45" s="233" t="n">
        <v>260</v>
      </c>
      <c r="F45" s="233">
        <f>IFERROR(F44+D45-E45,0)</f>
        <v/>
      </c>
      <c r="G45" s="232" t="inlineStr">
        <is>
          <t>✅ Received</t>
        </is>
      </c>
      <c r="H45" s="232" t="inlineStr">
        <is>
          <t>Customer paid $260 by transfer to Lohith personal acct (22-Jul revenue; not the $95 that went to restaurant bank)</t>
        </is>
      </c>
    </row>
    <row r="46">
      <c r="A46" s="231" t="n">
        <v>46225</v>
      </c>
      <c r="B46" s="232" t="inlineStr">
        <is>
          <t>Pollo (paid by Lohith, 22-Jul)</t>
        </is>
      </c>
      <c r="C46" s="232" t="inlineStr">
        <is>
          <t>Expense - Personal</t>
        </is>
      </c>
      <c r="D46" s="232" t="n">
        <v>234</v>
      </c>
      <c r="E46" s="233" t="n"/>
      <c r="F46" s="233">
        <f>IFERROR(F45+D46-E46,0)</f>
        <v/>
      </c>
      <c r="G46" s="232" t="inlineStr">
        <is>
          <t>⏳ Reimburse</t>
        </is>
      </c>
      <c r="H46" s="232" t="inlineStr">
        <is>
          <t>Lohith pago $234 de pollo de su bolsillo (22-Jul). En Expenses paid=Lohith; excluido de la caja via cash_adjust.</t>
        </is>
      </c>
    </row>
    <row r="47">
      <c r="A47" s="439" t="n">
        <v>46230</v>
      </c>
      <c r="B47" s="232" t="inlineStr">
        <is>
          <t>Transfer-to-me (customer payment 27-Jul)</t>
        </is>
      </c>
      <c r="C47" s="232" t="inlineStr">
        <is>
          <t>Transfer Received</t>
        </is>
      </c>
      <c r="D47" s="232" t="n"/>
      <c r="E47" s="233" t="n">
        <v>700</v>
      </c>
      <c r="F47" s="233">
        <f>IFERROR(F46+D47-E47,0)</f>
        <v/>
      </c>
      <c r="G47" s="232" t="inlineStr">
        <is>
          <t>✅ Received</t>
        </is>
      </c>
      <c r="H47" s="232" t="inlineStr">
        <is>
          <t>Customer paid Lohith personal acct</t>
        </is>
      </c>
    </row>
    <row r="48">
      <c r="A48" s="439" t="n">
        <v>46231</v>
      </c>
      <c r="B48" s="232" t="inlineStr">
        <is>
          <t>Transfer-to-me (customer payment 28-Jul)</t>
        </is>
      </c>
      <c r="C48" s="232" t="inlineStr">
        <is>
          <t>Transfer Received</t>
        </is>
      </c>
      <c r="D48" s="232" t="n"/>
      <c r="E48" s="233" t="n">
        <v>130</v>
      </c>
      <c r="F48" s="233">
        <f>IFERROR(F47+D48-E48,0)</f>
        <v/>
      </c>
      <c r="G48" s="232" t="inlineStr">
        <is>
          <t>✅ Received</t>
        </is>
      </c>
      <c r="H48" s="232" t="inlineStr">
        <is>
          <t>Customer paid Lohith personal acct</t>
        </is>
      </c>
    </row>
    <row r="49">
      <c r="A49" s="439" t="n">
        <v>46231</v>
      </c>
      <c r="B49" s="232" t="inlineStr">
        <is>
          <t>Pollo $396 (paid by Lohith)</t>
        </is>
      </c>
      <c r="C49" s="232" t="inlineStr">
        <is>
          <t>Expense - Personal</t>
        </is>
      </c>
      <c r="D49" s="232" t="n">
        <v>396</v>
      </c>
      <c r="E49" s="233" t="n"/>
      <c r="F49" s="233">
        <f>IFERROR(F48+D49-E49,0)</f>
        <v/>
      </c>
      <c r="G49" s="232" t="inlineStr">
        <is>
          <t>⏳ Reimburse</t>
        </is>
      </c>
      <c r="H49" s="232" t="inlineStr">
        <is>
          <t>Fronted from own pocket; excluded from till via cash_adjust</t>
        </is>
      </c>
    </row>
    <row r="50">
      <c r="A50" s="439" t="inlineStr">
        <is>
          <t>TOTALS &amp; CURRENT BALANCE</t>
        </is>
      </c>
      <c r="B50" s="232" t="n"/>
      <c r="C50" s="232" t="n"/>
      <c r="D50" s="232">
        <f>SUM(D4:D49)</f>
        <v/>
      </c>
      <c r="E50" s="233">
        <f>SUM(E4:E49)</f>
        <v/>
      </c>
      <c r="F50" s="233">
        <f>F49</f>
        <v/>
      </c>
      <c r="G50" s="232">
        <f>IF(F49&gt;0,"Restaurant owes Lohith $"&amp;TEXT(F49,"#,##0"),IF(F49&lt;0,"Lohith holds $"&amp;TEXT(ABS(F49),"#,##0"),"Zero balance"))</f>
        <v/>
      </c>
      <c r="H50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2026-07-29T00:15:17Z</dcterms:modified>
  <cp:lastModifiedBy>LOHITH REDDY</cp:lastModifiedBy>
</cp:coreProperties>
</file>