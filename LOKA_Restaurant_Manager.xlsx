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9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397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17 Jun 2026  |  Capital, Acquisition, Pre-Opening &amp; Renovation CapEx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$8,235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A26" s="383" t="n"/>
      <c r="B26" s="393" t="inlineStr">
        <is>
          <t>Payment to Previous Owners — Jun 22</t>
        </is>
      </c>
      <c r="C26" s="394" t="n">
        <v>46195</v>
      </c>
      <c r="D26" s="395" t="n">
        <v>60000</v>
      </c>
      <c r="E26" s="396" t="inlineStr">
        <is>
          <t>Lohith Reddy</t>
        </is>
      </c>
      <c r="F26" s="396" t="inlineStr">
        <is>
          <t>✅ PAID</t>
        </is>
      </c>
      <c r="G26" s="393" t="inlineStr">
        <is>
          <t>Capital payment to previous owners — 22 Jun 2026</t>
        </is>
      </c>
    </row>
    <row r="27" ht="19.95" customHeight="1" s="278">
      <c r="B27" s="149" t="n"/>
      <c r="C27" s="180" t="n"/>
      <c r="D27" s="157" t="n"/>
      <c r="E27" s="172" t="n"/>
      <c r="F27" s="172" t="n"/>
      <c r="G27" s="149" t="n"/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$366,235 paid (Jun 3–22) − $15,530 electricity offset = $8,235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125000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>
        <f>REMAINING WITH ME</f>
        <v/>
      </c>
      <c r="D139" s="242">
        <f>D136-D137-D138</f>
        <v/>
      </c>
    </row>
    <row r="142">
      <c r="B142" s="247" t="n"/>
    </row>
    <row r="143">
      <c r="B143" s="189" t="n"/>
      <c r="C143" s="236" t="n"/>
      <c r="D143" s="191" t="n"/>
      <c r="E143" s="190" t="n"/>
      <c r="F143" s="190" t="n"/>
      <c r="G143" s="189" t="n"/>
    </row>
    <row r="144">
      <c r="B144" s="189" t="n"/>
      <c r="C144" s="236" t="n"/>
      <c r="D144" s="191" t="n"/>
      <c r="E144" s="190" t="n"/>
      <c r="F144" s="190" t="n"/>
      <c r="G144" s="189" t="n"/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</row>
    <row r="43" ht="16.5" customHeight="1" s="278">
      <c r="B43" s="385" t="n">
        <v>46195</v>
      </c>
      <c r="C43" s="256" t="inlineStr">
        <is>
          <t>Mon</t>
        </is>
      </c>
      <c r="D43" s="257" t="n">
        <v>2459</v>
      </c>
      <c r="E43" s="49" t="n">
        <v>1800</v>
      </c>
      <c r="F43" s="50">
        <f>IFERROR(D43+E43+G43,0)</f>
        <v/>
      </c>
      <c r="G43" s="258" t="n">
        <v>0</v>
      </c>
      <c r="H43" s="259">
        <f>SUMIFS('💸 Expenses'!$F$8:$F$500,'💸 Expenses'!$B$8:$B$500,"&gt;="&amp;B43,'💸 Expenses'!$B$8:$B$500,"&lt;"&amp;(B43+1))</f>
        <v/>
      </c>
      <c r="I43" s="260">
        <f>IFERROR(F43-H43,0)</f>
        <v/>
      </c>
      <c r="J43" s="261">
        <f>IFERROR(I43/F43,0)</f>
        <v/>
      </c>
      <c r="K43" s="255" t="n"/>
      <c r="L43" s="262" t="inlineStr">
        <is>
          <t>Cierre via loka.py</t>
        </is>
      </c>
      <c r="M43" s="21" t="n"/>
      <c r="N43" s="56" t="n"/>
      <c r="O43" s="57" t="n"/>
      <c r="P43" s="58" t="n"/>
      <c r="Q43" s="56" t="n"/>
    </row>
    <row r="44" ht="16.5" customHeight="1" s="278">
      <c r="B44" s="385" t="n">
        <v>46196</v>
      </c>
      <c r="C44" s="386" t="inlineStr">
        <is>
          <t>Tue</t>
        </is>
      </c>
      <c r="D44" s="387" t="n">
        <v>1452</v>
      </c>
      <c r="E44" s="37" t="n">
        <v>1515</v>
      </c>
      <c r="F44" s="38">
        <f>IFERROR(D44+E44+G44,0)</f>
        <v/>
      </c>
      <c r="G44" s="388" t="n">
        <v>0</v>
      </c>
      <c r="H44" s="389">
        <f>SUMIFS('💸 Expenses'!$F$8:$F$500,'💸 Expenses'!$B$8:$B$500,"&gt;="&amp;B44,'💸 Expenses'!$B$8:$B$500,"&lt;"&amp;(B44+1))</f>
        <v/>
      </c>
      <c r="I44" s="390">
        <f>IFERROR(F44-H44,0)</f>
        <v/>
      </c>
      <c r="J44" s="391">
        <f>IFERROR(I44/F44,0)</f>
        <v/>
      </c>
      <c r="K44" s="251" t="n"/>
      <c r="L44" s="392" t="inlineStr">
        <is>
          <t>Cierre via loka.py</t>
        </is>
      </c>
      <c r="M44" s="12" t="n"/>
      <c r="N44" s="44" t="n"/>
      <c r="O44" s="45" t="n"/>
      <c r="P44" s="46" t="n"/>
      <c r="Q44" s="44" t="n"/>
    </row>
    <row r="45" ht="16.5" customHeight="1" s="278">
      <c r="B45" s="385" t="n">
        <v>46197</v>
      </c>
      <c r="C45" s="256" t="inlineStr">
        <is>
          <t>Wed</t>
        </is>
      </c>
      <c r="D45" s="257" t="n">
        <v>1064</v>
      </c>
      <c r="E45" s="49" t="n">
        <v>2525</v>
      </c>
      <c r="F45" s="50">
        <f>IFERROR(D45+E45+G45,0)</f>
        <v/>
      </c>
      <c r="G45" s="258" t="n">
        <v>0</v>
      </c>
      <c r="H45" s="259">
        <f>SUMIFS('💸 Expenses'!$F$8:$F$500,'💸 Expenses'!$B$8:$B$500,"&gt;="&amp;B45,'💸 Expenses'!$B$8:$B$500,"&lt;"&amp;(B45+1))</f>
        <v/>
      </c>
      <c r="I45" s="260">
        <f>IFERROR(F45-H45,0)</f>
        <v/>
      </c>
      <c r="J45" s="261">
        <f>IFERROR(I45/F45,0)</f>
        <v/>
      </c>
      <c r="K45" s="255" t="n"/>
      <c r="L45" s="262" t="inlineStr">
        <is>
          <t>Cierre via loka.py</t>
        </is>
      </c>
      <c r="M45" s="21" t="n"/>
      <c r="N45" s="56" t="n"/>
      <c r="O45" s="57" t="n"/>
      <c r="P45" s="58" t="n"/>
      <c r="Q45" s="56" t="n"/>
    </row>
    <row r="46" ht="16.5" customHeight="1" s="278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8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8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8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8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8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8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8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8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8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8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8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382" t="n">
        <v>46195</v>
      </c>
      <c r="C324" s="252" t="inlineStr">
        <is>
          <t>Pollo: muslo 4.95kg, pechuga 3.32kg, milanesa 1.64kg, ala 1.74kg</t>
        </is>
      </c>
      <c r="D324" s="253" t="inlineStr">
        <is>
          <t>Polleria local</t>
        </is>
      </c>
      <c r="E324" s="252" t="inlineStr">
        <is>
          <t>Ingredients - Meat</t>
        </is>
      </c>
      <c r="F324" s="70" t="n">
        <v>940</v>
      </c>
      <c r="G324" s="254" t="inlineStr">
        <is>
          <t>Restaurant</t>
        </is>
      </c>
      <c r="H324" s="254" t="inlineStr">
        <is>
          <t>Cash</t>
        </is>
      </c>
      <c r="I324" s="255" t="inlineStr">
        <is>
          <t>✅ Paid</t>
        </is>
      </c>
      <c r="J324" s="383" t="inlineStr">
        <is>
          <t>Nota remision LOKA Cafe</t>
        </is>
      </c>
    </row>
    <row r="325">
      <c r="B325" s="382" t="n">
        <v>46195</v>
      </c>
      <c r="C325" s="248" t="inlineStr">
        <is>
          <t>Carne ~3 kg</t>
        </is>
      </c>
      <c r="D325" s="249" t="inlineStr">
        <is>
          <t>Miscelanea LC La Cruz</t>
        </is>
      </c>
      <c r="E325" s="248" t="inlineStr">
        <is>
          <t>Ingredients - Meat</t>
        </is>
      </c>
      <c r="F325" s="67" t="n">
        <v>291</v>
      </c>
      <c r="G325" s="250" t="inlineStr">
        <is>
          <t>Restaurant</t>
        </is>
      </c>
      <c r="H325" s="250" t="inlineStr">
        <is>
          <t>Card</t>
        </is>
      </c>
      <c r="I325" s="251" t="inlineStr">
        <is>
          <t>✅ Paid</t>
        </is>
      </c>
      <c r="J325" s="383" t="inlineStr">
        <is>
          <t>Getnet 3982 Aut 358593</t>
        </is>
      </c>
    </row>
    <row r="326">
      <c r="B326" s="382" t="n">
        <v>46195</v>
      </c>
      <c r="C326" s="252" t="inlineStr">
        <is>
          <t>Agua natural</t>
        </is>
      </c>
      <c r="D326" s="253" t="inlineStr">
        <is>
          <t>Local purchase</t>
        </is>
      </c>
      <c r="E326" s="252" t="inlineStr">
        <is>
          <t>Ingredients - Beverages</t>
        </is>
      </c>
      <c r="F326" s="70" t="n">
        <v>60</v>
      </c>
      <c r="G326" s="254" t="inlineStr">
        <is>
          <t>Restaurant</t>
        </is>
      </c>
      <c r="H326" s="254" t="inlineStr">
        <is>
          <t>Cash</t>
        </is>
      </c>
      <c r="I326" s="255" t="inlineStr">
        <is>
          <t>✅ Paid</t>
        </is>
      </c>
      <c r="J326" s="383" t="inlineStr">
        <is>
          <t>No receipt</t>
        </is>
      </c>
    </row>
    <row r="327">
      <c r="B327" s="382" t="n">
        <v>46195</v>
      </c>
      <c r="C327" s="248" t="inlineStr">
        <is>
          <t>Tortillas</t>
        </is>
      </c>
      <c r="D327" s="249" t="inlineStr">
        <is>
          <t>Local purchase</t>
        </is>
      </c>
      <c r="E327" s="248" t="inlineStr">
        <is>
          <t>Ingredients - Bread</t>
        </is>
      </c>
      <c r="F327" s="67" t="n">
        <v>26</v>
      </c>
      <c r="G327" s="250" t="inlineStr">
        <is>
          <t>Restaurant</t>
        </is>
      </c>
      <c r="H327" s="250" t="inlineStr">
        <is>
          <t>Cash</t>
        </is>
      </c>
      <c r="I327" s="251" t="inlineStr">
        <is>
          <t>✅ Paid</t>
        </is>
      </c>
      <c r="J327" s="383" t="inlineStr">
        <is>
          <t>No receipt</t>
        </is>
      </c>
    </row>
    <row r="328">
      <c r="B328" s="382" t="n">
        <v>46195</v>
      </c>
      <c r="C328" s="252" t="inlineStr">
        <is>
          <t>Pan dulces</t>
        </is>
      </c>
      <c r="D328" s="253" t="inlineStr">
        <is>
          <t>Local purchase</t>
        </is>
      </c>
      <c r="E328" s="252" t="inlineStr">
        <is>
          <t>Ingredients - Bread</t>
        </is>
      </c>
      <c r="F328" s="70" t="n">
        <v>134</v>
      </c>
      <c r="G328" s="254" t="inlineStr">
        <is>
          <t>Restaurant</t>
        </is>
      </c>
      <c r="H328" s="254" t="inlineStr">
        <is>
          <t>Cash</t>
        </is>
      </c>
      <c r="I328" s="255" t="inlineStr">
        <is>
          <t>✅ Paid</t>
        </is>
      </c>
      <c r="J328" s="383" t="inlineStr">
        <is>
          <t>No receipt</t>
        </is>
      </c>
    </row>
    <row r="329">
      <c r="B329" s="382" t="n">
        <v>46192</v>
      </c>
      <c r="C329" s="248" t="inlineStr">
        <is>
          <t>Panko (x2)</t>
        </is>
      </c>
      <c r="D329" s="249" t="inlineStr">
        <is>
          <t>Molino y Condimentos La Cruz</t>
        </is>
      </c>
      <c r="E329" s="248" t="inlineStr">
        <is>
          <t>Ingredients - Pantry</t>
        </is>
      </c>
      <c r="F329" s="67" t="n">
        <v>196</v>
      </c>
      <c r="G329" s="250" t="inlineStr">
        <is>
          <t>Restaurant</t>
        </is>
      </c>
      <c r="H329" s="250" t="inlineStr">
        <is>
          <t>Cash</t>
        </is>
      </c>
      <c r="I329" s="251" t="inlineStr">
        <is>
          <t>✅ Paid</t>
        </is>
      </c>
      <c r="J329" s="383" t="inlineStr">
        <is>
          <t>Nota 202067 back-dated 19 Jun; paid by another person, reimbursed by Lohith 22-Jun</t>
        </is>
      </c>
    </row>
    <row r="330">
      <c r="B330" s="382" t="n">
        <v>46192</v>
      </c>
      <c r="C330" s="252" t="inlineStr">
        <is>
          <t>Papel alimenticio (food paper)</t>
        </is>
      </c>
      <c r="D330" s="253" t="inlineStr">
        <is>
          <t>Guimar Polietilenos</t>
        </is>
      </c>
      <c r="E330" s="252" t="inlineStr">
        <is>
          <t>Packaging / Disposables</t>
        </is>
      </c>
      <c r="F330" s="70" t="n">
        <v>35</v>
      </c>
      <c r="G330" s="254" t="inlineStr">
        <is>
          <t>Restaurant</t>
        </is>
      </c>
      <c r="H330" s="254" t="inlineStr">
        <is>
          <t>Cash</t>
        </is>
      </c>
      <c r="I330" s="255" t="inlineStr">
        <is>
          <t>✅ Paid</t>
        </is>
      </c>
      <c r="J330" s="383" t="inlineStr">
        <is>
          <t>Folio XCC37706 back-dated 19 Jun; paid by another person, reimbursed by Lohith 22-Jun</t>
        </is>
      </c>
    </row>
    <row r="331">
      <c r="B331" s="382" t="n">
        <v>46196</v>
      </c>
      <c r="C331" s="248" t="inlineStr">
        <is>
          <t>Sushi ingredients: arroz para sushi + alga nori</t>
        </is>
      </c>
      <c r="D331" s="249" t="inlineStr">
        <is>
          <t>H-E-B</t>
        </is>
      </c>
      <c r="E331" s="248" t="inlineStr">
        <is>
          <t>Ingredients - Pantry</t>
        </is>
      </c>
      <c r="F331" s="67" t="n">
        <v>269.5</v>
      </c>
      <c r="G331" s="250" t="inlineStr">
        <is>
          <t>Restaurant</t>
        </is>
      </c>
      <c r="H331" s="250" t="inlineStr">
        <is>
          <t>Card</t>
        </is>
      </c>
      <c r="I331" s="251" t="inlineStr">
        <is>
          <t>✅ Paid</t>
        </is>
      </c>
      <c r="J331" s="383" t="inlineStr">
        <is>
          <t>CB PROSA 3982 Aut 766296 (part of 366 ticket)</t>
        </is>
      </c>
    </row>
    <row r="332">
      <c r="B332" s="382" t="n">
        <v>46196</v>
      </c>
      <c r="C332" s="252" t="inlineStr">
        <is>
          <t>Sushi supplies: makisu mat + palillos</t>
        </is>
      </c>
      <c r="D332" s="253" t="inlineStr">
        <is>
          <t>H-E-B</t>
        </is>
      </c>
      <c r="E332" s="252" t="inlineStr">
        <is>
          <t>Kitchen Supplies</t>
        </is>
      </c>
      <c r="F332" s="70" t="n">
        <v>96.5</v>
      </c>
      <c r="G332" s="254" t="inlineStr">
        <is>
          <t>Restaurant</t>
        </is>
      </c>
      <c r="H332" s="254" t="inlineStr">
        <is>
          <t>Card</t>
        </is>
      </c>
      <c r="I332" s="255" t="inlineStr">
        <is>
          <t>✅ Paid</t>
        </is>
      </c>
      <c r="J332" s="383" t="inlineStr">
        <is>
          <t>Part of 366 H-E-B ticket</t>
        </is>
      </c>
    </row>
    <row r="333">
      <c r="B333" s="382" t="n">
        <v>46196</v>
      </c>
      <c r="C333" s="248" t="inlineStr">
        <is>
          <t>Carne / meat (handwritten remision)</t>
        </is>
      </c>
      <c r="D333" s="249" t="inlineStr">
        <is>
          <t>Miscelanea LC La Cruz</t>
        </is>
      </c>
      <c r="E333" s="248" t="inlineStr">
        <is>
          <t>Ingredients - Meat</t>
        </is>
      </c>
      <c r="F333" s="67" t="n">
        <v>151</v>
      </c>
      <c r="G333" s="250" t="inlineStr">
        <is>
          <t>Restaurant</t>
        </is>
      </c>
      <c r="H333" s="250" t="inlineStr">
        <is>
          <t>Card</t>
        </is>
      </c>
      <c r="I333" s="251" t="inlineStr">
        <is>
          <t>✅ Paid</t>
        </is>
      </c>
      <c r="J333" s="383" t="inlineStr">
        <is>
          <t>Getnet 3982 Aut 993325</t>
        </is>
      </c>
    </row>
    <row r="334">
      <c r="B334" s="382" t="n">
        <v>46196</v>
      </c>
      <c r="C334" s="252" t="inlineStr">
        <is>
          <t>Hielo (ice)</t>
        </is>
      </c>
      <c r="D334" s="253" t="inlineStr">
        <is>
          <t>Local purchase</t>
        </is>
      </c>
      <c r="E334" s="252" t="inlineStr">
        <is>
          <t>Ingredients - Beverages</t>
        </is>
      </c>
      <c r="F334" s="70" t="n">
        <v>150</v>
      </c>
      <c r="G334" s="254" t="inlineStr">
        <is>
          <t>Restaurant</t>
        </is>
      </c>
      <c r="H334" s="254" t="inlineStr">
        <is>
          <t>Cash</t>
        </is>
      </c>
      <c r="I334" s="255" t="inlineStr">
        <is>
          <t>✅ Paid</t>
        </is>
      </c>
      <c r="J334" s="383" t="inlineStr">
        <is>
          <t>No bill</t>
        </is>
      </c>
    </row>
    <row r="335">
      <c r="B335" s="382" t="n">
        <v>46196</v>
      </c>
      <c r="C335" s="248" t="inlineStr">
        <is>
          <t>Pan molido (breadcrumbs)</t>
        </is>
      </c>
      <c r="D335" s="249" t="inlineStr">
        <is>
          <t>Local purchase</t>
        </is>
      </c>
      <c r="E335" s="248" t="inlineStr">
        <is>
          <t>Ingredients - Pantry</t>
        </is>
      </c>
      <c r="F335" s="67" t="n">
        <v>46</v>
      </c>
      <c r="G335" s="250" t="inlineStr">
        <is>
          <t>Restaurant</t>
        </is>
      </c>
      <c r="H335" s="250" t="inlineStr">
        <is>
          <t>Cash</t>
        </is>
      </c>
      <c r="I335" s="251" t="inlineStr">
        <is>
          <t>✅ Paid</t>
        </is>
      </c>
      <c r="J335" s="383" t="inlineStr">
        <is>
          <t>No bill</t>
        </is>
      </c>
    </row>
    <row r="336">
      <c r="B336" s="382" t="n">
        <v>46196</v>
      </c>
      <c r="C336" s="252" t="inlineStr">
        <is>
          <t>Tortillas blanca 3.395 kg</t>
        </is>
      </c>
      <c r="D336" s="253" t="inlineStr">
        <is>
          <t>Chedraui Selecto</t>
        </is>
      </c>
      <c r="E336" s="252" t="inlineStr">
        <is>
          <t>Ingredients - Bread</t>
        </is>
      </c>
      <c r="F336" s="70" t="n">
        <v>44.13</v>
      </c>
      <c r="G336" s="254" t="inlineStr">
        <is>
          <t>Restaurant</t>
        </is>
      </c>
      <c r="H336" s="254" t="inlineStr">
        <is>
          <t>Card</t>
        </is>
      </c>
      <c r="I336" s="255" t="inlineStr">
        <is>
          <t>✅ Paid</t>
        </is>
      </c>
      <c r="J336" s="383" t="inlineStr">
        <is>
          <t>Debito BBVA 3982 Aut 651338 Folio 2606230937026818</t>
        </is>
      </c>
    </row>
    <row r="337">
      <c r="B337" s="382" t="n">
        <v>46197</v>
      </c>
      <c r="C337" s="248" t="inlineStr">
        <is>
          <t>Queso crema Lala 190g x2</t>
        </is>
      </c>
      <c r="D337" s="249" t="inlineStr">
        <is>
          <t>Chedraui Paseo</t>
        </is>
      </c>
      <c r="E337" s="248" t="inlineStr">
        <is>
          <t>Ingredients - Dairy</t>
        </is>
      </c>
      <c r="F337" s="67" t="n">
        <v>72</v>
      </c>
      <c r="G337" s="250" t="inlineStr">
        <is>
          <t>Restaurant</t>
        </is>
      </c>
      <c r="H337" s="250" t="inlineStr">
        <is>
          <t>Card</t>
        </is>
      </c>
      <c r="I337" s="251" t="inlineStr">
        <is>
          <t>✅ Paid</t>
        </is>
      </c>
      <c r="J337" s="383" t="inlineStr">
        <is>
          <t>Debito BBVA 3982; Chedraui Paseo ticket total 126.33 (crema+tortillas), dairy portion</t>
        </is>
      </c>
    </row>
    <row r="338">
      <c r="B338" s="382" t="n">
        <v>46197</v>
      </c>
      <c r="C338" s="252" t="inlineStr">
        <is>
          <t>Tortillas blancas x2</t>
        </is>
      </c>
      <c r="D338" s="253" t="inlineStr">
        <is>
          <t>Chedraui Paseo</t>
        </is>
      </c>
      <c r="E338" s="252" t="inlineStr">
        <is>
          <t>Ingredients - Bread</t>
        </is>
      </c>
      <c r="F338" s="70" t="n">
        <v>54.33</v>
      </c>
      <c r="G338" s="254" t="inlineStr">
        <is>
          <t>Restaurant</t>
        </is>
      </c>
      <c r="H338" s="254" t="inlineStr">
        <is>
          <t>Card</t>
        </is>
      </c>
      <c r="I338" s="255" t="inlineStr">
        <is>
          <t>✅ Paid</t>
        </is>
      </c>
      <c r="J338" s="383" t="inlineStr">
        <is>
          <t>Debito BBVA 3982; same Chedraui ticket, bread portion</t>
        </is>
      </c>
    </row>
    <row r="339">
      <c r="B339" s="382" t="n">
        <v>46197</v>
      </c>
      <c r="C339" s="248" t="inlineStr">
        <is>
          <t>Crema acida x2</t>
        </is>
      </c>
      <c r="D339" s="249" t="inlineStr">
        <is>
          <t>Sam's Club</t>
        </is>
      </c>
      <c r="E339" s="248" t="inlineStr">
        <is>
          <t>Ingredients - Dairy</t>
        </is>
      </c>
      <c r="F339" s="67" t="n">
        <v>479.84</v>
      </c>
      <c r="G339" s="250" t="inlineStr">
        <is>
          <t>Restaurant</t>
        </is>
      </c>
      <c r="H339" s="250" t="inlineStr">
        <is>
          <t>Card</t>
        </is>
      </c>
      <c r="I339" s="251" t="inlineStr">
        <is>
          <t>✅ Paid</t>
        </is>
      </c>
      <c r="J339" s="383" t="inlineStr">
        <is>
          <t>Debito Mastercard **82; Sam's ticket 1512.00 net of cuponera -32.73 + descuento -34.77; dairy portion of split</t>
        </is>
      </c>
    </row>
    <row r="340">
      <c r="B340" s="382" t="n">
        <v>46197</v>
      </c>
      <c r="C340" s="252" t="inlineStr">
        <is>
          <t>Condimix 3.6, Mayo Real, Arroz Morel</t>
        </is>
      </c>
      <c r="D340" s="253" t="inlineStr">
        <is>
          <t>Sam's Club</t>
        </is>
      </c>
      <c r="E340" s="252" t="inlineStr">
        <is>
          <t>Ingredients - Pantry</t>
        </is>
      </c>
      <c r="F340" s="70" t="n">
        <v>1032.16</v>
      </c>
      <c r="G340" s="254" t="inlineStr">
        <is>
          <t>Restaurant</t>
        </is>
      </c>
      <c r="H340" s="254" t="inlineStr">
        <is>
          <t>Card</t>
        </is>
      </c>
      <c r="I340" s="255" t="inlineStr">
        <is>
          <t>✅ Paid</t>
        </is>
      </c>
      <c r="J340" s="383" t="inlineStr">
        <is>
          <t>Debito Mastercard **82; pantry portion of 1512.00 Sam's ticket</t>
        </is>
      </c>
    </row>
    <row r="341">
      <c r="B341" s="382" t="n">
        <v>46197</v>
      </c>
      <c r="C341" s="248" t="inlineStr">
        <is>
          <t>Gas LP</t>
        </is>
      </c>
      <c r="D341" s="249" t="inlineStr">
        <is>
          <t>Gas Tomza de Mexico</t>
        </is>
      </c>
      <c r="E341" s="248" t="inlineStr">
        <is>
          <t>Utilities / Gas</t>
        </is>
      </c>
      <c r="F341" s="67" t="n">
        <v>1499.52</v>
      </c>
      <c r="G341" s="250" t="inlineStr">
        <is>
          <t>Restaurant</t>
        </is>
      </c>
      <c r="H341" s="250" t="inlineStr">
        <is>
          <t>Cash</t>
        </is>
      </c>
      <c r="I341" s="251" t="inlineStr">
        <is>
          <t>✅ Paid</t>
        </is>
      </c>
      <c r="J341" s="383" t="inlineStr">
        <is>
          <t>Remision 8900 @ $10.58/L IVA incl; pague antes 25/06; paid cash</t>
        </is>
      </c>
    </row>
    <row r="342">
      <c r="B342" s="382" t="n">
        <v>46197</v>
      </c>
      <c r="C342" s="252" t="inlineStr">
        <is>
          <t>Filete de salmon 1.03 kg @ 350/kg</t>
        </is>
      </c>
      <c r="D342" s="253" t="inlineStr">
        <is>
          <t>Brisa del Mar</t>
        </is>
      </c>
      <c r="E342" s="252" t="inlineStr">
        <is>
          <t>Ingredients - Meat &amp; Fish</t>
        </is>
      </c>
      <c r="F342" s="70" t="n">
        <v>360.5</v>
      </c>
      <c r="G342" s="254" t="inlineStr">
        <is>
          <t>Restaurant</t>
        </is>
      </c>
      <c r="H342" s="254" t="inlineStr">
        <is>
          <t>Cash</t>
        </is>
      </c>
      <c r="I342" s="255" t="inlineStr">
        <is>
          <t>✅ Paid</t>
        </is>
      </c>
      <c r="J342" s="383" t="inlineStr">
        <is>
          <t>Contado; NT 027672</t>
        </is>
      </c>
    </row>
    <row r="343">
      <c r="B343" s="382" t="n">
        <v>46197</v>
      </c>
      <c r="C343" s="248" t="inlineStr">
        <is>
          <t>Naranjada 1L x6</t>
        </is>
      </c>
      <c r="D343" s="249" t="inlineStr">
        <is>
          <t>Casa Reca</t>
        </is>
      </c>
      <c r="E343" s="248" t="inlineStr">
        <is>
          <t>Ingredients - Beverages</t>
        </is>
      </c>
      <c r="F343" s="67" t="n">
        <v>150</v>
      </c>
      <c r="G343" s="250" t="inlineStr">
        <is>
          <t>Restaurant</t>
        </is>
      </c>
      <c r="H343" s="250" t="inlineStr">
        <is>
          <t>Cash</t>
        </is>
      </c>
      <c r="I343" s="251" t="inlineStr">
        <is>
          <t>✅ Paid</t>
        </is>
      </c>
      <c r="J343" s="383" t="inlineStr">
        <is>
          <t>Nota QR-37; 6 pzas; canje CJ-4 (horchata/naranjada/tamarindo) $0; paid cash</t>
        </is>
      </c>
    </row>
    <row r="344">
      <c r="B344" s="382" t="n">
        <v>46197</v>
      </c>
      <c r="C344" s="252" t="inlineStr">
        <is>
          <t>Papas (potatoes)</t>
        </is>
      </c>
      <c r="D344" s="253" t="inlineStr">
        <is>
          <t>Local purchase</t>
        </is>
      </c>
      <c r="E344" s="252" t="inlineStr">
        <is>
          <t>Ingredients - Vegetables</t>
        </is>
      </c>
      <c r="F344" s="70" t="n">
        <v>133</v>
      </c>
      <c r="G344" s="254" t="inlineStr">
        <is>
          <t>Restaurant</t>
        </is>
      </c>
      <c r="H344" s="254" t="inlineStr">
        <is>
          <t>Cash</t>
        </is>
      </c>
      <c r="I344" s="255" t="inlineStr">
        <is>
          <t>✅ Paid</t>
        </is>
      </c>
      <c r="J344" s="383" t="inlineStr">
        <is>
          <t>No bill</t>
        </is>
      </c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9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4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4" t="n"/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4" t="n"/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4" t="n"/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4" t="n"/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74" t="n"/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4" t="n"/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4" t="n"/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4" t="n"/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4" t="n"/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4" t="n"/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4" t="n"/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Staff - Salary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4" t="n"/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Ingredients - Meat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4" t="n"/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Rent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4" t="n"/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Pantry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4" t="n"/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Vegetables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4" t="n"/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Beverages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4" t="n"/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4" t="n"/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Supermarket / General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4" t="n"/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Maintenance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4" t="n"/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Supplies / Other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4" t="n"/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Ingredients - Bread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4" t="n"/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4" t="n"/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4" t="n"/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Utilities / Gas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4" t="n"/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Software / Subscription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4" t="n"/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Ingredients - Other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4" t="n"/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Staff - Advance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4" t="n"/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Utilities / Internet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4" t="n"/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Packaging / Disposables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4" t="n"/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Kitchen Supplies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4" t="n"/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Ingredients - Desserts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4" t="n"/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Staff - Propinas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4" t="n"/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Ingredients - Eggs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4" t="n"/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Office Supplies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4" t="n"/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80" t="inlineStr">
        <is>
          <t>Ingredients - Produce</t>
        </is>
      </c>
      <c r="B41" s="378">
        <f>SUMIFS('💸 Expenses'!$F$8:$F$500,'💸 Expenses'!$E$8:$E$500,$A41,'💸 Expenses'!$B$8:$B$500,"&gt;="&amp;DATE(2026,5,1),'💸 Expenses'!$B$8:$B$500,"&lt;"&amp;DATE(2026,6,1))</f>
        <v/>
      </c>
      <c r="C41" s="378">
        <f>SUMIFS('💸 Expenses'!$F$8:$F$500,'💸 Expenses'!$E$8:$E$500,$A41,'💸 Expenses'!$B$8:$B$500,"&gt;="&amp;DATE(2026,6,1),'💸 Expenses'!$B$8:$B$500,"&lt;"&amp;DATE(2026,7,1))</f>
        <v/>
      </c>
      <c r="D41" s="374" t="n"/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77" t="inlineStr">
        <is>
          <t>TOTAL EXPENSES</t>
        </is>
      </c>
      <c r="B42" s="379">
        <f>SUMIFS('💸 Expenses'!$F$8:$F$500,'💸 Expenses'!$B$8:$B$500,"&gt;="&amp;DATE(2026,5,1),'💸 Expenses'!$B$8:$B$500,"&lt;"&amp;DATE(2026,6,1))</f>
        <v/>
      </c>
      <c r="C42" s="379">
        <f>SUMIFS('💸 Expenses'!$F$8:$F$500,'💸 Expenses'!$B$8:$B$500,"&gt;="&amp;DATE(2026,6,1),'💸 Expenses'!$B$8:$B$500,"&lt;"&amp;DATE(2026,7,1))</f>
        <v/>
      </c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77" t="inlineStr">
        <is>
          <t>NET PROFIT / LOSS</t>
        </is>
      </c>
      <c r="B43" s="379">
        <f>B4-B42</f>
        <v/>
      </c>
      <c r="C43" s="379">
        <f>C4-C42</f>
        <v/>
      </c>
      <c r="D43" s="374" t="n"/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4" t="n"/>
      <c r="B44" s="374" t="n"/>
      <c r="C44" s="374" t="n"/>
      <c r="D44" s="374" t="n"/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4" t="n"/>
      <c r="B45" s="374" t="n"/>
      <c r="C45" s="374" t="n"/>
      <c r="D45" s="374" t="n"/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C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inlineStr">
        <is>
          <t>TOTALS &amp; CURRENT BALANCE</t>
        </is>
      </c>
      <c r="B26" s="232" t="n"/>
      <c r="C26" s="232" t="n"/>
      <c r="D26" s="232">
        <f>SUM(D4:D25)</f>
        <v/>
      </c>
      <c r="E26" s="233">
        <f>SUM(E4:E25)</f>
        <v/>
      </c>
      <c r="F26" s="233">
        <f>F25</f>
        <v/>
      </c>
      <c r="G26" s="232">
        <f>IF(F25&gt;0,"Restaurant owes Lohith $"&amp;TEXT(F25,"#,##0"),IF(F25&lt;0,"Lohith holds $"&amp;TEXT(ABS(F25),"#,##0"),"Zero balance"))</f>
        <v/>
      </c>
      <c r="H26" s="232" t="n"/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2026-06-24T23:35:53Z</dcterms:modified>
  <cp:lastModifiedBy>LOHITH REDDY</cp:lastModifiedBy>
</cp:coreProperties>
</file>