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86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</fonts>
  <fills count="52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</borders>
  <cellStyleXfs count="1">
    <xf numFmtId="0" fontId="0" fillId="0" borderId="0"/>
  </cellStyleXfs>
  <cellXfs count="356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4" t="inlineStr">
        <is>
          <t>18-May-2026</t>
        </is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 t="n">
        <v>2629</v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4" t="inlineStr">
        <is>
          <t>19-May-2026</t>
        </is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 t="n">
        <v>30</v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4" t="inlineStr">
        <is>
          <t>20-May-2026</t>
        </is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 t="n">
        <v>3777</v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4" t="inlineStr">
        <is>
          <t>21-May-2026</t>
        </is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 t="n">
        <v>2434</v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4" t="inlineStr">
        <is>
          <t>22-May-2026</t>
        </is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 t="n">
        <v>1457</v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4" t="inlineStr">
        <is>
          <t>23-May-2026</t>
        </is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 t="n">
        <v>7755.43</v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4" t="inlineStr">
        <is>
          <t>24-May-2026</t>
        </is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 t="n">
        <v>1076</v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4" t="inlineStr">
        <is>
          <t>25-May-2026</t>
        </is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 t="n">
        <v>3021.45</v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4" t="inlineStr">
        <is>
          <t>26-May-2026</t>
        </is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 t="n">
        <v>1191.6</v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4" t="inlineStr">
        <is>
          <t>27-May-2026</t>
        </is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 t="n">
        <v>1073.22</v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4" t="inlineStr">
        <is>
          <t>28-May-2026</t>
        </is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 t="n">
        <v>1931.34</v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4" t="inlineStr">
        <is>
          <t>29-May-2026</t>
        </is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 t="n">
        <v>257.29</v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4" t="inlineStr">
        <is>
          <t>30-May-2026</t>
        </is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 t="n">
        <v>5974.3</v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4" t="inlineStr">
        <is>
          <t>31-May-2026</t>
        </is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 t="n">
        <v>312</v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4" t="inlineStr">
        <is>
          <t>01-Jun-2026</t>
        </is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 t="n">
        <v>5329.64</v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4" t="inlineStr">
        <is>
          <t>02-Jun-2026</t>
        </is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 t="n">
        <v>2379.11</v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4" t="inlineStr">
        <is>
          <t>03-Jun-2026</t>
        </is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 t="n">
        <v>4033.86</v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4" t="inlineStr">
        <is>
          <t>04-Jun-2026</t>
        </is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 t="n">
        <v>20959.96</v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4" t="inlineStr">
        <is>
          <t>05-Jun-2026</t>
        </is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 t="n">
        <v>878.0599999999999</v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4" t="inlineStr">
        <is>
          <t>06-Jun-2026</t>
        </is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 t="n">
        <v>5414</v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4" t="inlineStr">
        <is>
          <t>07-Jun-2026</t>
        </is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 t="n">
        <v>1671</v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4" t="inlineStr">
        <is>
          <t>08-Jun-2026</t>
        </is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 t="n">
        <v>3187.11</v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4" t="inlineStr">
        <is>
          <t>09-Jun-2026</t>
        </is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 t="n">
        <v>6623.98</v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4" t="inlineStr">
        <is>
          <t>10-Jun-2026</t>
        </is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 t="n">
        <v>1341.81</v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4" t="inlineStr">
        <is>
          <t>11-Jun-2026</t>
        </is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 t="n">
        <v>4044</v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4" t="inlineStr">
        <is>
          <t>12-Jun-2026</t>
        </is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 t="n">
        <v>901.8</v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4" t="inlineStr">
        <is>
          <t>13-Jun-2026</t>
        </is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 t="n">
        <v>8084.16</v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4" t="inlineStr">
        <is>
          <t>14-Jun-2026</t>
        </is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 t="n">
        <v>1526.18</v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4" t="inlineStr">
        <is>
          <t>15-Jun-2026</t>
        </is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 t="n">
        <v>2578.08</v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4" t="n"/>
      <c r="C37" s="47" t="n"/>
      <c r="D37" s="48" t="n"/>
      <c r="E37" s="49" t="n"/>
      <c r="F37" s="50" t="n"/>
      <c r="G37" s="51" t="n"/>
      <c r="H37" s="52" t="n"/>
      <c r="I37" s="53" t="n"/>
      <c r="J37" s="54" t="n"/>
      <c r="K37" s="55" t="n"/>
      <c r="L37" s="18" t="n"/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/>
      <c r="C272" s="69" t="n"/>
      <c r="D272" s="68" t="n"/>
      <c r="E272" s="69" t="n"/>
      <c r="F272" s="70" t="n"/>
      <c r="G272" s="23" t="n"/>
      <c r="H272" s="23" t="n"/>
      <c r="I272" s="55" t="n"/>
    </row>
    <row r="273">
      <c r="B273" s="64" t="n"/>
      <c r="C273" s="65" t="n"/>
      <c r="D273" s="66" t="n"/>
      <c r="E273" s="65" t="n"/>
      <c r="F273" s="67" t="n"/>
      <c r="G273" s="14" t="n"/>
      <c r="H273" s="14" t="n"/>
      <c r="I273" s="43" t="n"/>
    </row>
    <row r="274">
      <c r="B274" s="64" t="n"/>
      <c r="C274" s="69" t="n"/>
      <c r="D274" s="68" t="n"/>
      <c r="E274" s="69" t="n"/>
      <c r="F274" s="70" t="n"/>
      <c r="G274" s="23" t="n"/>
      <c r="H274" s="23" t="n"/>
      <c r="I274" s="55" t="n"/>
    </row>
    <row r="275">
      <c r="B275" s="64" t="n"/>
      <c r="C275" s="65" t="n"/>
      <c r="D275" s="66" t="n"/>
      <c r="E275" s="65" t="n"/>
      <c r="F275" s="67" t="n"/>
      <c r="G275" s="14" t="n"/>
      <c r="H275" s="14" t="n"/>
      <c r="I275" s="43" t="n"/>
    </row>
    <row r="276">
      <c r="B276" s="64" t="n"/>
      <c r="C276" s="69" t="n"/>
      <c r="D276" s="68" t="n"/>
      <c r="E276" s="69" t="n"/>
      <c r="F276" s="70" t="n"/>
      <c r="G276" s="23" t="n"/>
      <c r="H276" s="23" t="n"/>
      <c r="I276" s="55" t="n"/>
    </row>
    <row r="277">
      <c r="B277" s="64" t="n"/>
      <c r="C277" s="65" t="n"/>
      <c r="D277" s="66" t="n"/>
      <c r="E277" s="65" t="n"/>
      <c r="F277" s="67" t="n"/>
      <c r="G277" s="14" t="n"/>
      <c r="H277" s="14" t="n"/>
      <c r="I277" s="43" t="n"/>
    </row>
    <row r="278">
      <c r="B278" s="64" t="n"/>
      <c r="C278" s="69" t="n"/>
      <c r="D278" s="68" t="n"/>
      <c r="E278" s="69" t="n"/>
      <c r="F278" s="70" t="n"/>
      <c r="G278" s="23" t="n"/>
      <c r="H278" s="23" t="n"/>
      <c r="I278" s="55" t="n"/>
    </row>
    <row r="279">
      <c r="B279" s="64" t="n"/>
      <c r="C279" s="65" t="n"/>
      <c r="D279" s="66" t="n"/>
      <c r="E279" s="65" t="n"/>
      <c r="F279" s="67" t="n"/>
      <c r="G279" s="14" t="n"/>
      <c r="H279" s="14" t="n"/>
      <c r="I279" s="43" t="n"/>
    </row>
    <row r="280">
      <c r="B280" s="64" t="n"/>
      <c r="C280" s="69" t="n"/>
      <c r="D280" s="68" t="n"/>
      <c r="E280" s="69" t="n"/>
      <c r="F280" s="70" t="n"/>
      <c r="G280" s="23" t="n"/>
      <c r="H280" s="23" t="n"/>
      <c r="I280" s="55" t="n"/>
    </row>
    <row r="281">
      <c r="B281" s="64" t="n"/>
      <c r="C281" s="65" t="n"/>
      <c r="D281" s="66" t="n"/>
      <c r="E281" s="65" t="n"/>
      <c r="F281" s="67" t="n"/>
      <c r="G281" s="14" t="n"/>
      <c r="H281" s="14" t="n"/>
      <c r="I281" s="43" t="n"/>
    </row>
    <row r="282">
      <c r="B282" s="64" t="n"/>
      <c r="C282" s="69" t="n"/>
      <c r="D282" s="68" t="n"/>
      <c r="E282" s="69" t="n"/>
      <c r="F282" s="70" t="n"/>
      <c r="G282" s="23" t="n"/>
      <c r="H282" s="23" t="n"/>
      <c r="I282" s="55" t="n"/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05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With Cesar + Samu (✅ ACTIVE from 9 Jun)</t>
        </is>
      </c>
      <c r="B45" s="227" t="n">
        <v>14050</v>
      </c>
      <c r="C45" s="227" t="n">
        <v>23750</v>
      </c>
      <c r="D45" s="227" t="n">
        <v>24550</v>
      </c>
      <c r="E45" s="227" t="n">
        <v>4092</v>
      </c>
      <c r="F45" s="227" t="inlineStr">
        <is>
          <t>✅ NOW ACTIVE — current avg $4,011/day vs break-even $3,959/day</t>
        </is>
      </c>
      <c r="G45" s="227" t="inlineStr">
        <is>
          <t>✅ Cesar $2,000 + Samu $800 — break-even $4,092/day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s="218" t="inlineStr">
        <is>
          <t>── LOHITH PERSONAL LEDGER — OWNER BALANCE TRACKER ──</t>
        </is>
      </c>
      <c r="B61" s="218" t="n"/>
      <c r="C61" s="218" t="n"/>
      <c r="D61" s="218" t="n"/>
      <c r="E61" s="218" t="n"/>
      <c r="F61" s="218" t="n"/>
      <c r="G61" s="218" t="n"/>
      <c r="H61" s="218" t="n"/>
    </row>
    <row r="62">
      <c r="A62" s="219" t="inlineStr">
        <is>
          <t>Date</t>
        </is>
      </c>
      <c r="B62" s="219" t="inlineStr">
        <is>
          <t>Description</t>
        </is>
      </c>
      <c r="C62" s="219" t="inlineStr">
        <is>
          <t>Type</t>
        </is>
      </c>
      <c r="D62" s="219" t="inlineStr">
        <is>
          <t>Spent by Lohith ($)</t>
        </is>
      </c>
      <c r="E62" s="219" t="inlineStr">
        <is>
          <t>Transferred to Lohith ($)</t>
        </is>
      </c>
      <c r="F62" s="219" t="inlineStr">
        <is>
          <t>Running Balance ($)</t>
        </is>
      </c>
      <c r="G62" s="219" t="inlineStr">
        <is>
          <t>Status</t>
        </is>
      </c>
      <c r="H62" s="219" t="inlineStr">
        <is>
          <t>Notes</t>
        </is>
      </c>
    </row>
    <row r="63">
      <c r="A63" s="243" t="n">
        <v>46174</v>
      </c>
      <c r="B63" s="244" t="inlineStr">
        <is>
          <t>Telmex Internet Bill (Mayo)</t>
        </is>
      </c>
      <c r="C63" s="245" t="inlineStr">
        <is>
          <t>Expense - Personal</t>
        </is>
      </c>
      <c r="D63" s="246" t="n">
        <v>349</v>
      </c>
      <c r="E63" s="247" t="n"/>
      <c r="F63" s="248">
        <f>IFERROR(D63-E63,0)</f>
        <v/>
      </c>
      <c r="G63" s="244" t="inlineStr">
        <is>
          <t>⏳ Reimburse</t>
        </is>
      </c>
      <c r="H63" s="249" t="inlineStr">
        <is>
          <t>Paid by Lohith — ⏳ Reimburse</t>
        </is>
      </c>
    </row>
    <row r="64">
      <c r="A64" s="250" t="n">
        <v>46174</v>
      </c>
      <c r="B64" s="227" t="inlineStr">
        <is>
          <t>Customer Transfer — Jun 1</t>
        </is>
      </c>
      <c r="C64" s="251" t="inlineStr">
        <is>
          <t>Transfer Received</t>
        </is>
      </c>
      <c r="D64" s="231" t="n"/>
      <c r="E64" s="230" t="n">
        <v>310</v>
      </c>
      <c r="F64" s="228">
        <f>IFERROR(F63+D64-E64,0)</f>
        <v/>
      </c>
      <c r="G64" s="227" t="inlineStr">
        <is>
          <t>✅</t>
        </is>
      </c>
      <c r="H64" s="252" t="inlineStr">
        <is>
          <t>✅ Received in Lohith account</t>
        </is>
      </c>
    </row>
    <row r="65">
      <c r="A65" s="250" t="n">
        <v>46175</v>
      </c>
      <c r="B65" s="227" t="inlineStr">
        <is>
          <t>Customer Transfer — Jun 2</t>
        </is>
      </c>
      <c r="C65" s="251" t="inlineStr">
        <is>
          <t>Transfer Received</t>
        </is>
      </c>
      <c r="D65" s="231" t="n"/>
      <c r="E65" s="230" t="n">
        <v>283</v>
      </c>
      <c r="F65" s="228">
        <f>IFERROR(F64+D65-E65,0)</f>
        <v/>
      </c>
      <c r="G65" s="227" t="inlineStr">
        <is>
          <t>✅</t>
        </is>
      </c>
      <c r="H65" s="252" t="inlineStr">
        <is>
          <t>✅ Received in Lohith account</t>
        </is>
      </c>
    </row>
    <row r="66">
      <c r="A66" s="250" t="n">
        <v>46176</v>
      </c>
      <c r="B66" s="227" t="inlineStr">
        <is>
          <t>Customer Transfer — Jun 3</t>
        </is>
      </c>
      <c r="C66" s="251" t="inlineStr">
        <is>
          <t>Transfer Received</t>
        </is>
      </c>
      <c r="D66" s="231" t="n"/>
      <c r="E66" s="230" t="n">
        <v>120</v>
      </c>
      <c r="F66" s="228">
        <f>IFERROR(F65+D66-E66,0)</f>
        <v/>
      </c>
      <c r="G66" s="227" t="inlineStr">
        <is>
          <t>✅</t>
        </is>
      </c>
      <c r="H66" s="252" t="inlineStr">
        <is>
          <t>✅ Received in Lohith account</t>
        </is>
      </c>
    </row>
    <row r="67">
      <c r="A67" s="243" t="n">
        <v>46177</v>
      </c>
      <c r="B67" s="244" t="inlineStr">
        <is>
          <t>Personal expenses — Huevos, Ajonjoli, Verduras</t>
        </is>
      </c>
      <c r="C67" s="245" t="inlineStr">
        <is>
          <t>Expense - Personal</t>
        </is>
      </c>
      <c r="D67" s="246" t="n">
        <v>358</v>
      </c>
      <c r="E67" s="247" t="n"/>
      <c r="F67" s="248">
        <f>IFERROR(F66+D67-E67,0)</f>
        <v/>
      </c>
      <c r="G67" s="244" t="inlineStr">
        <is>
          <t>⏳ Reimburse</t>
        </is>
      </c>
      <c r="H67" s="249" t="inlineStr">
        <is>
          <t>$69 Huevos + $44 Ajonjoli Blanco + $45 Ajonjoli Negro + $200 Verduras</t>
        </is>
      </c>
    </row>
    <row r="68">
      <c r="A68" s="253" t="n">
        <v>46177</v>
      </c>
      <c r="B68" s="232" t="inlineStr">
        <is>
          <t>Cash settlement — $6 added to restaurant</t>
        </is>
      </c>
      <c r="C68" s="254" t="inlineStr">
        <is>
          <t>Expense - Personal</t>
        </is>
      </c>
      <c r="D68" s="236" t="n">
        <v>6</v>
      </c>
      <c r="E68" s="235" t="n"/>
      <c r="F68" s="233">
        <f>IFERROR(F67+D68-E68,0)</f>
        <v/>
      </c>
      <c r="G68" s="232" t="inlineStr">
        <is>
          <t>✅ Settled</t>
        </is>
      </c>
      <c r="H68" s="255" t="inlineStr">
        <is>
          <t>Lohith added $6 cash to restaurant — balance now ZERO</t>
        </is>
      </c>
    </row>
    <row r="69">
      <c r="A69" s="250" t="n">
        <v>46178</v>
      </c>
      <c r="B69" s="227" t="inlineStr">
        <is>
          <t>Customer Transfer — Jun 5</t>
        </is>
      </c>
      <c r="C69" s="251" t="inlineStr">
        <is>
          <t>Transfer Received</t>
        </is>
      </c>
      <c r="D69" s="231" t="n"/>
      <c r="E69" s="230" t="n">
        <v>135</v>
      </c>
      <c r="F69" s="228">
        <f>IFERROR(F68+D69-E69,0)</f>
        <v/>
      </c>
      <c r="G69" s="227" t="inlineStr">
        <is>
          <t>✅ Received</t>
        </is>
      </c>
      <c r="H69" s="252" t="inlineStr">
        <is>
          <t>✅ Received in Lohith account — Jun 5</t>
        </is>
      </c>
    </row>
    <row r="70">
      <c r="A70" s="243" t="n">
        <v>46177</v>
      </c>
      <c r="B70" s="244" t="inlineStr">
        <is>
          <t>Renta + Mantenimiento Junio 2026</t>
        </is>
      </c>
      <c r="C70" s="245" t="inlineStr">
        <is>
          <t>Expense - Personal</t>
        </is>
      </c>
      <c r="D70" s="246" t="n">
        <v>20000</v>
      </c>
      <c r="E70" s="247" t="n"/>
      <c r="F70" s="248">
        <f>IFERROR(F69+D70-E70,0)</f>
        <v/>
      </c>
      <c r="G70" s="244" t="inlineStr">
        <is>
          <t>⏳ Reimburse</t>
        </is>
      </c>
      <c r="H70" s="249" t="inlineStr">
        <is>
          <t>Rent $15,000 + Maintenance $5,000 — paid personally by Lohith on 4 Jun</t>
        </is>
      </c>
    </row>
    <row r="71">
      <c r="A71" s="250" t="n">
        <v>46181</v>
      </c>
      <c r="B71" s="227" t="inlineStr">
        <is>
          <t>Customer Transfer — Jun 8</t>
        </is>
      </c>
      <c r="C71" s="251" t="inlineStr">
        <is>
          <t>Transfer Received</t>
        </is>
      </c>
      <c r="D71" s="231" t="n"/>
      <c r="E71" s="230" t="n">
        <v>99</v>
      </c>
      <c r="F71" s="228">
        <f>IFERROR(F70+D71-E71,0)</f>
        <v/>
      </c>
      <c r="G71" s="227" t="inlineStr">
        <is>
          <t>✅ Received</t>
        </is>
      </c>
      <c r="H71" s="252" t="inlineStr">
        <is>
          <t>✅ Received in Lohith account — Jun 8</t>
        </is>
      </c>
    </row>
    <row r="72">
      <c r="A72" s="265" t="n">
        <v>46183</v>
      </c>
      <c r="B72" s="266" t="inlineStr">
        <is>
          <t>Chedraui Paseo — Groceries (elote, chile, tomate, tortillas, bolillo)</t>
        </is>
      </c>
      <c r="C72" s="267" t="inlineStr">
        <is>
          <t>Expense - Personal</t>
        </is>
      </c>
      <c r="D72" s="268" t="n">
        <v>236.81</v>
      </c>
      <c r="F72" s="269">
        <f>IFERROR(F71+D72-E72,0)</f>
        <v/>
      </c>
      <c r="G72" s="266" t="inlineStr">
        <is>
          <t>⏳ Reimburse</t>
        </is>
      </c>
      <c r="H72" s="242" t="inlineStr">
        <is>
          <t>Paid personally by Lohith — HSBC **5543</t>
        </is>
      </c>
    </row>
    <row r="73">
      <c r="A73" s="265" t="n">
        <v>46183</v>
      </c>
      <c r="B73" s="266" t="inlineStr">
        <is>
          <t>Office Depot — Comanda Restaurante</t>
        </is>
      </c>
      <c r="C73" s="267" t="inlineStr">
        <is>
          <t>Expense - Personal</t>
        </is>
      </c>
      <c r="D73" s="268" t="n">
        <v>59</v>
      </c>
      <c r="F73" s="269">
        <f>IFERROR(F72+D73-E73,0)</f>
        <v/>
      </c>
      <c r="G73" s="266" t="inlineStr">
        <is>
          <t>⏳ Reimburse</t>
        </is>
      </c>
      <c r="H73" s="242" t="inlineStr">
        <is>
          <t>Paid personally by Lohith — MC **5543</t>
        </is>
      </c>
    </row>
    <row r="74">
      <c r="A74" s="265" t="n">
        <v>46184</v>
      </c>
      <c r="B74" s="266" t="inlineStr">
        <is>
          <t>ALICO — Ala de Pollo, Papa Harvest 13.62kg, Boneless Freskecito</t>
        </is>
      </c>
      <c r="C74" s="267" t="inlineStr">
        <is>
          <t>Expense - Personal</t>
        </is>
      </c>
      <c r="D74" s="268" t="n">
        <v>2865</v>
      </c>
      <c r="F74" s="269">
        <f>IFERROR(F73+D74-E74,0)</f>
        <v/>
      </c>
      <c r="G74" s="266" t="inlineStr">
        <is>
          <t>⏳ Reimburse</t>
        </is>
      </c>
      <c r="H74" s="242" t="inlineStr">
        <is>
          <t>Restaurant ingredients paid personally by Lohith (transfer) — 11 Jun</t>
        </is>
      </c>
    </row>
    <row r="75">
      <c r="A75" s="265" t="n">
        <v>46184</v>
      </c>
      <c r="B75" s="266" t="inlineStr">
        <is>
          <t>Pollería — Muslo de Pollo 4.70 kg</t>
        </is>
      </c>
      <c r="C75" s="267" t="inlineStr">
        <is>
          <t>Expense - Personal</t>
        </is>
      </c>
      <c r="D75" s="268" t="n">
        <v>235</v>
      </c>
      <c r="F75" s="269">
        <f>IFERROR(F74+D75-E75,0)</f>
        <v/>
      </c>
      <c r="G75" s="266" t="inlineStr">
        <is>
          <t>⏳ Reimburse</t>
        </is>
      </c>
      <c r="H75" s="242" t="inlineStr">
        <is>
          <t>Restaurant ingredients paid personally by Lohith (transfer) — 11 Jun</t>
        </is>
      </c>
    </row>
    <row r="76">
      <c r="A76" s="265" t="n">
        <v>46188</v>
      </c>
      <c r="B76" s="266" t="inlineStr">
        <is>
          <t>Chedraui — Tortillas, Bolillo, Rosca de Nuez</t>
        </is>
      </c>
      <c r="C76" s="267" t="inlineStr">
        <is>
          <t>Expense - Personal</t>
        </is>
      </c>
      <c r="D76" s="268" t="n">
        <v>160.33</v>
      </c>
      <c r="F76" s="269">
        <f>IFERROR(F75+D76-E76,0)</f>
        <v/>
      </c>
      <c r="G76" s="266" t="inlineStr">
        <is>
          <t>⏳ Reimburse</t>
        </is>
      </c>
      <c r="H76" s="242" t="inlineStr">
        <is>
          <t>HSBC **5543 — paid by Lohith 15 Jun</t>
        </is>
      </c>
    </row>
    <row r="77">
      <c r="A77" s="265" t="n">
        <v>46188</v>
      </c>
      <c r="B77" s="266" t="inlineStr">
        <is>
          <t>OXXO Pathe — Aceite Vegetal (2)</t>
        </is>
      </c>
      <c r="C77" s="267" t="inlineStr">
        <is>
          <t>Expense - Personal</t>
        </is>
      </c>
      <c r="D77" s="268" t="n">
        <v>104</v>
      </c>
      <c r="F77" s="269">
        <f>IFERROR(F76+D77-E77,0)</f>
        <v/>
      </c>
      <c r="G77" s="266" t="inlineStr">
        <is>
          <t>⏳ Reimburse</t>
        </is>
      </c>
      <c r="H77" s="242" t="inlineStr">
        <is>
          <t>HSBC **5543 — paid by Lohith 15 Jun</t>
        </is>
      </c>
    </row>
    <row r="78">
      <c r="A78" s="265" t="n">
        <v>46188</v>
      </c>
      <c r="B78" s="266" t="inlineStr">
        <is>
          <t>Miscelánea LC — Ribeye, Chuleta, Bistec</t>
        </is>
      </c>
      <c r="C78" s="267" t="inlineStr">
        <is>
          <t>Expense - Personal</t>
        </is>
      </c>
      <c r="D78" s="268" t="n">
        <v>1015</v>
      </c>
      <c r="F78" s="269">
        <f>IFERROR(F77+D78-E78,0)</f>
        <v/>
      </c>
      <c r="G78" s="266" t="inlineStr">
        <is>
          <t>⏳ Reimburse</t>
        </is>
      </c>
      <c r="H78" s="242" t="inlineStr">
        <is>
          <t>HSBC **5543 — paid by Lohith 15 Jun</t>
        </is>
      </c>
    </row>
    <row r="79">
      <c r="A79" s="265" t="n">
        <v>46188</v>
      </c>
      <c r="B79" s="266" t="inlineStr">
        <is>
          <t>Transfer from Restaurant account</t>
        </is>
      </c>
      <c r="C79" s="267" t="inlineStr">
        <is>
          <t>Reimbursement</t>
        </is>
      </c>
      <c r="E79" t="n">
        <v>3162</v>
      </c>
      <c r="F79" s="269">
        <f>IFERROR(F78+D79-E79,0)</f>
        <v/>
      </c>
      <c r="G79" s="266" t="inlineStr">
        <is>
          <t>✅ Received</t>
        </is>
      </c>
      <c r="H79" s="242" t="inlineStr">
        <is>
          <t>Bank transfer to Lohith</t>
        </is>
      </c>
    </row>
    <row r="80">
      <c r="A80" s="265" t="n">
        <v>46188</v>
      </c>
      <c r="B80" s="266" t="inlineStr">
        <is>
          <t>15 Jun card expenses reimbursed (Chedraui+OXXO+Miscelánea)</t>
        </is>
      </c>
      <c r="C80" s="267" t="inlineStr">
        <is>
          <t>Reimbursement</t>
        </is>
      </c>
      <c r="E80" t="n">
        <v>1279.33</v>
      </c>
      <c r="F80" s="269">
        <f>IFERROR(F79+D80-E80,0)</f>
        <v/>
      </c>
      <c r="G80" s="266" t="inlineStr">
        <is>
          <t>✅ Received</t>
        </is>
      </c>
      <c r="H80" s="242" t="inlineStr">
        <is>
          <t>HSBC **5543 items repaid same day</t>
        </is>
      </c>
    </row>
    <row r="81">
      <c r="A81" s="226" t="inlineStr">
        <is>
          <t>TOTALS &amp; CURRENT BALANCE</t>
        </is>
      </c>
      <c r="B81" s="219" t="n"/>
      <c r="C81" s="219" t="n"/>
      <c r="D81" s="256">
        <f>SUM(D63:D80)</f>
        <v/>
      </c>
      <c r="E81" s="257">
        <f>SUM(E63:E80)</f>
        <v/>
      </c>
      <c r="F81" s="258">
        <f>F80</f>
        <v/>
      </c>
      <c r="G81" s="226">
        <f>IF(F80&gt;0,"⏳ Restaurant owes Lohith $"&amp;TEXT(F80,"#,##0"),IF(F80&lt;0,"💵 Lohith holds $"&amp;TEXT(ABS(F80),"#,##0"),"✅ Zero balance"))</f>
        <v/>
      </c>
    </row>
    <row r="83">
      <c r="A83" s="242" t="inlineStr">
        <is>
          <t>HOW TO USE:</t>
        </is>
      </c>
      <c r="B83" s="242" t="n"/>
      <c r="C83" s="242" t="n"/>
      <c r="D83" s="242" t="n"/>
      <c r="E83" s="242" t="n"/>
      <c r="F83" s="242" t="n"/>
      <c r="G83" s="242" t="n"/>
      <c r="H83" s="242" t="n"/>
    </row>
    <row r="84">
      <c r="A84" s="242" t="inlineStr">
        <is>
          <t>Add new rows above TOTALS. Spent by Lohith = restaurant expenses he paid personally.</t>
        </is>
      </c>
      <c r="B84" s="242" t="n"/>
      <c r="C84" s="242" t="n"/>
      <c r="D84" s="242" t="n"/>
      <c r="E84" s="242" t="n"/>
      <c r="F84" s="242" t="n"/>
      <c r="G84" s="242" t="n"/>
      <c r="H84" s="242" t="n"/>
    </row>
    <row r="85">
      <c r="A85" s="242" t="inlineStr">
        <is>
          <t>Transferred to Lohith = customer bank transfers received in his personal account.</t>
        </is>
      </c>
      <c r="B85" s="242" t="n"/>
      <c r="C85" s="242" t="n"/>
      <c r="D85" s="242" t="n"/>
      <c r="E85" s="242" t="n"/>
      <c r="F85" s="242" t="n"/>
      <c r="G85" s="242" t="n"/>
      <c r="H85" s="242" t="n"/>
    </row>
    <row r="86">
      <c r="A86" s="242" t="inlineStr">
        <is>
          <t>Positive balance = restaurant owes Lohith. Negative = Lohith holds restaurant funds.</t>
        </is>
      </c>
      <c r="B86" s="242" t="n"/>
      <c r="C86" s="242" t="n"/>
      <c r="D86" s="242" t="n"/>
      <c r="E86" s="242" t="n"/>
      <c r="F86" s="242" t="n"/>
      <c r="G86" s="242" t="n"/>
      <c r="H86" s="242" t="n"/>
    </row>
    <row r="89">
      <c r="A89" t="inlineStr">
        <is>
          <t>── PROPINAS / TIPS PASS-THROUGH (NOT income, NOT expense) ──</t>
        </is>
      </c>
    </row>
    <row r="90">
      <c r="A90" t="inlineStr">
        <is>
          <t>Date</t>
        </is>
      </c>
      <c r="B90" t="inlineStr">
        <is>
          <t>Paid To</t>
        </is>
      </c>
      <c r="D90" t="inlineStr">
        <is>
          <t>Amount</t>
        </is>
      </c>
    </row>
    <row r="91">
      <c r="A91" s="355" t="n">
        <v>46165</v>
      </c>
      <c r="B91" t="inlineStr">
        <is>
          <t>John (6 dias)</t>
        </is>
      </c>
      <c r="D91" s="354" t="n">
        <v>515</v>
      </c>
    </row>
    <row r="92">
      <c r="A92" s="355" t="n">
        <v>46165</v>
      </c>
      <c r="B92" t="inlineStr">
        <is>
          <t>Debi (6 dias)</t>
        </is>
      </c>
      <c r="D92" s="354" t="n">
        <v>515</v>
      </c>
    </row>
    <row r="93">
      <c r="A93" s="355" t="n">
        <v>46165</v>
      </c>
      <c r="B93" t="inlineStr">
        <is>
          <t>Victor (2 dias)</t>
        </is>
      </c>
      <c r="D93" s="354" t="n">
        <v>168</v>
      </c>
    </row>
    <row r="94">
      <c r="A94" s="355" t="n">
        <v>46174</v>
      </c>
      <c r="B94" t="inlineStr">
        <is>
          <t>John (Week 2)</t>
        </is>
      </c>
      <c r="D94" s="354" t="n">
        <v>350</v>
      </c>
    </row>
    <row r="95">
      <c r="A95" s="355" t="n">
        <v>46174</v>
      </c>
      <c r="B95" t="inlineStr">
        <is>
          <t>Duvi/Debi (Week 2)</t>
        </is>
      </c>
      <c r="D95" s="354" t="n">
        <v>350</v>
      </c>
    </row>
    <row r="96">
      <c r="A96" s="355" t="n">
        <v>46186</v>
      </c>
      <c r="B96" t="inlineStr">
        <is>
          <t>John (Week 4)</t>
        </is>
      </c>
      <c r="D96" s="354" t="n">
        <v>200</v>
      </c>
    </row>
    <row r="97">
      <c r="A97" s="355" t="n">
        <v>46186</v>
      </c>
      <c r="B97" t="inlineStr">
        <is>
          <t>Duvi/Debi (Week 4)</t>
        </is>
      </c>
      <c r="D97" s="354" t="n">
        <v>200</v>
      </c>
    </row>
    <row r="98">
      <c r="A98" s="355" t="n">
        <v>46186</v>
      </c>
      <c r="B98" t="inlineStr">
        <is>
          <t>Cesar (Week 4)</t>
        </is>
      </c>
      <c r="D98" s="354" t="n">
        <v>126</v>
      </c>
    </row>
    <row r="99">
      <c r="A99" s="355" t="n">
        <v>46186</v>
      </c>
      <c r="B99" t="inlineStr">
        <is>
          <t>Samu (Week 4)</t>
        </is>
      </c>
      <c r="D99" s="354" t="n">
        <v>126</v>
      </c>
    </row>
    <row r="100">
      <c r="B100" t="inlineStr">
        <is>
          <t>TOTAL TIPS PASSED THROUGH</t>
        </is>
      </c>
      <c r="D100" s="354">
        <f>SUM(D91:D99)</f>
        <v/>
      </c>
    </row>
    <row r="101">
      <c r="A101" t="inlineStr">
        <is>
          <t>Customer tips collected &amp; handed to staff. Excluded from P&amp;L — nets to zero (received = paid).</t>
        </is>
      </c>
    </row>
    <row r="102">
      <c r="A102" t="inlineStr">
        <is>
          <t>── CASH RECONCILIATION (15 Jun 2026) ──</t>
        </is>
      </c>
    </row>
    <row r="103">
      <c r="A103" t="inlineStr">
        <is>
          <t>Actual restaurant cash on hand</t>
        </is>
      </c>
      <c r="D103" s="354" t="n">
        <v>20283</v>
      </c>
    </row>
    <row r="104">
      <c r="A104" t="inlineStr">
        <is>
          <t>Adjustment: restaurant cash added to tips + Mercado Pago commission (vs running estimate)</t>
        </is>
      </c>
      <c r="D104" s="354" t="n">
        <v>-165</v>
      </c>
    </row>
    <row r="105">
      <c r="A105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2026-06-16T02:46:37Z</dcterms:modified>
  <cp:lastModifiedBy>LOHITH REDDY</cp:lastModifiedBy>
</cp:coreProperties>
</file>