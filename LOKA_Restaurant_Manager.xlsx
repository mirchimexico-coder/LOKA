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7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19"/>
  </cellStyleXfs>
  <cellXfs count="382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$68,235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B26" s="149" t="n"/>
      <c r="C26" s="180" t="n"/>
      <c r="D26" s="157" t="n"/>
      <c r="E26" s="172" t="n"/>
      <c r="F26" s="172" t="n"/>
      <c r="G26" s="149" t="n"/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$306,235 paid (Jun 3-19) − $15,530 electricity offset = $68,235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($385,000 BALANCE DUE)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Advance Credited ($)</t>
        </is>
      </c>
      <c r="F105" s="170" t="inlineStr">
        <is>
          <t>Balance Owed to Prev. Owners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D14</f>
        <v/>
      </c>
      <c r="F106" s="161">
        <f>D106-E106</f>
        <v/>
      </c>
      <c r="G106" s="139" t="inlineStr">
        <is>
          <t>⏳ Pending — $134,500 balance outstanding</t>
        </is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 t="n">
        <v>0</v>
      </c>
      <c r="F107" s="163">
        <f>D107-E107</f>
        <v/>
      </c>
      <c r="G107" s="141" t="inlineStr">
        <is>
          <t>⏳ Pending — $134,500 balance outstanding</t>
        </is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 t="n">
        <v>0</v>
      </c>
      <c r="F108" s="161">
        <f>D108-E108</f>
        <v/>
      </c>
      <c r="G108" s="139" t="inlineStr">
        <is>
          <t>⏳ Pending — $134,500 balance outstanding</t>
        </is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+ Jun 19 $50,735)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8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8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8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8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8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8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8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Pantry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Supermarket / General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Maintenance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Supplies / Other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Ingredients - Other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Staff - Advance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Utilities / Internet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Ingredients - Desserts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Staff - Propinas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Ingredients - Produce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77" t="inlineStr">
        <is>
          <t>TOTAL EXPENSES</t>
        </is>
      </c>
      <c r="B36" s="379">
        <f>SUMIFS('💸 Expenses'!$F$8:$F$500,'💸 Expenses'!$B$8:$B$500,"&gt;="&amp;DATE(2026,5,1),'💸 Expenses'!$B$8:$B$500,"&lt;"&amp;DATE(2026,6,1))</f>
        <v/>
      </c>
      <c r="C36" s="379">
        <f>SUMIFS('💸 Expenses'!$F$8:$F$500,'💸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77" t="inlineStr">
        <is>
          <t>NET PROFIT / LOSS</t>
        </is>
      </c>
      <c r="B37" s="379">
        <f>B4-B36</f>
        <v/>
      </c>
      <c r="C37" s="379">
        <f>C4-C36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74" t="n"/>
      <c r="B38" s="374" t="n"/>
      <c r="C38" s="374" t="n"/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74" t="n"/>
      <c r="B39" s="374" t="n"/>
      <c r="C39" s="374" t="n"/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74" t="n"/>
      <c r="B40" s="374" t="n"/>
      <c r="C40" s="374" t="n"/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74" t="n"/>
      <c r="B41" s="374" t="n"/>
      <c r="C41" s="374" t="n"/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4" t="n"/>
      <c r="B42" s="374" t="n"/>
      <c r="C42" s="374" t="n"/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4" t="n"/>
      <c r="B43" s="374" t="n"/>
      <c r="C43" s="374" t="n"/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inlineStr">
        <is>
          <t>TOTALS &amp; CURRENT BALANCE</t>
        </is>
      </c>
      <c r="B26" s="232" t="n"/>
      <c r="C26" s="232" t="n"/>
      <c r="D26" s="232">
        <f>SUM(D4:D25)</f>
        <v/>
      </c>
      <c r="E26" s="233">
        <f>SUM(E4:E25)</f>
        <v/>
      </c>
      <c r="F26" s="233">
        <f>F25</f>
        <v/>
      </c>
      <c r="G26" s="232">
        <f>IF(F25&gt;0,"Restaurant owes Lohith $"&amp;TEXT(F25,"#,##0"),IF(F25&lt;0,"Lohith holds $"&amp;TEXT(ABS(F25),"#,##0"),"Zero balance"))</f>
        <v/>
      </c>
      <c r="H26" s="232" t="n"/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2026-06-21T21:31:24Z</dcterms:modified>
  <cp:lastModifiedBy>LOHITH REDDY</cp:lastModifiedBy>
</cp:coreProperties>
</file>