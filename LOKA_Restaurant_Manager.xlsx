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34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101" fillId="0" borderId="0" pivotButton="0" quotePrefix="0" xfId="0"/>
    <xf numFmtId="175" fontId="101" fillId="0" borderId="0" pivotButton="0" quotePrefix="0" xfId="0"/>
    <xf numFmtId="0" fontId="98" fillId="0" borderId="0" pivotButton="0" quotePrefix="0" xfId="0"/>
    <xf numFmtId="175" fontId="98" fillId="0" borderId="0" pivotButton="0" quotePrefix="0" xfId="0"/>
    <xf numFmtId="0" fontId="97" fillId="0" borderId="0" pivotButton="0" quotePrefix="0" xfId="0"/>
    <xf numFmtId="175" fontId="97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inlineStr">
        <is>
          <t>Additional License Costs</t>
        </is>
      </c>
      <c r="C62" s="423" t="n">
        <v>46223</v>
      </c>
      <c r="D62" s="424" t="n">
        <v>2300</v>
      </c>
      <c r="E62" s="425" t="inlineStr">
        <is>
          <t>Gov / License</t>
        </is>
      </c>
      <c r="F62" s="425" t="inlineStr">
        <is>
          <t>Legal / License</t>
        </is>
      </c>
      <c r="G62" s="426" t="inlineStr">
        <is>
          <t>Additional license fees — paid by Lohith (from pooled partner capital)</t>
        </is>
      </c>
    </row>
    <row r="63" ht="19.95" customHeight="1" s="313">
      <c r="B63" s="237" t="inlineStr">
        <is>
          <t>Coffee board + flyers, visiting cards</t>
        </is>
      </c>
      <c r="C63" s="423" t="n">
        <v>46223</v>
      </c>
      <c r="D63" s="424" t="n">
        <v>2620</v>
      </c>
      <c r="E63" s="425" t="inlineStr">
        <is>
          <t>Print Shop</t>
        </is>
      </c>
      <c r="F63" s="425" t="inlineStr">
        <is>
          <t>Branding / Printing</t>
        </is>
      </c>
      <c r="G63" s="426" t="inlineStr">
        <is>
          <t>Coffee menu board, flyers, visiting cards — paid by Lohith (from pooled partner capital)</t>
        </is>
      </c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16727.81</v>
      </c>
      <c r="E147" s="286" t="inlineStr">
        <is>
          <t>Advance from capital-funded operating costs; repaid from operating cash: $20,000 (21-Jul) + $2,587 (22-Jul). Net advance still owed = $16,727.81.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  <row r="149">
      <c r="B149" s="432" t="inlineStr">
        <is>
          <t xml:space="preserve">  &gt;&gt; Repaid to Capital from operating cash</t>
        </is>
      </c>
      <c r="C149" s="433" t="n">
        <v>-22587</v>
      </c>
      <c r="E149" t="inlineStr">
        <is>
          <t>21-Jul $20,000 + 22-Jul $2,587 = $22,587 repaid from restaurant operating cash. Reduces advance owed &amp; Cash-on-Hand; NOT a P&amp;L expense.</t>
        </is>
      </c>
    </row>
    <row r="150">
      <c r="B150" s="427" t="inlineStr">
        <is>
          <t xml:space="preserve">  L.  POOLED CAPITAL POSITION  (single $600k pot — reconciles fully)</t>
        </is>
      </c>
    </row>
    <row r="151">
      <c r="B151" s="428" t="inlineStr">
        <is>
          <t>Line Item</t>
        </is>
      </c>
      <c r="C151" s="428" t="inlineStr">
        <is>
          <t>Amount ($)</t>
        </is>
      </c>
      <c r="E151" s="428" t="inlineStr">
        <is>
          <t>Notes</t>
        </is>
      </c>
    </row>
    <row r="152">
      <c r="B152" s="428" t="inlineStr">
        <is>
          <t>POOLED COMMITTED BUDGET</t>
        </is>
      </c>
      <c r="C152" s="429">
        <f>SUM(D6:D8)</f>
        <v/>
      </c>
      <c r="E152" t="inlineStr">
        <is>
          <t>Lohith 300k + Kashi 180k + Shashi 120k</t>
        </is>
      </c>
    </row>
    <row r="153">
      <c r="B153" s="428" t="inlineStr">
        <is>
          <t>CAPITAL DEPLOYED (spent / committed out):</t>
        </is>
      </c>
    </row>
    <row r="154">
      <c r="B154" s="430" t="inlineStr">
        <is>
          <t xml:space="preserve">   Acquisition — paid to previous owners</t>
        </is>
      </c>
      <c r="C154" s="431">
        <f>SUM(D14:D30)</f>
        <v/>
      </c>
      <c r="E154" t="inlineStr">
        <is>
          <t>of $390k (incl $15,530 CFE offset); incl $5k advance</t>
        </is>
      </c>
    </row>
    <row r="155">
      <c r="B155" s="430" t="inlineStr">
        <is>
          <t xml:space="preserve">   Lohith pre-opening (excl. $5k advance)</t>
        </is>
      </c>
      <c r="C155" s="431">
        <f>D67-D56</f>
        <v/>
      </c>
      <c r="E155" t="inlineStr">
        <is>
          <t>Notary, poliza, licenses, branding (advance is in acq. above)</t>
        </is>
      </c>
    </row>
    <row r="156">
      <c r="B156" s="430" t="inlineStr">
        <is>
          <t xml:space="preserve">   Kashigoud — direct ops</t>
        </is>
      </c>
      <c r="C156" s="431">
        <f>SUM(D43:D51)</f>
        <v/>
      </c>
      <c r="E156" t="inlineStr">
        <is>
          <t>Soft license + MP terminal + cameras (his card)</t>
        </is>
      </c>
    </row>
    <row r="157">
      <c r="B157" s="430" t="inlineStr">
        <is>
          <t xml:space="preserve">   Shashirekha — direct expenses</t>
        </is>
      </c>
      <c r="C157" s="431">
        <f>SUM(D72:D81)</f>
        <v/>
      </c>
      <c r="E157" t="inlineStr">
        <is>
          <t>Signage, Temu, menus (net of reimb.)</t>
        </is>
      </c>
    </row>
    <row r="158">
      <c r="B158" s="430" t="inlineStr">
        <is>
          <t xml:space="preserve">   Renovation / post-opening CapEx</t>
        </is>
      </c>
      <c r="C158" s="431">
        <f>D129</f>
        <v/>
      </c>
      <c r="E158" t="inlineStr">
        <is>
          <t>Section I</t>
        </is>
      </c>
    </row>
    <row r="159">
      <c r="B159" s="430" t="inlineStr">
        <is>
          <t xml:space="preserve">   Operating costs funded from capital</t>
        </is>
      </c>
      <c r="C159" s="431">
        <f>C147</f>
        <v/>
      </c>
      <c r="E159" t="inlineStr">
        <is>
          <t>Rent-from-capital + owner-ledger settlement (Section K)</t>
        </is>
      </c>
    </row>
    <row r="160">
      <c r="B160" s="428" t="inlineStr">
        <is>
          <t>TOTAL CAPITAL DEPLOYED</t>
        </is>
      </c>
      <c r="C160" s="429">
        <f>SUM(C154:C159)</f>
        <v/>
      </c>
      <c r="E160" t="inlineStr">
        <is>
          <t>Money spent OR committed out of the pool</t>
        </is>
      </c>
    </row>
    <row r="161">
      <c r="B161" s="428" t="inlineStr">
        <is>
          <t>CAPITAL STILL AVAILABLE:</t>
        </is>
      </c>
    </row>
    <row r="162">
      <c r="B162" s="430" t="inlineStr">
        <is>
          <t xml:space="preserve">   Cash still WITH Lohith (Section J)</t>
        </is>
      </c>
      <c r="C162" s="431">
        <f>D140</f>
        <v/>
      </c>
      <c r="E162" t="inlineStr">
        <is>
          <t>Undeployed capital physically in Lohith’s hands</t>
        </is>
      </c>
    </row>
    <row r="163">
      <c r="B163" s="430" t="inlineStr">
        <is>
          <t xml:space="preserve">   Kashigoud still to TRANSFER IN</t>
        </is>
      </c>
      <c r="C163" s="431">
        <f>F100</f>
        <v/>
      </c>
      <c r="E163" t="inlineStr">
        <is>
          <t>Committed $180k not yet fully sent</t>
        </is>
      </c>
    </row>
    <row r="164">
      <c r="B164" s="430" t="inlineStr">
        <is>
          <t xml:space="preserve">   Shashirekha still to TRANSFER IN</t>
        </is>
      </c>
      <c r="C164" s="431">
        <f>F101</f>
        <v/>
      </c>
      <c r="E164" t="inlineStr">
        <is>
          <t>~0 (fully deployed)</t>
        </is>
      </c>
    </row>
    <row r="165">
      <c r="B165" s="428" t="inlineStr">
        <is>
          <t>TOTAL CAPITAL AVAILABLE</t>
        </is>
      </c>
      <c r="C165" s="429">
        <f>C162+C163+C164</f>
        <v/>
      </c>
      <c r="E165" t="inlineStr">
        <is>
          <t>With Lohith + still to come in</t>
        </is>
      </c>
    </row>
    <row r="166">
      <c r="B166" s="428" t="inlineStr">
        <is>
          <t>CHECK: Deployed + Available</t>
        </is>
      </c>
      <c r="C166" s="429">
        <f>C160+C165</f>
        <v/>
      </c>
      <c r="E166" t="inlineStr">
        <is>
          <t>MUST equal $600,000</t>
        </is>
      </c>
    </row>
    <row r="167">
      <c r="B167" s="428" t="n"/>
    </row>
    <row r="168">
      <c r="B168" s="430" t="n"/>
      <c r="C168" s="431" t="n"/>
    </row>
    <row r="169">
      <c r="B169" s="430" t="n"/>
      <c r="C169" s="431" t="n"/>
    </row>
    <row r="170">
      <c r="B170" s="430" t="n"/>
      <c r="C170" s="431" t="n"/>
    </row>
    <row r="171">
      <c r="B171" s="428" t="n"/>
      <c r="C171" s="429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SUMIFS($D$8:$D$5000,$B$8:$B$5000,TODAY())+SUMIFS($E$8:$E$5000,$B$8:$B$5000,TODAY())+SUMIFS($G$8:$G$5000,$B$8:$B$5000,TODAY())</f>
        <v/>
      </c>
      <c r="G6" s="31">
        <f>SUMIFS($G$8:$G$5000,$B$8:$B$5000,TODAY())</f>
        <v/>
      </c>
      <c r="H6" s="28">
        <f>SUMIFS($H$8:$H$5000,$B$8:$B$5000,TODAY())</f>
        <v>5348.83</v>
      </c>
      <c r="I6" s="32">
        <f>F6-H6</f>
        <v>-1273.83</v>
      </c>
      <c r="J6">
        <f>IFERROR(I6/F6,0)</f>
        <v>-0.312596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/>
      </c>
      <c r="N6" s="33">
        <f>SUMPRODUCT((ISNUMBER($B$8:$B$5000))*($B$8:$B$5000&gt;=TODAY()-MOD(TODAY()-2,7))*($B$8:$B$5000&lt;TODAY()-MOD(TODAY()-2,7)+7)*IF(ISNUMBER($F$8:$F$5000),$F$8:$F$5000,0))</f>
        <v/>
      </c>
      <c r="O6" s="33">
        <f>SUMPRODUCT((ISNUMBER($B$8:$B$5000))*(MONTH($B$8:$B$5000)=MONTH(TODAY()))*(YEAR($B$8:$B$5000)=YEAR(TODAY()))*IF(ISNUMBER($F$8:$F$5000),$F$8:$F$5000,0))</f>
        <v/>
      </c>
      <c r="P6">
        <f>SUMPRODUCT((ISNUMBER($B$8:$B$5000))*($B$8:$B$5000&gt;=TODAY()-MOD(TODAY()-2,7))*($B$8:$B$5000&lt;TODAY()-MOD(TODAY()-2,7)+7)*IF(ISNUMBER($H$8:$H$5000),$H$8:$H$5000,0))</f>
        <v/>
      </c>
      <c r="Q6">
        <f>M6-P6</f>
        <v/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/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/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/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/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/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/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/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/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/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/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/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/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/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/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/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/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/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/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/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/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/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/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/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/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/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/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/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/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/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/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/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/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/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/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/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/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Expenses'!$F$8:$F$5000,'💸 Expenses'!$B$8:$B$5000,"&gt;="&amp;B28,'💸 Expenses'!$B$8:$B$5000,"&lt;"&amp;(B28+1))</f>
        <v/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/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/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/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/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/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/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/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/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/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/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/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/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/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/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/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/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/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/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/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/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/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/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/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/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/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/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/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/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/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/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/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/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/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/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/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/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/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/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/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420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421">
        <f>IFERROR(D65*$T$7,0)</f>
        <v/>
      </c>
      <c r="S65" s="292" t="n"/>
      <c r="T65" s="292" t="n"/>
      <c r="U65" s="421" t="n">
        <v>0</v>
      </c>
      <c r="V65" s="421" t="n">
        <v>0</v>
      </c>
      <c r="W65" s="292" t="n"/>
      <c r="X65" s="292" t="n"/>
      <c r="Y65" s="421" t="n">
        <v>5260</v>
      </c>
      <c r="Z65" s="421" t="n">
        <v>99.94</v>
      </c>
      <c r="AA65" s="292" t="n"/>
      <c r="AB65" s="292" t="n"/>
    </row>
    <row r="66" ht="16.5" customHeight="1" s="313">
      <c r="B66" s="420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421">
        <f>IFERROR(D66*$T$7,0)</f>
        <v/>
      </c>
      <c r="S66" s="292" t="n"/>
      <c r="T66" s="292" t="n"/>
      <c r="U66" s="421" t="n">
        <v>0</v>
      </c>
      <c r="V66" s="421" t="n">
        <v>0</v>
      </c>
      <c r="W66" s="292" t="n"/>
      <c r="X66" s="292" t="n"/>
      <c r="Y66" s="421" t="n">
        <v>1537</v>
      </c>
      <c r="Z66" s="421" t="n">
        <v>29.2</v>
      </c>
      <c r="AA66" s="292" t="n"/>
      <c r="AB66" s="292" t="n"/>
    </row>
    <row r="67" ht="16.5" customHeight="1" s="313">
      <c r="B67" s="420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421">
        <f>IFERROR(D67*$T$7,0)</f>
        <v/>
      </c>
      <c r="S67" s="292" t="n"/>
      <c r="T67" s="292" t="n"/>
      <c r="U67" s="421" t="n">
        <v>0</v>
      </c>
      <c r="V67" s="421" t="n">
        <v>0</v>
      </c>
      <c r="W67" s="292" t="n"/>
      <c r="X67" s="292" t="n"/>
      <c r="Y67" s="421" t="n">
        <v>1865</v>
      </c>
      <c r="Z67" s="421" t="n">
        <v>35.44</v>
      </c>
      <c r="AA67" s="292" t="n"/>
      <c r="AB67" s="292" t="n"/>
    </row>
    <row r="68" ht="16.5" customHeight="1" s="313">
      <c r="B68" s="420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421">
        <f>IFERROR(D68*$T$7,0)</f>
        <v/>
      </c>
      <c r="S68" s="292" t="n"/>
      <c r="T68" s="292" t="n"/>
      <c r="U68" s="421" t="n">
        <v>80</v>
      </c>
      <c r="V68" s="421" t="n">
        <v>1.48</v>
      </c>
      <c r="W68" s="292" t="n"/>
      <c r="X68" s="292" t="n"/>
      <c r="Y68" s="421" t="n">
        <v>3485</v>
      </c>
      <c r="Z68" s="421" t="n">
        <v>66.22</v>
      </c>
      <c r="AA68" s="292" t="n"/>
      <c r="AB68" s="292" t="n"/>
    </row>
    <row r="69" ht="16.5" customHeight="1" s="313">
      <c r="B69" s="420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421">
        <f>IFERROR(D69*$T$7,0)</f>
        <v/>
      </c>
      <c r="S69" s="292" t="n"/>
      <c r="T69" s="292" t="n"/>
      <c r="U69" s="421" t="n">
        <v>0</v>
      </c>
      <c r="V69" s="421" t="n">
        <v>0</v>
      </c>
      <c r="W69" s="292" t="n"/>
      <c r="X69" s="292" t="n"/>
      <c r="Y69" s="421" t="n">
        <v>2010</v>
      </c>
      <c r="Z69" s="421" t="n">
        <v>38.19</v>
      </c>
      <c r="AA69" s="292" t="n"/>
      <c r="AB69" s="292" t="n"/>
    </row>
    <row r="70" ht="16.5" customHeight="1" s="313">
      <c r="B70" s="420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421">
        <f>IFERROR(D70*$T$7,0)</f>
        <v/>
      </c>
      <c r="S70" s="292" t="n"/>
      <c r="T70" s="292" t="n"/>
      <c r="U70" s="421" t="n">
        <v>0</v>
      </c>
      <c r="V70" s="421" t="n">
        <v>0</v>
      </c>
      <c r="W70" s="292" t="n"/>
      <c r="X70" s="292" t="n"/>
      <c r="Y70" s="421" t="n">
        <v>810</v>
      </c>
      <c r="Z70" s="421" t="n">
        <v>15.39</v>
      </c>
      <c r="AA70" s="292" t="n"/>
      <c r="AB70" s="292" t="n"/>
    </row>
    <row r="71" ht="16.5" customHeight="1" s="313">
      <c r="B71" s="420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421">
        <f>IFERROR(D71*$T$7,0)</f>
        <v/>
      </c>
      <c r="S71" s="292" t="n"/>
      <c r="T71" s="292" t="n"/>
      <c r="U71" s="421" t="n">
        <v>0</v>
      </c>
      <c r="V71" s="421" t="n">
        <v>0</v>
      </c>
      <c r="W71" s="292" t="n"/>
      <c r="X71" s="292" t="n"/>
      <c r="Y71" s="421" t="n">
        <v>0</v>
      </c>
      <c r="Z71" s="421" t="n">
        <v>0</v>
      </c>
      <c r="AA71" s="292" t="n"/>
      <c r="AB71" s="292" t="n"/>
    </row>
    <row r="72" ht="16.5" customHeight="1" s="313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</row>
    <row r="73" ht="16.5" customHeight="1" s="313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  <c r="Z73" s="56" t="n"/>
      <c r="AA73" s="56" t="n"/>
      <c r="AB73" s="56" t="n"/>
    </row>
    <row r="74" ht="16.5" customHeight="1" s="313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</row>
    <row r="75" ht="16.5" customHeight="1" s="313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  <c r="Z75" s="56" t="n"/>
      <c r="AA75" s="56" t="n"/>
      <c r="AB75" s="56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32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 / 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 / 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 / 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 / 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 / 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 / 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 / 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 / 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 / 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 / 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 / 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 / 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  <row r="484">
      <c r="B484" s="422" t="n">
        <v>46219</v>
      </c>
      <c r="C484" s="305" t="inlineStr">
        <is>
          <t>Vasos plastico + Reyma tapas (desechables)</t>
        </is>
      </c>
      <c r="D484" s="306" t="inlineStr">
        <is>
          <t>Guimar Polietilenos</t>
        </is>
      </c>
      <c r="E484" s="305" t="inlineStr">
        <is>
          <t>Packaging/Disposables</t>
        </is>
      </c>
      <c r="F484" s="307" t="n">
        <v>106</v>
      </c>
      <c r="G484" s="308" t="inlineStr">
        <is>
          <t>Restaurant</t>
        </is>
      </c>
      <c r="H484" s="308" t="inlineStr">
        <is>
          <t>Cash</t>
        </is>
      </c>
      <c r="I484" s="309" t="inlineStr">
        <is>
          <t>✅ Paid</t>
        </is>
      </c>
      <c r="J484" s="418" t="inlineStr">
        <is>
          <t>Folio XCC39648; disposables</t>
        </is>
      </c>
    </row>
    <row r="485">
      <c r="B485" s="422" t="n">
        <v>46219</v>
      </c>
      <c r="C485" s="305" t="inlineStr">
        <is>
          <t>Jamaica</t>
        </is>
      </c>
      <c r="D485" s="306" t="inlineStr">
        <is>
          <t>Molino y Condimentos La Cruz</t>
        </is>
      </c>
      <c r="E485" s="305" t="inlineStr">
        <is>
          <t>Ingredients - Beverages</t>
        </is>
      </c>
      <c r="F485" s="307" t="n">
        <v>110</v>
      </c>
      <c r="G485" s="308" t="inlineStr">
        <is>
          <t>Restaurant</t>
        </is>
      </c>
      <c r="H485" s="308" t="inlineStr">
        <is>
          <t>Cash</t>
        </is>
      </c>
      <c r="I485" s="309" t="inlineStr">
        <is>
          <t>✅ Paid</t>
        </is>
      </c>
      <c r="J485" s="418" t="inlineStr">
        <is>
          <t>Molino La Cruz; jamaica (agua fresca)</t>
        </is>
      </c>
    </row>
    <row r="486">
      <c r="B486" s="422" t="n">
        <v>46219</v>
      </c>
      <c r="C486" s="305" t="inlineStr">
        <is>
          <t>Queso</t>
        </is>
      </c>
      <c r="D486" s="306" t="inlineStr">
        <is>
          <t>La Bodega del Buen Queso</t>
        </is>
      </c>
      <c r="E486" s="305" t="inlineStr">
        <is>
          <t>Ingredients - Dairy</t>
        </is>
      </c>
      <c r="F486" s="307" t="n">
        <v>409</v>
      </c>
      <c r="G486" s="308" t="inlineStr">
        <is>
          <t>Restaurant</t>
        </is>
      </c>
      <c r="H486" s="308" t="inlineStr">
        <is>
          <t>Cash</t>
        </is>
      </c>
      <c r="I486" s="309" t="inlineStr">
        <is>
          <t>✅ Paid</t>
        </is>
      </c>
      <c r="J486" s="418" t="inlineStr">
        <is>
          <t>Nota de venta 16-Jul</t>
        </is>
      </c>
    </row>
    <row r="487">
      <c r="B487" s="422" t="n">
        <v>46219</v>
      </c>
      <c r="C487" s="305" t="inlineStr">
        <is>
          <t>Fideo La Moderna x3</t>
        </is>
      </c>
      <c r="D487" s="306" t="inlineStr">
        <is>
          <t>Tres B</t>
        </is>
      </c>
      <c r="E487" s="305" t="inlineStr">
        <is>
          <t>Ingredients - Pantry</t>
        </is>
      </c>
      <c r="F487" s="307" t="n">
        <v>51</v>
      </c>
      <c r="G487" s="308" t="inlineStr">
        <is>
          <t>Restaurant</t>
        </is>
      </c>
      <c r="H487" s="308" t="inlineStr">
        <is>
          <t>Card</t>
        </is>
      </c>
      <c r="I487" s="309" t="inlineStr">
        <is>
          <t>✅ Paid</t>
        </is>
      </c>
      <c r="J487" s="418" t="inlineStr">
        <is>
          <t>3x $17; Mercado Libre contactless</t>
        </is>
      </c>
    </row>
    <row r="488">
      <c r="B488" s="422" t="n">
        <v>46219</v>
      </c>
      <c r="C488" s="305" t="inlineStr">
        <is>
          <t>Carne</t>
        </is>
      </c>
      <c r="D488" s="306" t="inlineStr">
        <is>
          <t>No bill</t>
        </is>
      </c>
      <c r="E488" s="305" t="inlineStr">
        <is>
          <t>Ingredients - Meat</t>
        </is>
      </c>
      <c r="F488" s="307" t="n">
        <v>263</v>
      </c>
      <c r="G488" s="308" t="inlineStr">
        <is>
          <t>Restaurant</t>
        </is>
      </c>
      <c r="H488" s="308" t="inlineStr">
        <is>
          <t>Cash</t>
        </is>
      </c>
      <c r="I488" s="309" t="inlineStr">
        <is>
          <t>✅ Paid</t>
        </is>
      </c>
      <c r="J488" s="418" t="inlineStr">
        <is>
          <t>No receipt; cash</t>
        </is>
      </c>
    </row>
    <row r="489">
      <c r="B489" s="422" t="n">
        <v>46219</v>
      </c>
      <c r="C489" s="305" t="inlineStr">
        <is>
          <t>Wine glasses</t>
        </is>
      </c>
      <c r="D489" s="306" t="inlineStr">
        <is>
          <t>No bill</t>
        </is>
      </c>
      <c r="E489" s="305" t="inlineStr">
        <is>
          <t>Kitchen Supplies</t>
        </is>
      </c>
      <c r="F489" s="307" t="n">
        <v>150</v>
      </c>
      <c r="G489" s="308" t="inlineStr">
        <is>
          <t>Restaurant</t>
        </is>
      </c>
      <c r="H489" s="308" t="inlineStr">
        <is>
          <t>Cash</t>
        </is>
      </c>
      <c r="I489" s="309" t="inlineStr">
        <is>
          <t>✅ Paid</t>
        </is>
      </c>
      <c r="J489" s="418" t="inlineStr">
        <is>
          <t>No receipt; cash; glassware</t>
        </is>
      </c>
    </row>
    <row r="490">
      <c r="B490" s="422" t="n">
        <v>46219</v>
      </c>
      <c r="C490" s="305" t="inlineStr">
        <is>
          <t>Salvo (lavatrastes)</t>
        </is>
      </c>
      <c r="D490" s="306" t="inlineStr">
        <is>
          <t>No bill</t>
        </is>
      </c>
      <c r="E490" s="305" t="inlineStr">
        <is>
          <t>Kitchen Supplies</t>
        </is>
      </c>
      <c r="F490" s="307" t="n">
        <v>28</v>
      </c>
      <c r="G490" s="308" t="inlineStr">
        <is>
          <t>Restaurant</t>
        </is>
      </c>
      <c r="H490" s="308" t="inlineStr">
        <is>
          <t>Cash</t>
        </is>
      </c>
      <c r="I490" s="309" t="inlineStr">
        <is>
          <t>✅ Paid</t>
        </is>
      </c>
      <c r="J490" s="418" t="inlineStr">
        <is>
          <t>No receipt; cash; dish soap</t>
        </is>
      </c>
    </row>
    <row r="491">
      <c r="B491" s="422" t="n">
        <v>46219</v>
      </c>
      <c r="C491" s="305" t="inlineStr">
        <is>
          <t>Topo Chico (Oxxo)</t>
        </is>
      </c>
      <c r="D491" s="306" t="inlineStr">
        <is>
          <t>OXXO</t>
        </is>
      </c>
      <c r="E491" s="305" t="inlineStr">
        <is>
          <t>Ingredients - Beverages</t>
        </is>
      </c>
      <c r="F491" s="307" t="n">
        <v>40</v>
      </c>
      <c r="G491" s="308" t="inlineStr">
        <is>
          <t>Restaurant</t>
        </is>
      </c>
      <c r="H491" s="308" t="inlineStr">
        <is>
          <t>Cash</t>
        </is>
      </c>
      <c r="I491" s="309" t="inlineStr">
        <is>
          <t>✅ Paid</t>
        </is>
      </c>
      <c r="J491" s="418" t="inlineStr">
        <is>
          <t>No receipt; cash</t>
        </is>
      </c>
    </row>
    <row r="492">
      <c r="B492" s="422" t="n">
        <v>46214</v>
      </c>
      <c r="C492" s="305" t="inlineStr">
        <is>
          <t>Pan y salsas</t>
        </is>
      </c>
      <c r="D492" s="306" t="inlineStr">
        <is>
          <t>Pan Reales</t>
        </is>
      </c>
      <c r="E492" s="305" t="inlineStr">
        <is>
          <t>Ingredients - Bread</t>
        </is>
      </c>
      <c r="F492" s="307" t="n">
        <v>867</v>
      </c>
      <c r="G492" s="308" t="inlineStr">
        <is>
          <t>Restaurant</t>
        </is>
      </c>
      <c r="H492" s="308" t="inlineStr">
        <is>
          <t>Cash</t>
        </is>
      </c>
      <c r="I492" s="309" t="inlineStr">
        <is>
          <t>✅ Paid</t>
        </is>
      </c>
      <c r="J492" s="418" t="inlineStr">
        <is>
          <t>Pan + salsas; gasto de 11-Jul agregado despues (missed en el EOD original)</t>
        </is>
      </c>
    </row>
    <row r="493">
      <c r="B493" s="422" t="n">
        <v>46219</v>
      </c>
      <c r="C493" s="305" t="inlineStr">
        <is>
          <t>John (Head Chef) — pago por quedarse tarde (wine party)</t>
        </is>
      </c>
      <c r="D493" s="306" t="inlineStr">
        <is>
          <t>Payroll</t>
        </is>
      </c>
      <c r="E493" s="305" t="inlineStr">
        <is>
          <t>Staff - Salary</t>
        </is>
      </c>
      <c r="F493" s="307" t="n">
        <v>500</v>
      </c>
      <c r="G493" s="308" t="inlineStr">
        <is>
          <t>Restaurant</t>
        </is>
      </c>
      <c r="H493" s="308" t="inlineStr">
        <is>
          <t>Cash</t>
        </is>
      </c>
      <c r="I493" s="309" t="inlineStr">
        <is>
          <t>✅ Paid</t>
        </is>
      </c>
      <c r="J493" s="418" t="inlineStr">
        <is>
          <t>Pago extra al chef por trabajar tarde en el evento de vino (16-Jul). Sueldo/bono, no propina.</t>
        </is>
      </c>
    </row>
    <row r="494">
      <c r="B494" s="422" t="n">
        <v>46220</v>
      </c>
      <c r="C494" s="305" t="inlineStr">
        <is>
          <t>Arroz (Oxxo)</t>
        </is>
      </c>
      <c r="D494" s="306" t="inlineStr">
        <is>
          <t>OXXO</t>
        </is>
      </c>
      <c r="E494" s="305" t="inlineStr">
        <is>
          <t>Ingredients - Pantry</t>
        </is>
      </c>
      <c r="F494" s="307" t="n">
        <v>52</v>
      </c>
      <c r="G494" s="308" t="inlineStr">
        <is>
          <t>Restaurant</t>
        </is>
      </c>
      <c r="H494" s="308" t="inlineStr">
        <is>
          <t>Cash</t>
        </is>
      </c>
      <c r="I494" s="309" t="inlineStr">
        <is>
          <t>✅ Paid</t>
        </is>
      </c>
      <c r="J494" s="418" t="inlineStr">
        <is>
          <t>No receipt; cash</t>
        </is>
      </c>
    </row>
    <row r="495">
      <c r="B495" s="422" t="n">
        <v>46220</v>
      </c>
      <c r="C495" s="305" t="inlineStr">
        <is>
          <t>Pollo</t>
        </is>
      </c>
      <c r="D495" s="306" t="inlineStr">
        <is>
          <t>No bill</t>
        </is>
      </c>
      <c r="E495" s="305" t="inlineStr">
        <is>
          <t>Ingredients - Meat</t>
        </is>
      </c>
      <c r="F495" s="307" t="n">
        <v>300</v>
      </c>
      <c r="G495" s="308" t="inlineStr">
        <is>
          <t>Lohith</t>
        </is>
      </c>
      <c r="H495" s="308" t="inlineStr">
        <is>
          <t>Cash</t>
        </is>
      </c>
      <c r="I495" s="309" t="inlineStr">
        <is>
          <t>✅ Paid</t>
        </is>
      </c>
      <c r="J495" s="418" t="inlineStr">
        <is>
          <t>Pollo pagado personalmente por Lohith (17-Jul); gasto operativo real, reembolsable via Owner Ledger. No salio de la caja.</t>
        </is>
      </c>
    </row>
    <row r="496">
      <c r="B496" s="422" t="n">
        <v>46220</v>
      </c>
      <c r="C496" s="305" t="inlineStr">
        <is>
          <t>Vegetables</t>
        </is>
      </c>
      <c r="D496" s="306" t="inlineStr">
        <is>
          <t>No bill</t>
        </is>
      </c>
      <c r="E496" s="305" t="inlineStr">
        <is>
          <t>Ingredients - Vegetables</t>
        </is>
      </c>
      <c r="F496" s="307" t="n">
        <v>51</v>
      </c>
      <c r="G496" s="308" t="inlineStr">
        <is>
          <t>Restaurant</t>
        </is>
      </c>
      <c r="H496" s="308" t="inlineStr">
        <is>
          <t>Cash</t>
        </is>
      </c>
      <c r="I496" s="309" t="inlineStr">
        <is>
          <t>✅ Paid</t>
        </is>
      </c>
      <c r="J496" s="418" t="inlineStr">
        <is>
          <t>No receipt; cash</t>
        </is>
      </c>
    </row>
    <row r="497">
      <c r="B497" s="422" t="n">
        <v>46220</v>
      </c>
      <c r="C497" s="305" t="inlineStr">
        <is>
          <t>Lechuga</t>
        </is>
      </c>
      <c r="D497" s="306" t="inlineStr">
        <is>
          <t>No bill</t>
        </is>
      </c>
      <c r="E497" s="305" t="inlineStr">
        <is>
          <t>Ingredients - Vegetables</t>
        </is>
      </c>
      <c r="F497" s="307" t="n">
        <v>88</v>
      </c>
      <c r="G497" s="308" t="inlineStr">
        <is>
          <t>Restaurant</t>
        </is>
      </c>
      <c r="H497" s="308" t="inlineStr">
        <is>
          <t>Cash</t>
        </is>
      </c>
      <c r="I497" s="309" t="inlineStr">
        <is>
          <t>✅ Paid</t>
        </is>
      </c>
      <c r="J497" s="418" t="inlineStr">
        <is>
          <t>No receipt; cash</t>
        </is>
      </c>
    </row>
    <row r="498">
      <c r="B498" s="422" t="n">
        <v>46220</v>
      </c>
      <c r="C498" s="305" t="inlineStr">
        <is>
          <t>Bistec</t>
        </is>
      </c>
      <c r="D498" s="306" t="inlineStr">
        <is>
          <t>No bill</t>
        </is>
      </c>
      <c r="E498" s="305" t="inlineStr">
        <is>
          <t>Ingredients - Meat</t>
        </is>
      </c>
      <c r="F498" s="307" t="n">
        <v>96</v>
      </c>
      <c r="G498" s="308" t="inlineStr">
        <is>
          <t>Restaurant</t>
        </is>
      </c>
      <c r="H498" s="308" t="inlineStr">
        <is>
          <t>Cash</t>
        </is>
      </c>
      <c r="I498" s="309" t="inlineStr">
        <is>
          <t>✅ Paid</t>
        </is>
      </c>
      <c r="J498" s="418" t="inlineStr">
        <is>
          <t>No receipt; cash</t>
        </is>
      </c>
    </row>
    <row r="499">
      <c r="B499" s="422" t="n">
        <v>46220</v>
      </c>
      <c r="C499" s="305" t="inlineStr">
        <is>
          <t>Chedraui (varios)</t>
        </is>
      </c>
      <c r="D499" s="306" t="inlineStr">
        <is>
          <t>Chedraui</t>
        </is>
      </c>
      <c r="E499" s="305" t="inlineStr">
        <is>
          <t>Supermarket/General</t>
        </is>
      </c>
      <c r="F499" s="307" t="n">
        <v>164</v>
      </c>
      <c r="G499" s="308" t="inlineStr">
        <is>
          <t>Restaurant</t>
        </is>
      </c>
      <c r="H499" s="308" t="inlineStr">
        <is>
          <t>Cash</t>
        </is>
      </c>
      <c r="I499" s="309" t="inlineStr">
        <is>
          <t>✅ Paid</t>
        </is>
      </c>
      <c r="J499" s="418" t="inlineStr">
        <is>
          <t>No receipt provided; cash</t>
        </is>
      </c>
    </row>
    <row r="500">
      <c r="B500" s="422" t="n">
        <v>46220</v>
      </c>
      <c r="C500" s="305" t="inlineStr">
        <is>
          <t>Samu — Ayudante Week 9</t>
        </is>
      </c>
      <c r="D500" s="306" t="inlineStr">
        <is>
          <t>Payroll</t>
        </is>
      </c>
      <c r="E500" s="305" t="inlineStr">
        <is>
          <t>Staff - Salary</t>
        </is>
      </c>
      <c r="F500" s="307" t="n">
        <v>1200</v>
      </c>
      <c r="G500" s="308" t="inlineStr">
        <is>
          <t>Restaurant</t>
        </is>
      </c>
      <c r="H500" s="308" t="inlineStr">
        <is>
          <t>Cash</t>
        </is>
      </c>
      <c r="I500" s="309" t="inlineStr">
        <is>
          <t>✅ Paid</t>
        </is>
      </c>
      <c r="J500" s="418" t="inlineStr">
        <is>
          <t>Week 9 salary, paid Friday 17 Jul</t>
        </is>
      </c>
    </row>
    <row r="501">
      <c r="B501" s="422" t="n">
        <v>46221</v>
      </c>
      <c r="C501" s="305" t="inlineStr">
        <is>
          <t>John — Head Chef Week 9</t>
        </is>
      </c>
      <c r="D501" s="306" t="inlineStr">
        <is>
          <t>Payroll</t>
        </is>
      </c>
      <c r="E501" s="305" t="inlineStr">
        <is>
          <t>Staff - Salary</t>
        </is>
      </c>
      <c r="F501" s="307" t="n">
        <v>3750</v>
      </c>
      <c r="G501" s="308" t="inlineStr">
        <is>
          <t>Restaurant</t>
        </is>
      </c>
      <c r="H501" s="308" t="inlineStr">
        <is>
          <t>Cash</t>
        </is>
      </c>
      <c r="I501" s="309" t="inlineStr">
        <is>
          <t>✅ Paid</t>
        </is>
      </c>
      <c r="J501" s="418" t="inlineStr">
        <is>
          <t>Week 9 salary, paid Saturday 18 Jul</t>
        </is>
      </c>
    </row>
    <row r="502">
      <c r="B502" s="422" t="n">
        <v>46221</v>
      </c>
      <c r="C502" s="305" t="inlineStr">
        <is>
          <t>Duvi/Debi — Limpieza Week 9</t>
        </is>
      </c>
      <c r="D502" s="306" t="inlineStr">
        <is>
          <t>Payroll</t>
        </is>
      </c>
      <c r="E502" s="305" t="inlineStr">
        <is>
          <t>Staff - Salary</t>
        </is>
      </c>
      <c r="F502" s="307" t="n">
        <v>1500</v>
      </c>
      <c r="G502" s="308" t="inlineStr">
        <is>
          <t>Restaurant</t>
        </is>
      </c>
      <c r="H502" s="308" t="inlineStr">
        <is>
          <t>Cash</t>
        </is>
      </c>
      <c r="I502" s="309" t="inlineStr">
        <is>
          <t>✅ Paid</t>
        </is>
      </c>
      <c r="J502" s="418" t="inlineStr">
        <is>
          <t>Week 9 salary, paid Saturday 18 Jul (full week)</t>
        </is>
      </c>
    </row>
    <row r="503">
      <c r="B503" s="422" t="n">
        <v>46223</v>
      </c>
      <c r="C503" s="305" t="inlineStr">
        <is>
          <t>Milk (Oxxo)</t>
        </is>
      </c>
      <c r="D503" s="306" t="inlineStr">
        <is>
          <t>OXXO</t>
        </is>
      </c>
      <c r="E503" s="305" t="inlineStr">
        <is>
          <t>Ingredients - Dairy</t>
        </is>
      </c>
      <c r="F503" s="307" t="n">
        <v>36</v>
      </c>
      <c r="G503" s="308" t="inlineStr">
        <is>
          <t>Restaurant</t>
        </is>
      </c>
      <c r="H503" s="308" t="inlineStr">
        <is>
          <t>Cash</t>
        </is>
      </c>
      <c r="I503" s="309" t="inlineStr">
        <is>
          <t>✅ Paid</t>
        </is>
      </c>
      <c r="J503" s="418" t="inlineStr">
        <is>
          <t>No receipt; cash</t>
        </is>
      </c>
    </row>
    <row r="504">
      <c r="B504" s="422" t="n">
        <v>46223</v>
      </c>
      <c r="C504" s="305" t="inlineStr">
        <is>
          <t>Bistec</t>
        </is>
      </c>
      <c r="D504" s="306" t="inlineStr">
        <is>
          <t>No bill</t>
        </is>
      </c>
      <c r="E504" s="305" t="inlineStr">
        <is>
          <t>Ingredients - Meat</t>
        </is>
      </c>
      <c r="F504" s="307" t="n">
        <v>290</v>
      </c>
      <c r="G504" s="308" t="inlineStr">
        <is>
          <t>Lohith</t>
        </is>
      </c>
      <c r="H504" s="308" t="inlineStr">
        <is>
          <t>Cash</t>
        </is>
      </c>
      <c r="I504" s="309" t="inlineStr">
        <is>
          <t>✅ Paid</t>
        </is>
      </c>
      <c r="J504" s="418" t="inlineStr">
        <is>
          <t>Pagado por Lohith (bolsillo); reembolsable via Owner Ledger; no de la caja</t>
        </is>
      </c>
    </row>
    <row r="505">
      <c r="B505" s="422" t="n">
        <v>46223</v>
      </c>
      <c r="C505" s="305" t="inlineStr">
        <is>
          <t>Pollo</t>
        </is>
      </c>
      <c r="D505" s="306" t="inlineStr">
        <is>
          <t>No bill</t>
        </is>
      </c>
      <c r="E505" s="305" t="inlineStr">
        <is>
          <t>Ingredients - Meat</t>
        </is>
      </c>
      <c r="F505" s="307" t="n">
        <v>89</v>
      </c>
      <c r="G505" s="308" t="inlineStr">
        <is>
          <t>Lohith</t>
        </is>
      </c>
      <c r="H505" s="308" t="inlineStr">
        <is>
          <t>Cash</t>
        </is>
      </c>
      <c r="I505" s="309" t="inlineStr">
        <is>
          <t>✅ Paid</t>
        </is>
      </c>
      <c r="J505" s="418" t="inlineStr">
        <is>
          <t>Pagado por Lohith (bolsillo); reembolsable via Owner Ledger; no de la caja</t>
        </is>
      </c>
    </row>
    <row r="506">
      <c r="B506" s="422" t="n">
        <v>46223</v>
      </c>
      <c r="C506" s="305" t="inlineStr">
        <is>
          <t>Agua natural</t>
        </is>
      </c>
      <c r="D506" s="306" t="inlineStr">
        <is>
          <t>No bill</t>
        </is>
      </c>
      <c r="E506" s="305" t="inlineStr">
        <is>
          <t>Ingredients - Beverages</t>
        </is>
      </c>
      <c r="F506" s="307" t="n">
        <v>30</v>
      </c>
      <c r="G506" s="308" t="inlineStr">
        <is>
          <t>Restaurant</t>
        </is>
      </c>
      <c r="H506" s="308" t="inlineStr">
        <is>
          <t>Cash</t>
        </is>
      </c>
      <c r="I506" s="309" t="inlineStr">
        <is>
          <t>✅ Paid</t>
        </is>
      </c>
      <c r="J506" s="418" t="inlineStr">
        <is>
          <t>No receipt; cash</t>
        </is>
      </c>
    </row>
    <row r="507">
      <c r="B507" s="422" t="n">
        <v>46223</v>
      </c>
      <c r="C507" s="305" t="inlineStr">
        <is>
          <t>Hielo (Oxxo)</t>
        </is>
      </c>
      <c r="D507" s="306" t="inlineStr">
        <is>
          <t>OXXO</t>
        </is>
      </c>
      <c r="E507" s="305" t="inlineStr">
        <is>
          <t>Kitchen Supplies</t>
        </is>
      </c>
      <c r="F507" s="307" t="n">
        <v>54</v>
      </c>
      <c r="G507" s="308" t="inlineStr">
        <is>
          <t>Lohith</t>
        </is>
      </c>
      <c r="H507" s="308" t="inlineStr">
        <is>
          <t>Cash</t>
        </is>
      </c>
      <c r="I507" s="309" t="inlineStr">
        <is>
          <t>✅ Paid</t>
        </is>
      </c>
      <c r="J507" s="418" t="inlineStr">
        <is>
          <t>Pagado por Lohith (bolsillo); reembolsable via Owner Ledger; no de la caja</t>
        </is>
      </c>
    </row>
    <row r="508">
      <c r="B508" s="422" t="n">
        <v>46223</v>
      </c>
      <c r="C508" s="305" t="inlineStr">
        <is>
          <t>Hielos (mercado)</t>
        </is>
      </c>
      <c r="D508" s="306" t="inlineStr">
        <is>
          <t>No bill</t>
        </is>
      </c>
      <c r="E508" s="305" t="inlineStr">
        <is>
          <t>Kitchen Supplies</t>
        </is>
      </c>
      <c r="F508" s="307" t="n">
        <v>200</v>
      </c>
      <c r="G508" s="308" t="inlineStr">
        <is>
          <t>Restaurant</t>
        </is>
      </c>
      <c r="H508" s="308" t="inlineStr">
        <is>
          <t>Cash</t>
        </is>
      </c>
      <c r="I508" s="309" t="inlineStr">
        <is>
          <t>✅ Paid</t>
        </is>
      </c>
      <c r="J508" s="418" t="inlineStr">
        <is>
          <t>No receipt; cash</t>
        </is>
      </c>
    </row>
    <row r="509">
      <c r="B509" s="422" t="n">
        <v>46223</v>
      </c>
      <c r="C509" s="305" t="inlineStr">
        <is>
          <t>Sam's Club (varios)</t>
        </is>
      </c>
      <c r="D509" s="306" t="inlineStr">
        <is>
          <t>Sam's Club</t>
        </is>
      </c>
      <c r="E509" s="305" t="inlineStr">
        <is>
          <t>Supermarket/General</t>
        </is>
      </c>
      <c r="F509" s="307" t="n">
        <v>1760</v>
      </c>
      <c r="G509" s="308" t="inlineStr">
        <is>
          <t>Restaurant</t>
        </is>
      </c>
      <c r="H509" s="308" t="inlineStr">
        <is>
          <t>Card</t>
        </is>
      </c>
      <c r="I509" s="309" t="inlineStr">
        <is>
          <t>✅ Paid</t>
        </is>
      </c>
      <c r="J509" s="418" t="inlineStr">
        <is>
          <t>No receipt provided; restaurant-paid</t>
        </is>
      </c>
    </row>
    <row r="510">
      <c r="B510" s="422" t="n">
        <v>46221</v>
      </c>
      <c r="C510" s="305" t="inlineStr">
        <is>
          <t>Vegetables</t>
        </is>
      </c>
      <c r="D510" s="306" t="inlineStr">
        <is>
          <t>No bill</t>
        </is>
      </c>
      <c r="E510" s="305" t="inlineStr">
        <is>
          <t>Ingredients - Vegetables</t>
        </is>
      </c>
      <c r="F510" s="307" t="n">
        <v>1520</v>
      </c>
      <c r="G510" s="308" t="inlineStr">
        <is>
          <t>Restaurant</t>
        </is>
      </c>
      <c r="H510" s="308" t="inlineStr">
        <is>
          <t>Cash</t>
        </is>
      </c>
      <c r="I510" s="309" t="inlineStr">
        <is>
          <t>✅ Paid</t>
        </is>
      </c>
      <c r="J510" s="418" t="inlineStr">
        <is>
          <t>No receipt; cash; added later (Saturday expense)</t>
        </is>
      </c>
    </row>
    <row r="511">
      <c r="B511" s="422" t="n">
        <v>46224</v>
      </c>
      <c r="C511" s="305" t="inlineStr">
        <is>
          <t>Jamon</t>
        </is>
      </c>
      <c r="D511" s="306" t="inlineStr">
        <is>
          <t>No bill</t>
        </is>
      </c>
      <c r="E511" s="305" t="inlineStr">
        <is>
          <t>Ingredients - Meat</t>
        </is>
      </c>
      <c r="F511" s="307" t="n">
        <v>174</v>
      </c>
      <c r="G511" s="308" t="inlineStr">
        <is>
          <t>Restaurant</t>
        </is>
      </c>
      <c r="H511" s="308" t="inlineStr">
        <is>
          <t>Cash</t>
        </is>
      </c>
      <c r="I511" s="309" t="inlineStr">
        <is>
          <t>✅ Paid</t>
        </is>
      </c>
      <c r="J511" s="418" t="inlineStr">
        <is>
          <t>No receipt; cash</t>
        </is>
      </c>
    </row>
    <row r="512">
      <c r="B512" s="422" t="n">
        <v>46224</v>
      </c>
      <c r="C512" s="305" t="inlineStr">
        <is>
          <t>Carnes</t>
        </is>
      </c>
      <c r="D512" s="306" t="inlineStr">
        <is>
          <t>No bill</t>
        </is>
      </c>
      <c r="E512" s="305" t="inlineStr">
        <is>
          <t>Ingredients - Meat</t>
        </is>
      </c>
      <c r="F512" s="307" t="n">
        <v>562</v>
      </c>
      <c r="G512" s="308" t="inlineStr">
        <is>
          <t>Restaurant</t>
        </is>
      </c>
      <c r="H512" s="308" t="inlineStr">
        <is>
          <t>Cash</t>
        </is>
      </c>
      <c r="I512" s="309" t="inlineStr">
        <is>
          <t>✅ Paid</t>
        </is>
      </c>
      <c r="J512" s="418" t="inlineStr">
        <is>
          <t>No receipt; cash</t>
        </is>
      </c>
    </row>
    <row r="513">
      <c r="B513" s="422" t="n">
        <v>46224</v>
      </c>
      <c r="C513" s="305" t="inlineStr">
        <is>
          <t>Carne de hamburguesa</t>
        </is>
      </c>
      <c r="D513" s="306" t="inlineStr">
        <is>
          <t>No bill</t>
        </is>
      </c>
      <c r="E513" s="305" t="inlineStr">
        <is>
          <t>Ingredients - Meat</t>
        </is>
      </c>
      <c r="F513" s="307" t="n">
        <v>380</v>
      </c>
      <c r="G513" s="308" t="inlineStr">
        <is>
          <t>Restaurant</t>
        </is>
      </c>
      <c r="H513" s="308" t="inlineStr">
        <is>
          <t>Cash</t>
        </is>
      </c>
      <c r="I513" s="309" t="inlineStr">
        <is>
          <t>✅ Paid</t>
        </is>
      </c>
      <c r="J513" s="418" t="inlineStr">
        <is>
          <t>No receipt; cash</t>
        </is>
      </c>
    </row>
    <row r="514">
      <c r="B514" s="422" t="n">
        <v>46224</v>
      </c>
      <c r="C514" s="305" t="inlineStr">
        <is>
          <t>Arroz (Oxxo)</t>
        </is>
      </c>
      <c r="D514" s="306" t="inlineStr">
        <is>
          <t>OXXO</t>
        </is>
      </c>
      <c r="E514" s="305" t="inlineStr">
        <is>
          <t>Ingredients - Pantry</t>
        </is>
      </c>
      <c r="F514" s="307" t="n">
        <v>26</v>
      </c>
      <c r="G514" s="308" t="inlineStr">
        <is>
          <t>Restaurant</t>
        </is>
      </c>
      <c r="H514" s="308" t="inlineStr">
        <is>
          <t>Cash</t>
        </is>
      </c>
      <c r="I514" s="309" t="inlineStr">
        <is>
          <t>✅ Paid</t>
        </is>
      </c>
      <c r="J514" s="418" t="inlineStr">
        <is>
          <t>No receipt; cash</t>
        </is>
      </c>
    </row>
    <row r="515">
      <c r="B515" s="422" t="n">
        <v>46224</v>
      </c>
      <c r="C515" s="305" t="inlineStr">
        <is>
          <t>Chedraui (varios)</t>
        </is>
      </c>
      <c r="D515" s="306" t="inlineStr">
        <is>
          <t>Chedraui</t>
        </is>
      </c>
      <c r="E515" s="305" t="inlineStr">
        <is>
          <t>Supermarket/General</t>
        </is>
      </c>
      <c r="F515" s="307" t="n">
        <v>116</v>
      </c>
      <c r="G515" s="308" t="inlineStr">
        <is>
          <t>Restaurant</t>
        </is>
      </c>
      <c r="H515" s="308" t="inlineStr">
        <is>
          <t>Cash</t>
        </is>
      </c>
      <c r="I515" s="309" t="inlineStr">
        <is>
          <t>✅ Paid</t>
        </is>
      </c>
      <c r="J515" s="418" t="inlineStr">
        <is>
          <t>No receipt provided; cash</t>
        </is>
      </c>
    </row>
    <row r="516">
      <c r="B516" s="422" t="n">
        <v>46224</v>
      </c>
      <c r="C516" s="305" t="inlineStr">
        <is>
          <t>Pollo</t>
        </is>
      </c>
      <c r="D516" s="306" t="inlineStr">
        <is>
          <t>No bill</t>
        </is>
      </c>
      <c r="E516" s="305" t="inlineStr">
        <is>
          <t>Ingredients - Meat</t>
        </is>
      </c>
      <c r="F516" s="307" t="n">
        <v>939</v>
      </c>
      <c r="G516" s="308" t="inlineStr">
        <is>
          <t>Restaurant</t>
        </is>
      </c>
      <c r="H516" s="308" t="inlineStr">
        <is>
          <t>Cash</t>
        </is>
      </c>
      <c r="I516" s="309" t="inlineStr">
        <is>
          <t>✅ Paid</t>
        </is>
      </c>
      <c r="J516" s="418" t="inlineStr">
        <is>
          <t>No receipt; cash</t>
        </is>
      </c>
    </row>
    <row r="517">
      <c r="B517" s="422" t="n">
        <v>46225</v>
      </c>
      <c r="C517" s="305" t="inlineStr">
        <is>
          <t>Avia Reca (bebidas)</t>
        </is>
      </c>
      <c r="D517" s="306" t="inlineStr">
        <is>
          <t>Reca</t>
        </is>
      </c>
      <c r="E517" s="305" t="inlineStr">
        <is>
          <t>Ingredients - Beverages</t>
        </is>
      </c>
      <c r="F517" s="307" t="n">
        <v>300</v>
      </c>
      <c r="G517" s="308" t="inlineStr">
        <is>
          <t>Restaurant</t>
        </is>
      </c>
      <c r="H517" s="308" t="inlineStr">
        <is>
          <t>Cash</t>
        </is>
      </c>
      <c r="I517" s="309" t="inlineStr">
        <is>
          <t>✅ Paid</t>
        </is>
      </c>
      <c r="J517" s="418" t="inlineStr">
        <is>
          <t>Marca de bebidas; gasto operativo recurrente de inventario de bebidas.</t>
        </is>
      </c>
    </row>
    <row r="518">
      <c r="B518" s="422" t="n">
        <v>46225</v>
      </c>
      <c r="C518" s="305" t="inlineStr">
        <is>
          <t>Carnes</t>
        </is>
      </c>
      <c r="D518" s="306" t="inlineStr">
        <is>
          <t>No bill</t>
        </is>
      </c>
      <c r="E518" s="305" t="inlineStr">
        <is>
          <t>Ingredients - Meat</t>
        </is>
      </c>
      <c r="F518" s="307" t="n">
        <v>833</v>
      </c>
      <c r="G518" s="308" t="inlineStr">
        <is>
          <t>Restaurant</t>
        </is>
      </c>
      <c r="H518" s="308" t="inlineStr">
        <is>
          <t>Cash</t>
        </is>
      </c>
      <c r="I518" s="309" t="inlineStr">
        <is>
          <t>✅ Paid</t>
        </is>
      </c>
      <c r="J518" s="418" t="inlineStr">
        <is>
          <t>No receipt; cash</t>
        </is>
      </c>
    </row>
    <row r="519">
      <c r="B519" s="422" t="n">
        <v>46225</v>
      </c>
      <c r="C519" s="305" t="inlineStr">
        <is>
          <t>Elote (Oxxo)</t>
        </is>
      </c>
      <c r="D519" s="306" t="inlineStr">
        <is>
          <t>OXXO</t>
        </is>
      </c>
      <c r="E519" s="305" t="inlineStr">
        <is>
          <t>Ingredients - Vegetables</t>
        </is>
      </c>
      <c r="F519" s="307" t="n">
        <v>20</v>
      </c>
      <c r="G519" s="308" t="inlineStr">
        <is>
          <t>Restaurant</t>
        </is>
      </c>
      <c r="H519" s="308" t="inlineStr">
        <is>
          <t>Cash</t>
        </is>
      </c>
      <c r="I519" s="309" t="inlineStr">
        <is>
          <t>✅ Paid</t>
        </is>
      </c>
      <c r="J519" s="418" t="inlineStr">
        <is>
          <t>No receipt; cash</t>
        </is>
      </c>
    </row>
    <row r="520">
      <c r="B520" s="422" t="n">
        <v>46225</v>
      </c>
      <c r="C520" s="305" t="inlineStr">
        <is>
          <t>Tilapia</t>
        </is>
      </c>
      <c r="D520" s="306" t="inlineStr">
        <is>
          <t>Brisa del Mar</t>
        </is>
      </c>
      <c r="E520" s="305" t="inlineStr">
        <is>
          <t>Ingredients - Meat &amp; Fish</t>
        </is>
      </c>
      <c r="F520" s="307" t="n">
        <v>366</v>
      </c>
      <c r="G520" s="308" t="inlineStr">
        <is>
          <t>Restaurant</t>
        </is>
      </c>
      <c r="H520" s="308" t="inlineStr">
        <is>
          <t>Cash</t>
        </is>
      </c>
      <c r="I520" s="309" t="inlineStr">
        <is>
          <t>✅ Paid</t>
        </is>
      </c>
      <c r="J520" s="418" t="inlineStr">
        <is>
          <t>No receipt; cash; pescado</t>
        </is>
      </c>
    </row>
    <row r="521">
      <c r="B521" s="422" t="n">
        <v>46225</v>
      </c>
      <c r="C521" s="305" t="inlineStr">
        <is>
          <t>Pollo</t>
        </is>
      </c>
      <c r="D521" s="306" t="inlineStr">
        <is>
          <t>No bill</t>
        </is>
      </c>
      <c r="E521" s="305" t="inlineStr">
        <is>
          <t>Ingredients - Meat</t>
        </is>
      </c>
      <c r="F521" s="307" t="n">
        <v>234</v>
      </c>
      <c r="G521" s="308" t="inlineStr">
        <is>
          <t>Lohith</t>
        </is>
      </c>
      <c r="H521" s="308" t="inlineStr">
        <is>
          <t>Cash</t>
        </is>
      </c>
      <c r="I521" s="309" t="inlineStr">
        <is>
          <t>✅ Paid</t>
        </is>
      </c>
      <c r="J521" s="418" t="inlineStr">
        <is>
          <t>Pagado por Lohith (bolsillo); reembolsable via Owner Ledger; no de la caja</t>
        </is>
      </c>
    </row>
    <row r="522">
      <c r="B522" s="422" t="n">
        <v>46225</v>
      </c>
      <c r="C522" s="305" t="inlineStr">
        <is>
          <t>Soft Restaurant app subscription</t>
        </is>
      </c>
      <c r="D522" s="306" t="inlineStr">
        <is>
          <t>Soft Restaurant</t>
        </is>
      </c>
      <c r="E522" s="305" t="inlineStr">
        <is>
          <t>Utilities/Internet</t>
        </is>
      </c>
      <c r="F522" s="307" t="n">
        <v>810</v>
      </c>
      <c r="G522" s="308" t="inlineStr">
        <is>
          <t>Restaurant</t>
        </is>
      </c>
      <c r="H522" s="308" t="inlineStr">
        <is>
          <t>Cash</t>
        </is>
      </c>
      <c r="I522" s="309" t="inlineStr">
        <is>
          <t>✅ Paid</t>
        </is>
      </c>
      <c r="J522" s="418" t="inlineStr">
        <is>
          <t>Suscripcion MENSUAL recurrente del software POS Soft Restaurant. Gasto OPERATIVO (no capital) - se repite cada mes.</t>
        </is>
      </c>
    </row>
    <row r="523">
      <c r="B523" s="422" t="n">
        <v>46225</v>
      </c>
      <c r="C523" s="305" t="inlineStr">
        <is>
          <t>Groceries (Tres B)</t>
        </is>
      </c>
      <c r="D523" s="306" t="inlineStr">
        <is>
          <t>Tres B</t>
        </is>
      </c>
      <c r="E523" s="305" t="inlineStr">
        <is>
          <t>Supermarket/General</t>
        </is>
      </c>
      <c r="F523" s="307" t="n">
        <v>1186</v>
      </c>
      <c r="G523" s="308" t="inlineStr">
        <is>
          <t>Restaurant</t>
        </is>
      </c>
      <c r="H523" s="308" t="inlineStr">
        <is>
          <t>Cash</t>
        </is>
      </c>
      <c r="I523" s="309" t="inlineStr">
        <is>
          <t>✅ Paid</t>
        </is>
      </c>
      <c r="J523" s="418" t="inlineStr">
        <is>
          <t>No receipt provided; cash; abarrotes</t>
        </is>
      </c>
    </row>
    <row r="524">
      <c r="B524" s="422" t="n">
        <v>46225</v>
      </c>
      <c r="C524" s="305" t="inlineStr">
        <is>
          <t>Agua natural</t>
        </is>
      </c>
      <c r="D524" s="306" t="inlineStr">
        <is>
          <t>No bill</t>
        </is>
      </c>
      <c r="E524" s="305" t="inlineStr">
        <is>
          <t>Ingredients - Beverages</t>
        </is>
      </c>
      <c r="F524" s="307" t="n">
        <v>70</v>
      </c>
      <c r="G524" s="308" t="inlineStr">
        <is>
          <t>Restaurant</t>
        </is>
      </c>
      <c r="H524" s="308" t="inlineStr">
        <is>
          <t>Cash</t>
        </is>
      </c>
      <c r="I524" s="309" t="inlineStr">
        <is>
          <t>✅ Paid</t>
        </is>
      </c>
      <c r="J524" s="418" t="inlineStr">
        <is>
          <t>No receipt; cash</t>
        </is>
      </c>
    </row>
    <row r="525">
      <c r="B525" s="422" t="n">
        <v>46226</v>
      </c>
      <c r="C525" s="305" t="inlineStr">
        <is>
          <t>Vegetables</t>
        </is>
      </c>
      <c r="D525" s="306" t="inlineStr">
        <is>
          <t>No bill</t>
        </is>
      </c>
      <c r="E525" s="305" t="inlineStr">
        <is>
          <t>Ingredients - Vegetables</t>
        </is>
      </c>
      <c r="F525" s="307" t="n">
        <v>105</v>
      </c>
      <c r="G525" s="308" t="inlineStr">
        <is>
          <t>Restaurant</t>
        </is>
      </c>
      <c r="H525" s="308" t="inlineStr">
        <is>
          <t>Cash</t>
        </is>
      </c>
      <c r="I525" s="309" t="inlineStr">
        <is>
          <t>✅ Paid</t>
        </is>
      </c>
      <c r="J525" s="418" t="inlineStr">
        <is>
          <t>No receipt; cash</t>
        </is>
      </c>
    </row>
    <row r="526">
      <c r="B526" s="422" t="n">
        <v>46226</v>
      </c>
      <c r="C526" s="305" t="inlineStr">
        <is>
          <t>Carnes</t>
        </is>
      </c>
      <c r="D526" s="306" t="inlineStr">
        <is>
          <t>No bill</t>
        </is>
      </c>
      <c r="E526" s="305" t="inlineStr">
        <is>
          <t>Ingredients - Meat</t>
        </is>
      </c>
      <c r="F526" s="307" t="n">
        <v>600</v>
      </c>
      <c r="G526" s="308" t="inlineStr">
        <is>
          <t>Restaurant</t>
        </is>
      </c>
      <c r="H526" s="308" t="inlineStr">
        <is>
          <t>Cash</t>
        </is>
      </c>
      <c r="I526" s="309" t="inlineStr">
        <is>
          <t>✅ Paid</t>
        </is>
      </c>
      <c r="J526" s="418" t="inlineStr">
        <is>
          <t>No receipt; cash</t>
        </is>
      </c>
    </row>
    <row r="527">
      <c r="B527" s="422" t="n">
        <v>46226</v>
      </c>
      <c r="C527" s="305" t="inlineStr">
        <is>
          <t>Pollo</t>
        </is>
      </c>
      <c r="D527" s="306" t="inlineStr">
        <is>
          <t>No bill</t>
        </is>
      </c>
      <c r="E527" s="305" t="inlineStr">
        <is>
          <t>Ingredients - Meat</t>
        </is>
      </c>
      <c r="F527" s="307" t="n">
        <v>220</v>
      </c>
      <c r="G527" s="308" t="inlineStr">
        <is>
          <t>Restaurant</t>
        </is>
      </c>
      <c r="H527" s="308" t="inlineStr">
        <is>
          <t>Cash</t>
        </is>
      </c>
      <c r="I527" s="309" t="inlineStr">
        <is>
          <t>✅ Paid</t>
        </is>
      </c>
      <c r="J527" s="418" t="inlineStr">
        <is>
          <t>No receipt; cash</t>
        </is>
      </c>
    </row>
    <row r="528">
      <c r="B528" s="422" t="n">
        <v>46226</v>
      </c>
      <c r="C528" s="305" t="inlineStr">
        <is>
          <t>Vasos plast. 12 + Reyma tapas + bolsa negra + stretch film</t>
        </is>
      </c>
      <c r="D528" s="306" t="inlineStr">
        <is>
          <t>Guimar Polietilenos</t>
        </is>
      </c>
      <c r="E528" s="305" t="inlineStr">
        <is>
          <t>Packaging/Disposables</t>
        </is>
      </c>
      <c r="F528" s="307" t="n">
        <v>1544.98</v>
      </c>
      <c r="G528" s="308" t="inlineStr">
        <is>
          <t>Restaurant</t>
        </is>
      </c>
      <c r="H528" s="308" t="inlineStr">
        <is>
          <t>Card</t>
        </is>
      </c>
      <c r="I528" s="309" t="inlineStr">
        <is>
          <t>✅ Paid</t>
        </is>
      </c>
      <c r="J528" s="418" t="inlineStr">
        <is>
          <t>Folio AK93904 10:48. Pagado con tarjeta de Lohith pero YA reembolsado con dinero del restaurante -&gt; gasto del restaurante, sin entrada en Owner Ledger.</t>
        </is>
      </c>
    </row>
    <row r="529">
      <c r="B529" s="422" t="n">
        <v>46226</v>
      </c>
      <c r="C529" s="305" t="inlineStr">
        <is>
          <t>Elote Herdez, agua mineral, detergente 5kg, tortillas, bolillo, rosca de nuez</t>
        </is>
      </c>
      <c r="D529" s="306" t="inlineStr">
        <is>
          <t>Chedraui Selecto</t>
        </is>
      </c>
      <c r="E529" s="305" t="inlineStr">
        <is>
          <t>Supermarket/General</t>
        </is>
      </c>
      <c r="F529" s="307" t="n">
        <v>515.4</v>
      </c>
      <c r="G529" s="308" t="inlineStr">
        <is>
          <t>Restaurant</t>
        </is>
      </c>
      <c r="H529" s="308" t="inlineStr">
        <is>
          <t>Card</t>
        </is>
      </c>
      <c r="I529" s="309" t="inlineStr">
        <is>
          <t>✅ Paid</t>
        </is>
      </c>
      <c r="J529" s="418" t="inlineStr">
        <is>
          <t>Debito BBVA ***3982 AUT 006060; 23-Jul 11:34; 16 articulos</t>
        </is>
      </c>
    </row>
    <row r="530">
      <c r="B530" s="422" t="n">
        <v>46226</v>
      </c>
      <c r="C530" s="305" t="inlineStr">
        <is>
          <t>Contenedor termico 8x8D + papel alimenticio + bolsa poliseda + bolsa en rollo</t>
        </is>
      </c>
      <c r="D530" s="306" t="inlineStr">
        <is>
          <t>Guimar Polietilenos</t>
        </is>
      </c>
      <c r="E530" s="305" t="inlineStr">
        <is>
          <t>Packaging/Disposables</t>
        </is>
      </c>
      <c r="F530" s="307" t="n">
        <v>1481.45</v>
      </c>
      <c r="G530" s="308" t="inlineStr">
        <is>
          <t>Restaurant</t>
        </is>
      </c>
      <c r="H530" s="308" t="inlineStr">
        <is>
          <t>Card</t>
        </is>
      </c>
      <c r="I530" s="309" t="inlineStr">
        <is>
          <t>✅ Paid</t>
        </is>
      </c>
      <c r="J530" s="418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422" t="n">
        <v>46226</v>
      </c>
      <c r="C531" s="305" t="inlineStr">
        <is>
          <t>Arroz (Oxxo)</t>
        </is>
      </c>
      <c r="D531" s="306" t="inlineStr">
        <is>
          <t>OXXO</t>
        </is>
      </c>
      <c r="E531" s="305" t="inlineStr">
        <is>
          <t>Ingredients - Pantry</t>
        </is>
      </c>
      <c r="F531" s="307" t="n">
        <v>35</v>
      </c>
      <c r="G531" s="308" t="inlineStr">
        <is>
          <t>Restaurant</t>
        </is>
      </c>
      <c r="H531" s="308" t="inlineStr">
        <is>
          <t>Cash</t>
        </is>
      </c>
      <c r="I531" s="309" t="inlineStr">
        <is>
          <t>✅ Paid</t>
        </is>
      </c>
      <c r="J531" s="418" t="inlineStr">
        <is>
          <t>No receipt; cash</t>
        </is>
      </c>
    </row>
    <row r="532">
      <c r="B532" s="422" t="n">
        <v>46226</v>
      </c>
      <c r="C532" s="305" t="inlineStr">
        <is>
          <t>Pan y salsas</t>
        </is>
      </c>
      <c r="D532" s="306" t="inlineStr">
        <is>
          <t>Pan Reales</t>
        </is>
      </c>
      <c r="E532" s="305" t="inlineStr">
        <is>
          <t>Ingredients - Bread</t>
        </is>
      </c>
      <c r="F532" s="307" t="n">
        <v>847</v>
      </c>
      <c r="G532" s="308" t="inlineStr">
        <is>
          <t>Restaurant</t>
        </is>
      </c>
      <c r="H532" s="308" t="inlineStr">
        <is>
          <t>Cash</t>
        </is>
      </c>
      <c r="I532" s="309" t="inlineStr">
        <is>
          <t>✅ Paid</t>
        </is>
      </c>
      <c r="J532" s="418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07" t="inlineStr">
        <is>
          <t>LOKA — MONTHLY P&amp;L   (live formulas — auto-updates from Daily Log &amp; Expenses)</t>
        </is>
      </c>
      <c r="B1" s="408" t="n"/>
      <c r="C1" s="408" t="n"/>
      <c r="D1" s="40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Log'!$F$8:$F$500,'📅 Daily Log'!$B$8:$B$500,"&gt;="&amp;DATE(2026,5,1),'📅 Daily Log'!$B$8:$B$500,"&lt;"&amp;DATE(2026,6,1))</f>
        <v/>
      </c>
      <c r="C4" s="413">
        <f>SUMIFS('📅 Daily Log'!$F$8:$F$500,'📅 Daily Log'!$B$8:$B$500,"&gt;="&amp;DATE(2026,6,1),'📅 Daily Log'!$B$8:$B$500,"&lt;"&amp;DATE(2026,7,1))</f>
        <v/>
      </c>
      <c r="D4" s="413">
        <f>SUMIFS('📅 Daily Log'!$F$8:$F$500,'📅 Daily Log'!$B$8:$B$500,"&gt;="&amp;DATE(2026,7,1),'📅 Daily Log'!$B$8:$B$500,"&lt;"&amp;DATE(2026,8,1))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Expenses'!$F$8:$F$500,'💸 Expenses'!$B$8:$B$500,"&gt;="&amp;DATE(2026,5,1),'💸 Expenses'!$B$8:$B$500,"&lt;"&amp;DATE(2026,6,1))</f>
        <v/>
      </c>
      <c r="C5" s="413">
        <f>SUMIFS('💸 Expenses'!$F$8:$F$500,'💸 Expenses'!$B$8:$B$500,"&gt;="&amp;DATE(2026,6,1),'💸 Expenses'!$B$8:$B$500,"&lt;"&amp;DATE(2026,7,1))</f>
        <v/>
      </c>
      <c r="D5" s="413">
        <f>SUMIFS('💸 Expenses'!$F$8:$F$500,'💸 Expenses'!$B$8:$B$500,"&gt;="&amp;DATE(2026,7,1),'💸 Expenses'!$B$8:$B$500,"&lt;"&amp;DATE(2026,8,1))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Log'!$F$8:$F$500,"&gt;0",'📅 Daily Log'!$B$8:$B$500,"&gt;="&amp;DATE(2026,5,1),'📅 Daily Log'!$B$8:$B$500,"&lt;"&amp;DATE(2026,6,1))</f>
        <v/>
      </c>
      <c r="C7" s="416">
        <f>COUNTIFS('📅 Daily Log'!$F$8:$F$500,"&gt;0",'📅 Daily Log'!$B$8:$B$500,"&gt;="&amp;DATE(2026,6,1),'📅 Daily Log'!$B$8:$B$500,"&lt;"&amp;DATE(2026,7,1))</f>
        <v/>
      </c>
      <c r="D7" s="416">
        <f>COUNTIFS('📅 Daily Log'!$F$8:$F$500,"&gt;0",'📅 Daily Log'!$B$8:$B$500,"&gt;="&amp;DATE(2026,7,1),'📅 Daily Log'!$B$8:$B$500,"&lt;"&amp;DATE(2026,8,1))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Log'!$D$8:$D$500,'📅 Daily Log'!$B$8:$B$500,"&gt;="&amp;DATE(2026,5,1),'📅 Daily Log'!$B$8:$B$500,"&lt;"&amp;DATE(2026,6,1))</f>
        <v/>
      </c>
      <c r="C11" s="413">
        <f>SUMIFS('📅 Daily Log'!$D$8:$D$500,'📅 Daily Log'!$B$8:$B$500,"&gt;="&amp;DATE(2026,6,1),'📅 Daily Log'!$B$8:$B$500,"&lt;"&amp;DATE(2026,7,1))</f>
        <v/>
      </c>
      <c r="D11" s="413">
        <f>SUMIFS('📅 Daily Log'!$D$8:$D$500,'📅 Daily Log'!$B$8:$B$500,"&gt;="&amp;DATE(2026,7,1),'📅 Daily Log'!$B$8:$B$500,"&lt;"&amp;DATE(2026,8,1))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Log'!$E$8:$E$500,'📅 Daily Log'!$B$8:$B$500,"&gt;="&amp;DATE(2026,5,1),'📅 Daily Log'!$B$8:$B$500,"&lt;"&amp;DATE(2026,6,1))</f>
        <v/>
      </c>
      <c r="C12" s="413">
        <f>SUMIFS('📅 Daily Log'!$E$8:$E$500,'📅 Daily Log'!$B$8:$B$500,"&gt;="&amp;DATE(2026,6,1),'📅 Daily Log'!$B$8:$B$500,"&lt;"&amp;DATE(2026,7,1))</f>
        <v/>
      </c>
      <c r="D12" s="413">
        <f>SUMIFS('📅 Daily Log'!$E$8:$E$500,'📅 Daily Log'!$B$8:$B$500,"&gt;="&amp;DATE(2026,7,1),'📅 Daily Log'!$B$8:$B$500,"&lt;"&amp;DATE(2026,8,1))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Log'!$G$8:$G$500,'📅 Daily Log'!$B$8:$B$500,"&gt;="&amp;DATE(2026,5,1),'📅 Daily Log'!$B$8:$B$500,"&lt;"&amp;DATE(2026,6,1))</f>
        <v/>
      </c>
      <c r="C13" s="413">
        <f>SUMIFS('📅 Daily Log'!$G$8:$G$500,'📅 Daily Log'!$B$8:$B$500,"&gt;="&amp;DATE(2026,6,1),'📅 Daily Log'!$B$8:$B$500,"&lt;"&amp;DATE(2026,7,1))</f>
        <v/>
      </c>
      <c r="D13" s="413">
        <f>SUMIFS('📅 Daily Log'!$G$8:$G$500,'📅 Daily Log'!$B$8:$B$500,"&gt;="&amp;DATE(2026,7,1),'📅 Daily Log'!$B$8:$B$500,"&lt;"&amp;DATE(2026,8,1))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Expenses'!$F$8:$F$500,'💸 Expenses'!$E$8:$E$500,$A17,'💸 Expenses'!$B$8:$B$500,"&gt;="&amp;DATE(2026,5,1),'💸 Expenses'!$B$8:$B$500,"&lt;"&amp;DATE(2026,6,1))</f>
        <v/>
      </c>
      <c r="C17" s="413">
        <f>SUMIFS('💸 Expenses'!$F$8:$F$500,'💸 Expenses'!$E$8:$E$500,$A17,'💸 Expenses'!$B$8:$B$500,"&gt;="&amp;DATE(2026,6,1),'💸 Expenses'!$B$8:$B$500,"&lt;"&amp;DATE(2026,7,1))</f>
        <v/>
      </c>
      <c r="D17" s="413">
        <f>SUMIFS('💸 Expenses'!$F$8:$F$500,'💸 Expenses'!$E$8:$E$500,$A17,'💸 Expenses'!$B$8:$B$500,"&gt;="&amp;DATE(2026,7,1),'💸 Expenses'!$B$8:$B$500,"&lt;"&amp;DATE(2026,8,1))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Expenses'!$F$8:$F$500,'💸 Expenses'!$E$8:$E$500,$A18,'💸 Expenses'!$B$8:$B$500,"&gt;="&amp;DATE(2026,5,1),'💸 Expenses'!$B$8:$B$500,"&lt;"&amp;DATE(2026,6,1))</f>
        <v/>
      </c>
      <c r="C18" s="413">
        <f>SUMIFS('💸 Expenses'!$F$8:$F$500,'💸 Expenses'!$E$8:$E$500,$A18,'💸 Expenses'!$B$8:$B$500,"&gt;="&amp;DATE(2026,6,1),'💸 Expenses'!$B$8:$B$500,"&lt;"&amp;DATE(2026,7,1))</f>
        <v/>
      </c>
      <c r="D18" s="413">
        <f>SUMIFS('💸 Expenses'!$F$8:$F$500,'💸 Expenses'!$E$8:$E$500,$A18,'💸 Expenses'!$B$8:$B$500,"&gt;="&amp;DATE(2026,7,1),'💸 Expenses'!$B$8:$B$500,"&lt;"&amp;DATE(2026,8,1))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Expenses'!$F$8:$F$500,'💸 Expenses'!$E$8:$E$500,$A19,'💸 Expenses'!$B$8:$B$500,"&gt;="&amp;DATE(2026,5,1),'💸 Expenses'!$B$8:$B$500,"&lt;"&amp;DATE(2026,6,1))</f>
        <v/>
      </c>
      <c r="C19" s="413">
        <f>SUMIFS('💸 Expenses'!$F$8:$F$500,'💸 Expenses'!$E$8:$E$500,$A19,'💸 Expenses'!$B$8:$B$500,"&gt;="&amp;DATE(2026,6,1),'💸 Expenses'!$B$8:$B$500,"&lt;"&amp;DATE(2026,7,1))</f>
        <v/>
      </c>
      <c r="D19" s="413">
        <f>SUMIFS('💸 Expenses'!$F$8:$F$500,'💸 Expenses'!$E$8:$E$500,$A19,'💸 Expenses'!$B$8:$B$500,"&gt;="&amp;DATE(2026,7,1),'💸 Expenses'!$B$8:$B$500,"&lt;"&amp;DATE(2026,8,1))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Ingredients - Vegetables</t>
        </is>
      </c>
      <c r="B20" s="413">
        <f>SUMIFS('💸 Expenses'!$F$8:$F$500,'💸 Expenses'!$E$8:$E$500,$A20,'💸 Expenses'!$B$8:$B$500,"&gt;="&amp;DATE(2026,5,1),'💸 Expenses'!$B$8:$B$500,"&lt;"&amp;DATE(2026,6,1))</f>
        <v/>
      </c>
      <c r="C20" s="413">
        <f>SUMIFS('💸 Expenses'!$F$8:$F$500,'💸 Expenses'!$E$8:$E$500,$A20,'💸 Expenses'!$B$8:$B$500,"&gt;="&amp;DATE(2026,6,1),'💸 Expenses'!$B$8:$B$500,"&lt;"&amp;DATE(2026,7,1))</f>
        <v/>
      </c>
      <c r="D20" s="413">
        <f>SUMIFS('💸 Expenses'!$F$8:$F$500,'💸 Expenses'!$E$8:$E$500,$A20,'💸 Expenses'!$B$8:$B$500,"&gt;="&amp;DATE(2026,7,1),'💸 Expenses'!$B$8:$B$500,"&lt;"&amp;DATE(2026,8,1))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Pantry</t>
        </is>
      </c>
      <c r="B21" s="413">
        <f>SUMIFS('💸 Expenses'!$F$8:$F$500,'💸 Expenses'!$E$8:$E$500,$A21,'💸 Expenses'!$B$8:$B$500,"&gt;="&amp;DATE(2026,5,1),'💸 Expenses'!$B$8:$B$500,"&lt;"&amp;DATE(2026,6,1))</f>
        <v/>
      </c>
      <c r="C21" s="413">
        <f>SUMIFS('💸 Expenses'!$F$8:$F$500,'💸 Expenses'!$E$8:$E$500,$A21,'💸 Expenses'!$B$8:$B$500,"&gt;="&amp;DATE(2026,6,1),'💸 Expenses'!$B$8:$B$500,"&lt;"&amp;DATE(2026,7,1))</f>
        <v/>
      </c>
      <c r="D21" s="413">
        <f>SUMIFS('💸 Expenses'!$F$8:$F$500,'💸 Expenses'!$E$8:$E$500,$A21,'💸 Expenses'!$B$8:$B$500,"&gt;="&amp;DATE(2026,7,1),'💸 Expenses'!$B$8:$B$500,"&lt;"&amp;DATE(2026,8,1))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Supermarket/General</t>
        </is>
      </c>
      <c r="B22" s="413">
        <f>SUMIFS('💸 Expenses'!$F$8:$F$500,'💸 Expenses'!$E$8:$E$500,$A22,'💸 Expenses'!$B$8:$B$500,"&gt;="&amp;DATE(2026,5,1),'💸 Expenses'!$B$8:$B$500,"&lt;"&amp;DATE(2026,6,1))</f>
        <v/>
      </c>
      <c r="C22" s="413">
        <f>SUMIFS('💸 Expenses'!$F$8:$F$500,'💸 Expenses'!$E$8:$E$500,$A22,'💸 Expenses'!$B$8:$B$500,"&gt;="&amp;DATE(2026,6,1),'💸 Expenses'!$B$8:$B$500,"&lt;"&amp;DATE(2026,7,1))</f>
        <v/>
      </c>
      <c r="D22" s="413">
        <f>SUMIFS('💸 Expenses'!$F$8:$F$500,'💸 Expenses'!$E$8:$E$500,$A22,'💸 Expenses'!$B$8:$B$500,"&gt;="&amp;DATE(2026,7,1),'💸 Expenses'!$B$8:$B$500,"&lt;"&amp;DATE(2026,8,1))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Beverages</t>
        </is>
      </c>
      <c r="B23" s="413">
        <f>SUMIFS('💸 Expenses'!$F$8:$F$500,'💸 Expenses'!$E$8:$E$500,$A23,'💸 Expenses'!$B$8:$B$500,"&gt;="&amp;DATE(2026,5,1),'💸 Expenses'!$B$8:$B$500,"&lt;"&amp;DATE(2026,6,1))</f>
        <v/>
      </c>
      <c r="C23" s="413">
        <f>SUMIFS('💸 Expenses'!$F$8:$F$500,'💸 Expenses'!$E$8:$E$500,$A23,'💸 Expenses'!$B$8:$B$500,"&gt;="&amp;DATE(2026,6,1),'💸 Expenses'!$B$8:$B$500,"&lt;"&amp;DATE(2026,7,1))</f>
        <v/>
      </c>
      <c r="D23" s="413">
        <f>SUMIFS('💸 Expenses'!$F$8:$F$500,'💸 Expenses'!$E$8:$E$500,$A23,'💸 Expenses'!$B$8:$B$500,"&gt;="&amp;DATE(2026,7,1),'💸 Expenses'!$B$8:$B$500,"&lt;"&amp;DATE(2026,8,1))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Ingredients - Dairy</t>
        </is>
      </c>
      <c r="B24" s="413">
        <f>SUMIFS('💸 Expenses'!$F$8:$F$500,'💸 Expenses'!$E$8:$E$500,$A24,'💸 Expenses'!$B$8:$B$500,"&gt;="&amp;DATE(2026,5,1),'💸 Expenses'!$B$8:$B$500,"&lt;"&amp;DATE(2026,6,1))</f>
        <v/>
      </c>
      <c r="C24" s="413">
        <f>SUMIFS('💸 Expenses'!$F$8:$F$500,'💸 Expenses'!$E$8:$E$500,$A24,'💸 Expenses'!$B$8:$B$500,"&gt;="&amp;DATE(2026,6,1),'💸 Expenses'!$B$8:$B$500,"&lt;"&amp;DATE(2026,7,1))</f>
        <v/>
      </c>
      <c r="D24" s="413">
        <f>SUMIFS('💸 Expenses'!$F$8:$F$500,'💸 Expenses'!$E$8:$E$500,$A24,'💸 Expenses'!$B$8:$B$500,"&gt;="&amp;DATE(2026,7,1),'💸 Expenses'!$B$8:$B$500,"&lt;"&amp;DATE(2026,8,1))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Ingredients - Bread</t>
        </is>
      </c>
      <c r="B25" s="413">
        <f>SUMIFS('💸 Expenses'!$F$8:$F$500,'💸 Expenses'!$E$8:$E$500,$A25,'💸 Expenses'!$B$8:$B$500,"&gt;="&amp;DATE(2026,5,1),'💸 Expenses'!$B$8:$B$500,"&lt;"&amp;DATE(2026,6,1))</f>
        <v/>
      </c>
      <c r="C25" s="413">
        <f>SUMIFS('💸 Expenses'!$F$8:$F$500,'💸 Expenses'!$E$8:$E$500,$A25,'💸 Expenses'!$B$8:$B$500,"&gt;="&amp;DATE(2026,6,1),'💸 Expenses'!$B$8:$B$500,"&lt;"&amp;DATE(2026,7,1))</f>
        <v/>
      </c>
      <c r="D25" s="413">
        <f>SUMIFS('💸 Expenses'!$F$8:$F$500,'💸 Expenses'!$E$8:$E$500,$A25,'💸 Expenses'!$B$8:$B$500,"&gt;="&amp;DATE(2026,7,1),'💸 Expenses'!$B$8:$B$500,"&lt;"&amp;DATE(2026,8,1))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Supplies / Other</t>
        </is>
      </c>
      <c r="B26" s="413">
        <f>SUMIFS('💸 Expenses'!$F$8:$F$500,'💸 Expenses'!$E$8:$E$500,$A26,'💸 Expenses'!$B$8:$B$500,"&gt;="&amp;DATE(2026,5,1),'💸 Expenses'!$B$8:$B$500,"&lt;"&amp;DATE(2026,6,1))</f>
        <v/>
      </c>
      <c r="C26" s="413">
        <f>SUMIFS('💸 Expenses'!$F$8:$F$500,'💸 Expenses'!$E$8:$E$500,$A26,'💸 Expenses'!$B$8:$B$500,"&gt;="&amp;DATE(2026,6,1),'💸 Expenses'!$B$8:$B$500,"&lt;"&amp;DATE(2026,7,1))</f>
        <v/>
      </c>
      <c r="D26" s="413">
        <f>SUMIFS('💸 Expenses'!$F$8:$F$500,'💸 Expenses'!$E$8:$E$500,$A26,'💸 Expenses'!$B$8:$B$500,"&gt;="&amp;DATE(2026,7,1),'💸 Expenses'!$B$8:$B$500,"&lt;"&amp;DATE(2026,8,1))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Supermarket / General</t>
        </is>
      </c>
      <c r="B27" s="413">
        <f>SUMIFS('💸 Expenses'!$F$8:$F$500,'💸 Expenses'!$E$8:$E$500,$A27,'💸 Expenses'!$B$8:$B$500,"&gt;="&amp;DATE(2026,5,1),'💸 Expenses'!$B$8:$B$500,"&lt;"&amp;DATE(2026,6,1))</f>
        <v/>
      </c>
      <c r="C27" s="413">
        <f>SUMIFS('💸 Expenses'!$F$8:$F$500,'💸 Expenses'!$E$8:$E$500,$A27,'💸 Expenses'!$B$8:$B$500,"&gt;="&amp;DATE(2026,6,1),'💸 Expenses'!$B$8:$B$500,"&lt;"&amp;DATE(2026,7,1))</f>
        <v/>
      </c>
      <c r="D27" s="413">
        <f>SUMIFS('💸 Expenses'!$F$8:$F$500,'💸 Expenses'!$E$8:$E$500,$A27,'💸 Expenses'!$B$8:$B$500,"&gt;="&amp;DATE(2026,7,1),'💸 Expenses'!$B$8:$B$500,"&lt;"&amp;DATE(2026,8,1))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Maintenance</t>
        </is>
      </c>
      <c r="B28" s="413">
        <f>SUMIFS('💸 Expenses'!$F$8:$F$500,'💸 Expenses'!$E$8:$E$500,$A28,'💸 Expenses'!$B$8:$B$500,"&gt;="&amp;DATE(2026,5,1),'💸 Expenses'!$B$8:$B$500,"&lt;"&amp;DATE(2026,6,1))</f>
        <v/>
      </c>
      <c r="C28" s="413">
        <f>SUMIFS('💸 Expenses'!$F$8:$F$500,'💸 Expenses'!$E$8:$E$500,$A28,'💸 Expenses'!$B$8:$B$500,"&gt;="&amp;DATE(2026,6,1),'💸 Expenses'!$B$8:$B$500,"&lt;"&amp;DATE(2026,7,1))</f>
        <v/>
      </c>
      <c r="D28" s="413">
        <f>SUMIFS('💸 Expenses'!$F$8:$F$500,'💸 Expenses'!$E$8:$E$500,$A28,'💸 Expenses'!$B$8:$B$500,"&gt;="&amp;DATE(2026,7,1),'💸 Expenses'!$B$8:$B$500,"&lt;"&amp;DATE(2026,8,1))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Ingredients - Meat &amp; Fish</t>
        </is>
      </c>
      <c r="B29" s="413">
        <f>SUMIFS('💸 Expenses'!$F$8:$F$500,'💸 Expenses'!$E$8:$E$500,$A29,'💸 Expenses'!$B$8:$B$500,"&gt;="&amp;DATE(2026,5,1),'💸 Expenses'!$B$8:$B$500,"&lt;"&amp;DATE(2026,6,1))</f>
        <v/>
      </c>
      <c r="C29" s="413">
        <f>SUMIFS('💸 Expenses'!$F$8:$F$500,'💸 Expenses'!$E$8:$E$500,$A29,'💸 Expenses'!$B$8:$B$500,"&gt;="&amp;DATE(2026,6,1),'💸 Expenses'!$B$8:$B$500,"&lt;"&amp;DATE(2026,7,1))</f>
        <v/>
      </c>
      <c r="D29" s="413">
        <f>SUMIFS('💸 Expenses'!$F$8:$F$500,'💸 Expenses'!$E$8:$E$500,$A29,'💸 Expenses'!$B$8:$B$500,"&gt;="&amp;DATE(2026,7,1),'💸 Expenses'!$B$8:$B$500,"&lt;"&amp;DATE(2026,8,1))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Packaging/Disposables</t>
        </is>
      </c>
      <c r="B30" s="413">
        <f>SUMIFS('💸 Expenses'!$F$8:$F$500,'💸 Expenses'!$E$8:$E$500,$A30,'💸 Expenses'!$B$8:$B$500,"&gt;="&amp;DATE(2026,5,1),'💸 Expenses'!$B$8:$B$500,"&lt;"&amp;DATE(2026,6,1))</f>
        <v/>
      </c>
      <c r="C30" s="413">
        <f>SUMIFS('💸 Expenses'!$F$8:$F$500,'💸 Expenses'!$E$8:$E$500,$A30,'💸 Expenses'!$B$8:$B$500,"&gt;="&amp;DATE(2026,6,1),'💸 Expenses'!$B$8:$B$500,"&lt;"&amp;DATE(2026,7,1))</f>
        <v/>
      </c>
      <c r="D30" s="413">
        <f>SUMIFS('💸 Expenses'!$F$8:$F$500,'💸 Expenses'!$E$8:$E$500,$A30,'💸 Expenses'!$B$8:$B$500,"&gt;="&amp;DATE(2026,7,1),'💸 Expenses'!$B$8:$B$500,"&lt;"&amp;DATE(2026,8,1))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Ingredients - Fruit</t>
        </is>
      </c>
      <c r="B31" s="413">
        <f>SUMIFS('💸 Expenses'!$F$8:$F$500,'💸 Expenses'!$E$8:$E$500,$A31,'💸 Expenses'!$B$8:$B$500,"&gt;="&amp;DATE(2026,5,1),'💸 Expenses'!$B$8:$B$500,"&lt;"&amp;DATE(2026,6,1))</f>
        <v/>
      </c>
      <c r="C31" s="413">
        <f>SUMIFS('💸 Expenses'!$F$8:$F$500,'💸 Expenses'!$E$8:$E$500,$A31,'💸 Expenses'!$B$8:$B$500,"&gt;="&amp;DATE(2026,6,1),'💸 Expenses'!$B$8:$B$500,"&lt;"&amp;DATE(2026,7,1))</f>
        <v/>
      </c>
      <c r="D31" s="413">
        <f>SUMIFS('💸 Expenses'!$F$8:$F$500,'💸 Expenses'!$E$8:$E$500,$A31,'💸 Expenses'!$B$8:$B$500,"&gt;="&amp;DATE(2026,7,1),'💸 Expenses'!$B$8:$B$500,"&lt;"&amp;DATE(2026,8,1))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Utilities / Gas</t>
        </is>
      </c>
      <c r="B32" s="413">
        <f>SUMIFS('💸 Expenses'!$F$8:$F$500,'💸 Expenses'!$E$8:$E$500,$A32,'💸 Expenses'!$B$8:$B$500,"&gt;="&amp;DATE(2026,5,1),'💸 Expenses'!$B$8:$B$500,"&lt;"&amp;DATE(2026,6,1))</f>
        <v/>
      </c>
      <c r="C32" s="413">
        <f>SUMIFS('💸 Expenses'!$F$8:$F$500,'💸 Expenses'!$E$8:$E$500,$A32,'💸 Expenses'!$B$8:$B$500,"&gt;="&amp;DATE(2026,6,1),'💸 Expenses'!$B$8:$B$500,"&lt;"&amp;DATE(2026,7,1))</f>
        <v/>
      </c>
      <c r="D32" s="413">
        <f>SUMIFS('💸 Expenses'!$F$8:$F$500,'💸 Expenses'!$E$8:$E$500,$A32,'💸 Expenses'!$B$8:$B$500,"&gt;="&amp;DATE(2026,7,1),'💸 Expenses'!$B$8:$B$500,"&lt;"&amp;DATE(2026,8,1))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Ingredients - Other</t>
        </is>
      </c>
      <c r="B33" s="413">
        <f>SUMIFS('💸 Expenses'!$F$8:$F$500,'💸 Expenses'!$E$8:$E$500,$A33,'💸 Expenses'!$B$8:$B$500,"&gt;="&amp;DATE(2026,5,1),'💸 Expenses'!$B$8:$B$500,"&lt;"&amp;DATE(2026,6,1))</f>
        <v/>
      </c>
      <c r="C33" s="413">
        <f>SUMIFS('💸 Expenses'!$F$8:$F$500,'💸 Expenses'!$E$8:$E$500,$A33,'💸 Expenses'!$B$8:$B$500,"&gt;="&amp;DATE(2026,6,1),'💸 Expenses'!$B$8:$B$500,"&lt;"&amp;DATE(2026,7,1))</f>
        <v/>
      </c>
      <c r="D33" s="413">
        <f>SUMIFS('💸 Expenses'!$F$8:$F$500,'💸 Expenses'!$E$8:$E$500,$A33,'💸 Expenses'!$B$8:$B$500,"&gt;="&amp;DATE(2026,7,1),'💸 Expenses'!$B$8:$B$500,"&lt;"&amp;DATE(2026,8,1))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Office Supplies</t>
        </is>
      </c>
      <c r="B34" s="413">
        <f>SUMIFS('💸 Expenses'!$F$8:$F$500,'💸 Expenses'!$E$8:$E$500,$A34,'💸 Expenses'!$B$8:$B$500,"&gt;="&amp;DATE(2026,5,1),'💸 Expenses'!$B$8:$B$500,"&lt;"&amp;DATE(2026,6,1))</f>
        <v/>
      </c>
      <c r="C34" s="413">
        <f>SUMIFS('💸 Expenses'!$F$8:$F$500,'💸 Expenses'!$E$8:$E$500,$A34,'💸 Expenses'!$B$8:$B$500,"&gt;="&amp;DATE(2026,6,1),'💸 Expenses'!$B$8:$B$500,"&lt;"&amp;DATE(2026,7,1))</f>
        <v/>
      </c>
      <c r="D34" s="413">
        <f>SUMIFS('💸 Expenses'!$F$8:$F$500,'💸 Expenses'!$E$8:$E$500,$A34,'💸 Expenses'!$B$8:$B$500,"&gt;="&amp;DATE(2026,7,1),'💸 Expenses'!$B$8:$B$500,"&lt;"&amp;DATE(2026,8,1))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Utilities/Internet</t>
        </is>
      </c>
      <c r="B35" s="413">
        <f>SUMIFS('💸 Expenses'!$F$8:$F$500,'💸 Expenses'!$E$8:$E$500,$A35,'💸 Expenses'!$B$8:$B$500,"&gt;="&amp;DATE(2026,5,1),'💸 Expenses'!$B$8:$B$500,"&lt;"&amp;DATE(2026,6,1))</f>
        <v/>
      </c>
      <c r="C35" s="413">
        <f>SUMIFS('💸 Expenses'!$F$8:$F$500,'💸 Expenses'!$E$8:$E$500,$A35,'💸 Expenses'!$B$8:$B$500,"&gt;="&amp;DATE(2026,6,1),'💸 Expenses'!$B$8:$B$500,"&lt;"&amp;DATE(2026,7,1))</f>
        <v/>
      </c>
      <c r="D35" s="413">
        <f>SUMIFS('💸 Expenses'!$F$8:$F$500,'💸 Expenses'!$E$8:$E$500,$A35,'💸 Expenses'!$B$8:$B$500,"&gt;="&amp;DATE(2026,7,1),'💸 Expenses'!$B$8:$B$500,"&lt;"&amp;DATE(2026,8,1))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Kitchen Supplies</t>
        </is>
      </c>
      <c r="B36" s="413">
        <f>SUMIFS('💸 Expenses'!$F$8:$F$500,'💸 Expenses'!$E$8:$E$500,$A36,'💸 Expenses'!$B$8:$B$500,"&gt;="&amp;DATE(2026,5,1),'💸 Expenses'!$B$8:$B$500,"&lt;"&amp;DATE(2026,6,1))</f>
        <v/>
      </c>
      <c r="C36" s="413">
        <f>SUMIFS('💸 Expenses'!$F$8:$F$500,'💸 Expenses'!$E$8:$E$500,$A36,'💸 Expenses'!$B$8:$B$500,"&gt;="&amp;DATE(2026,6,1),'💸 Expenses'!$B$8:$B$500,"&lt;"&amp;DATE(2026,7,1))</f>
        <v/>
      </c>
      <c r="D36" s="413">
        <f>SUMIFS('💸 Expenses'!$F$8:$F$500,'💸 Expenses'!$E$8:$E$500,$A36,'💸 Expenses'!$B$8:$B$500,"&gt;="&amp;DATE(2026,7,1),'💸 Expenses'!$B$8:$B$500,"&lt;"&amp;DATE(2026,8,1))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Software / Subscription</t>
        </is>
      </c>
      <c r="B37" s="413">
        <f>SUMIFS('💸 Expenses'!$F$8:$F$500,'💸 Expenses'!$E$8:$E$500,$A37,'💸 Expenses'!$B$8:$B$500,"&gt;="&amp;DATE(2026,5,1),'💸 Expenses'!$B$8:$B$500,"&lt;"&amp;DATE(2026,6,1))</f>
        <v/>
      </c>
      <c r="C37" s="413">
        <f>SUMIFS('💸 Expenses'!$F$8:$F$500,'💸 Expenses'!$E$8:$E$500,$A37,'💸 Expenses'!$B$8:$B$500,"&gt;="&amp;DATE(2026,6,1),'💸 Expenses'!$B$8:$B$500,"&lt;"&amp;DATE(2026,7,1))</f>
        <v/>
      </c>
      <c r="D37" s="413">
        <f>SUMIFS('💸 Expenses'!$F$8:$F$500,'💸 Expenses'!$E$8:$E$500,$A37,'💸 Expenses'!$B$8:$B$500,"&gt;="&amp;DATE(2026,7,1),'💸 Expenses'!$B$8:$B$500,"&lt;"&amp;DATE(2026,8,1))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Staff - Advance</t>
        </is>
      </c>
      <c r="B38" s="413">
        <f>SUMIFS('💸 Expenses'!$F$8:$F$500,'💸 Expenses'!$E$8:$E$500,$A38,'💸 Expenses'!$B$8:$B$500,"&gt;="&amp;DATE(2026,5,1),'💸 Expenses'!$B$8:$B$500,"&lt;"&amp;DATE(2026,6,1))</f>
        <v/>
      </c>
      <c r="C38" s="413">
        <f>SUMIFS('💸 Expenses'!$F$8:$F$500,'💸 Expenses'!$E$8:$E$500,$A38,'💸 Expenses'!$B$8:$B$500,"&gt;="&amp;DATE(2026,6,1),'💸 Expenses'!$B$8:$B$500,"&lt;"&amp;DATE(2026,7,1))</f>
        <v/>
      </c>
      <c r="D38" s="413">
        <f>SUMIFS('💸 Expenses'!$F$8:$F$500,'💸 Expenses'!$E$8:$E$500,$A38,'💸 Expenses'!$B$8:$B$500,"&gt;="&amp;DATE(2026,7,1),'💸 Expenses'!$B$8:$B$500,"&lt;"&amp;DATE(2026,8,1))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Utilities / Internet</t>
        </is>
      </c>
      <c r="B39" s="413">
        <f>SUMIFS('💸 Expenses'!$F$8:$F$500,'💸 Expenses'!$E$8:$E$500,$A39,'💸 Expenses'!$B$8:$B$500,"&gt;="&amp;DATE(2026,5,1),'💸 Expenses'!$B$8:$B$500,"&lt;"&amp;DATE(2026,6,1))</f>
        <v/>
      </c>
      <c r="C39" s="413">
        <f>SUMIFS('💸 Expenses'!$F$8:$F$500,'💸 Expenses'!$E$8:$E$500,$A39,'💸 Expenses'!$B$8:$B$500,"&gt;="&amp;DATE(2026,6,1),'💸 Expenses'!$B$8:$B$500,"&lt;"&amp;DATE(2026,7,1))</f>
        <v/>
      </c>
      <c r="D39" s="413">
        <f>SUMIFS('💸 Expenses'!$F$8:$F$500,'💸 Expenses'!$E$8:$E$500,$A39,'💸 Expenses'!$B$8:$B$500,"&gt;="&amp;DATE(2026,7,1),'💸 Expenses'!$B$8:$B$500,"&lt;"&amp;DATE(2026,8,1))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Packaging / Disposables</t>
        </is>
      </c>
      <c r="B40" s="413">
        <f>SUMIFS('💸 Expenses'!$F$8:$F$500,'💸 Expenses'!$E$8:$E$500,$A40,'💸 Expenses'!$B$8:$B$500,"&gt;="&amp;DATE(2026,5,1),'💸 Expenses'!$B$8:$B$500,"&lt;"&amp;DATE(2026,6,1))</f>
        <v/>
      </c>
      <c r="C40" s="413">
        <f>SUMIFS('💸 Expenses'!$F$8:$F$500,'💸 Expenses'!$E$8:$E$500,$A40,'💸 Expenses'!$B$8:$B$500,"&gt;="&amp;DATE(2026,6,1),'💸 Expenses'!$B$8:$B$500,"&lt;"&amp;DATE(2026,7,1))</f>
        <v/>
      </c>
      <c r="D40" s="413">
        <f>SUMIFS('💸 Expenses'!$F$8:$F$500,'💸 Expenses'!$E$8:$E$500,$A40,'💸 Expenses'!$B$8:$B$500,"&gt;="&amp;DATE(2026,7,1),'💸 Expenses'!$B$8:$B$500,"&lt;"&amp;DATE(2026,8,1))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5" t="inlineStr">
        <is>
          <t>Ingredients - Desserts</t>
        </is>
      </c>
      <c r="B41" s="413">
        <f>SUMIFS('💸 Expenses'!$F$8:$F$500,'💸 Expenses'!$E$8:$E$500,$A41,'💸 Expenses'!$B$8:$B$500,"&gt;="&amp;DATE(2026,5,1),'💸 Expenses'!$B$8:$B$500,"&lt;"&amp;DATE(2026,6,1))</f>
        <v/>
      </c>
      <c r="C41" s="413">
        <f>SUMIFS('💸 Expenses'!$F$8:$F$500,'💸 Expenses'!$E$8:$E$500,$A41,'💸 Expenses'!$B$8:$B$500,"&gt;="&amp;DATE(2026,6,1),'💸 Expenses'!$B$8:$B$500,"&lt;"&amp;DATE(2026,7,1))</f>
        <v/>
      </c>
      <c r="D41" s="413">
        <f>SUMIFS('💸 Expenses'!$F$8:$F$500,'💸 Expenses'!$E$8:$E$500,$A41,'💸 Expenses'!$B$8:$B$500,"&gt;="&amp;DATE(2026,7,1),'💸 Expenses'!$B$8:$B$500,"&lt;"&amp;DATE(2026,8,1))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5" t="inlineStr">
        <is>
          <t>Ingredients - Eggs</t>
        </is>
      </c>
      <c r="B42" s="413">
        <f>SUMIFS('💸 Expenses'!$F$8:$F$500,'💸 Expenses'!$E$8:$E$500,$A42,'💸 Expenses'!$B$8:$B$500,"&gt;="&amp;DATE(2026,5,1),'💸 Expenses'!$B$8:$B$500,"&lt;"&amp;DATE(2026,6,1))</f>
        <v/>
      </c>
      <c r="C42" s="413">
        <f>SUMIFS('💸 Expenses'!$F$8:$F$500,'💸 Expenses'!$E$8:$E$500,$A42,'💸 Expenses'!$B$8:$B$500,"&gt;="&amp;DATE(2026,6,1),'💸 Expenses'!$B$8:$B$500,"&lt;"&amp;DATE(2026,7,1))</f>
        <v/>
      </c>
      <c r="D42" s="413">
        <f>SUMIFS('💸 Expenses'!$F$8:$F$500,'💸 Expenses'!$E$8:$E$500,$A42,'💸 Expenses'!$B$8:$B$500,"&gt;="&amp;DATE(2026,7,1),'💸 Expenses'!$B$8:$B$500,"&lt;"&amp;DATE(2026,8,1))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15" t="inlineStr">
        <is>
          <t>Staff - Propinas</t>
        </is>
      </c>
      <c r="B43" s="413">
        <f>SUMIFS('💸 Expenses'!$F$8:$F$500,'💸 Expenses'!$E$8:$E$500,$A43,'💸 Expenses'!$B$8:$B$500,"&gt;="&amp;DATE(2026,5,1),'💸 Expenses'!$B$8:$B$500,"&lt;"&amp;DATE(2026,6,1))</f>
        <v/>
      </c>
      <c r="C43" s="413">
        <f>SUMIFS('💸 Expenses'!$F$8:$F$500,'💸 Expenses'!$E$8:$E$500,$A43,'💸 Expenses'!$B$8:$B$500,"&gt;="&amp;DATE(2026,6,1),'💸 Expenses'!$B$8:$B$500,"&lt;"&amp;DATE(2026,7,1))</f>
        <v/>
      </c>
      <c r="D43" s="413">
        <f>SUMIFS('💸 Expenses'!$F$8:$F$500,'💸 Expenses'!$E$8:$E$500,$A43,'💸 Expenses'!$B$8:$B$500,"&gt;="&amp;DATE(2026,7,1),'💸 Expenses'!$B$8:$B$500,"&lt;"&amp;DATE(2026,8,1))</f>
        <v/>
      </c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15" t="inlineStr">
        <is>
          <t>Ingredients - Produce</t>
        </is>
      </c>
      <c r="B44" s="413">
        <f>SUMIFS('💸 Expenses'!$F$8:$F$500,'💸 Expenses'!$E$8:$E$500,$A44,'💸 Expenses'!$B$8:$B$500,"&gt;="&amp;DATE(2026,5,1),'💸 Expenses'!$B$8:$B$500,"&lt;"&amp;DATE(2026,6,1))</f>
        <v/>
      </c>
      <c r="C44" s="413">
        <f>SUMIFS('💸 Expenses'!$F$8:$F$500,'💸 Expenses'!$E$8:$E$500,$A44,'💸 Expenses'!$B$8:$B$500,"&gt;="&amp;DATE(2026,6,1),'💸 Expenses'!$B$8:$B$500,"&lt;"&amp;DATE(2026,7,1))</f>
        <v/>
      </c>
      <c r="D44" s="413">
        <f>SUMIFS('💸 Expenses'!$F$8:$F$500,'💸 Expenses'!$E$8:$E$500,$A44,'💸 Expenses'!$B$8:$B$500,"&gt;="&amp;DATE(2026,7,1),'💸 Expenses'!$B$8:$B$500,"&lt;"&amp;DATE(2026,8,1))</f>
        <v/>
      </c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12" t="inlineStr">
        <is>
          <t>TOTAL EXPENSES</t>
        </is>
      </c>
      <c r="B45" s="414">
        <f>SUMIFS('💸 Expenses'!$F$8:$F$500,'💸 Expenses'!$B$8:$B$500,"&gt;="&amp;DATE(2026,5,1),'💸 Expenses'!$B$8:$B$500,"&lt;"&amp;DATE(2026,6,1))</f>
        <v/>
      </c>
      <c r="C45" s="414">
        <f>SUMIFS('💸 Expenses'!$F$8:$F$500,'💸 Expenses'!$B$8:$B$500,"&gt;="&amp;DATE(2026,6,1),'💸 Expenses'!$B$8:$B$500,"&lt;"&amp;DATE(2026,7,1))</f>
        <v/>
      </c>
      <c r="D45" s="414">
        <f>SUMIFS('💸 Expenses'!$F$8:$F$500,'💸 Expenses'!$B$8:$B$500,"&gt;="&amp;DATE(2026,7,1),'💸 Expenses'!$B$8:$B$500,"&lt;"&amp;DATE(2026,8,1))</f>
        <v/>
      </c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12" t="inlineStr">
        <is>
          <t>NET PROFIT / LOSS</t>
        </is>
      </c>
      <c r="B46" s="414">
        <f>B4-B45</f>
        <v/>
      </c>
      <c r="C46" s="414">
        <f>C4-C45</f>
        <v/>
      </c>
      <c r="D46" s="414">
        <f>D4-D45</f>
        <v/>
      </c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inlineStr">
        <is>
          <t>TOTALS &amp; CURRENT BALANCE</t>
        </is>
      </c>
      <c r="B47" s="232" t="n"/>
      <c r="C47" s="232" t="n"/>
      <c r="D47" s="232">
        <f>SUM(D4:D46)</f>
        <v/>
      </c>
      <c r="E47" s="233">
        <f>SUM(E4:E46)</f>
        <v/>
      </c>
      <c r="F47" s="233">
        <f>F46</f>
        <v/>
      </c>
      <c r="G47" s="232">
        <f>IF(F46&gt;0,"Restaurant owes Lohith $"&amp;TEXT(F46,"#,##0"),IF(F46&lt;0,"Lohith holds $"&amp;TEXT(ABS(F46),"#,##0"),"Zero balance"))</f>
        <v/>
      </c>
      <c r="H47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2026-07-24T00:00:07Z</dcterms:modified>
  <cp:lastModifiedBy>LOHITH REDDY</cp:lastModifiedBy>
</cp:coreProperties>
</file>