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-9264.030000000001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116669.97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7170.0</v>
      </c>
      <c r="G6" s="31">
        <f>SUMIFS($G$8:$G$5000,$B$8:$B$5000,TODAY())</f>
        <v>0.0</v>
      </c>
      <c r="H6" s="28">
        <f>SUMIFS($H$8:$H$5000,$B$8:$B$5000,TODAY())</f>
        <v>45.0</v>
      </c>
      <c r="I6" s="32">
        <f>F6-H6</f>
        <v>3090.0</v>
      </c>
      <c r="J6">
        <f>IFERROR(I6/F6,0)</f>
        <v>0.985646</v>
      </c>
      <c r="K6" s="28" t="n"/>
      <c r="L6" s="31" t="n"/>
      <c r="M6" s="28">
        <f>SUMIFS($F$8:$F$5000,$B$8:$B$5000,"&gt;="&amp;(TODAY()-WEEKDAY(TODAY(),2)+1),$B$8:$B$5000,"&lt;"&amp;(TODAY()-WEEKDAY(TODAY(),2)+8))</f>
        <v>7170.0</v>
      </c>
      <c r="N6" s="33">
        <f>SUMIFS($F$8:$F$5000,$B$8:$B$5000,"&gt;="&amp;(TODAY()-WEEKDAY(TODAY(),2)+1),$B$8:$B$5000,"&lt;"&amp;(TODAY()-WEEKDAY(TODAY(),2)+8))</f>
        <v>7170.0</v>
      </c>
      <c r="O6" s="33">
        <f>SUMIFS($F$8:$F$5000,$B$8:$B$5000,"&gt;="&amp;DATE(YEAR(TODAY()),MONTH(TODAY()),1),$B$8:$B$5000,"&lt;"&amp;DATE(YEAR(TODAY()),MONTH(TODAY())+1,1))</f>
        <v>7170.0</v>
      </c>
      <c r="P6">
        <f>SUMIFS('💸 Expenses'!$F$8:$F$5000,'💸 Expenses'!$B$8:$B$5000,"&gt;="&amp;(TODAY()-WEEKDAY(TODAY(),2)+1),'💸 Expenses'!$B$8:$B$5000,"&lt;"&amp;(TODAY()-WEEKDAY(TODAY(),2)+8))</f>
        <v>2619.0</v>
      </c>
      <c r="Q6">
        <f>M6-P6</f>
        <v>4551.0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1925125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2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1925125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1925125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1925125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1925125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1925125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15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2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5" t="inlineStr">
        <is>
          <t>Oct 7170</t>
        </is>
      </c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7">
        <f>SUMIFS('📅 Daily Log'!$F$8:$F$5000,'📅 Daily Log'!$B$8:$B$5000,"&gt;="&amp;DATE(7170,10,1),'📅 Daily Log'!$B$8:$B$5000,"&lt;"&amp;DATE(7170,11,1))</f>
        <v/>
      </c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7">
        <f>SUMIFS('💸 Expenses'!$F$8:$F$5000,'💸 Expenses'!$B$8:$B$5000,"&gt;="&amp;DATE(7170,10,1),'💸 Expenses'!$B$8:$B$5000,"&lt;"&amp;DATE(7170,11,1))</f>
        <v/>
      </c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8">
        <f>H4-H5</f>
        <v/>
      </c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40">
        <f>COUNTIFS('📅 Daily Log'!$F$8:$F$5000,"&gt;0",'📅 Daily Log'!$B$8:$B$5000,"&gt;="&amp;DATE(7170,10,1),'📅 Daily Log'!$B$8:$B$5000,"&lt;"&amp;DATE(7170,11,1))</f>
        <v/>
      </c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7">
        <f>IFERROR(H4/H7,0)</f>
        <v/>
      </c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5" t="inlineStr">
        <is>
          <t>Oct 7170</t>
        </is>
      </c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7">
        <f>SUMIFS('📅 Daily Log'!$D$8:$D$5000,'📅 Daily Log'!$B$8:$B$5000,"&gt;="&amp;DATE(7170,10,1),'📅 Daily Log'!$B$8:$B$5000,"&lt;"&amp;DATE(7170,11,1))+SUMIFS('📅 Daily Log'!$U$8:$U$5000,'📅 Daily Log'!$B$8:$B$5000,"&gt;="&amp;DATE(7170,10,1),'📅 Daily Log'!$B$8:$B$5000,"&lt;"&amp;DATE(7170,11,1))+SUMIFS('📅 Daily Log'!$Y$8:$Y$5000,'📅 Daily Log'!$B$8:$B$5000,"&gt;="&amp;DATE(7170,10,1),'📅 Daily Log'!$B$8:$B$5000,"&lt;"&amp;DATE(7170,11,1))</f>
        <v/>
      </c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7">
        <f>SUMIFS('📅 Daily Log'!$E$8:$E$5000,'📅 Daily Log'!$B$8:$B$5000,"&gt;="&amp;DATE(7170,10,1),'📅 Daily Log'!$B$8:$B$5000,"&lt;"&amp;DATE(7170,11,1))</f>
        <v/>
      </c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7">
        <f>SUMIFS('📅 Daily Log'!$G$8:$G$5000,'📅 Daily Log'!$B$8:$B$5000,"&gt;="&amp;DATE(7170,10,1),'📅 Daily Log'!$B$8:$B$5000,"&lt;"&amp;DATE(7170,11,1))</f>
        <v/>
      </c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8">
        <f>H11+H12+H13</f>
        <v/>
      </c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5" t="inlineStr">
        <is>
          <t>Oct 7170</t>
        </is>
      </c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7">
        <f>SUMIFS('💸 Expenses'!$F$8:$F$5000,'💸 Expenses'!$E$8:$E$5000,$A17,'💸 Expenses'!$B$8:$B$5000,"&gt;="&amp;DATE(7170,10,1),'💸 Expenses'!$B$8:$B$5000,"&lt;"&amp;DATE(7170,11,1))</f>
        <v/>
      </c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7">
        <f>SUMIFS('💸 Expenses'!$F$8:$F$5000,'💸 Expenses'!$E$8:$E$5000,$A18,'💸 Expenses'!$B$8:$B$5000,"&gt;="&amp;DATE(7170,10,1),'💸 Expenses'!$B$8:$B$5000,"&lt;"&amp;DATE(7170,11,1))</f>
        <v/>
      </c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7">
        <f>SUMIFS('💸 Expenses'!$F$8:$F$5000,'💸 Expenses'!$E$8:$E$5000,$A19,'💸 Expenses'!$B$8:$B$5000,"&gt;="&amp;DATE(7170,10,1),'💸 Expenses'!$B$8:$B$5000,"&lt;"&amp;DATE(7170,11,1))</f>
        <v/>
      </c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7">
        <f>SUMIFS('💸 Expenses'!$F$8:$F$5000,'💸 Expenses'!$E$8:$E$5000,$A20,'💸 Expenses'!$B$8:$B$5000,"&gt;="&amp;DATE(7170,10,1),'💸 Expenses'!$B$8:$B$5000,"&lt;"&amp;DATE(7170,11,1))</f>
        <v/>
      </c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7">
        <f>SUMIFS('💸 Expenses'!$F$8:$F$5000,'💸 Expenses'!$E$8:$E$5000,$A21,'💸 Expenses'!$B$8:$B$5000,"&gt;="&amp;DATE(7170,10,1),'💸 Expenses'!$B$8:$B$5000,"&lt;"&amp;DATE(7170,11,1))</f>
        <v/>
      </c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7">
        <f>SUMIFS('💸 Expenses'!$F$8:$F$5000,'💸 Expenses'!$E$8:$E$5000,$A22,'💸 Expenses'!$B$8:$B$5000,"&gt;="&amp;DATE(7170,10,1),'💸 Expenses'!$B$8:$B$5000,"&lt;"&amp;DATE(7170,11,1))</f>
        <v/>
      </c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7">
        <f>SUMIFS('💸 Expenses'!$F$8:$F$5000,'💸 Expenses'!$E$8:$E$5000,$A23,'💸 Expenses'!$B$8:$B$5000,"&gt;="&amp;DATE(7170,10,1),'💸 Expenses'!$B$8:$B$5000,"&lt;"&amp;DATE(7170,11,1))</f>
        <v/>
      </c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7">
        <f>SUMIFS('💸 Expenses'!$F$8:$F$5000,'💸 Expenses'!$E$8:$E$5000,$A24,'💸 Expenses'!$B$8:$B$5000,"&gt;="&amp;DATE(7170,10,1),'💸 Expenses'!$B$8:$B$5000,"&lt;"&amp;DATE(7170,11,1))</f>
        <v/>
      </c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7">
        <f>SUMIFS('💸 Expenses'!$F$8:$F$5000,'💸 Expenses'!$E$8:$E$5000,$A25,'💸 Expenses'!$B$8:$B$5000,"&gt;="&amp;DATE(7170,10,1),'💸 Expenses'!$B$8:$B$5000,"&lt;"&amp;DATE(7170,11,1))</f>
        <v/>
      </c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7">
        <f>SUMIFS('💸 Expenses'!$F$8:$F$5000,'💸 Expenses'!$E$8:$E$5000,$A26,'💸 Expenses'!$B$8:$B$5000,"&gt;="&amp;DATE(7170,10,1),'💸 Expenses'!$B$8:$B$5000,"&lt;"&amp;DATE(7170,11,1))</f>
        <v/>
      </c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7">
        <f>SUMIFS('💸 Expenses'!$F$8:$F$5000,'💸 Expenses'!$E$8:$E$5000,$A27,'💸 Expenses'!$B$8:$B$5000,"&gt;="&amp;DATE(7170,10,1),'💸 Expenses'!$B$8:$B$5000,"&lt;"&amp;DATE(7170,11,1))</f>
        <v/>
      </c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7">
        <f>SUMIFS('💸 Expenses'!$F$8:$F$5000,'💸 Expenses'!$E$8:$E$5000,$A28,'💸 Expenses'!$B$8:$B$5000,"&gt;="&amp;DATE(7170,10,1),'💸 Expenses'!$B$8:$B$5000,"&lt;"&amp;DATE(7170,11,1))</f>
        <v/>
      </c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7">
        <f>SUMIFS('💸 Expenses'!$F$8:$F$5000,'💸 Expenses'!$E$8:$E$5000,$A29,'💸 Expenses'!$B$8:$B$5000,"&gt;="&amp;DATE(7170,10,1),'💸 Expenses'!$B$8:$B$5000,"&lt;"&amp;DATE(7170,11,1))</f>
        <v/>
      </c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7">
        <f>SUMIFS('💸 Expenses'!$F$8:$F$5000,'💸 Expenses'!$E$8:$E$5000,$A30,'💸 Expenses'!$B$8:$B$5000,"&gt;="&amp;DATE(7170,10,1),'💸 Expenses'!$B$8:$B$5000,"&lt;"&amp;DATE(7170,11,1))</f>
        <v/>
      </c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7">
        <f>SUMIFS('💸 Expenses'!$F$8:$F$5000,'💸 Expenses'!$E$8:$E$5000,$A31,'💸 Expenses'!$B$8:$B$5000,"&gt;="&amp;DATE(7170,10,1),'💸 Expenses'!$B$8:$B$5000,"&lt;"&amp;DATE(7170,11,1))</f>
        <v/>
      </c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7">
        <f>SUMIFS('💸 Expenses'!$F$8:$F$5000,'💸 Expenses'!$E$8:$E$5000,$A32,'💸 Expenses'!$B$8:$B$5000,"&gt;="&amp;DATE(7170,10,1),'💸 Expenses'!$B$8:$B$5000,"&lt;"&amp;DATE(7170,11,1))</f>
        <v/>
      </c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7">
        <f>SUMIFS('💸 Expenses'!$F$8:$F$5000,'💸 Expenses'!$E$8:$E$5000,$A33,'💸 Expenses'!$B$8:$B$5000,"&gt;="&amp;DATE(7170,10,1),'💸 Expenses'!$B$8:$B$5000,"&lt;"&amp;DATE(7170,11,1))</f>
        <v/>
      </c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7">
        <f>SUMIFS('💸 Expenses'!$F$8:$F$5000,'💸 Expenses'!$E$8:$E$5000,$A34,'💸 Expenses'!$B$8:$B$5000,"&gt;="&amp;DATE(7170,10,1),'💸 Expenses'!$B$8:$B$5000,"&lt;"&amp;DATE(7170,11,1))</f>
        <v/>
      </c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7">
        <f>SUMIFS('💸 Expenses'!$F$8:$F$5000,'💸 Expenses'!$E$8:$E$5000,$A35,'💸 Expenses'!$B$8:$B$5000,"&gt;="&amp;DATE(7170,10,1),'💸 Expenses'!$B$8:$B$5000,"&lt;"&amp;DATE(7170,11,1))</f>
        <v/>
      </c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7">
        <f>SUMIFS('💸 Expenses'!$F$8:$F$5000,'💸 Expenses'!$E$8:$E$5000,$A36,'💸 Expenses'!$B$8:$B$5000,"&gt;="&amp;DATE(7170,10,1),'💸 Expenses'!$B$8:$B$5000,"&lt;"&amp;DATE(7170,11,1))</f>
        <v/>
      </c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7">
        <f>SUMIFS('💸 Expenses'!$F$8:$F$5000,'💸 Expenses'!$E$8:$E$5000,$A37,'💸 Expenses'!$B$8:$B$5000,"&gt;="&amp;DATE(7170,10,1),'💸 Expenses'!$B$8:$B$5000,"&lt;"&amp;DATE(7170,11,1))</f>
        <v/>
      </c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7">
        <f>SUMIFS('💸 Expenses'!$F$8:$F$5000,'💸 Expenses'!$E$8:$E$5000,$A38,'💸 Expenses'!$B$8:$B$5000,"&gt;="&amp;DATE(7170,10,1),'💸 Expenses'!$B$8:$B$5000,"&lt;"&amp;DATE(7170,11,1))</f>
        <v/>
      </c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7">
        <f>SUMIFS('💸 Expenses'!$F$8:$F$5000,'💸 Expenses'!$E$8:$E$5000,$A39,'💸 Expenses'!$B$8:$B$5000,"&gt;="&amp;DATE(7170,10,1),'💸 Expenses'!$B$8:$B$5000,"&lt;"&amp;DATE(7170,11,1))</f>
        <v/>
      </c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7">
        <f>SUMIFS('💸 Expenses'!$F$8:$F$5000,'💸 Expenses'!$E$8:$E$5000,$A40,'💸 Expenses'!$B$8:$B$5000,"&gt;="&amp;DATE(7170,10,1),'💸 Expenses'!$B$8:$B$5000,"&lt;"&amp;DATE(7170,11,1))</f>
        <v/>
      </c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7">
        <f>SUMIFS('💸 Expenses'!$F$8:$F$5000,'💸 Expenses'!$E$8:$E$5000,$A41,'💸 Expenses'!$B$8:$B$5000,"&gt;="&amp;DATE(7170,10,1),'💸 Expenses'!$B$8:$B$5000,"&lt;"&amp;DATE(7170,11,1))</f>
        <v/>
      </c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7">
        <f>SUMIFS('💸 Expenses'!$F$8:$F$5000,'💸 Expenses'!$E$8:$E$5000,$A42,'💸 Expenses'!$B$8:$B$5000,"&gt;="&amp;DATE(7170,10,1),'💸 Expenses'!$B$8:$B$5000,"&lt;"&amp;DATE(7170,11,1))</f>
        <v/>
      </c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7">
        <f>SUMIFS('💸 Expenses'!$F$8:$F$5000,'💸 Expenses'!$E$8:$E$5000,$A43,'💸 Expenses'!$B$8:$B$5000,"&gt;="&amp;DATE(7170,10,1),'💸 Expenses'!$B$8:$B$5000,"&lt;"&amp;DATE(7170,11,1))</f>
        <v/>
      </c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8">
        <f>SUMIFS('💸 Expenses'!$F$8:$F$5000,'💸 Expenses'!$B$8:$B$5000,"&gt;="&amp;DATE(7170,10,1),'💸 Expenses'!$B$8:$B$5000,"&lt;"&amp;DATE(7170,11,1))</f>
        <v/>
      </c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8">
        <f>H4-H44</f>
        <v/>
      </c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H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6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inlineStr">
        <is>
          <t>TOTALS &amp; CURRENT BALANCE</t>
        </is>
      </c>
      <c r="B116" s="232" t="n"/>
      <c r="C116" s="232" t="n"/>
      <c r="D116" s="232">
        <f>SUM(D4:D115)</f>
        <v/>
      </c>
      <c r="E116" s="233">
        <f>SUM(E4:E115)</f>
        <v/>
      </c>
      <c r="F116" s="233">
        <f>F115</f>
        <v/>
      </c>
      <c r="G116" s="232">
        <f>IF(F115&gt;0,"Restaurant owes Lohith $"&amp;TEXT(F115,"#,##0"),IF(F115&lt;0,"Lohith holds $"&amp;TEXT(ABS(F115),"#,##0"),"Zero balance"))</f>
        <v/>
      </c>
      <c r="H11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2026-10-28T20:29:01Z</dcterms:modified>
  <cp:lastModifiedBy>LOHITH REDDY</cp:lastModifiedBy>
</cp:coreProperties>
</file>