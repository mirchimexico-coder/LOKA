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-3477.46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122456.54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5225.0</v>
      </c>
      <c r="G6" s="31">
        <f>SUMIFS($G$8:$G$5000,$B$8:$B$5000,TODAY())</f>
        <v>990.0</v>
      </c>
      <c r="H6" s="28">
        <f>SUMIFS($H$8:$H$5000,$B$8:$B$5000,TODAY())</f>
        <v>1636.0</v>
      </c>
      <c r="I6" s="32">
        <f>F6-H6</f>
        <v>3589.0</v>
      </c>
      <c r="J6">
        <f>IFERROR(I6/F6,0)</f>
        <v>0.68689</v>
      </c>
      <c r="K6" s="28" t="n"/>
      <c r="L6" s="31" t="n"/>
      <c r="M6" s="28">
        <f>SUMIFS($F$8:$F$5000,$B$8:$B$5000,"&gt;="&amp;(TODAY()-WEEKDAY(TODAY(),2)+1),$B$8:$B$5000,"&lt;"&amp;(TODAY()-WEEKDAY(TODAY(),2)+8))</f>
        <v>20634.0</v>
      </c>
      <c r="N6" s="33">
        <f>SUMIFS($F$8:$F$5000,$B$8:$B$5000,"&gt;="&amp;(TODAY()-WEEKDAY(TODAY(),2)+1),$B$8:$B$5000,"&lt;"&amp;(TODAY()-WEEKDAY(TODAY(),2)+8))</f>
        <v>20634.0</v>
      </c>
      <c r="O6" s="33">
        <f>SUMIFS($F$8:$F$5000,$B$8:$B$5000,"&gt;="&amp;DATE(YEAR(TODAY()),MONTH(TODAY()),1),$B$8:$B$5000,"&lt;"&amp;DATE(YEAR(TODAY()),MONTH(TODAY())+1,1))</f>
        <v>106894.0</v>
      </c>
      <c r="P6">
        <f>SUMIFS('💸 Expenses'!$F$8:$F$5000,'💸 Expenses'!$B$8:$B$5000,"&gt;="&amp;(TODAY()-WEEKDAY(TODAY(),2)+1),'💸 Expenses'!$B$8:$B$5000,"&lt;"&amp;(TODAY()-WEEKDAY(TODAY(),2)+8))</f>
        <v>9781.0</v>
      </c>
      <c r="Q6">
        <f>M6-P6</f>
        <v>10853.0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46318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427" t="n">
        <v>46323</v>
      </c>
      <c r="C151" s="255" t="inlineStr">
        <is>
          <t>Wed</t>
        </is>
      </c>
      <c r="D151" s="256" t="n">
        <v>490</v>
      </c>
      <c r="E151" s="49" t="n">
        <v>2340</v>
      </c>
      <c r="F151" s="50">
        <f>IFERROR(D151+E151+G151+U151+Y151,0)</f>
        <v>4365.0</v>
      </c>
      <c r="G151" s="257" t="n">
        <v>0</v>
      </c>
      <c r="H151" s="258">
        <f>SUMIFS('💸 Expenses'!$F$8:$F$5000,'💸 Expenses'!$B$8:$B$5000,"&gt;="&amp;B151,'💸 Expenses'!$B$8:$B$5000,"&lt;"&amp;(B151+1))</f>
        <v>4199.0</v>
      </c>
      <c r="I151" s="259">
        <f>IFERROR(F151-H151,0)</f>
        <v>166.0</v>
      </c>
      <c r="J151" s="260">
        <f>IFERROR(I151/F151,0)</f>
        <v>0.03803</v>
      </c>
      <c r="K151" s="254" t="n"/>
      <c r="L151" s="261" t="inlineStr">
        <is>
          <t>Cierre via loka.py</t>
        </is>
      </c>
      <c r="M151" s="291" t="n"/>
      <c r="N151" s="292" t="n"/>
      <c r="O151" s="293" t="n"/>
      <c r="P151" s="294" t="n"/>
      <c r="Q151" s="292" t="n"/>
      <c r="R151" s="443">
        <f>IFERROR(D151*$T$7,0)</f>
        <v>19.89</v>
      </c>
      <c r="S151" s="292" t="n"/>
      <c r="T151" s="292" t="n"/>
      <c r="U151" s="443" t="n">
        <v>0</v>
      </c>
      <c r="V151" s="443" t="n">
        <v>0</v>
      </c>
      <c r="W151" s="292" t="n"/>
      <c r="X151" s="292" t="n"/>
      <c r="Y151" s="443" t="n">
        <v>1535</v>
      </c>
      <c r="Z151" s="443" t="n">
        <v>29.16</v>
      </c>
      <c r="AA151" s="292" t="n"/>
      <c r="AB151" s="292" t="n"/>
    </row>
    <row r="152" ht="16.5" customHeight="1" s="331">
      <c r="B152" s="427" t="n">
        <v>46324</v>
      </c>
      <c r="C152" s="270" t="inlineStr">
        <is>
          <t>Thu</t>
        </is>
      </c>
      <c r="D152" s="271" t="n">
        <v>120</v>
      </c>
      <c r="E152" s="37" t="n">
        <v>2115</v>
      </c>
      <c r="F152" s="38">
        <f>IFERROR(D152+E152+G152+U152+Y152,0)</f>
        <v>3730.0</v>
      </c>
      <c r="G152" s="272" t="n">
        <v>100</v>
      </c>
      <c r="H152" s="273">
        <f>SUMIFS('💸 Expenses'!$F$8:$F$5000,'💸 Expenses'!$B$8:$B$5000,"&gt;="&amp;B152,'💸 Expenses'!$B$8:$B$5000,"&lt;"&amp;(B152+1))</f>
        <v>1622.0</v>
      </c>
      <c r="I152" s="274">
        <f>IFERROR(F152-H152,0)</f>
        <v>2108.0</v>
      </c>
      <c r="J152" s="275">
        <f>IFERROR(I152/F152,0)</f>
        <v>0.565147</v>
      </c>
      <c r="K152" s="250" t="n"/>
      <c r="L152" s="276" t="inlineStr">
        <is>
          <t>Cierre via loka.py</t>
        </is>
      </c>
      <c r="M152" s="323" t="n"/>
      <c r="N152" s="324" t="n"/>
      <c r="O152" s="325" t="n"/>
      <c r="P152" s="326" t="n"/>
      <c r="Q152" s="324" t="n"/>
      <c r="R152" s="428">
        <f>IFERROR(D152*$T$7,0)</f>
        <v>4.87</v>
      </c>
      <c r="S152" s="324" t="n"/>
      <c r="T152" s="324" t="n"/>
      <c r="U152" s="428" t="n">
        <v>0</v>
      </c>
      <c r="V152" s="428" t="n">
        <v>0</v>
      </c>
      <c r="W152" s="324" t="n"/>
      <c r="X152" s="324" t="n"/>
      <c r="Y152" s="428" t="n">
        <v>1395</v>
      </c>
      <c r="Z152" s="428" t="n">
        <v>26.5</v>
      </c>
      <c r="AA152" s="324" t="n"/>
      <c r="AB152" s="324" t="n"/>
    </row>
    <row r="153" ht="16.5" customHeight="1" s="331">
      <c r="B153" s="427" t="n">
        <v>46325</v>
      </c>
      <c r="C153" s="255" t="inlineStr">
        <is>
          <t>Fri</t>
        </is>
      </c>
      <c r="D153" s="256" t="n">
        <v>255</v>
      </c>
      <c r="E153" s="49" t="n">
        <v>2290</v>
      </c>
      <c r="F153" s="50">
        <f>IFERROR(D153+E153+G153+U153+Y153,0)</f>
        <v>5225.0</v>
      </c>
      <c r="G153" s="257" t="n">
        <v>990</v>
      </c>
      <c r="H153" s="258">
        <f>SUMIFS('💸 Expenses'!$F$8:$F$5000,'💸 Expenses'!$B$8:$B$5000,"&gt;="&amp;B153,'💸 Expenses'!$B$8:$B$5000,"&lt;"&amp;(B153+1))</f>
        <v>1636.0</v>
      </c>
      <c r="I153" s="259">
        <f>IFERROR(F153-H153,0)</f>
        <v>3589.0</v>
      </c>
      <c r="J153" s="260">
        <f>IFERROR(I153/F153,0)</f>
        <v>0.68689</v>
      </c>
      <c r="K153" s="254" t="n"/>
      <c r="L153" s="261" t="inlineStr">
        <is>
          <t>Cierre via loka.py</t>
        </is>
      </c>
      <c r="M153" s="291" t="n"/>
      <c r="N153" s="292" t="n"/>
      <c r="O153" s="293" t="n"/>
      <c r="P153" s="294" t="n"/>
      <c r="Q153" s="292" t="n"/>
      <c r="R153" s="443">
        <f>IFERROR(D153*$T$7,0)</f>
        <v>10.35</v>
      </c>
      <c r="S153" s="292" t="n"/>
      <c r="T153" s="292" t="n"/>
      <c r="U153" s="443" t="n">
        <v>0</v>
      </c>
      <c r="V153" s="443" t="n">
        <v>0</v>
      </c>
      <c r="W153" s="292" t="n"/>
      <c r="X153" s="292" t="n"/>
      <c r="Y153" s="443" t="n">
        <v>1690</v>
      </c>
      <c r="Z153" s="443" t="n">
        <v>32.11</v>
      </c>
      <c r="AA153" s="292" t="n"/>
      <c r="AB153" s="292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34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46318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46318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46318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46318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46318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  <row r="921">
      <c r="B921" s="429" t="n">
        <v>46323</v>
      </c>
      <c r="C921" s="297" t="inlineStr">
        <is>
          <t>Queso Panela</t>
        </is>
      </c>
      <c r="D921" s="298" t="inlineStr">
        <is>
          <t>No bill</t>
        </is>
      </c>
      <c r="E921" s="297" t="inlineStr">
        <is>
          <t>Ingredients - Dairy</t>
        </is>
      </c>
      <c r="F921" s="299" t="n">
        <v>592</v>
      </c>
      <c r="G921" s="300" t="inlineStr">
        <is>
          <t>Restaurant</t>
        </is>
      </c>
      <c r="H921" s="300" t="inlineStr">
        <is>
          <t>Cash</t>
        </is>
      </c>
      <c r="I921" s="301" t="inlineStr">
        <is>
          <t>✅ Paid</t>
        </is>
      </c>
      <c r="J921" s="423" t="inlineStr">
        <is>
          <t>No receipt; cash</t>
        </is>
      </c>
    </row>
    <row r="922">
      <c r="B922" s="429" t="n">
        <v>46323</v>
      </c>
      <c r="C922" s="297" t="inlineStr">
        <is>
          <t>Chedraui</t>
        </is>
      </c>
      <c r="D922" s="298" t="inlineStr">
        <is>
          <t>Chedraui</t>
        </is>
      </c>
      <c r="E922" s="297" t="inlineStr">
        <is>
          <t>Supermarket/General</t>
        </is>
      </c>
      <c r="F922" s="299" t="n">
        <v>188</v>
      </c>
      <c r="G922" s="300" t="inlineStr">
        <is>
          <t>Restaurant</t>
        </is>
      </c>
      <c r="H922" s="300" t="inlineStr">
        <is>
          <t>Cash</t>
        </is>
      </c>
      <c r="I922" s="301" t="inlineStr">
        <is>
          <t>✅ Paid</t>
        </is>
      </c>
      <c r="J922" s="423" t="inlineStr">
        <is>
          <t>No receipt; cash</t>
        </is>
      </c>
    </row>
    <row r="923">
      <c r="B923" s="429" t="n">
        <v>46323</v>
      </c>
      <c r="C923" s="297" t="inlineStr">
        <is>
          <t>Coca</t>
        </is>
      </c>
      <c r="D923" s="298" t="inlineStr">
        <is>
          <t>No bill</t>
        </is>
      </c>
      <c r="E923" s="297" t="inlineStr">
        <is>
          <t>Ingredients - Beverages</t>
        </is>
      </c>
      <c r="F923" s="299" t="n">
        <v>1314</v>
      </c>
      <c r="G923" s="300" t="inlineStr">
        <is>
          <t>Restaurant</t>
        </is>
      </c>
      <c r="H923" s="300" t="inlineStr">
        <is>
          <t>Cash</t>
        </is>
      </c>
      <c r="I923" s="301" t="inlineStr">
        <is>
          <t>✅ Paid</t>
        </is>
      </c>
      <c r="J923" s="423" t="inlineStr">
        <is>
          <t>No receipt; cash</t>
        </is>
      </c>
    </row>
    <row r="924">
      <c r="B924" s="429" t="n">
        <v>46323</v>
      </c>
      <c r="C924" s="297" t="inlineStr">
        <is>
          <t>Vessel</t>
        </is>
      </c>
      <c r="D924" s="298" t="inlineStr">
        <is>
          <t>No bill</t>
        </is>
      </c>
      <c r="E924" s="297" t="inlineStr">
        <is>
          <t>Kitchen Supplies</t>
        </is>
      </c>
      <c r="F924" s="299" t="n">
        <v>277</v>
      </c>
      <c r="G924" s="300" t="inlineStr">
        <is>
          <t>Restaurant</t>
        </is>
      </c>
      <c r="H924" s="300" t="inlineStr">
        <is>
          <t>Cash</t>
        </is>
      </c>
      <c r="I924" s="301" t="inlineStr">
        <is>
          <t>✅ Paid</t>
        </is>
      </c>
      <c r="J924" s="423" t="inlineStr">
        <is>
          <t>No receipt; cash</t>
        </is>
      </c>
    </row>
    <row r="925">
      <c r="B925" s="429" t="n">
        <v>46323</v>
      </c>
      <c r="C925" s="297" t="inlineStr">
        <is>
          <t>Guimar</t>
        </is>
      </c>
      <c r="D925" s="298" t="inlineStr">
        <is>
          <t>Guimar Polietilenos</t>
        </is>
      </c>
      <c r="E925" s="297" t="inlineStr">
        <is>
          <t>Packaging/Disposables</t>
        </is>
      </c>
      <c r="F925" s="299" t="n">
        <v>600</v>
      </c>
      <c r="G925" s="300" t="inlineStr">
        <is>
          <t>Restaurant</t>
        </is>
      </c>
      <c r="H925" s="300" t="inlineStr">
        <is>
          <t>Cash</t>
        </is>
      </c>
      <c r="I925" s="301" t="inlineStr">
        <is>
          <t>✅ Paid</t>
        </is>
      </c>
      <c r="J925" s="423" t="inlineStr">
        <is>
          <t>No receipt; cash</t>
        </is>
      </c>
    </row>
    <row r="926">
      <c r="B926" s="429" t="n">
        <v>46323</v>
      </c>
      <c r="C926" s="297" t="inlineStr">
        <is>
          <t>Carne</t>
        </is>
      </c>
      <c r="D926" s="298" t="inlineStr">
        <is>
          <t>No bill</t>
        </is>
      </c>
      <c r="E926" s="297" t="inlineStr">
        <is>
          <t>Ingredients - Meat</t>
        </is>
      </c>
      <c r="F926" s="299" t="n">
        <v>605</v>
      </c>
      <c r="G926" s="300" t="inlineStr">
        <is>
          <t>Restaurant</t>
        </is>
      </c>
      <c r="H926" s="300" t="inlineStr">
        <is>
          <t>Cash</t>
        </is>
      </c>
      <c r="I926" s="301" t="inlineStr">
        <is>
          <t>✅ Paid</t>
        </is>
      </c>
      <c r="J926" s="423" t="inlineStr">
        <is>
          <t>No receipt; cash</t>
        </is>
      </c>
    </row>
    <row r="927">
      <c r="B927" s="429" t="n">
        <v>46323</v>
      </c>
      <c r="C927" s="297" t="inlineStr">
        <is>
          <t>Pescado</t>
        </is>
      </c>
      <c r="D927" s="298" t="inlineStr">
        <is>
          <t>No bill</t>
        </is>
      </c>
      <c r="E927" s="297" t="inlineStr">
        <is>
          <t>Ingredients - Meat &amp; Fish</t>
        </is>
      </c>
      <c r="F927" s="299" t="n">
        <v>303</v>
      </c>
      <c r="G927" s="300" t="inlineStr">
        <is>
          <t>Restaurant</t>
        </is>
      </c>
      <c r="H927" s="300" t="inlineStr">
        <is>
          <t>Cash</t>
        </is>
      </c>
      <c r="I927" s="301" t="inlineStr">
        <is>
          <t>✅ Paid</t>
        </is>
      </c>
      <c r="J927" s="423" t="inlineStr">
        <is>
          <t>No receipt; cash</t>
        </is>
      </c>
    </row>
    <row r="928">
      <c r="B928" s="429" t="n">
        <v>46323</v>
      </c>
      <c r="C928" s="297" t="inlineStr">
        <is>
          <t>Pollo</t>
        </is>
      </c>
      <c r="D928" s="298" t="inlineStr">
        <is>
          <t>No bill</t>
        </is>
      </c>
      <c r="E928" s="297" t="inlineStr">
        <is>
          <t>Ingredients - Meat</t>
        </is>
      </c>
      <c r="F928" s="299" t="n">
        <v>320</v>
      </c>
      <c r="G928" s="300" t="inlineStr">
        <is>
          <t>Lohith</t>
        </is>
      </c>
      <c r="H928" s="300" t="inlineStr">
        <is>
          <t>Cash</t>
        </is>
      </c>
      <c r="I928" s="301" t="inlineStr">
        <is>
          <t>✅ Paid</t>
        </is>
      </c>
      <c r="J928" s="423" t="inlineStr">
        <is>
          <t>Pagado por Lohith (bolsillo); reembolsable via Owner Ledger</t>
        </is>
      </c>
    </row>
    <row r="929">
      <c r="B929" s="429" t="n">
        <v>46324</v>
      </c>
      <c r="C929" s="297" t="inlineStr">
        <is>
          <t>Vegetables</t>
        </is>
      </c>
      <c r="D929" s="298" t="inlineStr">
        <is>
          <t>No bill</t>
        </is>
      </c>
      <c r="E929" s="297" t="inlineStr">
        <is>
          <t>Ingredients - Vegetables</t>
        </is>
      </c>
      <c r="F929" s="299" t="n">
        <v>157</v>
      </c>
      <c r="G929" s="300" t="inlineStr">
        <is>
          <t>Restaurant</t>
        </is>
      </c>
      <c r="H929" s="300" t="inlineStr">
        <is>
          <t>Cash</t>
        </is>
      </c>
      <c r="I929" s="301" t="inlineStr">
        <is>
          <t>✅ Paid</t>
        </is>
      </c>
      <c r="J929" s="423" t="inlineStr">
        <is>
          <t>No receipt; cash</t>
        </is>
      </c>
    </row>
    <row r="930">
      <c r="B930" s="429" t="n">
        <v>46324</v>
      </c>
      <c r="C930" s="297" t="inlineStr">
        <is>
          <t>Pan Real</t>
        </is>
      </c>
      <c r="D930" s="298" t="inlineStr">
        <is>
          <t>No bill</t>
        </is>
      </c>
      <c r="E930" s="297" t="inlineStr">
        <is>
          <t>Ingredients - Bread</t>
        </is>
      </c>
      <c r="F930" s="299" t="n">
        <v>1465</v>
      </c>
      <c r="G930" s="300" t="inlineStr">
        <is>
          <t>Restaurant</t>
        </is>
      </c>
      <c r="H930" s="300" t="inlineStr">
        <is>
          <t>Cash</t>
        </is>
      </c>
      <c r="I930" s="301" t="inlineStr">
        <is>
          <t>✅ Paid</t>
        </is>
      </c>
      <c r="J930" s="423" t="inlineStr">
        <is>
          <t>No receipt; cash</t>
        </is>
      </c>
    </row>
    <row r="931">
      <c r="B931" s="429" t="n">
        <v>46325</v>
      </c>
      <c r="C931" s="297" t="inlineStr">
        <is>
          <t>Vegetables</t>
        </is>
      </c>
      <c r="D931" s="298" t="inlineStr">
        <is>
          <t>No bill</t>
        </is>
      </c>
      <c r="E931" s="297" t="inlineStr">
        <is>
          <t>Ingredients - Vegetables</t>
        </is>
      </c>
      <c r="F931" s="299" t="n">
        <v>64</v>
      </c>
      <c r="G931" s="300" t="inlineStr">
        <is>
          <t>Restaurant</t>
        </is>
      </c>
      <c r="H931" s="300" t="inlineStr">
        <is>
          <t>Cash</t>
        </is>
      </c>
      <c r="I931" s="301" t="inlineStr">
        <is>
          <t>✅ Paid</t>
        </is>
      </c>
      <c r="J931" s="423" t="inlineStr">
        <is>
          <t>No receipt; cash</t>
        </is>
      </c>
    </row>
    <row r="932">
      <c r="B932" s="429" t="n">
        <v>46325</v>
      </c>
      <c r="C932" s="297" t="inlineStr">
        <is>
          <t>Carne</t>
        </is>
      </c>
      <c r="D932" s="298" t="inlineStr">
        <is>
          <t>No bill</t>
        </is>
      </c>
      <c r="E932" s="297" t="inlineStr">
        <is>
          <t>Ingredients - Meat</t>
        </is>
      </c>
      <c r="F932" s="299" t="n">
        <v>292</v>
      </c>
      <c r="G932" s="300" t="inlineStr">
        <is>
          <t>Restaurant</t>
        </is>
      </c>
      <c r="H932" s="300" t="inlineStr">
        <is>
          <t>Cash</t>
        </is>
      </c>
      <c r="I932" s="301" t="inlineStr">
        <is>
          <t>✅ Paid</t>
        </is>
      </c>
      <c r="J932" s="423" t="inlineStr">
        <is>
          <t>No receipt; cash</t>
        </is>
      </c>
    </row>
    <row r="933">
      <c r="B933" s="429" t="n">
        <v>46325</v>
      </c>
      <c r="C933" s="297" t="inlineStr">
        <is>
          <t>Chedraui</t>
        </is>
      </c>
      <c r="D933" s="298" t="inlineStr">
        <is>
          <t>Chedraui</t>
        </is>
      </c>
      <c r="E933" s="297" t="inlineStr">
        <is>
          <t>Supermarket/General</t>
        </is>
      </c>
      <c r="F933" s="299" t="n">
        <v>540</v>
      </c>
      <c r="G933" s="300" t="inlineStr">
        <is>
          <t>Restaurant</t>
        </is>
      </c>
      <c r="H933" s="300" t="inlineStr">
        <is>
          <t>Cash</t>
        </is>
      </c>
      <c r="I933" s="301" t="inlineStr">
        <is>
          <t>✅ Paid</t>
        </is>
      </c>
      <c r="J933" s="423" t="inlineStr">
        <is>
          <t>No receipt; cash</t>
        </is>
      </c>
    </row>
    <row r="934">
      <c r="B934" s="429" t="n">
        <v>46325</v>
      </c>
      <c r="C934" s="297" t="inlineStr">
        <is>
          <t>Josias - salary</t>
        </is>
      </c>
      <c r="D934" s="298" t="inlineStr">
        <is>
          <t>Payroll</t>
        </is>
      </c>
      <c r="E934" s="297" t="inlineStr">
        <is>
          <t>Staff - Salary</t>
        </is>
      </c>
      <c r="F934" s="299" t="n">
        <v>740</v>
      </c>
      <c r="G934" s="300" t="inlineStr">
        <is>
          <t>Restaurant</t>
        </is>
      </c>
      <c r="H934" s="300" t="inlineStr">
        <is>
          <t>Cash</t>
        </is>
      </c>
      <c r="I934" s="301" t="inlineStr">
        <is>
          <t>✅ Paid</t>
        </is>
      </c>
      <c r="J934" s="423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Bread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Pantry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0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n">
        <v>46323</v>
      </c>
      <c r="B116" s="232" t="inlineStr">
        <is>
          <t>Settlement - restaurant paid Lohith</t>
        </is>
      </c>
      <c r="C116" s="232" t="inlineStr">
        <is>
          <t>Settlement</t>
        </is>
      </c>
      <c r="D116" s="232" t="n"/>
      <c r="E116" s="233" t="n">
        <v>1500</v>
      </c>
      <c r="F116" s="233">
        <f>IFERROR(F115+D116-E116,0)</f>
        <v/>
      </c>
      <c r="G116" s="232" t="inlineStr">
        <is>
          <t>✅ Settled</t>
        </is>
      </c>
      <c r="H116" s="232" t="inlineStr">
        <is>
          <t>Ledger settled from operating cash</t>
        </is>
      </c>
    </row>
    <row r="117">
      <c r="A117" s="430" t="n">
        <v>46323</v>
      </c>
      <c r="B117" s="232" t="inlineStr">
        <is>
          <t>Pollo $320 (paid by Lohith)</t>
        </is>
      </c>
      <c r="C117" s="232" t="inlineStr">
        <is>
          <t>Expense - Personal</t>
        </is>
      </c>
      <c r="D117" s="232" t="n">
        <v>320</v>
      </c>
      <c r="E117" s="233" t="n"/>
      <c r="F117" s="233">
        <f>IFERROR(F116+D117-E117,0)</f>
        <v/>
      </c>
      <c r="G117" s="232" t="inlineStr">
        <is>
          <t>⏳ Reimburse</t>
        </is>
      </c>
      <c r="H117" s="232" t="inlineStr">
        <is>
          <t>Fronted from own pocket; excluded from till via cash_adjust</t>
        </is>
      </c>
    </row>
    <row r="118">
      <c r="A118" s="430" t="n">
        <v>46324</v>
      </c>
      <c r="B118" s="232" t="inlineStr">
        <is>
          <t>Transfer-to-me (customer payment 29-Oct)</t>
        </is>
      </c>
      <c r="C118" s="232" t="inlineStr">
        <is>
          <t>Transfer Received</t>
        </is>
      </c>
      <c r="D118" s="232" t="n"/>
      <c r="E118" s="233" t="n">
        <v>100</v>
      </c>
      <c r="F118" s="233">
        <f>IFERROR(F117+D118-E118,0)</f>
        <v/>
      </c>
      <c r="G118" s="232" t="inlineStr">
        <is>
          <t>✅ Received</t>
        </is>
      </c>
      <c r="H118" s="232" t="inlineStr">
        <is>
          <t>Customer paid Lohith personal acct</t>
        </is>
      </c>
    </row>
    <row r="119">
      <c r="A119" s="430" t="n">
        <v>46325</v>
      </c>
      <c r="B119" s="232" t="inlineStr">
        <is>
          <t>Transfer-to-me (customer payment 30-Oct)</t>
        </is>
      </c>
      <c r="C119" s="232" t="inlineStr">
        <is>
          <t>Transfer Received</t>
        </is>
      </c>
      <c r="D119" s="232" t="n"/>
      <c r="E119" s="233" t="n">
        <v>990</v>
      </c>
      <c r="F119" s="233">
        <f>IFERROR(F118+D119-E119,0)</f>
        <v/>
      </c>
      <c r="G119" s="232" t="inlineStr">
        <is>
          <t>✅ Received</t>
        </is>
      </c>
      <c r="H119" s="232" t="inlineStr">
        <is>
          <t>Customer paid Lohith personal acct</t>
        </is>
      </c>
    </row>
    <row r="120">
      <c r="A120" s="430" t="inlineStr">
        <is>
          <t>TOTALS &amp; CURRENT BALANCE</t>
        </is>
      </c>
      <c r="B120" s="232" t="n"/>
      <c r="C120" s="232" t="n"/>
      <c r="D120" s="232">
        <f>SUM(D4:D119)</f>
        <v/>
      </c>
      <c r="E120" s="233">
        <f>SUM(E4:E119)</f>
        <v/>
      </c>
      <c r="F120" s="233">
        <f>F119</f>
        <v/>
      </c>
      <c r="G120" s="232">
        <f>IF(F119&gt;0,"Restaurant owes Lohith $"&amp;TEXT(F119,"#,##0"),IF(F119&lt;0,"Lohith holds $"&amp;TEXT(ABS(F119),"#,##0"),"Zero balance"))</f>
        <v/>
      </c>
      <c r="H120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2026-10-31T01:35:04Z</dcterms:modified>
  <cp:lastModifiedBy>LOHITH REDDY</cp:lastModifiedBy>
</cp:coreProperties>
</file>