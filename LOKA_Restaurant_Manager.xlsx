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45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1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1 Jul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REMAINING WITH ME (budget left WITH Lohith)</t>
        </is>
      </c>
      <c r="D140">
        <f>D136-D137-D138-D139</f>
        <v/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from Daily Log)</t>
        </is>
      </c>
      <c r="C143" s="283">
        <f>SUM('📅 Daily Log'!D8:D5000)+SUM('📅 Daily Log'!E8:E5000)+SUM('📅 Daily Log'!G8:G5000)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MP Commission (auto: card × 4.06%)</t>
        </is>
      </c>
      <c r="C145" s="268">
        <f>SUM('📅 Daily Log'!R8:R5000)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32415.85</v>
      </c>
      <c r="E147" s="286" t="inlineStr">
        <is>
          <t>Operating costs funded from partner capital, net of repayments. Funded: 20,000 (rent Jul) + 17,200.04 (rent Aug) + 8,789 (luz Aug) + 19,314.81 (liquidacion ledger) = 65,303.85. Repaid from operating cash: 20,000 (21-Jul) + 2,587 (22-Jul) + 10,301 (05-Aug) = 32,888. Still owed by Operations: 32,415.85.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-32888</v>
      </c>
      <c r="E149" t="inlineStr">
        <is>
          <t>Cumulative repaid from operating cash (latest 04-Aug-2026 $10,301.00).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Cash still WITH Lohith (Section J)</t>
        </is>
      </c>
      <c r="C162" s="320">
        <f>D140</f>
        <v/>
      </c>
      <c r="E162" t="inlineStr">
        <is>
          <t>Undeployed capital physically in Lohith’s hands</t>
        </is>
      </c>
    </row>
    <row r="163">
      <c r="B163" s="319" t="inlineStr">
        <is>
          <t xml:space="preserve">   Kashigoud still to TRANSFER IN</t>
        </is>
      </c>
      <c r="C163" s="320">
        <f>F100</f>
        <v/>
      </c>
      <c r="E163" t="inlineStr">
        <is>
          <t>Committed $180k not yet fully sent</t>
        </is>
      </c>
    </row>
    <row r="164">
      <c r="B164" s="319" t="inlineStr">
        <is>
          <t xml:space="preserve">   Shashirekha still to TRANSFER IN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With Lohith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319" t="n"/>
      <c r="C168" s="320" t="n"/>
    </row>
    <row r="169">
      <c r="B169" s="319" t="n"/>
      <c r="C169" s="320" t="n"/>
    </row>
    <row r="170">
      <c r="B170" s="319" t="n"/>
      <c r="C170" s="320" t="n"/>
    </row>
    <row r="171">
      <c r="B171" s="317" t="n"/>
      <c r="C171" s="318" t="n"/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</f>
        <v>6540.0</v>
      </c>
      <c r="G6" s="31">
        <f>SUMIFS($G$8:$G$5000,$B$8:$B$5000,TODAY())</f>
        <v>130.0</v>
      </c>
      <c r="H6" s="28">
        <f>SUMIFS($H$8:$H$5000,$B$8:$B$5000,TODAY())</f>
        <v>1138.0</v>
      </c>
      <c r="I6" s="32">
        <f>F6-H6</f>
        <v>5402.0</v>
      </c>
      <c r="J6">
        <f>IFERROR(I6/F6,0)</f>
        <v>0.825994</v>
      </c>
      <c r="K6" s="28" t="n"/>
      <c r="L6" s="31" t="n"/>
      <c r="M6" s="28">
        <f>SUMPRODUCT((ISNUMBER($B$8:$B$5000))*($B$8:$B$5000&gt;=TODAY()-MOD(TODAY()-2,7))*($B$8:$B$5000&lt;TODAY()-MOD(TODAY()-2,7)+7)*IF(ISNUMBER($F$8:$F$5000),$F$8:$F$5000,0))</f>
        <v>6540.0</v>
      </c>
      <c r="N6" s="33">
        <f>SUMPRODUCT((ISNUMBER($B$8:$B$5000))*($B$8:$B$5000&gt;=TODAY()-MOD(TODAY()-2,7))*($B$8:$B$5000&lt;TODAY()-MOD(TODAY()-2,7)+7)*IF(ISNUMBER($F$8:$F$5000),$F$8:$F$5000,0))</f>
        <v>6540.0</v>
      </c>
      <c r="O6" s="33">
        <f>SUMPRODUCT((ISNUMBER($B$8:$B$5000))*(MONTH($B$8:$B$5000)=MONTH(TODAY()))*(YEAR($B$8:$B$5000)=YEAR(TODAY()))*IF(ISNUMBER($F$8:$F$5000),$F$8:$F$5000,0))</f>
        <v>36478.0</v>
      </c>
      <c r="P6">
        <f>SUMPRODUCT((ISNUMBER($B$8:$B$5000))*($B$8:$B$5000&gt;=TODAY()-MOD(TODAY()-2,7))*($B$8:$B$5000&lt;TODAY()-MOD(TODAY()-2,7)+7)*IF(ISNUMBER($H$8:$H$5000),$H$8:$H$5000,0))</f>
        <v>1138.0</v>
      </c>
      <c r="Q6">
        <f>M6-P6</f>
        <v>5402.0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  <c r="Z87" s="56" t="n"/>
      <c r="AA87" s="56" t="n"/>
      <c r="AB87" s="56" t="n"/>
    </row>
    <row r="88" ht="16.5" customHeight="1" s="331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  <c r="Z88" s="44" t="n"/>
      <c r="AA88" s="44" t="n"/>
      <c r="AB88" s="44" t="n"/>
    </row>
    <row r="89" ht="16.5" customHeight="1" s="331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  <c r="Z89" s="56" t="n"/>
      <c r="AA89" s="56" t="n"/>
      <c r="AB89" s="56" t="n"/>
    </row>
    <row r="90" ht="16.5" customHeight="1" s="331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  <c r="Z90" s="44" t="n"/>
      <c r="AA90" s="44" t="n"/>
      <c r="AB90" s="44" t="n"/>
    </row>
    <row r="91" ht="16.5" customHeight="1" s="331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  <c r="Z91" s="56" t="n"/>
      <c r="AA91" s="56" t="n"/>
      <c r="AB91" s="56" t="n"/>
    </row>
    <row r="92" ht="16.5" customHeight="1" s="331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  <c r="Z92" s="44" t="n"/>
      <c r="AA92" s="44" t="n"/>
      <c r="AB92" s="44" t="n"/>
    </row>
    <row r="93" ht="16.5" customHeight="1" s="331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  <c r="Z93" s="56" t="n"/>
      <c r="AA93" s="56" t="n"/>
      <c r="AB93" s="56" t="n"/>
    </row>
    <row r="94" ht="16.5" customHeight="1" s="331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  <c r="Z94" s="44" t="n"/>
      <c r="AA94" s="44" t="n"/>
      <c r="AB94" s="44" t="n"/>
    </row>
    <row r="95" ht="16.5" customHeight="1" s="331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  <c r="Z95" s="56" t="n"/>
      <c r="AA95" s="56" t="n"/>
      <c r="AB95" s="56" t="n"/>
    </row>
    <row r="96" ht="16.5" customHeight="1" s="331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  <c r="AA96" s="44" t="n"/>
      <c r="AB96" s="44" t="n"/>
    </row>
    <row r="97" ht="16.5" customHeight="1" s="331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  <c r="Z97" s="56" t="n"/>
      <c r="AA97" s="56" t="n"/>
      <c r="AB97" s="56" t="n"/>
    </row>
    <row r="98" ht="16.5" customHeight="1" s="331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  <c r="AA98" s="44" t="n"/>
      <c r="AB98" s="44" t="n"/>
    </row>
    <row r="99" ht="16.5" customHeight="1" s="331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  <c r="Z99" s="56" t="n"/>
      <c r="AA99" s="56" t="n"/>
      <c r="AB99" s="56" t="n"/>
    </row>
    <row r="100" ht="16.5" customHeight="1" s="331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  <c r="AA100" s="44" t="n"/>
      <c r="AB100" s="44" t="n"/>
    </row>
    <row r="101" ht="16.5" customHeight="1" s="331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  <c r="Z101" s="56" t="n"/>
      <c r="AA101" s="56" t="n"/>
      <c r="AB101" s="56" t="n"/>
    </row>
    <row r="102" ht="16.5" customHeight="1" s="331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  <c r="AA102" s="44" t="n"/>
      <c r="AB102" s="44" t="n"/>
    </row>
    <row r="103" ht="16.5" customHeight="1" s="331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  <c r="Z103" s="56" t="n"/>
      <c r="AA103" s="56" t="n"/>
      <c r="AB103" s="56" t="n"/>
    </row>
    <row r="104" ht="16.5" customHeight="1" s="331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  <c r="AA104" s="44" t="n"/>
      <c r="AB104" s="44" t="n"/>
    </row>
    <row r="105" ht="16.5" customHeight="1" s="331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  <c r="Z105" s="56" t="n"/>
      <c r="AA105" s="56" t="n"/>
      <c r="AB105" s="56" t="n"/>
    </row>
    <row r="106" ht="16.5" customHeight="1" s="331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  <c r="AA106" s="44" t="n"/>
      <c r="AB106" s="44" t="n"/>
    </row>
    <row r="107" ht="16.5" customHeight="1" s="331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  <c r="Z107" s="56" t="n"/>
      <c r="AA107" s="56" t="n"/>
      <c r="AB107" s="56" t="n"/>
    </row>
    <row r="108" ht="16.5" customHeight="1" s="331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</row>
    <row r="109" ht="16.5" customHeight="1" s="331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  <c r="Z109" s="56" t="n"/>
      <c r="AA109" s="56" t="n"/>
      <c r="AB109" s="56" t="n"/>
    </row>
    <row r="110" ht="16.5" customHeight="1" s="331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</row>
    <row r="111" ht="16.5" customHeight="1" s="331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  <c r="Z111" s="56" t="n"/>
      <c r="AA111" s="56" t="n"/>
      <c r="AB111" s="56" t="n"/>
    </row>
    <row r="112" ht="16.5" customHeight="1" s="331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</row>
    <row r="113" ht="16.5" customHeight="1" s="331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  <c r="Z113" s="56" t="n"/>
      <c r="AA113" s="56" t="n"/>
      <c r="AB113" s="56" t="n"/>
    </row>
    <row r="114" ht="16.5" customHeight="1" s="331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</row>
    <row r="115" ht="16.5" customHeight="1" s="331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  <c r="Z115" s="56" t="n"/>
      <c r="AA115" s="56" t="n"/>
      <c r="AB115" s="56" t="n"/>
    </row>
    <row r="116" ht="16.5" customHeight="1" s="331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</row>
    <row r="117" ht="16.5" customHeight="1" s="331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  <c r="Z117" s="56" t="n"/>
      <c r="AA117" s="56" t="n"/>
      <c r="AB117" s="56" t="n"/>
    </row>
    <row r="118" ht="16.5" customHeight="1" s="331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</row>
    <row r="119" ht="16.5" customHeight="1" s="331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  <c r="Z119" s="56" t="n"/>
      <c r="AA119" s="56" t="n"/>
      <c r="AB119" s="56" t="n"/>
    </row>
    <row r="120" ht="16.5" customHeight="1" s="331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</row>
    <row r="121" ht="16.5" customHeight="1" s="331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  <c r="Z121" s="56" t="n"/>
      <c r="AA121" s="56" t="n"/>
      <c r="AB121" s="56" t="n"/>
    </row>
    <row r="122" ht="16.5" customHeight="1" s="331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</row>
    <row r="123" ht="16.5" customHeight="1" s="331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  <c r="Z123" s="56" t="n"/>
      <c r="AA123" s="56" t="n"/>
      <c r="AB123" s="56" t="n"/>
    </row>
    <row r="124" ht="16.5" customHeight="1" s="331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</row>
    <row r="125" ht="16.5" customHeight="1" s="331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  <c r="Z125" s="56" t="n"/>
      <c r="AA125" s="56" t="n"/>
      <c r="AB125" s="56" t="n"/>
    </row>
    <row r="126" ht="16.5" customHeight="1" s="331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</row>
    <row r="127" ht="16.5" customHeight="1" s="331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31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31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31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31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31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31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31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31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31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31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31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31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31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31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31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31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31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31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31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31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613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1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331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/>
      <c r="B84" s="262" t="n"/>
      <c r="C84" s="262" t="n"/>
      <c r="D84" s="264" t="n"/>
    </row>
    <row r="85">
      <c r="A85" s="263" t="n"/>
      <c r="B85" s="262" t="n"/>
      <c r="C85" s="262" t="n"/>
      <c r="D85" s="264" t="n"/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9" customWidth="1" style="331" min="6" max="14"/>
    <col width="9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31" t="inlineStr">
        <is>
          <t>LOKA — MONTHLY P&amp;L   (live formulas — auto-updates from Daily Log &amp; Expenses)</t>
        </is>
      </c>
      <c r="B1" s="432" t="n"/>
      <c r="C1" s="432" t="n"/>
      <c r="D1" s="432" t="n"/>
      <c r="E1" s="432" t="n"/>
      <c r="F1" s="433" t="n"/>
      <c r="G1" s="43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3" t="n"/>
      <c r="G3" s="433" t="n"/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3" t="n"/>
      <c r="G4" s="433" t="n"/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3" t="n"/>
      <c r="G5" s="433" t="n"/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3" t="n"/>
      <c r="G6" s="433" t="n"/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33" t="n"/>
      <c r="G7" s="433" t="n"/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3" t="n"/>
      <c r="G8" s="433" t="n"/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3" t="n"/>
      <c r="G10" s="433" t="n"/>
      <c r="H10" s="433" t="n"/>
      <c r="I10" s="433" t="n"/>
      <c r="J10" s="433" t="n"/>
      <c r="K10" s="433" t="n"/>
      <c r="L10" s="433" t="n"/>
    </row>
    <row r="11">
      <c r="A11" s="439" t="inlineStr">
        <is>
          <t>Card</t>
        </is>
      </c>
      <c r="B11" s="437">
        <f>SUMIFS('📅 Daily Log'!$D$8:$D$5000,'📅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</f>
        <v/>
      </c>
      <c r="F11" s="433" t="n"/>
      <c r="G11" s="433" t="n"/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3" t="n"/>
      <c r="G12" s="433" t="n"/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3" t="n"/>
      <c r="G13" s="433" t="n"/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3" t="n"/>
      <c r="G14" s="433" t="n"/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3" t="n"/>
      <c r="G16" s="433" t="n"/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3" t="n"/>
      <c r="G17" s="433" t="n"/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3" t="n"/>
      <c r="G18" s="433" t="n"/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3" t="n"/>
      <c r="G19" s="433" t="n"/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3" t="n"/>
      <c r="G20" s="433" t="n"/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3" t="n"/>
      <c r="G21" s="433" t="n"/>
      <c r="H21" s="433" t="n"/>
      <c r="I21" s="433" t="n"/>
      <c r="J21" s="433" t="n"/>
      <c r="K21" s="433" t="n"/>
      <c r="L21" s="433" t="n"/>
    </row>
    <row r="22">
      <c r="A22" s="439" t="inlineStr">
        <is>
          <t>Ingredients - Pantry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3" t="n"/>
      <c r="G22" s="433" t="n"/>
      <c r="H22" s="433" t="n"/>
      <c r="I22" s="433" t="n"/>
      <c r="J22" s="433" t="n"/>
      <c r="K22" s="433" t="n"/>
      <c r="L22" s="433" t="n"/>
    </row>
    <row r="23">
      <c r="A23" s="439" t="inlineStr">
        <is>
          <t>Ingredients - Dairy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3" t="n"/>
      <c r="G23" s="433" t="n"/>
      <c r="H23" s="433" t="n"/>
      <c r="I23" s="433" t="n"/>
      <c r="J23" s="433" t="n"/>
      <c r="K23" s="433" t="n"/>
      <c r="L23" s="433" t="n"/>
    </row>
    <row r="24">
      <c r="A24" s="439" t="inlineStr">
        <is>
          <t>Ingredients - Beverages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3" t="n"/>
      <c r="G24" s="433" t="n"/>
      <c r="H24" s="433" t="n"/>
      <c r="I24" s="433" t="n"/>
      <c r="J24" s="433" t="n"/>
      <c r="K24" s="433" t="n"/>
      <c r="L24" s="433" t="n"/>
    </row>
    <row r="25">
      <c r="A25" s="439" t="inlineStr">
        <is>
          <t>Utilities/Electricity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3" t="n"/>
      <c r="G25" s="433" t="n"/>
      <c r="H25" s="433" t="n"/>
      <c r="I25" s="433" t="n"/>
      <c r="J25" s="433" t="n"/>
      <c r="K25" s="433" t="n"/>
      <c r="L25" s="433" t="n"/>
    </row>
    <row r="26">
      <c r="A26" s="439" t="inlineStr">
        <is>
          <t>Ingredients - Bread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3" t="n"/>
      <c r="G26" s="433" t="n"/>
      <c r="H26" s="433" t="n"/>
      <c r="I26" s="433" t="n"/>
      <c r="J26" s="433" t="n"/>
      <c r="K26" s="433" t="n"/>
      <c r="L26" s="433" t="n"/>
    </row>
    <row r="27">
      <c r="A27" s="439" t="inlineStr">
        <is>
          <t>Supplies/Other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3" t="n"/>
      <c r="G27" s="433" t="n"/>
      <c r="H27" s="433" t="n"/>
      <c r="I27" s="433" t="n"/>
      <c r="J27" s="433" t="n"/>
      <c r="K27" s="433" t="n"/>
      <c r="L27" s="433" t="n"/>
    </row>
    <row r="28">
      <c r="A28" s="439" t="inlineStr">
        <is>
          <t>Ingredients - Meat &amp; Fish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3" t="n"/>
      <c r="G28" s="433" t="n"/>
      <c r="H28" s="433" t="n"/>
      <c r="I28" s="433" t="n"/>
      <c r="J28" s="433" t="n"/>
      <c r="K28" s="433" t="n"/>
      <c r="L28" s="433" t="n"/>
    </row>
    <row r="29">
      <c r="A29" s="439" t="inlineStr">
        <is>
          <t>Maintenance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3" t="n"/>
      <c r="G29" s="433" t="n"/>
      <c r="H29" s="433" t="n"/>
      <c r="I29" s="433" t="n"/>
      <c r="J29" s="433" t="n"/>
      <c r="K29" s="433" t="n"/>
      <c r="L29" s="433" t="n"/>
    </row>
    <row r="30">
      <c r="A30" s="439" t="inlineStr">
        <is>
          <t>Packaging/Disposables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3" t="n"/>
      <c r="G30" s="433" t="n"/>
      <c r="H30" s="433" t="n"/>
      <c r="I30" s="433" t="n"/>
      <c r="J30" s="433" t="n"/>
      <c r="K30" s="433" t="n"/>
      <c r="L30" s="433" t="n"/>
    </row>
    <row r="31">
      <c r="A31" s="439" t="inlineStr">
        <is>
          <t>Utilities/Gas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3" t="n"/>
      <c r="G31" s="433" t="n"/>
      <c r="H31" s="433" t="n"/>
      <c r="I31" s="433" t="n"/>
      <c r="J31" s="433" t="n"/>
      <c r="K31" s="433" t="n"/>
      <c r="L31" s="433" t="n"/>
    </row>
    <row r="32">
      <c r="A32" s="439" t="inlineStr">
        <is>
          <t>Ingredients - Fruit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3" t="n"/>
      <c r="G32" s="433" t="n"/>
      <c r="H32" s="433" t="n"/>
      <c r="I32" s="433" t="n"/>
      <c r="J32" s="433" t="n"/>
      <c r="K32" s="433" t="n"/>
      <c r="L32" s="433" t="n"/>
    </row>
    <row r="33">
      <c r="A33" s="439" t="inlineStr">
        <is>
          <t>Kitchen Supplies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3" t="n"/>
      <c r="G33" s="433" t="n"/>
      <c r="H33" s="433" t="n"/>
      <c r="I33" s="433" t="n"/>
      <c r="J33" s="433" t="n"/>
      <c r="K33" s="433" t="n"/>
      <c r="L33" s="433" t="n"/>
    </row>
    <row r="34">
      <c r="A34" s="439" t="inlineStr">
        <is>
          <t>Utilities/Internet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3" t="n"/>
      <c r="G34" s="433" t="n"/>
      <c r="H34" s="433" t="n"/>
      <c r="I34" s="433" t="n"/>
      <c r="J34" s="433" t="n"/>
      <c r="K34" s="433" t="n"/>
      <c r="L34" s="433" t="n"/>
    </row>
    <row r="35">
      <c r="A35" s="439" t="inlineStr">
        <is>
          <t>Ingredients - Other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3" t="n"/>
      <c r="G35" s="433" t="n"/>
      <c r="H35" s="433" t="n"/>
      <c r="I35" s="433" t="n"/>
      <c r="J35" s="433" t="n"/>
      <c r="K35" s="433" t="n"/>
      <c r="L35" s="433" t="n"/>
    </row>
    <row r="36">
      <c r="A36" s="439" t="inlineStr">
        <is>
          <t>Office Supplies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3" t="n"/>
      <c r="G36" s="433" t="n"/>
      <c r="H36" s="433" t="n"/>
      <c r="I36" s="433" t="n"/>
      <c r="J36" s="433" t="n"/>
      <c r="K36" s="433" t="n"/>
      <c r="L36" s="433" t="n"/>
    </row>
    <row r="37">
      <c r="A37" s="439" t="inlineStr">
        <is>
          <t>Software/Subscription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3" t="n"/>
      <c r="G37" s="433" t="n"/>
      <c r="H37" s="433" t="n"/>
      <c r="I37" s="433" t="n"/>
      <c r="J37" s="433" t="n"/>
      <c r="K37" s="433" t="n"/>
      <c r="L37" s="433" t="n"/>
    </row>
    <row r="38">
      <c r="A38" s="439" t="inlineStr">
        <is>
          <t>Staff - Advance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3" t="n"/>
      <c r="G38" s="433" t="n"/>
      <c r="H38" s="433" t="n"/>
      <c r="I38" s="433" t="n"/>
      <c r="J38" s="433" t="n"/>
      <c r="K38" s="433" t="n"/>
      <c r="L38" s="433" t="n"/>
    </row>
    <row r="39">
      <c r="A39" s="439" t="inlineStr">
        <is>
          <t>Ingredients - Desserts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3" t="n"/>
      <c r="G39" s="433" t="n"/>
      <c r="H39" s="433" t="n"/>
      <c r="I39" s="433" t="n"/>
      <c r="J39" s="433" t="n"/>
      <c r="K39" s="433" t="n"/>
      <c r="L39" s="433" t="n"/>
    </row>
    <row r="40">
      <c r="A40" s="439" t="inlineStr">
        <is>
          <t>Ingredients - Eggs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3" t="n"/>
      <c r="G40" s="433" t="n"/>
      <c r="H40" s="433" t="n"/>
      <c r="I40" s="433" t="n"/>
      <c r="J40" s="433" t="n"/>
      <c r="K40" s="433" t="n"/>
      <c r="L40" s="433" t="n"/>
    </row>
    <row r="41">
      <c r="A41" s="439" t="inlineStr">
        <is>
          <t>Staff - Propinas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3" t="n"/>
      <c r="G41" s="433" t="n"/>
      <c r="H41" s="433" t="n"/>
      <c r="I41" s="433" t="n"/>
      <c r="J41" s="433" t="n"/>
      <c r="K41" s="433" t="n"/>
      <c r="L41" s="433" t="n"/>
    </row>
    <row r="42">
      <c r="A42" s="436" t="inlineStr">
        <is>
          <t>TOTAL EXPENSES</t>
        </is>
      </c>
      <c r="B42" s="438">
        <f>SUMIFS('💸 Expenses'!$F$8:$F$5000,'💸 Expenses'!$B$8:$B$5000,"&gt;="&amp;DATE(2026,5,1),'💸 Expenses'!$B$8:$B$5000,"&lt;"&amp;DATE(2026,6,1))</f>
        <v/>
      </c>
      <c r="C42" s="438">
        <f>SUMIFS('💸 Expenses'!$F$8:$F$5000,'💸 Expenses'!$B$8:$B$5000,"&gt;="&amp;DATE(2026,6,1),'💸 Expenses'!$B$8:$B$5000,"&lt;"&amp;DATE(2026,7,1))</f>
        <v/>
      </c>
      <c r="D42" s="438">
        <f>SUMIFS('💸 Expenses'!$F$8:$F$5000,'💸 Expenses'!$B$8:$B$5000,"&gt;="&amp;DATE(2026,7,1),'💸 Expenses'!$B$8:$B$5000,"&lt;"&amp;DATE(2026,8,1))</f>
        <v/>
      </c>
      <c r="E42" s="438">
        <f>SUMIFS('💸 Expenses'!$F$8:$F$5000,'💸 Expenses'!$B$8:$B$5000,"&gt;="&amp;DATE(2026,8,1),'💸 Expenses'!$B$8:$B$5000,"&lt;"&amp;DATE(2026,9,1))</f>
        <v/>
      </c>
      <c r="F42" s="433" t="n"/>
      <c r="G42" s="433" t="n"/>
      <c r="H42" s="433" t="n"/>
      <c r="I42" s="433" t="n"/>
      <c r="J42" s="433" t="n"/>
      <c r="K42" s="433" t="n"/>
      <c r="L42" s="433" t="n"/>
    </row>
    <row r="43">
      <c r="A43" s="436" t="inlineStr">
        <is>
          <t>NET PROFIT / LOSS</t>
        </is>
      </c>
      <c r="B43" s="438">
        <f>B4-B42</f>
        <v/>
      </c>
      <c r="C43" s="438">
        <f>C4-C42</f>
        <v/>
      </c>
      <c r="D43" s="438">
        <f>D4-D42</f>
        <v/>
      </c>
      <c r="E43" s="438">
        <f>E4-E42</f>
        <v/>
      </c>
      <c r="F43" s="433" t="n"/>
      <c r="G43" s="433" t="n"/>
      <c r="H43" s="433" t="n"/>
      <c r="I43" s="433" t="n"/>
      <c r="J43" s="433" t="n"/>
      <c r="K43" s="433" t="n"/>
      <c r="L43" s="433" t="n"/>
    </row>
    <row r="44">
      <c r="A44" s="433" t="n"/>
      <c r="B44" s="433" t="n"/>
      <c r="C44" s="433" t="n"/>
      <c r="D44" s="433" t="n"/>
      <c r="E44" s="433" t="n"/>
      <c r="F44" s="433" t="n"/>
      <c r="G44" s="433" t="n"/>
      <c r="H44" s="433" t="n"/>
      <c r="I44" s="433" t="n"/>
      <c r="J44" s="433" t="n"/>
      <c r="K44" s="433" t="n"/>
      <c r="L44" s="433" t="n"/>
    </row>
    <row r="45">
      <c r="A45" s="433" t="n"/>
      <c r="B45" s="433" t="n"/>
      <c r="C45" s="433" t="n"/>
      <c r="D45" s="433" t="n"/>
      <c r="E45" s="433" t="n"/>
      <c r="F45" s="433" t="n"/>
      <c r="G45" s="433" t="n"/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E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inlineStr">
        <is>
          <t>TOTALS &amp; CURRENT BALANCE</t>
        </is>
      </c>
      <c r="B65" s="232" t="n"/>
      <c r="C65" s="232" t="n"/>
      <c r="D65" s="232">
        <f>SUM(D4:D64)</f>
        <v/>
      </c>
      <c r="E65" s="233">
        <f>SUM(E4:E64)</f>
        <v/>
      </c>
      <c r="F65" s="233">
        <f>F64</f>
        <v/>
      </c>
      <c r="G65" s="232">
        <f>IF(F64&gt;0,"Restaurant owes Lohith $"&amp;TEXT(F64,"#,##0"),IF(F64&lt;0,"Lohith holds $"&amp;TEXT(ABS(F64),"#,##0"),"Zero balance"))</f>
        <v/>
      </c>
      <c r="H65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2026-08-11T02:17:36Z</dcterms:modified>
  <cp:lastModifiedBy>LOHITH REDDY</cp:lastModifiedBy>
</cp:coreProperties>
</file>