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3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</t>
        </is>
      </c>
      <c r="C149" s="433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/>
      </c>
      <c r="G6" s="31">
        <f>SUMIFS($G$8:$G$5000,$B$8:$B$5000,TODAY())</f>
        <v/>
      </c>
      <c r="H6" s="28">
        <f>SUMIFS($H$8:$H$5000,$B$8:$B$5000,TODAY())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/>
      </c>
      <c r="N6" s="33">
        <f>SUMPRODUCT((ISNUMBER($B$8:$B$5000))*($B$8:$B$5000&gt;=TODAY()-MOD(TODAY()-2,7))*($B$8:$B$5000&lt;TODAY()-MOD(TODAY()-2,7)+7)*IF(ISNUMBER($F$8:$F$5000),$F$8:$F$5000,0))</f>
        <v/>
      </c>
      <c r="O6" s="33">
        <f>SUMPRODUCT((ISNUMBER($B$8:$B$5000))*(MONTH($B$8:$B$5000)=MONTH(TODAY()))*(YEAR($B$8:$B$5000)=YEAR(TODAY()))*IF(ISNUMBER($F$8:$F$5000),$F$8:$F$5000,0))</f>
        <v/>
      </c>
      <c r="P6">
        <f>SUMPRODUCT((ISNUMBER($B$8:$B$5000))*($B$8:$B$5000&gt;=TODAY()-MOD(TODAY()-2,7))*($B$8:$B$5000&lt;TODAY()-MOD(TODAY()-2,7)+7)*IF(ISNUMBER($H$8:$H$5000),$H$8:$H$5000,0))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Expenses'!$F$8:$F$5000,'💸 Expenses'!$B$8:$B$5000,"&gt;="&amp;B8,'💸 Expenses'!$B$8:$B$5000,"&lt;"&amp;(B8+1))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Expenses'!$F$8:$F$5000,'💸 Expenses'!$B$8:$B$5000,"&gt;="&amp;B9,'💸 Expenses'!$B$8:$B$5000,"&lt;"&amp;(B9+1))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Expenses'!$F$8:$F$5000,'💸 Expenses'!$B$8:$B$5000,"&gt;="&amp;B10,'💸 Expenses'!$B$8:$B$5000,"&lt;"&amp;(B10+1))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Expenses'!$F$8:$F$5000,'💸 Expenses'!$B$8:$B$5000,"&gt;="&amp;B11,'💸 Expenses'!$B$8:$B$5000,"&lt;"&amp;(B11+1))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Expenses'!$F$8:$F$5000,'💸 Expenses'!$B$8:$B$5000,"&gt;="&amp;B12,'💸 Expenses'!$B$8:$B$5000,"&lt;"&amp;(B12+1))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Expenses'!$F$8:$F$5000,'💸 Expenses'!$B$8:$B$5000,"&gt;="&amp;B13,'💸 Expenses'!$B$8:$B$5000,"&lt;"&amp;(B13+1))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Expenses'!$F$8:$F$5000,'💸 Expenses'!$B$8:$B$5000,"&gt;="&amp;B14,'💸 Expenses'!$B$8:$B$5000,"&lt;"&amp;(B14+1))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Expenses'!$F$8:$F$5000,'💸 Expenses'!$B$8:$B$5000,"&gt;="&amp;B15,'💸 Expenses'!$B$8:$B$5000,"&lt;"&amp;(B15+1))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Expenses'!$F$8:$F$5000,'💸 Expenses'!$B$8:$B$5000,"&gt;="&amp;B16,'💸 Expenses'!$B$8:$B$5000,"&lt;"&amp;(B16+1))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Expenses'!$F$8:$F$5000,'💸 Expenses'!$B$8:$B$5000,"&gt;="&amp;B17,'💸 Expenses'!$B$8:$B$5000,"&lt;"&amp;(B17+1))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Expenses'!$F$8:$F$5000,'💸 Expenses'!$B$8:$B$5000,"&gt;="&amp;B18,'💸 Expenses'!$B$8:$B$5000,"&lt;"&amp;(B18+1))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Expenses'!$F$8:$F$5000,'💸 Expenses'!$B$8:$B$5000,"&gt;="&amp;B19,'💸 Expenses'!$B$8:$B$5000,"&lt;"&amp;(B19+1))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Expenses'!$F$8:$F$5000,'💸 Expenses'!$B$8:$B$5000,"&gt;="&amp;B20,'💸 Expenses'!$B$8:$B$5000,"&lt;"&amp;(B20+1))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Expenses'!$F$8:$F$5000,'💸 Expenses'!$B$8:$B$5000,"&gt;="&amp;B21,'💸 Expenses'!$B$8:$B$5000,"&lt;"&amp;(B21+1))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Expenses'!$F$8:$F$5000,'💸 Expenses'!$B$8:$B$5000,"&gt;="&amp;B22,'💸 Expenses'!$B$8:$B$5000,"&lt;"&amp;(B22+1))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Expenses'!$F$8:$F$5000,'💸 Expenses'!$B$8:$B$5000,"&gt;="&amp;B23,'💸 Expenses'!$B$8:$B$5000,"&lt;"&amp;(B23+1))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Expenses'!$F$8:$F$5000,'💸 Expenses'!$B$8:$B$5000,"&gt;="&amp;B24,'💸 Expenses'!$B$8:$B$5000,"&lt;"&amp;(B24+1))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Expenses'!$F$8:$F$5000,'💸 Expenses'!$B$8:$B$5000,"&gt;="&amp;B25,'💸 Expenses'!$B$8:$B$5000,"&lt;"&amp;(B25+1))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Expenses'!$F$8:$F$5000,'💸 Expenses'!$B$8:$B$5000,"&gt;="&amp;B26,'💸 Expenses'!$B$8:$B$5000,"&lt;"&amp;(B26+1))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Expenses'!$F$8:$F$5000,'💸 Expenses'!$B$8:$B$5000,"&gt;="&amp;B27,'💸 Expenses'!$B$8:$B$5000,"&lt;"&amp;(B27+1))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Expenses'!$F$8:$F$5000,'💸 Expenses'!$B$8:$B$5000,"&gt;="&amp;B28,'💸 Expenses'!$B$8:$B$5000,"&lt;"&amp;(B28+1))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Expenses'!$F$8:$F$5000,'💸 Expenses'!$B$8:$B$5000,"&gt;="&amp;B29,'💸 Expenses'!$B$8:$B$5000,"&lt;"&amp;(B29+1))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Expenses'!$F$8:$F$5000,'💸 Expenses'!$B$8:$B$5000,"&gt;="&amp;B30,'💸 Expenses'!$B$8:$B$5000,"&lt;"&amp;(B30+1))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Expenses'!$F$8:$F$5000,'💸 Expenses'!$B$8:$B$5000,"&gt;="&amp;B31,'💸 Expenses'!$B$8:$B$5000,"&lt;"&amp;(B31+1))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Expenses'!$F$8:$F$5000,'💸 Expenses'!$B$8:$B$5000,"&gt;="&amp;B32,'💸 Expenses'!$B$8:$B$5000,"&lt;"&amp;(B32+1))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Expenses'!$F$8:$F$5000,'💸 Expenses'!$B$8:$B$5000,"&gt;="&amp;B33,'💸 Expenses'!$B$8:$B$5000,"&lt;"&amp;(B33+1))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Expenses'!$F$8:$F$5000,'💸 Expenses'!$B$8:$B$5000,"&gt;="&amp;B34,'💸 Expenses'!$B$8:$B$5000,"&lt;"&amp;(B34+1))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Expenses'!$F$8:$F$5000,'💸 Expenses'!$B$8:$B$5000,"&gt;="&amp;B35,'💸 Expenses'!$B$8:$B$5000,"&lt;"&amp;(B35+1))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Expenses'!$F$8:$F$5000,'💸 Expenses'!$B$8:$B$5000,"&gt;="&amp;B36,'💸 Expenses'!$B$8:$B$5000,"&lt;"&amp;(B36+1))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Expenses'!$F$8:$F$5000,'💸 Expenses'!$B$8:$B$5000,"&gt;="&amp;B37,'💸 Expenses'!$B$8:$B$5000,"&lt;"&amp;(B37+1))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Expenses'!$F$8:$F$5000,'💸 Expenses'!$B$8:$B$5000,"&gt;="&amp;B38,'💸 Expenses'!$B$8:$B$5000,"&lt;"&amp;(B38+1))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Expenses'!$F$8:$F$5000,'💸 Expenses'!$B$8:$B$5000,"&gt;="&amp;B39,'💸 Expenses'!$B$8:$B$5000,"&lt;"&amp;(B39+1))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Expenses'!$F$8:$F$5000,'💸 Expenses'!$B$8:$B$5000,"&gt;="&amp;B40,'💸 Expenses'!$B$8:$B$5000,"&lt;"&amp;(B40+1))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Expenses'!$F$8:$F$5000,'💸 Expenses'!$B$8:$B$5000,"&gt;="&amp;B41,'💸 Expenses'!$B$8:$B$5000,"&lt;"&amp;(B41+1))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/>
      </c>
      <c r="G42" s="272" t="n">
        <v>0</v>
      </c>
      <c r="H42" s="273">
        <f>SUMIFS('💸 Expenses'!$F$8:$F$5000,'💸 Expenses'!$B$8:$B$5000,"&gt;="&amp;B42,'💸 Expenses'!$B$8:$B$5000,"&lt;"&amp;(B42+1))</f>
        <v/>
      </c>
      <c r="I42" s="274">
        <f>IFERROR(F42-H42,0)</f>
        <v/>
      </c>
      <c r="J42" s="275">
        <f>IFERROR(I42/F42,0)</f>
        <v/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Expenses'!$F$8:$F$5000,'💸 Expenses'!$B$8:$B$5000,"&gt;="&amp;B43,'💸 Expenses'!$B$8:$B$5000,"&lt;"&amp;(B43+1))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/>
      </c>
      <c r="G44" s="272" t="n">
        <v>0</v>
      </c>
      <c r="H44" s="273">
        <f>SUMIFS('💸 Expenses'!$F$8:$F$5000,'💸 Expenses'!$B$8:$B$5000,"&gt;="&amp;B44,'💸 Expenses'!$B$8:$B$5000,"&lt;"&amp;(B44+1))</f>
        <v/>
      </c>
      <c r="I44" s="274">
        <f>IFERROR(F44-H44,0)</f>
        <v/>
      </c>
      <c r="J44" s="275">
        <f>IFERROR(I44/F44,0)</f>
        <v/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Expenses'!$F$8:$F$5000,'💸 Expenses'!$B$8:$B$5000,"&gt;="&amp;B45,'💸 Expenses'!$B$8:$B$5000,"&lt;"&amp;(B45+1))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/>
      </c>
      <c r="G46" s="272" t="n">
        <v>0</v>
      </c>
      <c r="H46" s="273">
        <f>SUMIFS('💸 Expenses'!$F$8:$F$5000,'💸 Expenses'!$B$8:$B$5000,"&gt;="&amp;B46,'💸 Expenses'!$B$8:$B$5000,"&lt;"&amp;(B46+1))</f>
        <v/>
      </c>
      <c r="I46" s="274">
        <f>IFERROR(F46-H46,0)</f>
        <v/>
      </c>
      <c r="J46" s="275">
        <f>IFERROR(I46/F46,0)</f>
        <v/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Expenses'!$F$8:$F$5000,'💸 Expenses'!$B$8:$B$5000,"&gt;="&amp;B47,'💸 Expenses'!$B$8:$B$5000,"&lt;"&amp;(B47+1))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/>
      </c>
      <c r="G48" s="272" t="n">
        <v>0</v>
      </c>
      <c r="H48" s="273">
        <f>SUMIFS('💸 Expenses'!$F$8:$F$5000,'💸 Expenses'!$B$8:$B$5000,"&gt;="&amp;B48,'💸 Expenses'!$B$8:$B$5000,"&lt;"&amp;(B48+1))</f>
        <v/>
      </c>
      <c r="I48" s="274">
        <f>IFERROR(F48-H48,0)</f>
        <v/>
      </c>
      <c r="J48" s="275">
        <f>IFERROR(I48/F48,0)</f>
        <v/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Expenses'!$F$8:$F$5000,'💸 Expenses'!$B$8:$B$5000,"&gt;="&amp;B49,'💸 Expenses'!$B$8:$B$5000,"&lt;"&amp;(B49+1))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/>
      </c>
      <c r="G50" s="272" t="n">
        <v>0</v>
      </c>
      <c r="H50" s="273">
        <f>SUMIFS('💸 Expenses'!$F$8:$F$5000,'💸 Expenses'!$B$8:$B$5000,"&gt;="&amp;B50,'💸 Expenses'!$B$8:$B$5000,"&lt;"&amp;(B50+1))</f>
        <v/>
      </c>
      <c r="I50" s="274">
        <f>IFERROR(F50-H50,0)</f>
        <v/>
      </c>
      <c r="J50" s="275">
        <f>IFERROR(I50/F50,0)</f>
        <v/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Expenses'!$F$8:$F$5000,'💸 Expenses'!$B$8:$B$5000,"&gt;="&amp;B51,'💸 Expenses'!$B$8:$B$5000,"&lt;"&amp;(B51+1))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/>
      </c>
      <c r="G52" s="272" t="n">
        <v>0</v>
      </c>
      <c r="H52" s="273">
        <f>SUMIFS('💸 Expenses'!$F$8:$F$5000,'💸 Expenses'!$B$8:$B$5000,"&gt;="&amp;B52,'💸 Expenses'!$B$8:$B$5000,"&lt;"&amp;(B52+1))</f>
        <v/>
      </c>
      <c r="I52" s="274">
        <f>IFERROR(F52-H52,0)</f>
        <v/>
      </c>
      <c r="J52" s="275">
        <f>IFERROR(I52/F52,0)</f>
        <v/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Expenses'!$F$8:$F$5000,'💸 Expenses'!$B$8:$B$5000,"&gt;="&amp;B53,'💸 Expenses'!$B$8:$B$5000,"&lt;"&amp;(B53+1))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/>
      </c>
      <c r="G54" s="272" t="n">
        <v>0</v>
      </c>
      <c r="H54" s="273">
        <f>SUMIFS('💸 Expenses'!$F$8:$F$5000,'💸 Expenses'!$B$8:$B$5000,"&gt;="&amp;B54,'💸 Expenses'!$B$8:$B$5000,"&lt;"&amp;(B54+1))</f>
        <v/>
      </c>
      <c r="I54" s="274">
        <f>IFERROR(F54-H54,0)</f>
        <v/>
      </c>
      <c r="J54" s="275">
        <f>IFERROR(I54/F54,0)</f>
        <v/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Expenses'!$F$8:$F$5000,'💸 Expenses'!$B$8:$B$5000,"&gt;="&amp;B55,'💸 Expenses'!$B$8:$B$5000,"&lt;"&amp;(B55+1))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/>
      </c>
      <c r="G56" s="272" t="n">
        <v>0</v>
      </c>
      <c r="H56" s="273">
        <f>SUMIFS('💸 Expenses'!$F$8:$F$5000,'💸 Expenses'!$B$8:$B$5000,"&gt;="&amp;B56,'💸 Expenses'!$B$8:$B$5000,"&lt;"&amp;(B56+1))</f>
        <v/>
      </c>
      <c r="I56" s="274">
        <f>IFERROR(F56-H56,0)</f>
        <v/>
      </c>
      <c r="J56" s="275">
        <f>IFERROR(I56/F56,0)</f>
        <v/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Expenses'!$F$8:$F$5000,'💸 Expenses'!$B$8:$B$5000,"&gt;="&amp;B57,'💸 Expenses'!$B$8:$B$5000,"&lt;"&amp;(B57+1))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Expenses'!$F$8:$F$5000,'💸 Expenses'!$B$8:$B$5000,"&gt;="&amp;B58,'💸 Expenses'!$B$8:$B$5000,"&lt;"&amp;(B58+1))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Expenses'!$F$8:$F$5000,'💸 Expenses'!$B$8:$B$5000,"&gt;="&amp;B59,'💸 Expenses'!$B$8:$B$5000,"&lt;"&amp;(B59+1))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Expenses'!$F$8:$F$5000,'💸 Expenses'!$B$8:$B$5000,"&gt;="&amp;B60,'💸 Expenses'!$B$8:$B$5000,"&lt;"&amp;(B60+1))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Expenses'!$F$8:$F$5000,'💸 Expenses'!$B$8:$B$5000,"&gt;="&amp;B61,'💸 Expenses'!$B$8:$B$5000,"&lt;"&amp;(B61+1))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/>
      </c>
      <c r="G62" s="257" t="n">
        <v>120</v>
      </c>
      <c r="H62" s="258">
        <f>SUMIFS('💸 Expenses'!$F$8:$F$5000,'💸 Expenses'!$B$8:$B$5000,"&gt;="&amp;B62,'💸 Expenses'!$B$8:$B$5000,"&lt;"&amp;(B62+1))</f>
        <v/>
      </c>
      <c r="I62" s="259">
        <f>IFERROR(F62-H62,0)</f>
        <v/>
      </c>
      <c r="J62" s="260">
        <f>IFERROR(I62/F62,0)</f>
        <v/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/>
      </c>
      <c r="G63" s="257" t="n">
        <v>0</v>
      </c>
      <c r="H63" s="258">
        <f>SUMIFS('💸 Expenses'!$F$8:$F$5000,'💸 Expenses'!$B$8:$B$5000,"&gt;="&amp;B63,'💸 Expenses'!$B$8:$B$5000,"&lt;"&amp;(B63+1))</f>
        <v/>
      </c>
      <c r="I63" s="259">
        <f>IFERROR(F63-H63,0)</f>
        <v/>
      </c>
      <c r="J63" s="260">
        <f>IFERROR(I63/F63,0)</f>
        <v/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/>
      </c>
      <c r="G64" s="257" t="n">
        <v>130</v>
      </c>
      <c r="H64" s="258">
        <f>SUMIFS('💸 Expenses'!$F$8:$F$5000,'💸 Expenses'!$B$8:$B$5000,"&gt;="&amp;B64,'💸 Expenses'!$B$8:$B$5000,"&lt;"&amp;(B64+1))</f>
        <v/>
      </c>
      <c r="I64" s="259">
        <f>IFERROR(F64-H64,0)</f>
        <v/>
      </c>
      <c r="J64" s="260">
        <f>IFERROR(I64/F64,0)</f>
        <v/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/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/>
      </c>
      <c r="G65" s="257" t="n">
        <v>2385</v>
      </c>
      <c r="H65" s="258">
        <f>SUMIFS('💸 Expenses'!$F$8:$F$5000,'💸 Expenses'!$B$8:$B$5000,"&gt;="&amp;B65,'💸 Expenses'!$B$8:$B$5000,"&lt;"&amp;(B65+1))</f>
        <v/>
      </c>
      <c r="I65" s="259">
        <f>IFERROR(F65-H65,0)</f>
        <v/>
      </c>
      <c r="J65" s="260">
        <f>IFERROR(I65/F65,0)</f>
        <v/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/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/>
      </c>
      <c r="G66" s="257" t="n">
        <v>300</v>
      </c>
      <c r="H66" s="258">
        <f>SUMIFS('💸 Expenses'!$F$8:$F$5000,'💸 Expenses'!$B$8:$B$5000,"&gt;="&amp;B66,'💸 Expenses'!$B$8:$B$5000,"&lt;"&amp;(B66+1))</f>
        <v/>
      </c>
      <c r="I66" s="259">
        <f>IFERROR(F66-H66,0)</f>
        <v/>
      </c>
      <c r="J66" s="260">
        <f>IFERROR(I66/F66,0)</f>
        <v/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/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/>
      </c>
      <c r="G67" s="257" t="n">
        <v>290</v>
      </c>
      <c r="H67" s="258">
        <f>SUMIFS('💸 Expenses'!$F$8:$F$5000,'💸 Expenses'!$B$8:$B$5000,"&gt;="&amp;B67,'💸 Expenses'!$B$8:$B$5000,"&lt;"&amp;(B67+1))</f>
        <v/>
      </c>
      <c r="I67" s="259">
        <f>IFERROR(F67-H67,0)</f>
        <v/>
      </c>
      <c r="J67" s="260">
        <f>IFERROR(I67/F67,0)</f>
        <v/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/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/>
      </c>
      <c r="G68" s="257" t="n">
        <v>0</v>
      </c>
      <c r="H68" s="258">
        <f>SUMIFS('💸 Expenses'!$F$8:$F$5000,'💸 Expenses'!$B$8:$B$5000,"&gt;="&amp;B68,'💸 Expenses'!$B$8:$B$5000,"&lt;"&amp;(B68+1))</f>
        <v/>
      </c>
      <c r="I68" s="259">
        <f>IFERROR(F68-H68,0)</f>
        <v/>
      </c>
      <c r="J68" s="260">
        <f>IFERROR(I68/F68,0)</f>
        <v/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/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/>
      </c>
      <c r="G69" s="257" t="n">
        <v>0</v>
      </c>
      <c r="H69" s="258">
        <f>SUMIFS('💸 Expenses'!$F$8:$F$5000,'💸 Expenses'!$B$8:$B$5000,"&gt;="&amp;B69,'💸 Expenses'!$B$8:$B$5000,"&lt;"&amp;(B69+1))</f>
        <v/>
      </c>
      <c r="I69" s="259">
        <f>IFERROR(F69-H69,0)</f>
        <v/>
      </c>
      <c r="J69" s="260">
        <f>IFERROR(I69/F69,0)</f>
        <v/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/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420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/>
      </c>
      <c r="G70" s="257" t="n">
        <v>355</v>
      </c>
      <c r="H70" s="258">
        <f>SUMIFS('💸 Expenses'!$F$8:$F$5000,'💸 Expenses'!$B$8:$B$5000,"&gt;="&amp;B70,'💸 Expenses'!$B$8:$B$5000,"&lt;"&amp;(B70+1))</f>
        <v/>
      </c>
      <c r="I70" s="259">
        <f>IFERROR(F70-H70,0)</f>
        <v/>
      </c>
      <c r="J70" s="260">
        <f>IFERROR(I70/F70,0)</f>
        <v/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421">
        <f>IFERROR(D70*$T$7,0)</f>
        <v/>
      </c>
      <c r="S70" s="292" t="n"/>
      <c r="T70" s="292" t="n"/>
      <c r="U70" s="421" t="n">
        <v>0</v>
      </c>
      <c r="V70" s="421" t="n">
        <v>0</v>
      </c>
      <c r="W70" s="292" t="n"/>
      <c r="X70" s="292" t="n"/>
      <c r="Y70" s="421" t="n">
        <v>810</v>
      </c>
      <c r="Z70" s="421" t="n">
        <v>15.39</v>
      </c>
      <c r="AA70" s="292" t="n"/>
      <c r="AB70" s="292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24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  <row r="517">
      <c r="B517" s="422" t="n">
        <v>46225</v>
      </c>
      <c r="C517" s="305" t="inlineStr">
        <is>
          <t>Avia Reca (bebidas)</t>
        </is>
      </c>
      <c r="D517" s="306" t="inlineStr">
        <is>
          <t>Reca</t>
        </is>
      </c>
      <c r="E517" s="305" t="inlineStr">
        <is>
          <t>Ingredients - Beverages</t>
        </is>
      </c>
      <c r="F517" s="307" t="n">
        <v>300</v>
      </c>
      <c r="G517" s="308" t="inlineStr">
        <is>
          <t>Restaurant</t>
        </is>
      </c>
      <c r="H517" s="308" t="inlineStr">
        <is>
          <t>Cash</t>
        </is>
      </c>
      <c r="I517" s="309" t="inlineStr">
        <is>
          <t>✅ Paid</t>
        </is>
      </c>
      <c r="J517" s="418" t="inlineStr">
        <is>
          <t>Marca de bebidas; gasto operativo recurrente de inventario de bebidas.</t>
        </is>
      </c>
    </row>
    <row r="518">
      <c r="B518" s="422" t="n">
        <v>46225</v>
      </c>
      <c r="C518" s="305" t="inlineStr">
        <is>
          <t>Carnes</t>
        </is>
      </c>
      <c r="D518" s="306" t="inlineStr">
        <is>
          <t>No bill</t>
        </is>
      </c>
      <c r="E518" s="305" t="inlineStr">
        <is>
          <t>Ingredients - Meat</t>
        </is>
      </c>
      <c r="F518" s="307" t="n">
        <v>833</v>
      </c>
      <c r="G518" s="308" t="inlineStr">
        <is>
          <t>Restaurant</t>
        </is>
      </c>
      <c r="H518" s="308" t="inlineStr">
        <is>
          <t>Cash</t>
        </is>
      </c>
      <c r="I518" s="309" t="inlineStr">
        <is>
          <t>✅ Paid</t>
        </is>
      </c>
      <c r="J518" s="418" t="inlineStr">
        <is>
          <t>No receipt; cash</t>
        </is>
      </c>
    </row>
    <row r="519">
      <c r="B519" s="422" t="n">
        <v>46225</v>
      </c>
      <c r="C519" s="305" t="inlineStr">
        <is>
          <t>Elote (Oxxo)</t>
        </is>
      </c>
      <c r="D519" s="306" t="inlineStr">
        <is>
          <t>OXXO</t>
        </is>
      </c>
      <c r="E519" s="305" t="inlineStr">
        <is>
          <t>Ingredients - Vegetables</t>
        </is>
      </c>
      <c r="F519" s="307" t="n">
        <v>20</v>
      </c>
      <c r="G519" s="308" t="inlineStr">
        <is>
          <t>Restaurant</t>
        </is>
      </c>
      <c r="H519" s="308" t="inlineStr">
        <is>
          <t>Cash</t>
        </is>
      </c>
      <c r="I519" s="309" t="inlineStr">
        <is>
          <t>✅ Paid</t>
        </is>
      </c>
      <c r="J519" s="418" t="inlineStr">
        <is>
          <t>No receipt; cash</t>
        </is>
      </c>
    </row>
    <row r="520">
      <c r="B520" s="422" t="n">
        <v>46225</v>
      </c>
      <c r="C520" s="305" t="inlineStr">
        <is>
          <t>Tilapia</t>
        </is>
      </c>
      <c r="D520" s="306" t="inlineStr">
        <is>
          <t>Brisa del Mar</t>
        </is>
      </c>
      <c r="E520" s="305" t="inlineStr">
        <is>
          <t>Ingredients - Meat &amp; Fish</t>
        </is>
      </c>
      <c r="F520" s="307" t="n">
        <v>366</v>
      </c>
      <c r="G520" s="308" t="inlineStr">
        <is>
          <t>Restaurant</t>
        </is>
      </c>
      <c r="H520" s="308" t="inlineStr">
        <is>
          <t>Cash</t>
        </is>
      </c>
      <c r="I520" s="309" t="inlineStr">
        <is>
          <t>✅ Paid</t>
        </is>
      </c>
      <c r="J520" s="418" t="inlineStr">
        <is>
          <t>No receipt; cash; pescado</t>
        </is>
      </c>
    </row>
    <row r="521">
      <c r="B521" s="422" t="n">
        <v>46225</v>
      </c>
      <c r="C521" s="305" t="inlineStr">
        <is>
          <t>Pollo</t>
        </is>
      </c>
      <c r="D521" s="306" t="inlineStr">
        <is>
          <t>No bill</t>
        </is>
      </c>
      <c r="E521" s="305" t="inlineStr">
        <is>
          <t>Ingredients - Meat</t>
        </is>
      </c>
      <c r="F521" s="307" t="n">
        <v>234</v>
      </c>
      <c r="G521" s="308" t="inlineStr">
        <is>
          <t>Lohith</t>
        </is>
      </c>
      <c r="H521" s="308" t="inlineStr">
        <is>
          <t>Cash</t>
        </is>
      </c>
      <c r="I521" s="309" t="inlineStr">
        <is>
          <t>✅ Paid</t>
        </is>
      </c>
      <c r="J521" s="418" t="inlineStr">
        <is>
          <t>Pagado por Lohith (bolsillo); reembolsable via Owner Ledger; no de la caja</t>
        </is>
      </c>
    </row>
    <row r="522">
      <c r="B522" s="422" t="n">
        <v>46225</v>
      </c>
      <c r="C522" s="305" t="inlineStr">
        <is>
          <t>Soft Restaurant app subscription</t>
        </is>
      </c>
      <c r="D522" s="306" t="inlineStr">
        <is>
          <t>Soft Restaurant</t>
        </is>
      </c>
      <c r="E522" s="305" t="inlineStr">
        <is>
          <t>Utilities/Internet</t>
        </is>
      </c>
      <c r="F522" s="307" t="n">
        <v>810</v>
      </c>
      <c r="G522" s="308" t="inlineStr">
        <is>
          <t>Restaurant</t>
        </is>
      </c>
      <c r="H522" s="308" t="inlineStr">
        <is>
          <t>Cash</t>
        </is>
      </c>
      <c r="I522" s="309" t="inlineStr">
        <is>
          <t>✅ Paid</t>
        </is>
      </c>
      <c r="J522" s="418" t="inlineStr">
        <is>
          <t>Suscripcion MENSUAL recurrente del software POS Soft Restaurant. Gasto OPERATIVO (no capital) - se repite cada mes.</t>
        </is>
      </c>
    </row>
    <row r="523">
      <c r="B523" s="422" t="n">
        <v>46225</v>
      </c>
      <c r="C523" s="305" t="inlineStr">
        <is>
          <t>Groceries (Tres B)</t>
        </is>
      </c>
      <c r="D523" s="306" t="inlineStr">
        <is>
          <t>Tres B</t>
        </is>
      </c>
      <c r="E523" s="305" t="inlineStr">
        <is>
          <t>Supermarket/General</t>
        </is>
      </c>
      <c r="F523" s="307" t="n">
        <v>1186</v>
      </c>
      <c r="G523" s="308" t="inlineStr">
        <is>
          <t>Restaurant</t>
        </is>
      </c>
      <c r="H523" s="308" t="inlineStr">
        <is>
          <t>Cash</t>
        </is>
      </c>
      <c r="I523" s="309" t="inlineStr">
        <is>
          <t>✅ Paid</t>
        </is>
      </c>
      <c r="J523" s="418" t="inlineStr">
        <is>
          <t>No receipt provided; cash; abarrotes</t>
        </is>
      </c>
    </row>
    <row r="524">
      <c r="B524" s="422" t="n">
        <v>46225</v>
      </c>
      <c r="C524" s="305" t="inlineStr">
        <is>
          <t>Agua natural</t>
        </is>
      </c>
      <c r="D524" s="306" t="inlineStr">
        <is>
          <t>No bill</t>
        </is>
      </c>
      <c r="E524" s="305" t="inlineStr">
        <is>
          <t>Ingredients - Beverages</t>
        </is>
      </c>
      <c r="F524" s="307" t="n">
        <v>70</v>
      </c>
      <c r="G524" s="308" t="inlineStr">
        <is>
          <t>Restaurant</t>
        </is>
      </c>
      <c r="H524" s="308" t="inlineStr">
        <is>
          <t>Cash</t>
        </is>
      </c>
      <c r="I524" s="309" t="inlineStr">
        <is>
          <t>✅ Paid</t>
        </is>
      </c>
      <c r="J524" s="418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Supermarket/General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Supplies / Other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Utilities/Internet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Kitchen Supplies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Software / Subscription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Staff - Advance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Utilities / Internet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Packaging / Disposables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Desserts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Ingredients - Eggs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Staff - Propinas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5" t="inlineStr">
        <is>
          <t>Ingredients - Produce</t>
        </is>
      </c>
      <c r="B44" s="413">
        <f>SUMIFS('💸 Expenses'!$F$8:$F$500,'💸 Expenses'!$E$8:$E$500,$A44,'💸 Expenses'!$B$8:$B$500,"&gt;="&amp;DATE(2026,5,1),'💸 Expenses'!$B$8:$B$500,"&lt;"&amp;DATE(2026,6,1))</f>
        <v/>
      </c>
      <c r="C44" s="413">
        <f>SUMIFS('💸 Expenses'!$F$8:$F$500,'💸 Expenses'!$E$8:$E$500,$A44,'💸 Expenses'!$B$8:$B$500,"&gt;="&amp;DATE(2026,6,1),'💸 Expenses'!$B$8:$B$500,"&lt;"&amp;DATE(2026,7,1))</f>
        <v/>
      </c>
      <c r="D44" s="413">
        <f>SUMIFS('💸 Expenses'!$F$8:$F$500,'💸 Expenses'!$E$8:$E$500,$A44,'💸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TOTAL EXPENSES</t>
        </is>
      </c>
      <c r="B45" s="414">
        <f>SUMIFS('💸 Expenses'!$F$8:$F$500,'💸 Expenses'!$B$8:$B$500,"&gt;="&amp;DATE(2026,5,1),'💸 Expenses'!$B$8:$B$500,"&lt;"&amp;DATE(2026,6,1))</f>
        <v/>
      </c>
      <c r="C45" s="414">
        <f>SUMIFS('💸 Expenses'!$F$8:$F$500,'💸 Expenses'!$B$8:$B$500,"&gt;="&amp;DATE(2026,6,1),'💸 Expenses'!$B$8:$B$500,"&lt;"&amp;DATE(2026,7,1))</f>
        <v/>
      </c>
      <c r="D45" s="414">
        <f>SUMIFS('💸 Expenses'!$F$8:$F$500,'💸 Expenses'!$B$8:$B$500,"&gt;="&amp;DATE(2026,7,1),'💸 Expenses'!$B$8:$B$500,"&lt;"&amp;DATE(2026,8,1))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12" t="inlineStr">
        <is>
          <t>NET PROFIT / LOSS</t>
        </is>
      </c>
      <c r="B46" s="414">
        <f>B4-B45</f>
        <v/>
      </c>
      <c r="C46" s="414">
        <f>C4-C45</f>
        <v/>
      </c>
      <c r="D46" s="414">
        <f>D4-D45</f>
        <v/>
      </c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inlineStr">
        <is>
          <t>TOTALS &amp; CURRENT BALANCE</t>
        </is>
      </c>
      <c r="B47" s="232" t="n"/>
      <c r="C47" s="232" t="n"/>
      <c r="D47" s="232">
        <f>SUM(D4:D46)</f>
        <v/>
      </c>
      <c r="E47" s="233">
        <f>SUM(E4:E46)</f>
        <v/>
      </c>
      <c r="F47" s="233">
        <f>F46</f>
        <v/>
      </c>
      <c r="G47" s="232">
        <f>IF(F46&gt;0,"Restaurant owes Lohith $"&amp;TEXT(F46,"#,##0"),IF(F46&lt;0,"Lohith holds $"&amp;TEXT(ABS(F46),"#,##0"),"Zero balance"))</f>
        <v/>
      </c>
      <c r="H47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2026-07-23T16:03:26Z</dcterms:modified>
  <cp:lastModifiedBy>LOHITH REDDY</cp:lastModifiedBy>
</cp:coreProperties>
</file>