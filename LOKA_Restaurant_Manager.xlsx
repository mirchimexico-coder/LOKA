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0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1 Jul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20911.85</v>
      </c>
      <c r="E147" s="286" t="inlineStr">
        <is>
          <t>Operating costs funded from partner capital, net of repayments. Funded: 20,000 (rent Jul) + 17,200.04 (rent Aug) + 8,789 (luz Aug) + 19,314.81 (liquidacion ledger) = 65,303.85. Repaid from operating cash: 20,000 (21-Jul) + 2,587 (22-Jul) + 10,301 (05-Aug) = 32,888. Still owed by Operations: 32,415.85.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-44392</v>
      </c>
      <c r="E149" t="inlineStr">
        <is>
          <t>Cumulative repaid from operating cash (latest 13-Aug-2026 $11,504.00).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Cash still WITH Lohith (Section J)</t>
        </is>
      </c>
      <c r="C162" s="320">
        <f>D140</f>
        <v/>
      </c>
      <c r="E162" t="inlineStr">
        <is>
          <t>Undeployed capital physically in Lohith’s hands</t>
        </is>
      </c>
    </row>
    <row r="163">
      <c r="B163" s="319" t="inlineStr">
        <is>
          <t xml:space="preserve">   Kashigoud still to TRANSFER IN</t>
        </is>
      </c>
      <c r="C163" s="320">
        <f>F100</f>
        <v/>
      </c>
      <c r="E163" t="inlineStr">
        <is>
          <t>Committed $180k not yet fully sent</t>
        </is>
      </c>
    </row>
    <row r="164">
      <c r="B164" s="319" t="inlineStr">
        <is>
          <t xml:space="preserve">   Shashirekha still to TRANSFER IN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With Lohith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319" t="n"/>
      <c r="C168" s="320" t="n"/>
    </row>
    <row r="169">
      <c r="B169" s="319" t="n"/>
      <c r="C169" s="320" t="n"/>
    </row>
    <row r="170">
      <c r="B170" s="319" t="n"/>
      <c r="C170" s="320" t="n"/>
    </row>
    <row r="171">
      <c r="B171" s="317" t="n"/>
      <c r="C171" s="318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</f>
        <v>6645.0</v>
      </c>
      <c r="G6" s="31">
        <f>SUMIFS($G$8:$G$5000,$B$8:$B$5000,TODAY())</f>
        <v>120.0</v>
      </c>
      <c r="H6" s="28">
        <f>SUMIFS($H$8:$H$5000,$B$8:$B$5000,TODAY())</f>
        <v>2960.0</v>
      </c>
      <c r="I6" s="32">
        <f>F6-H6</f>
        <v>3685.0</v>
      </c>
      <c r="J6">
        <f>IFERROR(I6/F6,0)</f>
        <v>0.554552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14580.0</v>
      </c>
      <c r="N6" s="33">
        <f>SUMPRODUCT((ISNUMBER($B$8:$B$5000))*($B$8:$B$5000&gt;=TODAY()-MOD(TODAY()-2,7))*($B$8:$B$5000&lt;TODAY()-MOD(TODAY()-2,7)+7)*IF(ISNUMBER($F$8:$F$5000),$F$8:$F$5000,0))</f>
        <v>14580.0</v>
      </c>
      <c r="O6" s="33">
        <f>SUMPRODUCT((ISNUMBER($B$8:$B$5000))*(MONTH($B$8:$B$5000)=MONTH(TODAY()))*(YEAR($B$8:$B$5000)=YEAR(TODAY()))*IF(ISNUMBER($F$8:$F$5000),$F$8:$F$5000,0))</f>
        <v>72543.0</v>
      </c>
      <c r="P6">
        <f>SUMPRODUCT((ISNUMBER($B$8:$B$5000))*($B$8:$B$5000&gt;=TODAY()-MOD(TODAY()-2,7))*($B$8:$B$5000&lt;TODAY()-MOD(TODAY()-2,7)+7)*IF(ISNUMBER($H$8:$H$5000),$H$8:$H$5000,0))</f>
        <v>9306.0</v>
      </c>
      <c r="Q6">
        <f>M6-P6</f>
        <v>5274.0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31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31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31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31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31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31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31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31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31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31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31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31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31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31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31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31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31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31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31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31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31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31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31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31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31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31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31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31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31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665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1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370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Armando — Ayudante Salary</t>
        </is>
      </c>
      <c r="B37" s="199" t="n">
        <v>1850</v>
      </c>
      <c r="C37" s="220" t="n">
        <v>7400</v>
      </c>
      <c r="D37" s="221" t="inlineStr">
        <is>
          <t>$370/day · 5 days Mon–Fri · Sat not available · started 13 Aug 2026 (first payment $740 = 2 days on 14 Aug). Replaces Samu.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Debi + Armando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Samu left Aug 2026 — replaced by Armando ($1,850/wk vs $1,200/wk)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9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3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3" t="n"/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3" t="n"/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3" t="n"/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3" t="n"/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33" t="n"/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3" t="n"/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3" t="n"/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</t>
        </is>
      </c>
      <c r="B11" s="437">
        <f>SUMIFS('📅 Daily Log'!$D$8:$D$5000,'📅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</f>
        <v/>
      </c>
      <c r="F11" s="433" t="n"/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3" t="n"/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3" t="n"/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3" t="n"/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3" t="n"/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3" t="n"/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3" t="n"/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3" t="n"/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3" t="n"/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3" t="n"/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Ingredients - Pantry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3" t="n"/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Beverages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3" t="n"/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Dairy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3" t="n"/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3" t="n"/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Utilities/Electricity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3" t="n"/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Supplies/Other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3" t="n"/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Maintenance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3" t="n"/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Ingredients - Meat &amp; Fish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3" t="n"/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Packaging/Disposables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3" t="n"/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Utilities/Gas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3" t="n"/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Ingredients - Fruit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3" t="n"/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3" t="n"/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Utilities/Internet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3" t="n"/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Office Supplies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3" t="n"/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Ingredients - Other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3" t="n"/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Software/Subscription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3" t="n"/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Staff - Advance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3" t="n"/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Ingredients - Desserts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3" t="n"/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Ingredients - Eggs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3" t="n"/>
      <c r="G40" s="433" t="n"/>
      <c r="H40" s="433" t="n"/>
      <c r="I40" s="433" t="n"/>
      <c r="J40" s="433" t="n"/>
      <c r="K40" s="433" t="n"/>
      <c r="L40" s="433" t="n"/>
    </row>
    <row r="41">
      <c r="A41" s="439" t="inlineStr">
        <is>
          <t>Staff - Propinas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3" t="n"/>
      <c r="G41" s="433" t="n"/>
      <c r="H41" s="433" t="n"/>
      <c r="I41" s="433" t="n"/>
      <c r="J41" s="433" t="n"/>
      <c r="K41" s="433" t="n"/>
      <c r="L41" s="433" t="n"/>
    </row>
    <row r="42">
      <c r="A42" s="436" t="inlineStr">
        <is>
          <t>TOTAL EXPENSES</t>
        </is>
      </c>
      <c r="B42" s="438">
        <f>SUMIFS('💸 Expenses'!$F$8:$F$5000,'💸 Expenses'!$B$8:$B$5000,"&gt;="&amp;DATE(2026,5,1),'💸 Expenses'!$B$8:$B$5000,"&lt;"&amp;DATE(2026,6,1))</f>
        <v/>
      </c>
      <c r="C42" s="438">
        <f>SUMIFS('💸 Expenses'!$F$8:$F$5000,'💸 Expenses'!$B$8:$B$5000,"&gt;="&amp;DATE(2026,6,1),'💸 Expenses'!$B$8:$B$5000,"&lt;"&amp;DATE(2026,7,1))</f>
        <v/>
      </c>
      <c r="D42" s="438">
        <f>SUMIFS('💸 Expenses'!$F$8:$F$5000,'💸 Expenses'!$B$8:$B$5000,"&gt;="&amp;DATE(2026,7,1),'💸 Expenses'!$B$8:$B$5000,"&lt;"&amp;DATE(2026,8,1))</f>
        <v/>
      </c>
      <c r="E42" s="438">
        <f>SUMIFS('💸 Expenses'!$F$8:$F$5000,'💸 Expenses'!$B$8:$B$5000,"&gt;="&amp;DATE(2026,8,1),'💸 Expenses'!$B$8:$B$5000,"&lt;"&amp;DATE(2026,9,1))</f>
        <v/>
      </c>
      <c r="F42" s="433" t="n"/>
      <c r="G42" s="433" t="n"/>
      <c r="H42" s="433" t="n"/>
      <c r="I42" s="433" t="n"/>
      <c r="J42" s="433" t="n"/>
      <c r="K42" s="433" t="n"/>
      <c r="L42" s="433" t="n"/>
    </row>
    <row r="43">
      <c r="A43" s="436" t="inlineStr">
        <is>
          <t>NET PROFIT / LOSS</t>
        </is>
      </c>
      <c r="B43" s="438">
        <f>B4-B42</f>
        <v/>
      </c>
      <c r="C43" s="438">
        <f>C4-C42</f>
        <v/>
      </c>
      <c r="D43" s="438">
        <f>D4-D42</f>
        <v/>
      </c>
      <c r="E43" s="438">
        <f>E4-E42</f>
        <v/>
      </c>
      <c r="F43" s="433" t="n"/>
      <c r="G43" s="433" t="n"/>
      <c r="H43" s="433" t="n"/>
      <c r="I43" s="433" t="n"/>
      <c r="J43" s="433" t="n"/>
      <c r="K43" s="433" t="n"/>
      <c r="L43" s="433" t="n"/>
    </row>
    <row r="44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  <c r="J44" s="433" t="n"/>
      <c r="K44" s="433" t="n"/>
      <c r="L44" s="433" t="n"/>
    </row>
    <row r="45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E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Transfer Received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Received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inlineStr">
        <is>
          <t>TOTALS &amp; CURRENT BALANCE</t>
        </is>
      </c>
      <c r="B76" s="232" t="n"/>
      <c r="C76" s="232" t="n"/>
      <c r="D76" s="232">
        <f>SUM(D4:D75)</f>
        <v/>
      </c>
      <c r="E76" s="233">
        <f>SUM(E4:E75)</f>
        <v/>
      </c>
      <c r="F76" s="233">
        <f>F75</f>
        <v/>
      </c>
      <c r="G76" s="232">
        <f>IF(F75&gt;0,"Restaurant owes Lohith $"&amp;TEXT(F75,"#,##0"),IF(F75&lt;0,"Lohith holds $"&amp;TEXT(ABS(F75),"#,##0"),"Zero balance"))</f>
        <v/>
      </c>
      <c r="H76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2026-08-20T01:46:44Z</dcterms:modified>
  <cp:lastModifiedBy>LOHITH REDDY</cp:lastModifiedBy>
</cp:coreProperties>
</file>