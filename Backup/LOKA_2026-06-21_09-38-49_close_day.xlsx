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9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  <xf numFmtId="174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382" t="n">
        <v>46193</v>
      </c>
      <c r="C295" s="383" t="inlineStr">
        <is>
          <t>Aceite La Posada 800 (x2)</t>
        </is>
      </c>
      <c r="D295" s="384" t="inlineStr">
        <is>
          <t>OXXO</t>
        </is>
      </c>
      <c r="E295" s="383" t="inlineStr">
        <is>
          <t>Ingredients - Pantry</t>
        </is>
      </c>
      <c r="F295" s="67" t="n">
        <v>312</v>
      </c>
      <c r="G295" s="385" t="inlineStr">
        <is>
          <t>Restaurant</t>
        </is>
      </c>
      <c r="H295" s="385" t="inlineStr">
        <is>
          <t>Card</t>
        </is>
      </c>
      <c r="I295" s="386" t="inlineStr">
        <is>
          <t>✅ Paid</t>
        </is>
      </c>
      <c r="J295" t="inlineStr">
        <is>
          <t>Débito **3982 · Folio 178400</t>
        </is>
      </c>
    </row>
    <row r="296">
      <c r="B296" s="382" t="n">
        <v>46193</v>
      </c>
      <c r="C296" s="387" t="inlineStr">
        <is>
          <t>Queso Gouda Menona 2.01 kg @ $135</t>
        </is>
      </c>
      <c r="D296" s="388" t="inlineStr">
        <is>
          <t>La Bodega del Buen Queso</t>
        </is>
      </c>
      <c r="E296" s="387" t="inlineStr">
        <is>
          <t>Ingredients - Dairy</t>
        </is>
      </c>
      <c r="F296" s="70" t="n">
        <v>271.35</v>
      </c>
      <c r="G296" s="389" t="inlineStr">
        <is>
          <t>Restaurant</t>
        </is>
      </c>
      <c r="H296" s="389" t="inlineStr">
        <is>
          <t>Cash</t>
        </is>
      </c>
      <c r="I296" s="390" t="inlineStr">
        <is>
          <t>✅ Paid</t>
        </is>
      </c>
      <c r="J296" t="inlineStr">
        <is>
          <t>Nota 0032364 (Oh lele)</t>
        </is>
      </c>
    </row>
    <row r="297">
      <c r="B297" s="382" t="n">
        <v>46193</v>
      </c>
      <c r="C297" s="383" t="inlineStr">
        <is>
          <t>Arrachera (beef)</t>
        </is>
      </c>
      <c r="D297" s="384" t="inlineStr">
        <is>
          <t>Miscelánea LC La Cruz</t>
        </is>
      </c>
      <c r="E297" s="383" t="inlineStr">
        <is>
          <t>Ingredients - Meat</t>
        </is>
      </c>
      <c r="F297" s="67" t="n">
        <v>474</v>
      </c>
      <c r="G297" s="385" t="inlineStr">
        <is>
          <t>Restaurant</t>
        </is>
      </c>
      <c r="H297" s="385" t="inlineStr">
        <is>
          <t>Card</t>
        </is>
      </c>
      <c r="I297" s="386" t="inlineStr">
        <is>
          <t>✅ Paid</t>
        </is>
      </c>
      <c r="J297" t="inlineStr">
        <is>
          <t>Getnet **3982 · Aut 941892</t>
        </is>
      </c>
    </row>
    <row r="298">
      <c r="B298" s="382" t="n">
        <v>46193</v>
      </c>
      <c r="C298" s="387" t="inlineStr">
        <is>
          <t>Salsa BBQ 3.8L + Pan hamburguesa x12 + Pan arándano x4</t>
        </is>
      </c>
      <c r="D298" s="388" t="inlineStr">
        <is>
          <t>REAL La Cruz</t>
        </is>
      </c>
      <c r="E298" s="387" t="inlineStr">
        <is>
          <t>Ingredients - Bread</t>
        </is>
      </c>
      <c r="F298" s="70" t="n">
        <v>544</v>
      </c>
      <c r="G298" s="389" t="inlineStr">
        <is>
          <t>Restaurant</t>
        </is>
      </c>
      <c r="H298" s="389" t="inlineStr">
        <is>
          <t>Card</t>
        </is>
      </c>
      <c r="I298" s="390" t="inlineStr">
        <is>
          <t>✅ Paid</t>
        </is>
      </c>
      <c r="J298" t="inlineStr">
        <is>
          <t>Folio 4323 · less $6 desc</t>
        </is>
      </c>
    </row>
    <row r="299">
      <c r="B299" s="382" t="n">
        <v>46193</v>
      </c>
      <c r="C299" s="383" t="inlineStr">
        <is>
          <t>Hamburguesa Vegetal + Eggo Waffles</t>
        </is>
      </c>
      <c r="D299" s="384" t="inlineStr">
        <is>
          <t>Costco Querétaro</t>
        </is>
      </c>
      <c r="E299" s="383" t="inlineStr">
        <is>
          <t>Supermarket / General</t>
        </is>
      </c>
      <c r="F299" s="67" t="n">
        <v>566.73</v>
      </c>
      <c r="G299" s="385" t="inlineStr">
        <is>
          <t>Restaurant</t>
        </is>
      </c>
      <c r="H299" s="385" t="inlineStr">
        <is>
          <t>Card</t>
        </is>
      </c>
      <c r="I299" s="386" t="inlineStr">
        <is>
          <t>✅ Paid</t>
        </is>
      </c>
      <c r="J299" t="inlineStr">
        <is>
          <t>Amex **1000 · Ticket 5774</t>
        </is>
      </c>
    </row>
    <row r="300">
      <c r="B300" s="382" t="n">
        <v>46193</v>
      </c>
      <c r="C300" s="387" t="inlineStr">
        <is>
          <t>Tortillas Blanca 4.980 kg</t>
        </is>
      </c>
      <c r="D300" s="388" t="inlineStr">
        <is>
          <t>Chedraui Paseo</t>
        </is>
      </c>
      <c r="E300" s="387" t="inlineStr">
        <is>
          <t>Ingredients - Bread</t>
        </is>
      </c>
      <c r="F300" s="70" t="n">
        <v>66.73</v>
      </c>
      <c r="G300" s="389" t="inlineStr">
        <is>
          <t>Restaurant</t>
        </is>
      </c>
      <c r="H300" s="389" t="inlineStr">
        <is>
          <t>Card</t>
        </is>
      </c>
      <c r="I300" s="390" t="inlineStr">
        <is>
          <t>✅ Paid</t>
        </is>
      </c>
      <c r="J300" t="inlineStr">
        <is>
          <t>Crédito BBVA **2684 · Folio 0011</t>
        </is>
      </c>
    </row>
    <row r="301">
      <c r="B301" s="382" t="n">
        <v>46193</v>
      </c>
      <c r="C301" s="383" t="inlineStr">
        <is>
          <t>Vegetables</t>
        </is>
      </c>
      <c r="D301" s="384" t="inlineStr">
        <is>
          <t>Local purchase</t>
        </is>
      </c>
      <c r="E301" s="383" t="inlineStr">
        <is>
          <t>Ingredients - Vegetables</t>
        </is>
      </c>
      <c r="F301" s="67" t="n">
        <v>51</v>
      </c>
      <c r="G301" s="385" t="inlineStr">
        <is>
          <t>Restaurant</t>
        </is>
      </c>
      <c r="H301" s="385" t="inlineStr">
        <is>
          <t>Cash</t>
        </is>
      </c>
      <c r="I301" s="386" t="inlineStr">
        <is>
          <t>✅ Paid</t>
        </is>
      </c>
      <c r="J301" t="inlineStr">
        <is>
          <t>No receipt</t>
        </is>
      </c>
    </row>
    <row r="302">
      <c r="B302" s="382" t="n">
        <v>46192</v>
      </c>
      <c r="C302" s="387" t="inlineStr">
        <is>
          <t>Samu — Ayudante Week 5 (incl. $400 mesero top-up)</t>
        </is>
      </c>
      <c r="D302" s="388" t="inlineStr">
        <is>
          <t>Payroll</t>
        </is>
      </c>
      <c r="E302" s="387" t="inlineStr">
        <is>
          <t>Staff - Salary</t>
        </is>
      </c>
      <c r="F302" s="70" t="n">
        <v>1200</v>
      </c>
      <c r="G302" s="389" t="inlineStr">
        <is>
          <t>Restaurant</t>
        </is>
      </c>
      <c r="H302" s="389" t="inlineStr">
        <is>
          <t>Cash</t>
        </is>
      </c>
      <c r="I302" s="390" t="inlineStr">
        <is>
          <t>✅ Paid</t>
        </is>
      </c>
      <c r="J302" t="inlineStr">
        <is>
          <t>$800 base + $400 covering mesero (no mesero hired)</t>
        </is>
      </c>
    </row>
    <row r="303">
      <c r="B303" s="382" t="n">
        <v>46192</v>
      </c>
      <c r="C303" s="383" t="inlineStr">
        <is>
          <t>Duvi/Debi — Limpieza Week 5</t>
        </is>
      </c>
      <c r="D303" s="384" t="inlineStr">
        <is>
          <t>Payroll</t>
        </is>
      </c>
      <c r="E303" s="383" t="inlineStr">
        <is>
          <t>Staff - Salary</t>
        </is>
      </c>
      <c r="F303" s="67" t="n">
        <v>1500</v>
      </c>
      <c r="G303" s="385" t="inlineStr">
        <is>
          <t>Restaurant</t>
        </is>
      </c>
      <c r="H303" s="385" t="inlineStr">
        <is>
          <t>Cash</t>
        </is>
      </c>
      <c r="I303" s="386" t="inlineStr">
        <is>
          <t>✅ Paid</t>
        </is>
      </c>
      <c r="J303" t="inlineStr">
        <is>
          <t>Weekly wage</t>
        </is>
      </c>
    </row>
    <row r="304">
      <c r="B304" s="382" t="n">
        <v>46192</v>
      </c>
      <c r="C304" s="387" t="inlineStr">
        <is>
          <t>John — Head Chef Week 5 (full week)</t>
        </is>
      </c>
      <c r="D304" s="388" t="inlineStr">
        <is>
          <t>Payroll</t>
        </is>
      </c>
      <c r="E304" s="387" t="inlineStr">
        <is>
          <t>Staff - Salary</t>
        </is>
      </c>
      <c r="F304" s="70" t="n">
        <v>3750</v>
      </c>
      <c r="G304" s="389" t="inlineStr">
        <is>
          <t>Restaurant</t>
        </is>
      </c>
      <c r="H304" s="389" t="inlineStr">
        <is>
          <t>Cash</t>
        </is>
      </c>
      <c r="I304" s="390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B72" t="inlineStr">
        <is>
          <t>TOTAL TIPS PASSED THROUGH</t>
        </is>
      </c>
      <c r="D72" s="247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247" t="n">
        <v>20283</v>
      </c>
    </row>
    <row r="76">
      <c r="A76" t="inlineStr">
        <is>
          <t>Adjustment: restaurant cash added to tips + Mercado Pago commission (vs running estimate)</t>
        </is>
      </c>
      <c r="D76" s="247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2026-06-21T15:38:43Z</dcterms:modified>
  <cp:lastModifiedBy>LOHITH REDDY</cp:lastModifiedBy>
</cp:coreProperties>
</file>