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  <numFmt numFmtId="177" formatCode="yyyy-mm-dd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2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Expenses'!$F$8:$F$500,'💸 Expenses'!$B$8:$B$500,"&gt;="&amp;B63,'💸 Expenses'!$B$8:$B$500,"&lt;"&amp;(B63+1))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Expenses'!$F$8:$F$500,'💸 Expenses'!$B$8:$B$500,"&gt;="&amp;B64,'💸 Expenses'!$B$8:$B$500,"&lt;"&amp;(B64+1))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Expenses'!$F$8:$F$500,'💸 Expenses'!$B$8:$B$500,"&gt;="&amp;B65,'💸 Expenses'!$B$8:$B$500,"&lt;"&amp;(B65+1))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Expenses'!$F$8:$F$500,'💸 Expenses'!$B$8:$B$500,"&gt;="&amp;B66,'💸 Expenses'!$B$8:$B$500,"&lt;"&amp;(B66+1))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Expenses'!$F$8:$F$500,'💸 Expenses'!$B$8:$B$500,"&gt;="&amp;B67,'💸 Expenses'!$B$8:$B$500,"&lt;"&amp;(B67+1))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02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17" t="inlineStr">
        <is>
          <t>LOKA — MONTHLY P&amp;L   (live formulas — auto-updates from Daily Log &amp; Expenses)</t>
        </is>
      </c>
      <c r="B1" s="418" t="n"/>
      <c r="C1" s="418" t="n"/>
      <c r="D1" s="41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Supermarket/General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inlineStr">
        <is>
          <t>TOTALS &amp; CURRENT BALANCE</t>
        </is>
      </c>
      <c r="B44" s="232" t="n"/>
      <c r="C44" s="232" t="n"/>
      <c r="D44" s="232">
        <f>SUM(D4:D43)</f>
        <v/>
      </c>
      <c r="E44" s="233">
        <f>SUM(E4:E43)</f>
        <v/>
      </c>
      <c r="F44" s="233">
        <f>F43</f>
        <v/>
      </c>
      <c r="G44" s="232">
        <f>IF(F43&gt;0,"Restaurant owes Lohith $"&amp;TEXT(F43,"#,##0"),IF(F43&lt;0,"Lohith holds $"&amp;TEXT(ABS(F43),"#,##0"),"Zero balance"))</f>
        <v/>
      </c>
      <c r="H44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2026-07-20T19:29:03Z</dcterms:modified>
  <cp:lastModifiedBy>LOHITH REDDY</cp:lastModifiedBy>
</cp:coreProperties>
</file>