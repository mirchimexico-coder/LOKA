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45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32415.85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-32888</v>
      </c>
      <c r="E149" t="inlineStr">
        <is>
          <t>Cumulative repaid from operating cash (latest 04-Aug-2026 $10,301.00).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2790.0</v>
      </c>
      <c r="G6" s="31">
        <f>SUMIFS($G$8:$G$5000,$B$8:$B$5000,TODAY())</f>
        <v>130.0</v>
      </c>
      <c r="H6" s="28">
        <f>SUMIFS($H$8:$H$5000,$B$8:$B$5000,TODAY())</f>
        <v>5043.0</v>
      </c>
      <c r="I6" s="32">
        <f>F6-H6</f>
        <v>-2253.0</v>
      </c>
      <c r="J6">
        <f>IFERROR(I6/F6,0)</f>
        <v>-0.807527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14035.0</v>
      </c>
      <c r="N6" s="33">
        <f>SUMPRODUCT((ISNUMBER($B$8:$B$5000))*($B$8:$B$5000&gt;=TODAY()-MOD(TODAY()-2,7))*($B$8:$B$5000&lt;TODAY()-MOD(TODAY()-2,7)+7)*IF(ISNUMBER($F$8:$F$5000),$F$8:$F$5000,0))</f>
        <v>14035.0</v>
      </c>
      <c r="O6" s="33">
        <f>SUMPRODUCT((ISNUMBER($B$8:$B$5000))*(MONTH($B$8:$B$5000)=MONTH(TODAY()))*(YEAR($B$8:$B$5000)=YEAR(TODAY()))*IF(ISNUMBER($F$8:$F$5000),$F$8:$F$5000,0))</f>
        <v>43973.0</v>
      </c>
      <c r="P6">
        <f>SUMPRODUCT((ISNUMBER($B$8:$B$5000))*($B$8:$B$5000&gt;=TODAY()-MOD(TODAY()-2,7))*($B$8:$B$5000&lt;TODAY()-MOD(TODAY()-2,7)+7)*IF(ISNUMBER($H$8:$H$5000),$H$8:$H$5000,0))</f>
        <v>7514.0</v>
      </c>
      <c r="Q6">
        <f>M6-P6</f>
        <v>6521.0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  <c r="AA89" s="56" t="n"/>
      <c r="AB89" s="56" t="n"/>
    </row>
    <row r="90" ht="16.5" customHeight="1" s="331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  <c r="R90" s="44" t="n"/>
      <c r="S90" s="44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</row>
    <row r="91" ht="16.5" customHeight="1" s="331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  <c r="AA91" s="56" t="n"/>
      <c r="AB91" s="56" t="n"/>
    </row>
    <row r="92" ht="16.5" customHeight="1" s="331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  <c r="R92" s="44" t="n"/>
      <c r="S92" s="44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</row>
    <row r="93" ht="16.5" customHeight="1" s="331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  <c r="AA93" s="56" t="n"/>
      <c r="AB93" s="56" t="n"/>
    </row>
    <row r="94" ht="16.5" customHeight="1" s="331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  <c r="R94" s="44" t="n"/>
      <c r="S94" s="44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</row>
    <row r="95" ht="16.5" customHeight="1" s="331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  <c r="AA95" s="56" t="n"/>
      <c r="AB95" s="56" t="n"/>
    </row>
    <row r="96" ht="16.5" customHeight="1" s="331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  <c r="R96" s="44" t="n"/>
      <c r="S96" s="44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27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331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Ingredients - Vegetables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Supermarket/General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Utilities/Electricity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Bread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Office Supplies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inlineStr">
        <is>
          <t>TOTALS &amp; CURRENT BALANCE</t>
        </is>
      </c>
      <c r="B68" s="232" t="n"/>
      <c r="C68" s="232" t="n"/>
      <c r="D68" s="232">
        <f>SUM(D4:D67)</f>
        <v/>
      </c>
      <c r="E68" s="233">
        <f>SUM(E4:E67)</f>
        <v/>
      </c>
      <c r="F68" s="233">
        <f>F67</f>
        <v/>
      </c>
      <c r="G68" s="232">
        <f>IF(F67&gt;0,"Restaurant owes Lohith $"&amp;TEXT(F67,"#,##0"),IF(F67&lt;0,"Lohith holds $"&amp;TEXT(ABS(F67),"#,##0"),"Zero balance"))</f>
        <v/>
      </c>
      <c r="H68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2026-08-13T17:02:03Z</dcterms:modified>
  <cp:lastModifiedBy>LOHITH REDDY</cp:lastModifiedBy>
</cp:coreProperties>
</file>