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dd-mmm-yyyy"/>
  </numFmts>
  <fonts count="8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</fonts>
  <fills count="52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FFCDD2"/>
      </patternFill>
    </fill>
  </fills>
  <borders count="19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</borders>
  <cellStyleXfs count="1">
    <xf numFmtId="0" fontId="0" fillId="0" borderId="0"/>
  </cellStyleXfs>
  <cellXfs count="357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1" fontId="77" fillId="51" borderId="0" pivotButton="0" quotePrefix="0" xfId="0"/>
    <xf numFmtId="0" fontId="77" fillId="51" borderId="0" pivotButton="0" quotePrefix="0" xfId="0"/>
    <xf numFmtId="0" fontId="85" fillId="51" borderId="0" pivotButton="0" quotePrefix="0" xfId="0"/>
    <xf numFmtId="167" fontId="83" fillId="51" borderId="0" pivotButton="0" quotePrefix="0" xfId="0"/>
    <xf numFmtId="167" fontId="79" fillId="51" borderId="0" pivotButton="0" quotePrefix="0" xfId="0"/>
    <xf numFmtId="167" fontId="81" fillId="51" borderId="0" pivotButton="0" quotePrefix="0" xfId="0"/>
    <xf numFmtId="0" fontId="84" fillId="51" borderId="0" pivotButton="0" quotePrefix="0" xfId="0"/>
    <xf numFmtId="171" fontId="77" fillId="46" borderId="0" pivotButton="0" quotePrefix="0" xfId="0"/>
    <xf numFmtId="0" fontId="85" fillId="46" borderId="0" pivotButton="0" quotePrefix="0" xfId="0"/>
    <xf numFmtId="0" fontId="84" fillId="46" borderId="0" pivotButton="0" quotePrefix="0" xfId="0"/>
    <xf numFmtId="171" fontId="77" fillId="49" borderId="0" pivotButton="0" quotePrefix="0" xfId="0"/>
    <xf numFmtId="0" fontId="85" fillId="49" borderId="0" pivotButton="0" quotePrefix="0" xfId="0"/>
    <xf numFmtId="0" fontId="84" fillId="49" borderId="0" pivotButton="0" quotePrefix="0" xfId="0"/>
    <xf numFmtId="167" fontId="83" fillId="47" borderId="0" pivotButton="0" quotePrefix="0" xfId="0"/>
    <xf numFmtId="167" fontId="79" fillId="47" borderId="0" pivotButton="0" quotePrefix="0" xfId="0"/>
    <xf numFmtId="167" fontId="81" fillId="47" borderId="0" pivotButton="0" quotePrefix="0" xfId="0"/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  <xf numFmtId="171" fontId="77" fillId="0" borderId="0" pivotButton="0" quotePrefix="0" xfId="0"/>
    <xf numFmtId="0" fontId="77" fillId="0" borderId="0" pivotButton="0" quotePrefix="0" xfId="0"/>
    <xf numFmtId="0" fontId="85" fillId="0" borderId="0" pivotButton="0" quotePrefix="0" xfId="0"/>
    <xf numFmtId="167" fontId="83" fillId="0" borderId="0" pivotButton="0" quotePrefix="0" xfId="0"/>
    <xf numFmtId="167" fontId="8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174" fontId="0" fillId="0" borderId="0" pivotButton="0" quotePrefix="0" xfId="0"/>
    <xf numFmtId="4" fontId="0" fillId="0" borderId="0" pivotButton="0" quotePrefix="0" xfId="0"/>
    <xf numFmtId="174" fontId="0" fillId="0" borderId="0" pivotButton="0" quotePrefix="0" xfId="0"/>
    <xf numFmtId="174" fontId="37" fillId="19" borderId="13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16"/>
  <sheetViews>
    <sheetView topLeftCell="A68" zoomScaleNormal="100" workbookViewId="0">
      <selection activeCell="K2" sqref="K2"/>
    </sheetView>
  </sheetViews>
  <sheetFormatPr baseColWidth="8" defaultRowHeight="14.4" customHeight="1"/>
  <cols>
    <col width="3" customWidth="1" style="274" min="1" max="1"/>
    <col width="36" customWidth="1" style="274" min="2" max="2"/>
    <col width="18" customWidth="1" style="273" min="3" max="3"/>
    <col width="20" customWidth="1" style="273" min="4" max="6"/>
    <col width="24" customWidth="1" style="274" min="7" max="7"/>
    <col width="26" customWidth="1" style="274" min="8" max="8"/>
  </cols>
  <sheetData>
    <row r="1" ht="36" customHeight="1" s="274">
      <c r="B1" s="272" t="inlineStr">
        <is>
          <t>LOKA  —  CAPITAL, OWNERSHIP &amp; PRE-OPENING EXPENSES</t>
        </is>
      </c>
    </row>
    <row r="2" ht="24" customHeight="1" s="274">
      <c r="B2" s="276" t="inlineStr">
        <is>
          <t>Last updated: 10 Jun 2026  |  Capital, Acquisition, Pre-Opening &amp; Renovation CapEx</t>
        </is>
      </c>
    </row>
    <row r="4" ht="25.95" customHeight="1" s="274">
      <c r="B4" s="275" t="inlineStr">
        <is>
          <t xml:space="preserve">  A.  OWNERSHIP STRUCTURE</t>
        </is>
      </c>
    </row>
    <row r="5" ht="22.05" customHeight="1" s="274">
      <c r="B5" s="167" t="inlineStr">
        <is>
          <t>Owner</t>
        </is>
      </c>
      <c r="C5" s="169" t="inlineStr">
        <is>
          <t>Share %</t>
        </is>
      </c>
      <c r="D5" s="169" t="inlineStr">
        <is>
          <t>Capital ($)</t>
        </is>
      </c>
      <c r="E5" s="169" t="inlineStr">
        <is>
          <t>Expenses ($)</t>
        </is>
      </c>
      <c r="F5" s="169" t="inlineStr">
        <is>
          <t>Remaining ($)</t>
        </is>
      </c>
      <c r="G5" s="167" t="inlineStr">
        <is>
          <t>Role / Notes</t>
        </is>
      </c>
    </row>
    <row r="6" ht="19.95" customHeight="1" s="274">
      <c r="B6" s="160" t="inlineStr">
        <is>
          <t>Lohith Reddy</t>
        </is>
      </c>
      <c r="C6" s="160" t="n">
        <v>0.5</v>
      </c>
      <c r="D6" s="168" t="n">
        <v>300000</v>
      </c>
      <c r="E6" s="168">
        <f>D55</f>
        <v/>
      </c>
      <c r="F6" s="168">
        <f>D6-E6</f>
        <v/>
      </c>
      <c r="G6" s="160" t="inlineStr">
        <is>
          <t>50% — Managing Partner</t>
        </is>
      </c>
    </row>
    <row r="7" ht="19.95" customHeight="1" s="274">
      <c r="B7" s="160" t="inlineStr">
        <is>
          <t>Kashigoud Patil</t>
        </is>
      </c>
      <c r="C7" s="160" t="n">
        <v>0.3</v>
      </c>
      <c r="D7" s="168" t="n">
        <v>180000</v>
      </c>
      <c r="E7" s="168">
        <f>D42</f>
        <v/>
      </c>
      <c r="F7" s="168">
        <f>D7-E7</f>
        <v/>
      </c>
      <c r="G7" s="160" t="inlineStr">
        <is>
          <t>30% — Partner</t>
        </is>
      </c>
    </row>
    <row r="8" ht="19.95" customHeight="1" s="274">
      <c r="B8" s="160" t="inlineStr">
        <is>
          <t>Shashirekha Basavaraju</t>
        </is>
      </c>
      <c r="C8" s="160" t="n">
        <v>0.2</v>
      </c>
      <c r="D8" s="168" t="n">
        <v>120000</v>
      </c>
      <c r="E8" s="168">
        <f>D68</f>
        <v/>
      </c>
      <c r="F8" s="168">
        <f>D8-E8</f>
        <v/>
      </c>
      <c r="G8" s="160" t="inlineStr">
        <is>
          <t>20% — Partner</t>
        </is>
      </c>
    </row>
    <row r="9" ht="22.05" customHeight="1" s="274">
      <c r="B9" s="169" t="inlineStr">
        <is>
          <t>TOTAL</t>
        </is>
      </c>
      <c r="C9" s="177">
        <f>SUM(C6:C8)</f>
        <v/>
      </c>
      <c r="D9" s="177">
        <f>SUM(D6:D8)</f>
        <v/>
      </c>
      <c r="E9" s="177">
        <f>SUM(E6:E8)</f>
        <v/>
      </c>
      <c r="F9" s="177">
        <f>SUM(F6:F8)</f>
        <v/>
      </c>
      <c r="G9" s="167" t="n"/>
    </row>
    <row r="11" ht="25.95" customHeight="1" s="274">
      <c r="B11" s="275" t="inlineStr">
        <is>
          <t xml:space="preserve">  B.  RESTAURANT ACQUISITION  —  $390,000 TOTAL</t>
        </is>
      </c>
    </row>
    <row r="12" ht="22.05" customHeight="1" s="274">
      <c r="B12" s="167" t="inlineStr">
        <is>
          <t>Description</t>
        </is>
      </c>
      <c r="C12" s="169" t="inlineStr">
        <is>
          <t>Date</t>
        </is>
      </c>
      <c r="D12" s="169" t="inlineStr">
        <is>
          <t>Amount ($)</t>
        </is>
      </c>
      <c r="E12" s="169" t="inlineStr">
        <is>
          <t>Paid By</t>
        </is>
      </c>
      <c r="F12" s="169" t="inlineStr">
        <is>
          <t>Status</t>
        </is>
      </c>
      <c r="G12" s="167" t="inlineStr">
        <is>
          <t>Notes</t>
        </is>
      </c>
    </row>
    <row r="13" ht="19.95" customHeight="1" s="274">
      <c r="B13" s="160" t="inlineStr">
        <is>
          <t>TOTAL Purchase Price — Previous Owners</t>
        </is>
      </c>
      <c r="C13" s="160" t="n"/>
      <c r="D13" s="168" t="n">
        <v>390000</v>
      </c>
      <c r="E13" s="160" t="inlineStr">
        <is>
          <t>All Partners</t>
        </is>
      </c>
      <c r="F13" s="160" t="inlineStr">
        <is>
          <t>⚠️ PARTIALLY PAID — $134,500 remaining</t>
        </is>
      </c>
      <c r="G13" s="160" t="inlineStr">
        <is>
          <t>Full acquisition amount</t>
        </is>
      </c>
    </row>
    <row r="14" ht="19.95" customHeight="1" s="274">
      <c r="B14" s="170" t="inlineStr">
        <is>
          <t>Advance Payment (paid by Lohith)</t>
        </is>
      </c>
      <c r="C14" s="170" t="n"/>
      <c r="D14" s="178" t="n">
        <v>5000</v>
      </c>
      <c r="E14" s="170" t="inlineStr">
        <is>
          <t>Lohith Reddy</t>
        </is>
      </c>
      <c r="F14" s="170" t="inlineStr">
        <is>
          <t>✅ PAID</t>
        </is>
      </c>
      <c r="G14" s="170" t="inlineStr">
        <is>
          <t>Advance to previous owners</t>
        </is>
      </c>
    </row>
    <row r="15" ht="19.95" customHeight="1" s="274">
      <c r="B15" s="171" t="inlineStr">
        <is>
          <t>Payment to Previous Owners</t>
        </is>
      </c>
      <c r="C15" s="203" t="n">
        <v>46176</v>
      </c>
      <c r="D15" s="179" t="n">
        <v>95000</v>
      </c>
      <c r="E15" s="195" t="inlineStr">
        <is>
          <t>Lohith Reddy</t>
        </is>
      </c>
      <c r="F15" s="195" t="inlineStr">
        <is>
          <t>✅ PAID</t>
        </is>
      </c>
      <c r="G15" s="171" t="inlineStr">
        <is>
          <t>Paid from restaurant operating balance — 3 Jun 2026</t>
        </is>
      </c>
    </row>
    <row r="16">
      <c r="B16" s="171" t="inlineStr">
        <is>
          <t>Payment to Previous Owner — Account 1</t>
        </is>
      </c>
      <c r="C16" s="203" t="n">
        <v>46177</v>
      </c>
      <c r="D16" s="179" t="n">
        <v>8000</v>
      </c>
      <c r="E16" s="195" t="inlineStr">
        <is>
          <t>Lohith Reddy</t>
        </is>
      </c>
      <c r="F16" s="195" t="inlineStr">
        <is>
          <t>✅ PAID</t>
        </is>
      </c>
      <c r="G16" s="171" t="inlineStr">
        <is>
          <t>Capital payment — from main budget — transferred to different accounts</t>
        </is>
      </c>
    </row>
    <row r="17" ht="19.95" customHeight="1" s="274">
      <c r="B17" s="171" t="inlineStr">
        <is>
          <t>Payment to Previous Owner — Account 2</t>
        </is>
      </c>
      <c r="C17" s="203" t="n">
        <v>46177</v>
      </c>
      <c r="D17" s="179" t="n">
        <v>4500</v>
      </c>
      <c r="E17" s="195" t="inlineStr">
        <is>
          <t>Lohith Reddy</t>
        </is>
      </c>
      <c r="F17" s="195" t="inlineStr">
        <is>
          <t>✅ PAID</t>
        </is>
      </c>
      <c r="G17" s="171" t="inlineStr">
        <is>
          <t>Capital payment — from main budget — transferred to different account</t>
        </is>
      </c>
    </row>
    <row r="18" ht="22.05" customHeight="1" s="274">
      <c r="B18" s="171" t="inlineStr">
        <is>
          <t>Payment to Previous Owner — Account 3</t>
        </is>
      </c>
      <c r="C18" s="203" t="n">
        <v>46177</v>
      </c>
      <c r="D18" s="179" t="n">
        <v>15000</v>
      </c>
      <c r="E18" s="195" t="inlineStr">
        <is>
          <t>Lohith Reddy</t>
        </is>
      </c>
      <c r="F18" s="195" t="inlineStr">
        <is>
          <t>✅ PAID</t>
        </is>
      </c>
      <c r="G18" s="171" t="inlineStr">
        <is>
          <t>Capital payment — from main budget — transferred to different accounts</t>
        </is>
      </c>
    </row>
    <row r="19" ht="19.95" customHeight="1" s="274">
      <c r="B19" s="171" t="inlineStr">
        <is>
          <t>Payment to Previous Owner — Account 4</t>
        </is>
      </c>
      <c r="C19" s="203" t="n">
        <v>46177</v>
      </c>
      <c r="D19" s="179" t="n">
        <v>10000</v>
      </c>
      <c r="E19" s="195" t="inlineStr">
        <is>
          <t>Lohith Reddy</t>
        </is>
      </c>
      <c r="F19" s="195" t="inlineStr">
        <is>
          <t>✅ PAID</t>
        </is>
      </c>
      <c r="G19" s="171" t="inlineStr">
        <is>
          <t>Capital payment — from main budget — transferred to different accounts</t>
        </is>
      </c>
    </row>
    <row r="20" ht="19.95" customHeight="1" s="274">
      <c r="B20" s="171" t="inlineStr">
        <is>
          <t>Payment to Previous Owner — Account 5</t>
        </is>
      </c>
      <c r="C20" s="203" t="n">
        <v>46177</v>
      </c>
      <c r="D20" s="179" t="n">
        <v>44000</v>
      </c>
      <c r="E20" s="195" t="inlineStr">
        <is>
          <t>Lohith Reddy</t>
        </is>
      </c>
      <c r="F20" s="195" t="inlineStr">
        <is>
          <t>✅ PAID</t>
        </is>
      </c>
      <c r="G20" s="171" t="inlineStr">
        <is>
          <t>Capital payment — from main budget — transferred to different accounts</t>
        </is>
      </c>
    </row>
    <row r="21" ht="19.95" customHeight="1" s="274">
      <c r="B21" s="171" t="inlineStr">
        <is>
          <t>Payment to Previous Owner — Account 6</t>
        </is>
      </c>
      <c r="C21" s="203" t="n">
        <v>46177</v>
      </c>
      <c r="D21" s="179" t="n">
        <v>44000</v>
      </c>
      <c r="E21" s="195" t="inlineStr">
        <is>
          <t>Lohith Reddy</t>
        </is>
      </c>
      <c r="F21" s="195" t="inlineStr">
        <is>
          <t>✅ PAID</t>
        </is>
      </c>
      <c r="G21" s="171" t="inlineStr">
        <is>
          <t>Capital payment — from main budget — transferred to different accounts</t>
        </is>
      </c>
    </row>
    <row r="22" ht="19.95" customHeight="1" s="274">
      <c r="B22" s="171" t="inlineStr">
        <is>
          <t>Payment to Previous Owner — Jun 5</t>
        </is>
      </c>
      <c r="C22" s="203" t="n">
        <v>46178</v>
      </c>
      <c r="D22" s="179" t="n">
        <v>30000</v>
      </c>
      <c r="E22" s="195" t="inlineStr">
        <is>
          <t>Lohith Reddy</t>
        </is>
      </c>
      <c r="F22" s="195" t="inlineStr">
        <is>
          <t>✅ PAID</t>
        </is>
      </c>
      <c r="G22" s="171" t="inlineStr">
        <is>
          <t>Transfer — 5 Jun 2026</t>
        </is>
      </c>
    </row>
    <row r="23">
      <c r="B23" s="172" t="inlineStr">
        <is>
          <t>Balance Remaining</t>
        </is>
      </c>
      <c r="C23" s="172" t="n"/>
      <c r="D23" s="180">
        <f>D13-SUM(D14:D22)</f>
        <v/>
      </c>
      <c r="E23" s="172" t="inlineStr">
        <is>
          <t>—</t>
        </is>
      </c>
      <c r="F23" s="172" t="inlineStr">
        <is>
          <t>⏳ PENDING</t>
        </is>
      </c>
      <c r="G23" s="172" t="inlineStr">
        <is>
          <t>$390,000 − $255,500 paid = $134,500 remaining</t>
        </is>
      </c>
    </row>
    <row r="24" ht="25.95" customHeight="1" s="274"/>
    <row r="25" ht="22.05" customHeight="1" s="274">
      <c r="B25" s="173" t="inlineStr">
        <is>
          <t xml:space="preserve">  PAYMENT BREAKDOWN  —  How the $390,000 will be funded</t>
        </is>
      </c>
      <c r="C25" s="173" t="n"/>
      <c r="D25" s="173" t="n"/>
      <c r="E25" s="173" t="n"/>
      <c r="F25" s="173" t="n"/>
      <c r="G25" s="174" t="n"/>
      <c r="H25" s="174" t="n"/>
    </row>
    <row r="26" ht="19.95" customHeight="1" s="274">
      <c r="B26" s="167" t="inlineStr">
        <is>
          <t>Source</t>
        </is>
      </c>
      <c r="C26" s="169" t="inlineStr">
        <is>
          <t>From</t>
        </is>
      </c>
      <c r="D26" s="169" t="inlineStr">
        <is>
          <t>Amount ($)</t>
        </is>
      </c>
      <c r="E26" s="169" t="inlineStr">
        <is>
          <t>Toward %</t>
        </is>
      </c>
      <c r="F26" s="169" t="inlineStr">
        <is>
          <t>Cumulative</t>
        </is>
      </c>
      <c r="G26" s="167" t="inlineStr">
        <is>
          <t>Notes</t>
        </is>
      </c>
    </row>
    <row r="27" ht="19.95" customHeight="1" s="274">
      <c r="B27" s="160" t="inlineStr">
        <is>
          <t>Kashigoud Transfer to Lohith</t>
        </is>
      </c>
      <c r="C27" s="160" t="inlineStr">
        <is>
          <t>Kashigoud Patil</t>
        </is>
      </c>
      <c r="D27" s="168" t="n">
        <v>125000</v>
      </c>
      <c r="E27" s="189">
        <f>D27/390000</f>
        <v/>
      </c>
      <c r="F27" s="168">
        <f>D27</f>
        <v/>
      </c>
      <c r="G27" s="160" t="inlineStr">
        <is>
          <t>Full Kashi transfer</t>
        </is>
      </c>
    </row>
    <row r="28" ht="19.95" customHeight="1" s="274">
      <c r="B28" s="162" t="inlineStr">
        <is>
          <t>Shashirekha Transfer to Lohith</t>
        </is>
      </c>
      <c r="C28" s="162" t="inlineStr">
        <is>
          <t>Shashirekha B.</t>
        </is>
      </c>
      <c r="D28" s="181" t="n">
        <v>100000</v>
      </c>
      <c r="E28" s="190">
        <f>D28/390000</f>
        <v/>
      </c>
      <c r="F28" s="181">
        <f>D27+D28</f>
        <v/>
      </c>
      <c r="G28" s="162" t="inlineStr">
        <is>
          <t>Full Shashi transfer</t>
        </is>
      </c>
    </row>
    <row r="29" ht="19.95" customHeight="1" s="274">
      <c r="B29" s="160" t="inlineStr">
        <is>
          <t>Lohith Reddy (own funds)</t>
        </is>
      </c>
      <c r="C29" s="160" t="inlineStr">
        <is>
          <t>Lohith Reddy</t>
        </is>
      </c>
      <c r="D29" s="168">
        <f>390000-D27-D28</f>
        <v/>
      </c>
      <c r="E29" s="189">
        <f>D29/390000</f>
        <v/>
      </c>
      <c r="F29" s="168">
        <f>D27+D28+D29</f>
        <v/>
      </c>
      <c r="G29" s="160" t="inlineStr">
        <is>
          <t>Balance from Lohith</t>
        </is>
      </c>
    </row>
    <row r="30" ht="19.95" customHeight="1" s="274">
      <c r="B30" s="162" t="inlineStr">
        <is>
          <t>Advance Already Paid</t>
        </is>
      </c>
      <c r="C30" s="162" t="inlineStr">
        <is>
          <t>Lohith Reddy</t>
        </is>
      </c>
      <c r="D30" s="181" t="n">
        <v>5000</v>
      </c>
      <c r="E30" s="190">
        <f>D30/390000</f>
        <v/>
      </c>
      <c r="F30" s="181" t="inlineStr">
        <is>
          <t>Paid ✅</t>
        </is>
      </c>
      <c r="G30" s="162" t="inlineStr">
        <is>
          <t>Already paid</t>
        </is>
      </c>
    </row>
    <row r="31" ht="19.95" customHeight="1" s="274"/>
    <row r="32" ht="19.95" customHeight="1" s="274">
      <c r="B32" s="275" t="inlineStr">
        <is>
          <t xml:space="preserve">  C.  PRE-OPENING EXPENSES — KASHIGOUD PATIL</t>
        </is>
      </c>
      <c r="C32" s="275" t="n"/>
      <c r="D32" s="275" t="n"/>
      <c r="E32" s="275" t="n"/>
      <c r="F32" s="275" t="n"/>
      <c r="G32" s="166" t="n"/>
      <c r="H32" s="166" t="n"/>
    </row>
    <row r="33" ht="19.95" customHeight="1" s="274">
      <c r="B33" s="167" t="inlineStr">
        <is>
          <t>Description</t>
        </is>
      </c>
      <c r="C33" s="169" t="inlineStr">
        <is>
          <t>Date</t>
        </is>
      </c>
      <c r="D33" s="169" t="inlineStr">
        <is>
          <t>Amount ($)</t>
        </is>
      </c>
      <c r="E33" s="169" t="inlineStr">
        <is>
          <t>Paid To</t>
        </is>
      </c>
      <c r="F33" s="169" t="inlineStr">
        <is>
          <t>Category</t>
        </is>
      </c>
      <c r="G33" s="167" t="inlineStr">
        <is>
          <t>Notes</t>
        </is>
      </c>
    </row>
    <row r="34" ht="22.05" customHeight="1" s="274">
      <c r="B34" s="160" t="inlineStr">
        <is>
          <t>Transfer to Lohith Reddy (capital allocation)</t>
        </is>
      </c>
      <c r="C34" s="160" t="n"/>
      <c r="D34" s="168" t="n">
        <v>125000</v>
      </c>
      <c r="E34" s="160" t="inlineStr">
        <is>
          <t>Bank → Lohith</t>
        </is>
      </c>
      <c r="F34" s="160" t="inlineStr">
        <is>
          <t>Internal Transfer</t>
        </is>
      </c>
      <c r="G34" s="160" t="inlineStr">
        <is>
          <t>For acquisition &amp; expenses</t>
        </is>
      </c>
    </row>
    <row r="35">
      <c r="B35" s="162" t="inlineStr">
        <is>
          <t>Soft Restaurant License &amp; Tools</t>
        </is>
      </c>
      <c r="C35" s="162" t="n"/>
      <c r="D35" s="181" t="n">
        <v>15195</v>
      </c>
      <c r="E35" s="162" t="inlineStr">
        <is>
          <t>Soft App</t>
        </is>
      </c>
      <c r="F35" s="162" t="inlineStr">
        <is>
          <t>Software / License</t>
        </is>
      </c>
      <c r="G35" s="162" t="inlineStr">
        <is>
          <t>POS + mgmt tools</t>
        </is>
      </c>
    </row>
    <row r="36" ht="25.95" customHeight="1" s="274">
      <c r="B36" s="160" t="inlineStr">
        <is>
          <t>Mercado Pago Terminal</t>
        </is>
      </c>
      <c r="C36" s="196" t="n"/>
      <c r="D36" s="183" t="n">
        <v>500</v>
      </c>
      <c r="E36" s="196" t="inlineStr">
        <is>
          <t>Soft App / MP</t>
        </is>
      </c>
      <c r="F36" s="196" t="inlineStr">
        <is>
          <t>POS Hardware</t>
        </is>
      </c>
      <c r="G36" s="161" t="inlineStr">
        <is>
          <t>MP card reader terminal fee</t>
        </is>
      </c>
    </row>
    <row r="37" ht="22.05" customHeight="1" s="274">
      <c r="B37" s="160" t="inlineStr">
        <is>
          <t>Camera Cloud Recording — 7 Day Continuous (28 May)</t>
        </is>
      </c>
      <c r="C37" s="204" t="n">
        <v>46170</v>
      </c>
      <c r="D37" s="205" t="n">
        <v>436.12</v>
      </c>
      <c r="E37" s="206" t="inlineStr">
        <is>
          <t>Kashigoud Patil (VISA ••••9193)</t>
        </is>
      </c>
      <c r="F37" s="206" t="inlineStr">
        <is>
          <t>Technology / Security</t>
        </is>
      </c>
      <c r="G37" s="207" t="inlineStr">
        <is>
          <t>Shenzhen Tange — cloud CCTV recording 1yr — US$23.90 = MXN $436.12</t>
        </is>
      </c>
      <c r="H37" s="278" t="n"/>
    </row>
    <row r="38" ht="19.95" customHeight="1" s="274">
      <c r="B38" s="162" t="inlineStr">
        <is>
          <t>Camera Cloud Recording — 7 Day Continuous (29 May)</t>
        </is>
      </c>
      <c r="C38" s="208" t="n">
        <v>46171</v>
      </c>
      <c r="D38" s="209" t="n">
        <v>437.22</v>
      </c>
      <c r="E38" s="162" t="inlineStr">
        <is>
          <t>Kashigoud Patil (VISA ••••9193)</t>
        </is>
      </c>
      <c r="F38" s="162" t="inlineStr">
        <is>
          <t>Technology / Security</t>
        </is>
      </c>
      <c r="G38" s="162" t="inlineStr">
        <is>
          <t>Shenzhen Tange — cloud CCTV recording 1yr — US$23.90 = MXN $437.22</t>
        </is>
      </c>
    </row>
    <row r="39" ht="19.95" customHeight="1" s="274">
      <c r="B39" s="159" t="n"/>
      <c r="C39" s="159" t="n"/>
      <c r="D39" s="185" t="n"/>
      <c r="E39" s="159" t="n"/>
      <c r="F39" s="159" t="n"/>
      <c r="G39" s="159" t="n"/>
    </row>
    <row r="40" ht="19.95" customHeight="1" s="274">
      <c r="B40" s="159" t="n"/>
      <c r="C40" s="159" t="n"/>
      <c r="D40" s="185" t="n"/>
      <c r="E40" s="159" t="n"/>
      <c r="F40" s="159" t="n"/>
      <c r="G40" s="159" t="n"/>
    </row>
    <row r="41" ht="19.95" customHeight="1" s="274">
      <c r="B41" s="159" t="n"/>
      <c r="C41" s="159" t="n"/>
      <c r="D41" s="185" t="n"/>
      <c r="E41" s="159" t="n"/>
      <c r="F41" s="159" t="n"/>
      <c r="G41" s="159" t="n"/>
    </row>
    <row r="42" ht="19.95" customHeight="1" s="274">
      <c r="B42" s="169" t="inlineStr">
        <is>
          <t>KASHIGOUD TOTAL</t>
        </is>
      </c>
      <c r="C42" s="169" t="n"/>
      <c r="D42" s="177">
        <f>SUM(D34:D41)</f>
        <v/>
      </c>
      <c r="E42" s="169" t="n"/>
      <c r="F42" s="169" t="n"/>
      <c r="G42" s="167" t="n"/>
    </row>
    <row r="43" ht="19.95" customHeight="1" s="274"/>
    <row r="44" ht="19.95" customHeight="1" s="274">
      <c r="B44" s="275" t="inlineStr">
        <is>
          <t xml:space="preserve">  D.  PRE-OPENING EXPENSES — LOHITH REDDY</t>
        </is>
      </c>
      <c r="C44" s="275" t="n"/>
      <c r="D44" s="275" t="n"/>
      <c r="E44" s="275" t="n"/>
      <c r="F44" s="275" t="n"/>
      <c r="G44" s="166" t="n"/>
      <c r="H44" s="166" t="n"/>
    </row>
    <row r="45" ht="19.95" customHeight="1" s="274">
      <c r="B45" s="167" t="inlineStr">
        <is>
          <t>Description</t>
        </is>
      </c>
      <c r="C45" s="169" t="inlineStr">
        <is>
          <t>Date</t>
        </is>
      </c>
      <c r="D45" s="169" t="inlineStr">
        <is>
          <t>Amount ($)</t>
        </is>
      </c>
      <c r="E45" s="169" t="inlineStr">
        <is>
          <t>Paid To</t>
        </is>
      </c>
      <c r="F45" s="169" t="inlineStr">
        <is>
          <t>Category</t>
        </is>
      </c>
      <c r="G45" s="167" t="inlineStr">
        <is>
          <t>Notes</t>
        </is>
      </c>
    </row>
    <row r="46" ht="19.95" customHeight="1" s="274">
      <c r="B46" s="160" t="inlineStr">
        <is>
          <t>Advance Payment to Previous Owners</t>
        </is>
      </c>
      <c r="C46" s="160" t="n"/>
      <c r="D46" s="168" t="n">
        <v>5000</v>
      </c>
      <c r="E46" s="160" t="inlineStr">
        <is>
          <t>Previous Owners</t>
        </is>
      </c>
      <c r="F46" s="160" t="inlineStr">
        <is>
          <t>Acquisition</t>
        </is>
      </c>
      <c r="G46" s="160" t="inlineStr">
        <is>
          <t>5k advance on 390k purchase</t>
        </is>
      </c>
    </row>
    <row r="47" ht="22.05" customHeight="1" s="274">
      <c r="B47" s="162" t="inlineStr">
        <is>
          <t>Notary Fees</t>
        </is>
      </c>
      <c r="C47" s="162" t="n"/>
      <c r="D47" s="181" t="n">
        <v>15797</v>
      </c>
      <c r="E47" s="162" t="inlineStr">
        <is>
          <t>Notary Office</t>
        </is>
      </c>
      <c r="F47" s="162" t="inlineStr">
        <is>
          <t>Legal</t>
        </is>
      </c>
      <c r="G47" s="162" t="inlineStr">
        <is>
          <t>Legal fees for restaurant acquisition</t>
        </is>
      </c>
    </row>
    <row r="48">
      <c r="B48" s="160" t="inlineStr">
        <is>
          <t>Poliza Juridica (Legal Policy)</t>
        </is>
      </c>
      <c r="C48" s="160" t="n"/>
      <c r="D48" s="168" t="n">
        <v>5150</v>
      </c>
      <c r="E48" s="160" t="inlineStr">
        <is>
          <t>Legal / Insurance</t>
        </is>
      </c>
      <c r="F48" s="160" t="inlineStr">
        <is>
          <t>Legal</t>
        </is>
      </c>
      <c r="G48" s="160" t="inlineStr">
        <is>
          <t>Poliza Juridica — legal insurance policy</t>
        </is>
      </c>
    </row>
    <row r="49" ht="25.95" customHeight="1" s="274">
      <c r="B49" s="162" t="inlineStr">
        <is>
          <t>Alejandra — Documentation Asst.</t>
        </is>
      </c>
      <c r="C49" s="197" t="n"/>
      <c r="D49" s="186" t="n">
        <v>3000</v>
      </c>
      <c r="E49" s="197" t="inlineStr">
        <is>
          <t>Alejandra</t>
        </is>
      </c>
      <c r="F49" s="197" t="inlineStr">
        <is>
          <t>Professional Services</t>
        </is>
      </c>
      <c r="G49" s="163" t="inlineStr">
        <is>
          <t>Documentation &amp; legal assistance — pre-opening</t>
        </is>
      </c>
    </row>
    <row r="50" ht="22.05" customHeight="1" s="274">
      <c r="B50" s="159" t="n"/>
      <c r="C50" s="184" t="n"/>
      <c r="D50" s="184" t="n"/>
      <c r="E50" s="184" t="n"/>
      <c r="F50" s="184" t="n"/>
      <c r="G50" s="282" t="n"/>
      <c r="H50" s="278" t="n"/>
    </row>
    <row r="51" ht="19.95" customHeight="1" s="274">
      <c r="B51" s="159" t="n"/>
      <c r="C51" s="159" t="n"/>
      <c r="D51" s="185" t="n"/>
      <c r="E51" s="159" t="n"/>
      <c r="F51" s="159" t="n"/>
      <c r="G51" s="159" t="n"/>
    </row>
    <row r="52" ht="19.95" customHeight="1" s="274">
      <c r="B52" s="159" t="n"/>
      <c r="C52" s="159" t="n"/>
      <c r="D52" s="185" t="n"/>
      <c r="E52" s="159" t="n"/>
      <c r="F52" s="159" t="n"/>
      <c r="G52" s="159" t="n"/>
    </row>
    <row r="53" ht="19.95" customHeight="1" s="274">
      <c r="B53" s="159" t="n"/>
      <c r="C53" s="159" t="n"/>
      <c r="D53" s="185" t="n"/>
      <c r="E53" s="159" t="n"/>
      <c r="F53" s="159" t="n"/>
      <c r="G53" s="159" t="n"/>
    </row>
    <row r="54" ht="19.95" customHeight="1" s="274">
      <c r="B54" s="159" t="n"/>
      <c r="C54" s="159" t="n"/>
      <c r="D54" s="185" t="n"/>
      <c r="E54" s="159" t="n"/>
      <c r="F54" s="159" t="n"/>
      <c r="G54" s="159" t="n"/>
    </row>
    <row r="55" ht="19.95" customHeight="1" s="274">
      <c r="B55" s="169" t="inlineStr">
        <is>
          <t>LOHITH TOTAL</t>
        </is>
      </c>
      <c r="C55" s="169" t="n"/>
      <c r="D55" s="177">
        <f>SUM(D46:D54)</f>
        <v/>
      </c>
      <c r="E55" s="169" t="n"/>
      <c r="F55" s="169" t="n"/>
      <c r="G55" s="167" t="n"/>
    </row>
    <row r="56" ht="19.95" customHeight="1" s="274"/>
    <row r="57" ht="19.95" customHeight="1" s="274">
      <c r="B57" s="275" t="inlineStr">
        <is>
          <t xml:space="preserve">  E.  PRE-OPENING EXPENSES — SHASHIREKHA BASAVARAJU</t>
        </is>
      </c>
      <c r="C57" s="275" t="n"/>
      <c r="D57" s="275" t="n"/>
      <c r="E57" s="275" t="n"/>
      <c r="F57" s="275" t="n"/>
      <c r="G57" s="166" t="n"/>
      <c r="H57" s="166" t="n"/>
    </row>
    <row r="58" ht="19.95" customHeight="1" s="274">
      <c r="B58" s="167" t="inlineStr">
        <is>
          <t>Description</t>
        </is>
      </c>
      <c r="C58" s="169" t="inlineStr">
        <is>
          <t>Date</t>
        </is>
      </c>
      <c r="D58" s="169" t="inlineStr">
        <is>
          <t>Amount ($)</t>
        </is>
      </c>
      <c r="E58" s="169" t="inlineStr">
        <is>
          <t>Paid To</t>
        </is>
      </c>
      <c r="F58" s="169" t="inlineStr">
        <is>
          <t>Category</t>
        </is>
      </c>
      <c r="G58" s="167" t="inlineStr">
        <is>
          <t>Notes</t>
        </is>
      </c>
    </row>
    <row r="59" ht="22.05" customHeight="1" s="274">
      <c r="B59" s="160" t="inlineStr">
        <is>
          <t>Transfer to Lohith Reddy (capital allocation)</t>
        </is>
      </c>
      <c r="C59" s="160" t="n"/>
      <c r="D59" s="168" t="n">
        <v>100000</v>
      </c>
      <c r="E59" s="160" t="inlineStr">
        <is>
          <t>Bank → Lohith</t>
        </is>
      </c>
      <c r="F59" s="160" t="inlineStr">
        <is>
          <t>Internal Transfer</t>
        </is>
      </c>
      <c r="G59" s="160" t="inlineStr">
        <is>
          <t>For acquisition &amp; expenses</t>
        </is>
      </c>
    </row>
    <row r="60">
      <c r="B60" s="162" t="inlineStr">
        <is>
          <t>Temu items</t>
        </is>
      </c>
      <c r="C60" s="162" t="n"/>
      <c r="D60" s="181" t="n">
        <v>2646</v>
      </c>
      <c r="E60" s="162" t="inlineStr">
        <is>
          <t>Temu</t>
        </is>
      </c>
      <c r="F60" s="162" t="inlineStr">
        <is>
          <t>Equipment / Supplies</t>
        </is>
      </c>
      <c r="G60" s="162" t="inlineStr">
        <is>
          <t>Temu items — restaurant supplies &amp; equipment</t>
        </is>
      </c>
    </row>
    <row r="61" ht="25.95" customHeight="1" s="274">
      <c r="B61" s="160" t="inlineStr">
        <is>
          <t>Board games for restaurant ambiance</t>
        </is>
      </c>
      <c r="C61" s="196" t="n"/>
      <c r="D61" s="183" t="n">
        <v>745</v>
      </c>
      <c r="E61" s="196" t="inlineStr">
        <is>
          <t>Various</t>
        </is>
      </c>
      <c r="F61" s="196" t="inlineStr">
        <is>
          <t>Equipment / Decor</t>
        </is>
      </c>
      <c r="G61" s="161" t="inlineStr">
        <is>
          <t>Board games for restaurant ambiance</t>
        </is>
      </c>
    </row>
    <row r="62" ht="22.05" customHeight="1" s="274">
      <c r="B62" s="162" t="inlineStr">
        <is>
          <t>Special menu board</t>
        </is>
      </c>
      <c r="C62" s="198" t="n"/>
      <c r="D62" s="187" t="n">
        <v>204</v>
      </c>
      <c r="E62" s="198" t="inlineStr">
        <is>
          <t>Sign Maker</t>
        </is>
      </c>
      <c r="F62" s="198" t="inlineStr">
        <is>
          <t>Branding / Signage</t>
        </is>
      </c>
      <c r="G62" s="164" t="inlineStr">
        <is>
          <t>Special menu board</t>
        </is>
      </c>
      <c r="H62" s="278" t="n"/>
    </row>
    <row r="63" ht="19.95" customHeight="1" s="274">
      <c r="B63" s="160" t="inlineStr">
        <is>
          <t>Logo and sticker printing</t>
        </is>
      </c>
      <c r="C63" s="160" t="n"/>
      <c r="D63" s="168" t="n">
        <v>845</v>
      </c>
      <c r="E63" s="160" t="inlineStr">
        <is>
          <t>Print Shop</t>
        </is>
      </c>
      <c r="F63" s="160" t="inlineStr">
        <is>
          <t>Branding / Signage</t>
        </is>
      </c>
      <c r="G63" s="160" t="inlineStr">
        <is>
          <t>Logo and sticker printing</t>
        </is>
      </c>
    </row>
    <row r="64" ht="19.95" customHeight="1" s="274">
      <c r="B64" s="162" t="inlineStr">
        <is>
          <t>Sign boards, stationary, other decor</t>
        </is>
      </c>
      <c r="C64" s="162" t="n"/>
      <c r="D64" s="181" t="n">
        <v>1555</v>
      </c>
      <c r="E64" s="162" t="inlineStr">
        <is>
          <t>China Shop</t>
        </is>
      </c>
      <c r="F64" s="162" t="inlineStr">
        <is>
          <t>Decor / Signage</t>
        </is>
      </c>
      <c r="G64" s="162" t="inlineStr">
        <is>
          <t>Sign boards, stationary, other decor</t>
        </is>
      </c>
    </row>
    <row r="65" ht="19.95" customHeight="1" s="274">
      <c r="B65" s="160" t="inlineStr">
        <is>
          <t>Logo Box Repair / Fix</t>
        </is>
      </c>
      <c r="C65" s="210" t="n">
        <v>46176</v>
      </c>
      <c r="D65" s="211" t="n">
        <v>900</v>
      </c>
      <c r="E65" s="160" t="inlineStr">
        <is>
          <t>Supplier</t>
        </is>
      </c>
      <c r="F65" s="160" t="inlineStr">
        <is>
          <t>Branding / Signage</t>
        </is>
      </c>
      <c r="G65" s="160" t="inlineStr">
        <is>
          <t>Logo box repair — paid by Shashirekha</t>
        </is>
      </c>
    </row>
    <row r="66" ht="19.95" customHeight="1" s="274">
      <c r="B66" s="159" t="n"/>
      <c r="C66" s="159" t="n"/>
      <c r="D66" s="185" t="n"/>
      <c r="E66" s="159" t="n"/>
      <c r="F66" s="159" t="n"/>
      <c r="G66" s="159" t="n"/>
    </row>
    <row r="67" ht="19.95" customHeight="1" s="274">
      <c r="B67" s="212" t="n"/>
      <c r="C67" s="213" t="n"/>
      <c r="D67" s="214" t="n"/>
      <c r="E67" s="213" t="n"/>
      <c r="F67" s="213" t="n"/>
      <c r="G67" s="212" t="n"/>
    </row>
    <row r="68" ht="19.95" customHeight="1" s="274">
      <c r="B68" s="169" t="inlineStr">
        <is>
          <t>SHASHIREKHA TOTAL</t>
        </is>
      </c>
      <c r="C68" s="199" t="n"/>
      <c r="D68" s="188">
        <f>SUM(D59:D67)</f>
        <v/>
      </c>
      <c r="E68" s="199" t="n"/>
      <c r="F68" s="199" t="n"/>
      <c r="G68" s="175" t="n"/>
      <c r="H68" s="278" t="n"/>
    </row>
    <row r="69" ht="19.95" customHeight="1" s="274"/>
    <row r="70" ht="19.95" customHeight="1" s="274">
      <c r="B70" s="275" t="inlineStr">
        <is>
          <t xml:space="preserve">  F.  GRAND SUMMARY — CAPITAL DEPLOYMENT</t>
        </is>
      </c>
      <c r="C70" s="275" t="n"/>
      <c r="D70" s="275" t="n"/>
      <c r="E70" s="275" t="n"/>
      <c r="F70" s="275" t="n"/>
      <c r="G70" s="166" t="n"/>
      <c r="H70" s="166" t="n"/>
    </row>
    <row r="71" ht="19.95" customHeight="1" s="274">
      <c r="B71" s="167" t="inlineStr">
        <is>
          <t>Line Item</t>
        </is>
      </c>
      <c r="C71" s="169" t="n"/>
      <c r="D71" s="169" t="n"/>
      <c r="E71" s="169" t="n"/>
      <c r="F71" s="169" t="n"/>
      <c r="G71" s="167" t="n"/>
    </row>
    <row r="72" ht="19.95" customHeight="1" s="274">
      <c r="B72" s="160" t="inlineStr">
        <is>
          <t>Total Budget</t>
        </is>
      </c>
      <c r="C72" s="168">
        <f>SUM(D6:D8)</f>
        <v/>
      </c>
      <c r="D72" s="189" t="n"/>
      <c r="E72" s="160" t="inlineStr">
        <is>
          <t>100% of committed capital</t>
        </is>
      </c>
    </row>
    <row r="73" ht="19.95" customHeight="1" s="274">
      <c r="B73" s="162" t="inlineStr">
        <is>
          <t>Acquisition Total</t>
        </is>
      </c>
      <c r="C73" s="181">
        <f>D13</f>
        <v/>
      </c>
      <c r="D73" s="190">
        <f>C73/C72</f>
        <v/>
      </c>
      <c r="E73" s="162" t="inlineStr">
        <is>
          <t>To be paid to previous owners</t>
        </is>
      </c>
    </row>
    <row r="74">
      <c r="B74" s="160" t="inlineStr">
        <is>
          <t>Advance Paid</t>
        </is>
      </c>
      <c r="C74" s="168">
        <f>D14</f>
        <v/>
      </c>
      <c r="D74" s="189">
        <f>C74/C72</f>
        <v/>
      </c>
      <c r="E74" s="160" t="inlineStr">
        <is>
          <t>✅ Already paid</t>
        </is>
      </c>
    </row>
    <row r="75">
      <c r="B75" s="172" t="inlineStr">
        <is>
          <t>Balance Remaining</t>
        </is>
      </c>
      <c r="C75" s="180">
        <f>D23</f>
        <v/>
      </c>
      <c r="D75" s="191">
        <f>C75/C72</f>
        <v/>
      </c>
      <c r="E75" s="172" t="inlineStr">
        <is>
          <t>⏳ Pending — funded by transfers</t>
        </is>
      </c>
    </row>
    <row r="76">
      <c r="B76" s="162" t="inlineStr">
        <is>
          <t>Kashi Ops (excl tr)</t>
        </is>
      </c>
      <c r="C76" s="181">
        <f>SUM(D35:D36)</f>
        <v/>
      </c>
      <c r="D76" s="190">
        <f>C76/C72</f>
        <v/>
      </c>
      <c r="E76" s="162" t="inlineStr">
        <is>
          <t>Soft license + terminal</t>
        </is>
      </c>
    </row>
    <row r="77">
      <c r="B77" s="160" t="inlineStr">
        <is>
          <t>Kashi Transfer</t>
        </is>
      </c>
      <c r="C77" s="168">
        <f>D34</f>
        <v/>
      </c>
      <c r="D77" s="189">
        <f>C77/C72</f>
        <v/>
      </c>
      <c r="E77" s="160" t="n"/>
    </row>
    <row r="78">
      <c r="B78" s="162" t="inlineStr">
        <is>
          <t>Lohith Pre-Opening</t>
        </is>
      </c>
      <c r="C78" s="181">
        <f>D55</f>
        <v/>
      </c>
      <c r="D78" s="190">
        <f>C78/C72</f>
        <v/>
      </c>
      <c r="E78" s="162" t="inlineStr">
        <is>
          <t>Advance + Notary + Poliza + Alejandra</t>
        </is>
      </c>
    </row>
    <row r="79">
      <c r="B79" s="160" t="inlineStr">
        <is>
          <t>Shashi Transfer</t>
        </is>
      </c>
      <c r="C79" s="168">
        <f>D59</f>
        <v/>
      </c>
      <c r="D79" s="189">
        <f>C79/C72</f>
        <v/>
      </c>
      <c r="E79" s="160" t="n"/>
    </row>
    <row r="80">
      <c r="B80" s="162" t="inlineStr">
        <is>
          <t>Shashi Other Exp</t>
        </is>
      </c>
      <c r="C80" s="181">
        <f>SUM(D60:D67)</f>
        <v/>
      </c>
      <c r="D80" s="190">
        <f>C80/C72</f>
        <v/>
      </c>
      <c r="E80" s="162" t="inlineStr">
        <is>
          <t>Yellow rows above</t>
        </is>
      </c>
    </row>
    <row r="81">
      <c r="B81" s="169" t="inlineStr">
        <is>
          <t>Total Cash Out</t>
        </is>
      </c>
      <c r="C81" s="177">
        <f>C73+C76+C78+C80+C83</f>
        <v/>
      </c>
      <c r="D81" s="192">
        <f>C81/C72</f>
        <v/>
      </c>
      <c r="E81" s="169" t="inlineStr">
        <is>
          <t>Actual cash leaving the partnership</t>
        </is>
      </c>
      <c r="F81" s="193" t="n"/>
      <c r="G81" s="176" t="n"/>
    </row>
    <row r="82">
      <c r="B82" s="169" t="inlineStr">
        <is>
          <t>Remaining Budget</t>
        </is>
      </c>
      <c r="C82" s="177">
        <f>C72-C81</f>
        <v/>
      </c>
      <c r="D82" s="192">
        <f>C82/C72</f>
        <v/>
      </c>
      <c r="E82" s="169" t="n"/>
      <c r="F82" s="193" t="n"/>
      <c r="G82" s="176" t="n"/>
    </row>
    <row r="83">
      <c r="B83" s="162" t="inlineStr">
        <is>
          <t>Renovation &amp; Post-Opening CapEx</t>
        </is>
      </c>
      <c r="C83" s="181">
        <f>D115</f>
        <v/>
      </c>
      <c r="D83" s="190">
        <f>C83/C72</f>
        <v/>
      </c>
      <c r="E83" s="162" t="inlineStr">
        <is>
          <t>Section I (bottom of sheet)</t>
        </is>
      </c>
    </row>
    <row r="84" ht="15.6" customHeight="1" s="274">
      <c r="B84" s="166" t="inlineStr">
        <is>
          <t xml:space="preserve">  G.  REMAINING TRANSFERS DUE TO LOHITH REDDY</t>
        </is>
      </c>
      <c r="C84" s="275" t="n"/>
      <c r="D84" s="275" t="n"/>
      <c r="E84" s="275" t="n"/>
      <c r="F84" s="275" t="n"/>
      <c r="G84" s="166" t="n"/>
      <c r="H84" s="166" t="n"/>
    </row>
    <row r="85">
      <c r="B85" s="176" t="inlineStr">
        <is>
          <t>Partner</t>
        </is>
      </c>
      <c r="C85" s="193" t="inlineStr">
        <is>
          <t>Total Budget ($)</t>
        </is>
      </c>
      <c r="D85" s="193" t="inlineStr">
        <is>
          <t>Already Transferred ($)</t>
        </is>
      </c>
      <c r="E85" s="193" t="inlineStr">
        <is>
          <t>Direct Expenses ($)</t>
        </is>
      </c>
      <c r="F85" s="193" t="inlineStr">
        <is>
          <t>Still Owed to Lohith ($)</t>
        </is>
      </c>
      <c r="G85" s="176" t="inlineStr">
        <is>
          <t>Status</t>
        </is>
      </c>
    </row>
    <row r="86">
      <c r="B86" s="161" t="inlineStr">
        <is>
          <t>Kashigoud Patil</t>
        </is>
      </c>
      <c r="C86" s="183">
        <f>D7</f>
        <v/>
      </c>
      <c r="D86" s="183">
        <f>D34</f>
        <v/>
      </c>
      <c r="E86" s="183">
        <f>SUM(D35:D41)</f>
        <v/>
      </c>
      <c r="F86" s="183">
        <f>C86-D86-E86</f>
        <v/>
      </c>
      <c r="G86" s="161" t="inlineStr">
        <is>
          <t>⏳ PENDING</t>
        </is>
      </c>
    </row>
    <row r="87">
      <c r="B87" s="163" t="inlineStr">
        <is>
          <t>Shashirekha Basavaraju</t>
        </is>
      </c>
      <c r="C87" s="186">
        <f>D8</f>
        <v/>
      </c>
      <c r="D87" s="186">
        <f>D59</f>
        <v/>
      </c>
      <c r="E87" s="186">
        <f>SUM(D60:D67)</f>
        <v/>
      </c>
      <c r="F87" s="186">
        <f>C87-D87-E87</f>
        <v/>
      </c>
      <c r="G87" s="163" t="inlineStr">
        <is>
          <t>⏳ PENDING</t>
        </is>
      </c>
    </row>
    <row r="88">
      <c r="B88" s="176" t="inlineStr">
        <is>
          <t>TOTAL</t>
        </is>
      </c>
      <c r="C88" s="194">
        <f>C86+C87</f>
        <v/>
      </c>
      <c r="D88" s="194">
        <f>D86+D87</f>
        <v/>
      </c>
      <c r="E88" s="194">
        <f>E86+E87</f>
        <v/>
      </c>
      <c r="F88" s="194">
        <f>F86+F87</f>
        <v/>
      </c>
      <c r="G88" s="176" t="n"/>
    </row>
    <row r="90" ht="15.6" customHeight="1" s="274">
      <c r="B90" s="166" t="inlineStr">
        <is>
          <t xml:space="preserve">  H.  ACQUISITION PAYMENT — SPLIT BY OWNERSHIP SHARE  ($385,000 BALANCE DUE)</t>
        </is>
      </c>
      <c r="C90" s="275" t="n"/>
      <c r="D90" s="275" t="n"/>
      <c r="E90" s="275" t="n"/>
      <c r="F90" s="275" t="n"/>
      <c r="G90" s="166" t="n"/>
      <c r="H90" s="166" t="n"/>
    </row>
    <row r="91">
      <c r="B91" s="176" t="inlineStr">
        <is>
          <t>Partner</t>
        </is>
      </c>
      <c r="C91" s="193" t="inlineStr">
        <is>
          <t>Share %</t>
        </is>
      </c>
      <c r="D91" s="193" t="inlineStr">
        <is>
          <t>Share of $390k Total ($)</t>
        </is>
      </c>
      <c r="E91" s="193" t="inlineStr">
        <is>
          <t>Advance Credited ($)</t>
        </is>
      </c>
      <c r="F91" s="193" t="inlineStr">
        <is>
          <t>Balance Owed to Prev. Owners ($)</t>
        </is>
      </c>
      <c r="G91" s="176" t="inlineStr">
        <is>
          <t>Status</t>
        </is>
      </c>
    </row>
    <row r="92">
      <c r="B92" s="161" t="inlineStr">
        <is>
          <t>Lohith Reddy</t>
        </is>
      </c>
      <c r="C92" s="200">
        <f>C6</f>
        <v/>
      </c>
      <c r="D92" s="183">
        <f>C92*D13</f>
        <v/>
      </c>
      <c r="E92" s="183">
        <f>D14</f>
        <v/>
      </c>
      <c r="F92" s="183">
        <f>D92-E92</f>
        <v/>
      </c>
      <c r="G92" s="161" t="inlineStr">
        <is>
          <t>⏳ Pending — $134,500 balance outstanding</t>
        </is>
      </c>
    </row>
    <row r="93">
      <c r="B93" s="163" t="inlineStr">
        <is>
          <t>Kashigoud Patil</t>
        </is>
      </c>
      <c r="C93" s="201">
        <f>C7</f>
        <v/>
      </c>
      <c r="D93" s="186">
        <f>C93*D13</f>
        <v/>
      </c>
      <c r="E93" s="186" t="n">
        <v>0</v>
      </c>
      <c r="F93" s="186">
        <f>D93-E93</f>
        <v/>
      </c>
      <c r="G93" s="163" t="inlineStr">
        <is>
          <t>⏳ Pending — $134,500 balance outstanding</t>
        </is>
      </c>
    </row>
    <row r="94">
      <c r="B94" s="161" t="inlineStr">
        <is>
          <t>Shashirekha Basavaraju</t>
        </is>
      </c>
      <c r="C94" s="200">
        <f>C8</f>
        <v/>
      </c>
      <c r="D94" s="183">
        <f>C94*D13</f>
        <v/>
      </c>
      <c r="E94" s="183" t="n">
        <v>0</v>
      </c>
      <c r="F94" s="183">
        <f>D94-E94</f>
        <v/>
      </c>
      <c r="G94" s="161" t="inlineStr">
        <is>
          <t>⏳ Pending — $134,500 balance outstanding</t>
        </is>
      </c>
    </row>
    <row r="95">
      <c r="B95" s="176" t="inlineStr">
        <is>
          <t>TOTAL</t>
        </is>
      </c>
      <c r="C95" s="202" t="n">
        <v>1</v>
      </c>
      <c r="D95" s="194">
        <f>D92+D93+D94</f>
        <v/>
      </c>
      <c r="E95" s="194">
        <f>E92+E93+E94</f>
        <v/>
      </c>
      <c r="F95" s="194">
        <f>F92+F93+F94</f>
        <v/>
      </c>
      <c r="G95" s="176">
        <f>IF(F95=0,"✅ Fully Paid","⏳ Balance: $"&amp;TEXT(F95,"#,##0"))</f>
        <v/>
      </c>
    </row>
    <row r="98" ht="15.6" customHeight="1" s="274">
      <c r="B98" s="166" t="inlineStr">
        <is>
          <t xml:space="preserve">  I.  RENOVATION &amp; CAPITAL EXPENSES — POST-OPENING</t>
        </is>
      </c>
    </row>
    <row r="99">
      <c r="B99" s="176" t="inlineStr">
        <is>
          <t>Description</t>
        </is>
      </c>
      <c r="C99" s="193" t="inlineStr">
        <is>
          <t>Date</t>
        </is>
      </c>
      <c r="D99" s="193" t="inlineStr">
        <is>
          <t>Amount ($)</t>
        </is>
      </c>
      <c r="E99" s="193" t="inlineStr">
        <is>
          <t>Paid By</t>
        </is>
      </c>
      <c r="F99" s="193" t="inlineStr">
        <is>
          <t>Category</t>
        </is>
      </c>
      <c r="G99" s="176" t="inlineStr">
        <is>
          <t>Status</t>
        </is>
      </c>
      <c r="H99" t="inlineStr">
        <is>
          <t>Notes</t>
        </is>
      </c>
    </row>
    <row r="100">
      <c r="C100" s="270" t="n"/>
      <c r="D100" s="271" t="n"/>
    </row>
    <row r="101">
      <c r="C101" s="270" t="n"/>
      <c r="D101" s="271" t="n"/>
    </row>
    <row r="102">
      <c r="C102" s="270" t="n"/>
      <c r="D102" s="271" t="n"/>
    </row>
    <row r="103">
      <c r="C103" s="270" t="n"/>
      <c r="D103" s="271" t="n"/>
    </row>
    <row r="104">
      <c r="C104" s="270" t="n"/>
      <c r="D104" s="271" t="n"/>
    </row>
    <row r="105">
      <c r="C105" s="270" t="n"/>
      <c r="D105" s="271" t="n"/>
    </row>
    <row r="106">
      <c r="C106" s="270" t="n"/>
      <c r="D106" s="271" t="n"/>
    </row>
    <row r="107">
      <c r="C107" s="270" t="n"/>
      <c r="D107" s="271" t="n"/>
    </row>
    <row r="108">
      <c r="C108" s="270" t="n"/>
      <c r="D108" s="271" t="n"/>
    </row>
    <row r="109">
      <c r="C109" s="270" t="n"/>
      <c r="D109" s="271" t="n"/>
    </row>
    <row r="110">
      <c r="C110" s="270" t="n"/>
      <c r="D110" s="271" t="n"/>
    </row>
    <row r="111">
      <c r="C111" s="270" t="n"/>
      <c r="D111" s="271" t="n"/>
    </row>
    <row r="112">
      <c r="C112" s="270" t="n"/>
      <c r="D112" s="271" t="n"/>
    </row>
    <row r="113">
      <c r="C113" s="270" t="n"/>
      <c r="D113" s="271" t="n"/>
    </row>
    <row r="114">
      <c r="C114" s="270" t="n"/>
      <c r="D114" s="271" t="n"/>
    </row>
    <row r="115">
      <c r="B115" s="169" t="inlineStr">
        <is>
          <t>RENOVATION / CAPEX TOTAL</t>
        </is>
      </c>
      <c r="D115" s="177">
        <f>SUM(D100:D114)</f>
        <v/>
      </c>
    </row>
    <row r="116">
      <c r="B116" t="inlineStr">
        <is>
          <t>Log renovation/equipment here with Paid By for partner settlement. If also logged in 💸 Expenses, tag category "Capital Expense — …" so it stays OUT of Daily Log operating costs.</t>
        </is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4" min="1" max="1"/>
    <col width="18" customWidth="1" style="274" min="2" max="2"/>
    <col width="14" customWidth="1" style="274" min="3" max="7"/>
    <col width="16" customWidth="1" style="274" min="8" max="8"/>
    <col width="14" customWidth="1" style="274" min="9" max="14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4">
      <c r="A2" s="340" t="inlineStr">
        <is>
          <t>🍽️  LOKA Cafe Restaurante</t>
        </is>
      </c>
      <c r="H2" s="313" t="inlineStr">
        <is>
          <t>Restaurant Manager — powered by Soft + Excel</t>
        </is>
      </c>
    </row>
    <row r="3" ht="3.75" customHeight="1" s="274">
      <c r="A3" s="323" t="n"/>
    </row>
    <row r="4" ht="7.5" customHeight="1" s="274"/>
    <row r="5" ht="36" customHeight="1" s="274">
      <c r="B5" s="325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</row>
    <row r="6" ht="9.75" customHeight="1" s="274"/>
    <row r="7" ht="19.5" customHeight="1" s="274">
      <c r="B7" s="298" t="inlineStr">
        <is>
          <t xml:space="preserve">  💰  REVENUE  (auto-pulled from Daily Log)</t>
        </is>
      </c>
      <c r="C7" s="299" t="n"/>
      <c r="D7" s="299" t="n"/>
      <c r="E7" s="299" t="n"/>
      <c r="F7" s="299" t="n"/>
      <c r="G7" s="299" t="n"/>
      <c r="H7" s="299" t="n"/>
      <c r="I7" s="299" t="n"/>
      <c r="J7" s="299" t="n"/>
      <c r="K7" s="299" t="n"/>
      <c r="L7" s="299" t="n"/>
      <c r="M7" s="299" t="n"/>
    </row>
    <row r="8" ht="6" customHeight="1" s="274"/>
    <row r="9" ht="18" customHeight="1" s="274">
      <c r="B9" s="286" t="inlineStr">
        <is>
          <t>TODAY'S REVENUE</t>
        </is>
      </c>
      <c r="C9" s="284" t="n"/>
      <c r="D9" s="286" t="inlineStr">
        <is>
          <t>WEEK REVENUE</t>
        </is>
      </c>
      <c r="E9" s="284" t="n"/>
      <c r="F9" s="286" t="inlineStr">
        <is>
          <t>MONTH REVENUE</t>
        </is>
      </c>
      <c r="G9" s="284" t="n"/>
      <c r="H9" s="286" t="inlineStr">
        <is>
          <t>TODAY'S EXPENSES</t>
        </is>
      </c>
      <c r="I9" s="284" t="n"/>
      <c r="J9" s="286" t="inlineStr">
        <is>
          <t>TODAY'S NET PROFIT</t>
        </is>
      </c>
      <c r="K9" s="284" t="n"/>
      <c r="L9" s="286" t="inlineStr">
        <is>
          <t>AVG TICKET</t>
        </is>
      </c>
      <c r="M9" s="284" t="n"/>
    </row>
    <row r="10" ht="19.5" customHeight="1" s="274">
      <c r="B10" s="319">
        <f>'📅 Daily Log'!F6</f>
        <v/>
      </c>
      <c r="C10" s="289" t="n"/>
      <c r="D10" s="288">
        <f>'📅 Daily Log'!N6</f>
        <v/>
      </c>
      <c r="E10" s="289" t="n"/>
      <c r="F10" s="315">
        <f>'📅 Daily Log'!O6</f>
        <v/>
      </c>
      <c r="G10" s="289" t="n"/>
      <c r="H10" s="293">
        <f>'📅 Daily Log'!H6</f>
        <v/>
      </c>
      <c r="I10" s="289" t="n"/>
      <c r="J10" s="319">
        <f>'📅 Daily Log'!I6</f>
        <v/>
      </c>
      <c r="K10" s="289" t="n"/>
      <c r="L10" s="338">
        <f>IFERROR('📅 Daily Log'!F6/'📅 Daily Log'!G6,0)</f>
        <v/>
      </c>
      <c r="M10" s="289" t="n"/>
    </row>
    <row r="11" ht="19.5" customHeight="1" s="274">
      <c r="B11" s="290" t="n"/>
      <c r="D11" s="290" t="n"/>
      <c r="F11" s="290" t="n"/>
      <c r="H11" s="290" t="n"/>
      <c r="J11" s="290" t="n"/>
      <c r="L11" s="290" t="n"/>
    </row>
    <row r="12" ht="19.5" customHeight="1" s="274">
      <c r="B12" s="290" t="n"/>
      <c r="D12" s="290" t="n"/>
      <c r="F12" s="290" t="n"/>
      <c r="H12" s="290" t="n"/>
      <c r="J12" s="290" t="n"/>
      <c r="L12" s="290" t="n"/>
    </row>
    <row r="13" ht="9.75" customHeight="1" s="274"/>
    <row r="14" ht="19.5" customHeight="1" s="274">
      <c r="B14" s="298" t="inlineStr">
        <is>
          <t xml:space="preserve">  📊  OPERATIONS</t>
        </is>
      </c>
      <c r="C14" s="299" t="n"/>
      <c r="D14" s="299" t="n"/>
      <c r="E14" s="299" t="n"/>
      <c r="F14" s="299" t="n"/>
      <c r="G14" s="299" t="n"/>
      <c r="H14" s="299" t="n"/>
      <c r="I14" s="299" t="n"/>
      <c r="J14" s="299" t="n"/>
      <c r="K14" s="299" t="n"/>
      <c r="L14" s="299" t="n"/>
      <c r="M14" s="299" t="n"/>
    </row>
    <row r="15" ht="6" customHeight="1" s="274"/>
    <row r="16" ht="18" customHeight="1" s="274">
      <c r="B16" s="286" t="inlineStr">
        <is>
          <t>TODAY'S ORDERS</t>
        </is>
      </c>
      <c r="C16" s="284" t="n"/>
      <c r="D16" s="286" t="inlineStr">
        <is>
          <t>WEEK ORDERS</t>
        </is>
      </c>
      <c r="E16" s="284" t="n"/>
      <c r="F16" s="286" t="inlineStr">
        <is>
          <t>PROFIT MARGIN %</t>
        </is>
      </c>
      <c r="G16" s="284" t="n"/>
      <c r="H16" s="286" t="inlineStr">
        <is>
          <t>LOW STOCK ITEMS</t>
        </is>
      </c>
      <c r="I16" s="284" t="n"/>
      <c r="J16" s="286" t="inlineStr">
        <is>
          <t>WEEK EXPENSES</t>
        </is>
      </c>
      <c r="K16" s="284" t="n"/>
      <c r="L16" s="286" t="inlineStr">
        <is>
          <t>PENDING ORDERS</t>
        </is>
      </c>
      <c r="M16" s="284" t="n"/>
    </row>
    <row r="17" ht="19.5" customHeight="1" s="274">
      <c r="B17" s="321">
        <f>'📅 Daily Log'!G6</f>
        <v/>
      </c>
      <c r="C17" s="289" t="n"/>
      <c r="D17" s="321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89" t="n"/>
      <c r="F17" s="327">
        <f>IFERROR('📅 Daily Log'!J6,0)</f>
        <v/>
      </c>
      <c r="G17" s="289" t="n"/>
      <c r="H17" s="328">
        <f>'📦 Inventory'!H5</f>
        <v/>
      </c>
      <c r="I17" s="289" t="n"/>
      <c r="J17" s="293">
        <f>'📅 Daily Log'!P6</f>
        <v/>
      </c>
      <c r="K17" s="289" t="n"/>
      <c r="L17" s="295">
        <f>'🚚 Suppliers'!H5</f>
        <v/>
      </c>
      <c r="M17" s="289" t="n"/>
    </row>
    <row r="18" ht="19.5" customHeight="1" s="274">
      <c r="B18" s="290" t="n"/>
      <c r="D18" s="290" t="n"/>
      <c r="F18" s="290" t="n"/>
      <c r="H18" s="290" t="n"/>
      <c r="J18" s="290" t="n"/>
      <c r="L18" s="290" t="n"/>
    </row>
    <row r="19" ht="19.5" customHeight="1" s="274">
      <c r="B19" s="290" t="n"/>
      <c r="D19" s="290" t="n"/>
      <c r="F19" s="290" t="n"/>
      <c r="H19" s="290" t="n"/>
      <c r="J19" s="290" t="n"/>
      <c r="L19" s="290" t="n"/>
    </row>
    <row r="20" ht="9.75" customHeight="1" s="274"/>
    <row r="21" ht="19.5" customHeight="1" s="274">
      <c r="B21" s="298" t="inlineStr">
        <is>
          <t xml:space="preserve">  📅  LAST 10 DAYS  (from Daily Log — updates automatically)</t>
        </is>
      </c>
      <c r="C21" s="299" t="n"/>
      <c r="D21" s="299" t="n"/>
      <c r="E21" s="299" t="n"/>
      <c r="F21" s="299" t="n"/>
      <c r="G21" s="299" t="n"/>
      <c r="H21" s="299" t="n"/>
      <c r="I21" s="299" t="n"/>
      <c r="J21" s="299" t="n"/>
      <c r="K21" s="299" t="n"/>
      <c r="L21" s="299" t="n"/>
      <c r="M21" s="299" t="n"/>
    </row>
    <row r="22" ht="27.75" customHeight="1" s="274">
      <c r="B22" s="279" t="inlineStr">
        <is>
          <t>Date</t>
        </is>
      </c>
      <c r="C22" s="279" t="inlineStr">
        <is>
          <t>Day</t>
        </is>
      </c>
      <c r="D22" s="279" t="inlineStr">
        <is>
          <t>Revenue ($)</t>
        </is>
      </c>
      <c r="E22" s="279" t="inlineStr">
        <is>
          <t>Orders</t>
        </is>
      </c>
      <c r="F22" s="279" t="inlineStr">
        <is>
          <t>Avg Ticket</t>
        </is>
      </c>
      <c r="G22" s="279" t="inlineStr">
        <is>
          <t>Expenses ($)</t>
        </is>
      </c>
      <c r="H22" s="279" t="inlineStr">
        <is>
          <t>Net Profit ($)</t>
        </is>
      </c>
      <c r="I22" s="279" t="inlineStr">
        <is>
          <t>Margin %</t>
        </is>
      </c>
      <c r="J22" s="279" t="inlineStr">
        <is>
          <t>Notes</t>
        </is>
      </c>
      <c r="K22" s="316" t="inlineStr">
        <is>
          <t>vs Prev Day</t>
        </is>
      </c>
      <c r="L22" s="284" t="n"/>
      <c r="M22" s="280" t="n"/>
    </row>
    <row r="23" ht="16.5" customHeight="1" s="274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01" t="inlineStr">
        <is>
          <t>—</t>
        </is>
      </c>
      <c r="L23" s="284" t="n"/>
      <c r="M23" s="280" t="n"/>
    </row>
    <row r="24" ht="16.5" customHeight="1" s="274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83">
        <f>IFERROR(IF(D24&gt;D23,"▲ +"&amp;TEXT(D24-D23,"$#,##0"),IF(D24&lt;D23,"▼ "&amp;TEXT(D24-D23,"$#,##0"),"— same")),"")</f>
        <v/>
      </c>
      <c r="L24" s="284" t="n"/>
      <c r="M24" s="280" t="n"/>
    </row>
    <row r="25" ht="16.5" customHeight="1" s="274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01">
        <f>IFERROR(IF(D25&gt;D24,"▲ +"&amp;TEXT(D25-D24,"$#,##0"),IF(D25&lt;D24,"▼ "&amp;TEXT(D25-D24,"$#,##0"),"— same")),"")</f>
        <v/>
      </c>
      <c r="L25" s="284" t="n"/>
      <c r="M25" s="280" t="n"/>
    </row>
    <row r="26" ht="16.5" customHeight="1" s="274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83">
        <f>IFERROR(IF(D26&gt;D25,"▲ +"&amp;TEXT(D26-D25,"$#,##0"),IF(D26&lt;D25,"▼ "&amp;TEXT(D26-D25,"$#,##0"),"— same")),"")</f>
        <v/>
      </c>
      <c r="L26" s="284" t="n"/>
      <c r="M26" s="280" t="n"/>
    </row>
    <row r="27" ht="16.5" customHeight="1" s="274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01">
        <f>IFERROR(IF(D27&gt;D26,"▲ +"&amp;TEXT(D27-D26,"$#,##0"),IF(D27&lt;D26,"▼ "&amp;TEXT(D27-D26,"$#,##0"),"— same")),"")</f>
        <v/>
      </c>
      <c r="L27" s="284" t="n"/>
      <c r="M27" s="280" t="n"/>
    </row>
    <row r="28" ht="16.5" customHeight="1" s="274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83">
        <f>IFERROR(IF(D28&gt;D27,"▲ +"&amp;TEXT(D28-D27,"$#,##0"),IF(D28&lt;D27,"▼ "&amp;TEXT(D28-D27,"$#,##0"),"— same")),"")</f>
        <v/>
      </c>
      <c r="L28" s="284" t="n"/>
      <c r="M28" s="280" t="n"/>
    </row>
    <row r="29" ht="16.5" customHeight="1" s="274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01">
        <f>IFERROR(IF(D29&gt;D28,"▲ +"&amp;TEXT(D29-D28,"$#,##0"),IF(D29&lt;D28,"▼ "&amp;TEXT(D29-D28,"$#,##0"),"— same")),"")</f>
        <v/>
      </c>
      <c r="L29" s="284" t="n"/>
      <c r="M29" s="280" t="n"/>
    </row>
    <row r="30" ht="16.5" customHeight="1" s="274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83">
        <f>IFERROR(IF(D30&gt;D29,"▲ +"&amp;TEXT(D30-D29,"$#,##0"),IF(D30&lt;D29,"▼ "&amp;TEXT(D30-D29,"$#,##0"),"— same")),"")</f>
        <v/>
      </c>
      <c r="L30" s="284" t="n"/>
      <c r="M30" s="280" t="n"/>
    </row>
    <row r="31" ht="16.5" customHeight="1" s="274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01">
        <f>IFERROR(IF(D31&gt;D30,"▲ +"&amp;TEXT(D31-D30,"$#,##0"),IF(D31&lt;D30,"▼ "&amp;TEXT(D31-D30,"$#,##0"),"— same")),"")</f>
        <v/>
      </c>
      <c r="L31" s="284" t="n"/>
      <c r="M31" s="280" t="n"/>
    </row>
    <row r="32" ht="16.5" customHeight="1" s="274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83">
        <f>IFERROR(IF(D32&gt;D31,"▲ +"&amp;TEXT(D32-D31,"$#,##0"),IF(D32&lt;D31,"▼ "&amp;TEXT(D32-D31,"$#,##0"),"— same")),"")</f>
        <v/>
      </c>
      <c r="L32" s="284" t="n"/>
      <c r="M32" s="280" t="n"/>
    </row>
    <row r="33" ht="9.75" customHeight="1" s="274"/>
    <row r="34" ht="19.5" customHeight="1" s="274">
      <c r="B34" s="298" t="inlineStr">
        <is>
          <t xml:space="preserve">  ⚠️  INVENTORY ALERTS  (from Inventory sheet)</t>
        </is>
      </c>
      <c r="C34" s="299" t="n"/>
      <c r="D34" s="299" t="n"/>
      <c r="E34" s="299" t="n"/>
      <c r="F34" s="299" t="n"/>
      <c r="G34" s="299" t="n"/>
      <c r="H34" s="299" t="n"/>
      <c r="I34" s="299" t="n"/>
      <c r="J34" s="299" t="n"/>
      <c r="K34" s="299" t="n"/>
      <c r="L34" s="299" t="n"/>
      <c r="M34" s="299" t="n"/>
    </row>
    <row r="35" ht="27.75" customHeight="1" s="274">
      <c r="B35" s="279" t="inlineStr">
        <is>
          <t>Ingredient</t>
        </is>
      </c>
      <c r="C35" s="284" t="n"/>
      <c r="D35" s="280" t="n"/>
      <c r="E35" s="279" t="n"/>
      <c r="F35" s="279" t="inlineStr">
        <is>
          <t>Min Level</t>
        </is>
      </c>
      <c r="G35" s="280" t="n"/>
      <c r="H35" s="279" t="inlineStr">
        <is>
          <t>Status</t>
        </is>
      </c>
      <c r="I35" s="280" t="n"/>
      <c r="J35" s="279" t="inlineStr">
        <is>
          <t>Action Needed</t>
        </is>
      </c>
      <c r="K35" s="284" t="n"/>
      <c r="L35" s="284" t="n"/>
      <c r="M35" s="280" t="n"/>
    </row>
    <row r="36" ht="16.5" customHeight="1" s="274">
      <c r="B36" s="324">
        <f>'📦 Inventory'!B9</f>
        <v/>
      </c>
      <c r="C36" s="284" t="n"/>
      <c r="D36" s="284" t="n"/>
      <c r="E36" s="309">
        <f>'📦 Inventory'!E9</f>
        <v/>
      </c>
      <c r="F36" s="284" t="n"/>
      <c r="G36" s="318">
        <f>'📦 Inventory'!F9</f>
        <v/>
      </c>
      <c r="H36" s="284" t="n"/>
      <c r="I36" s="291">
        <f>'📦 Inventory'!J9</f>
        <v/>
      </c>
      <c r="J36" s="284" t="n"/>
      <c r="K36" s="291">
        <f>IF('📦 Inventory'!E9=0,"🚫 Order immediately",IF('📦 Inventory'!E9&lt;='📦 Inventory'!F9,"⚠️ Reorder soon","✅ OK"))</f>
        <v/>
      </c>
      <c r="L36" s="284" t="n"/>
      <c r="M36" s="284" t="n"/>
    </row>
    <row r="37" ht="16.5" customHeight="1" s="274">
      <c r="B37" s="300">
        <f>'📦 Inventory'!B10</f>
        <v/>
      </c>
      <c r="C37" s="284" t="n"/>
      <c r="D37" s="284" t="n"/>
      <c r="E37" s="334">
        <f>'📦 Inventory'!E10</f>
        <v/>
      </c>
      <c r="F37" s="284" t="n"/>
      <c r="G37" s="335">
        <f>'📦 Inventory'!F10</f>
        <v/>
      </c>
      <c r="H37" s="284" t="n"/>
      <c r="I37" s="336">
        <f>'📦 Inventory'!J10</f>
        <v/>
      </c>
      <c r="J37" s="284" t="n"/>
      <c r="K37" s="336">
        <f>IF('📦 Inventory'!E10=0,"🚫 Order immediately",IF('📦 Inventory'!E10&lt;='📦 Inventory'!F10,"⚠️ Reorder soon","✅ OK"))</f>
        <v/>
      </c>
      <c r="L37" s="284" t="n"/>
      <c r="M37" s="284" t="n"/>
    </row>
    <row r="38" ht="16.5" customHeight="1" s="274">
      <c r="B38" s="324">
        <f>'📦 Inventory'!B11</f>
        <v/>
      </c>
      <c r="C38" s="284" t="n"/>
      <c r="D38" s="284" t="n"/>
      <c r="E38" s="309">
        <f>'📦 Inventory'!E11</f>
        <v/>
      </c>
      <c r="F38" s="284" t="n"/>
      <c r="G38" s="318">
        <f>'📦 Inventory'!F11</f>
        <v/>
      </c>
      <c r="H38" s="284" t="n"/>
      <c r="I38" s="291">
        <f>'📦 Inventory'!J11</f>
        <v/>
      </c>
      <c r="J38" s="284" t="n"/>
      <c r="K38" s="291">
        <f>IF('📦 Inventory'!E11=0,"🚫 Order immediately",IF('📦 Inventory'!E11&lt;='📦 Inventory'!F11,"⚠️ Reorder soon","✅ OK"))</f>
        <v/>
      </c>
      <c r="L38" s="284" t="n"/>
      <c r="M38" s="284" t="n"/>
    </row>
    <row r="39" ht="16.5" customHeight="1" s="274">
      <c r="B39" s="300">
        <f>'📦 Inventory'!B12</f>
        <v/>
      </c>
      <c r="C39" s="284" t="n"/>
      <c r="D39" s="284" t="n"/>
      <c r="E39" s="334">
        <f>'📦 Inventory'!E12</f>
        <v/>
      </c>
      <c r="F39" s="284" t="n"/>
      <c r="G39" s="335">
        <f>'📦 Inventory'!F12</f>
        <v/>
      </c>
      <c r="H39" s="284" t="n"/>
      <c r="I39" s="336">
        <f>'📦 Inventory'!J12</f>
        <v/>
      </c>
      <c r="J39" s="284" t="n"/>
      <c r="K39" s="336">
        <f>IF('📦 Inventory'!E12=0,"🚫 Order immediately",IF('📦 Inventory'!E12&lt;='📦 Inventory'!F12,"⚠️ Reorder soon","✅ OK"))</f>
        <v/>
      </c>
      <c r="L39" s="284" t="n"/>
      <c r="M39" s="284" t="n"/>
    </row>
    <row r="40" ht="16.5" customHeight="1" s="274">
      <c r="B40" s="324">
        <f>'📦 Inventory'!B13</f>
        <v/>
      </c>
      <c r="C40" s="284" t="n"/>
      <c r="D40" s="284" t="n"/>
      <c r="E40" s="309">
        <f>'📦 Inventory'!E13</f>
        <v/>
      </c>
      <c r="F40" s="284" t="n"/>
      <c r="G40" s="318">
        <f>'📦 Inventory'!F13</f>
        <v/>
      </c>
      <c r="H40" s="284" t="n"/>
      <c r="I40" s="291">
        <f>'📦 Inventory'!J13</f>
        <v/>
      </c>
      <c r="J40" s="284" t="n"/>
      <c r="K40" s="291">
        <f>IF('📦 Inventory'!E13=0,"🚫 Order immediately",IF('📦 Inventory'!E13&lt;='📦 Inventory'!F13,"⚠️ Reorder soon","✅ OK"))</f>
        <v/>
      </c>
      <c r="L40" s="284" t="n"/>
      <c r="M40" s="284" t="n"/>
    </row>
    <row r="41" ht="7.5" customHeight="1" s="274"/>
    <row r="42" ht="30" customHeight="1" s="274">
      <c r="B42" s="285" t="inlineStr">
        <is>
          <t>💼  CAPITAL &amp; ACQUISITION STATUS  —  live from Capital &amp; Ownership sheet</t>
        </is>
      </c>
    </row>
    <row r="43" ht="6" customHeight="1" s="274"/>
    <row r="44" ht="16.05" customHeight="1" s="274">
      <c r="B44" s="337" t="inlineStr">
        <is>
          <t>TOTAL BUDGET</t>
        </is>
      </c>
      <c r="C44" s="278" t="n"/>
      <c r="D44" s="347" t="inlineStr">
        <is>
          <t>TOTAL CASH OUT</t>
        </is>
      </c>
      <c r="E44" s="278" t="n"/>
      <c r="F44" s="348" t="inlineStr">
        <is>
          <t>REMAINING BUDGET</t>
        </is>
      </c>
      <c r="G44" s="278" t="n"/>
      <c r="H44" s="344" t="inlineStr">
        <is>
          <t>ACQUISITION PRICE</t>
        </is>
      </c>
      <c r="I44" s="278" t="n"/>
      <c r="J44" s="341" t="inlineStr">
        <is>
          <t>ADVANCE PAID</t>
        </is>
      </c>
      <c r="K44" s="278" t="n"/>
      <c r="L44" s="329" t="inlineStr">
        <is>
          <t>BALANCE PENDING</t>
        </is>
      </c>
      <c r="M44" s="278" t="n"/>
    </row>
    <row r="45" ht="22.05" customHeight="1" s="274">
      <c r="B45" s="339">
        <f>'Capital &amp; Ownership'!C63</f>
        <v/>
      </c>
      <c r="C45" s="278" t="n"/>
      <c r="D45" s="297">
        <f>'Capital &amp; Ownership'!C72</f>
        <v/>
      </c>
      <c r="E45" s="278" t="n"/>
      <c r="F45" s="320">
        <f>'Capital &amp; Ownership'!C73</f>
        <v/>
      </c>
      <c r="G45" s="278" t="n"/>
      <c r="H45" s="307">
        <f>'Capital &amp; Ownership'!C64</f>
        <v/>
      </c>
      <c r="I45" s="278" t="n"/>
      <c r="J45" s="303">
        <f>'Capital &amp; Ownership'!C65</f>
        <v/>
      </c>
      <c r="K45" s="278" t="n"/>
      <c r="L45" s="304">
        <f>'Capital &amp; Ownership'!C66</f>
        <v/>
      </c>
      <c r="M45" s="278" t="n"/>
    </row>
    <row r="46" ht="16.05" customHeight="1" s="274">
      <c r="B46" s="342" t="inlineStr">
        <is>
          <t>All 3 partners</t>
        </is>
      </c>
      <c r="C46" s="278" t="n"/>
      <c r="D46" s="343" t="inlineStr">
        <is>
          <t>Excl. internal transfers</t>
        </is>
      </c>
      <c r="E46" s="278" t="n"/>
      <c r="F46" s="326" t="inlineStr">
        <is>
          <t>Available for operations</t>
        </is>
      </c>
      <c r="G46" s="278" t="n"/>
      <c r="H46" s="345" t="inlineStr">
        <is>
          <t>To previous owners</t>
        </is>
      </c>
      <c r="I46" s="278" t="n"/>
      <c r="J46" s="330" t="inlineStr">
        <is>
          <t>✅ Paid by Lohith</t>
        </is>
      </c>
      <c r="K46" s="278" t="n"/>
      <c r="L46" s="331" t="inlineStr">
        <is>
          <t>⏳ Outstanding</t>
        </is>
      </c>
      <c r="M46" s="278" t="n"/>
    </row>
    <row r="47" ht="7.95" customHeight="1" s="274"/>
    <row r="48" ht="22.05" customHeight="1" s="274">
      <c r="B48" s="333" t="inlineStr">
        <is>
          <t xml:space="preserve">  👥  OWNER CAPITAL SUMMARY</t>
        </is>
      </c>
    </row>
    <row r="49" ht="19.95" customHeight="1" s="274">
      <c r="B49" s="311" t="inlineStr">
        <is>
          <t>OWNER</t>
        </is>
      </c>
      <c r="C49" s="278" t="n"/>
      <c r="D49" s="311" t="inlineStr">
        <is>
          <t>SHARE %</t>
        </is>
      </c>
      <c r="E49" s="278" t="n"/>
      <c r="F49" s="311" t="inlineStr">
        <is>
          <t>CAPITAL ($)</t>
        </is>
      </c>
      <c r="G49" s="311" t="inlineStr">
        <is>
          <t>ROLE</t>
        </is>
      </c>
      <c r="H49" s="311" t="inlineStr">
        <is>
          <t>EXPENSES ($)</t>
        </is>
      </c>
      <c r="I49" s="278" t="n"/>
      <c r="J49" s="311" t="inlineStr">
        <is>
          <t>REMAINING ($)</t>
        </is>
      </c>
      <c r="K49" s="278" t="n"/>
      <c r="L49" s="311" t="inlineStr">
        <is>
          <t>% SPENT</t>
        </is>
      </c>
      <c r="M49" s="278" t="n"/>
    </row>
    <row r="50" ht="19.95" customHeight="1" s="274">
      <c r="B50" s="310">
        <f>'Capital &amp; Ownership'!B6</f>
        <v/>
      </c>
      <c r="C50" s="278" t="n"/>
      <c r="D50" s="296">
        <f>'Capital &amp; Ownership'!C6</f>
        <v/>
      </c>
      <c r="E50" s="278" t="n"/>
      <c r="F50" s="305">
        <f>'Capital &amp; Ownership'!D6</f>
        <v/>
      </c>
      <c r="G50" s="287" t="inlineStr">
        <is>
          <t>50% — Managing Partner</t>
        </is>
      </c>
      <c r="H50" s="305">
        <f>'Capital &amp; Ownership'!E6</f>
        <v/>
      </c>
      <c r="I50" s="278" t="n"/>
      <c r="J50" s="305">
        <f>'Capital &amp; Ownership'!F6</f>
        <v/>
      </c>
      <c r="K50" s="278" t="n"/>
      <c r="L50" s="296">
        <f>IFERROR('Capital &amp; Ownership'!E6/'Capital &amp; Ownership'!D6,0)</f>
        <v/>
      </c>
      <c r="M50" s="278" t="n"/>
    </row>
    <row r="51" ht="19.95" customHeight="1" s="274">
      <c r="B51" s="312">
        <f>'Capital &amp; Ownership'!B7</f>
        <v/>
      </c>
      <c r="C51" s="278" t="n"/>
      <c r="D51" s="314">
        <f>'Capital &amp; Ownership'!C7</f>
        <v/>
      </c>
      <c r="E51" s="278" t="n"/>
      <c r="F51" s="332">
        <f>'Capital &amp; Ownership'!D7</f>
        <v/>
      </c>
      <c r="G51" s="26" t="inlineStr">
        <is>
          <t>30% — Partner</t>
        </is>
      </c>
      <c r="H51" s="332">
        <f>'Capital &amp; Ownership'!E7</f>
        <v/>
      </c>
      <c r="I51" s="278" t="n"/>
      <c r="J51" s="332">
        <f>'Capital &amp; Ownership'!F7</f>
        <v/>
      </c>
      <c r="K51" s="278" t="n"/>
      <c r="L51" s="314">
        <f>IFERROR('Capital &amp; Ownership'!E7/'Capital &amp; Ownership'!D7,0)</f>
        <v/>
      </c>
      <c r="M51" s="278" t="n"/>
    </row>
    <row r="52" ht="19.95" customHeight="1" s="274">
      <c r="B52" s="310">
        <f>'Capital &amp; Ownership'!B8</f>
        <v/>
      </c>
      <c r="C52" s="278" t="n"/>
      <c r="D52" s="296">
        <f>'Capital &amp; Ownership'!C8</f>
        <v/>
      </c>
      <c r="E52" s="278" t="n"/>
      <c r="F52" s="305">
        <f>'Capital &amp; Ownership'!D8</f>
        <v/>
      </c>
      <c r="G52" s="287" t="inlineStr">
        <is>
          <t>20% — Partner</t>
        </is>
      </c>
      <c r="H52" s="305">
        <f>'Capital &amp; Ownership'!E8</f>
        <v/>
      </c>
      <c r="I52" s="278" t="n"/>
      <c r="J52" s="305">
        <f>'Capital &amp; Ownership'!F8</f>
        <v/>
      </c>
      <c r="K52" s="278" t="n"/>
      <c r="L52" s="296">
        <f>IFERROR('Capital &amp; Ownership'!E8/'Capital &amp; Ownership'!D8,0)</f>
        <v/>
      </c>
      <c r="M52" s="278" t="n"/>
    </row>
    <row r="53" ht="22.05" customHeight="1" s="274">
      <c r="B53" s="322" t="inlineStr">
        <is>
          <t>TOTAL</t>
        </is>
      </c>
      <c r="C53" s="278" t="n"/>
      <c r="D53" s="294">
        <f>'Capital &amp; Ownership'!C9</f>
        <v/>
      </c>
      <c r="E53" s="278" t="n"/>
      <c r="F53" s="277">
        <f>'Capital &amp; Ownership'!D9</f>
        <v/>
      </c>
      <c r="G53" s="311" t="n"/>
      <c r="H53" s="277">
        <f>'Capital &amp; Ownership'!E9</f>
        <v/>
      </c>
      <c r="I53" s="278" t="n"/>
      <c r="J53" s="277">
        <f>'Capital &amp; Ownership'!F9</f>
        <v/>
      </c>
      <c r="K53" s="278" t="n"/>
      <c r="L53" s="294">
        <f>IFERROR('Capital &amp; Ownership'!E9/'Capital &amp; Ownership'!D9,0)</f>
        <v/>
      </c>
      <c r="M53" s="278" t="n"/>
    </row>
    <row r="54" ht="7.95" customHeight="1" s="274"/>
    <row r="55" ht="22.05" customHeight="1" s="274">
      <c r="B55" s="333" t="inlineStr">
        <is>
          <t xml:space="preserve">  🧾  PRE-OPENING EXPENSES BREAKDOWN</t>
        </is>
      </c>
    </row>
    <row r="56" ht="19.95" customHeight="1" s="274">
      <c r="B56" s="311" t="inlineStr">
        <is>
          <t>EXPENSE ITEM</t>
        </is>
      </c>
      <c r="C56" s="282" t="n"/>
      <c r="D56" s="278" t="n"/>
      <c r="E56" s="311" t="inlineStr">
        <is>
          <t>PAID BY</t>
        </is>
      </c>
      <c r="F56" s="278" t="n"/>
      <c r="G56" s="311" t="inlineStr">
        <is>
          <t>AMOUNT ($)</t>
        </is>
      </c>
      <c r="H56" s="278" t="n"/>
      <c r="I56" s="311" t="inlineStr">
        <is>
          <t>CATEGORY</t>
        </is>
      </c>
      <c r="J56" s="278" t="n"/>
      <c r="K56" s="311" t="inlineStr">
        <is>
          <t>STATUS</t>
        </is>
      </c>
      <c r="L56" s="278" t="n"/>
    </row>
    <row r="57" ht="19.95" customHeight="1" s="274">
      <c r="B57" s="292">
        <f>'Capital &amp; Ownership'!B13</f>
        <v/>
      </c>
      <c r="C57" s="282" t="n"/>
      <c r="D57" s="278" t="n"/>
      <c r="E57" s="317" t="inlineStr">
        <is>
          <t>All Partners</t>
        </is>
      </c>
      <c r="F57" s="278" t="n"/>
      <c r="G57" s="302">
        <f>'Capital &amp; Ownership'!D13</f>
        <v/>
      </c>
      <c r="H57" s="278" t="n"/>
      <c r="I57" s="317" t="inlineStr">
        <is>
          <t>Acquisition</t>
        </is>
      </c>
      <c r="J57" s="278" t="n"/>
      <c r="K57" s="317" t="inlineStr">
        <is>
          <t>⚠️ Not Fully Paid</t>
        </is>
      </c>
      <c r="L57" s="278" t="n"/>
    </row>
    <row r="58" ht="19.95" customHeight="1" s="274">
      <c r="B58" s="281">
        <f>'Capital &amp; Ownership'!B14</f>
        <v/>
      </c>
      <c r="C58" s="282" t="n"/>
      <c r="D58" s="278" t="n"/>
      <c r="E58" s="306" t="inlineStr">
        <is>
          <t>Lohith Reddy</t>
        </is>
      </c>
      <c r="F58" s="278" t="n"/>
      <c r="G58" s="308">
        <f>'Capital &amp; Ownership'!D14</f>
        <v/>
      </c>
      <c r="H58" s="278" t="n"/>
      <c r="I58" s="306" t="inlineStr">
        <is>
          <t>Acquisition Advance</t>
        </is>
      </c>
      <c r="J58" s="278" t="n"/>
      <c r="K58" s="306" t="inlineStr">
        <is>
          <t>✅ Paid</t>
        </is>
      </c>
      <c r="L58" s="278" t="n"/>
    </row>
    <row r="59" ht="19.95" customHeight="1" s="274">
      <c r="B59" s="281">
        <f>'Capital &amp; Ownership'!B27</f>
        <v/>
      </c>
      <c r="C59" s="282" t="n"/>
      <c r="D59" s="278" t="n"/>
      <c r="E59" s="306" t="inlineStr">
        <is>
          <t>Kashigoud Patil</t>
        </is>
      </c>
      <c r="F59" s="278" t="n"/>
      <c r="G59" s="308">
        <f>'Capital &amp; Ownership'!D27</f>
        <v/>
      </c>
      <c r="H59" s="278" t="n"/>
      <c r="I59" s="306" t="inlineStr">
        <is>
          <t>Software / License</t>
        </is>
      </c>
      <c r="J59" s="278" t="n"/>
      <c r="K59" s="306" t="inlineStr">
        <is>
          <t>✅ Paid</t>
        </is>
      </c>
      <c r="L59" s="278" t="n"/>
    </row>
    <row r="60" ht="19.95" customHeight="1" s="274">
      <c r="B60" s="281">
        <f>'Capital &amp; Ownership'!B28</f>
        <v/>
      </c>
      <c r="C60" s="282" t="n"/>
      <c r="D60" s="278" t="n"/>
      <c r="E60" s="306" t="inlineStr">
        <is>
          <t>Kashigoud Patil</t>
        </is>
      </c>
      <c r="F60" s="278" t="n"/>
      <c r="G60" s="308">
        <f>'Capital &amp; Ownership'!D28</f>
        <v/>
      </c>
      <c r="H60" s="278" t="n"/>
      <c r="I60" s="306" t="inlineStr">
        <is>
          <t>Equipment</t>
        </is>
      </c>
      <c r="J60" s="278" t="n"/>
      <c r="K60" s="306" t="inlineStr">
        <is>
          <t>✅ Paid</t>
        </is>
      </c>
      <c r="L60" s="278" t="n"/>
    </row>
    <row r="61" ht="19.95" customHeight="1" s="274">
      <c r="B61" s="310">
        <f>'Capital &amp; Ownership'!B39</f>
        <v/>
      </c>
      <c r="C61" s="282" t="n"/>
      <c r="D61" s="278" t="n"/>
      <c r="E61" s="287" t="inlineStr">
        <is>
          <t>Lohith Reddy</t>
        </is>
      </c>
      <c r="F61" s="278" t="n"/>
      <c r="G61" s="305">
        <f>'Capital &amp; Ownership'!D39</f>
        <v/>
      </c>
      <c r="H61" s="278" t="n"/>
      <c r="I61" s="287" t="inlineStr">
        <is>
          <t>Legal / Notary</t>
        </is>
      </c>
      <c r="J61" s="278" t="n"/>
      <c r="K61" s="287" t="inlineStr">
        <is>
          <t>✅ Paid</t>
        </is>
      </c>
      <c r="L61" s="278" t="n"/>
    </row>
    <row r="62" ht="19.95" customHeight="1" s="274">
      <c r="B62" s="310">
        <f>'Capital &amp; Ownership'!B40</f>
        <v/>
      </c>
      <c r="C62" s="282" t="n"/>
      <c r="D62" s="278" t="n"/>
      <c r="E62" s="287" t="inlineStr">
        <is>
          <t>Lohith Reddy</t>
        </is>
      </c>
      <c r="F62" s="278" t="n"/>
      <c r="G62" s="305">
        <f>'Capital &amp; Ownership'!D40</f>
        <v/>
      </c>
      <c r="H62" s="278" t="n"/>
      <c r="I62" s="287" t="inlineStr">
        <is>
          <t>Legal / Insurance</t>
        </is>
      </c>
      <c r="J62" s="278" t="n"/>
      <c r="K62" s="287" t="inlineStr">
        <is>
          <t>✅ Paid</t>
        </is>
      </c>
      <c r="L62" s="278" t="n"/>
    </row>
    <row r="63" ht="19.95" customHeight="1" s="274">
      <c r="B63" s="310">
        <f>'Capital &amp; Ownership'!B41</f>
        <v/>
      </c>
      <c r="C63" s="282" t="n"/>
      <c r="D63" s="278" t="n"/>
      <c r="E63" s="287" t="inlineStr">
        <is>
          <t>Lohith Reddy</t>
        </is>
      </c>
      <c r="F63" s="278" t="n"/>
      <c r="G63" s="305">
        <f>'Capital &amp; Ownership'!D41</f>
        <v/>
      </c>
      <c r="H63" s="278" t="n"/>
      <c r="I63" s="287" t="inlineStr">
        <is>
          <t>Professional Services</t>
        </is>
      </c>
      <c r="J63" s="278" t="n"/>
      <c r="K63" s="287" t="inlineStr">
        <is>
          <t>✅ Paid</t>
        </is>
      </c>
      <c r="L63" s="278" t="n"/>
    </row>
    <row r="64" ht="19.95" customHeight="1" s="274">
      <c r="B64" s="346" t="inlineStr">
        <is>
          <t xml:space="preserve">  ℹ️  Internal transfers:  Kashigoud → Lohith  $125,000  |  Shashirekha → Lohith  $100,000  (not counted as expenses — capital reallocation only)</t>
        </is>
      </c>
      <c r="C64" s="282" t="n"/>
      <c r="D64" s="282" t="n"/>
      <c r="E64" s="282" t="n"/>
      <c r="F64" s="282" t="n"/>
      <c r="G64" s="282" t="n"/>
      <c r="H64" s="282" t="n"/>
      <c r="I64" s="282" t="n"/>
      <c r="J64" s="282" t="n"/>
      <c r="K64" s="282" t="n"/>
      <c r="L64" s="282" t="n"/>
      <c r="M64" s="27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J33" sqref="J33"/>
    </sheetView>
  </sheetViews>
  <sheetFormatPr baseColWidth="8" defaultColWidth="8.6640625" defaultRowHeight="14.4" customHeight="1"/>
  <cols>
    <col width="4" customWidth="1" style="274" min="1" max="1"/>
    <col width="18" customWidth="1" style="274" min="2" max="2"/>
    <col width="16" customWidth="1" style="274" min="3" max="5"/>
    <col width="12" customWidth="1" style="274" min="6" max="6"/>
    <col width="14" customWidth="1" style="274" min="7" max="7"/>
    <col width="16" customWidth="1" style="274" min="8" max="9"/>
    <col width="12" customWidth="1" style="274" min="10" max="10"/>
    <col width="30" customWidth="1" style="274" min="11" max="11"/>
    <col width="16" customWidth="1" style="274" min="12" max="17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4">
      <c r="A2" s="340" t="inlineStr">
        <is>
          <t>📅  LOKA — DAILY LOG</t>
        </is>
      </c>
      <c r="I2" s="313" t="inlineStr">
        <is>
          <t>Enter 2 values from Soft App each day → everything else calculates</t>
        </is>
      </c>
    </row>
    <row r="3" ht="3.75" customHeight="1" s="274">
      <c r="A3" s="323" t="n"/>
    </row>
    <row r="4" ht="7.5" customHeight="1" s="274"/>
    <row r="5" ht="49.5" customHeight="1" s="274">
      <c r="B5" s="325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  <c r="N5" s="299" t="n"/>
      <c r="O5" s="299" t="n"/>
      <c r="P5" s="299" t="n"/>
    </row>
    <row r="6" ht="7.5" customHeight="1" s="274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4">
      <c r="B7" s="279" t="inlineStr">
        <is>
          <t>Date</t>
        </is>
      </c>
      <c r="C7" s="279" t="inlineStr">
        <is>
          <t>Day</t>
        </is>
      </c>
      <c r="D7" s="279" t="inlineStr">
        <is>
          <t>Card / Mercado Pago ($)</t>
        </is>
      </c>
      <c r="E7" s="279" t="inlineStr">
        <is>
          <t>Cash ($)</t>
        </is>
      </c>
      <c r="F7" s="279" t="inlineStr">
        <is>
          <t>Total Revenue ($)</t>
        </is>
      </c>
      <c r="G7" s="279" t="inlineStr">
        <is>
          <t>Transfer ($)</t>
        </is>
      </c>
      <c r="H7" s="279" t="inlineStr">
        <is>
          <t>Expenses $</t>
        </is>
      </c>
      <c r="I7" s="279" t="inlineStr">
        <is>
          <t>Net Profit $</t>
        </is>
      </c>
      <c r="J7" s="279" t="inlineStr">
        <is>
          <t>Margin %</t>
        </is>
      </c>
      <c r="K7" s="279" t="inlineStr">
        <is>
          <t>Notes</t>
        </is>
      </c>
      <c r="L7" s="279" t="inlineStr">
        <is>
          <t>Source</t>
        </is>
      </c>
      <c r="M7" s="279" t="inlineStr">
        <is>
          <t>WEEK PROFIT</t>
        </is>
      </c>
      <c r="N7" s="279" t="inlineStr">
        <is>
          <t>CUMUL. REVENUE</t>
        </is>
      </c>
      <c r="O7" s="279" t="inlineStr">
        <is>
          <t>MONTH REVENUE</t>
        </is>
      </c>
      <c r="P7" s="279" t="inlineStr">
        <is>
          <t>Week Expenses</t>
        </is>
      </c>
      <c r="Q7" s="279" t="inlineStr">
        <is>
          <t>Week Profit</t>
        </is>
      </c>
    </row>
    <row r="8" ht="16.5" customHeight="1" s="274">
      <c r="B8" s="356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4">
      <c r="B9" s="356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4">
      <c r="B10" s="356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4">
      <c r="B11" s="356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4">
      <c r="B12" s="356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4">
      <c r="B13" s="356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4">
      <c r="B14" s="356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4">
      <c r="B15" s="356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4">
      <c r="B16" s="356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4">
      <c r="B17" s="356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4">
      <c r="B18" s="356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4">
      <c r="B19" s="356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4">
      <c r="B20" s="356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4">
      <c r="B21" s="356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4">
      <c r="B22" s="356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4">
      <c r="B23" s="356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4">
      <c r="B24" s="356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4">
      <c r="B25" s="356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4">
      <c r="B26" s="356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4">
      <c r="B27" s="356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4">
      <c r="B28" s="356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4">
      <c r="B29" s="356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4">
      <c r="B30" s="356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4">
      <c r="B31" s="356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4">
      <c r="B32" s="356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4">
      <c r="B33" s="356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4">
      <c r="B34" s="356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4">
      <c r="B35" s="356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4">
      <c r="B36" s="356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4">
      <c r="B37" s="34" t="n"/>
      <c r="C37" s="47" t="n"/>
      <c r="D37" s="48" t="n"/>
      <c r="E37" s="49" t="n"/>
      <c r="F37" s="50" t="n"/>
      <c r="G37" s="51" t="n"/>
      <c r="H37" s="52" t="n"/>
      <c r="I37" s="53" t="n"/>
      <c r="J37" s="54" t="n"/>
      <c r="K37" s="55" t="n"/>
      <c r="L37" s="18" t="n"/>
      <c r="M37" s="21" t="n"/>
      <c r="N37" s="56" t="n"/>
      <c r="O37" s="57" t="n"/>
      <c r="P37" s="58" t="n"/>
      <c r="Q37" s="56" t="n"/>
    </row>
    <row r="38" ht="16.5" customHeight="1" s="274">
      <c r="B38" s="34" t="n"/>
      <c r="C38" s="35" t="n"/>
      <c r="D38" s="36" t="n"/>
      <c r="E38" s="37" t="n"/>
      <c r="F38" s="38" t="n"/>
      <c r="G38" s="39" t="n"/>
      <c r="H38" s="40" t="n"/>
      <c r="I38" s="41" t="n"/>
      <c r="J38" s="42" t="n"/>
      <c r="K38" s="43" t="n"/>
      <c r="L38" s="9" t="n"/>
      <c r="M38" s="12" t="n"/>
      <c r="N38" s="44" t="n"/>
      <c r="O38" s="45" t="n"/>
      <c r="P38" s="46" t="n"/>
      <c r="Q38" s="44" t="n"/>
    </row>
    <row r="39" ht="16.5" customHeight="1" s="274">
      <c r="B39" s="34" t="n"/>
      <c r="C39" s="47" t="n"/>
      <c r="D39" s="48" t="n"/>
      <c r="E39" s="49" t="n"/>
      <c r="F39" s="50" t="n"/>
      <c r="G39" s="51" t="n"/>
      <c r="H39" s="52" t="n"/>
      <c r="I39" s="53" t="n"/>
      <c r="J39" s="54" t="n"/>
      <c r="K39" s="55" t="n"/>
      <c r="L39" s="18" t="n"/>
      <c r="M39" s="21" t="n"/>
      <c r="N39" s="56" t="n"/>
      <c r="O39" s="57" t="n"/>
      <c r="P39" s="58" t="n"/>
      <c r="Q39" s="56" t="n"/>
    </row>
    <row r="40" ht="16.5" customHeight="1" s="274">
      <c r="B40" s="34" t="n"/>
      <c r="C40" s="35" t="n"/>
      <c r="D40" s="36" t="n"/>
      <c r="E40" s="37" t="n"/>
      <c r="F40" s="38" t="n"/>
      <c r="G40" s="39" t="n"/>
      <c r="H40" s="40" t="n"/>
      <c r="I40" s="41" t="n"/>
      <c r="J40" s="42" t="n"/>
      <c r="K40" s="43" t="n"/>
      <c r="L40" s="9" t="n"/>
      <c r="M40" s="12" t="n"/>
      <c r="N40" s="44" t="n"/>
      <c r="O40" s="45" t="n"/>
      <c r="P40" s="46" t="n"/>
      <c r="Q40" s="44" t="n"/>
    </row>
    <row r="41" ht="16.5" customHeight="1" s="274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74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74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74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74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74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4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4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4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4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4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4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4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4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4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4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4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4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4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4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4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4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4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4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4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4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4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4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4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4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4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4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4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4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4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4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4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4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4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4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4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4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4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4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4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4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4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4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4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4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4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4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4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4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4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4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4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4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4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4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4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4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4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4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4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4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4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4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4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4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4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4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4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4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4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4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4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4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4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4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4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4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4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4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4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4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4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4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4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4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4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4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4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4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4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4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4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4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4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4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4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4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4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4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4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4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4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4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4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4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4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4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4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4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4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4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4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4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4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4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4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4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4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4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4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4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4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4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4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4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4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4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4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4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4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4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4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4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4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4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4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4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4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4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4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4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4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4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4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4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4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4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4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4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4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4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4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4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4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4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4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4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4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4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4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4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4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4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4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4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4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4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4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4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4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4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4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4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4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4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4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4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4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4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4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4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4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4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4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4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4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4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4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4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4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4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4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4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4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4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4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4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4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4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4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4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4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4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4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4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4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4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4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4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4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4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4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4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4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4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4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4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4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4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4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4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4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4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4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4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4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4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4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4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4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4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4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4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4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4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4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4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4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4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4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4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4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4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4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4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4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4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4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4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4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4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4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4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4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4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4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4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4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4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4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4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4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4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4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4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4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4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4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4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4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4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4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4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4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4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4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4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4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4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4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4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4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4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4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4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4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4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4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4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4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4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4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4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4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4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4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4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4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4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4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4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4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4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4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4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4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4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4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4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4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4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4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4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4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4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4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4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4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4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4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4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4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4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4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4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4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4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24" activePane="bottomLeft" state="frozen"/>
      <selection pane="bottomLeft" activeCell="F8" sqref="F8:F24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4" customWidth="1" style="274" min="3" max="3"/>
    <col width="22" customWidth="1" style="274" min="4" max="4"/>
    <col width="19.77734375" customWidth="1" style="274" min="5" max="5"/>
    <col width="16" customWidth="1" style="274" min="6" max="6"/>
    <col width="14" customWidth="1" style="274" min="7" max="7"/>
    <col width="16" customWidth="1" style="274" min="8" max="8"/>
    <col width="18" customWidth="1" style="274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4">
      <c r="A2" s="340" t="inlineStr">
        <is>
          <t>💸  LOKA — EXPENSES TRACKER</t>
        </is>
      </c>
      <c r="E2" s="313" t="inlineStr">
        <is>
          <t>Log every cost: ingredients, staff, utilities, supplies…</t>
        </is>
      </c>
    </row>
    <row r="3">
      <c r="A3" s="323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4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4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4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4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4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4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4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4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4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4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46187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46187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/>
      <c r="C274" s="69" t="n"/>
      <c r="D274" s="68" t="n"/>
      <c r="E274" s="69" t="n"/>
      <c r="F274" s="70" t="n"/>
      <c r="G274" s="23" t="n"/>
      <c r="H274" s="23" t="n"/>
      <c r="I274" s="55" t="n"/>
    </row>
    <row r="275">
      <c r="B275" s="64" t="n"/>
      <c r="C275" s="65" t="n"/>
      <c r="D275" s="66" t="n"/>
      <c r="E275" s="65" t="n"/>
      <c r="F275" s="67" t="n"/>
      <c r="G275" s="14" t="n"/>
      <c r="H275" s="14" t="n"/>
      <c r="I275" s="43" t="n"/>
    </row>
    <row r="276">
      <c r="B276" s="64" t="n"/>
      <c r="C276" s="69" t="n"/>
      <c r="D276" s="68" t="n"/>
      <c r="E276" s="69" t="n"/>
      <c r="F276" s="70" t="n"/>
      <c r="G276" s="23" t="n"/>
      <c r="H276" s="23" t="n"/>
      <c r="I276" s="55" t="n"/>
    </row>
    <row r="277">
      <c r="B277" s="64" t="n"/>
      <c r="C277" s="65" t="n"/>
      <c r="D277" s="66" t="n"/>
      <c r="E277" s="65" t="n"/>
      <c r="F277" s="67" t="n"/>
      <c r="G277" s="14" t="n"/>
      <c r="H277" s="14" t="n"/>
      <c r="I277" s="43" t="n"/>
    </row>
    <row r="278">
      <c r="B278" s="64" t="n"/>
      <c r="C278" s="69" t="n"/>
      <c r="D278" s="68" t="n"/>
      <c r="E278" s="69" t="n"/>
      <c r="F278" s="70" t="n"/>
      <c r="G278" s="23" t="n"/>
      <c r="H278" s="23" t="n"/>
      <c r="I278" s="55" t="n"/>
    </row>
    <row r="279">
      <c r="B279" s="64" t="n"/>
      <c r="C279" s="65" t="n"/>
      <c r="D279" s="66" t="n"/>
      <c r="E279" s="65" t="n"/>
      <c r="F279" s="67" t="n"/>
      <c r="G279" s="14" t="n"/>
      <c r="H279" s="14" t="n"/>
      <c r="I279" s="43" t="n"/>
    </row>
    <row r="280">
      <c r="B280" s="64" t="n"/>
      <c r="C280" s="69" t="n"/>
      <c r="D280" s="68" t="n"/>
      <c r="E280" s="69" t="n"/>
      <c r="F280" s="70" t="n"/>
      <c r="G280" s="23" t="n"/>
      <c r="H280" s="23" t="n"/>
      <c r="I280" s="55" t="n"/>
    </row>
    <row r="281">
      <c r="B281" s="64" t="n"/>
      <c r="C281" s="65" t="n"/>
      <c r="D281" s="66" t="n"/>
      <c r="E281" s="65" t="n"/>
      <c r="F281" s="67" t="n"/>
      <c r="G281" s="14" t="n"/>
      <c r="H281" s="14" t="n"/>
      <c r="I281" s="43" t="n"/>
    </row>
    <row r="282">
      <c r="B282" s="64" t="n"/>
      <c r="C282" s="69" t="n"/>
      <c r="D282" s="68" t="n"/>
      <c r="E282" s="69" t="n"/>
      <c r="F282" s="70" t="n"/>
      <c r="G282" s="23" t="n"/>
      <c r="H282" s="23" t="n"/>
      <c r="I282" s="55" t="n"/>
    </row>
    <row r="283">
      <c r="B283" s="64" t="n"/>
      <c r="C283" s="65" t="n"/>
      <c r="D283" s="66" t="n"/>
      <c r="E283" s="65" t="n"/>
      <c r="F283" s="67" t="n"/>
      <c r="G283" s="14" t="n"/>
      <c r="H283" s="14" t="n"/>
      <c r="I283" s="43" t="n"/>
    </row>
    <row r="284">
      <c r="B284" s="64" t="n"/>
      <c r="C284" s="69" t="n"/>
      <c r="D284" s="68" t="n"/>
      <c r="E284" s="69" t="n"/>
      <c r="F284" s="70" t="n"/>
      <c r="G284" s="23" t="n"/>
      <c r="H284" s="23" t="n"/>
      <c r="I284" s="55" t="n"/>
    </row>
    <row r="285">
      <c r="B285" s="64" t="n"/>
      <c r="C285" s="65" t="n"/>
      <c r="D285" s="66" t="n"/>
      <c r="E285" s="65" t="n"/>
      <c r="F285" s="67" t="n"/>
      <c r="G285" s="14" t="n"/>
      <c r="H285" s="14" t="n"/>
      <c r="I285" s="43" t="n"/>
    </row>
    <row r="286">
      <c r="B286" s="64" t="n"/>
      <c r="C286" s="69" t="n"/>
      <c r="D286" s="68" t="n"/>
      <c r="E286" s="69" t="n"/>
      <c r="F286" s="70" t="n"/>
      <c r="G286" s="23" t="n"/>
      <c r="H286" s="23" t="n"/>
      <c r="I286" s="55" t="n"/>
    </row>
    <row r="287">
      <c r="B287" s="64" t="n"/>
      <c r="C287" s="65" t="n"/>
      <c r="D287" s="66" t="n"/>
      <c r="E287" s="65" t="n"/>
      <c r="F287" s="67" t="n"/>
      <c r="G287" s="14" t="n"/>
      <c r="H287" s="14" t="n"/>
      <c r="I287" s="43" t="n"/>
    </row>
    <row r="288">
      <c r="B288" s="64" t="n"/>
      <c r="C288" s="69" t="n"/>
      <c r="D288" s="68" t="n"/>
      <c r="E288" s="69" t="n"/>
      <c r="F288" s="70" t="n"/>
      <c r="G288" s="23" t="n"/>
      <c r="H288" s="23" t="n"/>
      <c r="I288" s="55" t="n"/>
    </row>
    <row r="289">
      <c r="B289" s="64" t="n"/>
      <c r="C289" s="65" t="n"/>
      <c r="D289" s="66" t="n"/>
      <c r="E289" s="65" t="n"/>
      <c r="F289" s="67" t="n"/>
      <c r="G289" s="14" t="n"/>
      <c r="H289" s="14" t="n"/>
      <c r="I289" s="43" t="n"/>
    </row>
    <row r="290">
      <c r="B290" s="64" t="n"/>
      <c r="C290" s="69" t="n"/>
      <c r="D290" s="68" t="n"/>
      <c r="E290" s="69" t="n"/>
      <c r="F290" s="70" t="n"/>
      <c r="G290" s="23" t="n"/>
      <c r="H290" s="23" t="n"/>
      <c r="I290" s="55" t="n"/>
    </row>
    <row r="291">
      <c r="B291" s="64" t="n"/>
      <c r="C291" s="65" t="n"/>
      <c r="D291" s="66" t="n"/>
      <c r="E291" s="65" t="n"/>
      <c r="F291" s="67" t="n"/>
      <c r="G291" s="14" t="n"/>
      <c r="H291" s="14" t="n"/>
      <c r="I291" s="43" t="n"/>
    </row>
    <row r="292">
      <c r="B292" s="64" t="n"/>
      <c r="C292" s="69" t="n"/>
      <c r="D292" s="68" t="n"/>
      <c r="E292" s="69" t="n"/>
      <c r="F292" s="70" t="n"/>
      <c r="G292" s="23" t="n"/>
      <c r="H292" s="23" t="n"/>
      <c r="I292" s="55" t="n"/>
    </row>
    <row r="293">
      <c r="B293" s="64" t="n"/>
      <c r="C293" s="65" t="n"/>
      <c r="D293" s="66" t="n"/>
      <c r="E293" s="65" t="n"/>
      <c r="F293" s="67" t="n"/>
      <c r="G293" s="14" t="n"/>
      <c r="H293" s="14" t="n"/>
      <c r="I293" s="43" t="n"/>
    </row>
    <row r="294">
      <c r="B294" s="64" t="n"/>
      <c r="C294" s="69" t="n"/>
      <c r="D294" s="68" t="n"/>
      <c r="E294" s="69" t="n"/>
      <c r="F294" s="70" t="n"/>
      <c r="G294" s="23" t="n"/>
      <c r="H294" s="23" t="n"/>
      <c r="I294" s="55" t="n"/>
    </row>
    <row r="295">
      <c r="B295" s="64" t="n"/>
      <c r="C295" s="65" t="n"/>
      <c r="D295" s="66" t="n"/>
      <c r="E295" s="65" t="n"/>
      <c r="F295" s="67" t="n"/>
      <c r="G295" s="14" t="n"/>
      <c r="H295" s="14" t="n"/>
      <c r="I295" s="43" t="n"/>
    </row>
    <row r="296">
      <c r="B296" s="64" t="n"/>
      <c r="C296" s="69" t="n"/>
      <c r="D296" s="68" t="n"/>
      <c r="E296" s="69" t="n"/>
      <c r="F296" s="70" t="n"/>
      <c r="G296" s="23" t="n"/>
      <c r="H296" s="23" t="n"/>
      <c r="I296" s="55" t="n"/>
    </row>
    <row r="297">
      <c r="B297" s="64" t="n"/>
      <c r="C297" s="65" t="n"/>
      <c r="D297" s="66" t="n"/>
      <c r="E297" s="65" t="n"/>
      <c r="F297" s="67" t="n"/>
      <c r="G297" s="14" t="n"/>
      <c r="H297" s="14" t="n"/>
      <c r="I297" s="43" t="n"/>
    </row>
    <row r="298">
      <c r="B298" s="64" t="n"/>
      <c r="C298" s="69" t="n"/>
      <c r="D298" s="68" t="n"/>
      <c r="E298" s="69" t="n"/>
      <c r="F298" s="70" t="n"/>
      <c r="G298" s="23" t="n"/>
      <c r="H298" s="23" t="n"/>
      <c r="I298" s="55" t="n"/>
    </row>
    <row r="299">
      <c r="B299" s="64" t="n"/>
      <c r="C299" s="65" t="n"/>
      <c r="D299" s="66" t="n"/>
      <c r="E299" s="65" t="n"/>
      <c r="F299" s="67" t="n"/>
      <c r="G299" s="14" t="n"/>
      <c r="H299" s="14" t="n"/>
      <c r="I299" s="43" t="n"/>
    </row>
    <row r="300">
      <c r="B300" s="64" t="n"/>
      <c r="C300" s="69" t="n"/>
      <c r="D300" s="68" t="n"/>
      <c r="E300" s="69" t="n"/>
      <c r="F300" s="70" t="n"/>
      <c r="G300" s="23" t="n"/>
      <c r="H300" s="23" t="n"/>
      <c r="I300" s="55" t="n"/>
    </row>
    <row r="301">
      <c r="B301" s="64" t="n"/>
      <c r="C301" s="65" t="n"/>
      <c r="D301" s="66" t="n"/>
      <c r="E301" s="65" t="n"/>
      <c r="F301" s="67" t="n"/>
      <c r="G301" s="14" t="n"/>
      <c r="H301" s="14" t="n"/>
      <c r="I301" s="43" t="n"/>
    </row>
    <row r="302">
      <c r="B302" s="64" t="n"/>
      <c r="C302" s="69" t="n"/>
      <c r="D302" s="68" t="n"/>
      <c r="E302" s="69" t="n"/>
      <c r="F302" s="70" t="n"/>
      <c r="G302" s="23" t="n"/>
      <c r="H302" s="23" t="n"/>
      <c r="I302" s="55" t="n"/>
    </row>
    <row r="303">
      <c r="B303" s="64" t="n"/>
      <c r="C303" s="65" t="n"/>
      <c r="D303" s="66" t="n"/>
      <c r="E303" s="65" t="n"/>
      <c r="F303" s="67" t="n"/>
      <c r="G303" s="14" t="n"/>
      <c r="H303" s="14" t="n"/>
      <c r="I303" s="43" t="n"/>
    </row>
    <row r="304">
      <c r="B304" s="64" t="n"/>
      <c r="C304" s="69" t="n"/>
      <c r="D304" s="68" t="n"/>
      <c r="E304" s="69" t="n"/>
      <c r="F304" s="70" t="n"/>
      <c r="G304" s="23" t="n"/>
      <c r="H304" s="23" t="n"/>
      <c r="I304" s="55" t="n"/>
    </row>
    <row r="305">
      <c r="B305" s="64" t="n"/>
      <c r="C305" s="65" t="n"/>
      <c r="D305" s="66" t="n"/>
      <c r="E305" s="65" t="n"/>
      <c r="F305" s="67" t="n"/>
      <c r="G305" s="14" t="n"/>
      <c r="H305" s="14" t="n"/>
      <c r="I305" s="43" t="n"/>
    </row>
    <row r="306">
      <c r="B306" s="64" t="n"/>
      <c r="C306" s="69" t="n"/>
      <c r="D306" s="68" t="n"/>
      <c r="E306" s="69" t="n"/>
      <c r="F306" s="70" t="n"/>
      <c r="G306" s="23" t="n"/>
      <c r="H306" s="23" t="n"/>
      <c r="I306" s="55" t="n"/>
    </row>
    <row r="307">
      <c r="B307" s="64" t="n"/>
      <c r="C307" s="65" t="n"/>
      <c r="D307" s="66" t="n"/>
      <c r="E307" s="65" t="n"/>
      <c r="F307" s="67" t="n"/>
      <c r="G307" s="14" t="n"/>
      <c r="H307" s="14" t="n"/>
      <c r="I307" s="43" t="n"/>
    </row>
    <row r="308">
      <c r="B308" s="64" t="n"/>
      <c r="C308" s="69" t="n"/>
      <c r="D308" s="68" t="n"/>
      <c r="E308" s="69" t="n"/>
      <c r="F308" s="70" t="n"/>
      <c r="G308" s="23" t="n"/>
      <c r="H308" s="23" t="n"/>
      <c r="I308" s="55" t="n"/>
    </row>
    <row r="309">
      <c r="B309" s="64" t="n"/>
      <c r="C309" s="65" t="n"/>
      <c r="D309" s="66" t="n"/>
      <c r="E309" s="65" t="n"/>
      <c r="F309" s="67" t="n"/>
      <c r="G309" s="14" t="n"/>
      <c r="H309" s="14" t="n"/>
      <c r="I309" s="43" t="n"/>
    </row>
    <row r="310">
      <c r="B310" s="64" t="n"/>
      <c r="C310" s="69" t="n"/>
      <c r="D310" s="68" t="n"/>
      <c r="E310" s="69" t="n"/>
      <c r="F310" s="70" t="n"/>
      <c r="G310" s="23" t="n"/>
      <c r="H310" s="23" t="n"/>
      <c r="I310" s="55" t="n"/>
    </row>
    <row r="311">
      <c r="B311" s="64" t="n"/>
      <c r="C311" s="65" t="n"/>
      <c r="D311" s="66" t="n"/>
      <c r="E311" s="65" t="n"/>
      <c r="F311" s="67" t="n"/>
      <c r="G311" s="14" t="n"/>
      <c r="H311" s="14" t="n"/>
      <c r="I311" s="43" t="n"/>
    </row>
    <row r="312">
      <c r="B312" s="64" t="n"/>
      <c r="C312" s="69" t="n"/>
      <c r="D312" s="68" t="n"/>
      <c r="E312" s="69" t="n"/>
      <c r="F312" s="70" t="n"/>
      <c r="G312" s="23" t="n"/>
      <c r="H312" s="23" t="n"/>
      <c r="I312" s="55" t="n"/>
    </row>
    <row r="313">
      <c r="B313" s="64" t="n"/>
      <c r="C313" s="65" t="n"/>
      <c r="D313" s="66" t="n"/>
      <c r="E313" s="65" t="n"/>
      <c r="F313" s="67" t="n"/>
      <c r="G313" s="14" t="n"/>
      <c r="H313" s="14" t="n"/>
      <c r="I313" s="43" t="n"/>
    </row>
    <row r="314">
      <c r="B314" s="64" t="n"/>
      <c r="C314" s="69" t="n"/>
      <c r="D314" s="68" t="n"/>
      <c r="E314" s="69" t="n"/>
      <c r="F314" s="70" t="n"/>
      <c r="G314" s="23" t="n"/>
      <c r="H314" s="23" t="n"/>
      <c r="I314" s="55" t="n"/>
    </row>
    <row r="315">
      <c r="B315" s="64" t="n"/>
      <c r="C315" s="65" t="n"/>
      <c r="D315" s="66" t="n"/>
      <c r="E315" s="65" t="n"/>
      <c r="F315" s="67" t="n"/>
      <c r="G315" s="14" t="n"/>
      <c r="H315" s="14" t="n"/>
      <c r="I315" s="43" t="n"/>
    </row>
    <row r="316">
      <c r="B316" s="64" t="n"/>
      <c r="C316" s="69" t="n"/>
      <c r="D316" s="68" t="n"/>
      <c r="E316" s="69" t="n"/>
      <c r="F316" s="70" t="n"/>
      <c r="G316" s="23" t="n"/>
      <c r="H316" s="23" t="n"/>
      <c r="I316" s="55" t="n"/>
    </row>
    <row r="317">
      <c r="B317" s="64" t="n"/>
      <c r="C317" s="65" t="n"/>
      <c r="D317" s="66" t="n"/>
      <c r="E317" s="65" t="n"/>
      <c r="F317" s="67" t="n"/>
      <c r="G317" s="14" t="n"/>
      <c r="H317" s="14" t="n"/>
      <c r="I317" s="43" t="n"/>
    </row>
    <row r="318">
      <c r="B318" s="64" t="n"/>
      <c r="C318" s="69" t="n"/>
      <c r="D318" s="68" t="n"/>
      <c r="E318" s="69" t="n"/>
      <c r="F318" s="70" t="n"/>
      <c r="G318" s="23" t="n"/>
      <c r="H318" s="23" t="n"/>
      <c r="I318" s="55" t="n"/>
    </row>
    <row r="319">
      <c r="B319" s="64" t="n"/>
      <c r="C319" s="65" t="n"/>
      <c r="D319" s="66" t="n"/>
      <c r="E319" s="65" t="n"/>
      <c r="F319" s="67" t="n"/>
      <c r="G319" s="14" t="n"/>
      <c r="H319" s="14" t="n"/>
      <c r="I319" s="43" t="n"/>
    </row>
    <row r="320">
      <c r="B320" s="64" t="n"/>
      <c r="C320" s="69" t="n"/>
      <c r="D320" s="68" t="n"/>
      <c r="E320" s="69" t="n"/>
      <c r="F320" s="70" t="n"/>
      <c r="G320" s="23" t="n"/>
      <c r="H320" s="23" t="n"/>
      <c r="I320" s="55" t="n"/>
    </row>
    <row r="321">
      <c r="B321" s="64" t="n"/>
      <c r="C321" s="65" t="n"/>
      <c r="D321" s="66" t="n"/>
      <c r="E321" s="65" t="n"/>
      <c r="F321" s="67" t="n"/>
      <c r="G321" s="14" t="n"/>
      <c r="H321" s="14" t="n"/>
      <c r="I321" s="43" t="n"/>
    </row>
    <row r="322">
      <c r="B322" s="64" t="n"/>
      <c r="C322" s="69" t="n"/>
      <c r="D322" s="68" t="n"/>
      <c r="E322" s="69" t="n"/>
      <c r="F322" s="70" t="n"/>
      <c r="G322" s="23" t="n"/>
      <c r="H322" s="23" t="n"/>
      <c r="I322" s="55" t="n"/>
    </row>
    <row r="323">
      <c r="B323" s="64" t="n"/>
      <c r="C323" s="65" t="n"/>
      <c r="D323" s="66" t="n"/>
      <c r="E323" s="65" t="n"/>
      <c r="F323" s="67" t="n"/>
      <c r="G323" s="14" t="n"/>
      <c r="H323" s="14" t="n"/>
      <c r="I323" s="43" t="n"/>
    </row>
    <row r="324">
      <c r="B324" s="64" t="n"/>
      <c r="C324" s="69" t="n"/>
      <c r="D324" s="68" t="n"/>
      <c r="E324" s="69" t="n"/>
      <c r="F324" s="70" t="n"/>
      <c r="G324" s="23" t="n"/>
      <c r="H324" s="23" t="n"/>
      <c r="I324" s="55" t="n"/>
    </row>
    <row r="325">
      <c r="B325" s="64" t="n"/>
      <c r="C325" s="65" t="n"/>
      <c r="D325" s="66" t="n"/>
      <c r="E325" s="65" t="n"/>
      <c r="F325" s="67" t="n"/>
      <c r="G325" s="14" t="n"/>
      <c r="H325" s="14" t="n"/>
      <c r="I325" s="43" t="n"/>
    </row>
    <row r="326">
      <c r="B326" s="64" t="n"/>
      <c r="C326" s="69" t="n"/>
      <c r="D326" s="68" t="n"/>
      <c r="E326" s="69" t="n"/>
      <c r="F326" s="70" t="n"/>
      <c r="G326" s="23" t="n"/>
      <c r="H326" s="23" t="n"/>
      <c r="I326" s="55" t="n"/>
    </row>
    <row r="327">
      <c r="B327" s="64" t="n"/>
      <c r="C327" s="65" t="n"/>
      <c r="D327" s="66" t="n"/>
      <c r="E327" s="65" t="n"/>
      <c r="F327" s="67" t="n"/>
      <c r="G327" s="14" t="n"/>
      <c r="H327" s="14" t="n"/>
      <c r="I327" s="43" t="n"/>
    </row>
    <row r="328">
      <c r="B328" s="64" t="n"/>
      <c r="C328" s="69" t="n"/>
      <c r="D328" s="68" t="n"/>
      <c r="E328" s="69" t="n"/>
      <c r="F328" s="70" t="n"/>
      <c r="G328" s="23" t="n"/>
      <c r="H328" s="23" t="n"/>
      <c r="I328" s="55" t="n"/>
    </row>
    <row r="329">
      <c r="B329" s="64" t="n"/>
      <c r="C329" s="65" t="n"/>
      <c r="D329" s="66" t="n"/>
      <c r="E329" s="65" t="n"/>
      <c r="F329" s="67" t="n"/>
      <c r="G329" s="14" t="n"/>
      <c r="H329" s="14" t="n"/>
      <c r="I329" s="43" t="n"/>
    </row>
    <row r="330">
      <c r="B330" s="64" t="n"/>
      <c r="C330" s="69" t="n"/>
      <c r="D330" s="68" t="n"/>
      <c r="E330" s="69" t="n"/>
      <c r="F330" s="70" t="n"/>
      <c r="G330" s="23" t="n"/>
      <c r="H330" s="23" t="n"/>
      <c r="I330" s="55" t="n"/>
    </row>
    <row r="331">
      <c r="B331" s="64" t="n"/>
      <c r="C331" s="65" t="n"/>
      <c r="D331" s="66" t="n"/>
      <c r="E331" s="65" t="n"/>
      <c r="F331" s="67" t="n"/>
      <c r="G331" s="14" t="n"/>
      <c r="H331" s="14" t="n"/>
      <c r="I331" s="43" t="n"/>
    </row>
    <row r="332">
      <c r="B332" s="64" t="n"/>
      <c r="C332" s="69" t="n"/>
      <c r="D332" s="68" t="n"/>
      <c r="E332" s="69" t="n"/>
      <c r="F332" s="70" t="n"/>
      <c r="G332" s="23" t="n"/>
      <c r="H332" s="23" t="n"/>
      <c r="I332" s="55" t="n"/>
    </row>
    <row r="333">
      <c r="B333" s="64" t="n"/>
      <c r="C333" s="65" t="n"/>
      <c r="D333" s="66" t="n"/>
      <c r="E333" s="65" t="n"/>
      <c r="F333" s="67" t="n"/>
      <c r="G333" s="14" t="n"/>
      <c r="H333" s="14" t="n"/>
      <c r="I333" s="43" t="n"/>
    </row>
    <row r="334">
      <c r="B334" s="64" t="n"/>
      <c r="C334" s="69" t="n"/>
      <c r="D334" s="68" t="n"/>
      <c r="E334" s="69" t="n"/>
      <c r="F334" s="70" t="n"/>
      <c r="G334" s="23" t="n"/>
      <c r="H334" s="23" t="n"/>
      <c r="I334" s="55" t="n"/>
    </row>
    <row r="335">
      <c r="B335" s="64" t="n"/>
      <c r="C335" s="65" t="n"/>
      <c r="D335" s="66" t="n"/>
      <c r="E335" s="65" t="n"/>
      <c r="F335" s="67" t="n"/>
      <c r="G335" s="14" t="n"/>
      <c r="H335" s="14" t="n"/>
      <c r="I335" s="43" t="n"/>
    </row>
    <row r="336">
      <c r="B336" s="64" t="n"/>
      <c r="C336" s="69" t="n"/>
      <c r="D336" s="68" t="n"/>
      <c r="E336" s="69" t="n"/>
      <c r="F336" s="70" t="n"/>
      <c r="G336" s="23" t="n"/>
      <c r="H336" s="23" t="n"/>
      <c r="I336" s="55" t="n"/>
    </row>
    <row r="337">
      <c r="B337" s="64" t="n"/>
      <c r="C337" s="65" t="n"/>
      <c r="D337" s="66" t="n"/>
      <c r="E337" s="65" t="n"/>
      <c r="F337" s="67" t="n"/>
      <c r="G337" s="14" t="n"/>
      <c r="H337" s="14" t="n"/>
      <c r="I337" s="43" t="n"/>
    </row>
    <row r="338">
      <c r="B338" s="64" t="n"/>
      <c r="C338" s="69" t="n"/>
      <c r="D338" s="68" t="n"/>
      <c r="E338" s="69" t="n"/>
      <c r="F338" s="70" t="n"/>
      <c r="G338" s="23" t="n"/>
      <c r="H338" s="23" t="n"/>
      <c r="I338" s="55" t="n"/>
    </row>
    <row r="339">
      <c r="B339" s="64" t="n"/>
      <c r="C339" s="65" t="n"/>
      <c r="D339" s="66" t="n"/>
      <c r="E339" s="65" t="n"/>
      <c r="F339" s="67" t="n"/>
      <c r="G339" s="14" t="n"/>
      <c r="H339" s="14" t="n"/>
      <c r="I339" s="43" t="n"/>
    </row>
    <row r="340">
      <c r="B340" s="64" t="n"/>
      <c r="C340" s="69" t="n"/>
      <c r="D340" s="68" t="n"/>
      <c r="E340" s="69" t="n"/>
      <c r="F340" s="70" t="n"/>
      <c r="G340" s="23" t="n"/>
      <c r="H340" s="23" t="n"/>
      <c r="I340" s="55" t="n"/>
    </row>
    <row r="341">
      <c r="B341" s="64" t="n"/>
      <c r="C341" s="65" t="n"/>
      <c r="D341" s="66" t="n"/>
      <c r="E341" s="65" t="n"/>
      <c r="F341" s="67" t="n"/>
      <c r="G341" s="14" t="n"/>
      <c r="H341" s="14" t="n"/>
      <c r="I341" s="43" t="n"/>
    </row>
    <row r="342">
      <c r="B342" s="64" t="n"/>
      <c r="C342" s="69" t="n"/>
      <c r="D342" s="68" t="n"/>
      <c r="E342" s="69" t="n"/>
      <c r="F342" s="70" t="n"/>
      <c r="G342" s="23" t="n"/>
      <c r="H342" s="23" t="n"/>
      <c r="I342" s="55" t="n"/>
    </row>
    <row r="343">
      <c r="B343" s="64" t="n"/>
      <c r="C343" s="65" t="n"/>
      <c r="D343" s="66" t="n"/>
      <c r="E343" s="65" t="n"/>
      <c r="F343" s="67" t="n"/>
      <c r="G343" s="14" t="n"/>
      <c r="H343" s="14" t="n"/>
      <c r="I343" s="43" t="n"/>
    </row>
    <row r="344">
      <c r="B344" s="64" t="n"/>
      <c r="C344" s="69" t="n"/>
      <c r="D344" s="68" t="n"/>
      <c r="E344" s="69" t="n"/>
      <c r="F344" s="70" t="n"/>
      <c r="G344" s="23" t="n"/>
      <c r="H344" s="23" t="n"/>
      <c r="I344" s="55" t="n"/>
    </row>
    <row r="345">
      <c r="B345" s="64" t="n"/>
      <c r="C345" s="65" t="n"/>
      <c r="D345" s="66" t="n"/>
      <c r="E345" s="65" t="n"/>
      <c r="F345" s="67" t="n"/>
      <c r="G345" s="14" t="n"/>
      <c r="H345" s="14" t="n"/>
      <c r="I345" s="43" t="n"/>
    </row>
    <row r="346">
      <c r="B346" s="64" t="n"/>
      <c r="C346" s="69" t="n"/>
      <c r="D346" s="68" t="n"/>
      <c r="E346" s="69" t="n"/>
      <c r="F346" s="70" t="n"/>
      <c r="G346" s="23" t="n"/>
      <c r="H346" s="23" t="n"/>
      <c r="I346" s="55" t="n"/>
    </row>
    <row r="347">
      <c r="B347" s="64" t="n"/>
      <c r="C347" s="65" t="n"/>
      <c r="D347" s="66" t="n"/>
      <c r="E347" s="65" t="n"/>
      <c r="F347" s="67" t="n"/>
      <c r="G347" s="14" t="n"/>
      <c r="H347" s="14" t="n"/>
      <c r="I347" s="43" t="n"/>
    </row>
    <row r="348">
      <c r="B348" s="64" t="n"/>
      <c r="C348" s="69" t="n"/>
      <c r="D348" s="68" t="n"/>
      <c r="E348" s="69" t="n"/>
      <c r="F348" s="70" t="n"/>
      <c r="G348" s="23" t="n"/>
      <c r="H348" s="23" t="n"/>
      <c r="I348" s="55" t="n"/>
    </row>
    <row r="349">
      <c r="B349" s="64" t="n"/>
      <c r="C349" s="65" t="n"/>
      <c r="D349" s="66" t="n"/>
      <c r="E349" s="65" t="n"/>
      <c r="F349" s="67" t="n"/>
      <c r="G349" s="14" t="n"/>
      <c r="H349" s="14" t="n"/>
      <c r="I349" s="43" t="n"/>
    </row>
    <row r="350">
      <c r="B350" s="64" t="n"/>
      <c r="C350" s="69" t="n"/>
      <c r="D350" s="68" t="n"/>
      <c r="E350" s="69" t="n"/>
      <c r="F350" s="70" t="n"/>
      <c r="G350" s="23" t="n"/>
      <c r="H350" s="23" t="n"/>
      <c r="I350" s="55" t="n"/>
    </row>
    <row r="351">
      <c r="B351" s="64" t="n"/>
      <c r="C351" s="65" t="n"/>
      <c r="D351" s="66" t="n"/>
      <c r="E351" s="65" t="n"/>
      <c r="F351" s="67" t="n"/>
      <c r="G351" s="14" t="n"/>
      <c r="H351" s="14" t="n"/>
      <c r="I351" s="43" t="n"/>
    </row>
    <row r="352">
      <c r="B352" s="64" t="n"/>
      <c r="C352" s="69" t="n"/>
      <c r="D352" s="68" t="n"/>
      <c r="E352" s="69" t="n"/>
      <c r="F352" s="70" t="n"/>
      <c r="G352" s="23" t="n"/>
      <c r="H352" s="23" t="n"/>
      <c r="I352" s="55" t="n"/>
    </row>
    <row r="353">
      <c r="B353" s="64" t="n"/>
      <c r="C353" s="65" t="n"/>
      <c r="D353" s="66" t="n"/>
      <c r="E353" s="65" t="n"/>
      <c r="F353" s="67" t="n"/>
      <c r="G353" s="14" t="n"/>
      <c r="H353" s="14" t="n"/>
      <c r="I353" s="43" t="n"/>
    </row>
    <row r="354">
      <c r="B354" s="64" t="n"/>
      <c r="C354" s="69" t="n"/>
      <c r="D354" s="68" t="n"/>
      <c r="E354" s="69" t="n"/>
      <c r="F354" s="70" t="n"/>
      <c r="G354" s="23" t="n"/>
      <c r="H354" s="23" t="n"/>
      <c r="I354" s="55" t="n"/>
    </row>
    <row r="355">
      <c r="B355" s="64" t="n"/>
      <c r="C355" s="65" t="n"/>
      <c r="D355" s="66" t="n"/>
      <c r="E355" s="65" t="n"/>
      <c r="F355" s="67" t="n"/>
      <c r="G355" s="14" t="n"/>
      <c r="H355" s="14" t="n"/>
      <c r="I355" s="43" t="n"/>
    </row>
    <row r="356">
      <c r="B356" s="64" t="n"/>
      <c r="C356" s="69" t="n"/>
      <c r="D356" s="68" t="n"/>
      <c r="E356" s="69" t="n"/>
      <c r="F356" s="70" t="n"/>
      <c r="G356" s="23" t="n"/>
      <c r="H356" s="23" t="n"/>
      <c r="I356" s="55" t="n"/>
    </row>
    <row r="357">
      <c r="B357" s="64" t="n"/>
      <c r="C357" s="65" t="n"/>
      <c r="D357" s="66" t="n"/>
      <c r="E357" s="65" t="n"/>
      <c r="F357" s="67" t="n"/>
      <c r="G357" s="14" t="n"/>
      <c r="H357" s="14" t="n"/>
      <c r="I357" s="43" t="n"/>
    </row>
    <row r="358">
      <c r="B358" s="64" t="n"/>
      <c r="C358" s="69" t="n"/>
      <c r="D358" s="68" t="n"/>
      <c r="E358" s="69" t="n"/>
      <c r="F358" s="70" t="n"/>
      <c r="G358" s="23" t="n"/>
      <c r="H358" s="23" t="n"/>
      <c r="I358" s="55" t="n"/>
    </row>
    <row r="359">
      <c r="B359" s="64" t="n"/>
      <c r="C359" s="65" t="n"/>
      <c r="D359" s="66" t="n"/>
      <c r="E359" s="65" t="n"/>
      <c r="F359" s="67" t="n"/>
      <c r="G359" s="14" t="n"/>
      <c r="H359" s="14" t="n"/>
      <c r="I359" s="43" t="n"/>
    </row>
    <row r="360">
      <c r="B360" s="64" t="n"/>
      <c r="C360" s="69" t="n"/>
      <c r="D360" s="68" t="n"/>
      <c r="E360" s="69" t="n"/>
      <c r="F360" s="70" t="n"/>
      <c r="G360" s="23" t="n"/>
      <c r="H360" s="23" t="n"/>
      <c r="I360" s="55" t="n"/>
    </row>
    <row r="361">
      <c r="B361" s="64" t="n"/>
      <c r="C361" s="65" t="n"/>
      <c r="D361" s="66" t="n"/>
      <c r="E361" s="65" t="n"/>
      <c r="F361" s="67" t="n"/>
      <c r="G361" s="14" t="n"/>
      <c r="H361" s="14" t="n"/>
      <c r="I361" s="43" t="n"/>
    </row>
    <row r="362">
      <c r="B362" s="64" t="n"/>
      <c r="C362" s="69" t="n"/>
      <c r="D362" s="68" t="n"/>
      <c r="E362" s="69" t="n"/>
      <c r="F362" s="70" t="n"/>
      <c r="G362" s="23" t="n"/>
      <c r="H362" s="23" t="n"/>
      <c r="I362" s="55" t="n"/>
    </row>
    <row r="363">
      <c r="B363" s="64" t="n"/>
      <c r="C363" s="65" t="n"/>
      <c r="D363" s="66" t="n"/>
      <c r="E363" s="65" t="n"/>
      <c r="F363" s="67" t="n"/>
      <c r="G363" s="14" t="n"/>
      <c r="H363" s="14" t="n"/>
      <c r="I363" s="43" t="n"/>
    </row>
    <row r="364">
      <c r="B364" s="64" t="n"/>
      <c r="C364" s="69" t="n"/>
      <c r="D364" s="68" t="n"/>
      <c r="E364" s="69" t="n"/>
      <c r="F364" s="70" t="n"/>
      <c r="G364" s="23" t="n"/>
      <c r="H364" s="23" t="n"/>
      <c r="I364" s="55" t="n"/>
    </row>
    <row r="365">
      <c r="B365" s="64" t="n"/>
      <c r="C365" s="65" t="n"/>
      <c r="D365" s="66" t="n"/>
      <c r="E365" s="65" t="n"/>
      <c r="F365" s="67" t="n"/>
      <c r="G365" s="14" t="n"/>
      <c r="H365" s="14" t="n"/>
      <c r="I365" s="43" t="n"/>
    </row>
    <row r="366">
      <c r="B366" s="64" t="n"/>
      <c r="C366" s="69" t="n"/>
      <c r="D366" s="68" t="n"/>
      <c r="E366" s="69" t="n"/>
      <c r="F366" s="70" t="n"/>
      <c r="G366" s="23" t="n"/>
      <c r="H366" s="23" t="n"/>
      <c r="I366" s="55" t="n"/>
    </row>
    <row r="367">
      <c r="B367" s="64" t="n"/>
      <c r="C367" s="65" t="n"/>
      <c r="D367" s="66" t="n"/>
      <c r="E367" s="65" t="n"/>
      <c r="F367" s="67" t="n"/>
      <c r="G367" s="14" t="n"/>
      <c r="H367" s="14" t="n"/>
      <c r="I367" s="43" t="n"/>
    </row>
    <row r="368">
      <c r="B368" s="64" t="n"/>
      <c r="C368" s="69" t="n"/>
      <c r="D368" s="68" t="n"/>
      <c r="E368" s="69" t="n"/>
      <c r="F368" s="70" t="n"/>
      <c r="G368" s="23" t="n"/>
      <c r="H368" s="23" t="n"/>
      <c r="I368" s="55" t="n"/>
    </row>
    <row r="369">
      <c r="B369" s="64" t="n"/>
      <c r="C369" s="65" t="n"/>
      <c r="D369" s="66" t="n"/>
      <c r="E369" s="65" t="n"/>
      <c r="F369" s="67" t="n"/>
      <c r="G369" s="14" t="n"/>
      <c r="H369" s="14" t="n"/>
      <c r="I369" s="43" t="n"/>
    </row>
    <row r="370">
      <c r="B370" s="64" t="n"/>
      <c r="C370" s="69" t="n"/>
      <c r="D370" s="68" t="n"/>
      <c r="E370" s="69" t="n"/>
      <c r="F370" s="70" t="n"/>
      <c r="G370" s="23" t="n"/>
      <c r="H370" s="23" t="n"/>
      <c r="I370" s="55" t="n"/>
    </row>
    <row r="371">
      <c r="B371" s="64" t="n"/>
      <c r="C371" s="65" t="n"/>
      <c r="D371" s="66" t="n"/>
      <c r="E371" s="65" t="n"/>
      <c r="F371" s="67" t="n"/>
      <c r="G371" s="14" t="n"/>
      <c r="H371" s="14" t="n"/>
      <c r="I371" s="43" t="n"/>
    </row>
    <row r="372">
      <c r="B372" s="64" t="n"/>
      <c r="C372" s="69" t="n"/>
      <c r="D372" s="68" t="n"/>
      <c r="E372" s="69" t="n"/>
      <c r="F372" s="70" t="n"/>
      <c r="G372" s="23" t="n"/>
      <c r="H372" s="23" t="n"/>
      <c r="I372" s="55" t="n"/>
    </row>
    <row r="373">
      <c r="B373" s="64" t="n"/>
      <c r="C373" s="65" t="n"/>
      <c r="D373" s="66" t="n"/>
      <c r="E373" s="65" t="n"/>
      <c r="F373" s="67" t="n"/>
      <c r="G373" s="14" t="n"/>
      <c r="H373" s="14" t="n"/>
      <c r="I373" s="43" t="n"/>
    </row>
    <row r="374">
      <c r="B374" s="64" t="n"/>
      <c r="C374" s="69" t="n"/>
      <c r="D374" s="68" t="n"/>
      <c r="E374" s="69" t="n"/>
      <c r="F374" s="70" t="n"/>
      <c r="G374" s="23" t="n"/>
      <c r="H374" s="23" t="n"/>
      <c r="I374" s="55" t="n"/>
    </row>
    <row r="375">
      <c r="B375" s="64" t="n"/>
      <c r="C375" s="65" t="n"/>
      <c r="D375" s="66" t="n"/>
      <c r="E375" s="65" t="n"/>
      <c r="F375" s="67" t="n"/>
      <c r="G375" s="14" t="n"/>
      <c r="H375" s="14" t="n"/>
      <c r="I375" s="43" t="n"/>
    </row>
    <row r="376">
      <c r="B376" s="64" t="n"/>
      <c r="C376" s="69" t="n"/>
      <c r="D376" s="68" t="n"/>
      <c r="E376" s="69" t="n"/>
      <c r="F376" s="70" t="n"/>
      <c r="G376" s="23" t="n"/>
      <c r="H376" s="23" t="n"/>
      <c r="I376" s="55" t="n"/>
    </row>
    <row r="377">
      <c r="B377" s="64" t="n"/>
      <c r="C377" s="65" t="n"/>
      <c r="D377" s="66" t="n"/>
      <c r="E377" s="65" t="n"/>
      <c r="F377" s="67" t="n"/>
      <c r="G377" s="14" t="n"/>
      <c r="H377" s="14" t="n"/>
      <c r="I377" s="43" t="n"/>
    </row>
    <row r="378">
      <c r="B378" s="64" t="n"/>
      <c r="C378" s="69" t="n"/>
      <c r="D378" s="68" t="n"/>
      <c r="E378" s="69" t="n"/>
      <c r="F378" s="70" t="n"/>
      <c r="G378" s="23" t="n"/>
      <c r="H378" s="23" t="n"/>
      <c r="I378" s="55" t="n"/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4" min="1" max="1"/>
    <col width="26" customWidth="1" style="274" min="2" max="2"/>
    <col width="16" customWidth="1" style="274" min="3" max="3"/>
    <col width="10" customWidth="1" style="274" min="4" max="4"/>
    <col width="14" customWidth="1" style="274" min="5" max="5"/>
    <col width="12" customWidth="1" style="274" min="6" max="7"/>
    <col width="14" customWidth="1" style="274" min="8" max="8"/>
    <col width="16" customWidth="1" style="274" min="9" max="9"/>
    <col width="20" customWidth="1" style="274" min="10" max="10"/>
    <col width="18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📦  LOKA — INVENTORY</t>
        </is>
      </c>
      <c r="F2" s="313" t="inlineStr">
        <is>
          <t>Update stock levels when you receive deliveries or do stock checks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4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4"/>
    <row r="8" ht="19.5" customHeight="1" s="274">
      <c r="B8" s="349" t="inlineStr">
        <is>
          <t>Item Name  |  Category  |  Unit  |  Min Stock  |  Current Stock  |  Last Ordered  |  Supplier  |  Status  |  Notes</t>
        </is>
      </c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inlineStr">
        <is>
          <t>Carne de Res</t>
        </is>
      </c>
      <c r="C9" s="279" t="inlineStr">
        <is>
          <t>Ingredients - Meat</t>
        </is>
      </c>
      <c r="D9" s="279" t="inlineStr">
        <is>
          <t>kg</t>
        </is>
      </c>
      <c r="E9" s="279" t="n">
        <v>0</v>
      </c>
      <c r="F9" s="279" t="n"/>
      <c r="G9" s="279" t="n"/>
      <c r="H9" s="279" t="n"/>
      <c r="I9" s="279" t="n"/>
      <c r="J9" s="279">
        <f>IF(ISBLANK(F9),"—",IF(F9=0,"🚫 OUT OF STOCK",IF(F9&lt;=E9,"⚠️ LOW STOCK","✅ OK")))</f>
        <v/>
      </c>
      <c r="K9" s="279" t="n"/>
    </row>
    <row r="10" ht="15.75" customHeight="1" s="274">
      <c r="B10" s="83" t="inlineStr">
        <is>
          <t>Jamon Mexicano</t>
        </is>
      </c>
      <c r="C10" s="301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4">
      <c r="B11" s="90" t="inlineStr">
        <is>
          <t>Pollo</t>
        </is>
      </c>
      <c r="C11" s="283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4">
      <c r="B12" s="83" t="inlineStr">
        <is>
          <t>Chuletas de Carne</t>
        </is>
      </c>
      <c r="C12" s="301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4">
      <c r="B13" s="90" t="inlineStr">
        <is>
          <t>Costillas de Cerdo</t>
        </is>
      </c>
      <c r="C13" s="283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4">
      <c r="B14" s="83" t="inlineStr">
        <is>
          <t>Salmon</t>
        </is>
      </c>
      <c r="C14" s="301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4">
      <c r="B15" s="90" t="inlineStr">
        <is>
          <t>Filete de Mojarra</t>
        </is>
      </c>
      <c r="C15" s="283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4">
      <c r="B16" s="83" t="inlineStr">
        <is>
          <t>Papas</t>
        </is>
      </c>
      <c r="C16" s="301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4">
      <c r="B17" s="90" t="inlineStr">
        <is>
          <t>Lechuga</t>
        </is>
      </c>
      <c r="C17" s="283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4">
      <c r="B18" s="83" t="inlineStr">
        <is>
          <t>Jitomate</t>
        </is>
      </c>
      <c r="C18" s="301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4">
      <c r="B19" s="90" t="inlineStr">
        <is>
          <t>Cilantro</t>
        </is>
      </c>
      <c r="C19" s="283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4">
      <c r="B20" s="83" t="inlineStr">
        <is>
          <t>Italiana</t>
        </is>
      </c>
      <c r="C20" s="301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4">
      <c r="B21" s="90" t="inlineStr">
        <is>
          <t>Habanero</t>
        </is>
      </c>
      <c r="C21" s="283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4">
      <c r="B22" s="83" t="inlineStr">
        <is>
          <t>Pepino</t>
        </is>
      </c>
      <c r="C22" s="301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4">
      <c r="B23" s="90" t="inlineStr">
        <is>
          <t>Betabel</t>
        </is>
      </c>
      <c r="C23" s="283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4">
      <c r="B24" s="83" t="inlineStr">
        <is>
          <t>Pimiento Morron</t>
        </is>
      </c>
      <c r="C24" s="301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4">
      <c r="B25" s="90" t="inlineStr">
        <is>
          <t>Verduras variadas</t>
        </is>
      </c>
      <c r="C25" s="283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4">
      <c r="B26" s="83" t="inlineStr">
        <is>
          <t>Naranja de Jugo</t>
        </is>
      </c>
      <c r="C26" s="301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4">
      <c r="B27" s="90" t="inlineStr">
        <is>
          <t>Mango</t>
        </is>
      </c>
      <c r="C27" s="283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4">
      <c r="B28" s="83" t="inlineStr">
        <is>
          <t>Sandia</t>
        </is>
      </c>
      <c r="C28" s="301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4">
      <c r="B29" s="90" t="inlineStr">
        <is>
          <t>Guayabas</t>
        </is>
      </c>
      <c r="C29" s="283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4">
      <c r="B30" s="83" t="inlineStr">
        <is>
          <t>Jicamas</t>
        </is>
      </c>
      <c r="C30" s="301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4">
      <c r="B31" s="90" t="inlineStr">
        <is>
          <t>Pinas</t>
        </is>
      </c>
      <c r="C31" s="283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4">
      <c r="B32" s="83" t="inlineStr">
        <is>
          <t>Melon</t>
        </is>
      </c>
      <c r="C32" s="301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4">
      <c r="B33" s="90" t="inlineStr">
        <is>
          <t>Frutas variadas</t>
        </is>
      </c>
      <c r="C33" s="283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4">
      <c r="B34" s="83" t="inlineStr">
        <is>
          <t>Queso Gouda</t>
        </is>
      </c>
      <c r="C34" s="301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4">
      <c r="B35" s="90" t="inlineStr">
        <is>
          <t>Queso Crema (Lala)</t>
        </is>
      </c>
      <c r="C35" s="283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4">
      <c r="B36" s="83" t="inlineStr">
        <is>
          <t>Crema</t>
        </is>
      </c>
      <c r="C36" s="301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4">
      <c r="B37" s="90" t="inlineStr">
        <is>
          <t>Leche (Nutralat)</t>
        </is>
      </c>
      <c r="C37" s="283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4">
      <c r="B38" s="83" t="inlineStr">
        <is>
          <t>Leche Deslactosada</t>
        </is>
      </c>
      <c r="C38" s="301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4">
      <c r="B39" s="90" t="inlineStr">
        <is>
          <t>Arroz</t>
        </is>
      </c>
      <c r="C39" s="283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4">
      <c r="B40" s="83" t="inlineStr">
        <is>
          <t>Tortillas</t>
        </is>
      </c>
      <c r="C40" s="301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4">
      <c r="B41" s="90" t="inlineStr">
        <is>
          <t>Pasta</t>
        </is>
      </c>
      <c r="C41" s="283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4">
      <c r="B42" s="83" t="inlineStr">
        <is>
          <t>Aceite Vegetal</t>
        </is>
      </c>
      <c r="C42" s="301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4">
      <c r="B43" s="90" t="inlineStr">
        <is>
          <t>Azucar</t>
        </is>
      </c>
      <c r="C43" s="283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4">
      <c r="B44" s="83" t="inlineStr">
        <is>
          <t>Basicos (Varios)</t>
        </is>
      </c>
      <c r="C44" s="301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4">
      <c r="B45" s="90" t="inlineStr">
        <is>
          <t>Pan Hamburguesa</t>
        </is>
      </c>
      <c r="C45" s="283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4">
      <c r="B46" s="83" t="inlineStr">
        <is>
          <t>Pan de Caja Arandano</t>
        </is>
      </c>
      <c r="C46" s="301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4">
      <c r="B47" s="90" t="inlineStr">
        <is>
          <t>Panko</t>
        </is>
      </c>
      <c r="C47" s="283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4">
      <c r="B48" s="83" t="inlineStr">
        <is>
          <t>Bolillo</t>
        </is>
      </c>
      <c r="C48" s="301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4">
      <c r="B49" s="90" t="inlineStr">
        <is>
          <t>Rosca de Nuez</t>
        </is>
      </c>
      <c r="C49" s="283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4">
      <c r="B50" s="83" t="inlineStr">
        <is>
          <t>Limonada Concentrado</t>
        </is>
      </c>
      <c r="C50" s="301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4">
      <c r="B51" s="90" t="inlineStr">
        <is>
          <t>Naranjada Concentrado</t>
        </is>
      </c>
      <c r="C51" s="283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4">
      <c r="B52" s="83" t="inlineStr">
        <is>
          <t>Tamarindo Concentrado</t>
        </is>
      </c>
      <c r="C52" s="301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4">
      <c r="B53" s="90" t="inlineStr">
        <is>
          <t>Tilapia</t>
        </is>
      </c>
      <c r="C53" s="283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4">
      <c r="B54" s="83" t="inlineStr">
        <is>
          <t>Chapata</t>
        </is>
      </c>
      <c r="C54" s="301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4">
      <c r="B55" s="90" t="inlineStr">
        <is>
          <t>Bistek de Puerco</t>
        </is>
      </c>
      <c r="C55" s="283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4">
      <c r="B56" s="83" t="inlineStr">
        <is>
          <t>Sal Fina</t>
        </is>
      </c>
      <c r="C56" s="301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4">
      <c r="B57" s="90" t="inlineStr">
        <is>
          <t>Coca Cola</t>
        </is>
      </c>
      <c r="C57" s="283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4">
      <c r="B58" s="83" t="inlineStr">
        <is>
          <t>Leche Alpura</t>
        </is>
      </c>
      <c r="C58" s="301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4">
      <c r="B59" s="90" t="inlineStr">
        <is>
          <t>Crema Ácida</t>
        </is>
      </c>
      <c r="C59" s="283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4">
      <c r="B60" s="83" t="inlineStr">
        <is>
          <t>Salsa / Tomate Lata</t>
        </is>
      </c>
      <c r="C60" s="301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4">
      <c r="B61" s="90" t="inlineStr">
        <is>
          <t>Champiñones</t>
        </is>
      </c>
      <c r="C61" s="283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4">
      <c r="B62" s="83" t="inlineStr">
        <is>
          <t>Tocino</t>
        </is>
      </c>
      <c r="C62" s="301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4">
      <c r="B63" s="90" t="inlineStr">
        <is>
          <t>Bistec Cerdo</t>
        </is>
      </c>
      <c r="C63" s="283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4">
      <c r="B64" s="83" t="inlineStr">
        <is>
          <t>Pierna Cerdo</t>
        </is>
      </c>
      <c r="C64" s="301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4">
      <c r="B65" s="90" t="inlineStr">
        <is>
          <t>Muslo con Hueso</t>
        </is>
      </c>
      <c r="C65" s="283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4">
      <c r="B66" s="83" t="inlineStr">
        <is>
          <t>Elote en Lata</t>
        </is>
      </c>
      <c r="C66" s="301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4" thickBot="1">
      <c r="B67" s="90" t="inlineStr">
        <is>
          <t>Cebolla</t>
        </is>
      </c>
      <c r="C67" s="283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4" thickBot="1">
      <c r="B68" s="83" t="inlineStr">
        <is>
          <t>Queso Panela</t>
        </is>
      </c>
      <c r="C68" s="301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4" thickBot="1">
      <c r="B69" s="90" t="inlineStr">
        <is>
          <t>Microfibra / Limpieza</t>
        </is>
      </c>
      <c r="C69" s="283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4" thickBot="1">
      <c r="B70" s="83" t="inlineStr">
        <is>
          <t>Concha Chocolate</t>
        </is>
      </c>
      <c r="C70" s="301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4" thickBot="1">
      <c r="B71" s="90" t="inlineStr">
        <is>
          <t>Rosca Marmoleada</t>
        </is>
      </c>
      <c r="C71" s="283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4" thickBot="1">
      <c r="B72" s="83" t="inlineStr">
        <is>
          <t>Frijol Bayos</t>
        </is>
      </c>
      <c r="C72" s="301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4" thickBot="1">
      <c r="B73" s="90" t="inlineStr">
        <is>
          <t>Huevo Bachoco</t>
        </is>
      </c>
      <c r="C73" s="283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4" thickBot="1">
      <c r="B74" s="83" t="n"/>
      <c r="C74" s="301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4" thickBot="1">
      <c r="B75" s="90" t="n"/>
      <c r="C75" s="283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4" thickBot="1">
      <c r="B76" s="83" t="n"/>
      <c r="C76" s="301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4" thickBot="1">
      <c r="B77" s="90" t="n"/>
      <c r="C77" s="283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4" thickBot="1">
      <c r="B78" s="83" t="n"/>
      <c r="C78" s="301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4" thickBot="1">
      <c r="B79" s="90" t="n"/>
      <c r="C79" s="283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4" thickBot="1">
      <c r="B80" s="83" t="n"/>
      <c r="C80" s="301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4" thickBot="1">
      <c r="B81" s="90" t="n"/>
      <c r="C81" s="283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4" thickBot="1">
      <c r="B82" s="83" t="n"/>
      <c r="C82" s="301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4" thickBot="1">
      <c r="B83" s="90" t="n"/>
      <c r="C83" s="283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4" thickBot="1">
      <c r="B84" s="83" t="n"/>
      <c r="C84" s="301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4" thickBot="1">
      <c r="B85" s="90" t="n"/>
      <c r="C85" s="283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4" thickBot="1">
      <c r="B86" s="83" t="n"/>
      <c r="C86" s="301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4" thickBot="1">
      <c r="B87" s="90" t="n"/>
      <c r="C87" s="283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4" thickBot="1">
      <c r="B88" s="83" t="n"/>
      <c r="C88" s="301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4" thickBot="1">
      <c r="B89" s="90" t="n"/>
      <c r="C89" s="283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4" thickBot="1">
      <c r="B90" s="83" t="n"/>
      <c r="C90" s="301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4" thickBot="1">
      <c r="B91" s="90" t="n"/>
      <c r="C91" s="283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4" thickBot="1">
      <c r="B92" s="83" t="n"/>
      <c r="C92" s="301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4" thickBot="1">
      <c r="B93" s="90" t="n"/>
      <c r="C93" s="283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4" thickBot="1">
      <c r="B94" s="83" t="n"/>
      <c r="C94" s="301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4" thickBot="1">
      <c r="B95" s="90" t="n"/>
      <c r="C95" s="283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4" thickBot="1">
      <c r="B96" s="83" t="n"/>
      <c r="C96" s="301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4" thickBot="1">
      <c r="B97" s="90" t="n"/>
      <c r="C97" s="283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4" thickBot="1">
      <c r="B98" s="83" t="n"/>
      <c r="C98" s="301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4" thickBot="1">
      <c r="B99" s="90" t="n"/>
      <c r="C99" s="283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4" thickBot="1">
      <c r="B100" s="83" t="n"/>
      <c r="C100" s="301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4" thickBot="1">
      <c r="B101" s="90" t="n"/>
      <c r="C101" s="283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4" thickBot="1">
      <c r="B102" s="83" t="n"/>
      <c r="C102" s="301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4" thickBot="1">
      <c r="B103" s="90" t="n"/>
      <c r="C103" s="283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4" thickBot="1">
      <c r="B104" s="83" t="n"/>
      <c r="C104" s="301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4" thickBot="1">
      <c r="B105" s="90" t="n"/>
      <c r="C105" s="283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4" thickBot="1">
      <c r="B106" s="83" t="n"/>
      <c r="C106" s="301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4" thickBot="1">
      <c r="B107" s="90" t="n"/>
      <c r="C107" s="283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4" thickBot="1">
      <c r="B108" s="83" t="n"/>
      <c r="C108" s="301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4" thickBot="1">
      <c r="B109" s="90" t="n"/>
      <c r="C109" s="283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4" thickBot="1">
      <c r="B110" s="83" t="n"/>
      <c r="C110" s="301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4" thickBot="1">
      <c r="B111" s="90" t="n"/>
      <c r="C111" s="283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4" thickBot="1">
      <c r="B112" s="83" t="n"/>
      <c r="C112" s="301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4" thickBot="1">
      <c r="B113" s="90" t="n"/>
      <c r="C113" s="283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4" thickBot="1">
      <c r="B114" s="83" t="n"/>
      <c r="C114" s="301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4" thickBot="1">
      <c r="B115" s="90" t="n"/>
      <c r="C115" s="283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4" thickBot="1">
      <c r="B116" s="83" t="n"/>
      <c r="C116" s="301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4" thickBot="1">
      <c r="B117" s="90" t="n"/>
      <c r="C117" s="283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4" thickBot="1">
      <c r="B118" s="83" t="n"/>
      <c r="C118" s="301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4" thickBot="1">
      <c r="B119" s="90" t="n"/>
      <c r="C119" s="283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4" thickBot="1">
      <c r="B120" s="83" t="n"/>
      <c r="C120" s="301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4" thickBot="1">
      <c r="B121" s="90" t="n"/>
      <c r="C121" s="283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4" thickBot="1">
      <c r="B122" s="83" t="n"/>
      <c r="C122" s="301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4" thickBot="1">
      <c r="B123" s="90" t="n"/>
      <c r="C123" s="283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4" thickBot="1">
      <c r="B124" s="83" t="n"/>
      <c r="C124" s="301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4" thickBot="1">
      <c r="B125" s="90" t="n"/>
      <c r="C125" s="283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4" thickBot="1">
      <c r="B126" s="83" t="n"/>
      <c r="C126" s="301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4" thickBot="1">
      <c r="B127" s="90" t="n"/>
      <c r="C127" s="283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4" thickBot="1">
      <c r="B128" s="83" t="n"/>
      <c r="C128" s="301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4" thickBot="1">
      <c r="B129" s="90" t="n"/>
      <c r="C129" s="283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4" thickBot="1">
      <c r="B130" s="83" t="n"/>
      <c r="C130" s="301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4" thickBot="1">
      <c r="B131" s="90" t="n"/>
      <c r="C131" s="283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4" thickBot="1">
      <c r="B132" s="83" t="n"/>
      <c r="C132" s="301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4" thickBot="1">
      <c r="B133" s="90" t="n"/>
      <c r="C133" s="283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4" thickBot="1">
      <c r="B134" s="83" t="n"/>
      <c r="C134" s="301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4" thickBot="1">
      <c r="B135" s="90" t="n"/>
      <c r="C135" s="283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4" thickBot="1">
      <c r="B136" s="83" t="n"/>
      <c r="C136" s="301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4" thickBot="1">
      <c r="B137" s="90" t="n"/>
      <c r="C137" s="283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4" thickBot="1">
      <c r="B138" s="83" t="n"/>
      <c r="C138" s="301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4" thickBot="1">
      <c r="B139" s="90" t="n"/>
      <c r="C139" s="283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4" thickBot="1">
      <c r="B140" s="83" t="n"/>
      <c r="C140" s="301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4" thickBot="1">
      <c r="B141" s="90" t="n"/>
      <c r="C141" s="283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4" thickBot="1">
      <c r="B142" s="83" t="n"/>
      <c r="C142" s="301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4" thickBot="1">
      <c r="B143" s="90" t="n"/>
      <c r="C143" s="283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4" thickBot="1">
      <c r="B144" s="83" t="n"/>
      <c r="C144" s="301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4" thickBot="1">
      <c r="B145" s="90" t="n"/>
      <c r="C145" s="283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4" thickBot="1">
      <c r="B146" s="83" t="n"/>
      <c r="C146" s="301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4" thickBot="1">
      <c r="B147" s="90" t="n"/>
      <c r="C147" s="283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4" thickBot="1">
      <c r="B148" s="83" t="n"/>
      <c r="C148" s="301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4" thickBot="1">
      <c r="B149" s="90" t="n"/>
      <c r="C149" s="283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4" thickBot="1">
      <c r="B150" s="83" t="n"/>
      <c r="C150" s="301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4" thickBot="1">
      <c r="B151" s="90" t="n"/>
      <c r="C151" s="283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4" thickBot="1">
      <c r="B152" s="83" t="n"/>
      <c r="C152" s="301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4" thickBot="1">
      <c r="B153" s="90" t="n"/>
      <c r="C153" s="283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4" thickBot="1">
      <c r="B154" s="83" t="n"/>
      <c r="C154" s="301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4" thickBot="1">
      <c r="B155" s="90" t="n"/>
      <c r="C155" s="283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4" thickBot="1">
      <c r="B156" s="83" t="n"/>
      <c r="C156" s="301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4" thickBot="1">
      <c r="B157" s="90" t="n"/>
      <c r="C157" s="283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4" thickBot="1">
      <c r="B158" s="83" t="n"/>
      <c r="C158" s="301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4" thickBot="1">
      <c r="B159" s="90" t="n"/>
      <c r="C159" s="283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4" thickBot="1">
      <c r="B160" s="83" t="n"/>
      <c r="C160" s="301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4" thickBot="1">
      <c r="B161" s="90" t="n"/>
      <c r="C161" s="283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4" thickBot="1">
      <c r="B162" s="83" t="n"/>
      <c r="C162" s="301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4" thickBot="1">
      <c r="B163" s="90" t="n"/>
      <c r="C163" s="283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4" thickBot="1">
      <c r="B164" s="83" t="n"/>
      <c r="C164" s="301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4" thickBot="1">
      <c r="B165" s="90" t="n"/>
      <c r="C165" s="283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4" thickBot="1">
      <c r="B166" s="83" t="n"/>
      <c r="C166" s="301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4" thickBot="1">
      <c r="B167" s="90" t="n"/>
      <c r="C167" s="283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4" thickBot="1">
      <c r="B168" s="83" t="n"/>
      <c r="C168" s="301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4" thickBot="1">
      <c r="B169" s="90" t="n"/>
      <c r="C169" s="283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4" thickBot="1">
      <c r="B170" s="83" t="n"/>
      <c r="C170" s="301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4" thickBot="1">
      <c r="B171" s="90" t="n"/>
      <c r="C171" s="283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4" thickBot="1">
      <c r="B172" s="83" t="n"/>
      <c r="C172" s="301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4" thickBot="1">
      <c r="B173" s="90" t="n"/>
      <c r="C173" s="283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4" thickBot="1">
      <c r="B174" s="83" t="n"/>
      <c r="C174" s="301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4" thickBot="1">
      <c r="B175" s="90" t="n"/>
      <c r="C175" s="283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4" thickBot="1">
      <c r="B176" s="83" t="n"/>
      <c r="C176" s="301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4" thickBot="1">
      <c r="B177" s="90" t="n"/>
      <c r="C177" s="283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4" thickBot="1">
      <c r="B178" s="83" t="n"/>
      <c r="C178" s="301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4" thickBot="1">
      <c r="B179" s="90" t="n"/>
      <c r="C179" s="283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4" thickBot="1">
      <c r="B180" s="83" t="n"/>
      <c r="C180" s="301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4" thickBot="1">
      <c r="B181" s="90" t="n"/>
      <c r="C181" s="283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4" thickBot="1">
      <c r="B182" s="83" t="n"/>
      <c r="C182" s="301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4" thickBot="1">
      <c r="B183" s="90" t="n"/>
      <c r="C183" s="283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4" thickBot="1">
      <c r="B184" s="83" t="n"/>
      <c r="C184" s="301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4" thickBot="1">
      <c r="B185" s="90" t="n"/>
      <c r="C185" s="283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4" thickBot="1">
      <c r="B186" s="83" t="n"/>
      <c r="C186" s="301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4" thickBot="1">
      <c r="B187" s="90" t="n"/>
      <c r="C187" s="283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4" thickBot="1">
      <c r="B188" s="83" t="n"/>
      <c r="C188" s="301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4" thickBot="1">
      <c r="B189" s="90" t="n"/>
      <c r="C189" s="283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4" thickBot="1">
      <c r="B190" s="83" t="n"/>
      <c r="C190" s="301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4" thickBot="1">
      <c r="B191" s="90" t="n"/>
      <c r="C191" s="283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4" thickBot="1">
      <c r="B192" s="83" t="n"/>
      <c r="C192" s="301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4" thickBot="1">
      <c r="B193" s="90" t="n"/>
      <c r="C193" s="283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4" thickBot="1">
      <c r="B194" s="83" t="n"/>
      <c r="C194" s="301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4" thickBot="1">
      <c r="B195" s="90" t="n"/>
      <c r="C195" s="283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4" thickBot="1">
      <c r="B196" s="83" t="n"/>
      <c r="C196" s="301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4" thickBot="1">
      <c r="B197" s="90" t="n"/>
      <c r="C197" s="283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4" thickBot="1">
      <c r="B198" s="83" t="n"/>
      <c r="C198" s="301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4" thickBot="1">
      <c r="B199" s="90" t="n"/>
      <c r="C199" s="283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4" thickBot="1">
      <c r="B200" s="83" t="n"/>
      <c r="C200" s="301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4" thickBot="1">
      <c r="B201" s="90" t="n"/>
      <c r="C201" s="283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4" thickBot="1">
      <c r="B202" s="83" t="n"/>
      <c r="C202" s="301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4" thickBot="1">
      <c r="B203" s="90" t="n"/>
      <c r="C203" s="283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4" thickBot="1">
      <c r="B204" s="83" t="n"/>
      <c r="C204" s="301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4" thickBot="1">
      <c r="B205" s="90" t="n"/>
      <c r="C205" s="283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4" thickBot="1">
      <c r="B206" s="83" t="n"/>
      <c r="C206" s="301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4" thickBot="1">
      <c r="B207" s="90" t="n"/>
      <c r="C207" s="283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4" thickBot="1">
      <c r="B208" s="83" t="n"/>
      <c r="C208" s="301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4" thickBot="1">
      <c r="B209" s="90" t="n"/>
      <c r="C209" s="283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4" thickBot="1">
      <c r="B210" s="83" t="n"/>
      <c r="C210" s="301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4" thickBot="1">
      <c r="B211" s="90" t="n"/>
      <c r="C211" s="283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4" thickBot="1">
      <c r="B212" s="83" t="n"/>
      <c r="C212" s="301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4" thickBot="1">
      <c r="B213" s="90" t="n"/>
      <c r="C213" s="283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4" thickBot="1">
      <c r="B214" s="83" t="n"/>
      <c r="C214" s="301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4" thickBot="1">
      <c r="B215" s="90" t="n"/>
      <c r="C215" s="283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4" thickBot="1">
      <c r="B216" s="83" t="n"/>
      <c r="C216" s="301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4" thickBot="1">
      <c r="B217" s="90" t="n"/>
      <c r="C217" s="283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4" thickBot="1">
      <c r="B218" s="83" t="n"/>
      <c r="C218" s="301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4" thickBot="1">
      <c r="B219" s="90" t="n"/>
      <c r="C219" s="283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4" thickBot="1">
      <c r="B220" s="83" t="n"/>
      <c r="C220" s="301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4" thickBot="1">
      <c r="B221" s="90" t="n"/>
      <c r="C221" s="283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4" thickBot="1">
      <c r="B222" s="83" t="n"/>
      <c r="C222" s="301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4" thickBot="1">
      <c r="B223" s="90" t="n"/>
      <c r="C223" s="283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4" thickBot="1">
      <c r="B224" s="83" t="n"/>
      <c r="C224" s="301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4" thickBot="1">
      <c r="B225" s="90" t="n"/>
      <c r="C225" s="283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4" thickBot="1">
      <c r="B226" s="83" t="n"/>
      <c r="C226" s="301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05"/>
  <sheetViews>
    <sheetView showGridLines="0" tabSelected="1" topLeftCell="A69" zoomScaleNormal="100" workbookViewId="0">
      <selection activeCell="L14" sqref="L14"/>
    </sheetView>
  </sheetViews>
  <sheetFormatPr baseColWidth="8" defaultColWidth="8.6640625" defaultRowHeight="14.4" customHeight="1"/>
  <cols>
    <col width="18.33203125" customWidth="1" style="274" min="1" max="1"/>
    <col width="32.5546875" customWidth="1" style="274" min="2" max="2"/>
    <col width="19.44140625" bestFit="1" customWidth="1" style="274" min="3" max="3"/>
    <col width="15.21875" customWidth="1" style="274" min="4" max="4"/>
    <col width="13.88671875" customWidth="1" style="274" min="5" max="6"/>
    <col width="12.33203125" customWidth="1" style="274" min="7" max="7"/>
    <col width="12.88671875" customWidth="1" style="274" min="8" max="8"/>
    <col width="7.33203125" bestFit="1" customWidth="1" style="274" min="9" max="9"/>
    <col width="7.21875" bestFit="1" customWidth="1" style="274" min="10" max="10"/>
    <col width="11" bestFit="1" customWidth="1" style="274" min="11" max="11"/>
    <col width="10.77734375" bestFit="1" customWidth="1" style="274" min="12" max="12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4">
      <c r="A2" s="352" t="inlineStr">
        <is>
          <t>👥  LOKA — STAFF &amp; PAYROLL</t>
        </is>
      </c>
      <c r="D2" s="350" t="inlineStr">
        <is>
          <t>Weekly schedule + auto payroll calculation</t>
        </is>
      </c>
    </row>
    <row r="3" ht="3.75" customHeight="1" s="274"/>
    <row r="4" ht="7.5" customHeight="1" s="274"/>
    <row r="5" ht="7.5" customHeight="1" s="274" thickBot="1"/>
    <row r="6" ht="21.75" customHeight="1" s="274" thickBot="1">
      <c r="A6" s="298" t="inlineStr">
        <is>
          <t xml:space="preserve">  STAFF SCHEDULE  —  Week of:</t>
        </is>
      </c>
      <c r="B6" s="299" t="n"/>
      <c r="C6" s="299" t="n"/>
      <c r="D6" s="215">
        <f>TODAY()-WEEKDAY(TODAY(),2)+1</f>
        <v/>
      </c>
      <c r="E6" s="284" t="n"/>
      <c r="F6" s="284" t="n"/>
      <c r="G6" s="284" t="n"/>
      <c r="H6" s="284" t="n"/>
      <c r="I6" s="284" t="n"/>
      <c r="J6" s="284" t="n"/>
      <c r="K6" s="284" t="n"/>
      <c r="L6" s="284" t="n"/>
    </row>
    <row r="7" ht="27.75" customHeight="1" s="274" thickBot="1">
      <c r="A7" s="279" t="inlineStr">
        <is>
          <t>Staff Name</t>
        </is>
      </c>
      <c r="B7" s="279" t="inlineStr">
        <is>
          <t>Role</t>
        </is>
      </c>
      <c r="C7" s="279" t="inlineStr">
        <is>
          <t>Daily Rate ($)</t>
        </is>
      </c>
      <c r="D7" s="279" t="inlineStr">
        <is>
          <t>Mon</t>
        </is>
      </c>
      <c r="E7" s="279" t="inlineStr">
        <is>
          <t>Tue</t>
        </is>
      </c>
      <c r="F7" s="279" t="inlineStr">
        <is>
          <t>Wed</t>
        </is>
      </c>
      <c r="G7" s="279" t="inlineStr">
        <is>
          <t>Thu</t>
        </is>
      </c>
      <c r="H7" s="279" t="inlineStr">
        <is>
          <t>Fri</t>
        </is>
      </c>
      <c r="I7" s="279" t="inlineStr">
        <is>
          <t>Sat</t>
        </is>
      </c>
      <c r="J7" s="279" t="inlineStr">
        <is>
          <t>Sun</t>
        </is>
      </c>
      <c r="K7" s="279" t="inlineStr">
        <is>
          <t>Days Worked</t>
        </is>
      </c>
      <c r="L7" s="279" t="inlineStr">
        <is>
          <t>Week Pay ($)</t>
        </is>
      </c>
    </row>
    <row r="8" ht="19.5" customHeight="1" s="274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4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4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4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4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4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4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4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4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4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4"/>
    <row r="19" ht="19.5" customHeight="1" s="274" thickBot="1"/>
    <row r="20" ht="27.75" customHeight="1" s="274" thickBot="1">
      <c r="A20" s="298" t="inlineStr">
        <is>
          <t xml:space="preserve">  MONTHLY PAYROLL PROJECTION</t>
        </is>
      </c>
      <c r="B20" s="299" t="n"/>
      <c r="C20" s="299" t="n"/>
      <c r="D20" s="299" t="n"/>
      <c r="E20" s="299" t="n"/>
      <c r="F20" s="299" t="n"/>
      <c r="G20" s="299" t="n"/>
      <c r="H20" s="299" t="n"/>
      <c r="I20" s="299" t="n"/>
      <c r="J20" s="299" t="n"/>
      <c r="K20" s="299" t="n"/>
      <c r="L20" s="299" t="n"/>
    </row>
    <row r="21" ht="18" customHeight="1" s="274">
      <c r="A21" s="279" t="inlineStr">
        <is>
          <t>Staff Name</t>
        </is>
      </c>
      <c r="B21" s="279" t="inlineStr">
        <is>
          <t>Role</t>
        </is>
      </c>
      <c r="C21" s="279" t="inlineStr">
        <is>
          <t>Week Pay ($)</t>
        </is>
      </c>
      <c r="D21" s="279" t="inlineStr">
        <is>
          <t>x Weeks/Month</t>
        </is>
      </c>
      <c r="E21" s="279" t="inlineStr">
        <is>
          <t>Monthly ($)</t>
        </is>
      </c>
      <c r="F21" s="279" t="inlineStr">
        <is>
          <t>IMSS / Benefits %</t>
        </is>
      </c>
      <c r="G21" s="279" t="inlineStr">
        <is>
          <t>Total Monthly Cost ($)</t>
        </is>
      </c>
      <c r="H21" s="279" t="inlineStr">
        <is>
          <t>Notes</t>
        </is>
      </c>
    </row>
    <row r="22" ht="18" customHeight="1" s="274">
      <c r="A22" s="109">
        <f>A8</f>
        <v/>
      </c>
      <c r="B22" s="301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4">
      <c r="A23" s="115">
        <f>A9</f>
        <v/>
      </c>
      <c r="B23" s="283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4">
      <c r="A24" s="109">
        <f>A10</f>
        <v/>
      </c>
      <c r="B24" s="301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4">
      <c r="A25" s="115">
        <f>A11</f>
        <v/>
      </c>
      <c r="B25" s="283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4">
      <c r="A26" s="109">
        <f>A12</f>
        <v/>
      </c>
      <c r="B26" s="301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4">
      <c r="A27" s="115">
        <f>A13</f>
        <v/>
      </c>
      <c r="B27" s="283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4">
      <c r="A28" s="109">
        <f>A14</f>
        <v/>
      </c>
      <c r="B28" s="301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4">
      <c r="A29" s="115">
        <f>A15</f>
        <v/>
      </c>
      <c r="B29" s="284" t="n"/>
      <c r="C29" s="284" t="n"/>
      <c r="D29" s="284" t="n"/>
      <c r="E29" s="217">
        <f>C29*D29</f>
        <v/>
      </c>
      <c r="F29" s="280" t="n"/>
      <c r="G29" s="120">
        <f>E29*(1+F29)</f>
        <v/>
      </c>
      <c r="H29" s="96" t="n"/>
    </row>
    <row r="30" ht="17.4" customHeight="1" s="274">
      <c r="A30" s="351" t="inlineStr">
        <is>
          <t>TOTAL MONTHLY PAYROLL COST</t>
        </is>
      </c>
      <c r="B30" s="284" t="n"/>
      <c r="C30" s="284" t="n"/>
      <c r="D30" s="284" t="n"/>
      <c r="E30" s="284" t="n"/>
      <c r="F30" s="280" t="n"/>
      <c r="G30" s="108">
        <f>SUM(G21:G28)</f>
        <v/>
      </c>
    </row>
    <row r="33" ht="15.6" customHeight="1" s="274">
      <c r="A33" s="218" t="inlineStr">
        <is>
          <t>── WEEKLY FIXED COSTS &amp; BREAK-EVEN TARGETS ──</t>
        </is>
      </c>
      <c r="B33" s="218" t="n"/>
      <c r="C33" s="218" t="n"/>
      <c r="D33" s="218" t="n"/>
      <c r="E33" s="218" t="n"/>
      <c r="F33" s="218" t="n"/>
      <c r="G33" s="218" t="n"/>
      <c r="H33" s="218" t="n"/>
    </row>
    <row r="34">
      <c r="A34" s="219" t="inlineStr">
        <is>
          <t>COST ITEM</t>
        </is>
      </c>
      <c r="B34" s="219" t="inlineStr">
        <is>
          <t>WEEKLY ($)</t>
        </is>
      </c>
      <c r="C34" s="219" t="inlineStr">
        <is>
          <t>MONTHLY EST. ($)</t>
        </is>
      </c>
      <c r="D34" s="219" t="inlineStr">
        <is>
          <t>NOTES</t>
        </is>
      </c>
      <c r="E34" s="219" t="n"/>
      <c r="F34" s="219" t="n"/>
      <c r="G34" s="219" t="n"/>
      <c r="H34" s="219" t="n"/>
    </row>
    <row r="35">
      <c r="A35" s="216" t="inlineStr">
        <is>
          <t>John — Head Chef Salary</t>
        </is>
      </c>
      <c r="B35" s="220" t="n">
        <v>3750</v>
      </c>
      <c r="C35" s="221" t="n">
        <v>15000</v>
      </c>
      <c r="D35" s="216" t="inlineStr">
        <is>
          <t>Confirmed weekly rate</t>
        </is>
      </c>
    </row>
    <row r="36">
      <c r="A36" s="222" t="inlineStr">
        <is>
          <t>Debi — Limpieza Salary</t>
        </is>
      </c>
      <c r="B36" s="223" t="n">
        <v>1500</v>
      </c>
      <c r="C36" s="224" t="n">
        <v>6000</v>
      </c>
      <c r="D36" s="222" t="inlineStr">
        <is>
          <t>Confirmed weekly rate</t>
        </is>
      </c>
    </row>
    <row r="37">
      <c r="A37" t="inlineStr">
        <is>
          <t>Cesar — Mesero Salary (RESIGNED)</t>
        </is>
      </c>
      <c r="B37" s="222" t="n">
        <v>0</v>
      </c>
      <c r="C37" s="259" t="n">
        <v>0</v>
      </c>
      <c r="D37" s="260" t="inlineStr">
        <is>
          <t>Resigned — Week 4 paid in full · removed from forward fixed costs</t>
        </is>
      </c>
      <c r="E37" s="261" t="n"/>
    </row>
    <row r="38">
      <c r="A38" t="inlineStr">
        <is>
          <t>Samu — Ayudante Salary</t>
        </is>
      </c>
      <c r="B38" s="216" t="n">
        <v>800</v>
      </c>
      <c r="C38" s="262" t="n">
        <v>3200</v>
      </c>
      <c r="D38" s="263" t="inlineStr">
        <is>
          <t>Confirmed — $800/week | $160/day | 5 days Mon–Fri | Start 9 Jun 2026</t>
        </is>
      </c>
      <c r="E38" s="264" t="n"/>
    </row>
    <row r="39">
      <c r="A39" s="216" t="inlineStr">
        <is>
          <t>Rent + Maintenance (actual — $20,000/mo)</t>
        </is>
      </c>
      <c r="B39" s="220" t="n">
        <v>5000</v>
      </c>
      <c r="C39" s="221" t="n">
        <v>20000</v>
      </c>
      <c r="D39" s="216" t="inlineStr">
        <is>
          <t>Confirmed — $20,000/month actual</t>
        </is>
      </c>
    </row>
    <row r="40">
      <c r="A40" s="222" t="inlineStr">
        <is>
          <t>Utilities — Electricity + Gas (estimated)</t>
        </is>
      </c>
      <c r="B40" s="223" t="n">
        <v>1000</v>
      </c>
      <c r="C40" s="224" t="n">
        <v>4000</v>
      </c>
      <c r="D40" s="222" t="inlineStr">
        <is>
          <t>⏳ Approx — bills pending · electricity + gas</t>
        </is>
      </c>
    </row>
    <row r="41">
      <c r="A41" s="219" t="inlineStr">
        <is>
          <t>TOTAL FIXED COSTS (current)</t>
        </is>
      </c>
      <c r="B41" s="225">
        <f>SUM(B35:B40)</f>
        <v/>
      </c>
      <c r="C41" s="225">
        <f>SUM(C35:C40)</f>
        <v/>
      </c>
      <c r="D41" s="219" t="inlineStr">
        <is>
          <t>Incl. rent + maintenance + utilities est.</t>
        </is>
      </c>
    </row>
    <row r="43">
      <c r="A43" s="226" t="inlineStr">
        <is>
          <t>── MESERO STATUS — ✅ CESAR + SAMU ACTIVE FROM 9 JUN 2026 ──</t>
        </is>
      </c>
      <c r="B43" s="226" t="n"/>
      <c r="C43" s="226" t="n"/>
      <c r="D43" s="226" t="n"/>
      <c r="E43" s="226" t="n"/>
      <c r="F43" s="226" t="n"/>
      <c r="G43" s="226" t="n"/>
      <c r="H43" s="226" t="n"/>
    </row>
    <row r="44">
      <c r="A44" s="216" t="inlineStr">
        <is>
          <t>Judith — Mesera Salary (historical — resigned 7 Jun)</t>
        </is>
      </c>
      <c r="B44" s="220" t="n">
        <v>2000</v>
      </c>
      <c r="C44" s="221" t="n">
        <v>8000</v>
      </c>
      <c r="D44" s="216" t="inlineStr">
        <is>
          <t>Confirmed — $2,000/week · $333.33/day · absent days deducted</t>
        </is>
      </c>
    </row>
    <row r="45" ht="15.6" customHeight="1" s="274">
      <c r="A45" s="226" t="inlineStr">
        <is>
          <t>With Cesar + Samu (✅ ACTIVE from 9 Jun)</t>
        </is>
      </c>
      <c r="B45" s="227" t="n">
        <v>14050</v>
      </c>
      <c r="C45" s="227" t="n">
        <v>23750</v>
      </c>
      <c r="D45" s="227" t="n">
        <v>24550</v>
      </c>
      <c r="E45" s="227" t="n">
        <v>4092</v>
      </c>
      <c r="F45" s="227" t="inlineStr">
        <is>
          <t>✅ NOW ACTIVE — current avg $4,011/day vs break-even $3,959/day</t>
        </is>
      </c>
      <c r="G45" s="227" t="inlineStr">
        <is>
          <t>✅ Cesar $2,000 + Samu $800 — break-even $4,092/day</t>
        </is>
      </c>
      <c r="H45" s="227" t="n"/>
    </row>
    <row r="47" ht="15.6" customHeight="1" s="274">
      <c r="A47" s="218" t="inlineStr">
        <is>
          <t>── BREAK-EVEN &amp; WEEKLY REVENUE TARGETS ──</t>
        </is>
      </c>
      <c r="B47" s="218" t="n"/>
      <c r="C47" s="218" t="n"/>
      <c r="D47" s="218" t="n"/>
      <c r="E47" s="218" t="n"/>
      <c r="F47" s="218" t="n"/>
      <c r="G47" s="218" t="n"/>
      <c r="H47" s="218" t="n"/>
    </row>
    <row r="48">
      <c r="A48" s="219" t="inlineStr">
        <is>
          <t>SCENARIO</t>
        </is>
      </c>
      <c r="B48" s="219" t="inlineStr">
        <is>
          <t>Fixed Costs ($)</t>
        </is>
      </c>
      <c r="C48" s="219" t="inlineStr">
        <is>
          <t>Avg Variable Costs ($)</t>
        </is>
      </c>
      <c r="D48" s="219" t="inlineStr">
        <is>
          <t>MIN Weekly Revenue ($)</t>
        </is>
      </c>
      <c r="E48" s="219" t="inlineStr">
        <is>
          <t>MIN Daily Revenue ($)</t>
        </is>
      </c>
      <c r="F48" s="219" t="inlineStr">
        <is>
          <t>Current Avg/Day ($)</t>
        </is>
      </c>
      <c r="G48" s="219" t="inlineStr">
        <is>
          <t>STATUS</t>
        </is>
      </c>
      <c r="H48" s="219" t="n"/>
    </row>
    <row r="49">
      <c r="A49" s="227" t="inlineStr">
        <is>
          <t>Without Mesero (NOW)</t>
        </is>
      </c>
      <c r="B49" s="228" t="n">
        <v>11250</v>
      </c>
      <c r="C49" s="229" t="n">
        <v>10500</v>
      </c>
      <c r="D49" s="230" t="n">
        <v>21750</v>
      </c>
      <c r="E49" s="231" t="n">
        <v>3625</v>
      </c>
      <c r="F49" s="227" t="n">
        <v>4011</v>
      </c>
      <c r="G49" s="227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32" t="inlineStr">
        <is>
          <t>With Mesero (~$2,250)</t>
        </is>
      </c>
      <c r="B50" s="233" t="n">
        <v>13500</v>
      </c>
      <c r="C50" s="234" t="n">
        <v>10500</v>
      </c>
      <c r="D50" s="235" t="n">
        <v>24000</v>
      </c>
      <c r="E50" s="236" t="n">
        <v>4000</v>
      </c>
      <c r="F50" s="232" t="n">
        <v>4011</v>
      </c>
      <c r="G50" s="232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7" t="inlineStr">
        <is>
          <t>Safety buffer (+15%)</t>
        </is>
      </c>
      <c r="B51" s="238" t="n">
        <v>11250</v>
      </c>
      <c r="C51" s="239" t="n">
        <v>10500</v>
      </c>
      <c r="D51" s="240" t="n">
        <v>25012</v>
      </c>
      <c r="E51" s="241" t="n">
        <v>4169</v>
      </c>
      <c r="F51" s="237" t="n">
        <v>4011</v>
      </c>
      <c r="G51" s="237" t="inlineStr">
        <is>
          <t>Target for healthy buffer: $4,169/day</t>
        </is>
      </c>
    </row>
    <row r="53">
      <c r="A53" s="242" t="inlineStr">
        <is>
          <t>NOTES:</t>
        </is>
      </c>
      <c r="B53" s="242" t="n"/>
      <c r="C53" s="242" t="n"/>
      <c r="D53" s="242" t="n"/>
      <c r="E53" s="242" t="n"/>
      <c r="F53" s="242" t="n"/>
      <c r="G53" s="242" t="n"/>
      <c r="H53" s="242" t="n"/>
    </row>
    <row r="54">
      <c r="A54" s="242" t="inlineStr">
        <is>
          <t>Variable costs = avg ingredients + supplies per week based on Weeks 1-2 actual data (~$10,500)</t>
        </is>
      </c>
      <c r="B54" s="242" t="n"/>
      <c r="C54" s="242" t="n"/>
      <c r="D54" s="242" t="n"/>
      <c r="E54" s="242" t="n"/>
      <c r="F54" s="242" t="n"/>
      <c r="G54" s="242" t="n"/>
      <c r="H54" s="242" t="n"/>
    </row>
    <row r="55">
      <c r="A55" s="242" t="inlineStr">
        <is>
          <t>Break-even revised: Rent+Maintenance confirmed $20,000/mo · Utilities est. $4,000/mo → Total overhead $24,000/mo</t>
        </is>
      </c>
      <c r="B55" s="242" t="n"/>
      <c r="C55" s="242" t="n"/>
      <c r="D55" s="242" t="n"/>
      <c r="E55" s="242" t="n"/>
      <c r="F55" s="242" t="n"/>
      <c r="G55" s="242" t="n"/>
      <c r="H55" s="242" t="n"/>
    </row>
    <row r="56">
      <c r="A56" s="242" t="inlineStr">
        <is>
          <t>Min daily (no mesero): $3,625 · With mesero: $4,000 · Comfortable target: $4,169+/day</t>
        </is>
      </c>
      <c r="B56" s="242" t="n"/>
      <c r="C56" s="242" t="n"/>
      <c r="D56" s="242" t="n"/>
      <c r="E56" s="242" t="n"/>
      <c r="F56" s="242" t="n"/>
      <c r="G56" s="242" t="n"/>
      <c r="H56" s="242" t="n"/>
    </row>
    <row r="57">
      <c r="A57" s="242" t="inlineStr">
        <is>
          <t>Utilities (electricity+gas) ~$4,000/mo is ESTIMATED — update when bills arrive</t>
        </is>
      </c>
      <c r="B57" s="242" t="n"/>
      <c r="C57" s="242" t="n"/>
      <c r="D57" s="242" t="n"/>
      <c r="E57" s="242" t="n"/>
      <c r="F57" s="242" t="n"/>
      <c r="G57" s="242" t="n"/>
      <c r="H57" s="242" t="n"/>
    </row>
    <row r="59" ht="15.6" customHeight="1" s="274"/>
    <row r="61" ht="15.6" customHeight="1" s="274">
      <c r="A61" s="218" t="inlineStr">
        <is>
          <t>── LOHITH PERSONAL LEDGER — OWNER BALANCE TRACKER ──</t>
        </is>
      </c>
      <c r="B61" s="218" t="n"/>
      <c r="C61" s="218" t="n"/>
      <c r="D61" s="218" t="n"/>
      <c r="E61" s="218" t="n"/>
      <c r="F61" s="218" t="n"/>
      <c r="G61" s="218" t="n"/>
      <c r="H61" s="218" t="n"/>
    </row>
    <row r="62">
      <c r="A62" s="219" t="inlineStr">
        <is>
          <t>Date</t>
        </is>
      </c>
      <c r="B62" s="219" t="inlineStr">
        <is>
          <t>Description</t>
        </is>
      </c>
      <c r="C62" s="219" t="inlineStr">
        <is>
          <t>Type</t>
        </is>
      </c>
      <c r="D62" s="219" t="inlineStr">
        <is>
          <t>Spent by Lohith ($)</t>
        </is>
      </c>
      <c r="E62" s="219" t="inlineStr">
        <is>
          <t>Transferred to Lohith ($)</t>
        </is>
      </c>
      <c r="F62" s="219" t="inlineStr">
        <is>
          <t>Running Balance ($)</t>
        </is>
      </c>
      <c r="G62" s="219" t="inlineStr">
        <is>
          <t>Status</t>
        </is>
      </c>
      <c r="H62" s="219" t="inlineStr">
        <is>
          <t>Notes</t>
        </is>
      </c>
    </row>
    <row r="63">
      <c r="A63" s="243" t="n">
        <v>46174</v>
      </c>
      <c r="B63" s="244" t="inlineStr">
        <is>
          <t>Telmex Internet Bill (Mayo)</t>
        </is>
      </c>
      <c r="C63" s="245" t="inlineStr">
        <is>
          <t>Expense - Personal</t>
        </is>
      </c>
      <c r="D63" s="246" t="n">
        <v>349</v>
      </c>
      <c r="E63" s="247" t="n"/>
      <c r="F63" s="248">
        <f>IFERROR(D63-E63,0)</f>
        <v/>
      </c>
      <c r="G63" s="244" t="inlineStr">
        <is>
          <t>⏳ Reimburse</t>
        </is>
      </c>
      <c r="H63" s="249" t="inlineStr">
        <is>
          <t>Paid by Lohith — ⏳ Reimburse</t>
        </is>
      </c>
    </row>
    <row r="64">
      <c r="A64" s="250" t="n">
        <v>46174</v>
      </c>
      <c r="B64" s="227" t="inlineStr">
        <is>
          <t>Customer Transfer — Jun 1</t>
        </is>
      </c>
      <c r="C64" s="251" t="inlineStr">
        <is>
          <t>Transfer Received</t>
        </is>
      </c>
      <c r="D64" s="231" t="n"/>
      <c r="E64" s="230" t="n">
        <v>310</v>
      </c>
      <c r="F64" s="228">
        <f>IFERROR(F63+D64-E64,0)</f>
        <v/>
      </c>
      <c r="G64" s="227" t="inlineStr">
        <is>
          <t>✅</t>
        </is>
      </c>
      <c r="H64" s="252" t="inlineStr">
        <is>
          <t>✅ Received in Lohith account</t>
        </is>
      </c>
    </row>
    <row r="65">
      <c r="A65" s="250" t="n">
        <v>46175</v>
      </c>
      <c r="B65" s="227" t="inlineStr">
        <is>
          <t>Customer Transfer — Jun 2</t>
        </is>
      </c>
      <c r="C65" s="251" t="inlineStr">
        <is>
          <t>Transfer Received</t>
        </is>
      </c>
      <c r="D65" s="231" t="n"/>
      <c r="E65" s="230" t="n">
        <v>283</v>
      </c>
      <c r="F65" s="228">
        <f>IFERROR(F64+D65-E65,0)</f>
        <v/>
      </c>
      <c r="G65" s="227" t="inlineStr">
        <is>
          <t>✅</t>
        </is>
      </c>
      <c r="H65" s="252" t="inlineStr">
        <is>
          <t>✅ Received in Lohith account</t>
        </is>
      </c>
    </row>
    <row r="66">
      <c r="A66" s="250" t="n">
        <v>46176</v>
      </c>
      <c r="B66" s="227" t="inlineStr">
        <is>
          <t>Customer Transfer — Jun 3</t>
        </is>
      </c>
      <c r="C66" s="251" t="inlineStr">
        <is>
          <t>Transfer Received</t>
        </is>
      </c>
      <c r="D66" s="231" t="n"/>
      <c r="E66" s="230" t="n">
        <v>120</v>
      </c>
      <c r="F66" s="228">
        <f>IFERROR(F65+D66-E66,0)</f>
        <v/>
      </c>
      <c r="G66" s="227" t="inlineStr">
        <is>
          <t>✅</t>
        </is>
      </c>
      <c r="H66" s="252" t="inlineStr">
        <is>
          <t>✅ Received in Lohith account</t>
        </is>
      </c>
    </row>
    <row r="67">
      <c r="A67" s="243" t="n">
        <v>46177</v>
      </c>
      <c r="B67" s="244" t="inlineStr">
        <is>
          <t>Personal expenses — Huevos, Ajonjoli, Verduras</t>
        </is>
      </c>
      <c r="C67" s="245" t="inlineStr">
        <is>
          <t>Expense - Personal</t>
        </is>
      </c>
      <c r="D67" s="246" t="n">
        <v>358</v>
      </c>
      <c r="E67" s="247" t="n"/>
      <c r="F67" s="248">
        <f>IFERROR(F66+D67-E67,0)</f>
        <v/>
      </c>
      <c r="G67" s="244" t="inlineStr">
        <is>
          <t>⏳ Reimburse</t>
        </is>
      </c>
      <c r="H67" s="249" t="inlineStr">
        <is>
          <t>$69 Huevos + $44 Ajonjoli Blanco + $45 Ajonjoli Negro + $200 Verduras</t>
        </is>
      </c>
    </row>
    <row r="68">
      <c r="A68" s="253" t="n">
        <v>46177</v>
      </c>
      <c r="B68" s="232" t="inlineStr">
        <is>
          <t>Cash settlement — $6 added to restaurant</t>
        </is>
      </c>
      <c r="C68" s="254" t="inlineStr">
        <is>
          <t>Expense - Personal</t>
        </is>
      </c>
      <c r="D68" s="236" t="n">
        <v>6</v>
      </c>
      <c r="E68" s="235" t="n"/>
      <c r="F68" s="233">
        <f>IFERROR(F67+D68-E68,0)</f>
        <v/>
      </c>
      <c r="G68" s="232" t="inlineStr">
        <is>
          <t>✅ Settled</t>
        </is>
      </c>
      <c r="H68" s="255" t="inlineStr">
        <is>
          <t>Lohith added $6 cash to restaurant — balance now ZERO</t>
        </is>
      </c>
    </row>
    <row r="69">
      <c r="A69" s="250" t="n">
        <v>46178</v>
      </c>
      <c r="B69" s="227" t="inlineStr">
        <is>
          <t>Customer Transfer — Jun 5</t>
        </is>
      </c>
      <c r="C69" s="251" t="inlineStr">
        <is>
          <t>Transfer Received</t>
        </is>
      </c>
      <c r="D69" s="231" t="n"/>
      <c r="E69" s="230" t="n">
        <v>135</v>
      </c>
      <c r="F69" s="228">
        <f>IFERROR(F68+D69-E69,0)</f>
        <v/>
      </c>
      <c r="G69" s="227" t="inlineStr">
        <is>
          <t>✅ Received</t>
        </is>
      </c>
      <c r="H69" s="252" t="inlineStr">
        <is>
          <t>✅ Received in Lohith account — Jun 5</t>
        </is>
      </c>
    </row>
    <row r="70">
      <c r="A70" s="243" t="n">
        <v>46177</v>
      </c>
      <c r="B70" s="244" t="inlineStr">
        <is>
          <t>Renta + Mantenimiento Junio 2026</t>
        </is>
      </c>
      <c r="C70" s="245" t="inlineStr">
        <is>
          <t>Expense - Personal</t>
        </is>
      </c>
      <c r="D70" s="246" t="n">
        <v>20000</v>
      </c>
      <c r="E70" s="247" t="n"/>
      <c r="F70" s="248">
        <f>IFERROR(F69+D70-E70,0)</f>
        <v/>
      </c>
      <c r="G70" s="244" t="inlineStr">
        <is>
          <t>⏳ Reimburse</t>
        </is>
      </c>
      <c r="H70" s="249" t="inlineStr">
        <is>
          <t>Rent $15,000 + Maintenance $5,000 — paid personally by Lohith on 4 Jun</t>
        </is>
      </c>
    </row>
    <row r="71">
      <c r="A71" s="250" t="n">
        <v>46181</v>
      </c>
      <c r="B71" s="227" t="inlineStr">
        <is>
          <t>Customer Transfer — Jun 8</t>
        </is>
      </c>
      <c r="C71" s="251" t="inlineStr">
        <is>
          <t>Transfer Received</t>
        </is>
      </c>
      <c r="D71" s="231" t="n"/>
      <c r="E71" s="230" t="n">
        <v>99</v>
      </c>
      <c r="F71" s="228">
        <f>IFERROR(F70+D71-E71,0)</f>
        <v/>
      </c>
      <c r="G71" s="227" t="inlineStr">
        <is>
          <t>✅ Received</t>
        </is>
      </c>
      <c r="H71" s="252" t="inlineStr">
        <is>
          <t>✅ Received in Lohith account — Jun 8</t>
        </is>
      </c>
    </row>
    <row r="72">
      <c r="A72" s="265" t="n">
        <v>46183</v>
      </c>
      <c r="B72" s="266" t="inlineStr">
        <is>
          <t>Chedraui Paseo — Groceries (elote, chile, tomate, tortillas, bolillo)</t>
        </is>
      </c>
      <c r="C72" s="267" t="inlineStr">
        <is>
          <t>Expense - Personal</t>
        </is>
      </c>
      <c r="D72" s="268" t="n">
        <v>236.81</v>
      </c>
      <c r="F72" s="269">
        <f>IFERROR(F71+D72-E72,0)</f>
        <v/>
      </c>
      <c r="G72" s="266" t="inlineStr">
        <is>
          <t>⏳ Reimburse</t>
        </is>
      </c>
      <c r="H72" s="242" t="inlineStr">
        <is>
          <t>Paid personally by Lohith — HSBC **5543</t>
        </is>
      </c>
    </row>
    <row r="73">
      <c r="A73" s="265" t="n">
        <v>46183</v>
      </c>
      <c r="B73" s="266" t="inlineStr">
        <is>
          <t>Office Depot — Comanda Restaurante</t>
        </is>
      </c>
      <c r="C73" s="267" t="inlineStr">
        <is>
          <t>Expense - Personal</t>
        </is>
      </c>
      <c r="D73" s="268" t="n">
        <v>59</v>
      </c>
      <c r="F73" s="269">
        <f>IFERROR(F72+D73-E73,0)</f>
        <v/>
      </c>
      <c r="G73" s="266" t="inlineStr">
        <is>
          <t>⏳ Reimburse</t>
        </is>
      </c>
      <c r="H73" s="242" t="inlineStr">
        <is>
          <t>Paid personally by Lohith — MC **5543</t>
        </is>
      </c>
    </row>
    <row r="74">
      <c r="A74" s="265" t="n">
        <v>46184</v>
      </c>
      <c r="B74" s="266" t="inlineStr">
        <is>
          <t>ALICO — Ala de Pollo, Papa Harvest 13.62kg, Boneless Freskecito</t>
        </is>
      </c>
      <c r="C74" s="267" t="inlineStr">
        <is>
          <t>Expense - Personal</t>
        </is>
      </c>
      <c r="D74" s="268" t="n">
        <v>2865</v>
      </c>
      <c r="F74" s="269">
        <f>IFERROR(F73+D74-E74,0)</f>
        <v/>
      </c>
      <c r="G74" s="266" t="inlineStr">
        <is>
          <t>⏳ Reimburse</t>
        </is>
      </c>
      <c r="H74" s="242" t="inlineStr">
        <is>
          <t>Restaurant ingredients paid personally by Lohith (transfer) — 11 Jun</t>
        </is>
      </c>
    </row>
    <row r="75">
      <c r="A75" s="265" t="n">
        <v>46184</v>
      </c>
      <c r="B75" s="266" t="inlineStr">
        <is>
          <t>Pollería — Muslo de Pollo 4.70 kg</t>
        </is>
      </c>
      <c r="C75" s="267" t="inlineStr">
        <is>
          <t>Expense - Personal</t>
        </is>
      </c>
      <c r="D75" s="268" t="n">
        <v>235</v>
      </c>
      <c r="F75" s="269">
        <f>IFERROR(F74+D75-E75,0)</f>
        <v/>
      </c>
      <c r="G75" s="266" t="inlineStr">
        <is>
          <t>⏳ Reimburse</t>
        </is>
      </c>
      <c r="H75" s="242" t="inlineStr">
        <is>
          <t>Restaurant ingredients paid personally by Lohith (transfer) — 11 Jun</t>
        </is>
      </c>
    </row>
    <row r="76">
      <c r="A76" s="265" t="n">
        <v>46188</v>
      </c>
      <c r="B76" s="266" t="inlineStr">
        <is>
          <t>Chedraui — Tortillas, Bolillo, Rosca de Nuez</t>
        </is>
      </c>
      <c r="C76" s="267" t="inlineStr">
        <is>
          <t>Expense - Personal</t>
        </is>
      </c>
      <c r="D76" s="268" t="n">
        <v>160.33</v>
      </c>
      <c r="F76" s="269">
        <f>IFERROR(F75+D76-E76,0)</f>
        <v/>
      </c>
      <c r="G76" s="266" t="inlineStr">
        <is>
          <t>⏳ Reimburse</t>
        </is>
      </c>
      <c r="H76" s="242" t="inlineStr">
        <is>
          <t>HSBC **5543 — paid by Lohith 15 Jun</t>
        </is>
      </c>
    </row>
    <row r="77">
      <c r="A77" s="265" t="n">
        <v>46188</v>
      </c>
      <c r="B77" s="266" t="inlineStr">
        <is>
          <t>OXXO Pathe — Aceite Vegetal (2)</t>
        </is>
      </c>
      <c r="C77" s="267" t="inlineStr">
        <is>
          <t>Expense - Personal</t>
        </is>
      </c>
      <c r="D77" s="268" t="n">
        <v>104</v>
      </c>
      <c r="F77" s="269">
        <f>IFERROR(F76+D77-E77,0)</f>
        <v/>
      </c>
      <c r="G77" s="266" t="inlineStr">
        <is>
          <t>⏳ Reimburse</t>
        </is>
      </c>
      <c r="H77" s="242" t="inlineStr">
        <is>
          <t>HSBC **5543 — paid by Lohith 15 Jun</t>
        </is>
      </c>
    </row>
    <row r="78">
      <c r="A78" s="265" t="n">
        <v>46188</v>
      </c>
      <c r="B78" s="266" t="inlineStr">
        <is>
          <t>Miscelánea LC — Ribeye, Chuleta, Bistec</t>
        </is>
      </c>
      <c r="C78" s="267" t="inlineStr">
        <is>
          <t>Expense - Personal</t>
        </is>
      </c>
      <c r="D78" s="268" t="n">
        <v>1015</v>
      </c>
      <c r="F78" s="269">
        <f>IFERROR(F77+D78-E78,0)</f>
        <v/>
      </c>
      <c r="G78" s="266" t="inlineStr">
        <is>
          <t>⏳ Reimburse</t>
        </is>
      </c>
      <c r="H78" s="242" t="inlineStr">
        <is>
          <t>HSBC **5543 — paid by Lohith 15 Jun</t>
        </is>
      </c>
    </row>
    <row r="79">
      <c r="A79" s="265" t="n">
        <v>46188</v>
      </c>
      <c r="B79" s="266" t="inlineStr">
        <is>
          <t>Transfer from Restaurant account</t>
        </is>
      </c>
      <c r="C79" s="267" t="inlineStr">
        <is>
          <t>Reimbursement</t>
        </is>
      </c>
      <c r="E79" t="n">
        <v>3162</v>
      </c>
      <c r="F79" s="269">
        <f>IFERROR(F78+D79-E79,0)</f>
        <v/>
      </c>
      <c r="G79" s="266" t="inlineStr">
        <is>
          <t>✅ Received</t>
        </is>
      </c>
      <c r="H79" s="242" t="inlineStr">
        <is>
          <t>Bank transfer to Lohith</t>
        </is>
      </c>
    </row>
    <row r="80">
      <c r="A80" s="265" t="n">
        <v>46188</v>
      </c>
      <c r="B80" s="266" t="inlineStr">
        <is>
          <t>15 Jun card expenses reimbursed (Chedraui+OXXO+Miscelánea)</t>
        </is>
      </c>
      <c r="C80" s="267" t="inlineStr">
        <is>
          <t>Reimbursement</t>
        </is>
      </c>
      <c r="E80" t="n">
        <v>1279.33</v>
      </c>
      <c r="F80" s="269">
        <f>IFERROR(F79+D80-E80,0)</f>
        <v/>
      </c>
      <c r="G80" s="266" t="inlineStr">
        <is>
          <t>✅ Received</t>
        </is>
      </c>
      <c r="H80" s="242" t="inlineStr">
        <is>
          <t>HSBC **5543 items repaid same day</t>
        </is>
      </c>
    </row>
    <row r="81">
      <c r="A81" s="226" t="inlineStr">
        <is>
          <t>TOTALS &amp; CURRENT BALANCE</t>
        </is>
      </c>
      <c r="B81" s="219" t="n"/>
      <c r="C81" s="219" t="n"/>
      <c r="D81" s="256">
        <f>SUM(D63:D80)</f>
        <v/>
      </c>
      <c r="E81" s="257">
        <f>SUM(E63:E80)</f>
        <v/>
      </c>
      <c r="F81" s="258">
        <f>F80</f>
        <v/>
      </c>
      <c r="G81" s="226">
        <f>IF(F80&gt;0,"⏳ Restaurant owes Lohith $"&amp;TEXT(F80,"#,##0"),IF(F80&lt;0,"💵 Lohith holds $"&amp;TEXT(ABS(F80),"#,##0"),"✅ Zero balance"))</f>
        <v/>
      </c>
    </row>
    <row r="83">
      <c r="A83" s="242" t="inlineStr">
        <is>
          <t>HOW TO USE:</t>
        </is>
      </c>
      <c r="B83" s="242" t="n"/>
      <c r="C83" s="242" t="n"/>
      <c r="D83" s="242" t="n"/>
      <c r="E83" s="242" t="n"/>
      <c r="F83" s="242" t="n"/>
      <c r="G83" s="242" t="n"/>
      <c r="H83" s="242" t="n"/>
    </row>
    <row r="84">
      <c r="A84" s="242" t="inlineStr">
        <is>
          <t>Add new rows above TOTALS. Spent by Lohith = restaurant expenses he paid personally.</t>
        </is>
      </c>
      <c r="B84" s="242" t="n"/>
      <c r="C84" s="242" t="n"/>
      <c r="D84" s="242" t="n"/>
      <c r="E84" s="242" t="n"/>
      <c r="F84" s="242" t="n"/>
      <c r="G84" s="242" t="n"/>
      <c r="H84" s="242" t="n"/>
    </row>
    <row r="85">
      <c r="A85" s="242" t="inlineStr">
        <is>
          <t>Transferred to Lohith = customer bank transfers received in his personal account.</t>
        </is>
      </c>
      <c r="B85" s="242" t="n"/>
      <c r="C85" s="242" t="n"/>
      <c r="D85" s="242" t="n"/>
      <c r="E85" s="242" t="n"/>
      <c r="F85" s="242" t="n"/>
      <c r="G85" s="242" t="n"/>
      <c r="H85" s="242" t="n"/>
    </row>
    <row r="86">
      <c r="A86" s="242" t="inlineStr">
        <is>
          <t>Positive balance = restaurant owes Lohith. Negative = Lohith holds restaurant funds.</t>
        </is>
      </c>
      <c r="B86" s="242" t="n"/>
      <c r="C86" s="242" t="n"/>
      <c r="D86" s="242" t="n"/>
      <c r="E86" s="242" t="n"/>
      <c r="F86" s="242" t="n"/>
      <c r="G86" s="242" t="n"/>
      <c r="H86" s="242" t="n"/>
    </row>
    <row r="89">
      <c r="A89" t="inlineStr">
        <is>
          <t>── PROPINAS / TIPS PASS-THROUGH (NOT income, NOT expense) ──</t>
        </is>
      </c>
    </row>
    <row r="90">
      <c r="A90" t="inlineStr">
        <is>
          <t>Date</t>
        </is>
      </c>
      <c r="B90" t="inlineStr">
        <is>
          <t>Paid To</t>
        </is>
      </c>
      <c r="D90" t="inlineStr">
        <is>
          <t>Amount</t>
        </is>
      </c>
    </row>
    <row r="91">
      <c r="A91" s="355" t="n">
        <v>46165</v>
      </c>
      <c r="B91" t="inlineStr">
        <is>
          <t>John (6 dias)</t>
        </is>
      </c>
      <c r="D91" s="354" t="n">
        <v>515</v>
      </c>
    </row>
    <row r="92">
      <c r="A92" s="355" t="n">
        <v>46165</v>
      </c>
      <c r="B92" t="inlineStr">
        <is>
          <t>Debi (6 dias)</t>
        </is>
      </c>
      <c r="D92" s="354" t="n">
        <v>515</v>
      </c>
    </row>
    <row r="93">
      <c r="A93" s="355" t="n">
        <v>46165</v>
      </c>
      <c r="B93" t="inlineStr">
        <is>
          <t>Victor (2 dias)</t>
        </is>
      </c>
      <c r="D93" s="354" t="n">
        <v>168</v>
      </c>
    </row>
    <row r="94">
      <c r="A94" s="355" t="n">
        <v>46174</v>
      </c>
      <c r="B94" t="inlineStr">
        <is>
          <t>John (Week 2)</t>
        </is>
      </c>
      <c r="D94" s="354" t="n">
        <v>350</v>
      </c>
    </row>
    <row r="95">
      <c r="A95" s="355" t="n">
        <v>46174</v>
      </c>
      <c r="B95" t="inlineStr">
        <is>
          <t>Duvi/Debi (Week 2)</t>
        </is>
      </c>
      <c r="D95" s="354" t="n">
        <v>350</v>
      </c>
    </row>
    <row r="96">
      <c r="A96" s="355" t="n">
        <v>46186</v>
      </c>
      <c r="B96" t="inlineStr">
        <is>
          <t>John (Week 4)</t>
        </is>
      </c>
      <c r="D96" s="354" t="n">
        <v>200</v>
      </c>
    </row>
    <row r="97">
      <c r="A97" s="355" t="n">
        <v>46186</v>
      </c>
      <c r="B97" t="inlineStr">
        <is>
          <t>Duvi/Debi (Week 4)</t>
        </is>
      </c>
      <c r="D97" s="354" t="n">
        <v>200</v>
      </c>
    </row>
    <row r="98">
      <c r="A98" s="355" t="n">
        <v>46186</v>
      </c>
      <c r="B98" t="inlineStr">
        <is>
          <t>Cesar (Week 4)</t>
        </is>
      </c>
      <c r="D98" s="354" t="n">
        <v>126</v>
      </c>
    </row>
    <row r="99">
      <c r="A99" s="355" t="n">
        <v>46186</v>
      </c>
      <c r="B99" t="inlineStr">
        <is>
          <t>Samu (Week 4)</t>
        </is>
      </c>
      <c r="D99" s="354" t="n">
        <v>126</v>
      </c>
    </row>
    <row r="100">
      <c r="B100" t="inlineStr">
        <is>
          <t>TOTAL TIPS PASSED THROUGH</t>
        </is>
      </c>
      <c r="D100" s="354">
        <f>SUM(D91:D99)</f>
        <v/>
      </c>
    </row>
    <row r="101">
      <c r="A101" t="inlineStr">
        <is>
          <t>Customer tips collected &amp; handed to staff. Excluded from P&amp;L — nets to zero (received = paid).</t>
        </is>
      </c>
    </row>
    <row r="102">
      <c r="A102" t="inlineStr">
        <is>
          <t>── CASH RECONCILIATION (15 Jun 2026) ──</t>
        </is>
      </c>
    </row>
    <row r="103">
      <c r="A103" t="inlineStr">
        <is>
          <t>Actual restaurant cash on hand</t>
        </is>
      </c>
      <c r="D103" s="354" t="n">
        <v>20283</v>
      </c>
    </row>
    <row r="104">
      <c r="A104" t="inlineStr">
        <is>
          <t>Adjustment: restaurant cash added to tips + Mercado Pago commission (vs running estimate)</t>
        </is>
      </c>
      <c r="D104" s="354" t="n">
        <v>-165</v>
      </c>
    </row>
    <row r="105">
      <c r="A105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2" customWidth="1" style="274" min="3" max="3"/>
    <col width="20" customWidth="1" style="274" min="4" max="4"/>
    <col width="12" customWidth="1" style="274" min="5" max="5"/>
    <col width="10" customWidth="1" style="274" min="6" max="6"/>
    <col width="12" customWidth="1" style="274" min="7" max="7"/>
    <col width="14" customWidth="1" style="274" min="8" max="9"/>
    <col width="18" customWidth="1" style="274" min="10" max="10"/>
    <col width="16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🚚  LOKA — SUPPLIER ORDERS</t>
        </is>
      </c>
      <c r="F2" s="313" t="inlineStr">
        <is>
          <t>Track purchase orders from suppliers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4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4"/>
    <row r="8" ht="19.5" customHeight="1" s="274">
      <c r="B8" s="349" t="n"/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n"/>
      <c r="C9" s="279" t="n"/>
      <c r="D9" s="279" t="n"/>
      <c r="E9" s="279" t="n"/>
      <c r="F9" s="279" t="n"/>
      <c r="G9" s="279" t="n"/>
      <c r="H9" s="279" t="n"/>
      <c r="I9" s="279" t="n"/>
      <c r="J9" s="279" t="n"/>
      <c r="K9" s="279" t="n"/>
    </row>
    <row r="10" ht="15.75" customHeight="1" s="274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4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4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4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4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4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4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4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4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4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4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4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4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4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4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4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4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4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4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4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4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4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4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4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4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4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4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4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4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4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4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4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4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4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4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4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4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4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4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4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4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4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4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4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4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4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4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4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4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4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4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4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4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4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4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4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4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4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4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4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4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4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4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4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4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4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4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4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4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4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4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4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4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4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4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4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4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4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4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4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4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4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4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4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4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4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4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4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4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4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4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4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4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4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4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4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4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4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4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4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4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4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4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4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4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4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4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4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4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4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4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4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4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4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4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4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4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4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4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4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4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4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4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4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4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4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4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4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4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4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4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4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4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4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4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4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4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4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4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4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4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4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4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4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4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4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4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4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4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4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4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4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4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4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4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4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4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4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4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4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4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4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4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4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4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4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4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4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4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4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4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4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4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4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4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4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4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4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4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4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4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4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4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4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4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4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4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4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4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4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4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4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4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4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4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4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4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4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4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4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4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4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4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4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4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4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4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4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4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4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4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4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4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4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4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4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4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4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4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4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4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4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4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4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4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4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4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4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4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4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4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4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4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4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4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4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4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4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4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4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4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4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4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4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4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4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4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4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4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4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4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4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4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4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4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4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4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4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4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4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4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4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4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4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4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4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4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4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4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4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4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4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4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4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4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4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4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4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4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4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4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4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4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4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4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4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4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4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4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4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4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4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4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4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4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4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4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4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4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4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4" min="2" max="2"/>
    <col width="14.33203125" bestFit="1" customWidth="1" style="274" min="3" max="3"/>
    <col width="44" bestFit="1" customWidth="1" style="274" min="4" max="4"/>
    <col width="87.77734375" bestFit="1" customWidth="1" style="274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274" min="1" max="1"/>
    <col width="30" customWidth="1" style="274" min="2" max="2"/>
    <col width="16" customWidth="1" style="274" min="3" max="8"/>
    <col width="18" customWidth="1" style="274" min="9" max="9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37.5" customHeight="1" s="274">
      <c r="A2" s="340" t="inlineStr">
        <is>
          <t>📈  LOKA — MONTHLY P&amp;L</t>
        </is>
      </c>
      <c r="E2" s="313" t="inlineStr">
        <is>
          <t>Revenue &amp; Expense summary — fill monthly totals from Daily Log &amp; Expenses</t>
        </is>
      </c>
    </row>
    <row r="3" ht="3.75" customHeight="1" s="274">
      <c r="A3" s="323" t="n"/>
    </row>
    <row r="4" ht="7.5" customHeight="1" s="274"/>
    <row r="5" ht="9.75" customHeight="1" s="274"/>
    <row r="6" ht="21.75" customHeight="1" s="274">
      <c r="B6" s="133" t="inlineStr">
        <is>
          <t>YEAR:</t>
        </is>
      </c>
      <c r="C6" s="134" t="n">
        <v>2025</v>
      </c>
    </row>
    <row r="7" ht="7.5" customHeight="1" s="274">
      <c r="C7" t="n">
        <v>2026</v>
      </c>
    </row>
    <row r="8" ht="27.75" customHeight="1" s="274">
      <c r="B8" s="279" t="n"/>
      <c r="C8" s="279" t="n"/>
      <c r="D8" s="279" t="n"/>
      <c r="E8" s="279" t="n"/>
      <c r="F8" s="279" t="n"/>
      <c r="G8" s="279" t="n"/>
      <c r="H8" s="279" t="n"/>
      <c r="I8" s="279" t="n"/>
    </row>
    <row r="9" ht="19.5" customHeight="1" s="274">
      <c r="B9" s="298" t="n"/>
      <c r="C9" s="299" t="n"/>
      <c r="D9" s="299" t="n"/>
      <c r="E9" s="299" t="n"/>
      <c r="F9" s="299" t="n"/>
      <c r="G9" s="299" t="n"/>
      <c r="H9" s="299" t="n"/>
      <c r="I9" s="299" t="n"/>
    </row>
    <row r="10" ht="18" customHeight="1" s="274">
      <c r="B10" s="135" t="n"/>
      <c r="C10" s="93" t="n"/>
      <c r="D10" s="93" t="n"/>
      <c r="E10" s="93" t="n"/>
      <c r="F10" s="93" t="n"/>
      <c r="G10" s="93" t="n"/>
      <c r="H10" s="93" t="n"/>
      <c r="I10" s="116" t="n"/>
    </row>
    <row r="11" ht="19.5" customHeight="1" s="274">
      <c r="B11" s="298" t="n"/>
      <c r="C11" s="299" t="n"/>
      <c r="D11" s="299" t="n"/>
      <c r="E11" s="299" t="n"/>
      <c r="F11" s="299" t="n"/>
      <c r="G11" s="299" t="n"/>
      <c r="H11" s="299" t="n"/>
      <c r="I11" s="299" t="n"/>
    </row>
    <row r="12" ht="18" customHeight="1" s="274">
      <c r="B12" s="136" t="n"/>
      <c r="C12" s="93" t="n"/>
      <c r="D12" s="93" t="n"/>
      <c r="E12" s="93" t="n"/>
      <c r="F12" s="93" t="n"/>
      <c r="G12" s="93" t="n"/>
      <c r="H12" s="93" t="n"/>
      <c r="I12" s="137" t="n"/>
    </row>
    <row r="13" ht="18" customHeight="1" s="274">
      <c r="B13" s="138" t="n"/>
      <c r="C13" s="86" t="n"/>
      <c r="D13" s="86" t="n"/>
      <c r="E13" s="86" t="n"/>
      <c r="F13" s="86" t="n"/>
      <c r="G13" s="86" t="n"/>
      <c r="H13" s="86" t="n"/>
      <c r="I13" s="139" t="n"/>
    </row>
    <row r="14" ht="18" customHeight="1" s="274">
      <c r="B14" s="140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74">
      <c r="B15" s="141" t="n"/>
      <c r="C15" s="112" t="n"/>
      <c r="D15" s="112" t="n"/>
      <c r="E15" s="112" t="n"/>
      <c r="F15" s="112" t="n"/>
      <c r="G15" s="112" t="n"/>
      <c r="H15" s="112" t="n"/>
      <c r="I15" s="112" t="n"/>
    </row>
    <row r="16" ht="18" customHeight="1" s="274">
      <c r="B16" s="142" t="n"/>
      <c r="C16" s="143" t="n"/>
      <c r="D16" s="143" t="n"/>
      <c r="E16" s="143" t="n"/>
      <c r="F16" s="143" t="n"/>
      <c r="G16" s="143" t="n"/>
      <c r="H16" s="143" t="n"/>
      <c r="I16" s="143" t="n"/>
    </row>
    <row r="17" ht="19.5" customHeight="1" s="274">
      <c r="B17" s="298" t="n"/>
      <c r="C17" s="299" t="n"/>
      <c r="D17" s="299" t="n"/>
      <c r="E17" s="299" t="n"/>
      <c r="F17" s="299" t="n"/>
      <c r="G17" s="299" t="n"/>
      <c r="H17" s="299" t="n"/>
      <c r="I17" s="299" t="n"/>
    </row>
    <row r="18" ht="18" customHeight="1" s="274">
      <c r="B18" s="136" t="n"/>
      <c r="C18" s="93" t="n"/>
      <c r="D18" s="93" t="n"/>
      <c r="E18" s="93" t="n"/>
      <c r="F18" s="93" t="n"/>
      <c r="G18" s="93" t="n"/>
      <c r="H18" s="93" t="n"/>
      <c r="I18" s="137" t="n"/>
    </row>
    <row r="19" ht="18" customHeight="1" s="274">
      <c r="B19" s="138" t="n"/>
      <c r="C19" s="86" t="n"/>
      <c r="D19" s="86" t="n"/>
      <c r="E19" s="86" t="n"/>
      <c r="F19" s="86" t="n"/>
      <c r="G19" s="86" t="n"/>
      <c r="H19" s="86" t="n"/>
      <c r="I19" s="139" t="n"/>
    </row>
    <row r="20" ht="18" customHeight="1" s="274">
      <c r="B20" s="136" t="n"/>
      <c r="C20" s="93" t="n"/>
      <c r="D20" s="93" t="n"/>
      <c r="E20" s="93" t="n"/>
      <c r="F20" s="93" t="n"/>
      <c r="G20" s="93" t="n"/>
      <c r="H20" s="93" t="n"/>
      <c r="I20" s="137" t="n"/>
    </row>
    <row r="21" ht="18" customHeight="1" s="274">
      <c r="B21" s="138" t="n"/>
      <c r="C21" s="86" t="n"/>
      <c r="D21" s="86" t="n"/>
      <c r="E21" s="86" t="n"/>
      <c r="F21" s="86" t="n"/>
      <c r="G21" s="86" t="n"/>
      <c r="H21" s="86" t="n"/>
      <c r="I21" s="139" t="n"/>
    </row>
    <row r="22" ht="18" customHeight="1" s="274">
      <c r="B22" s="136" t="n"/>
      <c r="C22" s="93" t="n"/>
      <c r="D22" s="93" t="n"/>
      <c r="E22" s="93" t="n"/>
      <c r="F22" s="93" t="n"/>
      <c r="G22" s="93" t="n"/>
      <c r="H22" s="93" t="n"/>
      <c r="I22" s="137" t="n"/>
    </row>
    <row r="23" ht="18" customHeight="1" s="274">
      <c r="B23" s="140" t="n"/>
      <c r="C23" s="114" t="n"/>
      <c r="D23" s="114" t="n"/>
      <c r="E23" s="114" t="n"/>
      <c r="F23" s="114" t="n"/>
      <c r="G23" s="114" t="n"/>
      <c r="H23" s="114" t="n"/>
      <c r="I23" s="114" t="n"/>
    </row>
    <row r="24" ht="18" customHeight="1" s="274">
      <c r="B24" s="144" t="n"/>
      <c r="C24" s="145" t="n"/>
      <c r="D24" s="145" t="n"/>
      <c r="E24" s="145" t="n"/>
      <c r="F24" s="145" t="n"/>
      <c r="G24" s="145" t="n"/>
      <c r="H24" s="145" t="n"/>
      <c r="I24" s="145" t="n"/>
    </row>
    <row r="25" ht="18" customHeight="1" s="274">
      <c r="B25" s="146" t="n"/>
      <c r="C25" s="147" t="n"/>
      <c r="D25" s="147" t="n"/>
      <c r="E25" s="147" t="n"/>
      <c r="F25" s="147" t="n"/>
      <c r="G25" s="147" t="n"/>
      <c r="H25" s="147" t="n"/>
      <c r="I25" s="147" t="n"/>
    </row>
    <row r="26" ht="18" customHeight="1" s="274">
      <c r="B26" s="136" t="n"/>
      <c r="C26" s="93" t="n"/>
      <c r="D26" s="93" t="n"/>
      <c r="E26" s="93" t="n"/>
      <c r="F26" s="93" t="n"/>
      <c r="G26" s="93" t="n"/>
      <c r="H26" s="93" t="n"/>
      <c r="I26" s="137" t="n"/>
    </row>
    <row r="27" ht="18" customHeight="1" s="274">
      <c r="B27" s="138" t="n"/>
      <c r="C27" s="86" t="n"/>
      <c r="D27" s="86" t="n"/>
      <c r="E27" s="86" t="n"/>
      <c r="F27" s="86" t="n"/>
      <c r="G27" s="86" t="n"/>
      <c r="H27" s="86" t="n"/>
      <c r="I27" s="139" t="n"/>
    </row>
    <row r="28" ht="18" customHeight="1" s="274">
      <c r="B28" s="141" t="n"/>
      <c r="C28" s="112" t="n"/>
      <c r="D28" s="112" t="n"/>
      <c r="E28" s="112" t="n"/>
      <c r="F28" s="112" t="n"/>
      <c r="G28" s="112" t="n"/>
      <c r="H28" s="112" t="n"/>
      <c r="I28" s="112" t="n"/>
    </row>
    <row r="29" ht="18" customHeight="1" s="274">
      <c r="B29" s="142" t="n"/>
      <c r="C29" s="143" t="n"/>
      <c r="D29" s="143" t="n"/>
      <c r="E29" s="143" t="n"/>
      <c r="F29" s="143" t="n"/>
      <c r="G29" s="143" t="n"/>
      <c r="H29" s="143" t="n"/>
      <c r="I29" s="143" t="n"/>
    </row>
    <row r="30" ht="19.5" customHeight="1" s="274">
      <c r="B30" s="298" t="n"/>
      <c r="C30" s="299" t="n"/>
      <c r="D30" s="299" t="n"/>
      <c r="E30" s="299" t="n"/>
      <c r="F30" s="299" t="n"/>
      <c r="G30" s="299" t="n"/>
      <c r="H30" s="299" t="n"/>
      <c r="I30" s="299" t="n"/>
    </row>
    <row r="31" ht="18" customHeight="1" s="274">
      <c r="B31" s="109" t="n"/>
      <c r="C31" s="111" t="n"/>
      <c r="D31" s="111" t="n"/>
      <c r="E31" s="111" t="n"/>
      <c r="F31" s="111" t="n"/>
      <c r="G31" s="111" t="n"/>
      <c r="H31" s="111" t="n"/>
      <c r="I31" s="148" t="n"/>
    </row>
    <row r="32" ht="18" customHeight="1" s="274">
      <c r="B32" s="115" t="n"/>
      <c r="C32" s="149" t="n"/>
      <c r="D32" s="149" t="n"/>
      <c r="E32" s="149" t="n"/>
      <c r="F32" s="149" t="n"/>
      <c r="G32" s="149" t="n"/>
      <c r="H32" s="149" t="n"/>
      <c r="I32" s="149" t="n"/>
    </row>
    <row r="33" ht="18" customHeight="1" s="274">
      <c r="B33" s="109" t="n"/>
      <c r="C33" s="111" t="n"/>
      <c r="D33" s="111" t="n"/>
      <c r="E33" s="111" t="n"/>
      <c r="F33" s="111" t="n"/>
      <c r="G33" s="111" t="n"/>
      <c r="H33" s="111" t="n"/>
      <c r="I33" s="148" t="n"/>
    </row>
    <row r="34" ht="18" customHeight="1" s="274">
      <c r="B34" s="115" t="n"/>
      <c r="C34" s="149" t="n"/>
      <c r="D34" s="149" t="n"/>
      <c r="E34" s="149" t="n"/>
      <c r="F34" s="149" t="n"/>
      <c r="G34" s="149" t="n"/>
      <c r="H34" s="149" t="n"/>
      <c r="I34" s="149" t="n"/>
    </row>
    <row r="35" ht="7.5" customHeight="1" s="274"/>
    <row r="36" ht="19.5" customHeight="1" s="274">
      <c r="B36" s="298" t="n"/>
      <c r="C36" s="299" t="n"/>
      <c r="D36" s="299" t="n"/>
      <c r="E36" s="299" t="n"/>
      <c r="F36" s="299" t="n"/>
      <c r="G36" s="299" t="n"/>
      <c r="H36" s="299" t="n"/>
      <c r="I36" s="299" t="n"/>
    </row>
    <row r="37" ht="27.75" customHeight="1" s="274">
      <c r="B37" s="279" t="n"/>
      <c r="C37" s="279" t="n"/>
      <c r="D37" s="279" t="n"/>
      <c r="E37" s="279" t="n"/>
      <c r="F37" s="279" t="n"/>
      <c r="G37" s="279" t="n"/>
      <c r="H37" s="279" t="n"/>
      <c r="I37" s="279" t="n"/>
    </row>
    <row r="38" ht="18" customHeight="1" s="274">
      <c r="B38" s="135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74">
      <c r="B39" s="136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74">
      <c r="B40" s="138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74">
      <c r="B41" s="140" t="n"/>
      <c r="C41" s="150" t="n"/>
      <c r="D41" s="150" t="n"/>
      <c r="E41" s="150" t="n"/>
      <c r="F41" s="150" t="n"/>
      <c r="G41" s="150" t="n"/>
      <c r="H41" s="150" t="n"/>
      <c r="I41" s="150" t="n"/>
    </row>
    <row r="42" ht="18" customHeight="1" s="274">
      <c r="B42" s="141" t="n"/>
      <c r="C42" s="151" t="n"/>
      <c r="D42" s="151" t="n"/>
      <c r="E42" s="151" t="n"/>
      <c r="F42" s="151" t="n"/>
      <c r="G42" s="151" t="n"/>
      <c r="H42" s="151" t="n"/>
      <c r="I42" s="151" t="n"/>
    </row>
    <row r="43" ht="18" customHeight="1" s="274">
      <c r="B43" s="135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74">
      <c r="B44" s="136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74">
      <c r="B45" s="138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74">
      <c r="B46" s="136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74">
      <c r="B47" s="138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74">
      <c r="B48" s="136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74">
      <c r="B49" s="140" t="n"/>
      <c r="C49" s="150" t="n"/>
      <c r="D49" s="150" t="n"/>
      <c r="E49" s="150" t="n"/>
      <c r="F49" s="150" t="n"/>
      <c r="G49" s="150" t="n"/>
      <c r="H49" s="150" t="n"/>
      <c r="I49" s="150" t="n"/>
    </row>
    <row r="50" ht="18" customHeight="1" s="274">
      <c r="B50" s="152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74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74">
      <c r="B52" s="136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74">
      <c r="B53" s="138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74">
      <c r="B54" s="141" t="n"/>
      <c r="C54" s="151" t="n"/>
      <c r="D54" s="151" t="n"/>
      <c r="E54" s="151" t="n"/>
      <c r="F54" s="151" t="n"/>
      <c r="G54" s="151" t="n"/>
      <c r="H54" s="151" t="n"/>
      <c r="I54" s="151" t="n"/>
    </row>
    <row r="55" ht="18" customHeight="1" s="274">
      <c r="B55" s="153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74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74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74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74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2026-06-16T16:22:36Z</dcterms:modified>
  <cp:lastModifiedBy>LOHITH REDDY</cp:lastModifiedBy>
</cp:coreProperties>
</file>