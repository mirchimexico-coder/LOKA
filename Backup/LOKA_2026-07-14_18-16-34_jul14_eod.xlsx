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2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$#,##0.00"/>
  </numFmts>
  <fonts count="102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1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2"/>
  </cellStyleXfs>
  <cellXfs count="419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0" fontId="94" fillId="0" borderId="22" pivotButton="0" quotePrefix="0" xfId="0"/>
    <xf numFmtId="0" fontId="96" fillId="57" borderId="23" applyAlignment="1" pivotButton="0" quotePrefix="0" xfId="0">
      <alignment horizontal="left"/>
    </xf>
    <xf numFmtId="0" fontId="96" fillId="57" borderId="23" applyAlignment="1" pivotButton="0" quotePrefix="0" xfId="0">
      <alignment horizontal="right"/>
    </xf>
    <xf numFmtId="0" fontId="97" fillId="0" borderId="23" applyAlignment="1" pivotButton="0" quotePrefix="0" xfId="0">
      <alignment horizontal="left"/>
    </xf>
    <xf numFmtId="174" fontId="94" fillId="0" borderId="23" applyAlignment="1" pivotButton="0" quotePrefix="0" xfId="0">
      <alignment horizontal="right"/>
    </xf>
    <xf numFmtId="174" fontId="97" fillId="0" borderId="23" applyAlignment="1" pivotButton="0" quotePrefix="0" xfId="0">
      <alignment horizontal="right"/>
    </xf>
    <xf numFmtId="0" fontId="94" fillId="0" borderId="23" applyAlignment="1" pivotButton="0" quotePrefix="0" xfId="0">
      <alignment horizontal="left"/>
    </xf>
    <xf numFmtId="3" fontId="94" fillId="0" borderId="23" applyAlignment="1" pivotButton="0" quotePrefix="0" xfId="0">
      <alignment horizontal="right"/>
    </xf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0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0" applyAlignment="1" pivotButton="0" quotePrefix="0" xfId="0">
      <alignment horizontal="right" vertical="center"/>
    </xf>
    <xf numFmtId="0" fontId="5" fillId="11" borderId="20" applyAlignment="1" pivotButton="0" quotePrefix="0" xfId="0">
      <alignment horizontal="center" vertical="center"/>
    </xf>
    <xf numFmtId="0" fontId="1" fillId="2" borderId="2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0" pivotButton="0" quotePrefix="0" xfId="0"/>
    <xf numFmtId="0" fontId="75" fillId="44" borderId="20" applyAlignment="1" pivotButton="0" quotePrefix="0" xfId="0">
      <alignment horizontal="left" vertical="center"/>
    </xf>
    <xf numFmtId="0" fontId="2" fillId="3" borderId="20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0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0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0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0" applyAlignment="1" pivotButton="0" quotePrefix="0" xfId="0">
      <alignment horizontal="center" vertical="center"/>
    </xf>
    <xf numFmtId="0" fontId="95" fillId="56" borderId="22" applyAlignment="1" pivotButton="0" quotePrefix="0" xfId="0">
      <alignment horizontal="center"/>
    </xf>
    <xf numFmtId="0" fontId="0" fillId="56" borderId="20" pivotButton="0" quotePrefix="0" xfId="0"/>
    <xf numFmtId="0" fontId="85" fillId="51" borderId="20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2" fillId="3" borderId="22" applyAlignment="1" pivotButton="0" quotePrefix="0" xfId="0">
      <alignment horizontal="center" vertical="center" wrapText="1"/>
    </xf>
    <xf numFmtId="0" fontId="75" fillId="44" borderId="22" applyAlignment="1" pivotButton="0" quotePrefix="0" xfId="0">
      <alignment horizontal="left" vertical="center"/>
    </xf>
    <xf numFmtId="0" fontId="93" fillId="0" borderId="22" pivotButton="0" quotePrefix="0" xfId="0"/>
    <xf numFmtId="0" fontId="6" fillId="10" borderId="22" applyAlignment="1" pivotButton="0" quotePrefix="0" xfId="0">
      <alignment horizontal="left" vertical="center"/>
    </xf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26" fillId="2" borderId="22" applyAlignment="1" pivotButton="0" quotePrefix="0" xfId="0">
      <alignment horizontal="left" vertical="center"/>
    </xf>
    <xf numFmtId="0" fontId="30" fillId="4" borderId="22" applyAlignment="1" pivotButton="0" quotePrefix="0" xfId="0">
      <alignment horizontal="left" vertical="center"/>
    </xf>
    <xf numFmtId="0" fontId="6" fillId="10" borderId="22" applyAlignment="1" pivotButton="0" quotePrefix="0" xfId="0">
      <alignment horizontal="center" vertical="center"/>
    </xf>
    <xf numFmtId="0" fontId="7" fillId="10" borderId="22" applyAlignment="1" pivotButton="0" quotePrefix="0" xfId="0">
      <alignment horizontal="center" vertical="center"/>
    </xf>
    <xf numFmtId="0" fontId="85" fillId="51" borderId="22" applyAlignment="1" pivotButton="0" quotePrefix="0" xfId="0">
      <alignment horizontal="center" vertical="center"/>
    </xf>
    <xf numFmtId="0" fontId="99" fillId="58" borderId="28" applyAlignment="1" pivotButton="0" quotePrefix="0" xfId="0">
      <alignment horizontal="center"/>
    </xf>
    <xf numFmtId="0" fontId="0" fillId="58" borderId="22" pivotButton="0" quotePrefix="0" xfId="0"/>
    <xf numFmtId="0" fontId="98" fillId="0" borderId="28" pivotButton="0" quotePrefix="0" xfId="0"/>
    <xf numFmtId="0" fontId="100" fillId="59" borderId="29" applyAlignment="1" pivotButton="0" quotePrefix="0" xfId="0">
      <alignment horizontal="left"/>
    </xf>
    <xf numFmtId="0" fontId="100" fillId="59" borderId="29" applyAlignment="1" pivotButton="0" quotePrefix="0" xfId="0">
      <alignment horizontal="right"/>
    </xf>
    <xf numFmtId="0" fontId="101" fillId="0" borderId="29" applyAlignment="1" pivotButton="0" quotePrefix="0" xfId="0">
      <alignment horizontal="left"/>
    </xf>
    <xf numFmtId="175" fontId="98" fillId="0" borderId="29" applyAlignment="1" pivotButton="0" quotePrefix="0" xfId="0">
      <alignment horizontal="right"/>
    </xf>
    <xf numFmtId="175" fontId="101" fillId="0" borderId="29" applyAlignment="1" pivotButton="0" quotePrefix="0" xfId="0">
      <alignment horizontal="right"/>
    </xf>
    <xf numFmtId="0" fontId="98" fillId="0" borderId="29" applyAlignment="1" pivotButton="0" quotePrefix="0" xfId="0">
      <alignment horizontal="left"/>
    </xf>
    <xf numFmtId="3" fontId="98" fillId="0" borderId="29" applyAlignment="1" pivotButton="0" quotePrefix="0" xfId="0">
      <alignment horizontal="right"/>
    </xf>
    <xf numFmtId="0" fontId="99" fillId="58" borderId="30" applyAlignment="1" pivotButton="0" quotePrefix="0" xfId="0">
      <alignment horizontal="center"/>
    </xf>
    <xf numFmtId="0" fontId="0" fillId="0" borderId="22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8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313" min="1" max="1"/>
    <col width="48" customWidth="1" style="313" min="2" max="2"/>
    <col width="18" customWidth="1" style="317" min="3" max="3"/>
    <col width="20" customWidth="1" style="317" min="4" max="6"/>
    <col width="71.77734375" customWidth="1" style="313" min="7" max="7"/>
    <col width="26" customWidth="1" style="313" min="8" max="8"/>
  </cols>
  <sheetData>
    <row r="1" ht="36" customHeight="1" s="313">
      <c r="B1" s="395" t="inlineStr">
        <is>
          <t>LOKA  —  CAPITAL, OWNERSHIP &amp; PRE-OPENING EXPENSES</t>
        </is>
      </c>
    </row>
    <row r="2" ht="24" customHeight="1" s="313">
      <c r="B2" s="396" t="inlineStr">
        <is>
          <t>Last updated: 1 Jul 2026  |  Capital, Acquisition, Pre-Opening, Renovation CapEx &amp; Operations↔Capital</t>
        </is>
      </c>
    </row>
    <row r="4" ht="25.95" customHeight="1" s="313">
      <c r="B4" s="397" t="inlineStr">
        <is>
          <t xml:space="preserve">  A.  OWNERSHIP STRUCTURE</t>
        </is>
      </c>
    </row>
    <row r="5" ht="22.05" customHeight="1" s="313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13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13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13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13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13">
      <c r="B11" s="397" t="inlineStr">
        <is>
          <t xml:space="preserve">  B.  RESTAURANT ACQUISITION  —  $390,000 TOTAL</t>
        </is>
      </c>
    </row>
    <row r="12" ht="22.05" customHeight="1" s="313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13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13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13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13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13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13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13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13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13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13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13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13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13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13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13">
      <c r="B28" s="149" t="n"/>
      <c r="C28" s="180" t="n"/>
      <c r="D28" s="157" t="n"/>
      <c r="E28" s="172" t="n"/>
      <c r="F28" s="172" t="n"/>
      <c r="G28" s="149" t="n"/>
    </row>
    <row r="29" ht="19.95" customHeight="1" s="313">
      <c r="B29" s="149" t="n"/>
      <c r="C29" s="180" t="n"/>
      <c r="D29" s="157" t="n"/>
      <c r="E29" s="172" t="n"/>
      <c r="F29" s="172" t="n"/>
      <c r="G29" s="149" t="n"/>
    </row>
    <row r="30" ht="19.95" customHeight="1" s="313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13">
      <c r="B32" s="189" t="n"/>
      <c r="C32" s="236" t="n"/>
      <c r="D32" s="191" t="n"/>
      <c r="E32" s="190" t="n"/>
      <c r="F32" s="190" t="n"/>
      <c r="G32" s="189" t="n"/>
    </row>
    <row r="33" ht="22.05" customHeight="1" s="313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13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13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13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13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13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13"/>
    <row r="40" ht="19.95" customHeight="1" s="313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13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13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13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13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22" t="n"/>
    </row>
    <row r="46" ht="19.95" customHeight="1" s="313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13">
      <c r="B47" s="137" t="n"/>
      <c r="C47" s="137" t="n"/>
      <c r="D47" s="162" t="n"/>
      <c r="E47" s="137" t="n"/>
      <c r="F47" s="137" t="n"/>
      <c r="G47" s="137" t="n"/>
    </row>
    <row r="48" ht="19.95" customHeight="1" s="313">
      <c r="B48" s="137" t="n"/>
      <c r="C48" s="137" t="n"/>
      <c r="D48" s="162" t="n"/>
      <c r="E48" s="137" t="n"/>
      <c r="F48" s="137" t="n"/>
      <c r="G48" s="137" t="n"/>
    </row>
    <row r="49" ht="19.95" customHeight="1" s="313">
      <c r="B49" s="137" t="n"/>
      <c r="C49" s="137" t="n"/>
      <c r="D49" s="162" t="n"/>
      <c r="E49" s="137" t="n"/>
      <c r="F49" s="137" t="n"/>
      <c r="G49" s="137" t="n"/>
    </row>
    <row r="50" ht="19.95" customHeight="1" s="313">
      <c r="B50" s="137" t="n"/>
      <c r="C50" s="137" t="n"/>
      <c r="D50" s="162" t="n"/>
      <c r="E50" s="137" t="n"/>
      <c r="F50" s="137" t="n"/>
      <c r="G50" s="137" t="n"/>
    </row>
    <row r="51" ht="19.95" customHeight="1" s="313">
      <c r="B51" s="137" t="n"/>
      <c r="C51" s="137" t="n"/>
      <c r="D51" s="162" t="n"/>
      <c r="E51" s="137" t="n"/>
      <c r="F51" s="137" t="n"/>
      <c r="G51" s="137" t="n"/>
    </row>
    <row r="52" ht="19.95" customHeight="1" s="313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13"/>
    <row r="54" ht="19.95" customHeight="1" s="313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13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13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13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13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13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22" t="n"/>
    </row>
    <row r="61" ht="22.05" customHeight="1" s="313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13">
      <c r="B62" s="237" t="n"/>
      <c r="C62" s="236" t="n"/>
      <c r="D62" s="191" t="n"/>
      <c r="E62" s="190" t="n"/>
      <c r="F62" s="190" t="n"/>
      <c r="G62" s="189" t="n"/>
    </row>
    <row r="63" ht="19.95" customHeight="1" s="313">
      <c r="B63" s="137" t="n"/>
      <c r="C63" s="137" t="n"/>
      <c r="D63" s="162" t="n"/>
      <c r="E63" s="137" t="n"/>
      <c r="F63" s="137" t="n"/>
      <c r="G63" s="137" t="n"/>
    </row>
    <row r="64" ht="19.95" customHeight="1" s="313">
      <c r="B64" s="137" t="n"/>
      <c r="C64" s="137" t="n"/>
      <c r="D64" s="162" t="n"/>
      <c r="E64" s="137" t="n"/>
      <c r="F64" s="137" t="n"/>
      <c r="G64" s="137" t="n"/>
    </row>
    <row r="65" ht="19.95" customHeight="1" s="313">
      <c r="B65" s="137" t="n"/>
      <c r="C65" s="137" t="n"/>
      <c r="D65" s="162" t="n"/>
      <c r="E65" s="137" t="n"/>
      <c r="F65" s="137" t="n"/>
      <c r="G65" s="137" t="n"/>
    </row>
    <row r="66" ht="19.95" customHeight="1" s="313">
      <c r="B66" s="137" t="n"/>
      <c r="C66" s="137" t="n"/>
      <c r="D66" s="162" t="n"/>
      <c r="E66" s="137" t="n"/>
      <c r="F66" s="137" t="n"/>
      <c r="G66" s="137" t="n"/>
    </row>
    <row r="67" ht="19.95" customHeight="1" s="313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13"/>
    <row r="69" ht="19.95" customHeight="1" s="313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13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13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13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13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22" t="n"/>
    </row>
    <row r="75" ht="19.95" customHeight="1" s="313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13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13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13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13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13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13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13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22" t="n"/>
    </row>
    <row r="83" ht="19.95" customHeight="1" s="313"/>
    <row r="84" ht="19.95" customHeight="1" s="313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13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13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13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SUM(D43:D44)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13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13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13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13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>
        <f>Total Funds In</f>
        <v/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>
        <f>REMAINING WITH ME (budget left WITH Lohith)</f>
        <v/>
      </c>
      <c r="D140">
        <f>D136-D137-D138-D139</f>
        <v/>
      </c>
    </row>
    <row r="142" ht="22.05" customHeight="1" s="313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from Daily Log)</t>
        </is>
      </c>
      <c r="C143" s="283">
        <f>SUM('📅 Daily Log'!D8:D500)+SUM('📅 Daily Log'!E8:E500)+SUM('📅 Daily Log'!G8:G500)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Expenses'!F8:F500)</f>
        <v/>
      </c>
      <c r="D144" s="191" t="n"/>
      <c r="E144" s="190" t="n"/>
      <c r="F144" s="190" t="n"/>
      <c r="G144" s="189" t="n"/>
    </row>
    <row r="145">
      <c r="B145" s="282" t="inlineStr">
        <is>
          <t>MP Commission (auto: card × 4.06%)</t>
        </is>
      </c>
      <c r="C145" s="268">
        <f>SUM('📅 Daily Log'!R8:R500)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39314.81</v>
      </c>
      <c r="E147" s="286" t="inlineStr">
        <is>
          <t>Operating costs funded from capital: ledger settlement 30 Jun ($19,314.81) + rent paid from capital 05 Jul ($20,000). Add future capital-funded operating costs here.</t>
        </is>
      </c>
    </row>
    <row r="148">
      <c r="B148" s="398" t="inlineStr">
        <is>
          <t>MP commission now auto-calculated per day in Daily Log (col R) at the rate in T7; feeds this result and Cash-on-Hand automatically.</t>
        </is>
      </c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13" min="1" max="1"/>
    <col width="18" customWidth="1" style="313" min="2" max="2"/>
    <col width="14" customWidth="1" style="313" min="3" max="7"/>
    <col width="16" customWidth="1" style="313" min="8" max="8"/>
    <col width="14" customWidth="1" style="313" min="9" max="14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13">
      <c r="A2" s="399" t="inlineStr">
        <is>
          <t>🍽️  LOKA Cafe Restaurante</t>
        </is>
      </c>
      <c r="H2" s="400" t="inlineStr">
        <is>
          <t>Restaurant Manager — powered by Soft + Excel</t>
        </is>
      </c>
    </row>
    <row r="3" ht="3.75" customHeight="1" s="313">
      <c r="A3" s="401" t="n"/>
    </row>
    <row r="4" ht="7.5" customHeight="1" s="313"/>
    <row r="5" ht="36" customHeight="1" s="313">
      <c r="B5" s="310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11" t="n"/>
      <c r="D5" s="311" t="n"/>
      <c r="E5" s="311" t="n"/>
      <c r="F5" s="311" t="n"/>
      <c r="G5" s="311" t="n"/>
      <c r="H5" s="311" t="n"/>
      <c r="I5" s="311" t="n"/>
      <c r="J5" s="311" t="n"/>
      <c r="K5" s="311" t="n"/>
      <c r="L5" s="311" t="n"/>
      <c r="M5" s="311" t="n"/>
    </row>
    <row r="6" ht="9.75" customHeight="1" s="313"/>
    <row r="7" ht="19.5" customHeight="1" s="313">
      <c r="B7" s="342" t="inlineStr">
        <is>
          <t xml:space="preserve">  💰  REVENUE  (auto-pulled from Daily Log)</t>
        </is>
      </c>
      <c r="C7" s="311" t="n"/>
      <c r="D7" s="311" t="n"/>
      <c r="E7" s="311" t="n"/>
      <c r="F7" s="311" t="n"/>
      <c r="G7" s="311" t="n"/>
      <c r="H7" s="311" t="n"/>
      <c r="I7" s="311" t="n"/>
      <c r="J7" s="311" t="n"/>
      <c r="K7" s="311" t="n"/>
      <c r="L7" s="311" t="n"/>
      <c r="M7" s="311" t="n"/>
    </row>
    <row r="8" ht="6" customHeight="1" s="313"/>
    <row r="9" ht="18" customHeight="1" s="313">
      <c r="B9" s="330" t="inlineStr">
        <is>
          <t>TODAY'S REVENUE</t>
        </is>
      </c>
      <c r="C9" s="328" t="n"/>
      <c r="D9" s="330" t="inlineStr">
        <is>
          <t>WEEK REVENUE</t>
        </is>
      </c>
      <c r="E9" s="328" t="n"/>
      <c r="F9" s="330" t="inlineStr">
        <is>
          <t>MONTH REVENUE</t>
        </is>
      </c>
      <c r="G9" s="328" t="n"/>
      <c r="H9" s="330" t="inlineStr">
        <is>
          <t>TODAY'S EXPENSES</t>
        </is>
      </c>
      <c r="I9" s="328" t="n"/>
      <c r="J9" s="330" t="inlineStr">
        <is>
          <t>TODAY'S NET PROFIT</t>
        </is>
      </c>
      <c r="K9" s="328" t="n"/>
      <c r="L9" s="330" t="inlineStr">
        <is>
          <t>AVG TICKET</t>
        </is>
      </c>
      <c r="M9" s="328" t="n"/>
    </row>
    <row r="10" ht="19.5" customHeight="1" s="313">
      <c r="B10" s="361">
        <f>'📅 Daily Log'!F6</f>
        <v/>
      </c>
      <c r="C10" s="333" t="n"/>
      <c r="D10" s="332">
        <f>'📅 Daily Log'!N6</f>
        <v/>
      </c>
      <c r="E10" s="333" t="n"/>
      <c r="F10" s="357">
        <f>'📅 Daily Log'!O6</f>
        <v/>
      </c>
      <c r="G10" s="333" t="n"/>
      <c r="H10" s="337">
        <f>'📅 Daily Log'!H6</f>
        <v/>
      </c>
      <c r="I10" s="333" t="n"/>
      <c r="J10" s="361">
        <f>'📅 Daily Log'!I6</f>
        <v/>
      </c>
      <c r="K10" s="333" t="n"/>
      <c r="L10" s="378">
        <f>IFERROR('📅 Daily Log'!F6/'📅 Daily Log'!G6,0)</f>
        <v/>
      </c>
      <c r="M10" s="333" t="n"/>
    </row>
    <row r="11" ht="19.5" customHeight="1" s="313">
      <c r="B11" s="334" t="n"/>
      <c r="D11" s="334" t="n"/>
      <c r="F11" s="334" t="n"/>
      <c r="H11" s="334" t="n"/>
      <c r="J11" s="334" t="n"/>
      <c r="L11" s="334" t="n"/>
    </row>
    <row r="12" ht="19.5" customHeight="1" s="313">
      <c r="B12" s="334" t="n"/>
      <c r="D12" s="334" t="n"/>
      <c r="F12" s="334" t="n"/>
      <c r="H12" s="334" t="n"/>
      <c r="J12" s="334" t="n"/>
      <c r="L12" s="334" t="n"/>
    </row>
    <row r="13" ht="9.75" customHeight="1" s="313"/>
    <row r="14" ht="19.5" customHeight="1" s="313">
      <c r="B14" s="342" t="inlineStr">
        <is>
          <t xml:space="preserve">  📊  OPERATIONS</t>
        </is>
      </c>
      <c r="C14" s="311" t="n"/>
      <c r="D14" s="311" t="n"/>
      <c r="E14" s="311" t="n"/>
      <c r="F14" s="311" t="n"/>
      <c r="G14" s="311" t="n"/>
      <c r="H14" s="311" t="n"/>
      <c r="I14" s="311" t="n"/>
      <c r="J14" s="311" t="n"/>
      <c r="K14" s="311" t="n"/>
      <c r="L14" s="311" t="n"/>
      <c r="M14" s="311" t="n"/>
    </row>
    <row r="15" ht="6" customHeight="1" s="313"/>
    <row r="16" ht="18" customHeight="1" s="313">
      <c r="B16" s="330" t="inlineStr">
        <is>
          <t>TODAY'S ORDERS</t>
        </is>
      </c>
      <c r="C16" s="328" t="n"/>
      <c r="D16" s="330" t="inlineStr">
        <is>
          <t>WEEK ORDERS</t>
        </is>
      </c>
      <c r="E16" s="328" t="n"/>
      <c r="F16" s="330" t="inlineStr">
        <is>
          <t>PROFIT MARGIN %</t>
        </is>
      </c>
      <c r="G16" s="328" t="n"/>
      <c r="H16" s="330" t="inlineStr">
        <is>
          <t>LOW STOCK ITEMS</t>
        </is>
      </c>
      <c r="I16" s="328" t="n"/>
      <c r="J16" s="330" t="inlineStr">
        <is>
          <t>WEEK EXPENSES</t>
        </is>
      </c>
      <c r="K16" s="328" t="n"/>
      <c r="L16" s="330" t="inlineStr">
        <is>
          <t>PENDING ORDERS</t>
        </is>
      </c>
      <c r="M16" s="328" t="n"/>
    </row>
    <row r="17" ht="19.5" customHeight="1" s="313">
      <c r="B17" s="363">
        <f>'📅 Daily Log'!G6</f>
        <v/>
      </c>
      <c r="C17" s="333" t="n"/>
      <c r="D17" s="363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333" t="n"/>
      <c r="F17" s="367">
        <f>IFERROR('📅 Daily Log'!J6,0)</f>
        <v/>
      </c>
      <c r="G17" s="333" t="n"/>
      <c r="H17" s="368">
        <f>'📦 Inventory'!H5</f>
        <v/>
      </c>
      <c r="I17" s="333" t="n"/>
      <c r="J17" s="337">
        <f>'📅 Daily Log'!P6</f>
        <v/>
      </c>
      <c r="K17" s="333" t="n"/>
      <c r="L17" s="339">
        <f>'🚚 Suppliers'!H5</f>
        <v/>
      </c>
      <c r="M17" s="333" t="n"/>
    </row>
    <row r="18" ht="19.5" customHeight="1" s="313">
      <c r="B18" s="334" t="n"/>
      <c r="D18" s="334" t="n"/>
      <c r="F18" s="334" t="n"/>
      <c r="H18" s="334" t="n"/>
      <c r="J18" s="334" t="n"/>
      <c r="L18" s="334" t="n"/>
    </row>
    <row r="19" ht="19.5" customHeight="1" s="313">
      <c r="B19" s="334" t="n"/>
      <c r="D19" s="334" t="n"/>
      <c r="F19" s="334" t="n"/>
      <c r="H19" s="334" t="n"/>
      <c r="J19" s="334" t="n"/>
      <c r="L19" s="334" t="n"/>
    </row>
    <row r="20" ht="9.75" customHeight="1" s="313"/>
    <row r="21" ht="19.5" customHeight="1" s="313">
      <c r="B21" s="342" t="inlineStr">
        <is>
          <t xml:space="preserve">  📅  LAST 10 DAYS  (from Daily Log — updates automatically)</t>
        </is>
      </c>
      <c r="C21" s="311" t="n"/>
      <c r="D21" s="311" t="n"/>
      <c r="E21" s="311" t="n"/>
      <c r="F21" s="311" t="n"/>
      <c r="G21" s="311" t="n"/>
      <c r="H21" s="311" t="n"/>
      <c r="I21" s="311" t="n"/>
      <c r="J21" s="311" t="n"/>
      <c r="K21" s="311" t="n"/>
      <c r="L21" s="311" t="n"/>
      <c r="M21" s="311" t="n"/>
    </row>
    <row r="22" ht="27.75" customHeight="1" s="313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58" t="inlineStr">
        <is>
          <t>vs Prev Day</t>
        </is>
      </c>
      <c r="L22" s="328" t="n"/>
      <c r="M22" s="324" t="n"/>
    </row>
    <row r="23" ht="16.5" customHeight="1" s="313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44" t="inlineStr">
        <is>
          <t>—</t>
        </is>
      </c>
      <c r="L23" s="328" t="n"/>
      <c r="M23" s="324" t="n"/>
    </row>
    <row r="24" ht="16.5" customHeight="1" s="313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27">
        <f>IFERROR(IF(D24&gt;D23,"▲ +"&amp;TEXT(D24-D23,"$#,##0"),IF(D24&lt;D23,"▼ "&amp;TEXT(D24-D23,"$#,##0"),"— same")),"")</f>
        <v/>
      </c>
      <c r="L24" s="328" t="n"/>
      <c r="M24" s="324" t="n"/>
    </row>
    <row r="25" ht="16.5" customHeight="1" s="313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44">
        <f>IFERROR(IF(D25&gt;D24,"▲ +"&amp;TEXT(D25-D24,"$#,##0"),IF(D25&lt;D24,"▼ "&amp;TEXT(D25-D24,"$#,##0"),"— same")),"")</f>
        <v/>
      </c>
      <c r="L25" s="328" t="n"/>
      <c r="M25" s="324" t="n"/>
    </row>
    <row r="26" ht="16.5" customHeight="1" s="313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27">
        <f>IFERROR(IF(D26&gt;D25,"▲ +"&amp;TEXT(D26-D25,"$#,##0"),IF(D26&lt;D25,"▼ "&amp;TEXT(D26-D25,"$#,##0"),"— same")),"")</f>
        <v/>
      </c>
      <c r="L26" s="328" t="n"/>
      <c r="M26" s="324" t="n"/>
    </row>
    <row r="27" ht="16.5" customHeight="1" s="313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44">
        <f>IFERROR(IF(D27&gt;D26,"▲ +"&amp;TEXT(D27-D26,"$#,##0"),IF(D27&lt;D26,"▼ "&amp;TEXT(D27-D26,"$#,##0"),"— same")),"")</f>
        <v/>
      </c>
      <c r="L27" s="328" t="n"/>
      <c r="M27" s="324" t="n"/>
    </row>
    <row r="28" ht="16.5" customHeight="1" s="313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27">
        <f>IFERROR(IF(D28&gt;D27,"▲ +"&amp;TEXT(D28-D27,"$#,##0"),IF(D28&lt;D27,"▼ "&amp;TEXT(D28-D27,"$#,##0"),"— same")),"")</f>
        <v/>
      </c>
      <c r="L28" s="328" t="n"/>
      <c r="M28" s="324" t="n"/>
    </row>
    <row r="29" ht="16.5" customHeight="1" s="313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44">
        <f>IFERROR(IF(D29&gt;D28,"▲ +"&amp;TEXT(D29-D28,"$#,##0"),IF(D29&lt;D28,"▼ "&amp;TEXT(D29-D28,"$#,##0"),"— same")),"")</f>
        <v/>
      </c>
      <c r="L29" s="328" t="n"/>
      <c r="M29" s="324" t="n"/>
    </row>
    <row r="30" ht="16.5" customHeight="1" s="313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27">
        <f>IFERROR(IF(D30&gt;D29,"▲ +"&amp;TEXT(D30-D29,"$#,##0"),IF(D30&lt;D29,"▼ "&amp;TEXT(D30-D29,"$#,##0"),"— same")),"")</f>
        <v/>
      </c>
      <c r="L30" s="328" t="n"/>
      <c r="M30" s="324" t="n"/>
    </row>
    <row r="31" ht="16.5" customHeight="1" s="313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44">
        <f>IFERROR(IF(D31&gt;D30,"▲ +"&amp;TEXT(D31-D30,"$#,##0"),IF(D31&lt;D30,"▼ "&amp;TEXT(D31-D30,"$#,##0"),"— same")),"")</f>
        <v/>
      </c>
      <c r="L31" s="328" t="n"/>
      <c r="M31" s="324" t="n"/>
    </row>
    <row r="32" ht="16.5" customHeight="1" s="313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27">
        <f>IFERROR(IF(D32&gt;D31,"▲ +"&amp;TEXT(D32-D31,"$#,##0"),IF(D32&lt;D31,"▼ "&amp;TEXT(D32-D31,"$#,##0"),"— same")),"")</f>
        <v/>
      </c>
      <c r="L32" s="328" t="n"/>
      <c r="M32" s="324" t="n"/>
    </row>
    <row r="33" ht="9.75" customHeight="1" s="313"/>
    <row r="34" ht="19.5" customHeight="1" s="313">
      <c r="B34" s="342" t="inlineStr">
        <is>
          <t xml:space="preserve">  ⚠️  INVENTORY ALERTS  (from Inventory sheet)</t>
        </is>
      </c>
      <c r="C34" s="311" t="n"/>
      <c r="D34" s="311" t="n"/>
      <c r="E34" s="311" t="n"/>
      <c r="F34" s="311" t="n"/>
      <c r="G34" s="311" t="n"/>
      <c r="H34" s="311" t="n"/>
      <c r="I34" s="311" t="n"/>
      <c r="J34" s="311" t="n"/>
      <c r="K34" s="311" t="n"/>
      <c r="L34" s="311" t="n"/>
      <c r="M34" s="311" t="n"/>
    </row>
    <row r="35" ht="27.75" customHeight="1" s="313">
      <c r="B35" s="323" t="inlineStr">
        <is>
          <t>Ingredient</t>
        </is>
      </c>
      <c r="C35" s="328" t="n"/>
      <c r="D35" s="324" t="n"/>
      <c r="E35" s="6" t="n"/>
      <c r="F35" s="323" t="inlineStr">
        <is>
          <t>Min Level</t>
        </is>
      </c>
      <c r="G35" s="324" t="n"/>
      <c r="H35" s="323" t="inlineStr">
        <is>
          <t>Status</t>
        </is>
      </c>
      <c r="I35" s="324" t="n"/>
      <c r="J35" s="323" t="inlineStr">
        <is>
          <t>Action Needed</t>
        </is>
      </c>
      <c r="K35" s="328" t="n"/>
      <c r="L35" s="328" t="n"/>
      <c r="M35" s="324" t="n"/>
    </row>
    <row r="36" ht="16.5" customHeight="1" s="313">
      <c r="B36" s="365">
        <f>'📦 Inventory'!B9</f>
        <v/>
      </c>
      <c r="C36" s="328" t="n"/>
      <c r="D36" s="328" t="n"/>
      <c r="E36" s="352">
        <f>'📦 Inventory'!E9</f>
        <v/>
      </c>
      <c r="F36" s="328" t="n"/>
      <c r="G36" s="360">
        <f>'📦 Inventory'!F9</f>
        <v/>
      </c>
      <c r="H36" s="328" t="n"/>
      <c r="I36" s="335">
        <f>'📦 Inventory'!J9</f>
        <v/>
      </c>
      <c r="J36" s="328" t="n"/>
      <c r="K36" s="335">
        <f>IF('📦 Inventory'!E9=0,"🚫 Order immediately",IF('📦 Inventory'!E9&lt;='📦 Inventory'!F9,"⚠️ Reorder soon","✅ OK"))</f>
        <v/>
      </c>
      <c r="L36" s="328" t="n"/>
      <c r="M36" s="328" t="n"/>
    </row>
    <row r="37" ht="16.5" customHeight="1" s="313">
      <c r="B37" s="343">
        <f>'📦 Inventory'!B10</f>
        <v/>
      </c>
      <c r="C37" s="328" t="n"/>
      <c r="D37" s="328" t="n"/>
      <c r="E37" s="374">
        <f>'📦 Inventory'!E10</f>
        <v/>
      </c>
      <c r="F37" s="328" t="n"/>
      <c r="G37" s="375">
        <f>'📦 Inventory'!F10</f>
        <v/>
      </c>
      <c r="H37" s="328" t="n"/>
      <c r="I37" s="376">
        <f>'📦 Inventory'!J10</f>
        <v/>
      </c>
      <c r="J37" s="328" t="n"/>
      <c r="K37" s="376">
        <f>IF('📦 Inventory'!E10=0,"🚫 Order immediately",IF('📦 Inventory'!E10&lt;='📦 Inventory'!F10,"⚠️ Reorder soon","✅ OK"))</f>
        <v/>
      </c>
      <c r="L37" s="328" t="n"/>
      <c r="M37" s="328" t="n"/>
    </row>
    <row r="38" ht="16.5" customHeight="1" s="313">
      <c r="B38" s="365">
        <f>'📦 Inventory'!B11</f>
        <v/>
      </c>
      <c r="C38" s="328" t="n"/>
      <c r="D38" s="328" t="n"/>
      <c r="E38" s="352">
        <f>'📦 Inventory'!E11</f>
        <v/>
      </c>
      <c r="F38" s="328" t="n"/>
      <c r="G38" s="360">
        <f>'📦 Inventory'!F11</f>
        <v/>
      </c>
      <c r="H38" s="328" t="n"/>
      <c r="I38" s="335">
        <f>'📦 Inventory'!J11</f>
        <v/>
      </c>
      <c r="J38" s="328" t="n"/>
      <c r="K38" s="335">
        <f>IF('📦 Inventory'!E11=0,"🚫 Order immediately",IF('📦 Inventory'!E11&lt;='📦 Inventory'!F11,"⚠️ Reorder soon","✅ OK"))</f>
        <v/>
      </c>
      <c r="L38" s="328" t="n"/>
      <c r="M38" s="328" t="n"/>
    </row>
    <row r="39" ht="16.5" customHeight="1" s="313">
      <c r="B39" s="343">
        <f>'📦 Inventory'!B12</f>
        <v/>
      </c>
      <c r="C39" s="328" t="n"/>
      <c r="D39" s="328" t="n"/>
      <c r="E39" s="374">
        <f>'📦 Inventory'!E12</f>
        <v/>
      </c>
      <c r="F39" s="328" t="n"/>
      <c r="G39" s="375">
        <f>'📦 Inventory'!F12</f>
        <v/>
      </c>
      <c r="H39" s="328" t="n"/>
      <c r="I39" s="376">
        <f>'📦 Inventory'!J12</f>
        <v/>
      </c>
      <c r="J39" s="328" t="n"/>
      <c r="K39" s="376">
        <f>IF('📦 Inventory'!E12=0,"🚫 Order immediately",IF('📦 Inventory'!E12&lt;='📦 Inventory'!F12,"⚠️ Reorder soon","✅ OK"))</f>
        <v/>
      </c>
      <c r="L39" s="328" t="n"/>
      <c r="M39" s="328" t="n"/>
    </row>
    <row r="40" ht="16.5" customHeight="1" s="313">
      <c r="B40" s="365">
        <f>'📦 Inventory'!B13</f>
        <v/>
      </c>
      <c r="C40" s="328" t="n"/>
      <c r="D40" s="328" t="n"/>
      <c r="E40" s="352">
        <f>'📦 Inventory'!E13</f>
        <v/>
      </c>
      <c r="F40" s="328" t="n"/>
      <c r="G40" s="360">
        <f>'📦 Inventory'!F13</f>
        <v/>
      </c>
      <c r="H40" s="328" t="n"/>
      <c r="I40" s="335">
        <f>'📦 Inventory'!J13</f>
        <v/>
      </c>
      <c r="J40" s="328" t="n"/>
      <c r="K40" s="335">
        <f>IF('📦 Inventory'!E13=0,"🚫 Order immediately",IF('📦 Inventory'!E13&lt;='📦 Inventory'!F13,"⚠️ Reorder soon","✅ OK"))</f>
        <v/>
      </c>
      <c r="L40" s="328" t="n"/>
      <c r="M40" s="328" t="n"/>
    </row>
    <row r="41" ht="7.5" customHeight="1" s="313"/>
    <row r="42" ht="30" customHeight="1" s="313">
      <c r="B42" s="402" t="inlineStr">
        <is>
          <t>💼  CAPITAL &amp; ACQUISITION STATUS  —  live from Capital &amp; Ownership sheet</t>
        </is>
      </c>
    </row>
    <row r="43" ht="6" customHeight="1" s="313"/>
    <row r="44" ht="16.05" customHeight="1" s="313">
      <c r="B44" s="377" t="inlineStr">
        <is>
          <t>TOTAL BUDGET</t>
        </is>
      </c>
      <c r="C44" s="322" t="n"/>
      <c r="D44" s="386" t="inlineStr">
        <is>
          <t>TOTAL CASH OUT</t>
        </is>
      </c>
      <c r="E44" s="322" t="n"/>
      <c r="F44" s="387" t="inlineStr">
        <is>
          <t>REMAINING BUDGET</t>
        </is>
      </c>
      <c r="G44" s="322" t="n"/>
      <c r="H44" s="383" t="inlineStr">
        <is>
          <t>ACQUISITION PRICE</t>
        </is>
      </c>
      <c r="I44" s="322" t="n"/>
      <c r="J44" s="380" t="inlineStr">
        <is>
          <t>ADVANCE PAID</t>
        </is>
      </c>
      <c r="K44" s="322" t="n"/>
      <c r="L44" s="369" t="inlineStr">
        <is>
          <t>BALANCE PENDING</t>
        </is>
      </c>
      <c r="M44" s="322" t="n"/>
    </row>
    <row r="45" ht="22.05" customHeight="1" s="313">
      <c r="B45" s="379">
        <f>'Capital &amp; Ownership'!C75</f>
        <v/>
      </c>
      <c r="C45" s="322" t="n"/>
      <c r="D45" s="341">
        <f>'Capital &amp; Ownership'!C86</f>
        <v/>
      </c>
      <c r="E45" s="322" t="n"/>
      <c r="F45" s="362">
        <f>'Capital &amp; Ownership'!C87</f>
        <v/>
      </c>
      <c r="G45" s="322" t="n"/>
      <c r="H45" s="350">
        <f>'Capital &amp; Ownership'!C76</f>
        <v/>
      </c>
      <c r="I45" s="322" t="n"/>
      <c r="J45" s="346">
        <f>'Capital &amp; Ownership'!C77</f>
        <v/>
      </c>
      <c r="K45" s="322" t="n"/>
      <c r="L45" s="347">
        <f>'Capital &amp; Ownership'!C78</f>
        <v/>
      </c>
      <c r="M45" s="322" t="n"/>
    </row>
    <row r="46" ht="16.05" customHeight="1" s="313">
      <c r="B46" s="381" t="inlineStr">
        <is>
          <t>All 3 partners</t>
        </is>
      </c>
      <c r="C46" s="322" t="n"/>
      <c r="D46" s="382" t="inlineStr">
        <is>
          <t>Excl. internal transfers</t>
        </is>
      </c>
      <c r="E46" s="322" t="n"/>
      <c r="F46" s="366" t="inlineStr">
        <is>
          <t>Available for operations</t>
        </is>
      </c>
      <c r="G46" s="322" t="n"/>
      <c r="H46" s="384" t="inlineStr">
        <is>
          <t>To previous owners</t>
        </is>
      </c>
      <c r="I46" s="322" t="n"/>
      <c r="J46" s="370" t="inlineStr">
        <is>
          <t>✅ Paid by Lohith</t>
        </is>
      </c>
      <c r="K46" s="322" t="n"/>
      <c r="L46" s="371" t="inlineStr">
        <is>
          <t>⏳ Outstanding</t>
        </is>
      </c>
      <c r="M46" s="322" t="n"/>
    </row>
    <row r="47" ht="7.95" customHeight="1" s="313"/>
    <row r="48" ht="22.05" customHeight="1" s="313">
      <c r="B48" s="403" t="inlineStr">
        <is>
          <t xml:space="preserve">  👥  OWNER CAPITAL SUMMARY</t>
        </is>
      </c>
    </row>
    <row r="49" ht="19.95" customHeight="1" s="313">
      <c r="B49" s="354" t="inlineStr">
        <is>
          <t>OWNER</t>
        </is>
      </c>
      <c r="C49" s="322" t="n"/>
      <c r="D49" s="354" t="inlineStr">
        <is>
          <t>SHARE %</t>
        </is>
      </c>
      <c r="E49" s="322" t="n"/>
      <c r="F49" s="354" t="inlineStr">
        <is>
          <t>CAPITAL ($)</t>
        </is>
      </c>
      <c r="G49" s="354" t="inlineStr">
        <is>
          <t>ROLE</t>
        </is>
      </c>
      <c r="H49" s="354" t="inlineStr">
        <is>
          <t>EXPENSES ($)</t>
        </is>
      </c>
      <c r="I49" s="322" t="n"/>
      <c r="J49" s="354" t="inlineStr">
        <is>
          <t>REMAINING ($)</t>
        </is>
      </c>
      <c r="K49" s="322" t="n"/>
      <c r="L49" s="354" t="inlineStr">
        <is>
          <t>% SPENT</t>
        </is>
      </c>
      <c r="M49" s="322" t="n"/>
    </row>
    <row r="50" ht="19.95" customHeight="1" s="313">
      <c r="B50" s="353">
        <f>'Capital &amp; Ownership'!B6</f>
        <v/>
      </c>
      <c r="C50" s="322" t="n"/>
      <c r="D50" s="340">
        <f>'Capital &amp; Ownership'!C6</f>
        <v/>
      </c>
      <c r="E50" s="322" t="n"/>
      <c r="F50" s="348">
        <f>'Capital &amp; Ownership'!D6</f>
        <v/>
      </c>
      <c r="G50" s="331" t="inlineStr">
        <is>
          <t>50% — Managing Partner</t>
        </is>
      </c>
      <c r="H50" s="348">
        <f>'Capital &amp; Ownership'!E6</f>
        <v/>
      </c>
      <c r="I50" s="322" t="n"/>
      <c r="J50" s="348">
        <f>'Capital &amp; Ownership'!F6</f>
        <v/>
      </c>
      <c r="K50" s="322" t="n"/>
      <c r="L50" s="340">
        <f>IFERROR('Capital &amp; Ownership'!E6/'Capital &amp; Ownership'!D6,0)</f>
        <v/>
      </c>
      <c r="M50" s="322" t="n"/>
    </row>
    <row r="51" ht="19.95" customHeight="1" s="313">
      <c r="B51" s="355">
        <f>'Capital &amp; Ownership'!B7</f>
        <v/>
      </c>
      <c r="C51" s="322" t="n"/>
      <c r="D51" s="356">
        <f>'Capital &amp; Ownership'!C7</f>
        <v/>
      </c>
      <c r="E51" s="322" t="n"/>
      <c r="F51" s="372">
        <f>'Capital &amp; Ownership'!D7</f>
        <v/>
      </c>
      <c r="G51" s="26" t="inlineStr">
        <is>
          <t>30% — Partner</t>
        </is>
      </c>
      <c r="H51" s="372">
        <f>'Capital &amp; Ownership'!E7</f>
        <v/>
      </c>
      <c r="I51" s="322" t="n"/>
      <c r="J51" s="372">
        <f>'Capital &amp; Ownership'!F7</f>
        <v/>
      </c>
      <c r="K51" s="322" t="n"/>
      <c r="L51" s="356">
        <f>IFERROR('Capital &amp; Ownership'!E7/'Capital &amp; Ownership'!D7,0)</f>
        <v/>
      </c>
      <c r="M51" s="322" t="n"/>
    </row>
    <row r="52" ht="19.95" customHeight="1" s="313">
      <c r="B52" s="353">
        <f>'Capital &amp; Ownership'!B8</f>
        <v/>
      </c>
      <c r="C52" s="322" t="n"/>
      <c r="D52" s="340">
        <f>'Capital &amp; Ownership'!C8</f>
        <v/>
      </c>
      <c r="E52" s="322" t="n"/>
      <c r="F52" s="348">
        <f>'Capital &amp; Ownership'!D8</f>
        <v/>
      </c>
      <c r="G52" s="331" t="inlineStr">
        <is>
          <t>20% — Partner</t>
        </is>
      </c>
      <c r="H52" s="348">
        <f>'Capital &amp; Ownership'!E8</f>
        <v/>
      </c>
      <c r="I52" s="322" t="n"/>
      <c r="J52" s="348">
        <f>'Capital &amp; Ownership'!F8</f>
        <v/>
      </c>
      <c r="K52" s="322" t="n"/>
      <c r="L52" s="340">
        <f>IFERROR('Capital &amp; Ownership'!E8/'Capital &amp; Ownership'!D8,0)</f>
        <v/>
      </c>
      <c r="M52" s="322" t="n"/>
    </row>
    <row r="53" ht="22.05" customHeight="1" s="313">
      <c r="B53" s="364" t="inlineStr">
        <is>
          <t>TOTAL</t>
        </is>
      </c>
      <c r="C53" s="322" t="n"/>
      <c r="D53" s="338">
        <f>'Capital &amp; Ownership'!C9</f>
        <v/>
      </c>
      <c r="E53" s="322" t="n"/>
      <c r="F53" s="321">
        <f>'Capital &amp; Ownership'!D9</f>
        <v/>
      </c>
      <c r="G53" s="354" t="n"/>
      <c r="H53" s="321">
        <f>'Capital &amp; Ownership'!E9</f>
        <v/>
      </c>
      <c r="I53" s="322" t="n"/>
      <c r="J53" s="321">
        <f>'Capital &amp; Ownership'!F9</f>
        <v/>
      </c>
      <c r="K53" s="322" t="n"/>
      <c r="L53" s="338">
        <f>IFERROR('Capital &amp; Ownership'!E9/'Capital &amp; Ownership'!D9,0)</f>
        <v/>
      </c>
      <c r="M53" s="322" t="n"/>
    </row>
    <row r="54" ht="7.95" customHeight="1" s="313"/>
    <row r="55" ht="22.05" customHeight="1" s="313">
      <c r="B55" s="403" t="inlineStr">
        <is>
          <t xml:space="preserve">  🧾  PRE-OPENING EXPENSES BREAKDOWN</t>
        </is>
      </c>
    </row>
    <row r="56" ht="19.95" customHeight="1" s="313">
      <c r="B56" s="354" t="inlineStr">
        <is>
          <t>EXPENSE ITEM</t>
        </is>
      </c>
      <c r="C56" s="326" t="n"/>
      <c r="D56" s="322" t="n"/>
      <c r="E56" s="354" t="inlineStr">
        <is>
          <t>PAID BY</t>
        </is>
      </c>
      <c r="F56" s="322" t="n"/>
      <c r="G56" s="354" t="inlineStr">
        <is>
          <t>AMOUNT ($)</t>
        </is>
      </c>
      <c r="H56" s="322" t="n"/>
      <c r="I56" s="354" t="inlineStr">
        <is>
          <t>CATEGORY</t>
        </is>
      </c>
      <c r="J56" s="322" t="n"/>
      <c r="K56" s="354" t="inlineStr">
        <is>
          <t>STATUS</t>
        </is>
      </c>
      <c r="L56" s="322" t="n"/>
    </row>
    <row r="57" ht="19.95" customHeight="1" s="313">
      <c r="B57" s="336">
        <f>'Capital &amp; Ownership'!B13</f>
        <v/>
      </c>
      <c r="C57" s="326" t="n"/>
      <c r="D57" s="322" t="n"/>
      <c r="E57" s="359" t="inlineStr">
        <is>
          <t>All Partners</t>
        </is>
      </c>
      <c r="F57" s="322" t="n"/>
      <c r="G57" s="345">
        <f>'Capital &amp; Ownership'!D13</f>
        <v/>
      </c>
      <c r="H57" s="322" t="n"/>
      <c r="I57" s="359" t="inlineStr">
        <is>
          <t>Acquisition</t>
        </is>
      </c>
      <c r="J57" s="322" t="n"/>
      <c r="K57" s="359" t="inlineStr">
        <is>
          <t>⚠️ Not Fully Paid</t>
        </is>
      </c>
      <c r="L57" s="322" t="n"/>
    </row>
    <row r="58" ht="19.95" customHeight="1" s="313">
      <c r="B58" s="325">
        <f>'Capital &amp; Ownership'!B14</f>
        <v/>
      </c>
      <c r="C58" s="326" t="n"/>
      <c r="D58" s="322" t="n"/>
      <c r="E58" s="349" t="inlineStr">
        <is>
          <t>Lohith Reddy</t>
        </is>
      </c>
      <c r="F58" s="322" t="n"/>
      <c r="G58" s="351">
        <f>'Capital &amp; Ownership'!D14</f>
        <v/>
      </c>
      <c r="H58" s="322" t="n"/>
      <c r="I58" s="349" t="inlineStr">
        <is>
          <t>Acquisition Advance</t>
        </is>
      </c>
      <c r="J58" s="322" t="n"/>
      <c r="K58" s="349" t="inlineStr">
        <is>
          <t>✅ Paid</t>
        </is>
      </c>
      <c r="L58" s="322" t="n"/>
    </row>
    <row r="59" ht="19.95" customHeight="1" s="313">
      <c r="B59" s="325">
        <f>'Capital &amp; Ownership'!B35</f>
        <v/>
      </c>
      <c r="C59" s="326" t="n"/>
      <c r="D59" s="322" t="n"/>
      <c r="E59" s="349" t="inlineStr">
        <is>
          <t>Kashigoud Patil</t>
        </is>
      </c>
      <c r="F59" s="322" t="n"/>
      <c r="G59" s="351">
        <f>'Capital &amp; Ownership'!D35</f>
        <v/>
      </c>
      <c r="H59" s="322" t="n"/>
      <c r="I59" s="349" t="inlineStr">
        <is>
          <t>Software / License</t>
        </is>
      </c>
      <c r="J59" s="322" t="n"/>
      <c r="K59" s="349" t="inlineStr">
        <is>
          <t>✅ Paid</t>
        </is>
      </c>
      <c r="L59" s="322" t="n"/>
    </row>
    <row r="60" ht="19.95" customHeight="1" s="313">
      <c r="B60" s="325">
        <f>'Capital &amp; Ownership'!B36</f>
        <v/>
      </c>
      <c r="C60" s="326" t="n"/>
      <c r="D60" s="322" t="n"/>
      <c r="E60" s="349" t="inlineStr">
        <is>
          <t>Kashigoud Patil</t>
        </is>
      </c>
      <c r="F60" s="322" t="n"/>
      <c r="G60" s="351">
        <f>'Capital &amp; Ownership'!D36</f>
        <v/>
      </c>
      <c r="H60" s="322" t="n"/>
      <c r="I60" s="349" t="inlineStr">
        <is>
          <t>Equipment</t>
        </is>
      </c>
      <c r="J60" s="322" t="n"/>
      <c r="K60" s="349" t="inlineStr">
        <is>
          <t>✅ Paid</t>
        </is>
      </c>
      <c r="L60" s="322" t="n"/>
    </row>
    <row r="61" ht="19.95" customHeight="1" s="313">
      <c r="B61" s="353">
        <f>'Capital &amp; Ownership'!B47</f>
        <v/>
      </c>
      <c r="C61" s="326" t="n"/>
      <c r="D61" s="322" t="n"/>
      <c r="E61" s="331" t="inlineStr">
        <is>
          <t>Lohith Reddy</t>
        </is>
      </c>
      <c r="F61" s="322" t="n"/>
      <c r="G61" s="348">
        <f>'Capital &amp; Ownership'!D47</f>
        <v/>
      </c>
      <c r="H61" s="322" t="n"/>
      <c r="I61" s="331" t="inlineStr">
        <is>
          <t>Legal / Notary</t>
        </is>
      </c>
      <c r="J61" s="322" t="n"/>
      <c r="K61" s="331" t="inlineStr">
        <is>
          <t>✅ Paid</t>
        </is>
      </c>
      <c r="L61" s="322" t="n"/>
    </row>
    <row r="62" ht="19.95" customHeight="1" s="313">
      <c r="B62" s="353">
        <f>'Capital &amp; Ownership'!B50</f>
        <v/>
      </c>
      <c r="C62" s="326" t="n"/>
      <c r="D62" s="322" t="n"/>
      <c r="E62" s="331" t="inlineStr">
        <is>
          <t>Lohith Reddy</t>
        </is>
      </c>
      <c r="F62" s="322" t="n"/>
      <c r="G62" s="348">
        <f>'Capital &amp; Ownership'!D50</f>
        <v/>
      </c>
      <c r="H62" s="322" t="n"/>
      <c r="I62" s="331" t="inlineStr">
        <is>
          <t>Legal / Insurance</t>
        </is>
      </c>
      <c r="J62" s="322" t="n"/>
      <c r="K62" s="331" t="inlineStr">
        <is>
          <t>✅ Paid</t>
        </is>
      </c>
      <c r="L62" s="322" t="n"/>
    </row>
    <row r="63" ht="19.95" customHeight="1" s="313">
      <c r="B63" s="353">
        <f>'Capital &amp; Ownership'!B51</f>
        <v/>
      </c>
      <c r="C63" s="326" t="n"/>
      <c r="D63" s="322" t="n"/>
      <c r="E63" s="331" t="inlineStr">
        <is>
          <t>Lohith Reddy</t>
        </is>
      </c>
      <c r="F63" s="322" t="n"/>
      <c r="G63" s="348">
        <f>'Capital &amp; Ownership'!D51</f>
        <v/>
      </c>
      <c r="H63" s="322" t="n"/>
      <c r="I63" s="331" t="inlineStr">
        <is>
          <t>Professional Services</t>
        </is>
      </c>
      <c r="J63" s="322" t="n"/>
      <c r="K63" s="331" t="inlineStr">
        <is>
          <t>✅ Paid</t>
        </is>
      </c>
      <c r="L63" s="322" t="n"/>
    </row>
    <row r="64" ht="19.95" customHeight="1" s="313">
      <c r="B64" s="385" t="inlineStr">
        <is>
          <t xml:space="preserve">  ℹ️  Internal transfers:  Kashigoud → Lohith  $125,000  |  Shashirekha → Lohith  $100,000  (not counted as expenses — capital reallocation only)</t>
        </is>
      </c>
      <c r="C64" s="326" t="n"/>
      <c r="D64" s="326" t="n"/>
      <c r="E64" s="326" t="n"/>
      <c r="F64" s="326" t="n"/>
      <c r="G64" s="326" t="n"/>
      <c r="H64" s="326" t="n"/>
      <c r="I64" s="326" t="n"/>
      <c r="J64" s="326" t="n"/>
      <c r="K64" s="326" t="n"/>
      <c r="L64" s="326" t="n"/>
      <c r="M64" s="322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abSelected="1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13" min="1" max="1"/>
    <col width="18" customWidth="1" style="313" min="2" max="2"/>
    <col width="16" customWidth="1" style="313" min="3" max="5"/>
    <col width="12" customWidth="1" style="313" min="6" max="6"/>
    <col width="14" customWidth="1" style="313" min="7" max="7"/>
    <col width="16" customWidth="1" style="313" min="8" max="9"/>
    <col width="12" customWidth="1" style="313" min="10" max="10"/>
    <col width="30" customWidth="1" style="313" min="11" max="11"/>
    <col width="16" customWidth="1" style="313" min="12" max="17"/>
    <col width="14.33203125" bestFit="1" customWidth="1" style="313" min="21" max="21"/>
    <col width="13" customWidth="1" style="313" min="22" max="24"/>
    <col width="14.33203125" customWidth="1" style="313" min="25" max="25"/>
    <col width="13" customWidth="1" style="313" min="26" max="28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13">
      <c r="A2" s="399" t="inlineStr">
        <is>
          <t>📅  LOKA — DAILY LOG</t>
        </is>
      </c>
      <c r="I2" s="400" t="inlineStr">
        <is>
          <t>Enter 2 values from Soft App each day → everything else calculates</t>
        </is>
      </c>
    </row>
    <row r="3" ht="3.75" customHeight="1" s="313">
      <c r="A3" s="401" t="n"/>
    </row>
    <row r="4" ht="7.5" customHeight="1" s="313"/>
    <row r="5" ht="49.5" customHeight="1" s="313">
      <c r="B5" s="310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11" t="n"/>
      <c r="D5" s="311" t="n"/>
      <c r="E5" s="311" t="n"/>
      <c r="F5" s="311" t="n"/>
      <c r="G5" s="311" t="n"/>
      <c r="H5" s="311" t="n"/>
      <c r="I5" s="311" t="n"/>
      <c r="J5" s="311" t="n"/>
      <c r="K5" s="311" t="n"/>
      <c r="L5" s="311" t="n"/>
      <c r="M5" s="311" t="n"/>
      <c r="N5" s="311" t="n"/>
      <c r="O5" s="311" t="n"/>
      <c r="P5" s="311" t="n"/>
    </row>
    <row r="6" ht="7.5" customHeight="1" s="313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313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13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>
        <f>SUMIFS('💸 Expenses'!$F$8:$F$500,'💸 Expenses'!$B$8:$B$500,"&gt;="&amp;B8,'💸 Expenses'!$B$8:$B$500,"&lt;"&amp;(B8+1))</f>
        <v/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/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13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>
        <f>SUMIFS('💸 Expenses'!$F$8:$F$500,'💸 Expenses'!$B$8:$B$500,"&gt;="&amp;B9,'💸 Expenses'!$B$8:$B$500,"&lt;"&amp;(B9+1))</f>
        <v/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/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13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>
        <f>SUMIFS('💸 Expenses'!$F$8:$F$500,'💸 Expenses'!$B$8:$B$500,"&gt;="&amp;B10,'💸 Expenses'!$B$8:$B$500,"&lt;"&amp;(B10+1))</f>
        <v/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/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13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>
        <f>SUMIFS('💸 Expenses'!$F$8:$F$500,'💸 Expenses'!$B$8:$B$500,"&gt;="&amp;B11,'💸 Expenses'!$B$8:$B$500,"&lt;"&amp;(B11+1))</f>
        <v/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/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13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>
        <f>SUMIFS('💸 Expenses'!$F$8:$F$500,'💸 Expenses'!$B$8:$B$500,"&gt;="&amp;B12,'💸 Expenses'!$B$8:$B$500,"&lt;"&amp;(B12+1))</f>
        <v/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/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13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>
        <f>SUMIFS('💸 Expenses'!$F$8:$F$500,'💸 Expenses'!$B$8:$B$500,"&gt;="&amp;B13,'💸 Expenses'!$B$8:$B$500,"&lt;"&amp;(B13+1))</f>
        <v/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/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13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>
        <f>SUMIFS('💸 Expenses'!$F$8:$F$500,'💸 Expenses'!$B$8:$B$500,"&gt;="&amp;B14,'💸 Expenses'!$B$8:$B$500,"&lt;"&amp;(B14+1))</f>
        <v/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/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13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>
        <f>SUMIFS('💸 Expenses'!$F$8:$F$500,'💸 Expenses'!$B$8:$B$500,"&gt;="&amp;B15,'💸 Expenses'!$B$8:$B$500,"&lt;"&amp;(B15+1))</f>
        <v/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/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13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>
        <f>SUMIFS('💸 Expenses'!$F$8:$F$500,'💸 Expenses'!$B$8:$B$500,"&gt;="&amp;B16,'💸 Expenses'!$B$8:$B$500,"&lt;"&amp;(B16+1))</f>
        <v/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/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13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>
        <f>SUMIFS('💸 Expenses'!$F$8:$F$500,'💸 Expenses'!$B$8:$B$500,"&gt;="&amp;B17,'💸 Expenses'!$B$8:$B$500,"&lt;"&amp;(B17+1))</f>
        <v/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/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13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>
        <f>SUMIFS('💸 Expenses'!$F$8:$F$500,'💸 Expenses'!$B$8:$B$500,"&gt;="&amp;B18,'💸 Expenses'!$B$8:$B$500,"&lt;"&amp;(B18+1))</f>
        <v/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/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13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>
        <f>SUMIFS('💸 Expenses'!$F$8:$F$500,'💸 Expenses'!$B$8:$B$500,"&gt;="&amp;B19,'💸 Expenses'!$B$8:$B$500,"&lt;"&amp;(B19+1))</f>
        <v/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/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13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>
        <f>SUMIFS('💸 Expenses'!$F$8:$F$500,'💸 Expenses'!$B$8:$B$500,"&gt;="&amp;B20,'💸 Expenses'!$B$8:$B$500,"&lt;"&amp;(B20+1))</f>
        <v/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/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13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>
        <f>SUMIFS('💸 Expenses'!$F$8:$F$500,'💸 Expenses'!$B$8:$B$500,"&gt;="&amp;B21,'💸 Expenses'!$B$8:$B$500,"&lt;"&amp;(B21+1))</f>
        <v/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/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13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>
        <f>SUMIFS('💸 Expenses'!$F$8:$F$500,'💸 Expenses'!$B$8:$B$500,"&gt;="&amp;B22,'💸 Expenses'!$B$8:$B$500,"&lt;"&amp;(B22+1))</f>
        <v/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/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13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>
        <f>SUMIFS('💸 Expenses'!$F$8:$F$500,'💸 Expenses'!$B$8:$B$500,"&gt;="&amp;B23,'💸 Expenses'!$B$8:$B$500,"&lt;"&amp;(B23+1))</f>
        <v/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/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13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>
        <f>SUMIFS('💸 Expenses'!$F$8:$F$500,'💸 Expenses'!$B$8:$B$500,"&gt;="&amp;B24,'💸 Expenses'!$B$8:$B$500,"&lt;"&amp;(B24+1))</f>
        <v/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/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13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>
        <f>SUMIFS('💸 Expenses'!$F$8:$F$500,'💸 Expenses'!$B$8:$B$500,"&gt;="&amp;B25,'💸 Expenses'!$B$8:$B$500,"&lt;"&amp;(B25+1))</f>
        <v/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/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13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>
        <f>SUMIFS('💸 Expenses'!$F$8:$F$500,'💸 Expenses'!$B$8:$B$500,"&gt;="&amp;B26,'💸 Expenses'!$B$8:$B$500,"&lt;"&amp;(B26+1))</f>
        <v/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/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13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>
        <f>SUMIFS('💸 Expenses'!$F$8:$F$500,'💸 Expenses'!$B$8:$B$500,"&gt;="&amp;B27,'💸 Expenses'!$B$8:$B$500,"&lt;"&amp;(B27+1))</f>
        <v/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/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13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Expenses'!$F$8:$F$500,'💸 Expenses'!$B$8:$B$500,"&gt;="&amp;B28,'💸 Expenses'!$B$8:$B$500,"&lt;"&amp;(B28+1))</f>
        <v/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/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13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>
        <f>SUMIFS('💸 Expenses'!$F$8:$F$500,'💸 Expenses'!$B$8:$B$500,"&gt;="&amp;B29,'💸 Expenses'!$B$8:$B$500,"&lt;"&amp;(B29+1))</f>
        <v/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/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13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>
        <f>SUMIFS('💸 Expenses'!$F$8:$F$500,'💸 Expenses'!$B$8:$B$500,"&gt;="&amp;B30,'💸 Expenses'!$B$8:$B$500,"&lt;"&amp;(B30+1))</f>
        <v/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/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13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>
        <f>SUMIFS('💸 Expenses'!$F$8:$F$500,'💸 Expenses'!$B$8:$B$500,"&gt;="&amp;B31,'💸 Expenses'!$B$8:$B$500,"&lt;"&amp;(B31+1))</f>
        <v/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/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13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>
        <f>SUMIFS('💸 Expenses'!$F$8:$F$500,'💸 Expenses'!$B$8:$B$500,"&gt;="&amp;B32,'💸 Expenses'!$B$8:$B$500,"&lt;"&amp;(B32+1))</f>
        <v/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/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13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>
        <f>SUMIFS('💸 Expenses'!$F$8:$F$500,'💸 Expenses'!$B$8:$B$500,"&gt;="&amp;B33,'💸 Expenses'!$B$8:$B$500,"&lt;"&amp;(B33+1))</f>
        <v/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/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13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>
        <f>SUMIFS('💸 Expenses'!$F$8:$F$500,'💸 Expenses'!$B$8:$B$500,"&gt;="&amp;B34,'💸 Expenses'!$B$8:$B$500,"&lt;"&amp;(B34+1))</f>
        <v/>
      </c>
      <c r="I34" s="41">
        <f>IFERROR(F34-H34,0)</f>
        <v/>
      </c>
      <c r="J34" s="42">
        <f>IFERROR(I34/F34,0)</f>
        <v/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/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13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/>
      </c>
      <c r="G35" s="51" t="n">
        <v>0</v>
      </c>
      <c r="H35" s="52">
        <f>SUMIFS('💸 Expenses'!$F$8:$F$500,'💸 Expenses'!$B$8:$B$500,"&gt;="&amp;B35,'💸 Expenses'!$B$8:$B$500,"&lt;"&amp;(B35+1))</f>
        <v/>
      </c>
      <c r="I35" s="53">
        <f>IFERROR(F35-H35,0)</f>
        <v/>
      </c>
      <c r="J35" s="54">
        <f>IFERROR(I35/F35,0)</f>
        <v/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/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13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/>
      </c>
      <c r="G36" s="39" t="n">
        <v>0</v>
      </c>
      <c r="H36" s="40">
        <f>SUMIFS('💸 Expenses'!$F$8:$F$500,'💸 Expenses'!$B$8:$B$500,"&gt;="&amp;B36,'💸 Expenses'!$B$8:$B$500,"&lt;"&amp;(B36+1))</f>
        <v/>
      </c>
      <c r="I36" s="41">
        <f>IFERROR(F36-H36,0)</f>
        <v/>
      </c>
      <c r="J36" s="42">
        <f>IFERROR(I36/F36,0)</f>
        <v/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/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13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/>
      </c>
      <c r="G37" s="51" t="n">
        <v>0</v>
      </c>
      <c r="H37" s="52">
        <f>SUMIFS('💸 Expenses'!$F$8:$F$500,'💸 Expenses'!$B$8:$B$500,"&gt;="&amp;B37,'💸 Expenses'!$B$8:$B$500,"&lt;"&amp;(B37+1))</f>
        <v/>
      </c>
      <c r="I37" s="53">
        <f>IFERROR(F37-H37,0)</f>
        <v/>
      </c>
      <c r="J37" s="54">
        <f>IFERROR(I37/F37,0)</f>
        <v/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/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13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/>
      </c>
      <c r="G38" s="39" t="n">
        <v>0</v>
      </c>
      <c r="H38" s="40">
        <f>SUMIFS('💸 Expenses'!$F$8:$F$500,'💸 Expenses'!$B$8:$B$500,"&gt;="&amp;B38,'💸 Expenses'!$B$8:$B$500,"&lt;"&amp;(B38+1))</f>
        <v/>
      </c>
      <c r="I38" s="41">
        <f>IFERROR(F38-H38,0)</f>
        <v/>
      </c>
      <c r="J38" s="42">
        <f>IFERROR(I38/F38,0)</f>
        <v/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/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13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/>
      </c>
      <c r="G39" s="51" t="n">
        <v>400</v>
      </c>
      <c r="H39" s="52">
        <f>SUMIFS('💸 Expenses'!$F$8:$F$500,'💸 Expenses'!$B$8:$B$500,"&gt;="&amp;B39,'💸 Expenses'!$B$8:$B$500,"&lt;"&amp;(B39+1))</f>
        <v/>
      </c>
      <c r="I39" s="53">
        <f>IFERROR(F39-H39,0)</f>
        <v/>
      </c>
      <c r="J39" s="54">
        <f>IFERROR(I39/F39,0)</f>
        <v/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/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13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/>
      </c>
      <c r="G40" s="39" t="n">
        <v>120</v>
      </c>
      <c r="H40" s="40">
        <f>SUMIFS('💸 Expenses'!$F$8:$F$500,'💸 Expenses'!$B$8:$B$500,"&gt;="&amp;B40,'💸 Expenses'!$B$8:$B$500,"&lt;"&amp;(B40+1))</f>
        <v/>
      </c>
      <c r="I40" s="41">
        <f>IFERROR(F40-H40,0)</f>
        <v/>
      </c>
      <c r="J40" s="42">
        <f>IFERROR(I40/F40,0)</f>
        <v/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/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13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IFERROR(D41+E41+G41,0)</f>
        <v/>
      </c>
      <c r="G41" s="257" t="n">
        <v>0</v>
      </c>
      <c r="H41" s="258">
        <f>SUMIFS('💸 Expenses'!$F$8:$F$500,'💸 Expenses'!$B$8:$B$500,"&gt;="&amp;B41,'💸 Expenses'!$B$8:$B$500,"&lt;"&amp;(B41+1))</f>
        <v/>
      </c>
      <c r="I41" s="259">
        <f>IFERROR(F41-H41,0)</f>
        <v/>
      </c>
      <c r="J41" s="260">
        <f>IFERROR(I41/F41,0)</f>
        <v/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/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13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IFERROR(D42+E42+G42,0)</f>
        <v/>
      </c>
      <c r="G42" s="272" t="n">
        <v>0</v>
      </c>
      <c r="H42" s="273">
        <f>SUMIFS('💸 Expenses'!$F$8:$F$500,'💸 Expenses'!$B$8:$B$500,"&gt;="&amp;B42,'💸 Expenses'!$B$8:$B$500,"&lt;"&amp;(B42+1))</f>
        <v/>
      </c>
      <c r="I42" s="274">
        <f>IFERROR(F42-H42,0)</f>
        <v/>
      </c>
      <c r="J42" s="275">
        <f>IFERROR(I42/F42,0)</f>
        <v/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/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13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IFERROR(D43+E43+G43,0)</f>
        <v/>
      </c>
      <c r="G43" s="257" t="n">
        <v>0</v>
      </c>
      <c r="H43" s="258">
        <f>SUMIFS('💸 Expenses'!$F$8:$F$500,'💸 Expenses'!$B$8:$B$500,"&gt;="&amp;B43,'💸 Expenses'!$B$8:$B$500,"&lt;"&amp;(B43+1))</f>
        <v/>
      </c>
      <c r="I43" s="259">
        <f>IFERROR(F43-H43,0)</f>
        <v/>
      </c>
      <c r="J43" s="260">
        <f>IFERROR(I43/F43,0)</f>
        <v/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/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13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IFERROR(D44+E44+G44,0)</f>
        <v/>
      </c>
      <c r="G44" s="272" t="n">
        <v>0</v>
      </c>
      <c r="H44" s="273">
        <f>SUMIFS('💸 Expenses'!$F$8:$F$500,'💸 Expenses'!$B$8:$B$500,"&gt;="&amp;B44,'💸 Expenses'!$B$8:$B$500,"&lt;"&amp;(B44+1))</f>
        <v/>
      </c>
      <c r="I44" s="274">
        <f>IFERROR(F44-H44,0)</f>
        <v/>
      </c>
      <c r="J44" s="275">
        <f>IFERROR(I44/F44,0)</f>
        <v/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/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13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IFERROR(D45+E45+G45,0)</f>
        <v/>
      </c>
      <c r="G45" s="257" t="n">
        <v>0</v>
      </c>
      <c r="H45" s="258">
        <f>SUMIFS('💸 Expenses'!$F$8:$F$500,'💸 Expenses'!$B$8:$B$500,"&gt;="&amp;B45,'💸 Expenses'!$B$8:$B$500,"&lt;"&amp;(B45+1))</f>
        <v/>
      </c>
      <c r="I45" s="259">
        <f>IFERROR(F45-H45,0)</f>
        <v/>
      </c>
      <c r="J45" s="260">
        <f>IFERROR(I45/F45,0)</f>
        <v/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/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13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IFERROR(D46+E46+G46,0)</f>
        <v/>
      </c>
      <c r="G46" s="272" t="n">
        <v>0</v>
      </c>
      <c r="H46" s="273">
        <f>SUMIFS('💸 Expenses'!$F$8:$F$500,'💸 Expenses'!$B$8:$B$500,"&gt;="&amp;B46,'💸 Expenses'!$B$8:$B$500,"&lt;"&amp;(B46+1))</f>
        <v/>
      </c>
      <c r="I46" s="274">
        <f>IFERROR(F46-H46,0)</f>
        <v/>
      </c>
      <c r="J46" s="275">
        <f>IFERROR(I46/F46,0)</f>
        <v/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/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13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IFERROR(D47+E47+G47,0)</f>
        <v/>
      </c>
      <c r="G47" s="257" t="n">
        <v>165</v>
      </c>
      <c r="H47" s="258">
        <f>SUMIFS('💸 Expenses'!$F$8:$F$500,'💸 Expenses'!$B$8:$B$500,"&gt;="&amp;B47,'💸 Expenses'!$B$8:$B$500,"&lt;"&amp;(B47+1))</f>
        <v/>
      </c>
      <c r="I47" s="259">
        <f>IFERROR(F47-H47,0)</f>
        <v/>
      </c>
      <c r="J47" s="260">
        <f>IFERROR(I47/F47,0)</f>
        <v/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/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13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IFERROR(D48+E48+G48,0)</f>
        <v/>
      </c>
      <c r="G48" s="272" t="n">
        <v>0</v>
      </c>
      <c r="H48" s="273">
        <f>SUMIFS('💸 Expenses'!$F$8:$F$500,'💸 Expenses'!$B$8:$B$500,"&gt;="&amp;B48,'💸 Expenses'!$B$8:$B$500,"&lt;"&amp;(B48+1))</f>
        <v/>
      </c>
      <c r="I48" s="274">
        <f>IFERROR(F48-H48,0)</f>
        <v/>
      </c>
      <c r="J48" s="275">
        <f>IFERROR(I48/F48,0)</f>
        <v/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/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13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IFERROR(D49+E49+G49,0)</f>
        <v/>
      </c>
      <c r="G49" s="257" t="n">
        <v>0</v>
      </c>
      <c r="H49" s="258">
        <f>SUMIFS('💸 Expenses'!$F$8:$F$500,'💸 Expenses'!$B$8:$B$500,"&gt;="&amp;B49,'💸 Expenses'!$B$8:$B$500,"&lt;"&amp;(B49+1))</f>
        <v/>
      </c>
      <c r="I49" s="259">
        <f>IFERROR(F49-H49,0)</f>
        <v/>
      </c>
      <c r="J49" s="260">
        <f>IFERROR(I49/F49,0)</f>
        <v/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/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13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IFERROR(D50+E50+G50,0)</f>
        <v/>
      </c>
      <c r="G50" s="272" t="n">
        <v>0</v>
      </c>
      <c r="H50" s="273">
        <f>SUMIFS('💸 Expenses'!$F$8:$F$500,'💸 Expenses'!$B$8:$B$500,"&gt;="&amp;B50,'💸 Expenses'!$B$8:$B$500,"&lt;"&amp;(B50+1))</f>
        <v/>
      </c>
      <c r="I50" s="274">
        <f>IFERROR(F50-H50,0)</f>
        <v/>
      </c>
      <c r="J50" s="275">
        <f>IFERROR(I50/F50,0)</f>
        <v/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/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13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IFERROR(D51+E51+G51,0)</f>
        <v/>
      </c>
      <c r="G51" s="257" t="n">
        <v>55</v>
      </c>
      <c r="H51" s="258">
        <f>SUMIFS('💸 Expenses'!$F$8:$F$500,'💸 Expenses'!$B$8:$B$500,"&gt;="&amp;B51,'💸 Expenses'!$B$8:$B$500,"&lt;"&amp;(B51+1))</f>
        <v/>
      </c>
      <c r="I51" s="259">
        <f>IFERROR(F51-H51,0)</f>
        <v/>
      </c>
      <c r="J51" s="260">
        <f>IFERROR(I51/F51,0)</f>
        <v/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/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13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IFERROR(D52+E52+G52,0)</f>
        <v/>
      </c>
      <c r="G52" s="272" t="n">
        <v>0</v>
      </c>
      <c r="H52" s="273">
        <f>SUMIFS('💸 Expenses'!$F$8:$F$500,'💸 Expenses'!$B$8:$B$500,"&gt;="&amp;B52,'💸 Expenses'!$B$8:$B$500,"&lt;"&amp;(B52+1))</f>
        <v/>
      </c>
      <c r="I52" s="274">
        <f>IFERROR(F52-H52,0)</f>
        <v/>
      </c>
      <c r="J52" s="275">
        <f>IFERROR(I52/F52,0)</f>
        <v/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/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13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IFERROR(D53+E53+G53,0)</f>
        <v/>
      </c>
      <c r="G53" s="257" t="n">
        <v>0</v>
      </c>
      <c r="H53" s="258">
        <f>SUMIFS('💸 Expenses'!$F$8:$F$500,'💸 Expenses'!$B$8:$B$500,"&gt;="&amp;B53,'💸 Expenses'!$B$8:$B$500,"&lt;"&amp;(B53+1))</f>
        <v/>
      </c>
      <c r="I53" s="259">
        <f>IFERROR(F53-H53,0)</f>
        <v/>
      </c>
      <c r="J53" s="260">
        <f>IFERROR(I53/F53,0)</f>
        <v/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/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13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IFERROR(D54+E54+G54,0)</f>
        <v/>
      </c>
      <c r="G54" s="272" t="n">
        <v>0</v>
      </c>
      <c r="H54" s="273">
        <f>SUMIFS('💸 Expenses'!$F$8:$F$500,'💸 Expenses'!$B$8:$B$500,"&gt;="&amp;B54,'💸 Expenses'!$B$8:$B$500,"&lt;"&amp;(B54+1))</f>
        <v/>
      </c>
      <c r="I54" s="274">
        <f>IFERROR(F54-H54,0)</f>
        <v/>
      </c>
      <c r="J54" s="275">
        <f>IFERROR(I54/F54,0)</f>
        <v/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/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13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IFERROR(D55+E55+G55,0)</f>
        <v/>
      </c>
      <c r="G55" s="257" t="n">
        <v>0</v>
      </c>
      <c r="H55" s="258">
        <f>SUMIFS('💸 Expenses'!$F$8:$F$500,'💸 Expenses'!$B$8:$B$500,"&gt;="&amp;B55,'💸 Expenses'!$B$8:$B$500,"&lt;"&amp;(B55+1))</f>
        <v/>
      </c>
      <c r="I55" s="259">
        <f>IFERROR(F55-H55,0)</f>
        <v/>
      </c>
      <c r="J55" s="260">
        <f>IFERROR(I55/F55,0)</f>
        <v/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/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13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IFERROR(D56+E56+G56,0)</f>
        <v/>
      </c>
      <c r="G56" s="272" t="n">
        <v>0</v>
      </c>
      <c r="H56" s="273">
        <f>SUMIFS('💸 Expenses'!$F$8:$F$500,'💸 Expenses'!$B$8:$B$500,"&gt;="&amp;B56,'💸 Expenses'!$B$8:$B$500,"&lt;"&amp;(B56+1))</f>
        <v/>
      </c>
      <c r="I56" s="274">
        <f>IFERROR(F56-H56,0)</f>
        <v/>
      </c>
      <c r="J56" s="275">
        <f>IFERROR(I56/F56,0)</f>
        <v/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/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13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IFERROR(D57+E57+G57,0)</f>
        <v/>
      </c>
      <c r="G57" s="257" t="n">
        <v>0</v>
      </c>
      <c r="H57" s="258">
        <f>SUMIFS('💸 Expenses'!$F$8:$F$500,'💸 Expenses'!$B$8:$B$500,"&gt;="&amp;B57,'💸 Expenses'!$B$8:$B$500,"&lt;"&amp;(B57+1))</f>
        <v/>
      </c>
      <c r="I57" s="259">
        <f>IFERROR(F57-H57,0)</f>
        <v/>
      </c>
      <c r="J57" s="260">
        <f>IFERROR(I57/F57,0)</f>
        <v/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/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13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IFERROR(D58+E58+G58+U58,0)</f>
        <v/>
      </c>
      <c r="G58" s="257" t="n">
        <v>195</v>
      </c>
      <c r="H58" s="258">
        <f>SUMIFS('💸 Expenses'!$F$8:$F$500,'💸 Expenses'!$B$8:$B$500,"&gt;="&amp;B58,'💸 Expenses'!$B$8:$B$500,"&lt;"&amp;(B58+1))</f>
        <v/>
      </c>
      <c r="I58" s="259">
        <f>IFERROR(F58-H58,0)</f>
        <v/>
      </c>
      <c r="J58" s="260">
        <f>IFERROR(I58/F58,0)</f>
        <v/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/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13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IFERROR(D59+E59+G59+U59,0)</f>
        <v/>
      </c>
      <c r="G59" s="257" t="n">
        <v>120</v>
      </c>
      <c r="H59" s="258">
        <f>SUMIFS('💸 Expenses'!$F$8:$F$500,'💸 Expenses'!$B$8:$B$500,"&gt;="&amp;B59,'💸 Expenses'!$B$8:$B$500,"&lt;"&amp;(B59+1))</f>
        <v/>
      </c>
      <c r="I59" s="259">
        <f>IFERROR(F59-H59,0)</f>
        <v/>
      </c>
      <c r="J59" s="260">
        <f>IFERROR(I59/F59,0)</f>
        <v/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/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13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IFERROR(D60+E60+G60+U60,0)</f>
        <v/>
      </c>
      <c r="G60" s="257" t="n">
        <v>70</v>
      </c>
      <c r="H60" s="258">
        <f>SUMIFS('💸 Expenses'!$F$8:$F$500,'💸 Expenses'!$B$8:$B$500,"&gt;="&amp;B60,'💸 Expenses'!$B$8:$B$500,"&lt;"&amp;(B60+1))</f>
        <v/>
      </c>
      <c r="I60" s="259">
        <f>IFERROR(F60-H60,0)</f>
        <v/>
      </c>
      <c r="J60" s="260">
        <f>IFERROR(I60/F60,0)</f>
        <v/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/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13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IFERROR(D61+E61+G61+U61,0)</f>
        <v/>
      </c>
      <c r="G61" s="257" t="n">
        <v>0</v>
      </c>
      <c r="H61" s="258">
        <f>SUMIFS('💸 Expenses'!$F$8:$F$500,'💸 Expenses'!$B$8:$B$500,"&gt;="&amp;B61,'💸 Expenses'!$B$8:$B$500,"&lt;"&amp;(B61+1))</f>
        <v/>
      </c>
      <c r="I61" s="259">
        <f>IFERROR(F61-H61,0)</f>
        <v/>
      </c>
      <c r="J61" s="260">
        <f>IFERROR(I61/F61,0)</f>
        <v/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/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13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/>
      </c>
      <c r="G62" s="257" t="n">
        <v>120</v>
      </c>
      <c r="H62" s="258">
        <f>SUMIFS('💸 Expenses'!$F$8:$F$500,'💸 Expenses'!$B$8:$B$500,"&gt;="&amp;B62,'💸 Expenses'!$B$8:$B$500,"&lt;"&amp;(B62+1))</f>
        <v/>
      </c>
      <c r="I62" s="259">
        <f>IFERROR(F62-H62,0)</f>
        <v/>
      </c>
      <c r="J62" s="260">
        <f>IFERROR(I62/F62,0)</f>
        <v/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/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13">
      <c r="B63" s="34" t="n"/>
      <c r="C63" s="47" t="n"/>
      <c r="D63" s="48" t="n"/>
      <c r="E63" s="49" t="n"/>
      <c r="F63" s="50" t="n"/>
      <c r="G63" s="51" t="n"/>
      <c r="H63" s="52" t="n"/>
      <c r="I63" s="53" t="n"/>
      <c r="J63" s="54" t="n"/>
      <c r="K63" s="55" t="n"/>
      <c r="L63" s="18" t="n"/>
      <c r="M63" s="21" t="n"/>
      <c r="N63" s="56" t="n"/>
      <c r="O63" s="57" t="n"/>
      <c r="P63" s="58" t="n"/>
      <c r="Q63" s="56" t="n"/>
      <c r="R63" s="56" t="n"/>
      <c r="S63" s="56" t="n"/>
      <c r="T63" s="56" t="n"/>
      <c r="U63" s="56" t="n"/>
      <c r="V63" s="56" t="n"/>
      <c r="W63" s="56" t="n"/>
      <c r="X63" s="56" t="n"/>
      <c r="Y63" s="56" t="n"/>
      <c r="Z63" s="56" t="n"/>
      <c r="AA63" s="56" t="n"/>
      <c r="AB63" s="56" t="n"/>
    </row>
    <row r="64" ht="16.5" customHeight="1" s="313">
      <c r="B64" s="34" t="n"/>
      <c r="C64" s="35" t="n"/>
      <c r="D64" s="36" t="n"/>
      <c r="E64" s="37" t="n"/>
      <c r="F64" s="38" t="n"/>
      <c r="G64" s="39" t="n"/>
      <c r="H64" s="40" t="n"/>
      <c r="I64" s="41" t="n"/>
      <c r="J64" s="42" t="n"/>
      <c r="K64" s="43" t="n"/>
      <c r="L64" s="9" t="n"/>
      <c r="M64" s="12" t="n"/>
      <c r="N64" s="44" t="n"/>
      <c r="O64" s="45" t="n"/>
      <c r="P64" s="46" t="n"/>
      <c r="Q64" s="44" t="n"/>
      <c r="R64" s="44" t="n"/>
      <c r="S64" s="44" t="n"/>
      <c r="T64" s="44" t="n"/>
      <c r="U64" s="44" t="n"/>
      <c r="V64" s="44" t="n"/>
      <c r="W64" s="44" t="n"/>
      <c r="X64" s="44" t="n"/>
      <c r="Y64" s="44" t="n"/>
      <c r="Z64" s="44" t="n"/>
      <c r="AA64" s="44" t="n"/>
      <c r="AB64" s="44" t="n"/>
    </row>
    <row r="65" ht="16.5" customHeight="1" s="313">
      <c r="B65" s="34" t="n"/>
      <c r="C65" s="47" t="n"/>
      <c r="D65" s="48" t="n"/>
      <c r="E65" s="49" t="n"/>
      <c r="F65" s="50" t="n"/>
      <c r="G65" s="51" t="n"/>
      <c r="H65" s="52" t="n"/>
      <c r="I65" s="53" t="n"/>
      <c r="J65" s="54" t="n"/>
      <c r="K65" s="55" t="n"/>
      <c r="L65" s="18" t="n"/>
      <c r="M65" s="21" t="n"/>
      <c r="N65" s="56" t="n"/>
      <c r="O65" s="57" t="n"/>
      <c r="P65" s="58" t="n"/>
      <c r="Q65" s="56" t="n"/>
      <c r="R65" s="56" t="n"/>
      <c r="S65" s="56" t="n"/>
      <c r="T65" s="56" t="n"/>
      <c r="U65" s="56" t="n"/>
      <c r="V65" s="56" t="n"/>
      <c r="W65" s="56" t="n"/>
      <c r="X65" s="56" t="n"/>
      <c r="Y65" s="56" t="n"/>
      <c r="Z65" s="56" t="n"/>
      <c r="AA65" s="56" t="n"/>
      <c r="AB65" s="56" t="n"/>
    </row>
    <row r="66" ht="16.5" customHeight="1" s="313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  <c r="R66" s="44" t="n"/>
      <c r="S66" s="44" t="n"/>
      <c r="T66" s="44" t="n"/>
      <c r="U66" s="44" t="n"/>
      <c r="V66" s="44" t="n"/>
      <c r="W66" s="44" t="n"/>
      <c r="X66" s="44" t="n"/>
      <c r="Y66" s="44" t="n"/>
      <c r="Z66" s="44" t="n"/>
      <c r="AA66" s="44" t="n"/>
      <c r="AB66" s="44" t="n"/>
    </row>
    <row r="67" ht="16.5" customHeight="1" s="313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  <c r="R67" s="56" t="n"/>
      <c r="S67" s="56" t="n"/>
      <c r="T67" s="56" t="n"/>
      <c r="U67" s="56" t="n"/>
      <c r="V67" s="56" t="n"/>
      <c r="W67" s="56" t="n"/>
      <c r="X67" s="56" t="n"/>
      <c r="Y67" s="56" t="n"/>
      <c r="Z67" s="56" t="n"/>
      <c r="AA67" s="56" t="n"/>
      <c r="AB67" s="56" t="n"/>
    </row>
    <row r="68" ht="16.5" customHeight="1" s="313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  <c r="R68" s="44" t="n"/>
      <c r="S68" s="44" t="n"/>
      <c r="T68" s="44" t="n"/>
      <c r="U68" s="44" t="n"/>
      <c r="V68" s="44" t="n"/>
      <c r="W68" s="44" t="n"/>
      <c r="X68" s="44" t="n"/>
      <c r="Y68" s="44" t="n"/>
      <c r="Z68" s="44" t="n"/>
      <c r="AA68" s="44" t="n"/>
      <c r="AB68" s="44" t="n"/>
    </row>
    <row r="69" ht="16.5" customHeight="1" s="313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  <c r="R69" s="56" t="n"/>
      <c r="S69" s="56" t="n"/>
      <c r="T69" s="56" t="n"/>
      <c r="U69" s="56" t="n"/>
      <c r="V69" s="56" t="n"/>
      <c r="W69" s="56" t="n"/>
      <c r="X69" s="56" t="n"/>
      <c r="Y69" s="56" t="n"/>
      <c r="Z69" s="56" t="n"/>
      <c r="AA69" s="56" t="n"/>
      <c r="AB69" s="56" t="n"/>
    </row>
    <row r="70" ht="16.5" customHeight="1" s="313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  <c r="R70" s="44" t="n"/>
      <c r="S70" s="44" t="n"/>
      <c r="T70" s="44" t="n"/>
      <c r="U70" s="44" t="n"/>
      <c r="V70" s="44" t="n"/>
      <c r="W70" s="44" t="n"/>
      <c r="X70" s="44" t="n"/>
      <c r="Y70" s="44" t="n"/>
      <c r="Z70" s="44" t="n"/>
      <c r="AA70" s="44" t="n"/>
      <c r="AB70" s="44" t="n"/>
    </row>
    <row r="71" ht="16.5" customHeight="1" s="313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  <c r="R71" s="56" t="n"/>
      <c r="S71" s="56" t="n"/>
      <c r="T71" s="56" t="n"/>
      <c r="U71" s="56" t="n"/>
      <c r="V71" s="56" t="n"/>
      <c r="W71" s="56" t="n"/>
      <c r="X71" s="56" t="n"/>
      <c r="Y71" s="56" t="n"/>
      <c r="Z71" s="56" t="n"/>
      <c r="AA71" s="56" t="n"/>
      <c r="AB71" s="56" t="n"/>
    </row>
    <row r="72" ht="16.5" customHeight="1" s="313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  <c r="R72" s="44" t="n"/>
      <c r="S72" s="44" t="n"/>
      <c r="T72" s="44" t="n"/>
      <c r="U72" s="44" t="n"/>
      <c r="V72" s="44" t="n"/>
      <c r="W72" s="44" t="n"/>
      <c r="X72" s="44" t="n"/>
      <c r="Y72" s="44" t="n"/>
      <c r="Z72" s="44" t="n"/>
      <c r="AA72" s="44" t="n"/>
      <c r="AB72" s="44" t="n"/>
    </row>
    <row r="73" ht="16.5" customHeight="1" s="313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  <c r="R73" s="56" t="n"/>
      <c r="S73" s="56" t="n"/>
      <c r="T73" s="56" t="n"/>
      <c r="U73" s="56" t="n"/>
      <c r="V73" s="56" t="n"/>
      <c r="W73" s="56" t="n"/>
      <c r="X73" s="56" t="n"/>
      <c r="Y73" s="56" t="n"/>
      <c r="Z73" s="56" t="n"/>
      <c r="AA73" s="56" t="n"/>
      <c r="AB73" s="56" t="n"/>
    </row>
    <row r="74" ht="16.5" customHeight="1" s="313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  <c r="R74" s="44" t="n"/>
      <c r="S74" s="44" t="n"/>
      <c r="T74" s="44" t="n"/>
      <c r="U74" s="44" t="n"/>
      <c r="V74" s="44" t="n"/>
      <c r="W74" s="44" t="n"/>
      <c r="X74" s="44" t="n"/>
      <c r="Y74" s="44" t="n"/>
      <c r="Z74" s="44" t="n"/>
      <c r="AA74" s="44" t="n"/>
      <c r="AB74" s="44" t="n"/>
    </row>
    <row r="75" ht="16.5" customHeight="1" s="313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  <c r="R75" s="56" t="n"/>
      <c r="S75" s="56" t="n"/>
      <c r="T75" s="56" t="n"/>
      <c r="U75" s="56" t="n"/>
      <c r="V75" s="56" t="n"/>
      <c r="W75" s="56" t="n"/>
      <c r="X75" s="56" t="n"/>
      <c r="Y75" s="56" t="n"/>
      <c r="Z75" s="56" t="n"/>
      <c r="AA75" s="56" t="n"/>
      <c r="AB75" s="56" t="n"/>
    </row>
    <row r="76" ht="16.5" customHeight="1" s="313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  <c r="R76" s="44" t="n"/>
      <c r="S76" s="44" t="n"/>
      <c r="T76" s="44" t="n"/>
      <c r="U76" s="44" t="n"/>
      <c r="V76" s="44" t="n"/>
      <c r="W76" s="44" t="n"/>
      <c r="X76" s="44" t="n"/>
      <c r="Y76" s="44" t="n"/>
      <c r="Z76" s="44" t="n"/>
      <c r="AA76" s="44" t="n"/>
      <c r="AB76" s="44" t="n"/>
    </row>
    <row r="77" ht="16.5" customHeight="1" s="313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  <c r="R77" s="56" t="n"/>
      <c r="S77" s="56" t="n"/>
      <c r="T77" s="56" t="n"/>
      <c r="U77" s="56" t="n"/>
      <c r="V77" s="56" t="n"/>
      <c r="W77" s="56" t="n"/>
      <c r="X77" s="56" t="n"/>
      <c r="Y77" s="56" t="n"/>
      <c r="Z77" s="56" t="n"/>
      <c r="AA77" s="56" t="n"/>
      <c r="AB77" s="56" t="n"/>
    </row>
    <row r="78" ht="16.5" customHeight="1" s="313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  <c r="R78" s="44" t="n"/>
      <c r="S78" s="44" t="n"/>
      <c r="T78" s="44" t="n"/>
      <c r="U78" s="44" t="n"/>
      <c r="V78" s="44" t="n"/>
      <c r="W78" s="44" t="n"/>
      <c r="X78" s="44" t="n"/>
      <c r="Y78" s="44" t="n"/>
      <c r="Z78" s="44" t="n"/>
      <c r="AA78" s="44" t="n"/>
      <c r="AB78" s="44" t="n"/>
    </row>
    <row r="79" ht="16.5" customHeight="1" s="313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  <c r="R79" s="56" t="n"/>
      <c r="S79" s="56" t="n"/>
      <c r="T79" s="56" t="n"/>
      <c r="U79" s="56" t="n"/>
      <c r="V79" s="56" t="n"/>
      <c r="W79" s="56" t="n"/>
      <c r="X79" s="56" t="n"/>
      <c r="Y79" s="56" t="n"/>
      <c r="Z79" s="56" t="n"/>
      <c r="AA79" s="56" t="n"/>
      <c r="AB79" s="56" t="n"/>
    </row>
    <row r="80" ht="16.5" customHeight="1" s="313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  <c r="R80" s="44" t="n"/>
      <c r="S80" s="44" t="n"/>
      <c r="T80" s="44" t="n"/>
      <c r="U80" s="44" t="n"/>
      <c r="V80" s="44" t="n"/>
      <c r="W80" s="44" t="n"/>
      <c r="X80" s="44" t="n"/>
      <c r="Y80" s="44" t="n"/>
      <c r="Z80" s="44" t="n"/>
      <c r="AA80" s="44" t="n"/>
      <c r="AB80" s="44" t="n"/>
    </row>
    <row r="81" ht="16.5" customHeight="1" s="313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  <c r="R81" s="56" t="n"/>
      <c r="S81" s="56" t="n"/>
      <c r="T81" s="56" t="n"/>
      <c r="U81" s="56" t="n"/>
      <c r="V81" s="56" t="n"/>
      <c r="W81" s="56" t="n"/>
      <c r="X81" s="56" t="n"/>
      <c r="Y81" s="56" t="n"/>
      <c r="Z81" s="56" t="n"/>
      <c r="AA81" s="56" t="n"/>
      <c r="AB81" s="56" t="n"/>
    </row>
    <row r="82" ht="16.5" customHeight="1" s="313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  <c r="R82" s="44" t="n"/>
      <c r="S82" s="44" t="n"/>
      <c r="T82" s="44" t="n"/>
      <c r="U82" s="44" t="n"/>
      <c r="V82" s="44" t="n"/>
      <c r="W82" s="44" t="n"/>
      <c r="X82" s="44" t="n"/>
      <c r="Y82" s="44" t="n"/>
      <c r="Z82" s="44" t="n"/>
      <c r="AA82" s="44" t="n"/>
      <c r="AB82" s="44" t="n"/>
    </row>
    <row r="83" ht="16.5" customHeight="1" s="313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  <c r="R83" s="56" t="n"/>
      <c r="S83" s="56" t="n"/>
      <c r="T83" s="56" t="n"/>
      <c r="U83" s="56" t="n"/>
      <c r="V83" s="56" t="n"/>
      <c r="W83" s="56" t="n"/>
      <c r="X83" s="56" t="n"/>
      <c r="Y83" s="56" t="n"/>
      <c r="Z83" s="56" t="n"/>
      <c r="AA83" s="56" t="n"/>
      <c r="AB83" s="56" t="n"/>
    </row>
    <row r="84" ht="16.5" customHeight="1" s="313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  <c r="R84" s="44" t="n"/>
      <c r="S84" s="44" t="n"/>
      <c r="T84" s="44" t="n"/>
      <c r="U84" s="44" t="n"/>
      <c r="V84" s="44" t="n"/>
      <c r="W84" s="44" t="n"/>
      <c r="X84" s="44" t="n"/>
      <c r="Y84" s="44" t="n"/>
      <c r="Z84" s="44" t="n"/>
      <c r="AA84" s="44" t="n"/>
      <c r="AB84" s="44" t="n"/>
    </row>
    <row r="85" ht="16.5" customHeight="1" s="313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  <c r="R85" s="56" t="n"/>
      <c r="S85" s="56" t="n"/>
      <c r="T85" s="56" t="n"/>
      <c r="U85" s="56" t="n"/>
      <c r="V85" s="56" t="n"/>
      <c r="W85" s="56" t="n"/>
      <c r="X85" s="56" t="n"/>
      <c r="Y85" s="56" t="n"/>
      <c r="Z85" s="56" t="n"/>
      <c r="AA85" s="56" t="n"/>
      <c r="AB85" s="56" t="n"/>
    </row>
    <row r="86" ht="16.5" customHeight="1" s="313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  <c r="R86" s="44" t="n"/>
      <c r="S86" s="44" t="n"/>
      <c r="T86" s="44" t="n"/>
      <c r="U86" s="44" t="n"/>
      <c r="V86" s="44" t="n"/>
      <c r="W86" s="44" t="n"/>
      <c r="X86" s="44" t="n"/>
      <c r="Y86" s="44" t="n"/>
      <c r="Z86" s="44" t="n"/>
      <c r="AA86" s="44" t="n"/>
      <c r="AB86" s="44" t="n"/>
    </row>
    <row r="87" ht="16.5" customHeight="1" s="313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  <c r="R87" s="56" t="n"/>
      <c r="S87" s="56" t="n"/>
      <c r="T87" s="56" t="n"/>
      <c r="U87" s="56" t="n"/>
      <c r="V87" s="56" t="n"/>
      <c r="W87" s="56" t="n"/>
      <c r="X87" s="56" t="n"/>
      <c r="Y87" s="56" t="n"/>
      <c r="Z87" s="56" t="n"/>
      <c r="AA87" s="56" t="n"/>
      <c r="AB87" s="56" t="n"/>
    </row>
    <row r="88" ht="16.5" customHeight="1" s="313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  <c r="R88" s="44" t="n"/>
      <c r="S88" s="44" t="n"/>
      <c r="T88" s="44" t="n"/>
      <c r="U88" s="44" t="n"/>
      <c r="V88" s="44" t="n"/>
      <c r="W88" s="44" t="n"/>
      <c r="X88" s="44" t="n"/>
      <c r="Y88" s="44" t="n"/>
      <c r="Z88" s="44" t="n"/>
      <c r="AA88" s="44" t="n"/>
      <c r="AB88" s="44" t="n"/>
    </row>
    <row r="89" ht="16.5" customHeight="1" s="313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  <c r="R89" s="56" t="n"/>
      <c r="S89" s="56" t="n"/>
      <c r="T89" s="56" t="n"/>
      <c r="U89" s="56" t="n"/>
      <c r="V89" s="56" t="n"/>
      <c r="W89" s="56" t="n"/>
      <c r="X89" s="56" t="n"/>
      <c r="Y89" s="56" t="n"/>
      <c r="Z89" s="56" t="n"/>
      <c r="AA89" s="56" t="n"/>
      <c r="AB89" s="56" t="n"/>
    </row>
    <row r="90" ht="16.5" customHeight="1" s="313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  <c r="R90" s="44" t="n"/>
      <c r="S90" s="44" t="n"/>
      <c r="T90" s="44" t="n"/>
      <c r="U90" s="44" t="n"/>
      <c r="V90" s="44" t="n"/>
      <c r="W90" s="44" t="n"/>
      <c r="X90" s="44" t="n"/>
      <c r="Y90" s="44" t="n"/>
      <c r="Z90" s="44" t="n"/>
      <c r="AA90" s="44" t="n"/>
      <c r="AB90" s="44" t="n"/>
    </row>
    <row r="91" ht="16.5" customHeight="1" s="313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  <c r="R91" s="56" t="n"/>
      <c r="S91" s="56" t="n"/>
      <c r="T91" s="56" t="n"/>
      <c r="U91" s="56" t="n"/>
      <c r="V91" s="56" t="n"/>
      <c r="W91" s="56" t="n"/>
      <c r="X91" s="56" t="n"/>
      <c r="Y91" s="56" t="n"/>
      <c r="Z91" s="56" t="n"/>
      <c r="AA91" s="56" t="n"/>
      <c r="AB91" s="56" t="n"/>
    </row>
    <row r="92" ht="16.5" customHeight="1" s="313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  <c r="R92" s="44" t="n"/>
      <c r="S92" s="44" t="n"/>
      <c r="T92" s="44" t="n"/>
      <c r="U92" s="44" t="n"/>
      <c r="V92" s="44" t="n"/>
      <c r="W92" s="44" t="n"/>
      <c r="X92" s="44" t="n"/>
      <c r="Y92" s="44" t="n"/>
      <c r="Z92" s="44" t="n"/>
      <c r="AA92" s="44" t="n"/>
      <c r="AB92" s="44" t="n"/>
    </row>
    <row r="93" ht="16.5" customHeight="1" s="313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  <c r="R93" s="56" t="n"/>
      <c r="S93" s="56" t="n"/>
      <c r="T93" s="56" t="n"/>
      <c r="U93" s="56" t="n"/>
      <c r="V93" s="56" t="n"/>
      <c r="W93" s="56" t="n"/>
      <c r="X93" s="56" t="n"/>
      <c r="Y93" s="56" t="n"/>
      <c r="Z93" s="56" t="n"/>
      <c r="AA93" s="56" t="n"/>
      <c r="AB93" s="56" t="n"/>
    </row>
    <row r="94" ht="16.5" customHeight="1" s="313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  <c r="R94" s="44" t="n"/>
      <c r="S94" s="44" t="n"/>
      <c r="T94" s="44" t="n"/>
      <c r="U94" s="44" t="n"/>
      <c r="V94" s="44" t="n"/>
      <c r="W94" s="44" t="n"/>
      <c r="X94" s="44" t="n"/>
      <c r="Y94" s="44" t="n"/>
      <c r="Z94" s="44" t="n"/>
      <c r="AA94" s="44" t="n"/>
      <c r="AB94" s="44" t="n"/>
    </row>
    <row r="95" ht="16.5" customHeight="1" s="313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  <c r="R95" s="56" t="n"/>
      <c r="S95" s="56" t="n"/>
      <c r="T95" s="56" t="n"/>
      <c r="U95" s="56" t="n"/>
      <c r="V95" s="56" t="n"/>
      <c r="W95" s="56" t="n"/>
      <c r="X95" s="56" t="n"/>
      <c r="Y95" s="56" t="n"/>
      <c r="Z95" s="56" t="n"/>
      <c r="AA95" s="56" t="n"/>
      <c r="AB95" s="56" t="n"/>
    </row>
    <row r="96" ht="16.5" customHeight="1" s="313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  <c r="R96" s="44" t="n"/>
      <c r="S96" s="44" t="n"/>
      <c r="T96" s="44" t="n"/>
      <c r="U96" s="44" t="n"/>
      <c r="V96" s="44" t="n"/>
      <c r="W96" s="44" t="n"/>
      <c r="X96" s="44" t="n"/>
      <c r="Y96" s="44" t="n"/>
      <c r="Z96" s="44" t="n"/>
      <c r="AA96" s="44" t="n"/>
      <c r="AB96" s="44" t="n"/>
    </row>
    <row r="97" ht="16.5" customHeight="1" s="313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  <c r="R97" s="56" t="n"/>
      <c r="S97" s="56" t="n"/>
      <c r="T97" s="56" t="n"/>
      <c r="U97" s="56" t="n"/>
      <c r="V97" s="56" t="n"/>
      <c r="W97" s="56" t="n"/>
      <c r="X97" s="56" t="n"/>
      <c r="Y97" s="56" t="n"/>
      <c r="Z97" s="56" t="n"/>
      <c r="AA97" s="56" t="n"/>
      <c r="AB97" s="56" t="n"/>
    </row>
    <row r="98" ht="16.5" customHeight="1" s="313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  <c r="R98" s="44" t="n"/>
      <c r="S98" s="44" t="n"/>
      <c r="T98" s="44" t="n"/>
      <c r="U98" s="44" t="n"/>
      <c r="V98" s="44" t="n"/>
      <c r="W98" s="44" t="n"/>
      <c r="X98" s="44" t="n"/>
      <c r="Y98" s="44" t="n"/>
      <c r="Z98" s="44" t="n"/>
      <c r="AA98" s="44" t="n"/>
      <c r="AB98" s="44" t="n"/>
    </row>
    <row r="99" ht="16.5" customHeight="1" s="313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  <c r="R99" s="56" t="n"/>
      <c r="S99" s="56" t="n"/>
      <c r="T99" s="56" t="n"/>
      <c r="U99" s="56" t="n"/>
      <c r="V99" s="56" t="n"/>
      <c r="W99" s="56" t="n"/>
      <c r="X99" s="56" t="n"/>
      <c r="Y99" s="56" t="n"/>
      <c r="Z99" s="56" t="n"/>
      <c r="AA99" s="56" t="n"/>
      <c r="AB99" s="56" t="n"/>
    </row>
    <row r="100" ht="16.5" customHeight="1" s="313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  <c r="R100" s="44" t="n"/>
      <c r="S100" s="44" t="n"/>
      <c r="T100" s="44" t="n"/>
      <c r="U100" s="44" t="n"/>
      <c r="V100" s="44" t="n"/>
      <c r="W100" s="44" t="n"/>
      <c r="X100" s="44" t="n"/>
      <c r="Y100" s="44" t="n"/>
      <c r="Z100" s="44" t="n"/>
      <c r="AA100" s="44" t="n"/>
      <c r="AB100" s="44" t="n"/>
    </row>
    <row r="101" ht="16.5" customHeight="1" s="313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  <c r="R101" s="56" t="n"/>
      <c r="S101" s="56" t="n"/>
      <c r="T101" s="56" t="n"/>
      <c r="U101" s="56" t="n"/>
      <c r="V101" s="56" t="n"/>
      <c r="W101" s="56" t="n"/>
      <c r="X101" s="56" t="n"/>
      <c r="Y101" s="56" t="n"/>
      <c r="Z101" s="56" t="n"/>
      <c r="AA101" s="56" t="n"/>
      <c r="AB101" s="56" t="n"/>
    </row>
    <row r="102" ht="16.5" customHeight="1" s="313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  <c r="R102" s="44" t="n"/>
      <c r="S102" s="44" t="n"/>
      <c r="T102" s="44" t="n"/>
      <c r="U102" s="44" t="n"/>
      <c r="V102" s="44" t="n"/>
      <c r="W102" s="44" t="n"/>
      <c r="X102" s="44" t="n"/>
      <c r="Y102" s="44" t="n"/>
      <c r="Z102" s="44" t="n"/>
      <c r="AA102" s="44" t="n"/>
      <c r="AB102" s="44" t="n"/>
    </row>
    <row r="103" ht="16.5" customHeight="1" s="313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  <c r="R103" s="56" t="n"/>
      <c r="S103" s="56" t="n"/>
      <c r="T103" s="56" t="n"/>
      <c r="U103" s="56" t="n"/>
      <c r="V103" s="56" t="n"/>
      <c r="W103" s="56" t="n"/>
      <c r="X103" s="56" t="n"/>
      <c r="Y103" s="56" t="n"/>
      <c r="Z103" s="56" t="n"/>
      <c r="AA103" s="56" t="n"/>
      <c r="AB103" s="56" t="n"/>
    </row>
    <row r="104" ht="16.5" customHeight="1" s="313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  <c r="R104" s="44" t="n"/>
      <c r="S104" s="44" t="n"/>
      <c r="T104" s="44" t="n"/>
      <c r="U104" s="44" t="n"/>
      <c r="V104" s="44" t="n"/>
      <c r="W104" s="44" t="n"/>
      <c r="X104" s="44" t="n"/>
      <c r="Y104" s="44" t="n"/>
      <c r="Z104" s="44" t="n"/>
      <c r="AA104" s="44" t="n"/>
      <c r="AB104" s="44" t="n"/>
    </row>
    <row r="105" ht="16.5" customHeight="1" s="313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  <c r="R105" s="56" t="n"/>
      <c r="S105" s="56" t="n"/>
      <c r="T105" s="56" t="n"/>
      <c r="U105" s="56" t="n"/>
      <c r="V105" s="56" t="n"/>
      <c r="W105" s="56" t="n"/>
      <c r="X105" s="56" t="n"/>
      <c r="Y105" s="56" t="n"/>
      <c r="Z105" s="56" t="n"/>
      <c r="AA105" s="56" t="n"/>
      <c r="AB105" s="56" t="n"/>
    </row>
    <row r="106" ht="16.5" customHeight="1" s="313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  <c r="R106" s="44" t="n"/>
      <c r="S106" s="44" t="n"/>
      <c r="T106" s="44" t="n"/>
      <c r="U106" s="44" t="n"/>
      <c r="V106" s="44" t="n"/>
      <c r="W106" s="44" t="n"/>
      <c r="X106" s="44" t="n"/>
      <c r="Y106" s="44" t="n"/>
      <c r="Z106" s="44" t="n"/>
      <c r="AA106" s="44" t="n"/>
      <c r="AB106" s="44" t="n"/>
    </row>
    <row r="107" ht="16.5" customHeight="1" s="313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  <c r="R107" s="56" t="n"/>
      <c r="S107" s="56" t="n"/>
      <c r="T107" s="56" t="n"/>
      <c r="U107" s="56" t="n"/>
      <c r="V107" s="56" t="n"/>
      <c r="W107" s="56" t="n"/>
      <c r="X107" s="56" t="n"/>
      <c r="Y107" s="56" t="n"/>
      <c r="Z107" s="56" t="n"/>
      <c r="AA107" s="56" t="n"/>
      <c r="AB107" s="56" t="n"/>
    </row>
    <row r="108" ht="16.5" customHeight="1" s="313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  <c r="R108" s="44" t="n"/>
      <c r="S108" s="44" t="n"/>
      <c r="T108" s="44" t="n"/>
      <c r="U108" s="44" t="n"/>
      <c r="V108" s="44" t="n"/>
      <c r="W108" s="44" t="n"/>
      <c r="X108" s="44" t="n"/>
      <c r="Y108" s="44" t="n"/>
      <c r="Z108" s="44" t="n"/>
      <c r="AA108" s="44" t="n"/>
      <c r="AB108" s="44" t="n"/>
    </row>
    <row r="109" ht="16.5" customHeight="1" s="313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  <c r="R109" s="56" t="n"/>
      <c r="S109" s="56" t="n"/>
      <c r="T109" s="56" t="n"/>
      <c r="U109" s="56" t="n"/>
      <c r="V109" s="56" t="n"/>
      <c r="W109" s="56" t="n"/>
      <c r="X109" s="56" t="n"/>
      <c r="Y109" s="56" t="n"/>
      <c r="Z109" s="56" t="n"/>
      <c r="AA109" s="56" t="n"/>
      <c r="AB109" s="56" t="n"/>
    </row>
    <row r="110" ht="16.5" customHeight="1" s="313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  <c r="R110" s="44" t="n"/>
      <c r="S110" s="44" t="n"/>
      <c r="T110" s="44" t="n"/>
      <c r="U110" s="44" t="n"/>
      <c r="V110" s="44" t="n"/>
      <c r="W110" s="44" t="n"/>
      <c r="X110" s="44" t="n"/>
      <c r="Y110" s="44" t="n"/>
      <c r="Z110" s="44" t="n"/>
      <c r="AA110" s="44" t="n"/>
      <c r="AB110" s="44" t="n"/>
    </row>
    <row r="111" ht="16.5" customHeight="1" s="313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  <c r="R111" s="56" t="n"/>
      <c r="S111" s="56" t="n"/>
      <c r="T111" s="56" t="n"/>
      <c r="U111" s="56" t="n"/>
      <c r="V111" s="56" t="n"/>
      <c r="W111" s="56" t="n"/>
      <c r="X111" s="56" t="n"/>
      <c r="Y111" s="56" t="n"/>
      <c r="Z111" s="56" t="n"/>
      <c r="AA111" s="56" t="n"/>
      <c r="AB111" s="56" t="n"/>
    </row>
    <row r="112" ht="16.5" customHeight="1" s="313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  <c r="R112" s="44" t="n"/>
      <c r="S112" s="44" t="n"/>
      <c r="T112" s="44" t="n"/>
      <c r="U112" s="44" t="n"/>
      <c r="V112" s="44" t="n"/>
      <c r="W112" s="44" t="n"/>
      <c r="X112" s="44" t="n"/>
      <c r="Y112" s="44" t="n"/>
      <c r="Z112" s="44" t="n"/>
      <c r="AA112" s="44" t="n"/>
      <c r="AB112" s="44" t="n"/>
    </row>
    <row r="113" ht="16.5" customHeight="1" s="313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  <c r="R113" s="56" t="n"/>
      <c r="S113" s="56" t="n"/>
      <c r="T113" s="56" t="n"/>
      <c r="U113" s="56" t="n"/>
      <c r="V113" s="56" t="n"/>
      <c r="W113" s="56" t="n"/>
      <c r="X113" s="56" t="n"/>
      <c r="Y113" s="56" t="n"/>
      <c r="Z113" s="56" t="n"/>
      <c r="AA113" s="56" t="n"/>
      <c r="AB113" s="56" t="n"/>
    </row>
    <row r="114" ht="16.5" customHeight="1" s="313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  <c r="R114" s="44" t="n"/>
      <c r="S114" s="44" t="n"/>
      <c r="T114" s="44" t="n"/>
      <c r="U114" s="44" t="n"/>
      <c r="V114" s="44" t="n"/>
      <c r="W114" s="44" t="n"/>
      <c r="X114" s="44" t="n"/>
      <c r="Y114" s="44" t="n"/>
      <c r="Z114" s="44" t="n"/>
      <c r="AA114" s="44" t="n"/>
      <c r="AB114" s="44" t="n"/>
    </row>
    <row r="115" ht="16.5" customHeight="1" s="313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  <c r="R115" s="56" t="n"/>
      <c r="S115" s="56" t="n"/>
      <c r="T115" s="56" t="n"/>
      <c r="U115" s="56" t="n"/>
      <c r="V115" s="56" t="n"/>
      <c r="W115" s="56" t="n"/>
      <c r="X115" s="56" t="n"/>
      <c r="Y115" s="56" t="n"/>
      <c r="Z115" s="56" t="n"/>
      <c r="AA115" s="56" t="n"/>
      <c r="AB115" s="56" t="n"/>
    </row>
    <row r="116" ht="16.5" customHeight="1" s="313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  <c r="R116" s="44" t="n"/>
      <c r="S116" s="44" t="n"/>
      <c r="T116" s="44" t="n"/>
      <c r="U116" s="44" t="n"/>
      <c r="V116" s="44" t="n"/>
      <c r="W116" s="44" t="n"/>
      <c r="X116" s="44" t="n"/>
      <c r="Y116" s="44" t="n"/>
      <c r="Z116" s="44" t="n"/>
      <c r="AA116" s="44" t="n"/>
      <c r="AB116" s="44" t="n"/>
    </row>
    <row r="117" ht="16.5" customHeight="1" s="313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  <c r="R117" s="56" t="n"/>
      <c r="S117" s="56" t="n"/>
      <c r="T117" s="56" t="n"/>
      <c r="U117" s="56" t="n"/>
      <c r="V117" s="56" t="n"/>
      <c r="W117" s="56" t="n"/>
      <c r="X117" s="56" t="n"/>
      <c r="Y117" s="56" t="n"/>
      <c r="Z117" s="56" t="n"/>
      <c r="AA117" s="56" t="n"/>
      <c r="AB117" s="56" t="n"/>
    </row>
    <row r="118" ht="16.5" customHeight="1" s="313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  <c r="R118" s="44" t="n"/>
      <c r="S118" s="44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</row>
    <row r="119" ht="16.5" customHeight="1" s="313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  <c r="Z119" s="56" t="n"/>
      <c r="AA119" s="56" t="n"/>
      <c r="AB119" s="56" t="n"/>
    </row>
    <row r="120" ht="16.5" customHeight="1" s="313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  <c r="R120" s="44" t="n"/>
      <c r="S120" s="44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</row>
    <row r="121" ht="16.5" customHeight="1" s="313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  <c r="AA121" s="56" t="n"/>
      <c r="AB121" s="56" t="n"/>
    </row>
    <row r="122" ht="16.5" customHeight="1" s="313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</row>
    <row r="123" ht="16.5" customHeight="1" s="313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56" t="n"/>
      <c r="AB123" s="56" t="n"/>
    </row>
    <row r="124" ht="16.5" customHeight="1" s="313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</row>
    <row r="125" ht="16.5" customHeight="1" s="313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</row>
    <row r="126" ht="16.5" customHeight="1" s="313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</row>
    <row r="127" ht="16.5" customHeight="1" s="313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</row>
    <row r="128" ht="16.5" customHeight="1" s="313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</row>
    <row r="129" ht="16.5" customHeight="1" s="313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</row>
    <row r="130" ht="16.5" customHeight="1" s="313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</row>
    <row r="131" ht="16.5" customHeight="1" s="313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</row>
    <row r="132" ht="16.5" customHeight="1" s="313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</row>
    <row r="133" ht="16.5" customHeight="1" s="313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</row>
    <row r="134" ht="16.5" customHeight="1" s="313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</row>
    <row r="135" ht="16.5" customHeight="1" s="313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</row>
    <row r="136" ht="16.5" customHeight="1" s="313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13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13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13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13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13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13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13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13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13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13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13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13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13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13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13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13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13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13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13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13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13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13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13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13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13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13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13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13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13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13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13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13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13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13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13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13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13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13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13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13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13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13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13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13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13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13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13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13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13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13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13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13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13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13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13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13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13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13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13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13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13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13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13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13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13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13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13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13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13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13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13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13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13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13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13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13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13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13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13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13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13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13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13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13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13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13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13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13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13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13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13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13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13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13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13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13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13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13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13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13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13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13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13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13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13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13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13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13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13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13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13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13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13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13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13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13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13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13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13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13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13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13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13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13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13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13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13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13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13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13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13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13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13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13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13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13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13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13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13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13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13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13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13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13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13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13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13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13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13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13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13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13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13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13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13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13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13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13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13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13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13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13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13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13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13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13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13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13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13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13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13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13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13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13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13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13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13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13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13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13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13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13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13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13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13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13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13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13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13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13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13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13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13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13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13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13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13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13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13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13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13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13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13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13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13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13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13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13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13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13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13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13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13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13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13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13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13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13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13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13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13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13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13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13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13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13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13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13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13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13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13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13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13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13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13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13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I2:P2"/>
    <mergeCell ref="A2:H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74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13" min="1" max="1"/>
    <col width="14" customWidth="1" style="313" min="2" max="2"/>
    <col width="24" customWidth="1" style="313" min="3" max="3"/>
    <col width="22" customWidth="1" style="313" min="4" max="4"/>
    <col width="19.77734375" customWidth="1" style="313" min="5" max="5"/>
    <col width="16" customWidth="1" style="313" min="6" max="6"/>
    <col width="14" customWidth="1" style="313" min="7" max="7"/>
    <col width="16" customWidth="1" style="313" min="8" max="8"/>
    <col width="18" customWidth="1" style="313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13">
      <c r="A2" s="399" t="inlineStr">
        <is>
          <t>💸  LOKA — EXPENSES TRACKER</t>
        </is>
      </c>
      <c r="E2" s="400" t="inlineStr">
        <is>
          <t>Log every cost: ingredients, staff, utilities, supplies…</t>
        </is>
      </c>
    </row>
    <row r="3">
      <c r="A3" s="401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13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13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13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13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13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13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13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13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13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13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 / 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 / 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 / 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 / 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 / 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 / 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 / 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 / 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 / 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 / 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 / 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 / 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 / 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 / 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 / 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 / 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 / 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 / 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 / 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 / 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 / 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 / 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 / 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 / 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Produce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 / 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 / 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 / 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 / 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 / 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 / 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 / 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 / 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 / 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 / 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 / 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 / 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 / 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 / 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 / 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 / 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 / 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 / 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 / 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 / 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 / 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 / 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 / 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304" t="n">
        <v>46216</v>
      </c>
      <c r="C471" s="305" t="inlineStr">
        <is>
          <t>Aceite (Oxxo)</t>
        </is>
      </c>
      <c r="D471" s="306" t="inlineStr">
        <is>
          <t>OXXO</t>
        </is>
      </c>
      <c r="E471" s="305" t="inlineStr">
        <is>
          <t>Ingredients - Pantry</t>
        </is>
      </c>
      <c r="F471" s="307" t="n">
        <v>112</v>
      </c>
      <c r="G471" s="308" t="inlineStr">
        <is>
          <t>Restaurant</t>
        </is>
      </c>
      <c r="H471" s="308" t="inlineStr">
        <is>
          <t>Cash</t>
        </is>
      </c>
      <c r="I471" s="309" t="inlineStr">
        <is>
          <t>✅ Paid</t>
        </is>
      </c>
      <c r="J471" s="295" t="inlineStr">
        <is>
          <t>No receipt; cash</t>
        </is>
      </c>
    </row>
    <row r="472">
      <c r="B472" s="304" t="n">
        <v>46216</v>
      </c>
      <c r="C472" s="305" t="inlineStr">
        <is>
          <t>Agua</t>
        </is>
      </c>
      <c r="D472" s="306" t="inlineStr">
        <is>
          <t>No bill</t>
        </is>
      </c>
      <c r="E472" s="305" t="inlineStr">
        <is>
          <t>Ingredients - Beverages</t>
        </is>
      </c>
      <c r="F472" s="307" t="n">
        <v>60</v>
      </c>
      <c r="G472" s="308" t="inlineStr">
        <is>
          <t>Lohith</t>
        </is>
      </c>
      <c r="H472" s="308" t="inlineStr">
        <is>
          <t>Cash</t>
        </is>
      </c>
      <c r="I472" s="309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304" t="n">
        <v>46216</v>
      </c>
      <c r="C473" s="305" t="inlineStr">
        <is>
          <t>Aceite</t>
        </is>
      </c>
      <c r="D473" s="306" t="inlineStr">
        <is>
          <t>No bill</t>
        </is>
      </c>
      <c r="E473" s="305" t="inlineStr">
        <is>
          <t>Ingredients - Pantry</t>
        </is>
      </c>
      <c r="F473" s="307" t="n">
        <v>330</v>
      </c>
      <c r="G473" s="308" t="inlineStr">
        <is>
          <t>Lohith</t>
        </is>
      </c>
      <c r="H473" s="308" t="inlineStr">
        <is>
          <t>Cash</t>
        </is>
      </c>
      <c r="I473" s="309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304" t="n">
        <v>46216</v>
      </c>
      <c r="C474" s="305" t="inlineStr">
        <is>
          <t>Clorox</t>
        </is>
      </c>
      <c r="D474" s="306" t="inlineStr">
        <is>
          <t>No bill</t>
        </is>
      </c>
      <c r="E474" s="305" t="inlineStr">
        <is>
          <t>Kitchen Supplies</t>
        </is>
      </c>
      <c r="F474" s="307" t="n">
        <v>10</v>
      </c>
      <c r="G474" s="308" t="inlineStr">
        <is>
          <t>Lohith</t>
        </is>
      </c>
      <c r="H474" s="308" t="inlineStr">
        <is>
          <t>Cash</t>
        </is>
      </c>
      <c r="I474" s="309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13" min="1" max="1"/>
    <col width="26" customWidth="1" style="313" min="2" max="2"/>
    <col width="16" customWidth="1" style="313" min="3" max="3"/>
    <col width="10" customWidth="1" style="313" min="4" max="4"/>
    <col width="14" customWidth="1" style="313" min="5" max="5"/>
    <col width="12" customWidth="1" style="313" min="6" max="7"/>
    <col width="14" customWidth="1" style="313" min="8" max="8"/>
    <col width="16" customWidth="1" style="313" min="9" max="9"/>
    <col width="20" customWidth="1" style="313" min="10" max="10"/>
    <col width="18" customWidth="1" style="313" min="11" max="11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13">
      <c r="A2" s="399" t="inlineStr">
        <is>
          <t>📦  LOKA — INVENTORY</t>
        </is>
      </c>
      <c r="F2" s="400" t="inlineStr">
        <is>
          <t>Update stock levels when you receive deliveries or do stock checks</t>
        </is>
      </c>
    </row>
    <row r="3" ht="3.75" customHeight="1" s="313">
      <c r="A3" s="401" t="n"/>
    </row>
    <row r="4" ht="7.5" customHeight="1" s="313"/>
    <row r="5" ht="18" customHeight="1" s="313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13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313"/>
    <row r="8" ht="19.5" customHeight="1" s="313">
      <c r="B8" s="388" t="inlineStr">
        <is>
          <t>Item Name  |  Category  |  Unit  |  Min Stock  |  Current Stock  |  Last Ordered  |  Supplier  |  Status  |  Notes</t>
        </is>
      </c>
      <c r="C8" s="328" t="n"/>
      <c r="D8" s="328" t="n"/>
      <c r="E8" s="328" t="n"/>
      <c r="F8" s="328" t="n"/>
      <c r="G8" s="328" t="n"/>
      <c r="H8" s="328" t="n"/>
      <c r="I8" s="328" t="n"/>
      <c r="J8" s="328" t="n"/>
      <c r="K8" s="328" t="n"/>
    </row>
    <row r="9" ht="27.75" customHeight="1" s="313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13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13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13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13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13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13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13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13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13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13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13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13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13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13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13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13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13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13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13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13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13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13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13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13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13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13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13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13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13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13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13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13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13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13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13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13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13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13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13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13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13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13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13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13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13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13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13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13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13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13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13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13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13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13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13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13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13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13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13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13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13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13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13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13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13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13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13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13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13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13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13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13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13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13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13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13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13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13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13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13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13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13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13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13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13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13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13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13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13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13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13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13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13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13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13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13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13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13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13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13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13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13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13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13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13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13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13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13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13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13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13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13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13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13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13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13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13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13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13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13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13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13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13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13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13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13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13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13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13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13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13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13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13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13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13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13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13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13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13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13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13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13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13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13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13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13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13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13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13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13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13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13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13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13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13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13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13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13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13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13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13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13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13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13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13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13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13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13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13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13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13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13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13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13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13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13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13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13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13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13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13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13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13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13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13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13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13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13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13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13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13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13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13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13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13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13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13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13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13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13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13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13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13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13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13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13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13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13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13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13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13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13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13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13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13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13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13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99"/>
  <sheetViews>
    <sheetView showGridLines="0" topLeftCell="A86" zoomScaleNormal="100" workbookViewId="0">
      <selection activeCell="G64" sqref="G64"/>
    </sheetView>
  </sheetViews>
  <sheetFormatPr baseColWidth="8" defaultColWidth="8.6640625" defaultRowHeight="14.4" customHeight="1"/>
  <cols>
    <col width="18.33203125" customWidth="1" style="313" min="1" max="1"/>
    <col width="32.5546875" customWidth="1" style="313" min="2" max="2"/>
    <col width="19.44140625" bestFit="1" customWidth="1" style="313" min="3" max="3"/>
    <col width="15.21875" customWidth="1" style="313" min="4" max="4"/>
    <col width="13.88671875" customWidth="1" style="313" min="5" max="6"/>
    <col width="12.33203125" customWidth="1" style="313" min="7" max="7"/>
    <col width="12.88671875" customWidth="1" style="313" min="8" max="8"/>
    <col width="7.33203125" bestFit="1" customWidth="1" style="313" min="9" max="9"/>
    <col width="7.21875" bestFit="1" customWidth="1" style="313" min="10" max="10"/>
    <col width="11" bestFit="1" customWidth="1" style="313" min="11" max="11"/>
    <col width="10.77734375" bestFit="1" customWidth="1" style="313" min="12" max="12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13">
      <c r="A2" s="404" t="inlineStr">
        <is>
          <t>👥  LOKA — STAFF &amp; PAYROLL</t>
        </is>
      </c>
      <c r="D2" s="405" t="inlineStr">
        <is>
          <t>Weekly schedule + auto payroll calculation</t>
        </is>
      </c>
    </row>
    <row r="3" ht="3.75" customHeight="1" s="313"/>
    <row r="4" ht="7.5" customHeight="1" s="313"/>
    <row r="5" ht="7.5" customHeight="1" s="313" thickBot="1"/>
    <row r="6" ht="21.75" customHeight="1" s="313" thickBot="1">
      <c r="A6" s="342" t="inlineStr">
        <is>
          <t xml:space="preserve">  STAFF SCHEDULE  —  Week of:</t>
        </is>
      </c>
      <c r="B6" s="311" t="n"/>
      <c r="C6" s="311" t="n"/>
      <c r="D6" s="192">
        <f>TODAY()-WEEKDAY(TODAY(),2)+1</f>
        <v/>
      </c>
      <c r="E6" s="328" t="n"/>
      <c r="F6" s="328" t="n"/>
      <c r="G6" s="328" t="n"/>
      <c r="H6" s="328" t="n"/>
      <c r="I6" s="328" t="n"/>
      <c r="J6" s="328" t="n"/>
      <c r="K6" s="328" t="n"/>
      <c r="L6" s="328" t="n"/>
    </row>
    <row r="7" ht="27.75" customHeight="1" s="313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13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13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13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13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13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13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313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313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13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13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13"/>
    <row r="19" ht="19.5" customHeight="1" s="313" thickBot="1"/>
    <row r="20" ht="27.75" customHeight="1" s="313" thickBot="1">
      <c r="A20" s="342" t="inlineStr">
        <is>
          <t xml:space="preserve">  MONTHLY PAYROLL PROJECTION</t>
        </is>
      </c>
      <c r="B20" s="311" t="n"/>
      <c r="C20" s="311" t="n"/>
      <c r="D20" s="311" t="n"/>
      <c r="E20" s="311" t="n"/>
      <c r="F20" s="311" t="n"/>
      <c r="G20" s="311" t="n"/>
      <c r="H20" s="311" t="n"/>
      <c r="I20" s="311" t="n"/>
      <c r="J20" s="311" t="n"/>
      <c r="K20" s="311" t="n"/>
      <c r="L20" s="311" t="n"/>
    </row>
    <row r="21" ht="18" customHeight="1" s="313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13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13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13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13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13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13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13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13">
      <c r="A29" s="115">
        <f>A15</f>
        <v/>
      </c>
      <c r="B29" s="328" t="n"/>
      <c r="C29" s="328" t="n"/>
      <c r="D29" s="328" t="n"/>
      <c r="E29" s="194">
        <f>C29*D29</f>
        <v/>
      </c>
      <c r="F29" s="324" t="n"/>
      <c r="G29" s="120">
        <f>E29*(1+F29)</f>
        <v/>
      </c>
      <c r="H29" s="96" t="n"/>
    </row>
    <row r="30" ht="17.4" customHeight="1" s="313">
      <c r="A30" s="390" t="inlineStr">
        <is>
          <t>TOTAL MONTHLY PAYROLL COST</t>
        </is>
      </c>
      <c r="B30" s="328" t="n"/>
      <c r="C30" s="328" t="n"/>
      <c r="D30" s="328" t="n"/>
      <c r="E30" s="328" t="n"/>
      <c r="F30" s="324" t="n"/>
      <c r="G30" s="108">
        <f>SUM(G21:G28)</f>
        <v/>
      </c>
    </row>
    <row r="33" ht="15.6" customHeight="1" s="313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Cesar — Mesero Salary (RESIGNED)</t>
        </is>
      </c>
      <c r="B37" s="199" t="n">
        <v>0</v>
      </c>
      <c r="C37" s="220" t="n">
        <v>0</v>
      </c>
      <c r="D37" s="221" t="inlineStr">
        <is>
          <t>Resigned — Week 4 paid in full · removed from forward fixed costs</t>
        </is>
      </c>
      <c r="E37" s="222" t="n"/>
    </row>
    <row r="38">
      <c r="A38" t="inlineStr">
        <is>
          <t>Samu — Ayudante Salary</t>
        </is>
      </c>
      <c r="B38" s="193" t="n">
        <v>800</v>
      </c>
      <c r="C38" s="223" t="n">
        <v>3200</v>
      </c>
      <c r="D38" s="224" t="inlineStr">
        <is>
          <t>Confirmed — $800/week | $160/day | 5 days Mon–Fri | Start 9 Jun 2026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MESERO STATUS — ✅ CESAR + SAMU ACTIVE FROM 9 JUN 2026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13">
      <c r="A45" s="203" t="inlineStr">
        <is>
          <t>Current roster: John + Debi + Samu (no mesero)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Cesar resigned — fixed costs down $2,000/wk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313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13"/>
    <row r="61" ht="15.6" customHeight="1" s="313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/>
      <c r="B78" s="262" t="n"/>
      <c r="C78" s="262" t="n"/>
      <c r="D78" s="264" t="n"/>
    </row>
    <row r="79">
      <c r="A79" s="263" t="n"/>
      <c r="B79" s="262" t="n"/>
      <c r="C79" s="262" t="n"/>
      <c r="D79" s="264" t="n"/>
    </row>
    <row r="80">
      <c r="A80" s="263" t="n"/>
      <c r="B80" s="262" t="n"/>
      <c r="C80" s="262" t="n"/>
      <c r="D80" s="264" t="n"/>
    </row>
    <row r="81">
      <c r="A81" s="263" t="n"/>
      <c r="B81" s="262" t="n"/>
      <c r="C81" s="262" t="n"/>
      <c r="D81" s="264" t="n"/>
    </row>
    <row r="82">
      <c r="A82" s="263" t="n"/>
      <c r="B82" s="262" t="n"/>
      <c r="C82" s="262" t="n"/>
      <c r="D82" s="264" t="n"/>
    </row>
    <row r="83">
      <c r="A83" s="263" t="n"/>
      <c r="B83" s="262" t="n"/>
      <c r="C83" s="262" t="n"/>
      <c r="D83" s="264" t="n"/>
    </row>
    <row r="84">
      <c r="A84" s="263" t="n"/>
      <c r="B84" s="262" t="n"/>
      <c r="C84" s="262" t="n"/>
      <c r="D84" s="264" t="n"/>
    </row>
    <row r="85">
      <c r="A85" s="263" t="n"/>
      <c r="B85" s="262" t="n"/>
      <c r="C85" s="262" t="n"/>
      <c r="D85" s="264" t="n"/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2" t="n"/>
      <c r="B93" s="262" t="inlineStr">
        <is>
          <t>TOTAL TIPS PASSED THROUGH</t>
        </is>
      </c>
      <c r="C93" s="262" t="n"/>
      <c r="D93" s="264">
        <f>SUM(D63:D92)</f>
        <v/>
      </c>
    </row>
    <row r="94">
      <c r="A94" s="262" t="inlineStr">
        <is>
          <t>Customer tips collected &amp; handed to staff. Excluded from P&amp;L — nets to zero (received = paid).</t>
        </is>
      </c>
      <c r="B94" s="262" t="n"/>
      <c r="C94" s="262" t="n"/>
      <c r="D94" s="262" t="n"/>
    </row>
    <row r="96">
      <c r="A96" t="inlineStr">
        <is>
          <t>── CASH RECONCILIATION (15 Jun 2026) ──</t>
        </is>
      </c>
    </row>
    <row r="97">
      <c r="A97" t="inlineStr">
        <is>
          <t>Actual restaurant cash on hand</t>
        </is>
      </c>
      <c r="D97" s="228" t="n">
        <v>20283</v>
      </c>
    </row>
    <row r="98">
      <c r="A98" t="inlineStr">
        <is>
          <t>Adjustment: restaurant cash added to tips + Mercado Pago commission (vs running estimate)</t>
        </is>
      </c>
      <c r="D98" s="228" t="n">
        <v>-165</v>
      </c>
    </row>
    <row r="99">
      <c r="A99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13" min="1" max="1"/>
    <col width="14" customWidth="1" style="313" min="2" max="2"/>
    <col width="22" customWidth="1" style="313" min="3" max="3"/>
    <col width="20" customWidth="1" style="313" min="4" max="4"/>
    <col width="12" customWidth="1" style="313" min="5" max="5"/>
    <col width="10" customWidth="1" style="313" min="6" max="6"/>
    <col width="12" customWidth="1" style="313" min="7" max="7"/>
    <col width="14" customWidth="1" style="313" min="8" max="9"/>
    <col width="18" customWidth="1" style="313" min="10" max="10"/>
    <col width="16" customWidth="1" style="313" min="11" max="11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13">
      <c r="A2" s="399" t="inlineStr">
        <is>
          <t>🚚  LOKA — SUPPLIER ORDERS</t>
        </is>
      </c>
      <c r="F2" s="400" t="inlineStr">
        <is>
          <t>Track purchase orders from suppliers</t>
        </is>
      </c>
    </row>
    <row r="3" ht="3.75" customHeight="1" s="313">
      <c r="A3" s="401" t="n"/>
    </row>
    <row r="4" ht="7.5" customHeight="1" s="313"/>
    <row r="5" ht="18" customHeight="1" s="313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13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313"/>
    <row r="8" ht="19.5" customHeight="1" s="313">
      <c r="B8" s="388" t="n"/>
      <c r="C8" s="328" t="n"/>
      <c r="D8" s="328" t="n"/>
      <c r="E8" s="328" t="n"/>
      <c r="F8" s="328" t="n"/>
      <c r="G8" s="328" t="n"/>
      <c r="H8" s="328" t="n"/>
      <c r="I8" s="328" t="n"/>
      <c r="J8" s="328" t="n"/>
      <c r="K8" s="328" t="n"/>
    </row>
    <row r="9" ht="27.75" customHeight="1" s="313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13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13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13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13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13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13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13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13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13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13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13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13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13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13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13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13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13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13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13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13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13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13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13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13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13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13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13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13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13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13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13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13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13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13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13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13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13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13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13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13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13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13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13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13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13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13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13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13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13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13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13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13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13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13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13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13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13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13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13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13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13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13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13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13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13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13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13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13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13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13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13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13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13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13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13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13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13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13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13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13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13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13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13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13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13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13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13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13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13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13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13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13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13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13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13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13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13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13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13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13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13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13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13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13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13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13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13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13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13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13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13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13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13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13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13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13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13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13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13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13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13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13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13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13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13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13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13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13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13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13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13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13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13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13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13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13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13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13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13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13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13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13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13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13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13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13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13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13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13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13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13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13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13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13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13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13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13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13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13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13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13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13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13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13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13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13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13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13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13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13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13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13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13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13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13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13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13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13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13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13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13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13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13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13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13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13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13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13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13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13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13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13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13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13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13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13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13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13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13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13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13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13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13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13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13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13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13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13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13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13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13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13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13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13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13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13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13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13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13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13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13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13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13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13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13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13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13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13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13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13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13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13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13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13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13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13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13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13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13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13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13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13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13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13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13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13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13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13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13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13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13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13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13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13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13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13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13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13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13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13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13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13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13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13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13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13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13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13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13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13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13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13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13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13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13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13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13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13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13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13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13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13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13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13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13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13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13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13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13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13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13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13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13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13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13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13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13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13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13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13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313" min="2" max="2"/>
    <col width="14.33203125" bestFit="1" customWidth="1" style="313" min="3" max="3"/>
    <col width="44" bestFit="1" customWidth="1" style="313" min="4" max="4"/>
    <col width="87.77734375" bestFit="1" customWidth="1" style="313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13" min="1" max="1"/>
    <col width="15" bestFit="1" customWidth="1" style="313" min="2" max="2"/>
    <col width="15" customWidth="1" style="313" min="3" max="4"/>
    <col width="15" customWidth="1" style="313" min="4" max="4"/>
    <col width="9" customWidth="1" style="313" min="5" max="14"/>
    <col width="9" customWidth="1" style="313" min="6" max="6"/>
    <col width="9" customWidth="1" style="313" min="7" max="7"/>
    <col width="9" customWidth="1" style="313" min="8" max="8"/>
    <col width="9" customWidth="1" style="313" min="9" max="9"/>
    <col width="9" customWidth="1" style="313" min="10" max="10"/>
    <col width="9" customWidth="1" style="313" min="11" max="11"/>
    <col width="9" customWidth="1" style="313" min="12" max="12"/>
    <col width="9" customWidth="1" style="313" min="13" max="13"/>
    <col width="9" customWidth="1" style="313" min="14" max="14"/>
  </cols>
  <sheetData>
    <row r="1" ht="26" customHeight="1" s="313">
      <c r="A1" s="407" t="inlineStr">
        <is>
          <t>LOKA — MONTHLY P&amp;L   (live formulas — auto-updates from Daily Log &amp; Expenses)</t>
        </is>
      </c>
      <c r="B1" s="408" t="n"/>
      <c r="C1" s="408" t="n"/>
      <c r="D1" s="408" t="n"/>
      <c r="E1" s="409" t="n"/>
      <c r="F1" s="409" t="n"/>
      <c r="G1" s="409" t="n"/>
      <c r="H1" s="409" t="n"/>
      <c r="I1" s="409" t="n"/>
      <c r="J1" s="409" t="n"/>
      <c r="K1" s="409" t="n"/>
      <c r="L1" s="409" t="n"/>
    </row>
    <row r="2">
      <c r="A2" s="409" t="n"/>
      <c r="B2" s="409" t="n"/>
      <c r="C2" s="409" t="n"/>
      <c r="D2" s="409" t="n"/>
      <c r="E2" s="409" t="n"/>
      <c r="F2" s="409" t="n"/>
      <c r="G2" s="409" t="n"/>
      <c r="H2" s="409" t="n"/>
      <c r="I2" s="409" t="n"/>
      <c r="J2" s="409" t="n"/>
      <c r="K2" s="409" t="n"/>
      <c r="L2" s="409" t="n"/>
    </row>
    <row r="3">
      <c r="A3" s="410" t="inlineStr">
        <is>
          <t>SUMMARY</t>
        </is>
      </c>
      <c r="B3" s="411" t="inlineStr">
        <is>
          <t>May 2026</t>
        </is>
      </c>
      <c r="C3" s="411" t="inlineStr">
        <is>
          <t>Jun 2026</t>
        </is>
      </c>
      <c r="D3" s="411" t="inlineStr">
        <is>
          <t>Jul 2026</t>
        </is>
      </c>
      <c r="E3" s="409" t="n"/>
      <c r="F3" s="409" t="n"/>
      <c r="G3" s="409" t="n"/>
      <c r="H3" s="409" t="n"/>
      <c r="I3" s="409" t="n"/>
      <c r="J3" s="409" t="n"/>
      <c r="K3" s="409" t="n"/>
      <c r="L3" s="409" t="n"/>
    </row>
    <row r="4">
      <c r="A4" s="412" t="inlineStr">
        <is>
          <t>Total Income</t>
        </is>
      </c>
      <c r="B4" s="413">
        <f>SUMIFS('📅 Daily Log'!$F$8:$F$500,'📅 Daily Log'!$B$8:$B$500,"&gt;="&amp;DATE(2026,5,1),'📅 Daily Log'!$B$8:$B$500,"&lt;"&amp;DATE(2026,6,1))</f>
        <v/>
      </c>
      <c r="C4" s="413">
        <f>SUMIFS('📅 Daily Log'!$F$8:$F$500,'📅 Daily Log'!$B$8:$B$500,"&gt;="&amp;DATE(2026,6,1),'📅 Daily Log'!$B$8:$B$500,"&lt;"&amp;DATE(2026,7,1))</f>
        <v/>
      </c>
      <c r="D4" s="413">
        <f>SUMIFS('📅 Daily Log'!$F$8:$F$500,'📅 Daily Log'!$B$8:$B$500,"&gt;="&amp;DATE(2026,7,1),'📅 Daily Log'!$B$8:$B$500,"&lt;"&amp;DATE(2026,8,1))</f>
        <v/>
      </c>
      <c r="E4" s="409" t="n"/>
      <c r="F4" s="409" t="n"/>
      <c r="G4" s="409" t="n"/>
      <c r="H4" s="409" t="n"/>
      <c r="I4" s="409" t="n"/>
      <c r="J4" s="409" t="n"/>
      <c r="K4" s="409" t="n"/>
      <c r="L4" s="409" t="n"/>
    </row>
    <row r="5">
      <c r="A5" s="412" t="inlineStr">
        <is>
          <t>Total Expenses</t>
        </is>
      </c>
      <c r="B5" s="413">
        <f>SUMIFS('💸 Expenses'!$F$8:$F$500,'💸 Expenses'!$B$8:$B$500,"&gt;="&amp;DATE(2026,5,1),'💸 Expenses'!$B$8:$B$500,"&lt;"&amp;DATE(2026,6,1))</f>
        <v/>
      </c>
      <c r="C5" s="413">
        <f>SUMIFS('💸 Expenses'!$F$8:$F$500,'💸 Expenses'!$B$8:$B$500,"&gt;="&amp;DATE(2026,6,1),'💸 Expenses'!$B$8:$B$500,"&lt;"&amp;DATE(2026,7,1))</f>
        <v/>
      </c>
      <c r="D5" s="413">
        <f>SUMIFS('💸 Expenses'!$F$8:$F$500,'💸 Expenses'!$B$8:$B$500,"&gt;="&amp;DATE(2026,7,1),'💸 Expenses'!$B$8:$B$500,"&lt;"&amp;DATE(2026,8,1))</f>
        <v/>
      </c>
      <c r="E5" s="409" t="n"/>
      <c r="F5" s="409" t="n"/>
      <c r="G5" s="409" t="n"/>
      <c r="H5" s="409" t="n"/>
      <c r="I5" s="409" t="n"/>
      <c r="J5" s="409" t="n"/>
      <c r="K5" s="409" t="n"/>
      <c r="L5" s="409" t="n"/>
    </row>
    <row r="6">
      <c r="A6" s="412" t="inlineStr">
        <is>
          <t>NET PROFIT / LOSS</t>
        </is>
      </c>
      <c r="B6" s="414">
        <f>B4-B5</f>
        <v/>
      </c>
      <c r="C6" s="414">
        <f>C4-C5</f>
        <v/>
      </c>
      <c r="D6" s="414">
        <f>D4-D5</f>
        <v/>
      </c>
      <c r="E6" s="409" t="n"/>
      <c r="F6" s="409" t="n"/>
      <c r="G6" s="409" t="n"/>
      <c r="H6" s="409" t="n"/>
      <c r="I6" s="409" t="n"/>
      <c r="J6" s="409" t="n"/>
      <c r="K6" s="409" t="n"/>
      <c r="L6" s="409" t="n"/>
    </row>
    <row r="7">
      <c r="A7" s="415" t="inlineStr">
        <is>
          <t>Trading Days</t>
        </is>
      </c>
      <c r="B7" s="416">
        <f>COUNTIFS('📅 Daily Log'!$F$8:$F$500,"&gt;0",'📅 Daily Log'!$B$8:$B$500,"&gt;="&amp;DATE(2026,5,1),'📅 Daily Log'!$B$8:$B$500,"&lt;"&amp;DATE(2026,6,1))</f>
        <v/>
      </c>
      <c r="C7" s="416">
        <f>COUNTIFS('📅 Daily Log'!$F$8:$F$500,"&gt;0",'📅 Daily Log'!$B$8:$B$500,"&gt;="&amp;DATE(2026,6,1),'📅 Daily Log'!$B$8:$B$500,"&lt;"&amp;DATE(2026,7,1))</f>
        <v/>
      </c>
      <c r="D7" s="416">
        <f>COUNTIFS('📅 Daily Log'!$F$8:$F$500,"&gt;0",'📅 Daily Log'!$B$8:$B$500,"&gt;="&amp;DATE(2026,7,1),'📅 Daily Log'!$B$8:$B$500,"&lt;"&amp;DATE(2026,8,1))</f>
        <v/>
      </c>
      <c r="E7" s="409" t="n"/>
      <c r="F7" s="409" t="n"/>
      <c r="G7" s="409" t="n"/>
      <c r="H7" s="409" t="n"/>
      <c r="I7" s="409" t="n"/>
      <c r="J7" s="409" t="n"/>
      <c r="K7" s="409" t="n"/>
      <c r="L7" s="409" t="n"/>
    </row>
    <row r="8">
      <c r="A8" s="415" t="inlineStr">
        <is>
          <t>Avg Income / Day</t>
        </is>
      </c>
      <c r="B8" s="413">
        <f>IFERROR(B4/B7,0)</f>
        <v/>
      </c>
      <c r="C8" s="413">
        <f>IFERROR(C4/C7,0)</f>
        <v/>
      </c>
      <c r="D8" s="413">
        <f>IFERROR(D4/D7,0)</f>
        <v/>
      </c>
      <c r="E8" s="409" t="n"/>
      <c r="F8" s="409" t="n"/>
      <c r="G8" s="409" t="n"/>
      <c r="H8" s="409" t="n"/>
      <c r="I8" s="409" t="n"/>
      <c r="J8" s="409" t="n"/>
      <c r="K8" s="409" t="n"/>
      <c r="L8" s="409" t="n"/>
    </row>
    <row r="9">
      <c r="A9" s="409" t="n"/>
      <c r="B9" s="409" t="n"/>
      <c r="C9" s="409" t="n"/>
      <c r="D9" s="409" t="n"/>
      <c r="E9" s="409" t="n"/>
      <c r="F9" s="409" t="n"/>
      <c r="G9" s="409" t="n"/>
      <c r="H9" s="409" t="n"/>
      <c r="I9" s="409" t="n"/>
      <c r="J9" s="409" t="n"/>
      <c r="K9" s="409" t="n"/>
      <c r="L9" s="409" t="n"/>
    </row>
    <row r="10">
      <c r="A10" s="410" t="inlineStr">
        <is>
          <t>INCOME BY TYPE</t>
        </is>
      </c>
      <c r="B10" s="411" t="inlineStr">
        <is>
          <t>May 2026</t>
        </is>
      </c>
      <c r="C10" s="411" t="inlineStr">
        <is>
          <t>Jun 2026</t>
        </is>
      </c>
      <c r="D10" s="411" t="inlineStr">
        <is>
          <t>Jul 2026</t>
        </is>
      </c>
      <c r="E10" s="409" t="n"/>
      <c r="F10" s="409" t="n"/>
      <c r="G10" s="409" t="n"/>
      <c r="H10" s="409" t="n"/>
      <c r="I10" s="409" t="n"/>
      <c r="J10" s="409" t="n"/>
      <c r="K10" s="409" t="n"/>
      <c r="L10" s="409" t="n"/>
    </row>
    <row r="11">
      <c r="A11" s="415" t="inlineStr">
        <is>
          <t>Card</t>
        </is>
      </c>
      <c r="B11" s="413">
        <f>SUMIFS('📅 Daily Log'!$D$8:$D$500,'📅 Daily Log'!$B$8:$B$500,"&gt;="&amp;DATE(2026,5,1),'📅 Daily Log'!$B$8:$B$500,"&lt;"&amp;DATE(2026,6,1))</f>
        <v/>
      </c>
      <c r="C11" s="413">
        <f>SUMIFS('📅 Daily Log'!$D$8:$D$500,'📅 Daily Log'!$B$8:$B$500,"&gt;="&amp;DATE(2026,6,1),'📅 Daily Log'!$B$8:$B$500,"&lt;"&amp;DATE(2026,7,1))</f>
        <v/>
      </c>
      <c r="D11" s="413">
        <f>SUMIFS('📅 Daily Log'!$D$8:$D$500,'📅 Daily Log'!$B$8:$B$500,"&gt;="&amp;DATE(2026,7,1),'📅 Daily Log'!$B$8:$B$500,"&lt;"&amp;DATE(2026,8,1))</f>
        <v/>
      </c>
      <c r="E11" s="409" t="n"/>
      <c r="F11" s="409" t="n"/>
      <c r="G11" s="409" t="n"/>
      <c r="H11" s="409" t="n"/>
      <c r="I11" s="409" t="n"/>
      <c r="J11" s="409" t="n"/>
      <c r="K11" s="409" t="n"/>
      <c r="L11" s="409" t="n"/>
    </row>
    <row r="12">
      <c r="A12" s="415" t="inlineStr">
        <is>
          <t>Cash</t>
        </is>
      </c>
      <c r="B12" s="413">
        <f>SUMIFS('📅 Daily Log'!$E$8:$E$500,'📅 Daily Log'!$B$8:$B$500,"&gt;="&amp;DATE(2026,5,1),'📅 Daily Log'!$B$8:$B$500,"&lt;"&amp;DATE(2026,6,1))</f>
        <v/>
      </c>
      <c r="C12" s="413">
        <f>SUMIFS('📅 Daily Log'!$E$8:$E$500,'📅 Daily Log'!$B$8:$B$500,"&gt;="&amp;DATE(2026,6,1),'📅 Daily Log'!$B$8:$B$500,"&lt;"&amp;DATE(2026,7,1))</f>
        <v/>
      </c>
      <c r="D12" s="413">
        <f>SUMIFS('📅 Daily Log'!$E$8:$E$500,'📅 Daily Log'!$B$8:$B$500,"&gt;="&amp;DATE(2026,7,1),'📅 Daily Log'!$B$8:$B$500,"&lt;"&amp;DATE(2026,8,1))</f>
        <v/>
      </c>
      <c r="E12" s="409" t="n"/>
      <c r="F12" s="409" t="n"/>
      <c r="G12" s="409" t="n"/>
      <c r="H12" s="409" t="n"/>
      <c r="I12" s="409" t="n"/>
      <c r="J12" s="409" t="n"/>
      <c r="K12" s="409" t="n"/>
      <c r="L12" s="409" t="n"/>
    </row>
    <row r="13">
      <c r="A13" s="415" t="inlineStr">
        <is>
          <t>Transfer</t>
        </is>
      </c>
      <c r="B13" s="413">
        <f>SUMIFS('📅 Daily Log'!$G$8:$G$500,'📅 Daily Log'!$B$8:$B$500,"&gt;="&amp;DATE(2026,5,1),'📅 Daily Log'!$B$8:$B$500,"&lt;"&amp;DATE(2026,6,1))</f>
        <v/>
      </c>
      <c r="C13" s="413">
        <f>SUMIFS('📅 Daily Log'!$G$8:$G$500,'📅 Daily Log'!$B$8:$B$500,"&gt;="&amp;DATE(2026,6,1),'📅 Daily Log'!$B$8:$B$500,"&lt;"&amp;DATE(2026,7,1))</f>
        <v/>
      </c>
      <c r="D13" s="413">
        <f>SUMIFS('📅 Daily Log'!$G$8:$G$500,'📅 Daily Log'!$B$8:$B$500,"&gt;="&amp;DATE(2026,7,1),'📅 Daily Log'!$B$8:$B$500,"&lt;"&amp;DATE(2026,8,1))</f>
        <v/>
      </c>
      <c r="E13" s="409" t="n"/>
      <c r="F13" s="409" t="n"/>
      <c r="G13" s="409" t="n"/>
      <c r="H13" s="409" t="n"/>
      <c r="I13" s="409" t="n"/>
      <c r="J13" s="409" t="n"/>
      <c r="K13" s="409" t="n"/>
      <c r="L13" s="409" t="n"/>
    </row>
    <row r="14">
      <c r="A14" s="412" t="inlineStr">
        <is>
          <t>Total Income</t>
        </is>
      </c>
      <c r="B14" s="414">
        <f>B11+B12+B13</f>
        <v/>
      </c>
      <c r="C14" s="414">
        <f>C11+C12+C13</f>
        <v/>
      </c>
      <c r="D14" s="414">
        <f>D11+D12+D13</f>
        <v/>
      </c>
      <c r="E14" s="409" t="n"/>
      <c r="F14" s="409" t="n"/>
      <c r="G14" s="409" t="n"/>
      <c r="H14" s="409" t="n"/>
      <c r="I14" s="409" t="n"/>
      <c r="J14" s="409" t="n"/>
      <c r="K14" s="409" t="n"/>
      <c r="L14" s="409" t="n"/>
    </row>
    <row r="15">
      <c r="A15" s="409" t="n"/>
      <c r="B15" s="409" t="n"/>
      <c r="C15" s="409" t="n"/>
      <c r="D15" s="409" t="n"/>
      <c r="E15" s="409" t="n"/>
      <c r="F15" s="409" t="n"/>
      <c r="G15" s="409" t="n"/>
      <c r="H15" s="409" t="n"/>
      <c r="I15" s="409" t="n"/>
      <c r="J15" s="409" t="n"/>
      <c r="K15" s="409" t="n"/>
      <c r="L15" s="409" t="n"/>
    </row>
    <row r="16">
      <c r="A16" s="410" t="inlineStr">
        <is>
          <t>EXPENSES BY CATEGORY (high → low)</t>
        </is>
      </c>
      <c r="B16" s="411" t="inlineStr">
        <is>
          <t>May 2026</t>
        </is>
      </c>
      <c r="C16" s="411" t="inlineStr">
        <is>
          <t>Jun 2026</t>
        </is>
      </c>
      <c r="D16" s="411" t="inlineStr">
        <is>
          <t>Jul 2026</t>
        </is>
      </c>
      <c r="E16" s="409" t="n"/>
      <c r="F16" s="409" t="n"/>
      <c r="G16" s="409" t="n"/>
      <c r="H16" s="409" t="n"/>
      <c r="I16" s="409" t="n"/>
      <c r="J16" s="409" t="n"/>
      <c r="K16" s="409" t="n"/>
      <c r="L16" s="409" t="n"/>
    </row>
    <row r="17">
      <c r="A17" s="415" t="inlineStr">
        <is>
          <t>Staff - Salary</t>
        </is>
      </c>
      <c r="B17" s="413">
        <f>SUMIFS('💸 Expenses'!$F$8:$F$500,'💸 Expenses'!$E$8:$E$500,$A17,'💸 Expenses'!$B$8:$B$500,"&gt;="&amp;DATE(2026,5,1),'💸 Expenses'!$B$8:$B$500,"&lt;"&amp;DATE(2026,6,1))</f>
        <v/>
      </c>
      <c r="C17" s="413">
        <f>SUMIFS('💸 Expenses'!$F$8:$F$500,'💸 Expenses'!$E$8:$E$500,$A17,'💸 Expenses'!$B$8:$B$500,"&gt;="&amp;DATE(2026,6,1),'💸 Expenses'!$B$8:$B$500,"&lt;"&amp;DATE(2026,7,1))</f>
        <v/>
      </c>
      <c r="D17" s="413">
        <f>SUMIFS('💸 Expenses'!$F$8:$F$500,'💸 Expenses'!$E$8:$E$500,$A17,'💸 Expenses'!$B$8:$B$500,"&gt;="&amp;DATE(2026,7,1),'💸 Expenses'!$B$8:$B$500,"&lt;"&amp;DATE(2026,8,1))</f>
        <v/>
      </c>
      <c r="E17" s="409" t="n"/>
      <c r="F17" s="409" t="n"/>
      <c r="G17" s="409" t="n"/>
      <c r="H17" s="409" t="n"/>
      <c r="I17" s="409" t="n"/>
      <c r="J17" s="409" t="n"/>
      <c r="K17" s="409" t="n"/>
      <c r="L17" s="409" t="n"/>
    </row>
    <row r="18">
      <c r="A18" s="415" t="inlineStr">
        <is>
          <t>Rent</t>
        </is>
      </c>
      <c r="B18" s="413">
        <f>SUMIFS('💸 Expenses'!$F$8:$F$500,'💸 Expenses'!$E$8:$E$500,$A18,'💸 Expenses'!$B$8:$B$500,"&gt;="&amp;DATE(2026,5,1),'💸 Expenses'!$B$8:$B$500,"&lt;"&amp;DATE(2026,6,1))</f>
        <v/>
      </c>
      <c r="C18" s="413">
        <f>SUMIFS('💸 Expenses'!$F$8:$F$500,'💸 Expenses'!$E$8:$E$500,$A18,'💸 Expenses'!$B$8:$B$500,"&gt;="&amp;DATE(2026,6,1),'💸 Expenses'!$B$8:$B$500,"&lt;"&amp;DATE(2026,7,1))</f>
        <v/>
      </c>
      <c r="D18" s="413">
        <f>SUMIFS('💸 Expenses'!$F$8:$F$500,'💸 Expenses'!$E$8:$E$500,$A18,'💸 Expenses'!$B$8:$B$500,"&gt;="&amp;DATE(2026,7,1),'💸 Expenses'!$B$8:$B$500,"&lt;"&amp;DATE(2026,8,1))</f>
        <v/>
      </c>
      <c r="E18" s="409" t="n"/>
      <c r="F18" s="409" t="n"/>
      <c r="G18" s="409" t="n"/>
      <c r="H18" s="409" t="n"/>
      <c r="I18" s="409" t="n"/>
      <c r="J18" s="409" t="n"/>
      <c r="K18" s="409" t="n"/>
      <c r="L18" s="409" t="n"/>
    </row>
    <row r="19">
      <c r="A19" s="415" t="inlineStr">
        <is>
          <t>Ingredients - Meat</t>
        </is>
      </c>
      <c r="B19" s="413">
        <f>SUMIFS('💸 Expenses'!$F$8:$F$500,'💸 Expenses'!$E$8:$E$500,$A19,'💸 Expenses'!$B$8:$B$500,"&gt;="&amp;DATE(2026,5,1),'💸 Expenses'!$B$8:$B$500,"&lt;"&amp;DATE(2026,6,1))</f>
        <v/>
      </c>
      <c r="C19" s="413">
        <f>SUMIFS('💸 Expenses'!$F$8:$F$500,'💸 Expenses'!$E$8:$E$500,$A19,'💸 Expenses'!$B$8:$B$500,"&gt;="&amp;DATE(2026,6,1),'💸 Expenses'!$B$8:$B$500,"&lt;"&amp;DATE(2026,7,1))</f>
        <v/>
      </c>
      <c r="D19" s="413">
        <f>SUMIFS('💸 Expenses'!$F$8:$F$500,'💸 Expenses'!$E$8:$E$500,$A19,'💸 Expenses'!$B$8:$B$500,"&gt;="&amp;DATE(2026,7,1),'💸 Expenses'!$B$8:$B$500,"&lt;"&amp;DATE(2026,8,1))</f>
        <v/>
      </c>
      <c r="E19" s="409" t="n"/>
      <c r="F19" s="409" t="n"/>
      <c r="G19" s="409" t="n"/>
      <c r="H19" s="409" t="n"/>
      <c r="I19" s="409" t="n"/>
      <c r="J19" s="409" t="n"/>
      <c r="K19" s="409" t="n"/>
      <c r="L19" s="409" t="n"/>
    </row>
    <row r="20">
      <c r="A20" s="415" t="inlineStr">
        <is>
          <t>Ingredients - Vegetables</t>
        </is>
      </c>
      <c r="B20" s="413">
        <f>SUMIFS('💸 Expenses'!$F$8:$F$500,'💸 Expenses'!$E$8:$E$500,$A20,'💸 Expenses'!$B$8:$B$500,"&gt;="&amp;DATE(2026,5,1),'💸 Expenses'!$B$8:$B$500,"&lt;"&amp;DATE(2026,6,1))</f>
        <v/>
      </c>
      <c r="C20" s="413">
        <f>SUMIFS('💸 Expenses'!$F$8:$F$500,'💸 Expenses'!$E$8:$E$500,$A20,'💸 Expenses'!$B$8:$B$500,"&gt;="&amp;DATE(2026,6,1),'💸 Expenses'!$B$8:$B$500,"&lt;"&amp;DATE(2026,7,1))</f>
        <v/>
      </c>
      <c r="D20" s="413">
        <f>SUMIFS('💸 Expenses'!$F$8:$F$500,'💸 Expenses'!$E$8:$E$500,$A20,'💸 Expenses'!$B$8:$B$500,"&gt;="&amp;DATE(2026,7,1),'💸 Expenses'!$B$8:$B$500,"&lt;"&amp;DATE(2026,8,1))</f>
        <v/>
      </c>
      <c r="E20" s="409" t="n"/>
      <c r="F20" s="409" t="n"/>
      <c r="G20" s="409" t="n"/>
      <c r="H20" s="409" t="n"/>
      <c r="I20" s="409" t="n"/>
      <c r="J20" s="409" t="n"/>
      <c r="K20" s="409" t="n"/>
      <c r="L20" s="409" t="n"/>
    </row>
    <row r="21">
      <c r="A21" s="415" t="inlineStr">
        <is>
          <t>Ingredients - Pantry</t>
        </is>
      </c>
      <c r="B21" s="413">
        <f>SUMIFS('💸 Expenses'!$F$8:$F$500,'💸 Expenses'!$E$8:$E$500,$A21,'💸 Expenses'!$B$8:$B$500,"&gt;="&amp;DATE(2026,5,1),'💸 Expenses'!$B$8:$B$500,"&lt;"&amp;DATE(2026,6,1))</f>
        <v/>
      </c>
      <c r="C21" s="413">
        <f>SUMIFS('💸 Expenses'!$F$8:$F$500,'💸 Expenses'!$E$8:$E$500,$A21,'💸 Expenses'!$B$8:$B$500,"&gt;="&amp;DATE(2026,6,1),'💸 Expenses'!$B$8:$B$500,"&lt;"&amp;DATE(2026,7,1))</f>
        <v/>
      </c>
      <c r="D21" s="413">
        <f>SUMIFS('💸 Expenses'!$F$8:$F$500,'💸 Expenses'!$E$8:$E$500,$A21,'💸 Expenses'!$B$8:$B$500,"&gt;="&amp;DATE(2026,7,1),'💸 Expenses'!$B$8:$B$500,"&lt;"&amp;DATE(2026,8,1))</f>
        <v/>
      </c>
      <c r="E21" s="409" t="n"/>
      <c r="F21" s="409" t="n"/>
      <c r="G21" s="409" t="n"/>
      <c r="H21" s="409" t="n"/>
      <c r="I21" s="409" t="n"/>
      <c r="J21" s="409" t="n"/>
      <c r="K21" s="409" t="n"/>
      <c r="L21" s="409" t="n"/>
    </row>
    <row r="22">
      <c r="A22" s="415" t="inlineStr">
        <is>
          <t>Ingredients - Beverages</t>
        </is>
      </c>
      <c r="B22" s="413">
        <f>SUMIFS('💸 Expenses'!$F$8:$F$500,'💸 Expenses'!$E$8:$E$500,$A22,'💸 Expenses'!$B$8:$B$500,"&gt;="&amp;DATE(2026,5,1),'💸 Expenses'!$B$8:$B$500,"&lt;"&amp;DATE(2026,6,1))</f>
        <v/>
      </c>
      <c r="C22" s="413">
        <f>SUMIFS('💸 Expenses'!$F$8:$F$500,'💸 Expenses'!$E$8:$E$500,$A22,'💸 Expenses'!$B$8:$B$500,"&gt;="&amp;DATE(2026,6,1),'💸 Expenses'!$B$8:$B$500,"&lt;"&amp;DATE(2026,7,1))</f>
        <v/>
      </c>
      <c r="D22" s="413">
        <f>SUMIFS('💸 Expenses'!$F$8:$F$500,'💸 Expenses'!$E$8:$E$500,$A22,'💸 Expenses'!$B$8:$B$500,"&gt;="&amp;DATE(2026,7,1),'💸 Expenses'!$B$8:$B$500,"&lt;"&amp;DATE(2026,8,1))</f>
        <v/>
      </c>
      <c r="E22" s="409" t="n"/>
      <c r="F22" s="409" t="n"/>
      <c r="G22" s="409" t="n"/>
      <c r="H22" s="409" t="n"/>
      <c r="I22" s="409" t="n"/>
      <c r="J22" s="409" t="n"/>
      <c r="K22" s="409" t="n"/>
      <c r="L22" s="409" t="n"/>
    </row>
    <row r="23">
      <c r="A23" s="415" t="inlineStr">
        <is>
          <t>Ingredients - Dairy</t>
        </is>
      </c>
      <c r="B23" s="413">
        <f>SUMIFS('💸 Expenses'!$F$8:$F$500,'💸 Expenses'!$E$8:$E$500,$A23,'💸 Expenses'!$B$8:$B$500,"&gt;="&amp;DATE(2026,5,1),'💸 Expenses'!$B$8:$B$500,"&lt;"&amp;DATE(2026,6,1))</f>
        <v/>
      </c>
      <c r="C23" s="413">
        <f>SUMIFS('💸 Expenses'!$F$8:$F$500,'💸 Expenses'!$E$8:$E$500,$A23,'💸 Expenses'!$B$8:$B$500,"&gt;="&amp;DATE(2026,6,1),'💸 Expenses'!$B$8:$B$500,"&lt;"&amp;DATE(2026,7,1))</f>
        <v/>
      </c>
      <c r="D23" s="413">
        <f>SUMIFS('💸 Expenses'!$F$8:$F$500,'💸 Expenses'!$E$8:$E$500,$A23,'💸 Expenses'!$B$8:$B$500,"&gt;="&amp;DATE(2026,7,1),'💸 Expenses'!$B$8:$B$500,"&lt;"&amp;DATE(2026,8,1))</f>
        <v/>
      </c>
      <c r="E23" s="409" t="n"/>
      <c r="F23" s="409" t="n"/>
      <c r="G23" s="409" t="n"/>
      <c r="H23" s="409" t="n"/>
      <c r="I23" s="409" t="n"/>
      <c r="J23" s="409" t="n"/>
      <c r="K23" s="409" t="n"/>
      <c r="L23" s="409" t="n"/>
    </row>
    <row r="24">
      <c r="A24" s="415" t="inlineStr">
        <is>
          <t>Supplies / Other</t>
        </is>
      </c>
      <c r="B24" s="413">
        <f>SUMIFS('💸 Expenses'!$F$8:$F$500,'💸 Expenses'!$E$8:$E$500,$A24,'💸 Expenses'!$B$8:$B$500,"&gt;="&amp;DATE(2026,5,1),'💸 Expenses'!$B$8:$B$500,"&lt;"&amp;DATE(2026,6,1))</f>
        <v/>
      </c>
      <c r="C24" s="413">
        <f>SUMIFS('💸 Expenses'!$F$8:$F$500,'💸 Expenses'!$E$8:$E$500,$A24,'💸 Expenses'!$B$8:$B$500,"&gt;="&amp;DATE(2026,6,1),'💸 Expenses'!$B$8:$B$500,"&lt;"&amp;DATE(2026,7,1))</f>
        <v/>
      </c>
      <c r="D24" s="413">
        <f>SUMIFS('💸 Expenses'!$F$8:$F$500,'💸 Expenses'!$E$8:$E$500,$A24,'💸 Expenses'!$B$8:$B$500,"&gt;="&amp;DATE(2026,7,1),'💸 Expenses'!$B$8:$B$500,"&lt;"&amp;DATE(2026,8,1))</f>
        <v/>
      </c>
      <c r="E24" s="409" t="n"/>
      <c r="F24" s="409" t="n"/>
      <c r="G24" s="409" t="n"/>
      <c r="H24" s="409" t="n"/>
      <c r="I24" s="409" t="n"/>
      <c r="J24" s="409" t="n"/>
      <c r="K24" s="409" t="n"/>
      <c r="L24" s="409" t="n"/>
    </row>
    <row r="25">
      <c r="A25" s="415" t="inlineStr">
        <is>
          <t>Supermarket/General</t>
        </is>
      </c>
      <c r="B25" s="413">
        <f>SUMIFS('💸 Expenses'!$F$8:$F$500,'💸 Expenses'!$E$8:$E$500,$A25,'💸 Expenses'!$B$8:$B$500,"&gt;="&amp;DATE(2026,5,1),'💸 Expenses'!$B$8:$B$500,"&lt;"&amp;DATE(2026,6,1))</f>
        <v/>
      </c>
      <c r="C25" s="413">
        <f>SUMIFS('💸 Expenses'!$F$8:$F$500,'💸 Expenses'!$E$8:$E$500,$A25,'💸 Expenses'!$B$8:$B$500,"&gt;="&amp;DATE(2026,6,1),'💸 Expenses'!$B$8:$B$500,"&lt;"&amp;DATE(2026,7,1))</f>
        <v/>
      </c>
      <c r="D25" s="413">
        <f>SUMIFS('💸 Expenses'!$F$8:$F$500,'💸 Expenses'!$E$8:$E$500,$A25,'💸 Expenses'!$B$8:$B$500,"&gt;="&amp;DATE(2026,7,1),'💸 Expenses'!$B$8:$B$500,"&lt;"&amp;DATE(2026,8,1))</f>
        <v/>
      </c>
      <c r="E25" s="409" t="n"/>
      <c r="F25" s="409" t="n"/>
      <c r="G25" s="409" t="n"/>
      <c r="H25" s="409" t="n"/>
      <c r="I25" s="409" t="n"/>
      <c r="J25" s="409" t="n"/>
      <c r="K25" s="409" t="n"/>
      <c r="L25" s="409" t="n"/>
    </row>
    <row r="26">
      <c r="A26" s="415" t="inlineStr">
        <is>
          <t>Ingredients - Bread</t>
        </is>
      </c>
      <c r="B26" s="413">
        <f>SUMIFS('💸 Expenses'!$F$8:$F$500,'💸 Expenses'!$E$8:$E$500,$A26,'💸 Expenses'!$B$8:$B$500,"&gt;="&amp;DATE(2026,5,1),'💸 Expenses'!$B$8:$B$500,"&lt;"&amp;DATE(2026,6,1))</f>
        <v/>
      </c>
      <c r="C26" s="413">
        <f>SUMIFS('💸 Expenses'!$F$8:$F$500,'💸 Expenses'!$E$8:$E$500,$A26,'💸 Expenses'!$B$8:$B$500,"&gt;="&amp;DATE(2026,6,1),'💸 Expenses'!$B$8:$B$500,"&lt;"&amp;DATE(2026,7,1))</f>
        <v/>
      </c>
      <c r="D26" s="413">
        <f>SUMIFS('💸 Expenses'!$F$8:$F$500,'💸 Expenses'!$E$8:$E$500,$A26,'💸 Expenses'!$B$8:$B$500,"&gt;="&amp;DATE(2026,7,1),'💸 Expenses'!$B$8:$B$500,"&lt;"&amp;DATE(2026,8,1))</f>
        <v/>
      </c>
      <c r="E26" s="409" t="n"/>
      <c r="F26" s="409" t="n"/>
      <c r="G26" s="409" t="n"/>
      <c r="H26" s="409" t="n"/>
      <c r="I26" s="409" t="n"/>
      <c r="J26" s="409" t="n"/>
      <c r="K26" s="409" t="n"/>
      <c r="L26" s="409" t="n"/>
    </row>
    <row r="27">
      <c r="A27" s="415" t="inlineStr">
        <is>
          <t>Supermarket / General</t>
        </is>
      </c>
      <c r="B27" s="413">
        <f>SUMIFS('💸 Expenses'!$F$8:$F$500,'💸 Expenses'!$E$8:$E$500,$A27,'💸 Expenses'!$B$8:$B$500,"&gt;="&amp;DATE(2026,5,1),'💸 Expenses'!$B$8:$B$500,"&lt;"&amp;DATE(2026,6,1))</f>
        <v/>
      </c>
      <c r="C27" s="413">
        <f>SUMIFS('💸 Expenses'!$F$8:$F$500,'💸 Expenses'!$E$8:$E$500,$A27,'💸 Expenses'!$B$8:$B$500,"&gt;="&amp;DATE(2026,6,1),'💸 Expenses'!$B$8:$B$500,"&lt;"&amp;DATE(2026,7,1))</f>
        <v/>
      </c>
      <c r="D27" s="413">
        <f>SUMIFS('💸 Expenses'!$F$8:$F$500,'💸 Expenses'!$E$8:$E$500,$A27,'💸 Expenses'!$B$8:$B$500,"&gt;="&amp;DATE(2026,7,1),'💸 Expenses'!$B$8:$B$500,"&lt;"&amp;DATE(2026,8,1))</f>
        <v/>
      </c>
      <c r="E27" s="409" t="n"/>
      <c r="F27" s="409" t="n"/>
      <c r="G27" s="409" t="n"/>
      <c r="H27" s="409" t="n"/>
      <c r="I27" s="409" t="n"/>
      <c r="J27" s="409" t="n"/>
      <c r="K27" s="409" t="n"/>
      <c r="L27" s="409" t="n"/>
    </row>
    <row r="28">
      <c r="A28" s="415" t="inlineStr">
        <is>
          <t>Maintenance</t>
        </is>
      </c>
      <c r="B28" s="413">
        <f>SUMIFS('💸 Expenses'!$F$8:$F$500,'💸 Expenses'!$E$8:$E$500,$A28,'💸 Expenses'!$B$8:$B$500,"&gt;="&amp;DATE(2026,5,1),'💸 Expenses'!$B$8:$B$500,"&lt;"&amp;DATE(2026,6,1))</f>
        <v/>
      </c>
      <c r="C28" s="413">
        <f>SUMIFS('💸 Expenses'!$F$8:$F$500,'💸 Expenses'!$E$8:$E$500,$A28,'💸 Expenses'!$B$8:$B$500,"&gt;="&amp;DATE(2026,6,1),'💸 Expenses'!$B$8:$B$500,"&lt;"&amp;DATE(2026,7,1))</f>
        <v/>
      </c>
      <c r="D28" s="413">
        <f>SUMIFS('💸 Expenses'!$F$8:$F$500,'💸 Expenses'!$E$8:$E$500,$A28,'💸 Expenses'!$B$8:$B$500,"&gt;="&amp;DATE(2026,7,1),'💸 Expenses'!$B$8:$B$500,"&lt;"&amp;DATE(2026,8,1))</f>
        <v/>
      </c>
      <c r="E28" s="409" t="n"/>
      <c r="F28" s="409" t="n"/>
      <c r="G28" s="409" t="n"/>
      <c r="H28" s="409" t="n"/>
      <c r="I28" s="409" t="n"/>
      <c r="J28" s="409" t="n"/>
      <c r="K28" s="409" t="n"/>
      <c r="L28" s="409" t="n"/>
    </row>
    <row r="29">
      <c r="A29" s="415" t="inlineStr">
        <is>
          <t>Ingredients - Meat &amp; Fish</t>
        </is>
      </c>
      <c r="B29" s="413">
        <f>SUMIFS('💸 Expenses'!$F$8:$F$500,'💸 Expenses'!$E$8:$E$500,$A29,'💸 Expenses'!$B$8:$B$500,"&gt;="&amp;DATE(2026,5,1),'💸 Expenses'!$B$8:$B$500,"&lt;"&amp;DATE(2026,6,1))</f>
        <v/>
      </c>
      <c r="C29" s="413">
        <f>SUMIFS('💸 Expenses'!$F$8:$F$500,'💸 Expenses'!$E$8:$E$500,$A29,'💸 Expenses'!$B$8:$B$500,"&gt;="&amp;DATE(2026,6,1),'💸 Expenses'!$B$8:$B$500,"&lt;"&amp;DATE(2026,7,1))</f>
        <v/>
      </c>
      <c r="D29" s="413">
        <f>SUMIFS('💸 Expenses'!$F$8:$F$500,'💸 Expenses'!$E$8:$E$500,$A29,'💸 Expenses'!$B$8:$B$500,"&gt;="&amp;DATE(2026,7,1),'💸 Expenses'!$B$8:$B$500,"&lt;"&amp;DATE(2026,8,1))</f>
        <v/>
      </c>
      <c r="E29" s="409" t="n"/>
      <c r="F29" s="409" t="n"/>
      <c r="G29" s="409" t="n"/>
      <c r="H29" s="409" t="n"/>
      <c r="I29" s="409" t="n"/>
      <c r="J29" s="409" t="n"/>
      <c r="K29" s="409" t="n"/>
      <c r="L29" s="409" t="n"/>
    </row>
    <row r="30">
      <c r="A30" s="415" t="inlineStr">
        <is>
          <t>Ingredients - Fruit</t>
        </is>
      </c>
      <c r="B30" s="413">
        <f>SUMIFS('💸 Expenses'!$F$8:$F$500,'💸 Expenses'!$E$8:$E$500,$A30,'💸 Expenses'!$B$8:$B$500,"&gt;="&amp;DATE(2026,5,1),'💸 Expenses'!$B$8:$B$500,"&lt;"&amp;DATE(2026,6,1))</f>
        <v/>
      </c>
      <c r="C30" s="413">
        <f>SUMIFS('💸 Expenses'!$F$8:$F$500,'💸 Expenses'!$E$8:$E$500,$A30,'💸 Expenses'!$B$8:$B$500,"&gt;="&amp;DATE(2026,6,1),'💸 Expenses'!$B$8:$B$500,"&lt;"&amp;DATE(2026,7,1))</f>
        <v/>
      </c>
      <c r="D30" s="413">
        <f>SUMIFS('💸 Expenses'!$F$8:$F$500,'💸 Expenses'!$E$8:$E$500,$A30,'💸 Expenses'!$B$8:$B$500,"&gt;="&amp;DATE(2026,7,1),'💸 Expenses'!$B$8:$B$500,"&lt;"&amp;DATE(2026,8,1))</f>
        <v/>
      </c>
      <c r="E30" s="409" t="n"/>
      <c r="F30" s="409" t="n"/>
      <c r="G30" s="409" t="n"/>
      <c r="H30" s="409" t="n"/>
      <c r="I30" s="409" t="n"/>
      <c r="J30" s="409" t="n"/>
      <c r="K30" s="409" t="n"/>
      <c r="L30" s="409" t="n"/>
    </row>
    <row r="31">
      <c r="A31" s="415" t="inlineStr">
        <is>
          <t>Utilities / Gas</t>
        </is>
      </c>
      <c r="B31" s="413">
        <f>SUMIFS('💸 Expenses'!$F$8:$F$500,'💸 Expenses'!$E$8:$E$500,$A31,'💸 Expenses'!$B$8:$B$500,"&gt;="&amp;DATE(2026,5,1),'💸 Expenses'!$B$8:$B$500,"&lt;"&amp;DATE(2026,6,1))</f>
        <v/>
      </c>
      <c r="C31" s="413">
        <f>SUMIFS('💸 Expenses'!$F$8:$F$500,'💸 Expenses'!$E$8:$E$500,$A31,'💸 Expenses'!$B$8:$B$500,"&gt;="&amp;DATE(2026,6,1),'💸 Expenses'!$B$8:$B$500,"&lt;"&amp;DATE(2026,7,1))</f>
        <v/>
      </c>
      <c r="D31" s="413">
        <f>SUMIFS('💸 Expenses'!$F$8:$F$500,'💸 Expenses'!$E$8:$E$500,$A31,'💸 Expenses'!$B$8:$B$500,"&gt;="&amp;DATE(2026,7,1),'💸 Expenses'!$B$8:$B$500,"&lt;"&amp;DATE(2026,8,1))</f>
        <v/>
      </c>
      <c r="E31" s="409" t="n"/>
      <c r="F31" s="409" t="n"/>
      <c r="G31" s="409" t="n"/>
      <c r="H31" s="409" t="n"/>
      <c r="I31" s="409" t="n"/>
      <c r="J31" s="409" t="n"/>
      <c r="K31" s="409" t="n"/>
      <c r="L31" s="409" t="n"/>
    </row>
    <row r="32">
      <c r="A32" s="415" t="inlineStr">
        <is>
          <t>Ingredients - Other</t>
        </is>
      </c>
      <c r="B32" s="413">
        <f>SUMIFS('💸 Expenses'!$F$8:$F$500,'💸 Expenses'!$E$8:$E$500,$A32,'💸 Expenses'!$B$8:$B$500,"&gt;="&amp;DATE(2026,5,1),'💸 Expenses'!$B$8:$B$500,"&lt;"&amp;DATE(2026,6,1))</f>
        <v/>
      </c>
      <c r="C32" s="413">
        <f>SUMIFS('💸 Expenses'!$F$8:$F$500,'💸 Expenses'!$E$8:$E$500,$A32,'💸 Expenses'!$B$8:$B$500,"&gt;="&amp;DATE(2026,6,1),'💸 Expenses'!$B$8:$B$500,"&lt;"&amp;DATE(2026,7,1))</f>
        <v/>
      </c>
      <c r="D32" s="413">
        <f>SUMIFS('💸 Expenses'!$F$8:$F$500,'💸 Expenses'!$E$8:$E$500,$A32,'💸 Expenses'!$B$8:$B$500,"&gt;="&amp;DATE(2026,7,1),'💸 Expenses'!$B$8:$B$500,"&lt;"&amp;DATE(2026,8,1))</f>
        <v/>
      </c>
      <c r="E32" s="409" t="n"/>
      <c r="F32" s="409" t="n"/>
      <c r="G32" s="409" t="n"/>
      <c r="H32" s="409" t="n"/>
      <c r="I32" s="409" t="n"/>
      <c r="J32" s="409" t="n"/>
      <c r="K32" s="409" t="n"/>
      <c r="L32" s="409" t="n"/>
    </row>
    <row r="33">
      <c r="A33" s="415" t="inlineStr">
        <is>
          <t>Office Supplies</t>
        </is>
      </c>
      <c r="B33" s="413">
        <f>SUMIFS('💸 Expenses'!$F$8:$F$500,'💸 Expenses'!$E$8:$E$500,$A33,'💸 Expenses'!$B$8:$B$500,"&gt;="&amp;DATE(2026,5,1),'💸 Expenses'!$B$8:$B$500,"&lt;"&amp;DATE(2026,6,1))</f>
        <v/>
      </c>
      <c r="C33" s="413">
        <f>SUMIFS('💸 Expenses'!$F$8:$F$500,'💸 Expenses'!$E$8:$E$500,$A33,'💸 Expenses'!$B$8:$B$500,"&gt;="&amp;DATE(2026,6,1),'💸 Expenses'!$B$8:$B$500,"&lt;"&amp;DATE(2026,7,1))</f>
        <v/>
      </c>
      <c r="D33" s="413">
        <f>SUMIFS('💸 Expenses'!$F$8:$F$500,'💸 Expenses'!$E$8:$E$500,$A33,'💸 Expenses'!$B$8:$B$500,"&gt;="&amp;DATE(2026,7,1),'💸 Expenses'!$B$8:$B$500,"&lt;"&amp;DATE(2026,8,1))</f>
        <v/>
      </c>
      <c r="E33" s="409" t="n"/>
      <c r="F33" s="409" t="n"/>
      <c r="G33" s="409" t="n"/>
      <c r="H33" s="409" t="n"/>
      <c r="I33" s="409" t="n"/>
      <c r="J33" s="409" t="n"/>
      <c r="K33" s="409" t="n"/>
      <c r="L33" s="409" t="n"/>
    </row>
    <row r="34">
      <c r="A34" s="415" t="inlineStr">
        <is>
          <t>Software / Subscription</t>
        </is>
      </c>
      <c r="B34" s="413">
        <f>SUMIFS('💸 Expenses'!$F$8:$F$500,'💸 Expenses'!$E$8:$E$500,$A34,'💸 Expenses'!$B$8:$B$500,"&gt;="&amp;DATE(2026,5,1),'💸 Expenses'!$B$8:$B$500,"&lt;"&amp;DATE(2026,6,1))</f>
        <v/>
      </c>
      <c r="C34" s="413">
        <f>SUMIFS('💸 Expenses'!$F$8:$F$500,'💸 Expenses'!$E$8:$E$500,$A34,'💸 Expenses'!$B$8:$B$500,"&gt;="&amp;DATE(2026,6,1),'💸 Expenses'!$B$8:$B$500,"&lt;"&amp;DATE(2026,7,1))</f>
        <v/>
      </c>
      <c r="D34" s="413">
        <f>SUMIFS('💸 Expenses'!$F$8:$F$500,'💸 Expenses'!$E$8:$E$500,$A34,'💸 Expenses'!$B$8:$B$500,"&gt;="&amp;DATE(2026,7,1),'💸 Expenses'!$B$8:$B$500,"&lt;"&amp;DATE(2026,8,1))</f>
        <v/>
      </c>
      <c r="E34" s="409" t="n"/>
      <c r="F34" s="409" t="n"/>
      <c r="G34" s="409" t="n"/>
      <c r="H34" s="409" t="n"/>
      <c r="I34" s="409" t="n"/>
      <c r="J34" s="409" t="n"/>
      <c r="K34" s="409" t="n"/>
      <c r="L34" s="409" t="n"/>
    </row>
    <row r="35">
      <c r="A35" s="415" t="inlineStr">
        <is>
          <t>Kitchen Supplies</t>
        </is>
      </c>
      <c r="B35" s="413">
        <f>SUMIFS('💸 Expenses'!$F$8:$F$500,'💸 Expenses'!$E$8:$E$500,$A35,'💸 Expenses'!$B$8:$B$500,"&gt;="&amp;DATE(2026,5,1),'💸 Expenses'!$B$8:$B$500,"&lt;"&amp;DATE(2026,6,1))</f>
        <v/>
      </c>
      <c r="C35" s="413">
        <f>SUMIFS('💸 Expenses'!$F$8:$F$500,'💸 Expenses'!$E$8:$E$500,$A35,'💸 Expenses'!$B$8:$B$500,"&gt;="&amp;DATE(2026,6,1),'💸 Expenses'!$B$8:$B$500,"&lt;"&amp;DATE(2026,7,1))</f>
        <v/>
      </c>
      <c r="D35" s="413">
        <f>SUMIFS('💸 Expenses'!$F$8:$F$500,'💸 Expenses'!$E$8:$E$500,$A35,'💸 Expenses'!$B$8:$B$500,"&gt;="&amp;DATE(2026,7,1),'💸 Expenses'!$B$8:$B$500,"&lt;"&amp;DATE(2026,8,1))</f>
        <v/>
      </c>
      <c r="E35" s="409" t="n"/>
      <c r="F35" s="409" t="n"/>
      <c r="G35" s="409" t="n"/>
      <c r="H35" s="409" t="n"/>
      <c r="I35" s="409" t="n"/>
      <c r="J35" s="409" t="n"/>
      <c r="K35" s="409" t="n"/>
      <c r="L35" s="409" t="n"/>
    </row>
    <row r="36">
      <c r="A36" s="415" t="inlineStr">
        <is>
          <t>Staff - Advance</t>
        </is>
      </c>
      <c r="B36" s="413">
        <f>SUMIFS('💸 Expenses'!$F$8:$F$500,'💸 Expenses'!$E$8:$E$500,$A36,'💸 Expenses'!$B$8:$B$500,"&gt;="&amp;DATE(2026,5,1),'💸 Expenses'!$B$8:$B$500,"&lt;"&amp;DATE(2026,6,1))</f>
        <v/>
      </c>
      <c r="C36" s="413">
        <f>SUMIFS('💸 Expenses'!$F$8:$F$500,'💸 Expenses'!$E$8:$E$500,$A36,'💸 Expenses'!$B$8:$B$500,"&gt;="&amp;DATE(2026,6,1),'💸 Expenses'!$B$8:$B$500,"&lt;"&amp;DATE(2026,7,1))</f>
        <v/>
      </c>
      <c r="D36" s="413">
        <f>SUMIFS('💸 Expenses'!$F$8:$F$500,'💸 Expenses'!$E$8:$E$500,$A36,'💸 Expenses'!$B$8:$B$500,"&gt;="&amp;DATE(2026,7,1),'💸 Expenses'!$B$8:$B$500,"&lt;"&amp;DATE(2026,8,1))</f>
        <v/>
      </c>
      <c r="E36" s="409" t="n"/>
      <c r="F36" s="409" t="n"/>
      <c r="G36" s="409" t="n"/>
      <c r="H36" s="409" t="n"/>
      <c r="I36" s="409" t="n"/>
      <c r="J36" s="409" t="n"/>
      <c r="K36" s="409" t="n"/>
      <c r="L36" s="409" t="n"/>
    </row>
    <row r="37">
      <c r="A37" s="415" t="inlineStr">
        <is>
          <t>Utilities / Internet</t>
        </is>
      </c>
      <c r="B37" s="413">
        <f>SUMIFS('💸 Expenses'!$F$8:$F$500,'💸 Expenses'!$E$8:$E$500,$A37,'💸 Expenses'!$B$8:$B$500,"&gt;="&amp;DATE(2026,5,1),'💸 Expenses'!$B$8:$B$500,"&lt;"&amp;DATE(2026,6,1))</f>
        <v/>
      </c>
      <c r="C37" s="413">
        <f>SUMIFS('💸 Expenses'!$F$8:$F$500,'💸 Expenses'!$E$8:$E$500,$A37,'💸 Expenses'!$B$8:$B$500,"&gt;="&amp;DATE(2026,6,1),'💸 Expenses'!$B$8:$B$500,"&lt;"&amp;DATE(2026,7,1))</f>
        <v/>
      </c>
      <c r="D37" s="413">
        <f>SUMIFS('💸 Expenses'!$F$8:$F$500,'💸 Expenses'!$E$8:$E$500,$A37,'💸 Expenses'!$B$8:$B$500,"&gt;="&amp;DATE(2026,7,1),'💸 Expenses'!$B$8:$B$500,"&lt;"&amp;DATE(2026,8,1))</f>
        <v/>
      </c>
      <c r="E37" s="409" t="n"/>
      <c r="F37" s="409" t="n"/>
      <c r="G37" s="409" t="n"/>
      <c r="H37" s="409" t="n"/>
      <c r="I37" s="409" t="n"/>
      <c r="J37" s="409" t="n"/>
      <c r="K37" s="409" t="n"/>
      <c r="L37" s="409" t="n"/>
    </row>
    <row r="38">
      <c r="A38" s="415" t="inlineStr">
        <is>
          <t>Packaging / Disposables</t>
        </is>
      </c>
      <c r="B38" s="413">
        <f>SUMIFS('💸 Expenses'!$F$8:$F$500,'💸 Expenses'!$E$8:$E$500,$A38,'💸 Expenses'!$B$8:$B$500,"&gt;="&amp;DATE(2026,5,1),'💸 Expenses'!$B$8:$B$500,"&lt;"&amp;DATE(2026,6,1))</f>
        <v/>
      </c>
      <c r="C38" s="413">
        <f>SUMIFS('💸 Expenses'!$F$8:$F$500,'💸 Expenses'!$E$8:$E$500,$A38,'💸 Expenses'!$B$8:$B$500,"&gt;="&amp;DATE(2026,6,1),'💸 Expenses'!$B$8:$B$500,"&lt;"&amp;DATE(2026,7,1))</f>
        <v/>
      </c>
      <c r="D38" s="413">
        <f>SUMIFS('💸 Expenses'!$F$8:$F$500,'💸 Expenses'!$E$8:$E$500,$A38,'💸 Expenses'!$B$8:$B$500,"&gt;="&amp;DATE(2026,7,1),'💸 Expenses'!$B$8:$B$500,"&lt;"&amp;DATE(2026,8,1))</f>
        <v/>
      </c>
      <c r="E38" s="409" t="n"/>
      <c r="F38" s="409" t="n"/>
      <c r="G38" s="409" t="n"/>
      <c r="H38" s="409" t="n"/>
      <c r="I38" s="409" t="n"/>
      <c r="J38" s="409" t="n"/>
      <c r="K38" s="409" t="n"/>
      <c r="L38" s="409" t="n"/>
    </row>
    <row r="39">
      <c r="A39" s="415" t="inlineStr">
        <is>
          <t>Ingredients - Desserts</t>
        </is>
      </c>
      <c r="B39" s="413">
        <f>SUMIFS('💸 Expenses'!$F$8:$F$500,'💸 Expenses'!$E$8:$E$500,$A39,'💸 Expenses'!$B$8:$B$500,"&gt;="&amp;DATE(2026,5,1),'💸 Expenses'!$B$8:$B$500,"&lt;"&amp;DATE(2026,6,1))</f>
        <v/>
      </c>
      <c r="C39" s="413">
        <f>SUMIFS('💸 Expenses'!$F$8:$F$500,'💸 Expenses'!$E$8:$E$500,$A39,'💸 Expenses'!$B$8:$B$500,"&gt;="&amp;DATE(2026,6,1),'💸 Expenses'!$B$8:$B$500,"&lt;"&amp;DATE(2026,7,1))</f>
        <v/>
      </c>
      <c r="D39" s="413">
        <f>SUMIFS('💸 Expenses'!$F$8:$F$500,'💸 Expenses'!$E$8:$E$500,$A39,'💸 Expenses'!$B$8:$B$500,"&gt;="&amp;DATE(2026,7,1),'💸 Expenses'!$B$8:$B$500,"&lt;"&amp;DATE(2026,8,1))</f>
        <v/>
      </c>
      <c r="E39" s="409" t="n"/>
      <c r="F39" s="409" t="n"/>
      <c r="G39" s="409" t="n"/>
      <c r="H39" s="409" t="n"/>
      <c r="I39" s="409" t="n"/>
      <c r="J39" s="409" t="n"/>
      <c r="K39" s="409" t="n"/>
      <c r="L39" s="409" t="n"/>
    </row>
    <row r="40">
      <c r="A40" s="415" t="inlineStr">
        <is>
          <t>Ingredients - Eggs</t>
        </is>
      </c>
      <c r="B40" s="413">
        <f>SUMIFS('💸 Expenses'!$F$8:$F$500,'💸 Expenses'!$E$8:$E$500,$A40,'💸 Expenses'!$B$8:$B$500,"&gt;="&amp;DATE(2026,5,1),'💸 Expenses'!$B$8:$B$500,"&lt;"&amp;DATE(2026,6,1))</f>
        <v/>
      </c>
      <c r="C40" s="413">
        <f>SUMIFS('💸 Expenses'!$F$8:$F$500,'💸 Expenses'!$E$8:$E$500,$A40,'💸 Expenses'!$B$8:$B$500,"&gt;="&amp;DATE(2026,6,1),'💸 Expenses'!$B$8:$B$500,"&lt;"&amp;DATE(2026,7,1))</f>
        <v/>
      </c>
      <c r="D40" s="413">
        <f>SUMIFS('💸 Expenses'!$F$8:$F$500,'💸 Expenses'!$E$8:$E$500,$A40,'💸 Expenses'!$B$8:$B$500,"&gt;="&amp;DATE(2026,7,1),'💸 Expenses'!$B$8:$B$500,"&lt;"&amp;DATE(2026,8,1))</f>
        <v/>
      </c>
      <c r="E40" s="409" t="n"/>
      <c r="F40" s="409" t="n"/>
      <c r="G40" s="409" t="n"/>
      <c r="H40" s="409" t="n"/>
      <c r="I40" s="409" t="n"/>
      <c r="J40" s="409" t="n"/>
      <c r="K40" s="409" t="n"/>
      <c r="L40" s="409" t="n"/>
    </row>
    <row r="41">
      <c r="A41" s="415" t="inlineStr">
        <is>
          <t>Packaging/Disposables</t>
        </is>
      </c>
      <c r="B41" s="413">
        <f>SUMIFS('💸 Expenses'!$F$8:$F$500,'💸 Expenses'!$E$8:$E$500,$A41,'💸 Expenses'!$B$8:$B$500,"&gt;="&amp;DATE(2026,5,1),'💸 Expenses'!$B$8:$B$500,"&lt;"&amp;DATE(2026,6,1))</f>
        <v/>
      </c>
      <c r="C41" s="413">
        <f>SUMIFS('💸 Expenses'!$F$8:$F$500,'💸 Expenses'!$E$8:$E$500,$A41,'💸 Expenses'!$B$8:$B$500,"&gt;="&amp;DATE(2026,6,1),'💸 Expenses'!$B$8:$B$500,"&lt;"&amp;DATE(2026,7,1))</f>
        <v/>
      </c>
      <c r="D41" s="413">
        <f>SUMIFS('💸 Expenses'!$F$8:$F$500,'💸 Expenses'!$E$8:$E$500,$A41,'💸 Expenses'!$B$8:$B$500,"&gt;="&amp;DATE(2026,7,1),'💸 Expenses'!$B$8:$B$500,"&lt;"&amp;DATE(2026,8,1))</f>
        <v/>
      </c>
      <c r="E41" s="409" t="n"/>
      <c r="F41" s="409" t="n"/>
      <c r="G41" s="409" t="n"/>
      <c r="H41" s="409" t="n"/>
      <c r="I41" s="409" t="n"/>
      <c r="J41" s="409" t="n"/>
      <c r="K41" s="409" t="n"/>
      <c r="L41" s="409" t="n"/>
    </row>
    <row r="42">
      <c r="A42" s="415" t="inlineStr">
        <is>
          <t>Staff - Propinas</t>
        </is>
      </c>
      <c r="B42" s="413">
        <f>SUMIFS('💸 Expenses'!$F$8:$F$500,'💸 Expenses'!$E$8:$E$500,$A42,'💸 Expenses'!$B$8:$B$500,"&gt;="&amp;DATE(2026,5,1),'💸 Expenses'!$B$8:$B$500,"&lt;"&amp;DATE(2026,6,1))</f>
        <v/>
      </c>
      <c r="C42" s="413">
        <f>SUMIFS('💸 Expenses'!$F$8:$F$500,'💸 Expenses'!$E$8:$E$500,$A42,'💸 Expenses'!$B$8:$B$500,"&gt;="&amp;DATE(2026,6,1),'💸 Expenses'!$B$8:$B$500,"&lt;"&amp;DATE(2026,7,1))</f>
        <v/>
      </c>
      <c r="D42" s="413">
        <f>SUMIFS('💸 Expenses'!$F$8:$F$500,'💸 Expenses'!$E$8:$E$500,$A42,'💸 Expenses'!$B$8:$B$500,"&gt;="&amp;DATE(2026,7,1),'💸 Expenses'!$B$8:$B$500,"&lt;"&amp;DATE(2026,8,1))</f>
        <v/>
      </c>
      <c r="E42" s="409" t="n"/>
      <c r="F42" s="409" t="n"/>
      <c r="G42" s="409" t="n"/>
      <c r="H42" s="409" t="n"/>
      <c r="I42" s="409" t="n"/>
      <c r="J42" s="409" t="n"/>
      <c r="K42" s="409" t="n"/>
      <c r="L42" s="409" t="n"/>
    </row>
    <row r="43">
      <c r="A43" s="415" t="inlineStr">
        <is>
          <t>Ingredients - Produce</t>
        </is>
      </c>
      <c r="B43" s="413">
        <f>SUMIFS('💸 Expenses'!$F$8:$F$500,'💸 Expenses'!$E$8:$E$500,$A43,'💸 Expenses'!$B$8:$B$500,"&gt;="&amp;DATE(2026,5,1),'💸 Expenses'!$B$8:$B$500,"&lt;"&amp;DATE(2026,6,1))</f>
        <v/>
      </c>
      <c r="C43" s="413">
        <f>SUMIFS('💸 Expenses'!$F$8:$F$500,'💸 Expenses'!$E$8:$E$500,$A43,'💸 Expenses'!$B$8:$B$500,"&gt;="&amp;DATE(2026,6,1),'💸 Expenses'!$B$8:$B$500,"&lt;"&amp;DATE(2026,7,1))</f>
        <v/>
      </c>
      <c r="D43" s="413">
        <f>SUMIFS('💸 Expenses'!$F$8:$F$500,'💸 Expenses'!$E$8:$E$500,$A43,'💸 Expenses'!$B$8:$B$500,"&gt;="&amp;DATE(2026,7,1),'💸 Expenses'!$B$8:$B$500,"&lt;"&amp;DATE(2026,8,1))</f>
        <v/>
      </c>
      <c r="E43" s="409" t="n"/>
      <c r="F43" s="409" t="n"/>
      <c r="G43" s="409" t="n"/>
      <c r="H43" s="409" t="n"/>
      <c r="I43" s="409" t="n"/>
      <c r="J43" s="409" t="n"/>
      <c r="K43" s="409" t="n"/>
      <c r="L43" s="409" t="n"/>
    </row>
    <row r="44">
      <c r="A44" s="412" t="inlineStr">
        <is>
          <t>TOTAL EXPENSES</t>
        </is>
      </c>
      <c r="B44" s="414">
        <f>SUMIFS('💸 Expenses'!$F$8:$F$500,'💸 Expenses'!$B$8:$B$500,"&gt;="&amp;DATE(2026,5,1),'💸 Expenses'!$B$8:$B$500,"&lt;"&amp;DATE(2026,6,1))</f>
        <v/>
      </c>
      <c r="C44" s="414">
        <f>SUMIFS('💸 Expenses'!$F$8:$F$500,'💸 Expenses'!$B$8:$B$500,"&gt;="&amp;DATE(2026,6,1),'💸 Expenses'!$B$8:$B$500,"&lt;"&amp;DATE(2026,7,1))</f>
        <v/>
      </c>
      <c r="D44" s="414">
        <f>SUMIFS('💸 Expenses'!$F$8:$F$500,'💸 Expenses'!$B$8:$B$500,"&gt;="&amp;DATE(2026,7,1),'💸 Expenses'!$B$8:$B$500,"&lt;"&amp;DATE(2026,8,1))</f>
        <v/>
      </c>
      <c r="E44" s="409" t="n"/>
      <c r="F44" s="409" t="n"/>
      <c r="G44" s="409" t="n"/>
      <c r="H44" s="409" t="n"/>
      <c r="I44" s="409" t="n"/>
      <c r="J44" s="409" t="n"/>
      <c r="K44" s="409" t="n"/>
      <c r="L44" s="409" t="n"/>
    </row>
    <row r="45">
      <c r="A45" s="412" t="inlineStr">
        <is>
          <t>NET PROFIT / LOSS</t>
        </is>
      </c>
      <c r="B45" s="414">
        <f>B4-B44</f>
        <v/>
      </c>
      <c r="C45" s="414">
        <f>C4-C44</f>
        <v/>
      </c>
      <c r="D45" s="414">
        <f>D4-D44</f>
        <v/>
      </c>
      <c r="E45" s="409" t="n"/>
      <c r="F45" s="409" t="n"/>
      <c r="G45" s="409" t="n"/>
      <c r="H45" s="409" t="n"/>
      <c r="I45" s="409" t="n"/>
      <c r="J45" s="409" t="n"/>
      <c r="K45" s="409" t="n"/>
      <c r="L45" s="409" t="n"/>
    </row>
    <row r="46">
      <c r="A46" s="409" t="n"/>
      <c r="B46" s="409" t="n"/>
      <c r="C46" s="409" t="n"/>
      <c r="D46" s="409" t="n"/>
      <c r="E46" s="409" t="n"/>
      <c r="F46" s="409" t="n"/>
      <c r="G46" s="409" t="n"/>
      <c r="H46" s="409" t="n"/>
      <c r="I46" s="409" t="n"/>
      <c r="J46" s="409" t="n"/>
      <c r="K46" s="409" t="n"/>
      <c r="L46" s="409" t="n"/>
    </row>
    <row r="47">
      <c r="A47" s="409" t="n"/>
      <c r="B47" s="409" t="n"/>
      <c r="C47" s="409" t="n"/>
      <c r="D47" s="409" t="n"/>
      <c r="E47" s="409" t="n"/>
      <c r="F47" s="409" t="n"/>
      <c r="G47" s="409" t="n"/>
      <c r="H47" s="409" t="n"/>
      <c r="I47" s="409" t="n"/>
      <c r="J47" s="409" t="n"/>
      <c r="K47" s="409" t="n"/>
      <c r="L47" s="409" t="n"/>
    </row>
    <row r="48">
      <c r="A48" s="409" t="n"/>
      <c r="B48" s="409" t="n"/>
      <c r="C48" s="409" t="n"/>
      <c r="D48" s="409" t="n"/>
      <c r="E48" s="409" t="n"/>
      <c r="F48" s="409" t="n"/>
      <c r="G48" s="409" t="n"/>
      <c r="H48" s="409" t="n"/>
      <c r="I48" s="409" t="n"/>
      <c r="J48" s="409" t="n"/>
      <c r="K48" s="409" t="n"/>
      <c r="L48" s="409" t="n"/>
    </row>
    <row r="49">
      <c r="A49" s="409" t="n"/>
      <c r="B49" s="409" t="n"/>
      <c r="C49" s="409" t="n"/>
      <c r="D49" s="409" t="n"/>
      <c r="E49" s="409" t="n"/>
      <c r="F49" s="409" t="n"/>
      <c r="G49" s="409" t="n"/>
      <c r="H49" s="409" t="n"/>
      <c r="I49" s="409" t="n"/>
      <c r="J49" s="409" t="n"/>
      <c r="K49" s="409" t="n"/>
      <c r="L49" s="409" t="n"/>
    </row>
    <row r="50">
      <c r="A50" s="409" t="n"/>
      <c r="B50" s="409" t="n"/>
      <c r="C50" s="409" t="n"/>
      <c r="D50" s="409" t="n"/>
      <c r="E50" s="409" t="n"/>
      <c r="F50" s="409" t="n"/>
      <c r="G50" s="409" t="n"/>
      <c r="H50" s="409" t="n"/>
      <c r="I50" s="409" t="n"/>
      <c r="J50" s="409" t="n"/>
      <c r="K50" s="409" t="n"/>
      <c r="L50" s="409" t="n"/>
    </row>
    <row r="51">
      <c r="A51" s="409" t="n"/>
      <c r="B51" s="409" t="n"/>
      <c r="C51" s="409" t="n"/>
      <c r="D51" s="409" t="n"/>
      <c r="E51" s="409" t="n"/>
      <c r="F51" s="409" t="n"/>
      <c r="G51" s="409" t="n"/>
      <c r="H51" s="409" t="n"/>
      <c r="I51" s="409" t="n"/>
      <c r="J51" s="409" t="n"/>
      <c r="K51" s="409" t="n"/>
      <c r="L51" s="409" t="n"/>
    </row>
    <row r="52">
      <c r="A52" s="409" t="n"/>
      <c r="B52" s="409" t="n"/>
      <c r="C52" s="409" t="n"/>
      <c r="D52" s="409" t="n"/>
      <c r="E52" s="409" t="n"/>
      <c r="F52" s="409" t="n"/>
      <c r="G52" s="409" t="n"/>
      <c r="H52" s="409" t="n"/>
      <c r="I52" s="409" t="n"/>
      <c r="J52" s="409" t="n"/>
      <c r="K52" s="409" t="n"/>
      <c r="L52" s="409" t="n"/>
    </row>
    <row r="53">
      <c r="A53" s="409" t="n"/>
      <c r="B53" s="409" t="n"/>
      <c r="C53" s="409" t="n"/>
      <c r="D53" s="409" t="n"/>
      <c r="E53" s="409" t="n"/>
      <c r="F53" s="409" t="n"/>
      <c r="G53" s="409" t="n"/>
      <c r="H53" s="409" t="n"/>
      <c r="I53" s="409" t="n"/>
      <c r="J53" s="409" t="n"/>
      <c r="K53" s="409" t="n"/>
      <c r="L53" s="409" t="n"/>
    </row>
    <row r="54">
      <c r="A54" s="409" t="n"/>
      <c r="B54" s="409" t="n"/>
      <c r="C54" s="409" t="n"/>
      <c r="D54" s="409" t="n"/>
      <c r="E54" s="409" t="n"/>
      <c r="F54" s="409" t="n"/>
      <c r="G54" s="409" t="n"/>
      <c r="H54" s="409" t="n"/>
      <c r="I54" s="409" t="n"/>
      <c r="J54" s="409" t="n"/>
      <c r="K54" s="409" t="n"/>
      <c r="L54" s="409" t="n"/>
    </row>
    <row r="55">
      <c r="A55" s="409" t="n"/>
      <c r="B55" s="409" t="n"/>
      <c r="C55" s="409" t="n"/>
      <c r="D55" s="409" t="n"/>
      <c r="E55" s="409" t="n"/>
      <c r="F55" s="409" t="n"/>
      <c r="G55" s="409" t="n"/>
      <c r="H55" s="409" t="n"/>
      <c r="I55" s="409" t="n"/>
      <c r="J55" s="409" t="n"/>
      <c r="K55" s="409" t="n"/>
      <c r="L55" s="409" t="n"/>
    </row>
    <row r="56">
      <c r="A56" s="409" t="n"/>
      <c r="B56" s="409" t="n"/>
      <c r="C56" s="409" t="n"/>
      <c r="D56" s="409" t="n"/>
      <c r="E56" s="409" t="n"/>
      <c r="F56" s="409" t="n"/>
      <c r="G56" s="409" t="n"/>
      <c r="H56" s="409" t="n"/>
      <c r="I56" s="409" t="n"/>
      <c r="J56" s="409" t="n"/>
      <c r="K56" s="409" t="n"/>
      <c r="L56" s="409" t="n"/>
    </row>
    <row r="57">
      <c r="A57" s="409" t="n"/>
      <c r="B57" s="409" t="n"/>
      <c r="C57" s="409" t="n"/>
      <c r="D57" s="409" t="n"/>
      <c r="E57" s="409" t="n"/>
      <c r="F57" s="409" t="n"/>
      <c r="G57" s="409" t="n"/>
      <c r="H57" s="409" t="n"/>
      <c r="I57" s="409" t="n"/>
      <c r="J57" s="409" t="n"/>
      <c r="K57" s="409" t="n"/>
      <c r="L57" s="409" t="n"/>
    </row>
    <row r="58">
      <c r="A58" s="409" t="n"/>
      <c r="B58" s="409" t="n"/>
      <c r="C58" s="409" t="n"/>
      <c r="D58" s="409" t="n"/>
      <c r="E58" s="409" t="n"/>
      <c r="F58" s="409" t="n"/>
      <c r="G58" s="409" t="n"/>
      <c r="H58" s="409" t="n"/>
      <c r="I58" s="409" t="n"/>
      <c r="J58" s="409" t="n"/>
      <c r="K58" s="409" t="n"/>
      <c r="L58" s="409" t="n"/>
    </row>
    <row r="59">
      <c r="A59" s="409" t="n"/>
      <c r="B59" s="409" t="n"/>
      <c r="C59" s="409" t="n"/>
      <c r="D59" s="409" t="n"/>
      <c r="E59" s="409" t="n"/>
      <c r="F59" s="409" t="n"/>
      <c r="G59" s="409" t="n"/>
      <c r="H59" s="409" t="n"/>
      <c r="I59" s="409" t="n"/>
      <c r="J59" s="409" t="n"/>
      <c r="K59" s="409" t="n"/>
      <c r="L59" s="409" t="n"/>
    </row>
    <row r="60">
      <c r="A60" s="409" t="n"/>
      <c r="B60" s="409" t="n"/>
      <c r="C60" s="409" t="n"/>
      <c r="D60" s="409" t="n"/>
      <c r="E60" s="409" t="n"/>
      <c r="F60" s="409" t="n"/>
      <c r="G60" s="409" t="n"/>
      <c r="H60" s="409" t="n"/>
      <c r="I60" s="409" t="n"/>
      <c r="J60" s="409" t="n"/>
      <c r="K60" s="409" t="n"/>
      <c r="L60" s="409" t="n"/>
    </row>
  </sheetData>
  <mergeCells count="1">
    <mergeCell ref="A1:D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13" min="1" max="1"/>
    <col width="46" customWidth="1" style="313" min="2" max="2"/>
    <col width="18" customWidth="1" style="313" min="3" max="4"/>
    <col width="22" customWidth="1" style="313" min="5" max="5"/>
    <col width="18" customWidth="1" style="313" min="6" max="6"/>
    <col width="22" customWidth="1" style="313" min="7" max="7"/>
    <col width="40" customWidth="1" style="313" min="8" max="8"/>
  </cols>
  <sheetData>
    <row r="1" ht="25.95" customHeight="1" s="313">
      <c r="A1" s="406" t="inlineStr">
        <is>
          <t>LOHITH — OWNER LEDGER &amp; PERSONAL BALANCE TRACKER</t>
        </is>
      </c>
    </row>
    <row r="3" ht="30" customHeight="1" s="313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inlineStr">
        <is>
          <t>TOTALS &amp; CURRENT BALANCE</t>
        </is>
      </c>
      <c r="B39" s="232" t="n"/>
      <c r="C39" s="232" t="n"/>
      <c r="D39" s="232">
        <f>SUM(D4:D38)</f>
        <v/>
      </c>
      <c r="E39" s="233">
        <f>SUM(E4:E38)</f>
        <v/>
      </c>
      <c r="F39" s="233">
        <f>F38</f>
        <v/>
      </c>
      <c r="G39" s="232">
        <f>IF(F38&gt;0,"Restaurant owes Lohith $"&amp;TEXT(F38,"#,##0"),IF(F38&lt;0,"Lohith holds $"&amp;TEXT(ABS(F38),"#,##0"),"Zero balance"))</f>
        <v/>
      </c>
      <c r="H39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2026-07-14T23:42:29Z</dcterms:modified>
  <cp:lastModifiedBy>LOHITH REDDY</cp:lastModifiedBy>
</cp:coreProperties>
</file>