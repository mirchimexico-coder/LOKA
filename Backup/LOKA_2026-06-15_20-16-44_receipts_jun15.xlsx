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/>
      <c r="E35" s="49" t="n"/>
      <c r="F35" s="50">
        <f>IFERROR(D35+E35+G35,0)</f>
        <v/>
      </c>
      <c r="G35" s="51" t="n"/>
      <c r="H35" s="52" t="n">
        <v>1526.18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Sunday market run — revenue pending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>
        <v>46187</v>
      </c>
      <c r="C261" s="69" t="inlineStr">
        <is>
          <t>Sandía + Pepino</t>
        </is>
      </c>
      <c r="D261" s="68" t="inlineStr">
        <is>
          <t>Citricos Sánchez</t>
        </is>
      </c>
      <c r="E261" s="69" t="inlineStr">
        <is>
          <t>Ingredients - Fruit</t>
        </is>
      </c>
      <c r="F261" s="70" t="n">
        <v>99</v>
      </c>
      <c r="G261" s="23" t="inlineStr">
        <is>
          <t>Restaurant</t>
        </is>
      </c>
      <c r="H261" s="23" t="inlineStr">
        <is>
          <t>Cash</t>
        </is>
      </c>
      <c r="I261" s="55" t="inlineStr">
        <is>
          <t>✅ Paid</t>
        </is>
      </c>
      <c r="J261" t="inlineStr">
        <is>
          <t>Folio 7029</t>
        </is>
      </c>
    </row>
    <row r="262">
      <c r="B262" s="64" t="n">
        <v>46187</v>
      </c>
      <c r="C262" s="65" t="inlineStr">
        <is>
          <t>Aguacate Hass Tercera 1.7 kg</t>
        </is>
      </c>
      <c r="D262" s="66" t="inlineStr">
        <is>
          <t>Rey Tacamba</t>
        </is>
      </c>
      <c r="E262" s="65" t="inlineStr">
        <is>
          <t>Ingredients - Vegetables</t>
        </is>
      </c>
      <c r="F262" s="67" t="n">
        <v>94</v>
      </c>
      <c r="G262" s="14" t="inlineStr">
        <is>
          <t>Restaurant</t>
        </is>
      </c>
      <c r="H262" s="14" t="inlineStr">
        <is>
          <t>Cash</t>
        </is>
      </c>
      <c r="I262" s="43" t="inlineStr">
        <is>
          <t>✅ Paid</t>
        </is>
      </c>
      <c r="J262" t="inlineStr">
        <is>
          <t>Central de Abastos</t>
        </is>
      </c>
    </row>
    <row r="263">
      <c r="B263" s="64" t="n">
        <v>46187</v>
      </c>
      <c r="C263" s="69" t="inlineStr">
        <is>
          <t>Tomate 8 kg @ $11</t>
        </is>
      </c>
      <c r="D263" s="68" t="inlineStr">
        <is>
          <t>Nopales Guerrero</t>
        </is>
      </c>
      <c r="E263" s="69" t="inlineStr">
        <is>
          <t>Ingredients - Vegetables</t>
        </is>
      </c>
      <c r="F263" s="70" t="n">
        <v>88</v>
      </c>
      <c r="G263" s="23" t="inlineStr">
        <is>
          <t>Restaurant</t>
        </is>
      </c>
      <c r="H263" s="23" t="inlineStr">
        <is>
          <t>Cash</t>
        </is>
      </c>
      <c r="I263" s="55" t="inlineStr">
        <is>
          <t>✅ Paid</t>
        </is>
      </c>
      <c r="J263" t="inlineStr">
        <is>
          <t>Pagado</t>
        </is>
      </c>
    </row>
    <row r="264">
      <c r="B264" s="64" t="n">
        <v>46187</v>
      </c>
      <c r="C264" s="65" t="inlineStr">
        <is>
          <t>Papaya + Melón</t>
        </is>
      </c>
      <c r="D264" s="66" t="inlineStr">
        <is>
          <t>Frutas Gaby</t>
        </is>
      </c>
      <c r="E264" s="65" t="inlineStr">
        <is>
          <t>Ingredients - Fruit</t>
        </is>
      </c>
      <c r="F264" s="67" t="n">
        <v>123</v>
      </c>
      <c r="G264" s="14" t="inlineStr">
        <is>
          <t>Restaurant</t>
        </is>
      </c>
      <c r="H264" s="14" t="inlineStr">
        <is>
          <t>Cash</t>
        </is>
      </c>
      <c r="I264" s="43" t="inlineStr">
        <is>
          <t>✅ Paid</t>
        </is>
      </c>
      <c r="J264" t="inlineStr">
        <is>
          <t>Nota de venta</t>
        </is>
      </c>
    </row>
    <row r="265">
      <c r="B265" s="64" t="n">
        <v>46187</v>
      </c>
      <c r="C265" s="69" t="inlineStr">
        <is>
          <t>Cilantro, Hierbabuena, Lechugas italianas</t>
        </is>
      </c>
      <c r="D265" s="68" t="inlineStr">
        <is>
          <t>Hnos. Labra</t>
        </is>
      </c>
      <c r="E265" s="69" t="inlineStr">
        <is>
          <t>Ingredients - Vegetables</t>
        </is>
      </c>
      <c r="F265" s="70" t="n">
        <v>140</v>
      </c>
      <c r="G265" s="23" t="inlineStr">
        <is>
          <t>Restaurant</t>
        </is>
      </c>
      <c r="H265" s="23" t="inlineStr">
        <is>
          <t>Cash</t>
        </is>
      </c>
      <c r="I265" s="55" t="inlineStr">
        <is>
          <t>✅ Paid</t>
        </is>
      </c>
      <c r="J265" t="inlineStr">
        <is>
          <t>Mercado de Abastos</t>
        </is>
      </c>
    </row>
    <row r="266">
      <c r="B266" s="64" t="n">
        <v>46187</v>
      </c>
      <c r="C266" s="65" t="inlineStr">
        <is>
          <t>Jitomate Saladet 8 kg @ $15</t>
        </is>
      </c>
      <c r="D266" s="66" t="inlineStr">
        <is>
          <t>Mercado de Abastos</t>
        </is>
      </c>
      <c r="E266" s="65" t="inlineStr">
        <is>
          <t>Ingredients - Vegetables</t>
        </is>
      </c>
      <c r="F266" s="67" t="n">
        <v>120</v>
      </c>
      <c r="G266" s="14" t="inlineStr">
        <is>
          <t>Restaurant</t>
        </is>
      </c>
      <c r="H266" s="14" t="inlineStr">
        <is>
          <t>Cash</t>
        </is>
      </c>
      <c r="I266" s="43" t="inlineStr">
        <is>
          <t>✅ Paid</t>
        </is>
      </c>
      <c r="J266" t="inlineStr">
        <is>
          <t>Ticket 26070</t>
        </is>
      </c>
    </row>
    <row r="267">
      <c r="B267" s="64" t="n">
        <v>46187</v>
      </c>
      <c r="C267" s="69" t="inlineStr">
        <is>
          <t>Manzana chica 1.158 kg</t>
        </is>
      </c>
      <c r="D267" s="68" t="inlineStr">
        <is>
          <t>Zugarmex</t>
        </is>
      </c>
      <c r="E267" s="69" t="inlineStr">
        <is>
          <t>Ingredients - Fruit</t>
        </is>
      </c>
      <c r="F267" s="70" t="n">
        <v>49.79</v>
      </c>
      <c r="G267" s="23" t="inlineStr">
        <is>
          <t>Restaurant</t>
        </is>
      </c>
      <c r="H267" s="23" t="inlineStr">
        <is>
          <t>Cash</t>
        </is>
      </c>
      <c r="I267" s="55" t="inlineStr">
        <is>
          <t>✅ Paid</t>
        </is>
      </c>
      <c r="J267" t="inlineStr">
        <is>
          <t>Venta 2197</t>
        </is>
      </c>
    </row>
    <row r="268">
      <c r="B268" s="64" t="n">
        <v>46187</v>
      </c>
      <c r="C268" s="65" t="inlineStr">
        <is>
          <t>Papa 3 kg @ $35</t>
        </is>
      </c>
      <c r="D268" s="66" t="inlineStr">
        <is>
          <t>Papas San Miguel</t>
        </is>
      </c>
      <c r="E268" s="65" t="inlineStr">
        <is>
          <t>Ingredients - Vegetables</t>
        </is>
      </c>
      <c r="F268" s="67" t="n">
        <v>105</v>
      </c>
      <c r="G268" s="14" t="inlineStr">
        <is>
          <t>Restaurant</t>
        </is>
      </c>
      <c r="H268" s="14" t="inlineStr">
        <is>
          <t>Cash</t>
        </is>
      </c>
      <c r="I268" s="43" t="inlineStr">
        <is>
          <t>✅ Paid</t>
        </is>
      </c>
      <c r="J268" t="inlineStr">
        <is>
          <t>Mercado de Abastos</t>
        </is>
      </c>
    </row>
    <row r="269">
      <c r="B269" s="64" t="n">
        <v>46187</v>
      </c>
      <c r="C269" s="69" t="inlineStr">
        <is>
          <t>Huevo (eggs)</t>
        </is>
      </c>
      <c r="D269" s="68" t="inlineStr">
        <is>
          <t>Jaime (Pollos)</t>
        </is>
      </c>
      <c r="E269" s="69" t="inlineStr">
        <is>
          <t>Ingredients - Dairy</t>
        </is>
      </c>
      <c r="F269" s="70" t="n">
        <v>90</v>
      </c>
      <c r="G269" s="23" t="inlineStr">
        <is>
          <t>Restaurant</t>
        </is>
      </c>
      <c r="H269" s="23" t="inlineStr">
        <is>
          <t>Cash</t>
        </is>
      </c>
      <c r="I269" s="55" t="inlineStr">
        <is>
          <t>✅ Paid</t>
        </is>
      </c>
      <c r="J269" t="inlineStr">
        <is>
          <t>Remisión</t>
        </is>
      </c>
    </row>
    <row r="270">
      <c r="B270" s="64" t="n">
        <v>46187</v>
      </c>
      <c r="C270" s="65" t="inlineStr">
        <is>
          <t>Calabaza, Morrón surtido, Brócoli</t>
        </is>
      </c>
      <c r="D270" s="66" t="inlineStr">
        <is>
          <t>Verduras Oscar</t>
        </is>
      </c>
      <c r="E270" s="65" t="inlineStr">
        <is>
          <t>Ingredients - Vegetables</t>
        </is>
      </c>
      <c r="F270" s="67" t="n">
        <v>65</v>
      </c>
      <c r="G270" s="14" t="inlineStr">
        <is>
          <t>Restaurant</t>
        </is>
      </c>
      <c r="H270" s="14" t="inlineStr">
        <is>
          <t>Cash</t>
        </is>
      </c>
      <c r="I270" s="43" t="inlineStr">
        <is>
          <t>✅ Paid</t>
        </is>
      </c>
      <c r="J270" t="inlineStr">
        <is>
          <t>Calabaza $36 + Morrón surtido $29 = $65</t>
        </is>
      </c>
    </row>
    <row r="271">
      <c r="B271" s="64" t="n">
        <v>46187</v>
      </c>
      <c r="C271" s="69" t="inlineStr">
        <is>
          <t>Contenedor Unicel 8x8, cucharas, tenedores, cuchillos</t>
        </is>
      </c>
      <c r="D271" s="68" t="inlineStr">
        <is>
          <t>MPPD Abastos</t>
        </is>
      </c>
      <c r="E271" s="69" t="inlineStr">
        <is>
          <t>Supplies / Other</t>
        </is>
      </c>
      <c r="F271" s="70" t="n">
        <v>336.62</v>
      </c>
      <c r="G271" s="23" t="inlineStr">
        <is>
          <t>Restaurant</t>
        </is>
      </c>
      <c r="H271" s="23" t="inlineStr">
        <is>
          <t>Card</t>
        </is>
      </c>
      <c r="I271" s="55" t="inlineStr">
        <is>
          <t>✅ Paid</t>
        </is>
      </c>
      <c r="J271" t="inlineStr">
        <is>
          <t>Debit · Folio 380306</t>
        </is>
      </c>
    </row>
    <row r="272">
      <c r="B272" s="64" t="n">
        <v>46187</v>
      </c>
      <c r="C272" s="65" t="inlineStr">
        <is>
          <t>Bolsa Polietileno 27x52x45</t>
        </is>
      </c>
      <c r="D272" s="66" t="inlineStr">
        <is>
          <t>MPPD Abastos</t>
        </is>
      </c>
      <c r="E272" s="65" t="inlineStr">
        <is>
          <t>Supplies / Other</t>
        </is>
      </c>
      <c r="F272" s="67" t="n">
        <v>81.27</v>
      </c>
      <c r="G272" s="14" t="inlineStr">
        <is>
          <t>Restaurant</t>
        </is>
      </c>
      <c r="H272" s="14" t="inlineStr">
        <is>
          <t>Card</t>
        </is>
      </c>
      <c r="I272" s="43" t="inlineStr">
        <is>
          <t>✅ Paid</t>
        </is>
      </c>
      <c r="J272" t="inlineStr">
        <is>
          <t>Debit · Folio 380307</t>
        </is>
      </c>
    </row>
    <row r="273">
      <c r="B273" s="64" t="n">
        <v>46187</v>
      </c>
      <c r="C273" s="69" t="inlineStr">
        <is>
          <t>Zanahoria 2kg, Cebolla 2kg, Jalapeño 2kg, Poblano 1.3kg</t>
        </is>
      </c>
      <c r="D273" s="68" t="inlineStr">
        <is>
          <t>Mi Joven (Mercado Abastos)</t>
        </is>
      </c>
      <c r="E273" s="69" t="inlineStr">
        <is>
          <t>Ingredients - Vegetables</t>
        </is>
      </c>
      <c r="F273" s="70" t="n">
        <v>134.5</v>
      </c>
      <c r="G273" s="23" t="inlineStr">
        <is>
          <t>Restaurant</t>
        </is>
      </c>
      <c r="H273" s="23" t="inlineStr">
        <is>
          <t>Cash</t>
        </is>
      </c>
      <c r="I273" s="55" t="inlineStr">
        <is>
          <t>✅ Paid</t>
        </is>
      </c>
      <c r="J273" t="inlineStr">
        <is>
          <t>Folio 18808 · 08:31 · 4 productos</t>
        </is>
      </c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1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26" t="inlineStr">
        <is>
          <t>TOTALS &amp; CURRENT BALANCE</t>
        </is>
      </c>
      <c r="B76" s="219" t="n"/>
      <c r="C76" s="219" t="n"/>
      <c r="D76" s="256">
        <f>SUM(D63:D75)</f>
        <v/>
      </c>
      <c r="E76" s="257">
        <f>SUM(E63:E75)</f>
        <v/>
      </c>
      <c r="F76" s="258">
        <f>F75</f>
        <v/>
      </c>
      <c r="G76" s="226">
        <f>IF(F75&gt;0,"⏳ Restaurant owes Lohith $"&amp;TEXT(F75,"#,##0"),IF(F75&lt;0,"💵 Lohith holds $"&amp;TEXT(ABS(F75),"#,##0"),"✅ Zero balance"))</f>
        <v/>
      </c>
    </row>
    <row r="78">
      <c r="A78" s="242" t="inlineStr">
        <is>
          <t>HOW TO USE: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Add new rows above TOTALS. Spent by Lohith = restaurant expenses he paid personally.</t>
        </is>
      </c>
      <c r="B79" s="242" t="n"/>
      <c r="C79" s="242" t="n"/>
      <c r="D79" s="242" t="n"/>
      <c r="E79" s="242" t="n"/>
      <c r="F79" s="242" t="n"/>
      <c r="G79" s="242" t="n"/>
      <c r="H79" s="242" t="n"/>
    </row>
    <row r="80">
      <c r="A80" s="242" t="inlineStr">
        <is>
          <t>Transferred to Lohith = customer bank transfers received in his personal account.</t>
        </is>
      </c>
      <c r="B80" s="242" t="n"/>
      <c r="C80" s="242" t="n"/>
      <c r="D80" s="242" t="n"/>
      <c r="E80" s="242" t="n"/>
      <c r="F80" s="242" t="n"/>
      <c r="G80" s="242" t="n"/>
      <c r="H80" s="242" t="n"/>
    </row>
    <row r="81">
      <c r="A81" s="242" t="inlineStr">
        <is>
          <t>Positive balance = restaurant owes Lohith. Negative = Lohith holds restaurant funds.</t>
        </is>
      </c>
      <c r="B81" s="242" t="n"/>
      <c r="C81" s="242" t="n"/>
      <c r="D81" s="242" t="n"/>
      <c r="E81" s="242" t="n"/>
      <c r="F81" s="242" t="n"/>
      <c r="G81" s="242" t="n"/>
      <c r="H81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2026-06-16T02:11:08Z</dcterms:modified>
  <cp:lastModifiedBy>LOHITH REDDY</cp:lastModifiedBy>
</cp:coreProperties>
</file>