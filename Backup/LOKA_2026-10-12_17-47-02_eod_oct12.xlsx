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4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  <numFmt numFmtId="177" formatCode="$#,##0.00;[Red]-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8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  <xf numFmtId="0" fontId="98" fillId="0" borderId="25" pivotButton="0" quotePrefix="0" xfId="0"/>
    <xf numFmtId="177" fontId="98" fillId="0" borderId="25" pivotButton="0" quotePrefix="0" xfId="0"/>
    <xf numFmtId="0" fontId="95" fillId="0" borderId="25" pivotButton="0" quotePrefix="0" xfId="0"/>
    <xf numFmtId="177" fontId="95" fillId="0" borderId="25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05 Oct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0</v>
      </c>
      <c r="E147" s="286" t="inlineStr">
        <is>
          <t>Legacy (to 22-Sep-2026). From 05-Oct-2026 capital is fixed at $125,934 in the company account; what ops owes Capital = negative Balance vs Capital (row 172). 22-Sep taxes/contador moved to Restaurant.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CAPITAL held in company account (fixed, moved in 22-Sep-2026)</t>
        </is>
      </c>
      <c r="C169" s="452" t="n">
        <v>125934</v>
      </c>
      <c r="E169" t="inlineStr">
        <is>
          <t>22-Sep-2026: Lohith moved all remaining capital ($125,934) to the company account.</t>
        </is>
      </c>
    </row>
    <row r="170">
      <c r="B170" s="319" t="inlineStr">
        <is>
          <t xml:space="preserve">   Drawn from capital (retired 05-Oct-2026: all bills are normal company-account expenses)</t>
        </is>
      </c>
      <c r="C170" s="452" t="n">
        <v>0</v>
      </c>
      <c r="E170" t="inlineStr">
        <is>
          <t>22-Sep taxes/contador draw (-$18,442) reversed 05-Oct-2026 and booked as Restaurant expenses.</t>
        </is>
      </c>
    </row>
    <row r="171">
      <c r="B171" s="317" t="inlineStr">
        <is>
          <t>CAPITAL BALANCE (fixed, in company account)</t>
        </is>
      </c>
      <c r="C171" s="453">
        <f>C169+C170</f>
        <v/>
      </c>
      <c r="E171" t="inlineStr">
        <is>
          <t>The pool (company account + cash in hand) must cover this. Difference is row 172.</t>
        </is>
      </c>
    </row>
    <row r="172">
      <c r="B172" s="454" t="inlineStr">
        <is>
          <t>BALANCE vs CAPITAL  (company acct + cash in hand − capital)</t>
        </is>
      </c>
      <c r="C172" s="455" t="n">
        <v>-24438.09</v>
      </c>
      <c r="E172" s="423" t="inlineStr">
        <is>
          <t>Negative = the restaurant owes Capital this much. Positive = surplus. Auto-updated by refresh-all.</t>
        </is>
      </c>
    </row>
    <row r="173">
      <c r="B173" s="456" t="inlineStr">
        <is>
          <t xml:space="preserve">   Company account + cash in hand (books)</t>
        </is>
      </c>
      <c r="C173" s="457" t="n">
        <v>101495.91</v>
      </c>
      <c r="E173" s="423" t="inlineStr">
        <is>
          <t>Last physical count + everything since. Set by menu 13 (cash count). Auto-updated by refresh-all.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3260.0</v>
      </c>
      <c r="G6" s="31">
        <f>SUMIFS($G$8:$G$5000,$B$8:$B$5000,TODAY())</f>
        <v>220.0</v>
      </c>
      <c r="H6" s="28">
        <f>SUMIFS($H$8:$H$5000,$B$8:$B$5000,TODAY())</f>
        <v>13069.0</v>
      </c>
      <c r="I6" s="32">
        <f>F6-H6</f>
        <v>-9809.0</v>
      </c>
      <c r="J6">
        <f>IFERROR(I6/F6,0)</f>
        <v>-3.008896</v>
      </c>
      <c r="K6" s="28" t="n"/>
      <c r="L6" s="31" t="n"/>
      <c r="M6" s="28">
        <f>SUMIFS($F$8:$F$5000,$B$8:$B$5000,"&gt;="&amp;(TODAY()-WEEKDAY(TODAY(),2)+1),$B$8:$B$5000,"&lt;"&amp;(TODAY()-WEEKDAY(TODAY(),2)+8))</f>
        <v>21765.0</v>
      </c>
      <c r="N6" s="33">
        <f>SUMIFS($F$8:$F$5000,$B$8:$B$5000,"&gt;="&amp;(TODAY()-WEEKDAY(TODAY(),2)+1),$B$8:$B$5000,"&lt;"&amp;(TODAY()-WEEKDAY(TODAY(),2)+8))</f>
        <v>21765.0</v>
      </c>
      <c r="O6" s="33">
        <f>SUMIFS($F$8:$F$5000,$B$8:$B$5000,"&gt;="&amp;DATE(YEAR(TODAY()),MONTH(TODAY()),1),$B$8:$B$5000,"&lt;"&amp;DATE(YEAR(TODAY()),MONTH(TODAY())+1,1))</f>
        <v>30520.0</v>
      </c>
      <c r="P6">
        <f>SUMIFS('💸 Expenses'!$F$8:$F$5000,'💸 Expenses'!$B$8:$B$5000,"&gt;="&amp;(TODAY()-WEEKDAY(TODAY(),2)+1),'💸 Expenses'!$B$8:$B$5000,"&lt;"&amp;(TODAY()-WEEKDAY(TODAY(),2)+8))</f>
        <v>49996.68</v>
      </c>
      <c r="Q6">
        <f>M6-P6</f>
        <v>-28231.68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1715</v>
      </c>
      <c r="E127" s="49" t="n">
        <v>1605</v>
      </c>
      <c r="F127" s="50">
        <f>IFERROR(D127+E127+G127+U127+Y127,0)</f>
        <v>3752.0</v>
      </c>
      <c r="G127" s="257" t="n">
        <v>432</v>
      </c>
      <c r="H127" s="258">
        <f>SUMIFS('💸 Expenses'!$F$8:$F$5000,'💸 Expenses'!$B$8:$B$5000,"&gt;="&amp;B127,'💸 Expenses'!$B$8:$B$5000,"&lt;"&amp;(B127+1))</f>
        <v>399.0</v>
      </c>
      <c r="I127" s="259">
        <f>IFERROR(F127-H127,0)</f>
        <v>3353.0</v>
      </c>
      <c r="J127" s="260">
        <f>IFERROR(I127/F127,0)</f>
        <v>0.893657</v>
      </c>
      <c r="K127" s="254" t="n"/>
      <c r="L127" s="261" t="inlineStr">
        <is>
          <t>Cierre via loka.py | updated 18:04</t>
        </is>
      </c>
      <c r="M127" s="291" t="n"/>
      <c r="N127" s="292" t="n"/>
      <c r="O127" s="293" t="n"/>
      <c r="P127" s="294" t="n"/>
      <c r="Q127" s="292" t="n"/>
      <c r="R127" s="443">
        <f>IFERROR(D127*$T$7,0)</f>
        <v>69.63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427" t="n">
        <v>46295</v>
      </c>
      <c r="C128" s="270" t="inlineStr">
        <is>
          <t>Wed</t>
        </is>
      </c>
      <c r="D128" s="271" t="n">
        <v>2215</v>
      </c>
      <c r="E128" s="37" t="n">
        <v>1075</v>
      </c>
      <c r="F128" s="38">
        <f>IFERROR(D128+E128+G128+U128+Y128,0)</f>
        <v>3820.0</v>
      </c>
      <c r="G128" s="272" t="n">
        <v>530</v>
      </c>
      <c r="H128" s="273">
        <f>SUMIFS('💸 Expenses'!$F$8:$F$5000,'💸 Expenses'!$B$8:$B$5000,"&gt;="&amp;B128,'💸 Expenses'!$B$8:$B$5000,"&lt;"&amp;(B128+1))</f>
        <v>1535.0</v>
      </c>
      <c r="I128" s="274">
        <f>IFERROR(F128-H128,0)</f>
        <v>2285.0</v>
      </c>
      <c r="J128" s="275">
        <f>IFERROR(I128/F128,0)</f>
        <v>0.598168</v>
      </c>
      <c r="K128" s="250" t="n"/>
      <c r="L128" s="276" t="inlineStr">
        <is>
          <t>Cierre via loka.py</t>
        </is>
      </c>
      <c r="M128" s="323" t="n"/>
      <c r="N128" s="324" t="n"/>
      <c r="O128" s="325" t="n"/>
      <c r="P128" s="326" t="n"/>
      <c r="Q128" s="324" t="n"/>
      <c r="R128" s="428">
        <f>IFERROR(D128*$T$7,0)</f>
        <v>89.93</v>
      </c>
      <c r="S128" s="324" t="n"/>
      <c r="T128" s="324" t="n"/>
      <c r="U128" s="428" t="n">
        <v>0</v>
      </c>
      <c r="V128" s="428" t="n">
        <v>0</v>
      </c>
      <c r="W128" s="324" t="n"/>
      <c r="X128" s="324" t="n"/>
      <c r="Y128" s="428" t="n">
        <v>0</v>
      </c>
      <c r="Z128" s="428" t="n">
        <v>0</v>
      </c>
      <c r="AA128" s="324" t="n"/>
      <c r="AB128" s="324" t="n"/>
    </row>
    <row r="129" ht="16.5" customHeight="1" s="331">
      <c r="B129" s="427" t="n">
        <v>46296</v>
      </c>
      <c r="C129" s="255" t="inlineStr">
        <is>
          <t>Thu</t>
        </is>
      </c>
      <c r="D129" s="256" t="n">
        <v>1350</v>
      </c>
      <c r="E129" s="49" t="n">
        <v>940</v>
      </c>
      <c r="F129" s="50">
        <f>IFERROR(D129+E129+G129+U129+Y129,0)</f>
        <v>2420.0</v>
      </c>
      <c r="G129" s="257" t="n">
        <v>130</v>
      </c>
      <c r="H129" s="258">
        <f>SUMIFS('💸 Expenses'!$F$8:$F$5000,'💸 Expenses'!$B$8:$B$5000,"&gt;="&amp;B129,'💸 Expenses'!$B$8:$B$5000,"&lt;"&amp;(B129+1))</f>
        <v>747.0</v>
      </c>
      <c r="I129" s="259">
        <f>IFERROR(F129-H129,0)</f>
        <v>1673.0</v>
      </c>
      <c r="J129" s="260">
        <f>IFERROR(I129/F129,0)</f>
        <v>0.691322</v>
      </c>
      <c r="K129" s="254" t="n"/>
      <c r="L129" s="261" t="inlineStr">
        <is>
          <t>Cierre via loka.py</t>
        </is>
      </c>
      <c r="M129" s="291" t="n"/>
      <c r="N129" s="292" t="n"/>
      <c r="O129" s="293" t="n"/>
      <c r="P129" s="294" t="n"/>
      <c r="Q129" s="292" t="n"/>
      <c r="R129" s="443">
        <f>IFERROR(D129*$T$7,0)</f>
        <v>54.81</v>
      </c>
      <c r="S129" s="292" t="n"/>
      <c r="T129" s="292" t="n"/>
      <c r="U129" s="443" t="n">
        <v>0</v>
      </c>
      <c r="V129" s="443" t="n">
        <v>0</v>
      </c>
      <c r="W129" s="292" t="n"/>
      <c r="X129" s="292" t="n"/>
      <c r="Y129" s="443" t="n">
        <v>0</v>
      </c>
      <c r="Z129" s="443" t="n">
        <v>0</v>
      </c>
      <c r="AA129" s="292" t="n"/>
      <c r="AB129" s="292" t="n"/>
    </row>
    <row r="130" ht="16.5" customHeight="1" s="331">
      <c r="B130" s="427" t="n">
        <v>46297</v>
      </c>
      <c r="C130" s="270" t="inlineStr">
        <is>
          <t>Fri</t>
        </is>
      </c>
      <c r="D130" s="271" t="n">
        <v>3420</v>
      </c>
      <c r="E130" s="37" t="n">
        <v>2915</v>
      </c>
      <c r="F130" s="38">
        <f>IFERROR(D130+E130+G130+U130+Y130,0)</f>
        <v>6335.0</v>
      </c>
      <c r="G130" s="272" t="n">
        <v>0</v>
      </c>
      <c r="H130" s="273">
        <f>SUMIFS('💸 Expenses'!$F$8:$F$5000,'💸 Expenses'!$B$8:$B$5000,"&gt;="&amp;B130,'💸 Expenses'!$B$8:$B$5000,"&lt;"&amp;(B130+1))</f>
        <v>5818.0</v>
      </c>
      <c r="I130" s="274">
        <f>IFERROR(F130-H130,0)</f>
        <v>517.0</v>
      </c>
      <c r="J130" s="275">
        <f>IFERROR(I130/F130,0)</f>
        <v>0.08161</v>
      </c>
      <c r="K130" s="250" t="n"/>
      <c r="L130" s="276" t="inlineStr">
        <is>
          <t>Cierre via loka.py</t>
        </is>
      </c>
      <c r="M130" s="323" t="n"/>
      <c r="N130" s="324" t="n"/>
      <c r="O130" s="325" t="n"/>
      <c r="P130" s="326" t="n"/>
      <c r="Q130" s="324" t="n"/>
      <c r="R130" s="428">
        <f>IFERROR(D130*$T$7,0)</f>
        <v>138.85</v>
      </c>
      <c r="S130" s="324" t="n"/>
      <c r="T130" s="324" t="n"/>
      <c r="U130" s="428" t="n">
        <v>0</v>
      </c>
      <c r="V130" s="428" t="n">
        <v>0</v>
      </c>
      <c r="W130" s="324" t="n"/>
      <c r="X130" s="324" t="n"/>
      <c r="Y130" s="428" t="n">
        <v>0</v>
      </c>
      <c r="Z130" s="428" t="n">
        <v>0</v>
      </c>
      <c r="AA130" s="324" t="n"/>
      <c r="AB130" s="324" t="n"/>
    </row>
    <row r="131" ht="16.5" customHeight="1" s="331">
      <c r="B131" s="427" t="n">
        <v>46300</v>
      </c>
      <c r="C131" s="255" t="inlineStr">
        <is>
          <t>Mon</t>
        </is>
      </c>
      <c r="D131" s="256" t="n">
        <v>2042</v>
      </c>
      <c r="E131" s="49" t="n">
        <v>2573</v>
      </c>
      <c r="F131" s="50">
        <f>IFERROR(D131+E131+G131+U131+Y131,0)</f>
        <v>5580.0</v>
      </c>
      <c r="G131" s="257" t="n">
        <v>965</v>
      </c>
      <c r="H131" s="258">
        <f>SUMIFS('💸 Expenses'!$F$8:$F$5000,'💸 Expenses'!$B$8:$B$5000,"&gt;="&amp;B131,'💸 Expenses'!$B$8:$B$5000,"&lt;"&amp;(B131+1))</f>
        <v>29005.68</v>
      </c>
      <c r="I131" s="259">
        <f>IFERROR(F131-H131,0)</f>
        <v>-23425.68</v>
      </c>
      <c r="J131" s="260">
        <f>IFERROR(I131/F131,0)</f>
        <v>-4.198151</v>
      </c>
      <c r="K131" s="254" t="n"/>
      <c r="L131" s="261" t="inlineStr">
        <is>
          <t>Cierre via loka.py</t>
        </is>
      </c>
      <c r="M131" s="291" t="n"/>
      <c r="N131" s="292" t="n"/>
      <c r="O131" s="293" t="n"/>
      <c r="P131" s="294" t="n"/>
      <c r="Q131" s="292" t="n"/>
      <c r="R131" s="443">
        <f>IFERROR(D131*$T$7,0)</f>
        <v>82.91</v>
      </c>
      <c r="S131" s="292" t="n"/>
      <c r="T131" s="292" t="n"/>
      <c r="U131" s="443" t="n">
        <v>0</v>
      </c>
      <c r="V131" s="443" t="n">
        <v>0</v>
      </c>
      <c r="W131" s="292" t="n"/>
      <c r="X131" s="292" t="n"/>
      <c r="Y131" s="443" t="n">
        <v>0</v>
      </c>
      <c r="Z131" s="443" t="n">
        <v>0</v>
      </c>
      <c r="AA131" s="292" t="n"/>
      <c r="AB131" s="292" t="n"/>
    </row>
    <row r="132" ht="16.5" customHeight="1" s="331">
      <c r="B132" s="427" t="n">
        <v>46301</v>
      </c>
      <c r="C132" s="270" t="inlineStr">
        <is>
          <t>Tue</t>
        </is>
      </c>
      <c r="D132" s="271" t="n">
        <v>1285</v>
      </c>
      <c r="E132" s="37" t="n">
        <v>2200</v>
      </c>
      <c r="F132" s="38">
        <f>IFERROR(D132+E132+G132+U132+Y132,0)</f>
        <v>4325.0</v>
      </c>
      <c r="G132" s="272" t="n">
        <v>840</v>
      </c>
      <c r="H132" s="273">
        <f>SUMIFS('💸 Expenses'!$F$8:$F$5000,'💸 Expenses'!$B$8:$B$5000,"&gt;="&amp;B132,'💸 Expenses'!$B$8:$B$5000,"&lt;"&amp;(B132+1))</f>
        <v>5081.0</v>
      </c>
      <c r="I132" s="274">
        <f>IFERROR(F132-H132,0)</f>
        <v>-756.0</v>
      </c>
      <c r="J132" s="275">
        <f>IFERROR(I132/F132,0)</f>
        <v>-0.174798</v>
      </c>
      <c r="K132" s="250" t="n"/>
      <c r="L132" s="276" t="inlineStr">
        <is>
          <t>Cierre via loka.py</t>
        </is>
      </c>
      <c r="M132" s="323" t="n"/>
      <c r="N132" s="324" t="n"/>
      <c r="O132" s="325" t="n"/>
      <c r="P132" s="326" t="n"/>
      <c r="Q132" s="324" t="n"/>
      <c r="R132" s="428">
        <f>IFERROR(D132*$T$7,0)</f>
        <v>52.17</v>
      </c>
      <c r="S132" s="324" t="n"/>
      <c r="T132" s="324" t="n"/>
      <c r="U132" s="428" t="n">
        <v>0</v>
      </c>
      <c r="V132" s="428" t="n">
        <v>0</v>
      </c>
      <c r="W132" s="324" t="n"/>
      <c r="X132" s="324" t="n"/>
      <c r="Y132" s="428" t="n">
        <v>0</v>
      </c>
      <c r="Z132" s="428" t="n">
        <v>0</v>
      </c>
      <c r="AA132" s="324" t="n"/>
      <c r="AB132" s="324" t="n"/>
    </row>
    <row r="133" ht="16.5" customHeight="1" s="331">
      <c r="B133" s="427" t="n">
        <v>46302</v>
      </c>
      <c r="C133" s="255" t="inlineStr">
        <is>
          <t>Wed</t>
        </is>
      </c>
      <c r="D133" s="256" t="n">
        <v>360</v>
      </c>
      <c r="E133" s="49" t="n">
        <v>1095</v>
      </c>
      <c r="F133" s="50">
        <f>IFERROR(D133+E133+G133+U133+Y133,0)</f>
        <v>1455.0</v>
      </c>
      <c r="G133" s="257" t="n">
        <v>0</v>
      </c>
      <c r="H133" s="258">
        <f>SUMIFS('💸 Expenses'!$F$8:$F$5000,'💸 Expenses'!$B$8:$B$5000,"&gt;="&amp;B133,'💸 Expenses'!$B$8:$B$5000,"&lt;"&amp;(B133+1))</f>
        <v>1085.0</v>
      </c>
      <c r="I133" s="259">
        <f>IFERROR(F133-H133,0)</f>
        <v>370.0</v>
      </c>
      <c r="J133" s="260">
        <f>IFERROR(I133/F133,0)</f>
        <v>0.254296</v>
      </c>
      <c r="K133" s="254" t="n"/>
      <c r="L133" s="261" t="inlineStr">
        <is>
          <t>Cierre via loka.py</t>
        </is>
      </c>
      <c r="M133" s="291" t="n"/>
      <c r="N133" s="292" t="n"/>
      <c r="O133" s="293" t="n"/>
      <c r="P133" s="294" t="n"/>
      <c r="Q133" s="292" t="n"/>
      <c r="R133" s="443">
        <f>IFERROR(D133*$T$7,0)</f>
        <v>14.62</v>
      </c>
      <c r="S133" s="292" t="n"/>
      <c r="T133" s="292" t="n"/>
      <c r="U133" s="443" t="n">
        <v>0</v>
      </c>
      <c r="V133" s="443" t="n">
        <v>0</v>
      </c>
      <c r="W133" s="292" t="n"/>
      <c r="X133" s="292" t="n"/>
      <c r="Y133" s="443" t="n">
        <v>0</v>
      </c>
      <c r="Z133" s="443" t="n">
        <v>0</v>
      </c>
      <c r="AA133" s="292" t="n"/>
      <c r="AB133" s="292" t="n"/>
    </row>
    <row r="134" ht="16.5" customHeight="1" s="331">
      <c r="B134" s="427" t="n">
        <v>46303</v>
      </c>
      <c r="C134" s="270" t="inlineStr">
        <is>
          <t>Thu</t>
        </is>
      </c>
      <c r="D134" s="271" t="n">
        <v>1565</v>
      </c>
      <c r="E134" s="37" t="n">
        <v>1015</v>
      </c>
      <c r="F134" s="38">
        <f>IFERROR(D134+E134+G134+U134+Y134,0)</f>
        <v>2665.0</v>
      </c>
      <c r="G134" s="272" t="n">
        <v>85</v>
      </c>
      <c r="H134" s="273">
        <f>SUMIFS('💸 Expenses'!$F$8:$F$5000,'💸 Expenses'!$B$8:$B$5000,"&gt;="&amp;B134,'💸 Expenses'!$B$8:$B$5000,"&lt;"&amp;(B134+1))</f>
        <v>296.0</v>
      </c>
      <c r="I134" s="274">
        <f>IFERROR(F134-H134,0)</f>
        <v>2369.0</v>
      </c>
      <c r="J134" s="275">
        <f>IFERROR(I134/F134,0)</f>
        <v>0.888931</v>
      </c>
      <c r="K134" s="250" t="n"/>
      <c r="L134" s="276" t="inlineStr">
        <is>
          <t>Cierre via loka.py</t>
        </is>
      </c>
      <c r="M134" s="323" t="n"/>
      <c r="N134" s="324" t="n"/>
      <c r="O134" s="325" t="n"/>
      <c r="P134" s="326" t="n"/>
      <c r="Q134" s="324" t="n"/>
      <c r="R134" s="428">
        <f>IFERROR(D134*$T$7,0)</f>
        <v>63.54</v>
      </c>
      <c r="S134" s="324" t="n"/>
      <c r="T134" s="324" t="n"/>
      <c r="U134" s="428" t="n">
        <v>0</v>
      </c>
      <c r="V134" s="428" t="n">
        <v>0</v>
      </c>
      <c r="W134" s="324" t="n"/>
      <c r="X134" s="324" t="n"/>
      <c r="Y134" s="428" t="n">
        <v>0</v>
      </c>
      <c r="Z134" s="428" t="n">
        <v>0</v>
      </c>
      <c r="AA134" s="324" t="n"/>
      <c r="AB134" s="324" t="n"/>
    </row>
    <row r="135" ht="16.5" customHeight="1" s="331">
      <c r="B135" s="427" t="n">
        <v>46304</v>
      </c>
      <c r="C135" s="255" t="inlineStr">
        <is>
          <t>Fri</t>
        </is>
      </c>
      <c r="D135" s="256" t="n">
        <v>2871</v>
      </c>
      <c r="E135" s="49" t="n">
        <v>1479</v>
      </c>
      <c r="F135" s="50">
        <f>IFERROR(D135+E135+G135+U135+Y135,0)</f>
        <v>4480.0</v>
      </c>
      <c r="G135" s="257" t="n">
        <v>130</v>
      </c>
      <c r="H135" s="258">
        <f>SUMIFS('💸 Expenses'!$F$8:$F$5000,'💸 Expenses'!$B$8:$B$5000,"&gt;="&amp;B135,'💸 Expenses'!$B$8:$B$5000,"&lt;"&amp;(B135+1))</f>
        <v>1460.0</v>
      </c>
      <c r="I135" s="259">
        <f>IFERROR(F135-H135,0)</f>
        <v>3020.0</v>
      </c>
      <c r="J135" s="260">
        <f>IFERROR(I135/F135,0)</f>
        <v>0.674107</v>
      </c>
      <c r="K135" s="254" t="n"/>
      <c r="L135" s="261" t="inlineStr">
        <is>
          <t>Cierre via loka.py</t>
        </is>
      </c>
      <c r="M135" s="291" t="n"/>
      <c r="N135" s="292" t="n"/>
      <c r="O135" s="293" t="n"/>
      <c r="P135" s="294" t="n"/>
      <c r="Q135" s="292" t="n"/>
      <c r="R135" s="443">
        <f>IFERROR(D135*$T$7,0)</f>
        <v>116.56</v>
      </c>
      <c r="S135" s="292" t="n"/>
      <c r="T135" s="292" t="n"/>
      <c r="U135" s="443" t="n">
        <v>0</v>
      </c>
      <c r="V135" s="443" t="n">
        <v>0</v>
      </c>
      <c r="W135" s="292" t="n"/>
      <c r="X135" s="292" t="n"/>
      <c r="Y135" s="443" t="n">
        <v>0</v>
      </c>
      <c r="Z135" s="443" t="n">
        <v>0</v>
      </c>
      <c r="AA135" s="292" t="n"/>
      <c r="AB135" s="292" t="n"/>
    </row>
    <row r="136" ht="16.5" customHeight="1" s="331">
      <c r="B136" s="427" t="n">
        <v>46305</v>
      </c>
      <c r="C136" s="270" t="inlineStr">
        <is>
          <t>Sat</t>
        </is>
      </c>
      <c r="D136" s="271" t="n">
        <v>1140</v>
      </c>
      <c r="E136" s="37" t="n">
        <v>1900</v>
      </c>
      <c r="F136" s="38">
        <f>IFERROR(D136+E136+G136+U136+Y136,0)</f>
        <v>3260.0</v>
      </c>
      <c r="G136" s="272" t="n">
        <v>220</v>
      </c>
      <c r="H136" s="273">
        <f>SUMIFS('💸 Expenses'!$F$8:$F$5000,'💸 Expenses'!$B$8:$B$5000,"&gt;="&amp;B136,'💸 Expenses'!$B$8:$B$5000,"&lt;"&amp;(B136+1))</f>
        <v>13069.0</v>
      </c>
      <c r="I136" s="274">
        <f>IFERROR(F136-H136,0)</f>
        <v>-9809.0</v>
      </c>
      <c r="J136" s="275">
        <f>IFERROR(I136/F136,0)</f>
        <v>-3.008896</v>
      </c>
      <c r="K136" s="250" t="n"/>
      <c r="L136" s="276" t="inlineStr">
        <is>
          <t>Cierre via loka.py</t>
        </is>
      </c>
      <c r="M136" s="323" t="n"/>
      <c r="N136" s="324" t="n"/>
      <c r="O136" s="325" t="n"/>
      <c r="P136" s="326" t="n"/>
      <c r="Q136" s="324" t="n"/>
      <c r="R136" s="428">
        <f>IFERROR(D136*$T$7,0)</f>
        <v>46.28</v>
      </c>
      <c r="S136" s="324" t="n"/>
      <c r="T136" s="324" t="n"/>
      <c r="U136" s="428" t="n">
        <v>0</v>
      </c>
      <c r="V136" s="428" t="n">
        <v>0</v>
      </c>
      <c r="W136" s="324" t="n"/>
      <c r="X136" s="324" t="n"/>
      <c r="Y136" s="428" t="n">
        <v>0</v>
      </c>
      <c r="Z136" s="428" t="n">
        <v>0</v>
      </c>
      <c r="AA136" s="324" t="n"/>
      <c r="AB136" s="32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57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Restaurant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desde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Restaurant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desde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  <row r="816">
      <c r="B816" s="429" t="n">
        <v>46294</v>
      </c>
      <c r="C816" s="297" t="inlineStr">
        <is>
          <t>Mercado Pago machine</t>
        </is>
      </c>
      <c r="D816" s="298" t="inlineStr">
        <is>
          <t>No bill</t>
        </is>
      </c>
      <c r="E816" s="297" t="inlineStr">
        <is>
          <t>Supermarket/General</t>
        </is>
      </c>
      <c r="F816" s="299" t="n">
        <v>399</v>
      </c>
      <c r="G816" s="300" t="inlineStr">
        <is>
          <t>Restaurant</t>
        </is>
      </c>
      <c r="H816" s="300" t="inlineStr">
        <is>
          <t>Cash</t>
        </is>
      </c>
      <c r="I816" s="301" t="inlineStr">
        <is>
          <t>✅ Paid</t>
        </is>
      </c>
      <c r="J816" s="423" t="inlineStr">
        <is>
          <t>No receipt; cash</t>
        </is>
      </c>
    </row>
    <row r="817">
      <c r="B817" s="429" t="n">
        <v>46295</v>
      </c>
      <c r="C817" s="297" t="inlineStr">
        <is>
          <t>Carne</t>
        </is>
      </c>
      <c r="D817" s="298" t="inlineStr">
        <is>
          <t>No bill</t>
        </is>
      </c>
      <c r="E817" s="297" t="inlineStr">
        <is>
          <t>Ingredients - Meat</t>
        </is>
      </c>
      <c r="F817" s="299" t="n">
        <v>743</v>
      </c>
      <c r="G817" s="300" t="inlineStr">
        <is>
          <t>Restaurant</t>
        </is>
      </c>
      <c r="H817" s="300" t="inlineStr">
        <is>
          <t>Cash</t>
        </is>
      </c>
      <c r="I817" s="301" t="inlineStr">
        <is>
          <t>✅ Paid</t>
        </is>
      </c>
      <c r="J817" s="423" t="inlineStr">
        <is>
          <t>No receipt; cash</t>
        </is>
      </c>
    </row>
    <row r="818">
      <c r="B818" s="429" t="n">
        <v>46295</v>
      </c>
      <c r="C818" s="297" t="inlineStr">
        <is>
          <t>Oxxo</t>
        </is>
      </c>
      <c r="D818" s="298" t="inlineStr">
        <is>
          <t>OXXO</t>
        </is>
      </c>
      <c r="E818" s="297" t="inlineStr">
        <is>
          <t>Ingredients - Pantry</t>
        </is>
      </c>
      <c r="F818" s="299" t="n">
        <v>33</v>
      </c>
      <c r="G818" s="300" t="inlineStr">
        <is>
          <t>Restaurant</t>
        </is>
      </c>
      <c r="H818" s="300" t="inlineStr">
        <is>
          <t>Cash</t>
        </is>
      </c>
      <c r="I818" s="301" t="inlineStr">
        <is>
          <t>✅ Paid</t>
        </is>
      </c>
      <c r="J818" s="423" t="inlineStr">
        <is>
          <t>No receipt; cash</t>
        </is>
      </c>
    </row>
    <row r="819">
      <c r="B819" s="429" t="n">
        <v>46295</v>
      </c>
      <c r="C819" s="297" t="inlineStr">
        <is>
          <t>Agua Natural</t>
        </is>
      </c>
      <c r="D819" s="298" t="inlineStr">
        <is>
          <t>No bill</t>
        </is>
      </c>
      <c r="E819" s="297" t="inlineStr">
        <is>
          <t>Ingredients - Beverages</t>
        </is>
      </c>
      <c r="F819" s="299" t="n">
        <v>60</v>
      </c>
      <c r="G819" s="300" t="inlineStr">
        <is>
          <t>Restaurant</t>
        </is>
      </c>
      <c r="H819" s="300" t="inlineStr">
        <is>
          <t>Cash</t>
        </is>
      </c>
      <c r="I819" s="301" t="inlineStr">
        <is>
          <t>✅ Paid</t>
        </is>
      </c>
      <c r="J819" s="423" t="inlineStr">
        <is>
          <t>No receipt; cash</t>
        </is>
      </c>
    </row>
    <row r="820">
      <c r="B820" s="429" t="n">
        <v>46295</v>
      </c>
      <c r="C820" s="297" t="inlineStr">
        <is>
          <t>Cafetera Fiesta</t>
        </is>
      </c>
      <c r="D820" s="298" t="inlineStr">
        <is>
          <t>No bill</t>
        </is>
      </c>
      <c r="E820" s="297" t="inlineStr">
        <is>
          <t>Supplies/Other</t>
        </is>
      </c>
      <c r="F820" s="299" t="n">
        <v>699</v>
      </c>
      <c r="G820" s="300" t="inlineStr">
        <is>
          <t>Restaurant</t>
        </is>
      </c>
      <c r="H820" s="300" t="inlineStr">
        <is>
          <t>Cash</t>
        </is>
      </c>
      <c r="I820" s="301" t="inlineStr">
        <is>
          <t>✅ Paid</t>
        </is>
      </c>
      <c r="J820" s="423" t="inlineStr">
        <is>
          <t>No receipt; cash</t>
        </is>
      </c>
    </row>
    <row r="821">
      <c r="B821" s="429" t="n">
        <v>46296</v>
      </c>
      <c r="C821" s="297" t="inlineStr">
        <is>
          <t>Pollo</t>
        </is>
      </c>
      <c r="D821" s="298" t="inlineStr">
        <is>
          <t>No bill</t>
        </is>
      </c>
      <c r="E821" s="297" t="inlineStr">
        <is>
          <t>Ingredients - Meat</t>
        </is>
      </c>
      <c r="F821" s="299" t="n">
        <v>174</v>
      </c>
      <c r="G821" s="300" t="inlineStr">
        <is>
          <t>Restaurant</t>
        </is>
      </c>
      <c r="H821" s="300" t="inlineStr">
        <is>
          <t>Cash</t>
        </is>
      </c>
      <c r="I821" s="301" t="inlineStr">
        <is>
          <t>✅ Paid</t>
        </is>
      </c>
      <c r="J821" s="423" t="inlineStr">
        <is>
          <t>No receipt; cash</t>
        </is>
      </c>
    </row>
    <row r="822">
      <c r="B822" s="429" t="n">
        <v>46296</v>
      </c>
      <c r="C822" s="297" t="inlineStr">
        <is>
          <t>Oxxo Arrox</t>
        </is>
      </c>
      <c r="D822" s="298" t="inlineStr">
        <is>
          <t>OXXO</t>
        </is>
      </c>
      <c r="E822" s="297" t="inlineStr">
        <is>
          <t>Ingredients - Pantry</t>
        </is>
      </c>
      <c r="F822" s="299" t="n">
        <v>130</v>
      </c>
      <c r="G822" s="300" t="inlineStr">
        <is>
          <t>Restaurant</t>
        </is>
      </c>
      <c r="H822" s="300" t="inlineStr">
        <is>
          <t>Cash</t>
        </is>
      </c>
      <c r="I822" s="301" t="inlineStr">
        <is>
          <t>✅ Paid</t>
        </is>
      </c>
      <c r="J822" s="423" t="inlineStr">
        <is>
          <t>No receipt; cash</t>
        </is>
      </c>
    </row>
    <row r="823">
      <c r="B823" s="429" t="n">
        <v>46296</v>
      </c>
      <c r="C823" s="297" t="inlineStr">
        <is>
          <t>Chedraui</t>
        </is>
      </c>
      <c r="D823" s="298" t="inlineStr">
        <is>
          <t>Chedraui</t>
        </is>
      </c>
      <c r="E823" s="297" t="inlineStr">
        <is>
          <t>Supermarket/General</t>
        </is>
      </c>
      <c r="F823" s="299" t="n">
        <v>443</v>
      </c>
      <c r="G823" s="300" t="inlineStr">
        <is>
          <t>Restaurant</t>
        </is>
      </c>
      <c r="H823" s="300" t="inlineStr">
        <is>
          <t>Cash</t>
        </is>
      </c>
      <c r="I823" s="301" t="inlineStr">
        <is>
          <t>✅ Paid</t>
        </is>
      </c>
      <c r="J823" s="423" t="inlineStr">
        <is>
          <t>No receipt; cash</t>
        </is>
      </c>
    </row>
    <row r="824">
      <c r="B824" s="429" t="n">
        <v>46297</v>
      </c>
      <c r="C824" s="297" t="inlineStr">
        <is>
          <t>Pescado</t>
        </is>
      </c>
      <c r="D824" s="298" t="inlineStr">
        <is>
          <t>No bill</t>
        </is>
      </c>
      <c r="E824" s="297" t="inlineStr">
        <is>
          <t>Ingredients - Meat &amp; Fish</t>
        </is>
      </c>
      <c r="F824" s="299" t="n">
        <v>297</v>
      </c>
      <c r="G824" s="300" t="inlineStr">
        <is>
          <t>Restaurant</t>
        </is>
      </c>
      <c r="H824" s="300" t="inlineStr">
        <is>
          <t>Cash</t>
        </is>
      </c>
      <c r="I824" s="301" t="inlineStr">
        <is>
          <t>✅ Paid</t>
        </is>
      </c>
      <c r="J824" s="423" t="inlineStr">
        <is>
          <t>No receipt; cash</t>
        </is>
      </c>
    </row>
    <row r="825">
      <c r="B825" s="429" t="n">
        <v>46297</v>
      </c>
      <c r="C825" s="297" t="inlineStr">
        <is>
          <t>Duvi - salary</t>
        </is>
      </c>
      <c r="D825" s="298" t="inlineStr">
        <is>
          <t>Payroll</t>
        </is>
      </c>
      <c r="E825" s="297" t="inlineStr">
        <is>
          <t>Staff - Salary</t>
        </is>
      </c>
      <c r="F825" s="299" t="n">
        <v>875</v>
      </c>
      <c r="G825" s="300" t="inlineStr">
        <is>
          <t>Restaurant</t>
        </is>
      </c>
      <c r="H825" s="300" t="inlineStr">
        <is>
          <t>Cash</t>
        </is>
      </c>
      <c r="I825" s="301" t="inlineStr">
        <is>
          <t>✅ Paid</t>
        </is>
      </c>
      <c r="J825" s="423" t="inlineStr">
        <is>
          <t>Weekly salary</t>
        </is>
      </c>
    </row>
    <row r="826">
      <c r="B826" s="429" t="n">
        <v>46297</v>
      </c>
      <c r="C826" s="297" t="inlineStr">
        <is>
          <t>Josias - salary</t>
        </is>
      </c>
      <c r="D826" s="298" t="inlineStr">
        <is>
          <t>Payroll</t>
        </is>
      </c>
      <c r="E826" s="297" t="inlineStr">
        <is>
          <t>Staff - Salary</t>
        </is>
      </c>
      <c r="F826" s="299" t="n">
        <v>1096</v>
      </c>
      <c r="G826" s="300" t="inlineStr">
        <is>
          <t>Restaurant</t>
        </is>
      </c>
      <c r="H826" s="300" t="inlineStr">
        <is>
          <t>Cash</t>
        </is>
      </c>
      <c r="I826" s="301" t="inlineStr">
        <is>
          <t>✅ Paid</t>
        </is>
      </c>
      <c r="J826" s="423" t="inlineStr">
        <is>
          <t>Weekly salary</t>
        </is>
      </c>
    </row>
    <row r="827">
      <c r="B827" s="429" t="n">
        <v>46297</v>
      </c>
      <c r="C827" s="297" t="inlineStr">
        <is>
          <t>Jhon - salary</t>
        </is>
      </c>
      <c r="D827" s="298" t="inlineStr">
        <is>
          <t>Payroll</t>
        </is>
      </c>
      <c r="E827" s="297" t="inlineStr">
        <is>
          <t>Staff - Salary</t>
        </is>
      </c>
      <c r="F827" s="299" t="n">
        <v>3550</v>
      </c>
      <c r="G827" s="300" t="inlineStr">
        <is>
          <t>Restaurant</t>
        </is>
      </c>
      <c r="H827" s="300" t="inlineStr">
        <is>
          <t>Cash</t>
        </is>
      </c>
      <c r="I827" s="301" t="inlineStr">
        <is>
          <t>✅ Paid</t>
        </is>
      </c>
      <c r="J827" s="423" t="inlineStr">
        <is>
          <t>Weekly salary</t>
        </is>
      </c>
    </row>
    <row r="828">
      <c r="B828" s="429" t="n">
        <v>46300</v>
      </c>
      <c r="C828" s="297" t="inlineStr">
        <is>
          <t>Vegetables</t>
        </is>
      </c>
      <c r="D828" s="298" t="inlineStr">
        <is>
          <t>No bill</t>
        </is>
      </c>
      <c r="E828" s="297" t="inlineStr">
        <is>
          <t>Ingredients - Vegetables</t>
        </is>
      </c>
      <c r="F828" s="299" t="n">
        <v>1228</v>
      </c>
      <c r="G828" s="300" t="inlineStr">
        <is>
          <t>Restaurant</t>
        </is>
      </c>
      <c r="H828" s="300" t="inlineStr">
        <is>
          <t>Cash</t>
        </is>
      </c>
      <c r="I828" s="301" t="inlineStr">
        <is>
          <t>✅ Paid</t>
        </is>
      </c>
      <c r="J828" s="423" t="inlineStr">
        <is>
          <t>No receipt; cash</t>
        </is>
      </c>
    </row>
    <row r="829">
      <c r="B829" s="429" t="n">
        <v>46300</v>
      </c>
      <c r="C829" s="297" t="inlineStr">
        <is>
          <t>Chedraui</t>
        </is>
      </c>
      <c r="D829" s="298" t="inlineStr">
        <is>
          <t>Chedraui</t>
        </is>
      </c>
      <c r="E829" s="297" t="inlineStr">
        <is>
          <t>Supermarket/General</t>
        </is>
      </c>
      <c r="F829" s="299" t="n">
        <v>89</v>
      </c>
      <c r="G829" s="300" t="inlineStr">
        <is>
          <t>Restaurant</t>
        </is>
      </c>
      <c r="H829" s="300" t="inlineStr">
        <is>
          <t>Cash</t>
        </is>
      </c>
      <c r="I829" s="301" t="inlineStr">
        <is>
          <t>✅ Paid</t>
        </is>
      </c>
      <c r="J829" s="423" t="inlineStr">
        <is>
          <t>No receipt; cash</t>
        </is>
      </c>
    </row>
    <row r="830">
      <c r="B830" s="429" t="n">
        <v>46300</v>
      </c>
      <c r="C830" s="297" t="inlineStr">
        <is>
          <t>Electricity Bill</t>
        </is>
      </c>
      <c r="D830" s="298" t="inlineStr">
        <is>
          <t>No bill</t>
        </is>
      </c>
      <c r="E830" s="297" t="inlineStr">
        <is>
          <t>Utilities/Electricity</t>
        </is>
      </c>
      <c r="F830" s="299" t="n">
        <v>7710</v>
      </c>
      <c r="G830" s="300" t="inlineStr">
        <is>
          <t>Restaurant</t>
        </is>
      </c>
      <c r="H830" s="300" t="inlineStr">
        <is>
          <t>Cash</t>
        </is>
      </c>
      <c r="I830" s="301" t="inlineStr">
        <is>
          <t>✅ Paid</t>
        </is>
      </c>
      <c r="J830" s="423" t="inlineStr">
        <is>
          <t>No receipt; cash</t>
        </is>
      </c>
    </row>
    <row r="831">
      <c r="B831" s="429" t="n">
        <v>46300</v>
      </c>
      <c r="C831" s="297" t="inlineStr">
        <is>
          <t>Rent</t>
        </is>
      </c>
      <c r="D831" s="298" t="inlineStr">
        <is>
          <t>No bill</t>
        </is>
      </c>
      <c r="E831" s="297" t="inlineStr">
        <is>
          <t>Rent</t>
        </is>
      </c>
      <c r="F831" s="299" t="n">
        <v>19066.68</v>
      </c>
      <c r="G831" s="300" t="inlineStr">
        <is>
          <t>Restaurant</t>
        </is>
      </c>
      <c r="H831" s="300" t="inlineStr">
        <is>
          <t>Cash</t>
        </is>
      </c>
      <c r="I831" s="301" t="inlineStr">
        <is>
          <t>✅ Paid</t>
        </is>
      </c>
      <c r="J831" s="423" t="inlineStr">
        <is>
          <t>No receipt; cash</t>
        </is>
      </c>
    </row>
    <row r="832">
      <c r="B832" s="429" t="n">
        <v>46300</v>
      </c>
      <c r="C832" s="297" t="inlineStr">
        <is>
          <t>Pollo</t>
        </is>
      </c>
      <c r="D832" s="298" t="inlineStr">
        <is>
          <t>No bill</t>
        </is>
      </c>
      <c r="E832" s="297" t="inlineStr">
        <is>
          <t>Ingredients - Meat</t>
        </is>
      </c>
      <c r="F832" s="299" t="n">
        <v>912</v>
      </c>
      <c r="G832" s="300" t="inlineStr">
        <is>
          <t>Lohith</t>
        </is>
      </c>
      <c r="H832" s="300" t="inlineStr">
        <is>
          <t>Cash</t>
        </is>
      </c>
      <c r="I832" s="301" t="inlineStr">
        <is>
          <t>✅ Paid</t>
        </is>
      </c>
      <c r="J832" s="423" t="inlineStr">
        <is>
          <t>Pagado por Lohith (bolsillo); reembolsable via Owner Ledger</t>
        </is>
      </c>
    </row>
    <row r="833">
      <c r="B833" s="429" t="n">
        <v>46301</v>
      </c>
      <c r="C833" s="297" t="inlineStr">
        <is>
          <t>Chedraui</t>
        </is>
      </c>
      <c r="D833" s="298" t="inlineStr">
        <is>
          <t>Chedraui</t>
        </is>
      </c>
      <c r="E833" s="297" t="inlineStr">
        <is>
          <t>Supermarket/General</t>
        </is>
      </c>
      <c r="F833" s="299" t="n">
        <v>49</v>
      </c>
      <c r="G833" s="300" t="inlineStr">
        <is>
          <t>Restaurant</t>
        </is>
      </c>
      <c r="H833" s="300" t="inlineStr">
        <is>
          <t>Cash</t>
        </is>
      </c>
      <c r="I833" s="301" t="inlineStr">
        <is>
          <t>✅ Paid</t>
        </is>
      </c>
      <c r="J833" s="423" t="inlineStr">
        <is>
          <t>No receipt; cash</t>
        </is>
      </c>
    </row>
    <row r="834">
      <c r="B834" s="429" t="n">
        <v>46301</v>
      </c>
      <c r="C834" s="297" t="inlineStr">
        <is>
          <t>Oxxo panela</t>
        </is>
      </c>
      <c r="D834" s="298" t="inlineStr">
        <is>
          <t>OXXO</t>
        </is>
      </c>
      <c r="E834" s="297" t="inlineStr">
        <is>
          <t>Ingredients - Dairy</t>
        </is>
      </c>
      <c r="F834" s="299" t="n">
        <v>45</v>
      </c>
      <c r="G834" s="300" t="inlineStr">
        <is>
          <t>Restaurant</t>
        </is>
      </c>
      <c r="H834" s="300" t="inlineStr">
        <is>
          <t>Cash</t>
        </is>
      </c>
      <c r="I834" s="301" t="inlineStr">
        <is>
          <t>✅ Paid</t>
        </is>
      </c>
      <c r="J834" s="423" t="inlineStr">
        <is>
          <t>No receipt; cash</t>
        </is>
      </c>
    </row>
    <row r="835">
      <c r="B835" s="429" t="n">
        <v>46301</v>
      </c>
      <c r="C835" s="297" t="inlineStr">
        <is>
          <t>Pan</t>
        </is>
      </c>
      <c r="D835" s="298" t="inlineStr">
        <is>
          <t>No bill</t>
        </is>
      </c>
      <c r="E835" s="297" t="inlineStr">
        <is>
          <t>Ingredients - Bread</t>
        </is>
      </c>
      <c r="F835" s="299" t="n">
        <v>25</v>
      </c>
      <c r="G835" s="300" t="inlineStr">
        <is>
          <t>Restaurant</t>
        </is>
      </c>
      <c r="H835" s="300" t="inlineStr">
        <is>
          <t>Cash</t>
        </is>
      </c>
      <c r="I835" s="301" t="inlineStr">
        <is>
          <t>✅ Paid</t>
        </is>
      </c>
      <c r="J835" s="423" t="inlineStr">
        <is>
          <t>No receipt; cash</t>
        </is>
      </c>
    </row>
    <row r="836">
      <c r="B836" s="429" t="n">
        <v>46301</v>
      </c>
      <c r="C836" s="297" t="inlineStr">
        <is>
          <t>Carne</t>
        </is>
      </c>
      <c r="D836" s="298" t="inlineStr">
        <is>
          <t>No bill</t>
        </is>
      </c>
      <c r="E836" s="297" t="inlineStr">
        <is>
          <t>Ingredients - Meat</t>
        </is>
      </c>
      <c r="F836" s="299" t="n">
        <v>1056</v>
      </c>
      <c r="G836" s="300" t="inlineStr">
        <is>
          <t>Restaurant</t>
        </is>
      </c>
      <c r="H836" s="300" t="inlineStr">
        <is>
          <t>Cash</t>
        </is>
      </c>
      <c r="I836" s="301" t="inlineStr">
        <is>
          <t>✅ Paid</t>
        </is>
      </c>
      <c r="J836" s="423" t="inlineStr">
        <is>
          <t>No receipt; cash</t>
        </is>
      </c>
    </row>
    <row r="837">
      <c r="B837" s="429" t="n">
        <v>46301</v>
      </c>
      <c r="C837" s="297" t="inlineStr">
        <is>
          <t>Sams club</t>
        </is>
      </c>
      <c r="D837" s="298" t="inlineStr">
        <is>
          <t>Sam's Club</t>
        </is>
      </c>
      <c r="E837" s="297" t="inlineStr">
        <is>
          <t>Supermarket/General</t>
        </is>
      </c>
      <c r="F837" s="299" t="n">
        <v>1909</v>
      </c>
      <c r="G837" s="300" t="inlineStr">
        <is>
          <t>Restaurant</t>
        </is>
      </c>
      <c r="H837" s="300" t="inlineStr">
        <is>
          <t>Cash</t>
        </is>
      </c>
      <c r="I837" s="301" t="inlineStr">
        <is>
          <t>✅ Paid</t>
        </is>
      </c>
      <c r="J837" s="423" t="inlineStr">
        <is>
          <t>No receipt; cash</t>
        </is>
      </c>
    </row>
    <row r="838">
      <c r="B838" s="429" t="n">
        <v>46301</v>
      </c>
      <c r="C838" s="297" t="inlineStr">
        <is>
          <t>guimar</t>
        </is>
      </c>
      <c r="D838" s="298" t="inlineStr">
        <is>
          <t>Guimar Polietilenos</t>
        </is>
      </c>
      <c r="E838" s="297" t="inlineStr">
        <is>
          <t>Packaging/Disposables</t>
        </is>
      </c>
      <c r="F838" s="299" t="n">
        <v>604</v>
      </c>
      <c r="G838" s="300" t="inlineStr">
        <is>
          <t>Restaurant</t>
        </is>
      </c>
      <c r="H838" s="300" t="inlineStr">
        <is>
          <t>Cash</t>
        </is>
      </c>
      <c r="I838" s="301" t="inlineStr">
        <is>
          <t>✅ Paid</t>
        </is>
      </c>
      <c r="J838" s="423" t="inlineStr">
        <is>
          <t>No receipt; cash</t>
        </is>
      </c>
    </row>
    <row r="839">
      <c r="B839" s="429" t="n">
        <v>46301</v>
      </c>
      <c r="C839" s="297" t="inlineStr">
        <is>
          <t>Carne</t>
        </is>
      </c>
      <c r="D839" s="298" t="inlineStr">
        <is>
          <t>No bill</t>
        </is>
      </c>
      <c r="E839" s="297" t="inlineStr">
        <is>
          <t>Ingredients - Meat</t>
        </is>
      </c>
      <c r="F839" s="299" t="n">
        <v>583</v>
      </c>
      <c r="G839" s="300" t="inlineStr">
        <is>
          <t>Restaurant</t>
        </is>
      </c>
      <c r="H839" s="300" t="inlineStr">
        <is>
          <t>Cash</t>
        </is>
      </c>
      <c r="I839" s="301" t="inlineStr">
        <is>
          <t>✅ Paid</t>
        </is>
      </c>
      <c r="J839" s="423" t="inlineStr">
        <is>
          <t>No receipt; cash</t>
        </is>
      </c>
    </row>
    <row r="840">
      <c r="B840" s="429" t="n">
        <v>46301</v>
      </c>
      <c r="C840" s="297" t="inlineStr">
        <is>
          <t>soft app</t>
        </is>
      </c>
      <c r="D840" s="298" t="inlineStr">
        <is>
          <t>No bill</t>
        </is>
      </c>
      <c r="E840" s="297" t="inlineStr">
        <is>
          <t>Software/Subscription</t>
        </is>
      </c>
      <c r="F840" s="299" t="n">
        <v>810</v>
      </c>
      <c r="G840" s="300" t="inlineStr">
        <is>
          <t>Restaurant</t>
        </is>
      </c>
      <c r="H840" s="300" t="inlineStr">
        <is>
          <t>Cash</t>
        </is>
      </c>
      <c r="I840" s="301" t="inlineStr">
        <is>
          <t>✅ Paid</t>
        </is>
      </c>
      <c r="J840" s="423" t="inlineStr">
        <is>
          <t>No receipt; cash</t>
        </is>
      </c>
    </row>
    <row r="841">
      <c r="B841" s="429" t="n">
        <v>46302</v>
      </c>
      <c r="C841" s="297" t="inlineStr">
        <is>
          <t>Carne</t>
        </is>
      </c>
      <c r="D841" s="298" t="inlineStr">
        <is>
          <t>No bill</t>
        </is>
      </c>
      <c r="E841" s="297" t="inlineStr">
        <is>
          <t>Ingredients - Meat</t>
        </is>
      </c>
      <c r="F841" s="299" t="n">
        <v>189</v>
      </c>
      <c r="G841" s="300" t="inlineStr">
        <is>
          <t>Restaurant</t>
        </is>
      </c>
      <c r="H841" s="300" t="inlineStr">
        <is>
          <t>Cash</t>
        </is>
      </c>
      <c r="I841" s="301" t="inlineStr">
        <is>
          <t>✅ Paid</t>
        </is>
      </c>
      <c r="J841" s="423" t="inlineStr">
        <is>
          <t>No receipt; cash</t>
        </is>
      </c>
    </row>
    <row r="842">
      <c r="B842" s="429" t="n">
        <v>46302</v>
      </c>
      <c r="C842" s="297" t="inlineStr">
        <is>
          <t>Guimar</t>
        </is>
      </c>
      <c r="D842" s="298" t="inlineStr">
        <is>
          <t>Guimar Polietilenos</t>
        </is>
      </c>
      <c r="E842" s="297" t="inlineStr">
        <is>
          <t>Packaging/Disposables</t>
        </is>
      </c>
      <c r="F842" s="299" t="n">
        <v>146</v>
      </c>
      <c r="G842" s="300" t="inlineStr">
        <is>
          <t>Restaurant</t>
        </is>
      </c>
      <c r="H842" s="300" t="inlineStr">
        <is>
          <t>Cash</t>
        </is>
      </c>
      <c r="I842" s="301" t="inlineStr">
        <is>
          <t>✅ Paid</t>
        </is>
      </c>
      <c r="J842" s="423" t="inlineStr">
        <is>
          <t>No receipt; cash</t>
        </is>
      </c>
    </row>
    <row r="843">
      <c r="B843" s="429" t="n">
        <v>46302</v>
      </c>
      <c r="C843" s="297" t="inlineStr">
        <is>
          <t>Avia Reca</t>
        </is>
      </c>
      <c r="D843" s="298" t="inlineStr">
        <is>
          <t>Reca</t>
        </is>
      </c>
      <c r="E843" s="297" t="inlineStr">
        <is>
          <t>Ingredients - Beverages</t>
        </is>
      </c>
      <c r="F843" s="299" t="n">
        <v>750</v>
      </c>
      <c r="G843" s="300" t="inlineStr">
        <is>
          <t>Restaurant</t>
        </is>
      </c>
      <c r="H843" s="300" t="inlineStr">
        <is>
          <t>Cash</t>
        </is>
      </c>
      <c r="I843" s="301" t="inlineStr">
        <is>
          <t>✅ Paid</t>
        </is>
      </c>
      <c r="J843" s="423" t="inlineStr">
        <is>
          <t>No receipt; cash</t>
        </is>
      </c>
    </row>
    <row r="844">
      <c r="B844" s="429" t="n">
        <v>46303</v>
      </c>
      <c r="C844" s="297" t="inlineStr">
        <is>
          <t>Oxxo Arroz</t>
        </is>
      </c>
      <c r="D844" s="298" t="inlineStr">
        <is>
          <t>OXXO</t>
        </is>
      </c>
      <c r="E844" s="297" t="inlineStr">
        <is>
          <t>Ingredients - Pantry</t>
        </is>
      </c>
      <c r="F844" s="299" t="n">
        <v>130</v>
      </c>
      <c r="G844" s="300" t="inlineStr">
        <is>
          <t>Restaurant</t>
        </is>
      </c>
      <c r="H844" s="300" t="inlineStr">
        <is>
          <t>Cash</t>
        </is>
      </c>
      <c r="I844" s="301" t="inlineStr">
        <is>
          <t>✅ Paid</t>
        </is>
      </c>
      <c r="J844" s="423" t="inlineStr">
        <is>
          <t>No receipt; cash</t>
        </is>
      </c>
    </row>
    <row r="845">
      <c r="B845" s="429" t="n">
        <v>46303</v>
      </c>
      <c r="C845" s="297" t="inlineStr">
        <is>
          <t>Agua</t>
        </is>
      </c>
      <c r="D845" s="298" t="inlineStr">
        <is>
          <t>No bill</t>
        </is>
      </c>
      <c r="E845" s="297" t="inlineStr">
        <is>
          <t>Ingredients - Beverages</t>
        </is>
      </c>
      <c r="F845" s="299" t="n">
        <v>45</v>
      </c>
      <c r="G845" s="300" t="inlineStr">
        <is>
          <t>Restaurant</t>
        </is>
      </c>
      <c r="H845" s="300" t="inlineStr">
        <is>
          <t>Cash</t>
        </is>
      </c>
      <c r="I845" s="301" t="inlineStr">
        <is>
          <t>✅ Paid</t>
        </is>
      </c>
      <c r="J845" s="423" t="inlineStr">
        <is>
          <t>No receipt; cash</t>
        </is>
      </c>
    </row>
    <row r="846">
      <c r="B846" s="429" t="n">
        <v>46303</v>
      </c>
      <c r="C846" s="297" t="inlineStr">
        <is>
          <t>Chedraui</t>
        </is>
      </c>
      <c r="D846" s="298" t="inlineStr">
        <is>
          <t>Chedraui</t>
        </is>
      </c>
      <c r="E846" s="297" t="inlineStr">
        <is>
          <t>Supermarket/General</t>
        </is>
      </c>
      <c r="F846" s="299" t="n">
        <v>121</v>
      </c>
      <c r="G846" s="300" t="inlineStr">
        <is>
          <t>Restaurant</t>
        </is>
      </c>
      <c r="H846" s="300" t="inlineStr">
        <is>
          <t>Cash</t>
        </is>
      </c>
      <c r="I846" s="301" t="inlineStr">
        <is>
          <t>✅ Paid</t>
        </is>
      </c>
      <c r="J846" s="423" t="inlineStr">
        <is>
          <t>No receipt; cash</t>
        </is>
      </c>
    </row>
    <row r="847">
      <c r="B847" s="429" t="n">
        <v>46304</v>
      </c>
      <c r="C847" s="297" t="inlineStr">
        <is>
          <t>Duvi - salary</t>
        </is>
      </c>
      <c r="D847" s="298" t="inlineStr">
        <is>
          <t>Payroll</t>
        </is>
      </c>
      <c r="E847" s="297" t="inlineStr">
        <is>
          <t>Staff - Salary</t>
        </is>
      </c>
      <c r="F847" s="299" t="n">
        <v>1460</v>
      </c>
      <c r="G847" s="300" t="inlineStr">
        <is>
          <t>Restaurant</t>
        </is>
      </c>
      <c r="H847" s="300" t="inlineStr">
        <is>
          <t>Cash</t>
        </is>
      </c>
      <c r="I847" s="301" t="inlineStr">
        <is>
          <t>✅ Paid</t>
        </is>
      </c>
      <c r="J847" s="423" t="inlineStr">
        <is>
          <t>Weekly salary</t>
        </is>
      </c>
    </row>
    <row r="848">
      <c r="B848" s="429" t="n">
        <v>46305</v>
      </c>
      <c r="C848" s="297" t="inlineStr">
        <is>
          <t>Vegetables</t>
        </is>
      </c>
      <c r="D848" s="298" t="inlineStr">
        <is>
          <t>No bill</t>
        </is>
      </c>
      <c r="E848" s="297" t="inlineStr">
        <is>
          <t>Ingredients - Vegetables</t>
        </is>
      </c>
      <c r="F848" s="299" t="n">
        <v>2000</v>
      </c>
      <c r="G848" s="300" t="inlineStr">
        <is>
          <t>Restaurant</t>
        </is>
      </c>
      <c r="H848" s="300" t="inlineStr">
        <is>
          <t>Cash</t>
        </is>
      </c>
      <c r="I848" s="301" t="inlineStr">
        <is>
          <t>✅ Paid</t>
        </is>
      </c>
      <c r="J848" s="423" t="inlineStr">
        <is>
          <t>No receipt; cash</t>
        </is>
      </c>
    </row>
    <row r="849">
      <c r="B849" s="429" t="n">
        <v>46305</v>
      </c>
      <c r="C849" s="297" t="inlineStr">
        <is>
          <t>Molino</t>
        </is>
      </c>
      <c r="D849" s="298" t="inlineStr">
        <is>
          <t>No bill</t>
        </is>
      </c>
      <c r="E849" s="297" t="inlineStr">
        <is>
          <t>Supermarket/General</t>
        </is>
      </c>
      <c r="F849" s="299" t="n">
        <v>72</v>
      </c>
      <c r="G849" s="300" t="inlineStr">
        <is>
          <t>Restaurant</t>
        </is>
      </c>
      <c r="H849" s="300" t="inlineStr">
        <is>
          <t>Cash</t>
        </is>
      </c>
      <c r="I849" s="301" t="inlineStr">
        <is>
          <t>✅ Paid</t>
        </is>
      </c>
      <c r="J849" s="423" t="inlineStr">
        <is>
          <t>No receipt; cash</t>
        </is>
      </c>
    </row>
    <row r="850">
      <c r="B850" s="429" t="n">
        <v>46305</v>
      </c>
      <c r="C850" s="297" t="inlineStr">
        <is>
          <t>Carne</t>
        </is>
      </c>
      <c r="D850" s="298" t="inlineStr">
        <is>
          <t>No bill</t>
        </is>
      </c>
      <c r="E850" s="297" t="inlineStr">
        <is>
          <t>Ingredients - Meat</t>
        </is>
      </c>
      <c r="F850" s="299" t="n">
        <v>297</v>
      </c>
      <c r="G850" s="300" t="inlineStr">
        <is>
          <t>Restaurant</t>
        </is>
      </c>
      <c r="H850" s="300" t="inlineStr">
        <is>
          <t>Cash</t>
        </is>
      </c>
      <c r="I850" s="301" t="inlineStr">
        <is>
          <t>✅ Paid</t>
        </is>
      </c>
      <c r="J850" s="423" t="inlineStr">
        <is>
          <t>No receipt; cash</t>
        </is>
      </c>
    </row>
    <row r="851">
      <c r="B851" s="429" t="n">
        <v>46305</v>
      </c>
      <c r="C851" s="297" t="inlineStr">
        <is>
          <t>3B</t>
        </is>
      </c>
      <c r="D851" s="298" t="inlineStr">
        <is>
          <t>Tres B</t>
        </is>
      </c>
      <c r="E851" s="297" t="inlineStr">
        <is>
          <t>Supermarket/General</t>
        </is>
      </c>
      <c r="F851" s="299" t="n">
        <v>938</v>
      </c>
      <c r="G851" s="300" t="inlineStr">
        <is>
          <t>Restaurant</t>
        </is>
      </c>
      <c r="H851" s="300" t="inlineStr">
        <is>
          <t>Cash</t>
        </is>
      </c>
      <c r="I851" s="301" t="inlineStr">
        <is>
          <t>✅ Paid</t>
        </is>
      </c>
      <c r="J851" s="423" t="inlineStr">
        <is>
          <t>No receipt; cash</t>
        </is>
      </c>
    </row>
    <row r="852">
      <c r="B852" s="429" t="n">
        <v>46305</v>
      </c>
      <c r="C852" s="297" t="inlineStr">
        <is>
          <t>Gas</t>
        </is>
      </c>
      <c r="D852" s="298" t="inlineStr">
        <is>
          <t>No bill</t>
        </is>
      </c>
      <c r="E852" s="297" t="inlineStr">
        <is>
          <t>Utilities/Gas</t>
        </is>
      </c>
      <c r="F852" s="299" t="n">
        <v>1500</v>
      </c>
      <c r="G852" s="300" t="inlineStr">
        <is>
          <t>Restaurant</t>
        </is>
      </c>
      <c r="H852" s="300" t="inlineStr">
        <is>
          <t>Cash</t>
        </is>
      </c>
      <c r="I852" s="301" t="inlineStr">
        <is>
          <t>✅ Paid</t>
        </is>
      </c>
      <c r="J852" s="423" t="inlineStr">
        <is>
          <t>No receipt; cash</t>
        </is>
      </c>
    </row>
    <row r="853">
      <c r="B853" s="429" t="n">
        <v>46305</v>
      </c>
      <c r="C853" s="297" t="inlineStr">
        <is>
          <t>Queso Bodega</t>
        </is>
      </c>
      <c r="D853" s="298" t="inlineStr">
        <is>
          <t>No bill</t>
        </is>
      </c>
      <c r="E853" s="297" t="inlineStr">
        <is>
          <t>Supermarket/General</t>
        </is>
      </c>
      <c r="F853" s="299" t="n">
        <v>570</v>
      </c>
      <c r="G853" s="300" t="inlineStr">
        <is>
          <t>Restaurant</t>
        </is>
      </c>
      <c r="H853" s="300" t="inlineStr">
        <is>
          <t>Cash</t>
        </is>
      </c>
      <c r="I853" s="301" t="inlineStr">
        <is>
          <t>✅ Paid</t>
        </is>
      </c>
      <c r="J853" s="423" t="inlineStr">
        <is>
          <t>No receipt; cash</t>
        </is>
      </c>
    </row>
    <row r="854">
      <c r="B854" s="429" t="n">
        <v>46305</v>
      </c>
      <c r="C854" s="297" t="inlineStr">
        <is>
          <t>Queso Panela</t>
        </is>
      </c>
      <c r="D854" s="298" t="inlineStr">
        <is>
          <t>No bill</t>
        </is>
      </c>
      <c r="E854" s="297" t="inlineStr">
        <is>
          <t>Ingredients - Dairy</t>
        </is>
      </c>
      <c r="F854" s="299" t="n">
        <v>687</v>
      </c>
      <c r="G854" s="300" t="inlineStr">
        <is>
          <t>Restaurant</t>
        </is>
      </c>
      <c r="H854" s="300" t="inlineStr">
        <is>
          <t>Cash</t>
        </is>
      </c>
      <c r="I854" s="301" t="inlineStr">
        <is>
          <t>✅ Paid</t>
        </is>
      </c>
      <c r="J854" s="423" t="inlineStr">
        <is>
          <t>No receipt; cash</t>
        </is>
      </c>
    </row>
    <row r="855">
      <c r="B855" s="429" t="n">
        <v>46305</v>
      </c>
      <c r="C855" s="297" t="inlineStr">
        <is>
          <t>Pollo</t>
        </is>
      </c>
      <c r="D855" s="298" t="inlineStr">
        <is>
          <t>No bill</t>
        </is>
      </c>
      <c r="E855" s="297" t="inlineStr">
        <is>
          <t>Ingredients - Meat</t>
        </is>
      </c>
      <c r="F855" s="299" t="n">
        <v>1055</v>
      </c>
      <c r="G855" s="300" t="inlineStr">
        <is>
          <t>Lohith</t>
        </is>
      </c>
      <c r="H855" s="300" t="inlineStr">
        <is>
          <t>Cash</t>
        </is>
      </c>
      <c r="I855" s="301" t="inlineStr">
        <is>
          <t>✅ Paid</t>
        </is>
      </c>
      <c r="J855" s="423" t="inlineStr">
        <is>
          <t>Pagado por Lohith (bolsillo); reembolsable via Owner Ledger</t>
        </is>
      </c>
    </row>
    <row r="856">
      <c r="B856" s="429" t="n">
        <v>46305</v>
      </c>
      <c r="C856" s="297" t="inlineStr">
        <is>
          <t>Josias - salary</t>
        </is>
      </c>
      <c r="D856" s="298" t="inlineStr">
        <is>
          <t>Payroll</t>
        </is>
      </c>
      <c r="E856" s="297" t="inlineStr">
        <is>
          <t>Staff - Salary</t>
        </is>
      </c>
      <c r="F856" s="299" t="n">
        <v>2200</v>
      </c>
      <c r="G856" s="300" t="inlineStr">
        <is>
          <t>Restaurant</t>
        </is>
      </c>
      <c r="H856" s="300" t="inlineStr">
        <is>
          <t>Cash</t>
        </is>
      </c>
      <c r="I856" s="301" t="inlineStr">
        <is>
          <t>✅ Paid</t>
        </is>
      </c>
      <c r="J856" s="423" t="inlineStr">
        <is>
          <t>Weekly salary</t>
        </is>
      </c>
    </row>
    <row r="857">
      <c r="B857" s="429" t="n">
        <v>46305</v>
      </c>
      <c r="C857" s="297" t="inlineStr">
        <is>
          <t>Jhon - salary</t>
        </is>
      </c>
      <c r="D857" s="298" t="inlineStr">
        <is>
          <t>Payroll</t>
        </is>
      </c>
      <c r="E857" s="297" t="inlineStr">
        <is>
          <t>Staff - Salary</t>
        </is>
      </c>
      <c r="F857" s="299" t="n">
        <v>3750</v>
      </c>
      <c r="G857" s="300" t="inlineStr">
        <is>
          <t>Restaurant</t>
        </is>
      </c>
      <c r="H857" s="300" t="inlineStr">
        <is>
          <t>Cash</t>
        </is>
      </c>
      <c r="I857" s="301" t="inlineStr">
        <is>
          <t>✅ Paid</t>
        </is>
      </c>
      <c r="J857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15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41" t="inlineStr">
        <is>
          <t>LOKA — MONTHLY P&amp;L   (live formulas — auto-updates from Daily Log &amp; Expenses)</t>
        </is>
      </c>
      <c r="B1" s="423" t="n"/>
      <c r="C1" s="423" t="n"/>
      <c r="D1" s="423" t="n"/>
      <c r="E1" s="423" t="n"/>
      <c r="F1" s="423" t="n"/>
      <c r="G1" s="42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5" t="inlineStr">
        <is>
          <t>Oct 2026</t>
        </is>
      </c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7">
        <f>SUMIFS('📅 Daily Log'!$F$8:$F$5000,'📅 Daily Log'!$B$8:$B$5000,"&gt;="&amp;DATE(2026,10,1),'📅 Daily Log'!$B$8:$B$5000,"&lt;"&amp;DATE(2026,11,1))</f>
        <v/>
      </c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7">
        <f>SUMIFS('💸 Expenses'!$F$8:$F$5000,'💸 Expenses'!$B$8:$B$5000,"&gt;="&amp;DATE(2026,10,1),'💸 Expenses'!$B$8:$B$5000,"&lt;"&amp;DATE(2026,11,1))</f>
        <v/>
      </c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8">
        <f>G4-G5</f>
        <v/>
      </c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40">
        <f>COUNTIFS('📅 Daily Log'!$F$8:$F$5000,"&gt;0",'📅 Daily Log'!$B$8:$B$5000,"&gt;="&amp;DATE(2026,10,1),'📅 Daily Log'!$B$8:$B$5000,"&lt;"&amp;DATE(2026,11,1))</f>
        <v/>
      </c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7">
        <f>IFERROR(G4/G7,0)</f>
        <v/>
      </c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5" t="inlineStr">
        <is>
          <t>Oct 2026</t>
        </is>
      </c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7">
        <f>SUMIFS('📅 Daily Log'!$D$8:$D$5000,'📅 Daily Log'!$B$8:$B$5000,"&gt;="&amp;DATE(2026,10,1),'📅 Daily Log'!$B$8:$B$5000,"&lt;"&amp;DATE(2026,11,1))+SUMIFS('📅 Daily Log'!$U$8:$U$5000,'📅 Daily Log'!$B$8:$B$5000,"&gt;="&amp;DATE(2026,10,1),'📅 Daily Log'!$B$8:$B$5000,"&lt;"&amp;DATE(2026,11,1))+SUMIFS('📅 Daily Log'!$Y$8:$Y$5000,'📅 Daily Log'!$B$8:$B$5000,"&gt;="&amp;DATE(2026,10,1),'📅 Daily Log'!$B$8:$B$5000,"&lt;"&amp;DATE(2026,11,1))</f>
        <v/>
      </c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7">
        <f>SUMIFS('📅 Daily Log'!$E$8:$E$5000,'📅 Daily Log'!$B$8:$B$5000,"&gt;="&amp;DATE(2026,10,1),'📅 Daily Log'!$B$8:$B$5000,"&lt;"&amp;DATE(2026,11,1))</f>
        <v/>
      </c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7">
        <f>SUMIFS('📅 Daily Log'!$G$8:$G$5000,'📅 Daily Log'!$B$8:$B$5000,"&gt;="&amp;DATE(2026,10,1),'📅 Daily Log'!$B$8:$B$5000,"&lt;"&amp;DATE(2026,11,1))</f>
        <v/>
      </c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8">
        <f>G11+G12+G13</f>
        <v/>
      </c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5" t="inlineStr">
        <is>
          <t>Oct 2026</t>
        </is>
      </c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7">
        <f>SUMIFS('💸 Expenses'!$F$8:$F$5000,'💸 Expenses'!$E$8:$E$5000,$A17,'💸 Expenses'!$B$8:$B$5000,"&gt;="&amp;DATE(2026,10,1),'💸 Expenses'!$B$8:$B$5000,"&lt;"&amp;DATE(2026,11,1))</f>
        <v/>
      </c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7">
        <f>SUMIFS('💸 Expenses'!$F$8:$F$5000,'💸 Expenses'!$E$8:$E$5000,$A18,'💸 Expenses'!$B$8:$B$5000,"&gt;="&amp;DATE(2026,10,1),'💸 Expenses'!$B$8:$B$5000,"&lt;"&amp;DATE(2026,11,1))</f>
        <v/>
      </c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7">
        <f>SUMIFS('💸 Expenses'!$F$8:$F$5000,'💸 Expenses'!$E$8:$E$5000,$A19,'💸 Expenses'!$B$8:$B$5000,"&gt;="&amp;DATE(2026,10,1),'💸 Expenses'!$B$8:$B$5000,"&lt;"&amp;DATE(2026,11,1))</f>
        <v/>
      </c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7">
        <f>SUMIFS('💸 Expenses'!$F$8:$F$5000,'💸 Expenses'!$E$8:$E$5000,$A20,'💸 Expenses'!$B$8:$B$5000,"&gt;="&amp;DATE(2026,10,1),'💸 Expenses'!$B$8:$B$5000,"&lt;"&amp;DATE(2026,11,1))</f>
        <v/>
      </c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7">
        <f>SUMIFS('💸 Expenses'!$F$8:$F$5000,'💸 Expenses'!$E$8:$E$5000,$A21,'💸 Expenses'!$B$8:$B$5000,"&gt;="&amp;DATE(2026,10,1),'💸 Expenses'!$B$8:$B$5000,"&lt;"&amp;DATE(2026,11,1))</f>
        <v/>
      </c>
      <c r="H21" s="433" t="n"/>
      <c r="I21" s="433" t="n"/>
      <c r="J21" s="433" t="n"/>
      <c r="K21" s="433" t="n"/>
      <c r="L21" s="433" t="n"/>
    </row>
    <row r="22">
      <c r="A22" s="439" t="inlineStr">
        <is>
          <t>Utilities/Electricity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7">
        <f>SUMIFS('💸 Expenses'!$F$8:$F$5000,'💸 Expenses'!$E$8:$E$5000,$A22,'💸 Expenses'!$B$8:$B$5000,"&gt;="&amp;DATE(2026,10,1),'💸 Expenses'!$B$8:$B$5000,"&lt;"&amp;DATE(2026,11,1))</f>
        <v/>
      </c>
      <c r="H22" s="433" t="n"/>
      <c r="I22" s="433" t="n"/>
      <c r="J22" s="433" t="n"/>
      <c r="K22" s="433" t="n"/>
      <c r="L22" s="433" t="n"/>
    </row>
    <row r="23">
      <c r="A23" s="439" t="inlineStr">
        <is>
          <t>Taxes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7">
        <f>SUMIFS('💸 Expenses'!$F$8:$F$5000,'💸 Expenses'!$E$8:$E$5000,$A23,'💸 Expenses'!$B$8:$B$5000,"&gt;="&amp;DATE(2026,10,1),'💸 Expenses'!$B$8:$B$5000,"&lt;"&amp;DATE(2026,11,1))</f>
        <v/>
      </c>
      <c r="H23" s="433" t="n"/>
      <c r="I23" s="433" t="n"/>
      <c r="J23" s="433" t="n"/>
      <c r="K23" s="433" t="n"/>
      <c r="L23" s="433" t="n"/>
    </row>
    <row r="24">
      <c r="A24" s="439" t="inlineStr">
        <is>
          <t>Ingredients - Pantry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7">
        <f>SUMIFS('💸 Expenses'!$F$8:$F$5000,'💸 Expenses'!$E$8:$E$5000,$A24,'💸 Expenses'!$B$8:$B$5000,"&gt;="&amp;DATE(2026,10,1),'💸 Expenses'!$B$8:$B$5000,"&lt;"&amp;DATE(2026,11,1))</f>
        <v/>
      </c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7">
        <f>SUMIFS('💸 Expenses'!$F$8:$F$5000,'💸 Expenses'!$E$8:$E$5000,$A25,'💸 Expenses'!$B$8:$B$5000,"&gt;="&amp;DATE(2026,10,1),'💸 Expenses'!$B$8:$B$5000,"&lt;"&amp;DATE(2026,11,1))</f>
        <v/>
      </c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7">
        <f>SUMIFS('💸 Expenses'!$F$8:$F$5000,'💸 Expenses'!$E$8:$E$5000,$A26,'💸 Expenses'!$B$8:$B$5000,"&gt;="&amp;DATE(2026,10,1),'💸 Expenses'!$B$8:$B$5000,"&lt;"&amp;DATE(2026,11,1))</f>
        <v/>
      </c>
      <c r="H26" s="433" t="n"/>
      <c r="I26" s="433" t="n"/>
      <c r="J26" s="433" t="n"/>
      <c r="K26" s="433" t="n"/>
      <c r="L26" s="433" t="n"/>
    </row>
    <row r="27">
      <c r="A27" s="439" t="inlineStr">
        <is>
          <t>Ingredients - Bread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7">
        <f>SUMIFS('💸 Expenses'!$F$8:$F$5000,'💸 Expenses'!$E$8:$E$5000,$A27,'💸 Expenses'!$B$8:$B$5000,"&gt;="&amp;DATE(2026,10,1),'💸 Expenses'!$B$8:$B$5000,"&lt;"&amp;DATE(2026,11,1))</f>
        <v/>
      </c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7">
        <f>SUMIFS('💸 Expenses'!$F$8:$F$5000,'💸 Expenses'!$E$8:$E$5000,$A28,'💸 Expenses'!$B$8:$B$5000,"&gt;="&amp;DATE(2026,10,1),'💸 Expenses'!$B$8:$B$5000,"&lt;"&amp;DATE(2026,11,1))</f>
        <v/>
      </c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7">
        <f>SUMIFS('💸 Expenses'!$F$8:$F$5000,'💸 Expenses'!$E$8:$E$5000,$A29,'💸 Expenses'!$B$8:$B$5000,"&gt;="&amp;DATE(2026,10,1),'💸 Expenses'!$B$8:$B$5000,"&lt;"&amp;DATE(2026,11,1))</f>
        <v/>
      </c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7">
        <f>SUMIFS('💸 Expenses'!$F$8:$F$5000,'💸 Expenses'!$E$8:$E$5000,$A30,'💸 Expenses'!$B$8:$B$5000,"&gt;="&amp;DATE(2026,10,1),'💸 Expenses'!$B$8:$B$5000,"&lt;"&amp;DATE(2026,11,1))</f>
        <v/>
      </c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7">
        <f>SUMIFS('💸 Expenses'!$F$8:$F$5000,'💸 Expenses'!$E$8:$E$5000,$A31,'💸 Expenses'!$B$8:$B$5000,"&gt;="&amp;DATE(2026,10,1),'💸 Expenses'!$B$8:$B$5000,"&lt;"&amp;DATE(2026,11,1))</f>
        <v/>
      </c>
      <c r="H31" s="433" t="n"/>
      <c r="I31" s="433" t="n"/>
      <c r="J31" s="433" t="n"/>
      <c r="K31" s="433" t="n"/>
      <c r="L31" s="433" t="n"/>
    </row>
    <row r="32">
      <c r="A32" s="439" t="inlineStr">
        <is>
          <t>Packaging/Disposables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7">
        <f>SUMIFS('💸 Expenses'!$F$8:$F$5000,'💸 Expenses'!$E$8:$E$5000,$A32,'💸 Expenses'!$B$8:$B$5000,"&gt;="&amp;DATE(2026,10,1),'💸 Expenses'!$B$8:$B$5000,"&lt;"&amp;DATE(2026,11,1))</f>
        <v/>
      </c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7">
        <f>SUMIFS('💸 Expenses'!$F$8:$F$5000,'💸 Expenses'!$E$8:$E$5000,$A33,'💸 Expenses'!$B$8:$B$5000,"&gt;="&amp;DATE(2026,10,1),'💸 Expenses'!$B$8:$B$5000,"&lt;"&amp;DATE(2026,11,1))</f>
        <v/>
      </c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7">
        <f>SUMIFS('💸 Expenses'!$F$8:$F$5000,'💸 Expenses'!$E$8:$E$5000,$A34,'💸 Expenses'!$B$8:$B$5000,"&gt;="&amp;DATE(2026,10,1),'💸 Expenses'!$B$8:$B$5000,"&lt;"&amp;DATE(2026,11,1))</f>
        <v/>
      </c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7">
        <f>SUMIFS('💸 Expenses'!$F$8:$F$5000,'💸 Expenses'!$E$8:$E$5000,$A35,'💸 Expenses'!$B$8:$B$5000,"&gt;="&amp;DATE(2026,10,1),'💸 Expenses'!$B$8:$B$5000,"&lt;"&amp;DATE(2026,11,1))</f>
        <v/>
      </c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7">
        <f>SUMIFS('💸 Expenses'!$F$8:$F$5000,'💸 Expenses'!$E$8:$E$5000,$A36,'💸 Expenses'!$B$8:$B$5000,"&gt;="&amp;DATE(2026,10,1),'💸 Expenses'!$B$8:$B$5000,"&lt;"&amp;DATE(2026,11,1))</f>
        <v/>
      </c>
      <c r="H36" s="433" t="n"/>
      <c r="I36" s="433" t="n"/>
      <c r="J36" s="433" t="n"/>
      <c r="K36" s="433" t="n"/>
      <c r="L36" s="433" t="n"/>
    </row>
    <row r="37">
      <c r="A37" s="439" t="inlineStr">
        <is>
          <t>Utilities/Internet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7">
        <f>SUMIFS('💸 Expenses'!$F$8:$F$5000,'💸 Expenses'!$E$8:$E$5000,$A37,'💸 Expenses'!$B$8:$B$5000,"&gt;="&amp;DATE(2026,10,1),'💸 Expenses'!$B$8:$B$5000,"&lt;"&amp;DATE(2026,11,1))</f>
        <v/>
      </c>
      <c r="H37" s="433" t="n"/>
      <c r="I37" s="433" t="n"/>
      <c r="J37" s="433" t="n"/>
      <c r="K37" s="433" t="n"/>
      <c r="L37" s="433" t="n"/>
    </row>
    <row r="38">
      <c r="A38" s="439" t="inlineStr">
        <is>
          <t>Office Supplies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7">
        <f>SUMIFS('💸 Expenses'!$F$8:$F$5000,'💸 Expenses'!$E$8:$E$5000,$A38,'💸 Expenses'!$B$8:$B$5000,"&gt;="&amp;DATE(2026,10,1),'💸 Expenses'!$B$8:$B$5000,"&lt;"&amp;DATE(2026,11,1))</f>
        <v/>
      </c>
      <c r="H38" s="433" t="n"/>
      <c r="I38" s="433" t="n"/>
      <c r="J38" s="433" t="n"/>
      <c r="K38" s="433" t="n"/>
      <c r="L38" s="433" t="n"/>
    </row>
    <row r="39">
      <c r="A39" s="439" t="inlineStr">
        <is>
          <t>Ingredients - Other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7">
        <f>SUMIFS('💸 Expenses'!$F$8:$F$5000,'💸 Expenses'!$E$8:$E$5000,$A39,'💸 Expenses'!$B$8:$B$5000,"&gt;="&amp;DATE(2026,10,1),'💸 Expenses'!$B$8:$B$5000,"&lt;"&amp;DATE(2026,11,1))</f>
        <v/>
      </c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7">
        <f>SUMIFS('💸 Expenses'!$F$8:$F$5000,'💸 Expenses'!$E$8:$E$5000,$A40,'💸 Expenses'!$B$8:$B$5000,"&gt;="&amp;DATE(2026,10,1),'💸 Expenses'!$B$8:$B$5000,"&lt;"&amp;DATE(2026,11,1))</f>
        <v/>
      </c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7">
        <f>SUMIFS('💸 Expenses'!$F$8:$F$5000,'💸 Expenses'!$E$8:$E$5000,$A41,'💸 Expenses'!$B$8:$B$5000,"&gt;="&amp;DATE(2026,10,1),'💸 Expenses'!$B$8:$B$5000,"&lt;"&amp;DATE(2026,11,1))</f>
        <v/>
      </c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7">
        <f>SUMIFS('💸 Expenses'!$F$8:$F$5000,'💸 Expenses'!$E$8:$E$5000,$A42,'💸 Expenses'!$B$8:$B$5000,"&gt;="&amp;DATE(2026,10,1),'💸 Expenses'!$B$8:$B$5000,"&lt;"&amp;DATE(2026,11,1))</f>
        <v/>
      </c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7">
        <f>SUMIFS('💸 Expenses'!$F$8:$F$5000,'💸 Expenses'!$E$8:$E$5000,$A43,'💸 Expenses'!$B$8:$B$5000,"&gt;="&amp;DATE(2026,10,1),'💸 Expenses'!$B$8:$B$5000,"&lt;"&amp;DATE(2026,11,1))</f>
        <v/>
      </c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8">
        <f>SUMIFS('💸 Expenses'!$F$8:$F$5000,'💸 Expenses'!$B$8:$B$5000,"&gt;="&amp;DATE(2026,10,1),'💸 Expenses'!$B$8:$B$5000,"&lt;"&amp;DATE(2026,11,1))</f>
        <v/>
      </c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8">
        <f>G4-G44</f>
        <v/>
      </c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G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9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n">
        <v>46295</v>
      </c>
      <c r="B99" s="232" t="inlineStr">
        <is>
          <t>Transfer-to-me (customer payment 30-Sep)</t>
        </is>
      </c>
      <c r="C99" s="232" t="inlineStr">
        <is>
          <t>Transfer Received</t>
        </is>
      </c>
      <c r="D99" s="232" t="n"/>
      <c r="E99" s="233" t="n">
        <v>530</v>
      </c>
      <c r="F99" s="233">
        <f>IFERROR(F98+D99-E99,0)</f>
        <v/>
      </c>
      <c r="G99" s="232" t="inlineStr">
        <is>
          <t>✅ Received</t>
        </is>
      </c>
      <c r="H99" s="232" t="inlineStr">
        <is>
          <t>Customer paid Lohith personal acct</t>
        </is>
      </c>
    </row>
    <row r="100">
      <c r="A100" s="430" t="n">
        <v>46296</v>
      </c>
      <c r="B100" s="232" t="inlineStr">
        <is>
          <t>Transfer-to-me (customer payment 01-Oct)</t>
        </is>
      </c>
      <c r="C100" s="232" t="inlineStr">
        <is>
          <t>Transfer Received</t>
        </is>
      </c>
      <c r="D100" s="232" t="n"/>
      <c r="E100" s="233" t="n">
        <v>130</v>
      </c>
      <c r="F100" s="233">
        <f>IFERROR(F99+D100-E100,0)</f>
        <v/>
      </c>
      <c r="G100" s="232" t="inlineStr">
        <is>
          <t>✅ Received</t>
        </is>
      </c>
      <c r="H100" s="232" t="inlineStr">
        <is>
          <t>Customer paid Lohith personal acct</t>
        </is>
      </c>
    </row>
    <row r="101">
      <c r="A101" s="430" t="n">
        <v>46297</v>
      </c>
      <c r="B101" s="232" t="inlineStr">
        <is>
          <t>Settlement - Lohith returned restaurant money</t>
        </is>
      </c>
      <c r="C101" s="232" t="inlineStr">
        <is>
          <t>Settlement</t>
        </is>
      </c>
      <c r="D101" s="232" t="n">
        <v>1599.47</v>
      </c>
      <c r="E101" s="233" t="n"/>
      <c r="F101" s="233">
        <f>IFERROR(F100+D101-E101,0)</f>
        <v/>
      </c>
      <c r="G101" s="232" t="inlineStr">
        <is>
          <t>✅ Settled</t>
        </is>
      </c>
      <c r="H101" s="232" t="inlineStr">
        <is>
          <t>Lohith handed back cash he was holding</t>
        </is>
      </c>
    </row>
    <row r="102">
      <c r="A102" s="430" t="n">
        <v>46300</v>
      </c>
      <c r="B102" s="232" t="inlineStr">
        <is>
          <t>Transfer-to-me (customer payment 05-Oct)</t>
        </is>
      </c>
      <c r="C102" s="232" t="inlineStr">
        <is>
          <t>Transfer Received</t>
        </is>
      </c>
      <c r="D102" s="232" t="n"/>
      <c r="E102" s="233" t="n">
        <v>965</v>
      </c>
      <c r="F102" s="233">
        <f>IFERROR(F101+D102-E102,0)</f>
        <v/>
      </c>
      <c r="G102" s="232" t="inlineStr">
        <is>
          <t>✅ Received</t>
        </is>
      </c>
      <c r="H102" s="232" t="inlineStr">
        <is>
          <t>Customer paid Lohith personal acct</t>
        </is>
      </c>
    </row>
    <row r="103">
      <c r="A103" s="430" t="n">
        <v>46300</v>
      </c>
      <c r="B103" s="232" t="inlineStr">
        <is>
          <t>Pollo $912 (paid by Lohith)</t>
        </is>
      </c>
      <c r="C103" s="232" t="inlineStr">
        <is>
          <t>Expense - Personal</t>
        </is>
      </c>
      <c r="D103" s="232" t="n">
        <v>912</v>
      </c>
      <c r="E103" s="233" t="n"/>
      <c r="F103" s="233">
        <f>IFERROR(F102+D103-E103,0)</f>
        <v/>
      </c>
      <c r="G103" s="232" t="inlineStr">
        <is>
          <t>⏳ Reimburse</t>
        </is>
      </c>
      <c r="H103" s="232" t="inlineStr">
        <is>
          <t>Fronted from own pocket; excluded from till via cash_adjust</t>
        </is>
      </c>
    </row>
    <row r="104">
      <c r="A104" s="430" t="n">
        <v>46301</v>
      </c>
      <c r="B104" s="232" t="inlineStr">
        <is>
          <t>Transfer-to-me (customer payment 06-Oct)</t>
        </is>
      </c>
      <c r="C104" s="232" t="inlineStr">
        <is>
          <t>Transfer Received</t>
        </is>
      </c>
      <c r="D104" s="232" t="n"/>
      <c r="E104" s="233" t="n">
        <v>840</v>
      </c>
      <c r="F104" s="233">
        <f>IFERROR(F103+D104-E104,0)</f>
        <v/>
      </c>
      <c r="G104" s="232" t="inlineStr">
        <is>
          <t>✅ Received</t>
        </is>
      </c>
      <c r="H104" s="232" t="inlineStr">
        <is>
          <t>Customer paid Lohith personal acct</t>
        </is>
      </c>
    </row>
    <row r="105">
      <c r="A105" s="430" t="n">
        <v>46303</v>
      </c>
      <c r="B105" s="232" t="inlineStr">
        <is>
          <t>Transfer-to-me (customer payment 08-Oct)</t>
        </is>
      </c>
      <c r="C105" s="232" t="inlineStr">
        <is>
          <t>Transfer Received</t>
        </is>
      </c>
      <c r="D105" s="232" t="n"/>
      <c r="E105" s="233" t="n">
        <v>85</v>
      </c>
      <c r="F105" s="233">
        <f>IFERROR(F104+D105-E105,0)</f>
        <v/>
      </c>
      <c r="G105" s="232" t="inlineStr">
        <is>
          <t>✅ Received</t>
        </is>
      </c>
      <c r="H105" s="232" t="inlineStr">
        <is>
          <t>Customer paid Lohith personal acct</t>
        </is>
      </c>
    </row>
    <row r="106">
      <c r="A106" s="430" t="n">
        <v>46304</v>
      </c>
      <c r="B106" s="232" t="inlineStr">
        <is>
          <t>Transfer-to-me (customer payment 09-Oct)</t>
        </is>
      </c>
      <c r="C106" s="232" t="inlineStr">
        <is>
          <t>Transfer Received</t>
        </is>
      </c>
      <c r="D106" s="232" t="n"/>
      <c r="E106" s="233" t="n">
        <v>130</v>
      </c>
      <c r="F106" s="233">
        <f>IFERROR(F105+D106-E106,0)</f>
        <v/>
      </c>
      <c r="G106" s="232" t="inlineStr">
        <is>
          <t>✅ Received</t>
        </is>
      </c>
      <c r="H106" s="232" t="inlineStr">
        <is>
          <t>Customer paid Lohith personal acct</t>
        </is>
      </c>
    </row>
    <row r="107">
      <c r="A107" s="430" t="n">
        <v>46305</v>
      </c>
      <c r="B107" s="232" t="inlineStr">
        <is>
          <t>Transfer-to-me (customer payment 10-Oct)</t>
        </is>
      </c>
      <c r="C107" s="232" t="inlineStr">
        <is>
          <t>Transfer Received</t>
        </is>
      </c>
      <c r="D107" s="232" t="n"/>
      <c r="E107" s="233" t="n">
        <v>220</v>
      </c>
      <c r="F107" s="233">
        <f>IFERROR(F106+D107-E107,0)</f>
        <v/>
      </c>
      <c r="G107" s="232" t="inlineStr">
        <is>
          <t>✅ Received</t>
        </is>
      </c>
      <c r="H107" s="232" t="inlineStr">
        <is>
          <t>Customer paid Lohith personal acct</t>
        </is>
      </c>
    </row>
    <row r="108">
      <c r="A108" s="430" t="n">
        <v>46305</v>
      </c>
      <c r="B108" s="232" t="inlineStr">
        <is>
          <t>Pollo $1,055 (paid by Lohith)</t>
        </is>
      </c>
      <c r="C108" s="232" t="inlineStr">
        <is>
          <t>Expense - Personal</t>
        </is>
      </c>
      <c r="D108" s="232" t="n">
        <v>1055</v>
      </c>
      <c r="E108" s="233" t="n"/>
      <c r="F108" s="233">
        <f>IFERROR(F107+D108-E108,0)</f>
        <v/>
      </c>
      <c r="G108" s="232" t="inlineStr">
        <is>
          <t>⏳ Reimburse</t>
        </is>
      </c>
      <c r="H108" s="232" t="inlineStr">
        <is>
          <t>Fronted from own pocket; excluded from till via cash_adjust</t>
        </is>
      </c>
    </row>
    <row r="109">
      <c r="A109" s="430" t="inlineStr">
        <is>
          <t>TOTALS &amp; CURRENT BALANCE</t>
        </is>
      </c>
      <c r="B109" s="232" t="n"/>
      <c r="C109" s="232" t="n"/>
      <c r="D109" s="232">
        <f>SUM(D4:D108)</f>
        <v/>
      </c>
      <c r="E109" s="233">
        <f>SUM(E4:E108)</f>
        <v/>
      </c>
      <c r="F109" s="233">
        <f>F108</f>
        <v/>
      </c>
      <c r="G109" s="232">
        <f>IF(F108&gt;0,"Restaurant owes Lohith $"&amp;TEXT(F108,"#,##0"),IF(F108&lt;0,"Lohith holds $"&amp;TEXT(ABS(F108),"#,##0"),"Zero balance"))</f>
        <v/>
      </c>
      <c r="H10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2026-10-12T23:41:31Z</dcterms:modified>
  <cp:lastModifiedBy>LOHITH REDDY</cp:lastModifiedBy>
</cp:coreProperties>
</file>