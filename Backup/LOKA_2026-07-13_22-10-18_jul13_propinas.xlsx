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22"/>
  </cellStyleXfs>
  <cellXfs count="41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repartidas: John $100 + Duvi $80 + Samu $80 = $260 (pass-through, no P&amp;L)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</row>
    <row r="64" ht="16.5" customHeight="1" s="313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</row>
    <row r="65" ht="16.5" customHeight="1" s="313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/>
      <c r="B75" s="262" t="n"/>
      <c r="C75" s="262" t="n"/>
      <c r="D75" s="264" t="n"/>
    </row>
    <row r="76">
      <c r="A76" s="263" t="n"/>
      <c r="B76" s="262" t="n"/>
      <c r="C76" s="262" t="n"/>
      <c r="D76" s="264" t="n"/>
    </row>
    <row r="77">
      <c r="A77" s="263" t="n"/>
      <c r="B77" s="262" t="n"/>
      <c r="C77" s="262" t="n"/>
      <c r="D77" s="264" t="n"/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Supplies / Other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Supermarket/General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Packaging / Disposables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Desserts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Eggs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Staff - Propinas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Ingredients - Produce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2" t="inlineStr">
        <is>
          <t>TOTAL EXPENSES</t>
        </is>
      </c>
      <c r="B44" s="414">
        <f>SUMIFS('💸 Expenses'!$F$8:$F$500,'💸 Expenses'!$B$8:$B$500,"&gt;="&amp;DATE(2026,5,1),'💸 Expenses'!$B$8:$B$500,"&lt;"&amp;DATE(2026,6,1))</f>
        <v/>
      </c>
      <c r="C44" s="414">
        <f>SUMIFS('💸 Expenses'!$F$8:$F$500,'💸 Expenses'!$B$8:$B$500,"&gt;="&amp;DATE(2026,6,1),'💸 Expenses'!$B$8:$B$500,"&lt;"&amp;DATE(2026,7,1))</f>
        <v/>
      </c>
      <c r="D44" s="414">
        <f>SUMIFS('💸 Expenses'!$F$8:$F$500,'💸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NET PROFIT / LOSS</t>
        </is>
      </c>
      <c r="B45" s="414">
        <f>B4-B44</f>
        <v/>
      </c>
      <c r="C45" s="414">
        <f>C4-C44</f>
        <v/>
      </c>
      <c r="D45" s="414">
        <f>D4-D44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inlineStr">
        <is>
          <t>TOTALS &amp; CURRENT BALANCE</t>
        </is>
      </c>
      <c r="B39" s="232" t="n"/>
      <c r="C39" s="232" t="n"/>
      <c r="D39" s="232">
        <f>SUM(D4:D38)</f>
        <v/>
      </c>
      <c r="E39" s="233">
        <f>SUM(E4:E38)</f>
        <v/>
      </c>
      <c r="F39" s="233">
        <f>F38</f>
        <v/>
      </c>
      <c r="G39" s="232">
        <f>IF(F38&gt;0,"Restaurant owes Lohith $"&amp;TEXT(F38,"#,##0"),IF(F38&lt;0,"Lohith holds $"&amp;TEXT(ABS(F38),"#,##0"),"Zero balance"))</f>
        <v/>
      </c>
      <c r="H3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2026-07-14T04:04:23Z</dcterms:modified>
  <cp:lastModifiedBy>LOHITH REDDY</cp:lastModifiedBy>
</cp:coreProperties>
</file>