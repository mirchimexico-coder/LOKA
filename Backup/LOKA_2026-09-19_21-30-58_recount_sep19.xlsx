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name="Capital &amp; Ownership" sheetId="1" state="visible" r:id="rId1"/>
    <sheet name="📊 Dashboard" sheetId="2" state="hidden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calcMode="auto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dd-mmm-yyyy"/>
    <numFmt numFmtId="176" formatCode="$#,##0.00"/>
  </numFmts>
  <fonts count="103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sz val="11"/>
    </font>
    <font>
      <name val="Calibri"/>
      <b val="1"/>
      <color rgb="FFFFFFFF"/>
      <sz val="12"/>
    </font>
    <font>
      <name val="Calibri"/>
      <i val="1"/>
      <color rgb="FF808080"/>
      <sz val="9"/>
    </font>
    <font>
      <name val="Calibri"/>
      <b val="1"/>
      <sz val="11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60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33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25"/>
  </cellStyleXfs>
  <cellXfs count="450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1" fillId="0" borderId="21" applyAlignment="1" pivotButton="0" quotePrefix="0" xfId="0">
      <alignment horizontal="left"/>
    </xf>
    <xf numFmtId="174" fontId="91" fillId="0" borderId="21" applyAlignment="1" pivotButton="0" quotePrefix="0" xfId="0">
      <alignment horizontal="right"/>
    </xf>
    <xf numFmtId="0" fontId="0" fillId="0" borderId="19" pivotButton="0" quotePrefix="0" xfId="0"/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0" fontId="92" fillId="55" borderId="19" applyAlignment="1" pivotButton="0" quotePrefix="0" xfId="0">
      <alignment horizontal="left"/>
    </xf>
    <xf numFmtId="0" fontId="90" fillId="0" borderId="21" pivotButton="0" quotePrefix="0" xfId="0"/>
    <xf numFmtId="174" fontId="72" fillId="0" borderId="21" applyAlignment="1" pivotButton="0" quotePrefix="0" xfId="0">
      <alignment horizontal="right"/>
    </xf>
    <xf numFmtId="0" fontId="91" fillId="0" borderId="21" pivotButton="0" quotePrefix="0" xfId="0"/>
    <xf numFmtId="0" fontId="93" fillId="0" borderId="0" applyAlignment="1" pivotButton="0" quotePrefix="0" xfId="0">
      <alignment horizontal="left"/>
    </xf>
    <xf numFmtId="0" fontId="93" fillId="0" borderId="0" pivotButton="0" quotePrefix="0" xfId="0"/>
    <xf numFmtId="171" fontId="72" fillId="0" borderId="19" applyAlignment="1" pivotButton="0" quotePrefix="0" xfId="0">
      <alignment horizontal="left" vertical="center"/>
    </xf>
    <xf numFmtId="164" fontId="73" fillId="0" borderId="19" applyAlignment="1" pivotButton="0" quotePrefix="0" xfId="0">
      <alignment horizontal="left" vertical="center"/>
    </xf>
    <xf numFmtId="0" fontId="72" fillId="0" borderId="19" applyAlignment="1" pivotButton="0" quotePrefix="0" xfId="0">
      <alignment horizontal="left" vertical="center"/>
    </xf>
    <xf numFmtId="0" fontId="72" fillId="0" borderId="19" pivotButton="0" quotePrefix="0" xfId="0"/>
    <xf numFmtId="166" fontId="22" fillId="20" borderId="15" applyAlignment="1" pivotButton="0" quotePrefix="0" xfId="0">
      <alignment horizontal="center" vertical="center"/>
    </xf>
    <xf numFmtId="166" fontId="46" fillId="20" borderId="15" applyAlignment="1" pivotButton="0" quotePrefix="0" xfId="0">
      <alignment horizontal="center" vertical="center"/>
    </xf>
    <xf numFmtId="166" fontId="19" fillId="31" borderId="15" applyAlignment="1" pivotButton="0" quotePrefix="0" xfId="0">
      <alignment horizontal="center" vertical="center"/>
    </xf>
    <xf numFmtId="166" fontId="22" fillId="32" borderId="15" applyAlignment="1" pivotButton="0" quotePrefix="0" xfId="0">
      <alignment horizontal="center" vertical="center"/>
    </xf>
    <xf numFmtId="0" fontId="0" fillId="0" borderId="20" pivotButton="0" quotePrefix="0" xfId="0"/>
    <xf numFmtId="171" fontId="51" fillId="0" borderId="13" applyAlignment="1" pivotButton="0" quotePrefix="0" xfId="0">
      <alignment horizontal="center" vertical="center"/>
    </xf>
    <xf numFmtId="0" fontId="37" fillId="0" borderId="15" applyAlignment="1" pivotButton="0" quotePrefix="0" xfId="0">
      <alignment horizontal="center" vertical="center"/>
    </xf>
    <xf numFmtId="0" fontId="37" fillId="0" borderId="15" applyAlignment="1" pivotButton="0" quotePrefix="0" xfId="0">
      <alignment horizontal="left" vertical="center"/>
    </xf>
    <xf numFmtId="166" fontId="40" fillId="0" borderId="13" applyAlignment="1" pivotButton="0" quotePrefix="0" xfId="0">
      <alignment horizontal="center" vertical="center"/>
    </xf>
    <xf numFmtId="0" fontId="24" fillId="0" borderId="15" applyAlignment="1" pivotButton="0" quotePrefix="0" xfId="0">
      <alignment horizontal="center" vertical="center"/>
    </xf>
    <xf numFmtId="0" fontId="45" fillId="0" borderId="15" applyAlignment="1" pivotButton="0" quotePrefix="0" xfId="0">
      <alignment horizontal="left" vertical="center"/>
    </xf>
    <xf numFmtId="0" fontId="95" fillId="0" borderId="23" pivotButton="0" quotePrefix="0" xfId="0"/>
    <xf numFmtId="0" fontId="97" fillId="57" borderId="24" applyAlignment="1" pivotButton="0" quotePrefix="0" xfId="0">
      <alignment horizontal="left"/>
    </xf>
    <xf numFmtId="0" fontId="97" fillId="57" borderId="24" applyAlignment="1" pivotButton="0" quotePrefix="0" xfId="0">
      <alignment horizontal="right"/>
    </xf>
    <xf numFmtId="0" fontId="98" fillId="0" borderId="24" applyAlignment="1" pivotButton="0" quotePrefix="0" xfId="0">
      <alignment horizontal="left"/>
    </xf>
    <xf numFmtId="174" fontId="95" fillId="0" borderId="24" applyAlignment="1" pivotButton="0" quotePrefix="0" xfId="0">
      <alignment horizontal="right"/>
    </xf>
    <xf numFmtId="174" fontId="98" fillId="0" borderId="24" applyAlignment="1" pivotButton="0" quotePrefix="0" xfId="0">
      <alignment horizontal="right"/>
    </xf>
    <xf numFmtId="0" fontId="95" fillId="0" borderId="24" applyAlignment="1" pivotButton="0" quotePrefix="0" xfId="0">
      <alignment horizontal="left"/>
    </xf>
    <xf numFmtId="3" fontId="95" fillId="0" borderId="24" applyAlignment="1" pivotButton="0" quotePrefix="0" xfId="0">
      <alignment horizontal="right"/>
    </xf>
    <xf numFmtId="0" fontId="0" fillId="0" borderId="22" pivotButton="0" quotePrefix="0" xfId="0"/>
    <xf numFmtId="174" fontId="46" fillId="20" borderId="15" applyAlignment="1" pivotButton="0" quotePrefix="0" xfId="0">
      <alignment horizontal="center" vertical="center"/>
    </xf>
    <xf numFmtId="171" fontId="72" fillId="0" borderId="22" applyAlignment="1" pivotButton="0" quotePrefix="0" xfId="0">
      <alignment horizontal="left" vertical="center"/>
    </xf>
    <xf numFmtId="164" fontId="73" fillId="0" borderId="22" applyAlignment="1" pivotButton="0" quotePrefix="0" xfId="0">
      <alignment horizontal="left" vertical="center"/>
    </xf>
    <xf numFmtId="0" fontId="72" fillId="0" borderId="22" applyAlignment="1" pivotButton="0" quotePrefix="0" xfId="0">
      <alignment horizontal="left" vertical="center"/>
    </xf>
    <xf numFmtId="0" fontId="72" fillId="0" borderId="22" pivotButton="0" quotePrefix="0" xfId="0"/>
    <xf numFmtId="0" fontId="92" fillId="44" borderId="0" pivotButton="0" quotePrefix="0" xfId="0"/>
    <xf numFmtId="0" fontId="98" fillId="0" borderId="0" pivotButton="0" quotePrefix="0" xfId="0"/>
    <xf numFmtId="174" fontId="98" fillId="0" borderId="0" pivotButton="0" quotePrefix="0" xfId="0"/>
    <xf numFmtId="0" fontId="95" fillId="0" borderId="0" pivotButton="0" quotePrefix="0" xfId="0"/>
    <xf numFmtId="174" fontId="95" fillId="0" borderId="0" pivotButton="0" quotePrefix="0" xfId="0"/>
    <xf numFmtId="0" fontId="94" fillId="0" borderId="0" pivotButton="0" quotePrefix="0" xfId="0"/>
    <xf numFmtId="174" fontId="94" fillId="0" borderId="0" pivotButton="0" quotePrefix="0" xfId="0"/>
    <xf numFmtId="166" fontId="22" fillId="19" borderId="15" applyAlignment="1" pivotButton="0" quotePrefix="0" xfId="0">
      <alignment horizontal="center" vertical="center"/>
    </xf>
    <xf numFmtId="166" fontId="46" fillId="19" borderId="15" applyAlignment="1" pivotButton="0" quotePrefix="0" xfId="0">
      <alignment horizontal="center" vertical="center"/>
    </xf>
    <xf numFmtId="166" fontId="19" fillId="14" borderId="15" applyAlignment="1" pivotButton="0" quotePrefix="0" xfId="0">
      <alignment horizontal="center" vertical="center"/>
    </xf>
    <xf numFmtId="166" fontId="22" fillId="17" borderId="15" applyAlignment="1" pivotButton="0" quotePrefix="0" xfId="0">
      <alignment horizontal="center" vertical="center"/>
    </xf>
    <xf numFmtId="174" fontId="46" fillId="19" borderId="15" applyAlignment="1" pivotButton="0" quotePrefix="0" xfId="0">
      <alignment horizontal="center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6" fillId="10" borderId="22" applyAlignment="1" pivotButton="0" quotePrefix="0" xfId="0">
      <alignment horizontal="left" vertical="center"/>
    </xf>
    <xf numFmtId="0" fontId="0" fillId="0" borderId="0" pivotButton="0" quotePrefix="0" xfId="0"/>
    <xf numFmtId="0" fontId="7" fillId="10" borderId="22" applyAlignment="1" pivotButton="0" quotePrefix="0" xfId="0">
      <alignment horizontal="right" vertical="center"/>
    </xf>
    <xf numFmtId="0" fontId="5" fillId="11" borderId="22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93" fillId="0" borderId="22" pivotButton="0" quotePrefix="0" xfId="0"/>
    <xf numFmtId="0" fontId="75" fillId="44" borderId="22" applyAlignment="1" pivotButton="0" quotePrefix="0" xfId="0">
      <alignment horizontal="left" vertical="center"/>
    </xf>
    <xf numFmtId="0" fontId="2" fillId="3" borderId="22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22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22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22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22" applyAlignment="1" pivotButton="0" quotePrefix="0" xfId="0">
      <alignment horizontal="center" vertical="center"/>
    </xf>
    <xf numFmtId="0" fontId="96" fillId="56" borderId="25" applyAlignment="1" pivotButton="0" quotePrefix="0" xfId="0">
      <alignment horizontal="center"/>
    </xf>
    <xf numFmtId="0" fontId="0" fillId="0" borderId="22" pivotButton="0" quotePrefix="0" xfId="0"/>
    <xf numFmtId="0" fontId="85" fillId="51" borderId="22" applyAlignment="1" pivotButton="0" quotePrefix="0" xfId="0">
      <alignment horizontal="center" vertical="center"/>
    </xf>
    <xf numFmtId="0" fontId="1" fillId="2" borderId="25" applyAlignment="1" pivotButton="0" quotePrefix="0" xfId="0">
      <alignment horizontal="center" vertical="center"/>
    </xf>
    <xf numFmtId="0" fontId="2" fillId="3" borderId="25" applyAlignment="1" pivotButton="0" quotePrefix="0" xfId="0">
      <alignment horizontal="center" vertical="center" wrapText="1"/>
    </xf>
    <xf numFmtId="0" fontId="75" fillId="44" borderId="25" applyAlignment="1" pivotButton="0" quotePrefix="0" xfId="0">
      <alignment horizontal="left" vertical="center"/>
    </xf>
    <xf numFmtId="0" fontId="93" fillId="0" borderId="25" pivotButton="0" quotePrefix="0" xfId="0"/>
    <xf numFmtId="0" fontId="6" fillId="10" borderId="25" applyAlignment="1" pivotButton="0" quotePrefix="0" xfId="0">
      <alignment horizontal="left" vertical="center"/>
    </xf>
    <xf numFmtId="0" fontId="7" fillId="10" borderId="25" applyAlignment="1" pivotButton="0" quotePrefix="0" xfId="0">
      <alignment horizontal="right" vertical="center"/>
    </xf>
    <xf numFmtId="0" fontId="5" fillId="11" borderId="25" applyAlignment="1" pivotButton="0" quotePrefix="0" xfId="0">
      <alignment horizontal="center" vertical="center"/>
    </xf>
    <xf numFmtId="0" fontId="26" fillId="2" borderId="25" applyAlignment="1" pivotButton="0" quotePrefix="0" xfId="0">
      <alignment horizontal="left" vertical="center"/>
    </xf>
    <xf numFmtId="0" fontId="30" fillId="4" borderId="25" applyAlignment="1" pivotButton="0" quotePrefix="0" xfId="0">
      <alignment horizontal="left" vertical="center"/>
    </xf>
    <xf numFmtId="175" fontId="51" fillId="0" borderId="13" applyAlignment="1" pivotButton="0" quotePrefix="0" xfId="0">
      <alignment horizontal="center" vertical="center"/>
    </xf>
    <xf numFmtId="0" fontId="0" fillId="0" borderId="25" pivotButton="0" quotePrefix="0" xfId="0"/>
    <xf numFmtId="0" fontId="6" fillId="10" borderId="25" applyAlignment="1" pivotButton="0" quotePrefix="0" xfId="0">
      <alignment horizontal="center" vertical="center"/>
    </xf>
    <xf numFmtId="0" fontId="7" fillId="10" borderId="25" applyAlignment="1" pivotButton="0" quotePrefix="0" xfId="0">
      <alignment horizontal="center" vertical="center"/>
    </xf>
    <xf numFmtId="0" fontId="85" fillId="51" borderId="25" applyAlignment="1" pivotButton="0" quotePrefix="0" xfId="0">
      <alignment horizontal="center" vertical="center"/>
    </xf>
    <xf numFmtId="175" fontId="37" fillId="19" borderId="13" applyAlignment="1" pivotButton="0" quotePrefix="0" xfId="0">
      <alignment horizontal="center" vertical="center"/>
    </xf>
    <xf numFmtId="176" fontId="46" fillId="19" borderId="15" applyAlignment="1" pivotButton="0" quotePrefix="0" xfId="0">
      <alignment horizontal="center" vertical="center"/>
    </xf>
    <xf numFmtId="175" fontId="51" fillId="0" borderId="13" applyAlignment="1" pivotButton="0" quotePrefix="0" xfId="0">
      <alignment horizontal="center" vertical="center"/>
    </xf>
    <xf numFmtId="175" fontId="0" fillId="0" borderId="16" pivotButton="0" quotePrefix="0" xfId="0"/>
    <xf numFmtId="0" fontId="100" fillId="58" borderId="30" applyAlignment="1" pivotButton="0" quotePrefix="0" xfId="0">
      <alignment horizontal="center"/>
    </xf>
    <xf numFmtId="0" fontId="0" fillId="58" borderId="25" pivotButton="0" quotePrefix="0" xfId="0"/>
    <xf numFmtId="0" fontId="99" fillId="0" borderId="30" pivotButton="0" quotePrefix="0" xfId="0"/>
    <xf numFmtId="0" fontId="101" fillId="59" borderId="31" applyAlignment="1" pivotButton="0" quotePrefix="0" xfId="0">
      <alignment horizontal="left"/>
    </xf>
    <xf numFmtId="0" fontId="101" fillId="59" borderId="31" applyAlignment="1" pivotButton="0" quotePrefix="0" xfId="0">
      <alignment horizontal="right"/>
    </xf>
    <xf numFmtId="0" fontId="102" fillId="0" borderId="31" applyAlignment="1" pivotButton="0" quotePrefix="0" xfId="0">
      <alignment horizontal="left"/>
    </xf>
    <xf numFmtId="176" fontId="99" fillId="0" borderId="31" applyAlignment="1" pivotButton="0" quotePrefix="0" xfId="0">
      <alignment horizontal="right"/>
    </xf>
    <xf numFmtId="176" fontId="102" fillId="0" borderId="31" applyAlignment="1" pivotButton="0" quotePrefix="0" xfId="0">
      <alignment horizontal="right"/>
    </xf>
    <xf numFmtId="0" fontId="99" fillId="0" borderId="31" applyAlignment="1" pivotButton="0" quotePrefix="0" xfId="0">
      <alignment horizontal="left"/>
    </xf>
    <xf numFmtId="3" fontId="99" fillId="0" borderId="31" applyAlignment="1" pivotButton="0" quotePrefix="0" xfId="0">
      <alignment horizontal="right"/>
    </xf>
    <xf numFmtId="0" fontId="100" fillId="58" borderId="32" applyAlignment="1" pivotButton="0" quotePrefix="0" xfId="0">
      <alignment horizontal="center"/>
    </xf>
    <xf numFmtId="4" fontId="0" fillId="0" borderId="25" pivotButton="0" quotePrefix="0" xfId="0"/>
    <xf numFmtId="176" fontId="46" fillId="20" borderId="15" applyAlignment="1" pivotButton="0" quotePrefix="0" xfId="0">
      <alignment horizontal="center" vertical="center"/>
    </xf>
    <xf numFmtId="176" fontId="94" fillId="0" borderId="0" pivotButton="0" quotePrefix="0" xfId="0"/>
    <xf numFmtId="0" fontId="60" fillId="20" borderId="15" applyAlignment="1" pivotButton="0" quotePrefix="0" xfId="0">
      <alignment horizontal="center" vertical="center"/>
    </xf>
    <xf numFmtId="166" fontId="51" fillId="20" borderId="15" applyAlignment="1" pivotButton="0" quotePrefix="0" xfId="0">
      <alignment horizontal="center" vertical="center"/>
    </xf>
    <xf numFmtId="0" fontId="17" fillId="20" borderId="15" applyAlignment="1" pivotButton="0" quotePrefix="0" xfId="0">
      <alignment horizontal="center" vertical="center"/>
    </xf>
    <xf numFmtId="167" fontId="37" fillId="37" borderId="15" applyAlignment="1" pivotButton="0" quotePrefix="0" xfId="0">
      <alignment horizontal="center" vertical="center"/>
    </xf>
    <xf numFmtId="166" fontId="64" fillId="31" borderId="15" applyAlignment="1" pivotButton="0" quotePrefix="0" xfId="0">
      <alignment horizontal="center" vertical="center"/>
    </xf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1"/>
  <sheetViews>
    <sheetView tabSelected="0" zoomScaleNormal="100" workbookViewId="0">
      <selection activeCell="B11" sqref="B11:H11"/>
    </sheetView>
  </sheetViews>
  <sheetFormatPr baseColWidth="8" defaultRowHeight="14.4" customHeight="1"/>
  <cols>
    <col width="3" customWidth="1" style="331" min="1" max="1"/>
    <col width="48" customWidth="1" style="331" min="2" max="2"/>
    <col width="18" customWidth="1" style="335" min="3" max="3"/>
    <col width="20" customWidth="1" style="335" min="4" max="6"/>
    <col width="71.77734375" customWidth="1" style="331" min="7" max="7"/>
    <col width="26" customWidth="1" style="331" min="8" max="8"/>
  </cols>
  <sheetData>
    <row r="1" ht="36" customHeight="1" s="331">
      <c r="B1" s="413" t="inlineStr">
        <is>
          <t>LOKA  —  CAPITAL, OWNERSHIP &amp; PRE-OPENING EXPENSES</t>
        </is>
      </c>
    </row>
    <row r="2" ht="24" customHeight="1" s="331">
      <c r="B2" s="414" t="inlineStr">
        <is>
          <t>Last updated: 18 Sep 2026  |  Capital, Acquisition, Pre-Opening, Renovation CapEx &amp; Operations↔Capital</t>
        </is>
      </c>
    </row>
    <row r="4" ht="25.95" customHeight="1" s="331">
      <c r="B4" s="415" t="inlineStr">
        <is>
          <t xml:space="preserve">  A.  OWNERSHIP STRUCTURE</t>
        </is>
      </c>
    </row>
    <row r="5" ht="22.05" customHeight="1" s="331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331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331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331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331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331">
      <c r="B11" s="415" t="inlineStr">
        <is>
          <t xml:space="preserve">  B.  RESTAURANT ACQUISITION  —  $390,000 TOTAL</t>
        </is>
      </c>
    </row>
    <row r="12" ht="22.05" customHeight="1" s="331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331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331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331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331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331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331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331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331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331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331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331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331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331">
      <c r="A26" s="269" t="n"/>
      <c r="B26" s="277" t="inlineStr">
        <is>
          <t>Payment to Previous Owners — Jun 22</t>
        </is>
      </c>
      <c r="C26" s="278" t="n">
        <v>46195</v>
      </c>
      <c r="D26" s="279" t="n">
        <v>60000</v>
      </c>
      <c r="E26" s="280" t="inlineStr">
        <is>
          <t>Lohith Reddy</t>
        </is>
      </c>
      <c r="F26" s="280" t="inlineStr">
        <is>
          <t>✅ PAID</t>
        </is>
      </c>
      <c r="G26" s="277" t="inlineStr">
        <is>
          <t>Capital payment to previous owners — 22 Jun 2026</t>
        </is>
      </c>
    </row>
    <row r="27" ht="19.95" customHeight="1" s="331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331">
      <c r="B28" s="149" t="n"/>
      <c r="C28" s="180" t="n"/>
      <c r="D28" s="157" t="n"/>
      <c r="E28" s="172" t="n"/>
      <c r="F28" s="172" t="n"/>
      <c r="G28" s="149" t="n"/>
    </row>
    <row r="29" ht="19.95" customHeight="1" s="331">
      <c r="B29" s="149" t="n"/>
      <c r="C29" s="180" t="n"/>
      <c r="D29" s="157" t="n"/>
      <c r="E29" s="172" t="n"/>
      <c r="F29" s="172" t="n"/>
      <c r="G29" s="149" t="n"/>
    </row>
    <row r="30" ht="19.95" customHeight="1" s="331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331">
      <c r="B32" s="189" t="n"/>
      <c r="C32" s="236" t="n"/>
      <c r="D32" s="191" t="n"/>
      <c r="E32" s="190" t="n"/>
      <c r="F32" s="190" t="n"/>
      <c r="G32" s="189" t="n"/>
    </row>
    <row r="33" ht="22.05" customHeight="1" s="331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331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331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331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331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331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331"/>
    <row r="40" ht="19.95" customHeight="1" s="331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331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331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331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331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340" t="n"/>
    </row>
    <row r="46" ht="19.95" customHeight="1" s="331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331">
      <c r="B47" s="137" t="n"/>
      <c r="C47" s="137" t="n"/>
      <c r="D47" s="162" t="n"/>
      <c r="E47" s="137" t="n"/>
      <c r="F47" s="137" t="n"/>
      <c r="G47" s="137" t="n"/>
    </row>
    <row r="48" ht="19.95" customHeight="1" s="331">
      <c r="B48" s="137" t="n"/>
      <c r="C48" s="137" t="n"/>
      <c r="D48" s="162" t="n"/>
      <c r="E48" s="137" t="n"/>
      <c r="F48" s="137" t="n"/>
      <c r="G48" s="137" t="n"/>
    </row>
    <row r="49" ht="19.95" customHeight="1" s="331">
      <c r="B49" s="137" t="n"/>
      <c r="C49" s="137" t="n"/>
      <c r="D49" s="162" t="n"/>
      <c r="E49" s="137" t="n"/>
      <c r="F49" s="137" t="n"/>
      <c r="G49" s="137" t="n"/>
    </row>
    <row r="50" ht="19.95" customHeight="1" s="331">
      <c r="B50" s="137" t="n"/>
      <c r="C50" s="137" t="n"/>
      <c r="D50" s="162" t="n"/>
      <c r="E50" s="137" t="n"/>
      <c r="F50" s="137" t="n"/>
      <c r="G50" s="137" t="n"/>
    </row>
    <row r="51" ht="19.95" customHeight="1" s="331">
      <c r="B51" s="137" t="n"/>
      <c r="C51" s="137" t="n"/>
      <c r="D51" s="162" t="n"/>
      <c r="E51" s="137" t="n"/>
      <c r="F51" s="137" t="n"/>
      <c r="G51" s="137" t="n"/>
    </row>
    <row r="52" ht="19.95" customHeight="1" s="331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331"/>
    <row r="54" ht="19.95" customHeight="1" s="331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331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331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331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331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331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340" t="n"/>
    </row>
    <row r="61" ht="22.05" customHeight="1" s="331">
      <c r="B61" s="237" t="inlineStr">
        <is>
          <t>Reimbursement to Shashirekha (over-budget expenses)</t>
        </is>
      </c>
      <c r="C61" s="287" t="n">
        <v>46210</v>
      </c>
      <c r="D61" s="288" t="n">
        <v>1034</v>
      </c>
      <c r="E61" s="289" t="inlineStr">
        <is>
          <t>Shashirekha B.</t>
        </is>
      </c>
      <c r="F61" s="289" t="inlineStr">
        <is>
          <t>Partner Settlement</t>
        </is>
      </c>
      <c r="G61" s="290" t="inlineStr">
        <is>
          <t>Reimbursed Shashi for spending $1,034 over her $120k budget (menu + syrup) — 7 Jul 2026</t>
        </is>
      </c>
    </row>
    <row r="62" ht="22.05" customHeight="1" s="331">
      <c r="B62" s="237" t="inlineStr">
        <is>
          <t>Additional License Costs</t>
        </is>
      </c>
      <c r="C62" s="312" t="n">
        <v>46223</v>
      </c>
      <c r="D62" s="313" t="n">
        <v>2300</v>
      </c>
      <c r="E62" s="314" t="inlineStr">
        <is>
          <t>Gov / License</t>
        </is>
      </c>
      <c r="F62" s="314" t="inlineStr">
        <is>
          <t>Legal / License</t>
        </is>
      </c>
      <c r="G62" s="315" t="inlineStr">
        <is>
          <t>Additional license fees — paid by Lohith (from pooled partner capital)</t>
        </is>
      </c>
    </row>
    <row r="63" ht="19.95" customHeight="1" s="331">
      <c r="B63" s="237" t="inlineStr">
        <is>
          <t>Coffee board + flyers, visiting cards</t>
        </is>
      </c>
      <c r="C63" s="312" t="n">
        <v>46223</v>
      </c>
      <c r="D63" s="313" t="n">
        <v>2620</v>
      </c>
      <c r="E63" s="314" t="inlineStr">
        <is>
          <t>Print Shop</t>
        </is>
      </c>
      <c r="F63" s="314" t="inlineStr">
        <is>
          <t>Branding / Printing</t>
        </is>
      </c>
      <c r="G63" s="315" t="inlineStr">
        <is>
          <t>Coffee menu board, flyers, visiting cards — paid by Lohith (from pooled partner capital)</t>
        </is>
      </c>
    </row>
    <row r="64" ht="19.95" customHeight="1" s="331">
      <c r="B64" s="137" t="n"/>
      <c r="C64" s="137" t="n"/>
      <c r="D64" s="162" t="n"/>
      <c r="E64" s="137" t="n"/>
      <c r="F64" s="137" t="n"/>
      <c r="G64" s="137" t="n"/>
    </row>
    <row r="65" ht="19.95" customHeight="1" s="331">
      <c r="B65" s="137" t="n"/>
      <c r="C65" s="137" t="n"/>
      <c r="D65" s="162" t="n"/>
      <c r="E65" s="137" t="n"/>
      <c r="F65" s="137" t="n"/>
      <c r="G65" s="137" t="n"/>
    </row>
    <row r="66" ht="19.95" customHeight="1" s="331">
      <c r="B66" s="137" t="n"/>
      <c r="C66" s="137" t="n"/>
      <c r="D66" s="162" t="n"/>
      <c r="E66" s="137" t="n"/>
      <c r="F66" s="137" t="n"/>
      <c r="G66" s="137" t="n"/>
    </row>
    <row r="67" ht="19.95" customHeight="1" s="331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331"/>
    <row r="69" ht="19.95" customHeight="1" s="331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331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331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331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331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340" t="n"/>
    </row>
    <row r="75" ht="19.95" customHeight="1" s="331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331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331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331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331">
      <c r="B79" s="237" t="inlineStr">
        <is>
          <t>Menu printing</t>
        </is>
      </c>
      <c r="C79" s="238" t="n">
        <v>46210</v>
      </c>
      <c r="D79" s="239" t="n">
        <v>1219</v>
      </c>
      <c r="E79" s="237" t="inlineStr">
        <is>
          <t>Print Shop</t>
        </is>
      </c>
      <c r="F79" s="237" t="inlineStr">
        <is>
          <t>Branding / Printing</t>
        </is>
      </c>
      <c r="G79" s="237" t="inlineStr">
        <is>
          <t>Printed menus — paid by Shashirekha (post-opening)</t>
        </is>
      </c>
    </row>
    <row r="80" ht="19.95" customHeight="1" s="331">
      <c r="B80" s="237" t="inlineStr">
        <is>
          <t>Syrup bottles</t>
        </is>
      </c>
      <c r="C80" s="238" t="n">
        <v>46210</v>
      </c>
      <c r="D80" s="239" t="n">
        <v>920</v>
      </c>
      <c r="E80" s="237" t="inlineStr">
        <is>
          <t>Supplier</t>
        </is>
      </c>
      <c r="F80" s="237" t="inlineStr">
        <is>
          <t>Equipment / Supplies</t>
        </is>
      </c>
      <c r="G80" s="237" t="inlineStr">
        <is>
          <t>Syrup bottles — paid by Shashirekha (post-opening)</t>
        </is>
      </c>
    </row>
    <row r="81" ht="19.95" customHeight="1" s="331">
      <c r="B81" s="237" t="inlineStr">
        <is>
          <t>Reimbursement received from Lohith (over-budget)</t>
        </is>
      </c>
      <c r="C81" s="238" t="n">
        <v>46210</v>
      </c>
      <c r="D81" s="239" t="n">
        <v>-1034</v>
      </c>
      <c r="E81" s="237" t="inlineStr">
        <is>
          <t>Lohith Reddy</t>
        </is>
      </c>
      <c r="F81" s="237" t="inlineStr">
        <is>
          <t>Partner Settlement</t>
        </is>
      </c>
      <c r="G81" s="237" t="inlineStr">
        <is>
          <t>Received $1,034 back from Lohith for over-budget spend — nets Shashi to her $120k budget</t>
        </is>
      </c>
    </row>
    <row r="82" ht="19.95" customHeight="1" s="331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340" t="n"/>
    </row>
    <row r="83" ht="19.95" customHeight="1" s="331"/>
    <row r="84" ht="19.95" customHeight="1" s="331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331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331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331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SUM(D43:D51)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D67-D56</f>
        <v/>
      </c>
      <c r="D92" s="167">
        <f>C92/C86</f>
        <v/>
      </c>
      <c r="E92" s="140" t="inlineStr">
        <is>
          <t>Notary + poliza + licences + branding (excl. $5k advance, already in Acquisition)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331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>
        <f>IF(F100&lt;1,"✅ COMPLETE","⏳ PENDING")</f>
        <v/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>
        <f>IF(F101&lt;1,"✅ COMPLETE","⏳ PENDING")</f>
        <v/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331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331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331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 t="inlineStr">
        <is>
          <t>Total Funds In</t>
        </is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Operating costs funded from capital (ledger settlement + rent)</t>
        </is>
      </c>
      <c r="D139" s="242">
        <f>C147</f>
        <v/>
      </c>
    </row>
    <row r="140">
      <c r="B140" t="inlineStr">
        <is>
          <t>REMAINING WITH ME (budget left WITH Lohith)</t>
        </is>
      </c>
      <c r="D140">
        <f>D136-D137-D138-D139</f>
        <v/>
      </c>
    </row>
    <row r="142" ht="22.05" customHeight="1" s="331">
      <c r="B142" s="281" t="inlineStr">
        <is>
          <t xml:space="preserve">  K.  OPERATIONS ↔ CAPITAL  —  RUNNING POSITION</t>
        </is>
      </c>
    </row>
    <row r="143">
      <c r="B143" s="282" t="inlineStr">
        <is>
          <t>Operating Income (all-time, Daily Log: MP + cash + transfers + Soft + BBVA)</t>
        </is>
      </c>
      <c r="C143" s="283">
        <f>SUM('📅 Daily Log'!D8:D5000)+SUM('📅 Daily Log'!E8:E5000)+SUM('📅 Daily Log'!G8:G5000)+SUM('📅 Daily Log'!U8:U5000)+SUM('📅 Daily Log'!Y8:Y5000)</f>
        <v/>
      </c>
      <c r="D143" s="191" t="n"/>
      <c r="E143" s="190" t="n"/>
      <c r="F143" s="190" t="n"/>
      <c r="G143" s="189" t="n"/>
    </row>
    <row r="144">
      <c r="B144" s="282" t="inlineStr">
        <is>
          <t>Operating Expenses (all-time, from Expenses)</t>
        </is>
      </c>
      <c r="C144" s="283">
        <f>SUM('💸 Expenses'!F8:F5000)</f>
        <v/>
      </c>
      <c r="D144" s="191" t="n"/>
      <c r="E144" s="190" t="n"/>
      <c r="F144" s="190" t="n"/>
      <c r="G144" s="189" t="n"/>
    </row>
    <row r="145">
      <c r="B145" s="282" t="inlineStr">
        <is>
          <t>Card commissions (MP auto 4.06% + Soft + BBVA actual)</t>
        </is>
      </c>
      <c r="C145" s="268">
        <f>SUM('📅 Daily Log'!R8:R5000)+SUM('📅 Daily Log'!V8:V5000)+SUM('📅 Daily Log'!Z8:Z5000)</f>
        <v/>
      </c>
    </row>
    <row r="146">
      <c r="B146" s="284" t="inlineStr">
        <is>
          <t>OPERATING RESULT  (income − expenses − commission)</t>
        </is>
      </c>
      <c r="C146" s="268">
        <f>C143-C144-C145</f>
        <v/>
      </c>
      <c r="E146" s="285" t="n"/>
    </row>
    <row r="147">
      <c r="B147" s="267" t="inlineStr">
        <is>
          <t>ADVANCE OWED by Operations to Capital</t>
        </is>
      </c>
      <c r="C147" s="268" t="n">
        <v>0</v>
      </c>
      <c r="E147" s="286" t="inlineStr">
        <is>
          <t>Operating costs funded from partner capital, net of repayments. Latest addition 04-Sep-2026 $19,066.68. Still owed by Operations: $22,478.53.</t>
        </is>
      </c>
    </row>
    <row r="148">
      <c r="B148" s="416" t="inlineStr">
        <is>
          <t>MP commission now auto-calculated per day in Daily Log (col R) at the rate in T7; feeds this result and Cash-on-Hand automatically.</t>
        </is>
      </c>
    </row>
    <row r="149">
      <c r="B149" s="321" t="inlineStr">
        <is>
          <t xml:space="preserve">  &gt;&gt; Repaid to Capital from operating cash</t>
        </is>
      </c>
      <c r="C149" s="444" t="n">
        <v>-84370.53</v>
      </c>
      <c r="E149" t="inlineStr">
        <is>
          <t>Cumulative repaid from operating cash (latest 18-Sep-2026 $2,778.53). Reduces advance owed &amp; Cash-on-Hand; NOT a P&amp;L expense.</t>
        </is>
      </c>
    </row>
    <row r="150" ht="15.6" customHeight="1" s="331">
      <c r="B150" s="316" t="inlineStr">
        <is>
          <t xml:space="preserve">  L.  POOLED CAPITAL POSITION  (single $600k pot — reconciles fully)</t>
        </is>
      </c>
    </row>
    <row r="151">
      <c r="B151" s="317" t="inlineStr">
        <is>
          <t>Line Item</t>
        </is>
      </c>
      <c r="C151" s="317" t="inlineStr">
        <is>
          <t>Amount ($)</t>
        </is>
      </c>
      <c r="E151" s="317" t="inlineStr">
        <is>
          <t>Notes</t>
        </is>
      </c>
    </row>
    <row r="152">
      <c r="B152" s="317" t="inlineStr">
        <is>
          <t>POOLED COMMITTED BUDGET</t>
        </is>
      </c>
      <c r="C152" s="318">
        <f>SUM(D6:D8)</f>
        <v/>
      </c>
      <c r="E152" t="inlineStr">
        <is>
          <t>Lohith 300k + Kashi 180k + Shashi 120k</t>
        </is>
      </c>
    </row>
    <row r="153">
      <c r="B153" s="317" t="inlineStr">
        <is>
          <t>CAPITAL DEPLOYED (spent / committed out):</t>
        </is>
      </c>
    </row>
    <row r="154">
      <c r="B154" s="319" t="inlineStr">
        <is>
          <t xml:space="preserve">   Acquisition — paid to previous owners</t>
        </is>
      </c>
      <c r="C154" s="320">
        <f>SUM(D14:D30)</f>
        <v/>
      </c>
      <c r="E154" t="inlineStr">
        <is>
          <t>of $390k (incl $15,530 CFE offset); incl $5k advance</t>
        </is>
      </c>
    </row>
    <row r="155">
      <c r="B155" s="319" t="inlineStr">
        <is>
          <t xml:space="preserve">   Lohith pre-opening (excl. $5k advance)</t>
        </is>
      </c>
      <c r="C155" s="320">
        <f>D67-D56</f>
        <v/>
      </c>
      <c r="E155" t="inlineStr">
        <is>
          <t>Notary, poliza, licenses, branding (advance is in acq. above)</t>
        </is>
      </c>
    </row>
    <row r="156">
      <c r="B156" s="319" t="inlineStr">
        <is>
          <t xml:space="preserve">   Kashigoud — direct ops</t>
        </is>
      </c>
      <c r="C156" s="320">
        <f>SUM(D43:D51)</f>
        <v/>
      </c>
      <c r="E156" t="inlineStr">
        <is>
          <t>Soft license + MP terminal + cameras (his card)</t>
        </is>
      </c>
    </row>
    <row r="157">
      <c r="B157" s="319" t="inlineStr">
        <is>
          <t xml:space="preserve">   Shashirekha — direct expenses</t>
        </is>
      </c>
      <c r="C157" s="320">
        <f>SUM(D72:D81)</f>
        <v/>
      </c>
      <c r="E157" t="inlineStr">
        <is>
          <t>Signage, Temu, menus (net of reimb.)</t>
        </is>
      </c>
    </row>
    <row r="158">
      <c r="B158" s="319" t="inlineStr">
        <is>
          <t xml:space="preserve">   Renovation / post-opening CapEx</t>
        </is>
      </c>
      <c r="C158" s="320">
        <f>D129</f>
        <v/>
      </c>
      <c r="E158" t="inlineStr">
        <is>
          <t>Section I</t>
        </is>
      </c>
    </row>
    <row r="159">
      <c r="B159" s="319" t="inlineStr">
        <is>
          <t xml:space="preserve">   Operating costs funded from capital</t>
        </is>
      </c>
      <c r="C159" s="320">
        <f>C147</f>
        <v/>
      </c>
      <c r="E159" t="inlineStr">
        <is>
          <t>Rent-from-capital + owner-ledger settlement (Section K)</t>
        </is>
      </c>
    </row>
    <row r="160">
      <c r="B160" s="317" t="inlineStr">
        <is>
          <t>TOTAL CAPITAL DEPLOYED</t>
        </is>
      </c>
      <c r="C160" s="318">
        <f>SUM(C154:C159)</f>
        <v/>
      </c>
      <c r="E160" t="inlineStr">
        <is>
          <t>Money spent OR committed out of the pool</t>
        </is>
      </c>
    </row>
    <row r="161">
      <c r="B161" s="317" t="inlineStr">
        <is>
          <t>CAPITAL STILL AVAILABLE:</t>
        </is>
      </c>
    </row>
    <row r="162">
      <c r="B162" s="319" t="inlineStr">
        <is>
          <t xml:space="preserve">   Cash still WITH Lohith (Section J)</t>
        </is>
      </c>
      <c r="C162" s="320">
        <f>D140</f>
        <v/>
      </c>
      <c r="E162" t="inlineStr">
        <is>
          <t>Undeployed capital physically in Lohith’s hands</t>
        </is>
      </c>
    </row>
    <row r="163">
      <c r="B163" s="319" t="inlineStr">
        <is>
          <t xml:space="preserve">   Kashigoud still to TRANSFER IN</t>
        </is>
      </c>
      <c r="C163" s="320">
        <f>F100</f>
        <v/>
      </c>
      <c r="E163" t="inlineStr">
        <is>
          <t>Committed $180k not yet fully sent</t>
        </is>
      </c>
    </row>
    <row r="164">
      <c r="B164" s="319" t="inlineStr">
        <is>
          <t xml:space="preserve">   Shashirekha still to TRANSFER IN</t>
        </is>
      </c>
      <c r="C164" s="320">
        <f>F101</f>
        <v/>
      </c>
      <c r="E164" t="inlineStr">
        <is>
          <t>~0 (fully deployed)</t>
        </is>
      </c>
    </row>
    <row r="165">
      <c r="B165" s="317" t="inlineStr">
        <is>
          <t>TOTAL CAPITAL AVAILABLE</t>
        </is>
      </c>
      <c r="C165" s="318">
        <f>C162+C163+C164</f>
        <v/>
      </c>
      <c r="E165" t="inlineStr">
        <is>
          <t>With Lohith + still to come in</t>
        </is>
      </c>
    </row>
    <row r="166">
      <c r="B166" s="317" t="inlineStr">
        <is>
          <t>CHECK: Deployed + Available</t>
        </is>
      </c>
      <c r="C166" s="318">
        <f>C160+C165</f>
        <v/>
      </c>
      <c r="E166" t="inlineStr">
        <is>
          <t>MUST equal $600,000</t>
        </is>
      </c>
    </row>
    <row r="167">
      <c r="B167" s="317" t="n"/>
    </row>
    <row r="168">
      <c r="B168" s="319" t="n"/>
      <c r="C168" s="320" t="n"/>
    </row>
    <row r="169">
      <c r="B169" s="319" t="n"/>
      <c r="C169" s="320" t="n"/>
    </row>
    <row r="170">
      <c r="B170" s="319" t="n"/>
      <c r="C170" s="320" t="n"/>
    </row>
    <row r="171">
      <c r="B171" s="317" t="n"/>
      <c r="C171" s="318" t="n"/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tabSelected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331" min="1" max="1"/>
    <col width="18" customWidth="1" style="331" min="2" max="2"/>
    <col width="14" customWidth="1" style="331" min="3" max="7"/>
    <col width="16" customWidth="1" style="331" min="8" max="8"/>
    <col width="14" customWidth="1" style="331" min="9" max="14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331">
      <c r="A2" s="417" t="inlineStr">
        <is>
          <t>🍽️  LOKA Cafe Restaurante</t>
        </is>
      </c>
      <c r="H2" s="418" t="inlineStr">
        <is>
          <t>Restaurant Manager — powered by Soft + Excel</t>
        </is>
      </c>
    </row>
    <row r="3" ht="3.75" customHeight="1" s="331">
      <c r="A3" s="419" t="n"/>
    </row>
    <row r="4" ht="7.5" customHeight="1" s="331"/>
    <row r="5" ht="36" customHeight="1" s="331">
      <c r="B5" s="328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</row>
    <row r="6" ht="9.75" customHeight="1" s="331"/>
    <row r="7" ht="19.5" customHeight="1" s="331">
      <c r="B7" s="360" t="inlineStr">
        <is>
          <t xml:space="preserve">  💰  REVENUE  (auto-pulled from Daily Log)</t>
        </is>
      </c>
      <c r="C7" s="329" t="n"/>
      <c r="D7" s="329" t="n"/>
      <c r="E7" s="329" t="n"/>
      <c r="F7" s="329" t="n"/>
      <c r="G7" s="329" t="n"/>
      <c r="H7" s="329" t="n"/>
      <c r="I7" s="329" t="n"/>
      <c r="J7" s="329" t="n"/>
      <c r="K7" s="329" t="n"/>
      <c r="L7" s="329" t="n"/>
      <c r="M7" s="329" t="n"/>
    </row>
    <row r="8" ht="6" customHeight="1" s="331"/>
    <row r="9" ht="18" customHeight="1" s="331">
      <c r="B9" s="348" t="inlineStr">
        <is>
          <t>TODAY'S REVENUE</t>
        </is>
      </c>
      <c r="C9" s="346" t="n"/>
      <c r="D9" s="348" t="inlineStr">
        <is>
          <t>WEEK REVENUE</t>
        </is>
      </c>
      <c r="E9" s="346" t="n"/>
      <c r="F9" s="348" t="inlineStr">
        <is>
          <t>MONTH REVENUE</t>
        </is>
      </c>
      <c r="G9" s="346" t="n"/>
      <c r="H9" s="348" t="inlineStr">
        <is>
          <t>TODAY'S EXPENSES</t>
        </is>
      </c>
      <c r="I9" s="346" t="n"/>
      <c r="J9" s="348" t="inlineStr">
        <is>
          <t>TODAY'S NET PROFIT</t>
        </is>
      </c>
      <c r="K9" s="346" t="n"/>
      <c r="L9" s="348" t="inlineStr">
        <is>
          <t>AVG TICKET</t>
        </is>
      </c>
      <c r="M9" s="346" t="n"/>
    </row>
    <row r="10" ht="19.5" customHeight="1" s="331">
      <c r="B10" s="379">
        <f>'📅 Daily Log'!F6</f>
        <v/>
      </c>
      <c r="C10" s="351" t="n"/>
      <c r="D10" s="350">
        <f>'📅 Daily Log'!N6</f>
        <v/>
      </c>
      <c r="E10" s="351" t="n"/>
      <c r="F10" s="375">
        <f>'📅 Daily Log'!O6</f>
        <v/>
      </c>
      <c r="G10" s="351" t="n"/>
      <c r="H10" s="355">
        <f>'📅 Daily Log'!H6</f>
        <v/>
      </c>
      <c r="I10" s="351" t="n"/>
      <c r="J10" s="379">
        <f>'📅 Daily Log'!I6</f>
        <v/>
      </c>
      <c r="K10" s="351" t="n"/>
      <c r="L10" s="396">
        <f>IFERROR('📅 Daily Log'!F6/'📅 Daily Log'!G6,0)</f>
        <v/>
      </c>
      <c r="M10" s="351" t="n"/>
    </row>
    <row r="11" ht="19.5" customHeight="1" s="331">
      <c r="B11" s="352" t="n"/>
      <c r="D11" s="352" t="n"/>
      <c r="F11" s="352" t="n"/>
      <c r="H11" s="352" t="n"/>
      <c r="J11" s="352" t="n"/>
      <c r="L11" s="352" t="n"/>
    </row>
    <row r="12" ht="19.5" customHeight="1" s="331">
      <c r="B12" s="352" t="n"/>
      <c r="D12" s="352" t="n"/>
      <c r="F12" s="352" t="n"/>
      <c r="H12" s="352" t="n"/>
      <c r="J12" s="352" t="n"/>
      <c r="L12" s="352" t="n"/>
    </row>
    <row r="13" ht="9.75" customHeight="1" s="331"/>
    <row r="14" ht="19.5" customHeight="1" s="331">
      <c r="B14" s="360" t="inlineStr">
        <is>
          <t xml:space="preserve">  📊  OPERATIONS</t>
        </is>
      </c>
      <c r="C14" s="329" t="n"/>
      <c r="D14" s="329" t="n"/>
      <c r="E14" s="329" t="n"/>
      <c r="F14" s="329" t="n"/>
      <c r="G14" s="329" t="n"/>
      <c r="H14" s="329" t="n"/>
      <c r="I14" s="329" t="n"/>
      <c r="J14" s="329" t="n"/>
      <c r="K14" s="329" t="n"/>
      <c r="L14" s="329" t="n"/>
      <c r="M14" s="329" t="n"/>
    </row>
    <row r="15" ht="6" customHeight="1" s="331"/>
    <row r="16" ht="18" customHeight="1" s="331">
      <c r="B16" s="348" t="inlineStr">
        <is>
          <t>TODAY'S ORDERS</t>
        </is>
      </c>
      <c r="C16" s="346" t="n"/>
      <c r="D16" s="348" t="inlineStr">
        <is>
          <t>WEEK ORDERS</t>
        </is>
      </c>
      <c r="E16" s="346" t="n"/>
      <c r="F16" s="348" t="inlineStr">
        <is>
          <t>PROFIT MARGIN %</t>
        </is>
      </c>
      <c r="G16" s="346" t="n"/>
      <c r="H16" s="348" t="inlineStr">
        <is>
          <t>LOW STOCK ITEMS</t>
        </is>
      </c>
      <c r="I16" s="346" t="n"/>
      <c r="J16" s="348" t="inlineStr">
        <is>
          <t>WEEK EXPENSES</t>
        </is>
      </c>
      <c r="K16" s="346" t="n"/>
      <c r="L16" s="348" t="inlineStr">
        <is>
          <t>PENDING ORDERS</t>
        </is>
      </c>
      <c r="M16" s="346" t="n"/>
    </row>
    <row r="17" ht="19.5" customHeight="1" s="331">
      <c r="B17" s="381">
        <f>'📅 Daily Log'!G6</f>
        <v/>
      </c>
      <c r="C17" s="351" t="n"/>
      <c r="D17" s="381">
        <f>IFERROR(SUMPRODUCT((ISNUMBER('📅 Daily Log'!$B$8:$B$5000))*('📅 Daily Log'!$B$8:$B$5000&gt;=TODAY()-MOD(TODAY()-2,7))*('📅 Daily Log'!$B$8:$B$5000&lt;TODAY()-MOD(TODAY()-2,7)+7)*IF(ISNUMBER('📅 Daily Log'!$G$8:$G$5000),'📅 Daily Log'!$G$8:$G$5000,0)),0)</f>
        <v/>
      </c>
      <c r="E17" s="351" t="n"/>
      <c r="F17" s="385">
        <f>IFERROR('📅 Daily Log'!J6,0)</f>
        <v/>
      </c>
      <c r="G17" s="351" t="n"/>
      <c r="H17" s="386">
        <f>'📦 Inventory'!H5</f>
        <v/>
      </c>
      <c r="I17" s="351" t="n"/>
      <c r="J17" s="355">
        <f>'📅 Daily Log'!P6</f>
        <v/>
      </c>
      <c r="K17" s="351" t="n"/>
      <c r="L17" s="357">
        <f>'🚚 Suppliers'!H5</f>
        <v/>
      </c>
      <c r="M17" s="351" t="n"/>
    </row>
    <row r="18" ht="19.5" customHeight="1" s="331">
      <c r="B18" s="352" t="n"/>
      <c r="D18" s="352" t="n"/>
      <c r="F18" s="352" t="n"/>
      <c r="H18" s="352" t="n"/>
      <c r="J18" s="352" t="n"/>
      <c r="L18" s="352" t="n"/>
    </row>
    <row r="19" ht="19.5" customHeight="1" s="331">
      <c r="B19" s="352" t="n"/>
      <c r="D19" s="352" t="n"/>
      <c r="F19" s="352" t="n"/>
      <c r="H19" s="352" t="n"/>
      <c r="J19" s="352" t="n"/>
      <c r="L19" s="352" t="n"/>
    </row>
    <row r="20" ht="9.75" customHeight="1" s="331"/>
    <row r="21" ht="19.5" customHeight="1" s="331">
      <c r="B21" s="360" t="inlineStr">
        <is>
          <t xml:space="preserve">  📅  LAST 10 DAYS  (from Daily Log — updates automatically)</t>
        </is>
      </c>
      <c r="C21" s="329" t="n"/>
      <c r="D21" s="329" t="n"/>
      <c r="E21" s="329" t="n"/>
      <c r="F21" s="329" t="n"/>
      <c r="G21" s="329" t="n"/>
      <c r="H21" s="329" t="n"/>
      <c r="I21" s="329" t="n"/>
      <c r="J21" s="329" t="n"/>
      <c r="K21" s="329" t="n"/>
      <c r="L21" s="329" t="n"/>
      <c r="M21" s="329" t="n"/>
    </row>
    <row r="22" ht="27.75" customHeight="1" s="331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76" t="inlineStr">
        <is>
          <t>vs Prev Day</t>
        </is>
      </c>
      <c r="L22" s="346" t="n"/>
      <c r="M22" s="342" t="n"/>
    </row>
    <row r="23" ht="16.5" customHeight="1" s="331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62" t="inlineStr">
        <is>
          <t>—</t>
        </is>
      </c>
      <c r="L23" s="346" t="n"/>
      <c r="M23" s="342" t="n"/>
    </row>
    <row r="24" ht="16.5" customHeight="1" s="331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345">
        <f>IFERROR(IF(D24&gt;D23,"▲ +"&amp;TEXT(D24-D23,"$#,##0"),IF(D24&lt;D23,"▼ "&amp;TEXT(D24-D23,"$#,##0"),"— same")),"")</f>
        <v/>
      </c>
      <c r="L24" s="346" t="n"/>
      <c r="M24" s="342" t="n"/>
    </row>
    <row r="25" ht="16.5" customHeight="1" s="331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62">
        <f>IFERROR(IF(D25&gt;D24,"▲ +"&amp;TEXT(D25-D24,"$#,##0"),IF(D25&lt;D24,"▼ "&amp;TEXT(D25-D24,"$#,##0"),"— same")),"")</f>
        <v/>
      </c>
      <c r="L25" s="346" t="n"/>
      <c r="M25" s="342" t="n"/>
    </row>
    <row r="26" ht="16.5" customHeight="1" s="331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345">
        <f>IFERROR(IF(D26&gt;D25,"▲ +"&amp;TEXT(D26-D25,"$#,##0"),IF(D26&lt;D25,"▼ "&amp;TEXT(D26-D25,"$#,##0"),"— same")),"")</f>
        <v/>
      </c>
      <c r="L26" s="346" t="n"/>
      <c r="M26" s="342" t="n"/>
    </row>
    <row r="27" ht="16.5" customHeight="1" s="331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62">
        <f>IFERROR(IF(D27&gt;D26,"▲ +"&amp;TEXT(D27-D26,"$#,##0"),IF(D27&lt;D26,"▼ "&amp;TEXT(D27-D26,"$#,##0"),"— same")),"")</f>
        <v/>
      </c>
      <c r="L27" s="346" t="n"/>
      <c r="M27" s="342" t="n"/>
    </row>
    <row r="28" ht="16.5" customHeight="1" s="331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345">
        <f>IFERROR(IF(D28&gt;D27,"▲ +"&amp;TEXT(D28-D27,"$#,##0"),IF(D28&lt;D27,"▼ "&amp;TEXT(D28-D27,"$#,##0"),"— same")),"")</f>
        <v/>
      </c>
      <c r="L28" s="346" t="n"/>
      <c r="M28" s="342" t="n"/>
    </row>
    <row r="29" ht="16.5" customHeight="1" s="331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62">
        <f>IFERROR(IF(D29&gt;D28,"▲ +"&amp;TEXT(D29-D28,"$#,##0"),IF(D29&lt;D28,"▼ "&amp;TEXT(D29-D28,"$#,##0"),"— same")),"")</f>
        <v/>
      </c>
      <c r="L29" s="346" t="n"/>
      <c r="M29" s="342" t="n"/>
    </row>
    <row r="30" ht="16.5" customHeight="1" s="331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345">
        <f>IFERROR(IF(D30&gt;D29,"▲ +"&amp;TEXT(D30-D29,"$#,##0"),IF(D30&lt;D29,"▼ "&amp;TEXT(D30-D29,"$#,##0"),"— same")),"")</f>
        <v/>
      </c>
      <c r="L30" s="346" t="n"/>
      <c r="M30" s="342" t="n"/>
    </row>
    <row r="31" ht="16.5" customHeight="1" s="331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62">
        <f>IFERROR(IF(D31&gt;D30,"▲ +"&amp;TEXT(D31-D30,"$#,##0"),IF(D31&lt;D30,"▼ "&amp;TEXT(D31-D30,"$#,##0"),"— same")),"")</f>
        <v/>
      </c>
      <c r="L31" s="346" t="n"/>
      <c r="M31" s="342" t="n"/>
    </row>
    <row r="32" ht="16.5" customHeight="1" s="331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345">
        <f>IFERROR(IF(D32&gt;D31,"▲ +"&amp;TEXT(D32-D31,"$#,##0"),IF(D32&lt;D31,"▼ "&amp;TEXT(D32-D31,"$#,##0"),"— same")),"")</f>
        <v/>
      </c>
      <c r="L32" s="346" t="n"/>
      <c r="M32" s="342" t="n"/>
    </row>
    <row r="33" ht="9.75" customHeight="1" s="331"/>
    <row r="34" ht="19.5" customHeight="1" s="331">
      <c r="B34" s="360" t="inlineStr">
        <is>
          <t xml:space="preserve">  ⚠️  INVENTORY ALERTS  (from Inventory sheet)</t>
        </is>
      </c>
      <c r="C34" s="329" t="n"/>
      <c r="D34" s="329" t="n"/>
      <c r="E34" s="329" t="n"/>
      <c r="F34" s="329" t="n"/>
      <c r="G34" s="329" t="n"/>
      <c r="H34" s="329" t="n"/>
      <c r="I34" s="329" t="n"/>
      <c r="J34" s="329" t="n"/>
      <c r="K34" s="329" t="n"/>
      <c r="L34" s="329" t="n"/>
      <c r="M34" s="329" t="n"/>
    </row>
    <row r="35" ht="27.75" customHeight="1" s="331">
      <c r="B35" s="341" t="inlineStr">
        <is>
          <t>Ingredient</t>
        </is>
      </c>
      <c r="C35" s="346" t="n"/>
      <c r="D35" s="342" t="n"/>
      <c r="E35" s="6" t="n"/>
      <c r="F35" s="341" t="inlineStr">
        <is>
          <t>Min Level</t>
        </is>
      </c>
      <c r="G35" s="342" t="n"/>
      <c r="H35" s="341" t="inlineStr">
        <is>
          <t>Status</t>
        </is>
      </c>
      <c r="I35" s="342" t="n"/>
      <c r="J35" s="341" t="inlineStr">
        <is>
          <t>Action Needed</t>
        </is>
      </c>
      <c r="K35" s="346" t="n"/>
      <c r="L35" s="346" t="n"/>
      <c r="M35" s="342" t="n"/>
    </row>
    <row r="36" ht="16.5" customHeight="1" s="331">
      <c r="B36" s="383">
        <f>'📦 Inventory'!B9</f>
        <v/>
      </c>
      <c r="C36" s="346" t="n"/>
      <c r="D36" s="346" t="n"/>
      <c r="E36" s="370">
        <f>'📦 Inventory'!E9</f>
        <v/>
      </c>
      <c r="F36" s="346" t="n"/>
      <c r="G36" s="378">
        <f>'📦 Inventory'!F9</f>
        <v/>
      </c>
      <c r="H36" s="346" t="n"/>
      <c r="I36" s="353">
        <f>'📦 Inventory'!J9</f>
        <v/>
      </c>
      <c r="J36" s="346" t="n"/>
      <c r="K36" s="353">
        <f>IF('📦 Inventory'!E9=0,"🚫 Order immediately",IF('📦 Inventory'!E9&lt;='📦 Inventory'!F9,"⚠️ Reorder soon","✅ OK"))</f>
        <v/>
      </c>
      <c r="L36" s="346" t="n"/>
      <c r="M36" s="346" t="n"/>
    </row>
    <row r="37" ht="16.5" customHeight="1" s="331">
      <c r="B37" s="361">
        <f>'📦 Inventory'!B10</f>
        <v/>
      </c>
      <c r="C37" s="346" t="n"/>
      <c r="D37" s="346" t="n"/>
      <c r="E37" s="392">
        <f>'📦 Inventory'!E10</f>
        <v/>
      </c>
      <c r="F37" s="346" t="n"/>
      <c r="G37" s="393">
        <f>'📦 Inventory'!F10</f>
        <v/>
      </c>
      <c r="H37" s="346" t="n"/>
      <c r="I37" s="394">
        <f>'📦 Inventory'!J10</f>
        <v/>
      </c>
      <c r="J37" s="346" t="n"/>
      <c r="K37" s="394">
        <f>IF('📦 Inventory'!E10=0,"🚫 Order immediately",IF('📦 Inventory'!E10&lt;='📦 Inventory'!F10,"⚠️ Reorder soon","✅ OK"))</f>
        <v/>
      </c>
      <c r="L37" s="346" t="n"/>
      <c r="M37" s="346" t="n"/>
    </row>
    <row r="38" ht="16.5" customHeight="1" s="331">
      <c r="B38" s="383">
        <f>'📦 Inventory'!B11</f>
        <v/>
      </c>
      <c r="C38" s="346" t="n"/>
      <c r="D38" s="346" t="n"/>
      <c r="E38" s="370">
        <f>'📦 Inventory'!E11</f>
        <v/>
      </c>
      <c r="F38" s="346" t="n"/>
      <c r="G38" s="378">
        <f>'📦 Inventory'!F11</f>
        <v/>
      </c>
      <c r="H38" s="346" t="n"/>
      <c r="I38" s="353">
        <f>'📦 Inventory'!J11</f>
        <v/>
      </c>
      <c r="J38" s="346" t="n"/>
      <c r="K38" s="353">
        <f>IF('📦 Inventory'!E11=0,"🚫 Order immediately",IF('📦 Inventory'!E11&lt;='📦 Inventory'!F11,"⚠️ Reorder soon","✅ OK"))</f>
        <v/>
      </c>
      <c r="L38" s="346" t="n"/>
      <c r="M38" s="346" t="n"/>
    </row>
    <row r="39" ht="16.5" customHeight="1" s="331">
      <c r="B39" s="361">
        <f>'📦 Inventory'!B12</f>
        <v/>
      </c>
      <c r="C39" s="346" t="n"/>
      <c r="D39" s="346" t="n"/>
      <c r="E39" s="392">
        <f>'📦 Inventory'!E12</f>
        <v/>
      </c>
      <c r="F39" s="346" t="n"/>
      <c r="G39" s="393">
        <f>'📦 Inventory'!F12</f>
        <v/>
      </c>
      <c r="H39" s="346" t="n"/>
      <c r="I39" s="394">
        <f>'📦 Inventory'!J12</f>
        <v/>
      </c>
      <c r="J39" s="346" t="n"/>
      <c r="K39" s="394">
        <f>IF('📦 Inventory'!E12=0,"🚫 Order immediately",IF('📦 Inventory'!E12&lt;='📦 Inventory'!F12,"⚠️ Reorder soon","✅ OK"))</f>
        <v/>
      </c>
      <c r="L39" s="346" t="n"/>
      <c r="M39" s="346" t="n"/>
    </row>
    <row r="40" ht="16.5" customHeight="1" s="331">
      <c r="B40" s="383">
        <f>'📦 Inventory'!B13</f>
        <v/>
      </c>
      <c r="C40" s="346" t="n"/>
      <c r="D40" s="346" t="n"/>
      <c r="E40" s="370">
        <f>'📦 Inventory'!E13</f>
        <v/>
      </c>
      <c r="F40" s="346" t="n"/>
      <c r="G40" s="378">
        <f>'📦 Inventory'!F13</f>
        <v/>
      </c>
      <c r="H40" s="346" t="n"/>
      <c r="I40" s="353">
        <f>'📦 Inventory'!J13</f>
        <v/>
      </c>
      <c r="J40" s="346" t="n"/>
      <c r="K40" s="353">
        <f>IF('📦 Inventory'!E13=0,"🚫 Order immediately",IF('📦 Inventory'!E13&lt;='📦 Inventory'!F13,"⚠️ Reorder soon","✅ OK"))</f>
        <v/>
      </c>
      <c r="L40" s="346" t="n"/>
      <c r="M40" s="346" t="n"/>
    </row>
    <row r="41" ht="7.5" customHeight="1" s="331"/>
    <row r="42" ht="30" customHeight="1" s="331">
      <c r="B42" s="420" t="inlineStr">
        <is>
          <t>💼  CAPITAL &amp; ACQUISITION STATUS  —  live from Capital &amp; Ownership sheet</t>
        </is>
      </c>
    </row>
    <row r="43" ht="6" customHeight="1" s="331"/>
    <row r="44" ht="16.05" customHeight="1" s="331">
      <c r="B44" s="395" t="inlineStr">
        <is>
          <t>TOTAL BUDGET</t>
        </is>
      </c>
      <c r="C44" s="340" t="n"/>
      <c r="D44" s="404" t="inlineStr">
        <is>
          <t>TOTAL CASH OUT</t>
        </is>
      </c>
      <c r="E44" s="340" t="n"/>
      <c r="F44" s="405" t="inlineStr">
        <is>
          <t>REMAINING BUDGET</t>
        </is>
      </c>
      <c r="G44" s="340" t="n"/>
      <c r="H44" s="401" t="inlineStr">
        <is>
          <t>ACQUISITION PRICE</t>
        </is>
      </c>
      <c r="I44" s="340" t="n"/>
      <c r="J44" s="398" t="inlineStr">
        <is>
          <t>ADVANCE PAID</t>
        </is>
      </c>
      <c r="K44" s="340" t="n"/>
      <c r="L44" s="387" t="inlineStr">
        <is>
          <t>BALANCE PENDING</t>
        </is>
      </c>
      <c r="M44" s="340" t="n"/>
    </row>
    <row r="45" ht="22.05" customHeight="1" s="331">
      <c r="B45" s="397">
        <f>'Capital &amp; Ownership'!C75</f>
        <v/>
      </c>
      <c r="C45" s="340" t="n"/>
      <c r="D45" s="359">
        <f>'Capital &amp; Ownership'!C86</f>
        <v/>
      </c>
      <c r="E45" s="340" t="n"/>
      <c r="F45" s="380">
        <f>'Capital &amp; Ownership'!C87</f>
        <v/>
      </c>
      <c r="G45" s="340" t="n"/>
      <c r="H45" s="368">
        <f>'Capital &amp; Ownership'!C76</f>
        <v/>
      </c>
      <c r="I45" s="340" t="n"/>
      <c r="J45" s="364">
        <f>'Capital &amp; Ownership'!C77</f>
        <v/>
      </c>
      <c r="K45" s="340" t="n"/>
      <c r="L45" s="365">
        <f>'Capital &amp; Ownership'!C78</f>
        <v/>
      </c>
      <c r="M45" s="340" t="n"/>
    </row>
    <row r="46" ht="16.05" customHeight="1" s="331">
      <c r="B46" s="399" t="inlineStr">
        <is>
          <t>All 3 partners</t>
        </is>
      </c>
      <c r="C46" s="340" t="n"/>
      <c r="D46" s="400" t="inlineStr">
        <is>
          <t>Excl. internal transfers</t>
        </is>
      </c>
      <c r="E46" s="340" t="n"/>
      <c r="F46" s="384" t="inlineStr">
        <is>
          <t>Available for operations</t>
        </is>
      </c>
      <c r="G46" s="340" t="n"/>
      <c r="H46" s="402" t="inlineStr">
        <is>
          <t>To previous owners</t>
        </is>
      </c>
      <c r="I46" s="340" t="n"/>
      <c r="J46" s="388" t="inlineStr">
        <is>
          <t>✅ Paid by Lohith</t>
        </is>
      </c>
      <c r="K46" s="340" t="n"/>
      <c r="L46" s="389" t="inlineStr">
        <is>
          <t>⏳ Outstanding</t>
        </is>
      </c>
      <c r="M46" s="340" t="n"/>
    </row>
    <row r="47" ht="7.95" customHeight="1" s="331"/>
    <row r="48" ht="22.05" customHeight="1" s="331">
      <c r="B48" s="421" t="inlineStr">
        <is>
          <t xml:space="preserve">  👥  OWNER CAPITAL SUMMARY</t>
        </is>
      </c>
    </row>
    <row r="49" ht="19.95" customHeight="1" s="331">
      <c r="B49" s="372" t="inlineStr">
        <is>
          <t>OWNER</t>
        </is>
      </c>
      <c r="C49" s="340" t="n"/>
      <c r="D49" s="372" t="inlineStr">
        <is>
          <t>SHARE %</t>
        </is>
      </c>
      <c r="E49" s="340" t="n"/>
      <c r="F49" s="372" t="inlineStr">
        <is>
          <t>CAPITAL ($)</t>
        </is>
      </c>
      <c r="G49" s="372" t="inlineStr">
        <is>
          <t>ROLE</t>
        </is>
      </c>
      <c r="H49" s="372" t="inlineStr">
        <is>
          <t>EXPENSES ($)</t>
        </is>
      </c>
      <c r="I49" s="340" t="n"/>
      <c r="J49" s="372" t="inlineStr">
        <is>
          <t>REMAINING ($)</t>
        </is>
      </c>
      <c r="K49" s="340" t="n"/>
      <c r="L49" s="372" t="inlineStr">
        <is>
          <t>% SPENT</t>
        </is>
      </c>
      <c r="M49" s="340" t="n"/>
    </row>
    <row r="50" ht="19.95" customHeight="1" s="331">
      <c r="B50" s="371">
        <f>'Capital &amp; Ownership'!B6</f>
        <v/>
      </c>
      <c r="C50" s="340" t="n"/>
      <c r="D50" s="358">
        <f>'Capital &amp; Ownership'!C6</f>
        <v/>
      </c>
      <c r="E50" s="340" t="n"/>
      <c r="F50" s="366">
        <f>'Capital &amp; Ownership'!D6</f>
        <v/>
      </c>
      <c r="G50" s="349" t="inlineStr">
        <is>
          <t>50% — Managing Partner</t>
        </is>
      </c>
      <c r="H50" s="366">
        <f>'Capital &amp; Ownership'!E6</f>
        <v/>
      </c>
      <c r="I50" s="340" t="n"/>
      <c r="J50" s="366">
        <f>'Capital &amp; Ownership'!F6</f>
        <v/>
      </c>
      <c r="K50" s="340" t="n"/>
      <c r="L50" s="358">
        <f>IFERROR('Capital &amp; Ownership'!E6/'Capital &amp; Ownership'!D6,0)</f>
        <v/>
      </c>
      <c r="M50" s="340" t="n"/>
    </row>
    <row r="51" ht="19.95" customHeight="1" s="331">
      <c r="B51" s="373">
        <f>'Capital &amp; Ownership'!B7</f>
        <v/>
      </c>
      <c r="C51" s="340" t="n"/>
      <c r="D51" s="374">
        <f>'Capital &amp; Ownership'!C7</f>
        <v/>
      </c>
      <c r="E51" s="340" t="n"/>
      <c r="F51" s="390">
        <f>'Capital &amp; Ownership'!D7</f>
        <v/>
      </c>
      <c r="G51" s="26" t="inlineStr">
        <is>
          <t>30% — Partner</t>
        </is>
      </c>
      <c r="H51" s="390">
        <f>'Capital &amp; Ownership'!E7</f>
        <v/>
      </c>
      <c r="I51" s="340" t="n"/>
      <c r="J51" s="390">
        <f>'Capital &amp; Ownership'!F7</f>
        <v/>
      </c>
      <c r="K51" s="340" t="n"/>
      <c r="L51" s="374">
        <f>IFERROR('Capital &amp; Ownership'!E7/'Capital &amp; Ownership'!D7,0)</f>
        <v/>
      </c>
      <c r="M51" s="340" t="n"/>
    </row>
    <row r="52" ht="19.95" customHeight="1" s="331">
      <c r="B52" s="371">
        <f>'Capital &amp; Ownership'!B8</f>
        <v/>
      </c>
      <c r="C52" s="340" t="n"/>
      <c r="D52" s="358">
        <f>'Capital &amp; Ownership'!C8</f>
        <v/>
      </c>
      <c r="E52" s="340" t="n"/>
      <c r="F52" s="366">
        <f>'Capital &amp; Ownership'!D8</f>
        <v/>
      </c>
      <c r="G52" s="349" t="inlineStr">
        <is>
          <t>20% — Partner</t>
        </is>
      </c>
      <c r="H52" s="366">
        <f>'Capital &amp; Ownership'!E8</f>
        <v/>
      </c>
      <c r="I52" s="340" t="n"/>
      <c r="J52" s="366">
        <f>'Capital &amp; Ownership'!F8</f>
        <v/>
      </c>
      <c r="K52" s="340" t="n"/>
      <c r="L52" s="358">
        <f>IFERROR('Capital &amp; Ownership'!E8/'Capital &amp; Ownership'!D8,0)</f>
        <v/>
      </c>
      <c r="M52" s="340" t="n"/>
    </row>
    <row r="53" ht="22.05" customHeight="1" s="331">
      <c r="B53" s="382" t="inlineStr">
        <is>
          <t>TOTAL</t>
        </is>
      </c>
      <c r="C53" s="340" t="n"/>
      <c r="D53" s="356">
        <f>'Capital &amp; Ownership'!C9</f>
        <v/>
      </c>
      <c r="E53" s="340" t="n"/>
      <c r="F53" s="339">
        <f>'Capital &amp; Ownership'!D9</f>
        <v/>
      </c>
      <c r="G53" s="372" t="n"/>
      <c r="H53" s="339">
        <f>'Capital &amp; Ownership'!E9</f>
        <v/>
      </c>
      <c r="I53" s="340" t="n"/>
      <c r="J53" s="339">
        <f>'Capital &amp; Ownership'!F9</f>
        <v/>
      </c>
      <c r="K53" s="340" t="n"/>
      <c r="L53" s="356">
        <f>IFERROR('Capital &amp; Ownership'!E9/'Capital &amp; Ownership'!D9,0)</f>
        <v/>
      </c>
      <c r="M53" s="340" t="n"/>
    </row>
    <row r="54" ht="7.95" customHeight="1" s="331"/>
    <row r="55" ht="22.05" customHeight="1" s="331">
      <c r="B55" s="421" t="inlineStr">
        <is>
          <t xml:space="preserve">  🧾  PRE-OPENING EXPENSES BREAKDOWN</t>
        </is>
      </c>
    </row>
    <row r="56" ht="19.95" customHeight="1" s="331">
      <c r="B56" s="372" t="inlineStr">
        <is>
          <t>EXPENSE ITEM</t>
        </is>
      </c>
      <c r="C56" s="344" t="n"/>
      <c r="D56" s="340" t="n"/>
      <c r="E56" s="372" t="inlineStr">
        <is>
          <t>PAID BY</t>
        </is>
      </c>
      <c r="F56" s="340" t="n"/>
      <c r="G56" s="372" t="inlineStr">
        <is>
          <t>AMOUNT ($)</t>
        </is>
      </c>
      <c r="H56" s="340" t="n"/>
      <c r="I56" s="372" t="inlineStr">
        <is>
          <t>CATEGORY</t>
        </is>
      </c>
      <c r="J56" s="340" t="n"/>
      <c r="K56" s="372" t="inlineStr">
        <is>
          <t>STATUS</t>
        </is>
      </c>
      <c r="L56" s="340" t="n"/>
    </row>
    <row r="57" ht="19.95" customHeight="1" s="331">
      <c r="B57" s="354">
        <f>'Capital &amp; Ownership'!B13</f>
        <v/>
      </c>
      <c r="C57" s="344" t="n"/>
      <c r="D57" s="340" t="n"/>
      <c r="E57" s="377" t="inlineStr">
        <is>
          <t>All Partners</t>
        </is>
      </c>
      <c r="F57" s="340" t="n"/>
      <c r="G57" s="363">
        <f>'Capital &amp; Ownership'!D13</f>
        <v/>
      </c>
      <c r="H57" s="340" t="n"/>
      <c r="I57" s="377" t="inlineStr">
        <is>
          <t>Acquisition</t>
        </is>
      </c>
      <c r="J57" s="340" t="n"/>
      <c r="K57" s="377" t="inlineStr">
        <is>
          <t>⚠️ Not Fully Paid</t>
        </is>
      </c>
      <c r="L57" s="340" t="n"/>
    </row>
    <row r="58" ht="19.95" customHeight="1" s="331">
      <c r="B58" s="343">
        <f>'Capital &amp; Ownership'!B14</f>
        <v/>
      </c>
      <c r="C58" s="344" t="n"/>
      <c r="D58" s="340" t="n"/>
      <c r="E58" s="367" t="inlineStr">
        <is>
          <t>Lohith Reddy</t>
        </is>
      </c>
      <c r="F58" s="340" t="n"/>
      <c r="G58" s="369">
        <f>'Capital &amp; Ownership'!D14</f>
        <v/>
      </c>
      <c r="H58" s="340" t="n"/>
      <c r="I58" s="367" t="inlineStr">
        <is>
          <t>Acquisition Advance</t>
        </is>
      </c>
      <c r="J58" s="340" t="n"/>
      <c r="K58" s="367" t="inlineStr">
        <is>
          <t>✅ Paid</t>
        </is>
      </c>
      <c r="L58" s="340" t="n"/>
    </row>
    <row r="59" ht="19.95" customHeight="1" s="331">
      <c r="B59" s="343">
        <f>'Capital &amp; Ownership'!B35</f>
        <v/>
      </c>
      <c r="C59" s="344" t="n"/>
      <c r="D59" s="340" t="n"/>
      <c r="E59" s="367" t="inlineStr">
        <is>
          <t>Kashigoud Patil</t>
        </is>
      </c>
      <c r="F59" s="340" t="n"/>
      <c r="G59" s="369">
        <f>'Capital &amp; Ownership'!D35</f>
        <v/>
      </c>
      <c r="H59" s="340" t="n"/>
      <c r="I59" s="367" t="inlineStr">
        <is>
          <t>Software / License</t>
        </is>
      </c>
      <c r="J59" s="340" t="n"/>
      <c r="K59" s="367" t="inlineStr">
        <is>
          <t>✅ Paid</t>
        </is>
      </c>
      <c r="L59" s="340" t="n"/>
    </row>
    <row r="60" ht="19.95" customHeight="1" s="331">
      <c r="B60" s="343">
        <f>'Capital &amp; Ownership'!B36</f>
        <v/>
      </c>
      <c r="C60" s="344" t="n"/>
      <c r="D60" s="340" t="n"/>
      <c r="E60" s="367" t="inlineStr">
        <is>
          <t>Kashigoud Patil</t>
        </is>
      </c>
      <c r="F60" s="340" t="n"/>
      <c r="G60" s="369">
        <f>'Capital &amp; Ownership'!D36</f>
        <v/>
      </c>
      <c r="H60" s="340" t="n"/>
      <c r="I60" s="367" t="inlineStr">
        <is>
          <t>Equipment</t>
        </is>
      </c>
      <c r="J60" s="340" t="n"/>
      <c r="K60" s="367" t="inlineStr">
        <is>
          <t>✅ Paid</t>
        </is>
      </c>
      <c r="L60" s="340" t="n"/>
    </row>
    <row r="61" ht="19.95" customHeight="1" s="331">
      <c r="B61" s="371">
        <f>'Capital &amp; Ownership'!B47</f>
        <v/>
      </c>
      <c r="C61" s="344" t="n"/>
      <c r="D61" s="340" t="n"/>
      <c r="E61" s="349" t="inlineStr">
        <is>
          <t>Lohith Reddy</t>
        </is>
      </c>
      <c r="F61" s="340" t="n"/>
      <c r="G61" s="366">
        <f>'Capital &amp; Ownership'!D47</f>
        <v/>
      </c>
      <c r="H61" s="340" t="n"/>
      <c r="I61" s="349" t="inlineStr">
        <is>
          <t>Legal / Notary</t>
        </is>
      </c>
      <c r="J61" s="340" t="n"/>
      <c r="K61" s="349" t="inlineStr">
        <is>
          <t>✅ Paid</t>
        </is>
      </c>
      <c r="L61" s="340" t="n"/>
    </row>
    <row r="62" ht="19.95" customHeight="1" s="331">
      <c r="B62" s="371">
        <f>'Capital &amp; Ownership'!B50</f>
        <v/>
      </c>
      <c r="C62" s="344" t="n"/>
      <c r="D62" s="340" t="n"/>
      <c r="E62" s="349" t="inlineStr">
        <is>
          <t>Lohith Reddy</t>
        </is>
      </c>
      <c r="F62" s="340" t="n"/>
      <c r="G62" s="366">
        <f>'Capital &amp; Ownership'!D50</f>
        <v/>
      </c>
      <c r="H62" s="340" t="n"/>
      <c r="I62" s="349" t="inlineStr">
        <is>
          <t>Legal / Insurance</t>
        </is>
      </c>
      <c r="J62" s="340" t="n"/>
      <c r="K62" s="349" t="inlineStr">
        <is>
          <t>✅ Paid</t>
        </is>
      </c>
      <c r="L62" s="340" t="n"/>
    </row>
    <row r="63" ht="19.95" customHeight="1" s="331">
      <c r="B63" s="371">
        <f>'Capital &amp; Ownership'!B51</f>
        <v/>
      </c>
      <c r="C63" s="344" t="n"/>
      <c r="D63" s="340" t="n"/>
      <c r="E63" s="349" t="inlineStr">
        <is>
          <t>Lohith Reddy</t>
        </is>
      </c>
      <c r="F63" s="340" t="n"/>
      <c r="G63" s="366">
        <f>'Capital &amp; Ownership'!D51</f>
        <v/>
      </c>
      <c r="H63" s="340" t="n"/>
      <c r="I63" s="349" t="inlineStr">
        <is>
          <t>Professional Services</t>
        </is>
      </c>
      <c r="J63" s="340" t="n"/>
      <c r="K63" s="349" t="inlineStr">
        <is>
          <t>✅ Paid</t>
        </is>
      </c>
      <c r="L63" s="340" t="n"/>
    </row>
    <row r="64" ht="19.95" customHeight="1" s="331">
      <c r="B64" s="403" t="inlineStr">
        <is>
          <t xml:space="preserve">  ℹ️  Internal transfers:  Kashigoud → Lohith  $125,000  |  Shashirekha → Lohith  $100,000  (not counted as expenses — capital reallocation only)</t>
        </is>
      </c>
      <c r="C64" s="344" t="n"/>
      <c r="D64" s="344" t="n"/>
      <c r="E64" s="344" t="n"/>
      <c r="F64" s="344" t="n"/>
      <c r="G64" s="344" t="n"/>
      <c r="H64" s="344" t="n"/>
      <c r="I64" s="344" t="n"/>
      <c r="J64" s="344" t="n"/>
      <c r="K64" s="344" t="n"/>
      <c r="L64" s="344" t="n"/>
      <c r="M64" s="340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J52:K52"/>
    <mergeCell ref="E56:F56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K59:L59"/>
    <mergeCell ref="B64:M64"/>
    <mergeCell ref="D16:E16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AB372"/>
  <sheetViews>
    <sheetView showGridLines="0" tabSelected="1" topLeftCell="O1" zoomScaleNormal="100" workbookViewId="0">
      <pane ySplit="7" topLeftCell="A57" activePane="bottomLeft" state="frozen"/>
      <selection pane="bottomLeft" activeCell="U15" sqref="U15"/>
    </sheetView>
  </sheetViews>
  <sheetFormatPr baseColWidth="8" defaultColWidth="8.6640625" defaultRowHeight="14.4" customHeight="1"/>
  <cols>
    <col width="4" customWidth="1" style="331" min="1" max="1"/>
    <col width="18" customWidth="1" style="331" min="2" max="2"/>
    <col width="16" customWidth="1" style="331" min="3" max="5"/>
    <col width="12" customWidth="1" style="331" min="6" max="6"/>
    <col width="14" customWidth="1" style="331" min="7" max="7"/>
    <col width="16" customWidth="1" style="331" min="8" max="9"/>
    <col width="12" customWidth="1" style="331" min="10" max="10"/>
    <col width="30" customWidth="1" style="331" min="11" max="11"/>
    <col width="16" customWidth="1" style="331" min="12" max="17"/>
    <col width="14.33203125" bestFit="1" customWidth="1" style="331" min="21" max="21"/>
    <col width="13" customWidth="1" style="331" min="22" max="24"/>
    <col width="14.33203125" customWidth="1" style="331" min="25" max="25"/>
    <col width="13" customWidth="1" style="331" min="26" max="28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331">
      <c r="A2" s="417" t="inlineStr">
        <is>
          <t>📅  LOKA — DAILY LOG</t>
        </is>
      </c>
      <c r="I2" s="418" t="inlineStr">
        <is>
          <t>Enter 2 values from Soft App each day → everything else calculates</t>
        </is>
      </c>
    </row>
    <row r="3" ht="3.75" customHeight="1" s="331">
      <c r="A3" s="419" t="n"/>
    </row>
    <row r="4" ht="7.5" customHeight="1" s="331"/>
    <row r="5" ht="49.5" customHeight="1" s="331">
      <c r="B5" s="328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  <c r="N5" s="329" t="n"/>
      <c r="O5" s="329" t="n"/>
      <c r="P5" s="329" t="n"/>
    </row>
    <row r="6" ht="7.5" customHeight="1" s="331">
      <c r="B6" s="27" t="n"/>
      <c r="D6" s="28" t="n"/>
      <c r="E6" s="29" t="n"/>
      <c r="F6" s="30">
        <f>SUMIFS($D$8:$D$5000,$B$8:$B$5000,TODAY())+SUMIFS($E$8:$E$5000,$B$8:$B$5000,TODAY())+SUMIFS($G$8:$G$5000,$B$8:$B$5000,TODAY())+SUMIFS($U$8:$U$5000,$B$8:$B$5000,TODAY())+SUMIFS($Y$8:$Y$5000,$B$8:$B$5000,TODAY())</f>
        <v>1960.0</v>
      </c>
      <c r="G6" s="31">
        <f>SUMIFS($G$8:$G$5000,$B$8:$B$5000,TODAY())</f>
        <v>0.0</v>
      </c>
      <c r="H6" s="28">
        <f>SUMIFS($H$8:$H$5000,$B$8:$B$5000,TODAY())</f>
        <v>4626.0</v>
      </c>
      <c r="I6" s="32">
        <f>F6-H6</f>
        <v>-2666.0</v>
      </c>
      <c r="J6">
        <f>IFERROR(I6/F6,0)</f>
        <v>-1.360204</v>
      </c>
      <c r="K6" s="28" t="n"/>
      <c r="L6" s="31" t="n"/>
      <c r="M6" s="28">
        <f>SUMIFS($F$8:$F$5000,$B$8:$B$5000,"&gt;="&amp;(TODAY()-WEEKDAY(TODAY(),2)+1),$B$8:$B$5000,"&lt;"&amp;(TODAY()-WEEKDAY(TODAY(),2)+8))</f>
        <v>28486.0</v>
      </c>
      <c r="N6" s="33">
        <f>SUMIFS($F$8:$F$5000,$B$8:$B$5000,"&gt;="&amp;(TODAY()-WEEKDAY(TODAY(),2)+1),$B$8:$B$5000,"&lt;"&amp;(TODAY()-WEEKDAY(TODAY(),2)+8))</f>
        <v>28486.0</v>
      </c>
      <c r="O6" s="33">
        <f>SUMIFS($F$8:$F$5000,$B$8:$B$5000,"&gt;="&amp;DATE(YEAR(TODAY()),MONTH(TODAY()),1),$B$8:$B$5000,"&lt;"&amp;DATE(YEAR(TODAY()),MONTH(TODAY())+1,1))</f>
        <v>73580.0</v>
      </c>
      <c r="P6">
        <f>SUMIFS('💸 Expenses'!$F$8:$F$5000,'💸 Expenses'!$B$8:$B$5000,"&gt;="&amp;(TODAY()-WEEKDAY(TODAY(),2)+1),'💸 Expenses'!$B$8:$B$5000,"&lt;"&amp;(TODAY()-WEEKDAY(TODAY(),2)+8))</f>
        <v>10059.0</v>
      </c>
      <c r="Q6">
        <f>M6-P6</f>
        <v>18427.0</v>
      </c>
    </row>
    <row r="7" ht="27.75" customHeight="1" s="331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6" t="inlineStr">
        <is>
          <t>MP Comm $</t>
        </is>
      </c>
      <c r="S7" s="6" t="inlineStr">
        <is>
          <t>MP Rate</t>
        </is>
      </c>
      <c r="T7" s="6" t="n">
        <v>0.0406</v>
      </c>
      <c r="U7" s="6" t="inlineStr">
        <is>
          <t>Soft Rest Card $</t>
        </is>
      </c>
      <c r="V7" s="6" t="inlineStr">
        <is>
          <t>Soft Comm $</t>
        </is>
      </c>
      <c r="W7" s="6" t="inlineStr">
        <is>
          <t>Soft Rate</t>
        </is>
      </c>
      <c r="X7" s="6" t="n">
        <v>0.0205</v>
      </c>
      <c r="Y7" s="6" t="inlineStr">
        <is>
          <t>BBVA Card $</t>
        </is>
      </c>
      <c r="Z7" s="6" t="inlineStr">
        <is>
          <t>BBVA Comm $</t>
        </is>
      </c>
      <c r="AA7" s="6" t="inlineStr">
        <is>
          <t>BBVA Rate</t>
        </is>
      </c>
      <c r="AB7" s="6" t="n">
        <v>0.019</v>
      </c>
    </row>
    <row r="8" ht="16.5" customHeight="1" s="331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IFERROR(D8+E8+G8+U8+Y8,0)</f>
        <v>3689.0</v>
      </c>
      <c r="G8" s="39" t="n"/>
      <c r="H8" s="40">
        <f>SUMIFS('💸 Expenses'!$F$8:$F$5000,'💸 Expenses'!$B$8:$B$5000,"&gt;="&amp;B8,'💸 Expenses'!$B$8:$B$5000,"&lt;"&amp;(B8+1))</f>
        <v>2629.0</v>
      </c>
      <c r="I8" s="41">
        <f>IFERROR(F8-H8,0)</f>
        <v>1060.0</v>
      </c>
      <c r="J8" s="42">
        <f>IFERROR(I8/F8,0)</f>
        <v>0.287341</v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4">
        <f>IFERROR(D8*$T$7,0)</f>
        <v>90.5</v>
      </c>
      <c r="S8" s="44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</row>
    <row r="9" ht="16.5" customHeight="1" s="331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IFERROR(D9+E9+G9+U9+Y9,0)</f>
        <v>3854.0</v>
      </c>
      <c r="G9" s="51" t="n"/>
      <c r="H9" s="52">
        <f>SUMIFS('💸 Expenses'!$F$8:$F$5000,'💸 Expenses'!$B$8:$B$5000,"&gt;="&amp;B9,'💸 Expenses'!$B$8:$B$5000,"&lt;"&amp;(B9+1))</f>
        <v>30.0</v>
      </c>
      <c r="I9" s="53">
        <f>IFERROR(F9-H9,0)</f>
        <v>3824.0</v>
      </c>
      <c r="J9" s="54">
        <f>IFERROR(I9/F9,0)</f>
        <v>0.992216</v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56">
        <f>IFERROR(D9*$T$7,0)</f>
        <v>86.27</v>
      </c>
      <c r="S9" s="56" t="n"/>
      <c r="T9" s="56" t="n"/>
      <c r="U9" s="56" t="n"/>
      <c r="V9" s="56" t="n"/>
      <c r="W9" s="56" t="n"/>
      <c r="X9" s="56" t="n"/>
      <c r="Y9" s="56" t="n"/>
      <c r="Z9" s="56" t="n"/>
      <c r="AA9" s="56" t="n"/>
      <c r="AB9" s="56" t="n"/>
    </row>
    <row r="10" ht="16.5" customHeight="1" s="331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IFERROR(D10+E10+G10+U10+Y10,0)</f>
        <v>4124.0</v>
      </c>
      <c r="G10" s="39" t="n"/>
      <c r="H10" s="40">
        <f>SUMIFS('💸 Expenses'!$F$8:$F$5000,'💸 Expenses'!$B$8:$B$5000,"&gt;="&amp;B10,'💸 Expenses'!$B$8:$B$5000,"&lt;"&amp;(B10+1))</f>
        <v>3777.0</v>
      </c>
      <c r="I10" s="41">
        <f>IFERROR(F10-H10,0)</f>
        <v>347.0</v>
      </c>
      <c r="J10" s="42">
        <f>IFERROR(I10/F10,0)</f>
        <v>0.084142</v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4">
        <f>IFERROR(D10*$T$7,0)</f>
        <v>59.24</v>
      </c>
      <c r="S10" s="44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</row>
    <row r="11" ht="16.5" customHeight="1" s="331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IFERROR(D11+E11+G11+U11+Y11,0)</f>
        <v>4733.0</v>
      </c>
      <c r="G11" s="51" t="n"/>
      <c r="H11" s="52">
        <f>SUMIFS('💸 Expenses'!$F$8:$F$5000,'💸 Expenses'!$B$8:$B$5000,"&gt;="&amp;B11,'💸 Expenses'!$B$8:$B$5000,"&lt;"&amp;(B11+1))</f>
        <v>2434.0</v>
      </c>
      <c r="I11" s="53">
        <f>IFERROR(F11-H11,0)</f>
        <v>2299.0</v>
      </c>
      <c r="J11" s="54">
        <f>IFERROR(I11/F11,0)</f>
        <v>0.485738</v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56">
        <f>IFERROR(D11*$T$7,0)</f>
        <v>104.34</v>
      </c>
      <c r="S11" s="56" t="n"/>
      <c r="T11" s="56" t="n"/>
      <c r="U11" s="56" t="n"/>
      <c r="V11" s="56" t="n"/>
      <c r="W11" s="56" t="n"/>
      <c r="X11" s="56" t="n"/>
      <c r="Y11" s="56" t="n"/>
      <c r="Z11" s="56" t="n"/>
      <c r="AA11" s="56" t="n"/>
      <c r="AB11" s="56" t="n"/>
    </row>
    <row r="12" ht="16.5" customHeight="1" s="331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IFERROR(D12+E12+G12+U12+Y12,0)</f>
        <v>4282.0</v>
      </c>
      <c r="G12" s="39" t="n"/>
      <c r="H12" s="40">
        <f>SUMIFS('💸 Expenses'!$F$8:$F$5000,'💸 Expenses'!$B$8:$B$5000,"&gt;="&amp;B12,'💸 Expenses'!$B$8:$B$5000,"&lt;"&amp;(B12+1))</f>
        <v>1457.0</v>
      </c>
      <c r="I12" s="41">
        <f>IFERROR(F12-H12,0)</f>
        <v>2825.0</v>
      </c>
      <c r="J12" s="42">
        <f>IFERROR(I12/F12,0)</f>
        <v>0.659738</v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4">
        <f>IFERROR(D12*$T$7,0)</f>
        <v>79.54</v>
      </c>
      <c r="S12" s="44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</row>
    <row r="13" ht="16.5" customHeight="1" s="331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IFERROR(D13+E13+G13+U13+Y13,0)</f>
        <v>3802.0</v>
      </c>
      <c r="G13" s="51" t="n"/>
      <c r="H13" s="52">
        <f>SUMIFS('💸 Expenses'!$F$8:$F$5000,'💸 Expenses'!$B$8:$B$5000,"&gt;="&amp;B13,'💸 Expenses'!$B$8:$B$5000,"&lt;"&amp;(B13+1))</f>
        <v>7755.43</v>
      </c>
      <c r="I13" s="53">
        <f>IFERROR(F13-H13,0)</f>
        <v>-3953.43</v>
      </c>
      <c r="J13" s="54">
        <f>IFERROR(I13/F13,0)</f>
        <v>-1.039829</v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56">
        <f>IFERROR(D13*$T$7,0)</f>
        <v>82.99</v>
      </c>
      <c r="S13" s="56" t="n"/>
      <c r="T13" s="56" t="n"/>
      <c r="U13" s="56" t="n"/>
      <c r="V13" s="56" t="n"/>
      <c r="W13" s="56" t="n"/>
      <c r="X13" s="56" t="n"/>
      <c r="Y13" s="56" t="n"/>
      <c r="Z13" s="56" t="n"/>
      <c r="AA13" s="56" t="n"/>
      <c r="AB13" s="56" t="n"/>
    </row>
    <row r="14" ht="16.5" customHeight="1" s="331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IFERROR(D14+E14+G14+U14+Y14,0)</f>
        <v>1198.0</v>
      </c>
      <c r="G14" s="39" t="n"/>
      <c r="H14" s="40">
        <f>SUMIFS('💸 Expenses'!$F$8:$F$5000,'💸 Expenses'!$B$8:$B$5000,"&gt;="&amp;B14,'💸 Expenses'!$B$8:$B$5000,"&lt;"&amp;(B14+1))</f>
        <v>1076.0</v>
      </c>
      <c r="I14" s="41">
        <f>IFERROR(F14-H14,0)</f>
        <v>122.0</v>
      </c>
      <c r="J14" s="42">
        <f>IFERROR(I14/F14,0)</f>
        <v>0.101836</v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4">
        <f>IFERROR(D14*$T$7,0)</f>
        <v>0.0</v>
      </c>
      <c r="S14" s="44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</row>
    <row r="15" ht="16.5" customHeight="1" s="331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IFERROR(D15+E15+G15+U15+Y15,0)</f>
        <v>3730.0</v>
      </c>
      <c r="G15" s="51" t="n"/>
      <c r="H15" s="52">
        <f>SUMIFS('💸 Expenses'!$F$8:$F$5000,'💸 Expenses'!$B$8:$B$5000,"&gt;="&amp;B15,'💸 Expenses'!$B$8:$B$5000,"&lt;"&amp;(B15+1))</f>
        <v>3021.45</v>
      </c>
      <c r="I15" s="53">
        <f>IFERROR(F15-H15,0)</f>
        <v>708.55</v>
      </c>
      <c r="J15" s="54">
        <f>IFERROR(I15/F15,0)</f>
        <v>0.18996</v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56">
        <f>IFERROR(D15*$T$7,0)</f>
        <v>85.5</v>
      </c>
      <c r="S15" s="56" t="n"/>
      <c r="T15" s="56" t="n"/>
      <c r="U15" s="56" t="n"/>
      <c r="V15" s="56" t="n"/>
      <c r="W15" s="56" t="n"/>
      <c r="X15" s="56" t="n"/>
      <c r="Y15" s="56" t="n"/>
      <c r="Z15" s="56" t="n"/>
      <c r="AA15" s="56" t="n"/>
      <c r="AB15" s="56" t="n"/>
    </row>
    <row r="16" ht="16.5" customHeight="1" s="331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IFERROR(D16+E16+G16+U16+Y16,0)</f>
        <v>4264.0</v>
      </c>
      <c r="G16" s="39" t="n"/>
      <c r="H16" s="40">
        <f>SUMIFS('💸 Expenses'!$F$8:$F$5000,'💸 Expenses'!$B$8:$B$5000,"&gt;="&amp;B16,'💸 Expenses'!$B$8:$B$5000,"&lt;"&amp;(B16+1))</f>
        <v>1191.6</v>
      </c>
      <c r="I16" s="41">
        <f>IFERROR(F16-H16,0)</f>
        <v>3072.4</v>
      </c>
      <c r="J16" s="42">
        <f>IFERROR(I16/F16,0)</f>
        <v>0.720544</v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4">
        <f>IFERROR(D16*$T$7,0)</f>
        <v>77.51</v>
      </c>
      <c r="S16" s="44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</row>
    <row r="17" ht="16.5" customHeight="1" s="331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IFERROR(D17+E17+G17+U17+Y17,0)</f>
        <v>3621.0</v>
      </c>
      <c r="G17" s="51" t="n"/>
      <c r="H17" s="52">
        <f>SUMIFS('💸 Expenses'!$F$8:$F$5000,'💸 Expenses'!$B$8:$B$5000,"&gt;="&amp;B17,'💸 Expenses'!$B$8:$B$5000,"&lt;"&amp;(B17+1))</f>
        <v>1073.22</v>
      </c>
      <c r="I17" s="53">
        <f>IFERROR(F17-H17,0)</f>
        <v>2547.78</v>
      </c>
      <c r="J17" s="54">
        <f>IFERROR(I17/F17,0)</f>
        <v>0.703612</v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56">
        <f>IFERROR(D17*$T$7,0)</f>
        <v>79.41</v>
      </c>
      <c r="S17" s="56" t="n"/>
      <c r="T17" s="56" t="n"/>
      <c r="U17" s="56" t="n"/>
      <c r="V17" s="56" t="n"/>
      <c r="W17" s="56" t="n"/>
      <c r="X17" s="56" t="n"/>
      <c r="Y17" s="56" t="n"/>
      <c r="Z17" s="56" t="n"/>
      <c r="AA17" s="56" t="n"/>
      <c r="AB17" s="56" t="n"/>
    </row>
    <row r="18" ht="16.5" customHeight="1" s="331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IFERROR(D18+E18+G18+U18+Y18,0)</f>
        <v>4070.0</v>
      </c>
      <c r="G18" s="39" t="n"/>
      <c r="H18" s="40">
        <f>SUMIFS('💸 Expenses'!$F$8:$F$5000,'💸 Expenses'!$B$8:$B$5000,"&gt;="&amp;B18,'💸 Expenses'!$B$8:$B$5000,"&lt;"&amp;(B18+1))</f>
        <v>1931.34</v>
      </c>
      <c r="I18" s="41">
        <f>IFERROR(F18-H18,0)</f>
        <v>2138.66</v>
      </c>
      <c r="J18" s="42">
        <f>IFERROR(I18/F18,0)</f>
        <v>0.525469</v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4">
        <f>IFERROR(D18*$T$7,0)</f>
        <v>60.94</v>
      </c>
      <c r="S18" s="44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</row>
    <row r="19" ht="16.5" customHeight="1" s="331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IFERROR(D19+E19+G19+U19+Y19,0)</f>
        <v>6086.0</v>
      </c>
      <c r="G19" s="51" t="n"/>
      <c r="H19" s="52">
        <f>SUMIFS('💸 Expenses'!$F$8:$F$5000,'💸 Expenses'!$B$8:$B$5000,"&gt;="&amp;B19,'💸 Expenses'!$B$8:$B$5000,"&lt;"&amp;(B19+1))</f>
        <v>257.29</v>
      </c>
      <c r="I19" s="53">
        <f>IFERROR(F19-H19,0)</f>
        <v>5828.71</v>
      </c>
      <c r="J19" s="54">
        <f>IFERROR(I19/F19,0)</f>
        <v>0.957724</v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56">
        <f>IFERROR(D19*$T$7,0)</f>
        <v>136.78</v>
      </c>
      <c r="S19" s="56" t="n"/>
      <c r="T19" s="56" t="n"/>
      <c r="U19" s="56" t="n"/>
      <c r="V19" s="56" t="n"/>
      <c r="W19" s="56" t="n"/>
      <c r="X19" s="56" t="n"/>
      <c r="Y19" s="56" t="n"/>
      <c r="Z19" s="56" t="n"/>
      <c r="AA19" s="56" t="n"/>
      <c r="AB19" s="56" t="n"/>
    </row>
    <row r="20" ht="16.5" customHeight="1" s="331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IFERROR(D20+E20+G20+U20+Y20,0)</f>
        <v>4603.0</v>
      </c>
      <c r="G20" s="39" t="n"/>
      <c r="H20" s="40">
        <f>SUMIFS('💸 Expenses'!$F$8:$F$5000,'💸 Expenses'!$B$8:$B$5000,"&gt;="&amp;B20,'💸 Expenses'!$B$8:$B$5000,"&lt;"&amp;(B20+1))</f>
        <v>5974.3</v>
      </c>
      <c r="I20" s="41">
        <f>IFERROR(F20-H20,0)</f>
        <v>-1371.3</v>
      </c>
      <c r="J20" s="42">
        <f>IFERROR(I20/F20,0)</f>
        <v>-0.297914</v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4">
        <f>IFERROR(D20*$T$7,0)</f>
        <v>140.35</v>
      </c>
      <c r="S20" s="44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</row>
    <row r="21" ht="16.5" customHeight="1" s="331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IFERROR(D21+E21+G21+U21+Y21,0)</f>
        <v>893.0</v>
      </c>
      <c r="G21" s="51" t="n"/>
      <c r="H21" s="52">
        <f>SUMIFS('💸 Expenses'!$F$8:$F$5000,'💸 Expenses'!$B$8:$B$5000,"&gt;="&amp;B21,'💸 Expenses'!$B$8:$B$5000,"&lt;"&amp;(B21+1))</f>
        <v>10312.0</v>
      </c>
      <c r="I21" s="53">
        <f>IFERROR(F21-H21,0)</f>
        <v>-9419.0</v>
      </c>
      <c r="J21" s="54">
        <f>IFERROR(I21/F21,0)</f>
        <v>-10.547592</v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56">
        <f>IFERROR(D21*$T$7,0)</f>
        <v>0.0</v>
      </c>
      <c r="S21" s="56" t="n"/>
      <c r="T21" s="56" t="n"/>
      <c r="U21" s="56" t="n"/>
      <c r="V21" s="56" t="n"/>
      <c r="W21" s="56" t="n"/>
      <c r="X21" s="56" t="n"/>
      <c r="Y21" s="56" t="n"/>
      <c r="Z21" s="56" t="n"/>
      <c r="AA21" s="56" t="n"/>
      <c r="AB21" s="56" t="n"/>
    </row>
    <row r="22" ht="16.5" customHeight="1" s="331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IFERROR(D22+E22+G22+U22+Y22,0)</f>
        <v>5019.0</v>
      </c>
      <c r="G22" s="39" t="n">
        <v>310</v>
      </c>
      <c r="H22" s="40">
        <f>SUMIFS('💸 Expenses'!$F$8:$F$5000,'💸 Expenses'!$B$8:$B$5000,"&gt;="&amp;B22,'💸 Expenses'!$B$8:$B$5000,"&lt;"&amp;(B22+1))</f>
        <v>5329.64</v>
      </c>
      <c r="I22" s="41">
        <f>IFERROR(F22-H22,0)</f>
        <v>-310.64</v>
      </c>
      <c r="J22" s="42">
        <f>IFERROR(I22/F22,0)</f>
        <v>-0.061893</v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4">
        <f>IFERROR(D22*$T$7,0)</f>
        <v>139.38</v>
      </c>
      <c r="S22" s="44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</row>
    <row r="23" ht="16.5" customHeight="1" s="331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IFERROR(D23+E23+G23+U23+Y23,0)</f>
        <v>1843.0</v>
      </c>
      <c r="G23" s="51" t="n">
        <v>283</v>
      </c>
      <c r="H23" s="52">
        <f>SUMIFS('💸 Expenses'!$F$8:$F$5000,'💸 Expenses'!$B$8:$B$5000,"&gt;="&amp;B23,'💸 Expenses'!$B$8:$B$5000,"&lt;"&amp;(B23+1))</f>
        <v>2379.11</v>
      </c>
      <c r="I23" s="53">
        <f>IFERROR(F23-H23,0)</f>
        <v>-536.11</v>
      </c>
      <c r="J23" s="54">
        <f>IFERROR(I23/F23,0)</f>
        <v>-0.29089</v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56">
        <f>IFERROR(D23*$T$7,0)</f>
        <v>50.34</v>
      </c>
      <c r="S23" s="56" t="n"/>
      <c r="T23" s="56" t="n"/>
      <c r="U23" s="56" t="n"/>
      <c r="V23" s="56" t="n"/>
      <c r="W23" s="56" t="n"/>
      <c r="X23" s="56" t="n"/>
      <c r="Y23" s="56" t="n"/>
      <c r="Z23" s="56" t="n"/>
      <c r="AA23" s="56" t="n"/>
      <c r="AB23" s="56" t="n"/>
    </row>
    <row r="24" ht="16.5" customHeight="1" s="331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IFERROR(D24+E24+G24+U24+Y24,0)</f>
        <v>3912.0</v>
      </c>
      <c r="G24" s="39" t="n">
        <v>120</v>
      </c>
      <c r="H24" s="40">
        <f>SUMIFS('💸 Expenses'!$F$8:$F$5000,'💸 Expenses'!$B$8:$B$5000,"&gt;="&amp;B24,'💸 Expenses'!$B$8:$B$5000,"&lt;"&amp;(B24+1))</f>
        <v>4211.86</v>
      </c>
      <c r="I24" s="41">
        <f>IFERROR(F24-H24,0)</f>
        <v>-299.86</v>
      </c>
      <c r="J24" s="42">
        <f>IFERROR(I24/F24,0)</f>
        <v>-0.076651</v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4">
        <f>IFERROR(D24*$T$7,0)</f>
        <v>75.23</v>
      </c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</row>
    <row r="25" ht="16.5" customHeight="1" s="331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IFERROR(D25+E25+G25+U25+Y25,0)</f>
        <v>3757.0</v>
      </c>
      <c r="G25" s="51" t="n"/>
      <c r="H25" s="52">
        <f>SUMIFS('💸 Expenses'!$F$8:$F$5000,'💸 Expenses'!$B$8:$B$5000,"&gt;="&amp;B25,'💸 Expenses'!$B$8:$B$5000,"&lt;"&amp;(B25+1))</f>
        <v>20959.96</v>
      </c>
      <c r="I25" s="53">
        <f>IFERROR(F25-H25,0)</f>
        <v>-17202.96</v>
      </c>
      <c r="J25" s="54">
        <f>IFERROR(I25/F25,0)</f>
        <v>-4.578909</v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56">
        <f>IFERROR(D25*$T$7,0)</f>
        <v>110.11</v>
      </c>
      <c r="S25" s="56" t="n"/>
      <c r="T25" s="56" t="n"/>
      <c r="U25" s="56" t="n"/>
      <c r="V25" s="56" t="n"/>
      <c r="W25" s="56" t="n"/>
      <c r="X25" s="56" t="n"/>
      <c r="Y25" s="56" t="n"/>
      <c r="Z25" s="56" t="n"/>
      <c r="AA25" s="56" t="n"/>
      <c r="AB25" s="56" t="n"/>
    </row>
    <row r="26" ht="16.5" customHeight="1" s="331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IFERROR(D26+E26+G26+U26+Y26,0)</f>
        <v>4408.0</v>
      </c>
      <c r="G26" s="39" t="n">
        <v>135</v>
      </c>
      <c r="H26" s="40">
        <f>SUMIFS('💸 Expenses'!$F$8:$F$5000,'💸 Expenses'!$B$8:$B$5000,"&gt;="&amp;B26,'💸 Expenses'!$B$8:$B$5000,"&lt;"&amp;(B26+1))</f>
        <v>878.06</v>
      </c>
      <c r="I26" s="41">
        <f>IFERROR(F26-H26,0)</f>
        <v>3529.94</v>
      </c>
      <c r="J26" s="42">
        <f>IFERROR(I26/F26,0)</f>
        <v>0.800803</v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4">
        <f>IFERROR(D26*$T$7,0)</f>
        <v>101.3</v>
      </c>
      <c r="S26" s="44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</row>
    <row r="27" ht="16.5" customHeight="1" s="331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IFERROR(D27+E27+G27+U27+Y27,0)</f>
        <v>2334.0</v>
      </c>
      <c r="G27" s="51" t="n"/>
      <c r="H27" s="52">
        <f>SUMIFS('💸 Expenses'!$F$8:$F$5000,'💸 Expenses'!$B$8:$B$5000,"&gt;="&amp;B27,'💸 Expenses'!$B$8:$B$5000,"&lt;"&amp;(B27+1))</f>
        <v>5414.0</v>
      </c>
      <c r="I27" s="53">
        <f>IFERROR(F27-H27,0)</f>
        <v>-3080.0</v>
      </c>
      <c r="J27" s="54">
        <f>IFERROR(I27/F27,0)</f>
        <v>-1.319623</v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56">
        <f>IFERROR(D27*$T$7,0)</f>
        <v>23.55</v>
      </c>
      <c r="S27" s="56" t="n"/>
      <c r="T27" s="56" t="n"/>
      <c r="U27" s="56" t="n"/>
      <c r="V27" s="56" t="n"/>
      <c r="W27" s="56" t="n"/>
      <c r="X27" s="56" t="n"/>
      <c r="Y27" s="56" t="n"/>
      <c r="Z27" s="56" t="n"/>
      <c r="AA27" s="56" t="n"/>
      <c r="AB27" s="56" t="n"/>
    </row>
    <row r="28" ht="16.5" customHeight="1" s="331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IFERROR(D28+E28+G28+U28+Y28,0)</f>
        <v>0.0</v>
      </c>
      <c r="G28" s="39" t="n"/>
      <c r="H28" s="40">
        <f>SUMIFS('💸 Expenses'!$F$8:$F$5000,'💸 Expenses'!$B$8:$B$5000,"&gt;="&amp;B28,'💸 Expenses'!$B$8:$B$5000,"&lt;"&amp;(B28+1))</f>
        <v>1671.0</v>
      </c>
      <c r="I28" s="41">
        <f>IFERROR(F28-H28,0)</f>
        <v>-1671.0</v>
      </c>
      <c r="J28" s="260">
        <f>IFERROR(I28/F28,0)</f>
        <v>0</v>
      </c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4">
        <f>IFERROR(D28*$T$7,0)</f>
        <v>0.0</v>
      </c>
      <c r="S28" s="44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</row>
    <row r="29" ht="16.5" customHeight="1" s="331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IFERROR(D29+E29+G29+U29+Y29,0)</f>
        <v>3727.0</v>
      </c>
      <c r="G29" s="51" t="n">
        <v>99</v>
      </c>
      <c r="H29" s="52">
        <f>SUMIFS('💸 Expenses'!$F$8:$F$5000,'💸 Expenses'!$B$8:$B$5000,"&gt;="&amp;B29,'💸 Expenses'!$B$8:$B$5000,"&lt;"&amp;(B29+1))</f>
        <v>3187.11</v>
      </c>
      <c r="I29" s="53">
        <f>IFERROR(F29-H29,0)</f>
        <v>539.89</v>
      </c>
      <c r="J29" s="54">
        <f>IFERROR(I29/F29,0)</f>
        <v>0.144859</v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56">
        <f>IFERROR(D29*$T$7,0)</f>
        <v>72.19</v>
      </c>
      <c r="S29" s="56" t="n"/>
      <c r="T29" s="56" t="n"/>
      <c r="U29" s="56" t="n"/>
      <c r="V29" s="56" t="n"/>
      <c r="W29" s="56" t="n"/>
      <c r="X29" s="56" t="n"/>
      <c r="Y29" s="56" t="n"/>
      <c r="Z29" s="56" t="n"/>
      <c r="AA29" s="56" t="n"/>
      <c r="AB29" s="56" t="n"/>
    </row>
    <row r="30" ht="16.5" customHeight="1" s="331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IFERROR(D30+E30+G30+U30+Y30,0)</f>
        <v>5410.0</v>
      </c>
      <c r="G30" s="39" t="n"/>
      <c r="H30" s="40">
        <f>SUMIFS('💸 Expenses'!$F$8:$F$5000,'💸 Expenses'!$B$8:$B$5000,"&gt;="&amp;B30,'💸 Expenses'!$B$8:$B$5000,"&lt;"&amp;(B30+1))</f>
        <v>6623.98</v>
      </c>
      <c r="I30" s="41">
        <f>IFERROR(F30-H30,0)</f>
        <v>-1213.98</v>
      </c>
      <c r="J30" s="42">
        <f>IFERROR(I30/F30,0)</f>
        <v>-0.224396</v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4">
        <f>IFERROR(D30*$T$7,0)</f>
        <v>37.76</v>
      </c>
      <c r="S30" s="44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</row>
    <row r="31" ht="16.5" customHeight="1" s="331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IFERROR(D31+E31+G31+U31+Y31,0)</f>
        <v>4265.0</v>
      </c>
      <c r="G31" s="51" t="n"/>
      <c r="H31" s="52">
        <f>SUMIFS('💸 Expenses'!$F$8:$F$5000,'💸 Expenses'!$B$8:$B$5000,"&gt;="&amp;B31,'💸 Expenses'!$B$8:$B$5000,"&lt;"&amp;(B31+1))</f>
        <v>1341.81</v>
      </c>
      <c r="I31" s="53">
        <f>IFERROR(F31-H31,0)</f>
        <v>2923.19</v>
      </c>
      <c r="J31" s="54">
        <f>IFERROR(I31/F31,0)</f>
        <v>0.68539</v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56">
        <f>IFERROR(D31*$T$7,0)</f>
        <v>101.74</v>
      </c>
      <c r="S31" s="56" t="n"/>
      <c r="T31" s="56" t="n"/>
      <c r="U31" s="56" t="n"/>
      <c r="V31" s="56" t="n"/>
      <c r="W31" s="56" t="n"/>
      <c r="X31" s="56" t="n"/>
      <c r="Y31" s="56" t="n"/>
      <c r="Z31" s="56" t="n"/>
      <c r="AA31" s="56" t="n"/>
      <c r="AB31" s="56" t="n"/>
    </row>
    <row r="32" ht="16.5" customHeight="1" s="331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IFERROR(D32+E32+G32+U32+Y32,0)</f>
        <v>4166.0</v>
      </c>
      <c r="G32" s="39" t="n">
        <v>0</v>
      </c>
      <c r="H32" s="40">
        <f>SUMIFS('💸 Expenses'!$F$8:$F$5000,'💸 Expenses'!$B$8:$B$5000,"&gt;="&amp;B32,'💸 Expenses'!$B$8:$B$5000,"&lt;"&amp;(B32+1))</f>
        <v>4044.0</v>
      </c>
      <c r="I32" s="41">
        <f>IFERROR(F32-H32,0)</f>
        <v>122.0</v>
      </c>
      <c r="J32" s="42">
        <f>IFERROR(I32/F32,0)</f>
        <v>0.029285</v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4">
        <f>IFERROR(D32*$T$7,0)</f>
        <v>84.24</v>
      </c>
      <c r="S32" s="44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</row>
    <row r="33" ht="16.5" customHeight="1" s="331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IFERROR(D33+E33+G33+U33+Y33,0)</f>
        <v>6070.0</v>
      </c>
      <c r="G33" s="51" t="n">
        <v>0</v>
      </c>
      <c r="H33" s="52">
        <f>SUMIFS('💸 Expenses'!$F$8:$F$5000,'💸 Expenses'!$B$8:$B$5000,"&gt;="&amp;B33,'💸 Expenses'!$B$8:$B$5000,"&lt;"&amp;(B33+1))</f>
        <v>901.8</v>
      </c>
      <c r="I33" s="53">
        <f>IFERROR(F33-H33,0)</f>
        <v>5168.2</v>
      </c>
      <c r="J33" s="54">
        <f>IFERROR(I33/F33,0)</f>
        <v>0.851433</v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56">
        <f>IFERROR(D33*$T$7,0)</f>
        <v>106.98</v>
      </c>
      <c r="S33" s="56" t="n"/>
      <c r="T33" s="56" t="n"/>
      <c r="U33" s="56" t="n"/>
      <c r="V33" s="56" t="n"/>
      <c r="W33" s="56" t="n"/>
      <c r="X33" s="56" t="n"/>
      <c r="Y33" s="56" t="n"/>
      <c r="Z33" s="56" t="n"/>
      <c r="AA33" s="56" t="n"/>
      <c r="AB33" s="56" t="n"/>
    </row>
    <row r="34" ht="16.5" customHeight="1" s="331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IFERROR(D34+E34+G34+U34+Y34,0)</f>
        <v>1811.0</v>
      </c>
      <c r="G34" s="39" t="n">
        <v>0</v>
      </c>
      <c r="H34" s="40">
        <f>SUMIFS('💸 Expenses'!$F$8:$F$5000,'💸 Expenses'!$B$8:$B$5000,"&gt;="&amp;B34,'💸 Expenses'!$B$8:$B$5000,"&lt;"&amp;(B34+1))</f>
        <v>8084.16</v>
      </c>
      <c r="I34" s="41">
        <f>IFERROR(F34-H34,0)</f>
        <v>-6273.16</v>
      </c>
      <c r="J34" s="42">
        <f>IFERROR(I34/F34,0)</f>
        <v>-3.46392</v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4">
        <f>IFERROR(D34*$T$7,0)</f>
        <v>40.8</v>
      </c>
      <c r="S34" s="44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</row>
    <row r="35" ht="16.5" customHeight="1" s="331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IFERROR(D35+E35+G35+U35+Y35,0)</f>
        <v>0.0</v>
      </c>
      <c r="G35" s="51" t="n">
        <v>0</v>
      </c>
      <c r="H35" s="52">
        <f>SUMIFS('💸 Expenses'!$F$8:$F$5000,'💸 Expenses'!$B$8:$B$5000,"&gt;="&amp;B35,'💸 Expenses'!$B$8:$B$5000,"&lt;"&amp;(B35+1))</f>
        <v>1526.18</v>
      </c>
      <c r="I35" s="53">
        <f>IFERROR(F35-H35,0)</f>
        <v>-1526.18</v>
      </c>
      <c r="J35" s="54">
        <f>IFERROR(I35/F35,0)</f>
        <v>0</v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56">
        <f>IFERROR(D35*$T$7,0)</f>
        <v>0.0</v>
      </c>
      <c r="S35" s="56" t="n"/>
      <c r="T35" s="56" t="n"/>
      <c r="U35" s="56" t="n"/>
      <c r="V35" s="56" t="n"/>
      <c r="W35" s="56" t="n"/>
      <c r="X35" s="56" t="n"/>
      <c r="Y35" s="56" t="n"/>
      <c r="Z35" s="56" t="n"/>
      <c r="AA35" s="56" t="n"/>
      <c r="AB35" s="56" t="n"/>
    </row>
    <row r="36" ht="16.5" customHeight="1" s="331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IFERROR(D36+E36+G36+U36+Y36,0)</f>
        <v>4423.0</v>
      </c>
      <c r="G36" s="39" t="n">
        <v>0</v>
      </c>
      <c r="H36" s="40">
        <f>SUMIFS('💸 Expenses'!$F$8:$F$5000,'💸 Expenses'!$B$8:$B$5000,"&gt;="&amp;B36,'💸 Expenses'!$B$8:$B$5000,"&lt;"&amp;(B36+1))</f>
        <v>2858.08</v>
      </c>
      <c r="I36" s="41">
        <f>IFERROR(F36-H36,0)</f>
        <v>1564.92</v>
      </c>
      <c r="J36" s="42">
        <f>IFERROR(I36/F36,0)</f>
        <v>0.353814</v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4">
        <f>IFERROR(D36*$T$7,0)</f>
        <v>84.24</v>
      </c>
      <c r="S36" s="44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</row>
    <row r="37" ht="16.5" customHeight="1" s="331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IFERROR(D37+E37+G37+U37+Y37,0)</f>
        <v>2786.0</v>
      </c>
      <c r="G37" s="51" t="n">
        <v>0</v>
      </c>
      <c r="H37" s="52">
        <f>SUMIFS('💸 Expenses'!$F$8:$F$5000,'💸 Expenses'!$B$8:$B$5000,"&gt;="&amp;B37,'💸 Expenses'!$B$8:$B$5000,"&lt;"&amp;(B37+1))</f>
        <v>2541.9</v>
      </c>
      <c r="I37" s="53">
        <f>IFERROR(F37-H37,0)</f>
        <v>244.1</v>
      </c>
      <c r="J37" s="54">
        <f>IFERROR(I37/F37,0)</f>
        <v>0.087617</v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56">
        <f>IFERROR(D37*$T$7,0)</f>
        <v>74.74</v>
      </c>
      <c r="S37" s="56" t="n"/>
      <c r="T37" s="56" t="n"/>
      <c r="U37" s="56" t="n"/>
      <c r="V37" s="56" t="n"/>
      <c r="W37" s="56" t="n"/>
      <c r="X37" s="56" t="n"/>
      <c r="Y37" s="56" t="n"/>
      <c r="Z37" s="56" t="n"/>
      <c r="AA37" s="56" t="n"/>
      <c r="AB37" s="56" t="n"/>
    </row>
    <row r="38" ht="16.5" customHeight="1" s="331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IFERROR(D38+E38+G38+U38+Y38,0)</f>
        <v>4404.0</v>
      </c>
      <c r="G38" s="39" t="n">
        <v>0</v>
      </c>
      <c r="H38" s="40">
        <f>SUMIFS('💸 Expenses'!$F$8:$F$5000,'💸 Expenses'!$B$8:$B$5000,"&gt;="&amp;B38,'💸 Expenses'!$B$8:$B$5000,"&lt;"&amp;(B38+1))</f>
        <v>2353.0</v>
      </c>
      <c r="I38" s="41">
        <f>IFERROR(F38-H38,0)</f>
        <v>2051.0</v>
      </c>
      <c r="J38" s="42">
        <f>IFERROR(I38/F38,0)</f>
        <v>0.465713</v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4">
        <f>IFERROR(D38*$T$7,0)</f>
        <v>86.19</v>
      </c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</row>
    <row r="39" ht="16.5" customHeight="1" s="331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IFERROR(D39+E39+G39+U39+Y39,0)</f>
        <v>4165.0</v>
      </c>
      <c r="G39" s="51" t="n">
        <v>400</v>
      </c>
      <c r="H39" s="52">
        <f>SUMIFS('💸 Expenses'!$F$8:$F$5000,'💸 Expenses'!$B$8:$B$5000,"&gt;="&amp;B39,'💸 Expenses'!$B$8:$B$5000,"&lt;"&amp;(B39+1))</f>
        <v>2958.83</v>
      </c>
      <c r="I39" s="53">
        <f>IFERROR(F39-H39,0)</f>
        <v>1206.17</v>
      </c>
      <c r="J39" s="54">
        <f>IFERROR(I39/F39,0)</f>
        <v>0.289597</v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56">
        <f>IFERROR(D39*$T$7,0)</f>
        <v>89.77</v>
      </c>
      <c r="S39" s="56" t="n"/>
      <c r="T39" s="56" t="n"/>
      <c r="U39" s="56" t="n"/>
      <c r="V39" s="56" t="n"/>
      <c r="W39" s="56" t="n"/>
      <c r="X39" s="56" t="n"/>
      <c r="Y39" s="56" t="n"/>
      <c r="Z39" s="56" t="n"/>
      <c r="AA39" s="56" t="n"/>
      <c r="AB39" s="56" t="n"/>
    </row>
    <row r="40" ht="16.5" customHeight="1" s="331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IFERROR(D40+E40+G40+U40+Y40,0)</f>
        <v>6804.0</v>
      </c>
      <c r="G40" s="39" t="n">
        <v>120</v>
      </c>
      <c r="H40" s="40">
        <f>SUMIFS('💸 Expenses'!$F$8:$F$5000,'💸 Expenses'!$B$8:$B$5000,"&gt;="&amp;B40,'💸 Expenses'!$B$8:$B$5000,"&lt;"&amp;(B40+1))</f>
        <v>1483.0</v>
      </c>
      <c r="I40" s="41">
        <f>IFERROR(F40-H40,0)</f>
        <v>5321.0</v>
      </c>
      <c r="J40" s="42">
        <f>IFERROR(I40/F40,0)</f>
        <v>0.78204</v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4">
        <f>IFERROR(D40*$T$7,0)</f>
        <v>169.67</v>
      </c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</row>
    <row r="41" ht="16.5" customHeight="1" s="331">
      <c r="B41" s="229" t="n">
        <v>46193</v>
      </c>
      <c r="C41" s="255" t="inlineStr">
        <is>
          <t>Sat</t>
        </is>
      </c>
      <c r="D41" s="256" t="n">
        <v>1172</v>
      </c>
      <c r="E41" s="49" t="n">
        <v>1079</v>
      </c>
      <c r="F41" s="50">
        <f>IFERROR(D41+E41+G41+U41+Y41,0)</f>
        <v>2251.0</v>
      </c>
      <c r="G41" s="257" t="n">
        <v>0</v>
      </c>
      <c r="H41" s="258">
        <f>SUMIFS('💸 Expenses'!$F$8:$F$5000,'💸 Expenses'!$B$8:$B$5000,"&gt;="&amp;B41,'💸 Expenses'!$B$8:$B$5000,"&lt;"&amp;(B41+1))</f>
        <v>9320.81</v>
      </c>
      <c r="I41" s="259">
        <f>IFERROR(F41-H41,0)</f>
        <v>-7069.81</v>
      </c>
      <c r="J41" s="260">
        <f>IFERROR(I41/F41,0)</f>
        <v>-3.140742</v>
      </c>
      <c r="K41" s="254" t="n"/>
      <c r="L41" s="261" t="inlineStr">
        <is>
          <t>Cierre via loka.py</t>
        </is>
      </c>
      <c r="M41" s="21" t="n"/>
      <c r="N41" s="56" t="n"/>
      <c r="O41" s="57" t="n"/>
      <c r="P41" s="58" t="n"/>
      <c r="Q41" s="56" t="n"/>
      <c r="R41" s="56">
        <f>IFERROR(D41*$T$7,0)</f>
        <v>47.58</v>
      </c>
      <c r="S41" s="56" t="n"/>
      <c r="T41" s="56" t="n"/>
      <c r="U41" s="56" t="n"/>
      <c r="V41" s="56" t="n"/>
      <c r="W41" s="56" t="n"/>
      <c r="X41" s="56" t="n"/>
      <c r="Y41" s="56" t="n"/>
      <c r="Z41" s="56" t="n"/>
      <c r="AA41" s="56" t="n"/>
      <c r="AB41" s="56" t="n"/>
    </row>
    <row r="42" ht="16.5" customHeight="1" s="331">
      <c r="B42" s="229" t="n">
        <v>46194</v>
      </c>
      <c r="C42" s="270" t="inlineStr">
        <is>
          <t>Sun</t>
        </is>
      </c>
      <c r="D42" s="271" t="n">
        <v>0</v>
      </c>
      <c r="E42" s="37" t="n">
        <v>0</v>
      </c>
      <c r="F42" s="38">
        <f>IFERROR(D42+E42+G42+U42+Y42,0)</f>
        <v>0.0</v>
      </c>
      <c r="G42" s="272" t="n">
        <v>0</v>
      </c>
      <c r="H42" s="273">
        <f>SUMIFS('💸 Expenses'!$F$8:$F$5000,'💸 Expenses'!$B$8:$B$5000,"&gt;="&amp;B42,'💸 Expenses'!$B$8:$B$5000,"&lt;"&amp;(B42+1))</f>
        <v>2065.85</v>
      </c>
      <c r="I42" s="274">
        <f>IFERROR(F42-H42,0)</f>
        <v>-2065.85</v>
      </c>
      <c r="J42" s="275">
        <f>IFERROR(I42/F42,0)</f>
        <v>0</v>
      </c>
      <c r="K42" s="250" t="n"/>
      <c r="L42" s="276" t="inlineStr">
        <is>
          <t>Cierre via loka.py</t>
        </is>
      </c>
      <c r="M42" s="12" t="n"/>
      <c r="N42" s="44" t="n"/>
      <c r="O42" s="45" t="n"/>
      <c r="P42" s="46" t="n"/>
      <c r="Q42" s="44" t="n"/>
      <c r="R42" s="44">
        <f>IFERROR(D42*$T$7,0)</f>
        <v>0.0</v>
      </c>
      <c r="S42" s="44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</row>
    <row r="43" ht="16.5" customHeight="1" s="331">
      <c r="B43" s="229" t="n">
        <v>46195</v>
      </c>
      <c r="C43" s="255" t="inlineStr">
        <is>
          <t>Mon</t>
        </is>
      </c>
      <c r="D43" s="256" t="n">
        <v>2459</v>
      </c>
      <c r="E43" s="49" t="n">
        <v>1800</v>
      </c>
      <c r="F43" s="50">
        <f>IFERROR(D43+E43+G43+U43+Y43,0)</f>
        <v>4259.0</v>
      </c>
      <c r="G43" s="257" t="n">
        <v>0</v>
      </c>
      <c r="H43" s="258">
        <f>SUMIFS('💸 Expenses'!$F$8:$F$5000,'💸 Expenses'!$B$8:$B$5000,"&gt;="&amp;B43,'💸 Expenses'!$B$8:$B$5000,"&lt;"&amp;(B43+1))</f>
        <v>1451.0</v>
      </c>
      <c r="I43" s="259">
        <f>IFERROR(F43-H43,0)</f>
        <v>2808.0</v>
      </c>
      <c r="J43" s="260">
        <f>IFERROR(I43/F43,0)</f>
        <v>0.65931</v>
      </c>
      <c r="K43" s="254" t="n"/>
      <c r="L43" s="261" t="inlineStr">
        <is>
          <t>Cierre via loka.py</t>
        </is>
      </c>
      <c r="M43" s="21" t="n"/>
      <c r="N43" s="56" t="n"/>
      <c r="O43" s="57" t="n"/>
      <c r="P43" s="58" t="n"/>
      <c r="Q43" s="56" t="n"/>
      <c r="R43" s="56">
        <f>IFERROR(D43*$T$7,0)</f>
        <v>99.84</v>
      </c>
      <c r="S43" s="56" t="n"/>
      <c r="T43" s="56" t="n"/>
      <c r="U43" s="56" t="n"/>
      <c r="V43" s="56" t="n"/>
      <c r="W43" s="56" t="n"/>
      <c r="X43" s="56" t="n"/>
      <c r="Y43" s="56" t="n"/>
      <c r="Z43" s="56" t="n"/>
      <c r="AA43" s="56" t="n"/>
      <c r="AB43" s="56" t="n"/>
    </row>
    <row r="44" ht="16.5" customHeight="1" s="331">
      <c r="B44" s="229" t="n">
        <v>46196</v>
      </c>
      <c r="C44" s="270" t="inlineStr">
        <is>
          <t>Tue</t>
        </is>
      </c>
      <c r="D44" s="271" t="n">
        <v>1452</v>
      </c>
      <c r="E44" s="37" t="n">
        <v>1515</v>
      </c>
      <c r="F44" s="38">
        <f>IFERROR(D44+E44+G44+U44+Y44,0)</f>
        <v>2967.0</v>
      </c>
      <c r="G44" s="272" t="n">
        <v>0</v>
      </c>
      <c r="H44" s="273">
        <f>SUMIFS('💸 Expenses'!$F$8:$F$5000,'💸 Expenses'!$B$8:$B$5000,"&gt;="&amp;B44,'💸 Expenses'!$B$8:$B$5000,"&lt;"&amp;(B44+1))</f>
        <v>757.13</v>
      </c>
      <c r="I44" s="274">
        <f>IFERROR(F44-H44,0)</f>
        <v>2209.87</v>
      </c>
      <c r="J44" s="275">
        <f>IFERROR(I44/F44,0)</f>
        <v>0.744816</v>
      </c>
      <c r="K44" s="250" t="n"/>
      <c r="L44" s="276" t="inlineStr">
        <is>
          <t>Cierre via loka.py</t>
        </is>
      </c>
      <c r="M44" s="12" t="n"/>
      <c r="N44" s="44" t="n"/>
      <c r="O44" s="45" t="n"/>
      <c r="P44" s="46" t="n"/>
      <c r="Q44" s="44" t="n"/>
      <c r="R44" s="44">
        <f>IFERROR(D44*$T$7,0)</f>
        <v>58.95</v>
      </c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</row>
    <row r="45" ht="16.5" customHeight="1" s="331">
      <c r="B45" s="229" t="n">
        <v>46197</v>
      </c>
      <c r="C45" s="255" t="inlineStr">
        <is>
          <t>Wed</t>
        </is>
      </c>
      <c r="D45" s="256" t="n">
        <v>1064</v>
      </c>
      <c r="E45" s="49" t="n">
        <v>2525</v>
      </c>
      <c r="F45" s="50">
        <f>IFERROR(D45+E45+G45+U45+Y45,0)</f>
        <v>3589.0</v>
      </c>
      <c r="G45" s="257" t="n">
        <v>0</v>
      </c>
      <c r="H45" s="258">
        <f>SUMIFS('💸 Expenses'!$F$8:$F$5000,'💸 Expenses'!$B$8:$B$5000,"&gt;="&amp;B45,'💸 Expenses'!$B$8:$B$5000,"&lt;"&amp;(B45+1))</f>
        <v>3781.35</v>
      </c>
      <c r="I45" s="259">
        <f>IFERROR(F45-H45,0)</f>
        <v>-192.35</v>
      </c>
      <c r="J45" s="260">
        <f>IFERROR(I45/F45,0)</f>
        <v>-0.053594</v>
      </c>
      <c r="K45" s="254" t="n"/>
      <c r="L45" s="261" t="inlineStr">
        <is>
          <t>Cierre via loka.py</t>
        </is>
      </c>
      <c r="M45" s="21" t="n"/>
      <c r="N45" s="56" t="n"/>
      <c r="O45" s="57" t="n"/>
      <c r="P45" s="58" t="n"/>
      <c r="Q45" s="56" t="n"/>
      <c r="R45" s="56">
        <f>IFERROR(D45*$T$7,0)</f>
        <v>43.2</v>
      </c>
      <c r="S45" s="56" t="n"/>
      <c r="T45" s="56" t="n"/>
      <c r="U45" s="56" t="n"/>
      <c r="V45" s="56" t="n"/>
      <c r="W45" s="56" t="n"/>
      <c r="X45" s="56" t="n"/>
      <c r="Y45" s="56" t="n"/>
      <c r="Z45" s="56" t="n"/>
      <c r="AA45" s="56" t="n"/>
      <c r="AB45" s="56" t="n"/>
    </row>
    <row r="46" ht="16.5" customHeight="1" s="331">
      <c r="B46" s="229" t="n">
        <v>46198</v>
      </c>
      <c r="C46" s="270" t="inlineStr">
        <is>
          <t>Thu</t>
        </is>
      </c>
      <c r="D46" s="271" t="n">
        <v>1735</v>
      </c>
      <c r="E46" s="37" t="n">
        <v>1853</v>
      </c>
      <c r="F46" s="38">
        <f>IFERROR(D46+E46+G46+U46+Y46,0)</f>
        <v>3588.0</v>
      </c>
      <c r="G46" s="272" t="n">
        <v>0</v>
      </c>
      <c r="H46" s="273">
        <f>SUMIFS('💸 Expenses'!$F$8:$F$5000,'💸 Expenses'!$B$8:$B$5000,"&gt;="&amp;B46,'💸 Expenses'!$B$8:$B$5000,"&lt;"&amp;(B46+1))</f>
        <v>1228.0</v>
      </c>
      <c r="I46" s="274">
        <f>IFERROR(F46-H46,0)</f>
        <v>2360.0</v>
      </c>
      <c r="J46" s="275">
        <f>IFERROR(I46/F46,0)</f>
        <v>0.657748</v>
      </c>
      <c r="K46" s="250" t="n"/>
      <c r="L46" s="276" t="inlineStr">
        <is>
          <t>Cierre via loka.py</t>
        </is>
      </c>
      <c r="M46" s="12" t="n"/>
      <c r="N46" s="44" t="n"/>
      <c r="O46" s="45" t="n"/>
      <c r="P46" s="46" t="n"/>
      <c r="Q46" s="44" t="n"/>
      <c r="R46" s="44">
        <f>IFERROR(D46*$T$7,0)</f>
        <v>70.44</v>
      </c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</row>
    <row r="47" ht="16.5" customHeight="1" s="331">
      <c r="B47" s="229" t="n">
        <v>46199</v>
      </c>
      <c r="C47" s="255" t="inlineStr">
        <is>
          <t>Fri</t>
        </is>
      </c>
      <c r="D47" s="256" t="n">
        <v>1719</v>
      </c>
      <c r="E47" s="49" t="n">
        <v>2593</v>
      </c>
      <c r="F47" s="50">
        <f>IFERROR(D47+E47+G47+U47+Y47,0)</f>
        <v>4477.0</v>
      </c>
      <c r="G47" s="257" t="n">
        <v>165</v>
      </c>
      <c r="H47" s="258">
        <f>SUMIFS('💸 Expenses'!$F$8:$F$5000,'💸 Expenses'!$B$8:$B$5000,"&gt;="&amp;B47,'💸 Expenses'!$B$8:$B$5000,"&lt;"&amp;(B47+1))</f>
        <v>1945.53</v>
      </c>
      <c r="I47" s="259">
        <f>IFERROR(F47-H47,0)</f>
        <v>2531.47</v>
      </c>
      <c r="J47" s="260">
        <f>IFERROR(I47/F47,0)</f>
        <v>0.565439</v>
      </c>
      <c r="K47" s="254" t="n"/>
      <c r="L47" s="261" t="inlineStr">
        <is>
          <t>Cierre via loka.py</t>
        </is>
      </c>
      <c r="M47" s="21" t="n"/>
      <c r="N47" s="56" t="n"/>
      <c r="O47" s="57" t="n"/>
      <c r="P47" s="58" t="n"/>
      <c r="Q47" s="56" t="n"/>
      <c r="R47" s="56">
        <f>IFERROR(D47*$T$7,0)</f>
        <v>69.79</v>
      </c>
      <c r="S47" s="56" t="n"/>
      <c r="T47" s="56" t="n"/>
      <c r="U47" s="56" t="n"/>
      <c r="V47" s="56" t="n"/>
      <c r="W47" s="56" t="n"/>
      <c r="X47" s="56" t="n"/>
      <c r="Y47" s="56" t="n"/>
      <c r="Z47" s="56" t="n"/>
      <c r="AA47" s="56" t="n"/>
      <c r="AB47" s="56" t="n"/>
    </row>
    <row r="48" ht="16.5" customHeight="1" s="331">
      <c r="B48" s="229" t="n">
        <v>46200</v>
      </c>
      <c r="C48" s="270" t="inlineStr">
        <is>
          <t>Sat</t>
        </is>
      </c>
      <c r="D48" s="271" t="n">
        <v>175</v>
      </c>
      <c r="E48" s="37" t="n">
        <v>1854</v>
      </c>
      <c r="F48" s="38">
        <f>IFERROR(D48+E48+G48+U48+Y48,0)</f>
        <v>2029.0</v>
      </c>
      <c r="G48" s="272" t="n">
        <v>0</v>
      </c>
      <c r="H48" s="273">
        <f>SUMIFS('💸 Expenses'!$F$8:$F$5000,'💸 Expenses'!$B$8:$B$5000,"&gt;="&amp;B48,'💸 Expenses'!$B$8:$B$5000,"&lt;"&amp;(B48+1))</f>
        <v>5250.0</v>
      </c>
      <c r="I48" s="274">
        <f>IFERROR(F48-H48,0)</f>
        <v>-3221.0</v>
      </c>
      <c r="J48" s="275">
        <f>IFERROR(I48/F48,0)</f>
        <v>-1.587482</v>
      </c>
      <c r="K48" s="250" t="n"/>
      <c r="L48" s="276" t="inlineStr">
        <is>
          <t>Cierre via loka.py</t>
        </is>
      </c>
      <c r="M48" s="12" t="n"/>
      <c r="N48" s="44" t="n"/>
      <c r="O48" s="45" t="n"/>
      <c r="P48" s="46" t="n"/>
      <c r="Q48" s="44" t="n"/>
      <c r="R48" s="44">
        <f>IFERROR(D48*$T$7,0)</f>
        <v>7.1</v>
      </c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</row>
    <row r="49" ht="16.5" customHeight="1" s="331">
      <c r="B49" s="229" t="n">
        <v>46201</v>
      </c>
      <c r="C49" s="255" t="inlineStr">
        <is>
          <t>Sun</t>
        </is>
      </c>
      <c r="D49" s="256" t="n">
        <v>0</v>
      </c>
      <c r="E49" s="49" t="n">
        <v>0</v>
      </c>
      <c r="F49" s="50">
        <f>IFERROR(D49+E49+G49+U49+Y49,0)</f>
        <v>0.0</v>
      </c>
      <c r="G49" s="257" t="n">
        <v>0</v>
      </c>
      <c r="H49" s="258">
        <f>SUMIFS('💸 Expenses'!$F$8:$F$5000,'💸 Expenses'!$B$8:$B$5000,"&gt;="&amp;B49,'💸 Expenses'!$B$8:$B$5000,"&lt;"&amp;(B49+1))</f>
        <v>3865.06</v>
      </c>
      <c r="I49" s="259">
        <f>IFERROR(F49-H49,0)</f>
        <v>-3865.06</v>
      </c>
      <c r="J49" s="260">
        <f>IFERROR(I49/F49,0)</f>
        <v>0</v>
      </c>
      <c r="K49" s="254" t="n"/>
      <c r="L49" s="261" t="inlineStr">
        <is>
          <t>Cierre via loka.py</t>
        </is>
      </c>
      <c r="M49" s="21" t="n"/>
      <c r="N49" s="56" t="n"/>
      <c r="O49" s="57" t="n"/>
      <c r="P49" s="58" t="n"/>
      <c r="Q49" s="56" t="n"/>
      <c r="R49" s="56">
        <f>IFERROR(D49*$T$7,0)</f>
        <v>0.0</v>
      </c>
      <c r="S49" s="56" t="n"/>
      <c r="T49" s="56" t="n"/>
      <c r="U49" s="56" t="n"/>
      <c r="V49" s="56" t="n"/>
      <c r="W49" s="56" t="n"/>
      <c r="X49" s="56" t="n"/>
      <c r="Y49" s="56" t="n"/>
      <c r="Z49" s="56" t="n"/>
      <c r="AA49" s="56" t="n"/>
      <c r="AB49" s="56" t="n"/>
    </row>
    <row r="50" ht="16.5" customHeight="1" s="331">
      <c r="B50" s="229" t="n">
        <v>46202</v>
      </c>
      <c r="C50" s="270" t="inlineStr">
        <is>
          <t>Mon</t>
        </is>
      </c>
      <c r="D50" s="271" t="n">
        <v>1814</v>
      </c>
      <c r="E50" s="37" t="n">
        <v>1575</v>
      </c>
      <c r="F50" s="38">
        <f>IFERROR(D50+E50+G50+U50+Y50,0)</f>
        <v>3389.0</v>
      </c>
      <c r="G50" s="272" t="n">
        <v>0</v>
      </c>
      <c r="H50" s="273">
        <f>SUMIFS('💸 Expenses'!$F$8:$F$5000,'💸 Expenses'!$B$8:$B$5000,"&gt;="&amp;B50,'💸 Expenses'!$B$8:$B$5000,"&lt;"&amp;(B50+1))</f>
        <v>2683.27</v>
      </c>
      <c r="I50" s="274">
        <f>IFERROR(F50-H50,0)</f>
        <v>705.73</v>
      </c>
      <c r="J50" s="275">
        <f>IFERROR(I50/F50,0)</f>
        <v>0.208241</v>
      </c>
      <c r="K50" s="250" t="n"/>
      <c r="L50" s="276" t="inlineStr">
        <is>
          <t>Cierre via loka.py</t>
        </is>
      </c>
      <c r="M50" s="12" t="n"/>
      <c r="N50" s="44" t="n"/>
      <c r="O50" s="45" t="n"/>
      <c r="P50" s="46" t="n"/>
      <c r="Q50" s="44" t="n"/>
      <c r="R50" s="44">
        <f>IFERROR(D50*$T$7,0)</f>
        <v>73.65</v>
      </c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</row>
    <row r="51" ht="16.5" customHeight="1" s="331">
      <c r="B51" s="229" t="n">
        <v>46203</v>
      </c>
      <c r="C51" s="255" t="inlineStr">
        <is>
          <t>Tue</t>
        </is>
      </c>
      <c r="D51" s="256" t="n">
        <v>2408</v>
      </c>
      <c r="E51" s="49" t="n">
        <v>1670</v>
      </c>
      <c r="F51" s="50">
        <f>IFERROR(D51+E51+G51+U51+Y51,0)</f>
        <v>4133.0</v>
      </c>
      <c r="G51" s="257" t="n">
        <v>55</v>
      </c>
      <c r="H51" s="258">
        <f>SUMIFS('💸 Expenses'!$F$8:$F$5000,'💸 Expenses'!$B$8:$B$5000,"&gt;="&amp;B51,'💸 Expenses'!$B$8:$B$5000,"&lt;"&amp;(B51+1))</f>
        <v>1581.27</v>
      </c>
      <c r="I51" s="259">
        <f>IFERROR(F51-H51,0)</f>
        <v>2551.73</v>
      </c>
      <c r="J51" s="260">
        <f>IFERROR(I51/F51,0)</f>
        <v>0.617404</v>
      </c>
      <c r="K51" s="254" t="n"/>
      <c r="L51" s="261" t="inlineStr">
        <is>
          <t>Cierre via loka.py</t>
        </is>
      </c>
      <c r="M51" s="21" t="n"/>
      <c r="N51" s="56" t="n"/>
      <c r="O51" s="57" t="n"/>
      <c r="P51" s="58" t="n"/>
      <c r="Q51" s="56" t="n"/>
      <c r="R51" s="56">
        <f>IFERROR(D51*$T$7,0)</f>
        <v>97.76</v>
      </c>
      <c r="S51" s="56" t="n"/>
      <c r="T51" s="56" t="n"/>
      <c r="U51" s="56" t="n"/>
      <c r="V51" s="56" t="n"/>
      <c r="W51" s="56" t="n"/>
      <c r="X51" s="56" t="n"/>
      <c r="Y51" s="56" t="n"/>
      <c r="Z51" s="56" t="n"/>
      <c r="AA51" s="56" t="n"/>
      <c r="AB51" s="56" t="n"/>
    </row>
    <row r="52" ht="16.5" customHeight="1" s="331">
      <c r="B52" s="229" t="n">
        <v>46204</v>
      </c>
      <c r="C52" s="270" t="inlineStr">
        <is>
          <t>Wed</t>
        </is>
      </c>
      <c r="D52" s="271" t="n">
        <v>2498</v>
      </c>
      <c r="E52" s="37" t="n">
        <v>2024</v>
      </c>
      <c r="F52" s="38">
        <f>IFERROR(D52+E52+G52+U52+Y52,0)</f>
        <v>4522.0</v>
      </c>
      <c r="G52" s="272" t="n">
        <v>0</v>
      </c>
      <c r="H52" s="273">
        <f>SUMIFS('💸 Expenses'!$F$8:$F$5000,'💸 Expenses'!$B$8:$B$5000,"&gt;="&amp;B52,'💸 Expenses'!$B$8:$B$5000,"&lt;"&amp;(B52+1))</f>
        <v>2341.23</v>
      </c>
      <c r="I52" s="274">
        <f>IFERROR(F52-H52,0)</f>
        <v>2180.77</v>
      </c>
      <c r="J52" s="275">
        <f>IFERROR(I52/F52,0)</f>
        <v>0.482258</v>
      </c>
      <c r="K52" s="250" t="n"/>
      <c r="L52" s="276" t="inlineStr">
        <is>
          <t>Cierre via loka.py</t>
        </is>
      </c>
      <c r="M52" s="12" t="n"/>
      <c r="N52" s="44" t="n"/>
      <c r="O52" s="45" t="n"/>
      <c r="P52" s="46" t="n"/>
      <c r="Q52" s="44" t="n"/>
      <c r="R52" s="44">
        <f>IFERROR(D52*$T$7,0)</f>
        <v>101.42</v>
      </c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</row>
    <row r="53" ht="16.5" customHeight="1" s="331">
      <c r="B53" s="229" t="n">
        <v>46205</v>
      </c>
      <c r="C53" s="255" t="inlineStr">
        <is>
          <t>Thu</t>
        </is>
      </c>
      <c r="D53" s="256" t="n">
        <v>1859</v>
      </c>
      <c r="E53" s="49" t="n">
        <v>1249</v>
      </c>
      <c r="F53" s="50">
        <f>IFERROR(D53+E53+G53+U53+Y53,0)</f>
        <v>3108.0</v>
      </c>
      <c r="G53" s="257" t="n">
        <v>0</v>
      </c>
      <c r="H53" s="258">
        <f>SUMIFS('💸 Expenses'!$F$8:$F$5000,'💸 Expenses'!$B$8:$B$5000,"&gt;="&amp;B53,'💸 Expenses'!$B$8:$B$5000,"&lt;"&amp;(B53+1))</f>
        <v>318.0</v>
      </c>
      <c r="I53" s="259">
        <f>IFERROR(F53-H53,0)</f>
        <v>2790.0</v>
      </c>
      <c r="J53" s="260">
        <f>IFERROR(I53/F53,0)</f>
        <v>0.897683</v>
      </c>
      <c r="K53" s="254" t="inlineStr">
        <is>
          <t>incl +$120 additional card income (added 02-Jul)</t>
        </is>
      </c>
      <c r="L53" s="261" t="inlineStr">
        <is>
          <t>Cierre via loka.py</t>
        </is>
      </c>
      <c r="M53" s="21" t="n"/>
      <c r="N53" s="56" t="n"/>
      <c r="O53" s="57" t="n"/>
      <c r="P53" s="58" t="n"/>
      <c r="Q53" s="56" t="n"/>
      <c r="R53" s="56">
        <f>IFERROR(D53*$T$7,0)</f>
        <v>75.48</v>
      </c>
      <c r="S53" s="56" t="n"/>
      <c r="T53" s="56" t="n"/>
      <c r="U53" s="56" t="n"/>
      <c r="V53" s="56" t="n"/>
      <c r="W53" s="56" t="n"/>
      <c r="X53" s="56" t="n"/>
      <c r="Y53" s="56" t="n"/>
      <c r="Z53" s="56" t="n"/>
      <c r="AA53" s="56" t="n"/>
      <c r="AB53" s="56" t="n"/>
    </row>
    <row r="54" ht="16.5" customHeight="1" s="331">
      <c r="B54" s="229" t="n">
        <v>46206</v>
      </c>
      <c r="C54" s="270" t="inlineStr">
        <is>
          <t>Fri</t>
        </is>
      </c>
      <c r="D54" s="271" t="n">
        <v>3702</v>
      </c>
      <c r="E54" s="37" t="n">
        <v>2375</v>
      </c>
      <c r="F54" s="38">
        <f>IFERROR(D54+E54+G54+U54+Y54,0)</f>
        <v>6077.0</v>
      </c>
      <c r="G54" s="272" t="n">
        <v>0</v>
      </c>
      <c r="H54" s="273">
        <f>SUMIFS('💸 Expenses'!$F$8:$F$5000,'💸 Expenses'!$B$8:$B$5000,"&gt;="&amp;B54,'💸 Expenses'!$B$8:$B$5000,"&lt;"&amp;(B54+1))</f>
        <v>2809.6</v>
      </c>
      <c r="I54" s="274">
        <f>IFERROR(F54-H54,0)</f>
        <v>3267.4</v>
      </c>
      <c r="J54" s="275">
        <f>IFERROR(I54/F54,0)</f>
        <v>0.537667</v>
      </c>
      <c r="K54" s="250" t="inlineStr">
        <is>
          <t>incl +$110 additional cash income (added 04-Jul)</t>
        </is>
      </c>
      <c r="L54" s="276" t="inlineStr">
        <is>
          <t>Cierre via loka.py</t>
        </is>
      </c>
      <c r="M54" s="12" t="n"/>
      <c r="N54" s="44" t="n"/>
      <c r="O54" s="45" t="n"/>
      <c r="P54" s="46" t="n"/>
      <c r="Q54" s="44" t="n"/>
      <c r="R54" s="44">
        <f>IFERROR(D54*$T$7,0)</f>
        <v>150.3</v>
      </c>
      <c r="S54" s="44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</row>
    <row r="55" ht="16.5" customHeight="1" s="331">
      <c r="B55" s="229" t="n">
        <v>46207</v>
      </c>
      <c r="C55" s="255" t="inlineStr">
        <is>
          <t>Sat</t>
        </is>
      </c>
      <c r="D55" s="256" t="n">
        <v>1739</v>
      </c>
      <c r="E55" s="49" t="n">
        <v>895</v>
      </c>
      <c r="F55" s="50">
        <f>IFERROR(D55+E55+G55+U55+Y55,0)</f>
        <v>2634.0</v>
      </c>
      <c r="G55" s="257" t="n">
        <v>0</v>
      </c>
      <c r="H55" s="258">
        <f>SUMIFS('💸 Expenses'!$F$8:$F$5000,'💸 Expenses'!$B$8:$B$5000,"&gt;="&amp;B55,'💸 Expenses'!$B$8:$B$5000,"&lt;"&amp;(B55+1))</f>
        <v>6877.73</v>
      </c>
      <c r="I55" s="259">
        <f>IFERROR(F55-H55,0)</f>
        <v>-4243.73</v>
      </c>
      <c r="J55" s="260">
        <f>IFERROR(I55/F55,0)</f>
        <v>-1.611135</v>
      </c>
      <c r="K55" s="254" t="n"/>
      <c r="L55" s="261" t="inlineStr">
        <is>
          <t>Cierre via loka.py</t>
        </is>
      </c>
      <c r="M55" s="21" t="n"/>
      <c r="N55" s="56" t="n"/>
      <c r="O55" s="57" t="n"/>
      <c r="P55" s="58" t="n"/>
      <c r="Q55" s="56" t="n"/>
      <c r="R55" s="56">
        <f>IFERROR(D55*$T$7,0)</f>
        <v>70.6</v>
      </c>
      <c r="S55" s="56" t="n"/>
      <c r="T55" s="56" t="n"/>
      <c r="U55" s="56" t="n"/>
      <c r="V55" s="56" t="n"/>
      <c r="W55" s="56" t="n"/>
      <c r="X55" s="56" t="n"/>
      <c r="Y55" s="56" t="n"/>
      <c r="Z55" s="56" t="n"/>
      <c r="AA55" s="56" t="n"/>
      <c r="AB55" s="56" t="n"/>
    </row>
    <row r="56" ht="16.5" customHeight="1" s="331">
      <c r="B56" s="229" t="n">
        <v>46209</v>
      </c>
      <c r="C56" s="270" t="inlineStr">
        <is>
          <t>Mon</t>
        </is>
      </c>
      <c r="D56" s="271" t="n">
        <v>2190</v>
      </c>
      <c r="E56" s="37" t="n">
        <v>1500</v>
      </c>
      <c r="F56" s="38">
        <f>IFERROR(D56+E56+G56+U56+Y56,0)</f>
        <v>3690.0</v>
      </c>
      <c r="G56" s="272" t="n">
        <v>0</v>
      </c>
      <c r="H56" s="273">
        <f>SUMIFS('💸 Expenses'!$F$8:$F$5000,'💸 Expenses'!$B$8:$B$5000,"&gt;="&amp;B56,'💸 Expenses'!$B$8:$B$5000,"&lt;"&amp;(B56+1))</f>
        <v>4200.0</v>
      </c>
      <c r="I56" s="274">
        <f>IFERROR(F56-H56,0)</f>
        <v>-510.0</v>
      </c>
      <c r="J56" s="275">
        <f>IFERROR(I56/F56,0)</f>
        <v>-0.138211</v>
      </c>
      <c r="K56" s="250" t="n"/>
      <c r="L56" s="276" t="inlineStr">
        <is>
          <t>Cierre via loka.py</t>
        </is>
      </c>
      <c r="M56" s="12" t="n"/>
      <c r="N56" s="44" t="n"/>
      <c r="O56" s="45" t="n"/>
      <c r="P56" s="46" t="n"/>
      <c r="Q56" s="44" t="n"/>
      <c r="R56" s="44">
        <f>IFERROR(D56*$T$7,0)</f>
        <v>88.91</v>
      </c>
      <c r="S56" s="44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</row>
    <row r="57" ht="16.5" customHeight="1" s="331">
      <c r="B57" s="229" t="n">
        <v>46210</v>
      </c>
      <c r="C57" s="255" t="inlineStr">
        <is>
          <t>Tue</t>
        </is>
      </c>
      <c r="D57" s="256" t="n">
        <v>1840</v>
      </c>
      <c r="E57" s="49" t="n">
        <v>1820</v>
      </c>
      <c r="F57" s="50">
        <f>IFERROR(D57+E57+G57+U57+Y57,0)</f>
        <v>3660.0</v>
      </c>
      <c r="G57" s="257" t="n">
        <v>0</v>
      </c>
      <c r="H57" s="258">
        <f>SUMIFS('💸 Expenses'!$F$8:$F$5000,'💸 Expenses'!$B$8:$B$5000,"&gt;="&amp;B57,'💸 Expenses'!$B$8:$B$5000,"&lt;"&amp;(B57+1))</f>
        <v>49.0</v>
      </c>
      <c r="I57" s="259">
        <f>IFERROR(F57-H57,0)</f>
        <v>3611.0</v>
      </c>
      <c r="J57" s="260">
        <f>IFERROR(I57/F57,0)</f>
        <v>0.986612</v>
      </c>
      <c r="K57" s="254" t="n"/>
      <c r="L57" s="261" t="inlineStr">
        <is>
          <t>Cierre via loka.py</t>
        </is>
      </c>
      <c r="M57" s="21" t="n"/>
      <c r="N57" s="56" t="n"/>
      <c r="O57" s="57" t="n"/>
      <c r="P57" s="58" t="n"/>
      <c r="Q57" s="56" t="n"/>
      <c r="R57" s="56">
        <f>IFERROR(D57*$T$7,0)</f>
        <v>74.7</v>
      </c>
      <c r="S57" s="56" t="n"/>
      <c r="T57" s="56" t="n"/>
      <c r="U57" s="56" t="n"/>
      <c r="V57" s="56" t="n"/>
      <c r="W57" s="56" t="n"/>
      <c r="X57" s="56" t="n"/>
      <c r="Y57" s="56" t="n"/>
      <c r="Z57" s="56" t="n"/>
      <c r="AA57" s="56" t="n"/>
      <c r="AB57" s="56" t="n"/>
    </row>
    <row r="58" ht="16.5" customHeight="1" s="331">
      <c r="B58" s="229" t="n">
        <v>46211</v>
      </c>
      <c r="C58" s="255" t="inlineStr">
        <is>
          <t>Wed</t>
        </is>
      </c>
      <c r="D58" s="256" t="n">
        <v>360</v>
      </c>
      <c r="E58" s="49" t="n">
        <v>2055</v>
      </c>
      <c r="F58" s="50">
        <f>IFERROR(D58+E58+G58+U58+Y58,0)</f>
        <v>3688.0</v>
      </c>
      <c r="G58" s="257" t="n">
        <v>195</v>
      </c>
      <c r="H58" s="258">
        <f>SUMIFS('💸 Expenses'!$F$8:$F$5000,'💸 Expenses'!$B$8:$B$5000,"&gt;="&amp;B58,'💸 Expenses'!$B$8:$B$5000,"&lt;"&amp;(B58+1))</f>
        <v>1415.43</v>
      </c>
      <c r="I58" s="259">
        <f>IFERROR(F58-H58,0)</f>
        <v>2272.57</v>
      </c>
      <c r="J58" s="260">
        <f>IFERROR(I58/F58,0)</f>
        <v>0.616207</v>
      </c>
      <c r="K58" s="254" t="n"/>
      <c r="L58" s="261" t="inlineStr">
        <is>
          <t>EOD close (dual card: MP + Soft Restaurant)</t>
        </is>
      </c>
      <c r="M58" s="291" t="n"/>
      <c r="N58" s="292" t="n"/>
      <c r="O58" s="293" t="n"/>
      <c r="P58" s="294" t="n"/>
      <c r="Q58" s="292" t="n"/>
      <c r="R58" s="292">
        <f>IFERROR(D58*$T$7,0)</f>
        <v>14.62</v>
      </c>
      <c r="S58" s="292" t="n"/>
      <c r="T58" s="292" t="n"/>
      <c r="U58" s="292" t="n">
        <v>1078</v>
      </c>
      <c r="V58" s="292" t="n">
        <v>22.1</v>
      </c>
      <c r="W58" s="292" t="n"/>
      <c r="X58" s="292" t="n"/>
      <c r="Y58" s="292" t="n"/>
      <c r="Z58" s="292" t="n"/>
      <c r="AA58" s="292" t="n"/>
      <c r="AB58" s="292" t="n"/>
    </row>
    <row r="59" ht="16.5" customHeight="1" s="331">
      <c r="B59" s="229" t="n">
        <v>46212</v>
      </c>
      <c r="C59" s="255" t="inlineStr">
        <is>
          <t>Thu</t>
        </is>
      </c>
      <c r="D59" s="256" t="n">
        <v>1940</v>
      </c>
      <c r="E59" s="49" t="n">
        <v>3685</v>
      </c>
      <c r="F59" s="50">
        <f>IFERROR(D59+E59+G59+U59+Y59,0)</f>
        <v>6015.0</v>
      </c>
      <c r="G59" s="257" t="n">
        <v>120</v>
      </c>
      <c r="H59" s="258">
        <f>SUMIFS('💸 Expenses'!$F$8:$F$5000,'💸 Expenses'!$B$8:$B$5000,"&gt;="&amp;B59,'💸 Expenses'!$B$8:$B$5000,"&lt;"&amp;(B59+1))</f>
        <v>1820.89</v>
      </c>
      <c r="I59" s="259">
        <f>IFERROR(F59-H59,0)</f>
        <v>4194.11</v>
      </c>
      <c r="J59" s="260">
        <f>IFERROR(I59/F59,0)</f>
        <v>0.697275</v>
      </c>
      <c r="K59" s="254" t="n"/>
      <c r="L59" s="261" t="inlineStr">
        <is>
          <t>EOD close (dual card: MP + Soft Restaurant, actual comm)</t>
        </is>
      </c>
      <c r="M59" s="291" t="n"/>
      <c r="N59" s="292" t="n"/>
      <c r="O59" s="293" t="n"/>
      <c r="P59" s="294" t="n"/>
      <c r="Q59" s="292" t="n"/>
      <c r="R59" s="292">
        <f>IFERROR(D59*$T$7,0)</f>
        <v>78.76</v>
      </c>
      <c r="S59" s="292" t="n"/>
      <c r="T59" s="292" t="n"/>
      <c r="U59" s="292" t="n">
        <v>270</v>
      </c>
      <c r="V59" s="292" t="n">
        <v>5.01</v>
      </c>
      <c r="W59" s="292" t="n"/>
      <c r="X59" s="292" t="n"/>
      <c r="Y59" s="292" t="n"/>
      <c r="Z59" s="292" t="n"/>
      <c r="AA59" s="292" t="n"/>
      <c r="AB59" s="292" t="n"/>
    </row>
    <row r="60" ht="16.5" customHeight="1" s="331">
      <c r="B60" s="229" t="n">
        <v>46213</v>
      </c>
      <c r="C60" s="255" t="inlineStr">
        <is>
          <t>Fri</t>
        </is>
      </c>
      <c r="D60" s="256" t="n">
        <v>1700</v>
      </c>
      <c r="E60" s="49" t="n">
        <v>1730</v>
      </c>
      <c r="F60" s="50">
        <f>IFERROR(D60+E60+G60+U60+Y60,0)</f>
        <v>3500.0</v>
      </c>
      <c r="G60" s="257" t="n">
        <v>70</v>
      </c>
      <c r="H60" s="258">
        <f>SUMIFS('💸 Expenses'!$F$8:$F$5000,'💸 Expenses'!$B$8:$B$5000,"&gt;="&amp;B60,'💸 Expenses'!$B$8:$B$5000,"&lt;"&amp;(B60+1))</f>
        <v>2094.0</v>
      </c>
      <c r="I60" s="259">
        <f>IFERROR(F60-H60,0)</f>
        <v>1406.0</v>
      </c>
      <c r="J60" s="260">
        <f>IFERROR(I60/F60,0)</f>
        <v>0.401714</v>
      </c>
      <c r="K60" s="254" t="n"/>
      <c r="L60" s="261" t="inlineStr">
        <is>
          <t>EOD close (MP only; no Soft card today)</t>
        </is>
      </c>
      <c r="M60" s="291" t="n"/>
      <c r="N60" s="292" t="n"/>
      <c r="O60" s="293" t="n"/>
      <c r="P60" s="294" t="n"/>
      <c r="Q60" s="292" t="n"/>
      <c r="R60" s="292">
        <f>IFERROR(D60*$T$7,0)</f>
        <v>69.02</v>
      </c>
      <c r="S60" s="292" t="n"/>
      <c r="T60" s="292" t="n"/>
      <c r="U60" s="292" t="n">
        <v>0</v>
      </c>
      <c r="V60" s="292" t="n">
        <v>0</v>
      </c>
      <c r="W60" s="292" t="n"/>
      <c r="X60" s="292" t="n"/>
      <c r="Y60" s="292" t="n"/>
      <c r="Z60" s="292" t="n"/>
      <c r="AA60" s="292" t="n"/>
      <c r="AB60" s="292" t="n"/>
    </row>
    <row r="61" ht="16.5" customHeight="1" s="331">
      <c r="B61" s="229" t="n">
        <v>46214</v>
      </c>
      <c r="C61" s="255" t="inlineStr">
        <is>
          <t>Sat</t>
        </is>
      </c>
      <c r="D61" s="256" t="n">
        <v>280</v>
      </c>
      <c r="E61" s="49" t="n">
        <v>1235</v>
      </c>
      <c r="F61" s="50">
        <f>IFERROR(D61+E61+G61+U61+Y61,0)</f>
        <v>2725.0</v>
      </c>
      <c r="G61" s="257" t="n">
        <v>0</v>
      </c>
      <c r="H61" s="258">
        <f>SUMIFS('💸 Expenses'!$F$8:$F$5000,'💸 Expenses'!$B$8:$B$5000,"&gt;="&amp;B61,'💸 Expenses'!$B$8:$B$5000,"&lt;"&amp;(B61+1))</f>
        <v>10207.0</v>
      </c>
      <c r="I61" s="259">
        <f>IFERROR(F61-H61,0)</f>
        <v>-7482.0</v>
      </c>
      <c r="J61" s="260">
        <f>IFERROR(I61/F61,0)</f>
        <v>-2.745688</v>
      </c>
      <c r="K61" s="254" t="n"/>
      <c r="L61" s="261" t="inlineStr">
        <is>
          <t>EOD close (dual card: MP + Soft Restaurant)</t>
        </is>
      </c>
      <c r="M61" s="291" t="n"/>
      <c r="N61" s="292" t="n"/>
      <c r="O61" s="293" t="n"/>
      <c r="P61" s="294" t="n"/>
      <c r="Q61" s="292" t="n"/>
      <c r="R61" s="292">
        <f>IFERROR(D61*$T$7,0)</f>
        <v>11.37</v>
      </c>
      <c r="S61" s="292" t="n"/>
      <c r="T61" s="292" t="n"/>
      <c r="U61" s="292" t="n">
        <v>1210</v>
      </c>
      <c r="V61" s="292" t="n">
        <v>26.03</v>
      </c>
      <c r="W61" s="292" t="n"/>
      <c r="X61" s="292" t="n"/>
      <c r="Y61" s="292" t="n"/>
      <c r="Z61" s="292" t="n"/>
      <c r="AA61" s="292" t="n"/>
      <c r="AB61" s="292" t="n"/>
    </row>
    <row r="62" ht="16.5" customHeight="1" s="331">
      <c r="B62" s="229" t="n">
        <v>46216</v>
      </c>
      <c r="C62" s="255" t="inlineStr">
        <is>
          <t>Mon</t>
        </is>
      </c>
      <c r="D62" s="256" t="n">
        <v>0</v>
      </c>
      <c r="E62" s="49" t="n">
        <v>1330</v>
      </c>
      <c r="F62" s="50">
        <f>IFERROR(D62+E62+G62+U62+Y62,0)</f>
        <v>3990.0</v>
      </c>
      <c r="G62" s="257" t="n">
        <v>120</v>
      </c>
      <c r="H62" s="258">
        <f>SUMIFS('💸 Expenses'!$F$8:$F$5000,'💸 Expenses'!$B$8:$B$5000,"&gt;="&amp;B62,'💸 Expenses'!$B$8:$B$5000,"&lt;"&amp;(B62+1))</f>
        <v>3142.0</v>
      </c>
      <c r="I62" s="259">
        <f>IFERROR(F62-H62,0)</f>
        <v>848.0</v>
      </c>
      <c r="J62" s="260">
        <f>IFERROR(I62/F62,0)</f>
        <v>0.212531</v>
      </c>
      <c r="K62" s="254" t="n"/>
      <c r="L62" s="261" t="inlineStr">
        <is>
          <t>EOD close (3 cards: MP + Soft Restaurant + BBVA) | Propinas de tarjeta de la SEMANA 8 (6-12 Jul) repartidas hoy 13-Jul: John $100 + Duvi $80 + Samu $80 = $260 (pass-through, no P&amp;L; registrado en Staff &amp; Payroll)</t>
        </is>
      </c>
      <c r="M62" s="291" t="n"/>
      <c r="N62" s="292" t="n"/>
      <c r="O62" s="293" t="n"/>
      <c r="P62" s="294" t="n"/>
      <c r="Q62" s="292" t="n"/>
      <c r="R62" s="292">
        <f>IFERROR(D62*$T$7,0)</f>
        <v>0.0</v>
      </c>
      <c r="S62" s="292" t="n"/>
      <c r="T62" s="292" t="n"/>
      <c r="U62" s="292" t="n">
        <v>245</v>
      </c>
      <c r="V62" s="292" t="n">
        <v>5.07</v>
      </c>
      <c r="W62" s="292" t="n"/>
      <c r="X62" s="292" t="n"/>
      <c r="Y62" s="292" t="n">
        <v>2295</v>
      </c>
      <c r="Z62" s="292" t="n">
        <v>43.605</v>
      </c>
      <c r="AA62" s="292" t="n"/>
      <c r="AB62" s="292" t="n"/>
    </row>
    <row r="63" ht="16.5" customHeight="1" s="331">
      <c r="B63" s="229" t="n">
        <v>46217</v>
      </c>
      <c r="C63" s="255" t="inlineStr">
        <is>
          <t>Tue</t>
        </is>
      </c>
      <c r="D63" s="256" t="n">
        <v>0</v>
      </c>
      <c r="E63" s="49" t="n">
        <v>1960</v>
      </c>
      <c r="F63" s="50">
        <f>IFERROR(D63+E63+G63+U63+Y63,0)</f>
        <v>3915.0</v>
      </c>
      <c r="G63" s="257" t="n">
        <v>0</v>
      </c>
      <c r="H63" s="258">
        <f>SUMIFS('💸 Expenses'!$F$8:$F$5000,'💸 Expenses'!$B$8:$B$5000,"&gt;="&amp;B63,'💸 Expenses'!$B$8:$B$5000,"&lt;"&amp;(B63+1))</f>
        <v>596.38</v>
      </c>
      <c r="I63" s="259">
        <f>IFERROR(F63-H63,0)</f>
        <v>3318.62</v>
      </c>
      <c r="J63" s="260">
        <f>IFERROR(I63/F63,0)</f>
        <v>0.847668</v>
      </c>
      <c r="K63" s="254" t="n"/>
      <c r="L63" s="261" t="inlineStr">
        <is>
          <t>EOD close (BBVA + cash)</t>
        </is>
      </c>
      <c r="M63" s="291" t="n"/>
      <c r="N63" s="292" t="n"/>
      <c r="O63" s="293" t="n"/>
      <c r="P63" s="294" t="n"/>
      <c r="Q63" s="292" t="n"/>
      <c r="R63" s="311">
        <f>IFERROR(D63*$T$7,0)</f>
        <v>0.0</v>
      </c>
      <c r="S63" s="292" t="n"/>
      <c r="T63" s="292" t="n"/>
      <c r="U63" s="311" t="n">
        <v>0</v>
      </c>
      <c r="V63" s="311" t="n">
        <v>0</v>
      </c>
      <c r="W63" s="292" t="n"/>
      <c r="X63" s="292" t="n"/>
      <c r="Y63" s="311" t="n">
        <v>1955</v>
      </c>
      <c r="Z63" s="311" t="n">
        <v>37.15</v>
      </c>
      <c r="AA63" s="292" t="n"/>
      <c r="AB63" s="292" t="n"/>
    </row>
    <row r="64" ht="16.5" customHeight="1" s="331">
      <c r="B64" s="229" t="n">
        <v>46218</v>
      </c>
      <c r="C64" s="255" t="inlineStr">
        <is>
          <t>Wed</t>
        </is>
      </c>
      <c r="D64" s="256" t="n">
        <v>0</v>
      </c>
      <c r="E64" s="49" t="n">
        <v>2105</v>
      </c>
      <c r="F64" s="50">
        <f>IFERROR(D64+E64+G64+U64+Y64,0)</f>
        <v>5565.0</v>
      </c>
      <c r="G64" s="257" t="n">
        <v>130</v>
      </c>
      <c r="H64" s="258">
        <f>SUMIFS('💸 Expenses'!$F$8:$F$5000,'💸 Expenses'!$B$8:$B$5000,"&gt;="&amp;B64,'💸 Expenses'!$B$8:$B$5000,"&lt;"&amp;(B64+1))</f>
        <v>2606.86</v>
      </c>
      <c r="I64" s="259">
        <f>IFERROR(F64-H64,0)</f>
        <v>2958.14</v>
      </c>
      <c r="J64" s="260">
        <f>IFERROR(I64/F64,0)</f>
        <v>0.531562</v>
      </c>
      <c r="K64" s="254" t="n"/>
      <c r="L64" s="261" t="inlineStr">
        <is>
          <t>EOD close (BBVA + cash) | +$605 cash added (correction)</t>
        </is>
      </c>
      <c r="M64" s="291" t="n"/>
      <c r="N64" s="292" t="n"/>
      <c r="O64" s="293" t="n"/>
      <c r="P64" s="294" t="n"/>
      <c r="Q64" s="292" t="n"/>
      <c r="R64" s="311">
        <f>IFERROR(D64*$T$7,0)</f>
        <v>0.0</v>
      </c>
      <c r="S64" s="292" t="n"/>
      <c r="T64" s="292" t="n"/>
      <c r="U64" s="311" t="n">
        <v>0</v>
      </c>
      <c r="V64" s="311" t="n">
        <v>0</v>
      </c>
      <c r="W64" s="292" t="n"/>
      <c r="X64" s="292" t="n"/>
      <c r="Y64" s="311" t="n">
        <v>3330</v>
      </c>
      <c r="Z64" s="311" t="n">
        <v>63.27</v>
      </c>
      <c r="AA64" s="292" t="n"/>
      <c r="AB64" s="292" t="n"/>
    </row>
    <row r="65" ht="16.5" customHeight="1" s="331">
      <c r="B65" s="229" t="n">
        <v>46219</v>
      </c>
      <c r="C65" s="255" t="inlineStr">
        <is>
          <t>Thu</t>
        </is>
      </c>
      <c r="D65" s="256" t="n">
        <v>0</v>
      </c>
      <c r="E65" s="49" t="n">
        <v>4850</v>
      </c>
      <c r="F65" s="50">
        <f>IFERROR(D65+E65+G65+U65+Y65,0)</f>
        <v>12495.0</v>
      </c>
      <c r="G65" s="257" t="n">
        <v>2385</v>
      </c>
      <c r="H65" s="258">
        <f>SUMIFS('💸 Expenses'!$F$8:$F$5000,'💸 Expenses'!$B$8:$B$5000,"&gt;="&amp;B65,'💸 Expenses'!$B$8:$B$5000,"&lt;"&amp;(B65+1))</f>
        <v>1657.0</v>
      </c>
      <c r="I65" s="259">
        <f>IFERROR(F65-H65,0)</f>
        <v>10838.0</v>
      </c>
      <c r="J65" s="260">
        <f>IFERROR(I65/F65,0)</f>
        <v>0.867387</v>
      </c>
      <c r="K65" s="254" t="n"/>
      <c r="L65" s="261" t="inlineStr">
        <is>
          <t>EOD close (BBVA card + cash + $2,385 bank transfer to restaurant BBVA acct, no commission) | +$3,870 evening wine party (BBVA $1,150 + cash $2,720)</t>
        </is>
      </c>
      <c r="M65" s="291" t="n"/>
      <c r="N65" s="292" t="n"/>
      <c r="O65" s="293" t="n"/>
      <c r="P65" s="294" t="n"/>
      <c r="Q65" s="292" t="n"/>
      <c r="R65" s="311">
        <f>IFERROR(D65*$T$7,0)</f>
        <v>0.0</v>
      </c>
      <c r="S65" s="292" t="n"/>
      <c r="T65" s="292" t="n"/>
      <c r="U65" s="311" t="n">
        <v>0</v>
      </c>
      <c r="V65" s="311" t="n">
        <v>0</v>
      </c>
      <c r="W65" s="292" t="n"/>
      <c r="X65" s="292" t="n"/>
      <c r="Y65" s="311" t="n">
        <v>5260</v>
      </c>
      <c r="Z65" s="311" t="n">
        <v>99.94</v>
      </c>
      <c r="AA65" s="292" t="n"/>
      <c r="AB65" s="292" t="n"/>
    </row>
    <row r="66" ht="16.5" customHeight="1" s="331">
      <c r="B66" s="229" t="n">
        <v>46220</v>
      </c>
      <c r="C66" s="255" t="inlineStr">
        <is>
          <t>Fri</t>
        </is>
      </c>
      <c r="D66" s="256" t="n">
        <v>0</v>
      </c>
      <c r="E66" s="49" t="n">
        <v>785</v>
      </c>
      <c r="F66" s="50">
        <f>IFERROR(D66+E66+G66+U66+Y66,0)</f>
        <v>2622.0</v>
      </c>
      <c r="G66" s="257" t="n">
        <v>300</v>
      </c>
      <c r="H66" s="258">
        <f>SUMIFS('💸 Expenses'!$F$8:$F$5000,'💸 Expenses'!$B$8:$B$5000,"&gt;="&amp;B66,'💸 Expenses'!$B$8:$B$5000,"&lt;"&amp;(B66+1))</f>
        <v>1951.0</v>
      </c>
      <c r="I66" s="259">
        <f>IFERROR(F66-H66,0)</f>
        <v>671.0</v>
      </c>
      <c r="J66" s="260">
        <f>IFERROR(I66/F66,0)</f>
        <v>0.255912</v>
      </c>
      <c r="K66" s="254" t="n"/>
      <c r="L66" s="261" t="inlineStr">
        <is>
          <t>EOD close (BBVA + cash)</t>
        </is>
      </c>
      <c r="M66" s="291" t="n"/>
      <c r="N66" s="292" t="n"/>
      <c r="O66" s="293" t="n"/>
      <c r="P66" s="294" t="n"/>
      <c r="Q66" s="292" t="n"/>
      <c r="R66" s="311">
        <f>IFERROR(D66*$T$7,0)</f>
        <v>0.0</v>
      </c>
      <c r="S66" s="292" t="n"/>
      <c r="T66" s="292" t="n"/>
      <c r="U66" s="311" t="n">
        <v>0</v>
      </c>
      <c r="V66" s="311" t="n">
        <v>0</v>
      </c>
      <c r="W66" s="292" t="n"/>
      <c r="X66" s="292" t="n"/>
      <c r="Y66" s="311" t="n">
        <v>1537</v>
      </c>
      <c r="Z66" s="311" t="n">
        <v>29.2</v>
      </c>
      <c r="AA66" s="292" t="n"/>
      <c r="AB66" s="292" t="n"/>
    </row>
    <row r="67" ht="16.5" customHeight="1" s="331">
      <c r="B67" s="229" t="n">
        <v>46221</v>
      </c>
      <c r="C67" s="255" t="inlineStr">
        <is>
          <t>Sat</t>
        </is>
      </c>
      <c r="D67" s="256" t="n">
        <v>0</v>
      </c>
      <c r="E67" s="49" t="n">
        <v>745</v>
      </c>
      <c r="F67" s="50">
        <f>IFERROR(D67+E67+G67+U67+Y67,0)</f>
        <v>2900.0</v>
      </c>
      <c r="G67" s="257" t="n">
        <v>290</v>
      </c>
      <c r="H67" s="258">
        <f>SUMIFS('💸 Expenses'!$F$8:$F$5000,'💸 Expenses'!$B$8:$B$5000,"&gt;="&amp;B67,'💸 Expenses'!$B$8:$B$5000,"&lt;"&amp;(B67+1))</f>
        <v>6770.0</v>
      </c>
      <c r="I67" s="259">
        <f>IFERROR(F67-H67,0)</f>
        <v>-3870.0</v>
      </c>
      <c r="J67" s="260">
        <f>IFERROR(I67/F67,0)</f>
        <v>-1.334483</v>
      </c>
      <c r="K67" s="254" t="n"/>
      <c r="L67" s="261" t="inlineStr">
        <is>
          <t>EOD close (BBVA + cash) - expenses pending, salaries recorded</t>
        </is>
      </c>
      <c r="M67" s="291" t="n"/>
      <c r="N67" s="292" t="n"/>
      <c r="O67" s="293" t="n"/>
      <c r="P67" s="294" t="n"/>
      <c r="Q67" s="292" t="n"/>
      <c r="R67" s="311">
        <f>IFERROR(D67*$T$7,0)</f>
        <v>0.0</v>
      </c>
      <c r="S67" s="292" t="n"/>
      <c r="T67" s="292" t="n"/>
      <c r="U67" s="311" t="n">
        <v>0</v>
      </c>
      <c r="V67" s="311" t="n">
        <v>0</v>
      </c>
      <c r="W67" s="292" t="n"/>
      <c r="X67" s="292" t="n"/>
      <c r="Y67" s="311" t="n">
        <v>1865</v>
      </c>
      <c r="Z67" s="311" t="n">
        <v>35.44</v>
      </c>
      <c r="AA67" s="292" t="n"/>
      <c r="AB67" s="292" t="n"/>
    </row>
    <row r="68" ht="16.5" customHeight="1" s="331">
      <c r="B68" s="229" t="n">
        <v>46223</v>
      </c>
      <c r="C68" s="255" t="inlineStr">
        <is>
          <t>Mon</t>
        </is>
      </c>
      <c r="D68" s="256" t="n">
        <v>0</v>
      </c>
      <c r="E68" s="49" t="n">
        <v>1390</v>
      </c>
      <c r="F68" s="50">
        <f>IFERROR(D68+E68+G68+U68+Y68,0)</f>
        <v>4955.0</v>
      </c>
      <c r="G68" s="257" t="n">
        <v>0</v>
      </c>
      <c r="H68" s="258">
        <f>SUMIFS('💸 Expenses'!$F$8:$F$5000,'💸 Expenses'!$B$8:$B$5000,"&gt;="&amp;B68,'💸 Expenses'!$B$8:$B$5000,"&lt;"&amp;(B68+1))</f>
        <v>2459.0</v>
      </c>
      <c r="I68" s="259">
        <f>IFERROR(F68-H68,0)</f>
        <v>2496.0</v>
      </c>
      <c r="J68" s="260">
        <f>IFERROR(I68/F68,0)</f>
        <v>0.503734</v>
      </c>
      <c r="K68" s="254" t="n"/>
      <c r="L68" s="261" t="inlineStr">
        <is>
          <t>EOD close (BBVA + Soft + cash). Note: 19-Jul not recorded (closed). | transfer-to-me corrected to $0</t>
        </is>
      </c>
      <c r="M68" s="291" t="n"/>
      <c r="N68" s="292" t="n"/>
      <c r="O68" s="293" t="n"/>
      <c r="P68" s="294" t="n"/>
      <c r="Q68" s="292" t="n"/>
      <c r="R68" s="311">
        <f>IFERROR(D68*$T$7,0)</f>
        <v>0.0</v>
      </c>
      <c r="S68" s="292" t="n"/>
      <c r="T68" s="292" t="n"/>
      <c r="U68" s="311" t="n">
        <v>80</v>
      </c>
      <c r="V68" s="311" t="n">
        <v>1.48</v>
      </c>
      <c r="W68" s="292" t="n"/>
      <c r="X68" s="292" t="n"/>
      <c r="Y68" s="311" t="n">
        <v>3485</v>
      </c>
      <c r="Z68" s="311" t="n">
        <v>66.22</v>
      </c>
      <c r="AA68" s="292" t="n"/>
      <c r="AB68" s="292" t="n"/>
    </row>
    <row r="69" ht="16.5" customHeight="1" s="331">
      <c r="B69" s="229" t="n">
        <v>46224</v>
      </c>
      <c r="C69" s="255" t="inlineStr">
        <is>
          <t>Tue</t>
        </is>
      </c>
      <c r="D69" s="256" t="n">
        <v>0</v>
      </c>
      <c r="E69" s="49" t="n">
        <v>3470</v>
      </c>
      <c r="F69" s="50">
        <f>IFERROR(D69+E69+G69+U69+Y69,0)</f>
        <v>5480.0</v>
      </c>
      <c r="G69" s="257" t="n">
        <v>0</v>
      </c>
      <c r="H69" s="258">
        <f>SUMIFS('💸 Expenses'!$F$8:$F$5000,'💸 Expenses'!$B$8:$B$5000,"&gt;="&amp;B69,'💸 Expenses'!$B$8:$B$5000,"&lt;"&amp;(B69+1))</f>
        <v>2197.0</v>
      </c>
      <c r="I69" s="259">
        <f>IFERROR(F69-H69,0)</f>
        <v>3283.0</v>
      </c>
      <c r="J69" s="260">
        <f>IFERROR(I69/F69,0)</f>
        <v>0.599088</v>
      </c>
      <c r="K69" s="254" t="n"/>
      <c r="L69" s="261" t="inlineStr">
        <is>
          <t>EOD close (BBVA + cash). Week 10 start.</t>
        </is>
      </c>
      <c r="M69" s="291" t="n"/>
      <c r="N69" s="292" t="n"/>
      <c r="O69" s="293" t="n"/>
      <c r="P69" s="294" t="n"/>
      <c r="Q69" s="292" t="n"/>
      <c r="R69" s="311">
        <f>IFERROR(D69*$T$7,0)</f>
        <v>0.0</v>
      </c>
      <c r="S69" s="292" t="n"/>
      <c r="T69" s="292" t="n"/>
      <c r="U69" s="311" t="n">
        <v>0</v>
      </c>
      <c r="V69" s="311" t="n">
        <v>0</v>
      </c>
      <c r="W69" s="292" t="n"/>
      <c r="X69" s="292" t="n"/>
      <c r="Y69" s="311" t="n">
        <v>2010</v>
      </c>
      <c r="Z69" s="311" t="n">
        <v>38.19</v>
      </c>
      <c r="AA69" s="292" t="n"/>
      <c r="AB69" s="292" t="n"/>
    </row>
    <row r="70" ht="16.5" customHeight="1" s="331">
      <c r="B70" s="229" t="n">
        <v>46225</v>
      </c>
      <c r="C70" s="255" t="inlineStr">
        <is>
          <t>Wed</t>
        </is>
      </c>
      <c r="D70" s="256" t="n">
        <v>2310</v>
      </c>
      <c r="E70" s="49" t="n">
        <v>1730</v>
      </c>
      <c r="F70" s="50">
        <f>IFERROR(D70+E70+G70+U70+Y70,0)</f>
        <v>5205.0</v>
      </c>
      <c r="G70" s="257" t="n">
        <v>355</v>
      </c>
      <c r="H70" s="258">
        <f>SUMIFS('💸 Expenses'!$F$8:$F$5000,'💸 Expenses'!$B$8:$B$5000,"&gt;="&amp;B70,'💸 Expenses'!$B$8:$B$5000,"&lt;"&amp;(B70+1))</f>
        <v>3819.0</v>
      </c>
      <c r="I70" s="259">
        <f>IFERROR(F70-H70,0)</f>
        <v>1386.0</v>
      </c>
      <c r="J70" s="260">
        <f>IFERROR(I70/F70,0)</f>
        <v>0.266282</v>
      </c>
      <c r="K70" s="254" t="n"/>
      <c r="L70" s="261" t="inlineStr">
        <is>
          <t>EOD close (MP + BBVA + cash). Transfer col = $260 to-me (ledger) + $95 to restaurant BBVA bank (revenue, no comm). | +$240 additional cash income</t>
        </is>
      </c>
      <c r="M70" s="291" t="n"/>
      <c r="N70" s="292" t="n"/>
      <c r="O70" s="293" t="n"/>
      <c r="P70" s="294" t="n"/>
      <c r="Q70" s="292" t="n"/>
      <c r="R70" s="311">
        <f>IFERROR(D70*$T$7,0)</f>
        <v>93.79</v>
      </c>
      <c r="S70" s="292" t="n"/>
      <c r="T70" s="292" t="n"/>
      <c r="U70" s="311" t="n">
        <v>0</v>
      </c>
      <c r="V70" s="311" t="n">
        <v>0</v>
      </c>
      <c r="W70" s="292" t="n"/>
      <c r="X70" s="292" t="n"/>
      <c r="Y70" s="311" t="n">
        <v>810</v>
      </c>
      <c r="Z70" s="311" t="n">
        <v>15.39</v>
      </c>
      <c r="AA70" s="292" t="n"/>
      <c r="AB70" s="292" t="n"/>
    </row>
    <row r="71" ht="16.5" customHeight="1" s="331">
      <c r="B71" s="229" t="n">
        <v>46226</v>
      </c>
      <c r="C71" s="255" t="inlineStr">
        <is>
          <t>Thu</t>
        </is>
      </c>
      <c r="D71" s="256" t="n">
        <v>1695</v>
      </c>
      <c r="E71" s="49" t="n">
        <v>2380</v>
      </c>
      <c r="F71" s="50">
        <f>IFERROR(D71+E71+G71+U71+Y71,0)</f>
        <v>4075.0</v>
      </c>
      <c r="G71" s="257" t="n">
        <v>0</v>
      </c>
      <c r="H71" s="258">
        <f>SUMIFS('💸 Expenses'!$F$8:$F$5000,'💸 Expenses'!$B$8:$B$5000,"&gt;="&amp;B71,'💸 Expenses'!$B$8:$B$5000,"&lt;"&amp;(B71+1))</f>
        <v>5348.83</v>
      </c>
      <c r="I71" s="259">
        <f>IFERROR(F71-H71,0)</f>
        <v>-1273.83</v>
      </c>
      <c r="J71" s="260">
        <f>IFERROR(I71/F71,0)</f>
        <v>-0.312596</v>
      </c>
      <c r="K71" s="254" t="n"/>
      <c r="L71" s="261" t="inlineStr">
        <is>
          <t>EOD close (MP + cash; no BBVA/Soft, no transfers). Heavy Guimar packaging restock day.</t>
        </is>
      </c>
      <c r="M71" s="291" t="n"/>
      <c r="N71" s="292" t="n"/>
      <c r="O71" s="293" t="n"/>
      <c r="P71" s="294" t="n"/>
      <c r="Q71" s="292" t="n"/>
      <c r="R71" s="311">
        <f>IFERROR(D71*$T$7,0)</f>
        <v>68.82</v>
      </c>
      <c r="S71" s="292" t="n"/>
      <c r="T71" s="292" t="n"/>
      <c r="U71" s="311" t="n">
        <v>0</v>
      </c>
      <c r="V71" s="311" t="n">
        <v>0</v>
      </c>
      <c r="W71" s="292" t="n"/>
      <c r="X71" s="292" t="n"/>
      <c r="Y71" s="311" t="n">
        <v>0</v>
      </c>
      <c r="Z71" s="311" t="n">
        <v>0</v>
      </c>
      <c r="AA71" s="292" t="n"/>
      <c r="AB71" s="292" t="n"/>
    </row>
    <row r="72" ht="16.5" customHeight="1" s="331">
      <c r="B72" s="229" t="n">
        <v>46227</v>
      </c>
      <c r="C72" s="255" t="inlineStr">
        <is>
          <t>Fri</t>
        </is>
      </c>
      <c r="D72" s="256" t="n">
        <v>2455</v>
      </c>
      <c r="E72" s="49" t="n">
        <v>3315</v>
      </c>
      <c r="F72" s="50">
        <f>IFERROR(D72+E72+G72+U72+Y72,0)</f>
        <v>5770.0</v>
      </c>
      <c r="G72" s="257" t="n">
        <v>0</v>
      </c>
      <c r="H72" s="258">
        <f>SUMIFS('💸 Expenses'!$F$8:$F$5000,'💸 Expenses'!$B$8:$B$5000,"&gt;="&amp;B72,'💸 Expenses'!$B$8:$B$5000,"&lt;"&amp;(B72+1))</f>
        <v>1886.0</v>
      </c>
      <c r="I72" s="259">
        <f>IFERROR(F72-H72,0)</f>
        <v>3884.0</v>
      </c>
      <c r="J72" s="260">
        <f>IFERROR(I72/F72,0)</f>
        <v>0.673137</v>
      </c>
      <c r="K72" s="254" t="n"/>
      <c r="L72" s="261" t="inlineStr">
        <is>
          <t>EOD close (MP + cash). Samu Week 10 salary paid.</t>
        </is>
      </c>
      <c r="M72" s="291" t="n"/>
      <c r="N72" s="292" t="n"/>
      <c r="O72" s="293" t="n"/>
      <c r="P72" s="294" t="n"/>
      <c r="Q72" s="292" t="n"/>
      <c r="R72" s="311">
        <f>IFERROR(D72*$T$7,0)</f>
        <v>99.67</v>
      </c>
      <c r="S72" s="292" t="n"/>
      <c r="T72" s="292" t="n"/>
      <c r="U72" s="311" t="n">
        <v>0</v>
      </c>
      <c r="V72" s="311" t="n">
        <v>0</v>
      </c>
      <c r="W72" s="292" t="n"/>
      <c r="X72" s="292" t="n"/>
      <c r="Y72" s="311" t="n">
        <v>0</v>
      </c>
      <c r="Z72" s="311" t="n">
        <v>0</v>
      </c>
      <c r="AA72" s="292" t="n"/>
      <c r="AB72" s="292" t="n"/>
    </row>
    <row r="73" ht="16.5" customHeight="1" s="331">
      <c r="B73" s="229" t="n">
        <v>46228</v>
      </c>
      <c r="C73" s="255" t="inlineStr">
        <is>
          <t>Sat</t>
        </is>
      </c>
      <c r="D73" s="256" t="n">
        <v>155</v>
      </c>
      <c r="E73" s="49" t="n">
        <v>1070</v>
      </c>
      <c r="F73" s="50">
        <f>IFERROR(D73+E73+G73+U73+Y73,0)</f>
        <v>1225.0</v>
      </c>
      <c r="G73" s="257" t="n">
        <v>0</v>
      </c>
      <c r="H73" s="258">
        <f>SUMIFS('💸 Expenses'!$F$8:$F$5000,'💸 Expenses'!$B$8:$B$5000,"&gt;="&amp;B73,'💸 Expenses'!$B$8:$B$5000,"&lt;"&amp;(B73+1))</f>
        <v>6613.0</v>
      </c>
      <c r="I73" s="259">
        <f>IFERROR(F73-H73,0)</f>
        <v>-5388.0</v>
      </c>
      <c r="J73" s="260">
        <f>IFERROR(I73/F73,0)</f>
        <v>-4.398367</v>
      </c>
      <c r="K73" s="254" t="n"/>
      <c r="L73" s="261" t="inlineStr">
        <is>
          <t>EOD close (MP + cash). John + Duvi Week 10 salaries paid.</t>
        </is>
      </c>
      <c r="M73" s="291" t="n"/>
      <c r="N73" s="292" t="n"/>
      <c r="O73" s="293" t="n"/>
      <c r="P73" s="294" t="n"/>
      <c r="Q73" s="292" t="n"/>
      <c r="R73" s="311">
        <f>IFERROR(D73*$T$7,0)</f>
        <v>6.29</v>
      </c>
      <c r="S73" s="292" t="n"/>
      <c r="T73" s="292" t="n"/>
      <c r="U73" s="311" t="n">
        <v>0</v>
      </c>
      <c r="V73" s="311" t="n">
        <v>0</v>
      </c>
      <c r="W73" s="292" t="n"/>
      <c r="X73" s="292" t="n"/>
      <c r="Y73" s="311" t="n">
        <v>0</v>
      </c>
      <c r="Z73" s="311" t="n">
        <v>0</v>
      </c>
      <c r="AA73" s="292" t="n"/>
      <c r="AB73" s="292" t="n"/>
    </row>
    <row r="74" ht="16.5" customHeight="1" s="331">
      <c r="B74" s="229" t="n">
        <v>46230</v>
      </c>
      <c r="C74" s="270" t="inlineStr">
        <is>
          <t>Mon</t>
        </is>
      </c>
      <c r="D74" s="271" t="n">
        <v>1100</v>
      </c>
      <c r="E74" s="37" t="n">
        <v>1380</v>
      </c>
      <c r="F74" s="38">
        <f>IFERROR(D74+E74+G74+U74+Y74,0)</f>
        <v>3180.0</v>
      </c>
      <c r="G74" s="272" t="n">
        <v>700</v>
      </c>
      <c r="H74" s="273">
        <f>SUMIFS('💸 Expenses'!$F$8:$F$5000,'💸 Expenses'!$B$8:$B$5000,"&gt;="&amp;B74,'💸 Expenses'!$B$8:$B$5000,"&lt;"&amp;(B74+1))</f>
        <v>928.0</v>
      </c>
      <c r="I74" s="274">
        <f>IFERROR(F74-H74,0)</f>
        <v>2252.0</v>
      </c>
      <c r="J74" s="275">
        <f>IFERROR(I74/F74,0)</f>
        <v>0.708176</v>
      </c>
      <c r="K74" s="250" t="n"/>
      <c r="L74" s="276" t="inlineStr">
        <is>
          <t>Cierre via loka.py</t>
        </is>
      </c>
      <c r="M74" s="323" t="n"/>
      <c r="N74" s="324" t="n"/>
      <c r="O74" s="325" t="n"/>
      <c r="P74" s="326" t="n"/>
      <c r="Q74" s="324" t="n"/>
      <c r="R74" s="327">
        <f>IFERROR(D74*$T$7,0)</f>
        <v>44.66</v>
      </c>
      <c r="S74" s="324" t="n"/>
      <c r="T74" s="324" t="n"/>
      <c r="U74" s="327" t="n">
        <v>0</v>
      </c>
      <c r="V74" s="327" t="n">
        <v>0</v>
      </c>
      <c r="W74" s="324" t="n"/>
      <c r="X74" s="324" t="n"/>
      <c r="Y74" s="327" t="n">
        <v>0</v>
      </c>
      <c r="Z74" s="327" t="n">
        <v>0</v>
      </c>
      <c r="AA74" s="324" t="n"/>
      <c r="AB74" s="324" t="n"/>
    </row>
    <row r="75" ht="16.5" customHeight="1" s="331">
      <c r="B75" s="229" t="n">
        <v>46231</v>
      </c>
      <c r="C75" s="255" t="inlineStr">
        <is>
          <t>Tue</t>
        </is>
      </c>
      <c r="D75" s="256" t="n">
        <v>3205</v>
      </c>
      <c r="E75" s="49" t="n">
        <v>1565</v>
      </c>
      <c r="F75" s="50">
        <f>IFERROR(D75+E75+G75+U75+Y75,0)</f>
        <v>5250.0</v>
      </c>
      <c r="G75" s="257" t="n">
        <v>130</v>
      </c>
      <c r="H75" s="258">
        <f>SUMIFS('💸 Expenses'!$F$8:$F$5000,'💸 Expenses'!$B$8:$B$5000,"&gt;="&amp;B75,'💸 Expenses'!$B$8:$B$5000,"&lt;"&amp;(B75+1))</f>
        <v>1504.0</v>
      </c>
      <c r="I75" s="259">
        <f>IFERROR(F75-H75,0)</f>
        <v>3746.0</v>
      </c>
      <c r="J75" s="260">
        <f>IFERROR(I75/F75,0)</f>
        <v>0.713524</v>
      </c>
      <c r="K75" s="254" t="n"/>
      <c r="L75" s="261" t="inlineStr">
        <is>
          <t>Cierre via loka.py</t>
        </is>
      </c>
      <c r="M75" s="291" t="n"/>
      <c r="N75" s="292" t="n"/>
      <c r="O75" s="293" t="n"/>
      <c r="P75" s="294" t="n"/>
      <c r="Q75" s="292" t="n"/>
      <c r="R75" s="311">
        <f>IFERROR(D75*$T$7,0)</f>
        <v>130.12</v>
      </c>
      <c r="S75" s="292" t="n"/>
      <c r="T75" s="292" t="n"/>
      <c r="U75" s="311" t="n">
        <v>0</v>
      </c>
      <c r="V75" s="311" t="n">
        <v>0</v>
      </c>
      <c r="W75" s="292" t="n"/>
      <c r="X75" s="292" t="n"/>
      <c r="Y75" s="311" t="n">
        <v>350</v>
      </c>
      <c r="Z75" s="311" t="n">
        <v>6.65</v>
      </c>
      <c r="AA75" s="292" t="n"/>
      <c r="AB75" s="292" t="n"/>
    </row>
    <row r="76" ht="16.5" customHeight="1" s="331">
      <c r="B76" s="229" t="n">
        <v>46232</v>
      </c>
      <c r="C76" s="270" t="inlineStr">
        <is>
          <t>Wed</t>
        </is>
      </c>
      <c r="D76" s="271" t="n">
        <v>2455</v>
      </c>
      <c r="E76" s="37" t="n">
        <v>1460</v>
      </c>
      <c r="F76" s="38">
        <f>IFERROR(D76+E76+G76+U76+Y76,0)</f>
        <v>4120.0</v>
      </c>
      <c r="G76" s="272" t="n">
        <v>205</v>
      </c>
      <c r="H76" s="273">
        <f>SUMIFS('💸 Expenses'!$F$8:$F$5000,'💸 Expenses'!$B$8:$B$5000,"&gt;="&amp;B76,'💸 Expenses'!$B$8:$B$5000,"&lt;"&amp;(B76+1))</f>
        <v>1495.0</v>
      </c>
      <c r="I76" s="274">
        <f>IFERROR(F76-H76,0)</f>
        <v>2625.0</v>
      </c>
      <c r="J76" s="275">
        <f>IFERROR(I76/F76,0)</f>
        <v>0.637136</v>
      </c>
      <c r="K76" s="250" t="n"/>
      <c r="L76" s="276" t="inlineStr">
        <is>
          <t>Cierre via loka.py</t>
        </is>
      </c>
      <c r="M76" s="323" t="n"/>
      <c r="N76" s="324" t="n"/>
      <c r="O76" s="325" t="n"/>
      <c r="P76" s="326" t="n"/>
      <c r="Q76" s="324" t="n"/>
      <c r="R76" s="327">
        <f>IFERROR(D76*$T$7,0)</f>
        <v>99.67</v>
      </c>
      <c r="S76" s="324" t="n"/>
      <c r="T76" s="324" t="n"/>
      <c r="U76" s="327" t="n">
        <v>0</v>
      </c>
      <c r="V76" s="327" t="n">
        <v>0</v>
      </c>
      <c r="W76" s="324" t="n"/>
      <c r="X76" s="324" t="n"/>
      <c r="Y76" s="327" t="n">
        <v>0</v>
      </c>
      <c r="Z76" s="327" t="n">
        <v>0</v>
      </c>
      <c r="AA76" s="324" t="n"/>
      <c r="AB76" s="324" t="n"/>
    </row>
    <row r="77" ht="16.5" customHeight="1" s="331">
      <c r="B77" s="229" t="n">
        <v>46233</v>
      </c>
      <c r="C77" s="255" t="inlineStr">
        <is>
          <t>Thu</t>
        </is>
      </c>
      <c r="D77" s="256" t="n">
        <v>1944</v>
      </c>
      <c r="E77" s="49" t="n">
        <v>1290</v>
      </c>
      <c r="F77" s="50">
        <f>IFERROR(D77+E77+G77+U77+Y77,0)</f>
        <v>3234.0</v>
      </c>
      <c r="G77" s="257" t="n">
        <v>0</v>
      </c>
      <c r="H77" s="258">
        <f>SUMIFS('💸 Expenses'!$F$8:$F$5000,'💸 Expenses'!$B$8:$B$5000,"&gt;="&amp;B77,'💸 Expenses'!$B$8:$B$5000,"&lt;"&amp;(B77+1))</f>
        <v>268.0</v>
      </c>
      <c r="I77" s="259">
        <f>IFERROR(F77-H77,0)</f>
        <v>2966.0</v>
      </c>
      <c r="J77" s="260">
        <f>IFERROR(I77/F77,0)</f>
        <v>0.91713</v>
      </c>
      <c r="K77" s="254" t="n"/>
      <c r="L77" s="261" t="inlineStr">
        <is>
          <t>Cierre via loka.py</t>
        </is>
      </c>
      <c r="M77" s="291" t="n"/>
      <c r="N77" s="292" t="n"/>
      <c r="O77" s="293" t="n"/>
      <c r="P77" s="294" t="n"/>
      <c r="Q77" s="292" t="n"/>
      <c r="R77" s="311">
        <f>IFERROR(D77*$T$7,0)</f>
        <v>78.93</v>
      </c>
      <c r="S77" s="292" t="n"/>
      <c r="T77" s="292" t="n"/>
      <c r="U77" s="311" t="n">
        <v>0</v>
      </c>
      <c r="V77" s="311" t="n">
        <v>0</v>
      </c>
      <c r="W77" s="292" t="n"/>
      <c r="X77" s="292" t="n"/>
      <c r="Y77" s="311" t="n">
        <v>0</v>
      </c>
      <c r="Z77" s="311" t="n">
        <v>0</v>
      </c>
      <c r="AA77" s="292" t="n"/>
      <c r="AB77" s="292" t="n"/>
    </row>
    <row r="78" ht="16.5" customHeight="1" s="331">
      <c r="B78" s="229" t="n">
        <v>46234</v>
      </c>
      <c r="C78" s="270" t="inlineStr">
        <is>
          <t>Fri</t>
        </is>
      </c>
      <c r="D78" s="271" t="n">
        <v>2500</v>
      </c>
      <c r="E78" s="37" t="n">
        <v>1815</v>
      </c>
      <c r="F78" s="38">
        <f>IFERROR(D78+E78+G78+U78+Y78,0)</f>
        <v>4705.0</v>
      </c>
      <c r="G78" s="272" t="n">
        <v>390</v>
      </c>
      <c r="H78" s="273">
        <f>SUMIFS('💸 Expenses'!$F$8:$F$5000,'💸 Expenses'!$B$8:$B$5000,"&gt;="&amp;B78,'💸 Expenses'!$B$8:$B$5000,"&lt;"&amp;(B78+1))</f>
        <v>1993.0</v>
      </c>
      <c r="I78" s="274">
        <f>IFERROR(F78-H78,0)</f>
        <v>2712.0</v>
      </c>
      <c r="J78" s="275">
        <f>IFERROR(I78/F78,0)</f>
        <v>0.576408</v>
      </c>
      <c r="K78" s="250" t="n"/>
      <c r="L78" s="276" t="inlineStr">
        <is>
          <t>Cierre via loka.py</t>
        </is>
      </c>
      <c r="M78" s="323" t="n"/>
      <c r="N78" s="324" t="n"/>
      <c r="O78" s="325" t="n"/>
      <c r="P78" s="326" t="n"/>
      <c r="Q78" s="324" t="n"/>
      <c r="R78" s="327">
        <f>IFERROR(D78*$T$7,0)</f>
        <v>101.5</v>
      </c>
      <c r="S78" s="324" t="n"/>
      <c r="T78" s="324" t="n"/>
      <c r="U78" s="327" t="n">
        <v>0</v>
      </c>
      <c r="V78" s="327" t="n">
        <v>0</v>
      </c>
      <c r="W78" s="324" t="n"/>
      <c r="X78" s="324" t="n"/>
      <c r="Y78" s="327" t="n">
        <v>0</v>
      </c>
      <c r="Z78" s="327" t="n">
        <v>0</v>
      </c>
      <c r="AA78" s="324" t="n"/>
      <c r="AB78" s="324" t="n"/>
    </row>
    <row r="79" ht="16.5" customHeight="1" s="331">
      <c r="B79" s="229" t="n">
        <v>46235</v>
      </c>
      <c r="C79" s="255" t="inlineStr">
        <is>
          <t>Sat</t>
        </is>
      </c>
      <c r="D79" s="256" t="n">
        <v>2238</v>
      </c>
      <c r="E79" s="49" t="n">
        <v>1275</v>
      </c>
      <c r="F79" s="50">
        <f>IFERROR(D79+E79+G79+U79+Y79,0)</f>
        <v>3738.0</v>
      </c>
      <c r="G79" s="257" t="n">
        <v>225</v>
      </c>
      <c r="H79" s="258">
        <f>SUMIFS('💸 Expenses'!$F$8:$F$5000,'💸 Expenses'!$B$8:$B$5000,"&gt;="&amp;B79,'💸 Expenses'!$B$8:$B$5000,"&lt;"&amp;(B79+1))</f>
        <v>7208.0</v>
      </c>
      <c r="I79" s="259">
        <f>IFERROR(F79-H79,0)</f>
        <v>-3470.0</v>
      </c>
      <c r="J79" s="260">
        <f>IFERROR(I79/F79,0)</f>
        <v>-0.928304</v>
      </c>
      <c r="K79" s="254" t="n"/>
      <c r="L79" s="261" t="inlineStr">
        <is>
          <t>Cierre via loka.py</t>
        </is>
      </c>
      <c r="M79" s="291" t="n"/>
      <c r="N79" s="292" t="n"/>
      <c r="O79" s="293" t="n"/>
      <c r="P79" s="294" t="n"/>
      <c r="Q79" s="292" t="n"/>
      <c r="R79" s="311">
        <f>IFERROR(D79*$T$7,0)</f>
        <v>90.86</v>
      </c>
      <c r="S79" s="292" t="n"/>
      <c r="T79" s="292" t="n"/>
      <c r="U79" s="311" t="n">
        <v>0</v>
      </c>
      <c r="V79" s="311" t="n">
        <v>0</v>
      </c>
      <c r="W79" s="292" t="n"/>
      <c r="X79" s="292" t="n"/>
      <c r="Y79" s="311" t="n">
        <v>0</v>
      </c>
      <c r="Z79" s="311" t="n">
        <v>0</v>
      </c>
      <c r="AA79" s="292" t="n"/>
      <c r="AB79" s="292" t="n"/>
    </row>
    <row r="80" ht="16.5" customHeight="1" s="331">
      <c r="B80" s="427" t="n">
        <v>46237</v>
      </c>
      <c r="C80" s="270" t="inlineStr">
        <is>
          <t>Mon</t>
        </is>
      </c>
      <c r="D80" s="271" t="n">
        <v>0</v>
      </c>
      <c r="E80" s="37" t="n">
        <v>2430</v>
      </c>
      <c r="F80" s="38">
        <f>IFERROR(D80+E80+G80+U80+Y80,0)</f>
        <v>4360.0</v>
      </c>
      <c r="G80" s="272" t="n">
        <v>0</v>
      </c>
      <c r="H80" s="273">
        <f>SUMIFS('💸 Expenses'!$F$8:$F$5000,'💸 Expenses'!$B$8:$B$5000,"&gt;="&amp;B80,'💸 Expenses'!$B$8:$B$5000,"&lt;"&amp;(B80+1))</f>
        <v>1008.0</v>
      </c>
      <c r="I80" s="274">
        <f>IFERROR(F80-H80,0)</f>
        <v>3352.0</v>
      </c>
      <c r="J80" s="275">
        <f>IFERROR(I80/F80,0)</f>
        <v>0.768807</v>
      </c>
      <c r="K80" s="250" t="n"/>
      <c r="L80" s="276" t="inlineStr">
        <is>
          <t>Cierre via loka.py</t>
        </is>
      </c>
      <c r="M80" s="323" t="n"/>
      <c r="N80" s="324" t="n"/>
      <c r="O80" s="325" t="n"/>
      <c r="P80" s="326" t="n"/>
      <c r="Q80" s="324" t="n"/>
      <c r="R80" s="428">
        <f>IFERROR(D80*$T$7,0)</f>
        <v>0.0</v>
      </c>
      <c r="S80" s="324" t="n"/>
      <c r="T80" s="324" t="n"/>
      <c r="U80" s="428" t="n">
        <v>0</v>
      </c>
      <c r="V80" s="428" t="n">
        <v>0</v>
      </c>
      <c r="W80" s="324" t="n"/>
      <c r="X80" s="324" t="n"/>
      <c r="Y80" s="428" t="n">
        <v>1930</v>
      </c>
      <c r="Z80" s="428" t="n">
        <v>36.67</v>
      </c>
      <c r="AA80" s="324" t="n"/>
      <c r="AB80" s="324" t="n"/>
    </row>
    <row r="81" ht="16.5" customHeight="1" s="331">
      <c r="B81" s="427" t="n">
        <v>46238</v>
      </c>
      <c r="C81" s="255" t="inlineStr">
        <is>
          <t>Tue</t>
        </is>
      </c>
      <c r="D81" s="256" t="n">
        <v>0</v>
      </c>
      <c r="E81" s="49" t="n">
        <v>2500</v>
      </c>
      <c r="F81" s="50">
        <f>IFERROR(D81+E81+G81+U81+Y81,0)</f>
        <v>3775.0</v>
      </c>
      <c r="G81" s="257" t="n">
        <v>0</v>
      </c>
      <c r="H81" s="258">
        <f>SUMIFS('💸 Expenses'!$F$8:$F$5000,'💸 Expenses'!$B$8:$B$5000,"&gt;="&amp;B81,'💸 Expenses'!$B$8:$B$5000,"&lt;"&amp;(B81+1))</f>
        <v>28989.04</v>
      </c>
      <c r="I81" s="259">
        <f>IFERROR(F81-H81,0)</f>
        <v>-25214.04</v>
      </c>
      <c r="J81" s="260">
        <f>IFERROR(I81/F81,0)</f>
        <v>-6.679216</v>
      </c>
      <c r="K81" s="254" t="n"/>
      <c r="L81" s="261" t="inlineStr">
        <is>
          <t>Cierre via loka.py</t>
        </is>
      </c>
      <c r="M81" s="291" t="n"/>
      <c r="N81" s="292" t="n"/>
      <c r="O81" s="293" t="n"/>
      <c r="P81" s="294" t="n"/>
      <c r="Q81" s="292" t="n"/>
      <c r="R81" s="443">
        <f>IFERROR(D81*$T$7,0)</f>
        <v>0.0</v>
      </c>
      <c r="S81" s="292" t="n"/>
      <c r="T81" s="292" t="n"/>
      <c r="U81" s="443" t="n">
        <v>0</v>
      </c>
      <c r="V81" s="443" t="n">
        <v>0</v>
      </c>
      <c r="W81" s="292" t="n"/>
      <c r="X81" s="292" t="n"/>
      <c r="Y81" s="443" t="n">
        <v>1275</v>
      </c>
      <c r="Z81" s="443" t="n">
        <v>24.23</v>
      </c>
      <c r="AA81" s="292" t="n"/>
      <c r="AB81" s="292" t="n"/>
    </row>
    <row r="82" ht="16.5" customHeight="1" s="331">
      <c r="B82" s="427" t="n">
        <v>46239</v>
      </c>
      <c r="C82" s="270" t="inlineStr">
        <is>
          <t>Wed</t>
        </is>
      </c>
      <c r="D82" s="271" t="n">
        <v>0</v>
      </c>
      <c r="E82" s="37" t="n">
        <v>1185</v>
      </c>
      <c r="F82" s="38">
        <f>IFERROR(D82+E82+G82+U82+Y82,0)</f>
        <v>5165.0</v>
      </c>
      <c r="G82" s="272" t="n">
        <v>0</v>
      </c>
      <c r="H82" s="273">
        <f>SUMIFS('💸 Expenses'!$F$8:$F$5000,'💸 Expenses'!$B$8:$B$5000,"&gt;="&amp;B82,'💸 Expenses'!$B$8:$B$5000,"&lt;"&amp;(B82+1))</f>
        <v>1445.0</v>
      </c>
      <c r="I82" s="274">
        <f>IFERROR(F82-H82,0)</f>
        <v>3720.0</v>
      </c>
      <c r="J82" s="275">
        <f>IFERROR(I82/F82,0)</f>
        <v>0.720232</v>
      </c>
      <c r="K82" s="250" t="n"/>
      <c r="L82" s="276" t="inlineStr">
        <is>
          <t>Cierre via loka.py</t>
        </is>
      </c>
      <c r="M82" s="323" t="n"/>
      <c r="N82" s="324" t="n"/>
      <c r="O82" s="325" t="n"/>
      <c r="P82" s="326" t="n"/>
      <c r="Q82" s="324" t="n"/>
      <c r="R82" s="428">
        <f>IFERROR(D82*$T$7,0)</f>
        <v>0.0</v>
      </c>
      <c r="S82" s="324" t="n"/>
      <c r="T82" s="324" t="n"/>
      <c r="U82" s="428" t="n">
        <v>0</v>
      </c>
      <c r="V82" s="428" t="n">
        <v>0</v>
      </c>
      <c r="W82" s="324" t="n"/>
      <c r="X82" s="324" t="n"/>
      <c r="Y82" s="428" t="n">
        <v>3980</v>
      </c>
      <c r="Z82" s="428" t="n">
        <v>75.62</v>
      </c>
      <c r="AA82" s="324" t="n"/>
      <c r="AB82" s="324" t="n"/>
    </row>
    <row r="83" ht="16.5" customHeight="1" s="331">
      <c r="B83" s="427" t="n">
        <v>46240</v>
      </c>
      <c r="C83" s="255" t="inlineStr">
        <is>
          <t>Thu</t>
        </is>
      </c>
      <c r="D83" s="256" t="n">
        <v>130</v>
      </c>
      <c r="E83" s="49" t="n">
        <v>1605</v>
      </c>
      <c r="F83" s="50">
        <f>IFERROR(D83+E83+G83+U83+Y83,0)</f>
        <v>3765.0</v>
      </c>
      <c r="G83" s="257" t="n">
        <v>130</v>
      </c>
      <c r="H83" s="258">
        <f>SUMIFS('💸 Expenses'!$F$8:$F$5000,'💸 Expenses'!$B$8:$B$5000,"&gt;="&amp;B83,'💸 Expenses'!$B$8:$B$5000,"&lt;"&amp;(B83+1))</f>
        <v>2372.0</v>
      </c>
      <c r="I83" s="259">
        <f>IFERROR(F83-H83,0)</f>
        <v>1393.0</v>
      </c>
      <c r="J83" s="260">
        <f>IFERROR(I83/F83,0)</f>
        <v>0.369987</v>
      </c>
      <c r="K83" s="254" t="n"/>
      <c r="L83" s="261" t="inlineStr">
        <is>
          <t>Cierre via loka.py</t>
        </is>
      </c>
      <c r="M83" s="291" t="n"/>
      <c r="N83" s="292" t="n"/>
      <c r="O83" s="293" t="n"/>
      <c r="P83" s="294" t="n"/>
      <c r="Q83" s="292" t="n"/>
      <c r="R83" s="443">
        <f>IFERROR(D83*$T$7,0)</f>
        <v>5.28</v>
      </c>
      <c r="S83" s="292" t="n"/>
      <c r="T83" s="292" t="n"/>
      <c r="U83" s="443" t="n">
        <v>0</v>
      </c>
      <c r="V83" s="443" t="n">
        <v>0</v>
      </c>
      <c r="W83" s="292" t="n"/>
      <c r="X83" s="292" t="n"/>
      <c r="Y83" s="443" t="n">
        <v>1900</v>
      </c>
      <c r="Z83" s="443" t="n">
        <v>36.1</v>
      </c>
      <c r="AA83" s="292" t="n"/>
      <c r="AB83" s="292" t="n"/>
    </row>
    <row r="84" ht="16.5" customHeight="1" s="331">
      <c r="B84" s="427" t="n">
        <v>46241</v>
      </c>
      <c r="C84" s="270" t="inlineStr">
        <is>
          <t>Fri</t>
        </is>
      </c>
      <c r="D84" s="271" t="n">
        <v>115</v>
      </c>
      <c r="E84" s="37" t="n">
        <v>3495</v>
      </c>
      <c r="F84" s="38">
        <f>IFERROR(D84+E84+G84+U84+Y84,0)</f>
        <v>6725.0</v>
      </c>
      <c r="G84" s="272" t="n">
        <v>130</v>
      </c>
      <c r="H84" s="273">
        <f>SUMIFS('💸 Expenses'!$F$8:$F$5000,'💸 Expenses'!$B$8:$B$5000,"&gt;="&amp;B84,'💸 Expenses'!$B$8:$B$5000,"&lt;"&amp;(B84+1))</f>
        <v>2152.0</v>
      </c>
      <c r="I84" s="274">
        <f>IFERROR(F84-H84,0)</f>
        <v>4573.0</v>
      </c>
      <c r="J84" s="275">
        <f>IFERROR(I84/F84,0)</f>
        <v>0.68</v>
      </c>
      <c r="K84" s="250" t="n"/>
      <c r="L84" s="276" t="inlineStr">
        <is>
          <t>Cierre via loka.py</t>
        </is>
      </c>
      <c r="M84" s="323" t="n"/>
      <c r="N84" s="324" t="n"/>
      <c r="O84" s="325" t="n"/>
      <c r="P84" s="326" t="n"/>
      <c r="Q84" s="324" t="n"/>
      <c r="R84" s="428">
        <f>IFERROR(D84*$T$7,0)</f>
        <v>4.67</v>
      </c>
      <c r="S84" s="324" t="n"/>
      <c r="T84" s="324" t="n"/>
      <c r="U84" s="428" t="n">
        <v>0</v>
      </c>
      <c r="V84" s="428" t="n">
        <v>0</v>
      </c>
      <c r="W84" s="324" t="n"/>
      <c r="X84" s="324" t="n"/>
      <c r="Y84" s="428" t="n">
        <v>2985</v>
      </c>
      <c r="Z84" s="428" t="n">
        <v>56.72</v>
      </c>
      <c r="AA84" s="324" t="n"/>
      <c r="AB84" s="324" t="n"/>
    </row>
    <row r="85" ht="16.5" customHeight="1" s="331">
      <c r="B85" s="427" t="n">
        <v>46242</v>
      </c>
      <c r="C85" s="255" t="inlineStr">
        <is>
          <t>Sat</t>
        </is>
      </c>
      <c r="D85" s="256" t="n">
        <v>420</v>
      </c>
      <c r="E85" s="49" t="n">
        <v>1115</v>
      </c>
      <c r="F85" s="50">
        <f>IFERROR(D85+E85+G85+U85+Y85,0)</f>
        <v>2410.0</v>
      </c>
      <c r="G85" s="257" t="n">
        <v>135</v>
      </c>
      <c r="H85" s="258">
        <f>SUMIFS('💸 Expenses'!$F$8:$F$5000,'💸 Expenses'!$B$8:$B$5000,"&gt;="&amp;B85,'💸 Expenses'!$B$8:$B$5000,"&lt;"&amp;(B85+1))</f>
        <v>7943.0</v>
      </c>
      <c r="I85" s="259">
        <f>IFERROR(F85-H85,0)</f>
        <v>-5533.0</v>
      </c>
      <c r="J85" s="260">
        <f>IFERROR(I85/F85,0)</f>
        <v>-2.295851</v>
      </c>
      <c r="K85" s="254" t="n"/>
      <c r="L85" s="261" t="inlineStr">
        <is>
          <t>Cierre via loka.py</t>
        </is>
      </c>
      <c r="M85" s="291" t="n"/>
      <c r="N85" s="292" t="n"/>
      <c r="O85" s="293" t="n"/>
      <c r="P85" s="294" t="n"/>
      <c r="Q85" s="292" t="n"/>
      <c r="R85" s="443">
        <f>IFERROR(D85*$T$7,0)</f>
        <v>17.05</v>
      </c>
      <c r="S85" s="292" t="n"/>
      <c r="T85" s="292" t="n"/>
      <c r="U85" s="443" t="n">
        <v>0</v>
      </c>
      <c r="V85" s="443" t="n">
        <v>0</v>
      </c>
      <c r="W85" s="292" t="n"/>
      <c r="X85" s="292" t="n"/>
      <c r="Y85" s="443" t="n">
        <v>740</v>
      </c>
      <c r="Z85" s="443" t="n">
        <v>14.06</v>
      </c>
      <c r="AA85" s="292" t="n"/>
      <c r="AB85" s="292" t="n"/>
    </row>
    <row r="86" ht="16.5" customHeight="1" s="331">
      <c r="B86" s="427" t="n">
        <v>46244</v>
      </c>
      <c r="C86" s="270" t="inlineStr">
        <is>
          <t>Mon</t>
        </is>
      </c>
      <c r="D86" s="271" t="n">
        <v>65</v>
      </c>
      <c r="E86" s="37" t="n">
        <v>4305</v>
      </c>
      <c r="F86" s="38">
        <f>IFERROR(D86+E86+G86+U86+Y86,0)</f>
        <v>6540.0</v>
      </c>
      <c r="G86" s="272" t="n">
        <v>130</v>
      </c>
      <c r="H86" s="273">
        <f>SUMIFS('💸 Expenses'!$F$8:$F$5000,'💸 Expenses'!$B$8:$B$5000,"&gt;="&amp;B86,'💸 Expenses'!$B$8:$B$5000,"&lt;"&amp;(B86+1))</f>
        <v>1138.0</v>
      </c>
      <c r="I86" s="274">
        <f>IFERROR(F86-H86,0)</f>
        <v>5402.0</v>
      </c>
      <c r="J86" s="275">
        <f>IFERROR(I86/F86,0)</f>
        <v>0.825994</v>
      </c>
      <c r="K86" s="250" t="n"/>
      <c r="L86" s="276" t="inlineStr">
        <is>
          <t>Cierre via loka.py</t>
        </is>
      </c>
      <c r="M86" s="323" t="n"/>
      <c r="N86" s="324" t="n"/>
      <c r="O86" s="325" t="n"/>
      <c r="P86" s="326" t="n"/>
      <c r="Q86" s="324" t="n"/>
      <c r="R86" s="428">
        <f>IFERROR(D86*$T$7,0)</f>
        <v>2.64</v>
      </c>
      <c r="S86" s="324" t="n"/>
      <c r="T86" s="324" t="n"/>
      <c r="U86" s="428" t="n">
        <v>0</v>
      </c>
      <c r="V86" s="428" t="n">
        <v>0</v>
      </c>
      <c r="W86" s="324" t="n"/>
      <c r="X86" s="324" t="n"/>
      <c r="Y86" s="428" t="n">
        <v>2040</v>
      </c>
      <c r="Z86" s="428" t="n">
        <v>38.76</v>
      </c>
      <c r="AA86" s="324" t="n"/>
      <c r="AB86" s="324" t="n"/>
    </row>
    <row r="87" ht="16.5" customHeight="1" s="331">
      <c r="B87" s="427" t="n">
        <v>46245</v>
      </c>
      <c r="C87" s="255" t="inlineStr">
        <is>
          <t>Tue</t>
        </is>
      </c>
      <c r="D87" s="256" t="n">
        <v>240</v>
      </c>
      <c r="E87" s="49" t="n">
        <v>2880</v>
      </c>
      <c r="F87" s="50">
        <f>IFERROR(D87+E87+G87+U87+Y87,0)</f>
        <v>4705.0</v>
      </c>
      <c r="G87" s="257" t="n">
        <v>655</v>
      </c>
      <c r="H87" s="258">
        <f>SUMIFS('💸 Expenses'!$F$8:$F$5000,'💸 Expenses'!$B$8:$B$5000,"&gt;="&amp;B87,'💸 Expenses'!$B$8:$B$5000,"&lt;"&amp;(B87+1))</f>
        <v>1333.0</v>
      </c>
      <c r="I87" s="259">
        <f>IFERROR(F87-H87,0)</f>
        <v>3372.0</v>
      </c>
      <c r="J87" s="260">
        <f>IFERROR(I87/F87,0)</f>
        <v>0.716684</v>
      </c>
      <c r="K87" s="254" t="n"/>
      <c r="L87" s="261" t="inlineStr">
        <is>
          <t>Cierre via loka.py</t>
        </is>
      </c>
      <c r="M87" s="291" t="n"/>
      <c r="N87" s="292" t="n"/>
      <c r="O87" s="293" t="n"/>
      <c r="P87" s="294" t="n"/>
      <c r="Q87" s="292" t="n"/>
      <c r="R87" s="443">
        <f>IFERROR(D87*$T$7,0)</f>
        <v>9.74</v>
      </c>
      <c r="S87" s="292" t="n"/>
      <c r="T87" s="292" t="n"/>
      <c r="U87" s="443" t="n">
        <v>0</v>
      </c>
      <c r="V87" s="443" t="n">
        <v>0</v>
      </c>
      <c r="W87" s="292" t="n"/>
      <c r="X87" s="292" t="n"/>
      <c r="Y87" s="443" t="n">
        <v>930</v>
      </c>
      <c r="Z87" s="443" t="n">
        <v>17.67</v>
      </c>
      <c r="AA87" s="292" t="n"/>
      <c r="AB87" s="292" t="n"/>
    </row>
    <row r="88" ht="16.5" customHeight="1" s="331">
      <c r="B88" s="427" t="n">
        <v>46246</v>
      </c>
      <c r="C88" s="270" t="inlineStr">
        <is>
          <t>Wed</t>
        </is>
      </c>
      <c r="D88" s="271" t="n">
        <v>0</v>
      </c>
      <c r="E88" s="37" t="n">
        <v>810</v>
      </c>
      <c r="F88" s="38">
        <f>IFERROR(D88+E88+G88+U88+Y88,0)</f>
        <v>2790.0</v>
      </c>
      <c r="G88" s="272" t="n">
        <v>130</v>
      </c>
      <c r="H88" s="273">
        <f>SUMIFS('💸 Expenses'!$F$8:$F$5000,'💸 Expenses'!$B$8:$B$5000,"&gt;="&amp;B88,'💸 Expenses'!$B$8:$B$5000,"&lt;"&amp;(B88+1))</f>
        <v>5043.0</v>
      </c>
      <c r="I88" s="274">
        <f>IFERROR(F88-H88,0)</f>
        <v>-2253.0</v>
      </c>
      <c r="J88" s="275">
        <f>IFERROR(I88/F88,0)</f>
        <v>-0.807527</v>
      </c>
      <c r="K88" s="250" t="n"/>
      <c r="L88" s="276" t="inlineStr">
        <is>
          <t>Cierre via loka.py</t>
        </is>
      </c>
      <c r="M88" s="323" t="n"/>
      <c r="N88" s="324" t="n"/>
      <c r="O88" s="325" t="n"/>
      <c r="P88" s="326" t="n"/>
      <c r="Q88" s="324" t="n"/>
      <c r="R88" s="428">
        <f>IFERROR(D88*$T$7,0)</f>
        <v>0.0</v>
      </c>
      <c r="S88" s="324" t="n"/>
      <c r="T88" s="324" t="n"/>
      <c r="U88" s="428" t="n">
        <v>0</v>
      </c>
      <c r="V88" s="428" t="n">
        <v>0</v>
      </c>
      <c r="W88" s="324" t="n"/>
      <c r="X88" s="324" t="n"/>
      <c r="Y88" s="428" t="n">
        <v>1850</v>
      </c>
      <c r="Z88" s="428" t="n">
        <v>35.15</v>
      </c>
      <c r="AA88" s="324" t="n"/>
      <c r="AB88" s="324" t="n"/>
    </row>
    <row r="89" ht="16.5" customHeight="1" s="331">
      <c r="B89" s="427" t="n">
        <v>46247</v>
      </c>
      <c r="C89" s="255" t="inlineStr">
        <is>
          <t>Thu</t>
        </is>
      </c>
      <c r="D89" s="256" t="n">
        <v>0</v>
      </c>
      <c r="E89" s="49" t="n">
        <v>1140</v>
      </c>
      <c r="F89" s="50">
        <f>IFERROR(D89+E89+G89+U89+Y89,0)</f>
        <v>3440.0</v>
      </c>
      <c r="G89" s="257" t="n">
        <v>135</v>
      </c>
      <c r="H89" s="258">
        <f>SUMIFS('💸 Expenses'!$F$8:$F$5000,'💸 Expenses'!$B$8:$B$5000,"&gt;="&amp;B89,'💸 Expenses'!$B$8:$B$5000,"&lt;"&amp;(B89+1))</f>
        <v>479.0</v>
      </c>
      <c r="I89" s="259">
        <f>IFERROR(F89-H89,0)</f>
        <v>2961.0</v>
      </c>
      <c r="J89" s="260">
        <f>IFERROR(I89/F89,0)</f>
        <v>0.860756</v>
      </c>
      <c r="K89" s="254" t="n"/>
      <c r="L89" s="261" t="inlineStr">
        <is>
          <t>Cierre via loka.py</t>
        </is>
      </c>
      <c r="M89" s="291" t="n"/>
      <c r="N89" s="292" t="n"/>
      <c r="O89" s="293" t="n"/>
      <c r="P89" s="294" t="n"/>
      <c r="Q89" s="292" t="n"/>
      <c r="R89" s="443">
        <f>IFERROR(D89*$T$7,0)</f>
        <v>0.0</v>
      </c>
      <c r="S89" s="292" t="n"/>
      <c r="T89" s="292" t="n"/>
      <c r="U89" s="443" t="n">
        <v>0</v>
      </c>
      <c r="V89" s="443" t="n">
        <v>0</v>
      </c>
      <c r="W89" s="292" t="n"/>
      <c r="X89" s="292" t="n"/>
      <c r="Y89" s="443" t="n">
        <v>2165</v>
      </c>
      <c r="Z89" s="443" t="n">
        <v>41.13</v>
      </c>
      <c r="AA89" s="292" t="n"/>
      <c r="AB89" s="292" t="n"/>
    </row>
    <row r="90" ht="16.5" customHeight="1" s="331">
      <c r="B90" s="427" t="n">
        <v>46248</v>
      </c>
      <c r="C90" s="270" t="inlineStr">
        <is>
          <t>Fri</t>
        </is>
      </c>
      <c r="D90" s="271" t="n">
        <v>0</v>
      </c>
      <c r="E90" s="37" t="n">
        <v>1680</v>
      </c>
      <c r="F90" s="38">
        <f>IFERROR(D90+E90+G90+U90+Y90,0)</f>
        <v>5645.0</v>
      </c>
      <c r="G90" s="272" t="n">
        <v>0</v>
      </c>
      <c r="H90" s="273">
        <f>SUMIFS('💸 Expenses'!$F$8:$F$5000,'💸 Expenses'!$B$8:$B$5000,"&gt;="&amp;B90,'💸 Expenses'!$B$8:$B$5000,"&lt;"&amp;(B90+1))</f>
        <v>3955.0</v>
      </c>
      <c r="I90" s="274">
        <f>IFERROR(F90-H90,0)</f>
        <v>1690.0</v>
      </c>
      <c r="J90" s="275">
        <f>IFERROR(I90/F90,0)</f>
        <v>0.29938</v>
      </c>
      <c r="K90" s="250" t="n"/>
      <c r="L90" s="276" t="inlineStr">
        <is>
          <t>Cierre via loka.py</t>
        </is>
      </c>
      <c r="M90" s="323" t="n"/>
      <c r="N90" s="324" t="n"/>
      <c r="O90" s="325" t="n"/>
      <c r="P90" s="326" t="n"/>
      <c r="Q90" s="324" t="n"/>
      <c r="R90" s="428">
        <f>IFERROR(D90*$T$7,0)</f>
        <v>0.0</v>
      </c>
      <c r="S90" s="324" t="n"/>
      <c r="T90" s="324" t="n"/>
      <c r="U90" s="428" t="n">
        <v>0</v>
      </c>
      <c r="V90" s="428" t="n">
        <v>0</v>
      </c>
      <c r="W90" s="324" t="n"/>
      <c r="X90" s="324" t="n"/>
      <c r="Y90" s="428" t="n">
        <v>3965</v>
      </c>
      <c r="Z90" s="428" t="n">
        <v>75.33</v>
      </c>
      <c r="AA90" s="324" t="n"/>
      <c r="AB90" s="324" t="n"/>
    </row>
    <row r="91" ht="16.5" customHeight="1" s="331">
      <c r="B91" s="427" t="n">
        <v>46249</v>
      </c>
      <c r="C91" s="255" t="inlineStr">
        <is>
          <t>Sat</t>
        </is>
      </c>
      <c r="D91" s="256" t="n">
        <v>2605</v>
      </c>
      <c r="E91" s="49" t="n">
        <v>2300</v>
      </c>
      <c r="F91" s="50">
        <f>IFERROR(D91+E91+G91+U91+Y91,0)</f>
        <v>4905.0</v>
      </c>
      <c r="G91" s="257" t="n">
        <v>0</v>
      </c>
      <c r="H91" s="258">
        <f>SUMIFS('💸 Expenses'!$F$8:$F$5000,'💸 Expenses'!$B$8:$B$5000,"&gt;="&amp;B91,'💸 Expenses'!$B$8:$B$5000,"&lt;"&amp;(B91+1))</f>
        <v>7531.0</v>
      </c>
      <c r="I91" s="259">
        <f>IFERROR(F91-H91,0)</f>
        <v>-2626.0</v>
      </c>
      <c r="J91" s="260">
        <f>IFERROR(I91/F91,0)</f>
        <v>-0.535372</v>
      </c>
      <c r="K91" s="254" t="n"/>
      <c r="L91" s="261" t="inlineStr">
        <is>
          <t>Cierre via loka.py</t>
        </is>
      </c>
      <c r="M91" s="291" t="n"/>
      <c r="N91" s="292" t="n"/>
      <c r="O91" s="293" t="n"/>
      <c r="P91" s="294" t="n"/>
      <c r="Q91" s="292" t="n"/>
      <c r="R91" s="443">
        <f>IFERROR(D91*$T$7,0)</f>
        <v>105.76</v>
      </c>
      <c r="S91" s="292" t="n"/>
      <c r="T91" s="292" t="n"/>
      <c r="U91" s="443" t="n">
        <v>0</v>
      </c>
      <c r="V91" s="443" t="n">
        <v>0</v>
      </c>
      <c r="W91" s="292" t="n"/>
      <c r="X91" s="292" t="n"/>
      <c r="Y91" s="443" t="n">
        <v>0</v>
      </c>
      <c r="Z91" s="443" t="n">
        <v>0</v>
      </c>
      <c r="AA91" s="292" t="n"/>
      <c r="AB91" s="292" t="n"/>
    </row>
    <row r="92" ht="16.5" customHeight="1" s="331">
      <c r="B92" s="427" t="n">
        <v>46251</v>
      </c>
      <c r="C92" s="270" t="inlineStr">
        <is>
          <t>Mon</t>
        </is>
      </c>
      <c r="D92" s="271" t="n">
        <v>2205</v>
      </c>
      <c r="E92" s="37" t="n">
        <v>970</v>
      </c>
      <c r="F92" s="38">
        <f>IFERROR(D92+E92+G92+U92+Y92,0)</f>
        <v>3305.0</v>
      </c>
      <c r="G92" s="272" t="n">
        <v>130</v>
      </c>
      <c r="H92" s="273">
        <f>SUMIFS('💸 Expenses'!$F$8:$F$5000,'💸 Expenses'!$B$8:$B$5000,"&gt;="&amp;B92,'💸 Expenses'!$B$8:$B$5000,"&lt;"&amp;(B92+1))</f>
        <v>3743.0</v>
      </c>
      <c r="I92" s="274">
        <f>IFERROR(F92-H92,0)</f>
        <v>-438.0</v>
      </c>
      <c r="J92" s="275">
        <f>IFERROR(I92/F92,0)</f>
        <v>-0.132526</v>
      </c>
      <c r="K92" s="250" t="n"/>
      <c r="L92" s="276" t="inlineStr">
        <is>
          <t>Cierre via loka.py</t>
        </is>
      </c>
      <c r="M92" s="323" t="n"/>
      <c r="N92" s="324" t="n"/>
      <c r="O92" s="325" t="n"/>
      <c r="P92" s="326" t="n"/>
      <c r="Q92" s="324" t="n"/>
      <c r="R92" s="428">
        <f>IFERROR(D92*$T$7,0)</f>
        <v>89.52</v>
      </c>
      <c r="S92" s="324" t="n"/>
      <c r="T92" s="324" t="n"/>
      <c r="U92" s="428" t="n">
        <v>0</v>
      </c>
      <c r="V92" s="428" t="n">
        <v>0</v>
      </c>
      <c r="W92" s="324" t="n"/>
      <c r="X92" s="324" t="n"/>
      <c r="Y92" s="428" t="n">
        <v>0</v>
      </c>
      <c r="Z92" s="428" t="n">
        <v>0</v>
      </c>
      <c r="AA92" s="324" t="n"/>
      <c r="AB92" s="324" t="n"/>
    </row>
    <row r="93" ht="16.5" customHeight="1" s="331">
      <c r="B93" s="427" t="n">
        <v>46252</v>
      </c>
      <c r="C93" s="255" t="inlineStr">
        <is>
          <t>Tue</t>
        </is>
      </c>
      <c r="D93" s="256" t="n">
        <v>2010</v>
      </c>
      <c r="E93" s="49" t="n">
        <v>2410</v>
      </c>
      <c r="F93" s="50">
        <f>IFERROR(D93+E93+G93+U93+Y93,0)</f>
        <v>4630.0</v>
      </c>
      <c r="G93" s="257" t="n">
        <v>210</v>
      </c>
      <c r="H93" s="258">
        <f>SUMIFS('💸 Expenses'!$F$8:$F$5000,'💸 Expenses'!$B$8:$B$5000,"&gt;="&amp;B93,'💸 Expenses'!$B$8:$B$5000,"&lt;"&amp;(B93+1))</f>
        <v>2603.0</v>
      </c>
      <c r="I93" s="259">
        <f>IFERROR(F93-H93,0)</f>
        <v>2027.0</v>
      </c>
      <c r="J93" s="260">
        <f>IFERROR(I93/F93,0)</f>
        <v>0.437797</v>
      </c>
      <c r="K93" s="254" t="n"/>
      <c r="L93" s="261" t="inlineStr">
        <is>
          <t>Cierre via loka.py</t>
        </is>
      </c>
      <c r="M93" s="291" t="n"/>
      <c r="N93" s="292" t="n"/>
      <c r="O93" s="293" t="n"/>
      <c r="P93" s="294" t="n"/>
      <c r="Q93" s="292" t="n"/>
      <c r="R93" s="443">
        <f>IFERROR(D93*$T$7,0)</f>
        <v>81.61</v>
      </c>
      <c r="S93" s="292" t="n"/>
      <c r="T93" s="292" t="n"/>
      <c r="U93" s="443" t="n">
        <v>0</v>
      </c>
      <c r="V93" s="443" t="n">
        <v>0</v>
      </c>
      <c r="W93" s="292" t="n"/>
      <c r="X93" s="292" t="n"/>
      <c r="Y93" s="443" t="n">
        <v>0</v>
      </c>
      <c r="Z93" s="443" t="n">
        <v>0</v>
      </c>
      <c r="AA93" s="292" t="n"/>
      <c r="AB93" s="292" t="n"/>
    </row>
    <row r="94" ht="16.5" customHeight="1" s="331">
      <c r="B94" s="427" t="n">
        <v>46253</v>
      </c>
      <c r="C94" s="270" t="inlineStr">
        <is>
          <t>Wed</t>
        </is>
      </c>
      <c r="D94" s="271" t="n">
        <v>2680</v>
      </c>
      <c r="E94" s="37" t="n">
        <v>3845</v>
      </c>
      <c r="F94" s="38">
        <f>IFERROR(D94+E94+G94+U94+Y94,0)</f>
        <v>6645.0</v>
      </c>
      <c r="G94" s="272" t="n">
        <v>120</v>
      </c>
      <c r="H94" s="273">
        <f>SUMIFS('💸 Expenses'!$F$8:$F$5000,'💸 Expenses'!$B$8:$B$5000,"&gt;="&amp;B94,'💸 Expenses'!$B$8:$B$5000,"&lt;"&amp;(B94+1))</f>
        <v>2960.0</v>
      </c>
      <c r="I94" s="274">
        <f>IFERROR(F94-H94,0)</f>
        <v>3685.0</v>
      </c>
      <c r="J94" s="275">
        <f>IFERROR(I94/F94,0)</f>
        <v>0.554552</v>
      </c>
      <c r="K94" s="250" t="n"/>
      <c r="L94" s="276" t="inlineStr">
        <is>
          <t>Cierre via loka.py</t>
        </is>
      </c>
      <c r="M94" s="323" t="n"/>
      <c r="N94" s="324" t="n"/>
      <c r="O94" s="325" t="n"/>
      <c r="P94" s="326" t="n"/>
      <c r="Q94" s="324" t="n"/>
      <c r="R94" s="428">
        <f>IFERROR(D94*$T$7,0)</f>
        <v>108.81</v>
      </c>
      <c r="S94" s="324" t="n"/>
      <c r="T94" s="324" t="n"/>
      <c r="U94" s="428" t="n">
        <v>0</v>
      </c>
      <c r="V94" s="428" t="n">
        <v>0</v>
      </c>
      <c r="W94" s="324" t="n"/>
      <c r="X94" s="324" t="n"/>
      <c r="Y94" s="428" t="n">
        <v>0</v>
      </c>
      <c r="Z94" s="428" t="n">
        <v>0</v>
      </c>
      <c r="AA94" s="324" t="n"/>
      <c r="AB94" s="324" t="n"/>
    </row>
    <row r="95" ht="16.5" customHeight="1" s="331">
      <c r="B95" s="427" t="n">
        <v>46254</v>
      </c>
      <c r="C95" s="255" t="inlineStr">
        <is>
          <t>Thu</t>
        </is>
      </c>
      <c r="D95" s="256" t="n">
        <v>3140</v>
      </c>
      <c r="E95" s="49" t="n">
        <v>2055</v>
      </c>
      <c r="F95" s="50">
        <f>IFERROR(D95+E95+G95+U95+Y95,0)</f>
        <v>5195.0</v>
      </c>
      <c r="G95" s="257" t="n">
        <v>0</v>
      </c>
      <c r="H95" s="258">
        <f>SUMIFS('💸 Expenses'!$F$8:$F$5000,'💸 Expenses'!$B$8:$B$5000,"&gt;="&amp;B95,'💸 Expenses'!$B$8:$B$5000,"&lt;"&amp;(B95+1))</f>
        <v>340.0</v>
      </c>
      <c r="I95" s="259">
        <f>IFERROR(F95-H95,0)</f>
        <v>4855.0</v>
      </c>
      <c r="J95" s="260">
        <f>IFERROR(I95/F95,0)</f>
        <v>0.934552</v>
      </c>
      <c r="K95" s="254" t="n"/>
      <c r="L95" s="261" t="inlineStr">
        <is>
          <t>Cierre via loka.py</t>
        </is>
      </c>
      <c r="M95" s="291" t="n"/>
      <c r="N95" s="292" t="n"/>
      <c r="O95" s="293" t="n"/>
      <c r="P95" s="294" t="n"/>
      <c r="Q95" s="292" t="n"/>
      <c r="R95" s="443">
        <f>IFERROR(D95*$T$7,0)</f>
        <v>127.48</v>
      </c>
      <c r="S95" s="292" t="n"/>
      <c r="T95" s="292" t="n"/>
      <c r="U95" s="443" t="n">
        <v>0</v>
      </c>
      <c r="V95" s="443" t="n">
        <v>0</v>
      </c>
      <c r="W95" s="292" t="n"/>
      <c r="X95" s="292" t="n"/>
      <c r="Y95" s="443" t="n">
        <v>0</v>
      </c>
      <c r="Z95" s="443" t="n">
        <v>0</v>
      </c>
      <c r="AA95" s="292" t="n"/>
      <c r="AB95" s="292" t="n"/>
    </row>
    <row r="96" ht="16.5" customHeight="1" s="331">
      <c r="B96" s="427" t="n">
        <v>46255</v>
      </c>
      <c r="C96" s="270" t="inlineStr">
        <is>
          <t>Fri</t>
        </is>
      </c>
      <c r="D96" s="271" t="n">
        <v>1210</v>
      </c>
      <c r="E96" s="37" t="n">
        <v>2105</v>
      </c>
      <c r="F96" s="38">
        <f>IFERROR(D96+E96+G96+U96+Y96,0)</f>
        <v>3315.0</v>
      </c>
      <c r="G96" s="272" t="n">
        <v>0</v>
      </c>
      <c r="H96" s="273">
        <f>SUMIFS('💸 Expenses'!$F$8:$F$5000,'💸 Expenses'!$B$8:$B$5000,"&gt;="&amp;B96,'💸 Expenses'!$B$8:$B$5000,"&lt;"&amp;(B96+1))</f>
        <v>3736.0</v>
      </c>
      <c r="I96" s="274">
        <f>IFERROR(F96-H96,0)</f>
        <v>-421.0</v>
      </c>
      <c r="J96" s="275">
        <f>IFERROR(I96/F96,0)</f>
        <v>-0.126998</v>
      </c>
      <c r="K96" s="250" t="n"/>
      <c r="L96" s="276" t="inlineStr">
        <is>
          <t>Cierre via loka.py</t>
        </is>
      </c>
      <c r="M96" s="323" t="n"/>
      <c r="N96" s="324" t="n"/>
      <c r="O96" s="325" t="n"/>
      <c r="P96" s="326" t="n"/>
      <c r="Q96" s="324" t="n"/>
      <c r="R96" s="428">
        <f>IFERROR(D96*$T$7,0)</f>
        <v>49.13</v>
      </c>
      <c r="S96" s="324" t="n"/>
      <c r="T96" s="324" t="n"/>
      <c r="U96" s="428" t="n">
        <v>0</v>
      </c>
      <c r="V96" s="428" t="n">
        <v>0</v>
      </c>
      <c r="W96" s="324" t="n"/>
      <c r="X96" s="324" t="n"/>
      <c r="Y96" s="428" t="n">
        <v>0</v>
      </c>
      <c r="Z96" s="428" t="n">
        <v>0</v>
      </c>
      <c r="AA96" s="324" t="n"/>
      <c r="AB96" s="324" t="n"/>
    </row>
    <row r="97" ht="16.5" customHeight="1" s="331">
      <c r="B97" s="427" t="n">
        <v>46256</v>
      </c>
      <c r="C97" s="255" t="inlineStr">
        <is>
          <t>Sat</t>
        </is>
      </c>
      <c r="D97" s="256" t="n">
        <v>0</v>
      </c>
      <c r="E97" s="49" t="n">
        <v>1015</v>
      </c>
      <c r="F97" s="50">
        <f>IFERROR(D97+E97+G97+U97+Y97,0)</f>
        <v>2060.0</v>
      </c>
      <c r="G97" s="257" t="n">
        <v>0</v>
      </c>
      <c r="H97" s="258">
        <f>SUMIFS('💸 Expenses'!$F$8:$F$5000,'💸 Expenses'!$B$8:$B$5000,"&gt;="&amp;B97,'💸 Expenses'!$B$8:$B$5000,"&lt;"&amp;(B97+1))</f>
        <v>4809.0</v>
      </c>
      <c r="I97" s="259">
        <f>IFERROR(F97-H97,0)</f>
        <v>-2749.0</v>
      </c>
      <c r="J97" s="260">
        <f>IFERROR(I97/F97,0)</f>
        <v>-1.334466</v>
      </c>
      <c r="K97" s="254" t="n"/>
      <c r="L97" s="261" t="inlineStr">
        <is>
          <t>Cierre via loka.py</t>
        </is>
      </c>
      <c r="M97" s="291" t="n"/>
      <c r="N97" s="292" t="n"/>
      <c r="O97" s="293" t="n"/>
      <c r="P97" s="294" t="n"/>
      <c r="Q97" s="292" t="n"/>
      <c r="R97" s="443">
        <f>IFERROR(D97*$T$7,0)</f>
        <v>0.0</v>
      </c>
      <c r="S97" s="292" t="n"/>
      <c r="T97" s="292" t="n"/>
      <c r="U97" s="443" t="n">
        <v>0</v>
      </c>
      <c r="V97" s="443" t="n">
        <v>0</v>
      </c>
      <c r="W97" s="292" t="n"/>
      <c r="X97" s="292" t="n"/>
      <c r="Y97" s="443" t="n">
        <v>1045</v>
      </c>
      <c r="Z97" s="443" t="n">
        <v>19.86</v>
      </c>
      <c r="AA97" s="292" t="n"/>
      <c r="AB97" s="292" t="n"/>
    </row>
    <row r="98" ht="16.5" customHeight="1" s="331">
      <c r="B98" s="427" t="n">
        <v>46258</v>
      </c>
      <c r="C98" s="270" t="inlineStr">
        <is>
          <t>Mon</t>
        </is>
      </c>
      <c r="D98" s="271" t="n">
        <v>1085</v>
      </c>
      <c r="E98" s="37" t="n">
        <v>1715</v>
      </c>
      <c r="F98" s="38">
        <f>IFERROR(D98+E98+G98+U98+Y98,0)</f>
        <v>2800.0</v>
      </c>
      <c r="G98" s="272" t="n">
        <v>0</v>
      </c>
      <c r="H98" s="273">
        <f>SUMIFS('💸 Expenses'!$F$8:$F$5000,'💸 Expenses'!$B$8:$B$5000,"&gt;="&amp;B98,'💸 Expenses'!$B$8:$B$5000,"&lt;"&amp;(B98+1))</f>
        <v>2964.0</v>
      </c>
      <c r="I98" s="274">
        <f>IFERROR(F98-H98,0)</f>
        <v>-164.0</v>
      </c>
      <c r="J98" s="275">
        <f>IFERROR(I98/F98,0)</f>
        <v>-0.058571</v>
      </c>
      <c r="K98" s="250" t="n"/>
      <c r="L98" s="276" t="inlineStr">
        <is>
          <t>Cierre via loka.py</t>
        </is>
      </c>
      <c r="M98" s="323" t="n"/>
      <c r="N98" s="324" t="n"/>
      <c r="O98" s="325" t="n"/>
      <c r="P98" s="326" t="n"/>
      <c r="Q98" s="324" t="n"/>
      <c r="R98" s="428">
        <f>IFERROR(D98*$T$7,0)</f>
        <v>44.05</v>
      </c>
      <c r="S98" s="324" t="n"/>
      <c r="T98" s="324" t="n"/>
      <c r="U98" s="428" t="n">
        <v>0</v>
      </c>
      <c r="V98" s="428" t="n">
        <v>0</v>
      </c>
      <c r="W98" s="324" t="n"/>
      <c r="X98" s="324" t="n"/>
      <c r="Y98" s="428" t="n">
        <v>0</v>
      </c>
      <c r="Z98" s="428" t="n">
        <v>0</v>
      </c>
      <c r="AA98" s="324" t="n"/>
      <c r="AB98" s="324" t="n"/>
    </row>
    <row r="99" ht="16.5" customHeight="1" s="331">
      <c r="B99" s="427" t="n">
        <v>46259</v>
      </c>
      <c r="C99" s="255" t="inlineStr">
        <is>
          <t>Tue</t>
        </is>
      </c>
      <c r="D99" s="256" t="n">
        <v>500</v>
      </c>
      <c r="E99" s="49" t="n">
        <v>1160</v>
      </c>
      <c r="F99" s="50">
        <f>IFERROR(D99+E99+G99+U99+Y99,0)</f>
        <v>1910.0</v>
      </c>
      <c r="G99" s="257" t="n">
        <v>250</v>
      </c>
      <c r="H99" s="258">
        <f>SUMIFS('💸 Expenses'!$F$8:$F$5000,'💸 Expenses'!$B$8:$B$5000,"&gt;="&amp;B99,'💸 Expenses'!$B$8:$B$5000,"&lt;"&amp;(B99+1))</f>
        <v>698.0</v>
      </c>
      <c r="I99" s="259">
        <f>IFERROR(F99-H99,0)</f>
        <v>1212.0</v>
      </c>
      <c r="J99" s="260">
        <f>IFERROR(I99/F99,0)</f>
        <v>0.634555</v>
      </c>
      <c r="K99" s="254" t="n"/>
      <c r="L99" s="261" t="inlineStr">
        <is>
          <t>Cierre via loka.py</t>
        </is>
      </c>
      <c r="M99" s="291" t="n"/>
      <c r="N99" s="292" t="n"/>
      <c r="O99" s="293" t="n"/>
      <c r="P99" s="294" t="n"/>
      <c r="Q99" s="292" t="n"/>
      <c r="R99" s="443">
        <f>IFERROR(D99*$T$7,0)</f>
        <v>20.3</v>
      </c>
      <c r="S99" s="292" t="n"/>
      <c r="T99" s="292" t="n"/>
      <c r="U99" s="443" t="n">
        <v>0</v>
      </c>
      <c r="V99" s="443" t="n">
        <v>0</v>
      </c>
      <c r="W99" s="292" t="n"/>
      <c r="X99" s="292" t="n"/>
      <c r="Y99" s="443" t="n">
        <v>0</v>
      </c>
      <c r="Z99" s="443" t="n">
        <v>0</v>
      </c>
      <c r="AA99" s="292" t="n"/>
      <c r="AB99" s="292" t="n"/>
    </row>
    <row r="100" ht="16.5" customHeight="1" s="331">
      <c r="B100" s="427" t="n">
        <v>46260</v>
      </c>
      <c r="C100" s="270" t="inlineStr">
        <is>
          <t>Wed</t>
        </is>
      </c>
      <c r="D100" s="271" t="n">
        <v>2910</v>
      </c>
      <c r="E100" s="37" t="n">
        <v>2765</v>
      </c>
      <c r="F100" s="38">
        <f>IFERROR(D100+E100+G100+U100+Y100,0)</f>
        <v>5675.0</v>
      </c>
      <c r="G100" s="272" t="n">
        <v>0</v>
      </c>
      <c r="H100" s="273">
        <f>SUMIFS('💸 Expenses'!$F$8:$F$5000,'💸 Expenses'!$B$8:$B$5000,"&gt;="&amp;B100,'💸 Expenses'!$B$8:$B$5000,"&lt;"&amp;(B100+1))</f>
        <v>0.0</v>
      </c>
      <c r="I100" s="274">
        <f>IFERROR(F100-H100,0)</f>
        <v>5675.0</v>
      </c>
      <c r="J100" s="275">
        <f>IFERROR(I100/F100,0)</f>
        <v>1.0</v>
      </c>
      <c r="K100" s="250" t="n"/>
      <c r="L100" s="276" t="inlineStr">
        <is>
          <t>Cierre via loka.py</t>
        </is>
      </c>
      <c r="M100" s="323" t="n"/>
      <c r="N100" s="324" t="n"/>
      <c r="O100" s="325" t="n"/>
      <c r="P100" s="326" t="n"/>
      <c r="Q100" s="324" t="n"/>
      <c r="R100" s="428">
        <f>IFERROR(D100*$T$7,0)</f>
        <v>118.15</v>
      </c>
      <c r="S100" s="324" t="n"/>
      <c r="T100" s="324" t="n"/>
      <c r="U100" s="428" t="n">
        <v>0</v>
      </c>
      <c r="V100" s="428" t="n">
        <v>0</v>
      </c>
      <c r="W100" s="324" t="n"/>
      <c r="X100" s="324" t="n"/>
      <c r="Y100" s="428" t="n">
        <v>0</v>
      </c>
      <c r="Z100" s="428" t="n">
        <v>0</v>
      </c>
      <c r="AA100" s="324" t="n"/>
      <c r="AB100" s="324" t="n"/>
    </row>
    <row r="101" ht="16.5" customHeight="1" s="331">
      <c r="B101" s="427" t="n">
        <v>46261</v>
      </c>
      <c r="C101" s="255" t="inlineStr">
        <is>
          <t>Thu</t>
        </is>
      </c>
      <c r="D101" s="256" t="n">
        <v>835</v>
      </c>
      <c r="E101" s="49" t="n">
        <v>2815</v>
      </c>
      <c r="F101" s="50">
        <f>IFERROR(D101+E101+G101+U101+Y101,0)</f>
        <v>3910.0</v>
      </c>
      <c r="G101" s="257" t="n">
        <v>260</v>
      </c>
      <c r="H101" s="258">
        <f>SUMIFS('💸 Expenses'!$F$8:$F$5000,'💸 Expenses'!$B$8:$B$5000,"&gt;="&amp;B101,'💸 Expenses'!$B$8:$B$5000,"&lt;"&amp;(B101+1))</f>
        <v>565.0</v>
      </c>
      <c r="I101" s="259">
        <f>IFERROR(F101-H101,0)</f>
        <v>3345.0</v>
      </c>
      <c r="J101" s="260">
        <f>IFERROR(I101/F101,0)</f>
        <v>0.855499</v>
      </c>
      <c r="K101" s="254" t="n"/>
      <c r="L101" s="261" t="inlineStr">
        <is>
          <t>Cierre via loka.py</t>
        </is>
      </c>
      <c r="M101" s="291" t="n"/>
      <c r="N101" s="292" t="n"/>
      <c r="O101" s="293" t="n"/>
      <c r="P101" s="294" t="n"/>
      <c r="Q101" s="292" t="n"/>
      <c r="R101" s="443">
        <f>IFERROR(D101*$T$7,0)</f>
        <v>33.9</v>
      </c>
      <c r="S101" s="292" t="n"/>
      <c r="T101" s="292" t="n"/>
      <c r="U101" s="443" t="n">
        <v>0</v>
      </c>
      <c r="V101" s="443" t="n">
        <v>0</v>
      </c>
      <c r="W101" s="292" t="n"/>
      <c r="X101" s="292" t="n"/>
      <c r="Y101" s="443" t="n">
        <v>0</v>
      </c>
      <c r="Z101" s="443" t="n">
        <v>0</v>
      </c>
      <c r="AA101" s="292" t="n"/>
      <c r="AB101" s="292" t="n"/>
    </row>
    <row r="102" ht="16.5" customHeight="1" s="331">
      <c r="B102" s="427" t="n">
        <v>46262</v>
      </c>
      <c r="C102" s="270" t="inlineStr">
        <is>
          <t>Fri</t>
        </is>
      </c>
      <c r="D102" s="271" t="n">
        <v>1110</v>
      </c>
      <c r="E102" s="37" t="n">
        <v>590</v>
      </c>
      <c r="F102" s="38">
        <f>IFERROR(D102+E102+G102+U102+Y102,0)</f>
        <v>1935.0</v>
      </c>
      <c r="G102" s="272" t="n">
        <v>235</v>
      </c>
      <c r="H102" s="273">
        <f>SUMIFS('💸 Expenses'!$F$8:$F$5000,'💸 Expenses'!$B$8:$B$5000,"&gt;="&amp;B102,'💸 Expenses'!$B$8:$B$5000,"&lt;"&amp;(B102+1))</f>
        <v>2071.0</v>
      </c>
      <c r="I102" s="274">
        <f>IFERROR(F102-H102,0)</f>
        <v>-136.0</v>
      </c>
      <c r="J102" s="275">
        <f>IFERROR(I102/F102,0)</f>
        <v>-0.070284</v>
      </c>
      <c r="K102" s="250" t="n"/>
      <c r="L102" s="276" t="inlineStr">
        <is>
          <t>Cierre via loka.py</t>
        </is>
      </c>
      <c r="M102" s="323" t="n"/>
      <c r="N102" s="324" t="n"/>
      <c r="O102" s="325" t="n"/>
      <c r="P102" s="326" t="n"/>
      <c r="Q102" s="324" t="n"/>
      <c r="R102" s="428">
        <f>IFERROR(D102*$T$7,0)</f>
        <v>45.07</v>
      </c>
      <c r="S102" s="324" t="n"/>
      <c r="T102" s="324" t="n"/>
      <c r="U102" s="428" t="n">
        <v>0</v>
      </c>
      <c r="V102" s="428" t="n">
        <v>0</v>
      </c>
      <c r="W102" s="324" t="n"/>
      <c r="X102" s="324" t="n"/>
      <c r="Y102" s="428" t="n">
        <v>0</v>
      </c>
      <c r="Z102" s="428" t="n">
        <v>0</v>
      </c>
      <c r="AA102" s="324" t="n"/>
      <c r="AB102" s="324" t="n"/>
    </row>
    <row r="103" ht="16.5" customHeight="1" s="331">
      <c r="B103" s="427" t="n">
        <v>46263</v>
      </c>
      <c r="C103" s="255" t="inlineStr">
        <is>
          <t>Sat</t>
        </is>
      </c>
      <c r="D103" s="256" t="n">
        <v>110</v>
      </c>
      <c r="E103" s="49" t="n">
        <v>980</v>
      </c>
      <c r="F103" s="50">
        <f>IFERROR(D103+E103+G103+U103+Y103,0)</f>
        <v>2160.0</v>
      </c>
      <c r="G103" s="257" t="n">
        <v>0</v>
      </c>
      <c r="H103" s="258">
        <f>SUMIFS('💸 Expenses'!$F$8:$F$5000,'💸 Expenses'!$B$8:$B$5000,"&gt;="&amp;B103,'💸 Expenses'!$B$8:$B$5000,"&lt;"&amp;(B103+1))</f>
        <v>6970.0</v>
      </c>
      <c r="I103" s="259">
        <f>IFERROR(F103-H103,0)</f>
        <v>-4810.0</v>
      </c>
      <c r="J103" s="260">
        <f>IFERROR(I103/F103,0)</f>
        <v>-2.226852</v>
      </c>
      <c r="K103" s="254" t="n"/>
      <c r="L103" s="261" t="inlineStr">
        <is>
          <t>Cierre via loka.py</t>
        </is>
      </c>
      <c r="M103" s="291" t="n"/>
      <c r="N103" s="292" t="n"/>
      <c r="O103" s="293" t="n"/>
      <c r="P103" s="294" t="n"/>
      <c r="Q103" s="292" t="n"/>
      <c r="R103" s="443">
        <f>IFERROR(D103*$T$7,0)</f>
        <v>4.47</v>
      </c>
      <c r="S103" s="292" t="n"/>
      <c r="T103" s="292" t="n"/>
      <c r="U103" s="443" t="n">
        <v>0</v>
      </c>
      <c r="V103" s="443" t="n">
        <v>0</v>
      </c>
      <c r="W103" s="292" t="n"/>
      <c r="X103" s="292" t="n"/>
      <c r="Y103" s="443" t="n">
        <v>1070</v>
      </c>
      <c r="Z103" s="443" t="n">
        <v>20.33</v>
      </c>
      <c r="AA103" s="292" t="n"/>
      <c r="AB103" s="292" t="n"/>
    </row>
    <row r="104" ht="16.5" customHeight="1" s="331">
      <c r="B104" s="427" t="n">
        <v>46265</v>
      </c>
      <c r="C104" s="270" t="inlineStr">
        <is>
          <t>Mon</t>
        </is>
      </c>
      <c r="D104" s="271" t="n">
        <v>875</v>
      </c>
      <c r="E104" s="37" t="n">
        <v>1260</v>
      </c>
      <c r="F104" s="38">
        <f>IFERROR(D104+E104+G104+U104+Y104,0)</f>
        <v>3755.0</v>
      </c>
      <c r="G104" s="272" t="n">
        <v>130</v>
      </c>
      <c r="H104" s="273">
        <f>SUMIFS('💸 Expenses'!$F$8:$F$5000,'💸 Expenses'!$B$8:$B$5000,"&gt;="&amp;B104,'💸 Expenses'!$B$8:$B$5000,"&lt;"&amp;(B104+1))</f>
        <v>1438.0</v>
      </c>
      <c r="I104" s="274">
        <f>IFERROR(F104-H104,0)</f>
        <v>2317.0</v>
      </c>
      <c r="J104" s="275">
        <f>IFERROR(I104/F104,0)</f>
        <v>0.617044</v>
      </c>
      <c r="K104" s="250" t="n"/>
      <c r="L104" s="276" t="inlineStr">
        <is>
          <t>Cierre via loka.py</t>
        </is>
      </c>
      <c r="M104" s="323" t="n"/>
      <c r="N104" s="324" t="n"/>
      <c r="O104" s="325" t="n"/>
      <c r="P104" s="326" t="n"/>
      <c r="Q104" s="324" t="n"/>
      <c r="R104" s="428">
        <f>IFERROR(D104*$T$7,0)</f>
        <v>35.52</v>
      </c>
      <c r="S104" s="324" t="n"/>
      <c r="T104" s="324" t="n"/>
      <c r="U104" s="428" t="n">
        <v>0</v>
      </c>
      <c r="V104" s="428" t="n">
        <v>0</v>
      </c>
      <c r="W104" s="324" t="n"/>
      <c r="X104" s="324" t="n"/>
      <c r="Y104" s="428" t="n">
        <v>1490</v>
      </c>
      <c r="Z104" s="428" t="n">
        <v>28.31</v>
      </c>
      <c r="AA104" s="324" t="n"/>
      <c r="AB104" s="324" t="n"/>
    </row>
    <row r="105" ht="16.5" customHeight="1" s="331">
      <c r="B105" s="427" t="n">
        <v>46266</v>
      </c>
      <c r="C105" s="255" t="inlineStr">
        <is>
          <t>Tue</t>
        </is>
      </c>
      <c r="D105" s="256" t="n">
        <v>120</v>
      </c>
      <c r="E105" s="49" t="n">
        <v>1480</v>
      </c>
      <c r="F105" s="50">
        <f>IFERROR(D105+E105+G105+U105+Y105,0)</f>
        <v>3240.0</v>
      </c>
      <c r="G105" s="257" t="n">
        <v>0</v>
      </c>
      <c r="H105" s="258">
        <f>SUMIFS('💸 Expenses'!$F$8:$F$5000,'💸 Expenses'!$B$8:$B$5000,"&gt;="&amp;B105,'💸 Expenses'!$B$8:$B$5000,"&lt;"&amp;(B105+1))</f>
        <v>7777.0</v>
      </c>
      <c r="I105" s="259">
        <f>IFERROR(F105-H105,0)</f>
        <v>-4537.0</v>
      </c>
      <c r="J105" s="260">
        <f>IFERROR(I105/F105,0)</f>
        <v>-1.400309</v>
      </c>
      <c r="K105" s="254" t="n"/>
      <c r="L105" s="261" t="inlineStr">
        <is>
          <t>Cierre via loka.py | updated 23:07</t>
        </is>
      </c>
      <c r="M105" s="291" t="n"/>
      <c r="N105" s="292" t="n"/>
      <c r="O105" s="293" t="n"/>
      <c r="P105" s="294" t="n"/>
      <c r="Q105" s="292" t="n"/>
      <c r="R105" s="443">
        <f>IFERROR(D105*$T$7,0)</f>
        <v>4.87</v>
      </c>
      <c r="S105" s="292" t="n"/>
      <c r="T105" s="292" t="n"/>
      <c r="U105" s="443" t="n">
        <v>0</v>
      </c>
      <c r="V105" s="443" t="n">
        <v>0</v>
      </c>
      <c r="W105" s="292" t="n"/>
      <c r="X105" s="292" t="n"/>
      <c r="Y105" s="443" t="n">
        <v>1640</v>
      </c>
      <c r="Z105" s="443" t="n">
        <v>31.15</v>
      </c>
      <c r="AA105" s="292" t="n"/>
      <c r="AB105" s="292" t="n"/>
    </row>
    <row r="106" ht="16.5" customHeight="1" s="331">
      <c r="B106" s="427" t="n">
        <v>46267</v>
      </c>
      <c r="C106" s="270" t="inlineStr">
        <is>
          <t>Wed</t>
        </is>
      </c>
      <c r="D106" s="271" t="n">
        <v>1300</v>
      </c>
      <c r="E106" s="37" t="n">
        <v>1765</v>
      </c>
      <c r="F106" s="38">
        <f>IFERROR(D106+E106+G106+U106+Y106,0)</f>
        <v>4030.0</v>
      </c>
      <c r="G106" s="272" t="n">
        <v>0</v>
      </c>
      <c r="H106" s="273">
        <f>SUMIFS('💸 Expenses'!$F$8:$F$5000,'💸 Expenses'!$B$8:$B$5000,"&gt;="&amp;B106,'💸 Expenses'!$B$8:$B$5000,"&lt;"&amp;(B106+1))</f>
        <v>688.0</v>
      </c>
      <c r="I106" s="274">
        <f>IFERROR(F106-H106,0)</f>
        <v>3342.0</v>
      </c>
      <c r="J106" s="275">
        <f>IFERROR(I106/F106,0)</f>
        <v>0.82928</v>
      </c>
      <c r="K106" s="250" t="n"/>
      <c r="L106" s="276" t="inlineStr">
        <is>
          <t>Cierre via loka.py</t>
        </is>
      </c>
      <c r="M106" s="323" t="n"/>
      <c r="N106" s="324" t="n"/>
      <c r="O106" s="325" t="n"/>
      <c r="P106" s="326" t="n"/>
      <c r="Q106" s="324" t="n"/>
      <c r="R106" s="428">
        <f>IFERROR(D106*$T$7,0)</f>
        <v>52.78</v>
      </c>
      <c r="S106" s="324" t="n"/>
      <c r="T106" s="324" t="n"/>
      <c r="U106" s="428" t="n">
        <v>0</v>
      </c>
      <c r="V106" s="428" t="n">
        <v>0</v>
      </c>
      <c r="W106" s="324" t="n"/>
      <c r="X106" s="324" t="n"/>
      <c r="Y106" s="428" t="n">
        <v>965</v>
      </c>
      <c r="Z106" s="428" t="n">
        <v>18.34</v>
      </c>
      <c r="AA106" s="324" t="n"/>
      <c r="AB106" s="324" t="n"/>
    </row>
    <row r="107" ht="16.5" customHeight="1" s="331">
      <c r="B107" s="427" t="n">
        <v>46268</v>
      </c>
      <c r="C107" s="255" t="inlineStr">
        <is>
          <t>Thu</t>
        </is>
      </c>
      <c r="D107" s="256" t="n">
        <v>6620</v>
      </c>
      <c r="E107" s="49" t="n">
        <v>3030</v>
      </c>
      <c r="F107" s="50">
        <f>IFERROR(D107+E107+G107+U107+Y107,0)</f>
        <v>10740.0</v>
      </c>
      <c r="G107" s="257" t="n">
        <v>0</v>
      </c>
      <c r="H107" s="258">
        <f>SUMIFS('💸 Expenses'!$F$8:$F$5000,'💸 Expenses'!$B$8:$B$5000,"&gt;="&amp;B107,'💸 Expenses'!$B$8:$B$5000,"&lt;"&amp;(B107+1))</f>
        <v>5505.0</v>
      </c>
      <c r="I107" s="259">
        <f>IFERROR(F107-H107,0)</f>
        <v>5235.0</v>
      </c>
      <c r="J107" s="260">
        <f>IFERROR(I107/F107,0)</f>
        <v>0.48743</v>
      </c>
      <c r="K107" s="254" t="n"/>
      <c r="L107" s="261" t="inlineStr">
        <is>
          <t>Cierre via loka.py</t>
        </is>
      </c>
      <c r="M107" s="291" t="n"/>
      <c r="N107" s="292" t="n"/>
      <c r="O107" s="293" t="n"/>
      <c r="P107" s="294" t="n"/>
      <c r="Q107" s="292" t="n"/>
      <c r="R107" s="443">
        <f>IFERROR(D107*$T$7,0)</f>
        <v>268.77</v>
      </c>
      <c r="S107" s="292" t="n"/>
      <c r="T107" s="292" t="n"/>
      <c r="U107" s="443" t="n">
        <v>0</v>
      </c>
      <c r="V107" s="443" t="n">
        <v>0</v>
      </c>
      <c r="W107" s="292" t="n"/>
      <c r="X107" s="292" t="n"/>
      <c r="Y107" s="443" t="n">
        <v>1090</v>
      </c>
      <c r="Z107" s="443" t="n">
        <v>20.71</v>
      </c>
      <c r="AA107" s="292" t="n"/>
      <c r="AB107" s="292" t="n"/>
    </row>
    <row r="108" ht="16.5" customHeight="1" s="331">
      <c r="B108" s="427" t="n">
        <v>46269</v>
      </c>
      <c r="C108" s="270" t="inlineStr">
        <is>
          <t>Fri</t>
        </is>
      </c>
      <c r="D108" s="271" t="n">
        <v>825</v>
      </c>
      <c r="E108" s="37" t="n">
        <v>1974</v>
      </c>
      <c r="F108" s="38">
        <f>IFERROR(D108+E108+G108+U108+Y108,0)</f>
        <v>4839.0</v>
      </c>
      <c r="G108" s="272" t="n">
        <v>0</v>
      </c>
      <c r="H108" s="273">
        <f>SUMIFS('💸 Expenses'!$F$8:$F$5000,'💸 Expenses'!$B$8:$B$5000,"&gt;="&amp;B108,'💸 Expenses'!$B$8:$B$5000,"&lt;"&amp;(B108+1))</f>
        <v>20107.68</v>
      </c>
      <c r="I108" s="274">
        <f>IFERROR(F108-H108,0)</f>
        <v>-15268.68</v>
      </c>
      <c r="J108" s="275">
        <f>IFERROR(I108/F108,0)</f>
        <v>-3.155338</v>
      </c>
      <c r="K108" s="250" t="n"/>
      <c r="L108" s="276" t="inlineStr">
        <is>
          <t>Cierre via loka.py</t>
        </is>
      </c>
      <c r="M108" s="323" t="n"/>
      <c r="N108" s="324" t="n"/>
      <c r="O108" s="325" t="n"/>
      <c r="P108" s="326" t="n"/>
      <c r="Q108" s="324" t="n"/>
      <c r="R108" s="428">
        <f>IFERROR(D108*$T$7,0)</f>
        <v>33.49</v>
      </c>
      <c r="S108" s="324" t="n"/>
      <c r="T108" s="324" t="n"/>
      <c r="U108" s="428" t="n">
        <v>0</v>
      </c>
      <c r="V108" s="428" t="n">
        <v>0</v>
      </c>
      <c r="W108" s="324" t="n"/>
      <c r="X108" s="324" t="n"/>
      <c r="Y108" s="428" t="n">
        <v>2040</v>
      </c>
      <c r="Z108" s="428" t="n">
        <v>38.76</v>
      </c>
      <c r="AA108" s="324" t="n"/>
      <c r="AB108" s="324" t="n"/>
    </row>
    <row r="109" ht="16.5" customHeight="1" s="331">
      <c r="B109" s="427" t="n">
        <v>46270</v>
      </c>
      <c r="C109" s="255" t="inlineStr">
        <is>
          <t>Sat</t>
        </is>
      </c>
      <c r="D109" s="256" t="n">
        <v>0</v>
      </c>
      <c r="E109" s="49" t="n">
        <v>1590</v>
      </c>
      <c r="F109" s="50">
        <f>IFERROR(D109+E109+G109+U109+Y109,0)</f>
        <v>2695.0</v>
      </c>
      <c r="G109" s="257" t="n">
        <v>0</v>
      </c>
      <c r="H109" s="258">
        <f>SUMIFS('💸 Expenses'!$F$8:$F$5000,'💸 Expenses'!$B$8:$B$5000,"&gt;="&amp;B109,'💸 Expenses'!$B$8:$B$5000,"&lt;"&amp;(B109+1))</f>
        <v>9182.0</v>
      </c>
      <c r="I109" s="259">
        <f>IFERROR(F109-H109,0)</f>
        <v>-6487.0</v>
      </c>
      <c r="J109" s="260">
        <f>IFERROR(I109/F109,0)</f>
        <v>-2.40705</v>
      </c>
      <c r="K109" s="254" t="n"/>
      <c r="L109" s="261" t="inlineStr">
        <is>
          <t>Cierre via loka.py</t>
        </is>
      </c>
      <c r="M109" s="291" t="n"/>
      <c r="N109" s="292" t="n"/>
      <c r="O109" s="293" t="n"/>
      <c r="P109" s="294" t="n"/>
      <c r="Q109" s="292" t="n"/>
      <c r="R109" s="443">
        <f>IFERROR(D109*$T$7,0)</f>
        <v>0.0</v>
      </c>
      <c r="S109" s="292" t="n"/>
      <c r="T109" s="292" t="n"/>
      <c r="U109" s="443" t="n">
        <v>0</v>
      </c>
      <c r="V109" s="443" t="n">
        <v>0</v>
      </c>
      <c r="W109" s="292" t="n"/>
      <c r="X109" s="292" t="n"/>
      <c r="Y109" s="443" t="n">
        <v>1105</v>
      </c>
      <c r="Z109" s="443" t="n">
        <v>21</v>
      </c>
      <c r="AA109" s="292" t="n"/>
      <c r="AB109" s="292" t="n"/>
    </row>
    <row r="110" ht="16.5" customHeight="1" s="331">
      <c r="B110" s="427" t="n">
        <v>46272</v>
      </c>
      <c r="C110" s="270" t="inlineStr">
        <is>
          <t>Mon</t>
        </is>
      </c>
      <c r="D110" s="271" t="n">
        <v>1740</v>
      </c>
      <c r="E110" s="37" t="n">
        <v>1070</v>
      </c>
      <c r="F110" s="38">
        <f>IFERROR(D110+E110+G110+U110+Y110,0)</f>
        <v>3885.0</v>
      </c>
      <c r="G110" s="272" t="n">
        <v>0</v>
      </c>
      <c r="H110" s="273">
        <f>SUMIFS('💸 Expenses'!$F$8:$F$5000,'💸 Expenses'!$B$8:$B$5000,"&gt;="&amp;B110,'💸 Expenses'!$B$8:$B$5000,"&lt;"&amp;(B110+1))</f>
        <v>6288.0</v>
      </c>
      <c r="I110" s="274">
        <f>IFERROR(F110-H110,0)</f>
        <v>-2403.0</v>
      </c>
      <c r="J110" s="275">
        <f>IFERROR(I110/F110,0)</f>
        <v>-0.618533</v>
      </c>
      <c r="K110" s="250" t="n"/>
      <c r="L110" s="276" t="inlineStr">
        <is>
          <t>Cierre via loka.py</t>
        </is>
      </c>
      <c r="M110" s="323" t="n"/>
      <c r="N110" s="324" t="n"/>
      <c r="O110" s="325" t="n"/>
      <c r="P110" s="326" t="n"/>
      <c r="Q110" s="324" t="n"/>
      <c r="R110" s="428">
        <f>IFERROR(D110*$T$7,0)</f>
        <v>70.64</v>
      </c>
      <c r="S110" s="324" t="n"/>
      <c r="T110" s="324" t="n"/>
      <c r="U110" s="428" t="n">
        <v>0</v>
      </c>
      <c r="V110" s="428" t="n">
        <v>0</v>
      </c>
      <c r="W110" s="324" t="n"/>
      <c r="X110" s="324" t="n"/>
      <c r="Y110" s="428" t="n">
        <v>1075</v>
      </c>
      <c r="Z110" s="428" t="n">
        <v>20.43</v>
      </c>
      <c r="AA110" s="324" t="n"/>
      <c r="AB110" s="324" t="n"/>
    </row>
    <row r="111" ht="16.5" customHeight="1" s="331">
      <c r="B111" s="427" t="n">
        <v>46273</v>
      </c>
      <c r="C111" s="255" t="inlineStr">
        <is>
          <t>Tue</t>
        </is>
      </c>
      <c r="D111" s="256" t="n">
        <v>0</v>
      </c>
      <c r="E111" s="49" t="n">
        <v>1745</v>
      </c>
      <c r="F111" s="50">
        <f>IFERROR(D111+E111+G111+U111+Y111,0)</f>
        <v>2935.0</v>
      </c>
      <c r="G111" s="257" t="n">
        <v>275</v>
      </c>
      <c r="H111" s="258">
        <f>SUMIFS('💸 Expenses'!$F$8:$F$5000,'💸 Expenses'!$B$8:$B$5000,"&gt;="&amp;B111,'💸 Expenses'!$B$8:$B$5000,"&lt;"&amp;(B111+1))</f>
        <v>1980.0</v>
      </c>
      <c r="I111" s="259">
        <f>IFERROR(F111-H111,0)</f>
        <v>955.0</v>
      </c>
      <c r="J111" s="260">
        <f>IFERROR(I111/F111,0)</f>
        <v>0.325383</v>
      </c>
      <c r="K111" s="254" t="n"/>
      <c r="L111" s="261" t="inlineStr">
        <is>
          <t>Cierre via loka.py | updated 18:49</t>
        </is>
      </c>
      <c r="M111" s="291" t="n"/>
      <c r="N111" s="292" t="n"/>
      <c r="O111" s="293" t="n"/>
      <c r="P111" s="294" t="n"/>
      <c r="Q111" s="292" t="n"/>
      <c r="R111" s="443">
        <f>IFERROR(D111*$T$7,0)</f>
        <v>0.0</v>
      </c>
      <c r="S111" s="292" t="n"/>
      <c r="T111" s="292" t="n"/>
      <c r="U111" s="443" t="n">
        <v>0</v>
      </c>
      <c r="V111" s="443" t="n">
        <v>0</v>
      </c>
      <c r="W111" s="292" t="n"/>
      <c r="X111" s="292" t="n"/>
      <c r="Y111" s="443" t="n">
        <v>915</v>
      </c>
      <c r="Z111" s="443" t="n">
        <v>17.39</v>
      </c>
      <c r="AA111" s="292" t="n"/>
      <c r="AB111" s="292" t="n"/>
    </row>
    <row r="112" ht="16.5" customHeight="1" s="331">
      <c r="B112" s="427" t="n">
        <v>46274</v>
      </c>
      <c r="C112" s="270" t="inlineStr">
        <is>
          <t>Wed</t>
        </is>
      </c>
      <c r="D112" s="271" t="n">
        <v>0</v>
      </c>
      <c r="E112" s="37" t="n">
        <v>1040</v>
      </c>
      <c r="F112" s="38">
        <f>IFERROR(D112+E112+G112+U112+Y112,0)</f>
        <v>3160.0</v>
      </c>
      <c r="G112" s="272" t="n">
        <v>250</v>
      </c>
      <c r="H112" s="273">
        <f>SUMIFS('💸 Expenses'!$F$8:$F$5000,'💸 Expenses'!$B$8:$B$5000,"&gt;="&amp;B112,'💸 Expenses'!$B$8:$B$5000,"&lt;"&amp;(B112+1))</f>
        <v>1106.0</v>
      </c>
      <c r="I112" s="274">
        <f>IFERROR(F112-H112,0)</f>
        <v>2054.0</v>
      </c>
      <c r="J112" s="275">
        <f>IFERROR(I112/F112,0)</f>
        <v>0.65</v>
      </c>
      <c r="K112" s="250" t="n"/>
      <c r="L112" s="276" t="inlineStr">
        <is>
          <t>Cierre via loka.py | updated 17:50 | updated 21:09</t>
        </is>
      </c>
      <c r="M112" s="323" t="n"/>
      <c r="N112" s="324" t="n"/>
      <c r="O112" s="325" t="n"/>
      <c r="P112" s="326" t="n"/>
      <c r="Q112" s="324" t="n"/>
      <c r="R112" s="428">
        <f>IFERROR(D112*$T$7,0)</f>
        <v>0.0</v>
      </c>
      <c r="S112" s="324" t="n"/>
      <c r="T112" s="324" t="n"/>
      <c r="U112" s="428" t="n">
        <v>0</v>
      </c>
      <c r="V112" s="428" t="n">
        <v>0</v>
      </c>
      <c r="W112" s="324" t="n"/>
      <c r="X112" s="324" t="n"/>
      <c r="Y112" s="428" t="n">
        <v>1870</v>
      </c>
      <c r="Z112" s="428" t="n">
        <v>35.53</v>
      </c>
      <c r="AA112" s="324" t="n"/>
      <c r="AB112" s="324" t="n"/>
    </row>
    <row r="113" ht="16.5" customHeight="1" s="331">
      <c r="B113" s="427" t="n">
        <v>46275</v>
      </c>
      <c r="C113" s="255" t="inlineStr">
        <is>
          <t>Thu</t>
        </is>
      </c>
      <c r="D113" s="256" t="n">
        <v>0</v>
      </c>
      <c r="E113" s="49" t="n">
        <v>1685</v>
      </c>
      <c r="F113" s="50">
        <f>IFERROR(D113+E113+G113+U113+Y113,0)</f>
        <v>3805.0</v>
      </c>
      <c r="G113" s="257" t="n">
        <v>120</v>
      </c>
      <c r="H113" s="258">
        <f>SUMIFS('💸 Expenses'!$F$8:$F$5000,'💸 Expenses'!$B$8:$B$5000,"&gt;="&amp;B113,'💸 Expenses'!$B$8:$B$5000,"&lt;"&amp;(B113+1))</f>
        <v>1659.0</v>
      </c>
      <c r="I113" s="259">
        <f>IFERROR(F113-H113,0)</f>
        <v>2146.0</v>
      </c>
      <c r="J113" s="260">
        <f>IFERROR(I113/F113,0)</f>
        <v>0.563995</v>
      </c>
      <c r="K113" s="254" t="n"/>
      <c r="L113" s="261" t="inlineStr">
        <is>
          <t>Cierre via loka.py | updated 17:29</t>
        </is>
      </c>
      <c r="M113" s="291" t="n"/>
      <c r="N113" s="292" t="n"/>
      <c r="O113" s="293" t="n"/>
      <c r="P113" s="294" t="n"/>
      <c r="Q113" s="292" t="n"/>
      <c r="R113" s="443">
        <f>IFERROR(D113*$T$7,0)</f>
        <v>0.0</v>
      </c>
      <c r="S113" s="292" t="n"/>
      <c r="T113" s="292" t="n"/>
      <c r="U113" s="443" t="n">
        <v>0</v>
      </c>
      <c r="V113" s="443" t="n">
        <v>0</v>
      </c>
      <c r="W113" s="292" t="n"/>
      <c r="X113" s="292" t="n"/>
      <c r="Y113" s="443" t="n">
        <v>2000</v>
      </c>
      <c r="Z113" s="443" t="n">
        <v>38</v>
      </c>
      <c r="AA113" s="292" t="n"/>
      <c r="AB113" s="292" t="n"/>
    </row>
    <row r="114" ht="16.5" customHeight="1" s="331">
      <c r="B114" s="427" t="n">
        <v>46276</v>
      </c>
      <c r="C114" s="270" t="inlineStr">
        <is>
          <t>Fri</t>
        </is>
      </c>
      <c r="D114" s="271" t="n">
        <v>0</v>
      </c>
      <c r="E114" s="37" t="n">
        <v>820</v>
      </c>
      <c r="F114" s="38">
        <f>IFERROR(D114+E114+G114+U114+Y114,0)</f>
        <v>3345.0</v>
      </c>
      <c r="G114" s="272" t="n">
        <v>1010</v>
      </c>
      <c r="H114" s="273">
        <f>SUMIFS('💸 Expenses'!$F$8:$F$5000,'💸 Expenses'!$B$8:$B$5000,"&gt;="&amp;B114,'💸 Expenses'!$B$8:$B$5000,"&lt;"&amp;(B114+1))</f>
        <v>45.0</v>
      </c>
      <c r="I114" s="274">
        <f>IFERROR(F114-H114,0)</f>
        <v>3300.0</v>
      </c>
      <c r="J114" s="275">
        <f>IFERROR(I114/F114,0)</f>
        <v>0.986547</v>
      </c>
      <c r="K114" s="250" t="n"/>
      <c r="L114" s="276" t="inlineStr">
        <is>
          <t>Cierre via loka.py</t>
        </is>
      </c>
      <c r="M114" s="323" t="n"/>
      <c r="N114" s="324" t="n"/>
      <c r="O114" s="325" t="n"/>
      <c r="P114" s="326" t="n"/>
      <c r="Q114" s="324" t="n"/>
      <c r="R114" s="428">
        <f>IFERROR(D114*$T$7,0)</f>
        <v>0.0</v>
      </c>
      <c r="S114" s="324" t="n"/>
      <c r="T114" s="324" t="n"/>
      <c r="U114" s="428" t="n">
        <v>0</v>
      </c>
      <c r="V114" s="428" t="n">
        <v>0</v>
      </c>
      <c r="W114" s="324" t="n"/>
      <c r="X114" s="324" t="n"/>
      <c r="Y114" s="428" t="n">
        <v>1515</v>
      </c>
      <c r="Z114" s="428" t="n">
        <v>28.79</v>
      </c>
      <c r="AA114" s="324" t="n"/>
      <c r="AB114" s="324" t="n"/>
    </row>
    <row r="115" ht="16.5" customHeight="1" s="331">
      <c r="B115" s="427" t="n">
        <v>46277</v>
      </c>
      <c r="C115" s="255" t="inlineStr">
        <is>
          <t>Sat</t>
        </is>
      </c>
      <c r="D115" s="256" t="n">
        <v>585</v>
      </c>
      <c r="E115" s="49" t="n">
        <v>1835</v>
      </c>
      <c r="F115" s="50">
        <f>IFERROR(D115+E115+G115+U115+Y115,0)</f>
        <v>2420.0</v>
      </c>
      <c r="G115" s="257" t="n">
        <v>0</v>
      </c>
      <c r="H115" s="258">
        <f>SUMIFS('💸 Expenses'!$F$8:$F$5000,'💸 Expenses'!$B$8:$B$5000,"&gt;="&amp;B115,'💸 Expenses'!$B$8:$B$5000,"&lt;"&amp;(B115+1))</f>
        <v>8813.0</v>
      </c>
      <c r="I115" s="259">
        <f>IFERROR(F115-H115,0)</f>
        <v>-6393.0</v>
      </c>
      <c r="J115" s="260">
        <f>IFERROR(I115/F115,0)</f>
        <v>-2.641736</v>
      </c>
      <c r="K115" s="254" t="n"/>
      <c r="L115" s="261" t="inlineStr">
        <is>
          <t>Cierre via loka.py</t>
        </is>
      </c>
      <c r="M115" s="291" t="n"/>
      <c r="N115" s="292" t="n"/>
      <c r="O115" s="293" t="n"/>
      <c r="P115" s="294" t="n"/>
      <c r="Q115" s="292" t="n"/>
      <c r="R115" s="443">
        <f>IFERROR(D115*$T$7,0)</f>
        <v>23.75</v>
      </c>
      <c r="S115" s="292" t="n"/>
      <c r="T115" s="292" t="n"/>
      <c r="U115" s="443" t="n">
        <v>0</v>
      </c>
      <c r="V115" s="443" t="n">
        <v>0</v>
      </c>
      <c r="W115" s="292" t="n"/>
      <c r="X115" s="292" t="n"/>
      <c r="Y115" s="443" t="n">
        <v>0</v>
      </c>
      <c r="Z115" s="443" t="n">
        <v>0</v>
      </c>
      <c r="AA115" s="292" t="n"/>
      <c r="AB115" s="292" t="n"/>
    </row>
    <row r="116" ht="16.5" customHeight="1" s="331">
      <c r="B116" s="427" t="n">
        <v>46279</v>
      </c>
      <c r="C116" s="270" t="inlineStr">
        <is>
          <t>Mon</t>
        </is>
      </c>
      <c r="D116" s="271" t="n">
        <v>1950</v>
      </c>
      <c r="E116" s="37" t="n">
        <v>2090</v>
      </c>
      <c r="F116" s="38">
        <f>IFERROR(D116+E116+G116+U116+Y116,0)</f>
        <v>4170.0</v>
      </c>
      <c r="G116" s="272" t="n">
        <v>130</v>
      </c>
      <c r="H116" s="273">
        <f>SUMIFS('💸 Expenses'!$F$8:$F$5000,'💸 Expenses'!$B$8:$B$5000,"&gt;="&amp;B116,'💸 Expenses'!$B$8:$B$5000,"&lt;"&amp;(B116+1))</f>
        <v>660.0</v>
      </c>
      <c r="I116" s="274">
        <f>IFERROR(F116-H116,0)</f>
        <v>3510.0</v>
      </c>
      <c r="J116" s="275">
        <f>IFERROR(I116/F116,0)</f>
        <v>0.841727</v>
      </c>
      <c r="K116" s="250" t="n"/>
      <c r="L116" s="276" t="inlineStr">
        <is>
          <t>Cierre via loka.py</t>
        </is>
      </c>
      <c r="M116" s="323" t="n"/>
      <c r="N116" s="324" t="n"/>
      <c r="O116" s="325" t="n"/>
      <c r="P116" s="326" t="n"/>
      <c r="Q116" s="324" t="n"/>
      <c r="R116" s="428">
        <f>IFERROR(D116*$T$7,0)</f>
        <v>79.17</v>
      </c>
      <c r="S116" s="324" t="n"/>
      <c r="T116" s="324" t="n"/>
      <c r="U116" s="428" t="n">
        <v>0</v>
      </c>
      <c r="V116" s="428" t="n">
        <v>0</v>
      </c>
      <c r="W116" s="324" t="n"/>
      <c r="X116" s="324" t="n"/>
      <c r="Y116" s="428" t="n">
        <v>0</v>
      </c>
      <c r="Z116" s="428" t="n">
        <v>0</v>
      </c>
      <c r="AA116" s="324" t="n"/>
      <c r="AB116" s="324" t="n"/>
    </row>
    <row r="117" ht="16.5" customHeight="1" s="331">
      <c r="B117" s="427" t="n">
        <v>46282</v>
      </c>
      <c r="C117" s="255" t="inlineStr">
        <is>
          <t>Thu</t>
        </is>
      </c>
      <c r="D117" s="256" t="n">
        <v>2875</v>
      </c>
      <c r="E117" s="49" t="n">
        <v>1000</v>
      </c>
      <c r="F117" s="50">
        <f>IFERROR(D117+E117+G117+U117+Y117,0)</f>
        <v>20031.0</v>
      </c>
      <c r="G117" s="257" t="n">
        <v>16156</v>
      </c>
      <c r="H117" s="258">
        <f>SUMIFS('💸 Expenses'!$F$8:$F$5000,'💸 Expenses'!$B$8:$B$5000,"&gt;="&amp;B117,'💸 Expenses'!$B$8:$B$5000,"&lt;"&amp;(B117+1))</f>
        <v>2794.0</v>
      </c>
      <c r="I117" s="259">
        <f>IFERROR(F117-H117,0)</f>
        <v>17237.0</v>
      </c>
      <c r="J117" s="260">
        <f>IFERROR(I117/F117,0)</f>
        <v>0.860516</v>
      </c>
      <c r="K117" s="254" t="n"/>
      <c r="L117" s="261" t="inlineStr">
        <is>
          <t>Cierre via loka.py | updated 20:08</t>
        </is>
      </c>
      <c r="M117" s="291" t="n"/>
      <c r="N117" s="292" t="n"/>
      <c r="O117" s="293" t="n"/>
      <c r="P117" s="294" t="n"/>
      <c r="Q117" s="292" t="n"/>
      <c r="R117" s="443">
        <f>IFERROR(D117*$T$7,0)</f>
        <v>116.72</v>
      </c>
      <c r="S117" s="292" t="n"/>
      <c r="T117" s="292" t="n"/>
      <c r="U117" s="443" t="n">
        <v>0</v>
      </c>
      <c r="V117" s="443" t="n">
        <v>0</v>
      </c>
      <c r="W117" s="292" t="n"/>
      <c r="X117" s="292" t="n"/>
      <c r="Y117" s="443" t="n">
        <v>0</v>
      </c>
      <c r="Z117" s="443" t="n">
        <v>0</v>
      </c>
      <c r="AA117" s="292" t="n"/>
      <c r="AB117" s="292" t="n"/>
    </row>
    <row r="118" ht="16.5" customHeight="1" s="331">
      <c r="B118" s="427" t="n">
        <v>46283</v>
      </c>
      <c r="C118" s="270" t="inlineStr">
        <is>
          <t>Fri</t>
        </is>
      </c>
      <c r="D118" s="271" t="n">
        <v>1225</v>
      </c>
      <c r="E118" s="37" t="n">
        <v>1100</v>
      </c>
      <c r="F118" s="38">
        <f>IFERROR(D118+E118+G118+U118+Y118,0)</f>
        <v>2325.0</v>
      </c>
      <c r="G118" s="272" t="n">
        <v>0</v>
      </c>
      <c r="H118" s="273">
        <f>SUMIFS('💸 Expenses'!$F$8:$F$5000,'💸 Expenses'!$B$8:$B$5000,"&gt;="&amp;B118,'💸 Expenses'!$B$8:$B$5000,"&lt;"&amp;(B118+1))</f>
        <v>1979.0</v>
      </c>
      <c r="I118" s="274">
        <f>IFERROR(F118-H118,0)</f>
        <v>346.0</v>
      </c>
      <c r="J118" s="275">
        <f>IFERROR(I118/F118,0)</f>
        <v>0.148817</v>
      </c>
      <c r="K118" s="250" t="n"/>
      <c r="L118" s="276" t="inlineStr">
        <is>
          <t>Cierre via loka.py</t>
        </is>
      </c>
      <c r="M118" s="323" t="n"/>
      <c r="N118" s="324" t="n"/>
      <c r="O118" s="325" t="n"/>
      <c r="P118" s="326" t="n"/>
      <c r="Q118" s="324" t="n"/>
      <c r="R118" s="428">
        <f>IFERROR(D118*$T$7,0)</f>
        <v>49.73</v>
      </c>
      <c r="S118" s="324" t="n"/>
      <c r="T118" s="324" t="n"/>
      <c r="U118" s="428" t="n">
        <v>0</v>
      </c>
      <c r="V118" s="428" t="n">
        <v>0</v>
      </c>
      <c r="W118" s="324" t="n"/>
      <c r="X118" s="324" t="n"/>
      <c r="Y118" s="428" t="n">
        <v>0</v>
      </c>
      <c r="Z118" s="428" t="n">
        <v>0</v>
      </c>
      <c r="AA118" s="324" t="n"/>
      <c r="AB118" s="324" t="n"/>
    </row>
    <row r="119" ht="16.5" customHeight="1" s="331">
      <c r="B119" s="427" t="n">
        <v>46284</v>
      </c>
      <c r="C119" s="255" t="inlineStr">
        <is>
          <t>Sat</t>
        </is>
      </c>
      <c r="D119" s="256" t="n">
        <v>625</v>
      </c>
      <c r="E119" s="49" t="n">
        <v>1335</v>
      </c>
      <c r="F119" s="50">
        <f>IFERROR(D119+E119+G119+U119+Y119,0)</f>
        <v>1960.0</v>
      </c>
      <c r="G119" s="257" t="n">
        <v>0</v>
      </c>
      <c r="H119" s="258">
        <f>SUMIFS('💸 Expenses'!$F$8:$F$5000,'💸 Expenses'!$B$8:$B$5000,"&gt;="&amp;B119,'💸 Expenses'!$B$8:$B$5000,"&lt;"&amp;(B119+1))</f>
        <v>4626.0</v>
      </c>
      <c r="I119" s="259">
        <f>IFERROR(F119-H119,0)</f>
        <v>-2666.0</v>
      </c>
      <c r="J119" s="260">
        <f>IFERROR(I119/F119,0)</f>
        <v>-1.360204</v>
      </c>
      <c r="K119" s="254" t="n"/>
      <c r="L119" s="261" t="inlineStr">
        <is>
          <t>Cierre via loka.py</t>
        </is>
      </c>
      <c r="M119" s="291" t="n"/>
      <c r="N119" s="292" t="n"/>
      <c r="O119" s="293" t="n"/>
      <c r="P119" s="294" t="n"/>
      <c r="Q119" s="292" t="n"/>
      <c r="R119" s="443">
        <f>IFERROR(D119*$T$7,0)</f>
        <v>25.38</v>
      </c>
      <c r="S119" s="292" t="n"/>
      <c r="T119" s="292" t="n"/>
      <c r="U119" s="443" t="n">
        <v>0</v>
      </c>
      <c r="V119" s="443" t="n">
        <v>0</v>
      </c>
      <c r="W119" s="292" t="n"/>
      <c r="X119" s="292" t="n"/>
      <c r="Y119" s="443" t="n">
        <v>0</v>
      </c>
      <c r="Z119" s="443" t="n">
        <v>0</v>
      </c>
      <c r="AA119" s="292" t="n"/>
      <c r="AB119" s="292" t="n"/>
    </row>
    <row r="120" ht="16.5" customHeight="1" s="331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  <c r="R120" s="44" t="n"/>
      <c r="S120" s="44" t="n"/>
      <c r="T120" s="44" t="n"/>
      <c r="U120" s="44" t="n"/>
      <c r="V120" s="44" t="n"/>
      <c r="W120" s="44" t="n"/>
      <c r="X120" s="44" t="n"/>
      <c r="Y120" s="44" t="n"/>
      <c r="Z120" s="44" t="n"/>
      <c r="AA120" s="44" t="n"/>
      <c r="AB120" s="44" t="n"/>
    </row>
    <row r="121" ht="16.5" customHeight="1" s="331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  <c r="R121" s="56" t="n"/>
      <c r="S121" s="56" t="n"/>
      <c r="T121" s="56" t="n"/>
      <c r="U121" s="56" t="n"/>
      <c r="V121" s="56" t="n"/>
      <c r="W121" s="56" t="n"/>
      <c r="X121" s="56" t="n"/>
      <c r="Y121" s="56" t="n"/>
      <c r="Z121" s="56" t="n"/>
      <c r="AA121" s="56" t="n"/>
      <c r="AB121" s="56" t="n"/>
    </row>
    <row r="122" ht="16.5" customHeight="1" s="331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  <c r="R122" s="44" t="n"/>
      <c r="S122" s="44" t="n"/>
      <c r="T122" s="44" t="n"/>
      <c r="U122" s="44" t="n"/>
      <c r="V122" s="44" t="n"/>
      <c r="W122" s="44" t="n"/>
      <c r="X122" s="44" t="n"/>
      <c r="Y122" s="44" t="n"/>
      <c r="Z122" s="44" t="n"/>
      <c r="AA122" s="44" t="n"/>
      <c r="AB122" s="44" t="n"/>
    </row>
    <row r="123" ht="16.5" customHeight="1" s="331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  <c r="R123" s="56" t="n"/>
      <c r="S123" s="56" t="n"/>
      <c r="T123" s="56" t="n"/>
      <c r="U123" s="56" t="n"/>
      <c r="V123" s="56" t="n"/>
      <c r="W123" s="56" t="n"/>
      <c r="X123" s="56" t="n"/>
      <c r="Y123" s="56" t="n"/>
      <c r="Z123" s="56" t="n"/>
      <c r="AA123" s="56" t="n"/>
      <c r="AB123" s="56" t="n"/>
    </row>
    <row r="124" ht="16.5" customHeight="1" s="331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  <c r="R124" s="44" t="n"/>
      <c r="S124" s="44" t="n"/>
      <c r="T124" s="44" t="n"/>
      <c r="U124" s="44" t="n"/>
      <c r="V124" s="44" t="n"/>
      <c r="W124" s="44" t="n"/>
      <c r="X124" s="44" t="n"/>
      <c r="Y124" s="44" t="n"/>
      <c r="Z124" s="44" t="n"/>
      <c r="AA124" s="44" t="n"/>
      <c r="AB124" s="44" t="n"/>
    </row>
    <row r="125" ht="16.5" customHeight="1" s="331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  <c r="R125" s="56" t="n"/>
      <c r="S125" s="56" t="n"/>
      <c r="T125" s="56" t="n"/>
      <c r="U125" s="56" t="n"/>
      <c r="V125" s="56" t="n"/>
      <c r="W125" s="56" t="n"/>
      <c r="X125" s="56" t="n"/>
      <c r="Y125" s="56" t="n"/>
      <c r="Z125" s="56" t="n"/>
      <c r="AA125" s="56" t="n"/>
      <c r="AB125" s="56" t="n"/>
    </row>
    <row r="126" ht="16.5" customHeight="1" s="331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  <c r="R126" s="44" t="n"/>
      <c r="S126" s="44" t="n"/>
      <c r="T126" s="44" t="n"/>
      <c r="U126" s="44" t="n"/>
      <c r="V126" s="44" t="n"/>
      <c r="W126" s="44" t="n"/>
      <c r="X126" s="44" t="n"/>
      <c r="Y126" s="44" t="n"/>
      <c r="Z126" s="44" t="n"/>
      <c r="AA126" s="44" t="n"/>
      <c r="AB126" s="44" t="n"/>
    </row>
    <row r="127" ht="16.5" customHeight="1" s="331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  <c r="R127" s="56" t="n"/>
      <c r="S127" s="56" t="n"/>
      <c r="T127" s="56" t="n"/>
      <c r="U127" s="56" t="n"/>
      <c r="V127" s="56" t="n"/>
      <c r="W127" s="56" t="n"/>
      <c r="X127" s="56" t="n"/>
      <c r="Y127" s="56" t="n"/>
      <c r="Z127" s="56" t="n"/>
      <c r="AA127" s="56" t="n"/>
      <c r="AB127" s="56" t="n"/>
    </row>
    <row r="128" ht="16.5" customHeight="1" s="331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  <c r="R128" s="44" t="n"/>
      <c r="S128" s="44" t="n"/>
      <c r="T128" s="44" t="n"/>
      <c r="U128" s="44" t="n"/>
      <c r="V128" s="44" t="n"/>
      <c r="W128" s="44" t="n"/>
      <c r="X128" s="44" t="n"/>
      <c r="Y128" s="44" t="n"/>
      <c r="Z128" s="44" t="n"/>
      <c r="AA128" s="44" t="n"/>
      <c r="AB128" s="44" t="n"/>
    </row>
    <row r="129" ht="16.5" customHeight="1" s="331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  <c r="R129" s="56" t="n"/>
      <c r="S129" s="56" t="n"/>
      <c r="T129" s="56" t="n"/>
      <c r="U129" s="56" t="n"/>
      <c r="V129" s="56" t="n"/>
      <c r="W129" s="56" t="n"/>
      <c r="X129" s="56" t="n"/>
      <c r="Y129" s="56" t="n"/>
      <c r="Z129" s="56" t="n"/>
      <c r="AA129" s="56" t="n"/>
      <c r="AB129" s="56" t="n"/>
    </row>
    <row r="130" ht="16.5" customHeight="1" s="331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  <c r="R130" s="44" t="n"/>
      <c r="S130" s="44" t="n"/>
      <c r="T130" s="44" t="n"/>
      <c r="U130" s="44" t="n"/>
      <c r="V130" s="44" t="n"/>
      <c r="W130" s="44" t="n"/>
      <c r="X130" s="44" t="n"/>
      <c r="Y130" s="44" t="n"/>
      <c r="Z130" s="44" t="n"/>
      <c r="AA130" s="44" t="n"/>
      <c r="AB130" s="44" t="n"/>
    </row>
    <row r="131" ht="16.5" customHeight="1" s="331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  <c r="R131" s="56" t="n"/>
      <c r="S131" s="56" t="n"/>
      <c r="T131" s="56" t="n"/>
      <c r="U131" s="56" t="n"/>
      <c r="V131" s="56" t="n"/>
      <c r="W131" s="56" t="n"/>
      <c r="X131" s="56" t="n"/>
      <c r="Y131" s="56" t="n"/>
      <c r="Z131" s="56" t="n"/>
      <c r="AA131" s="56" t="n"/>
      <c r="AB131" s="56" t="n"/>
    </row>
    <row r="132" ht="16.5" customHeight="1" s="331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  <c r="R132" s="44" t="n"/>
      <c r="S132" s="44" t="n"/>
      <c r="T132" s="44" t="n"/>
      <c r="U132" s="44" t="n"/>
      <c r="V132" s="44" t="n"/>
      <c r="W132" s="44" t="n"/>
      <c r="X132" s="44" t="n"/>
      <c r="Y132" s="44" t="n"/>
      <c r="Z132" s="44" t="n"/>
      <c r="AA132" s="44" t="n"/>
      <c r="AB132" s="44" t="n"/>
    </row>
    <row r="133" ht="16.5" customHeight="1" s="331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  <c r="R133" s="56" t="n"/>
      <c r="S133" s="56" t="n"/>
      <c r="T133" s="56" t="n"/>
      <c r="U133" s="56" t="n"/>
      <c r="V133" s="56" t="n"/>
      <c r="W133" s="56" t="n"/>
      <c r="X133" s="56" t="n"/>
      <c r="Y133" s="56" t="n"/>
      <c r="Z133" s="56" t="n"/>
      <c r="AA133" s="56" t="n"/>
      <c r="AB133" s="56" t="n"/>
    </row>
    <row r="134" ht="16.5" customHeight="1" s="331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  <c r="R134" s="44" t="n"/>
      <c r="S134" s="44" t="n"/>
      <c r="T134" s="44" t="n"/>
      <c r="U134" s="44" t="n"/>
      <c r="V134" s="44" t="n"/>
      <c r="W134" s="44" t="n"/>
      <c r="X134" s="44" t="n"/>
      <c r="Y134" s="44" t="n"/>
      <c r="Z134" s="44" t="n"/>
      <c r="AA134" s="44" t="n"/>
      <c r="AB134" s="44" t="n"/>
    </row>
    <row r="135" ht="16.5" customHeight="1" s="331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  <c r="R135" s="56" t="n"/>
      <c r="S135" s="56" t="n"/>
      <c r="T135" s="56" t="n"/>
      <c r="U135" s="56" t="n"/>
      <c r="V135" s="56" t="n"/>
      <c r="W135" s="56" t="n"/>
      <c r="X135" s="56" t="n"/>
      <c r="Y135" s="56" t="n"/>
      <c r="Z135" s="56" t="n"/>
      <c r="AA135" s="56" t="n"/>
      <c r="AB135" s="56" t="n"/>
    </row>
    <row r="136" ht="16.5" customHeight="1" s="331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  <c r="R136" s="44" t="n"/>
      <c r="S136" s="44" t="n"/>
      <c r="T136" s="44" t="n"/>
      <c r="U136" s="44" t="n"/>
      <c r="V136" s="44" t="n"/>
      <c r="W136" s="44" t="n"/>
      <c r="X136" s="44" t="n"/>
      <c r="Y136" s="44" t="n"/>
      <c r="Z136" s="44" t="n"/>
      <c r="AA136" s="44" t="n"/>
      <c r="AB136" s="44" t="n"/>
    </row>
    <row r="137" ht="16.5" customHeight="1" s="331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  <c r="R137" s="56" t="n"/>
      <c r="S137" s="56" t="n"/>
      <c r="T137" s="56" t="n"/>
      <c r="U137" s="56" t="n"/>
      <c r="V137" s="56" t="n"/>
      <c r="W137" s="56" t="n"/>
      <c r="X137" s="56" t="n"/>
      <c r="Y137" s="56" t="n"/>
      <c r="Z137" s="56" t="n"/>
      <c r="AA137" s="56" t="n"/>
      <c r="AB137" s="56" t="n"/>
    </row>
    <row r="138" ht="16.5" customHeight="1" s="331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  <c r="R138" s="44" t="n"/>
      <c r="S138" s="44" t="n"/>
      <c r="T138" s="44" t="n"/>
      <c r="U138" s="44" t="n"/>
      <c r="V138" s="44" t="n"/>
      <c r="W138" s="44" t="n"/>
      <c r="X138" s="44" t="n"/>
      <c r="Y138" s="44" t="n"/>
      <c r="Z138" s="44" t="n"/>
      <c r="AA138" s="44" t="n"/>
      <c r="AB138" s="44" t="n"/>
    </row>
    <row r="139" ht="16.5" customHeight="1" s="331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  <c r="R139" s="56" t="n"/>
      <c r="S139" s="56" t="n"/>
      <c r="T139" s="56" t="n"/>
      <c r="U139" s="56" t="n"/>
      <c r="V139" s="56" t="n"/>
      <c r="W139" s="56" t="n"/>
      <c r="X139" s="56" t="n"/>
      <c r="Y139" s="56" t="n"/>
      <c r="Z139" s="56" t="n"/>
      <c r="AA139" s="56" t="n"/>
      <c r="AB139" s="56" t="n"/>
    </row>
    <row r="140" ht="16.5" customHeight="1" s="331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  <c r="R140" s="44" t="n"/>
      <c r="S140" s="44" t="n"/>
      <c r="T140" s="44" t="n"/>
      <c r="U140" s="44" t="n"/>
      <c r="V140" s="44" t="n"/>
      <c r="W140" s="44" t="n"/>
      <c r="X140" s="44" t="n"/>
      <c r="Y140" s="44" t="n"/>
      <c r="Z140" s="44" t="n"/>
      <c r="AA140" s="44" t="n"/>
      <c r="AB140" s="44" t="n"/>
    </row>
    <row r="141" ht="16.5" customHeight="1" s="331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  <c r="R141" s="56" t="n"/>
      <c r="S141" s="56" t="n"/>
      <c r="T141" s="56" t="n"/>
      <c r="U141" s="56" t="n"/>
      <c r="V141" s="56" t="n"/>
      <c r="W141" s="56" t="n"/>
      <c r="X141" s="56" t="n"/>
      <c r="Y141" s="56" t="n"/>
      <c r="Z141" s="56" t="n"/>
      <c r="AA141" s="56" t="n"/>
      <c r="AB141" s="56" t="n"/>
    </row>
    <row r="142" ht="16.5" customHeight="1" s="331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  <c r="R142" s="44" t="n"/>
      <c r="S142" s="44" t="n"/>
      <c r="T142" s="44" t="n"/>
      <c r="U142" s="44" t="n"/>
      <c r="V142" s="44" t="n"/>
      <c r="W142" s="44" t="n"/>
      <c r="X142" s="44" t="n"/>
      <c r="Y142" s="44" t="n"/>
      <c r="Z142" s="44" t="n"/>
      <c r="AA142" s="44" t="n"/>
      <c r="AB142" s="44" t="n"/>
    </row>
    <row r="143" ht="16.5" customHeight="1" s="331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  <c r="R143" s="56" t="n"/>
      <c r="S143" s="56" t="n"/>
      <c r="T143" s="56" t="n"/>
      <c r="U143" s="56" t="n"/>
      <c r="V143" s="56" t="n"/>
      <c r="W143" s="56" t="n"/>
      <c r="X143" s="56" t="n"/>
      <c r="Y143" s="56" t="n"/>
      <c r="Z143" s="56" t="n"/>
      <c r="AA143" s="56" t="n"/>
      <c r="AB143" s="56" t="n"/>
    </row>
    <row r="144" ht="16.5" customHeight="1" s="331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  <c r="R144" s="44" t="n"/>
      <c r="S144" s="44" t="n"/>
      <c r="T144" s="44" t="n"/>
      <c r="U144" s="44" t="n"/>
      <c r="V144" s="44" t="n"/>
      <c r="W144" s="44" t="n"/>
      <c r="X144" s="44" t="n"/>
      <c r="Y144" s="44" t="n"/>
      <c r="Z144" s="44" t="n"/>
      <c r="AA144" s="44" t="n"/>
      <c r="AB144" s="44" t="n"/>
    </row>
    <row r="145" ht="16.5" customHeight="1" s="331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  <c r="R145" s="56" t="n"/>
      <c r="S145" s="56" t="n"/>
      <c r="T145" s="56" t="n"/>
      <c r="U145" s="56" t="n"/>
      <c r="V145" s="56" t="n"/>
      <c r="W145" s="56" t="n"/>
      <c r="X145" s="56" t="n"/>
      <c r="Y145" s="56" t="n"/>
      <c r="Z145" s="56" t="n"/>
      <c r="AA145" s="56" t="n"/>
      <c r="AB145" s="56" t="n"/>
    </row>
    <row r="146" ht="16.5" customHeight="1" s="331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  <c r="R146" s="44" t="n"/>
      <c r="S146" s="44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B146" s="44" t="n"/>
    </row>
    <row r="147" ht="16.5" customHeight="1" s="331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  <c r="R147" s="56" t="n"/>
      <c r="S147" s="56" t="n"/>
      <c r="T147" s="56" t="n"/>
      <c r="U147" s="56" t="n"/>
      <c r="V147" s="56" t="n"/>
      <c r="W147" s="56" t="n"/>
      <c r="X147" s="56" t="n"/>
      <c r="Y147" s="56" t="n"/>
      <c r="Z147" s="56" t="n"/>
      <c r="AA147" s="56" t="n"/>
      <c r="AB147" s="56" t="n"/>
    </row>
    <row r="148" ht="16.5" customHeight="1" s="331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  <c r="R148" s="44" t="n"/>
      <c r="S148" s="44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B148" s="44" t="n"/>
    </row>
    <row r="149" ht="16.5" customHeight="1" s="331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  <c r="R149" s="56" t="n"/>
      <c r="S149" s="56" t="n"/>
      <c r="T149" s="56" t="n"/>
      <c r="U149" s="56" t="n"/>
      <c r="V149" s="56" t="n"/>
      <c r="W149" s="56" t="n"/>
      <c r="X149" s="56" t="n"/>
      <c r="Y149" s="56" t="n"/>
      <c r="Z149" s="56" t="n"/>
      <c r="AA149" s="56" t="n"/>
      <c r="AB149" s="56" t="n"/>
    </row>
    <row r="150" ht="16.5" customHeight="1" s="331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  <c r="R150" s="44" t="n"/>
      <c r="S150" s="44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</row>
    <row r="151" ht="16.5" customHeight="1" s="331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  <c r="R151" s="56" t="n"/>
      <c r="S151" s="56" t="n"/>
      <c r="T151" s="56" t="n"/>
      <c r="U151" s="56" t="n"/>
      <c r="V151" s="56" t="n"/>
      <c r="W151" s="56" t="n"/>
      <c r="X151" s="56" t="n"/>
      <c r="Y151" s="56" t="n"/>
      <c r="Z151" s="56" t="n"/>
      <c r="AA151" s="56" t="n"/>
      <c r="AB151" s="56" t="n"/>
    </row>
    <row r="152" ht="16.5" customHeight="1" s="331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  <c r="R152" s="44" t="n"/>
      <c r="S152" s="44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</row>
    <row r="153" ht="16.5" customHeight="1" s="331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  <c r="R153" s="56" t="n"/>
      <c r="S153" s="56" t="n"/>
      <c r="T153" s="56" t="n"/>
      <c r="U153" s="56" t="n"/>
      <c r="V153" s="56" t="n"/>
      <c r="W153" s="56" t="n"/>
      <c r="X153" s="56" t="n"/>
      <c r="Y153" s="56" t="n"/>
      <c r="Z153" s="56" t="n"/>
      <c r="AA153" s="56" t="n"/>
      <c r="AB153" s="56" t="n"/>
    </row>
    <row r="154" ht="16.5" customHeight="1" s="331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  <c r="R154" s="44" t="n"/>
      <c r="S154" s="44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</row>
    <row r="155" ht="16.5" customHeight="1" s="331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  <c r="R155" s="56" t="n"/>
      <c r="S155" s="56" t="n"/>
      <c r="T155" s="56" t="n"/>
      <c r="U155" s="56" t="n"/>
      <c r="V155" s="56" t="n"/>
      <c r="W155" s="56" t="n"/>
      <c r="X155" s="56" t="n"/>
      <c r="Y155" s="56" t="n"/>
      <c r="Z155" s="56" t="n"/>
      <c r="AA155" s="56" t="n"/>
      <c r="AB155" s="56" t="n"/>
    </row>
    <row r="156" ht="16.5" customHeight="1" s="331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  <c r="R156" s="44" t="n"/>
      <c r="S156" s="44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</row>
    <row r="157" ht="16.5" customHeight="1" s="331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  <c r="R157" s="56" t="n"/>
      <c r="S157" s="56" t="n"/>
      <c r="T157" s="56" t="n"/>
      <c r="U157" s="56" t="n"/>
      <c r="V157" s="56" t="n"/>
      <c r="W157" s="56" t="n"/>
      <c r="X157" s="56" t="n"/>
      <c r="Y157" s="56" t="n"/>
      <c r="Z157" s="56" t="n"/>
      <c r="AA157" s="56" t="n"/>
      <c r="AB157" s="56" t="n"/>
    </row>
    <row r="158" ht="16.5" customHeight="1" s="331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  <c r="R158" s="44" t="n"/>
      <c r="S158" s="44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</row>
    <row r="159" ht="16.5" customHeight="1" s="331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  <c r="R159" s="56" t="n"/>
      <c r="S159" s="56" t="n"/>
      <c r="T159" s="56" t="n"/>
      <c r="U159" s="56" t="n"/>
      <c r="V159" s="56" t="n"/>
      <c r="W159" s="56" t="n"/>
      <c r="X159" s="56" t="n"/>
      <c r="Y159" s="56" t="n"/>
      <c r="Z159" s="56" t="n"/>
      <c r="AA159" s="56" t="n"/>
      <c r="AB159" s="56" t="n"/>
    </row>
    <row r="160" ht="16.5" customHeight="1" s="331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  <c r="R160" s="44" t="n"/>
      <c r="S160" s="44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</row>
    <row r="161" ht="16.5" customHeight="1" s="331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  <c r="R161" s="56" t="n"/>
      <c r="S161" s="56" t="n"/>
      <c r="T161" s="56" t="n"/>
      <c r="U161" s="56" t="n"/>
      <c r="V161" s="56" t="n"/>
      <c r="W161" s="56" t="n"/>
      <c r="X161" s="56" t="n"/>
      <c r="Y161" s="56" t="n"/>
      <c r="Z161" s="56" t="n"/>
      <c r="AA161" s="56" t="n"/>
      <c r="AB161" s="56" t="n"/>
    </row>
    <row r="162" ht="16.5" customHeight="1" s="331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  <c r="R162" s="44" t="n"/>
      <c r="S162" s="44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</row>
    <row r="163" ht="16.5" customHeight="1" s="331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  <c r="R163" s="56" t="n"/>
      <c r="S163" s="56" t="n"/>
      <c r="T163" s="56" t="n"/>
      <c r="U163" s="56" t="n"/>
      <c r="V163" s="56" t="n"/>
      <c r="W163" s="56" t="n"/>
      <c r="X163" s="56" t="n"/>
      <c r="Y163" s="56" t="n"/>
      <c r="Z163" s="56" t="n"/>
      <c r="AA163" s="56" t="n"/>
      <c r="AB163" s="56" t="n"/>
    </row>
    <row r="164" ht="16.5" customHeight="1" s="331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  <c r="R164" s="44" t="n"/>
      <c r="S164" s="44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</row>
    <row r="165" ht="16.5" customHeight="1" s="331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  <c r="R165" s="56" t="n"/>
      <c r="S165" s="56" t="n"/>
      <c r="T165" s="56" t="n"/>
      <c r="U165" s="56" t="n"/>
      <c r="V165" s="56" t="n"/>
      <c r="W165" s="56" t="n"/>
      <c r="X165" s="56" t="n"/>
      <c r="Y165" s="56" t="n"/>
      <c r="Z165" s="56" t="n"/>
      <c r="AA165" s="56" t="n"/>
      <c r="AB165" s="56" t="n"/>
    </row>
    <row r="166" ht="16.5" customHeight="1" s="331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  <c r="R166" s="44" t="n"/>
      <c r="S166" s="44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</row>
    <row r="167" ht="16.5" customHeight="1" s="331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  <c r="Z167" s="56" t="n"/>
      <c r="AA167" s="56" t="n"/>
      <c r="AB167" s="56" t="n"/>
    </row>
    <row r="168" ht="16.5" customHeight="1" s="331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  <c r="R168" s="44" t="n"/>
      <c r="S168" s="44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</row>
    <row r="169" ht="16.5" customHeight="1" s="331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  <c r="R169" s="56" t="n"/>
      <c r="S169" s="56" t="n"/>
      <c r="T169" s="56" t="n"/>
      <c r="U169" s="56" t="n"/>
      <c r="V169" s="56" t="n"/>
      <c r="W169" s="56" t="n"/>
      <c r="X169" s="56" t="n"/>
      <c r="Y169" s="56" t="n"/>
      <c r="Z169" s="56" t="n"/>
      <c r="AA169" s="56" t="n"/>
      <c r="AB169" s="56" t="n"/>
    </row>
    <row r="170" ht="16.5" customHeight="1" s="331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  <c r="R170" s="44" t="n"/>
      <c r="S170" s="44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</row>
    <row r="171" ht="16.5" customHeight="1" s="331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  <c r="R171" s="56" t="n"/>
      <c r="S171" s="56" t="n"/>
      <c r="T171" s="56" t="n"/>
      <c r="U171" s="56" t="n"/>
      <c r="V171" s="56" t="n"/>
      <c r="W171" s="56" t="n"/>
      <c r="X171" s="56" t="n"/>
      <c r="Y171" s="56" t="n"/>
      <c r="Z171" s="56" t="n"/>
      <c r="AA171" s="56" t="n"/>
      <c r="AB171" s="56" t="n"/>
    </row>
    <row r="172" ht="16.5" customHeight="1" s="331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  <c r="R172" s="44" t="n"/>
      <c r="S172" s="44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</row>
    <row r="173" ht="16.5" customHeight="1" s="331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  <c r="R173" s="56" t="n"/>
      <c r="S173" s="56" t="n"/>
      <c r="T173" s="56" t="n"/>
      <c r="U173" s="56" t="n"/>
      <c r="V173" s="56" t="n"/>
      <c r="W173" s="56" t="n"/>
      <c r="X173" s="56" t="n"/>
      <c r="Y173" s="56" t="n"/>
      <c r="Z173" s="56" t="n"/>
      <c r="AA173" s="56" t="n"/>
      <c r="AB173" s="56" t="n"/>
    </row>
    <row r="174" ht="16.5" customHeight="1" s="331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  <c r="R174" s="44" t="n"/>
      <c r="S174" s="44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</row>
    <row r="175" ht="16.5" customHeight="1" s="331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  <c r="R175" s="56" t="n"/>
      <c r="S175" s="56" t="n"/>
      <c r="T175" s="56" t="n"/>
      <c r="U175" s="56" t="n"/>
      <c r="V175" s="56" t="n"/>
      <c r="W175" s="56" t="n"/>
      <c r="X175" s="56" t="n"/>
      <c r="Y175" s="56" t="n"/>
      <c r="Z175" s="56" t="n"/>
      <c r="AA175" s="56" t="n"/>
      <c r="AB175" s="56" t="n"/>
    </row>
    <row r="176" ht="16.5" customHeight="1" s="331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  <c r="R176" s="44" t="n"/>
      <c r="S176" s="44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</row>
    <row r="177" ht="16.5" customHeight="1" s="331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  <c r="R177" s="56" t="n"/>
      <c r="S177" s="56" t="n"/>
      <c r="T177" s="56" t="n"/>
      <c r="U177" s="56" t="n"/>
      <c r="V177" s="56" t="n"/>
      <c r="W177" s="56" t="n"/>
      <c r="X177" s="56" t="n"/>
      <c r="Y177" s="56" t="n"/>
      <c r="Z177" s="56" t="n"/>
      <c r="AA177" s="56" t="n"/>
      <c r="AB177" s="56" t="n"/>
    </row>
    <row r="178" ht="16.5" customHeight="1" s="331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  <c r="R178" s="44" t="n"/>
      <c r="S178" s="44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</row>
    <row r="179" ht="16.5" customHeight="1" s="331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  <c r="R179" s="56" t="n"/>
      <c r="S179" s="56" t="n"/>
      <c r="T179" s="56" t="n"/>
      <c r="U179" s="56" t="n"/>
      <c r="V179" s="56" t="n"/>
      <c r="W179" s="56" t="n"/>
      <c r="X179" s="56" t="n"/>
      <c r="Y179" s="56" t="n"/>
      <c r="Z179" s="56" t="n"/>
      <c r="AA179" s="56" t="n"/>
      <c r="AB179" s="56" t="n"/>
    </row>
    <row r="180" ht="16.5" customHeight="1" s="331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  <c r="R180" s="44" t="n"/>
      <c r="S180" s="44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</row>
    <row r="181" ht="16.5" customHeight="1" s="331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  <c r="R181" s="56" t="n"/>
      <c r="S181" s="56" t="n"/>
      <c r="T181" s="56" t="n"/>
      <c r="U181" s="56" t="n"/>
      <c r="V181" s="56" t="n"/>
      <c r="W181" s="56" t="n"/>
      <c r="X181" s="56" t="n"/>
      <c r="Y181" s="56" t="n"/>
      <c r="Z181" s="56" t="n"/>
      <c r="AA181" s="56" t="n"/>
      <c r="AB181" s="56" t="n"/>
    </row>
    <row r="182" ht="16.5" customHeight="1" s="331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  <c r="R182" s="44" t="n"/>
      <c r="S182" s="44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</row>
    <row r="183" ht="16.5" customHeight="1" s="331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  <c r="R183" s="56" t="n"/>
      <c r="S183" s="56" t="n"/>
      <c r="T183" s="56" t="n"/>
      <c r="U183" s="56" t="n"/>
      <c r="V183" s="56" t="n"/>
      <c r="W183" s="56" t="n"/>
      <c r="X183" s="56" t="n"/>
      <c r="Y183" s="56" t="n"/>
      <c r="Z183" s="56" t="n"/>
      <c r="AA183" s="56" t="n"/>
      <c r="AB183" s="56" t="n"/>
    </row>
    <row r="184" ht="16.5" customHeight="1" s="331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  <c r="R184" s="44" t="n"/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</row>
    <row r="185" ht="16.5" customHeight="1" s="331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  <c r="R185" s="56" t="n"/>
      <c r="S185" s="56" t="n"/>
      <c r="T185" s="56" t="n"/>
      <c r="U185" s="56" t="n"/>
      <c r="V185" s="56" t="n"/>
      <c r="W185" s="56" t="n"/>
      <c r="X185" s="56" t="n"/>
      <c r="Y185" s="56" t="n"/>
      <c r="Z185" s="56" t="n"/>
      <c r="AA185" s="56" t="n"/>
      <c r="AB185" s="56" t="n"/>
    </row>
    <row r="186" ht="16.5" customHeight="1" s="331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  <c r="R186" s="44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</row>
    <row r="187" ht="16.5" customHeight="1" s="331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  <c r="R187" s="56" t="n"/>
      <c r="S187" s="56" t="n"/>
      <c r="T187" s="56" t="n"/>
      <c r="U187" s="56" t="n"/>
      <c r="V187" s="56" t="n"/>
      <c r="W187" s="56" t="n"/>
      <c r="X187" s="56" t="n"/>
      <c r="Y187" s="56" t="n"/>
      <c r="Z187" s="56" t="n"/>
      <c r="AA187" s="56" t="n"/>
      <c r="AB187" s="56" t="n"/>
    </row>
    <row r="188" ht="16.5" customHeight="1" s="331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  <c r="R188" s="44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</row>
    <row r="189" ht="16.5" customHeight="1" s="331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  <c r="R189" s="56" t="n"/>
      <c r="S189" s="56" t="n"/>
      <c r="T189" s="56" t="n"/>
      <c r="U189" s="56" t="n"/>
      <c r="V189" s="56" t="n"/>
      <c r="W189" s="56" t="n"/>
      <c r="X189" s="56" t="n"/>
      <c r="Y189" s="56" t="n"/>
      <c r="Z189" s="56" t="n"/>
      <c r="AA189" s="56" t="n"/>
      <c r="AB189" s="56" t="n"/>
    </row>
    <row r="190" ht="16.5" customHeight="1" s="331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  <c r="R190" s="44" t="n"/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</row>
    <row r="191" ht="16.5" customHeight="1" s="331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  <c r="R191" s="56" t="n"/>
      <c r="S191" s="56" t="n"/>
      <c r="T191" s="56" t="n"/>
      <c r="U191" s="56" t="n"/>
      <c r="V191" s="56" t="n"/>
      <c r="W191" s="56" t="n"/>
      <c r="X191" s="56" t="n"/>
      <c r="Y191" s="56" t="n"/>
      <c r="Z191" s="56" t="n"/>
      <c r="AA191" s="56" t="n"/>
      <c r="AB191" s="56" t="n"/>
    </row>
    <row r="192" ht="16.5" customHeight="1" s="331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  <c r="R192" s="44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</row>
    <row r="193" ht="16.5" customHeight="1" s="331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  <c r="R193" s="56" t="n"/>
      <c r="S193" s="56" t="n"/>
      <c r="T193" s="56" t="n"/>
      <c r="U193" s="56" t="n"/>
      <c r="V193" s="56" t="n"/>
      <c r="W193" s="56" t="n"/>
      <c r="X193" s="56" t="n"/>
      <c r="Y193" s="56" t="n"/>
      <c r="Z193" s="56" t="n"/>
      <c r="AA193" s="56" t="n"/>
      <c r="AB193" s="56" t="n"/>
    </row>
    <row r="194" ht="16.5" customHeight="1" s="331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  <c r="R194" s="44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</row>
    <row r="195" ht="16.5" customHeight="1" s="331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  <c r="R195" s="56" t="n"/>
      <c r="S195" s="56" t="n"/>
      <c r="T195" s="56" t="n"/>
      <c r="U195" s="56" t="n"/>
      <c r="V195" s="56" t="n"/>
      <c r="W195" s="56" t="n"/>
      <c r="X195" s="56" t="n"/>
      <c r="Y195" s="56" t="n"/>
      <c r="Z195" s="56" t="n"/>
      <c r="AA195" s="56" t="n"/>
      <c r="AB195" s="56" t="n"/>
    </row>
    <row r="196" ht="16.5" customHeight="1" s="331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  <c r="R196" s="44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</row>
    <row r="197" ht="16.5" customHeight="1" s="331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  <c r="R197" s="56" t="n"/>
      <c r="S197" s="56" t="n"/>
      <c r="T197" s="56" t="n"/>
      <c r="U197" s="56" t="n"/>
      <c r="V197" s="56" t="n"/>
      <c r="W197" s="56" t="n"/>
      <c r="X197" s="56" t="n"/>
      <c r="Y197" s="56" t="n"/>
      <c r="Z197" s="56" t="n"/>
      <c r="AA197" s="56" t="n"/>
      <c r="AB197" s="56" t="n"/>
    </row>
    <row r="198" ht="16.5" customHeight="1" s="331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  <c r="R198" s="44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</row>
    <row r="199" ht="16.5" customHeight="1" s="331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  <c r="R199" s="56" t="n"/>
      <c r="S199" s="56" t="n"/>
      <c r="T199" s="56" t="n"/>
      <c r="U199" s="56" t="n"/>
      <c r="V199" s="56" t="n"/>
      <c r="W199" s="56" t="n"/>
      <c r="X199" s="56" t="n"/>
      <c r="Y199" s="56" t="n"/>
      <c r="Z199" s="56" t="n"/>
      <c r="AA199" s="56" t="n"/>
      <c r="AB199" s="56" t="n"/>
    </row>
    <row r="200" ht="16.5" customHeight="1" s="331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  <c r="R200" s="44" t="n"/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</row>
    <row r="201" ht="16.5" customHeight="1" s="331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  <c r="R201" s="56" t="n"/>
      <c r="S201" s="56" t="n"/>
      <c r="T201" s="56" t="n"/>
      <c r="U201" s="56" t="n"/>
      <c r="V201" s="56" t="n"/>
      <c r="W201" s="56" t="n"/>
      <c r="X201" s="56" t="n"/>
      <c r="Y201" s="56" t="n"/>
      <c r="Z201" s="56" t="n"/>
      <c r="AA201" s="56" t="n"/>
      <c r="AB201" s="56" t="n"/>
    </row>
    <row r="202" ht="16.5" customHeight="1" s="331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  <c r="R202" s="44" t="n"/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</row>
    <row r="203" ht="16.5" customHeight="1" s="331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  <c r="R203" s="56" t="n"/>
      <c r="S203" s="56" t="n"/>
      <c r="T203" s="56" t="n"/>
      <c r="U203" s="56" t="n"/>
      <c r="V203" s="56" t="n"/>
      <c r="W203" s="56" t="n"/>
      <c r="X203" s="56" t="n"/>
      <c r="Y203" s="56" t="n"/>
      <c r="Z203" s="56" t="n"/>
      <c r="AA203" s="56" t="n"/>
      <c r="AB203" s="56" t="n"/>
    </row>
    <row r="204" ht="16.5" customHeight="1" s="331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  <c r="R204" s="44" t="n"/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</row>
    <row r="205" ht="16.5" customHeight="1" s="331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  <c r="R205" s="56" t="n"/>
      <c r="S205" s="56" t="n"/>
      <c r="T205" s="56" t="n"/>
      <c r="U205" s="56" t="n"/>
      <c r="V205" s="56" t="n"/>
      <c r="W205" s="56" t="n"/>
      <c r="X205" s="56" t="n"/>
      <c r="Y205" s="56" t="n"/>
      <c r="Z205" s="56" t="n"/>
      <c r="AA205" s="56" t="n"/>
      <c r="AB205" s="56" t="n"/>
    </row>
    <row r="206" ht="16.5" customHeight="1" s="331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  <c r="R206" s="44" t="n"/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</row>
    <row r="207" ht="16.5" customHeight="1" s="331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  <c r="R207" s="56" t="n"/>
      <c r="S207" s="56" t="n"/>
      <c r="T207" s="56" t="n"/>
      <c r="U207" s="56" t="n"/>
      <c r="V207" s="56" t="n"/>
      <c r="W207" s="56" t="n"/>
      <c r="X207" s="56" t="n"/>
      <c r="Y207" s="56" t="n"/>
      <c r="Z207" s="56" t="n"/>
      <c r="AA207" s="56" t="n"/>
      <c r="AB207" s="56" t="n"/>
    </row>
    <row r="208" ht="16.5" customHeight="1" s="331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  <c r="R208" s="44" t="n"/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</row>
    <row r="209" ht="16.5" customHeight="1" s="331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  <c r="R209" s="56" t="n"/>
      <c r="S209" s="56" t="n"/>
      <c r="T209" s="56" t="n"/>
      <c r="U209" s="56" t="n"/>
      <c r="V209" s="56" t="n"/>
      <c r="W209" s="56" t="n"/>
      <c r="X209" s="56" t="n"/>
      <c r="Y209" s="56" t="n"/>
      <c r="Z209" s="56" t="n"/>
      <c r="AA209" s="56" t="n"/>
      <c r="AB209" s="56" t="n"/>
    </row>
    <row r="210" ht="16.5" customHeight="1" s="331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  <c r="R210" s="44" t="n"/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</row>
    <row r="211" ht="16.5" customHeight="1" s="331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  <c r="R211" s="56" t="n"/>
      <c r="S211" s="56" t="n"/>
      <c r="T211" s="56" t="n"/>
      <c r="U211" s="56" t="n"/>
      <c r="V211" s="56" t="n"/>
      <c r="W211" s="56" t="n"/>
      <c r="X211" s="56" t="n"/>
      <c r="Y211" s="56" t="n"/>
      <c r="Z211" s="56" t="n"/>
      <c r="AA211" s="56" t="n"/>
      <c r="AB211" s="56" t="n"/>
    </row>
    <row r="212" ht="16.5" customHeight="1" s="331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  <c r="R212" s="44" t="n"/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</row>
    <row r="213" ht="16.5" customHeight="1" s="331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  <c r="R213" s="56" t="n"/>
      <c r="S213" s="56" t="n"/>
      <c r="T213" s="56" t="n"/>
      <c r="U213" s="56" t="n"/>
      <c r="V213" s="56" t="n"/>
      <c r="W213" s="56" t="n"/>
      <c r="X213" s="56" t="n"/>
      <c r="Y213" s="56" t="n"/>
      <c r="Z213" s="56" t="n"/>
      <c r="AA213" s="56" t="n"/>
      <c r="AB213" s="56" t="n"/>
    </row>
    <row r="214" ht="16.5" customHeight="1" s="331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  <c r="R214" s="44" t="n"/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</row>
    <row r="215" ht="16.5" customHeight="1" s="331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  <c r="R215" s="56" t="n"/>
      <c r="S215" s="56" t="n"/>
      <c r="T215" s="56" t="n"/>
      <c r="U215" s="56" t="n"/>
      <c r="V215" s="56" t="n"/>
      <c r="W215" s="56" t="n"/>
      <c r="X215" s="56" t="n"/>
      <c r="Y215" s="56" t="n"/>
      <c r="Z215" s="56" t="n"/>
      <c r="AA215" s="56" t="n"/>
      <c r="AB215" s="56" t="n"/>
    </row>
    <row r="216" ht="16.5" customHeight="1" s="331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  <c r="R216" s="44" t="n"/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</row>
    <row r="217" ht="16.5" customHeight="1" s="331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  <c r="R217" s="56" t="n"/>
      <c r="S217" s="56" t="n"/>
      <c r="T217" s="56" t="n"/>
      <c r="U217" s="56" t="n"/>
      <c r="V217" s="56" t="n"/>
      <c r="W217" s="56" t="n"/>
      <c r="X217" s="56" t="n"/>
      <c r="Y217" s="56" t="n"/>
      <c r="Z217" s="56" t="n"/>
      <c r="AA217" s="56" t="n"/>
      <c r="AB217" s="56" t="n"/>
    </row>
    <row r="218" ht="16.5" customHeight="1" s="331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  <c r="R218" s="44" t="n"/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</row>
    <row r="219" ht="16.5" customHeight="1" s="331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  <c r="R219" s="56" t="n"/>
      <c r="S219" s="56" t="n"/>
      <c r="T219" s="56" t="n"/>
      <c r="U219" s="56" t="n"/>
      <c r="V219" s="56" t="n"/>
      <c r="W219" s="56" t="n"/>
      <c r="X219" s="56" t="n"/>
      <c r="Y219" s="56" t="n"/>
      <c r="Z219" s="56" t="n"/>
      <c r="AA219" s="56" t="n"/>
      <c r="AB219" s="56" t="n"/>
    </row>
    <row r="220" ht="16.5" customHeight="1" s="331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</row>
    <row r="221" ht="16.5" customHeight="1" s="331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  <c r="R221" s="56" t="n"/>
      <c r="S221" s="56" t="n"/>
      <c r="T221" s="56" t="n"/>
      <c r="U221" s="56" t="n"/>
      <c r="V221" s="56" t="n"/>
      <c r="W221" s="56" t="n"/>
      <c r="X221" s="56" t="n"/>
      <c r="Y221" s="56" t="n"/>
      <c r="Z221" s="56" t="n"/>
      <c r="AA221" s="56" t="n"/>
      <c r="AB221" s="56" t="n"/>
    </row>
    <row r="222" ht="16.5" customHeight="1" s="331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</row>
    <row r="223" ht="16.5" customHeight="1" s="331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  <c r="R223" s="56" t="n"/>
      <c r="S223" s="56" t="n"/>
      <c r="T223" s="56" t="n"/>
      <c r="U223" s="56" t="n"/>
      <c r="V223" s="56" t="n"/>
      <c r="W223" s="56" t="n"/>
      <c r="X223" s="56" t="n"/>
      <c r="Y223" s="56" t="n"/>
      <c r="Z223" s="56" t="n"/>
      <c r="AA223" s="56" t="n"/>
      <c r="AB223" s="56" t="n"/>
    </row>
    <row r="224" ht="16.5" customHeight="1" s="331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</row>
    <row r="225" ht="16.5" customHeight="1" s="331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  <c r="R225" s="56" t="n"/>
      <c r="S225" s="56" t="n"/>
      <c r="T225" s="56" t="n"/>
      <c r="U225" s="56" t="n"/>
      <c r="V225" s="56" t="n"/>
      <c r="W225" s="56" t="n"/>
      <c r="X225" s="56" t="n"/>
      <c r="Y225" s="56" t="n"/>
      <c r="Z225" s="56" t="n"/>
      <c r="AA225" s="56" t="n"/>
      <c r="AB225" s="56" t="n"/>
    </row>
    <row r="226" ht="16.5" customHeight="1" s="331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</row>
    <row r="227" ht="16.5" customHeight="1" s="331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  <c r="R227" s="56" t="n"/>
      <c r="S227" s="56" t="n"/>
      <c r="T227" s="56" t="n"/>
      <c r="U227" s="56" t="n"/>
      <c r="V227" s="56" t="n"/>
      <c r="W227" s="56" t="n"/>
      <c r="X227" s="56" t="n"/>
      <c r="Y227" s="56" t="n"/>
      <c r="Z227" s="56" t="n"/>
      <c r="AA227" s="56" t="n"/>
      <c r="AB227" s="56" t="n"/>
    </row>
    <row r="228" ht="16.5" customHeight="1" s="331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</row>
    <row r="229" ht="16.5" customHeight="1" s="331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  <c r="R229" s="56" t="n"/>
      <c r="S229" s="56" t="n"/>
      <c r="T229" s="56" t="n"/>
      <c r="U229" s="56" t="n"/>
      <c r="V229" s="56" t="n"/>
      <c r="W229" s="56" t="n"/>
      <c r="X229" s="56" t="n"/>
      <c r="Y229" s="56" t="n"/>
      <c r="Z229" s="56" t="n"/>
      <c r="AA229" s="56" t="n"/>
      <c r="AB229" s="56" t="n"/>
    </row>
    <row r="230" ht="16.5" customHeight="1" s="331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B230" s="44" t="n"/>
    </row>
    <row r="231" ht="16.5" customHeight="1" s="331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  <c r="R231" s="56" t="n"/>
      <c r="S231" s="56" t="n"/>
      <c r="T231" s="56" t="n"/>
      <c r="U231" s="56" t="n"/>
      <c r="V231" s="56" t="n"/>
      <c r="W231" s="56" t="n"/>
      <c r="X231" s="56" t="n"/>
      <c r="Y231" s="56" t="n"/>
      <c r="Z231" s="56" t="n"/>
      <c r="AA231" s="56" t="n"/>
      <c r="AB231" s="56" t="n"/>
    </row>
    <row r="232" ht="16.5" customHeight="1" s="331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B232" s="44" t="n"/>
    </row>
    <row r="233" ht="16.5" customHeight="1" s="331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  <c r="R233" s="56" t="n"/>
      <c r="S233" s="56" t="n"/>
      <c r="T233" s="56" t="n"/>
      <c r="U233" s="56" t="n"/>
      <c r="V233" s="56" t="n"/>
      <c r="W233" s="56" t="n"/>
      <c r="X233" s="56" t="n"/>
      <c r="Y233" s="56" t="n"/>
      <c r="Z233" s="56" t="n"/>
      <c r="AA233" s="56" t="n"/>
      <c r="AB233" s="56" t="n"/>
    </row>
    <row r="234" ht="16.5" customHeight="1" s="331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B234" s="44" t="n"/>
    </row>
    <row r="235" ht="16.5" customHeight="1" s="331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  <c r="R235" s="56" t="n"/>
      <c r="S235" s="56" t="n"/>
      <c r="T235" s="56" t="n"/>
      <c r="U235" s="56" t="n"/>
      <c r="V235" s="56" t="n"/>
      <c r="W235" s="56" t="n"/>
      <c r="X235" s="56" t="n"/>
      <c r="Y235" s="56" t="n"/>
      <c r="Z235" s="56" t="n"/>
      <c r="AA235" s="56" t="n"/>
      <c r="AB235" s="56" t="n"/>
    </row>
    <row r="236" ht="16.5" customHeight="1" s="331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B236" s="44" t="n"/>
    </row>
    <row r="237" ht="16.5" customHeight="1" s="331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  <c r="R237" s="56" t="n"/>
      <c r="S237" s="56" t="n"/>
      <c r="T237" s="56" t="n"/>
      <c r="U237" s="56" t="n"/>
      <c r="V237" s="56" t="n"/>
      <c r="W237" s="56" t="n"/>
      <c r="X237" s="56" t="n"/>
      <c r="Y237" s="56" t="n"/>
      <c r="Z237" s="56" t="n"/>
      <c r="AA237" s="56" t="n"/>
      <c r="AB237" s="56" t="n"/>
    </row>
    <row r="238" ht="16.5" customHeight="1" s="331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B238" s="44" t="n"/>
    </row>
    <row r="239" ht="16.5" customHeight="1" s="331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  <c r="R239" s="56" t="n"/>
      <c r="S239" s="56" t="n"/>
      <c r="T239" s="56" t="n"/>
      <c r="U239" s="56" t="n"/>
      <c r="V239" s="56" t="n"/>
      <c r="W239" s="56" t="n"/>
      <c r="X239" s="56" t="n"/>
      <c r="Y239" s="56" t="n"/>
      <c r="Z239" s="56" t="n"/>
      <c r="AA239" s="56" t="n"/>
      <c r="AB239" s="56" t="n"/>
    </row>
    <row r="240" ht="16.5" customHeight="1" s="331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B240" s="44" t="n"/>
    </row>
    <row r="241" ht="16.5" customHeight="1" s="331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  <c r="R241" s="56" t="n"/>
      <c r="S241" s="56" t="n"/>
      <c r="T241" s="56" t="n"/>
      <c r="U241" s="56" t="n"/>
      <c r="V241" s="56" t="n"/>
      <c r="W241" s="56" t="n"/>
      <c r="X241" s="56" t="n"/>
      <c r="Y241" s="56" t="n"/>
      <c r="Z241" s="56" t="n"/>
      <c r="AA241" s="56" t="n"/>
      <c r="AB241" s="56" t="n"/>
    </row>
    <row r="242" ht="16.5" customHeight="1" s="331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B242" s="44" t="n"/>
    </row>
    <row r="243" ht="16.5" customHeight="1" s="331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  <c r="R243" s="56" t="n"/>
      <c r="S243" s="56" t="n"/>
      <c r="T243" s="56" t="n"/>
      <c r="U243" s="56" t="n"/>
      <c r="V243" s="56" t="n"/>
      <c r="W243" s="56" t="n"/>
      <c r="X243" s="56" t="n"/>
      <c r="Y243" s="56" t="n"/>
      <c r="Z243" s="56" t="n"/>
      <c r="AA243" s="56" t="n"/>
      <c r="AB243" s="56" t="n"/>
    </row>
    <row r="244" ht="16.5" customHeight="1" s="331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B244" s="44" t="n"/>
    </row>
    <row r="245" ht="16.5" customHeight="1" s="331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  <c r="R245" s="56" t="n"/>
      <c r="S245" s="56" t="n"/>
      <c r="T245" s="56" t="n"/>
      <c r="U245" s="56" t="n"/>
      <c r="V245" s="56" t="n"/>
      <c r="W245" s="56" t="n"/>
      <c r="X245" s="56" t="n"/>
      <c r="Y245" s="56" t="n"/>
      <c r="Z245" s="56" t="n"/>
      <c r="AA245" s="56" t="n"/>
      <c r="AB245" s="56" t="n"/>
    </row>
    <row r="246" ht="16.5" customHeight="1" s="331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B246" s="44" t="n"/>
    </row>
    <row r="247" ht="16.5" customHeight="1" s="331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  <c r="R247" s="56" t="n"/>
      <c r="S247" s="56" t="n"/>
      <c r="T247" s="56" t="n"/>
      <c r="U247" s="56" t="n"/>
      <c r="V247" s="56" t="n"/>
      <c r="W247" s="56" t="n"/>
      <c r="X247" s="56" t="n"/>
      <c r="Y247" s="56" t="n"/>
      <c r="Z247" s="56" t="n"/>
      <c r="AA247" s="56" t="n"/>
      <c r="AB247" s="56" t="n"/>
    </row>
    <row r="248" ht="16.5" customHeight="1" s="331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B248" s="44" t="n"/>
    </row>
    <row r="249" ht="16.5" customHeight="1" s="331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  <c r="R249" s="56" t="n"/>
      <c r="S249" s="56" t="n"/>
      <c r="T249" s="56" t="n"/>
      <c r="U249" s="56" t="n"/>
      <c r="V249" s="56" t="n"/>
      <c r="W249" s="56" t="n"/>
      <c r="X249" s="56" t="n"/>
      <c r="Y249" s="56" t="n"/>
      <c r="Z249" s="56" t="n"/>
      <c r="AA249" s="56" t="n"/>
      <c r="AB249" s="56" t="n"/>
    </row>
    <row r="250" ht="16.5" customHeight="1" s="331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B250" s="44" t="n"/>
    </row>
    <row r="251" ht="16.5" customHeight="1" s="331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  <c r="R251" s="56" t="n"/>
      <c r="S251" s="56" t="n"/>
      <c r="T251" s="56" t="n"/>
      <c r="U251" s="56" t="n"/>
      <c r="V251" s="56" t="n"/>
      <c r="W251" s="56" t="n"/>
      <c r="X251" s="56" t="n"/>
      <c r="Y251" s="56" t="n"/>
      <c r="Z251" s="56" t="n"/>
      <c r="AA251" s="56" t="n"/>
      <c r="AB251" s="56" t="n"/>
    </row>
    <row r="252" ht="16.5" customHeight="1" s="331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B252" s="44" t="n"/>
    </row>
    <row r="253" ht="16.5" customHeight="1" s="331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  <c r="R253" s="56" t="n"/>
      <c r="S253" s="56" t="n"/>
      <c r="T253" s="56" t="n"/>
      <c r="U253" s="56" t="n"/>
      <c r="V253" s="56" t="n"/>
      <c r="W253" s="56" t="n"/>
      <c r="X253" s="56" t="n"/>
      <c r="Y253" s="56" t="n"/>
      <c r="Z253" s="56" t="n"/>
      <c r="AA253" s="56" t="n"/>
      <c r="AB253" s="56" t="n"/>
    </row>
    <row r="254" ht="16.5" customHeight="1" s="331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B254" s="44" t="n"/>
    </row>
    <row r="255" ht="16.5" customHeight="1" s="331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  <c r="R255" s="56" t="n"/>
      <c r="S255" s="56" t="n"/>
      <c r="T255" s="56" t="n"/>
      <c r="U255" s="56" t="n"/>
      <c r="V255" s="56" t="n"/>
      <c r="W255" s="56" t="n"/>
      <c r="X255" s="56" t="n"/>
      <c r="Y255" s="56" t="n"/>
      <c r="Z255" s="56" t="n"/>
      <c r="AA255" s="56" t="n"/>
      <c r="AB255" s="56" t="n"/>
    </row>
    <row r="256" ht="16.5" customHeight="1" s="331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B256" s="44" t="n"/>
    </row>
    <row r="257" ht="16.5" customHeight="1" s="331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  <c r="R257" s="56" t="n"/>
      <c r="S257" s="56" t="n"/>
      <c r="T257" s="56" t="n"/>
      <c r="U257" s="56" t="n"/>
      <c r="V257" s="56" t="n"/>
      <c r="W257" s="56" t="n"/>
      <c r="X257" s="56" t="n"/>
      <c r="Y257" s="56" t="n"/>
      <c r="Z257" s="56" t="n"/>
      <c r="AA257" s="56" t="n"/>
      <c r="AB257" s="56" t="n"/>
    </row>
    <row r="258" ht="16.5" customHeight="1" s="331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B258" s="44" t="n"/>
    </row>
    <row r="259" ht="16.5" customHeight="1" s="331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  <c r="R259" s="56" t="n"/>
      <c r="S259" s="56" t="n"/>
      <c r="T259" s="56" t="n"/>
      <c r="U259" s="56" t="n"/>
      <c r="V259" s="56" t="n"/>
      <c r="W259" s="56" t="n"/>
      <c r="X259" s="56" t="n"/>
      <c r="Y259" s="56" t="n"/>
      <c r="Z259" s="56" t="n"/>
      <c r="AA259" s="56" t="n"/>
      <c r="AB259" s="56" t="n"/>
    </row>
    <row r="260" ht="16.5" customHeight="1" s="331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B260" s="44" t="n"/>
    </row>
    <row r="261" ht="16.5" customHeight="1" s="331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  <c r="R261" s="56" t="n"/>
      <c r="S261" s="56" t="n"/>
      <c r="T261" s="56" t="n"/>
      <c r="U261" s="56" t="n"/>
      <c r="V261" s="56" t="n"/>
      <c r="W261" s="56" t="n"/>
      <c r="X261" s="56" t="n"/>
      <c r="Y261" s="56" t="n"/>
      <c r="Z261" s="56" t="n"/>
      <c r="AA261" s="56" t="n"/>
      <c r="AB261" s="56" t="n"/>
    </row>
    <row r="262" ht="16.5" customHeight="1" s="331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B262" s="44" t="n"/>
    </row>
    <row r="263" ht="16.5" customHeight="1" s="331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  <c r="R263" s="56" t="n"/>
      <c r="S263" s="56" t="n"/>
      <c r="T263" s="56" t="n"/>
      <c r="U263" s="56" t="n"/>
      <c r="V263" s="56" t="n"/>
      <c r="W263" s="56" t="n"/>
      <c r="X263" s="56" t="n"/>
      <c r="Y263" s="56" t="n"/>
      <c r="Z263" s="56" t="n"/>
      <c r="AA263" s="56" t="n"/>
      <c r="AB263" s="56" t="n"/>
    </row>
    <row r="264" ht="16.5" customHeight="1" s="331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B264" s="44" t="n"/>
    </row>
    <row r="265" ht="16.5" customHeight="1" s="331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  <c r="R265" s="56" t="n"/>
      <c r="S265" s="56" t="n"/>
      <c r="T265" s="56" t="n"/>
      <c r="U265" s="56" t="n"/>
      <c r="V265" s="56" t="n"/>
      <c r="W265" s="56" t="n"/>
      <c r="X265" s="56" t="n"/>
      <c r="Y265" s="56" t="n"/>
      <c r="Z265" s="56" t="n"/>
      <c r="AA265" s="56" t="n"/>
      <c r="AB265" s="56" t="n"/>
    </row>
    <row r="266" ht="16.5" customHeight="1" s="331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B266" s="44" t="n"/>
    </row>
    <row r="267" ht="16.5" customHeight="1" s="331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  <c r="R267" s="56" t="n"/>
      <c r="S267" s="56" t="n"/>
      <c r="T267" s="56" t="n"/>
      <c r="U267" s="56" t="n"/>
      <c r="V267" s="56" t="n"/>
      <c r="W267" s="56" t="n"/>
      <c r="X267" s="56" t="n"/>
      <c r="Y267" s="56" t="n"/>
      <c r="Z267" s="56" t="n"/>
      <c r="AA267" s="56" t="n"/>
      <c r="AB267" s="56" t="n"/>
    </row>
    <row r="268" ht="16.5" customHeight="1" s="331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  <c r="R268" s="44" t="n"/>
      <c r="S268" s="44" t="n"/>
      <c r="T268" s="44" t="n"/>
      <c r="U268" s="44" t="n"/>
      <c r="V268" s="44" t="n"/>
      <c r="W268" s="44" t="n"/>
      <c r="X268" s="44" t="n"/>
      <c r="Y268" s="44" t="n"/>
      <c r="Z268" s="44" t="n"/>
      <c r="AA268" s="44" t="n"/>
      <c r="AB268" s="44" t="n"/>
    </row>
    <row r="269" ht="16.5" customHeight="1" s="331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  <c r="R269" s="56" t="n"/>
      <c r="S269" s="56" t="n"/>
      <c r="T269" s="56" t="n"/>
      <c r="U269" s="56" t="n"/>
      <c r="V269" s="56" t="n"/>
      <c r="W269" s="56" t="n"/>
      <c r="X269" s="56" t="n"/>
      <c r="Y269" s="56" t="n"/>
      <c r="Z269" s="56" t="n"/>
      <c r="AA269" s="56" t="n"/>
      <c r="AB269" s="56" t="n"/>
    </row>
    <row r="270" ht="16.5" customHeight="1" s="331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  <c r="R270" s="44" t="n"/>
      <c r="S270" s="44" t="n"/>
      <c r="T270" s="44" t="n"/>
      <c r="U270" s="44" t="n"/>
      <c r="V270" s="44" t="n"/>
      <c r="W270" s="44" t="n"/>
      <c r="X270" s="44" t="n"/>
      <c r="Y270" s="44" t="n"/>
      <c r="Z270" s="44" t="n"/>
      <c r="AA270" s="44" t="n"/>
      <c r="AB270" s="44" t="n"/>
    </row>
    <row r="271" ht="16.5" customHeight="1" s="331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  <c r="R271" s="56" t="n"/>
      <c r="S271" s="56" t="n"/>
      <c r="T271" s="56" t="n"/>
      <c r="U271" s="56" t="n"/>
      <c r="V271" s="56" t="n"/>
      <c r="W271" s="56" t="n"/>
      <c r="X271" s="56" t="n"/>
      <c r="Y271" s="56" t="n"/>
      <c r="Z271" s="56" t="n"/>
      <c r="AA271" s="56" t="n"/>
      <c r="AB271" s="56" t="n"/>
    </row>
    <row r="272" ht="16.5" customHeight="1" s="331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  <c r="R272" s="44" t="n"/>
      <c r="S272" s="44" t="n"/>
      <c r="T272" s="44" t="n"/>
      <c r="U272" s="44" t="n"/>
      <c r="V272" s="44" t="n"/>
      <c r="W272" s="44" t="n"/>
      <c r="X272" s="44" t="n"/>
      <c r="Y272" s="44" t="n"/>
      <c r="Z272" s="44" t="n"/>
      <c r="AA272" s="44" t="n"/>
      <c r="AB272" s="44" t="n"/>
    </row>
    <row r="273" ht="16.5" customHeight="1" s="331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  <c r="R273" s="56" t="n"/>
      <c r="S273" s="56" t="n"/>
      <c r="T273" s="56" t="n"/>
      <c r="U273" s="56" t="n"/>
      <c r="V273" s="56" t="n"/>
      <c r="W273" s="56" t="n"/>
      <c r="X273" s="56" t="n"/>
      <c r="Y273" s="56" t="n"/>
      <c r="Z273" s="56" t="n"/>
      <c r="AA273" s="56" t="n"/>
      <c r="AB273" s="56" t="n"/>
    </row>
    <row r="274" ht="16.5" customHeight="1" s="331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  <c r="R274" s="44" t="n"/>
      <c r="S274" s="44" t="n"/>
      <c r="T274" s="44" t="n"/>
      <c r="U274" s="44" t="n"/>
      <c r="V274" s="44" t="n"/>
      <c r="W274" s="44" t="n"/>
      <c r="X274" s="44" t="n"/>
      <c r="Y274" s="44" t="n"/>
      <c r="Z274" s="44" t="n"/>
      <c r="AA274" s="44" t="n"/>
      <c r="AB274" s="44" t="n"/>
    </row>
    <row r="275" ht="16.5" customHeight="1" s="331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  <c r="R275" s="56" t="n"/>
      <c r="S275" s="56" t="n"/>
      <c r="T275" s="56" t="n"/>
      <c r="U275" s="56" t="n"/>
      <c r="V275" s="56" t="n"/>
      <c r="W275" s="56" t="n"/>
      <c r="X275" s="56" t="n"/>
      <c r="Y275" s="56" t="n"/>
      <c r="Z275" s="56" t="n"/>
      <c r="AA275" s="56" t="n"/>
      <c r="AB275" s="56" t="n"/>
    </row>
    <row r="276" ht="16.5" customHeight="1" s="331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  <c r="R276" s="44" t="n"/>
      <c r="S276" s="44" t="n"/>
      <c r="T276" s="44" t="n"/>
      <c r="U276" s="44" t="n"/>
      <c r="V276" s="44" t="n"/>
      <c r="W276" s="44" t="n"/>
      <c r="X276" s="44" t="n"/>
      <c r="Y276" s="44" t="n"/>
      <c r="Z276" s="44" t="n"/>
      <c r="AA276" s="44" t="n"/>
      <c r="AB276" s="44" t="n"/>
    </row>
    <row r="277" ht="16.5" customHeight="1" s="331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  <c r="R277" s="56" t="n"/>
      <c r="S277" s="56" t="n"/>
      <c r="T277" s="56" t="n"/>
      <c r="U277" s="56" t="n"/>
      <c r="V277" s="56" t="n"/>
      <c r="W277" s="56" t="n"/>
      <c r="X277" s="56" t="n"/>
      <c r="Y277" s="56" t="n"/>
      <c r="Z277" s="56" t="n"/>
      <c r="AA277" s="56" t="n"/>
      <c r="AB277" s="56" t="n"/>
    </row>
    <row r="278" ht="16.5" customHeight="1" s="331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  <c r="R278" s="44" t="n"/>
      <c r="S278" s="44" t="n"/>
      <c r="T278" s="44" t="n"/>
      <c r="U278" s="44" t="n"/>
      <c r="V278" s="44" t="n"/>
      <c r="W278" s="44" t="n"/>
      <c r="X278" s="44" t="n"/>
      <c r="Y278" s="44" t="n"/>
      <c r="Z278" s="44" t="n"/>
      <c r="AA278" s="44" t="n"/>
      <c r="AB278" s="44" t="n"/>
    </row>
    <row r="279" ht="16.5" customHeight="1" s="331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  <c r="R279" s="56" t="n"/>
      <c r="S279" s="56" t="n"/>
      <c r="T279" s="56" t="n"/>
      <c r="U279" s="56" t="n"/>
      <c r="V279" s="56" t="n"/>
      <c r="W279" s="56" t="n"/>
      <c r="X279" s="56" t="n"/>
      <c r="Y279" s="56" t="n"/>
      <c r="Z279" s="56" t="n"/>
      <c r="AA279" s="56" t="n"/>
      <c r="AB279" s="56" t="n"/>
    </row>
    <row r="280" ht="16.5" customHeight="1" s="331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  <c r="R280" s="44" t="n"/>
      <c r="S280" s="44" t="n"/>
      <c r="T280" s="44" t="n"/>
      <c r="U280" s="44" t="n"/>
      <c r="V280" s="44" t="n"/>
      <c r="W280" s="44" t="n"/>
      <c r="X280" s="44" t="n"/>
      <c r="Y280" s="44" t="n"/>
      <c r="Z280" s="44" t="n"/>
      <c r="AA280" s="44" t="n"/>
      <c r="AB280" s="44" t="n"/>
    </row>
    <row r="281" ht="16.5" customHeight="1" s="331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  <c r="R281" s="56" t="n"/>
      <c r="S281" s="56" t="n"/>
      <c r="T281" s="56" t="n"/>
      <c r="U281" s="56" t="n"/>
      <c r="V281" s="56" t="n"/>
      <c r="W281" s="56" t="n"/>
      <c r="X281" s="56" t="n"/>
      <c r="Y281" s="56" t="n"/>
      <c r="Z281" s="56" t="n"/>
      <c r="AA281" s="56" t="n"/>
      <c r="AB281" s="56" t="n"/>
    </row>
    <row r="282" ht="16.5" customHeight="1" s="331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  <c r="R282" s="44" t="n"/>
      <c r="S282" s="44" t="n"/>
      <c r="T282" s="44" t="n"/>
      <c r="U282" s="44" t="n"/>
      <c r="V282" s="44" t="n"/>
      <c r="W282" s="44" t="n"/>
      <c r="X282" s="44" t="n"/>
      <c r="Y282" s="44" t="n"/>
      <c r="Z282" s="44" t="n"/>
      <c r="AA282" s="44" t="n"/>
      <c r="AB282" s="44" t="n"/>
    </row>
    <row r="283" ht="16.5" customHeight="1" s="331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  <c r="R283" s="56" t="n"/>
      <c r="S283" s="56" t="n"/>
      <c r="T283" s="56" t="n"/>
      <c r="U283" s="56" t="n"/>
      <c r="V283" s="56" t="n"/>
      <c r="W283" s="56" t="n"/>
      <c r="X283" s="56" t="n"/>
      <c r="Y283" s="56" t="n"/>
      <c r="Z283" s="56" t="n"/>
      <c r="AA283" s="56" t="n"/>
      <c r="AB283" s="56" t="n"/>
    </row>
    <row r="284" ht="16.5" customHeight="1" s="331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  <c r="R284" s="44" t="n"/>
      <c r="S284" s="44" t="n"/>
      <c r="T284" s="44" t="n"/>
      <c r="U284" s="44" t="n"/>
      <c r="V284" s="44" t="n"/>
      <c r="W284" s="44" t="n"/>
      <c r="X284" s="44" t="n"/>
      <c r="Y284" s="44" t="n"/>
      <c r="Z284" s="44" t="n"/>
      <c r="AA284" s="44" t="n"/>
      <c r="AB284" s="44" t="n"/>
    </row>
    <row r="285" ht="16.5" customHeight="1" s="331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  <c r="R285" s="56" t="n"/>
      <c r="S285" s="56" t="n"/>
      <c r="T285" s="56" t="n"/>
      <c r="U285" s="56" t="n"/>
      <c r="V285" s="56" t="n"/>
      <c r="W285" s="56" t="n"/>
      <c r="X285" s="56" t="n"/>
      <c r="Y285" s="56" t="n"/>
      <c r="Z285" s="56" t="n"/>
      <c r="AA285" s="56" t="n"/>
      <c r="AB285" s="56" t="n"/>
    </row>
    <row r="286" ht="16.5" customHeight="1" s="331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  <c r="R286" s="44" t="n"/>
      <c r="S286" s="44" t="n"/>
      <c r="T286" s="44" t="n"/>
      <c r="U286" s="44" t="n"/>
      <c r="V286" s="44" t="n"/>
      <c r="W286" s="44" t="n"/>
      <c r="X286" s="44" t="n"/>
      <c r="Y286" s="44" t="n"/>
      <c r="Z286" s="44" t="n"/>
      <c r="AA286" s="44" t="n"/>
      <c r="AB286" s="44" t="n"/>
    </row>
    <row r="287" ht="16.5" customHeight="1" s="331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  <c r="R287" s="56" t="n"/>
      <c r="S287" s="56" t="n"/>
      <c r="T287" s="56" t="n"/>
      <c r="U287" s="56" t="n"/>
      <c r="V287" s="56" t="n"/>
      <c r="W287" s="56" t="n"/>
      <c r="X287" s="56" t="n"/>
      <c r="Y287" s="56" t="n"/>
      <c r="Z287" s="56" t="n"/>
      <c r="AA287" s="56" t="n"/>
      <c r="AB287" s="56" t="n"/>
    </row>
    <row r="288" ht="16.5" customHeight="1" s="331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  <c r="R288" s="44" t="n"/>
      <c r="S288" s="44" t="n"/>
      <c r="T288" s="44" t="n"/>
      <c r="U288" s="44" t="n"/>
      <c r="V288" s="44" t="n"/>
      <c r="W288" s="44" t="n"/>
      <c r="X288" s="44" t="n"/>
      <c r="Y288" s="44" t="n"/>
      <c r="Z288" s="44" t="n"/>
      <c r="AA288" s="44" t="n"/>
      <c r="AB288" s="44" t="n"/>
    </row>
    <row r="289" ht="16.5" customHeight="1" s="331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  <c r="R289" s="56" t="n"/>
      <c r="S289" s="56" t="n"/>
      <c r="T289" s="56" t="n"/>
      <c r="U289" s="56" t="n"/>
      <c r="V289" s="56" t="n"/>
      <c r="W289" s="56" t="n"/>
      <c r="X289" s="56" t="n"/>
      <c r="Y289" s="56" t="n"/>
      <c r="Z289" s="56" t="n"/>
      <c r="AA289" s="56" t="n"/>
      <c r="AB289" s="56" t="n"/>
    </row>
    <row r="290" ht="16.5" customHeight="1" s="331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  <c r="R290" s="44" t="n"/>
      <c r="S290" s="44" t="n"/>
      <c r="T290" s="44" t="n"/>
      <c r="U290" s="44" t="n"/>
      <c r="V290" s="44" t="n"/>
      <c r="W290" s="44" t="n"/>
      <c r="X290" s="44" t="n"/>
      <c r="Y290" s="44" t="n"/>
      <c r="Z290" s="44" t="n"/>
      <c r="AA290" s="44" t="n"/>
      <c r="AB290" s="44" t="n"/>
    </row>
    <row r="291" ht="16.5" customHeight="1" s="331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  <c r="R291" s="56" t="n"/>
      <c r="S291" s="56" t="n"/>
      <c r="T291" s="56" t="n"/>
      <c r="U291" s="56" t="n"/>
      <c r="V291" s="56" t="n"/>
      <c r="W291" s="56" t="n"/>
      <c r="X291" s="56" t="n"/>
      <c r="Y291" s="56" t="n"/>
      <c r="Z291" s="56" t="n"/>
      <c r="AA291" s="56" t="n"/>
      <c r="AB291" s="56" t="n"/>
    </row>
    <row r="292" ht="16.5" customHeight="1" s="331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  <c r="R292" s="44" t="n"/>
      <c r="S292" s="44" t="n"/>
      <c r="T292" s="44" t="n"/>
      <c r="U292" s="44" t="n"/>
      <c r="V292" s="44" t="n"/>
      <c r="W292" s="44" t="n"/>
      <c r="X292" s="44" t="n"/>
      <c r="Y292" s="44" t="n"/>
      <c r="Z292" s="44" t="n"/>
      <c r="AA292" s="44" t="n"/>
      <c r="AB292" s="44" t="n"/>
    </row>
    <row r="293" ht="16.5" customHeight="1" s="331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  <c r="R293" s="56" t="n"/>
      <c r="S293" s="56" t="n"/>
      <c r="T293" s="56" t="n"/>
      <c r="U293" s="56" t="n"/>
      <c r="V293" s="56" t="n"/>
      <c r="W293" s="56" t="n"/>
      <c r="X293" s="56" t="n"/>
      <c r="Y293" s="56" t="n"/>
      <c r="Z293" s="56" t="n"/>
      <c r="AA293" s="56" t="n"/>
      <c r="AB293" s="56" t="n"/>
    </row>
    <row r="294" ht="16.5" customHeight="1" s="331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  <c r="R294" s="44" t="n"/>
      <c r="S294" s="44" t="n"/>
      <c r="T294" s="44" t="n"/>
      <c r="U294" s="44" t="n"/>
      <c r="V294" s="44" t="n"/>
      <c r="W294" s="44" t="n"/>
      <c r="X294" s="44" t="n"/>
      <c r="Y294" s="44" t="n"/>
      <c r="Z294" s="44" t="n"/>
      <c r="AA294" s="44" t="n"/>
      <c r="AB294" s="44" t="n"/>
    </row>
    <row r="295" ht="16.5" customHeight="1" s="331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  <c r="R295" s="56" t="n"/>
      <c r="S295" s="56" t="n"/>
      <c r="T295" s="56" t="n"/>
      <c r="U295" s="56" t="n"/>
      <c r="V295" s="56" t="n"/>
      <c r="W295" s="56" t="n"/>
      <c r="X295" s="56" t="n"/>
      <c r="Y295" s="56" t="n"/>
      <c r="Z295" s="56" t="n"/>
      <c r="AA295" s="56" t="n"/>
      <c r="AB295" s="56" t="n"/>
    </row>
    <row r="296" ht="16.5" customHeight="1" s="331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  <c r="R296" s="44" t="n"/>
      <c r="S296" s="44" t="n"/>
      <c r="T296" s="44" t="n"/>
      <c r="U296" s="44" t="n"/>
      <c r="V296" s="44" t="n"/>
      <c r="W296" s="44" t="n"/>
      <c r="X296" s="44" t="n"/>
      <c r="Y296" s="44" t="n"/>
      <c r="Z296" s="44" t="n"/>
      <c r="AA296" s="44" t="n"/>
      <c r="AB296" s="44" t="n"/>
    </row>
    <row r="297" ht="16.5" customHeight="1" s="331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  <c r="R297" s="56" t="n"/>
      <c r="S297" s="56" t="n"/>
      <c r="T297" s="56" t="n"/>
      <c r="U297" s="56" t="n"/>
      <c r="V297" s="56" t="n"/>
      <c r="W297" s="56" t="n"/>
      <c r="X297" s="56" t="n"/>
      <c r="Y297" s="56" t="n"/>
      <c r="Z297" s="56" t="n"/>
      <c r="AA297" s="56" t="n"/>
      <c r="AB297" s="56" t="n"/>
    </row>
    <row r="298" ht="16.5" customHeight="1" s="331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  <c r="R298" s="44" t="n"/>
      <c r="S298" s="44" t="n"/>
      <c r="T298" s="44" t="n"/>
      <c r="U298" s="44" t="n"/>
      <c r="V298" s="44" t="n"/>
      <c r="W298" s="44" t="n"/>
      <c r="X298" s="44" t="n"/>
      <c r="Y298" s="44" t="n"/>
      <c r="Z298" s="44" t="n"/>
      <c r="AA298" s="44" t="n"/>
      <c r="AB298" s="44" t="n"/>
    </row>
    <row r="299" ht="16.5" customHeight="1" s="331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  <c r="R299" s="56" t="n"/>
      <c r="S299" s="56" t="n"/>
      <c r="T299" s="56" t="n"/>
      <c r="U299" s="56" t="n"/>
      <c r="V299" s="56" t="n"/>
      <c r="W299" s="56" t="n"/>
      <c r="X299" s="56" t="n"/>
      <c r="Y299" s="56" t="n"/>
      <c r="Z299" s="56" t="n"/>
      <c r="AA299" s="56" t="n"/>
      <c r="AB299" s="56" t="n"/>
    </row>
    <row r="300" ht="16.5" customHeight="1" s="331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  <c r="R300" s="44" t="n"/>
      <c r="S300" s="44" t="n"/>
      <c r="T300" s="44" t="n"/>
      <c r="U300" s="44" t="n"/>
      <c r="V300" s="44" t="n"/>
      <c r="W300" s="44" t="n"/>
      <c r="X300" s="44" t="n"/>
      <c r="Y300" s="44" t="n"/>
      <c r="Z300" s="44" t="n"/>
      <c r="AA300" s="44" t="n"/>
      <c r="AB300" s="44" t="n"/>
    </row>
    <row r="301" ht="16.5" customHeight="1" s="331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  <c r="R301" s="56" t="n"/>
      <c r="S301" s="56" t="n"/>
      <c r="T301" s="56" t="n"/>
      <c r="U301" s="56" t="n"/>
      <c r="V301" s="56" t="n"/>
      <c r="W301" s="56" t="n"/>
      <c r="X301" s="56" t="n"/>
      <c r="Y301" s="56" t="n"/>
      <c r="Z301" s="56" t="n"/>
      <c r="AA301" s="56" t="n"/>
      <c r="AB301" s="56" t="n"/>
    </row>
    <row r="302" ht="16.5" customHeight="1" s="331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  <c r="R302" s="44" t="n"/>
      <c r="S302" s="44" t="n"/>
      <c r="T302" s="44" t="n"/>
      <c r="U302" s="44" t="n"/>
      <c r="V302" s="44" t="n"/>
      <c r="W302" s="44" t="n"/>
      <c r="X302" s="44" t="n"/>
      <c r="Y302" s="44" t="n"/>
      <c r="Z302" s="44" t="n"/>
      <c r="AA302" s="44" t="n"/>
      <c r="AB302" s="44" t="n"/>
    </row>
    <row r="303" ht="16.5" customHeight="1" s="331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  <c r="R303" s="56" t="n"/>
      <c r="S303" s="56" t="n"/>
      <c r="T303" s="56" t="n"/>
      <c r="U303" s="56" t="n"/>
      <c r="V303" s="56" t="n"/>
      <c r="W303" s="56" t="n"/>
      <c r="X303" s="56" t="n"/>
      <c r="Y303" s="56" t="n"/>
      <c r="Z303" s="56" t="n"/>
      <c r="AA303" s="56" t="n"/>
      <c r="AB303" s="56" t="n"/>
    </row>
    <row r="304" ht="16.5" customHeight="1" s="331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  <c r="R304" s="44" t="n"/>
      <c r="S304" s="44" t="n"/>
      <c r="T304" s="44" t="n"/>
      <c r="U304" s="44" t="n"/>
      <c r="V304" s="44" t="n"/>
      <c r="W304" s="44" t="n"/>
      <c r="X304" s="44" t="n"/>
      <c r="Y304" s="44" t="n"/>
      <c r="Z304" s="44" t="n"/>
      <c r="AA304" s="44" t="n"/>
      <c r="AB304" s="44" t="n"/>
    </row>
    <row r="305" ht="16.5" customHeight="1" s="331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  <c r="R305" s="56" t="n"/>
      <c r="S305" s="56" t="n"/>
      <c r="T305" s="56" t="n"/>
      <c r="U305" s="56" t="n"/>
      <c r="V305" s="56" t="n"/>
      <c r="W305" s="56" t="n"/>
      <c r="X305" s="56" t="n"/>
      <c r="Y305" s="56" t="n"/>
      <c r="Z305" s="56" t="n"/>
      <c r="AA305" s="56" t="n"/>
      <c r="AB305" s="56" t="n"/>
    </row>
    <row r="306" ht="16.5" customHeight="1" s="331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  <c r="R306" s="44" t="n"/>
      <c r="S306" s="44" t="n"/>
      <c r="T306" s="44" t="n"/>
      <c r="U306" s="44" t="n"/>
      <c r="V306" s="44" t="n"/>
      <c r="W306" s="44" t="n"/>
      <c r="X306" s="44" t="n"/>
      <c r="Y306" s="44" t="n"/>
      <c r="Z306" s="44" t="n"/>
      <c r="AA306" s="44" t="n"/>
      <c r="AB306" s="44" t="n"/>
    </row>
    <row r="307" ht="16.5" customHeight="1" s="331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  <c r="R307" s="56" t="n"/>
      <c r="S307" s="56" t="n"/>
      <c r="T307" s="56" t="n"/>
      <c r="U307" s="56" t="n"/>
      <c r="V307" s="56" t="n"/>
      <c r="W307" s="56" t="n"/>
      <c r="X307" s="56" t="n"/>
      <c r="Y307" s="56" t="n"/>
      <c r="Z307" s="56" t="n"/>
      <c r="AA307" s="56" t="n"/>
      <c r="AB307" s="56" t="n"/>
    </row>
    <row r="308" ht="16.5" customHeight="1" s="331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  <c r="R308" s="44" t="n"/>
      <c r="S308" s="44" t="n"/>
      <c r="T308" s="44" t="n"/>
      <c r="U308" s="44" t="n"/>
      <c r="V308" s="44" t="n"/>
      <c r="W308" s="44" t="n"/>
      <c r="X308" s="44" t="n"/>
      <c r="Y308" s="44" t="n"/>
      <c r="Z308" s="44" t="n"/>
      <c r="AA308" s="44" t="n"/>
      <c r="AB308" s="44" t="n"/>
    </row>
    <row r="309" ht="16.5" customHeight="1" s="331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  <c r="R309" s="56" t="n"/>
      <c r="S309" s="56" t="n"/>
      <c r="T309" s="56" t="n"/>
      <c r="U309" s="56" t="n"/>
      <c r="V309" s="56" t="n"/>
      <c r="W309" s="56" t="n"/>
      <c r="X309" s="56" t="n"/>
      <c r="Y309" s="56" t="n"/>
      <c r="Z309" s="56" t="n"/>
      <c r="AA309" s="56" t="n"/>
      <c r="AB309" s="56" t="n"/>
    </row>
    <row r="310" ht="16.5" customHeight="1" s="331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  <c r="R310" s="44" t="n"/>
      <c r="S310" s="44" t="n"/>
      <c r="T310" s="44" t="n"/>
      <c r="U310" s="44" t="n"/>
      <c r="V310" s="44" t="n"/>
      <c r="W310" s="44" t="n"/>
      <c r="X310" s="44" t="n"/>
      <c r="Y310" s="44" t="n"/>
      <c r="Z310" s="44" t="n"/>
      <c r="AA310" s="44" t="n"/>
      <c r="AB310" s="44" t="n"/>
    </row>
    <row r="311" ht="16.5" customHeight="1" s="331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  <c r="R311" s="56" t="n"/>
      <c r="S311" s="56" t="n"/>
      <c r="T311" s="56" t="n"/>
      <c r="U311" s="56" t="n"/>
      <c r="V311" s="56" t="n"/>
      <c r="W311" s="56" t="n"/>
      <c r="X311" s="56" t="n"/>
      <c r="Y311" s="56" t="n"/>
      <c r="Z311" s="56" t="n"/>
      <c r="AA311" s="56" t="n"/>
      <c r="AB311" s="56" t="n"/>
    </row>
    <row r="312" ht="16.5" customHeight="1" s="331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  <c r="R312" s="44" t="n"/>
      <c r="S312" s="44" t="n"/>
      <c r="T312" s="44" t="n"/>
      <c r="U312" s="44" t="n"/>
      <c r="V312" s="44" t="n"/>
      <c r="W312" s="44" t="n"/>
      <c r="X312" s="44" t="n"/>
      <c r="Y312" s="44" t="n"/>
      <c r="Z312" s="44" t="n"/>
      <c r="AA312" s="44" t="n"/>
      <c r="AB312" s="44" t="n"/>
    </row>
    <row r="313" ht="16.5" customHeight="1" s="331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  <c r="R313" s="56" t="n"/>
      <c r="S313" s="56" t="n"/>
      <c r="T313" s="56" t="n"/>
      <c r="U313" s="56" t="n"/>
      <c r="V313" s="56" t="n"/>
      <c r="W313" s="56" t="n"/>
      <c r="X313" s="56" t="n"/>
      <c r="Y313" s="56" t="n"/>
      <c r="Z313" s="56" t="n"/>
      <c r="AA313" s="56" t="n"/>
      <c r="AB313" s="56" t="n"/>
    </row>
    <row r="314" ht="16.5" customHeight="1" s="331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  <c r="R314" s="44" t="n"/>
      <c r="S314" s="44" t="n"/>
      <c r="T314" s="44" t="n"/>
      <c r="U314" s="44" t="n"/>
      <c r="V314" s="44" t="n"/>
      <c r="W314" s="44" t="n"/>
      <c r="X314" s="44" t="n"/>
      <c r="Y314" s="44" t="n"/>
      <c r="Z314" s="44" t="n"/>
      <c r="AA314" s="44" t="n"/>
      <c r="AB314" s="44" t="n"/>
    </row>
    <row r="315" ht="16.5" customHeight="1" s="331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  <c r="R315" s="56" t="n"/>
      <c r="S315" s="56" t="n"/>
      <c r="T315" s="56" t="n"/>
      <c r="U315" s="56" t="n"/>
      <c r="V315" s="56" t="n"/>
      <c r="W315" s="56" t="n"/>
      <c r="X315" s="56" t="n"/>
      <c r="Y315" s="56" t="n"/>
      <c r="Z315" s="56" t="n"/>
      <c r="AA315" s="56" t="n"/>
      <c r="AB315" s="56" t="n"/>
    </row>
    <row r="316" ht="16.5" customHeight="1" s="331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  <c r="R316" s="44" t="n"/>
      <c r="S316" s="44" t="n"/>
      <c r="T316" s="44" t="n"/>
      <c r="U316" s="44" t="n"/>
      <c r="V316" s="44" t="n"/>
      <c r="W316" s="44" t="n"/>
      <c r="X316" s="44" t="n"/>
      <c r="Y316" s="44" t="n"/>
      <c r="Z316" s="44" t="n"/>
      <c r="AA316" s="44" t="n"/>
      <c r="AB316" s="44" t="n"/>
    </row>
    <row r="317" ht="16.5" customHeight="1" s="331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  <c r="R317" s="56" t="n"/>
      <c r="S317" s="56" t="n"/>
      <c r="T317" s="56" t="n"/>
      <c r="U317" s="56" t="n"/>
      <c r="V317" s="56" t="n"/>
      <c r="W317" s="56" t="n"/>
      <c r="X317" s="56" t="n"/>
      <c r="Y317" s="56" t="n"/>
      <c r="Z317" s="56" t="n"/>
      <c r="AA317" s="56" t="n"/>
      <c r="AB317" s="56" t="n"/>
    </row>
    <row r="318" ht="16.5" customHeight="1" s="331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  <c r="R318" s="44" t="n"/>
      <c r="S318" s="44" t="n"/>
      <c r="T318" s="44" t="n"/>
      <c r="U318" s="44" t="n"/>
      <c r="V318" s="44" t="n"/>
      <c r="W318" s="44" t="n"/>
      <c r="X318" s="44" t="n"/>
      <c r="Y318" s="44" t="n"/>
      <c r="Z318" s="44" t="n"/>
      <c r="AA318" s="44" t="n"/>
      <c r="AB318" s="44" t="n"/>
    </row>
    <row r="319" ht="16.5" customHeight="1" s="331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  <c r="R319" s="56" t="n"/>
      <c r="S319" s="56" t="n"/>
      <c r="T319" s="56" t="n"/>
      <c r="U319" s="56" t="n"/>
      <c r="V319" s="56" t="n"/>
      <c r="W319" s="56" t="n"/>
      <c r="X319" s="56" t="n"/>
      <c r="Y319" s="56" t="n"/>
      <c r="Z319" s="56" t="n"/>
      <c r="AA319" s="56" t="n"/>
      <c r="AB319" s="56" t="n"/>
    </row>
    <row r="320" ht="16.5" customHeight="1" s="331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  <c r="R320" s="44" t="n"/>
      <c r="S320" s="44" t="n"/>
      <c r="T320" s="44" t="n"/>
      <c r="U320" s="44" t="n"/>
      <c r="V320" s="44" t="n"/>
      <c r="W320" s="44" t="n"/>
      <c r="X320" s="44" t="n"/>
      <c r="Y320" s="44" t="n"/>
      <c r="Z320" s="44" t="n"/>
      <c r="AA320" s="44" t="n"/>
      <c r="AB320" s="44" t="n"/>
    </row>
    <row r="321" ht="16.5" customHeight="1" s="331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  <c r="R321" s="56" t="n"/>
      <c r="S321" s="56" t="n"/>
      <c r="T321" s="56" t="n"/>
      <c r="U321" s="56" t="n"/>
      <c r="V321" s="56" t="n"/>
      <c r="W321" s="56" t="n"/>
      <c r="X321" s="56" t="n"/>
      <c r="Y321" s="56" t="n"/>
      <c r="Z321" s="56" t="n"/>
      <c r="AA321" s="56" t="n"/>
      <c r="AB321" s="56" t="n"/>
    </row>
    <row r="322" ht="16.5" customHeight="1" s="331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  <c r="R322" s="44" t="n"/>
      <c r="S322" s="44" t="n"/>
      <c r="T322" s="44" t="n"/>
      <c r="U322" s="44" t="n"/>
      <c r="V322" s="44" t="n"/>
      <c r="W322" s="44" t="n"/>
      <c r="X322" s="44" t="n"/>
      <c r="Y322" s="44" t="n"/>
      <c r="Z322" s="44" t="n"/>
      <c r="AA322" s="44" t="n"/>
      <c r="AB322" s="44" t="n"/>
    </row>
    <row r="323" ht="16.5" customHeight="1" s="331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  <c r="R323" s="56" t="n"/>
      <c r="S323" s="56" t="n"/>
      <c r="T323" s="56" t="n"/>
      <c r="U323" s="56" t="n"/>
      <c r="V323" s="56" t="n"/>
      <c r="W323" s="56" t="n"/>
      <c r="X323" s="56" t="n"/>
      <c r="Y323" s="56" t="n"/>
      <c r="Z323" s="56" t="n"/>
      <c r="AA323" s="56" t="n"/>
      <c r="AB323" s="56" t="n"/>
    </row>
    <row r="324" ht="16.5" customHeight="1" s="331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  <c r="R324" s="44" t="n"/>
      <c r="S324" s="44" t="n"/>
      <c r="T324" s="44" t="n"/>
      <c r="U324" s="44" t="n"/>
      <c r="V324" s="44" t="n"/>
      <c r="W324" s="44" t="n"/>
      <c r="X324" s="44" t="n"/>
      <c r="Y324" s="44" t="n"/>
      <c r="Z324" s="44" t="n"/>
      <c r="AA324" s="44" t="n"/>
      <c r="AB324" s="44" t="n"/>
    </row>
    <row r="325" ht="16.5" customHeight="1" s="331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  <c r="R325" s="56" t="n"/>
      <c r="S325" s="56" t="n"/>
      <c r="T325" s="56" t="n"/>
      <c r="U325" s="56" t="n"/>
      <c r="V325" s="56" t="n"/>
      <c r="W325" s="56" t="n"/>
      <c r="X325" s="56" t="n"/>
      <c r="Y325" s="56" t="n"/>
      <c r="Z325" s="56" t="n"/>
      <c r="AA325" s="56" t="n"/>
      <c r="AB325" s="56" t="n"/>
    </row>
    <row r="326" ht="16.5" customHeight="1" s="331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  <c r="R326" s="44" t="n"/>
      <c r="S326" s="44" t="n"/>
      <c r="T326" s="44" t="n"/>
      <c r="U326" s="44" t="n"/>
      <c r="V326" s="44" t="n"/>
      <c r="W326" s="44" t="n"/>
      <c r="X326" s="44" t="n"/>
      <c r="Y326" s="44" t="n"/>
      <c r="Z326" s="44" t="n"/>
      <c r="AA326" s="44" t="n"/>
      <c r="AB326" s="44" t="n"/>
    </row>
    <row r="327" ht="16.5" customHeight="1" s="331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  <c r="R327" s="56" t="n"/>
      <c r="S327" s="56" t="n"/>
      <c r="T327" s="56" t="n"/>
      <c r="U327" s="56" t="n"/>
      <c r="V327" s="56" t="n"/>
      <c r="W327" s="56" t="n"/>
      <c r="X327" s="56" t="n"/>
      <c r="Y327" s="56" t="n"/>
      <c r="Z327" s="56" t="n"/>
      <c r="AA327" s="56" t="n"/>
      <c r="AB327" s="56" t="n"/>
    </row>
    <row r="328" ht="16.5" customHeight="1" s="331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  <c r="R328" s="44" t="n"/>
      <c r="S328" s="44" t="n"/>
      <c r="T328" s="44" t="n"/>
      <c r="U328" s="44" t="n"/>
      <c r="V328" s="44" t="n"/>
      <c r="W328" s="44" t="n"/>
      <c r="X328" s="44" t="n"/>
      <c r="Y328" s="44" t="n"/>
      <c r="Z328" s="44" t="n"/>
      <c r="AA328" s="44" t="n"/>
      <c r="AB328" s="44" t="n"/>
    </row>
    <row r="329" ht="16.5" customHeight="1" s="331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  <c r="R329" s="56" t="n"/>
      <c r="S329" s="56" t="n"/>
      <c r="T329" s="56" t="n"/>
      <c r="U329" s="56" t="n"/>
      <c r="V329" s="56" t="n"/>
      <c r="W329" s="56" t="n"/>
      <c r="X329" s="56" t="n"/>
      <c r="Y329" s="56" t="n"/>
      <c r="Z329" s="56" t="n"/>
      <c r="AA329" s="56" t="n"/>
      <c r="AB329" s="56" t="n"/>
    </row>
    <row r="330" ht="16.5" customHeight="1" s="331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  <c r="R330" s="44" t="n"/>
      <c r="S330" s="44" t="n"/>
      <c r="T330" s="44" t="n"/>
      <c r="U330" s="44" t="n"/>
      <c r="V330" s="44" t="n"/>
      <c r="W330" s="44" t="n"/>
      <c r="X330" s="44" t="n"/>
      <c r="Y330" s="44" t="n"/>
      <c r="Z330" s="44" t="n"/>
      <c r="AA330" s="44" t="n"/>
      <c r="AB330" s="44" t="n"/>
    </row>
    <row r="331" ht="16.5" customHeight="1" s="331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  <c r="R331" s="56" t="n"/>
      <c r="S331" s="56" t="n"/>
      <c r="T331" s="56" t="n"/>
      <c r="U331" s="56" t="n"/>
      <c r="V331" s="56" t="n"/>
      <c r="W331" s="56" t="n"/>
      <c r="X331" s="56" t="n"/>
      <c r="Y331" s="56" t="n"/>
      <c r="Z331" s="56" t="n"/>
      <c r="AA331" s="56" t="n"/>
      <c r="AB331" s="56" t="n"/>
    </row>
    <row r="332" ht="16.5" customHeight="1" s="331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  <c r="R332" s="44" t="n"/>
      <c r="S332" s="44" t="n"/>
      <c r="T332" s="44" t="n"/>
      <c r="U332" s="44" t="n"/>
      <c r="V332" s="44" t="n"/>
      <c r="W332" s="44" t="n"/>
      <c r="X332" s="44" t="n"/>
      <c r="Y332" s="44" t="n"/>
      <c r="Z332" s="44" t="n"/>
      <c r="AA332" s="44" t="n"/>
      <c r="AB332" s="44" t="n"/>
    </row>
    <row r="333" ht="16.5" customHeight="1" s="331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  <c r="R333" s="56" t="n"/>
      <c r="S333" s="56" t="n"/>
      <c r="T333" s="56" t="n"/>
      <c r="U333" s="56" t="n"/>
      <c r="V333" s="56" t="n"/>
      <c r="W333" s="56" t="n"/>
      <c r="X333" s="56" t="n"/>
      <c r="Y333" s="56" t="n"/>
      <c r="Z333" s="56" t="n"/>
      <c r="AA333" s="56" t="n"/>
      <c r="AB333" s="56" t="n"/>
    </row>
    <row r="334" ht="16.5" customHeight="1" s="331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  <c r="R334" s="44" t="n"/>
      <c r="S334" s="44" t="n"/>
      <c r="T334" s="44" t="n"/>
      <c r="U334" s="44" t="n"/>
      <c r="V334" s="44" t="n"/>
      <c r="W334" s="44" t="n"/>
      <c r="X334" s="44" t="n"/>
      <c r="Y334" s="44" t="n"/>
      <c r="Z334" s="44" t="n"/>
      <c r="AA334" s="44" t="n"/>
      <c r="AB334" s="44" t="n"/>
    </row>
    <row r="335" ht="16.5" customHeight="1" s="331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  <c r="R335" s="56" t="n"/>
      <c r="S335" s="56" t="n"/>
      <c r="T335" s="56" t="n"/>
      <c r="U335" s="56" t="n"/>
      <c r="V335" s="56" t="n"/>
      <c r="W335" s="56" t="n"/>
      <c r="X335" s="56" t="n"/>
      <c r="Y335" s="56" t="n"/>
      <c r="Z335" s="56" t="n"/>
      <c r="AA335" s="56" t="n"/>
      <c r="AB335" s="56" t="n"/>
    </row>
    <row r="336" ht="16.5" customHeight="1" s="331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  <c r="R336" s="44" t="n"/>
      <c r="S336" s="44" t="n"/>
      <c r="T336" s="44" t="n"/>
      <c r="U336" s="44" t="n"/>
      <c r="V336" s="44" t="n"/>
      <c r="W336" s="44" t="n"/>
      <c r="X336" s="44" t="n"/>
      <c r="Y336" s="44" t="n"/>
      <c r="Z336" s="44" t="n"/>
      <c r="AA336" s="44" t="n"/>
      <c r="AB336" s="44" t="n"/>
    </row>
    <row r="337" ht="16.5" customHeight="1" s="331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  <c r="R337" s="56" t="n"/>
      <c r="S337" s="56" t="n"/>
      <c r="T337" s="56" t="n"/>
      <c r="U337" s="56" t="n"/>
      <c r="V337" s="56" t="n"/>
      <c r="W337" s="56" t="n"/>
      <c r="X337" s="56" t="n"/>
      <c r="Y337" s="56" t="n"/>
      <c r="Z337" s="56" t="n"/>
      <c r="AA337" s="56" t="n"/>
      <c r="AB337" s="56" t="n"/>
    </row>
    <row r="338" ht="16.5" customHeight="1" s="331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  <c r="R338" s="44" t="n"/>
      <c r="S338" s="44" t="n"/>
      <c r="T338" s="44" t="n"/>
      <c r="U338" s="44" t="n"/>
      <c r="V338" s="44" t="n"/>
      <c r="W338" s="44" t="n"/>
      <c r="X338" s="44" t="n"/>
      <c r="Y338" s="44" t="n"/>
      <c r="Z338" s="44" t="n"/>
      <c r="AA338" s="44" t="n"/>
      <c r="AB338" s="44" t="n"/>
    </row>
    <row r="339" ht="16.5" customHeight="1" s="331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  <c r="R339" s="56" t="n"/>
      <c r="S339" s="56" t="n"/>
      <c r="T339" s="56" t="n"/>
      <c r="U339" s="56" t="n"/>
      <c r="V339" s="56" t="n"/>
      <c r="W339" s="56" t="n"/>
      <c r="X339" s="56" t="n"/>
      <c r="Y339" s="56" t="n"/>
      <c r="Z339" s="56" t="n"/>
      <c r="AA339" s="56" t="n"/>
      <c r="AB339" s="56" t="n"/>
    </row>
    <row r="340" ht="16.5" customHeight="1" s="331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  <c r="R340" s="44" t="n"/>
      <c r="S340" s="44" t="n"/>
      <c r="T340" s="44" t="n"/>
      <c r="U340" s="44" t="n"/>
      <c r="V340" s="44" t="n"/>
      <c r="W340" s="44" t="n"/>
      <c r="X340" s="44" t="n"/>
      <c r="Y340" s="44" t="n"/>
      <c r="Z340" s="44" t="n"/>
      <c r="AA340" s="44" t="n"/>
      <c r="AB340" s="44" t="n"/>
    </row>
    <row r="341" ht="16.5" customHeight="1" s="331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  <c r="R341" s="56" t="n"/>
      <c r="S341" s="56" t="n"/>
      <c r="T341" s="56" t="n"/>
      <c r="U341" s="56" t="n"/>
      <c r="V341" s="56" t="n"/>
      <c r="W341" s="56" t="n"/>
      <c r="X341" s="56" t="n"/>
      <c r="Y341" s="56" t="n"/>
      <c r="Z341" s="56" t="n"/>
      <c r="AA341" s="56" t="n"/>
      <c r="AB341" s="56" t="n"/>
    </row>
    <row r="342" ht="16.5" customHeight="1" s="331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  <c r="R342" s="44" t="n"/>
      <c r="S342" s="44" t="n"/>
      <c r="T342" s="44" t="n"/>
      <c r="U342" s="44" t="n"/>
      <c r="V342" s="44" t="n"/>
      <c r="W342" s="44" t="n"/>
      <c r="X342" s="44" t="n"/>
      <c r="Y342" s="44" t="n"/>
      <c r="Z342" s="44" t="n"/>
      <c r="AA342" s="44" t="n"/>
      <c r="AB342" s="44" t="n"/>
    </row>
    <row r="343" ht="16.5" customHeight="1" s="331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  <c r="R343" s="56" t="n"/>
      <c r="S343" s="56" t="n"/>
      <c r="T343" s="56" t="n"/>
      <c r="U343" s="56" t="n"/>
      <c r="V343" s="56" t="n"/>
      <c r="W343" s="56" t="n"/>
      <c r="X343" s="56" t="n"/>
      <c r="Y343" s="56" t="n"/>
      <c r="Z343" s="56" t="n"/>
      <c r="AA343" s="56" t="n"/>
      <c r="AB343" s="56" t="n"/>
    </row>
    <row r="344" ht="16.5" customHeight="1" s="331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  <c r="R344" s="44" t="n"/>
      <c r="S344" s="44" t="n"/>
      <c r="T344" s="44" t="n"/>
      <c r="U344" s="44" t="n"/>
      <c r="V344" s="44" t="n"/>
      <c r="W344" s="44" t="n"/>
      <c r="X344" s="44" t="n"/>
      <c r="Y344" s="44" t="n"/>
      <c r="Z344" s="44" t="n"/>
      <c r="AA344" s="44" t="n"/>
      <c r="AB344" s="44" t="n"/>
    </row>
    <row r="345" ht="16.5" customHeight="1" s="331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  <c r="R345" s="56" t="n"/>
      <c r="S345" s="56" t="n"/>
      <c r="T345" s="56" t="n"/>
      <c r="U345" s="56" t="n"/>
      <c r="V345" s="56" t="n"/>
      <c r="W345" s="56" t="n"/>
      <c r="X345" s="56" t="n"/>
      <c r="Y345" s="56" t="n"/>
      <c r="Z345" s="56" t="n"/>
      <c r="AA345" s="56" t="n"/>
      <c r="AB345" s="56" t="n"/>
    </row>
    <row r="346" ht="16.5" customHeight="1" s="331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  <c r="R346" s="44" t="n"/>
      <c r="S346" s="44" t="n"/>
      <c r="T346" s="44" t="n"/>
      <c r="U346" s="44" t="n"/>
      <c r="V346" s="44" t="n"/>
      <c r="W346" s="44" t="n"/>
      <c r="X346" s="44" t="n"/>
      <c r="Y346" s="44" t="n"/>
      <c r="Z346" s="44" t="n"/>
      <c r="AA346" s="44" t="n"/>
      <c r="AB346" s="44" t="n"/>
    </row>
    <row r="347" ht="16.5" customHeight="1" s="331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  <c r="R347" s="56" t="n"/>
      <c r="S347" s="56" t="n"/>
      <c r="T347" s="56" t="n"/>
      <c r="U347" s="56" t="n"/>
      <c r="V347" s="56" t="n"/>
      <c r="W347" s="56" t="n"/>
      <c r="X347" s="56" t="n"/>
      <c r="Y347" s="56" t="n"/>
      <c r="Z347" s="56" t="n"/>
      <c r="AA347" s="56" t="n"/>
      <c r="AB347" s="56" t="n"/>
    </row>
    <row r="348" ht="16.5" customHeight="1" s="331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  <c r="R348" s="44" t="n"/>
      <c r="S348" s="44" t="n"/>
      <c r="T348" s="44" t="n"/>
      <c r="U348" s="44" t="n"/>
      <c r="V348" s="44" t="n"/>
      <c r="W348" s="44" t="n"/>
      <c r="X348" s="44" t="n"/>
      <c r="Y348" s="44" t="n"/>
      <c r="Z348" s="44" t="n"/>
      <c r="AA348" s="44" t="n"/>
      <c r="AB348" s="44" t="n"/>
    </row>
    <row r="349" ht="16.5" customHeight="1" s="331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  <c r="R349" s="56" t="n"/>
      <c r="S349" s="56" t="n"/>
      <c r="T349" s="56" t="n"/>
      <c r="U349" s="56" t="n"/>
      <c r="V349" s="56" t="n"/>
      <c r="W349" s="56" t="n"/>
      <c r="X349" s="56" t="n"/>
      <c r="Y349" s="56" t="n"/>
      <c r="Z349" s="56" t="n"/>
      <c r="AA349" s="56" t="n"/>
      <c r="AB349" s="56" t="n"/>
    </row>
    <row r="350" ht="16.5" customHeight="1" s="331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  <c r="R350" s="44" t="n"/>
      <c r="S350" s="44" t="n"/>
      <c r="T350" s="44" t="n"/>
      <c r="U350" s="44" t="n"/>
      <c r="V350" s="44" t="n"/>
      <c r="W350" s="44" t="n"/>
      <c r="X350" s="44" t="n"/>
      <c r="Y350" s="44" t="n"/>
      <c r="Z350" s="44" t="n"/>
      <c r="AA350" s="44" t="n"/>
      <c r="AB350" s="44" t="n"/>
    </row>
    <row r="351" ht="16.5" customHeight="1" s="331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  <c r="R351" s="56" t="n"/>
      <c r="S351" s="56" t="n"/>
      <c r="T351" s="56" t="n"/>
      <c r="U351" s="56" t="n"/>
      <c r="V351" s="56" t="n"/>
      <c r="W351" s="56" t="n"/>
      <c r="X351" s="56" t="n"/>
      <c r="Y351" s="56" t="n"/>
      <c r="Z351" s="56" t="n"/>
      <c r="AA351" s="56" t="n"/>
      <c r="AB351" s="56" t="n"/>
    </row>
    <row r="352" ht="16.5" customHeight="1" s="331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  <c r="R352" s="44" t="n"/>
      <c r="S352" s="44" t="n"/>
      <c r="T352" s="44" t="n"/>
      <c r="U352" s="44" t="n"/>
      <c r="V352" s="44" t="n"/>
      <c r="W352" s="44" t="n"/>
      <c r="X352" s="44" t="n"/>
      <c r="Y352" s="44" t="n"/>
      <c r="Z352" s="44" t="n"/>
      <c r="AA352" s="44" t="n"/>
      <c r="AB352" s="44" t="n"/>
    </row>
    <row r="353" ht="16.5" customHeight="1" s="331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  <c r="R353" s="56" t="n"/>
      <c r="S353" s="56" t="n"/>
      <c r="T353" s="56" t="n"/>
      <c r="U353" s="56" t="n"/>
      <c r="V353" s="56" t="n"/>
      <c r="W353" s="56" t="n"/>
      <c r="X353" s="56" t="n"/>
      <c r="Y353" s="56" t="n"/>
      <c r="Z353" s="56" t="n"/>
      <c r="AA353" s="56" t="n"/>
      <c r="AB353" s="56" t="n"/>
    </row>
    <row r="354" ht="16.5" customHeight="1" s="331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  <c r="R354" s="44" t="n"/>
      <c r="S354" s="44" t="n"/>
      <c r="T354" s="44" t="n"/>
      <c r="U354" s="44" t="n"/>
      <c r="V354" s="44" t="n"/>
      <c r="W354" s="44" t="n"/>
      <c r="X354" s="44" t="n"/>
      <c r="Y354" s="44" t="n"/>
      <c r="Z354" s="44" t="n"/>
      <c r="AA354" s="44" t="n"/>
      <c r="AB354" s="44" t="n"/>
    </row>
    <row r="355" ht="16.5" customHeight="1" s="331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  <c r="R355" s="56" t="n"/>
      <c r="S355" s="56" t="n"/>
      <c r="T355" s="56" t="n"/>
      <c r="U355" s="56" t="n"/>
      <c r="V355" s="56" t="n"/>
      <c r="W355" s="56" t="n"/>
      <c r="X355" s="56" t="n"/>
      <c r="Y355" s="56" t="n"/>
      <c r="Z355" s="56" t="n"/>
      <c r="AA355" s="56" t="n"/>
      <c r="AB355" s="56" t="n"/>
    </row>
    <row r="356" ht="16.5" customHeight="1" s="331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  <c r="R356" s="44" t="n"/>
      <c r="S356" s="44" t="n"/>
      <c r="T356" s="44" t="n"/>
      <c r="U356" s="44" t="n"/>
      <c r="V356" s="44" t="n"/>
      <c r="W356" s="44" t="n"/>
      <c r="X356" s="44" t="n"/>
      <c r="Y356" s="44" t="n"/>
      <c r="Z356" s="44" t="n"/>
      <c r="AA356" s="44" t="n"/>
      <c r="AB356" s="44" t="n"/>
    </row>
    <row r="357" ht="16.5" customHeight="1" s="331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  <c r="R357" s="56" t="n"/>
      <c r="S357" s="56" t="n"/>
      <c r="T357" s="56" t="n"/>
      <c r="U357" s="56" t="n"/>
      <c r="V357" s="56" t="n"/>
      <c r="W357" s="56" t="n"/>
      <c r="X357" s="56" t="n"/>
      <c r="Y357" s="56" t="n"/>
      <c r="Z357" s="56" t="n"/>
      <c r="AA357" s="56" t="n"/>
      <c r="AB357" s="56" t="n"/>
    </row>
    <row r="358" ht="16.5" customHeight="1" s="331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  <c r="R358" s="44" t="n"/>
      <c r="S358" s="44" t="n"/>
      <c r="T358" s="44" t="n"/>
      <c r="U358" s="44" t="n"/>
      <c r="V358" s="44" t="n"/>
      <c r="W358" s="44" t="n"/>
      <c r="X358" s="44" t="n"/>
      <c r="Y358" s="44" t="n"/>
      <c r="Z358" s="44" t="n"/>
      <c r="AA358" s="44" t="n"/>
      <c r="AB358" s="44" t="n"/>
    </row>
    <row r="359" ht="16.5" customHeight="1" s="331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  <c r="R359" s="56" t="n"/>
      <c r="S359" s="56" t="n"/>
      <c r="T359" s="56" t="n"/>
      <c r="U359" s="56" t="n"/>
      <c r="V359" s="56" t="n"/>
      <c r="W359" s="56" t="n"/>
      <c r="X359" s="56" t="n"/>
      <c r="Y359" s="56" t="n"/>
      <c r="Z359" s="56" t="n"/>
      <c r="AA359" s="56" t="n"/>
      <c r="AB359" s="56" t="n"/>
    </row>
    <row r="360" ht="16.5" customHeight="1" s="331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  <c r="R360" s="44" t="n"/>
      <c r="S360" s="44" t="n"/>
      <c r="T360" s="44" t="n"/>
      <c r="U360" s="44" t="n"/>
      <c r="V360" s="44" t="n"/>
      <c r="W360" s="44" t="n"/>
      <c r="X360" s="44" t="n"/>
      <c r="Y360" s="44" t="n"/>
      <c r="Z360" s="44" t="n"/>
      <c r="AA360" s="44" t="n"/>
      <c r="AB360" s="44" t="n"/>
    </row>
    <row r="361" ht="16.5" customHeight="1" s="331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  <c r="R361" s="56" t="n"/>
      <c r="S361" s="56" t="n"/>
      <c r="T361" s="56" t="n"/>
      <c r="U361" s="56" t="n"/>
      <c r="V361" s="56" t="n"/>
      <c r="W361" s="56" t="n"/>
      <c r="X361" s="56" t="n"/>
      <c r="Y361" s="56" t="n"/>
      <c r="Z361" s="56" t="n"/>
      <c r="AA361" s="56" t="n"/>
      <c r="AB361" s="56" t="n"/>
    </row>
    <row r="362" ht="16.5" customHeight="1" s="331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  <c r="R362" s="44" t="n"/>
      <c r="S362" s="44" t="n"/>
      <c r="T362" s="44" t="n"/>
      <c r="U362" s="44" t="n"/>
      <c r="V362" s="44" t="n"/>
      <c r="W362" s="44" t="n"/>
      <c r="X362" s="44" t="n"/>
      <c r="Y362" s="44" t="n"/>
      <c r="Z362" s="44" t="n"/>
      <c r="AA362" s="44" t="n"/>
      <c r="AB362" s="44" t="n"/>
    </row>
    <row r="363" ht="16.5" customHeight="1" s="331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  <c r="R363" s="56" t="n"/>
      <c r="S363" s="56" t="n"/>
      <c r="T363" s="56" t="n"/>
      <c r="U363" s="56" t="n"/>
      <c r="V363" s="56" t="n"/>
      <c r="W363" s="56" t="n"/>
      <c r="X363" s="56" t="n"/>
      <c r="Y363" s="56" t="n"/>
      <c r="Z363" s="56" t="n"/>
      <c r="AA363" s="56" t="n"/>
      <c r="AB363" s="56" t="n"/>
    </row>
    <row r="364" ht="16.5" customHeight="1" s="331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  <c r="R364" s="44" t="n"/>
      <c r="S364" s="44" t="n"/>
      <c r="T364" s="44" t="n"/>
      <c r="U364" s="44" t="n"/>
      <c r="V364" s="44" t="n"/>
      <c r="W364" s="44" t="n"/>
      <c r="X364" s="44" t="n"/>
      <c r="Y364" s="44" t="n"/>
      <c r="Z364" s="44" t="n"/>
      <c r="AA364" s="44" t="n"/>
      <c r="AB364" s="44" t="n"/>
    </row>
    <row r="365" ht="16.5" customHeight="1" s="331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  <c r="R365" s="56" t="n"/>
      <c r="S365" s="56" t="n"/>
      <c r="T365" s="56" t="n"/>
      <c r="U365" s="56" t="n"/>
      <c r="V365" s="56" t="n"/>
      <c r="W365" s="56" t="n"/>
      <c r="X365" s="56" t="n"/>
      <c r="Y365" s="56" t="n"/>
      <c r="Z365" s="56" t="n"/>
      <c r="AA365" s="56" t="n"/>
      <c r="AB365" s="56" t="n"/>
    </row>
    <row r="366" ht="16.5" customHeight="1" s="331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  <c r="R366" s="44" t="n"/>
      <c r="S366" s="44" t="n"/>
      <c r="T366" s="44" t="n"/>
      <c r="U366" s="44" t="n"/>
      <c r="V366" s="44" t="n"/>
      <c r="W366" s="44" t="n"/>
      <c r="X366" s="44" t="n"/>
      <c r="Y366" s="44" t="n"/>
      <c r="Z366" s="44" t="n"/>
      <c r="AA366" s="44" t="n"/>
      <c r="AB366" s="44" t="n"/>
    </row>
    <row r="367" ht="16.5" customHeight="1" s="331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  <c r="R367" s="56" t="n"/>
      <c r="S367" s="56" t="n"/>
      <c r="T367" s="56" t="n"/>
      <c r="U367" s="56" t="n"/>
      <c r="V367" s="56" t="n"/>
      <c r="W367" s="56" t="n"/>
      <c r="X367" s="56" t="n"/>
      <c r="Y367" s="56" t="n"/>
      <c r="Z367" s="56" t="n"/>
      <c r="AA367" s="56" t="n"/>
      <c r="AB367" s="56" t="n"/>
    </row>
    <row r="368" ht="16.5" customHeight="1" s="331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  <c r="R368" s="44" t="n"/>
      <c r="S368" s="44" t="n"/>
      <c r="T368" s="44" t="n"/>
      <c r="U368" s="44" t="n"/>
      <c r="V368" s="44" t="n"/>
      <c r="W368" s="44" t="n"/>
      <c r="X368" s="44" t="n"/>
      <c r="Y368" s="44" t="n"/>
      <c r="Z368" s="44" t="n"/>
      <c r="AA368" s="44" t="n"/>
      <c r="AB368" s="44" t="n"/>
    </row>
    <row r="369" ht="16.5" customHeight="1" s="331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  <c r="R369" s="56" t="n"/>
      <c r="S369" s="56" t="n"/>
      <c r="T369" s="56" t="n"/>
      <c r="U369" s="56" t="n"/>
      <c r="V369" s="56" t="n"/>
      <c r="W369" s="56" t="n"/>
      <c r="X369" s="56" t="n"/>
      <c r="Y369" s="56" t="n"/>
      <c r="Z369" s="56" t="n"/>
      <c r="AA369" s="56" t="n"/>
      <c r="AB369" s="56" t="n"/>
    </row>
    <row r="370" ht="16.5" customHeight="1" s="331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  <c r="R370" s="44" t="n"/>
      <c r="S370" s="44" t="n"/>
      <c r="T370" s="44" t="n"/>
      <c r="U370" s="44" t="n"/>
      <c r="V370" s="44" t="n"/>
      <c r="W370" s="44" t="n"/>
      <c r="X370" s="44" t="n"/>
      <c r="Y370" s="44" t="n"/>
      <c r="Z370" s="44" t="n"/>
      <c r="AA370" s="44" t="n"/>
      <c r="AB370" s="44" t="n"/>
    </row>
    <row r="371" ht="16.5" customHeight="1" s="331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  <c r="R371" s="56" t="n"/>
      <c r="S371" s="56" t="n"/>
      <c r="T371" s="56" t="n"/>
      <c r="U371" s="56" t="n"/>
      <c r="V371" s="56" t="n"/>
      <c r="W371" s="56" t="n"/>
      <c r="X371" s="56" t="n"/>
      <c r="Y371" s="56" t="n"/>
      <c r="Z371" s="56" t="n"/>
      <c r="AA371" s="56" t="n"/>
      <c r="AB371" s="56" t="n"/>
    </row>
    <row r="372" ht="16.5" customHeight="1" s="331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  <c r="R372" s="44" t="n"/>
      <c r="S372" s="44" t="n"/>
      <c r="T372" s="44" t="n"/>
      <c r="U372" s="44" t="n"/>
      <c r="V372" s="44" t="n"/>
      <c r="W372" s="44" t="n"/>
      <c r="X372" s="44" t="n"/>
      <c r="Y372" s="44" t="n"/>
      <c r="Z372" s="44" t="n"/>
      <c r="AA372" s="44" t="n"/>
      <c r="AB372" s="44" t="n"/>
    </row>
  </sheetData>
  <mergeCells count="4">
    <mergeCell ref="I2:P2"/>
    <mergeCell ref="A2:H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784"/>
  <sheetViews>
    <sheetView showGridLines="0" tabSelected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4" customWidth="1" style="331" min="3" max="3"/>
    <col width="22" customWidth="1" style="331" min="4" max="4"/>
    <col width="19.77734375" customWidth="1" style="331" min="5" max="5"/>
    <col width="16" customWidth="1" style="331" min="6" max="6"/>
    <col width="14" customWidth="1" style="331" min="7" max="7"/>
    <col width="16" customWidth="1" style="331" min="8" max="8"/>
    <col width="18" customWidth="1" style="331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331">
      <c r="A2" s="417" t="inlineStr">
        <is>
          <t>💸  LOKA — EXPENSES TRACKER</t>
        </is>
      </c>
      <c r="E2" s="418" t="inlineStr">
        <is>
          <t>Log every cost: ingredients, staff, utilities, supplies…</t>
        </is>
      </c>
    </row>
    <row r="3">
      <c r="A3" s="419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331">
      <c r="B6" s="60">
        <f>SUMIFS($F$8:$F$5000,$B$8:$B$5000,TODAY())</f>
        <v/>
      </c>
      <c r="C6" s="61">
        <f>SUMIFS($F$8:$F$5000,$B$8:$B$5000,"&gt;="&amp;(TODAY()-WEEKDAY(TODAY(),2)+1),$B$8:$B$5000,"&lt;="&amp;(TODAY()-WEEKDAY(TODAY(),2)+7))</f>
        <v/>
      </c>
      <c r="D6" s="62">
        <f>SUMIFS($F$8:$F$5000,$B$8:$B$5000,"&gt;="&amp;DATE(YEAR(TODAY()),MONTH(TODAY()),1),$B$8:$B$5000,"&lt;"&amp;DATE(YEAR(TODAY()),MONTH(TODAY())+1,1))</f>
        <v/>
      </c>
      <c r="E6" s="61">
        <f>SUMIF($E$8:$E$5000,"Ingredients*",$F$8:$F$5000)</f>
        <v/>
      </c>
      <c r="F6" s="63">
        <f>SUMIF($E$8:$E$5000,"Staff*",$F$8:$F$5000)</f>
        <v/>
      </c>
      <c r="G6" s="62">
        <f>SUMIF($E$8:$E$5000,"Supplies*",$F$8:$F$5000)+SUMIF($E$8:$E$5000,"Utilities*",$F$8:$F$5000)</f>
        <v/>
      </c>
      <c r="H6" s="60">
        <f>SUMIFS($F$8:$F$5000,$B$8:$B$5000,TODAY())</f>
        <v/>
      </c>
      <c r="I6" s="60">
        <f>SUMIFS($F$8:$F$5000,$B$8:$B$5000,"&gt;="&amp;(TODAY()-WEEKDAY(TODAY(),2)+1),$B$8:$B$5000,"&lt;="&amp;(TODAY()-WEEKDAY(TODAY(),2)+7))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Supermarket/General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Supplies/Other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Supermarket/General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Supermarket/General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331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Supplies/Other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331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331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331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331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331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331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331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Supplies/Other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331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Supplies/Other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Supplies/Other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Supplies/Other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Supplies/Other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Supplies/Other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Supplies/Other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Supplies/Other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Supplies/Other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Supplies/Other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Supplies/Other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Supplies/Other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Supplies/Other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Supplies/Other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Supplies/Other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Supplies/Other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Supplies/Other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Supplies/Other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Supplies/Other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Supplies/Other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Supplies/Other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Supplies/Other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Supermarket/General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Supplies/Other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Supermarket/General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Supermarket/General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Vegetables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Supermarket/General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Supplies/Other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Supplies/Other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Supermarket/General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Supplies/Other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Supermarket/General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Supplies/Other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Supermarket/General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Supplies/Other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Supermarket/General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Utilities/Internet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7" t="inlineStr">
        <is>
          <t>Aceite La Posada 800 (x2)</t>
        </is>
      </c>
      <c r="D295" s="248" t="inlineStr">
        <is>
          <t>OXXO</t>
        </is>
      </c>
      <c r="E295" s="247" t="inlineStr">
        <is>
          <t>Ingredients - Pantry</t>
        </is>
      </c>
      <c r="F295" s="67" t="n">
        <v>312</v>
      </c>
      <c r="G295" s="249" t="inlineStr">
        <is>
          <t>Restaurant</t>
        </is>
      </c>
      <c r="H295" s="249" t="inlineStr">
        <is>
          <t>Card</t>
        </is>
      </c>
      <c r="I295" s="250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1" t="inlineStr">
        <is>
          <t>Queso Gouda Menona 2.01 kg @ $135</t>
        </is>
      </c>
      <c r="D296" s="252" t="inlineStr">
        <is>
          <t>La Bodega del Buen Queso</t>
        </is>
      </c>
      <c r="E296" s="251" t="inlineStr">
        <is>
          <t>Ingredients - Dairy</t>
        </is>
      </c>
      <c r="F296" s="70" t="n">
        <v>271.35</v>
      </c>
      <c r="G296" s="253" t="inlineStr">
        <is>
          <t>Restaurant</t>
        </is>
      </c>
      <c r="H296" s="253" t="inlineStr">
        <is>
          <t>Cash</t>
        </is>
      </c>
      <c r="I296" s="254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7" t="inlineStr">
        <is>
          <t>Arrachera (beef)</t>
        </is>
      </c>
      <c r="D297" s="248" t="inlineStr">
        <is>
          <t>Miscelánea LC La Cruz</t>
        </is>
      </c>
      <c r="E297" s="247" t="inlineStr">
        <is>
          <t>Ingredients - Meat</t>
        </is>
      </c>
      <c r="F297" s="67" t="n">
        <v>474</v>
      </c>
      <c r="G297" s="249" t="inlineStr">
        <is>
          <t>Restaurant</t>
        </is>
      </c>
      <c r="H297" s="249" t="inlineStr">
        <is>
          <t>Card</t>
        </is>
      </c>
      <c r="I297" s="250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1" t="inlineStr">
        <is>
          <t>Salsa BBQ 3.8L + Pan hamburguesa x12 + Pan arándano x4</t>
        </is>
      </c>
      <c r="D298" s="252" t="inlineStr">
        <is>
          <t>REAL La Cruz</t>
        </is>
      </c>
      <c r="E298" s="251" t="inlineStr">
        <is>
          <t>Ingredients - Bread</t>
        </is>
      </c>
      <c r="F298" s="70" t="n">
        <v>544</v>
      </c>
      <c r="G298" s="253" t="inlineStr">
        <is>
          <t>Restaurant</t>
        </is>
      </c>
      <c r="H298" s="253" t="inlineStr">
        <is>
          <t>Card</t>
        </is>
      </c>
      <c r="I298" s="254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7" t="inlineStr">
        <is>
          <t>Hamburguesa Vegetal + Eggo Waffles</t>
        </is>
      </c>
      <c r="D299" s="248" t="inlineStr">
        <is>
          <t>Costco Querétaro</t>
        </is>
      </c>
      <c r="E299" s="247" t="inlineStr">
        <is>
          <t>Supermarket/General</t>
        </is>
      </c>
      <c r="F299" s="67" t="n">
        <v>566.73</v>
      </c>
      <c r="G299" s="249" t="inlineStr">
        <is>
          <t>Restaurant</t>
        </is>
      </c>
      <c r="H299" s="249" t="inlineStr">
        <is>
          <t>Card</t>
        </is>
      </c>
      <c r="I299" s="250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1" t="inlineStr">
        <is>
          <t>Tortillas Blanca 4.980 kg</t>
        </is>
      </c>
      <c r="D300" s="252" t="inlineStr">
        <is>
          <t>Chedraui Paseo</t>
        </is>
      </c>
      <c r="E300" s="251" t="inlineStr">
        <is>
          <t>Ingredients - Bread</t>
        </is>
      </c>
      <c r="F300" s="70" t="n">
        <v>66.73</v>
      </c>
      <c r="G300" s="253" t="inlineStr">
        <is>
          <t>Restaurant</t>
        </is>
      </c>
      <c r="H300" s="253" t="inlineStr">
        <is>
          <t>Card</t>
        </is>
      </c>
      <c r="I300" s="254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7" t="inlineStr">
        <is>
          <t>Vegetables</t>
        </is>
      </c>
      <c r="D301" s="248" t="inlineStr">
        <is>
          <t>Local purchase</t>
        </is>
      </c>
      <c r="E301" s="247" t="inlineStr">
        <is>
          <t>Ingredients - Vegetables</t>
        </is>
      </c>
      <c r="F301" s="67" t="n">
        <v>51</v>
      </c>
      <c r="G301" s="249" t="inlineStr">
        <is>
          <t>Restaurant</t>
        </is>
      </c>
      <c r="H301" s="249" t="inlineStr">
        <is>
          <t>Cash</t>
        </is>
      </c>
      <c r="I301" s="250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1" t="inlineStr">
        <is>
          <t>Samu — Ayudante Week 5 (incl. $400 mesero top-up)</t>
        </is>
      </c>
      <c r="D302" s="252" t="inlineStr">
        <is>
          <t>Payroll</t>
        </is>
      </c>
      <c r="E302" s="251" t="inlineStr">
        <is>
          <t>Staff - Salary</t>
        </is>
      </c>
      <c r="F302" s="70" t="n">
        <v>1200</v>
      </c>
      <c r="G302" s="253" t="inlineStr">
        <is>
          <t>Restaurant</t>
        </is>
      </c>
      <c r="H302" s="253" t="inlineStr">
        <is>
          <t>Cash</t>
        </is>
      </c>
      <c r="I302" s="254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7" t="inlineStr">
        <is>
          <t>Duvi/Debi — Limpieza Week 5</t>
        </is>
      </c>
      <c r="D303" s="248" t="inlineStr">
        <is>
          <t>Payroll</t>
        </is>
      </c>
      <c r="E303" s="247" t="inlineStr">
        <is>
          <t>Staff - Salary</t>
        </is>
      </c>
      <c r="F303" s="67" t="n">
        <v>1500</v>
      </c>
      <c r="G303" s="249" t="inlineStr">
        <is>
          <t>Restaurant</t>
        </is>
      </c>
      <c r="H303" s="249" t="inlineStr">
        <is>
          <t>Cash</t>
        </is>
      </c>
      <c r="I303" s="250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1" t="inlineStr">
        <is>
          <t>John — Head Chef Week 5 (full week)</t>
        </is>
      </c>
      <c r="D304" s="252" t="inlineStr">
        <is>
          <t>Payroll</t>
        </is>
      </c>
      <c r="E304" s="251" t="inlineStr">
        <is>
          <t>Staff - Salary</t>
        </is>
      </c>
      <c r="F304" s="70" t="n">
        <v>3750</v>
      </c>
      <c r="G304" s="253" t="inlineStr">
        <is>
          <t>Restaurant</t>
        </is>
      </c>
      <c r="H304" s="253" t="inlineStr">
        <is>
          <t>Cash</t>
        </is>
      </c>
      <c r="I304" s="254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7" t="inlineStr">
        <is>
          <t>Propinas restaurant top-up - Week 5 (370 paid to staff vs 249 card tips collected)</t>
        </is>
      </c>
      <c r="D305" s="248" t="inlineStr">
        <is>
          <t>Payroll / Tips</t>
        </is>
      </c>
      <c r="E305" s="247" t="inlineStr">
        <is>
          <t>Staff - Propinas</t>
        </is>
      </c>
      <c r="F305" s="67" t="n">
        <v>121</v>
      </c>
      <c r="G305" s="249" t="inlineStr">
        <is>
          <t>Restaurant</t>
        </is>
      </c>
      <c r="H305" s="249" t="inlineStr">
        <is>
          <t>Cash</t>
        </is>
      </c>
      <c r="I305" s="250" t="inlineStr">
        <is>
          <t>✅ Paid</t>
        </is>
      </c>
      <c r="J305" s="266" t="inlineStr">
        <is>
          <t>Card tips 249; payouts John 150 + Duvi 120 + Samu 100 = 370; restaurant covers 121</t>
        </is>
      </c>
    </row>
    <row r="306">
      <c r="B306" s="246" t="n">
        <v>46176</v>
      </c>
      <c r="C306" s="251" t="inlineStr">
        <is>
          <t>Cuchara de Moka 6pcs 10.5cm (x2)</t>
        </is>
      </c>
      <c r="D306" s="252" t="inlineStr">
        <is>
          <t>Small China</t>
        </is>
      </c>
      <c r="E306" s="251" t="inlineStr">
        <is>
          <t>Kitchen Supplies</t>
        </is>
      </c>
      <c r="F306" s="70" t="n">
        <v>178</v>
      </c>
      <c r="G306" s="253" t="inlineStr">
        <is>
          <t>Restaurant</t>
        </is>
      </c>
      <c r="H306" s="253" t="inlineStr">
        <is>
          <t>Card</t>
        </is>
      </c>
      <c r="I306" s="254" t="inlineStr">
        <is>
          <t>✅ Paid</t>
        </is>
      </c>
      <c r="J306" s="269" t="inlineStr">
        <is>
          <t>Tarjeta crédito · serial D2606031530065 (back-dated 3 Jun)</t>
        </is>
      </c>
    </row>
    <row r="307">
      <c r="B307" s="246" t="n">
        <v>46193</v>
      </c>
      <c r="C307" s="247" t="inlineStr">
        <is>
          <t>Topo Chico (2 packs)</t>
        </is>
      </c>
      <c r="D307" s="248" t="inlineStr">
        <is>
          <t>Sam's Club</t>
        </is>
      </c>
      <c r="E307" s="247" t="inlineStr">
        <is>
          <t>Ingredients - Beverages</t>
        </is>
      </c>
      <c r="F307" s="67" t="n">
        <v>464</v>
      </c>
      <c r="G307" s="249" t="inlineStr">
        <is>
          <t>Restaurant</t>
        </is>
      </c>
      <c r="H307" s="249" t="inlineStr">
        <is>
          <t>Card</t>
        </is>
      </c>
      <c r="I307" s="250" t="inlineStr">
        <is>
          <t>✅ Paid</t>
        </is>
      </c>
      <c r="J307" s="269" t="inlineStr">
        <is>
          <t>No receipt</t>
        </is>
      </c>
    </row>
    <row r="308">
      <c r="B308" s="246" t="n">
        <v>46192</v>
      </c>
      <c r="C308" s="251" t="inlineStr">
        <is>
          <t>Soft Restaurant — POS app subscription</t>
        </is>
      </c>
      <c r="D308" s="252" t="inlineStr">
        <is>
          <t>Soft Restaurant</t>
        </is>
      </c>
      <c r="E308" s="251" t="inlineStr">
        <is>
          <t>Software/Subscription</t>
        </is>
      </c>
      <c r="F308" s="70" t="n">
        <v>810</v>
      </c>
      <c r="G308" s="253" t="inlineStr">
        <is>
          <t>Restaurant</t>
        </is>
      </c>
      <c r="H308" s="253" t="inlineStr">
        <is>
          <t>Card</t>
        </is>
      </c>
      <c r="I308" s="254" t="inlineStr">
        <is>
          <t>✅ Paid</t>
        </is>
      </c>
      <c r="J308" s="269" t="inlineStr">
        <is>
          <t>No receipt · POS software subscription</t>
        </is>
      </c>
    </row>
    <row r="309">
      <c r="B309" s="246" t="n">
        <v>46194</v>
      </c>
      <c r="C309" s="247" t="inlineStr">
        <is>
          <t>Morrón surtido, espinaca, betabel</t>
        </is>
      </c>
      <c r="D309" s="248" t="inlineStr">
        <is>
          <t>Verduras Selectas Oscar</t>
        </is>
      </c>
      <c r="E309" s="247" t="inlineStr">
        <is>
          <t>Ingredients - Vegetables</t>
        </is>
      </c>
      <c r="F309" s="67" t="n">
        <v>84</v>
      </c>
      <c r="G309" s="249" t="inlineStr">
        <is>
          <t>Restaurant</t>
        </is>
      </c>
      <c r="H309" s="249" t="inlineStr">
        <is>
          <t>Cash</t>
        </is>
      </c>
      <c r="I309" s="250" t="inlineStr">
        <is>
          <t>✅ Paid</t>
        </is>
      </c>
      <c r="J309" s="269" t="inlineStr">
        <is>
          <t>Mercado de Abastos</t>
        </is>
      </c>
    </row>
    <row r="310">
      <c r="B310" s="246" t="n">
        <v>46194</v>
      </c>
      <c r="C310" s="251" t="inlineStr">
        <is>
          <t>Champiñón 1.02kg + Manzana Mexicana 1.13kg</t>
        </is>
      </c>
      <c r="D310" s="252" t="inlineStr">
        <is>
          <t>Mercado de Abastos</t>
        </is>
      </c>
      <c r="E310" s="251" t="inlineStr">
        <is>
          <t>Ingredients - Vegetables</t>
        </is>
      </c>
      <c r="F310" s="70" t="n">
        <v>153.62</v>
      </c>
      <c r="G310" s="253" t="inlineStr">
        <is>
          <t>Restaurant</t>
        </is>
      </c>
      <c r="H310" s="253" t="inlineStr">
        <is>
          <t>Cash</t>
        </is>
      </c>
      <c r="I310" s="254" t="inlineStr">
        <is>
          <t>✅ Paid</t>
        </is>
      </c>
      <c r="J310" s="269" t="inlineStr">
        <is>
          <t>Ticket 26351 (incl. apple)</t>
        </is>
      </c>
    </row>
    <row r="311">
      <c r="B311" s="246" t="n">
        <v>46194</v>
      </c>
      <c r="C311" s="247" t="inlineStr">
        <is>
          <t>Huevo (2 conos)</t>
        </is>
      </c>
      <c r="D311" s="248" t="inlineStr">
        <is>
          <t>Jaime (Mercado Abastos)</t>
        </is>
      </c>
      <c r="E311" s="247" t="inlineStr">
        <is>
          <t>Ingredients - Eggs</t>
        </is>
      </c>
      <c r="F311" s="67" t="n">
        <v>102</v>
      </c>
      <c r="G311" s="249" t="inlineStr">
        <is>
          <t>Restaurant</t>
        </is>
      </c>
      <c r="H311" s="249" t="inlineStr">
        <is>
          <t>Cash</t>
        </is>
      </c>
      <c r="I311" s="250" t="inlineStr">
        <is>
          <t>✅ Paid</t>
        </is>
      </c>
      <c r="J311" s="269" t="n"/>
    </row>
    <row r="312">
      <c r="B312" s="246" t="n">
        <v>46194</v>
      </c>
      <c r="C312" s="251" t="inlineStr">
        <is>
          <t>Zanahoria, jalapeño, serrano, cebolla</t>
        </is>
      </c>
      <c r="D312" s="252" t="inlineStr">
        <is>
          <t>Mi Joven</t>
        </is>
      </c>
      <c r="E312" s="251" t="inlineStr">
        <is>
          <t>Ingredients - Vegetables</t>
        </is>
      </c>
      <c r="F312" s="70" t="n">
        <v>131.5</v>
      </c>
      <c r="G312" s="253" t="inlineStr">
        <is>
          <t>Restaurant</t>
        </is>
      </c>
      <c r="H312" s="253" t="inlineStr">
        <is>
          <t>Cash</t>
        </is>
      </c>
      <c r="I312" s="254" t="inlineStr">
        <is>
          <t>✅ Paid</t>
        </is>
      </c>
      <c r="J312" s="269" t="inlineStr">
        <is>
          <t>Folio 19465</t>
        </is>
      </c>
    </row>
    <row r="313">
      <c r="B313" s="246" t="n">
        <v>46194</v>
      </c>
      <c r="C313" s="247" t="inlineStr">
        <is>
          <t>Calabaza 1.7kg</t>
        </is>
      </c>
      <c r="D313" s="248" t="inlineStr">
        <is>
          <t>Mi Joven</t>
        </is>
      </c>
      <c r="E313" s="247" t="inlineStr">
        <is>
          <t>Ingredients - Vegetables</t>
        </is>
      </c>
      <c r="F313" s="67" t="n">
        <v>34</v>
      </c>
      <c r="G313" s="249" t="inlineStr">
        <is>
          <t>Restaurant</t>
        </is>
      </c>
      <c r="H313" s="249" t="inlineStr">
        <is>
          <t>Cash</t>
        </is>
      </c>
      <c r="I313" s="250" t="inlineStr">
        <is>
          <t>✅ Paid</t>
        </is>
      </c>
      <c r="J313" s="269" t="inlineStr">
        <is>
          <t>Folio 19466</t>
        </is>
      </c>
    </row>
    <row r="314">
      <c r="B314" s="246" t="n">
        <v>46194</v>
      </c>
      <c r="C314" s="251" t="inlineStr">
        <is>
          <t>Tomate, limón, pepino, jícama</t>
        </is>
      </c>
      <c r="D314" s="252" t="inlineStr">
        <is>
          <t>Mercado de Abastos</t>
        </is>
      </c>
      <c r="E314" s="251" t="inlineStr">
        <is>
          <t>Ingredients - Vegetables</t>
        </is>
      </c>
      <c r="F314" s="70" t="n">
        <v>240</v>
      </c>
      <c r="G314" s="253" t="inlineStr">
        <is>
          <t>Restaurant</t>
        </is>
      </c>
      <c r="H314" s="253" t="inlineStr">
        <is>
          <t>Cash</t>
        </is>
      </c>
      <c r="I314" s="254" t="inlineStr">
        <is>
          <t>✅ Paid</t>
        </is>
      </c>
      <c r="J314" s="269" t="inlineStr">
        <is>
          <t>Handwritten note</t>
        </is>
      </c>
    </row>
    <row r="315">
      <c r="B315" s="246" t="n">
        <v>46194</v>
      </c>
      <c r="C315" s="247" t="inlineStr">
        <is>
          <t>Jitomate 7kg</t>
        </is>
      </c>
      <c r="D315" s="248" t="inlineStr">
        <is>
          <t>Frutas Finas Ana Pao</t>
        </is>
      </c>
      <c r="E315" s="247" t="inlineStr">
        <is>
          <t>Ingredients - Vegetables</t>
        </is>
      </c>
      <c r="F315" s="67" t="n">
        <v>105</v>
      </c>
      <c r="G315" s="249" t="inlineStr">
        <is>
          <t>Restaurant</t>
        </is>
      </c>
      <c r="H315" s="249" t="inlineStr">
        <is>
          <t>Cash</t>
        </is>
      </c>
      <c r="I315" s="250" t="inlineStr">
        <is>
          <t>✅ Paid</t>
        </is>
      </c>
      <c r="J315" s="269" t="n"/>
    </row>
    <row r="316">
      <c r="B316" s="246" t="n">
        <v>46194</v>
      </c>
      <c r="C316" s="251" t="inlineStr">
        <is>
          <t>Sandía, papaya, plátano, melón</t>
        </is>
      </c>
      <c r="D316" s="252" t="inlineStr">
        <is>
          <t>Mercado de Abastos</t>
        </is>
      </c>
      <c r="E316" s="251" t="inlineStr">
        <is>
          <t>Ingredients - Fruit</t>
        </is>
      </c>
      <c r="F316" s="70" t="n">
        <v>208</v>
      </c>
      <c r="G316" s="253" t="inlineStr">
        <is>
          <t>Restaurant</t>
        </is>
      </c>
      <c r="H316" s="253" t="inlineStr">
        <is>
          <t>Cash</t>
        </is>
      </c>
      <c r="I316" s="254" t="inlineStr">
        <is>
          <t>✅ Paid</t>
        </is>
      </c>
      <c r="J316" s="269" t="inlineStr">
        <is>
          <t>Handwritten note</t>
        </is>
      </c>
    </row>
    <row r="317">
      <c r="B317" s="246" t="n">
        <v>46194</v>
      </c>
      <c r="C317" s="247" t="inlineStr">
        <is>
          <t>Papa (3 x $35)</t>
        </is>
      </c>
      <c r="D317" s="248" t="inlineStr">
        <is>
          <t>Papas San Miguel</t>
        </is>
      </c>
      <c r="E317" s="247" t="inlineStr">
        <is>
          <t>Ingredients - Vegetables</t>
        </is>
      </c>
      <c r="F317" s="67" t="n">
        <v>105</v>
      </c>
      <c r="G317" s="249" t="inlineStr">
        <is>
          <t>Restaurant</t>
        </is>
      </c>
      <c r="H317" s="249" t="inlineStr">
        <is>
          <t>Cash</t>
        </is>
      </c>
      <c r="I317" s="250" t="inlineStr">
        <is>
          <t>✅ Paid</t>
        </is>
      </c>
      <c r="J317" s="269" t="n"/>
    </row>
    <row r="318">
      <c r="B318" s="246" t="n">
        <v>46194</v>
      </c>
      <c r="C318" s="251" t="inlineStr">
        <is>
          <t>Aguacate Hass + habanero</t>
        </is>
      </c>
      <c r="D318" s="252" t="inlineStr">
        <is>
          <t>Rey Tacamba</t>
        </is>
      </c>
      <c r="E318" s="251" t="inlineStr">
        <is>
          <t>Ingredients - Vegetables</t>
        </is>
      </c>
      <c r="F318" s="70" t="n">
        <v>214</v>
      </c>
      <c r="G318" s="253" t="inlineStr">
        <is>
          <t>Restaurant</t>
        </is>
      </c>
      <c r="H318" s="253" t="inlineStr">
        <is>
          <t>Cash</t>
        </is>
      </c>
      <c r="I318" s="254" t="inlineStr">
        <is>
          <t>✅ Paid</t>
        </is>
      </c>
      <c r="J318" s="269" t="inlineStr">
        <is>
          <t>Hass $94 + habanero $120</t>
        </is>
      </c>
    </row>
    <row r="319">
      <c r="B319" s="246" t="n">
        <v>46194</v>
      </c>
      <c r="C319" s="247" t="inlineStr">
        <is>
          <t>Chicharrón (1 hoja)</t>
        </is>
      </c>
      <c r="D319" s="248" t="inlineStr">
        <is>
          <t>Chicharronería San Nicolás</t>
        </is>
      </c>
      <c r="E319" s="247" t="inlineStr">
        <is>
          <t>Ingredients - Meat</t>
        </is>
      </c>
      <c r="F319" s="67" t="n">
        <v>89</v>
      </c>
      <c r="G319" s="249" t="inlineStr">
        <is>
          <t>Restaurant</t>
        </is>
      </c>
      <c r="H319" s="249" t="inlineStr">
        <is>
          <t>Cash</t>
        </is>
      </c>
      <c r="I319" s="250" t="inlineStr">
        <is>
          <t>✅ Paid</t>
        </is>
      </c>
      <c r="J319" s="269" t="inlineStr">
        <is>
          <t>Corrected to \ per Reddy (was read as 899)</t>
        </is>
      </c>
    </row>
    <row r="320">
      <c r="B320" s="246" t="n">
        <v>46194</v>
      </c>
      <c r="C320" s="251" t="inlineStr">
        <is>
          <t>Vasos, tapas, cucharas, biocup vaso papel</t>
        </is>
      </c>
      <c r="D320" s="252" t="inlineStr">
        <is>
          <t>MPPD - Materias Primas Plasticos</t>
        </is>
      </c>
      <c r="E320" s="251" t="inlineStr">
        <is>
          <t>Packaging/Disposables</t>
        </is>
      </c>
      <c r="F320" s="70" t="n">
        <v>295.73</v>
      </c>
      <c r="G320" s="253" t="inlineStr">
        <is>
          <t>Restaurant</t>
        </is>
      </c>
      <c r="H320" s="253" t="inlineStr">
        <is>
          <t>Cash</t>
        </is>
      </c>
      <c r="I320" s="254" t="inlineStr">
        <is>
          <t>✅ Paid</t>
        </is>
      </c>
      <c r="J320" s="269" t="inlineStr">
        <is>
          <t>Folio 381088</t>
        </is>
      </c>
    </row>
    <row r="321">
      <c r="B321" s="246" t="n">
        <v>46194</v>
      </c>
      <c r="C321" s="247" t="inlineStr">
        <is>
          <t>Cilantro, hierbabuena, lechuga italiana</t>
        </is>
      </c>
      <c r="D321" s="248" t="inlineStr">
        <is>
          <t>Hnos. Labra's</t>
        </is>
      </c>
      <c r="E321" s="247" t="inlineStr">
        <is>
          <t>Ingredients - Vegetables</t>
        </is>
      </c>
      <c r="F321" s="67" t="n">
        <v>215</v>
      </c>
      <c r="G321" s="249" t="inlineStr">
        <is>
          <t>Restaurant</t>
        </is>
      </c>
      <c r="H321" s="249" t="inlineStr">
        <is>
          <t>Cash</t>
        </is>
      </c>
      <c r="I321" s="250" t="inlineStr">
        <is>
          <t>✅ Paid</t>
        </is>
      </c>
      <c r="J321" s="269" t="n"/>
    </row>
    <row r="322">
      <c r="B322" s="246" t="n">
        <v>46194</v>
      </c>
      <c r="C322" s="251" t="inlineStr">
        <is>
          <t>Pens (office/stationery)</t>
        </is>
      </c>
      <c r="D322" s="252" t="inlineStr">
        <is>
          <t>Local purchase</t>
        </is>
      </c>
      <c r="E322" s="251" t="inlineStr">
        <is>
          <t>Office Supplies</t>
        </is>
      </c>
      <c r="F322" s="70" t="n">
        <v>30</v>
      </c>
      <c r="G322" s="253" t="inlineStr">
        <is>
          <t>Restaurant</t>
        </is>
      </c>
      <c r="H322" s="253" t="inlineStr">
        <is>
          <t>Cash</t>
        </is>
      </c>
      <c r="I322" s="254" t="inlineStr">
        <is>
          <t>✅ Paid</t>
        </is>
      </c>
      <c r="J322" s="269" t="inlineStr">
        <is>
          <t>No receipt</t>
        </is>
      </c>
    </row>
    <row r="323">
      <c r="B323" s="246" t="n">
        <v>46194</v>
      </c>
      <c r="C323" s="247" t="inlineStr">
        <is>
          <t>Restaurant Command booklet (comandas)</t>
        </is>
      </c>
      <c r="D323" s="248" t="inlineStr">
        <is>
          <t>Local purchase</t>
        </is>
      </c>
      <c r="E323" s="247" t="inlineStr">
        <is>
          <t>Office Supplies</t>
        </is>
      </c>
      <c r="F323" s="67" t="n">
        <v>59</v>
      </c>
      <c r="G323" s="249" t="inlineStr">
        <is>
          <t>Restaurant</t>
        </is>
      </c>
      <c r="H323" s="249" t="inlineStr">
        <is>
          <t>Cash</t>
        </is>
      </c>
      <c r="I323" s="250" t="inlineStr">
        <is>
          <t>✅ Paid</t>
        </is>
      </c>
      <c r="J323" s="269" t="inlineStr">
        <is>
          <t>No receipt — order pads</t>
        </is>
      </c>
    </row>
    <row r="324">
      <c r="B324" s="246" t="n">
        <v>46195</v>
      </c>
      <c r="C324" s="251" t="inlineStr">
        <is>
          <t>Pollo: muslo 4.95kg, pechuga 3.32kg, milanesa 1.64kg, ala 1.74kg</t>
        </is>
      </c>
      <c r="D324" s="252" t="inlineStr">
        <is>
          <t>Polleria local</t>
        </is>
      </c>
      <c r="E324" s="251" t="inlineStr">
        <is>
          <t>Ingredients - Meat</t>
        </is>
      </c>
      <c r="F324" s="70" t="n">
        <v>940</v>
      </c>
      <c r="G324" s="253" t="inlineStr">
        <is>
          <t>Restaurant</t>
        </is>
      </c>
      <c r="H324" s="253" t="inlineStr">
        <is>
          <t>Cash</t>
        </is>
      </c>
      <c r="I324" s="254" t="inlineStr">
        <is>
          <t>✅ Paid</t>
        </is>
      </c>
      <c r="J324" s="269" t="inlineStr">
        <is>
          <t>Nota remision LOKA Cafe</t>
        </is>
      </c>
    </row>
    <row r="325">
      <c r="B325" s="246" t="n">
        <v>46195</v>
      </c>
      <c r="C325" s="247" t="inlineStr">
        <is>
          <t>Carne ~3 kg</t>
        </is>
      </c>
      <c r="D325" s="248" t="inlineStr">
        <is>
          <t>Miscelanea LC La Cruz</t>
        </is>
      </c>
      <c r="E325" s="247" t="inlineStr">
        <is>
          <t>Ingredients - Meat</t>
        </is>
      </c>
      <c r="F325" s="67" t="n">
        <v>291</v>
      </c>
      <c r="G325" s="249" t="inlineStr">
        <is>
          <t>Restaurant</t>
        </is>
      </c>
      <c r="H325" s="249" t="inlineStr">
        <is>
          <t>Card</t>
        </is>
      </c>
      <c r="I325" s="250" t="inlineStr">
        <is>
          <t>✅ Paid</t>
        </is>
      </c>
      <c r="J325" s="269" t="inlineStr">
        <is>
          <t>Getnet 3982 Aut 358593</t>
        </is>
      </c>
    </row>
    <row r="326">
      <c r="B326" s="246" t="n">
        <v>46195</v>
      </c>
      <c r="C326" s="251" t="inlineStr">
        <is>
          <t>Agua natural</t>
        </is>
      </c>
      <c r="D326" s="252" t="inlineStr">
        <is>
          <t>Local purchase</t>
        </is>
      </c>
      <c r="E326" s="251" t="inlineStr">
        <is>
          <t>Ingredients - Beverages</t>
        </is>
      </c>
      <c r="F326" s="70" t="n">
        <v>60</v>
      </c>
      <c r="G326" s="253" t="inlineStr">
        <is>
          <t>Restaurant</t>
        </is>
      </c>
      <c r="H326" s="253" t="inlineStr">
        <is>
          <t>Cash</t>
        </is>
      </c>
      <c r="I326" s="254" t="inlineStr">
        <is>
          <t>✅ Paid</t>
        </is>
      </c>
      <c r="J326" s="269" t="inlineStr">
        <is>
          <t>No receipt</t>
        </is>
      </c>
    </row>
    <row r="327">
      <c r="B327" s="246" t="n">
        <v>46195</v>
      </c>
      <c r="C327" s="247" t="inlineStr">
        <is>
          <t>Tortillas</t>
        </is>
      </c>
      <c r="D327" s="248" t="inlineStr">
        <is>
          <t>Local purchase</t>
        </is>
      </c>
      <c r="E327" s="247" t="inlineStr">
        <is>
          <t>Ingredients - Bread</t>
        </is>
      </c>
      <c r="F327" s="67" t="n">
        <v>26</v>
      </c>
      <c r="G327" s="249" t="inlineStr">
        <is>
          <t>Restaurant</t>
        </is>
      </c>
      <c r="H327" s="249" t="inlineStr">
        <is>
          <t>Cash</t>
        </is>
      </c>
      <c r="I327" s="250" t="inlineStr">
        <is>
          <t>✅ Paid</t>
        </is>
      </c>
      <c r="J327" s="269" t="inlineStr">
        <is>
          <t>No receipt</t>
        </is>
      </c>
    </row>
    <row r="328">
      <c r="B328" s="246" t="n">
        <v>46195</v>
      </c>
      <c r="C328" s="251" t="inlineStr">
        <is>
          <t>Pan dulces</t>
        </is>
      </c>
      <c r="D328" s="252" t="inlineStr">
        <is>
          <t>Local purchase</t>
        </is>
      </c>
      <c r="E328" s="251" t="inlineStr">
        <is>
          <t>Ingredients - Bread</t>
        </is>
      </c>
      <c r="F328" s="70" t="n">
        <v>134</v>
      </c>
      <c r="G328" s="253" t="inlineStr">
        <is>
          <t>Restaurant</t>
        </is>
      </c>
      <c r="H328" s="253" t="inlineStr">
        <is>
          <t>Cash</t>
        </is>
      </c>
      <c r="I328" s="254" t="inlineStr">
        <is>
          <t>✅ Paid</t>
        </is>
      </c>
      <c r="J328" s="269" t="inlineStr">
        <is>
          <t>No receipt</t>
        </is>
      </c>
    </row>
    <row r="329">
      <c r="B329" s="246" t="n">
        <v>46192</v>
      </c>
      <c r="C329" s="247" t="inlineStr">
        <is>
          <t>Panko (x2)</t>
        </is>
      </c>
      <c r="D329" s="248" t="inlineStr">
        <is>
          <t>Molino y Condimentos La Cruz</t>
        </is>
      </c>
      <c r="E329" s="247" t="inlineStr">
        <is>
          <t>Ingredients - Pantry</t>
        </is>
      </c>
      <c r="F329" s="67" t="n">
        <v>196</v>
      </c>
      <c r="G329" s="249" t="inlineStr">
        <is>
          <t>Restaurant</t>
        </is>
      </c>
      <c r="H329" s="249" t="inlineStr">
        <is>
          <t>Cash</t>
        </is>
      </c>
      <c r="I329" s="250" t="inlineStr">
        <is>
          <t>✅ Paid</t>
        </is>
      </c>
      <c r="J329" s="269" t="inlineStr">
        <is>
          <t>Nota 202067 back-dated 19 Jun; paid by another person, reimbursed by Lohith 22-Jun</t>
        </is>
      </c>
    </row>
    <row r="330">
      <c r="B330" s="246" t="n">
        <v>46192</v>
      </c>
      <c r="C330" s="251" t="inlineStr">
        <is>
          <t>Papel alimenticio (food paper)</t>
        </is>
      </c>
      <c r="D330" s="252" t="inlineStr">
        <is>
          <t>Guimar Polietilenos</t>
        </is>
      </c>
      <c r="E330" s="251" t="inlineStr">
        <is>
          <t>Packaging/Disposables</t>
        </is>
      </c>
      <c r="F330" s="70" t="n">
        <v>35</v>
      </c>
      <c r="G330" s="253" t="inlineStr">
        <is>
          <t>Restaurant</t>
        </is>
      </c>
      <c r="H330" s="253" t="inlineStr">
        <is>
          <t>Cash</t>
        </is>
      </c>
      <c r="I330" s="254" t="inlineStr">
        <is>
          <t>✅ Paid</t>
        </is>
      </c>
      <c r="J330" s="269" t="inlineStr">
        <is>
          <t>Folio XCC37706 back-dated 19 Jun; paid by another person, reimbursed by Lohith 22-Jun</t>
        </is>
      </c>
    </row>
    <row r="331">
      <c r="B331" s="246" t="n">
        <v>46196</v>
      </c>
      <c r="C331" s="247" t="inlineStr">
        <is>
          <t>Sushi ingredients: arroz para sushi + alga nori</t>
        </is>
      </c>
      <c r="D331" s="248" t="inlineStr">
        <is>
          <t>H-E-B</t>
        </is>
      </c>
      <c r="E331" s="247" t="inlineStr">
        <is>
          <t>Ingredients - Pantry</t>
        </is>
      </c>
      <c r="F331" s="67" t="n">
        <v>269.5</v>
      </c>
      <c r="G331" s="249" t="inlineStr">
        <is>
          <t>Restaurant</t>
        </is>
      </c>
      <c r="H331" s="249" t="inlineStr">
        <is>
          <t>Card</t>
        </is>
      </c>
      <c r="I331" s="250" t="inlineStr">
        <is>
          <t>✅ Paid</t>
        </is>
      </c>
      <c r="J331" s="269" t="inlineStr">
        <is>
          <t>CB PROSA 3982 Aut 766296 (part of 366 ticket)</t>
        </is>
      </c>
    </row>
    <row r="332">
      <c r="B332" s="246" t="n">
        <v>46196</v>
      </c>
      <c r="C332" s="251" t="inlineStr">
        <is>
          <t>Sushi supplies: makisu mat + palillos</t>
        </is>
      </c>
      <c r="D332" s="252" t="inlineStr">
        <is>
          <t>H-E-B</t>
        </is>
      </c>
      <c r="E332" s="251" t="inlineStr">
        <is>
          <t>Kitchen Supplies</t>
        </is>
      </c>
      <c r="F332" s="70" t="n">
        <v>96.5</v>
      </c>
      <c r="G332" s="253" t="inlineStr">
        <is>
          <t>Restaurant</t>
        </is>
      </c>
      <c r="H332" s="253" t="inlineStr">
        <is>
          <t>Card</t>
        </is>
      </c>
      <c r="I332" s="254" t="inlineStr">
        <is>
          <t>✅ Paid</t>
        </is>
      </c>
      <c r="J332" s="269" t="inlineStr">
        <is>
          <t>Part of 366 H-E-B ticket</t>
        </is>
      </c>
    </row>
    <row r="333">
      <c r="B333" s="246" t="n">
        <v>46196</v>
      </c>
      <c r="C333" s="247" t="inlineStr">
        <is>
          <t>Carne / meat (handwritten remision)</t>
        </is>
      </c>
      <c r="D333" s="248" t="inlineStr">
        <is>
          <t>Miscelanea LC La Cruz</t>
        </is>
      </c>
      <c r="E333" s="247" t="inlineStr">
        <is>
          <t>Ingredients - Meat</t>
        </is>
      </c>
      <c r="F333" s="67" t="n">
        <v>151</v>
      </c>
      <c r="G333" s="249" t="inlineStr">
        <is>
          <t>Restaurant</t>
        </is>
      </c>
      <c r="H333" s="249" t="inlineStr">
        <is>
          <t>Card</t>
        </is>
      </c>
      <c r="I333" s="250" t="inlineStr">
        <is>
          <t>✅ Paid</t>
        </is>
      </c>
      <c r="J333" s="269" t="inlineStr">
        <is>
          <t>Getnet 3982 Aut 993325</t>
        </is>
      </c>
    </row>
    <row r="334">
      <c r="B334" s="246" t="n">
        <v>46196</v>
      </c>
      <c r="C334" s="251" t="inlineStr">
        <is>
          <t>Hielo (ice)</t>
        </is>
      </c>
      <c r="D334" s="252" t="inlineStr">
        <is>
          <t>Local purchase</t>
        </is>
      </c>
      <c r="E334" s="251" t="inlineStr">
        <is>
          <t>Ingredients - Beverages</t>
        </is>
      </c>
      <c r="F334" s="70" t="n">
        <v>150</v>
      </c>
      <c r="G334" s="253" t="inlineStr">
        <is>
          <t>Restaurant</t>
        </is>
      </c>
      <c r="H334" s="253" t="inlineStr">
        <is>
          <t>Cash</t>
        </is>
      </c>
      <c r="I334" s="254" t="inlineStr">
        <is>
          <t>✅ Paid</t>
        </is>
      </c>
      <c r="J334" s="269" t="inlineStr">
        <is>
          <t>No bill</t>
        </is>
      </c>
    </row>
    <row r="335">
      <c r="B335" s="246" t="n">
        <v>46196</v>
      </c>
      <c r="C335" s="247" t="inlineStr">
        <is>
          <t>Pan molido (breadcrumbs)</t>
        </is>
      </c>
      <c r="D335" s="248" t="inlineStr">
        <is>
          <t>Local purchase</t>
        </is>
      </c>
      <c r="E335" s="247" t="inlineStr">
        <is>
          <t>Ingredients - Pantry</t>
        </is>
      </c>
      <c r="F335" s="67" t="n">
        <v>46</v>
      </c>
      <c r="G335" s="249" t="inlineStr">
        <is>
          <t>Restaurant</t>
        </is>
      </c>
      <c r="H335" s="249" t="inlineStr">
        <is>
          <t>Cash</t>
        </is>
      </c>
      <c r="I335" s="250" t="inlineStr">
        <is>
          <t>✅ Paid</t>
        </is>
      </c>
      <c r="J335" s="269" t="inlineStr">
        <is>
          <t>No bill</t>
        </is>
      </c>
    </row>
    <row r="336">
      <c r="B336" s="246" t="n">
        <v>46196</v>
      </c>
      <c r="C336" s="251" t="inlineStr">
        <is>
          <t>Tortillas blanca 3.395 kg</t>
        </is>
      </c>
      <c r="D336" s="252" t="inlineStr">
        <is>
          <t>Chedraui Selecto</t>
        </is>
      </c>
      <c r="E336" s="251" t="inlineStr">
        <is>
          <t>Ingredients - Bread</t>
        </is>
      </c>
      <c r="F336" s="70" t="n">
        <v>44.13</v>
      </c>
      <c r="G336" s="253" t="inlineStr">
        <is>
          <t>Restaurant</t>
        </is>
      </c>
      <c r="H336" s="253" t="inlineStr">
        <is>
          <t>Card</t>
        </is>
      </c>
      <c r="I336" s="254" t="inlineStr">
        <is>
          <t>✅ Paid</t>
        </is>
      </c>
      <c r="J336" s="269" t="inlineStr">
        <is>
          <t>Debito BBVA 3982 Aut 651338 Folio 2606230937026818</t>
        </is>
      </c>
    </row>
    <row r="337">
      <c r="B337" s="246" t="n">
        <v>46197</v>
      </c>
      <c r="C337" s="247" t="inlineStr">
        <is>
          <t>Queso crema Lala 190g x2</t>
        </is>
      </c>
      <c r="D337" s="248" t="inlineStr">
        <is>
          <t>Chedraui Paseo</t>
        </is>
      </c>
      <c r="E337" s="247" t="inlineStr">
        <is>
          <t>Ingredients - Dairy</t>
        </is>
      </c>
      <c r="F337" s="67" t="n">
        <v>72</v>
      </c>
      <c r="G337" s="249" t="inlineStr">
        <is>
          <t>Restaurant</t>
        </is>
      </c>
      <c r="H337" s="249" t="inlineStr">
        <is>
          <t>Card</t>
        </is>
      </c>
      <c r="I337" s="250" t="inlineStr">
        <is>
          <t>✅ Paid</t>
        </is>
      </c>
      <c r="J337" s="269" t="inlineStr">
        <is>
          <t>Debito BBVA 3982; Chedraui Paseo ticket total 126.33 (crema+tortillas), dairy portion</t>
        </is>
      </c>
    </row>
    <row r="338">
      <c r="B338" s="246" t="n">
        <v>46197</v>
      </c>
      <c r="C338" s="251" t="inlineStr">
        <is>
          <t>Tortillas blancas x2</t>
        </is>
      </c>
      <c r="D338" s="252" t="inlineStr">
        <is>
          <t>Chedraui Paseo</t>
        </is>
      </c>
      <c r="E338" s="251" t="inlineStr">
        <is>
          <t>Ingredients - Bread</t>
        </is>
      </c>
      <c r="F338" s="70" t="n">
        <v>54.33</v>
      </c>
      <c r="G338" s="253" t="inlineStr">
        <is>
          <t>Restaurant</t>
        </is>
      </c>
      <c r="H338" s="253" t="inlineStr">
        <is>
          <t>Card</t>
        </is>
      </c>
      <c r="I338" s="254" t="inlineStr">
        <is>
          <t>✅ Paid</t>
        </is>
      </c>
      <c r="J338" s="269" t="inlineStr">
        <is>
          <t>Debito BBVA 3982; same Chedraui ticket, bread portion</t>
        </is>
      </c>
    </row>
    <row r="339">
      <c r="B339" s="246" t="n">
        <v>46197</v>
      </c>
      <c r="C339" s="247" t="inlineStr">
        <is>
          <t>Crema acida x2</t>
        </is>
      </c>
      <c r="D339" s="248" t="inlineStr">
        <is>
          <t>Sam's Club</t>
        </is>
      </c>
      <c r="E339" s="247" t="inlineStr">
        <is>
          <t>Ingredients - Dairy</t>
        </is>
      </c>
      <c r="F339" s="67" t="n">
        <v>479.84</v>
      </c>
      <c r="G339" s="249" t="inlineStr">
        <is>
          <t>Restaurant</t>
        </is>
      </c>
      <c r="H339" s="249" t="inlineStr">
        <is>
          <t>Card</t>
        </is>
      </c>
      <c r="I339" s="250" t="inlineStr">
        <is>
          <t>✅ Paid</t>
        </is>
      </c>
      <c r="J339" s="269" t="inlineStr">
        <is>
          <t>Debito Mastercard **82; Sam's ticket 1512.00 net of cuponera -32.73 + descuento -34.77; dairy portion of split</t>
        </is>
      </c>
    </row>
    <row r="340">
      <c r="B340" s="246" t="n">
        <v>46197</v>
      </c>
      <c r="C340" s="251" t="inlineStr">
        <is>
          <t>Condimix 3.6, Mayo Real, Arroz Morel</t>
        </is>
      </c>
      <c r="D340" s="252" t="inlineStr">
        <is>
          <t>Sam's Club</t>
        </is>
      </c>
      <c r="E340" s="251" t="inlineStr">
        <is>
          <t>Ingredients - Pantry</t>
        </is>
      </c>
      <c r="F340" s="70" t="n">
        <v>1032.16</v>
      </c>
      <c r="G340" s="253" t="inlineStr">
        <is>
          <t>Restaurant</t>
        </is>
      </c>
      <c r="H340" s="253" t="inlineStr">
        <is>
          <t>Card</t>
        </is>
      </c>
      <c r="I340" s="254" t="inlineStr">
        <is>
          <t>✅ Paid</t>
        </is>
      </c>
      <c r="J340" s="269" t="inlineStr">
        <is>
          <t>Debito Mastercard **82; pantry portion of 1512.00 Sam's ticket</t>
        </is>
      </c>
    </row>
    <row r="341">
      <c r="B341" s="246" t="n">
        <v>46197</v>
      </c>
      <c r="C341" s="247" t="inlineStr">
        <is>
          <t>Gas LP</t>
        </is>
      </c>
      <c r="D341" s="248" t="inlineStr">
        <is>
          <t>Gas Tomza de Mexico</t>
        </is>
      </c>
      <c r="E341" s="247" t="inlineStr">
        <is>
          <t>Utilities/Gas</t>
        </is>
      </c>
      <c r="F341" s="67" t="n">
        <v>1499.52</v>
      </c>
      <c r="G341" s="249" t="inlineStr">
        <is>
          <t>Restaurant</t>
        </is>
      </c>
      <c r="H341" s="249" t="inlineStr">
        <is>
          <t>Cash</t>
        </is>
      </c>
      <c r="I341" s="250" t="inlineStr">
        <is>
          <t>✅ Paid</t>
        </is>
      </c>
      <c r="J341" s="269" t="inlineStr">
        <is>
          <t>Remision 8900 @ $10.58/L IVA incl; pague antes 25/06; paid cash</t>
        </is>
      </c>
    </row>
    <row r="342">
      <c r="B342" s="246" t="n">
        <v>46197</v>
      </c>
      <c r="C342" s="251" t="inlineStr">
        <is>
          <t>Filete de salmon 1.03 kg @ 350/kg</t>
        </is>
      </c>
      <c r="D342" s="252" t="inlineStr">
        <is>
          <t>Brisa del Mar</t>
        </is>
      </c>
      <c r="E342" s="251" t="inlineStr">
        <is>
          <t>Ingredients - Meat &amp; Fish</t>
        </is>
      </c>
      <c r="F342" s="70" t="n">
        <v>360.5</v>
      </c>
      <c r="G342" s="253" t="inlineStr">
        <is>
          <t>Restaurant</t>
        </is>
      </c>
      <c r="H342" s="253" t="inlineStr">
        <is>
          <t>Cash</t>
        </is>
      </c>
      <c r="I342" s="254" t="inlineStr">
        <is>
          <t>✅ Paid</t>
        </is>
      </c>
      <c r="J342" s="269" t="inlineStr">
        <is>
          <t>Contado; NT 027672</t>
        </is>
      </c>
    </row>
    <row r="343">
      <c r="B343" s="246" t="n">
        <v>46197</v>
      </c>
      <c r="C343" s="247" t="inlineStr">
        <is>
          <t>Naranjada 1L x6</t>
        </is>
      </c>
      <c r="D343" s="248" t="inlineStr">
        <is>
          <t>Casa Reca</t>
        </is>
      </c>
      <c r="E343" s="247" t="inlineStr">
        <is>
          <t>Ingredients - Beverages</t>
        </is>
      </c>
      <c r="F343" s="67" t="n">
        <v>150</v>
      </c>
      <c r="G343" s="249" t="inlineStr">
        <is>
          <t>Restaurant</t>
        </is>
      </c>
      <c r="H343" s="249" t="inlineStr">
        <is>
          <t>Cash</t>
        </is>
      </c>
      <c r="I343" s="250" t="inlineStr">
        <is>
          <t>✅ Paid</t>
        </is>
      </c>
      <c r="J343" s="269" t="inlineStr">
        <is>
          <t>Nota QR-37; 6 pzas; canje CJ-4 (horchata/naranjada/tamarindo) $0; paid cash</t>
        </is>
      </c>
    </row>
    <row r="344">
      <c r="B344" s="246" t="n">
        <v>46197</v>
      </c>
      <c r="C344" s="251" t="inlineStr">
        <is>
          <t>Papas (potatoes)</t>
        </is>
      </c>
      <c r="D344" s="252" t="inlineStr">
        <is>
          <t>Local purchase</t>
        </is>
      </c>
      <c r="E344" s="251" t="inlineStr">
        <is>
          <t>Ingredients - Vegetables</t>
        </is>
      </c>
      <c r="F344" s="70" t="n">
        <v>133</v>
      </c>
      <c r="G344" s="253" t="inlineStr">
        <is>
          <t>Restaurant</t>
        </is>
      </c>
      <c r="H344" s="253" t="inlineStr">
        <is>
          <t>Cash</t>
        </is>
      </c>
      <c r="I344" s="254" t="inlineStr">
        <is>
          <t>✅ Paid</t>
        </is>
      </c>
      <c r="J344" s="269" t="inlineStr">
        <is>
          <t>No bill</t>
        </is>
      </c>
    </row>
    <row r="345">
      <c r="B345" s="246" t="n">
        <v>46198</v>
      </c>
      <c r="C345" s="247" t="inlineStr">
        <is>
          <t>Muslo (chicken thigh) ~12.3 kg @ $50/kg</t>
        </is>
      </c>
      <c r="D345" s="248" t="inlineStr">
        <is>
          <t>Oh lele / Local</t>
        </is>
      </c>
      <c r="E345" s="247" t="inlineStr">
        <is>
          <t>Ingredients - Meat</t>
        </is>
      </c>
      <c r="F345" s="67" t="n">
        <v>615</v>
      </c>
      <c r="G345" s="249" t="inlineStr">
        <is>
          <t>Restaurant</t>
        </is>
      </c>
      <c r="H345" s="249" t="inlineStr">
        <is>
          <t>Cash</t>
        </is>
      </c>
      <c r="I345" s="250" t="inlineStr">
        <is>
          <t>✅ Paid</t>
        </is>
      </c>
      <c r="J345" s="269" t="inlineStr">
        <is>
          <t>Nota de remision (handwritten, Loka Cafe); total $615; cash</t>
        </is>
      </c>
    </row>
    <row r="346">
      <c r="B346" s="246" t="n">
        <v>46198</v>
      </c>
      <c r="C346" s="251" t="inlineStr">
        <is>
          <t>Costilla cd (pork ribs) 3.15 kg @ ~$103/kg</t>
        </is>
      </c>
      <c r="D346" s="252" t="inlineStr">
        <is>
          <t>Miscelanea LC La Cruz</t>
        </is>
      </c>
      <c r="E346" s="251" t="inlineStr">
        <is>
          <t>Ingredients - Meat</t>
        </is>
      </c>
      <c r="F346" s="70" t="n">
        <v>318</v>
      </c>
      <c r="G346" s="253" t="inlineStr">
        <is>
          <t>Restaurant</t>
        </is>
      </c>
      <c r="H346" s="253" t="inlineStr">
        <is>
          <t>Card</t>
        </is>
      </c>
      <c r="I346" s="254" t="inlineStr">
        <is>
          <t>✅ Paid</t>
        </is>
      </c>
      <c r="J346" s="269" t="inlineStr">
        <is>
          <t>Remision ~319 handwritten; Getnet card charge 318.00; card **3982 Aut 298095; LC remision partly illegible</t>
        </is>
      </c>
    </row>
    <row r="347">
      <c r="B347" s="246" t="n">
        <v>46198</v>
      </c>
      <c r="C347" s="247" t="inlineStr">
        <is>
          <t>Papas (potatoes)</t>
        </is>
      </c>
      <c r="D347" s="248" t="inlineStr">
        <is>
          <t>Local purchase</t>
        </is>
      </c>
      <c r="E347" s="247" t="inlineStr">
        <is>
          <t>Ingredients - Vegetables</t>
        </is>
      </c>
      <c r="F347" s="67" t="n">
        <v>64</v>
      </c>
      <c r="G347" s="249" t="inlineStr">
        <is>
          <t>Restaurant</t>
        </is>
      </c>
      <c r="H347" s="249" t="inlineStr">
        <is>
          <t>Cash</t>
        </is>
      </c>
      <c r="I347" s="250" t="inlineStr">
        <is>
          <t>✅ Paid</t>
        </is>
      </c>
      <c r="J347" s="269" t="inlineStr">
        <is>
          <t>No bill</t>
        </is>
      </c>
    </row>
    <row r="348">
      <c r="B348" s="246" t="n">
        <v>46198</v>
      </c>
      <c r="C348" s="251" t="inlineStr">
        <is>
          <t>Pan dulces</t>
        </is>
      </c>
      <c r="D348" s="252" t="inlineStr">
        <is>
          <t>Local purchase</t>
        </is>
      </c>
      <c r="E348" s="251" t="inlineStr">
        <is>
          <t>Ingredients - Bread</t>
        </is>
      </c>
      <c r="F348" s="70" t="n">
        <v>96</v>
      </c>
      <c r="G348" s="253" t="inlineStr">
        <is>
          <t>Restaurant</t>
        </is>
      </c>
      <c r="H348" s="253" t="inlineStr">
        <is>
          <t>Cash</t>
        </is>
      </c>
      <c r="I348" s="254" t="inlineStr">
        <is>
          <t>✅ Paid</t>
        </is>
      </c>
      <c r="J348" s="269" t="inlineStr">
        <is>
          <t>No bill</t>
        </is>
      </c>
    </row>
    <row r="349">
      <c r="B349" s="246" t="n">
        <v>46198</v>
      </c>
      <c r="C349" s="247" t="inlineStr">
        <is>
          <t>Agua natural</t>
        </is>
      </c>
      <c r="D349" s="248" t="inlineStr">
        <is>
          <t>Local purchase</t>
        </is>
      </c>
      <c r="E349" s="247" t="inlineStr">
        <is>
          <t>Supplies/Other</t>
        </is>
      </c>
      <c r="F349" s="67" t="n">
        <v>60</v>
      </c>
      <c r="G349" s="249" t="inlineStr">
        <is>
          <t>Restaurant</t>
        </is>
      </c>
      <c r="H349" s="249" t="inlineStr">
        <is>
          <t>Cash</t>
        </is>
      </c>
      <c r="I349" s="250" t="inlineStr">
        <is>
          <t>✅ Paid</t>
        </is>
      </c>
      <c r="J349" s="269" t="inlineStr">
        <is>
          <t>No bill</t>
        </is>
      </c>
    </row>
    <row r="350">
      <c r="B350" s="246" t="n">
        <v>46198</v>
      </c>
      <c r="C350" s="251" t="inlineStr">
        <is>
          <t>Frigadora (kitchenware)</t>
        </is>
      </c>
      <c r="D350" s="252" t="inlineStr">
        <is>
          <t>Local purchase</t>
        </is>
      </c>
      <c r="E350" s="251" t="inlineStr">
        <is>
          <t>Kitchen Supplies</t>
        </is>
      </c>
      <c r="F350" s="70" t="n">
        <v>45</v>
      </c>
      <c r="G350" s="253" t="inlineStr">
        <is>
          <t>Restaurant</t>
        </is>
      </c>
      <c r="H350" s="253" t="inlineStr">
        <is>
          <t>Cash</t>
        </is>
      </c>
      <c r="I350" s="254" t="inlineStr">
        <is>
          <t>✅ Paid</t>
        </is>
      </c>
      <c r="J350" s="269" t="inlineStr">
        <is>
          <t>No bill</t>
        </is>
      </c>
    </row>
    <row r="351">
      <c r="B351" s="246" t="n">
        <v>46198</v>
      </c>
      <c r="C351" s="247" t="inlineStr">
        <is>
          <t>Gancho (hook)</t>
        </is>
      </c>
      <c r="D351" s="248" t="inlineStr">
        <is>
          <t>Local purchase</t>
        </is>
      </c>
      <c r="E351" s="247" t="inlineStr">
        <is>
          <t>Supplies/Other</t>
        </is>
      </c>
      <c r="F351" s="67" t="n">
        <v>30</v>
      </c>
      <c r="G351" s="249" t="inlineStr">
        <is>
          <t>Restaurant</t>
        </is>
      </c>
      <c r="H351" s="249" t="inlineStr">
        <is>
          <t>Cash</t>
        </is>
      </c>
      <c r="I351" s="250" t="inlineStr">
        <is>
          <t>✅ Paid</t>
        </is>
      </c>
      <c r="J351" s="269" t="inlineStr">
        <is>
          <t>No bill</t>
        </is>
      </c>
    </row>
    <row r="352">
      <c r="B352" s="246" t="n">
        <v>46199</v>
      </c>
      <c r="C352" s="251" t="inlineStr">
        <is>
          <t>Zanahoria, cilantro, tomate (granel)</t>
        </is>
      </c>
      <c r="D352" s="252" t="inlineStr">
        <is>
          <t>Chedraui Paseo</t>
        </is>
      </c>
      <c r="E352" s="251" t="inlineStr">
        <is>
          <t>Ingredients - Vegetables</t>
        </is>
      </c>
      <c r="F352" s="70" t="n">
        <v>45.74</v>
      </c>
      <c r="G352" s="253" t="inlineStr">
        <is>
          <t>Restaurant</t>
        </is>
      </c>
      <c r="H352" s="253" t="inlineStr">
        <is>
          <t>Card</t>
        </is>
      </c>
      <c r="I352" s="254" t="inlineStr">
        <is>
          <t>✅ Paid</t>
        </is>
      </c>
      <c r="J352" s="269" t="inlineStr">
        <is>
          <t>Debito BBVA 3982; Chedraui ticket total 99.53 (veg+tortillas), veg portion</t>
        </is>
      </c>
    </row>
    <row r="353">
      <c r="B353" s="246" t="n">
        <v>46199</v>
      </c>
      <c r="C353" s="247" t="inlineStr">
        <is>
          <t>Tortillas blancas x2</t>
        </is>
      </c>
      <c r="D353" s="248" t="inlineStr">
        <is>
          <t>Chedraui Paseo</t>
        </is>
      </c>
      <c r="E353" s="247" t="inlineStr">
        <is>
          <t>Ingredients - Bread</t>
        </is>
      </c>
      <c r="F353" s="67" t="n">
        <v>53.79</v>
      </c>
      <c r="G353" s="249" t="inlineStr">
        <is>
          <t>Restaurant</t>
        </is>
      </c>
      <c r="H353" s="249" t="inlineStr">
        <is>
          <t>Card</t>
        </is>
      </c>
      <c r="I353" s="250" t="inlineStr">
        <is>
          <t>✅ Paid</t>
        </is>
      </c>
      <c r="J353" s="269" t="inlineStr">
        <is>
          <t>Debito BBVA 3982; same Chedraui ticket, bread portion</t>
        </is>
      </c>
    </row>
    <row r="354">
      <c r="B354" s="246" t="n">
        <v>46199</v>
      </c>
      <c r="C354" s="251" t="inlineStr">
        <is>
          <t>Curcuma (turmeric) 70g</t>
        </is>
      </c>
      <c r="D354" s="252" t="inlineStr">
        <is>
          <t>H-E-B</t>
        </is>
      </c>
      <c r="E354" s="251" t="inlineStr">
        <is>
          <t>Ingredients - Pantry</t>
        </is>
      </c>
      <c r="F354" s="70" t="n">
        <v>14</v>
      </c>
      <c r="G354" s="253" t="inlineStr">
        <is>
          <t>Restaurant</t>
        </is>
      </c>
      <c r="H354" s="253" t="inlineStr">
        <is>
          <t>Cash</t>
        </is>
      </c>
      <c r="I354" s="254" t="inlineStr">
        <is>
          <t>✅ Paid</t>
        </is>
      </c>
      <c r="J354" s="269" t="inlineStr">
        <is>
          <t>Efectivo; ticket 215/07/02997</t>
        </is>
      </c>
    </row>
    <row r="355">
      <c r="B355" s="246" t="n">
        <v>46199</v>
      </c>
      <c r="C355" s="247" t="inlineStr">
        <is>
          <t>Lechugas (lettuce)</t>
        </is>
      </c>
      <c r="D355" s="248" t="inlineStr">
        <is>
          <t>Local purchase</t>
        </is>
      </c>
      <c r="E355" s="247" t="inlineStr">
        <is>
          <t>Ingredients - Vegetables</t>
        </is>
      </c>
      <c r="F355" s="67" t="n">
        <v>40</v>
      </c>
      <c r="G355" s="249" t="inlineStr">
        <is>
          <t>Restaurant</t>
        </is>
      </c>
      <c r="H355" s="249" t="inlineStr">
        <is>
          <t>Cash</t>
        </is>
      </c>
      <c r="I355" s="250" t="inlineStr">
        <is>
          <t>✅ Paid</t>
        </is>
      </c>
      <c r="J355" s="269" t="inlineStr">
        <is>
          <t>No bill</t>
        </is>
      </c>
    </row>
    <row r="356">
      <c r="B356" s="246" t="n">
        <v>46199</v>
      </c>
      <c r="C356" s="251" t="inlineStr">
        <is>
          <t>Queso Panela</t>
        </is>
      </c>
      <c r="D356" s="252" t="inlineStr">
        <is>
          <t>Local purchase</t>
        </is>
      </c>
      <c r="E356" s="251" t="inlineStr">
        <is>
          <t>Ingredients - Dairy</t>
        </is>
      </c>
      <c r="F356" s="70" t="n">
        <v>592</v>
      </c>
      <c r="G356" s="253" t="inlineStr">
        <is>
          <t>Restaurant</t>
        </is>
      </c>
      <c r="H356" s="253" t="inlineStr">
        <is>
          <t>Cash</t>
        </is>
      </c>
      <c r="I356" s="254" t="inlineStr">
        <is>
          <t>✅ Paid</t>
        </is>
      </c>
      <c r="J356" s="269" t="inlineStr">
        <is>
          <t>No bill</t>
        </is>
      </c>
    </row>
    <row r="357">
      <c r="B357" s="246" t="n">
        <v>46201</v>
      </c>
      <c r="C357" s="247" t="inlineStr">
        <is>
          <t>Mi Huevo Blanco (white eggs) 5.59 kg @ $24/kg</t>
        </is>
      </c>
      <c r="D357" s="248" t="inlineStr">
        <is>
          <t>Delgado Semillas y Especias</t>
        </is>
      </c>
      <c r="E357" s="247" t="inlineStr">
        <is>
          <t>Ingredients - Eggs</t>
        </is>
      </c>
      <c r="F357" s="67" t="n">
        <v>134.16</v>
      </c>
      <c r="G357" s="249" t="inlineStr">
        <is>
          <t>Restaurant</t>
        </is>
      </c>
      <c r="H357" s="249" t="inlineStr">
        <is>
          <t>Cash</t>
        </is>
      </c>
      <c r="I357" s="250" t="inlineStr">
        <is>
          <t>✅ Paid</t>
        </is>
      </c>
      <c r="J357" s="269" t="inlineStr">
        <is>
          <t>Folio 134837; efectivo</t>
        </is>
      </c>
    </row>
    <row r="358">
      <c r="B358" s="246" t="n">
        <v>46201</v>
      </c>
      <c r="C358" s="251" t="inlineStr">
        <is>
          <t>Dart lids 10oz + Dart cups 10 + aluminum foil 45cm</t>
        </is>
      </c>
      <c r="D358" s="252" t="inlineStr">
        <is>
          <t>Basicos en Alimentos</t>
        </is>
      </c>
      <c r="E358" s="251" t="inlineStr">
        <is>
          <t>Supplies/Other</t>
        </is>
      </c>
      <c r="F358" s="70" t="n">
        <v>395</v>
      </c>
      <c r="G358" s="253" t="inlineStr">
        <is>
          <t>Restaurant</t>
        </is>
      </c>
      <c r="H358" s="253" t="inlineStr">
        <is>
          <t>Card</t>
        </is>
      </c>
      <c r="I358" s="254" t="inlineStr">
        <is>
          <t>✅ Paid</t>
        </is>
      </c>
      <c r="J358" s="269" t="inlineStr">
        <is>
          <t>Ticket Sec 93; 403.72 less desc 8.72; tarjeta debito</t>
        </is>
      </c>
    </row>
    <row r="359">
      <c r="B359" s="246" t="n">
        <v>46201</v>
      </c>
      <c r="C359" s="247" t="inlineStr">
        <is>
          <t>Fajilla de papel economica 1000pz</t>
        </is>
      </c>
      <c r="D359" s="248" t="inlineStr">
        <is>
          <t>Guimar Polietilenos</t>
        </is>
      </c>
      <c r="E359" s="247" t="inlineStr">
        <is>
          <t>Supplies/Other</t>
        </is>
      </c>
      <c r="F359" s="67" t="n">
        <v>104.4</v>
      </c>
      <c r="G359" s="249" t="inlineStr">
        <is>
          <t>Restaurant</t>
        </is>
      </c>
      <c r="H359" s="249" t="inlineStr">
        <is>
          <t>Card</t>
        </is>
      </c>
      <c r="I359" s="250" t="inlineStr">
        <is>
          <t>✅ Paid</t>
        </is>
      </c>
      <c r="J359" s="269" t="inlineStr">
        <is>
          <t>Folio AK89660; tarjeta debito</t>
        </is>
      </c>
    </row>
    <row r="360">
      <c r="B360" s="246" t="n">
        <v>46201</v>
      </c>
      <c r="C360" s="251" t="inlineStr">
        <is>
          <t>Vaso plastico 4CH Reyma 20/50 + Tapa vaso 20/50</t>
        </is>
      </c>
      <c r="D360" s="252" t="inlineStr">
        <is>
          <t>Guimar Polietilenos</t>
        </is>
      </c>
      <c r="E360" s="251" t="inlineStr">
        <is>
          <t>Supplies/Other</t>
        </is>
      </c>
      <c r="F360" s="70" t="n">
        <v>828</v>
      </c>
      <c r="G360" s="253" t="inlineStr">
        <is>
          <t>Restaurant</t>
        </is>
      </c>
      <c r="H360" s="253" t="inlineStr">
        <is>
          <t>Card</t>
        </is>
      </c>
      <c r="I360" s="254" t="inlineStr">
        <is>
          <t>✅ Paid</t>
        </is>
      </c>
      <c r="J360" s="269" t="inlineStr">
        <is>
          <t>Folio AK89656; ahorro 92; tarjeta debito</t>
        </is>
      </c>
    </row>
    <row r="361">
      <c r="B361" s="246" t="n">
        <v>46201</v>
      </c>
      <c r="C361" s="247" t="inlineStr">
        <is>
          <t>Gelatina D'Gari (durazno, fresa, pina) 120g</t>
        </is>
      </c>
      <c r="D361" s="248" t="inlineStr">
        <is>
          <t>Basicos en Alimentos</t>
        </is>
      </c>
      <c r="E361" s="247" t="inlineStr">
        <is>
          <t>Ingredients - Pantry</t>
        </is>
      </c>
      <c r="F361" s="67" t="n">
        <v>96</v>
      </c>
      <c r="G361" s="249" t="inlineStr">
        <is>
          <t>Restaurant</t>
        </is>
      </c>
      <c r="H361" s="249" t="inlineStr">
        <is>
          <t>Card</t>
        </is>
      </c>
      <c r="I361" s="250" t="inlineStr">
        <is>
          <t>✅ Paid</t>
        </is>
      </c>
      <c r="J361" s="269" t="inlineStr">
        <is>
          <t>Ticket Sec 77; dessert gelatin</t>
        </is>
      </c>
    </row>
    <row r="362">
      <c r="B362" s="246" t="n">
        <v>46201</v>
      </c>
      <c r="C362" s="251" t="inlineStr">
        <is>
          <t>Clorox King 5.8L + Detergente Roma 5kg</t>
        </is>
      </c>
      <c r="D362" s="252" t="inlineStr">
        <is>
          <t>Basicos en Alimentos</t>
        </is>
      </c>
      <c r="E362" s="251" t="inlineStr">
        <is>
          <t>Supplies/Other</t>
        </is>
      </c>
      <c r="F362" s="70" t="n">
        <v>297.5</v>
      </c>
      <c r="G362" s="253" t="inlineStr">
        <is>
          <t>Restaurant</t>
        </is>
      </c>
      <c r="H362" s="253" t="inlineStr">
        <is>
          <t>Card</t>
        </is>
      </c>
      <c r="I362" s="254" t="inlineStr">
        <is>
          <t>✅ Paid</t>
        </is>
      </c>
      <c r="J362" s="269" t="inlineStr">
        <is>
          <t>Ticket Sec 77; cleaning</t>
        </is>
      </c>
    </row>
    <row r="363">
      <c r="B363" s="246" t="n">
        <v>46201</v>
      </c>
      <c r="C363" s="247" t="inlineStr">
        <is>
          <t>Servilleta Maxima cuadrada 500pz x8</t>
        </is>
      </c>
      <c r="D363" s="248" t="inlineStr">
        <is>
          <t>Basicos en Alimentos</t>
        </is>
      </c>
      <c r="E363" s="247" t="inlineStr">
        <is>
          <t>Supplies/Other</t>
        </is>
      </c>
      <c r="F363" s="67" t="n">
        <v>340</v>
      </c>
      <c r="G363" s="249" t="inlineStr">
        <is>
          <t>Restaurant</t>
        </is>
      </c>
      <c r="H363" s="249" t="inlineStr">
        <is>
          <t>Card</t>
        </is>
      </c>
      <c r="I363" s="250" t="inlineStr">
        <is>
          <t>✅ Paid</t>
        </is>
      </c>
      <c r="J363" s="269" t="inlineStr">
        <is>
          <t>Ticket Sec 77; napkins</t>
        </is>
      </c>
    </row>
    <row r="364">
      <c r="B364" s="246" t="n">
        <v>46201</v>
      </c>
      <c r="C364" s="251" t="inlineStr">
        <is>
          <t>Manzana (apple)</t>
        </is>
      </c>
      <c r="D364" s="252" t="inlineStr">
        <is>
          <t>Local purchase</t>
        </is>
      </c>
      <c r="E364" s="251" t="inlineStr">
        <is>
          <t>Ingredients - Fruit</t>
        </is>
      </c>
      <c r="F364" s="70" t="n">
        <v>89</v>
      </c>
      <c r="G364" s="253" t="inlineStr">
        <is>
          <t>Restaurant</t>
        </is>
      </c>
      <c r="H364" s="253" t="inlineStr">
        <is>
          <t>Cash</t>
        </is>
      </c>
      <c r="I364" s="254" t="inlineStr">
        <is>
          <t>✅ Paid</t>
        </is>
      </c>
      <c r="J364" s="269" t="inlineStr">
        <is>
          <t>No bill</t>
        </is>
      </c>
    </row>
    <row r="365">
      <c r="B365" s="246" t="n">
        <v>46201</v>
      </c>
      <c r="C365" s="247" t="inlineStr">
        <is>
          <t>Pepino (cucumber)</t>
        </is>
      </c>
      <c r="D365" s="248" t="inlineStr">
        <is>
          <t>Local purchase</t>
        </is>
      </c>
      <c r="E365" s="247" t="inlineStr">
        <is>
          <t>Ingredients - Vegetables</t>
        </is>
      </c>
      <c r="F365" s="67" t="n">
        <v>80</v>
      </c>
      <c r="G365" s="249" t="inlineStr">
        <is>
          <t>Restaurant</t>
        </is>
      </c>
      <c r="H365" s="249" t="inlineStr">
        <is>
          <t>Cash</t>
        </is>
      </c>
      <c r="I365" s="250" t="inlineStr">
        <is>
          <t>✅ Paid</t>
        </is>
      </c>
      <c r="J365" s="269" t="inlineStr">
        <is>
          <t>No bill</t>
        </is>
      </c>
    </row>
    <row r="366">
      <c r="B366" s="246" t="n">
        <v>46201</v>
      </c>
      <c r="C366" s="251" t="inlineStr">
        <is>
          <t>Tomate verde (tomatillo)</t>
        </is>
      </c>
      <c r="D366" s="252" t="inlineStr">
        <is>
          <t>Local purchase</t>
        </is>
      </c>
      <c r="E366" s="251" t="inlineStr">
        <is>
          <t>Ingredients - Vegetables</t>
        </is>
      </c>
      <c r="F366" s="70" t="n">
        <v>80</v>
      </c>
      <c r="G366" s="253" t="inlineStr">
        <is>
          <t>Restaurant</t>
        </is>
      </c>
      <c r="H366" s="253" t="inlineStr">
        <is>
          <t>Cash</t>
        </is>
      </c>
      <c r="I366" s="254" t="inlineStr">
        <is>
          <t>✅ Paid</t>
        </is>
      </c>
      <c r="J366" s="269" t="inlineStr">
        <is>
          <t>No bill</t>
        </is>
      </c>
    </row>
    <row r="367">
      <c r="B367" s="246" t="n">
        <v>46201</v>
      </c>
      <c r="C367" s="247" t="inlineStr">
        <is>
          <t>Papas (potatoes)</t>
        </is>
      </c>
      <c r="D367" s="248" t="inlineStr">
        <is>
          <t>Local purchase</t>
        </is>
      </c>
      <c r="E367" s="247" t="inlineStr">
        <is>
          <t>Ingredients - Vegetables</t>
        </is>
      </c>
      <c r="F367" s="67" t="n">
        <v>195</v>
      </c>
      <c r="G367" s="249" t="inlineStr">
        <is>
          <t>Restaurant</t>
        </is>
      </c>
      <c r="H367" s="249" t="inlineStr">
        <is>
          <t>Cash</t>
        </is>
      </c>
      <c r="I367" s="250" t="inlineStr">
        <is>
          <t>✅ Paid</t>
        </is>
      </c>
      <c r="J367" s="269" t="inlineStr">
        <is>
          <t>No bill</t>
        </is>
      </c>
    </row>
    <row r="368">
      <c r="B368" s="246" t="n">
        <v>46201</v>
      </c>
      <c r="C368" s="251" t="inlineStr">
        <is>
          <t>Guayaba (guava)</t>
        </is>
      </c>
      <c r="D368" s="252" t="inlineStr">
        <is>
          <t>Local purchase</t>
        </is>
      </c>
      <c r="E368" s="251" t="inlineStr">
        <is>
          <t>Ingredients - Fruit</t>
        </is>
      </c>
      <c r="F368" s="70" t="n">
        <v>100</v>
      </c>
      <c r="G368" s="253" t="inlineStr">
        <is>
          <t>Restaurant</t>
        </is>
      </c>
      <c r="H368" s="253" t="inlineStr">
        <is>
          <t>Cash</t>
        </is>
      </c>
      <c r="I368" s="254" t="inlineStr">
        <is>
          <t>✅ Paid</t>
        </is>
      </c>
      <c r="J368" s="269" t="inlineStr">
        <is>
          <t>No bill</t>
        </is>
      </c>
    </row>
    <row r="369">
      <c r="B369" s="246" t="n">
        <v>46201</v>
      </c>
      <c r="C369" s="247" t="inlineStr">
        <is>
          <t>Platano (banana)</t>
        </is>
      </c>
      <c r="D369" s="248" t="inlineStr">
        <is>
          <t>Local purchase</t>
        </is>
      </c>
      <c r="E369" s="247" t="inlineStr">
        <is>
          <t>Ingredients - Fruit</t>
        </is>
      </c>
      <c r="F369" s="67" t="n">
        <v>54</v>
      </c>
      <c r="G369" s="249" t="inlineStr">
        <is>
          <t>Restaurant</t>
        </is>
      </c>
      <c r="H369" s="249" t="inlineStr">
        <is>
          <t>Cash</t>
        </is>
      </c>
      <c r="I369" s="250" t="inlineStr">
        <is>
          <t>✅ Paid</t>
        </is>
      </c>
      <c r="J369" s="269" t="inlineStr">
        <is>
          <t>No bill</t>
        </is>
      </c>
    </row>
    <row r="370">
      <c r="B370" s="246" t="n">
        <v>46201</v>
      </c>
      <c r="C370" s="251" t="inlineStr">
        <is>
          <t>Betabel (beet)</t>
        </is>
      </c>
      <c r="D370" s="252" t="inlineStr">
        <is>
          <t>Local purchase</t>
        </is>
      </c>
      <c r="E370" s="251" t="inlineStr">
        <is>
          <t>Ingredients - Vegetables</t>
        </is>
      </c>
      <c r="F370" s="70" t="n">
        <v>80</v>
      </c>
      <c r="G370" s="253" t="inlineStr">
        <is>
          <t>Restaurant</t>
        </is>
      </c>
      <c r="H370" s="253" t="inlineStr">
        <is>
          <t>Cash</t>
        </is>
      </c>
      <c r="I370" s="254" t="inlineStr">
        <is>
          <t>✅ Paid</t>
        </is>
      </c>
      <c r="J370" s="269" t="inlineStr">
        <is>
          <t>No bill</t>
        </is>
      </c>
    </row>
    <row r="371">
      <c r="B371" s="246" t="n">
        <v>46201</v>
      </c>
      <c r="C371" s="247" t="inlineStr">
        <is>
          <t>Cilantro</t>
        </is>
      </c>
      <c r="D371" s="248" t="inlineStr">
        <is>
          <t>Local purchase</t>
        </is>
      </c>
      <c r="E371" s="247" t="inlineStr">
        <is>
          <t>Ingredients - Vegetables</t>
        </is>
      </c>
      <c r="F371" s="67" t="n">
        <v>60</v>
      </c>
      <c r="G371" s="249" t="inlineStr">
        <is>
          <t>Restaurant</t>
        </is>
      </c>
      <c r="H371" s="249" t="inlineStr">
        <is>
          <t>Cash</t>
        </is>
      </c>
      <c r="I371" s="250" t="inlineStr">
        <is>
          <t>✅ Paid</t>
        </is>
      </c>
      <c r="J371" s="269" t="inlineStr">
        <is>
          <t>No bill</t>
        </is>
      </c>
    </row>
    <row r="372">
      <c r="B372" s="246" t="n">
        <v>46201</v>
      </c>
      <c r="C372" s="251" t="inlineStr">
        <is>
          <t>Nopal (cactus)</t>
        </is>
      </c>
      <c r="D372" s="252" t="inlineStr">
        <is>
          <t>Local purchase</t>
        </is>
      </c>
      <c r="E372" s="251" t="inlineStr">
        <is>
          <t>Ingredients - Vegetables</t>
        </is>
      </c>
      <c r="F372" s="70" t="n">
        <v>50</v>
      </c>
      <c r="G372" s="253" t="inlineStr">
        <is>
          <t>Restaurant</t>
        </is>
      </c>
      <c r="H372" s="253" t="inlineStr">
        <is>
          <t>Cash</t>
        </is>
      </c>
      <c r="I372" s="254" t="inlineStr">
        <is>
          <t>✅ Paid</t>
        </is>
      </c>
      <c r="J372" s="269" t="inlineStr">
        <is>
          <t>No bill</t>
        </is>
      </c>
    </row>
    <row r="373">
      <c r="B373" s="246" t="n">
        <v>46201</v>
      </c>
      <c r="C373" s="247" t="inlineStr">
        <is>
          <t>Jitomate (tomato)</t>
        </is>
      </c>
      <c r="D373" s="248" t="inlineStr">
        <is>
          <t>Local purchase</t>
        </is>
      </c>
      <c r="E373" s="247" t="inlineStr">
        <is>
          <t>Ingredients - Vegetables</t>
        </is>
      </c>
      <c r="F373" s="67" t="n">
        <v>80</v>
      </c>
      <c r="G373" s="249" t="inlineStr">
        <is>
          <t>Restaurant</t>
        </is>
      </c>
      <c r="H373" s="249" t="inlineStr">
        <is>
          <t>Cash</t>
        </is>
      </c>
      <c r="I373" s="250" t="inlineStr">
        <is>
          <t>✅ Paid</t>
        </is>
      </c>
      <c r="J373" s="269" t="inlineStr">
        <is>
          <t>No bill</t>
        </is>
      </c>
    </row>
    <row r="374">
      <c r="B374" s="246" t="n">
        <v>46201</v>
      </c>
      <c r="C374" s="251" t="inlineStr">
        <is>
          <t>Lechuga italiana</t>
        </is>
      </c>
      <c r="D374" s="252" t="inlineStr">
        <is>
          <t>Local purchase</t>
        </is>
      </c>
      <c r="E374" s="251" t="inlineStr">
        <is>
          <t>Ingredients - Vegetables</t>
        </is>
      </c>
      <c r="F374" s="70" t="n">
        <v>148</v>
      </c>
      <c r="G374" s="253" t="inlineStr">
        <is>
          <t>Restaurant</t>
        </is>
      </c>
      <c r="H374" s="253" t="inlineStr">
        <is>
          <t>Cash</t>
        </is>
      </c>
      <c r="I374" s="254" t="inlineStr">
        <is>
          <t>✅ Paid</t>
        </is>
      </c>
      <c r="J374" s="269" t="inlineStr">
        <is>
          <t>No bill</t>
        </is>
      </c>
    </row>
    <row r="375">
      <c r="B375" s="246" t="n">
        <v>46201</v>
      </c>
      <c r="C375" s="247" t="inlineStr">
        <is>
          <t>Espinaca (spinach)</t>
        </is>
      </c>
      <c r="D375" s="248" t="inlineStr">
        <is>
          <t>Local purchase</t>
        </is>
      </c>
      <c r="E375" s="247" t="inlineStr">
        <is>
          <t>Ingredients - Vegetables</t>
        </is>
      </c>
      <c r="F375" s="67" t="n">
        <v>30</v>
      </c>
      <c r="G375" s="249" t="inlineStr">
        <is>
          <t>Restaurant</t>
        </is>
      </c>
      <c r="H375" s="249" t="inlineStr">
        <is>
          <t>Cash</t>
        </is>
      </c>
      <c r="I375" s="250" t="inlineStr">
        <is>
          <t>✅ Paid</t>
        </is>
      </c>
      <c r="J375" s="269" t="inlineStr">
        <is>
          <t>No bill</t>
        </is>
      </c>
    </row>
    <row r="376">
      <c r="B376" s="246" t="n">
        <v>46201</v>
      </c>
      <c r="C376" s="251" t="inlineStr">
        <is>
          <t>Limones (limes)</t>
        </is>
      </c>
      <c r="D376" s="252" t="inlineStr">
        <is>
          <t>Local purchase</t>
        </is>
      </c>
      <c r="E376" s="251" t="inlineStr">
        <is>
          <t>Ingredients - Fruit</t>
        </is>
      </c>
      <c r="F376" s="70" t="n">
        <v>20</v>
      </c>
      <c r="G376" s="253" t="inlineStr">
        <is>
          <t>Restaurant</t>
        </is>
      </c>
      <c r="H376" s="253" t="inlineStr">
        <is>
          <t>Cash</t>
        </is>
      </c>
      <c r="I376" s="254" t="inlineStr">
        <is>
          <t>✅ Paid</t>
        </is>
      </c>
      <c r="J376" s="269" t="inlineStr">
        <is>
          <t>No bill</t>
        </is>
      </c>
    </row>
    <row r="377">
      <c r="B377" s="246" t="n">
        <v>46201</v>
      </c>
      <c r="C377" s="247" t="inlineStr">
        <is>
          <t>Verduras variadas (vegetables)</t>
        </is>
      </c>
      <c r="D377" s="248" t="inlineStr">
        <is>
          <t>Local purchase</t>
        </is>
      </c>
      <c r="E377" s="247" t="inlineStr">
        <is>
          <t>Ingredients - Vegetables</t>
        </is>
      </c>
      <c r="F377" s="67" t="n">
        <v>211</v>
      </c>
      <c r="G377" s="249" t="inlineStr">
        <is>
          <t>Restaurant</t>
        </is>
      </c>
      <c r="H377" s="249" t="inlineStr">
        <is>
          <t>Cash</t>
        </is>
      </c>
      <c r="I377" s="250" t="inlineStr">
        <is>
          <t>✅ Paid</t>
        </is>
      </c>
      <c r="J377" s="269" t="inlineStr">
        <is>
          <t>No bill</t>
        </is>
      </c>
    </row>
    <row r="378">
      <c r="B378" s="246" t="n">
        <v>46201</v>
      </c>
      <c r="C378" s="251" t="inlineStr">
        <is>
          <t>Frutas variadas (fruit)</t>
        </is>
      </c>
      <c r="D378" s="252" t="inlineStr">
        <is>
          <t>Local purchase</t>
        </is>
      </c>
      <c r="E378" s="251" t="inlineStr">
        <is>
          <t>Ingredients - Fruit</t>
        </is>
      </c>
      <c r="F378" s="70" t="n">
        <v>324</v>
      </c>
      <c r="G378" s="253" t="inlineStr">
        <is>
          <t>Restaurant</t>
        </is>
      </c>
      <c r="H378" s="253" t="inlineStr">
        <is>
          <t>Cash</t>
        </is>
      </c>
      <c r="I378" s="254" t="inlineStr">
        <is>
          <t>✅ Paid</t>
        </is>
      </c>
      <c r="J378" s="269" t="inlineStr">
        <is>
          <t>No bill</t>
        </is>
      </c>
    </row>
    <row r="379">
      <c r="B379" s="246" t="n">
        <v>46199</v>
      </c>
      <c r="C379" s="247" t="inlineStr">
        <is>
          <t>Samu — Ayudante Week 6</t>
        </is>
      </c>
      <c r="D379" s="248" t="inlineStr">
        <is>
          <t>Payroll</t>
        </is>
      </c>
      <c r="E379" s="247" t="inlineStr">
        <is>
          <t>Staff - Salary</t>
        </is>
      </c>
      <c r="F379" s="67" t="n">
        <v>1200</v>
      </c>
      <c r="G379" s="249" t="inlineStr">
        <is>
          <t>Restaurant</t>
        </is>
      </c>
      <c r="H379" s="249" t="inlineStr">
        <is>
          <t>Cash</t>
        </is>
      </c>
      <c r="I379" s="250" t="inlineStr">
        <is>
          <t>✅ Paid</t>
        </is>
      </c>
      <c r="J379" s="269" t="inlineStr">
        <is>
          <t>Week 6 salary, paid Friday</t>
        </is>
      </c>
    </row>
    <row r="380">
      <c r="B380" s="246" t="n">
        <v>46200</v>
      </c>
      <c r="C380" s="251" t="inlineStr">
        <is>
          <t>John — Head Chef Week 6 (full week)</t>
        </is>
      </c>
      <c r="D380" s="252" t="inlineStr">
        <is>
          <t>Payroll</t>
        </is>
      </c>
      <c r="E380" s="251" t="inlineStr">
        <is>
          <t>Staff - Salary</t>
        </is>
      </c>
      <c r="F380" s="70" t="n">
        <v>3750</v>
      </c>
      <c r="G380" s="253" t="inlineStr">
        <is>
          <t>Restaurant</t>
        </is>
      </c>
      <c r="H380" s="253" t="inlineStr">
        <is>
          <t>Cash</t>
        </is>
      </c>
      <c r="I380" s="254" t="inlineStr">
        <is>
          <t>✅ Paid</t>
        </is>
      </c>
      <c r="J380" s="269" t="inlineStr">
        <is>
          <t>Week 6 salary, paid Saturday</t>
        </is>
      </c>
    </row>
    <row r="381">
      <c r="B381" s="246" t="n">
        <v>46200</v>
      </c>
      <c r="C381" s="247" t="inlineStr">
        <is>
          <t>Duvi/Debi — Limpieza Week 6</t>
        </is>
      </c>
      <c r="D381" s="248" t="inlineStr">
        <is>
          <t>Payroll</t>
        </is>
      </c>
      <c r="E381" s="247" t="inlineStr">
        <is>
          <t>Staff - Salary</t>
        </is>
      </c>
      <c r="F381" s="67" t="n">
        <v>1500</v>
      </c>
      <c r="G381" s="249" t="inlineStr">
        <is>
          <t>Restaurant</t>
        </is>
      </c>
      <c r="H381" s="249" t="inlineStr">
        <is>
          <t>Cash</t>
        </is>
      </c>
      <c r="I381" s="250" t="inlineStr">
        <is>
          <t>✅ Paid</t>
        </is>
      </c>
      <c r="J381" s="269" t="inlineStr">
        <is>
          <t>Week 6 salary, paid Saturday</t>
        </is>
      </c>
    </row>
    <row r="382">
      <c r="B382" s="246" t="n">
        <v>46201</v>
      </c>
      <c r="C382" s="251" t="inlineStr">
        <is>
          <t>Towel (kitchen)</t>
        </is>
      </c>
      <c r="D382" s="252" t="inlineStr">
        <is>
          <t>Tienda China (variety store)</t>
        </is>
      </c>
      <c r="E382" s="251" t="inlineStr">
        <is>
          <t>Kitchen Supplies</t>
        </is>
      </c>
      <c r="F382" s="70" t="n">
        <v>69</v>
      </c>
      <c r="G382" s="253" t="inlineStr">
        <is>
          <t>Restaurant</t>
        </is>
      </c>
      <c r="H382" s="253" t="inlineStr">
        <is>
          <t>Cash</t>
        </is>
      </c>
      <c r="I382" s="254" t="inlineStr">
        <is>
          <t>✅ Paid</t>
        </is>
      </c>
      <c r="J382" s="269" t="inlineStr">
        <is>
          <t>No bill; bought from small china/variety store</t>
        </is>
      </c>
    </row>
    <row r="383">
      <c r="B383" s="246" t="n">
        <v>46202</v>
      </c>
      <c r="C383" s="247" t="inlineStr">
        <is>
          <t>Tortillas blancas 3.965kg + Rosca de nuez</t>
        </is>
      </c>
      <c r="D383" s="248" t="inlineStr">
        <is>
          <t>Chedraui Paseo</t>
        </is>
      </c>
      <c r="E383" s="247" t="inlineStr">
        <is>
          <t>Ingredients - Bread</t>
        </is>
      </c>
      <c r="F383" s="67" t="n">
        <v>144.51</v>
      </c>
      <c r="G383" s="249" t="inlineStr">
        <is>
          <t>Restaurant</t>
        </is>
      </c>
      <c r="H383" s="249" t="inlineStr">
        <is>
          <t>Card</t>
        </is>
      </c>
      <c r="I383" s="250" t="inlineStr">
        <is>
          <t>✅ Paid</t>
        </is>
      </c>
      <c r="J383" s="269" t="inlineStr">
        <is>
          <t>Debito BBVA 3982; digital ticket FOLIO ...0050; IEPS 8% on rosca</t>
        </is>
      </c>
    </row>
    <row r="384">
      <c r="B384" s="246" t="n">
        <v>46202</v>
      </c>
      <c r="C384" s="251" t="inlineStr">
        <is>
          <t>Pechuga (chicken breast) ~4.29kg @ $115/kg</t>
        </is>
      </c>
      <c r="D384" s="252" t="inlineStr">
        <is>
          <t>Oh lele / Local</t>
        </is>
      </c>
      <c r="E384" s="251" t="inlineStr">
        <is>
          <t>Ingredients - Meat</t>
        </is>
      </c>
      <c r="F384" s="70" t="n">
        <v>493</v>
      </c>
      <c r="G384" s="253" t="inlineStr">
        <is>
          <t>Restaurant</t>
        </is>
      </c>
      <c r="H384" s="253" t="inlineStr">
        <is>
          <t>Cash</t>
        </is>
      </c>
      <c r="I384" s="254" t="inlineStr">
        <is>
          <t>✅ Paid</t>
        </is>
      </c>
      <c r="J384" s="269" t="inlineStr">
        <is>
          <t>Nota de remision (Loka Cafe); ticket total 967 (pechuga+milanesa)</t>
        </is>
      </c>
    </row>
    <row r="385">
      <c r="B385" s="246" t="n">
        <v>46202</v>
      </c>
      <c r="C385" s="247" t="inlineStr">
        <is>
          <t>Milanesa ~3.79kg @ $125/kg</t>
        </is>
      </c>
      <c r="D385" s="248" t="inlineStr">
        <is>
          <t>Oh lele / Local</t>
        </is>
      </c>
      <c r="E385" s="247" t="inlineStr">
        <is>
          <t>Ingredients - Meat</t>
        </is>
      </c>
      <c r="F385" s="67" t="n">
        <v>474</v>
      </c>
      <c r="G385" s="249" t="inlineStr">
        <is>
          <t>Restaurant</t>
        </is>
      </c>
      <c r="H385" s="249" t="inlineStr">
        <is>
          <t>Cash</t>
        </is>
      </c>
      <c r="I385" s="250" t="inlineStr">
        <is>
          <t>✅ Paid</t>
        </is>
      </c>
      <c r="J385" s="269" t="inlineStr">
        <is>
          <t>Nota de remision (Loka Cafe); same ticket</t>
        </is>
      </c>
    </row>
    <row r="386">
      <c r="B386" s="246" t="n">
        <v>46202</v>
      </c>
      <c r="C386" s="251" t="inlineStr">
        <is>
          <t>Frijol pinto a granel x2</t>
        </is>
      </c>
      <c r="D386" s="252" t="inlineStr">
        <is>
          <t>Molino y Condimentos La Cruz</t>
        </is>
      </c>
      <c r="E386" s="251" t="inlineStr">
        <is>
          <t>Ingredients - Pantry</t>
        </is>
      </c>
      <c r="F386" s="70" t="n">
        <v>56</v>
      </c>
      <c r="G386" s="253" t="inlineStr">
        <is>
          <t>Restaurant</t>
        </is>
      </c>
      <c r="H386" s="253" t="inlineStr">
        <is>
          <t>Cash</t>
        </is>
      </c>
      <c r="I386" s="254" t="inlineStr">
        <is>
          <t>✅ Paid</t>
        </is>
      </c>
      <c r="J386" s="269" t="inlineStr">
        <is>
          <t>Nota 203548; efectivo</t>
        </is>
      </c>
    </row>
    <row r="387">
      <c r="B387" s="246" t="n">
        <v>46202</v>
      </c>
      <c r="C387" s="247" t="inlineStr">
        <is>
          <t>Jamon Americano San Antonio 2.055kg @ $86.50/kg</t>
        </is>
      </c>
      <c r="D387" s="248" t="inlineStr">
        <is>
          <t>San Juan Salchichonerias</t>
        </is>
      </c>
      <c r="E387" s="247" t="inlineStr">
        <is>
          <t>Ingredients - Meat</t>
        </is>
      </c>
      <c r="F387" s="67" t="n">
        <v>177.76</v>
      </c>
      <c r="G387" s="249" t="inlineStr">
        <is>
          <t>Restaurant</t>
        </is>
      </c>
      <c r="H387" s="249" t="inlineStr">
        <is>
          <t>Card</t>
        </is>
      </c>
      <c r="I387" s="250" t="inlineStr">
        <is>
          <t>✅ Paid</t>
        </is>
      </c>
      <c r="J387" s="269" t="inlineStr">
        <is>
          <t>Debito Mastercard 3982; ticket 0254555; net of 17.47 desc</t>
        </is>
      </c>
    </row>
    <row r="388">
      <c r="B388" s="246" t="n">
        <v>46202</v>
      </c>
      <c r="C388" s="251" t="inlineStr">
        <is>
          <t>Arrachera 1.05kg @ $270/kg</t>
        </is>
      </c>
      <c r="D388" s="252" t="inlineStr">
        <is>
          <t>Kamy Karnes</t>
        </is>
      </c>
      <c r="E388" s="251" t="inlineStr">
        <is>
          <t>Ingredients - Meat</t>
        </is>
      </c>
      <c r="F388" s="70" t="n">
        <v>284</v>
      </c>
      <c r="G388" s="253" t="inlineStr">
        <is>
          <t>Restaurant</t>
        </is>
      </c>
      <c r="H388" s="253" t="inlineStr">
        <is>
          <t>Cash</t>
        </is>
      </c>
      <c r="I388" s="254" t="inlineStr">
        <is>
          <t>✅ Paid</t>
        </is>
      </c>
      <c r="J388" s="269" t="inlineStr">
        <is>
          <t>Nota de venta 0971; method assumed Cash -- CONFIRM if card</t>
        </is>
      </c>
    </row>
    <row r="389">
      <c r="B389" s="246" t="n">
        <v>46202</v>
      </c>
      <c r="C389" s="247" t="inlineStr">
        <is>
          <t>Bistec + tocino</t>
        </is>
      </c>
      <c r="D389" s="248" t="inlineStr">
        <is>
          <t>Miscelanea LC La Cruz</t>
        </is>
      </c>
      <c r="E389" s="247" t="inlineStr">
        <is>
          <t>Ingredients - Meat</t>
        </is>
      </c>
      <c r="F389" s="67" t="n">
        <v>415</v>
      </c>
      <c r="G389" s="249" t="inlineStr">
        <is>
          <t>Restaurant</t>
        </is>
      </c>
      <c r="H389" s="249" t="inlineStr">
        <is>
          <t>Card</t>
        </is>
      </c>
      <c r="I389" s="250" t="inlineStr">
        <is>
          <t>✅ Paid</t>
        </is>
      </c>
      <c r="J389" s="269" t="inlineStr">
        <is>
          <t>Meat portion of Getnet card charge 1054.00 (Aut 236713, **3982): bistec ~292 + tocino ~123; papas portion logged separately</t>
        </is>
      </c>
    </row>
    <row r="390">
      <c r="B390" s="246" t="n">
        <v>46202</v>
      </c>
      <c r="C390" s="251" t="inlineStr">
        <is>
          <t>Papas a la francesa (frozen French fries)</t>
        </is>
      </c>
      <c r="D390" s="252" t="inlineStr">
        <is>
          <t>Miscelanea LC La Cruz</t>
        </is>
      </c>
      <c r="E390" s="251" t="inlineStr">
        <is>
          <t>Ingredients - Pantry</t>
        </is>
      </c>
      <c r="F390" s="70" t="n">
        <v>639</v>
      </c>
      <c r="G390" s="253" t="inlineStr">
        <is>
          <t>Restaurant</t>
        </is>
      </c>
      <c r="H390" s="253" t="inlineStr">
        <is>
          <t>Card</t>
        </is>
      </c>
      <c r="I390" s="254" t="inlineStr">
        <is>
          <t>✅ Paid</t>
        </is>
      </c>
      <c r="J390" s="269" t="inlineStr">
        <is>
          <t>Frozen French fries; portion of Getnet card charge 1054.00 (Aut 236713, **3982); the ~639 item on the LC remision</t>
        </is>
      </c>
    </row>
    <row r="391">
      <c r="B391" s="246" t="n">
        <v>46173</v>
      </c>
      <c r="C391" s="247" t="inlineStr">
        <is>
          <t>Renta media mensualidad Mayo 2026 (duenos anteriores)</t>
        </is>
      </c>
      <c r="D391" s="248" t="inlineStr">
        <is>
          <t>Previous Owners (landlord)</t>
        </is>
      </c>
      <c r="E391" s="247" t="inlineStr">
        <is>
          <t>Rent</t>
        </is>
      </c>
      <c r="F391" s="67" t="n">
        <v>10000</v>
      </c>
      <c r="G391" s="249" t="inlineStr">
        <is>
          <t>Lohith</t>
        </is>
      </c>
      <c r="H391" s="249" t="inlineStr">
        <is>
          <t>Personal</t>
        </is>
      </c>
      <c r="I391" s="250" t="inlineStr">
        <is>
          <t>✅ Paid</t>
        </is>
      </c>
      <c r="J391" s="269" t="inlineStr">
        <is>
          <t>May half-month rent (partial first month); transferred by Lohith to previous owners; reimbursable</t>
        </is>
      </c>
    </row>
    <row r="392">
      <c r="B392" s="246" t="n">
        <v>46203</v>
      </c>
      <c r="C392" s="251" t="inlineStr">
        <is>
          <t>Pan Dulces (no bill receipt)</t>
        </is>
      </c>
      <c r="D392" s="252" t="inlineStr">
        <is>
          <t>No bill</t>
        </is>
      </c>
      <c r="E392" s="251" t="inlineStr">
        <is>
          <t>Ingredients - Bread</t>
        </is>
      </c>
      <c r="F392" s="70" t="n">
        <v>96</v>
      </c>
      <c r="G392" s="253" t="inlineStr">
        <is>
          <t>Restaurant</t>
        </is>
      </c>
      <c r="H392" s="253" t="inlineStr">
        <is>
          <t>Cash</t>
        </is>
      </c>
      <c r="I392" s="254" t="inlineStr">
        <is>
          <t>✅ Paid</t>
        </is>
      </c>
      <c r="J392" s="269" t="inlineStr">
        <is>
          <t>No receipt available; cash purchase</t>
        </is>
      </c>
    </row>
    <row r="393">
      <c r="B393" s="246" t="n">
        <v>46203</v>
      </c>
      <c r="C393" s="247" t="inlineStr">
        <is>
          <t>Tortillas blancas 2.055kg + Bolillo x6</t>
        </is>
      </c>
      <c r="D393" s="248" t="inlineStr">
        <is>
          <t>Chedraui Paseo</t>
        </is>
      </c>
      <c r="E393" s="247" t="inlineStr">
        <is>
          <t>Ingredients - Bread</t>
        </is>
      </c>
      <c r="F393" s="67" t="n">
        <v>43.17</v>
      </c>
      <c r="G393" s="249" t="inlineStr">
        <is>
          <t>Restaurant</t>
        </is>
      </c>
      <c r="H393" s="249" t="inlineStr">
        <is>
          <t>Card</t>
        </is>
      </c>
      <c r="I393" s="250" t="inlineStr">
        <is>
          <t>✅ Paid</t>
        </is>
      </c>
      <c r="J393" s="269" t="inlineStr">
        <is>
          <t>Debito BBVA; ticket 30-Jun 08:38</t>
        </is>
      </c>
    </row>
    <row r="394">
      <c r="B394" s="246" t="n">
        <v>46203</v>
      </c>
      <c r="C394" s="251" t="inlineStr">
        <is>
          <t>Pan hamburguesa ajonjoli x24, pan caja arandano 900g x4, chapata x24</t>
        </is>
      </c>
      <c r="D394" s="252" t="inlineStr">
        <is>
          <t>Productos Real La Cruz</t>
        </is>
      </c>
      <c r="E394" s="251" t="inlineStr">
        <is>
          <t>Ingredients - Bread</t>
        </is>
      </c>
      <c r="F394" s="70" t="n">
        <v>728</v>
      </c>
      <c r="G394" s="253" t="inlineStr">
        <is>
          <t>Restaurant</t>
        </is>
      </c>
      <c r="H394" s="253" t="inlineStr">
        <is>
          <t>Card</t>
        </is>
      </c>
      <c r="I394" s="254" t="inlineStr">
        <is>
          <t>✅ Paid</t>
        </is>
      </c>
      <c r="J394" s="269" t="inlineStr">
        <is>
          <t>Tarjeta debito; base $740 - $12 desc = $728; folio 4423</t>
        </is>
      </c>
    </row>
    <row r="395">
      <c r="B395" s="246" t="n">
        <v>46203</v>
      </c>
      <c r="C395" s="247" t="inlineStr">
        <is>
          <t>Queso Gouda Menona 2.06kg @ $135/kg</t>
        </is>
      </c>
      <c r="D395" s="248" t="inlineStr">
        <is>
          <t>La Bodega del Buen Queso</t>
        </is>
      </c>
      <c r="E395" s="247" t="inlineStr">
        <is>
          <t>Ingredients - Dairy</t>
        </is>
      </c>
      <c r="F395" s="67" t="n">
        <v>278.1</v>
      </c>
      <c r="G395" s="249" t="inlineStr">
        <is>
          <t>Restaurant</t>
        </is>
      </c>
      <c r="H395" s="249" t="inlineStr">
        <is>
          <t>Cash</t>
        </is>
      </c>
      <c r="I395" s="250" t="inlineStr">
        <is>
          <t>✅ Paid</t>
        </is>
      </c>
      <c r="J395" s="269" t="inlineStr">
        <is>
          <t>Efectivo; nota 0032709</t>
        </is>
      </c>
    </row>
    <row r="396">
      <c r="B396" s="246" t="n">
        <v>46203</v>
      </c>
      <c r="C396" s="251" t="inlineStr">
        <is>
          <t>Miscelanea LC remision (2 lineas manuscritas ilegibles)</t>
        </is>
      </c>
      <c r="D396" s="252" t="inlineStr">
        <is>
          <t>Miscelanea LC La Cruz</t>
        </is>
      </c>
      <c r="E396" s="251" t="inlineStr">
        <is>
          <t>Ingredients - Other</t>
        </is>
      </c>
      <c r="F396" s="70" t="n">
        <v>436</v>
      </c>
      <c r="G396" s="253" t="inlineStr">
        <is>
          <t>Restaurant</t>
        </is>
      </c>
      <c r="H396" s="253" t="inlineStr">
        <is>
          <t>Card</t>
        </is>
      </c>
      <c r="I396" s="254" t="inlineStr">
        <is>
          <t>✅ Paid</t>
        </is>
      </c>
      <c r="J396" s="269" t="inlineStr">
        <is>
          <t>Getnet $436 autoritativo (Aut 785588, 11:38); lineas ~$197 + 'CH Alto' ~$239 ilegibles - confirmar articulos</t>
        </is>
      </c>
    </row>
    <row r="397">
      <c r="B397" s="246" t="n">
        <v>46204</v>
      </c>
      <c r="C397" s="247" t="inlineStr">
        <is>
          <t>Aceite La Posada 800 x2</t>
        </is>
      </c>
      <c r="D397" s="248" t="inlineStr">
        <is>
          <t>OXXO</t>
        </is>
      </c>
      <c r="E397" s="247" t="inlineStr">
        <is>
          <t>Ingredients - Pantry</t>
        </is>
      </c>
      <c r="F397" s="67" t="n">
        <v>56</v>
      </c>
      <c r="G397" s="249" t="inlineStr">
        <is>
          <t>Restaurant</t>
        </is>
      </c>
      <c r="H397" s="249" t="inlineStr">
        <is>
          <t>Cash</t>
        </is>
      </c>
      <c r="I397" s="250" t="inlineStr">
        <is>
          <t>✅ Paid</t>
        </is>
      </c>
      <c r="J397" s="269" t="inlineStr">
        <is>
          <t>OXXO 09:14; cooking oil</t>
        </is>
      </c>
    </row>
    <row r="398">
      <c r="B398" s="246" t="n">
        <v>46204</v>
      </c>
      <c r="C398" s="251" t="inlineStr">
        <is>
          <t>Horchata/Jamaica/Limonada 1L x6 c/u (18 pzas)</t>
        </is>
      </c>
      <c r="D398" s="252" t="inlineStr">
        <is>
          <t>Casa Reca</t>
        </is>
      </c>
      <c r="E398" s="251" t="inlineStr">
        <is>
          <t>Ingredients - Beverages</t>
        </is>
      </c>
      <c r="F398" s="70" t="n">
        <v>450</v>
      </c>
      <c r="G398" s="253" t="inlineStr">
        <is>
          <t>Restaurant</t>
        </is>
      </c>
      <c r="H398" s="253" t="inlineStr">
        <is>
          <t>Cash</t>
        </is>
      </c>
      <c r="I398" s="254" t="inlineStr">
        <is>
          <t>✅ Paid</t>
        </is>
      </c>
      <c r="J398" s="269" t="inlineStr">
        <is>
          <t>Nota venta ruta preventa Casa Reca; facturado a 'CAFE OH LELE' = nombre anterior de LOKA (OK); efectivo confirmado</t>
        </is>
      </c>
    </row>
    <row r="399">
      <c r="B399" s="246" t="n">
        <v>46204</v>
      </c>
      <c r="C399" s="247" t="inlineStr">
        <is>
          <t>Salchicha nortena p/asar 1kg</t>
        </is>
      </c>
      <c r="D399" s="248" t="inlineStr">
        <is>
          <t>San Juan Salchichonerias</t>
        </is>
      </c>
      <c r="E399" s="247" t="inlineStr">
        <is>
          <t>Ingredients - Meat</t>
        </is>
      </c>
      <c r="F399" s="67" t="n">
        <v>73</v>
      </c>
      <c r="G399" s="249" t="inlineStr">
        <is>
          <t>Restaurant</t>
        </is>
      </c>
      <c r="H399" s="249" t="inlineStr">
        <is>
          <t>Card</t>
        </is>
      </c>
      <c r="I399" s="250" t="inlineStr">
        <is>
          <t>✅ Paid</t>
        </is>
      </c>
      <c r="J399" s="269" t="inlineStr">
        <is>
          <t>Ticket 0255365 La Cruz 14:49; tarjeta Banregio</t>
        </is>
      </c>
    </row>
    <row r="400">
      <c r="B400" s="246" t="n">
        <v>46204</v>
      </c>
      <c r="C400" s="251" t="inlineStr">
        <is>
          <t>Tortillas blancas x2</t>
        </is>
      </c>
      <c r="D400" s="252" t="inlineStr">
        <is>
          <t>Chedraui Paseo</t>
        </is>
      </c>
      <c r="E400" s="251" t="inlineStr">
        <is>
          <t>Ingredients - Bread</t>
        </is>
      </c>
      <c r="F400" s="70" t="n">
        <v>55.93</v>
      </c>
      <c r="G400" s="253" t="inlineStr">
        <is>
          <t>Restaurant</t>
        </is>
      </c>
      <c r="H400" s="253" t="inlineStr">
        <is>
          <t>Card</t>
        </is>
      </c>
      <c r="I400" s="254" t="inlineStr">
        <is>
          <t>✅ Paid</t>
        </is>
      </c>
      <c r="J400" s="269" t="inlineStr">
        <is>
          <t>Debito BBVA; 08:55</t>
        </is>
      </c>
    </row>
    <row r="401">
      <c r="B401" s="246" t="n">
        <v>46204</v>
      </c>
      <c r="C401" s="247" t="inlineStr">
        <is>
          <t>Muslo (pollo) 5.23kg @ $50/kg</t>
        </is>
      </c>
      <c r="D401" s="248" t="inlineStr">
        <is>
          <t>Remision Loka Cafe</t>
        </is>
      </c>
      <c r="E401" s="247" t="inlineStr">
        <is>
          <t>Ingredients - Meat</t>
        </is>
      </c>
      <c r="F401" s="67" t="n">
        <v>262</v>
      </c>
      <c r="G401" s="249" t="inlineStr">
        <is>
          <t>Restaurant</t>
        </is>
      </c>
      <c r="H401" s="249" t="inlineStr">
        <is>
          <t>Cash</t>
        </is>
      </c>
      <c r="I401" s="250" t="inlineStr">
        <is>
          <t>✅ Paid</t>
        </is>
      </c>
      <c r="J401" s="269" t="inlineStr">
        <is>
          <t>Nota remision manuscrita; 5.23x50=261.50, total escrito $262; metodo no confirmado</t>
        </is>
      </c>
    </row>
    <row r="402">
      <c r="B402" s="246" t="n">
        <v>46204</v>
      </c>
      <c r="C402" s="251" t="inlineStr">
        <is>
          <t>Rosca chocolate base + salchicha p/asar 800 x2</t>
        </is>
      </c>
      <c r="D402" s="252" t="inlineStr">
        <is>
          <t>H-E-B</t>
        </is>
      </c>
      <c r="E402" s="251" t="inlineStr">
        <is>
          <t>Ingredients - Other</t>
        </is>
      </c>
      <c r="F402" s="70" t="n">
        <v>246.8</v>
      </c>
      <c r="G402" s="253" t="inlineStr">
        <is>
          <t>Restaurant</t>
        </is>
      </c>
      <c r="H402" s="253" t="inlineStr">
        <is>
          <t>Card</t>
        </is>
      </c>
      <c r="I402" s="254" t="inlineStr">
        <is>
          <t>✅ Paid</t>
        </is>
      </c>
      <c r="J402" s="269" t="inlineStr">
        <is>
          <t>Cuenta tarjeta ***3982; rosca $105 + salchicha $141.80; incl IEPS</t>
        </is>
      </c>
    </row>
    <row r="403">
      <c r="B403" s="246" t="n">
        <v>46204</v>
      </c>
      <c r="C403" s="247" t="inlineStr">
        <is>
          <t>Aceite La Posada 800 x12</t>
        </is>
      </c>
      <c r="D403" s="248" t="inlineStr">
        <is>
          <t>OXXO</t>
        </is>
      </c>
      <c r="E403" s="247" t="inlineStr">
        <is>
          <t>Ingredients - Pantry</t>
        </is>
      </c>
      <c r="F403" s="67" t="n">
        <v>336</v>
      </c>
      <c r="G403" s="249" t="inlineStr">
        <is>
          <t>Restaurant</t>
        </is>
      </c>
      <c r="H403" s="249" t="inlineStr">
        <is>
          <t>Card</t>
        </is>
      </c>
      <c r="I403" s="250" t="inlineStr">
        <is>
          <t>✅ Paid</t>
        </is>
      </c>
      <c r="J403" s="269" t="inlineStr">
        <is>
          <t>BBVA debito ML ***3982 AUT 922070; 18:35; cooking oil</t>
        </is>
      </c>
    </row>
    <row r="404">
      <c r="B404" s="246" t="n">
        <v>46204</v>
      </c>
      <c r="C404" s="251" t="inlineStr">
        <is>
          <t>Pork Belly</t>
        </is>
      </c>
      <c r="D404" s="252" t="inlineStr">
        <is>
          <t>No bill</t>
        </is>
      </c>
      <c r="E404" s="251" t="inlineStr">
        <is>
          <t>Ingredients - Meat</t>
        </is>
      </c>
      <c r="F404" s="70" t="n">
        <v>355</v>
      </c>
      <c r="G404" s="253" t="inlineStr">
        <is>
          <t>Restaurant</t>
        </is>
      </c>
      <c r="H404" s="253" t="inlineStr">
        <is>
          <t>Cash</t>
        </is>
      </c>
      <c r="I404" s="254" t="inlineStr">
        <is>
          <t>✅ Paid</t>
        </is>
      </c>
      <c r="J404" s="269" t="inlineStr">
        <is>
          <t>No receipt; cash purchase</t>
        </is>
      </c>
    </row>
    <row r="405">
      <c r="B405" s="246" t="n">
        <v>46204</v>
      </c>
      <c r="C405" s="247" t="inlineStr">
        <is>
          <t>Carne molida</t>
        </is>
      </c>
      <c r="D405" s="248" t="inlineStr">
        <is>
          <t>No bill</t>
        </is>
      </c>
      <c r="E405" s="247" t="inlineStr">
        <is>
          <t>Ingredients - Meat</t>
        </is>
      </c>
      <c r="F405" s="67" t="n">
        <v>271</v>
      </c>
      <c r="G405" s="249" t="inlineStr">
        <is>
          <t>Restaurant</t>
        </is>
      </c>
      <c r="H405" s="249" t="inlineStr">
        <is>
          <t>Cash</t>
        </is>
      </c>
      <c r="I405" s="250" t="inlineStr">
        <is>
          <t>✅ Paid</t>
        </is>
      </c>
      <c r="J405" s="269" t="inlineStr">
        <is>
          <t>No receipt; cash purchase</t>
        </is>
      </c>
    </row>
    <row r="406">
      <c r="B406" s="246" t="n">
        <v>46204</v>
      </c>
      <c r="C406" s="251" t="inlineStr">
        <is>
          <t>Agua Ciel</t>
        </is>
      </c>
      <c r="D406" s="252" t="inlineStr">
        <is>
          <t>No bill</t>
        </is>
      </c>
      <c r="E406" s="251" t="inlineStr">
        <is>
          <t>Ingredients - Beverages</t>
        </is>
      </c>
      <c r="F406" s="70" t="n">
        <v>49.5</v>
      </c>
      <c r="G406" s="253" t="inlineStr">
        <is>
          <t>Restaurant</t>
        </is>
      </c>
      <c r="H406" s="253" t="inlineStr">
        <is>
          <t>Cash</t>
        </is>
      </c>
      <c r="I406" s="254" t="inlineStr">
        <is>
          <t>✅ Paid</t>
        </is>
      </c>
      <c r="J406" s="269" t="inlineStr">
        <is>
          <t>No receipt; cash purchase</t>
        </is>
      </c>
    </row>
    <row r="407">
      <c r="B407" s="246" t="n">
        <v>46204</v>
      </c>
      <c r="C407" s="247" t="inlineStr">
        <is>
          <t>Agua natural</t>
        </is>
      </c>
      <c r="D407" s="248" t="inlineStr">
        <is>
          <t>No bill</t>
        </is>
      </c>
      <c r="E407" s="247" t="inlineStr">
        <is>
          <t>Ingredients - Beverages</t>
        </is>
      </c>
      <c r="F407" s="67" t="n">
        <v>36</v>
      </c>
      <c r="G407" s="249" t="inlineStr">
        <is>
          <t>Restaurant</t>
        </is>
      </c>
      <c r="H407" s="249" t="inlineStr">
        <is>
          <t>Cash</t>
        </is>
      </c>
      <c r="I407" s="250" t="inlineStr">
        <is>
          <t>✅ Paid</t>
        </is>
      </c>
      <c r="J407" s="269" t="inlineStr">
        <is>
          <t>No receipt; cash purchase</t>
        </is>
      </c>
    </row>
    <row r="408">
      <c r="B408" s="246" t="n">
        <v>46204</v>
      </c>
      <c r="C408" s="251" t="inlineStr">
        <is>
          <t>Hielos</t>
        </is>
      </c>
      <c r="D408" s="252" t="inlineStr">
        <is>
          <t>No bill</t>
        </is>
      </c>
      <c r="E408" s="251" t="inlineStr">
        <is>
          <t>Kitchen Supplies</t>
        </is>
      </c>
      <c r="F408" s="70" t="n">
        <v>150</v>
      </c>
      <c r="G408" s="253" t="inlineStr">
        <is>
          <t>Restaurant</t>
        </is>
      </c>
      <c r="H408" s="253" t="inlineStr">
        <is>
          <t>Cash</t>
        </is>
      </c>
      <c r="I408" s="254" t="inlineStr">
        <is>
          <t>✅ Paid</t>
        </is>
      </c>
      <c r="J408" s="269" t="inlineStr">
        <is>
          <t>No receipt; cash purchase</t>
        </is>
      </c>
    </row>
    <row r="409">
      <c r="B409" s="246" t="n">
        <v>46205</v>
      </c>
      <c r="C409" s="247" t="inlineStr">
        <is>
          <t>Tomatoes</t>
        </is>
      </c>
      <c r="D409" s="248" t="inlineStr">
        <is>
          <t>No bill</t>
        </is>
      </c>
      <c r="E409" s="247" t="inlineStr">
        <is>
          <t>Ingredients - Vegetables</t>
        </is>
      </c>
      <c r="F409" s="67" t="n">
        <v>31</v>
      </c>
      <c r="G409" s="249" t="inlineStr">
        <is>
          <t>Restaurant</t>
        </is>
      </c>
      <c r="H409" s="249" t="inlineStr">
        <is>
          <t>Cash</t>
        </is>
      </c>
      <c r="I409" s="250" t="inlineStr">
        <is>
          <t>✅ Paid</t>
        </is>
      </c>
      <c r="J409" s="269" t="inlineStr">
        <is>
          <t>No receipt; cash purchase</t>
        </is>
      </c>
    </row>
    <row r="410">
      <c r="B410" s="246" t="n">
        <v>46205</v>
      </c>
      <c r="C410" s="251" t="inlineStr">
        <is>
          <t>Bistec puerco (pork steak)</t>
        </is>
      </c>
      <c r="D410" s="252" t="inlineStr">
        <is>
          <t>No bill</t>
        </is>
      </c>
      <c r="E410" s="251" t="inlineStr">
        <is>
          <t>Ingredients - Meat</t>
        </is>
      </c>
      <c r="F410" s="70" t="n">
        <v>287</v>
      </c>
      <c r="G410" s="253" t="inlineStr">
        <is>
          <t>Restaurant</t>
        </is>
      </c>
      <c r="H410" s="253" t="inlineStr">
        <is>
          <t>Cash</t>
        </is>
      </c>
      <c r="I410" s="254" t="inlineStr">
        <is>
          <t>✅ Paid</t>
        </is>
      </c>
      <c r="J410" s="269" t="inlineStr">
        <is>
          <t>No receipt; cash purchase</t>
        </is>
      </c>
    </row>
    <row r="411">
      <c r="B411" s="246" t="n">
        <v>46206</v>
      </c>
      <c r="C411" s="247" t="inlineStr">
        <is>
          <t>Muslo (pollo) 3.79kg @ $50/kg</t>
        </is>
      </c>
      <c r="D411" s="248" t="inlineStr">
        <is>
          <t>Remision Loka Cafe</t>
        </is>
      </c>
      <c r="E411" s="247" t="inlineStr">
        <is>
          <t>Ingredients - Meat</t>
        </is>
      </c>
      <c r="F411" s="67" t="n">
        <v>190</v>
      </c>
      <c r="G411" s="249" t="inlineStr">
        <is>
          <t>Restaurant</t>
        </is>
      </c>
      <c r="H411" s="249" t="inlineStr">
        <is>
          <t>Cash</t>
        </is>
      </c>
      <c r="I411" s="250" t="inlineStr">
        <is>
          <t>✅ Paid</t>
        </is>
      </c>
      <c r="J411" s="269" t="inlineStr">
        <is>
          <t>Nota remision manuscrita; 3.79x50; efectivo</t>
        </is>
      </c>
    </row>
    <row r="412">
      <c r="B412" s="246" t="n">
        <v>46206</v>
      </c>
      <c r="C412" s="251" t="inlineStr">
        <is>
          <t>Muslo (pollo) 2.30kg @ $50/kg</t>
        </is>
      </c>
      <c r="D412" s="252" t="inlineStr">
        <is>
          <t>Remision</t>
        </is>
      </c>
      <c r="E412" s="251" t="inlineStr">
        <is>
          <t>Ingredients - Meat</t>
        </is>
      </c>
      <c r="F412" s="70" t="n">
        <v>115</v>
      </c>
      <c r="G412" s="253" t="inlineStr">
        <is>
          <t>Restaurant</t>
        </is>
      </c>
      <c r="H412" s="253" t="inlineStr">
        <is>
          <t>Cash</t>
        </is>
      </c>
      <c r="I412" s="254" t="inlineStr">
        <is>
          <t>✅ Paid</t>
        </is>
      </c>
      <c r="J412" s="269" t="inlineStr">
        <is>
          <t>Nota remision manuscrita; 2.30x50=115; efectivo</t>
        </is>
      </c>
    </row>
    <row r="413">
      <c r="B413" s="246" t="n">
        <v>46206</v>
      </c>
      <c r="C413" s="247" t="inlineStr">
        <is>
          <t>Mayo Real x2 + Leche entera (Sam's Club)</t>
        </is>
      </c>
      <c r="D413" s="248" t="inlineStr">
        <is>
          <t>Sam's Club</t>
        </is>
      </c>
      <c r="E413" s="247" t="inlineStr">
        <is>
          <t>Supermarket/General</t>
        </is>
      </c>
      <c r="F413" s="67" t="n">
        <v>810</v>
      </c>
      <c r="G413" s="249" t="inlineStr">
        <is>
          <t>Restaurant</t>
        </is>
      </c>
      <c r="H413" s="249" t="inlineStr">
        <is>
          <t>Card</t>
        </is>
      </c>
      <c r="I413" s="250" t="inlineStr">
        <is>
          <t>✅ Paid</t>
        </is>
      </c>
      <c r="J413" s="269" t="inlineStr">
        <is>
          <t>Debito Mastercard Bancomer AUT 733600; mayo $544.24 + leche $284.39 - desc $18.63 = 810</t>
        </is>
      </c>
    </row>
    <row r="414">
      <c r="B414" s="246" t="n">
        <v>46206</v>
      </c>
      <c r="C414" s="251" t="inlineStr">
        <is>
          <t>Filete mojarra de mar 3.14kg @ $140/kg</t>
        </is>
      </c>
      <c r="D414" s="252" t="inlineStr">
        <is>
          <t>Brisa del Mar</t>
        </is>
      </c>
      <c r="E414" s="251" t="inlineStr">
        <is>
          <t>Ingredients - Meat &amp; Fish</t>
        </is>
      </c>
      <c r="F414" s="70" t="n">
        <v>439.6</v>
      </c>
      <c r="G414" s="253" t="inlineStr">
        <is>
          <t>Restaurant</t>
        </is>
      </c>
      <c r="H414" s="253" t="inlineStr">
        <is>
          <t>Cash</t>
        </is>
      </c>
      <c r="I414" s="254" t="inlineStr">
        <is>
          <t>✅ Paid</t>
        </is>
      </c>
      <c r="J414" s="269" t="inlineStr">
        <is>
          <t>Pescados y mariscos 08:44; metodo no impreso (asumido efectivo)</t>
        </is>
      </c>
    </row>
    <row r="415">
      <c r="B415" s="246" t="n">
        <v>46206</v>
      </c>
      <c r="C415" s="247" t="inlineStr">
        <is>
          <t>Vegetales</t>
        </is>
      </c>
      <c r="D415" s="248" t="inlineStr">
        <is>
          <t>No bill</t>
        </is>
      </c>
      <c r="E415" s="247" t="inlineStr">
        <is>
          <t>Ingredients - Vegetables</t>
        </is>
      </c>
      <c r="F415" s="67" t="n">
        <v>55</v>
      </c>
      <c r="G415" s="249" t="inlineStr">
        <is>
          <t>Restaurant</t>
        </is>
      </c>
      <c r="H415" s="249" t="inlineStr">
        <is>
          <t>Cash</t>
        </is>
      </c>
      <c r="I415" s="250" t="inlineStr">
        <is>
          <t>✅ Paid</t>
        </is>
      </c>
      <c r="J415" s="269" t="inlineStr">
        <is>
          <t>No receipt; cash purchase</t>
        </is>
      </c>
    </row>
    <row r="416">
      <c r="B416" s="246" t="n">
        <v>46206</v>
      </c>
      <c r="C416" s="251" t="inlineStr">
        <is>
          <t>Samu — Ayudante Week 7</t>
        </is>
      </c>
      <c r="D416" s="252" t="inlineStr">
        <is>
          <t>Payroll</t>
        </is>
      </c>
      <c r="E416" s="251" t="inlineStr">
        <is>
          <t>Staff - Salary</t>
        </is>
      </c>
      <c r="F416" s="70" t="n">
        <v>1200</v>
      </c>
      <c r="G416" s="253" t="inlineStr">
        <is>
          <t>Restaurant</t>
        </is>
      </c>
      <c r="H416" s="253" t="inlineStr">
        <is>
          <t>Cash</t>
        </is>
      </c>
      <c r="I416" s="254" t="inlineStr">
        <is>
          <t>✅ Paid</t>
        </is>
      </c>
      <c r="J416" s="269" t="inlineStr">
        <is>
          <t>Week 7 salary, paid Friday 03 Jul ($800 base + $400 mesero top-up)</t>
        </is>
      </c>
    </row>
    <row r="417">
      <c r="B417" s="246" t="n">
        <v>46207</v>
      </c>
      <c r="C417" s="247" t="inlineStr">
        <is>
          <t>Zanahoria 3kg, Limon 3kg, Cebolla 3kg</t>
        </is>
      </c>
      <c r="D417" s="248" t="inlineStr">
        <is>
          <t>Mi Joven</t>
        </is>
      </c>
      <c r="E417" s="247" t="inlineStr">
        <is>
          <t>Ingredients - Vegetables</t>
        </is>
      </c>
      <c r="F417" s="67" t="n">
        <v>147</v>
      </c>
      <c r="G417" s="249" t="inlineStr">
        <is>
          <t>Restaurant</t>
        </is>
      </c>
      <c r="H417" s="249" t="inlineStr">
        <is>
          <t>Cash</t>
        </is>
      </c>
      <c r="I417" s="250" t="inlineStr">
        <is>
          <t>✅ Paid</t>
        </is>
      </c>
      <c r="J417" s="269" t="inlineStr">
        <is>
          <t>Mercado de Abastos folio 21212; efectivo</t>
        </is>
      </c>
    </row>
    <row r="418">
      <c r="B418" s="246" t="n">
        <v>46207</v>
      </c>
      <c r="C418" s="251" t="inlineStr">
        <is>
          <t>Papas 6 x $35</t>
        </is>
      </c>
      <c r="D418" s="252" t="inlineStr">
        <is>
          <t>Papas San Miguel</t>
        </is>
      </c>
      <c r="E418" s="251" t="inlineStr">
        <is>
          <t>Ingredients - Vegetables</t>
        </is>
      </c>
      <c r="F418" s="70" t="n">
        <v>210</v>
      </c>
      <c r="G418" s="253" t="inlineStr">
        <is>
          <t>Restaurant</t>
        </is>
      </c>
      <c r="H418" s="253" t="inlineStr">
        <is>
          <t>Cash</t>
        </is>
      </c>
      <c r="I418" s="254" t="inlineStr">
        <is>
          <t>✅ Paid</t>
        </is>
      </c>
      <c r="J418" s="269" t="inlineStr">
        <is>
          <t>6x35=210; efectivo</t>
        </is>
      </c>
    </row>
    <row r="419">
      <c r="B419" s="246" t="n">
        <v>46207</v>
      </c>
      <c r="C419" s="247" t="inlineStr">
        <is>
          <t>Verduras/hierbas mixtas (col, espinacas, hierbabuena, champinones, betabeles, lechugas, jengibre)</t>
        </is>
      </c>
      <c r="D419" s="248" t="inlineStr">
        <is>
          <t>Hnos. Labra</t>
        </is>
      </c>
      <c r="E419" s="247" t="inlineStr">
        <is>
          <t>Ingredients - Vegetables</t>
        </is>
      </c>
      <c r="F419" s="67" t="n">
        <v>339</v>
      </c>
      <c r="G419" s="249" t="inlineStr">
        <is>
          <t>Restaurant</t>
        </is>
      </c>
      <c r="H419" s="249" t="inlineStr">
        <is>
          <t>Cash</t>
        </is>
      </c>
      <c r="I419" s="250" t="inlineStr">
        <is>
          <t>✅ Paid</t>
        </is>
      </c>
      <c r="J419" s="269" t="inlineStr">
        <is>
          <t>Suma lineas=339; efectivo</t>
        </is>
      </c>
    </row>
    <row r="420">
      <c r="B420" s="246" t="n">
        <v>46207</v>
      </c>
      <c r="C420" s="251" t="inlineStr">
        <is>
          <t>Guayaba (1 primera)</t>
        </is>
      </c>
      <c r="D420" s="252" t="inlineStr">
        <is>
          <t>Guayabas Aviles Hernandez</t>
        </is>
      </c>
      <c r="E420" s="251" t="inlineStr">
        <is>
          <t>Ingredients - Fruit</t>
        </is>
      </c>
      <c r="F420" s="70" t="n">
        <v>150</v>
      </c>
      <c r="G420" s="253" t="inlineStr">
        <is>
          <t>Restaurant</t>
        </is>
      </c>
      <c r="H420" s="253" t="inlineStr">
        <is>
          <t>Cash</t>
        </is>
      </c>
      <c r="I420" s="254" t="inlineStr">
        <is>
          <t>✅ Paid</t>
        </is>
      </c>
      <c r="J420" s="269" t="inlineStr">
        <is>
          <t>Total ~$150; efectivo</t>
        </is>
      </c>
    </row>
    <row r="421">
      <c r="B421" s="246" t="n">
        <v>46207</v>
      </c>
      <c r="C421" s="247" t="inlineStr">
        <is>
          <t>Pepino</t>
        </is>
      </c>
      <c r="D421" s="248" t="inlineStr">
        <is>
          <t>Citricos Sanchez</t>
        </is>
      </c>
      <c r="E421" s="247" t="inlineStr">
        <is>
          <t>Ingredients - Vegetables</t>
        </is>
      </c>
      <c r="F421" s="67" t="n">
        <v>49</v>
      </c>
      <c r="G421" s="249" t="inlineStr">
        <is>
          <t>Restaurant</t>
        </is>
      </c>
      <c r="H421" s="249" t="inlineStr">
        <is>
          <t>Cash</t>
        </is>
      </c>
      <c r="I421" s="250" t="inlineStr">
        <is>
          <t>✅ Paid</t>
        </is>
      </c>
      <c r="J421" s="269" t="inlineStr">
        <is>
          <t>Folio 7244; total $49 (detalle de linea poco legible)</t>
        </is>
      </c>
    </row>
    <row r="422">
      <c r="B422" s="246" t="n">
        <v>46207</v>
      </c>
      <c r="C422" s="251" t="inlineStr">
        <is>
          <t>Cubiertos soperos desechables (tenedor/cuchara/cuchillo)</t>
        </is>
      </c>
      <c r="D422" s="252" t="inlineStr">
        <is>
          <t>Guimar Polietilenos</t>
        </is>
      </c>
      <c r="E422" s="251" t="inlineStr">
        <is>
          <t>Packaging/Disposables</t>
        </is>
      </c>
      <c r="F422" s="70" t="n">
        <v>139.8</v>
      </c>
      <c r="G422" s="253" t="inlineStr">
        <is>
          <t>Restaurant</t>
        </is>
      </c>
      <c r="H422" s="253" t="inlineStr">
        <is>
          <t>Card</t>
        </is>
      </c>
      <c r="I422" s="254" t="inlineStr">
        <is>
          <t>✅ Paid</t>
        </is>
      </c>
      <c r="J422" s="269" t="inlineStr">
        <is>
          <t>Folio AK90544; tarjeta de credito</t>
        </is>
      </c>
    </row>
    <row r="423">
      <c r="B423" s="246" t="n">
        <v>46207</v>
      </c>
      <c r="C423" s="247" t="inlineStr">
        <is>
          <t>Melon</t>
        </is>
      </c>
      <c r="D423" s="248" t="inlineStr">
        <is>
          <t>Frutas de Temporada Jose</t>
        </is>
      </c>
      <c r="E423" s="247" t="inlineStr">
        <is>
          <t>Ingredients - Fruit</t>
        </is>
      </c>
      <c r="F423" s="67" t="n">
        <v>30</v>
      </c>
      <c r="G423" s="249" t="inlineStr">
        <is>
          <t>Restaurant</t>
        </is>
      </c>
      <c r="H423" s="249" t="inlineStr">
        <is>
          <t>Cash</t>
        </is>
      </c>
      <c r="I423" s="250" t="inlineStr">
        <is>
          <t>✅ Paid</t>
        </is>
      </c>
      <c r="J423" s="269" t="inlineStr">
        <is>
          <t>Solo melon $30; sin total impreso</t>
        </is>
      </c>
    </row>
    <row r="424">
      <c r="B424" s="246" t="n">
        <v>46207</v>
      </c>
      <c r="C424" s="251" t="inlineStr">
        <is>
          <t>Morron surtido</t>
        </is>
      </c>
      <c r="D424" s="252" t="inlineStr">
        <is>
          <t>Verduras Selectas Oscar</t>
        </is>
      </c>
      <c r="E424" s="251" t="inlineStr">
        <is>
          <t>Ingredients - Vegetables</t>
        </is>
      </c>
      <c r="F424" s="70" t="n">
        <v>20</v>
      </c>
      <c r="G424" s="253" t="inlineStr">
        <is>
          <t>Restaurant</t>
        </is>
      </c>
      <c r="H424" s="253" t="inlineStr">
        <is>
          <t>Cash</t>
        </is>
      </c>
      <c r="I424" s="254" t="inlineStr">
        <is>
          <t>✅ Paid</t>
        </is>
      </c>
      <c r="J424" s="269" t="inlineStr">
        <is>
          <t>Morron $20; sin total impreso</t>
        </is>
      </c>
    </row>
    <row r="425">
      <c r="B425" s="246" t="n">
        <v>46207</v>
      </c>
      <c r="C425" s="247" t="inlineStr">
        <is>
          <t>Fresa 0.775kg @ $65/kg</t>
        </is>
      </c>
      <c r="D425" s="248" t="inlineStr">
        <is>
          <t>Nota manuscrita</t>
        </is>
      </c>
      <c r="E425" s="247" t="inlineStr">
        <is>
          <t>Ingredients - Fruit</t>
        </is>
      </c>
      <c r="F425" s="67" t="n">
        <v>50</v>
      </c>
      <c r="G425" s="249" t="inlineStr">
        <is>
          <t>Restaurant</t>
        </is>
      </c>
      <c r="H425" s="249" t="inlineStr">
        <is>
          <t>Cash</t>
        </is>
      </c>
      <c r="I425" s="250" t="inlineStr">
        <is>
          <t>✅ Paid</t>
        </is>
      </c>
      <c r="J425" s="269" t="inlineStr">
        <is>
          <t>.775x65=50; efectivo</t>
        </is>
      </c>
    </row>
    <row r="426">
      <c r="B426" s="246" t="n">
        <v>46207</v>
      </c>
      <c r="C426" s="251" t="inlineStr">
        <is>
          <t>Gelatinas, hot cakes, jarabe, verduras congeladas</t>
        </is>
      </c>
      <c r="D426" s="252" t="inlineStr">
        <is>
          <t>Basicos</t>
        </is>
      </c>
      <c r="E426" s="251" t="inlineStr">
        <is>
          <t>Supermarket/General</t>
        </is>
      </c>
      <c r="F426" s="70" t="n">
        <v>354.5</v>
      </c>
      <c r="G426" s="253" t="inlineStr">
        <is>
          <t>Restaurant</t>
        </is>
      </c>
      <c r="H426" s="253" t="inlineStr">
        <is>
          <t>Card</t>
        </is>
      </c>
      <c r="I426" s="254" t="inlineStr">
        <is>
          <t>✅ Paid</t>
        </is>
      </c>
      <c r="J426" s="269" t="inlineStr">
        <is>
          <t>Total $358 - desc $3.50 = $354.50; tarjeta</t>
        </is>
      </c>
    </row>
    <row r="427">
      <c r="B427" s="246" t="n">
        <v>46207</v>
      </c>
      <c r="C427" s="247" t="inlineStr">
        <is>
          <t>Melocoton 2.5kg + Platano</t>
        </is>
      </c>
      <c r="D427" s="248" t="inlineStr">
        <is>
          <t>Remision</t>
        </is>
      </c>
      <c r="E427" s="247" t="inlineStr">
        <is>
          <t>Ingredients - Fruit</t>
        </is>
      </c>
      <c r="F427" s="67" t="n">
        <v>68</v>
      </c>
      <c r="G427" s="249" t="inlineStr">
        <is>
          <t>Restaurant</t>
        </is>
      </c>
      <c r="H427" s="249" t="inlineStr">
        <is>
          <t>Cash</t>
        </is>
      </c>
      <c r="I427" s="250" t="inlineStr">
        <is>
          <t>✅ Paid</t>
        </is>
      </c>
      <c r="J427" s="269" t="inlineStr">
        <is>
          <t>Melocoton $50 + platano $18 = $68; efectivo</t>
        </is>
      </c>
    </row>
    <row r="428">
      <c r="B428" s="246" t="n">
        <v>46207</v>
      </c>
      <c r="C428" s="251" t="inlineStr">
        <is>
          <t>Papaya</t>
        </is>
      </c>
      <c r="D428" s="252" t="inlineStr">
        <is>
          <t>Remision</t>
        </is>
      </c>
      <c r="E428" s="251" t="inlineStr">
        <is>
          <t>Ingredients - Fruit</t>
        </is>
      </c>
      <c r="F428" s="70" t="n">
        <v>36</v>
      </c>
      <c r="G428" s="253" t="inlineStr">
        <is>
          <t>Restaurant</t>
        </is>
      </c>
      <c r="H428" s="253" t="inlineStr">
        <is>
          <t>Cash</t>
        </is>
      </c>
      <c r="I428" s="254" t="inlineStr">
        <is>
          <t>✅ Paid</t>
        </is>
      </c>
      <c r="J428" s="269" t="inlineStr">
        <is>
          <t>Papaya total $36; efectivo</t>
        </is>
      </c>
    </row>
    <row r="429">
      <c r="B429" s="246" t="n">
        <v>46207</v>
      </c>
      <c r="C429" s="247" t="inlineStr">
        <is>
          <t>Granola 400g + Tortillas blancas 4.435kg</t>
        </is>
      </c>
      <c r="D429" s="248" t="inlineStr">
        <is>
          <t>Chedraui Selecto</t>
        </is>
      </c>
      <c r="E429" s="247" t="inlineStr">
        <is>
          <t>Supermarket/General</t>
        </is>
      </c>
      <c r="F429" s="67" t="n">
        <v>108.43</v>
      </c>
      <c r="G429" s="249" t="inlineStr">
        <is>
          <t>Restaurant</t>
        </is>
      </c>
      <c r="H429" s="249" t="inlineStr">
        <is>
          <t>Card</t>
        </is>
      </c>
      <c r="I429" s="250" t="inlineStr">
        <is>
          <t>✅ Paid</t>
        </is>
      </c>
      <c r="J429" s="269" t="inlineStr">
        <is>
          <t>Granola $53 + tortillas $55.43; debito ***0311</t>
        </is>
      </c>
    </row>
    <row r="430">
      <c r="B430" s="246" t="n">
        <v>46207</v>
      </c>
      <c r="C430" s="251" t="inlineStr">
        <is>
          <t>Jitomate 8.3kg + Aguacate Hass</t>
        </is>
      </c>
      <c r="D430" s="252" t="inlineStr">
        <is>
          <t>Frutas Finas Ana Pao</t>
        </is>
      </c>
      <c r="E430" s="251" t="inlineStr">
        <is>
          <t>Ingredients - Vegetables</t>
        </is>
      </c>
      <c r="F430" s="70" t="n">
        <v>126</v>
      </c>
      <c r="G430" s="253" t="inlineStr">
        <is>
          <t>Restaurant</t>
        </is>
      </c>
      <c r="H430" s="253" t="inlineStr">
        <is>
          <t>Cash</t>
        </is>
      </c>
      <c r="I430" s="254" t="inlineStr">
        <is>
          <t>✅ Paid</t>
        </is>
      </c>
      <c r="J430" s="269" t="inlineStr">
        <is>
          <t>Jitomate $100 + hass $26 = $126; sin total impreso</t>
        </is>
      </c>
    </row>
    <row r="431">
      <c r="B431" s="246" t="n">
        <v>46207</v>
      </c>
      <c r="C431" s="247" t="inlineStr">
        <is>
          <t>John — Head Chef Week 7</t>
        </is>
      </c>
      <c r="D431" s="248" t="inlineStr">
        <is>
          <t>Payroll</t>
        </is>
      </c>
      <c r="E431" s="247" t="inlineStr">
        <is>
          <t>Staff - Salary</t>
        </is>
      </c>
      <c r="F431" s="67" t="n">
        <v>3800</v>
      </c>
      <c r="G431" s="249" t="inlineStr">
        <is>
          <t>Restaurant</t>
        </is>
      </c>
      <c r="H431" s="249" t="inlineStr">
        <is>
          <t>Cash</t>
        </is>
      </c>
      <c r="I431" s="250" t="inlineStr">
        <is>
          <t>✅ Paid</t>
        </is>
      </c>
      <c r="J431" s="269" t="inlineStr">
        <is>
          <t>Week 7 salary, paid Saturday 04 Jul (usual $3,750; $50 higher this week)</t>
        </is>
      </c>
    </row>
    <row r="432">
      <c r="B432" s="246" t="n">
        <v>46207</v>
      </c>
      <c r="C432" s="251" t="inlineStr">
        <is>
          <t>Duvi/Debi — Limpieza Week 7 (5 days)</t>
        </is>
      </c>
      <c r="D432" s="252" t="inlineStr">
        <is>
          <t>Payroll</t>
        </is>
      </c>
      <c r="E432" s="251" t="inlineStr">
        <is>
          <t>Staff - Salary</t>
        </is>
      </c>
      <c r="F432" s="70" t="n">
        <v>1250</v>
      </c>
      <c r="G432" s="253" t="inlineStr">
        <is>
          <t>Restaurant</t>
        </is>
      </c>
      <c r="H432" s="253" t="inlineStr">
        <is>
          <t>Cash</t>
        </is>
      </c>
      <c r="I432" s="254" t="inlineStr">
        <is>
          <t>✅ Paid</t>
        </is>
      </c>
      <c r="J432" s="269" t="inlineStr">
        <is>
          <t>Week 7, worked 5 days @ $250/day = $1,250, paid Saturday 04 Jul</t>
        </is>
      </c>
    </row>
    <row r="433">
      <c r="B433" s="246" t="n">
        <v>46208</v>
      </c>
      <c r="C433" s="247" t="inlineStr">
        <is>
          <t>Renta mensual (pagada con capital)</t>
        </is>
      </c>
      <c r="D433" s="248" t="inlineStr">
        <is>
          <t>Arrendador</t>
        </is>
      </c>
      <c r="E433" s="247" t="inlineStr">
        <is>
          <t>Rent</t>
        </is>
      </c>
      <c r="F433" s="67" t="n">
        <v>20000</v>
      </c>
      <c r="G433" s="249" t="inlineStr">
        <is>
          <t>Capital</t>
        </is>
      </c>
      <c r="H433" s="249" t="inlineStr">
        <is>
          <t>Transfer</t>
        </is>
      </c>
      <c r="I433" s="250" t="inlineStr">
        <is>
          <t>✅ Paid</t>
        </is>
      </c>
      <c r="J433" s="269" t="inlineStr">
        <is>
          <t>Renta pagada con dinero de CAPITAL (no de caja operativa). Es gasto operativo (P&amp;L) y operaciones deben este monto al capital. Excluida del roll de efectivo por paid=Capital.</t>
        </is>
      </c>
    </row>
    <row r="434">
      <c r="B434" s="246" t="n">
        <v>46209</v>
      </c>
      <c r="C434" s="251" t="inlineStr">
        <is>
          <t>Miscelanea LC remision (lineas ilegibles)</t>
        </is>
      </c>
      <c r="D434" s="252" t="inlineStr">
        <is>
          <t>Miscelanea LC La Cruz</t>
        </is>
      </c>
      <c r="E434" s="251" t="inlineStr">
        <is>
          <t>Ingredients - Meat</t>
        </is>
      </c>
      <c r="F434" s="70" t="n">
        <v>974</v>
      </c>
      <c r="G434" s="253" t="inlineStr">
        <is>
          <t>Restaurant</t>
        </is>
      </c>
      <c r="H434" s="253" t="inlineStr">
        <is>
          <t>Card</t>
        </is>
      </c>
      <c r="I434" s="254" t="inlineStr">
        <is>
          <t>✅ Paid</t>
        </is>
      </c>
      <c r="J434" s="269" t="inlineStr">
        <is>
          <t>Getnet $974 autoritativo (Aut 6B6666, 15:52); carniceria/meat shop; lineas manuscritas ilegibles</t>
        </is>
      </c>
    </row>
    <row r="435">
      <c r="B435" s="246" t="n">
        <v>46209</v>
      </c>
      <c r="C435" s="247" t="inlineStr">
        <is>
          <t>Miscelanea LC remision (lineas ilegibles)</t>
        </is>
      </c>
      <c r="D435" s="248" t="inlineStr">
        <is>
          <t>Miscelanea LC La Cruz</t>
        </is>
      </c>
      <c r="E435" s="247" t="inlineStr">
        <is>
          <t>Ingredients - Meat</t>
        </is>
      </c>
      <c r="F435" s="67" t="n">
        <v>289</v>
      </c>
      <c r="G435" s="249" t="inlineStr">
        <is>
          <t>Restaurant</t>
        </is>
      </c>
      <c r="H435" s="249" t="inlineStr">
        <is>
          <t>Card</t>
        </is>
      </c>
      <c r="I435" s="250" t="inlineStr">
        <is>
          <t>✅ Paid</t>
        </is>
      </c>
      <c r="J435" s="269" t="inlineStr">
        <is>
          <t>Getnet $289 autoritativo (Aut 722687, 09:45); carniceria/meat shop; lineas manuscritas ilegibles</t>
        </is>
      </c>
    </row>
    <row r="436">
      <c r="B436" s="246" t="n">
        <v>46209</v>
      </c>
      <c r="C436" s="251" t="inlineStr">
        <is>
          <t>Pasta seca (codo, caracol, spaguetti, estrella)</t>
        </is>
      </c>
      <c r="D436" s="252" t="inlineStr">
        <is>
          <t>Tres B</t>
        </is>
      </c>
      <c r="E436" s="251" t="inlineStr">
        <is>
          <t>Ingredients - Pantry</t>
        </is>
      </c>
      <c r="F436" s="70" t="n">
        <v>245</v>
      </c>
      <c r="G436" s="253" t="inlineStr">
        <is>
          <t>Restaurant</t>
        </is>
      </c>
      <c r="H436" s="253" t="inlineStr">
        <is>
          <t>Card</t>
        </is>
      </c>
      <c r="I436" s="254" t="inlineStr">
        <is>
          <t>✅ Paid</t>
        </is>
      </c>
      <c r="J436" s="269" t="inlineStr">
        <is>
          <t>Ticket 31 08:50; tarjeta ML ***3982</t>
        </is>
      </c>
    </row>
    <row r="437">
      <c r="B437" s="246" t="n">
        <v>46209</v>
      </c>
      <c r="C437" s="247" t="inlineStr">
        <is>
          <t>Coca-Cola 600ml x2 + Crema acida x2</t>
        </is>
      </c>
      <c r="D437" s="248" t="inlineStr">
        <is>
          <t>Sam's Club</t>
        </is>
      </c>
      <c r="E437" s="247" t="inlineStr">
        <is>
          <t>Supermarket/General</t>
        </is>
      </c>
      <c r="F437" s="67" t="n">
        <v>1420</v>
      </c>
      <c r="G437" s="249" t="inlineStr">
        <is>
          <t>Restaurant</t>
        </is>
      </c>
      <c r="H437" s="249" t="inlineStr">
        <is>
          <t>Card</t>
        </is>
      </c>
      <c r="I437" s="250" t="inlineStr">
        <is>
          <t>✅ Paid</t>
        </is>
      </c>
      <c r="J437" s="269" t="inlineStr">
        <is>
          <t>Coca 2x485.92 + crema 2x240.40 - desc 32.64; debito ***82; 11:01</t>
        </is>
      </c>
    </row>
    <row r="438">
      <c r="B438" s="246" t="n">
        <v>46209</v>
      </c>
      <c r="C438" s="251" t="inlineStr">
        <is>
          <t>Queso x2</t>
        </is>
      </c>
      <c r="D438" s="252" t="inlineStr">
        <is>
          <t>Walmart</t>
        </is>
      </c>
      <c r="E438" s="251" t="inlineStr">
        <is>
          <t>Ingredients - Dairy</t>
        </is>
      </c>
      <c r="F438" s="70" t="n">
        <v>74</v>
      </c>
      <c r="G438" s="253" t="inlineStr">
        <is>
          <t>Restaurant</t>
        </is>
      </c>
      <c r="H438" s="253" t="inlineStr">
        <is>
          <t>Card</t>
        </is>
      </c>
      <c r="I438" s="254" t="inlineStr">
        <is>
          <t>✅ Paid</t>
        </is>
      </c>
      <c r="J438" s="269" t="inlineStr">
        <is>
          <t>GV QSO 37x2; debito ***82; 11:17</t>
        </is>
      </c>
    </row>
    <row r="439">
      <c r="B439" s="246" t="n">
        <v>46209</v>
      </c>
      <c r="C439" s="247" t="inlineStr">
        <is>
          <t>Milanesa 1.53kg + Muslo 10.18kg + Pechuga 3.69kg</t>
        </is>
      </c>
      <c r="D439" s="248" t="inlineStr">
        <is>
          <t>Remision Loka Cafe</t>
        </is>
      </c>
      <c r="E439" s="247" t="inlineStr">
        <is>
          <t>Ingredients - Meat</t>
        </is>
      </c>
      <c r="F439" s="67" t="n">
        <v>1133</v>
      </c>
      <c r="G439" s="249" t="inlineStr">
        <is>
          <t>Restaurant</t>
        </is>
      </c>
      <c r="H439" s="249" t="inlineStr">
        <is>
          <t>Cash</t>
        </is>
      </c>
      <c r="I439" s="250" t="inlineStr">
        <is>
          <t>✅ Paid</t>
        </is>
      </c>
      <c r="J439" s="269" t="inlineStr">
        <is>
          <t>Milanesa $199 + muslo $509 + pechuga $425 = $1133; efectivo</t>
        </is>
      </c>
    </row>
    <row r="440">
      <c r="B440" s="246" t="n">
        <v>46209</v>
      </c>
      <c r="C440" s="251" t="inlineStr">
        <is>
          <t>Cilantro</t>
        </is>
      </c>
      <c r="D440" s="252" t="inlineStr">
        <is>
          <t>No bill</t>
        </is>
      </c>
      <c r="E440" s="251" t="inlineStr">
        <is>
          <t>Ingredients - Vegetables</t>
        </is>
      </c>
      <c r="F440" s="70" t="n">
        <v>5</v>
      </c>
      <c r="G440" s="253" t="inlineStr">
        <is>
          <t>Restaurant</t>
        </is>
      </c>
      <c r="H440" s="253" t="inlineStr">
        <is>
          <t>Cash</t>
        </is>
      </c>
      <c r="I440" s="254" t="inlineStr">
        <is>
          <t>✅ Paid</t>
        </is>
      </c>
      <c r="J440" s="269" t="inlineStr">
        <is>
          <t>No receipt; cash</t>
        </is>
      </c>
    </row>
    <row r="441">
      <c r="B441" s="246" t="n">
        <v>46209</v>
      </c>
      <c r="C441" s="247" t="inlineStr">
        <is>
          <t>Agua natural</t>
        </is>
      </c>
      <c r="D441" s="248" t="inlineStr">
        <is>
          <t>No bill</t>
        </is>
      </c>
      <c r="E441" s="247" t="inlineStr">
        <is>
          <t>Ingredients - Beverages</t>
        </is>
      </c>
      <c r="F441" s="67" t="n">
        <v>60</v>
      </c>
      <c r="G441" s="249" t="inlineStr">
        <is>
          <t>Restaurant</t>
        </is>
      </c>
      <c r="H441" s="249" t="inlineStr">
        <is>
          <t>Cash</t>
        </is>
      </c>
      <c r="I441" s="250" t="inlineStr">
        <is>
          <t>✅ Paid</t>
        </is>
      </c>
      <c r="J441" s="269" t="inlineStr">
        <is>
          <t>No receipt; cash</t>
        </is>
      </c>
    </row>
    <row r="442">
      <c r="B442" s="246" t="n">
        <v>46210</v>
      </c>
      <c r="C442" s="251" t="inlineStr">
        <is>
          <t>Tortillas</t>
        </is>
      </c>
      <c r="D442" s="252" t="inlineStr">
        <is>
          <t>No bill</t>
        </is>
      </c>
      <c r="E442" s="251" t="inlineStr">
        <is>
          <t>Ingredients - Bread</t>
        </is>
      </c>
      <c r="F442" s="70" t="n">
        <v>49</v>
      </c>
      <c r="G442" s="253" t="inlineStr">
        <is>
          <t>Restaurant</t>
        </is>
      </c>
      <c r="H442" s="253" t="inlineStr">
        <is>
          <t>Cash</t>
        </is>
      </c>
      <c r="I442" s="254" t="inlineStr">
        <is>
          <t>✅ Paid</t>
        </is>
      </c>
      <c r="J442" s="269" t="inlineStr">
        <is>
          <t>No receipt; cash</t>
        </is>
      </c>
    </row>
    <row r="443">
      <c r="B443" s="246" t="n">
        <v>46211</v>
      </c>
      <c r="C443" s="247" t="inlineStr">
        <is>
          <t>Tortillas blancas x2 + Rosca de nuez</t>
        </is>
      </c>
      <c r="D443" s="248" t="inlineStr">
        <is>
          <t>Chedraui Paseo</t>
        </is>
      </c>
      <c r="E443" s="247" t="inlineStr">
        <is>
          <t>Ingredients - Bread</t>
        </is>
      </c>
      <c r="F443" s="67" t="n">
        <v>139.43</v>
      </c>
      <c r="G443" s="249" t="inlineStr">
        <is>
          <t>Restaurant</t>
        </is>
      </c>
      <c r="H443" s="249" t="inlineStr">
        <is>
          <t>Card</t>
        </is>
      </c>
      <c r="I443" s="250" t="inlineStr">
        <is>
          <t>✅ Paid</t>
        </is>
      </c>
      <c r="J443" s="269" t="inlineStr">
        <is>
          <t>Debito BBVA ***3982 09:31; tortillas $50.43 + rosca nuez $89</t>
        </is>
      </c>
    </row>
    <row r="444">
      <c r="B444" s="246" t="n">
        <v>46211</v>
      </c>
      <c r="C444" s="251" t="inlineStr">
        <is>
          <t>Terminal rolls (rollos POS)</t>
        </is>
      </c>
      <c r="D444" s="252" t="inlineStr">
        <is>
          <t>No bill</t>
        </is>
      </c>
      <c r="E444" s="251" t="inlineStr">
        <is>
          <t>Office Supplies</t>
        </is>
      </c>
      <c r="F444" s="70" t="n">
        <v>1076</v>
      </c>
      <c r="G444" s="253" t="inlineStr">
        <is>
          <t>Restaurant</t>
        </is>
      </c>
      <c r="H444" s="253" t="inlineStr">
        <is>
          <t>Cash</t>
        </is>
      </c>
      <c r="I444" s="254" t="inlineStr">
        <is>
          <t>✅ Paid</t>
        </is>
      </c>
      <c r="J444" s="269" t="inlineStr">
        <is>
          <t>No receipt; cash; amount confirmed by owner</t>
        </is>
      </c>
    </row>
    <row r="445">
      <c r="B445" s="246" t="n">
        <v>46211</v>
      </c>
      <c r="C445" s="247" t="inlineStr">
        <is>
          <t>Lomo (cerdo)</t>
        </is>
      </c>
      <c r="D445" s="248" t="inlineStr">
        <is>
          <t>Remision</t>
        </is>
      </c>
      <c r="E445" s="247" t="inlineStr">
        <is>
          <t>Ingredients - Meat</t>
        </is>
      </c>
      <c r="F445" s="67" t="n">
        <v>200</v>
      </c>
      <c r="G445" s="249" t="inlineStr">
        <is>
          <t>Restaurant</t>
        </is>
      </c>
      <c r="H445" s="249" t="inlineStr">
        <is>
          <t>Cash</t>
        </is>
      </c>
      <c r="I445" s="250" t="inlineStr">
        <is>
          <t>✅ Paid</t>
        </is>
      </c>
      <c r="J445" s="269" t="inlineStr">
        <is>
          <t>Nota remision IMG_5162; lomo $200; efectivo</t>
        </is>
      </c>
    </row>
    <row r="446">
      <c r="B446" s="246" t="n">
        <v>46212</v>
      </c>
      <c r="C446" s="251" t="inlineStr">
        <is>
          <t>Cebolla morada, mango, crema, tortillas</t>
        </is>
      </c>
      <c r="D446" s="252" t="inlineStr">
        <is>
          <t>Chedraui Paseo</t>
        </is>
      </c>
      <c r="E446" s="251" t="inlineStr">
        <is>
          <t>Supermarket/General</t>
        </is>
      </c>
      <c r="F446" s="70" t="n">
        <v>191.09</v>
      </c>
      <c r="G446" s="253" t="inlineStr">
        <is>
          <t>Restaurant</t>
        </is>
      </c>
      <c r="H446" s="253" t="inlineStr">
        <is>
          <t>Card</t>
        </is>
      </c>
      <c r="I446" s="254" t="inlineStr">
        <is>
          <t>✅ Paid</t>
        </is>
      </c>
      <c r="J446" s="269" t="inlineStr">
        <is>
          <t>Debito Bancomer ***0863; 19:00</t>
        </is>
      </c>
    </row>
    <row r="447">
      <c r="B447" s="246" t="n">
        <v>46212</v>
      </c>
      <c r="C447" s="247" t="inlineStr">
        <is>
          <t>Salsa BBQ Mr Wings + Salsa Mr Wings 3.8L + Pan caja masa madre</t>
        </is>
      </c>
      <c r="D447" s="248" t="inlineStr">
        <is>
          <t>REAL La Cruz</t>
        </is>
      </c>
      <c r="E447" s="247" t="inlineStr">
        <is>
          <t>Ingredients - Pantry</t>
        </is>
      </c>
      <c r="F447" s="67" t="n">
        <v>506</v>
      </c>
      <c r="G447" s="249" t="inlineStr">
        <is>
          <t>Restaurant</t>
        </is>
      </c>
      <c r="H447" s="249" t="inlineStr">
        <is>
          <t>Card</t>
        </is>
      </c>
      <c r="I447" s="250" t="inlineStr">
        <is>
          <t>✅ Paid</t>
        </is>
      </c>
      <c r="J447" s="269" t="inlineStr">
        <is>
          <t>Ticket venta folio 4518; debito; salsas $431 + pan $75</t>
        </is>
      </c>
    </row>
    <row r="448">
      <c r="B448" s="246" t="n">
        <v>46212</v>
      </c>
      <c r="C448" s="251" t="inlineStr">
        <is>
          <t>Milaneza de cerdo 3.04kg @ $95</t>
        </is>
      </c>
      <c r="D448" s="252" t="inlineStr">
        <is>
          <t>Carnicos Frescos (Central de Abastos)</t>
        </is>
      </c>
      <c r="E448" s="251" t="inlineStr">
        <is>
          <t>Ingredients - Meat</t>
        </is>
      </c>
      <c r="F448" s="70" t="n">
        <v>288.8</v>
      </c>
      <c r="G448" s="253" t="inlineStr">
        <is>
          <t>Restaurant</t>
        </is>
      </c>
      <c r="H448" s="253" t="inlineStr">
        <is>
          <t>Cash</t>
        </is>
      </c>
      <c r="I448" s="254" t="inlineStr">
        <is>
          <t>✅ Paid</t>
        </is>
      </c>
      <c r="J448" s="269" t="inlineStr">
        <is>
          <t>Folio 74169; maciza/molida</t>
        </is>
      </c>
    </row>
    <row r="449">
      <c r="B449" s="246" t="n">
        <v>46212</v>
      </c>
      <c r="C449" s="247" t="inlineStr">
        <is>
          <t>Pescado/mariscos</t>
        </is>
      </c>
      <c r="D449" s="248" t="inlineStr">
        <is>
          <t>Brisa del Mar</t>
        </is>
      </c>
      <c r="E449" s="247" t="inlineStr">
        <is>
          <t>Ingredients - Meat &amp; Fish</t>
        </is>
      </c>
      <c r="F449" s="67" t="n">
        <v>288</v>
      </c>
      <c r="G449" s="249" t="inlineStr">
        <is>
          <t>Restaurant</t>
        </is>
      </c>
      <c r="H449" s="249" t="inlineStr">
        <is>
          <t>Cash</t>
        </is>
      </c>
      <c r="I449" s="250" t="inlineStr">
        <is>
          <t>✅ Paid</t>
        </is>
      </c>
      <c r="J449" s="269" t="inlineStr">
        <is>
          <t>Pescados y mariscos; NT 092008 12:21</t>
        </is>
      </c>
    </row>
    <row r="450">
      <c r="B450" s="246" t="n">
        <v>46212</v>
      </c>
      <c r="C450" s="251" t="inlineStr">
        <is>
          <t>Tomatoes</t>
        </is>
      </c>
      <c r="D450" s="252" t="inlineStr">
        <is>
          <t>No bill</t>
        </is>
      </c>
      <c r="E450" s="251" t="inlineStr">
        <is>
          <t>Ingredients - Vegetables</t>
        </is>
      </c>
      <c r="F450" s="70" t="n">
        <v>39</v>
      </c>
      <c r="G450" s="253" t="inlineStr">
        <is>
          <t>Restaurant</t>
        </is>
      </c>
      <c r="H450" s="253" t="inlineStr">
        <is>
          <t>Cash</t>
        </is>
      </c>
      <c r="I450" s="254" t="inlineStr">
        <is>
          <t>✅ Paid</t>
        </is>
      </c>
      <c r="J450" s="269" t="inlineStr">
        <is>
          <t>No receipt; cash</t>
        </is>
      </c>
    </row>
    <row r="451">
      <c r="B451" s="246" t="n">
        <v>46212</v>
      </c>
      <c r="C451" s="247" t="inlineStr">
        <is>
          <t>Pollo</t>
        </is>
      </c>
      <c r="D451" s="248" t="inlineStr">
        <is>
          <t>No bill</t>
        </is>
      </c>
      <c r="E451" s="247" t="inlineStr">
        <is>
          <t>Ingredients - Meat</t>
        </is>
      </c>
      <c r="F451" s="67" t="n">
        <v>508</v>
      </c>
      <c r="G451" s="249" t="inlineStr">
        <is>
          <t>Restaurant</t>
        </is>
      </c>
      <c r="H451" s="249" t="inlineStr">
        <is>
          <t>Cash</t>
        </is>
      </c>
      <c r="I451" s="250" t="inlineStr">
        <is>
          <t>✅ Paid</t>
        </is>
      </c>
      <c r="J451" s="269" t="inlineStr">
        <is>
          <t>No receipt; cash</t>
        </is>
      </c>
    </row>
    <row r="452">
      <c r="B452" s="246" t="n">
        <v>46213</v>
      </c>
      <c r="C452" s="251" t="inlineStr">
        <is>
          <t>Lechuga</t>
        </is>
      </c>
      <c r="D452" s="252" t="inlineStr">
        <is>
          <t>No bill</t>
        </is>
      </c>
      <c r="E452" s="251" t="inlineStr">
        <is>
          <t>Ingredients - Vegetables</t>
        </is>
      </c>
      <c r="F452" s="70" t="n">
        <v>64</v>
      </c>
      <c r="G452" s="253" t="inlineStr">
        <is>
          <t>Restaurant</t>
        </is>
      </c>
      <c r="H452" s="253" t="inlineStr">
        <is>
          <t>Cash</t>
        </is>
      </c>
      <c r="I452" s="254" t="inlineStr">
        <is>
          <t>✅ Paid</t>
        </is>
      </c>
      <c r="J452" s="295" t="inlineStr">
        <is>
          <t>No receipt; cash</t>
        </is>
      </c>
    </row>
    <row r="453">
      <c r="B453" s="246" t="n">
        <v>46213</v>
      </c>
      <c r="C453" s="247" t="inlineStr">
        <is>
          <t>Tocino</t>
        </is>
      </c>
      <c r="D453" s="248" t="inlineStr">
        <is>
          <t>No bill</t>
        </is>
      </c>
      <c r="E453" s="247" t="inlineStr">
        <is>
          <t>Ingredients - Meat</t>
        </is>
      </c>
      <c r="F453" s="67" t="n">
        <v>141</v>
      </c>
      <c r="G453" s="249" t="inlineStr">
        <is>
          <t>Restaurant</t>
        </is>
      </c>
      <c r="H453" s="249" t="inlineStr">
        <is>
          <t>Cash</t>
        </is>
      </c>
      <c r="I453" s="250" t="inlineStr">
        <is>
          <t>✅ Paid</t>
        </is>
      </c>
      <c r="J453" s="295" t="inlineStr">
        <is>
          <t>No receipt; cash</t>
        </is>
      </c>
    </row>
    <row r="454">
      <c r="B454" s="246" t="n">
        <v>46213</v>
      </c>
      <c r="C454" s="251" t="inlineStr">
        <is>
          <t>Water cans</t>
        </is>
      </c>
      <c r="D454" s="252" t="inlineStr">
        <is>
          <t>No bill</t>
        </is>
      </c>
      <c r="E454" s="251" t="inlineStr">
        <is>
          <t>Ingredients - Beverages</t>
        </is>
      </c>
      <c r="F454" s="70" t="n">
        <v>30</v>
      </c>
      <c r="G454" s="253" t="inlineStr">
        <is>
          <t>Restaurant</t>
        </is>
      </c>
      <c r="H454" s="253" t="inlineStr">
        <is>
          <t>Cash</t>
        </is>
      </c>
      <c r="I454" s="254" t="inlineStr">
        <is>
          <t>✅ Paid</t>
        </is>
      </c>
      <c r="J454" s="295" t="inlineStr">
        <is>
          <t>No receipt; cash</t>
        </is>
      </c>
    </row>
    <row r="455">
      <c r="B455" s="246" t="n">
        <v>46213</v>
      </c>
      <c r="C455" s="247" t="inlineStr">
        <is>
          <t>Jamon</t>
        </is>
      </c>
      <c r="D455" s="248" t="inlineStr">
        <is>
          <t>No bill</t>
        </is>
      </c>
      <c r="E455" s="247" t="inlineStr">
        <is>
          <t>Ingredients - Meat</t>
        </is>
      </c>
      <c r="F455" s="67" t="n">
        <v>173</v>
      </c>
      <c r="G455" s="249" t="inlineStr">
        <is>
          <t>Restaurant</t>
        </is>
      </c>
      <c r="H455" s="249" t="inlineStr">
        <is>
          <t>Cash</t>
        </is>
      </c>
      <c r="I455" s="250" t="inlineStr">
        <is>
          <t>✅ Paid</t>
        </is>
      </c>
      <c r="J455" s="295" t="inlineStr">
        <is>
          <t>No receipt; cash</t>
        </is>
      </c>
    </row>
    <row r="456">
      <c r="B456" s="246" t="n">
        <v>46213</v>
      </c>
      <c r="C456" s="251" t="inlineStr">
        <is>
          <t>Tostadas</t>
        </is>
      </c>
      <c r="D456" s="252" t="inlineStr">
        <is>
          <t>No bill</t>
        </is>
      </c>
      <c r="E456" s="251" t="inlineStr">
        <is>
          <t>Ingredients - Bread</t>
        </is>
      </c>
      <c r="F456" s="70" t="n">
        <v>121</v>
      </c>
      <c r="G456" s="253" t="inlineStr">
        <is>
          <t>Restaurant</t>
        </is>
      </c>
      <c r="H456" s="253" t="inlineStr">
        <is>
          <t>Cash</t>
        </is>
      </c>
      <c r="I456" s="254" t="inlineStr">
        <is>
          <t>✅ Paid</t>
        </is>
      </c>
      <c r="J456" s="295" t="inlineStr">
        <is>
          <t>No receipt; cash</t>
        </is>
      </c>
    </row>
    <row r="457">
      <c r="B457" s="246" t="n">
        <v>46213</v>
      </c>
      <c r="C457" s="247" t="inlineStr">
        <is>
          <t>Queso</t>
        </is>
      </c>
      <c r="D457" s="248" t="inlineStr">
        <is>
          <t>No bill</t>
        </is>
      </c>
      <c r="E457" s="247" t="inlineStr">
        <is>
          <t>Ingredients - Dairy</t>
        </is>
      </c>
      <c r="F457" s="67" t="n">
        <v>274</v>
      </c>
      <c r="G457" s="249" t="inlineStr">
        <is>
          <t>Restaurant</t>
        </is>
      </c>
      <c r="H457" s="249" t="inlineStr">
        <is>
          <t>Cash</t>
        </is>
      </c>
      <c r="I457" s="250" t="inlineStr">
        <is>
          <t>✅ Paid</t>
        </is>
      </c>
      <c r="J457" s="295" t="inlineStr">
        <is>
          <t>No receipt; cash</t>
        </is>
      </c>
    </row>
    <row r="458">
      <c r="B458" s="246" t="n">
        <v>46213</v>
      </c>
      <c r="C458" s="251" t="inlineStr">
        <is>
          <t>Kinder</t>
        </is>
      </c>
      <c r="D458" s="252" t="inlineStr">
        <is>
          <t>No bill</t>
        </is>
      </c>
      <c r="E458" s="251" t="inlineStr">
        <is>
          <t>Ingredients - Other</t>
        </is>
      </c>
      <c r="F458" s="70" t="n">
        <v>21</v>
      </c>
      <c r="G458" s="253" t="inlineStr">
        <is>
          <t>Restaurant</t>
        </is>
      </c>
      <c r="H458" s="253" t="inlineStr">
        <is>
          <t>Cash</t>
        </is>
      </c>
      <c r="I458" s="254" t="inlineStr">
        <is>
          <t>✅ Paid</t>
        </is>
      </c>
      <c r="J458" s="295" t="inlineStr">
        <is>
          <t>No receipt; cash; snack/confectionery</t>
        </is>
      </c>
    </row>
    <row r="459">
      <c r="B459" s="246" t="n">
        <v>46213</v>
      </c>
      <c r="C459" s="247" t="inlineStr">
        <is>
          <t>Saladitas</t>
        </is>
      </c>
      <c r="D459" s="248" t="inlineStr">
        <is>
          <t>No bill</t>
        </is>
      </c>
      <c r="E459" s="247" t="inlineStr">
        <is>
          <t>Ingredients - Other</t>
        </is>
      </c>
      <c r="F459" s="67" t="n">
        <v>48</v>
      </c>
      <c r="G459" s="249" t="inlineStr">
        <is>
          <t>Restaurant</t>
        </is>
      </c>
      <c r="H459" s="249" t="inlineStr">
        <is>
          <t>Cash</t>
        </is>
      </c>
      <c r="I459" s="250" t="inlineStr">
        <is>
          <t>✅ Paid</t>
        </is>
      </c>
      <c r="J459" s="295" t="inlineStr">
        <is>
          <t>No receipt; cash; crackers</t>
        </is>
      </c>
    </row>
    <row r="460">
      <c r="B460" s="246" t="n">
        <v>46213</v>
      </c>
      <c r="C460" s="251" t="inlineStr">
        <is>
          <t>Oreo</t>
        </is>
      </c>
      <c r="D460" s="252" t="inlineStr">
        <is>
          <t>No bill</t>
        </is>
      </c>
      <c r="E460" s="251" t="inlineStr">
        <is>
          <t>Ingredients - Other</t>
        </is>
      </c>
      <c r="F460" s="70" t="n">
        <v>22</v>
      </c>
      <c r="G460" s="253" t="inlineStr">
        <is>
          <t>Restaurant</t>
        </is>
      </c>
      <c r="H460" s="253" t="inlineStr">
        <is>
          <t>Cash</t>
        </is>
      </c>
      <c r="I460" s="254" t="inlineStr">
        <is>
          <t>✅ Paid</t>
        </is>
      </c>
      <c r="J460" s="295" t="inlineStr">
        <is>
          <t>No receipt; cash; cookies</t>
        </is>
      </c>
    </row>
    <row r="461">
      <c r="B461" s="246" t="n">
        <v>46213</v>
      </c>
      <c r="C461" s="247" t="inlineStr">
        <is>
          <t>Samu — Ayudante Week 8</t>
        </is>
      </c>
      <c r="D461" s="248" t="inlineStr">
        <is>
          <t>Payroll</t>
        </is>
      </c>
      <c r="E461" s="247" t="inlineStr">
        <is>
          <t>Staff - Salary</t>
        </is>
      </c>
      <c r="F461" s="67" t="n">
        <v>1200</v>
      </c>
      <c r="G461" s="249" t="inlineStr">
        <is>
          <t>Restaurant</t>
        </is>
      </c>
      <c r="H461" s="249" t="inlineStr">
        <is>
          <t>Cash</t>
        </is>
      </c>
      <c r="I461" s="250" t="inlineStr">
        <is>
          <t>✅ Paid</t>
        </is>
      </c>
      <c r="J461" s="295" t="inlineStr">
        <is>
          <t>Week 8 salary, paid Friday 10 Jul ($800 base + $400 mesero top-up)</t>
        </is>
      </c>
    </row>
    <row r="462">
      <c r="B462" s="246" t="n">
        <v>46214</v>
      </c>
      <c r="C462" s="251" t="inlineStr">
        <is>
          <t>Sam's Club: corte recto, arroz/cebolla, dedos queso, tomate cherry, azucar, cafe, jarabe Hershey, Oroweat, Kraft parmesano, champinon, germinado</t>
        </is>
      </c>
      <c r="D462" s="252" t="inlineStr">
        <is>
          <t>Sam's Club</t>
        </is>
      </c>
      <c r="E462" s="251" t="inlineStr">
        <is>
          <t>Supermarket/General</t>
        </is>
      </c>
      <c r="F462" s="70" t="n">
        <v>2803</v>
      </c>
      <c r="G462" s="253" t="inlineStr">
        <is>
          <t>Restaurant</t>
        </is>
      </c>
      <c r="H462" s="253" t="inlineStr">
        <is>
          <t>Card</t>
        </is>
      </c>
      <c r="I462" s="254" t="inlineStr">
        <is>
          <t>✅ Paid</t>
        </is>
      </c>
      <c r="J462" s="295" t="inlineStr">
        <is>
          <t>Visa debito ***63 AUT 867321; 11-Jul 11:06. Comprado en la tarjeta de Shashirekha; se le reembolsa con DINERO DEL RESTAURANTE (gasto operativo normal, paid=Restaurant).</t>
        </is>
      </c>
    </row>
    <row r="463">
      <c r="B463" s="246" t="n">
        <v>46214</v>
      </c>
      <c r="C463" s="247" t="inlineStr">
        <is>
          <t>Vegetables</t>
        </is>
      </c>
      <c r="D463" s="248" t="inlineStr">
        <is>
          <t>No bill</t>
        </is>
      </c>
      <c r="E463" s="247" t="inlineStr">
        <is>
          <t>Ingredients - Vegetables</t>
        </is>
      </c>
      <c r="F463" s="67" t="n">
        <v>1437</v>
      </c>
      <c r="G463" s="249" t="inlineStr">
        <is>
          <t>Restaurant</t>
        </is>
      </c>
      <c r="H463" s="249" t="inlineStr">
        <is>
          <t>Cash</t>
        </is>
      </c>
      <c r="I463" s="250" t="inlineStr">
        <is>
          <t>✅ Paid</t>
        </is>
      </c>
      <c r="J463" s="295" t="inlineStr">
        <is>
          <t>No receipt; cash</t>
        </is>
      </c>
    </row>
    <row r="464">
      <c r="B464" s="246" t="n">
        <v>46214</v>
      </c>
      <c r="C464" s="251" t="inlineStr">
        <is>
          <t>Hielo</t>
        </is>
      </c>
      <c r="D464" s="252" t="inlineStr">
        <is>
          <t>No bill</t>
        </is>
      </c>
      <c r="E464" s="251" t="inlineStr">
        <is>
          <t>Kitchen Supplies</t>
        </is>
      </c>
      <c r="F464" s="70" t="n">
        <v>100</v>
      </c>
      <c r="G464" s="253" t="inlineStr">
        <is>
          <t>Restaurant</t>
        </is>
      </c>
      <c r="H464" s="253" t="inlineStr">
        <is>
          <t>Cash</t>
        </is>
      </c>
      <c r="I464" s="254" t="inlineStr">
        <is>
          <t>✅ Paid</t>
        </is>
      </c>
      <c r="J464" s="295" t="inlineStr">
        <is>
          <t>No receipt; cash</t>
        </is>
      </c>
    </row>
    <row r="465">
      <c r="B465" s="246" t="n">
        <v>46214</v>
      </c>
      <c r="C465" s="247" t="inlineStr">
        <is>
          <t>John — Head Chef Week 8</t>
        </is>
      </c>
      <c r="D465" s="248" t="inlineStr">
        <is>
          <t>Payroll</t>
        </is>
      </c>
      <c r="E465" s="247" t="inlineStr">
        <is>
          <t>Staff - Salary</t>
        </is>
      </c>
      <c r="F465" s="67" t="n">
        <v>4000</v>
      </c>
      <c r="G465" s="249" t="inlineStr">
        <is>
          <t>Restaurant</t>
        </is>
      </c>
      <c r="H465" s="249" t="inlineStr">
        <is>
          <t>Cash</t>
        </is>
      </c>
      <c r="I465" s="250" t="inlineStr">
        <is>
          <t>✅ Paid</t>
        </is>
      </c>
      <c r="J465" s="295" t="inlineStr">
        <is>
          <t>Week 8 salary, paid Saturday 11 Jul. $4,000 (vs $3,750-3,800 normal) — cubrio parte del trabajo de Duvi durante su ausencia.</t>
        </is>
      </c>
    </row>
    <row r="466">
      <c r="B466" s="246" t="n">
        <v>46214</v>
      </c>
      <c r="C466" s="251" t="inlineStr">
        <is>
          <t>Duvi/Debi — Limpieza Week 8</t>
        </is>
      </c>
      <c r="D466" s="252" t="inlineStr">
        <is>
          <t>Payroll</t>
        </is>
      </c>
      <c r="E466" s="251" t="inlineStr">
        <is>
          <t>Staff - Salary</t>
        </is>
      </c>
      <c r="F466" s="70" t="n">
        <v>1000</v>
      </c>
      <c r="G466" s="253" t="inlineStr">
        <is>
          <t>Restaurant</t>
        </is>
      </c>
      <c r="H466" s="253" t="inlineStr">
        <is>
          <t>Cash</t>
        </is>
      </c>
      <c r="I466" s="254" t="inlineStr">
        <is>
          <t>✅ Paid</t>
        </is>
      </c>
      <c r="J466" s="295" t="inlineStr">
        <is>
          <t>Week 8, paid Saturday 11 Jul. Trabajo 4 dias @ $250 = $1,000 (semana previa $1,250 por 5 dias).</t>
        </is>
      </c>
    </row>
    <row r="467">
      <c r="B467" s="246" t="n">
        <v>46216</v>
      </c>
      <c r="C467" s="247" t="inlineStr">
        <is>
          <t>Pan dulce</t>
        </is>
      </c>
      <c r="D467" s="248" t="inlineStr">
        <is>
          <t>No bill</t>
        </is>
      </c>
      <c r="E467" s="247" t="inlineStr">
        <is>
          <t>Ingredients - Bread</t>
        </is>
      </c>
      <c r="F467" s="67" t="n">
        <v>60</v>
      </c>
      <c r="G467" s="249" t="inlineStr">
        <is>
          <t>Restaurant</t>
        </is>
      </c>
      <c r="H467" s="249" t="inlineStr">
        <is>
          <t>Cash</t>
        </is>
      </c>
      <c r="I467" s="250" t="inlineStr">
        <is>
          <t>✅ Paid</t>
        </is>
      </c>
      <c r="J467" s="295" t="inlineStr">
        <is>
          <t>No receipt; cash</t>
        </is>
      </c>
    </row>
    <row r="468">
      <c r="B468" s="246" t="n">
        <v>46216</v>
      </c>
      <c r="C468" s="251" t="inlineStr">
        <is>
          <t>Pollo</t>
        </is>
      </c>
      <c r="D468" s="252" t="inlineStr">
        <is>
          <t>No bill</t>
        </is>
      </c>
      <c r="E468" s="251" t="inlineStr">
        <is>
          <t>Ingredients - Meat</t>
        </is>
      </c>
      <c r="F468" s="70" t="n">
        <v>1495</v>
      </c>
      <c r="G468" s="253" t="inlineStr">
        <is>
          <t>Restaurant</t>
        </is>
      </c>
      <c r="H468" s="253" t="inlineStr">
        <is>
          <t>Cash</t>
        </is>
      </c>
      <c r="I468" s="254" t="inlineStr">
        <is>
          <t>✅ Paid</t>
        </is>
      </c>
      <c r="J468" s="295" t="inlineStr">
        <is>
          <t>No receipt; cash</t>
        </is>
      </c>
    </row>
    <row r="469">
      <c r="B469" s="246" t="n">
        <v>46216</v>
      </c>
      <c r="C469" s="247" t="inlineStr">
        <is>
          <t>Carne</t>
        </is>
      </c>
      <c r="D469" s="248" t="inlineStr">
        <is>
          <t>No bill</t>
        </is>
      </c>
      <c r="E469" s="247" t="inlineStr">
        <is>
          <t>Ingredients - Meat</t>
        </is>
      </c>
      <c r="F469" s="67" t="n">
        <v>483</v>
      </c>
      <c r="G469" s="249" t="inlineStr">
        <is>
          <t>Restaurant</t>
        </is>
      </c>
      <c r="H469" s="249" t="inlineStr">
        <is>
          <t>Cash</t>
        </is>
      </c>
      <c r="I469" s="250" t="inlineStr">
        <is>
          <t>✅ Paid</t>
        </is>
      </c>
      <c r="J469" s="295" t="inlineStr">
        <is>
          <t>No receipt; cash</t>
        </is>
      </c>
    </row>
    <row r="470">
      <c r="B470" s="246" t="n">
        <v>46216</v>
      </c>
      <c r="C470" s="251" t="inlineStr">
        <is>
          <t>Queso panela</t>
        </is>
      </c>
      <c r="D470" s="252" t="inlineStr">
        <is>
          <t>No bill</t>
        </is>
      </c>
      <c r="E470" s="251" t="inlineStr">
        <is>
          <t>Ingredients - Dairy</t>
        </is>
      </c>
      <c r="F470" s="70" t="n">
        <v>592</v>
      </c>
      <c r="G470" s="253" t="inlineStr">
        <is>
          <t>Restaurant</t>
        </is>
      </c>
      <c r="H470" s="253" t="inlineStr">
        <is>
          <t>Cash</t>
        </is>
      </c>
      <c r="I470" s="254" t="inlineStr">
        <is>
          <t>✅ Paid</t>
        </is>
      </c>
      <c r="J470" s="295" t="inlineStr">
        <is>
          <t>No receipt; cash</t>
        </is>
      </c>
    </row>
    <row r="471">
      <c r="B471" s="296" t="n">
        <v>46216</v>
      </c>
      <c r="C471" s="297" t="inlineStr">
        <is>
          <t>Aceite (Oxxo)</t>
        </is>
      </c>
      <c r="D471" s="298" t="inlineStr">
        <is>
          <t>OXXO</t>
        </is>
      </c>
      <c r="E471" s="297" t="inlineStr">
        <is>
          <t>Ingredients - Pantry</t>
        </is>
      </c>
      <c r="F471" s="299" t="n">
        <v>112</v>
      </c>
      <c r="G471" s="300" t="inlineStr">
        <is>
          <t>Restaurant</t>
        </is>
      </c>
      <c r="H471" s="300" t="inlineStr">
        <is>
          <t>Cash</t>
        </is>
      </c>
      <c r="I471" s="301" t="inlineStr">
        <is>
          <t>✅ Paid</t>
        </is>
      </c>
      <c r="J471" s="295" t="inlineStr">
        <is>
          <t>No receipt; cash</t>
        </is>
      </c>
    </row>
    <row r="472">
      <c r="B472" s="296" t="n">
        <v>46216</v>
      </c>
      <c r="C472" s="297" t="inlineStr">
        <is>
          <t>Agua</t>
        </is>
      </c>
      <c r="D472" s="298" t="inlineStr">
        <is>
          <t>No bill</t>
        </is>
      </c>
      <c r="E472" s="297" t="inlineStr">
        <is>
          <t>Ingredients - Beverages</t>
        </is>
      </c>
      <c r="F472" s="299" t="n">
        <v>60</v>
      </c>
      <c r="G472" s="300" t="inlineStr">
        <is>
          <t>Lohith</t>
        </is>
      </c>
      <c r="H472" s="300" t="inlineStr">
        <is>
          <t>Cash</t>
        </is>
      </c>
      <c r="I472" s="301" t="inlineStr">
        <is>
          <t>✅ Paid</t>
        </is>
      </c>
      <c r="J472" s="295" t="inlineStr">
        <is>
          <t>Pagado personalmente por Lohith (13-Jul); gasto operativo real, reembolsable via Owner Ledger. No salió de la caja.</t>
        </is>
      </c>
    </row>
    <row r="473">
      <c r="B473" s="296" t="n">
        <v>46216</v>
      </c>
      <c r="C473" s="297" t="inlineStr">
        <is>
          <t>Aceite</t>
        </is>
      </c>
      <c r="D473" s="298" t="inlineStr">
        <is>
          <t>No bill</t>
        </is>
      </c>
      <c r="E473" s="297" t="inlineStr">
        <is>
          <t>Ingredients - Pantry</t>
        </is>
      </c>
      <c r="F473" s="299" t="n">
        <v>330</v>
      </c>
      <c r="G473" s="300" t="inlineStr">
        <is>
          <t>Lohith</t>
        </is>
      </c>
      <c r="H473" s="300" t="inlineStr">
        <is>
          <t>Cash</t>
        </is>
      </c>
      <c r="I473" s="301" t="inlineStr">
        <is>
          <t>✅ Paid</t>
        </is>
      </c>
      <c r="J473" s="295" t="inlineStr">
        <is>
          <t>Pagado personalmente por Lohith (13-Jul); gasto operativo real, reembolsable via Owner Ledger. No salió de la caja.</t>
        </is>
      </c>
    </row>
    <row r="474">
      <c r="B474" s="296" t="n">
        <v>46216</v>
      </c>
      <c r="C474" s="297" t="inlineStr">
        <is>
          <t>Clorox</t>
        </is>
      </c>
      <c r="D474" s="298" t="inlineStr">
        <is>
          <t>No bill</t>
        </is>
      </c>
      <c r="E474" s="297" t="inlineStr">
        <is>
          <t>Kitchen Supplies</t>
        </is>
      </c>
      <c r="F474" s="299" t="n">
        <v>10</v>
      </c>
      <c r="G474" s="300" t="inlineStr">
        <is>
          <t>Lohith</t>
        </is>
      </c>
      <c r="H474" s="300" t="inlineStr">
        <is>
          <t>Cash</t>
        </is>
      </c>
      <c r="I474" s="301" t="inlineStr">
        <is>
          <t>✅ Paid</t>
        </is>
      </c>
      <c r="J474" s="295" t="inlineStr">
        <is>
          <t>Pagado personalmente por Lohith (13-Jul); gasto operativo real, reembolsable via Owner Ledger. No salió de la caja.</t>
        </is>
      </c>
    </row>
    <row r="475">
      <c r="B475" s="296" t="n">
        <v>46217</v>
      </c>
      <c r="C475" s="297" t="inlineStr">
        <is>
          <t>Clorox 3.8L + Tortillas blancas x3 + Rosca marmoleada + Bolillo x6</t>
        </is>
      </c>
      <c r="D475" s="298" t="inlineStr">
        <is>
          <t>Chedraui Paseo</t>
        </is>
      </c>
      <c r="E475" s="297" t="inlineStr">
        <is>
          <t>Supermarket/General</t>
        </is>
      </c>
      <c r="F475" s="299" t="n">
        <v>224.38</v>
      </c>
      <c r="G475" s="300" t="inlineStr">
        <is>
          <t>Restaurant</t>
        </is>
      </c>
      <c r="H475" s="300" t="inlineStr">
        <is>
          <t>Card</t>
        </is>
      </c>
      <c r="I475" s="301" t="inlineStr">
        <is>
          <t>✅ Paid</t>
        </is>
      </c>
      <c r="J475" s="411" t="inlineStr">
        <is>
          <t>Debito BBVA ***3982 AUT 312881; 14-Jul 09:17; subtotal $228 - desc $3.62 = $224.38</t>
        </is>
      </c>
    </row>
    <row r="476">
      <c r="B476" s="296" t="n">
        <v>46217</v>
      </c>
      <c r="C476" s="297" t="inlineStr">
        <is>
          <t>Mojarra (pescado)</t>
        </is>
      </c>
      <c r="D476" s="298" t="inlineStr">
        <is>
          <t>No bill</t>
        </is>
      </c>
      <c r="E476" s="297" t="inlineStr">
        <is>
          <t>Ingredients - Meat &amp; Fish</t>
        </is>
      </c>
      <c r="F476" s="299" t="n">
        <v>372</v>
      </c>
      <c r="G476" s="300" t="inlineStr">
        <is>
          <t>Restaurant</t>
        </is>
      </c>
      <c r="H476" s="300" t="inlineStr">
        <is>
          <t>Cash</t>
        </is>
      </c>
      <c r="I476" s="301" t="inlineStr">
        <is>
          <t>✅ Paid</t>
        </is>
      </c>
      <c r="J476" s="411" t="inlineStr">
        <is>
          <t>No receipt; cash</t>
        </is>
      </c>
    </row>
    <row r="477">
      <c r="B477" s="296" t="n">
        <v>46218</v>
      </c>
      <c r="C477" s="297" t="inlineStr">
        <is>
          <t>Italpast 1kg x5</t>
        </is>
      </c>
      <c r="D477" s="298" t="inlineStr">
        <is>
          <t>Sam's Club</t>
        </is>
      </c>
      <c r="E477" s="297" t="inlineStr">
        <is>
          <t>Ingredients - Pantry</t>
        </is>
      </c>
      <c r="F477" s="299" t="n">
        <v>195</v>
      </c>
      <c r="G477" s="300" t="inlineStr">
        <is>
          <t>Lohith</t>
        </is>
      </c>
      <c r="H477" s="300" t="inlineStr">
        <is>
          <t>Cash</t>
        </is>
      </c>
      <c r="I477" s="301" t="inlineStr">
        <is>
          <t>✅ Paid</t>
        </is>
      </c>
      <c r="J477" s="411" t="inlineStr">
        <is>
          <t>Sam's $195 (sub $199.50 - desc $4.50). Pagado en EFECTIVO por LOHITH (bolsillo propio, no de la caja). Reembolsable via Owner Ledger.</t>
        </is>
      </c>
    </row>
    <row r="478">
      <c r="B478" s="296" t="n">
        <v>46218</v>
      </c>
      <c r="C478" s="297" t="inlineStr">
        <is>
          <t>Leche deslactosada, Unico fresco, Crutones</t>
        </is>
      </c>
      <c r="D478" s="298" t="inlineStr">
        <is>
          <t>Costco</t>
        </is>
      </c>
      <c r="E478" s="297" t="inlineStr">
        <is>
          <t>Supermarket/General</t>
        </is>
      </c>
      <c r="F478" s="299" t="n">
        <v>615</v>
      </c>
      <c r="G478" s="300" t="inlineStr">
        <is>
          <t>Restaurant</t>
        </is>
      </c>
      <c r="H478" s="300" t="inlineStr">
        <is>
          <t>Card</t>
        </is>
      </c>
      <c r="I478" s="301" t="inlineStr">
        <is>
          <t>✅ Paid</t>
        </is>
      </c>
      <c r="J478" s="411" t="inlineStr">
        <is>
          <t>Debito ***3982 ticket 1672; total $615 (sub $629.13 - desc $14.13)</t>
        </is>
      </c>
    </row>
    <row r="479">
      <c r="B479" s="296" t="n">
        <v>46218</v>
      </c>
      <c r="C479" s="297" t="inlineStr">
        <is>
          <t>Snickers, Queso Philadelphia x2, tortillas, baguette</t>
        </is>
      </c>
      <c r="D479" s="298" t="inlineStr">
        <is>
          <t>Chedraui Selecto</t>
        </is>
      </c>
      <c r="E479" s="297" t="inlineStr">
        <is>
          <t>Supermarket/General</t>
        </is>
      </c>
      <c r="F479" s="299" t="n">
        <v>282.86</v>
      </c>
      <c r="G479" s="300" t="inlineStr">
        <is>
          <t>Restaurant</t>
        </is>
      </c>
      <c r="H479" s="300" t="inlineStr">
        <is>
          <t>Card</t>
        </is>
      </c>
      <c r="I479" s="301" t="inlineStr">
        <is>
          <t>✅ Paid</t>
        </is>
      </c>
      <c r="J479" s="411" t="inlineStr">
        <is>
          <t>Debito ***3982 AUT 305923; sub $286.87 - desc $3.01 = $282.86</t>
        </is>
      </c>
    </row>
    <row r="480">
      <c r="B480" s="296" t="n">
        <v>46218</v>
      </c>
      <c r="C480" s="297" t="inlineStr">
        <is>
          <t>Carne</t>
        </is>
      </c>
      <c r="D480" s="298" t="inlineStr">
        <is>
          <t>No bill</t>
        </is>
      </c>
      <c r="E480" s="297" t="inlineStr">
        <is>
          <t>Ingredients - Meat</t>
        </is>
      </c>
      <c r="F480" s="299" t="n">
        <v>581</v>
      </c>
      <c r="G480" s="300" t="inlineStr">
        <is>
          <t>Restaurant</t>
        </is>
      </c>
      <c r="H480" s="300" t="inlineStr">
        <is>
          <t>Cash</t>
        </is>
      </c>
      <c r="I480" s="301" t="inlineStr">
        <is>
          <t>✅ Paid</t>
        </is>
      </c>
      <c r="J480" s="411" t="inlineStr">
        <is>
          <t>No receipt; cash</t>
        </is>
      </c>
    </row>
    <row r="481">
      <c r="B481" s="296" t="n">
        <v>46218</v>
      </c>
      <c r="C481" s="297" t="inlineStr">
        <is>
          <t>Cilantro</t>
        </is>
      </c>
      <c r="D481" s="298" t="inlineStr">
        <is>
          <t>No bill</t>
        </is>
      </c>
      <c r="E481" s="297" t="inlineStr">
        <is>
          <t>Ingredients - Vegetables</t>
        </is>
      </c>
      <c r="F481" s="299" t="n">
        <v>5</v>
      </c>
      <c r="G481" s="300" t="inlineStr">
        <is>
          <t>Restaurant</t>
        </is>
      </c>
      <c r="H481" s="300" t="inlineStr">
        <is>
          <t>Cash</t>
        </is>
      </c>
      <c r="I481" s="301" t="inlineStr">
        <is>
          <t>✅ Paid</t>
        </is>
      </c>
      <c r="J481" s="411" t="inlineStr">
        <is>
          <t>No receipt; cash</t>
        </is>
      </c>
    </row>
    <row r="482">
      <c r="B482" s="296" t="n">
        <v>46218</v>
      </c>
      <c r="C482" s="297" t="inlineStr">
        <is>
          <t>Pollo</t>
        </is>
      </c>
      <c r="D482" s="298" t="inlineStr">
        <is>
          <t>No bill</t>
        </is>
      </c>
      <c r="E482" s="297" t="inlineStr">
        <is>
          <t>Ingredients - Meat</t>
        </is>
      </c>
      <c r="F482" s="299" t="n">
        <v>579</v>
      </c>
      <c r="G482" s="300" t="inlineStr">
        <is>
          <t>Restaurant</t>
        </is>
      </c>
      <c r="H482" s="300" t="inlineStr">
        <is>
          <t>Cash</t>
        </is>
      </c>
      <c r="I482" s="301" t="inlineStr">
        <is>
          <t>✅ Paid</t>
        </is>
      </c>
      <c r="J482" s="411" t="inlineStr">
        <is>
          <t>No receipt; cash</t>
        </is>
      </c>
    </row>
    <row r="483">
      <c r="B483" s="296" t="n">
        <v>46218</v>
      </c>
      <c r="C483" s="297" t="inlineStr">
        <is>
          <t>Telmex (internet/telefono)</t>
        </is>
      </c>
      <c r="D483" s="298" t="inlineStr">
        <is>
          <t>Telmex</t>
        </is>
      </c>
      <c r="E483" s="297" t="inlineStr">
        <is>
          <t>Utilities/Internet</t>
        </is>
      </c>
      <c r="F483" s="299" t="n">
        <v>349</v>
      </c>
      <c r="G483" s="300" t="inlineStr">
        <is>
          <t>Restaurant</t>
        </is>
      </c>
      <c r="H483" s="300" t="inlineStr">
        <is>
          <t>Cash</t>
        </is>
      </c>
      <c r="I483" s="301" t="inlineStr">
        <is>
          <t>✅ Paid</t>
        </is>
      </c>
      <c r="J483" s="411" t="inlineStr">
        <is>
          <t>No receipt; cash; monthly internet/phone</t>
        </is>
      </c>
    </row>
    <row r="484">
      <c r="B484" s="296" t="n">
        <v>46219</v>
      </c>
      <c r="C484" s="297" t="inlineStr">
        <is>
          <t>Vasos plastico + Reyma tapas (desechables)</t>
        </is>
      </c>
      <c r="D484" s="298" t="inlineStr">
        <is>
          <t>Guimar Polietilenos</t>
        </is>
      </c>
      <c r="E484" s="297" t="inlineStr">
        <is>
          <t>Packaging/Disposables</t>
        </is>
      </c>
      <c r="F484" s="299" t="n">
        <v>106</v>
      </c>
      <c r="G484" s="300" t="inlineStr">
        <is>
          <t>Restaurant</t>
        </is>
      </c>
      <c r="H484" s="300" t="inlineStr">
        <is>
          <t>Cash</t>
        </is>
      </c>
      <c r="I484" s="301" t="inlineStr">
        <is>
          <t>✅ Paid</t>
        </is>
      </c>
      <c r="J484" s="411" t="inlineStr">
        <is>
          <t>Folio XCC39648; disposables</t>
        </is>
      </c>
    </row>
    <row r="485">
      <c r="B485" s="296" t="n">
        <v>46219</v>
      </c>
      <c r="C485" s="297" t="inlineStr">
        <is>
          <t>Jamaica</t>
        </is>
      </c>
      <c r="D485" s="298" t="inlineStr">
        <is>
          <t>Molino y Condimentos La Cruz</t>
        </is>
      </c>
      <c r="E485" s="297" t="inlineStr">
        <is>
          <t>Ingredients - Beverages</t>
        </is>
      </c>
      <c r="F485" s="299" t="n">
        <v>110</v>
      </c>
      <c r="G485" s="300" t="inlineStr">
        <is>
          <t>Restaurant</t>
        </is>
      </c>
      <c r="H485" s="300" t="inlineStr">
        <is>
          <t>Cash</t>
        </is>
      </c>
      <c r="I485" s="301" t="inlineStr">
        <is>
          <t>✅ Paid</t>
        </is>
      </c>
      <c r="J485" s="411" t="inlineStr">
        <is>
          <t>Molino La Cruz; jamaica (agua fresca)</t>
        </is>
      </c>
    </row>
    <row r="486">
      <c r="B486" s="296" t="n">
        <v>46219</v>
      </c>
      <c r="C486" s="297" t="inlineStr">
        <is>
          <t>Queso</t>
        </is>
      </c>
      <c r="D486" s="298" t="inlineStr">
        <is>
          <t>La Bodega del Buen Queso</t>
        </is>
      </c>
      <c r="E486" s="297" t="inlineStr">
        <is>
          <t>Ingredients - Dairy</t>
        </is>
      </c>
      <c r="F486" s="299" t="n">
        <v>409</v>
      </c>
      <c r="G486" s="300" t="inlineStr">
        <is>
          <t>Restaurant</t>
        </is>
      </c>
      <c r="H486" s="300" t="inlineStr">
        <is>
          <t>Cash</t>
        </is>
      </c>
      <c r="I486" s="301" t="inlineStr">
        <is>
          <t>✅ Paid</t>
        </is>
      </c>
      <c r="J486" s="411" t="inlineStr">
        <is>
          <t>Nota de venta 16-Jul</t>
        </is>
      </c>
    </row>
    <row r="487">
      <c r="B487" s="296" t="n">
        <v>46219</v>
      </c>
      <c r="C487" s="297" t="inlineStr">
        <is>
          <t>Fideo La Moderna x3</t>
        </is>
      </c>
      <c r="D487" s="298" t="inlineStr">
        <is>
          <t>Tres B</t>
        </is>
      </c>
      <c r="E487" s="297" t="inlineStr">
        <is>
          <t>Ingredients - Pantry</t>
        </is>
      </c>
      <c r="F487" s="299" t="n">
        <v>51</v>
      </c>
      <c r="G487" s="300" t="inlineStr">
        <is>
          <t>Restaurant</t>
        </is>
      </c>
      <c r="H487" s="300" t="inlineStr">
        <is>
          <t>Card</t>
        </is>
      </c>
      <c r="I487" s="301" t="inlineStr">
        <is>
          <t>✅ Paid</t>
        </is>
      </c>
      <c r="J487" s="411" t="inlineStr">
        <is>
          <t>3x $17; Mercado Libre contactless</t>
        </is>
      </c>
    </row>
    <row r="488">
      <c r="B488" s="296" t="n">
        <v>46219</v>
      </c>
      <c r="C488" s="297" t="inlineStr">
        <is>
          <t>Carne</t>
        </is>
      </c>
      <c r="D488" s="298" t="inlineStr">
        <is>
          <t>No bill</t>
        </is>
      </c>
      <c r="E488" s="297" t="inlineStr">
        <is>
          <t>Ingredients - Meat</t>
        </is>
      </c>
      <c r="F488" s="299" t="n">
        <v>263</v>
      </c>
      <c r="G488" s="300" t="inlineStr">
        <is>
          <t>Restaurant</t>
        </is>
      </c>
      <c r="H488" s="300" t="inlineStr">
        <is>
          <t>Cash</t>
        </is>
      </c>
      <c r="I488" s="301" t="inlineStr">
        <is>
          <t>✅ Paid</t>
        </is>
      </c>
      <c r="J488" s="411" t="inlineStr">
        <is>
          <t>No receipt; cash</t>
        </is>
      </c>
    </row>
    <row r="489">
      <c r="B489" s="296" t="n">
        <v>46219</v>
      </c>
      <c r="C489" s="297" t="inlineStr">
        <is>
          <t>Wine glasses</t>
        </is>
      </c>
      <c r="D489" s="298" t="inlineStr">
        <is>
          <t>No bill</t>
        </is>
      </c>
      <c r="E489" s="297" t="inlineStr">
        <is>
          <t>Kitchen Supplies</t>
        </is>
      </c>
      <c r="F489" s="299" t="n">
        <v>150</v>
      </c>
      <c r="G489" s="300" t="inlineStr">
        <is>
          <t>Restaurant</t>
        </is>
      </c>
      <c r="H489" s="300" t="inlineStr">
        <is>
          <t>Cash</t>
        </is>
      </c>
      <c r="I489" s="301" t="inlineStr">
        <is>
          <t>✅ Paid</t>
        </is>
      </c>
      <c r="J489" s="411" t="inlineStr">
        <is>
          <t>No receipt; cash; glassware</t>
        </is>
      </c>
    </row>
    <row r="490">
      <c r="B490" s="296" t="n">
        <v>46219</v>
      </c>
      <c r="C490" s="297" t="inlineStr">
        <is>
          <t>Salvo (lavatrastes)</t>
        </is>
      </c>
      <c r="D490" s="298" t="inlineStr">
        <is>
          <t>No bill</t>
        </is>
      </c>
      <c r="E490" s="297" t="inlineStr">
        <is>
          <t>Kitchen Supplies</t>
        </is>
      </c>
      <c r="F490" s="299" t="n">
        <v>28</v>
      </c>
      <c r="G490" s="300" t="inlineStr">
        <is>
          <t>Restaurant</t>
        </is>
      </c>
      <c r="H490" s="300" t="inlineStr">
        <is>
          <t>Cash</t>
        </is>
      </c>
      <c r="I490" s="301" t="inlineStr">
        <is>
          <t>✅ Paid</t>
        </is>
      </c>
      <c r="J490" s="411" t="inlineStr">
        <is>
          <t>No receipt; cash; dish soap</t>
        </is>
      </c>
    </row>
    <row r="491">
      <c r="B491" s="296" t="n">
        <v>46219</v>
      </c>
      <c r="C491" s="297" t="inlineStr">
        <is>
          <t>Topo Chico (Oxxo)</t>
        </is>
      </c>
      <c r="D491" s="298" t="inlineStr">
        <is>
          <t>OXXO</t>
        </is>
      </c>
      <c r="E491" s="297" t="inlineStr">
        <is>
          <t>Ingredients - Beverages</t>
        </is>
      </c>
      <c r="F491" s="299" t="n">
        <v>40</v>
      </c>
      <c r="G491" s="300" t="inlineStr">
        <is>
          <t>Restaurant</t>
        </is>
      </c>
      <c r="H491" s="300" t="inlineStr">
        <is>
          <t>Cash</t>
        </is>
      </c>
      <c r="I491" s="301" t="inlineStr">
        <is>
          <t>✅ Paid</t>
        </is>
      </c>
      <c r="J491" s="411" t="inlineStr">
        <is>
          <t>No receipt; cash</t>
        </is>
      </c>
    </row>
    <row r="492">
      <c r="B492" s="296" t="n">
        <v>46214</v>
      </c>
      <c r="C492" s="297" t="inlineStr">
        <is>
          <t>Pan y salsas</t>
        </is>
      </c>
      <c r="D492" s="298" t="inlineStr">
        <is>
          <t>Pan Reales</t>
        </is>
      </c>
      <c r="E492" s="297" t="inlineStr">
        <is>
          <t>Ingredients - Bread</t>
        </is>
      </c>
      <c r="F492" s="299" t="n">
        <v>867</v>
      </c>
      <c r="G492" s="300" t="inlineStr">
        <is>
          <t>Restaurant</t>
        </is>
      </c>
      <c r="H492" s="300" t="inlineStr">
        <is>
          <t>Cash</t>
        </is>
      </c>
      <c r="I492" s="301" t="inlineStr">
        <is>
          <t>✅ Paid</t>
        </is>
      </c>
      <c r="J492" s="411" t="inlineStr">
        <is>
          <t>Pan + salsas; gasto de 11-Jul agregado despues (missed en el EOD original)</t>
        </is>
      </c>
    </row>
    <row r="493">
      <c r="B493" s="296" t="n">
        <v>46219</v>
      </c>
      <c r="C493" s="297" t="inlineStr">
        <is>
          <t>John (Head Chef) — pago por quedarse tarde (wine party)</t>
        </is>
      </c>
      <c r="D493" s="298" t="inlineStr">
        <is>
          <t>Payroll</t>
        </is>
      </c>
      <c r="E493" s="297" t="inlineStr">
        <is>
          <t>Staff - Salary</t>
        </is>
      </c>
      <c r="F493" s="299" t="n">
        <v>500</v>
      </c>
      <c r="G493" s="300" t="inlineStr">
        <is>
          <t>Restaurant</t>
        </is>
      </c>
      <c r="H493" s="300" t="inlineStr">
        <is>
          <t>Cash</t>
        </is>
      </c>
      <c r="I493" s="301" t="inlineStr">
        <is>
          <t>✅ Paid</t>
        </is>
      </c>
      <c r="J493" s="411" t="inlineStr">
        <is>
          <t>Pago extra al chef por trabajar tarde en el evento de vino (16-Jul). Sueldo/bono, no propina.</t>
        </is>
      </c>
    </row>
    <row r="494">
      <c r="B494" s="296" t="n">
        <v>46220</v>
      </c>
      <c r="C494" s="297" t="inlineStr">
        <is>
          <t>Arroz (Oxxo)</t>
        </is>
      </c>
      <c r="D494" s="298" t="inlineStr">
        <is>
          <t>OXXO</t>
        </is>
      </c>
      <c r="E494" s="297" t="inlineStr">
        <is>
          <t>Ingredients - Pantry</t>
        </is>
      </c>
      <c r="F494" s="299" t="n">
        <v>52</v>
      </c>
      <c r="G494" s="300" t="inlineStr">
        <is>
          <t>Restaurant</t>
        </is>
      </c>
      <c r="H494" s="300" t="inlineStr">
        <is>
          <t>Cash</t>
        </is>
      </c>
      <c r="I494" s="301" t="inlineStr">
        <is>
          <t>✅ Paid</t>
        </is>
      </c>
      <c r="J494" s="411" t="inlineStr">
        <is>
          <t>No receipt; cash</t>
        </is>
      </c>
    </row>
    <row r="495">
      <c r="B495" s="296" t="n">
        <v>46220</v>
      </c>
      <c r="C495" s="297" t="inlineStr">
        <is>
          <t>Pollo</t>
        </is>
      </c>
      <c r="D495" s="298" t="inlineStr">
        <is>
          <t>No bill</t>
        </is>
      </c>
      <c r="E495" s="297" t="inlineStr">
        <is>
          <t>Ingredients - Meat</t>
        </is>
      </c>
      <c r="F495" s="299" t="n">
        <v>300</v>
      </c>
      <c r="G495" s="300" t="inlineStr">
        <is>
          <t>Lohith</t>
        </is>
      </c>
      <c r="H495" s="300" t="inlineStr">
        <is>
          <t>Cash</t>
        </is>
      </c>
      <c r="I495" s="301" t="inlineStr">
        <is>
          <t>✅ Paid</t>
        </is>
      </c>
      <c r="J495" s="411" t="inlineStr">
        <is>
          <t>Pollo pagado personalmente por Lohith (17-Jul); gasto operativo real, reembolsable via Owner Ledger. No salio de la caja.</t>
        </is>
      </c>
    </row>
    <row r="496">
      <c r="B496" s="296" t="n">
        <v>46220</v>
      </c>
      <c r="C496" s="297" t="inlineStr">
        <is>
          <t>Vegetables</t>
        </is>
      </c>
      <c r="D496" s="298" t="inlineStr">
        <is>
          <t>No bill</t>
        </is>
      </c>
      <c r="E496" s="297" t="inlineStr">
        <is>
          <t>Ingredients - Vegetables</t>
        </is>
      </c>
      <c r="F496" s="299" t="n">
        <v>51</v>
      </c>
      <c r="G496" s="300" t="inlineStr">
        <is>
          <t>Restaurant</t>
        </is>
      </c>
      <c r="H496" s="300" t="inlineStr">
        <is>
          <t>Cash</t>
        </is>
      </c>
      <c r="I496" s="301" t="inlineStr">
        <is>
          <t>✅ Paid</t>
        </is>
      </c>
      <c r="J496" s="411" t="inlineStr">
        <is>
          <t>No receipt; cash</t>
        </is>
      </c>
    </row>
    <row r="497">
      <c r="B497" s="296" t="n">
        <v>46220</v>
      </c>
      <c r="C497" s="297" t="inlineStr">
        <is>
          <t>Lechuga</t>
        </is>
      </c>
      <c r="D497" s="298" t="inlineStr">
        <is>
          <t>No bill</t>
        </is>
      </c>
      <c r="E497" s="297" t="inlineStr">
        <is>
          <t>Ingredients - Vegetables</t>
        </is>
      </c>
      <c r="F497" s="299" t="n">
        <v>88</v>
      </c>
      <c r="G497" s="300" t="inlineStr">
        <is>
          <t>Restaurant</t>
        </is>
      </c>
      <c r="H497" s="300" t="inlineStr">
        <is>
          <t>Cash</t>
        </is>
      </c>
      <c r="I497" s="301" t="inlineStr">
        <is>
          <t>✅ Paid</t>
        </is>
      </c>
      <c r="J497" s="411" t="inlineStr">
        <is>
          <t>No receipt; cash</t>
        </is>
      </c>
    </row>
    <row r="498">
      <c r="B498" s="296" t="n">
        <v>46220</v>
      </c>
      <c r="C498" s="297" t="inlineStr">
        <is>
          <t>Bistec</t>
        </is>
      </c>
      <c r="D498" s="298" t="inlineStr">
        <is>
          <t>No bill</t>
        </is>
      </c>
      <c r="E498" s="297" t="inlineStr">
        <is>
          <t>Ingredients - Meat</t>
        </is>
      </c>
      <c r="F498" s="299" t="n">
        <v>96</v>
      </c>
      <c r="G498" s="300" t="inlineStr">
        <is>
          <t>Restaurant</t>
        </is>
      </c>
      <c r="H498" s="300" t="inlineStr">
        <is>
          <t>Cash</t>
        </is>
      </c>
      <c r="I498" s="301" t="inlineStr">
        <is>
          <t>✅ Paid</t>
        </is>
      </c>
      <c r="J498" s="411" t="inlineStr">
        <is>
          <t>No receipt; cash</t>
        </is>
      </c>
    </row>
    <row r="499">
      <c r="B499" s="296" t="n">
        <v>46220</v>
      </c>
      <c r="C499" s="297" t="inlineStr">
        <is>
          <t>Chedraui (varios)</t>
        </is>
      </c>
      <c r="D499" s="298" t="inlineStr">
        <is>
          <t>Chedraui</t>
        </is>
      </c>
      <c r="E499" s="297" t="inlineStr">
        <is>
          <t>Supermarket/General</t>
        </is>
      </c>
      <c r="F499" s="299" t="n">
        <v>164</v>
      </c>
      <c r="G499" s="300" t="inlineStr">
        <is>
          <t>Restaurant</t>
        </is>
      </c>
      <c r="H499" s="300" t="inlineStr">
        <is>
          <t>Cash</t>
        </is>
      </c>
      <c r="I499" s="301" t="inlineStr">
        <is>
          <t>✅ Paid</t>
        </is>
      </c>
      <c r="J499" s="411" t="inlineStr">
        <is>
          <t>No receipt provided; cash</t>
        </is>
      </c>
    </row>
    <row r="500">
      <c r="B500" s="296" t="n">
        <v>46220</v>
      </c>
      <c r="C500" s="297" t="inlineStr">
        <is>
          <t>Samu — Ayudante Week 9</t>
        </is>
      </c>
      <c r="D500" s="298" t="inlineStr">
        <is>
          <t>Payroll</t>
        </is>
      </c>
      <c r="E500" s="297" t="inlineStr">
        <is>
          <t>Staff - Salary</t>
        </is>
      </c>
      <c r="F500" s="299" t="n">
        <v>1200</v>
      </c>
      <c r="G500" s="300" t="inlineStr">
        <is>
          <t>Restaurant</t>
        </is>
      </c>
      <c r="H500" s="300" t="inlineStr">
        <is>
          <t>Cash</t>
        </is>
      </c>
      <c r="I500" s="301" t="inlineStr">
        <is>
          <t>✅ Paid</t>
        </is>
      </c>
      <c r="J500" s="411" t="inlineStr">
        <is>
          <t>Week 9 salary, paid Friday 17 Jul</t>
        </is>
      </c>
    </row>
    <row r="501">
      <c r="B501" s="296" t="n">
        <v>46221</v>
      </c>
      <c r="C501" s="297" t="inlineStr">
        <is>
          <t>John — Head Chef Week 9</t>
        </is>
      </c>
      <c r="D501" s="298" t="inlineStr">
        <is>
          <t>Payroll</t>
        </is>
      </c>
      <c r="E501" s="297" t="inlineStr">
        <is>
          <t>Staff - Salary</t>
        </is>
      </c>
      <c r="F501" s="299" t="n">
        <v>3750</v>
      </c>
      <c r="G501" s="300" t="inlineStr">
        <is>
          <t>Restaurant</t>
        </is>
      </c>
      <c r="H501" s="300" t="inlineStr">
        <is>
          <t>Cash</t>
        </is>
      </c>
      <c r="I501" s="301" t="inlineStr">
        <is>
          <t>✅ Paid</t>
        </is>
      </c>
      <c r="J501" s="411" t="inlineStr">
        <is>
          <t>Week 9 salary, paid Saturday 18 Jul</t>
        </is>
      </c>
    </row>
    <row r="502">
      <c r="B502" s="296" t="n">
        <v>46221</v>
      </c>
      <c r="C502" s="297" t="inlineStr">
        <is>
          <t>Duvi/Debi — Limpieza Week 9</t>
        </is>
      </c>
      <c r="D502" s="298" t="inlineStr">
        <is>
          <t>Payroll</t>
        </is>
      </c>
      <c r="E502" s="297" t="inlineStr">
        <is>
          <t>Staff - Salary</t>
        </is>
      </c>
      <c r="F502" s="299" t="n">
        <v>1500</v>
      </c>
      <c r="G502" s="300" t="inlineStr">
        <is>
          <t>Restaurant</t>
        </is>
      </c>
      <c r="H502" s="300" t="inlineStr">
        <is>
          <t>Cash</t>
        </is>
      </c>
      <c r="I502" s="301" t="inlineStr">
        <is>
          <t>✅ Paid</t>
        </is>
      </c>
      <c r="J502" s="411" t="inlineStr">
        <is>
          <t>Week 9 salary, paid Saturday 18 Jul (full week)</t>
        </is>
      </c>
    </row>
    <row r="503">
      <c r="B503" s="296" t="n">
        <v>46223</v>
      </c>
      <c r="C503" s="297" t="inlineStr">
        <is>
          <t>Milk (Oxxo)</t>
        </is>
      </c>
      <c r="D503" s="298" t="inlineStr">
        <is>
          <t>OXXO</t>
        </is>
      </c>
      <c r="E503" s="297" t="inlineStr">
        <is>
          <t>Ingredients - Dairy</t>
        </is>
      </c>
      <c r="F503" s="299" t="n">
        <v>36</v>
      </c>
      <c r="G503" s="300" t="inlineStr">
        <is>
          <t>Restaurant</t>
        </is>
      </c>
      <c r="H503" s="300" t="inlineStr">
        <is>
          <t>Cash</t>
        </is>
      </c>
      <c r="I503" s="301" t="inlineStr">
        <is>
          <t>✅ Paid</t>
        </is>
      </c>
      <c r="J503" s="411" t="inlineStr">
        <is>
          <t>No receipt; cash</t>
        </is>
      </c>
    </row>
    <row r="504">
      <c r="B504" s="296" t="n">
        <v>46223</v>
      </c>
      <c r="C504" s="297" t="inlineStr">
        <is>
          <t>Bistec</t>
        </is>
      </c>
      <c r="D504" s="298" t="inlineStr">
        <is>
          <t>No bill</t>
        </is>
      </c>
      <c r="E504" s="297" t="inlineStr">
        <is>
          <t>Ingredients - Meat</t>
        </is>
      </c>
      <c r="F504" s="299" t="n">
        <v>290</v>
      </c>
      <c r="G504" s="300" t="inlineStr">
        <is>
          <t>Lohith</t>
        </is>
      </c>
      <c r="H504" s="300" t="inlineStr">
        <is>
          <t>Cash</t>
        </is>
      </c>
      <c r="I504" s="301" t="inlineStr">
        <is>
          <t>✅ Paid</t>
        </is>
      </c>
      <c r="J504" s="411" t="inlineStr">
        <is>
          <t>Pagado por Lohith (bolsillo); reembolsable via Owner Ledger; no de la caja</t>
        </is>
      </c>
    </row>
    <row r="505">
      <c r="B505" s="296" t="n">
        <v>46223</v>
      </c>
      <c r="C505" s="297" t="inlineStr">
        <is>
          <t>Pollo</t>
        </is>
      </c>
      <c r="D505" s="298" t="inlineStr">
        <is>
          <t>No bill</t>
        </is>
      </c>
      <c r="E505" s="297" t="inlineStr">
        <is>
          <t>Ingredients - Meat</t>
        </is>
      </c>
      <c r="F505" s="299" t="n">
        <v>89</v>
      </c>
      <c r="G505" s="300" t="inlineStr">
        <is>
          <t>Lohith</t>
        </is>
      </c>
      <c r="H505" s="300" t="inlineStr">
        <is>
          <t>Cash</t>
        </is>
      </c>
      <c r="I505" s="301" t="inlineStr">
        <is>
          <t>✅ Paid</t>
        </is>
      </c>
      <c r="J505" s="411" t="inlineStr">
        <is>
          <t>Pagado por Lohith (bolsillo); reembolsable via Owner Ledger; no de la caja</t>
        </is>
      </c>
    </row>
    <row r="506">
      <c r="B506" s="296" t="n">
        <v>46223</v>
      </c>
      <c r="C506" s="297" t="inlineStr">
        <is>
          <t>Agua natural</t>
        </is>
      </c>
      <c r="D506" s="298" t="inlineStr">
        <is>
          <t>No bill</t>
        </is>
      </c>
      <c r="E506" s="297" t="inlineStr">
        <is>
          <t>Ingredients - Beverages</t>
        </is>
      </c>
      <c r="F506" s="299" t="n">
        <v>30</v>
      </c>
      <c r="G506" s="300" t="inlineStr">
        <is>
          <t>Restaurant</t>
        </is>
      </c>
      <c r="H506" s="300" t="inlineStr">
        <is>
          <t>Cash</t>
        </is>
      </c>
      <c r="I506" s="301" t="inlineStr">
        <is>
          <t>✅ Paid</t>
        </is>
      </c>
      <c r="J506" s="411" t="inlineStr">
        <is>
          <t>No receipt; cash</t>
        </is>
      </c>
    </row>
    <row r="507">
      <c r="B507" s="296" t="n">
        <v>46223</v>
      </c>
      <c r="C507" s="297" t="inlineStr">
        <is>
          <t>Hielo (Oxxo)</t>
        </is>
      </c>
      <c r="D507" s="298" t="inlineStr">
        <is>
          <t>OXXO</t>
        </is>
      </c>
      <c r="E507" s="297" t="inlineStr">
        <is>
          <t>Kitchen Supplies</t>
        </is>
      </c>
      <c r="F507" s="299" t="n">
        <v>54</v>
      </c>
      <c r="G507" s="300" t="inlineStr">
        <is>
          <t>Lohith</t>
        </is>
      </c>
      <c r="H507" s="300" t="inlineStr">
        <is>
          <t>Cash</t>
        </is>
      </c>
      <c r="I507" s="301" t="inlineStr">
        <is>
          <t>✅ Paid</t>
        </is>
      </c>
      <c r="J507" s="411" t="inlineStr">
        <is>
          <t>Pagado por Lohith (bolsillo); reembolsable via Owner Ledger; no de la caja</t>
        </is>
      </c>
    </row>
    <row r="508">
      <c r="B508" s="296" t="n">
        <v>46223</v>
      </c>
      <c r="C508" s="297" t="inlineStr">
        <is>
          <t>Hielos (mercado)</t>
        </is>
      </c>
      <c r="D508" s="298" t="inlineStr">
        <is>
          <t>No bill</t>
        </is>
      </c>
      <c r="E508" s="297" t="inlineStr">
        <is>
          <t>Kitchen Supplies</t>
        </is>
      </c>
      <c r="F508" s="299" t="n">
        <v>200</v>
      </c>
      <c r="G508" s="300" t="inlineStr">
        <is>
          <t>Restaurant</t>
        </is>
      </c>
      <c r="H508" s="300" t="inlineStr">
        <is>
          <t>Cash</t>
        </is>
      </c>
      <c r="I508" s="301" t="inlineStr">
        <is>
          <t>✅ Paid</t>
        </is>
      </c>
      <c r="J508" s="411" t="inlineStr">
        <is>
          <t>No receipt; cash</t>
        </is>
      </c>
    </row>
    <row r="509">
      <c r="B509" s="296" t="n">
        <v>46223</v>
      </c>
      <c r="C509" s="297" t="inlineStr">
        <is>
          <t>Sam's Club (varios)</t>
        </is>
      </c>
      <c r="D509" s="298" t="inlineStr">
        <is>
          <t>Sam's Club</t>
        </is>
      </c>
      <c r="E509" s="297" t="inlineStr">
        <is>
          <t>Supermarket/General</t>
        </is>
      </c>
      <c r="F509" s="299" t="n">
        <v>1760</v>
      </c>
      <c r="G509" s="300" t="inlineStr">
        <is>
          <t>Restaurant</t>
        </is>
      </c>
      <c r="H509" s="300" t="inlineStr">
        <is>
          <t>Card</t>
        </is>
      </c>
      <c r="I509" s="301" t="inlineStr">
        <is>
          <t>✅ Paid</t>
        </is>
      </c>
      <c r="J509" s="411" t="inlineStr">
        <is>
          <t>No receipt provided; restaurant-paid</t>
        </is>
      </c>
    </row>
    <row r="510">
      <c r="B510" s="296" t="n">
        <v>46221</v>
      </c>
      <c r="C510" s="297" t="inlineStr">
        <is>
          <t>Vegetables</t>
        </is>
      </c>
      <c r="D510" s="298" t="inlineStr">
        <is>
          <t>No bill</t>
        </is>
      </c>
      <c r="E510" s="297" t="inlineStr">
        <is>
          <t>Ingredients - Vegetables</t>
        </is>
      </c>
      <c r="F510" s="299" t="n">
        <v>1520</v>
      </c>
      <c r="G510" s="300" t="inlineStr">
        <is>
          <t>Restaurant</t>
        </is>
      </c>
      <c r="H510" s="300" t="inlineStr">
        <is>
          <t>Cash</t>
        </is>
      </c>
      <c r="I510" s="301" t="inlineStr">
        <is>
          <t>✅ Paid</t>
        </is>
      </c>
      <c r="J510" s="411" t="inlineStr">
        <is>
          <t>No receipt; cash; added later (Saturday expense)</t>
        </is>
      </c>
    </row>
    <row r="511">
      <c r="B511" s="296" t="n">
        <v>46224</v>
      </c>
      <c r="C511" s="297" t="inlineStr">
        <is>
          <t>Jamon</t>
        </is>
      </c>
      <c r="D511" s="298" t="inlineStr">
        <is>
          <t>No bill</t>
        </is>
      </c>
      <c r="E511" s="297" t="inlineStr">
        <is>
          <t>Ingredients - Meat</t>
        </is>
      </c>
      <c r="F511" s="299" t="n">
        <v>174</v>
      </c>
      <c r="G511" s="300" t="inlineStr">
        <is>
          <t>Restaurant</t>
        </is>
      </c>
      <c r="H511" s="300" t="inlineStr">
        <is>
          <t>Cash</t>
        </is>
      </c>
      <c r="I511" s="301" t="inlineStr">
        <is>
          <t>✅ Paid</t>
        </is>
      </c>
      <c r="J511" s="411" t="inlineStr">
        <is>
          <t>No receipt; cash</t>
        </is>
      </c>
    </row>
    <row r="512">
      <c r="B512" s="296" t="n">
        <v>46224</v>
      </c>
      <c r="C512" s="297" t="inlineStr">
        <is>
          <t>Carnes</t>
        </is>
      </c>
      <c r="D512" s="298" t="inlineStr">
        <is>
          <t>No bill</t>
        </is>
      </c>
      <c r="E512" s="297" t="inlineStr">
        <is>
          <t>Ingredients - Meat</t>
        </is>
      </c>
      <c r="F512" s="299" t="n">
        <v>562</v>
      </c>
      <c r="G512" s="300" t="inlineStr">
        <is>
          <t>Restaurant</t>
        </is>
      </c>
      <c r="H512" s="300" t="inlineStr">
        <is>
          <t>Cash</t>
        </is>
      </c>
      <c r="I512" s="301" t="inlineStr">
        <is>
          <t>✅ Paid</t>
        </is>
      </c>
      <c r="J512" s="411" t="inlineStr">
        <is>
          <t>No receipt; cash</t>
        </is>
      </c>
    </row>
    <row r="513">
      <c r="B513" s="296" t="n">
        <v>46224</v>
      </c>
      <c r="C513" s="297" t="inlineStr">
        <is>
          <t>Carne de hamburguesa</t>
        </is>
      </c>
      <c r="D513" s="298" t="inlineStr">
        <is>
          <t>No bill</t>
        </is>
      </c>
      <c r="E513" s="297" t="inlineStr">
        <is>
          <t>Ingredients - Meat</t>
        </is>
      </c>
      <c r="F513" s="299" t="n">
        <v>380</v>
      </c>
      <c r="G513" s="300" t="inlineStr">
        <is>
          <t>Restaurant</t>
        </is>
      </c>
      <c r="H513" s="300" t="inlineStr">
        <is>
          <t>Cash</t>
        </is>
      </c>
      <c r="I513" s="301" t="inlineStr">
        <is>
          <t>✅ Paid</t>
        </is>
      </c>
      <c r="J513" s="411" t="inlineStr">
        <is>
          <t>No receipt; cash</t>
        </is>
      </c>
    </row>
    <row r="514">
      <c r="B514" s="296" t="n">
        <v>46224</v>
      </c>
      <c r="C514" s="297" t="inlineStr">
        <is>
          <t>Arroz (Oxxo)</t>
        </is>
      </c>
      <c r="D514" s="298" t="inlineStr">
        <is>
          <t>OXXO</t>
        </is>
      </c>
      <c r="E514" s="297" t="inlineStr">
        <is>
          <t>Ingredients - Pantry</t>
        </is>
      </c>
      <c r="F514" s="299" t="n">
        <v>26</v>
      </c>
      <c r="G514" s="300" t="inlineStr">
        <is>
          <t>Restaurant</t>
        </is>
      </c>
      <c r="H514" s="300" t="inlineStr">
        <is>
          <t>Cash</t>
        </is>
      </c>
      <c r="I514" s="301" t="inlineStr">
        <is>
          <t>✅ Paid</t>
        </is>
      </c>
      <c r="J514" s="411" t="inlineStr">
        <is>
          <t>No receipt; cash</t>
        </is>
      </c>
    </row>
    <row r="515">
      <c r="B515" s="296" t="n">
        <v>46224</v>
      </c>
      <c r="C515" s="297" t="inlineStr">
        <is>
          <t>Chedraui (varios)</t>
        </is>
      </c>
      <c r="D515" s="298" t="inlineStr">
        <is>
          <t>Chedraui</t>
        </is>
      </c>
      <c r="E515" s="297" t="inlineStr">
        <is>
          <t>Supermarket/General</t>
        </is>
      </c>
      <c r="F515" s="299" t="n">
        <v>116</v>
      </c>
      <c r="G515" s="300" t="inlineStr">
        <is>
          <t>Restaurant</t>
        </is>
      </c>
      <c r="H515" s="300" t="inlineStr">
        <is>
          <t>Cash</t>
        </is>
      </c>
      <c r="I515" s="301" t="inlineStr">
        <is>
          <t>✅ Paid</t>
        </is>
      </c>
      <c r="J515" s="411" t="inlineStr">
        <is>
          <t>No receipt provided; cash</t>
        </is>
      </c>
    </row>
    <row r="516">
      <c r="B516" s="296" t="n">
        <v>46224</v>
      </c>
      <c r="C516" s="297" t="inlineStr">
        <is>
          <t>Pollo</t>
        </is>
      </c>
      <c r="D516" s="298" t="inlineStr">
        <is>
          <t>No bill</t>
        </is>
      </c>
      <c r="E516" s="297" t="inlineStr">
        <is>
          <t>Ingredients - Meat</t>
        </is>
      </c>
      <c r="F516" s="299" t="n">
        <v>939</v>
      </c>
      <c r="G516" s="300" t="inlineStr">
        <is>
          <t>Restaurant</t>
        </is>
      </c>
      <c r="H516" s="300" t="inlineStr">
        <is>
          <t>Cash</t>
        </is>
      </c>
      <c r="I516" s="301" t="inlineStr">
        <is>
          <t>✅ Paid</t>
        </is>
      </c>
      <c r="J516" s="411" t="inlineStr">
        <is>
          <t>No receipt; cash</t>
        </is>
      </c>
    </row>
    <row r="517">
      <c r="B517" s="296" t="n">
        <v>46225</v>
      </c>
      <c r="C517" s="297" t="inlineStr">
        <is>
          <t>Avia Reca (bebidas)</t>
        </is>
      </c>
      <c r="D517" s="298" t="inlineStr">
        <is>
          <t>Reca</t>
        </is>
      </c>
      <c r="E517" s="297" t="inlineStr">
        <is>
          <t>Ingredients - Beverages</t>
        </is>
      </c>
      <c r="F517" s="299" t="n">
        <v>300</v>
      </c>
      <c r="G517" s="300" t="inlineStr">
        <is>
          <t>Restaurant</t>
        </is>
      </c>
      <c r="H517" s="300" t="inlineStr">
        <is>
          <t>Cash</t>
        </is>
      </c>
      <c r="I517" s="301" t="inlineStr">
        <is>
          <t>✅ Paid</t>
        </is>
      </c>
      <c r="J517" s="411" t="inlineStr">
        <is>
          <t>Marca de bebidas; gasto operativo recurrente de inventario de bebidas.</t>
        </is>
      </c>
    </row>
    <row r="518">
      <c r="B518" s="296" t="n">
        <v>46225</v>
      </c>
      <c r="C518" s="297" t="inlineStr">
        <is>
          <t>Carnes</t>
        </is>
      </c>
      <c r="D518" s="298" t="inlineStr">
        <is>
          <t>No bill</t>
        </is>
      </c>
      <c r="E518" s="297" t="inlineStr">
        <is>
          <t>Ingredients - Meat</t>
        </is>
      </c>
      <c r="F518" s="299" t="n">
        <v>833</v>
      </c>
      <c r="G518" s="300" t="inlineStr">
        <is>
          <t>Restaurant</t>
        </is>
      </c>
      <c r="H518" s="300" t="inlineStr">
        <is>
          <t>Cash</t>
        </is>
      </c>
      <c r="I518" s="301" t="inlineStr">
        <is>
          <t>✅ Paid</t>
        </is>
      </c>
      <c r="J518" s="411" t="inlineStr">
        <is>
          <t>No receipt; cash</t>
        </is>
      </c>
    </row>
    <row r="519">
      <c r="B519" s="296" t="n">
        <v>46225</v>
      </c>
      <c r="C519" s="297" t="inlineStr">
        <is>
          <t>Elote (Oxxo)</t>
        </is>
      </c>
      <c r="D519" s="298" t="inlineStr">
        <is>
          <t>OXXO</t>
        </is>
      </c>
      <c r="E519" s="297" t="inlineStr">
        <is>
          <t>Ingredients - Vegetables</t>
        </is>
      </c>
      <c r="F519" s="299" t="n">
        <v>20</v>
      </c>
      <c r="G519" s="300" t="inlineStr">
        <is>
          <t>Restaurant</t>
        </is>
      </c>
      <c r="H519" s="300" t="inlineStr">
        <is>
          <t>Cash</t>
        </is>
      </c>
      <c r="I519" s="301" t="inlineStr">
        <is>
          <t>✅ Paid</t>
        </is>
      </c>
      <c r="J519" s="411" t="inlineStr">
        <is>
          <t>No receipt; cash</t>
        </is>
      </c>
    </row>
    <row r="520">
      <c r="B520" s="296" t="n">
        <v>46225</v>
      </c>
      <c r="C520" s="297" t="inlineStr">
        <is>
          <t>Tilapia</t>
        </is>
      </c>
      <c r="D520" s="298" t="inlineStr">
        <is>
          <t>Brisa del Mar</t>
        </is>
      </c>
      <c r="E520" s="297" t="inlineStr">
        <is>
          <t>Ingredients - Meat &amp; Fish</t>
        </is>
      </c>
      <c r="F520" s="299" t="n">
        <v>366</v>
      </c>
      <c r="G520" s="300" t="inlineStr">
        <is>
          <t>Restaurant</t>
        </is>
      </c>
      <c r="H520" s="300" t="inlineStr">
        <is>
          <t>Cash</t>
        </is>
      </c>
      <c r="I520" s="301" t="inlineStr">
        <is>
          <t>✅ Paid</t>
        </is>
      </c>
      <c r="J520" s="411" t="inlineStr">
        <is>
          <t>No receipt; cash; pescado</t>
        </is>
      </c>
    </row>
    <row r="521">
      <c r="B521" s="296" t="n">
        <v>46225</v>
      </c>
      <c r="C521" s="297" t="inlineStr">
        <is>
          <t>Pollo</t>
        </is>
      </c>
      <c r="D521" s="298" t="inlineStr">
        <is>
          <t>No bill</t>
        </is>
      </c>
      <c r="E521" s="297" t="inlineStr">
        <is>
          <t>Ingredients - Meat</t>
        </is>
      </c>
      <c r="F521" s="299" t="n">
        <v>234</v>
      </c>
      <c r="G521" s="300" t="inlineStr">
        <is>
          <t>Lohith</t>
        </is>
      </c>
      <c r="H521" s="300" t="inlineStr">
        <is>
          <t>Cash</t>
        </is>
      </c>
      <c r="I521" s="301" t="inlineStr">
        <is>
          <t>✅ Paid</t>
        </is>
      </c>
      <c r="J521" s="411" t="inlineStr">
        <is>
          <t>Pagado por Lohith (bolsillo); reembolsable via Owner Ledger; no de la caja</t>
        </is>
      </c>
    </row>
    <row r="522">
      <c r="B522" s="296" t="n">
        <v>46225</v>
      </c>
      <c r="C522" s="297" t="inlineStr">
        <is>
          <t>Soft Restaurant app subscription</t>
        </is>
      </c>
      <c r="D522" s="298" t="inlineStr">
        <is>
          <t>Soft Restaurant</t>
        </is>
      </c>
      <c r="E522" s="297" t="inlineStr">
        <is>
          <t>Utilities/Internet</t>
        </is>
      </c>
      <c r="F522" s="299" t="n">
        <v>810</v>
      </c>
      <c r="G522" s="300" t="inlineStr">
        <is>
          <t>Restaurant</t>
        </is>
      </c>
      <c r="H522" s="300" t="inlineStr">
        <is>
          <t>Cash</t>
        </is>
      </c>
      <c r="I522" s="301" t="inlineStr">
        <is>
          <t>✅ Paid</t>
        </is>
      </c>
      <c r="J522" s="411" t="inlineStr">
        <is>
          <t>Suscripcion MENSUAL recurrente del software POS Soft Restaurant. Gasto OPERATIVO (no capital) - se repite cada mes.</t>
        </is>
      </c>
    </row>
    <row r="523">
      <c r="B523" s="296" t="n">
        <v>46225</v>
      </c>
      <c r="C523" s="297" t="inlineStr">
        <is>
          <t>Groceries (Tres B)</t>
        </is>
      </c>
      <c r="D523" s="298" t="inlineStr">
        <is>
          <t>Tres B</t>
        </is>
      </c>
      <c r="E523" s="297" t="inlineStr">
        <is>
          <t>Supermarket/General</t>
        </is>
      </c>
      <c r="F523" s="299" t="n">
        <v>1186</v>
      </c>
      <c r="G523" s="300" t="inlineStr">
        <is>
          <t>Restaurant</t>
        </is>
      </c>
      <c r="H523" s="300" t="inlineStr">
        <is>
          <t>Cash</t>
        </is>
      </c>
      <c r="I523" s="301" t="inlineStr">
        <is>
          <t>✅ Paid</t>
        </is>
      </c>
      <c r="J523" s="411" t="inlineStr">
        <is>
          <t>No receipt provided; cash; abarrotes</t>
        </is>
      </c>
    </row>
    <row r="524">
      <c r="B524" s="296" t="n">
        <v>46225</v>
      </c>
      <c r="C524" s="297" t="inlineStr">
        <is>
          <t>Agua natural</t>
        </is>
      </c>
      <c r="D524" s="298" t="inlineStr">
        <is>
          <t>No bill</t>
        </is>
      </c>
      <c r="E524" s="297" t="inlineStr">
        <is>
          <t>Ingredients - Beverages</t>
        </is>
      </c>
      <c r="F524" s="299" t="n">
        <v>70</v>
      </c>
      <c r="G524" s="300" t="inlineStr">
        <is>
          <t>Restaurant</t>
        </is>
      </c>
      <c r="H524" s="300" t="inlineStr">
        <is>
          <t>Cash</t>
        </is>
      </c>
      <c r="I524" s="301" t="inlineStr">
        <is>
          <t>✅ Paid</t>
        </is>
      </c>
      <c r="J524" s="411" t="inlineStr">
        <is>
          <t>No receipt; cash</t>
        </is>
      </c>
    </row>
    <row r="525">
      <c r="B525" s="296" t="n">
        <v>46226</v>
      </c>
      <c r="C525" s="297" t="inlineStr">
        <is>
          <t>Vegetables</t>
        </is>
      </c>
      <c r="D525" s="298" t="inlineStr">
        <is>
          <t>No bill</t>
        </is>
      </c>
      <c r="E525" s="297" t="inlineStr">
        <is>
          <t>Ingredients - Vegetables</t>
        </is>
      </c>
      <c r="F525" s="299" t="n">
        <v>105</v>
      </c>
      <c r="G525" s="300" t="inlineStr">
        <is>
          <t>Restaurant</t>
        </is>
      </c>
      <c r="H525" s="300" t="inlineStr">
        <is>
          <t>Cash</t>
        </is>
      </c>
      <c r="I525" s="301" t="inlineStr">
        <is>
          <t>✅ Paid</t>
        </is>
      </c>
      <c r="J525" s="411" t="inlineStr">
        <is>
          <t>No receipt; cash</t>
        </is>
      </c>
    </row>
    <row r="526">
      <c r="B526" s="296" t="n">
        <v>46226</v>
      </c>
      <c r="C526" s="297" t="inlineStr">
        <is>
          <t>Carnes</t>
        </is>
      </c>
      <c r="D526" s="298" t="inlineStr">
        <is>
          <t>No bill</t>
        </is>
      </c>
      <c r="E526" s="297" t="inlineStr">
        <is>
          <t>Ingredients - Meat</t>
        </is>
      </c>
      <c r="F526" s="299" t="n">
        <v>600</v>
      </c>
      <c r="G526" s="300" t="inlineStr">
        <is>
          <t>Restaurant</t>
        </is>
      </c>
      <c r="H526" s="300" t="inlineStr">
        <is>
          <t>Cash</t>
        </is>
      </c>
      <c r="I526" s="301" t="inlineStr">
        <is>
          <t>✅ Paid</t>
        </is>
      </c>
      <c r="J526" s="411" t="inlineStr">
        <is>
          <t>No receipt; cash</t>
        </is>
      </c>
    </row>
    <row r="527">
      <c r="B527" s="296" t="n">
        <v>46226</v>
      </c>
      <c r="C527" s="297" t="inlineStr">
        <is>
          <t>Pollo</t>
        </is>
      </c>
      <c r="D527" s="298" t="inlineStr">
        <is>
          <t>No bill</t>
        </is>
      </c>
      <c r="E527" s="297" t="inlineStr">
        <is>
          <t>Ingredients - Meat</t>
        </is>
      </c>
      <c r="F527" s="299" t="n">
        <v>220</v>
      </c>
      <c r="G527" s="300" t="inlineStr">
        <is>
          <t>Restaurant</t>
        </is>
      </c>
      <c r="H527" s="300" t="inlineStr">
        <is>
          <t>Cash</t>
        </is>
      </c>
      <c r="I527" s="301" t="inlineStr">
        <is>
          <t>✅ Paid</t>
        </is>
      </c>
      <c r="J527" s="411" t="inlineStr">
        <is>
          <t>No receipt; cash</t>
        </is>
      </c>
    </row>
    <row r="528">
      <c r="B528" s="296" t="n">
        <v>46226</v>
      </c>
      <c r="C528" s="297" t="inlineStr">
        <is>
          <t>Vasos plast. 12 + Reyma tapas + bolsa negra + stretch film</t>
        </is>
      </c>
      <c r="D528" s="298" t="inlineStr">
        <is>
          <t>Guimar Polietilenos</t>
        </is>
      </c>
      <c r="E528" s="297" t="inlineStr">
        <is>
          <t>Packaging/Disposables</t>
        </is>
      </c>
      <c r="F528" s="299" t="n">
        <v>1544.98</v>
      </c>
      <c r="G528" s="300" t="inlineStr">
        <is>
          <t>Restaurant</t>
        </is>
      </c>
      <c r="H528" s="300" t="inlineStr">
        <is>
          <t>Card</t>
        </is>
      </c>
      <c r="I528" s="301" t="inlineStr">
        <is>
          <t>✅ Paid</t>
        </is>
      </c>
      <c r="J528" s="411" t="inlineStr">
        <is>
          <t>Folio AK93904 10:48. Pagado con tarjeta de Lohith pero YA reembolsado con dinero del restaurante -&gt; gasto del restaurante, sin entrada en Owner Ledger.</t>
        </is>
      </c>
    </row>
    <row r="529">
      <c r="B529" s="296" t="n">
        <v>46226</v>
      </c>
      <c r="C529" s="297" t="inlineStr">
        <is>
          <t>Elote Herdez, agua mineral, detergente 5kg, tortillas, bolillo, rosca de nuez</t>
        </is>
      </c>
      <c r="D529" s="298" t="inlineStr">
        <is>
          <t>Chedraui Selecto</t>
        </is>
      </c>
      <c r="E529" s="297" t="inlineStr">
        <is>
          <t>Supermarket/General</t>
        </is>
      </c>
      <c r="F529" s="299" t="n">
        <v>515.4</v>
      </c>
      <c r="G529" s="300" t="inlineStr">
        <is>
          <t>Restaurant</t>
        </is>
      </c>
      <c r="H529" s="300" t="inlineStr">
        <is>
          <t>Card</t>
        </is>
      </c>
      <c r="I529" s="301" t="inlineStr">
        <is>
          <t>✅ Paid</t>
        </is>
      </c>
      <c r="J529" s="411" t="inlineStr">
        <is>
          <t>Debito BBVA ***3982 AUT 006060; 23-Jul 11:34; 16 articulos</t>
        </is>
      </c>
    </row>
    <row r="530">
      <c r="B530" s="296" t="n">
        <v>46226</v>
      </c>
      <c r="C530" s="297" t="inlineStr">
        <is>
          <t>Contenedor termico 8x8D + papel alimenticio + bolsa poliseda + bolsa en rollo</t>
        </is>
      </c>
      <c r="D530" s="298" t="inlineStr">
        <is>
          <t>Guimar Polietilenos</t>
        </is>
      </c>
      <c r="E530" s="297" t="inlineStr">
        <is>
          <t>Packaging/Disposables</t>
        </is>
      </c>
      <c r="F530" s="299" t="n">
        <v>1481.45</v>
      </c>
      <c r="G530" s="300" t="inlineStr">
        <is>
          <t>Restaurant</t>
        </is>
      </c>
      <c r="H530" s="300" t="inlineStr">
        <is>
          <t>Card</t>
        </is>
      </c>
      <c r="I530" s="301" t="inlineStr">
        <is>
          <t>✅ Paid</t>
        </is>
      </c>
      <c r="J530" s="411" t="inlineStr">
        <is>
          <t>Folio AK93900 10:37. Term.8x8D 8x115.25=922 + papel alim. 275 + bolsa poliseda 2x82=164 + bolsa rollo 1.65x73=120.45. Tarjeta de Lohith, YA reembolsado con dinero del restaurante -&gt; sin entrada en Owner Ledger.</t>
        </is>
      </c>
    </row>
    <row r="531">
      <c r="B531" s="296" t="n">
        <v>46226</v>
      </c>
      <c r="C531" s="297" t="inlineStr">
        <is>
          <t>Arroz (Oxxo)</t>
        </is>
      </c>
      <c r="D531" s="298" t="inlineStr">
        <is>
          <t>OXXO</t>
        </is>
      </c>
      <c r="E531" s="297" t="inlineStr">
        <is>
          <t>Ingredients - Pantry</t>
        </is>
      </c>
      <c r="F531" s="299" t="n">
        <v>35</v>
      </c>
      <c r="G531" s="300" t="inlineStr">
        <is>
          <t>Restaurant</t>
        </is>
      </c>
      <c r="H531" s="300" t="inlineStr">
        <is>
          <t>Cash</t>
        </is>
      </c>
      <c r="I531" s="301" t="inlineStr">
        <is>
          <t>✅ Paid</t>
        </is>
      </c>
      <c r="J531" s="411" t="inlineStr">
        <is>
          <t>No receipt; cash</t>
        </is>
      </c>
    </row>
    <row r="532">
      <c r="B532" s="296" t="n">
        <v>46226</v>
      </c>
      <c r="C532" s="297" t="inlineStr">
        <is>
          <t>Pan y salsas</t>
        </is>
      </c>
      <c r="D532" s="298" t="inlineStr">
        <is>
          <t>Pan Reales</t>
        </is>
      </c>
      <c r="E532" s="297" t="inlineStr">
        <is>
          <t>Ingredients - Bread</t>
        </is>
      </c>
      <c r="F532" s="299" t="n">
        <v>847</v>
      </c>
      <c r="G532" s="300" t="inlineStr">
        <is>
          <t>Restaurant</t>
        </is>
      </c>
      <c r="H532" s="300" t="inlineStr">
        <is>
          <t>Cash</t>
        </is>
      </c>
      <c r="I532" s="301" t="inlineStr">
        <is>
          <t>✅ Paid</t>
        </is>
      </c>
      <c r="J532" s="411" t="inlineStr">
        <is>
          <t>No receipt; cash</t>
        </is>
      </c>
    </row>
    <row r="533">
      <c r="B533" s="296" t="n">
        <v>46227</v>
      </c>
      <c r="C533" s="297" t="inlineStr">
        <is>
          <t>Pan molido</t>
        </is>
      </c>
      <c r="D533" s="298" t="inlineStr">
        <is>
          <t>No bill</t>
        </is>
      </c>
      <c r="E533" s="297" t="inlineStr">
        <is>
          <t>Ingredients - Bread</t>
        </is>
      </c>
      <c r="F533" s="299" t="n">
        <v>72</v>
      </c>
      <c r="G533" s="300" t="inlineStr">
        <is>
          <t>Restaurant</t>
        </is>
      </c>
      <c r="H533" s="300" t="inlineStr">
        <is>
          <t>Cash</t>
        </is>
      </c>
      <c r="I533" s="301" t="inlineStr">
        <is>
          <t>✅ Paid</t>
        </is>
      </c>
      <c r="J533" s="411" t="inlineStr">
        <is>
          <t>No receipt; cash; breadcrumbs</t>
        </is>
      </c>
    </row>
    <row r="534">
      <c r="B534" s="296" t="n">
        <v>46227</v>
      </c>
      <c r="C534" s="297" t="inlineStr">
        <is>
          <t>Azucar (Oxxo)</t>
        </is>
      </c>
      <c r="D534" s="298" t="inlineStr">
        <is>
          <t>OXXO</t>
        </is>
      </c>
      <c r="E534" s="297" t="inlineStr">
        <is>
          <t>Ingredients - Pantry</t>
        </is>
      </c>
      <c r="F534" s="299" t="n">
        <v>24</v>
      </c>
      <c r="G534" s="300" t="inlineStr">
        <is>
          <t>Restaurant</t>
        </is>
      </c>
      <c r="H534" s="300" t="inlineStr">
        <is>
          <t>Cash</t>
        </is>
      </c>
      <c r="I534" s="301" t="inlineStr">
        <is>
          <t>✅ Paid</t>
        </is>
      </c>
      <c r="J534" s="411" t="inlineStr">
        <is>
          <t>No receipt; cash</t>
        </is>
      </c>
    </row>
    <row r="535">
      <c r="B535" s="296" t="n">
        <v>46227</v>
      </c>
      <c r="C535" s="297" t="inlineStr">
        <is>
          <t>Queso panela</t>
        </is>
      </c>
      <c r="D535" s="298" t="inlineStr">
        <is>
          <t>No bill</t>
        </is>
      </c>
      <c r="E535" s="297" t="inlineStr">
        <is>
          <t>Ingredients - Dairy</t>
        </is>
      </c>
      <c r="F535" s="299" t="n">
        <v>590</v>
      </c>
      <c r="G535" s="300" t="inlineStr">
        <is>
          <t>Restaurant</t>
        </is>
      </c>
      <c r="H535" s="300" t="inlineStr">
        <is>
          <t>Cash</t>
        </is>
      </c>
      <c r="I535" s="301" t="inlineStr">
        <is>
          <t>✅ Paid</t>
        </is>
      </c>
      <c r="J535" s="411" t="inlineStr">
        <is>
          <t>No receipt; cash</t>
        </is>
      </c>
    </row>
    <row r="536">
      <c r="B536" s="296" t="n">
        <v>46227</v>
      </c>
      <c r="C536" s="297" t="inlineStr">
        <is>
          <t>Samu — Ayudante Week 10</t>
        </is>
      </c>
      <c r="D536" s="298" t="inlineStr">
        <is>
          <t>Payroll</t>
        </is>
      </c>
      <c r="E536" s="297" t="inlineStr">
        <is>
          <t>Staff - Salary</t>
        </is>
      </c>
      <c r="F536" s="299" t="n">
        <v>1200</v>
      </c>
      <c r="G536" s="300" t="inlineStr">
        <is>
          <t>Restaurant</t>
        </is>
      </c>
      <c r="H536" s="300" t="inlineStr">
        <is>
          <t>Cash</t>
        </is>
      </c>
      <c r="I536" s="301" t="inlineStr">
        <is>
          <t>✅ Paid</t>
        </is>
      </c>
      <c r="J536" s="411" t="inlineStr">
        <is>
          <t>Week 10 salary, paid Friday 24 Jul</t>
        </is>
      </c>
    </row>
    <row r="537">
      <c r="B537" s="296" t="n">
        <v>46228</v>
      </c>
      <c r="C537" s="297" t="inlineStr">
        <is>
          <t>Vegetables</t>
        </is>
      </c>
      <c r="D537" s="298" t="inlineStr">
        <is>
          <t>No bill</t>
        </is>
      </c>
      <c r="E537" s="297" t="inlineStr">
        <is>
          <t>Ingredients - Vegetables</t>
        </is>
      </c>
      <c r="F537" s="299" t="n">
        <v>150</v>
      </c>
      <c r="G537" s="300" t="inlineStr">
        <is>
          <t>Restaurant</t>
        </is>
      </c>
      <c r="H537" s="300" t="inlineStr">
        <is>
          <t>Cash</t>
        </is>
      </c>
      <c r="I537" s="301" t="inlineStr">
        <is>
          <t>✅ Paid</t>
        </is>
      </c>
      <c r="J537" s="411" t="inlineStr">
        <is>
          <t>No receipt; cash</t>
        </is>
      </c>
    </row>
    <row r="538">
      <c r="B538" s="296" t="n">
        <v>46228</v>
      </c>
      <c r="C538" s="297" t="inlineStr">
        <is>
          <t>Carne bistec</t>
        </is>
      </c>
      <c r="D538" s="298" t="inlineStr">
        <is>
          <t>No bill</t>
        </is>
      </c>
      <c r="E538" s="297" t="inlineStr">
        <is>
          <t>Ingredients - Meat</t>
        </is>
      </c>
      <c r="F538" s="299" t="n">
        <v>284</v>
      </c>
      <c r="G538" s="300" t="inlineStr">
        <is>
          <t>Restaurant</t>
        </is>
      </c>
      <c r="H538" s="300" t="inlineStr">
        <is>
          <t>Cash</t>
        </is>
      </c>
      <c r="I538" s="301" t="inlineStr">
        <is>
          <t>✅ Paid</t>
        </is>
      </c>
      <c r="J538" s="411" t="inlineStr">
        <is>
          <t>No receipt; cash</t>
        </is>
      </c>
    </row>
    <row r="539">
      <c r="B539" s="296" t="n">
        <v>46228</v>
      </c>
      <c r="C539" s="297" t="inlineStr">
        <is>
          <t>Pollo</t>
        </is>
      </c>
      <c r="D539" s="298" t="inlineStr">
        <is>
          <t>No bill</t>
        </is>
      </c>
      <c r="E539" s="297" t="inlineStr">
        <is>
          <t>Ingredients - Meat</t>
        </is>
      </c>
      <c r="F539" s="299" t="n">
        <v>905</v>
      </c>
      <c r="G539" s="300" t="inlineStr">
        <is>
          <t>Restaurant</t>
        </is>
      </c>
      <c r="H539" s="300" t="inlineStr">
        <is>
          <t>Cash</t>
        </is>
      </c>
      <c r="I539" s="301" t="inlineStr">
        <is>
          <t>✅ Paid</t>
        </is>
      </c>
      <c r="J539" s="411" t="inlineStr">
        <is>
          <t>No receipt; cash</t>
        </is>
      </c>
    </row>
    <row r="540">
      <c r="B540" s="296" t="n">
        <v>46228</v>
      </c>
      <c r="C540" s="297" t="inlineStr">
        <is>
          <t>Azucar (Oxxo)</t>
        </is>
      </c>
      <c r="D540" s="298" t="inlineStr">
        <is>
          <t>OXXO</t>
        </is>
      </c>
      <c r="E540" s="297" t="inlineStr">
        <is>
          <t>Ingredients - Pantry</t>
        </is>
      </c>
      <c r="F540" s="299" t="n">
        <v>24</v>
      </c>
      <c r="G540" s="300" t="inlineStr">
        <is>
          <t>Restaurant</t>
        </is>
      </c>
      <c r="H540" s="300" t="inlineStr">
        <is>
          <t>Cash</t>
        </is>
      </c>
      <c r="I540" s="301" t="inlineStr">
        <is>
          <t>✅ Paid</t>
        </is>
      </c>
      <c r="J540" s="411" t="inlineStr">
        <is>
          <t>No receipt; cash</t>
        </is>
      </c>
    </row>
    <row r="541">
      <c r="B541" s="296" t="n">
        <v>46228</v>
      </c>
      <c r="C541" s="297" t="inlineStr">
        <is>
          <t>John — Head Chef Week 10</t>
        </is>
      </c>
      <c r="D541" s="298" t="inlineStr">
        <is>
          <t>Payroll</t>
        </is>
      </c>
      <c r="E541" s="297" t="inlineStr">
        <is>
          <t>Staff - Salary</t>
        </is>
      </c>
      <c r="F541" s="299" t="n">
        <v>3750</v>
      </c>
      <c r="G541" s="300" t="inlineStr">
        <is>
          <t>Restaurant</t>
        </is>
      </c>
      <c r="H541" s="300" t="inlineStr">
        <is>
          <t>Cash</t>
        </is>
      </c>
      <c r="I541" s="301" t="inlineStr">
        <is>
          <t>✅ Paid</t>
        </is>
      </c>
      <c r="J541" s="411" t="inlineStr">
        <is>
          <t>Week 10 salary, paid Saturday 25 Jul</t>
        </is>
      </c>
    </row>
    <row r="542">
      <c r="B542" s="296" t="n">
        <v>46228</v>
      </c>
      <c r="C542" s="297" t="inlineStr">
        <is>
          <t>Duvi/Debi — Limpieza Week 10</t>
        </is>
      </c>
      <c r="D542" s="298" t="inlineStr">
        <is>
          <t>Payroll</t>
        </is>
      </c>
      <c r="E542" s="297" t="inlineStr">
        <is>
          <t>Staff - Salary</t>
        </is>
      </c>
      <c r="F542" s="299" t="n">
        <v>1500</v>
      </c>
      <c r="G542" s="300" t="inlineStr">
        <is>
          <t>Restaurant</t>
        </is>
      </c>
      <c r="H542" s="300" t="inlineStr">
        <is>
          <t>Cash</t>
        </is>
      </c>
      <c r="I542" s="301" t="inlineStr">
        <is>
          <t>✅ Paid</t>
        </is>
      </c>
      <c r="J542" s="411" t="inlineStr">
        <is>
          <t>Week 10 salary, paid Saturday 25 Jul (full week)</t>
        </is>
      </c>
    </row>
    <row r="543">
      <c r="B543" s="296" t="n">
        <v>46229</v>
      </c>
      <c r="C543" s="297" t="inlineStr">
        <is>
          <t>Vegetables (Central de Abastos)</t>
        </is>
      </c>
      <c r="D543" s="298" t="inlineStr">
        <is>
          <t>Central de Abastos</t>
        </is>
      </c>
      <c r="E543" s="297" t="inlineStr">
        <is>
          <t>Ingredients - Vegetables</t>
        </is>
      </c>
      <c r="F543" s="299" t="n">
        <v>1832</v>
      </c>
      <c r="G543" s="300" t="inlineStr">
        <is>
          <t>Restaurant</t>
        </is>
      </c>
      <c r="H543" s="300" t="inlineStr">
        <is>
          <t>Cash</t>
        </is>
      </c>
      <c r="I543" s="301" t="inlineStr">
        <is>
          <t>✅ Paid</t>
        </is>
      </c>
      <c r="J543" s="411" t="inlineStr">
        <is>
          <t>No receipt; cash; compra semanal (domingo, restaurante cerrado)</t>
        </is>
      </c>
    </row>
    <row r="544">
      <c r="B544" s="296" t="n">
        <v>46229</v>
      </c>
      <c r="C544" s="297" t="inlineStr">
        <is>
          <t>Arroz (Oxxo)</t>
        </is>
      </c>
      <c r="D544" s="298" t="inlineStr">
        <is>
          <t>OXXO</t>
        </is>
      </c>
      <c r="E544" s="297" t="inlineStr">
        <is>
          <t>Ingredients - Pantry</t>
        </is>
      </c>
      <c r="F544" s="299" t="n">
        <v>78</v>
      </c>
      <c r="G544" s="300" t="inlineStr">
        <is>
          <t>Restaurant</t>
        </is>
      </c>
      <c r="H544" s="300" t="inlineStr">
        <is>
          <t>Cash</t>
        </is>
      </c>
      <c r="I544" s="301" t="inlineStr">
        <is>
          <t>✅ Paid</t>
        </is>
      </c>
      <c r="J544" s="411" t="inlineStr">
        <is>
          <t>No receipt; cash; domingo shopping</t>
        </is>
      </c>
    </row>
    <row r="545">
      <c r="B545" s="296" t="n">
        <v>46229</v>
      </c>
      <c r="C545" s="297" t="inlineStr">
        <is>
          <t>Sam's Club (varios)</t>
        </is>
      </c>
      <c r="D545" s="298" t="inlineStr">
        <is>
          <t>Sam's Club</t>
        </is>
      </c>
      <c r="E545" s="297" t="inlineStr">
        <is>
          <t>Supermarket/General</t>
        </is>
      </c>
      <c r="F545" s="299" t="n">
        <v>1157</v>
      </c>
      <c r="G545" s="300" t="inlineStr">
        <is>
          <t>Restaurant</t>
        </is>
      </c>
      <c r="H545" s="300" t="inlineStr">
        <is>
          <t>Card</t>
        </is>
      </c>
      <c r="I545" s="301" t="inlineStr">
        <is>
          <t>✅ Paid</t>
        </is>
      </c>
      <c r="J545" s="411" t="inlineStr">
        <is>
          <t>No receipt provided; restaurant-paid; domingo shopping</t>
        </is>
      </c>
    </row>
    <row r="546">
      <c r="B546" s="296" t="n">
        <v>46230</v>
      </c>
      <c r="C546" s="297" t="inlineStr">
        <is>
          <t>Agua Natural</t>
        </is>
      </c>
      <c r="D546" s="298" t="inlineStr">
        <is>
          <t>No bill</t>
        </is>
      </c>
      <c r="E546" s="297" t="inlineStr">
        <is>
          <t>Ingredients - Beverages</t>
        </is>
      </c>
      <c r="F546" s="299" t="n">
        <v>60</v>
      </c>
      <c r="G546" s="300" t="inlineStr">
        <is>
          <t>Restaurant</t>
        </is>
      </c>
      <c r="H546" s="300" t="inlineStr">
        <is>
          <t>Cash</t>
        </is>
      </c>
      <c r="I546" s="301" t="inlineStr">
        <is>
          <t>✅ Paid</t>
        </is>
      </c>
      <c r="J546" s="411" t="inlineStr">
        <is>
          <t>No receipt; cash</t>
        </is>
      </c>
    </row>
    <row r="547">
      <c r="B547" s="296" t="n">
        <v>46230</v>
      </c>
      <c r="C547" s="297" t="inlineStr">
        <is>
          <t>Sams Club</t>
        </is>
      </c>
      <c r="D547" s="298" t="inlineStr">
        <is>
          <t>Sam's Club</t>
        </is>
      </c>
      <c r="E547" s="297" t="inlineStr">
        <is>
          <t>Supermarket/General</t>
        </is>
      </c>
      <c r="F547" s="299" t="n">
        <v>491</v>
      </c>
      <c r="G547" s="300" t="inlineStr">
        <is>
          <t>Restaurant</t>
        </is>
      </c>
      <c r="H547" s="300" t="inlineStr">
        <is>
          <t>Cash</t>
        </is>
      </c>
      <c r="I547" s="301" t="inlineStr">
        <is>
          <t>✅ Paid</t>
        </is>
      </c>
      <c r="J547" s="411" t="inlineStr">
        <is>
          <t>No receipt; cash</t>
        </is>
      </c>
    </row>
    <row r="548">
      <c r="B548" s="296" t="n">
        <v>46230</v>
      </c>
      <c r="C548" s="297" t="inlineStr">
        <is>
          <t>Chedruai</t>
        </is>
      </c>
      <c r="D548" s="298" t="inlineStr">
        <is>
          <t>Chedraui</t>
        </is>
      </c>
      <c r="E548" s="297" t="inlineStr">
        <is>
          <t>Supermarket/General</t>
        </is>
      </c>
      <c r="F548" s="299" t="n">
        <v>377</v>
      </c>
      <c r="G548" s="300" t="inlineStr">
        <is>
          <t>Restaurant</t>
        </is>
      </c>
      <c r="H548" s="300" t="inlineStr">
        <is>
          <t>Cash</t>
        </is>
      </c>
      <c r="I548" s="301" t="inlineStr">
        <is>
          <t>✅ Paid</t>
        </is>
      </c>
      <c r="J548" s="411" t="inlineStr">
        <is>
          <t>No receipt; cash</t>
        </is>
      </c>
    </row>
    <row r="549">
      <c r="B549" s="296" t="n">
        <v>46231</v>
      </c>
      <c r="C549" s="297" t="inlineStr">
        <is>
          <t>Utensils Sushi Kit</t>
        </is>
      </c>
      <c r="D549" s="298" t="inlineStr">
        <is>
          <t>No bill</t>
        </is>
      </c>
      <c r="E549" s="297" t="inlineStr">
        <is>
          <t>Kitchen Supplies</t>
        </is>
      </c>
      <c r="F549" s="299" t="n">
        <v>521</v>
      </c>
      <c r="G549" s="300" t="inlineStr">
        <is>
          <t>Restaurant</t>
        </is>
      </c>
      <c r="H549" s="300" t="inlineStr">
        <is>
          <t>Cash</t>
        </is>
      </c>
      <c r="I549" s="301" t="inlineStr">
        <is>
          <t>✅ Paid</t>
        </is>
      </c>
      <c r="J549" s="411" t="inlineStr">
        <is>
          <t>No receipt; cash</t>
        </is>
      </c>
    </row>
    <row r="550">
      <c r="B550" s="296" t="n">
        <v>46231</v>
      </c>
      <c r="C550" s="297" t="inlineStr">
        <is>
          <t>Chedraui</t>
        </is>
      </c>
      <c r="D550" s="298" t="inlineStr">
        <is>
          <t>Chedraui</t>
        </is>
      </c>
      <c r="E550" s="297" t="inlineStr">
        <is>
          <t>Supermarket/General</t>
        </is>
      </c>
      <c r="F550" s="299" t="n">
        <v>82</v>
      </c>
      <c r="G550" s="300" t="inlineStr">
        <is>
          <t>Restaurant</t>
        </is>
      </c>
      <c r="H550" s="300" t="inlineStr">
        <is>
          <t>Cash</t>
        </is>
      </c>
      <c r="I550" s="301" t="inlineStr">
        <is>
          <t>✅ Paid</t>
        </is>
      </c>
      <c r="J550" s="411" t="inlineStr">
        <is>
          <t>No receipt; cash</t>
        </is>
      </c>
    </row>
    <row r="551">
      <c r="B551" s="296" t="n">
        <v>46231</v>
      </c>
      <c r="C551" s="297" t="inlineStr">
        <is>
          <t>Carne</t>
        </is>
      </c>
      <c r="D551" s="298" t="inlineStr">
        <is>
          <t>No bill</t>
        </is>
      </c>
      <c r="E551" s="297" t="inlineStr">
        <is>
          <t>Ingredients - Meat</t>
        </is>
      </c>
      <c r="F551" s="299" t="n">
        <v>505</v>
      </c>
      <c r="G551" s="300" t="inlineStr">
        <is>
          <t>Restaurant</t>
        </is>
      </c>
      <c r="H551" s="300" t="inlineStr">
        <is>
          <t>Cash</t>
        </is>
      </c>
      <c r="I551" s="301" t="inlineStr">
        <is>
          <t>✅ Paid</t>
        </is>
      </c>
      <c r="J551" s="411" t="inlineStr">
        <is>
          <t>No receipt; cash</t>
        </is>
      </c>
    </row>
    <row r="552">
      <c r="B552" s="296" t="n">
        <v>46231</v>
      </c>
      <c r="C552" s="297" t="inlineStr">
        <is>
          <t>Pollo</t>
        </is>
      </c>
      <c r="D552" s="298" t="inlineStr">
        <is>
          <t>No bill</t>
        </is>
      </c>
      <c r="E552" s="297" t="inlineStr">
        <is>
          <t>Ingredients - Meat</t>
        </is>
      </c>
      <c r="F552" s="299" t="n">
        <v>396</v>
      </c>
      <c r="G552" s="300" t="inlineStr">
        <is>
          <t>Lohith</t>
        </is>
      </c>
      <c r="H552" s="300" t="inlineStr">
        <is>
          <t>Cash</t>
        </is>
      </c>
      <c r="I552" s="301" t="inlineStr">
        <is>
          <t>✅ Paid</t>
        </is>
      </c>
      <c r="J552" s="411" t="inlineStr">
        <is>
          <t>Pagado por Lohith (bolsillo); reembolsable via Owner Ledger</t>
        </is>
      </c>
    </row>
    <row r="553">
      <c r="B553" s="296" t="n">
        <v>46232</v>
      </c>
      <c r="C553" s="297" t="inlineStr">
        <is>
          <t>Vegetables</t>
        </is>
      </c>
      <c r="D553" s="298" t="inlineStr">
        <is>
          <t>No bill</t>
        </is>
      </c>
      <c r="E553" s="297" t="inlineStr">
        <is>
          <t>Ingredients - Vegetables</t>
        </is>
      </c>
      <c r="F553" s="299" t="n">
        <v>101</v>
      </c>
      <c r="G553" s="300" t="inlineStr">
        <is>
          <t>Restaurant</t>
        </is>
      </c>
      <c r="H553" s="300" t="inlineStr">
        <is>
          <t>Cash</t>
        </is>
      </c>
      <c r="I553" s="301" t="inlineStr">
        <is>
          <t>✅ Paid</t>
        </is>
      </c>
      <c r="J553" s="411" t="inlineStr">
        <is>
          <t>No receipt; cash</t>
        </is>
      </c>
    </row>
    <row r="554">
      <c r="B554" s="296" t="n">
        <v>46232</v>
      </c>
      <c r="C554" s="297" t="inlineStr">
        <is>
          <t>Carne</t>
        </is>
      </c>
      <c r="D554" s="298" t="inlineStr">
        <is>
          <t>No bill</t>
        </is>
      </c>
      <c r="E554" s="297" t="inlineStr">
        <is>
          <t>Ingredients - Meat</t>
        </is>
      </c>
      <c r="F554" s="299" t="n">
        <v>312</v>
      </c>
      <c r="G554" s="300" t="inlineStr">
        <is>
          <t>Restaurant</t>
        </is>
      </c>
      <c r="H554" s="300" t="inlineStr">
        <is>
          <t>Cash</t>
        </is>
      </c>
      <c r="I554" s="301" t="inlineStr">
        <is>
          <t>✅ Paid</t>
        </is>
      </c>
      <c r="J554" s="411" t="inlineStr">
        <is>
          <t>No receipt; cash</t>
        </is>
      </c>
    </row>
    <row r="555">
      <c r="B555" s="296" t="n">
        <v>46232</v>
      </c>
      <c r="C555" s="297" t="inlineStr">
        <is>
          <t>Atun</t>
        </is>
      </c>
      <c r="D555" s="298" t="inlineStr">
        <is>
          <t>No bill</t>
        </is>
      </c>
      <c r="E555" s="297" t="inlineStr">
        <is>
          <t>Supplies/Other</t>
        </is>
      </c>
      <c r="F555" s="299" t="n">
        <v>250</v>
      </c>
      <c r="G555" s="300" t="inlineStr">
        <is>
          <t>Restaurant</t>
        </is>
      </c>
      <c r="H555" s="300" t="inlineStr">
        <is>
          <t>Cash</t>
        </is>
      </c>
      <c r="I555" s="301" t="inlineStr">
        <is>
          <t>✅ Paid</t>
        </is>
      </c>
      <c r="J555" s="411" t="inlineStr">
        <is>
          <t>No receipt; cash</t>
        </is>
      </c>
    </row>
    <row r="556">
      <c r="B556" s="296" t="n">
        <v>46232</v>
      </c>
      <c r="C556" s="297" t="inlineStr">
        <is>
          <t>Pan Reales</t>
        </is>
      </c>
      <c r="D556" s="298" t="inlineStr">
        <is>
          <t>Pan Reales</t>
        </is>
      </c>
      <c r="E556" s="297" t="inlineStr">
        <is>
          <t>Ingredients - Bread</t>
        </is>
      </c>
      <c r="F556" s="299" t="n">
        <v>722</v>
      </c>
      <c r="G556" s="300" t="inlineStr">
        <is>
          <t>Restaurant</t>
        </is>
      </c>
      <c r="H556" s="300" t="inlineStr">
        <is>
          <t>Cash</t>
        </is>
      </c>
      <c r="I556" s="301" t="inlineStr">
        <is>
          <t>✅ Paid</t>
        </is>
      </c>
      <c r="J556" s="411" t="inlineStr">
        <is>
          <t>No receipt; cash</t>
        </is>
      </c>
    </row>
    <row r="557">
      <c r="B557" s="296" t="n">
        <v>46232</v>
      </c>
      <c r="C557" s="297" t="inlineStr">
        <is>
          <t>Chedraui Mantequilla</t>
        </is>
      </c>
      <c r="D557" s="298" t="inlineStr">
        <is>
          <t>Chedraui</t>
        </is>
      </c>
      <c r="E557" s="297" t="inlineStr">
        <is>
          <t>Supermarket/General</t>
        </is>
      </c>
      <c r="F557" s="299" t="n">
        <v>50</v>
      </c>
      <c r="G557" s="300" t="inlineStr">
        <is>
          <t>Restaurant</t>
        </is>
      </c>
      <c r="H557" s="300" t="inlineStr">
        <is>
          <t>Cash</t>
        </is>
      </c>
      <c r="I557" s="301" t="inlineStr">
        <is>
          <t>✅ Paid</t>
        </is>
      </c>
      <c r="J557" s="411" t="inlineStr">
        <is>
          <t>No receipt; cash</t>
        </is>
      </c>
    </row>
    <row r="558">
      <c r="B558" s="296" t="n">
        <v>46232</v>
      </c>
      <c r="C558" s="297" t="inlineStr">
        <is>
          <t>Arroz Sushi HEB</t>
        </is>
      </c>
      <c r="D558" s="298" t="inlineStr">
        <is>
          <t>H-E-B</t>
        </is>
      </c>
      <c r="E558" s="297" t="inlineStr">
        <is>
          <t>Supermarket/General</t>
        </is>
      </c>
      <c r="F558" s="299" t="n">
        <v>60</v>
      </c>
      <c r="G558" s="300" t="inlineStr">
        <is>
          <t>Lohith</t>
        </is>
      </c>
      <c r="H558" s="300" t="inlineStr">
        <is>
          <t>Cash</t>
        </is>
      </c>
      <c r="I558" s="301" t="inlineStr">
        <is>
          <t>✅ Paid</t>
        </is>
      </c>
      <c r="J558" s="411" t="inlineStr">
        <is>
          <t>Pagado por Lohith (bolsillo); reembolsable via Owner Ledger</t>
        </is>
      </c>
    </row>
    <row r="559">
      <c r="B559" s="296" t="n">
        <v>46233</v>
      </c>
      <c r="C559" s="297" t="inlineStr">
        <is>
          <t>Pollo</t>
        </is>
      </c>
      <c r="D559" s="298" t="inlineStr">
        <is>
          <t>No bill</t>
        </is>
      </c>
      <c r="E559" s="297" t="inlineStr">
        <is>
          <t>Ingredients - Meat</t>
        </is>
      </c>
      <c r="F559" s="299" t="n">
        <v>188</v>
      </c>
      <c r="G559" s="300" t="inlineStr">
        <is>
          <t>Lohith</t>
        </is>
      </c>
      <c r="H559" s="300" t="inlineStr">
        <is>
          <t>Cash</t>
        </is>
      </c>
      <c r="I559" s="301" t="inlineStr">
        <is>
          <t>✅ Paid</t>
        </is>
      </c>
      <c r="J559" s="411" t="inlineStr">
        <is>
          <t>Pagado por Lohith (bolsillo); reembolsable via Owner Ledger</t>
        </is>
      </c>
    </row>
    <row r="560">
      <c r="B560" s="296" t="n">
        <v>46233</v>
      </c>
      <c r="C560" s="297" t="inlineStr">
        <is>
          <t>Chedraui</t>
        </is>
      </c>
      <c r="D560" s="298" t="inlineStr">
        <is>
          <t>Chedraui</t>
        </is>
      </c>
      <c r="E560" s="297" t="inlineStr">
        <is>
          <t>Supermarket/General</t>
        </is>
      </c>
      <c r="F560" s="299" t="n">
        <v>80</v>
      </c>
      <c r="G560" s="300" t="inlineStr">
        <is>
          <t>Lohith</t>
        </is>
      </c>
      <c r="H560" s="300" t="inlineStr">
        <is>
          <t>Cash</t>
        </is>
      </c>
      <c r="I560" s="301" t="inlineStr">
        <is>
          <t>✅ Paid</t>
        </is>
      </c>
      <c r="J560" s="411" t="inlineStr">
        <is>
          <t>Pagado por Lohith (bolsillo); reembolsable via Owner Ledger</t>
        </is>
      </c>
    </row>
    <row r="561">
      <c r="B561" s="296" t="n">
        <v>46234</v>
      </c>
      <c r="C561" s="297" t="inlineStr">
        <is>
          <t>Pescado</t>
        </is>
      </c>
      <c r="D561" s="298" t="inlineStr">
        <is>
          <t>No bill</t>
        </is>
      </c>
      <c r="E561" s="297" t="inlineStr">
        <is>
          <t>Ingredients - Meat &amp; Fish</t>
        </is>
      </c>
      <c r="F561" s="299" t="n">
        <v>248</v>
      </c>
      <c r="G561" s="300" t="inlineStr">
        <is>
          <t>Restaurant</t>
        </is>
      </c>
      <c r="H561" s="300" t="inlineStr">
        <is>
          <t>Cash</t>
        </is>
      </c>
      <c r="I561" s="301" t="inlineStr">
        <is>
          <t>✅ Paid</t>
        </is>
      </c>
      <c r="J561" s="411" t="inlineStr">
        <is>
          <t>No receipt; cash</t>
        </is>
      </c>
    </row>
    <row r="562">
      <c r="B562" s="296" t="n">
        <v>46234</v>
      </c>
      <c r="C562" s="297" t="inlineStr">
        <is>
          <t>Tomato</t>
        </is>
      </c>
      <c r="D562" s="298" t="inlineStr">
        <is>
          <t>No bill</t>
        </is>
      </c>
      <c r="E562" s="297" t="inlineStr">
        <is>
          <t>Ingredients - Vegetables</t>
        </is>
      </c>
      <c r="F562" s="299" t="n">
        <v>38</v>
      </c>
      <c r="G562" s="300" t="inlineStr">
        <is>
          <t>Restaurant</t>
        </is>
      </c>
      <c r="H562" s="300" t="inlineStr">
        <is>
          <t>Cash</t>
        </is>
      </c>
      <c r="I562" s="301" t="inlineStr">
        <is>
          <t>✅ Paid</t>
        </is>
      </c>
      <c r="J562" s="411" t="inlineStr">
        <is>
          <t>No receipt; cash</t>
        </is>
      </c>
    </row>
    <row r="563">
      <c r="B563" s="296" t="n">
        <v>46234</v>
      </c>
      <c r="C563" s="297" t="inlineStr">
        <is>
          <t>Clorox</t>
        </is>
      </c>
      <c r="D563" s="298" t="inlineStr">
        <is>
          <t>No bill</t>
        </is>
      </c>
      <c r="E563" s="297" t="inlineStr">
        <is>
          <t>Kitchen Supplies</t>
        </is>
      </c>
      <c r="F563" s="299" t="n">
        <v>68</v>
      </c>
      <c r="G563" s="300" t="inlineStr">
        <is>
          <t>Restaurant</t>
        </is>
      </c>
      <c r="H563" s="300" t="inlineStr">
        <is>
          <t>Cash</t>
        </is>
      </c>
      <c r="I563" s="301" t="inlineStr">
        <is>
          <t>✅ Paid</t>
        </is>
      </c>
      <c r="J563" s="411" t="inlineStr">
        <is>
          <t>No receipt; cash</t>
        </is>
      </c>
    </row>
    <row r="564">
      <c r="B564" s="296" t="n">
        <v>46234</v>
      </c>
      <c r="C564" s="297" t="inlineStr">
        <is>
          <t>Mango</t>
        </is>
      </c>
      <c r="D564" s="298" t="inlineStr">
        <is>
          <t>No bill</t>
        </is>
      </c>
      <c r="E564" s="297" t="inlineStr">
        <is>
          <t>Ingredients - Vegetables</t>
        </is>
      </c>
      <c r="F564" s="299" t="n">
        <v>79</v>
      </c>
      <c r="G564" s="300" t="inlineStr">
        <is>
          <t>Restaurant</t>
        </is>
      </c>
      <c r="H564" s="300" t="inlineStr">
        <is>
          <t>Cash</t>
        </is>
      </c>
      <c r="I564" s="301" t="inlineStr">
        <is>
          <t>✅ Paid</t>
        </is>
      </c>
      <c r="J564" s="411" t="inlineStr">
        <is>
          <t>No receipt; cash</t>
        </is>
      </c>
    </row>
    <row r="565">
      <c r="B565" s="296" t="n">
        <v>46234</v>
      </c>
      <c r="C565" s="297" t="inlineStr">
        <is>
          <t>Hielo</t>
        </is>
      </c>
      <c r="D565" s="298" t="inlineStr">
        <is>
          <t>No bill</t>
        </is>
      </c>
      <c r="E565" s="297" t="inlineStr">
        <is>
          <t>Kitchen Supplies</t>
        </is>
      </c>
      <c r="F565" s="299" t="n">
        <v>250</v>
      </c>
      <c r="G565" s="300" t="inlineStr">
        <is>
          <t>Restaurant</t>
        </is>
      </c>
      <c r="H565" s="300" t="inlineStr">
        <is>
          <t>Cash</t>
        </is>
      </c>
      <c r="I565" s="301" t="inlineStr">
        <is>
          <t>✅ Paid</t>
        </is>
      </c>
      <c r="J565" s="411" t="inlineStr">
        <is>
          <t>No receipt; cash</t>
        </is>
      </c>
    </row>
    <row r="566">
      <c r="B566" s="296" t="n">
        <v>46234</v>
      </c>
      <c r="C566" s="297" t="inlineStr">
        <is>
          <t>Lemon</t>
        </is>
      </c>
      <c r="D566" s="298" t="inlineStr">
        <is>
          <t>No bill</t>
        </is>
      </c>
      <c r="E566" s="297" t="inlineStr">
        <is>
          <t>Ingredients - Vegetables</t>
        </is>
      </c>
      <c r="F566" s="299" t="n">
        <v>32</v>
      </c>
      <c r="G566" s="300" t="inlineStr">
        <is>
          <t>Restaurant</t>
        </is>
      </c>
      <c r="H566" s="300" t="inlineStr">
        <is>
          <t>Cash</t>
        </is>
      </c>
      <c r="I566" s="301" t="inlineStr">
        <is>
          <t>✅ Paid</t>
        </is>
      </c>
      <c r="J566" s="411" t="inlineStr">
        <is>
          <t>No receipt; cash</t>
        </is>
      </c>
    </row>
    <row r="567">
      <c r="B567" s="296" t="n">
        <v>46234</v>
      </c>
      <c r="C567" s="297" t="inlineStr">
        <is>
          <t>Oxxo Arroz</t>
        </is>
      </c>
      <c r="D567" s="298" t="inlineStr">
        <is>
          <t>OXXO</t>
        </is>
      </c>
      <c r="E567" s="297" t="inlineStr">
        <is>
          <t>Ingredients - Pantry</t>
        </is>
      </c>
      <c r="F567" s="299" t="n">
        <v>78</v>
      </c>
      <c r="G567" s="300" t="inlineStr">
        <is>
          <t>Lohith</t>
        </is>
      </c>
      <c r="H567" s="300" t="inlineStr">
        <is>
          <t>Cash</t>
        </is>
      </c>
      <c r="I567" s="301" t="inlineStr">
        <is>
          <t>✅ Paid</t>
        </is>
      </c>
      <c r="J567" s="411" t="inlineStr">
        <is>
          <t>Pagado por Lohith (bolsillo); reembolsable via Owner Ledger</t>
        </is>
      </c>
    </row>
    <row r="568">
      <c r="B568" s="296" t="n">
        <v>46234</v>
      </c>
      <c r="C568" s="297" t="inlineStr">
        <is>
          <t>Samu - salary</t>
        </is>
      </c>
      <c r="D568" s="298" t="inlineStr">
        <is>
          <t>Payroll</t>
        </is>
      </c>
      <c r="E568" s="297" t="inlineStr">
        <is>
          <t>Staff - Salary</t>
        </is>
      </c>
      <c r="F568" s="299" t="n">
        <v>1200</v>
      </c>
      <c r="G568" s="300" t="inlineStr">
        <is>
          <t>Restaurant</t>
        </is>
      </c>
      <c r="H568" s="300" t="inlineStr">
        <is>
          <t>Cash</t>
        </is>
      </c>
      <c r="I568" s="301" t="inlineStr">
        <is>
          <t>✅ Paid</t>
        </is>
      </c>
      <c r="J568" s="411" t="inlineStr">
        <is>
          <t>Weekly salary</t>
        </is>
      </c>
    </row>
    <row r="569">
      <c r="B569" s="296" t="n">
        <v>46235</v>
      </c>
      <c r="C569" s="297" t="inlineStr">
        <is>
          <t>Potato</t>
        </is>
      </c>
      <c r="D569" s="298" t="inlineStr">
        <is>
          <t>No bill</t>
        </is>
      </c>
      <c r="E569" s="297" t="inlineStr">
        <is>
          <t>Ingredients - Vegetables</t>
        </is>
      </c>
      <c r="F569" s="299" t="n">
        <v>160</v>
      </c>
      <c r="G569" s="300" t="inlineStr">
        <is>
          <t>Restaurant</t>
        </is>
      </c>
      <c r="H569" s="300" t="inlineStr">
        <is>
          <t>Cash</t>
        </is>
      </c>
      <c r="I569" s="301" t="inlineStr">
        <is>
          <t>✅ Paid</t>
        </is>
      </c>
      <c r="J569" s="411" t="inlineStr">
        <is>
          <t>No receipt; cash</t>
        </is>
      </c>
    </row>
    <row r="570">
      <c r="B570" s="296" t="n">
        <v>46235</v>
      </c>
      <c r="C570" s="297" t="inlineStr">
        <is>
          <t>Chedraui</t>
        </is>
      </c>
      <c r="D570" s="298" t="inlineStr">
        <is>
          <t>Chedraui</t>
        </is>
      </c>
      <c r="E570" s="297" t="inlineStr">
        <is>
          <t>Supermarket/General</t>
        </is>
      </c>
      <c r="F570" s="299" t="n">
        <v>148</v>
      </c>
      <c r="G570" s="300" t="inlineStr">
        <is>
          <t>Restaurant</t>
        </is>
      </c>
      <c r="H570" s="300" t="inlineStr">
        <is>
          <t>Cash</t>
        </is>
      </c>
      <c r="I570" s="301" t="inlineStr">
        <is>
          <t>✅ Paid</t>
        </is>
      </c>
      <c r="J570" s="411" t="inlineStr">
        <is>
          <t>No receipt; cash</t>
        </is>
      </c>
    </row>
    <row r="571">
      <c r="B571" s="296" t="n">
        <v>46235</v>
      </c>
      <c r="C571" s="297" t="inlineStr">
        <is>
          <t>Gas</t>
        </is>
      </c>
      <c r="D571" s="298" t="inlineStr">
        <is>
          <t>No bill</t>
        </is>
      </c>
      <c r="E571" s="297" t="inlineStr">
        <is>
          <t>Utilities/Gas</t>
        </is>
      </c>
      <c r="F571" s="299" t="n">
        <v>1500</v>
      </c>
      <c r="G571" s="300" t="inlineStr">
        <is>
          <t>Restaurant</t>
        </is>
      </c>
      <c r="H571" s="300" t="inlineStr">
        <is>
          <t>Cash</t>
        </is>
      </c>
      <c r="I571" s="301" t="inlineStr">
        <is>
          <t>✅ Paid</t>
        </is>
      </c>
      <c r="J571" s="411" t="inlineStr">
        <is>
          <t>No receipt; cash</t>
        </is>
      </c>
    </row>
    <row r="572">
      <c r="B572" s="296" t="n">
        <v>46235</v>
      </c>
      <c r="C572" s="297" t="inlineStr">
        <is>
          <t>Carne</t>
        </is>
      </c>
      <c r="D572" s="298" t="inlineStr">
        <is>
          <t>No bill</t>
        </is>
      </c>
      <c r="E572" s="297" t="inlineStr">
        <is>
          <t>Ingredients - Meat</t>
        </is>
      </c>
      <c r="F572" s="299" t="n">
        <v>150</v>
      </c>
      <c r="G572" s="300" t="inlineStr">
        <is>
          <t>Restaurant</t>
        </is>
      </c>
      <c r="H572" s="300" t="inlineStr">
        <is>
          <t>Cash</t>
        </is>
      </c>
      <c r="I572" s="301" t="inlineStr">
        <is>
          <t>✅ Paid</t>
        </is>
      </c>
      <c r="J572" s="411" t="inlineStr">
        <is>
          <t>No receipt; cash</t>
        </is>
      </c>
    </row>
    <row r="573">
      <c r="B573" s="296" t="n">
        <v>46235</v>
      </c>
      <c r="C573" s="297" t="inlineStr">
        <is>
          <t>Duvi - salary</t>
        </is>
      </c>
      <c r="D573" s="298" t="inlineStr">
        <is>
          <t>Payroll</t>
        </is>
      </c>
      <c r="E573" s="297" t="inlineStr">
        <is>
          <t>Staff - Salary</t>
        </is>
      </c>
      <c r="F573" s="299" t="n">
        <v>1500</v>
      </c>
      <c r="G573" s="300" t="inlineStr">
        <is>
          <t>Restaurant</t>
        </is>
      </c>
      <c r="H573" s="300" t="inlineStr">
        <is>
          <t>Cash</t>
        </is>
      </c>
      <c r="I573" s="301" t="inlineStr">
        <is>
          <t>✅ Paid</t>
        </is>
      </c>
      <c r="J573" s="411" t="inlineStr">
        <is>
          <t>Weekly salary</t>
        </is>
      </c>
    </row>
    <row r="574">
      <c r="B574" s="296" t="n">
        <v>46235</v>
      </c>
      <c r="C574" s="297" t="inlineStr">
        <is>
          <t>Jhon - salary</t>
        </is>
      </c>
      <c r="D574" s="298" t="inlineStr">
        <is>
          <t>Payroll</t>
        </is>
      </c>
      <c r="E574" s="297" t="inlineStr">
        <is>
          <t>Staff - Salary</t>
        </is>
      </c>
      <c r="F574" s="299" t="n">
        <v>3750</v>
      </c>
      <c r="G574" s="300" t="inlineStr">
        <is>
          <t>Restaurant</t>
        </is>
      </c>
      <c r="H574" s="300" t="inlineStr">
        <is>
          <t>Cash</t>
        </is>
      </c>
      <c r="I574" s="301" t="inlineStr">
        <is>
          <t>✅ Paid</t>
        </is>
      </c>
      <c r="J574" s="411" t="inlineStr">
        <is>
          <t>Weekly salary</t>
        </is>
      </c>
    </row>
    <row r="575">
      <c r="B575" s="296" t="n">
        <v>46236</v>
      </c>
      <c r="C575" s="297" t="inlineStr">
        <is>
          <t>Vegetables</t>
        </is>
      </c>
      <c r="D575" s="298" t="inlineStr">
        <is>
          <t>No bill</t>
        </is>
      </c>
      <c r="E575" s="297" t="inlineStr">
        <is>
          <t>Ingredients - Vegetables</t>
        </is>
      </c>
      <c r="F575" s="299" t="n">
        <v>1472</v>
      </c>
      <c r="G575" s="300" t="inlineStr">
        <is>
          <t>Restaurant</t>
        </is>
      </c>
      <c r="H575" s="300" t="inlineStr">
        <is>
          <t>Cash</t>
        </is>
      </c>
      <c r="I575" s="301" t="inlineStr">
        <is>
          <t>✅ Paid</t>
        </is>
      </c>
      <c r="J575" s="411" t="inlineStr">
        <is>
          <t>No receipt; cash</t>
        </is>
      </c>
    </row>
    <row r="576">
      <c r="B576" s="429" t="n">
        <v>46237</v>
      </c>
      <c r="C576" s="297" t="inlineStr">
        <is>
          <t>Pollo</t>
        </is>
      </c>
      <c r="D576" s="298" t="inlineStr">
        <is>
          <t>No bill</t>
        </is>
      </c>
      <c r="E576" s="297" t="inlineStr">
        <is>
          <t>Ingredients - Meat</t>
        </is>
      </c>
      <c r="F576" s="299" t="n">
        <v>1008</v>
      </c>
      <c r="G576" s="300" t="inlineStr">
        <is>
          <t>Lohith</t>
        </is>
      </c>
      <c r="H576" s="300" t="inlineStr">
        <is>
          <t>Cash</t>
        </is>
      </c>
      <c r="I576" s="301" t="inlineStr">
        <is>
          <t>✅ Paid</t>
        </is>
      </c>
      <c r="J576" s="423" t="inlineStr">
        <is>
          <t>Pagado por Lohith (bolsillo); reembolsable via Owner Ledger</t>
        </is>
      </c>
    </row>
    <row r="577">
      <c r="B577" s="429" t="n">
        <v>46238</v>
      </c>
      <c r="C577" s="297" t="inlineStr">
        <is>
          <t>Renta mensual Agosto 2026</t>
        </is>
      </c>
      <c r="D577" s="298" t="inlineStr">
        <is>
          <t>Arrendador</t>
        </is>
      </c>
      <c r="E577" s="297" t="inlineStr">
        <is>
          <t>Rent</t>
        </is>
      </c>
      <c r="F577" s="299" t="n">
        <v>17200.04</v>
      </c>
      <c r="G577" s="300" t="inlineStr">
        <is>
          <t>Capital</t>
        </is>
      </c>
      <c r="H577" s="300" t="inlineStr">
        <is>
          <t>Transfer</t>
        </is>
      </c>
      <c r="I577" s="301" t="inlineStr">
        <is>
          <t>✅ Paid</t>
        </is>
      </c>
      <c r="J577" s="423" t="inlineStr">
        <is>
          <t>Renta contractual 19,066.68/mes. Jun y Jul se pagaron 20,000 c/u = sobrepago 933.32 x2 = 1,866.64, acreditado este mes: 19,066.68 - 1,866.64 = 17,200.04. Pagado con capital de socios. DESDE SEPTIEMBRE la renta mensual es 19,066.68.</t>
        </is>
      </c>
    </row>
    <row r="578">
      <c r="B578" s="429" t="n">
        <v>46238</v>
      </c>
      <c r="C578" s="297" t="inlineStr">
        <is>
          <t>Recibo de luz CFE</t>
        </is>
      </c>
      <c r="D578" s="298" t="inlineStr">
        <is>
          <t>CFE</t>
        </is>
      </c>
      <c r="E578" s="297" t="inlineStr">
        <is>
          <t>Utilities/Electricity</t>
        </is>
      </c>
      <c r="F578" s="299" t="n">
        <v>8789</v>
      </c>
      <c r="G578" s="300" t="inlineStr">
        <is>
          <t>Capital</t>
        </is>
      </c>
      <c r="H578" s="300" t="inlineStr">
        <is>
          <t>Transfer</t>
        </is>
      </c>
      <c r="I578" s="301" t="inlineStr">
        <is>
          <t>✅ Paid</t>
        </is>
      </c>
      <c r="J578" s="423" t="inlineStr">
        <is>
          <t>Recibo de luz pagado con capital de socios.</t>
        </is>
      </c>
    </row>
    <row r="579">
      <c r="B579" s="429" t="n">
        <v>46238</v>
      </c>
      <c r="C579" s="297" t="inlineStr">
        <is>
          <t>Oxxo Tortillas</t>
        </is>
      </c>
      <c r="D579" s="298" t="inlineStr">
        <is>
          <t>OXXO</t>
        </is>
      </c>
      <c r="E579" s="297" t="inlineStr">
        <is>
          <t>Ingredients - Bread</t>
        </is>
      </c>
      <c r="F579" s="299" t="n">
        <v>29</v>
      </c>
      <c r="G579" s="300" t="inlineStr">
        <is>
          <t>Restaurant</t>
        </is>
      </c>
      <c r="H579" s="300" t="inlineStr">
        <is>
          <t>Cash</t>
        </is>
      </c>
      <c r="I579" s="301" t="inlineStr">
        <is>
          <t>✅ Paid</t>
        </is>
      </c>
      <c r="J579" s="423" t="inlineStr">
        <is>
          <t>No receipt; cash</t>
        </is>
      </c>
    </row>
    <row r="580">
      <c r="B580" s="429" t="n">
        <v>46238</v>
      </c>
      <c r="C580" s="297" t="inlineStr">
        <is>
          <t>Oxxo Arroz</t>
        </is>
      </c>
      <c r="D580" s="298" t="inlineStr">
        <is>
          <t>OXXO</t>
        </is>
      </c>
      <c r="E580" s="297" t="inlineStr">
        <is>
          <t>Ingredients - Pantry</t>
        </is>
      </c>
      <c r="F580" s="299" t="n">
        <v>78</v>
      </c>
      <c r="G580" s="300" t="inlineStr">
        <is>
          <t>Restaurant</t>
        </is>
      </c>
      <c r="H580" s="300" t="inlineStr">
        <is>
          <t>Cash</t>
        </is>
      </c>
      <c r="I580" s="301" t="inlineStr">
        <is>
          <t>✅ Paid</t>
        </is>
      </c>
      <c r="J580" s="423" t="inlineStr">
        <is>
          <t>No receipt; cash</t>
        </is>
      </c>
    </row>
    <row r="581">
      <c r="B581" s="429" t="n">
        <v>46238</v>
      </c>
      <c r="C581" s="297" t="inlineStr">
        <is>
          <t>Jamon</t>
        </is>
      </c>
      <c r="D581" s="298" t="inlineStr">
        <is>
          <t>No bill</t>
        </is>
      </c>
      <c r="E581" s="297" t="inlineStr">
        <is>
          <t>Ingredients - Meat</t>
        </is>
      </c>
      <c r="F581" s="299" t="n">
        <v>173</v>
      </c>
      <c r="G581" s="300" t="inlineStr">
        <is>
          <t>Restaurant</t>
        </is>
      </c>
      <c r="H581" s="300" t="inlineStr">
        <is>
          <t>Cash</t>
        </is>
      </c>
      <c r="I581" s="301" t="inlineStr">
        <is>
          <t>✅ Paid</t>
        </is>
      </c>
      <c r="J581" s="423" t="inlineStr">
        <is>
          <t>No receipt; cash</t>
        </is>
      </c>
    </row>
    <row r="582">
      <c r="B582" s="429" t="n">
        <v>46238</v>
      </c>
      <c r="C582" s="297" t="inlineStr">
        <is>
          <t>Carne</t>
        </is>
      </c>
      <c r="D582" s="298" t="inlineStr">
        <is>
          <t>No bill</t>
        </is>
      </c>
      <c r="E582" s="297" t="inlineStr">
        <is>
          <t>Ingredients - Meat</t>
        </is>
      </c>
      <c r="F582" s="299" t="n">
        <v>1809</v>
      </c>
      <c r="G582" s="300" t="inlineStr">
        <is>
          <t>Restaurant</t>
        </is>
      </c>
      <c r="H582" s="300" t="inlineStr">
        <is>
          <t>Cash</t>
        </is>
      </c>
      <c r="I582" s="301" t="inlineStr">
        <is>
          <t>✅ Paid</t>
        </is>
      </c>
      <c r="J582" s="423" t="inlineStr">
        <is>
          <t>No receipt; cash</t>
        </is>
      </c>
    </row>
    <row r="583">
      <c r="B583" s="429" t="n">
        <v>46238</v>
      </c>
      <c r="C583" s="297" t="inlineStr">
        <is>
          <t>Agua Natural</t>
        </is>
      </c>
      <c r="D583" s="298" t="inlineStr">
        <is>
          <t>No bill</t>
        </is>
      </c>
      <c r="E583" s="297" t="inlineStr">
        <is>
          <t>Ingredients - Beverages</t>
        </is>
      </c>
      <c r="F583" s="299" t="n">
        <v>45</v>
      </c>
      <c r="G583" s="300" t="inlineStr">
        <is>
          <t>Restaurant</t>
        </is>
      </c>
      <c r="H583" s="300" t="inlineStr">
        <is>
          <t>Cash</t>
        </is>
      </c>
      <c r="I583" s="301" t="inlineStr">
        <is>
          <t>✅ Paid</t>
        </is>
      </c>
      <c r="J583" s="423" t="inlineStr">
        <is>
          <t>No receipt; cash</t>
        </is>
      </c>
    </row>
    <row r="584">
      <c r="B584" s="429" t="n">
        <v>46238</v>
      </c>
      <c r="C584" s="297" t="inlineStr">
        <is>
          <t>Guimar Deschables</t>
        </is>
      </c>
      <c r="D584" s="298" t="inlineStr">
        <is>
          <t>Guimar Polietilenos</t>
        </is>
      </c>
      <c r="E584" s="297" t="inlineStr">
        <is>
          <t>Packaging/Disposables</t>
        </is>
      </c>
      <c r="F584" s="299" t="n">
        <v>145</v>
      </c>
      <c r="G584" s="300" t="inlineStr">
        <is>
          <t>Restaurant</t>
        </is>
      </c>
      <c r="H584" s="300" t="inlineStr">
        <is>
          <t>Cash</t>
        </is>
      </c>
      <c r="I584" s="301" t="inlineStr">
        <is>
          <t>✅ Paid</t>
        </is>
      </c>
      <c r="J584" s="423" t="inlineStr">
        <is>
          <t>No receipt; cash</t>
        </is>
      </c>
    </row>
    <row r="585">
      <c r="B585" s="429" t="n">
        <v>46238</v>
      </c>
      <c r="C585" s="297" t="inlineStr">
        <is>
          <t>Queso Bodega</t>
        </is>
      </c>
      <c r="D585" s="298" t="inlineStr">
        <is>
          <t>No bill</t>
        </is>
      </c>
      <c r="E585" s="297" t="inlineStr">
        <is>
          <t>Supermarket/General</t>
        </is>
      </c>
      <c r="F585" s="299" t="n">
        <v>551</v>
      </c>
      <c r="G585" s="300" t="inlineStr">
        <is>
          <t>Restaurant</t>
        </is>
      </c>
      <c r="H585" s="300" t="inlineStr">
        <is>
          <t>Cash</t>
        </is>
      </c>
      <c r="I585" s="301" t="inlineStr">
        <is>
          <t>✅ Paid</t>
        </is>
      </c>
      <c r="J585" s="423" t="inlineStr">
        <is>
          <t>No receipt; cash</t>
        </is>
      </c>
    </row>
    <row r="586">
      <c r="B586" s="429" t="n">
        <v>46238</v>
      </c>
      <c r="C586" s="297" t="inlineStr">
        <is>
          <t>Chedraui</t>
        </is>
      </c>
      <c r="D586" s="298" t="inlineStr">
        <is>
          <t>Chedraui</t>
        </is>
      </c>
      <c r="E586" s="297" t="inlineStr">
        <is>
          <t>Supermarket/General</t>
        </is>
      </c>
      <c r="F586" s="299" t="n">
        <v>170</v>
      </c>
      <c r="G586" s="300" t="inlineStr">
        <is>
          <t>Restaurant</t>
        </is>
      </c>
      <c r="H586" s="300" t="inlineStr">
        <is>
          <t>Cash</t>
        </is>
      </c>
      <c r="I586" s="301" t="inlineStr">
        <is>
          <t>✅ Paid</t>
        </is>
      </c>
      <c r="J586" s="423" t="inlineStr">
        <is>
          <t>No receipt; cash</t>
        </is>
      </c>
    </row>
    <row r="587">
      <c r="B587" s="429" t="n">
        <v>46239</v>
      </c>
      <c r="C587" s="297" t="inlineStr">
        <is>
          <t>Carne</t>
        </is>
      </c>
      <c r="D587" s="298" t="inlineStr">
        <is>
          <t>No bill</t>
        </is>
      </c>
      <c r="E587" s="297" t="inlineStr">
        <is>
          <t>Ingredients - Meat</t>
        </is>
      </c>
      <c r="F587" s="299" t="n">
        <v>442</v>
      </c>
      <c r="G587" s="300" t="inlineStr">
        <is>
          <t>Restaurant</t>
        </is>
      </c>
      <c r="H587" s="300" t="inlineStr">
        <is>
          <t>Cash</t>
        </is>
      </c>
      <c r="I587" s="301" t="inlineStr">
        <is>
          <t>✅ Paid</t>
        </is>
      </c>
      <c r="J587" s="423" t="inlineStr">
        <is>
          <t>No receipt; cash</t>
        </is>
      </c>
    </row>
    <row r="588">
      <c r="B588" s="429" t="n">
        <v>46239</v>
      </c>
      <c r="C588" s="297" t="inlineStr">
        <is>
          <t>Pescado</t>
        </is>
      </c>
      <c r="D588" s="298" t="inlineStr">
        <is>
          <t>No bill</t>
        </is>
      </c>
      <c r="E588" s="297" t="inlineStr">
        <is>
          <t>Ingredients - Meat &amp; Fish</t>
        </is>
      </c>
      <c r="F588" s="299" t="n">
        <v>224</v>
      </c>
      <c r="G588" s="300" t="inlineStr">
        <is>
          <t>Restaurant</t>
        </is>
      </c>
      <c r="H588" s="300" t="inlineStr">
        <is>
          <t>Cash</t>
        </is>
      </c>
      <c r="I588" s="301" t="inlineStr">
        <is>
          <t>✅ Paid</t>
        </is>
      </c>
      <c r="J588" s="423" t="inlineStr">
        <is>
          <t>No receipt; cash</t>
        </is>
      </c>
    </row>
    <row r="589">
      <c r="B589" s="429" t="n">
        <v>46239</v>
      </c>
      <c r="C589" s="297" t="inlineStr">
        <is>
          <t>Queso Panela</t>
        </is>
      </c>
      <c r="D589" s="298" t="inlineStr">
        <is>
          <t>No bill</t>
        </is>
      </c>
      <c r="E589" s="297" t="inlineStr">
        <is>
          <t>Ingredients - Dairy</t>
        </is>
      </c>
      <c r="F589" s="299" t="n">
        <v>494</v>
      </c>
      <c r="G589" s="300" t="inlineStr">
        <is>
          <t>Restaurant</t>
        </is>
      </c>
      <c r="H589" s="300" t="inlineStr">
        <is>
          <t>Cash</t>
        </is>
      </c>
      <c r="I589" s="301" t="inlineStr">
        <is>
          <t>✅ Paid</t>
        </is>
      </c>
      <c r="J589" s="423" t="inlineStr">
        <is>
          <t>No receipt; cash</t>
        </is>
      </c>
    </row>
    <row r="590">
      <c r="B590" s="429" t="n">
        <v>46239</v>
      </c>
      <c r="C590" s="297" t="inlineStr">
        <is>
          <t>Pollo</t>
        </is>
      </c>
      <c r="D590" s="298" t="inlineStr">
        <is>
          <t>No bill</t>
        </is>
      </c>
      <c r="E590" s="297" t="inlineStr">
        <is>
          <t>Ingredients - Meat</t>
        </is>
      </c>
      <c r="F590" s="299" t="n">
        <v>285</v>
      </c>
      <c r="G590" s="300" t="inlineStr">
        <is>
          <t>Lohith</t>
        </is>
      </c>
      <c r="H590" s="300" t="inlineStr">
        <is>
          <t>Cash</t>
        </is>
      </c>
      <c r="I590" s="301" t="inlineStr">
        <is>
          <t>✅ Paid</t>
        </is>
      </c>
      <c r="J590" s="423" t="inlineStr">
        <is>
          <t>Pagado por Lohith (bolsillo); reembolsable via Owner Ledger</t>
        </is>
      </c>
    </row>
    <row r="591">
      <c r="B591" s="429" t="n">
        <v>46240</v>
      </c>
      <c r="C591" s="297" t="inlineStr">
        <is>
          <t>Carne</t>
        </is>
      </c>
      <c r="D591" s="298" t="inlineStr">
        <is>
          <t>No bill</t>
        </is>
      </c>
      <c r="E591" s="297" t="inlineStr">
        <is>
          <t>Ingredients - Meat</t>
        </is>
      </c>
      <c r="F591" s="299" t="n">
        <v>587</v>
      </c>
      <c r="G591" s="300" t="inlineStr">
        <is>
          <t>Restaurant</t>
        </is>
      </c>
      <c r="H591" s="300" t="inlineStr">
        <is>
          <t>Cash</t>
        </is>
      </c>
      <c r="I591" s="301" t="inlineStr">
        <is>
          <t>✅ Paid</t>
        </is>
      </c>
      <c r="J591" s="423" t="inlineStr">
        <is>
          <t>No receipt; cash</t>
        </is>
      </c>
    </row>
    <row r="592">
      <c r="B592" s="429" t="n">
        <v>46240</v>
      </c>
      <c r="C592" s="297" t="inlineStr">
        <is>
          <t>Pescado</t>
        </is>
      </c>
      <c r="D592" s="298" t="inlineStr">
        <is>
          <t>No bill</t>
        </is>
      </c>
      <c r="E592" s="297" t="inlineStr">
        <is>
          <t>Ingredients - Meat &amp; Fish</t>
        </is>
      </c>
      <c r="F592" s="299" t="n">
        <v>523</v>
      </c>
      <c r="G592" s="300" t="inlineStr">
        <is>
          <t>Restaurant</t>
        </is>
      </c>
      <c r="H592" s="300" t="inlineStr">
        <is>
          <t>Cash</t>
        </is>
      </c>
      <c r="I592" s="301" t="inlineStr">
        <is>
          <t>✅ Paid</t>
        </is>
      </c>
      <c r="J592" s="423" t="inlineStr">
        <is>
          <t>No receipt; cash</t>
        </is>
      </c>
    </row>
    <row r="593">
      <c r="B593" s="429" t="n">
        <v>46240</v>
      </c>
      <c r="C593" s="297" t="inlineStr">
        <is>
          <t>Vegetables</t>
        </is>
      </c>
      <c r="D593" s="298" t="inlineStr">
        <is>
          <t>No bill</t>
        </is>
      </c>
      <c r="E593" s="297" t="inlineStr">
        <is>
          <t>Ingredients - Vegetables</t>
        </is>
      </c>
      <c r="F593" s="299" t="n">
        <v>107</v>
      </c>
      <c r="G593" s="300" t="inlineStr">
        <is>
          <t>Restaurant</t>
        </is>
      </c>
      <c r="H593" s="300" t="inlineStr">
        <is>
          <t>Cash</t>
        </is>
      </c>
      <c r="I593" s="301" t="inlineStr">
        <is>
          <t>✅ Paid</t>
        </is>
      </c>
      <c r="J593" s="423" t="inlineStr">
        <is>
          <t>No receipt; cash</t>
        </is>
      </c>
    </row>
    <row r="594">
      <c r="B594" s="429" t="n">
        <v>46240</v>
      </c>
      <c r="C594" s="297" t="inlineStr">
        <is>
          <t>Sams Club</t>
        </is>
      </c>
      <c r="D594" s="298" t="inlineStr">
        <is>
          <t>Sam's Club</t>
        </is>
      </c>
      <c r="E594" s="297" t="inlineStr">
        <is>
          <t>Supermarket/General</t>
        </is>
      </c>
      <c r="F594" s="299" t="n">
        <v>590</v>
      </c>
      <c r="G594" s="300" t="inlineStr">
        <is>
          <t>Restaurant</t>
        </is>
      </c>
      <c r="H594" s="300" t="inlineStr">
        <is>
          <t>Cash</t>
        </is>
      </c>
      <c r="I594" s="301" t="inlineStr">
        <is>
          <t>✅ Paid</t>
        </is>
      </c>
      <c r="J594" s="423" t="inlineStr">
        <is>
          <t>No receipt; cash</t>
        </is>
      </c>
    </row>
    <row r="595">
      <c r="B595" s="429" t="n">
        <v>46240</v>
      </c>
      <c r="C595" s="297" t="inlineStr">
        <is>
          <t>Chedraui</t>
        </is>
      </c>
      <c r="D595" s="298" t="inlineStr">
        <is>
          <t>Chedraui</t>
        </is>
      </c>
      <c r="E595" s="297" t="inlineStr">
        <is>
          <t>Supermarket/General</t>
        </is>
      </c>
      <c r="F595" s="299" t="n">
        <v>246</v>
      </c>
      <c r="G595" s="300" t="inlineStr">
        <is>
          <t>Restaurant</t>
        </is>
      </c>
      <c r="H595" s="300" t="inlineStr">
        <is>
          <t>Cash</t>
        </is>
      </c>
      <c r="I595" s="301" t="inlineStr">
        <is>
          <t>✅ Paid</t>
        </is>
      </c>
      <c r="J595" s="423" t="inlineStr">
        <is>
          <t>No receipt; cash</t>
        </is>
      </c>
    </row>
    <row r="596">
      <c r="B596" s="429" t="n">
        <v>46240</v>
      </c>
      <c r="C596" s="297" t="inlineStr">
        <is>
          <t>Pollo</t>
        </is>
      </c>
      <c r="D596" s="298" t="inlineStr">
        <is>
          <t>No bill</t>
        </is>
      </c>
      <c r="E596" s="297" t="inlineStr">
        <is>
          <t>Ingredients - Meat</t>
        </is>
      </c>
      <c r="F596" s="299" t="n">
        <v>319</v>
      </c>
      <c r="G596" s="300" t="inlineStr">
        <is>
          <t>Lohith</t>
        </is>
      </c>
      <c r="H596" s="300" t="inlineStr">
        <is>
          <t>Cash</t>
        </is>
      </c>
      <c r="I596" s="301" t="inlineStr">
        <is>
          <t>✅ Paid</t>
        </is>
      </c>
      <c r="J596" s="423" t="inlineStr">
        <is>
          <t>Pagado por Lohith (bolsillo); reembolsable via Owner Ledger</t>
        </is>
      </c>
    </row>
    <row r="597">
      <c r="B597" s="429" t="n">
        <v>46241</v>
      </c>
      <c r="C597" s="297" t="inlineStr">
        <is>
          <t>Sams club</t>
        </is>
      </c>
      <c r="D597" s="298" t="inlineStr">
        <is>
          <t>Sam's Club</t>
        </is>
      </c>
      <c r="E597" s="297" t="inlineStr">
        <is>
          <t>Supermarket/General</t>
        </is>
      </c>
      <c r="F597" s="299" t="n">
        <v>778</v>
      </c>
      <c r="G597" s="300" t="inlineStr">
        <is>
          <t>Restaurant</t>
        </is>
      </c>
      <c r="H597" s="300" t="inlineStr">
        <is>
          <t>Cash</t>
        </is>
      </c>
      <c r="I597" s="301" t="inlineStr">
        <is>
          <t>✅ Paid</t>
        </is>
      </c>
      <c r="J597" s="423" t="inlineStr">
        <is>
          <t>No receipt; cash</t>
        </is>
      </c>
    </row>
    <row r="598">
      <c r="B598" s="429" t="n">
        <v>46241</v>
      </c>
      <c r="C598" s="297" t="inlineStr">
        <is>
          <t>Vegetables</t>
        </is>
      </c>
      <c r="D598" s="298" t="inlineStr">
        <is>
          <t>No bill</t>
        </is>
      </c>
      <c r="E598" s="297" t="inlineStr">
        <is>
          <t>Ingredients - Vegetables</t>
        </is>
      </c>
      <c r="F598" s="299" t="n">
        <v>144</v>
      </c>
      <c r="G598" s="300" t="inlineStr">
        <is>
          <t>Restaurant</t>
        </is>
      </c>
      <c r="H598" s="300" t="inlineStr">
        <is>
          <t>Cash</t>
        </is>
      </c>
      <c r="I598" s="301" t="inlineStr">
        <is>
          <t>✅ Paid</t>
        </is>
      </c>
      <c r="J598" s="423" t="inlineStr">
        <is>
          <t>No receipt; cash</t>
        </is>
      </c>
    </row>
    <row r="599">
      <c r="B599" s="429" t="n">
        <v>46241</v>
      </c>
      <c r="C599" s="297" t="inlineStr">
        <is>
          <t>Agua Natural</t>
        </is>
      </c>
      <c r="D599" s="298" t="inlineStr">
        <is>
          <t>No bill</t>
        </is>
      </c>
      <c r="E599" s="297" t="inlineStr">
        <is>
          <t>Ingredients - Beverages</t>
        </is>
      </c>
      <c r="F599" s="299" t="n">
        <v>30</v>
      </c>
      <c r="G599" s="300" t="inlineStr">
        <is>
          <t>Restaurant</t>
        </is>
      </c>
      <c r="H599" s="300" t="inlineStr">
        <is>
          <t>Cash</t>
        </is>
      </c>
      <c r="I599" s="301" t="inlineStr">
        <is>
          <t>✅ Paid</t>
        </is>
      </c>
      <c r="J599" s="423" t="inlineStr">
        <is>
          <t>No receipt; cash</t>
        </is>
      </c>
    </row>
    <row r="600">
      <c r="B600" s="429" t="n">
        <v>46241</v>
      </c>
      <c r="C600" s="297" t="inlineStr">
        <is>
          <t>Samu - salary</t>
        </is>
      </c>
      <c r="D600" s="298" t="inlineStr">
        <is>
          <t>Payroll</t>
        </is>
      </c>
      <c r="E600" s="297" t="inlineStr">
        <is>
          <t>Staff - Salary</t>
        </is>
      </c>
      <c r="F600" s="299" t="n">
        <v>1200</v>
      </c>
      <c r="G600" s="300" t="inlineStr">
        <is>
          <t>Restaurant</t>
        </is>
      </c>
      <c r="H600" s="300" t="inlineStr">
        <is>
          <t>Cash</t>
        </is>
      </c>
      <c r="I600" s="301" t="inlineStr">
        <is>
          <t>✅ Paid</t>
        </is>
      </c>
      <c r="J600" s="423" t="inlineStr">
        <is>
          <t>Weekly salary</t>
        </is>
      </c>
    </row>
    <row r="601">
      <c r="B601" s="429" t="n">
        <v>46242</v>
      </c>
      <c r="C601" s="297" t="inlineStr">
        <is>
          <t>Bistec</t>
        </is>
      </c>
      <c r="D601" s="298" t="inlineStr">
        <is>
          <t>No bill</t>
        </is>
      </c>
      <c r="E601" s="297" t="inlineStr">
        <is>
          <t>Ingredients - Meat</t>
        </is>
      </c>
      <c r="F601" s="299" t="n">
        <v>145</v>
      </c>
      <c r="G601" s="300" t="inlineStr">
        <is>
          <t>Restaurant</t>
        </is>
      </c>
      <c r="H601" s="300" t="inlineStr">
        <is>
          <t>Cash</t>
        </is>
      </c>
      <c r="I601" s="301" t="inlineStr">
        <is>
          <t>✅ Paid</t>
        </is>
      </c>
      <c r="J601" s="423" t="inlineStr">
        <is>
          <t>No receipt; cash</t>
        </is>
      </c>
    </row>
    <row r="602">
      <c r="B602" s="429" t="n">
        <v>46242</v>
      </c>
      <c r="C602" s="297" t="inlineStr">
        <is>
          <t>Vegetables</t>
        </is>
      </c>
      <c r="D602" s="298" t="inlineStr">
        <is>
          <t>No bill</t>
        </is>
      </c>
      <c r="E602" s="297" t="inlineStr">
        <is>
          <t>Ingredients - Vegetables</t>
        </is>
      </c>
      <c r="F602" s="299" t="n">
        <v>1520</v>
      </c>
      <c r="G602" s="300" t="inlineStr">
        <is>
          <t>Restaurant</t>
        </is>
      </c>
      <c r="H602" s="300" t="inlineStr">
        <is>
          <t>Cash</t>
        </is>
      </c>
      <c r="I602" s="301" t="inlineStr">
        <is>
          <t>✅ Paid</t>
        </is>
      </c>
      <c r="J602" s="423" t="inlineStr">
        <is>
          <t>No receipt; cash</t>
        </is>
      </c>
    </row>
    <row r="603">
      <c r="B603" s="429" t="n">
        <v>46242</v>
      </c>
      <c r="C603" s="297" t="inlineStr">
        <is>
          <t>Pollo</t>
        </is>
      </c>
      <c r="D603" s="298" t="inlineStr">
        <is>
          <t>No bill</t>
        </is>
      </c>
      <c r="E603" s="297" t="inlineStr">
        <is>
          <t>Ingredients - Meat</t>
        </is>
      </c>
      <c r="F603" s="299" t="n">
        <v>1028</v>
      </c>
      <c r="G603" s="300" t="inlineStr">
        <is>
          <t>Lohith</t>
        </is>
      </c>
      <c r="H603" s="300" t="inlineStr">
        <is>
          <t>Cash</t>
        </is>
      </c>
      <c r="I603" s="301" t="inlineStr">
        <is>
          <t>✅ Paid</t>
        </is>
      </c>
      <c r="J603" s="423" t="inlineStr">
        <is>
          <t>Pagado por Lohith (bolsillo); reembolsable via Owner Ledger</t>
        </is>
      </c>
    </row>
    <row r="604">
      <c r="B604" s="429" t="n">
        <v>46242</v>
      </c>
      <c r="C604" s="297" t="inlineStr">
        <is>
          <t>Jhon - salary</t>
        </is>
      </c>
      <c r="D604" s="298" t="inlineStr">
        <is>
          <t>Payroll</t>
        </is>
      </c>
      <c r="E604" s="297" t="inlineStr">
        <is>
          <t>Staff - Salary</t>
        </is>
      </c>
      <c r="F604" s="299" t="n">
        <v>3750</v>
      </c>
      <c r="G604" s="300" t="inlineStr">
        <is>
          <t>Restaurant</t>
        </is>
      </c>
      <c r="H604" s="300" t="inlineStr">
        <is>
          <t>Cash</t>
        </is>
      </c>
      <c r="I604" s="301" t="inlineStr">
        <is>
          <t>✅ Paid</t>
        </is>
      </c>
      <c r="J604" s="423" t="inlineStr">
        <is>
          <t>Weekly salary</t>
        </is>
      </c>
    </row>
    <row r="605">
      <c r="B605" s="429" t="n">
        <v>46242</v>
      </c>
      <c r="C605" s="297" t="inlineStr">
        <is>
          <t>Duvi - salary</t>
        </is>
      </c>
      <c r="D605" s="298" t="inlineStr">
        <is>
          <t>Payroll</t>
        </is>
      </c>
      <c r="E605" s="297" t="inlineStr">
        <is>
          <t>Staff - Salary</t>
        </is>
      </c>
      <c r="F605" s="299" t="n">
        <v>1500</v>
      </c>
      <c r="G605" s="300" t="inlineStr">
        <is>
          <t>Restaurant</t>
        </is>
      </c>
      <c r="H605" s="300" t="inlineStr">
        <is>
          <t>Cash</t>
        </is>
      </c>
      <c r="I605" s="301" t="inlineStr">
        <is>
          <t>✅ Paid</t>
        </is>
      </c>
      <c r="J605" s="423" t="inlineStr">
        <is>
          <t>Weekly salary</t>
        </is>
      </c>
    </row>
    <row r="606">
      <c r="B606" s="429" t="n">
        <v>46244</v>
      </c>
      <c r="C606" s="297" t="inlineStr">
        <is>
          <t>Chedraui</t>
        </is>
      </c>
      <c r="D606" s="298" t="inlineStr">
        <is>
          <t>Chedraui</t>
        </is>
      </c>
      <c r="E606" s="297" t="inlineStr">
        <is>
          <t>Supermarket/General</t>
        </is>
      </c>
      <c r="F606" s="299" t="n">
        <v>89</v>
      </c>
      <c r="G606" s="300" t="inlineStr">
        <is>
          <t>Restaurant</t>
        </is>
      </c>
      <c r="H606" s="300" t="inlineStr">
        <is>
          <t>Cash</t>
        </is>
      </c>
      <c r="I606" s="301" t="inlineStr">
        <is>
          <t>✅ Paid</t>
        </is>
      </c>
      <c r="J606" s="423" t="inlineStr">
        <is>
          <t>No receipt; cash</t>
        </is>
      </c>
    </row>
    <row r="607">
      <c r="B607" s="429" t="n">
        <v>46244</v>
      </c>
      <c r="C607" s="297" t="inlineStr">
        <is>
          <t>Bistec</t>
        </is>
      </c>
      <c r="D607" s="298" t="inlineStr">
        <is>
          <t>No bill</t>
        </is>
      </c>
      <c r="E607" s="297" t="inlineStr">
        <is>
          <t>Ingredients - Meat</t>
        </is>
      </c>
      <c r="F607" s="299" t="n">
        <v>194</v>
      </c>
      <c r="G607" s="300" t="inlineStr">
        <is>
          <t>Restaurant</t>
        </is>
      </c>
      <c r="H607" s="300" t="inlineStr">
        <is>
          <t>Cash</t>
        </is>
      </c>
      <c r="I607" s="301" t="inlineStr">
        <is>
          <t>✅ Paid</t>
        </is>
      </c>
      <c r="J607" s="423" t="inlineStr">
        <is>
          <t>No receipt; cash</t>
        </is>
      </c>
    </row>
    <row r="608">
      <c r="B608" s="429" t="n">
        <v>46244</v>
      </c>
      <c r="C608" s="297" t="inlineStr">
        <is>
          <t>Lomo</t>
        </is>
      </c>
      <c r="D608" s="298" t="inlineStr">
        <is>
          <t>No bill</t>
        </is>
      </c>
      <c r="E608" s="297" t="inlineStr">
        <is>
          <t>Ingredients - Meat</t>
        </is>
      </c>
      <c r="F608" s="299" t="n">
        <v>285</v>
      </c>
      <c r="G608" s="300" t="inlineStr">
        <is>
          <t>Restaurant</t>
        </is>
      </c>
      <c r="H608" s="300" t="inlineStr">
        <is>
          <t>Cash</t>
        </is>
      </c>
      <c r="I608" s="301" t="inlineStr">
        <is>
          <t>✅ Paid</t>
        </is>
      </c>
      <c r="J608" s="423" t="inlineStr">
        <is>
          <t>No receipt; cash</t>
        </is>
      </c>
    </row>
    <row r="609">
      <c r="B609" s="429" t="n">
        <v>46244</v>
      </c>
      <c r="C609" s="297" t="inlineStr">
        <is>
          <t>Pan Dulce</t>
        </is>
      </c>
      <c r="D609" s="298" t="inlineStr">
        <is>
          <t>No bill</t>
        </is>
      </c>
      <c r="E609" s="297" t="inlineStr">
        <is>
          <t>Ingredients - Bread</t>
        </is>
      </c>
      <c r="F609" s="299" t="n">
        <v>145</v>
      </c>
      <c r="G609" s="300" t="inlineStr">
        <is>
          <t>Restaurant</t>
        </is>
      </c>
      <c r="H609" s="300" t="inlineStr">
        <is>
          <t>Cash</t>
        </is>
      </c>
      <c r="I609" s="301" t="inlineStr">
        <is>
          <t>✅ Paid</t>
        </is>
      </c>
      <c r="J609" s="423" t="inlineStr">
        <is>
          <t>No receipt; cash</t>
        </is>
      </c>
    </row>
    <row r="610">
      <c r="B610" s="429" t="n">
        <v>46244</v>
      </c>
      <c r="C610" s="297" t="inlineStr">
        <is>
          <t>Tortillas</t>
        </is>
      </c>
      <c r="D610" s="298" t="inlineStr">
        <is>
          <t>No bill</t>
        </is>
      </c>
      <c r="E610" s="297" t="inlineStr">
        <is>
          <t>Ingredients - Bread</t>
        </is>
      </c>
      <c r="F610" s="299" t="n">
        <v>52</v>
      </c>
      <c r="G610" s="300" t="inlineStr">
        <is>
          <t>Restaurant</t>
        </is>
      </c>
      <c r="H610" s="300" t="inlineStr">
        <is>
          <t>Cash</t>
        </is>
      </c>
      <c r="I610" s="301" t="inlineStr">
        <is>
          <t>✅ Paid</t>
        </is>
      </c>
      <c r="J610" s="423" t="inlineStr">
        <is>
          <t>No receipt; cash</t>
        </is>
      </c>
    </row>
    <row r="611">
      <c r="B611" s="429" t="n">
        <v>46244</v>
      </c>
      <c r="C611" s="297" t="inlineStr">
        <is>
          <t>Cafe</t>
        </is>
      </c>
      <c r="D611" s="298" t="inlineStr">
        <is>
          <t>No bill</t>
        </is>
      </c>
      <c r="E611" s="297" t="inlineStr">
        <is>
          <t>Ingredients - Beverages</t>
        </is>
      </c>
      <c r="F611" s="299" t="n">
        <v>185</v>
      </c>
      <c r="G611" s="300" t="inlineStr">
        <is>
          <t>Restaurant</t>
        </is>
      </c>
      <c r="H611" s="300" t="inlineStr">
        <is>
          <t>Cash</t>
        </is>
      </c>
      <c r="I611" s="301" t="inlineStr">
        <is>
          <t>✅ Paid</t>
        </is>
      </c>
      <c r="J611" s="423" t="inlineStr">
        <is>
          <t>No receipt; cash</t>
        </is>
      </c>
    </row>
    <row r="612">
      <c r="B612" s="429" t="n">
        <v>46244</v>
      </c>
      <c r="C612" s="297" t="inlineStr">
        <is>
          <t>Oxxo Arroz</t>
        </is>
      </c>
      <c r="D612" s="298" t="inlineStr">
        <is>
          <t>OXXO</t>
        </is>
      </c>
      <c r="E612" s="297" t="inlineStr">
        <is>
          <t>Ingredients - Pantry</t>
        </is>
      </c>
      <c r="F612" s="299" t="n">
        <v>78</v>
      </c>
      <c r="G612" s="300" t="inlineStr">
        <is>
          <t>Restaurant</t>
        </is>
      </c>
      <c r="H612" s="300" t="inlineStr">
        <is>
          <t>Cash</t>
        </is>
      </c>
      <c r="I612" s="301" t="inlineStr">
        <is>
          <t>✅ Paid</t>
        </is>
      </c>
      <c r="J612" s="423" t="inlineStr">
        <is>
          <t>No receipt; cash</t>
        </is>
      </c>
    </row>
    <row r="613">
      <c r="B613" s="429" t="n">
        <v>46244</v>
      </c>
      <c r="C613" s="297" t="inlineStr">
        <is>
          <t>3B Pasta</t>
        </is>
      </c>
      <c r="D613" s="298" t="inlineStr">
        <is>
          <t>Tres B</t>
        </is>
      </c>
      <c r="E613" s="297" t="inlineStr">
        <is>
          <t>Supermarket/General</t>
        </is>
      </c>
      <c r="F613" s="299" t="n">
        <v>110</v>
      </c>
      <c r="G613" s="300" t="inlineStr">
        <is>
          <t>Lohith</t>
        </is>
      </c>
      <c r="H613" s="300" t="inlineStr">
        <is>
          <t>Cash</t>
        </is>
      </c>
      <c r="I613" s="301" t="inlineStr">
        <is>
          <t>✅ Paid</t>
        </is>
      </c>
      <c r="J613" s="423" t="inlineStr">
        <is>
          <t>Pagado por Lohith (bolsillo); reembolsable via Owner Ledger</t>
        </is>
      </c>
    </row>
    <row r="614">
      <c r="B614" s="429" t="n">
        <v>46245</v>
      </c>
      <c r="C614" s="297" t="inlineStr">
        <is>
          <t>Chedraui</t>
        </is>
      </c>
      <c r="D614" s="298" t="inlineStr">
        <is>
          <t>Chedraui</t>
        </is>
      </c>
      <c r="E614" s="297" t="inlineStr">
        <is>
          <t>Supermarket/General</t>
        </is>
      </c>
      <c r="F614" s="299" t="n">
        <v>60</v>
      </c>
      <c r="G614" s="300" t="inlineStr">
        <is>
          <t>Restaurant</t>
        </is>
      </c>
      <c r="H614" s="300" t="inlineStr">
        <is>
          <t>Cash</t>
        </is>
      </c>
      <c r="I614" s="301" t="inlineStr">
        <is>
          <t>✅ Paid</t>
        </is>
      </c>
      <c r="J614" s="423" t="inlineStr">
        <is>
          <t>No receipt; cash</t>
        </is>
      </c>
    </row>
    <row r="615">
      <c r="B615" s="429" t="n">
        <v>46245</v>
      </c>
      <c r="C615" s="297" t="inlineStr">
        <is>
          <t>Vegetales</t>
        </is>
      </c>
      <c r="D615" s="298" t="inlineStr">
        <is>
          <t>No bill</t>
        </is>
      </c>
      <c r="E615" s="297" t="inlineStr">
        <is>
          <t>Ingredients - Vegetables</t>
        </is>
      </c>
      <c r="F615" s="299" t="n">
        <v>49</v>
      </c>
      <c r="G615" s="300" t="inlineStr">
        <is>
          <t>Restaurant</t>
        </is>
      </c>
      <c r="H615" s="300" t="inlineStr">
        <is>
          <t>Cash</t>
        </is>
      </c>
      <c r="I615" s="301" t="inlineStr">
        <is>
          <t>✅ Paid</t>
        </is>
      </c>
      <c r="J615" s="423" t="inlineStr">
        <is>
          <t>No receipt; cash</t>
        </is>
      </c>
    </row>
    <row r="616">
      <c r="B616" s="429" t="n">
        <v>46245</v>
      </c>
      <c r="C616" s="297" t="inlineStr">
        <is>
          <t>Pan Reales</t>
        </is>
      </c>
      <c r="D616" s="298" t="inlineStr">
        <is>
          <t>Pan Reales</t>
        </is>
      </c>
      <c r="E616" s="297" t="inlineStr">
        <is>
          <t>Ingredients - Bread</t>
        </is>
      </c>
      <c r="F616" s="299" t="n">
        <v>429</v>
      </c>
      <c r="G616" s="300" t="inlineStr">
        <is>
          <t>Restaurant</t>
        </is>
      </c>
      <c r="H616" s="300" t="inlineStr">
        <is>
          <t>Cash</t>
        </is>
      </c>
      <c r="I616" s="301" t="inlineStr">
        <is>
          <t>✅ Paid</t>
        </is>
      </c>
      <c r="J616" s="423" t="inlineStr">
        <is>
          <t>No receipt; cash</t>
        </is>
      </c>
    </row>
    <row r="617">
      <c r="B617" s="429" t="n">
        <v>46245</v>
      </c>
      <c r="C617" s="297" t="inlineStr">
        <is>
          <t>Carne</t>
        </is>
      </c>
      <c r="D617" s="298" t="inlineStr">
        <is>
          <t>No bill</t>
        </is>
      </c>
      <c r="E617" s="297" t="inlineStr">
        <is>
          <t>Ingredients - Meat</t>
        </is>
      </c>
      <c r="F617" s="299" t="n">
        <v>359</v>
      </c>
      <c r="G617" s="300" t="inlineStr">
        <is>
          <t>Restaurant</t>
        </is>
      </c>
      <c r="H617" s="300" t="inlineStr">
        <is>
          <t>Cash</t>
        </is>
      </c>
      <c r="I617" s="301" t="inlineStr">
        <is>
          <t>✅ Paid</t>
        </is>
      </c>
      <c r="J617" s="423" t="inlineStr">
        <is>
          <t>No receipt; cash</t>
        </is>
      </c>
    </row>
    <row r="618">
      <c r="B618" s="429" t="n">
        <v>46245</v>
      </c>
      <c r="C618" s="297" t="inlineStr">
        <is>
          <t>OXXO Aceite</t>
        </is>
      </c>
      <c r="D618" s="298" t="inlineStr">
        <is>
          <t>OXXO</t>
        </is>
      </c>
      <c r="E618" s="297" t="inlineStr">
        <is>
          <t>Ingredients - Pantry</t>
        </is>
      </c>
      <c r="F618" s="299" t="n">
        <v>336</v>
      </c>
      <c r="G618" s="300" t="inlineStr">
        <is>
          <t>Restaurant</t>
        </is>
      </c>
      <c r="H618" s="300" t="inlineStr">
        <is>
          <t>Cash</t>
        </is>
      </c>
      <c r="I618" s="301" t="inlineStr">
        <is>
          <t>✅ Paid</t>
        </is>
      </c>
      <c r="J618" s="423" t="inlineStr">
        <is>
          <t>No receipt; cash</t>
        </is>
      </c>
    </row>
    <row r="619">
      <c r="B619" s="429" t="n">
        <v>46245</v>
      </c>
      <c r="C619" s="297" t="inlineStr">
        <is>
          <t>Guimar Cuchillos</t>
        </is>
      </c>
      <c r="D619" s="298" t="inlineStr">
        <is>
          <t>Guimar Polietilenos</t>
        </is>
      </c>
      <c r="E619" s="297" t="inlineStr">
        <is>
          <t>Kitchen Supplies</t>
        </is>
      </c>
      <c r="F619" s="299" t="n">
        <v>100</v>
      </c>
      <c r="G619" s="300" t="inlineStr">
        <is>
          <t>Restaurant</t>
        </is>
      </c>
      <c r="H619" s="300" t="inlineStr">
        <is>
          <t>Cash</t>
        </is>
      </c>
      <c r="I619" s="301" t="inlineStr">
        <is>
          <t>✅ Paid</t>
        </is>
      </c>
      <c r="J619" s="423" t="inlineStr">
        <is>
          <t>No receipt; cash</t>
        </is>
      </c>
    </row>
    <row r="620">
      <c r="B620" s="429" t="n">
        <v>46246</v>
      </c>
      <c r="C620" s="297" t="inlineStr">
        <is>
          <t>Chedraui</t>
        </is>
      </c>
      <c r="D620" s="298" t="inlineStr">
        <is>
          <t>Chedraui</t>
        </is>
      </c>
      <c r="E620" s="297" t="inlineStr">
        <is>
          <t>Supermarket/General</t>
        </is>
      </c>
      <c r="F620" s="299" t="n">
        <v>112</v>
      </c>
      <c r="G620" s="300" t="inlineStr">
        <is>
          <t>Restaurant</t>
        </is>
      </c>
      <c r="H620" s="300" t="inlineStr">
        <is>
          <t>Cash</t>
        </is>
      </c>
      <c r="I620" s="301" t="inlineStr">
        <is>
          <t>✅ Paid</t>
        </is>
      </c>
      <c r="J620" s="423" t="inlineStr">
        <is>
          <t>No receipt; cash</t>
        </is>
      </c>
    </row>
    <row r="621">
      <c r="B621" s="429" t="n">
        <v>46246</v>
      </c>
      <c r="C621" s="297" t="inlineStr">
        <is>
          <t>Vegetales</t>
        </is>
      </c>
      <c r="D621" s="298" t="inlineStr">
        <is>
          <t>No bill</t>
        </is>
      </c>
      <c r="E621" s="297" t="inlineStr">
        <is>
          <t>Ingredients - Vegetables</t>
        </is>
      </c>
      <c r="F621" s="299" t="n">
        <v>89</v>
      </c>
      <c r="G621" s="300" t="inlineStr">
        <is>
          <t>Restaurant</t>
        </is>
      </c>
      <c r="H621" s="300" t="inlineStr">
        <is>
          <t>Cash</t>
        </is>
      </c>
      <c r="I621" s="301" t="inlineStr">
        <is>
          <t>✅ Paid</t>
        </is>
      </c>
      <c r="J621" s="423" t="inlineStr">
        <is>
          <t>No receipt; cash</t>
        </is>
      </c>
    </row>
    <row r="622">
      <c r="B622" s="429" t="n">
        <v>46246</v>
      </c>
      <c r="C622" s="297" t="inlineStr">
        <is>
          <t>Carne</t>
        </is>
      </c>
      <c r="D622" s="298" t="inlineStr">
        <is>
          <t>No bill</t>
        </is>
      </c>
      <c r="E622" s="297" t="inlineStr">
        <is>
          <t>Ingredients - Meat</t>
        </is>
      </c>
      <c r="F622" s="299" t="n">
        <v>743</v>
      </c>
      <c r="G622" s="300" t="inlineStr">
        <is>
          <t>Restaurant</t>
        </is>
      </c>
      <c r="H622" s="300" t="inlineStr">
        <is>
          <t>Cash</t>
        </is>
      </c>
      <c r="I622" s="301" t="inlineStr">
        <is>
          <t>✅ Paid</t>
        </is>
      </c>
      <c r="J622" s="423" t="inlineStr">
        <is>
          <t>No receipt; cash</t>
        </is>
      </c>
    </row>
    <row r="623">
      <c r="B623" s="429" t="n">
        <v>46246</v>
      </c>
      <c r="C623" s="297" t="inlineStr">
        <is>
          <t>Papa</t>
        </is>
      </c>
      <c r="D623" s="298" t="inlineStr">
        <is>
          <t>No bill</t>
        </is>
      </c>
      <c r="E623" s="297" t="inlineStr">
        <is>
          <t>Ingredients - Vegetables</t>
        </is>
      </c>
      <c r="F623" s="299" t="n">
        <v>2270</v>
      </c>
      <c r="G623" s="300" t="inlineStr">
        <is>
          <t>Restaurant</t>
        </is>
      </c>
      <c r="H623" s="300" t="inlineStr">
        <is>
          <t>Cash</t>
        </is>
      </c>
      <c r="I623" s="301" t="inlineStr">
        <is>
          <t>✅ Paid</t>
        </is>
      </c>
      <c r="J623" s="423" t="inlineStr">
        <is>
          <t>No receipt; cash</t>
        </is>
      </c>
    </row>
    <row r="624">
      <c r="B624" s="429" t="n">
        <v>46246</v>
      </c>
      <c r="C624" s="297" t="inlineStr">
        <is>
          <t>Avia Reca</t>
        </is>
      </c>
      <c r="D624" s="298" t="inlineStr">
        <is>
          <t>Reca</t>
        </is>
      </c>
      <c r="E624" s="297" t="inlineStr">
        <is>
          <t>Ingredients - Beverages</t>
        </is>
      </c>
      <c r="F624" s="299" t="n">
        <v>750</v>
      </c>
      <c r="G624" s="300" t="inlineStr">
        <is>
          <t>Restaurant</t>
        </is>
      </c>
      <c r="H624" s="300" t="inlineStr">
        <is>
          <t>Cash</t>
        </is>
      </c>
      <c r="I624" s="301" t="inlineStr">
        <is>
          <t>✅ Paid</t>
        </is>
      </c>
      <c r="J624" s="423" t="inlineStr">
        <is>
          <t>No receipt; cash</t>
        </is>
      </c>
    </row>
    <row r="625">
      <c r="B625" s="429" t="n">
        <v>46246</v>
      </c>
      <c r="C625" s="297" t="inlineStr">
        <is>
          <t>Guimar deschables</t>
        </is>
      </c>
      <c r="D625" s="298" t="inlineStr">
        <is>
          <t>Guimar Polietilenos</t>
        </is>
      </c>
      <c r="E625" s="297" t="inlineStr">
        <is>
          <t>Packaging/Disposables</t>
        </is>
      </c>
      <c r="F625" s="299" t="n">
        <v>139</v>
      </c>
      <c r="G625" s="300" t="inlineStr">
        <is>
          <t>Restaurant</t>
        </is>
      </c>
      <c r="H625" s="300" t="inlineStr">
        <is>
          <t>Cash</t>
        </is>
      </c>
      <c r="I625" s="301" t="inlineStr">
        <is>
          <t>✅ Paid</t>
        </is>
      </c>
      <c r="J625" s="423" t="inlineStr">
        <is>
          <t>No receipt; cash</t>
        </is>
      </c>
    </row>
    <row r="626">
      <c r="B626" s="429" t="n">
        <v>46246</v>
      </c>
      <c r="C626" s="297" t="inlineStr">
        <is>
          <t>Oxxo Arroz</t>
        </is>
      </c>
      <c r="D626" s="298" t="inlineStr">
        <is>
          <t>OXXO</t>
        </is>
      </c>
      <c r="E626" s="297" t="inlineStr">
        <is>
          <t>Ingredients - Pantry</t>
        </is>
      </c>
      <c r="F626" s="299" t="n">
        <v>301</v>
      </c>
      <c r="G626" s="300" t="inlineStr">
        <is>
          <t>Restaurant</t>
        </is>
      </c>
      <c r="H626" s="300" t="inlineStr">
        <is>
          <t>Cash</t>
        </is>
      </c>
      <c r="I626" s="301" t="inlineStr">
        <is>
          <t>✅ Paid</t>
        </is>
      </c>
      <c r="J626" s="423" t="inlineStr">
        <is>
          <t>No receipt; cash</t>
        </is>
      </c>
    </row>
    <row r="627">
      <c r="B627" s="429" t="n">
        <v>46246</v>
      </c>
      <c r="C627" s="297" t="inlineStr">
        <is>
          <t>Pollo</t>
        </is>
      </c>
      <c r="D627" s="298" t="inlineStr">
        <is>
          <t>No bill</t>
        </is>
      </c>
      <c r="E627" s="297" t="inlineStr">
        <is>
          <t>Ingredients - Meat</t>
        </is>
      </c>
      <c r="F627" s="299" t="n">
        <v>639</v>
      </c>
      <c r="G627" s="300" t="inlineStr">
        <is>
          <t>Lohith</t>
        </is>
      </c>
      <c r="H627" s="300" t="inlineStr">
        <is>
          <t>Cash</t>
        </is>
      </c>
      <c r="I627" s="301" t="inlineStr">
        <is>
          <t>✅ Paid</t>
        </is>
      </c>
      <c r="J627" s="423" t="inlineStr">
        <is>
          <t>Pagado por Lohith (bolsillo); reembolsable via Owner Ledger</t>
        </is>
      </c>
    </row>
    <row r="628">
      <c r="B628" s="429" t="n">
        <v>46247</v>
      </c>
      <c r="C628" s="297" t="inlineStr">
        <is>
          <t>Pan Dulce</t>
        </is>
      </c>
      <c r="D628" s="298" t="inlineStr">
        <is>
          <t>No bill</t>
        </is>
      </c>
      <c r="E628" s="297" t="inlineStr">
        <is>
          <t>Ingredients - Bread</t>
        </is>
      </c>
      <c r="F628" s="299" t="n">
        <v>25</v>
      </c>
      <c r="G628" s="300" t="inlineStr">
        <is>
          <t>Restaurant</t>
        </is>
      </c>
      <c r="H628" s="300" t="inlineStr">
        <is>
          <t>Cash</t>
        </is>
      </c>
      <c r="I628" s="301" t="inlineStr">
        <is>
          <t>✅ Paid</t>
        </is>
      </c>
      <c r="J628" s="423" t="inlineStr">
        <is>
          <t>No receipt; cash</t>
        </is>
      </c>
    </row>
    <row r="629">
      <c r="B629" s="429" t="n">
        <v>46247</v>
      </c>
      <c r="C629" s="297" t="inlineStr">
        <is>
          <t>Duplicate Keys</t>
        </is>
      </c>
      <c r="D629" s="298" t="inlineStr">
        <is>
          <t>No bill</t>
        </is>
      </c>
      <c r="E629" s="297" t="inlineStr">
        <is>
          <t>Office Supplies</t>
        </is>
      </c>
      <c r="F629" s="299" t="n">
        <v>180</v>
      </c>
      <c r="G629" s="300" t="inlineStr">
        <is>
          <t>Restaurant</t>
        </is>
      </c>
      <c r="H629" s="300" t="inlineStr">
        <is>
          <t>Cash</t>
        </is>
      </c>
      <c r="I629" s="301" t="inlineStr">
        <is>
          <t>✅ Paid</t>
        </is>
      </c>
      <c r="J629" s="423" t="inlineStr">
        <is>
          <t>No receipt; cash</t>
        </is>
      </c>
    </row>
    <row r="630">
      <c r="B630" s="429" t="n">
        <v>46247</v>
      </c>
      <c r="C630" s="297" t="inlineStr">
        <is>
          <t>Tomato</t>
        </is>
      </c>
      <c r="D630" s="298" t="inlineStr">
        <is>
          <t>No bill</t>
        </is>
      </c>
      <c r="E630" s="297" t="inlineStr">
        <is>
          <t>Ingredients - Vegetables</t>
        </is>
      </c>
      <c r="F630" s="299" t="n">
        <v>84</v>
      </c>
      <c r="G630" s="300" t="inlineStr">
        <is>
          <t>Restaurant</t>
        </is>
      </c>
      <c r="H630" s="300" t="inlineStr">
        <is>
          <t>Cash</t>
        </is>
      </c>
      <c r="I630" s="301" t="inlineStr">
        <is>
          <t>✅ Paid</t>
        </is>
      </c>
      <c r="J630" s="423" t="inlineStr">
        <is>
          <t>No receipt; cash</t>
        </is>
      </c>
    </row>
    <row r="631">
      <c r="B631" s="429" t="n">
        <v>46247</v>
      </c>
      <c r="C631" s="297" t="inlineStr">
        <is>
          <t>Jamon</t>
        </is>
      </c>
      <c r="D631" s="298" t="inlineStr">
        <is>
          <t>No bill</t>
        </is>
      </c>
      <c r="E631" s="297" t="inlineStr">
        <is>
          <t>Ingredients - Meat</t>
        </is>
      </c>
      <c r="F631" s="299" t="n">
        <v>90</v>
      </c>
      <c r="G631" s="300" t="inlineStr">
        <is>
          <t>Restaurant</t>
        </is>
      </c>
      <c r="H631" s="300" t="inlineStr">
        <is>
          <t>Cash</t>
        </is>
      </c>
      <c r="I631" s="301" t="inlineStr">
        <is>
          <t>✅ Paid</t>
        </is>
      </c>
      <c r="J631" s="423" t="inlineStr">
        <is>
          <t>No receipt; cash</t>
        </is>
      </c>
    </row>
    <row r="632">
      <c r="B632" s="429" t="n">
        <v>46247</v>
      </c>
      <c r="C632" s="297" t="inlineStr">
        <is>
          <t>Knife sharpening</t>
        </is>
      </c>
      <c r="D632" s="298" t="inlineStr">
        <is>
          <t>No bill</t>
        </is>
      </c>
      <c r="E632" s="297" t="inlineStr">
        <is>
          <t>Maintenance</t>
        </is>
      </c>
      <c r="F632" s="299" t="n">
        <v>100</v>
      </c>
      <c r="G632" s="300" t="inlineStr">
        <is>
          <t>Restaurant</t>
        </is>
      </c>
      <c r="H632" s="300" t="inlineStr">
        <is>
          <t>Cash</t>
        </is>
      </c>
      <c r="I632" s="301" t="inlineStr">
        <is>
          <t>✅ Paid</t>
        </is>
      </c>
      <c r="J632" s="423" t="inlineStr">
        <is>
          <t>No receipt; cash</t>
        </is>
      </c>
    </row>
    <row r="633">
      <c r="B633" s="429" t="n">
        <v>46248</v>
      </c>
      <c r="C633" s="297" t="inlineStr">
        <is>
          <t>Coca Cola</t>
        </is>
      </c>
      <c r="D633" s="298" t="inlineStr">
        <is>
          <t>No bill</t>
        </is>
      </c>
      <c r="E633" s="297" t="inlineStr">
        <is>
          <t>Ingredients - Beverages</t>
        </is>
      </c>
      <c r="F633" s="299" t="n">
        <v>876</v>
      </c>
      <c r="G633" s="300" t="inlineStr">
        <is>
          <t>Restaurant</t>
        </is>
      </c>
      <c r="H633" s="300" t="inlineStr">
        <is>
          <t>Cash</t>
        </is>
      </c>
      <c r="I633" s="301" t="inlineStr">
        <is>
          <t>✅ Paid</t>
        </is>
      </c>
      <c r="J633" s="423" t="inlineStr">
        <is>
          <t>No receipt; cash</t>
        </is>
      </c>
    </row>
    <row r="634">
      <c r="B634" s="429" t="n">
        <v>46248</v>
      </c>
      <c r="C634" s="297" t="inlineStr">
        <is>
          <t>Oven Repair</t>
        </is>
      </c>
      <c r="D634" s="298" t="inlineStr">
        <is>
          <t>No bill</t>
        </is>
      </c>
      <c r="E634" s="297" t="inlineStr">
        <is>
          <t>Maintenance</t>
        </is>
      </c>
      <c r="F634" s="299" t="n">
        <v>900</v>
      </c>
      <c r="G634" s="300" t="inlineStr">
        <is>
          <t>Restaurant</t>
        </is>
      </c>
      <c r="H634" s="300" t="inlineStr">
        <is>
          <t>Cash</t>
        </is>
      </c>
      <c r="I634" s="301" t="inlineStr">
        <is>
          <t>✅ Paid</t>
        </is>
      </c>
      <c r="J634" s="423" t="inlineStr">
        <is>
          <t>No receipt; cash</t>
        </is>
      </c>
    </row>
    <row r="635">
      <c r="B635" s="429" t="n">
        <v>46248</v>
      </c>
      <c r="C635" s="297" t="inlineStr">
        <is>
          <t>Oxxo Tortillas</t>
        </is>
      </c>
      <c r="D635" s="298" t="inlineStr">
        <is>
          <t>OXXO</t>
        </is>
      </c>
      <c r="E635" s="297" t="inlineStr">
        <is>
          <t>Ingredients - Bread</t>
        </is>
      </c>
      <c r="F635" s="299" t="n">
        <v>29</v>
      </c>
      <c r="G635" s="300" t="inlineStr">
        <is>
          <t>Restaurant</t>
        </is>
      </c>
      <c r="H635" s="300" t="inlineStr">
        <is>
          <t>Cash</t>
        </is>
      </c>
      <c r="I635" s="301" t="inlineStr">
        <is>
          <t>✅ Paid</t>
        </is>
      </c>
      <c r="J635" s="423" t="inlineStr">
        <is>
          <t>No receipt; cash</t>
        </is>
      </c>
    </row>
    <row r="636">
      <c r="B636" s="429" t="n">
        <v>46248</v>
      </c>
      <c r="C636" s="297" t="inlineStr">
        <is>
          <t>cake</t>
        </is>
      </c>
      <c r="D636" s="298" t="inlineStr">
        <is>
          <t>No bill</t>
        </is>
      </c>
      <c r="E636" s="297" t="inlineStr">
        <is>
          <t>Ingredients - Dairy</t>
        </is>
      </c>
      <c r="F636" s="299" t="n">
        <v>210</v>
      </c>
      <c r="G636" s="300" t="inlineStr">
        <is>
          <t>Restaurant</t>
        </is>
      </c>
      <c r="H636" s="300" t="inlineStr">
        <is>
          <t>Cash</t>
        </is>
      </c>
      <c r="I636" s="301" t="inlineStr">
        <is>
          <t>✅ Paid</t>
        </is>
      </c>
      <c r="J636" s="423" t="inlineStr">
        <is>
          <t>No receipt; cash</t>
        </is>
      </c>
    </row>
    <row r="637">
      <c r="B637" s="429" t="n">
        <v>46248</v>
      </c>
      <c r="C637" s="297" t="inlineStr">
        <is>
          <t>Samu - salary</t>
        </is>
      </c>
      <c r="D637" s="298" t="inlineStr">
        <is>
          <t>Payroll</t>
        </is>
      </c>
      <c r="E637" s="297" t="inlineStr">
        <is>
          <t>Staff - Salary</t>
        </is>
      </c>
      <c r="F637" s="299" t="n">
        <v>1200</v>
      </c>
      <c r="G637" s="300" t="inlineStr">
        <is>
          <t>Restaurant</t>
        </is>
      </c>
      <c r="H637" s="300" t="inlineStr">
        <is>
          <t>Cash</t>
        </is>
      </c>
      <c r="I637" s="301" t="inlineStr">
        <is>
          <t>✅ Paid</t>
        </is>
      </c>
      <c r="J637" s="423" t="inlineStr">
        <is>
          <t>Weekly salary</t>
        </is>
      </c>
    </row>
    <row r="638">
      <c r="B638" s="429" t="n">
        <v>46248</v>
      </c>
      <c r="C638" s="297" t="inlineStr">
        <is>
          <t>Armando - salary</t>
        </is>
      </c>
      <c r="D638" s="298" t="inlineStr">
        <is>
          <t>Payroll</t>
        </is>
      </c>
      <c r="E638" s="297" t="inlineStr">
        <is>
          <t>Staff - Salary</t>
        </is>
      </c>
      <c r="F638" s="299" t="n">
        <v>740</v>
      </c>
      <c r="G638" s="300" t="inlineStr">
        <is>
          <t>Restaurant</t>
        </is>
      </c>
      <c r="H638" s="300" t="inlineStr">
        <is>
          <t>Cash</t>
        </is>
      </c>
      <c r="I638" s="301" t="inlineStr">
        <is>
          <t>✅ Paid</t>
        </is>
      </c>
      <c r="J638" s="423" t="inlineStr">
        <is>
          <t>Weekly salary</t>
        </is>
      </c>
    </row>
    <row r="639">
      <c r="B639" s="429" t="n">
        <v>46249</v>
      </c>
      <c r="C639" s="297" t="inlineStr">
        <is>
          <t>Carne Bistec</t>
        </is>
      </c>
      <c r="D639" s="298" t="inlineStr">
        <is>
          <t>No bill</t>
        </is>
      </c>
      <c r="E639" s="297" t="inlineStr">
        <is>
          <t>Ingredients - Meat</t>
        </is>
      </c>
      <c r="F639" s="299" t="n">
        <v>116</v>
      </c>
      <c r="G639" s="300" t="inlineStr">
        <is>
          <t>Restaurant</t>
        </is>
      </c>
      <c r="H639" s="300" t="inlineStr">
        <is>
          <t>Cash</t>
        </is>
      </c>
      <c r="I639" s="301" t="inlineStr">
        <is>
          <t>✅ Paid</t>
        </is>
      </c>
      <c r="J639" s="423" t="inlineStr">
        <is>
          <t>No receipt; cash</t>
        </is>
      </c>
    </row>
    <row r="640">
      <c r="B640" s="429" t="n">
        <v>46249</v>
      </c>
      <c r="C640" s="297" t="inlineStr">
        <is>
          <t>Vegetables</t>
        </is>
      </c>
      <c r="D640" s="298" t="inlineStr">
        <is>
          <t>No bill</t>
        </is>
      </c>
      <c r="E640" s="297" t="inlineStr">
        <is>
          <t>Ingredients - Vegetables</t>
        </is>
      </c>
      <c r="F640" s="299" t="n">
        <v>57</v>
      </c>
      <c r="G640" s="300" t="inlineStr">
        <is>
          <t>Restaurant</t>
        </is>
      </c>
      <c r="H640" s="300" t="inlineStr">
        <is>
          <t>Cash</t>
        </is>
      </c>
      <c r="I640" s="301" t="inlineStr">
        <is>
          <t>✅ Paid</t>
        </is>
      </c>
      <c r="J640" s="423" t="inlineStr">
        <is>
          <t>No receipt; cash</t>
        </is>
      </c>
    </row>
    <row r="641">
      <c r="B641" s="429" t="n">
        <v>46249</v>
      </c>
      <c r="C641" s="297" t="inlineStr">
        <is>
          <t>Chedraui</t>
        </is>
      </c>
      <c r="D641" s="298" t="inlineStr">
        <is>
          <t>Chedraui</t>
        </is>
      </c>
      <c r="E641" s="297" t="inlineStr">
        <is>
          <t>Supermarket/General</t>
        </is>
      </c>
      <c r="F641" s="299" t="n">
        <v>108</v>
      </c>
      <c r="G641" s="300" t="inlineStr">
        <is>
          <t>Restaurant</t>
        </is>
      </c>
      <c r="H641" s="300" t="inlineStr">
        <is>
          <t>Cash</t>
        </is>
      </c>
      <c r="I641" s="301" t="inlineStr">
        <is>
          <t>✅ Paid</t>
        </is>
      </c>
      <c r="J641" s="423" t="inlineStr">
        <is>
          <t>No receipt; cash</t>
        </is>
      </c>
    </row>
    <row r="642">
      <c r="B642" s="429" t="n">
        <v>46249</v>
      </c>
      <c r="C642" s="297" t="inlineStr">
        <is>
          <t>Oxxo Panela</t>
        </is>
      </c>
      <c r="D642" s="298" t="inlineStr">
        <is>
          <t>OXXO</t>
        </is>
      </c>
      <c r="E642" s="297" t="inlineStr">
        <is>
          <t>Ingredients - Dairy</t>
        </is>
      </c>
      <c r="F642" s="299" t="n">
        <v>47</v>
      </c>
      <c r="G642" s="300" t="inlineStr">
        <is>
          <t>Restaurant</t>
        </is>
      </c>
      <c r="H642" s="300" t="inlineStr">
        <is>
          <t>Cash</t>
        </is>
      </c>
      <c r="I642" s="301" t="inlineStr">
        <is>
          <t>✅ Paid</t>
        </is>
      </c>
      <c r="J642" s="423" t="inlineStr">
        <is>
          <t>No receipt; cash</t>
        </is>
      </c>
    </row>
    <row r="643">
      <c r="B643" s="429" t="n">
        <v>46249</v>
      </c>
      <c r="C643" s="297" t="inlineStr">
        <is>
          <t>Queso Panela</t>
        </is>
      </c>
      <c r="D643" s="298" t="inlineStr">
        <is>
          <t>No bill</t>
        </is>
      </c>
      <c r="E643" s="297" t="inlineStr">
        <is>
          <t>Ingredients - Dairy</t>
        </is>
      </c>
      <c r="F643" s="299" t="n">
        <v>590</v>
      </c>
      <c r="G643" s="300" t="inlineStr">
        <is>
          <t>Restaurant</t>
        </is>
      </c>
      <c r="H643" s="300" t="inlineStr">
        <is>
          <t>Cash</t>
        </is>
      </c>
      <c r="I643" s="301" t="inlineStr">
        <is>
          <t>✅ Paid</t>
        </is>
      </c>
      <c r="J643" s="423" t="inlineStr">
        <is>
          <t>No receipt; cash</t>
        </is>
      </c>
    </row>
    <row r="644">
      <c r="B644" s="429" t="n">
        <v>46249</v>
      </c>
      <c r="C644" s="297" t="inlineStr">
        <is>
          <t>Pollo</t>
        </is>
      </c>
      <c r="D644" s="298" t="inlineStr">
        <is>
          <t>No bill</t>
        </is>
      </c>
      <c r="E644" s="297" t="inlineStr">
        <is>
          <t>Ingredients - Meat</t>
        </is>
      </c>
      <c r="F644" s="299" t="n">
        <v>368</v>
      </c>
      <c r="G644" s="300" t="inlineStr">
        <is>
          <t>Lohith</t>
        </is>
      </c>
      <c r="H644" s="300" t="inlineStr">
        <is>
          <t>Cash</t>
        </is>
      </c>
      <c r="I644" s="301" t="inlineStr">
        <is>
          <t>✅ Paid</t>
        </is>
      </c>
      <c r="J644" s="423" t="inlineStr">
        <is>
          <t>Pagado por Lohith (bolsillo); reembolsable via Owner Ledger</t>
        </is>
      </c>
    </row>
    <row r="645">
      <c r="B645" s="429" t="n">
        <v>46249</v>
      </c>
      <c r="C645" s="297" t="inlineStr">
        <is>
          <t>Pollo</t>
        </is>
      </c>
      <c r="D645" s="298" t="inlineStr">
        <is>
          <t>No bill</t>
        </is>
      </c>
      <c r="E645" s="297" t="inlineStr">
        <is>
          <t>Ingredients - Meat</t>
        </is>
      </c>
      <c r="F645" s="299" t="n">
        <v>995</v>
      </c>
      <c r="G645" s="300" t="inlineStr">
        <is>
          <t>Lohith</t>
        </is>
      </c>
      <c r="H645" s="300" t="inlineStr">
        <is>
          <t>Cash</t>
        </is>
      </c>
      <c r="I645" s="301" t="inlineStr">
        <is>
          <t>✅ Paid</t>
        </is>
      </c>
      <c r="J645" s="423" t="inlineStr">
        <is>
          <t>Pagado por Lohith (bolsillo); reembolsable via Owner Ledger</t>
        </is>
      </c>
    </row>
    <row r="646">
      <c r="B646" s="429" t="n">
        <v>46249</v>
      </c>
      <c r="C646" s="297" t="inlineStr">
        <is>
          <t>Duvi - salary</t>
        </is>
      </c>
      <c r="D646" s="298" t="inlineStr">
        <is>
          <t>Payroll</t>
        </is>
      </c>
      <c r="E646" s="297" t="inlineStr">
        <is>
          <t>Staff - Salary</t>
        </is>
      </c>
      <c r="F646" s="299" t="n">
        <v>1500</v>
      </c>
      <c r="G646" s="300" t="inlineStr">
        <is>
          <t>Restaurant</t>
        </is>
      </c>
      <c r="H646" s="300" t="inlineStr">
        <is>
          <t>Cash</t>
        </is>
      </c>
      <c r="I646" s="301" t="inlineStr">
        <is>
          <t>✅ Paid</t>
        </is>
      </c>
      <c r="J646" s="423" t="inlineStr">
        <is>
          <t>Weekly salary</t>
        </is>
      </c>
    </row>
    <row r="647">
      <c r="B647" s="429" t="n">
        <v>46249</v>
      </c>
      <c r="C647" s="297" t="inlineStr">
        <is>
          <t>Jhon - salary</t>
        </is>
      </c>
      <c r="D647" s="298" t="inlineStr">
        <is>
          <t>Payroll</t>
        </is>
      </c>
      <c r="E647" s="297" t="inlineStr">
        <is>
          <t>Staff - Salary</t>
        </is>
      </c>
      <c r="F647" s="299" t="n">
        <v>3750</v>
      </c>
      <c r="G647" s="300" t="inlineStr">
        <is>
          <t>Restaurant</t>
        </is>
      </c>
      <c r="H647" s="300" t="inlineStr">
        <is>
          <t>Cash</t>
        </is>
      </c>
      <c r="I647" s="301" t="inlineStr">
        <is>
          <t>✅ Paid</t>
        </is>
      </c>
      <c r="J647" s="423" t="inlineStr">
        <is>
          <t>Weekly salary</t>
        </is>
      </c>
    </row>
    <row r="648">
      <c r="B648" s="429" t="n">
        <v>46251</v>
      </c>
      <c r="C648" s="297" t="inlineStr">
        <is>
          <t>Pan Dulce</t>
        </is>
      </c>
      <c r="D648" s="298" t="inlineStr">
        <is>
          <t>No bill</t>
        </is>
      </c>
      <c r="E648" s="297" t="inlineStr">
        <is>
          <t>Ingredients - Bread</t>
        </is>
      </c>
      <c r="F648" s="299" t="n">
        <v>55</v>
      </c>
      <c r="G648" s="300" t="inlineStr">
        <is>
          <t>Restaurant</t>
        </is>
      </c>
      <c r="H648" s="300" t="inlineStr">
        <is>
          <t>Cash</t>
        </is>
      </c>
      <c r="I648" s="301" t="inlineStr">
        <is>
          <t>✅ Paid</t>
        </is>
      </c>
      <c r="J648" s="423" t="inlineStr">
        <is>
          <t>No receipt; cash</t>
        </is>
      </c>
    </row>
    <row r="649">
      <c r="B649" s="429" t="n">
        <v>46251</v>
      </c>
      <c r="C649" s="297" t="inlineStr">
        <is>
          <t>Tortillas</t>
        </is>
      </c>
      <c r="D649" s="298" t="inlineStr">
        <is>
          <t>No bill</t>
        </is>
      </c>
      <c r="E649" s="297" t="inlineStr">
        <is>
          <t>Ingredients - Bread</t>
        </is>
      </c>
      <c r="F649" s="299" t="n">
        <v>26</v>
      </c>
      <c r="G649" s="300" t="inlineStr">
        <is>
          <t>Restaurant</t>
        </is>
      </c>
      <c r="H649" s="300" t="inlineStr">
        <is>
          <t>Cash</t>
        </is>
      </c>
      <c r="I649" s="301" t="inlineStr">
        <is>
          <t>✅ Paid</t>
        </is>
      </c>
      <c r="J649" s="423" t="inlineStr">
        <is>
          <t>No receipt; cash</t>
        </is>
      </c>
    </row>
    <row r="650">
      <c r="B650" s="429" t="n">
        <v>46251</v>
      </c>
      <c r="C650" s="297" t="inlineStr">
        <is>
          <t>Carne</t>
        </is>
      </c>
      <c r="D650" s="298" t="inlineStr">
        <is>
          <t>No bill</t>
        </is>
      </c>
      <c r="E650" s="297" t="inlineStr">
        <is>
          <t>Ingredients - Meat</t>
        </is>
      </c>
      <c r="F650" s="299" t="n">
        <v>674</v>
      </c>
      <c r="G650" s="300" t="inlineStr">
        <is>
          <t>Restaurant</t>
        </is>
      </c>
      <c r="H650" s="300" t="inlineStr">
        <is>
          <t>Cash</t>
        </is>
      </c>
      <c r="I650" s="301" t="inlineStr">
        <is>
          <t>✅ Paid</t>
        </is>
      </c>
      <c r="J650" s="423" t="inlineStr">
        <is>
          <t>No receipt; cash</t>
        </is>
      </c>
    </row>
    <row r="651">
      <c r="B651" s="429" t="n">
        <v>46251</v>
      </c>
      <c r="C651" s="297" t="inlineStr">
        <is>
          <t>Vegetables</t>
        </is>
      </c>
      <c r="D651" s="298" t="inlineStr">
        <is>
          <t>No bill</t>
        </is>
      </c>
      <c r="E651" s="297" t="inlineStr">
        <is>
          <t>Ingredients - Vegetables</t>
        </is>
      </c>
      <c r="F651" s="299" t="n">
        <v>1850</v>
      </c>
      <c r="G651" s="300" t="inlineStr">
        <is>
          <t>Restaurant</t>
        </is>
      </c>
      <c r="H651" s="300" t="inlineStr">
        <is>
          <t>Cash</t>
        </is>
      </c>
      <c r="I651" s="301" t="inlineStr">
        <is>
          <t>✅ Paid</t>
        </is>
      </c>
      <c r="J651" s="423" t="inlineStr">
        <is>
          <t>No receipt; cash</t>
        </is>
      </c>
    </row>
    <row r="652">
      <c r="B652" s="429" t="n">
        <v>46251</v>
      </c>
      <c r="C652" s="297" t="inlineStr">
        <is>
          <t>Sams club</t>
        </is>
      </c>
      <c r="D652" s="298" t="inlineStr">
        <is>
          <t>Sam's Club</t>
        </is>
      </c>
      <c r="E652" s="297" t="inlineStr">
        <is>
          <t>Supermarket/General</t>
        </is>
      </c>
      <c r="F652" s="299" t="n">
        <v>789</v>
      </c>
      <c r="G652" s="300" t="inlineStr">
        <is>
          <t>Restaurant</t>
        </is>
      </c>
      <c r="H652" s="300" t="inlineStr">
        <is>
          <t>Cash</t>
        </is>
      </c>
      <c r="I652" s="301" t="inlineStr">
        <is>
          <t>✅ Paid</t>
        </is>
      </c>
      <c r="J652" s="423" t="inlineStr">
        <is>
          <t>No receipt; cash</t>
        </is>
      </c>
    </row>
    <row r="653">
      <c r="B653" s="429" t="n">
        <v>46251</v>
      </c>
      <c r="C653" s="297" t="inlineStr">
        <is>
          <t>Telmex</t>
        </is>
      </c>
      <c r="D653" s="298" t="inlineStr">
        <is>
          <t>No bill</t>
        </is>
      </c>
      <c r="E653" s="297" t="inlineStr">
        <is>
          <t>Utilities/Internet</t>
        </is>
      </c>
      <c r="F653" s="299" t="n">
        <v>349</v>
      </c>
      <c r="G653" s="300" t="inlineStr">
        <is>
          <t>Lohith</t>
        </is>
      </c>
      <c r="H653" s="300" t="inlineStr">
        <is>
          <t>Cash</t>
        </is>
      </c>
      <c r="I653" s="301" t="inlineStr">
        <is>
          <t>✅ Paid</t>
        </is>
      </c>
      <c r="J653" s="423" t="inlineStr">
        <is>
          <t>Pagado por Lohith (bolsillo); reembolsable via Owner Ledger</t>
        </is>
      </c>
    </row>
    <row r="654">
      <c r="B654" s="429" t="n">
        <v>46252</v>
      </c>
      <c r="C654" s="297" t="inlineStr">
        <is>
          <t>pan reales</t>
        </is>
      </c>
      <c r="D654" s="298" t="inlineStr">
        <is>
          <t>Pan Reales</t>
        </is>
      </c>
      <c r="E654" s="297" t="inlineStr">
        <is>
          <t>Ingredients - Bread</t>
        </is>
      </c>
      <c r="F654" s="299" t="n">
        <v>475</v>
      </c>
      <c r="G654" s="300" t="inlineStr">
        <is>
          <t>Restaurant</t>
        </is>
      </c>
      <c r="H654" s="300" t="inlineStr">
        <is>
          <t>Cash</t>
        </is>
      </c>
      <c r="I654" s="301" t="inlineStr">
        <is>
          <t>✅ Paid</t>
        </is>
      </c>
      <c r="J654" s="423" t="inlineStr">
        <is>
          <t>No receipt; cash</t>
        </is>
      </c>
    </row>
    <row r="655">
      <c r="B655" s="429" t="n">
        <v>46252</v>
      </c>
      <c r="C655" s="297" t="inlineStr">
        <is>
          <t>sams club</t>
        </is>
      </c>
      <c r="D655" s="298" t="inlineStr">
        <is>
          <t>Sam's Club</t>
        </is>
      </c>
      <c r="E655" s="297" t="inlineStr">
        <is>
          <t>Supermarket/General</t>
        </is>
      </c>
      <c r="F655" s="299" t="n">
        <v>1254</v>
      </c>
      <c r="G655" s="300" t="inlineStr">
        <is>
          <t>Restaurant</t>
        </is>
      </c>
      <c r="H655" s="300" t="inlineStr">
        <is>
          <t>Cash</t>
        </is>
      </c>
      <c r="I655" s="301" t="inlineStr">
        <is>
          <t>✅ Paid</t>
        </is>
      </c>
      <c r="J655" s="423" t="inlineStr">
        <is>
          <t>No receipt; cash</t>
        </is>
      </c>
    </row>
    <row r="656">
      <c r="B656" s="429" t="n">
        <v>46252</v>
      </c>
      <c r="C656" s="297" t="inlineStr">
        <is>
          <t>Carne</t>
        </is>
      </c>
      <c r="D656" s="298" t="inlineStr">
        <is>
          <t>No bill</t>
        </is>
      </c>
      <c r="E656" s="297" t="inlineStr">
        <is>
          <t>Ingredients - Meat</t>
        </is>
      </c>
      <c r="F656" s="299" t="n">
        <v>491</v>
      </c>
      <c r="G656" s="300" t="inlineStr">
        <is>
          <t>Restaurant</t>
        </is>
      </c>
      <c r="H656" s="300" t="inlineStr">
        <is>
          <t>Cash</t>
        </is>
      </c>
      <c r="I656" s="301" t="inlineStr">
        <is>
          <t>✅ Paid</t>
        </is>
      </c>
      <c r="J656" s="423" t="inlineStr">
        <is>
          <t>No receipt; cash</t>
        </is>
      </c>
    </row>
    <row r="657">
      <c r="B657" s="429" t="n">
        <v>46252</v>
      </c>
      <c r="C657" s="297" t="inlineStr">
        <is>
          <t>Chedraui</t>
        </is>
      </c>
      <c r="D657" s="298" t="inlineStr">
        <is>
          <t>Chedraui</t>
        </is>
      </c>
      <c r="E657" s="297" t="inlineStr">
        <is>
          <t>Supermarket/General</t>
        </is>
      </c>
      <c r="F657" s="299" t="n">
        <v>312</v>
      </c>
      <c r="G657" s="300" t="inlineStr">
        <is>
          <t>Restaurant</t>
        </is>
      </c>
      <c r="H657" s="300" t="inlineStr">
        <is>
          <t>Cash</t>
        </is>
      </c>
      <c r="I657" s="301" t="inlineStr">
        <is>
          <t>✅ Paid</t>
        </is>
      </c>
      <c r="J657" s="423" t="inlineStr">
        <is>
          <t>No receipt; cash</t>
        </is>
      </c>
    </row>
    <row r="658">
      <c r="B658" s="429" t="n">
        <v>46252</v>
      </c>
      <c r="C658" s="297" t="inlineStr">
        <is>
          <t>Oxxo Arroz</t>
        </is>
      </c>
      <c r="D658" s="298" t="inlineStr">
        <is>
          <t>OXXO</t>
        </is>
      </c>
      <c r="E658" s="297" t="inlineStr">
        <is>
          <t>Ingredients - Pantry</t>
        </is>
      </c>
      <c r="F658" s="299" t="n">
        <v>71</v>
      </c>
      <c r="G658" s="300" t="inlineStr">
        <is>
          <t>Restaurant</t>
        </is>
      </c>
      <c r="H658" s="300" t="inlineStr">
        <is>
          <t>Cash</t>
        </is>
      </c>
      <c r="I658" s="301" t="inlineStr">
        <is>
          <t>✅ Paid</t>
        </is>
      </c>
      <c r="J658" s="423" t="inlineStr">
        <is>
          <t>No receipt; cash</t>
        </is>
      </c>
    </row>
    <row r="659">
      <c r="B659" s="429" t="n">
        <v>46253</v>
      </c>
      <c r="C659" s="297" t="inlineStr">
        <is>
          <t>Hielo</t>
        </is>
      </c>
      <c r="D659" s="298" t="inlineStr">
        <is>
          <t>No bill</t>
        </is>
      </c>
      <c r="E659" s="297" t="inlineStr">
        <is>
          <t>Kitchen Supplies</t>
        </is>
      </c>
      <c r="F659" s="299" t="n">
        <v>100</v>
      </c>
      <c r="G659" s="300" t="inlineStr">
        <is>
          <t>Restaurant</t>
        </is>
      </c>
      <c r="H659" s="300" t="inlineStr">
        <is>
          <t>Cash</t>
        </is>
      </c>
      <c r="I659" s="301" t="inlineStr">
        <is>
          <t>✅ Paid</t>
        </is>
      </c>
      <c r="J659" s="423" t="inlineStr">
        <is>
          <t>No receipt; cash</t>
        </is>
      </c>
    </row>
    <row r="660">
      <c r="B660" s="429" t="n">
        <v>46253</v>
      </c>
      <c r="C660" s="297" t="inlineStr">
        <is>
          <t>Carne</t>
        </is>
      </c>
      <c r="D660" s="298" t="inlineStr">
        <is>
          <t>No bill</t>
        </is>
      </c>
      <c r="E660" s="297" t="inlineStr">
        <is>
          <t>Ingredients - Meat</t>
        </is>
      </c>
      <c r="F660" s="299" t="n">
        <v>137</v>
      </c>
      <c r="G660" s="300" t="inlineStr">
        <is>
          <t>Restaurant</t>
        </is>
      </c>
      <c r="H660" s="300" t="inlineStr">
        <is>
          <t>Cash</t>
        </is>
      </c>
      <c r="I660" s="301" t="inlineStr">
        <is>
          <t>✅ Paid</t>
        </is>
      </c>
      <c r="J660" s="423" t="inlineStr">
        <is>
          <t>No receipt; cash</t>
        </is>
      </c>
    </row>
    <row r="661">
      <c r="B661" s="429" t="n">
        <v>46253</v>
      </c>
      <c r="C661" s="297" t="inlineStr">
        <is>
          <t>office depot comanda</t>
        </is>
      </c>
      <c r="D661" s="298" t="inlineStr">
        <is>
          <t>No bill</t>
        </is>
      </c>
      <c r="E661" s="297" t="inlineStr">
        <is>
          <t>Office Supplies</t>
        </is>
      </c>
      <c r="F661" s="299" t="n">
        <v>59</v>
      </c>
      <c r="G661" s="300" t="inlineStr">
        <is>
          <t>Restaurant</t>
        </is>
      </c>
      <c r="H661" s="300" t="inlineStr">
        <is>
          <t>Cash</t>
        </is>
      </c>
      <c r="I661" s="301" t="inlineStr">
        <is>
          <t>✅ Paid</t>
        </is>
      </c>
      <c r="J661" s="423" t="inlineStr">
        <is>
          <t>No receipt; cash</t>
        </is>
      </c>
    </row>
    <row r="662">
      <c r="B662" s="429" t="n">
        <v>46253</v>
      </c>
      <c r="C662" s="297" t="inlineStr">
        <is>
          <t>sams club</t>
        </is>
      </c>
      <c r="D662" s="298" t="inlineStr">
        <is>
          <t>Sam's Club</t>
        </is>
      </c>
      <c r="E662" s="297" t="inlineStr">
        <is>
          <t>Supermarket/General</t>
        </is>
      </c>
      <c r="F662" s="299" t="n">
        <v>1911</v>
      </c>
      <c r="G662" s="300" t="inlineStr">
        <is>
          <t>Restaurant</t>
        </is>
      </c>
      <c r="H662" s="300" t="inlineStr">
        <is>
          <t>Cash</t>
        </is>
      </c>
      <c r="I662" s="301" t="inlineStr">
        <is>
          <t>✅ Paid</t>
        </is>
      </c>
      <c r="J662" s="423" t="inlineStr">
        <is>
          <t>No receipt; cash</t>
        </is>
      </c>
    </row>
    <row r="663">
      <c r="B663" s="429" t="n">
        <v>46253</v>
      </c>
      <c r="C663" s="297" t="inlineStr">
        <is>
          <t>Oxxo Coca</t>
        </is>
      </c>
      <c r="D663" s="298" t="inlineStr">
        <is>
          <t>OXXO</t>
        </is>
      </c>
      <c r="E663" s="297" t="inlineStr">
        <is>
          <t>Ingredients - Pantry</t>
        </is>
      </c>
      <c r="F663" s="299" t="n">
        <v>55</v>
      </c>
      <c r="G663" s="300" t="inlineStr">
        <is>
          <t>Restaurant</t>
        </is>
      </c>
      <c r="H663" s="300" t="inlineStr">
        <is>
          <t>Cash</t>
        </is>
      </c>
      <c r="I663" s="301" t="inlineStr">
        <is>
          <t>✅ Paid</t>
        </is>
      </c>
      <c r="J663" s="423" t="inlineStr">
        <is>
          <t>No receipt; cash</t>
        </is>
      </c>
    </row>
    <row r="664">
      <c r="B664" s="429" t="n">
        <v>46253</v>
      </c>
      <c r="C664" s="297" t="inlineStr">
        <is>
          <t>Oxxo Aceite</t>
        </is>
      </c>
      <c r="D664" s="298" t="inlineStr">
        <is>
          <t>OXXO</t>
        </is>
      </c>
      <c r="E664" s="297" t="inlineStr">
        <is>
          <t>Ingredients - Pantry</t>
        </is>
      </c>
      <c r="F664" s="299" t="n">
        <v>280</v>
      </c>
      <c r="G664" s="300" t="inlineStr">
        <is>
          <t>Restaurant</t>
        </is>
      </c>
      <c r="H664" s="300" t="inlineStr">
        <is>
          <t>Cash</t>
        </is>
      </c>
      <c r="I664" s="301" t="inlineStr">
        <is>
          <t>✅ Paid</t>
        </is>
      </c>
      <c r="J664" s="423" t="inlineStr">
        <is>
          <t>No receipt; cash</t>
        </is>
      </c>
    </row>
    <row r="665">
      <c r="B665" s="429" t="n">
        <v>46253</v>
      </c>
      <c r="C665" s="297" t="inlineStr">
        <is>
          <t>Pollo</t>
        </is>
      </c>
      <c r="D665" s="298" t="inlineStr">
        <is>
          <t>No bill</t>
        </is>
      </c>
      <c r="E665" s="297" t="inlineStr">
        <is>
          <t>Ingredients - Meat</t>
        </is>
      </c>
      <c r="F665" s="299" t="n">
        <v>418</v>
      </c>
      <c r="G665" s="300" t="inlineStr">
        <is>
          <t>Lohith</t>
        </is>
      </c>
      <c r="H665" s="300" t="inlineStr">
        <is>
          <t>Cash</t>
        </is>
      </c>
      <c r="I665" s="301" t="inlineStr">
        <is>
          <t>✅ Paid</t>
        </is>
      </c>
      <c r="J665" s="423" t="inlineStr">
        <is>
          <t>Pagado por Lohith (bolsillo); reembolsable via Owner Ledger</t>
        </is>
      </c>
    </row>
    <row r="666">
      <c r="B666" s="429" t="n">
        <v>46254</v>
      </c>
      <c r="C666" s="297" t="inlineStr">
        <is>
          <t>Pescado</t>
        </is>
      </c>
      <c r="D666" s="298" t="inlineStr">
        <is>
          <t>No bill</t>
        </is>
      </c>
      <c r="E666" s="297" t="inlineStr">
        <is>
          <t>Ingredients - Meat &amp; Fish</t>
        </is>
      </c>
      <c r="F666" s="299" t="n">
        <v>340</v>
      </c>
      <c r="G666" s="300" t="inlineStr">
        <is>
          <t>Restaurant</t>
        </is>
      </c>
      <c r="H666" s="300" t="inlineStr">
        <is>
          <t>Cash</t>
        </is>
      </c>
      <c r="I666" s="301" t="inlineStr">
        <is>
          <t>✅ Paid</t>
        </is>
      </c>
      <c r="J666" s="423" t="inlineStr">
        <is>
          <t>No receipt; cash</t>
        </is>
      </c>
    </row>
    <row r="667">
      <c r="B667" s="429" t="n">
        <v>46255</v>
      </c>
      <c r="C667" s="297" t="inlineStr">
        <is>
          <t>Carne</t>
        </is>
      </c>
      <c r="D667" s="298" t="inlineStr">
        <is>
          <t>No bill</t>
        </is>
      </c>
      <c r="E667" s="297" t="inlineStr">
        <is>
          <t>Ingredients - Meat</t>
        </is>
      </c>
      <c r="F667" s="299" t="n">
        <v>1176</v>
      </c>
      <c r="G667" s="300" t="inlineStr">
        <is>
          <t>Restaurant</t>
        </is>
      </c>
      <c r="H667" s="300" t="inlineStr">
        <is>
          <t>Cash</t>
        </is>
      </c>
      <c r="I667" s="301" t="inlineStr">
        <is>
          <t>✅ Paid</t>
        </is>
      </c>
      <c r="J667" s="423" t="inlineStr">
        <is>
          <t>No receipt; cash</t>
        </is>
      </c>
    </row>
    <row r="668">
      <c r="B668" s="429" t="n">
        <v>46255</v>
      </c>
      <c r="C668" s="297" t="inlineStr">
        <is>
          <t>Carne</t>
        </is>
      </c>
      <c r="D668" s="298" t="inlineStr">
        <is>
          <t>No bill</t>
        </is>
      </c>
      <c r="E668" s="297" t="inlineStr">
        <is>
          <t>Ingredients - Meat</t>
        </is>
      </c>
      <c r="F668" s="299" t="n">
        <v>340</v>
      </c>
      <c r="G668" s="300" t="inlineStr">
        <is>
          <t>Restaurant</t>
        </is>
      </c>
      <c r="H668" s="300" t="inlineStr">
        <is>
          <t>Cash</t>
        </is>
      </c>
      <c r="I668" s="301" t="inlineStr">
        <is>
          <t>✅ Paid</t>
        </is>
      </c>
      <c r="J668" s="423" t="inlineStr">
        <is>
          <t>No receipt; cash</t>
        </is>
      </c>
    </row>
    <row r="669">
      <c r="B669" s="429" t="n">
        <v>46255</v>
      </c>
      <c r="C669" s="297" t="inlineStr">
        <is>
          <t>Vegetables</t>
        </is>
      </c>
      <c r="D669" s="298" t="inlineStr">
        <is>
          <t>No bill</t>
        </is>
      </c>
      <c r="E669" s="297" t="inlineStr">
        <is>
          <t>Ingredients - Vegetables</t>
        </is>
      </c>
      <c r="F669" s="299" t="n">
        <v>114</v>
      </c>
      <c r="G669" s="300" t="inlineStr">
        <is>
          <t>Restaurant</t>
        </is>
      </c>
      <c r="H669" s="300" t="inlineStr">
        <is>
          <t>Cash</t>
        </is>
      </c>
      <c r="I669" s="301" t="inlineStr">
        <is>
          <t>✅ Paid</t>
        </is>
      </c>
      <c r="J669" s="423" t="inlineStr">
        <is>
          <t>No receipt; cash</t>
        </is>
      </c>
    </row>
    <row r="670">
      <c r="B670" s="429" t="n">
        <v>46255</v>
      </c>
      <c r="C670" s="297" t="inlineStr">
        <is>
          <t>Agua Natural</t>
        </is>
      </c>
      <c r="D670" s="298" t="inlineStr">
        <is>
          <t>No bill</t>
        </is>
      </c>
      <c r="E670" s="297" t="inlineStr">
        <is>
          <t>Ingredients - Beverages</t>
        </is>
      </c>
      <c r="F670" s="299" t="n">
        <v>30</v>
      </c>
      <c r="G670" s="300" t="inlineStr">
        <is>
          <t>Restaurant</t>
        </is>
      </c>
      <c r="H670" s="300" t="inlineStr">
        <is>
          <t>Cash</t>
        </is>
      </c>
      <c r="I670" s="301" t="inlineStr">
        <is>
          <t>✅ Paid</t>
        </is>
      </c>
      <c r="J670" s="423" t="inlineStr">
        <is>
          <t>No receipt; cash</t>
        </is>
      </c>
    </row>
    <row r="671">
      <c r="B671" s="429" t="n">
        <v>46255</v>
      </c>
      <c r="C671" s="297" t="inlineStr">
        <is>
          <t>Chedraui</t>
        </is>
      </c>
      <c r="D671" s="298" t="inlineStr">
        <is>
          <t>Chedraui</t>
        </is>
      </c>
      <c r="E671" s="297" t="inlineStr">
        <is>
          <t>Supermarket/General</t>
        </is>
      </c>
      <c r="F671" s="299" t="n">
        <v>70</v>
      </c>
      <c r="G671" s="300" t="inlineStr">
        <is>
          <t>Restaurant</t>
        </is>
      </c>
      <c r="H671" s="300" t="inlineStr">
        <is>
          <t>Cash</t>
        </is>
      </c>
      <c r="I671" s="301" t="inlineStr">
        <is>
          <t>✅ Paid</t>
        </is>
      </c>
      <c r="J671" s="423" t="inlineStr">
        <is>
          <t>No receipt; cash</t>
        </is>
      </c>
    </row>
    <row r="672">
      <c r="B672" s="429" t="n">
        <v>46255</v>
      </c>
      <c r="C672" s="297" t="inlineStr">
        <is>
          <t>Pan Reales</t>
        </is>
      </c>
      <c r="D672" s="298" t="inlineStr">
        <is>
          <t>Pan Reales</t>
        </is>
      </c>
      <c r="E672" s="297" t="inlineStr">
        <is>
          <t>Ingredients - Bread</t>
        </is>
      </c>
      <c r="F672" s="299" t="n">
        <v>156</v>
      </c>
      <c r="G672" s="300" t="inlineStr">
        <is>
          <t>Restaurant</t>
        </is>
      </c>
      <c r="H672" s="300" t="inlineStr">
        <is>
          <t>Cash</t>
        </is>
      </c>
      <c r="I672" s="301" t="inlineStr">
        <is>
          <t>✅ Paid</t>
        </is>
      </c>
      <c r="J672" s="423" t="inlineStr">
        <is>
          <t>No receipt; cash</t>
        </is>
      </c>
    </row>
    <row r="673">
      <c r="B673" s="429" t="n">
        <v>46255</v>
      </c>
      <c r="C673" s="297" t="inlineStr">
        <is>
          <t>Armando - salary</t>
        </is>
      </c>
      <c r="D673" s="298" t="inlineStr">
        <is>
          <t>Payroll</t>
        </is>
      </c>
      <c r="E673" s="297" t="inlineStr">
        <is>
          <t>Staff - Salary</t>
        </is>
      </c>
      <c r="F673" s="299" t="n">
        <v>1850</v>
      </c>
      <c r="G673" s="300" t="inlineStr">
        <is>
          <t>Restaurant</t>
        </is>
      </c>
      <c r="H673" s="300" t="inlineStr">
        <is>
          <t>Cash</t>
        </is>
      </c>
      <c r="I673" s="301" t="inlineStr">
        <is>
          <t>✅ Paid</t>
        </is>
      </c>
      <c r="J673" s="423" t="inlineStr">
        <is>
          <t>Weekly salary</t>
        </is>
      </c>
    </row>
    <row r="674">
      <c r="B674" s="429" t="n">
        <v>46256</v>
      </c>
      <c r="C674" s="297" t="inlineStr">
        <is>
          <t>Vegetables</t>
        </is>
      </c>
      <c r="D674" s="298" t="inlineStr">
        <is>
          <t>No bill</t>
        </is>
      </c>
      <c r="E674" s="297" t="inlineStr">
        <is>
          <t>Ingredients - Vegetables</t>
        </is>
      </c>
      <c r="F674" s="299" t="n">
        <v>109</v>
      </c>
      <c r="G674" s="300" t="inlineStr">
        <is>
          <t>Restaurant</t>
        </is>
      </c>
      <c r="H674" s="300" t="inlineStr">
        <is>
          <t>Cash</t>
        </is>
      </c>
      <c r="I674" s="301" t="inlineStr">
        <is>
          <t>✅ Paid</t>
        </is>
      </c>
      <c r="J674" s="423" t="inlineStr">
        <is>
          <t>No receipt; cash</t>
        </is>
      </c>
    </row>
    <row r="675">
      <c r="B675" s="429" t="n">
        <v>46256</v>
      </c>
      <c r="C675" s="297" t="inlineStr">
        <is>
          <t>Jhon - salary</t>
        </is>
      </c>
      <c r="D675" s="298" t="inlineStr">
        <is>
          <t>Payroll</t>
        </is>
      </c>
      <c r="E675" s="297" t="inlineStr">
        <is>
          <t>Staff - Salary</t>
        </is>
      </c>
      <c r="F675" s="299" t="n">
        <v>4200</v>
      </c>
      <c r="G675" s="300" t="inlineStr">
        <is>
          <t>Restaurant</t>
        </is>
      </c>
      <c r="H675" s="300" t="inlineStr">
        <is>
          <t>Cash</t>
        </is>
      </c>
      <c r="I675" s="301" t="inlineStr">
        <is>
          <t>✅ Paid</t>
        </is>
      </c>
      <c r="J675" s="423" t="inlineStr">
        <is>
          <t>Weekly salary</t>
        </is>
      </c>
    </row>
    <row r="676">
      <c r="B676" s="429" t="n">
        <v>46256</v>
      </c>
      <c r="C676" s="297" t="inlineStr">
        <is>
          <t>Duvi - salary</t>
        </is>
      </c>
      <c r="D676" s="298" t="inlineStr">
        <is>
          <t>Payroll</t>
        </is>
      </c>
      <c r="E676" s="297" t="inlineStr">
        <is>
          <t>Staff - Salary</t>
        </is>
      </c>
      <c r="F676" s="299" t="n">
        <v>500</v>
      </c>
      <c r="G676" s="300" t="inlineStr">
        <is>
          <t>Restaurant</t>
        </is>
      </c>
      <c r="H676" s="300" t="inlineStr">
        <is>
          <t>Cash</t>
        </is>
      </c>
      <c r="I676" s="301" t="inlineStr">
        <is>
          <t>✅ Paid</t>
        </is>
      </c>
      <c r="J676" s="423" t="inlineStr">
        <is>
          <t>Weekly salary</t>
        </is>
      </c>
    </row>
    <row r="677">
      <c r="B677" s="429" t="n">
        <v>46257</v>
      </c>
      <c r="C677" s="297" t="inlineStr">
        <is>
          <t>Vegetables Abastos</t>
        </is>
      </c>
      <c r="D677" s="298" t="inlineStr">
        <is>
          <t>Central de Abastos</t>
        </is>
      </c>
      <c r="E677" s="297" t="inlineStr">
        <is>
          <t>Ingredients - Vegetables</t>
        </is>
      </c>
      <c r="F677" s="299" t="n">
        <v>2046</v>
      </c>
      <c r="G677" s="300" t="inlineStr">
        <is>
          <t>Restaurant</t>
        </is>
      </c>
      <c r="H677" s="300" t="inlineStr">
        <is>
          <t>Cash</t>
        </is>
      </c>
      <c r="I677" s="301" t="inlineStr">
        <is>
          <t>✅ Paid</t>
        </is>
      </c>
      <c r="J677" s="423" t="inlineStr">
        <is>
          <t>No receipt; cash</t>
        </is>
      </c>
    </row>
    <row r="678">
      <c r="B678" s="429" t="n">
        <v>46257</v>
      </c>
      <c r="C678" s="297" t="inlineStr">
        <is>
          <t>Basicos</t>
        </is>
      </c>
      <c r="D678" s="298" t="inlineStr">
        <is>
          <t>No bill</t>
        </is>
      </c>
      <c r="E678" s="297" t="inlineStr">
        <is>
          <t>Supermarket/General</t>
        </is>
      </c>
      <c r="F678" s="299" t="n">
        <v>1241</v>
      </c>
      <c r="G678" s="300" t="inlineStr">
        <is>
          <t>Restaurant</t>
        </is>
      </c>
      <c r="H678" s="300" t="inlineStr">
        <is>
          <t>Cash</t>
        </is>
      </c>
      <c r="I678" s="301" t="inlineStr">
        <is>
          <t>✅ Paid</t>
        </is>
      </c>
      <c r="J678" s="423" t="inlineStr">
        <is>
          <t>No receipt; cash</t>
        </is>
      </c>
    </row>
    <row r="679">
      <c r="B679" s="429" t="n">
        <v>46257</v>
      </c>
      <c r="C679" s="297" t="inlineStr">
        <is>
          <t>San Juan Jamon</t>
        </is>
      </c>
      <c r="D679" s="298" t="inlineStr">
        <is>
          <t>No bill</t>
        </is>
      </c>
      <c r="E679" s="297" t="inlineStr">
        <is>
          <t>Ingredients - Meat</t>
        </is>
      </c>
      <c r="F679" s="299" t="n">
        <v>188</v>
      </c>
      <c r="G679" s="300" t="inlineStr">
        <is>
          <t>Restaurant</t>
        </is>
      </c>
      <c r="H679" s="300" t="inlineStr">
        <is>
          <t>Cash</t>
        </is>
      </c>
      <c r="I679" s="301" t="inlineStr">
        <is>
          <t>✅ Paid</t>
        </is>
      </c>
      <c r="J679" s="423" t="inlineStr">
        <is>
          <t>No receipt; cash</t>
        </is>
      </c>
    </row>
    <row r="680">
      <c r="B680" s="429" t="n">
        <v>46258</v>
      </c>
      <c r="C680" s="297" t="inlineStr">
        <is>
          <t>Eggs</t>
        </is>
      </c>
      <c r="D680" s="298" t="inlineStr">
        <is>
          <t>No bill</t>
        </is>
      </c>
      <c r="E680" s="297" t="inlineStr">
        <is>
          <t>Ingredients - Eggs</t>
        </is>
      </c>
      <c r="F680" s="299" t="n">
        <v>136</v>
      </c>
      <c r="G680" s="300" t="inlineStr">
        <is>
          <t>Restaurant</t>
        </is>
      </c>
      <c r="H680" s="300" t="inlineStr">
        <is>
          <t>Cash</t>
        </is>
      </c>
      <c r="I680" s="301" t="inlineStr">
        <is>
          <t>✅ Paid</t>
        </is>
      </c>
      <c r="J680" s="423" t="inlineStr">
        <is>
          <t>No receipt; cash</t>
        </is>
      </c>
    </row>
    <row r="681">
      <c r="B681" s="429" t="n">
        <v>46258</v>
      </c>
      <c r="C681" s="297" t="inlineStr">
        <is>
          <t>Carne</t>
        </is>
      </c>
      <c r="D681" s="298" t="inlineStr">
        <is>
          <t>No bill</t>
        </is>
      </c>
      <c r="E681" s="297" t="inlineStr">
        <is>
          <t>Ingredients - Meat</t>
        </is>
      </c>
      <c r="F681" s="299" t="n">
        <v>212</v>
      </c>
      <c r="G681" s="300" t="inlineStr">
        <is>
          <t>Restaurant</t>
        </is>
      </c>
      <c r="H681" s="300" t="inlineStr">
        <is>
          <t>Cash</t>
        </is>
      </c>
      <c r="I681" s="301" t="inlineStr">
        <is>
          <t>✅ Paid</t>
        </is>
      </c>
      <c r="J681" s="423" t="inlineStr">
        <is>
          <t>No receipt; cash</t>
        </is>
      </c>
    </row>
    <row r="682">
      <c r="B682" s="429" t="n">
        <v>46258</v>
      </c>
      <c r="C682" s="297" t="inlineStr">
        <is>
          <t>Pescado</t>
        </is>
      </c>
      <c r="D682" s="298" t="inlineStr">
        <is>
          <t>No bill</t>
        </is>
      </c>
      <c r="E682" s="297" t="inlineStr">
        <is>
          <t>Ingredients - Meat &amp; Fish</t>
        </is>
      </c>
      <c r="F682" s="299" t="n">
        <v>259</v>
      </c>
      <c r="G682" s="300" t="inlineStr">
        <is>
          <t>Restaurant</t>
        </is>
      </c>
      <c r="H682" s="300" t="inlineStr">
        <is>
          <t>Cash</t>
        </is>
      </c>
      <c r="I682" s="301" t="inlineStr">
        <is>
          <t>✅ Paid</t>
        </is>
      </c>
      <c r="J682" s="423" t="inlineStr">
        <is>
          <t>No receipt; cash</t>
        </is>
      </c>
    </row>
    <row r="683">
      <c r="B683" s="429" t="n">
        <v>46258</v>
      </c>
      <c r="C683" s="297" t="inlineStr">
        <is>
          <t>Chedraui</t>
        </is>
      </c>
      <c r="D683" s="298" t="inlineStr">
        <is>
          <t>Chedraui</t>
        </is>
      </c>
      <c r="E683" s="297" t="inlineStr">
        <is>
          <t>Supermarket/General</t>
        </is>
      </c>
      <c r="F683" s="299" t="n">
        <v>151</v>
      </c>
      <c r="G683" s="300" t="inlineStr">
        <is>
          <t>Restaurant</t>
        </is>
      </c>
      <c r="H683" s="300" t="inlineStr">
        <is>
          <t>Cash</t>
        </is>
      </c>
      <c r="I683" s="301" t="inlineStr">
        <is>
          <t>✅ Paid</t>
        </is>
      </c>
      <c r="J683" s="423" t="inlineStr">
        <is>
          <t>No receipt; cash</t>
        </is>
      </c>
    </row>
    <row r="684">
      <c r="B684" s="429" t="n">
        <v>46258</v>
      </c>
      <c r="C684" s="297" t="inlineStr">
        <is>
          <t>Pescado</t>
        </is>
      </c>
      <c r="D684" s="298" t="inlineStr">
        <is>
          <t>No bill</t>
        </is>
      </c>
      <c r="E684" s="297" t="inlineStr">
        <is>
          <t>Ingredients - Meat &amp; Fish</t>
        </is>
      </c>
      <c r="F684" s="299" t="n">
        <v>452</v>
      </c>
      <c r="G684" s="300" t="inlineStr">
        <is>
          <t>Restaurant</t>
        </is>
      </c>
      <c r="H684" s="300" t="inlineStr">
        <is>
          <t>Cash</t>
        </is>
      </c>
      <c r="I684" s="301" t="inlineStr">
        <is>
          <t>✅ Paid</t>
        </is>
      </c>
      <c r="J684" s="423" t="inlineStr">
        <is>
          <t>No receipt; cash</t>
        </is>
      </c>
    </row>
    <row r="685">
      <c r="B685" s="429" t="n">
        <v>46258</v>
      </c>
      <c r="C685" s="297" t="inlineStr">
        <is>
          <t>Hielo</t>
        </is>
      </c>
      <c r="D685" s="298" t="inlineStr">
        <is>
          <t>No bill</t>
        </is>
      </c>
      <c r="E685" s="297" t="inlineStr">
        <is>
          <t>Kitchen Supplies</t>
        </is>
      </c>
      <c r="F685" s="299" t="n">
        <v>200</v>
      </c>
      <c r="G685" s="300" t="inlineStr">
        <is>
          <t>Restaurant</t>
        </is>
      </c>
      <c r="H685" s="300" t="inlineStr">
        <is>
          <t>Cash</t>
        </is>
      </c>
      <c r="I685" s="301" t="inlineStr">
        <is>
          <t>✅ Paid</t>
        </is>
      </c>
      <c r="J685" s="423" t="inlineStr">
        <is>
          <t>No receipt; cash</t>
        </is>
      </c>
    </row>
    <row r="686">
      <c r="B686" s="429" t="n">
        <v>46258</v>
      </c>
      <c r="C686" s="297" t="inlineStr">
        <is>
          <t>Agua Natural</t>
        </is>
      </c>
      <c r="D686" s="298" t="inlineStr">
        <is>
          <t>No bill</t>
        </is>
      </c>
      <c r="E686" s="297" t="inlineStr">
        <is>
          <t>Ingredients - Beverages</t>
        </is>
      </c>
      <c r="F686" s="299" t="n">
        <v>45</v>
      </c>
      <c r="G686" s="300" t="inlineStr">
        <is>
          <t>Restaurant</t>
        </is>
      </c>
      <c r="H686" s="300" t="inlineStr">
        <is>
          <t>Cash</t>
        </is>
      </c>
      <c r="I686" s="301" t="inlineStr">
        <is>
          <t>✅ Paid</t>
        </is>
      </c>
      <c r="J686" s="423" t="inlineStr">
        <is>
          <t>No receipt; cash</t>
        </is>
      </c>
    </row>
    <row r="687">
      <c r="B687" s="429" t="n">
        <v>46258</v>
      </c>
      <c r="C687" s="297" t="inlineStr">
        <is>
          <t>Molino</t>
        </is>
      </c>
      <c r="D687" s="298" t="inlineStr">
        <is>
          <t>No bill</t>
        </is>
      </c>
      <c r="E687" s="297" t="inlineStr">
        <is>
          <t>Supermarket/General</t>
        </is>
      </c>
      <c r="F687" s="299" t="n">
        <v>80</v>
      </c>
      <c r="G687" s="300" t="inlineStr">
        <is>
          <t>Restaurant</t>
        </is>
      </c>
      <c r="H687" s="300" t="inlineStr">
        <is>
          <t>Cash</t>
        </is>
      </c>
      <c r="I687" s="301" t="inlineStr">
        <is>
          <t>✅ Paid</t>
        </is>
      </c>
      <c r="J687" s="423" t="inlineStr">
        <is>
          <t>No receipt; cash</t>
        </is>
      </c>
    </row>
    <row r="688">
      <c r="B688" s="429" t="n">
        <v>46258</v>
      </c>
      <c r="C688" s="297" t="inlineStr">
        <is>
          <t>Pollo</t>
        </is>
      </c>
      <c r="D688" s="298" t="inlineStr">
        <is>
          <t>No bill</t>
        </is>
      </c>
      <c r="E688" s="297" t="inlineStr">
        <is>
          <t>Ingredients - Meat</t>
        </is>
      </c>
      <c r="F688" s="299" t="n">
        <v>1429</v>
      </c>
      <c r="G688" s="300" t="inlineStr">
        <is>
          <t>Lohith</t>
        </is>
      </c>
      <c r="H688" s="300" t="inlineStr">
        <is>
          <t>Cash</t>
        </is>
      </c>
      <c r="I688" s="301" t="inlineStr">
        <is>
          <t>✅ Paid</t>
        </is>
      </c>
      <c r="J688" s="423" t="inlineStr">
        <is>
          <t>Pagado por Lohith (bolsillo); reembolsable via Owner Ledger</t>
        </is>
      </c>
    </row>
    <row r="689">
      <c r="B689" s="429" t="n">
        <v>46259</v>
      </c>
      <c r="C689" s="297" t="inlineStr">
        <is>
          <t>Queso</t>
        </is>
      </c>
      <c r="D689" s="298" t="inlineStr">
        <is>
          <t>No bill</t>
        </is>
      </c>
      <c r="E689" s="297" t="inlineStr">
        <is>
          <t>Ingredients - Dairy</t>
        </is>
      </c>
      <c r="F689" s="299" t="n">
        <v>558</v>
      </c>
      <c r="G689" s="300" t="inlineStr">
        <is>
          <t>Restaurant</t>
        </is>
      </c>
      <c r="H689" s="300" t="inlineStr">
        <is>
          <t>Cash</t>
        </is>
      </c>
      <c r="I689" s="301" t="inlineStr">
        <is>
          <t>✅ Paid</t>
        </is>
      </c>
      <c r="J689" s="423" t="inlineStr">
        <is>
          <t>No receipt; cash</t>
        </is>
      </c>
    </row>
    <row r="690">
      <c r="B690" s="429" t="n">
        <v>46259</v>
      </c>
      <c r="C690" s="297" t="inlineStr">
        <is>
          <t>Vegetables</t>
        </is>
      </c>
      <c r="D690" s="298" t="inlineStr">
        <is>
          <t>No bill</t>
        </is>
      </c>
      <c r="E690" s="297" t="inlineStr">
        <is>
          <t>Ingredients - Vegetables</t>
        </is>
      </c>
      <c r="F690" s="299" t="n">
        <v>140</v>
      </c>
      <c r="G690" s="300" t="inlineStr">
        <is>
          <t>Restaurant</t>
        </is>
      </c>
      <c r="H690" s="300" t="inlineStr">
        <is>
          <t>Cash</t>
        </is>
      </c>
      <c r="I690" s="301" t="inlineStr">
        <is>
          <t>✅ Paid</t>
        </is>
      </c>
      <c r="J690" s="423" t="inlineStr">
        <is>
          <t>No receipt; cash</t>
        </is>
      </c>
    </row>
    <row r="691">
      <c r="B691" s="429" t="n">
        <v>46261</v>
      </c>
      <c r="C691" s="297" t="inlineStr">
        <is>
          <t>Carne</t>
        </is>
      </c>
      <c r="D691" s="298" t="inlineStr">
        <is>
          <t>No bill</t>
        </is>
      </c>
      <c r="E691" s="297" t="inlineStr">
        <is>
          <t>Ingredients - Meat</t>
        </is>
      </c>
      <c r="F691" s="299" t="n">
        <v>439</v>
      </c>
      <c r="G691" s="300" t="inlineStr">
        <is>
          <t>Restaurant</t>
        </is>
      </c>
      <c r="H691" s="300" t="inlineStr">
        <is>
          <t>Cash</t>
        </is>
      </c>
      <c r="I691" s="301" t="inlineStr">
        <is>
          <t>✅ Paid</t>
        </is>
      </c>
      <c r="J691" s="423" t="inlineStr">
        <is>
          <t>No receipt; cash</t>
        </is>
      </c>
    </row>
    <row r="692">
      <c r="B692" s="429" t="n">
        <v>46261</v>
      </c>
      <c r="C692" s="297" t="inlineStr">
        <is>
          <t>Chedraui</t>
        </is>
      </c>
      <c r="D692" s="298" t="inlineStr">
        <is>
          <t>Chedraui</t>
        </is>
      </c>
      <c r="E692" s="297" t="inlineStr">
        <is>
          <t>Supermarket/General</t>
        </is>
      </c>
      <c r="F692" s="299" t="n">
        <v>126</v>
      </c>
      <c r="G692" s="300" t="inlineStr">
        <is>
          <t>Restaurant</t>
        </is>
      </c>
      <c r="H692" s="300" t="inlineStr">
        <is>
          <t>Cash</t>
        </is>
      </c>
      <c r="I692" s="301" t="inlineStr">
        <is>
          <t>✅ Paid</t>
        </is>
      </c>
      <c r="J692" s="423" t="inlineStr">
        <is>
          <t>No receipt; cash</t>
        </is>
      </c>
    </row>
    <row r="693">
      <c r="B693" s="429" t="n">
        <v>46262</v>
      </c>
      <c r="C693" s="297" t="inlineStr">
        <is>
          <t>Vegetables</t>
        </is>
      </c>
      <c r="D693" s="298" t="inlineStr">
        <is>
          <t>No bill</t>
        </is>
      </c>
      <c r="E693" s="297" t="inlineStr">
        <is>
          <t>Ingredients - Vegetables</t>
        </is>
      </c>
      <c r="F693" s="299" t="n">
        <v>93</v>
      </c>
      <c r="G693" s="300" t="inlineStr">
        <is>
          <t>Restaurant</t>
        </is>
      </c>
      <c r="H693" s="300" t="inlineStr">
        <is>
          <t>Cash</t>
        </is>
      </c>
      <c r="I693" s="301" t="inlineStr">
        <is>
          <t>✅ Paid</t>
        </is>
      </c>
      <c r="J693" s="423" t="inlineStr">
        <is>
          <t>No receipt; cash</t>
        </is>
      </c>
    </row>
    <row r="694">
      <c r="B694" s="429" t="n">
        <v>46262</v>
      </c>
      <c r="C694" s="297" t="inlineStr">
        <is>
          <t>Pan Molido</t>
        </is>
      </c>
      <c r="D694" s="298" t="inlineStr">
        <is>
          <t>No bill</t>
        </is>
      </c>
      <c r="E694" s="297" t="inlineStr">
        <is>
          <t>Ingredients - Bread</t>
        </is>
      </c>
      <c r="F694" s="299" t="n">
        <v>72</v>
      </c>
      <c r="G694" s="300" t="inlineStr">
        <is>
          <t>Restaurant</t>
        </is>
      </c>
      <c r="H694" s="300" t="inlineStr">
        <is>
          <t>Cash</t>
        </is>
      </c>
      <c r="I694" s="301" t="inlineStr">
        <is>
          <t>✅ Paid</t>
        </is>
      </c>
      <c r="J694" s="423" t="inlineStr">
        <is>
          <t>No receipt; cash</t>
        </is>
      </c>
    </row>
    <row r="695">
      <c r="B695" s="429" t="n">
        <v>46262</v>
      </c>
      <c r="C695" s="297" t="inlineStr">
        <is>
          <t>Oxxo Aceite</t>
        </is>
      </c>
      <c r="D695" s="298" t="inlineStr">
        <is>
          <t>OXXO</t>
        </is>
      </c>
      <c r="E695" s="297" t="inlineStr">
        <is>
          <t>Ingredients - Pantry</t>
        </is>
      </c>
      <c r="F695" s="299" t="n">
        <v>56</v>
      </c>
      <c r="G695" s="300" t="inlineStr">
        <is>
          <t>Restaurant</t>
        </is>
      </c>
      <c r="H695" s="300" t="inlineStr">
        <is>
          <t>Cash</t>
        </is>
      </c>
      <c r="I695" s="301" t="inlineStr">
        <is>
          <t>✅ Paid</t>
        </is>
      </c>
      <c r="J695" s="423" t="inlineStr">
        <is>
          <t>No receipt; cash</t>
        </is>
      </c>
    </row>
    <row r="696">
      <c r="B696" s="429" t="n">
        <v>46262</v>
      </c>
      <c r="C696" s="297" t="inlineStr">
        <is>
          <t>Armando - salary</t>
        </is>
      </c>
      <c r="D696" s="298" t="inlineStr">
        <is>
          <t>Payroll</t>
        </is>
      </c>
      <c r="E696" s="297" t="inlineStr">
        <is>
          <t>Staff - Salary</t>
        </is>
      </c>
      <c r="F696" s="299" t="n">
        <v>1850</v>
      </c>
      <c r="G696" s="300" t="inlineStr">
        <is>
          <t>Restaurant</t>
        </is>
      </c>
      <c r="H696" s="300" t="inlineStr">
        <is>
          <t>Cash</t>
        </is>
      </c>
      <c r="I696" s="301" t="inlineStr">
        <is>
          <t>✅ Paid</t>
        </is>
      </c>
      <c r="J696" s="423" t="inlineStr">
        <is>
          <t>Weekly salary</t>
        </is>
      </c>
    </row>
    <row r="697">
      <c r="B697" s="429" t="n">
        <v>46263</v>
      </c>
      <c r="C697" s="297" t="inlineStr">
        <is>
          <t>Vegetables</t>
        </is>
      </c>
      <c r="D697" s="298" t="inlineStr">
        <is>
          <t>No bill</t>
        </is>
      </c>
      <c r="E697" s="297" t="inlineStr">
        <is>
          <t>Ingredients - Vegetables</t>
        </is>
      </c>
      <c r="F697" s="299" t="n">
        <v>1210</v>
      </c>
      <c r="G697" s="300" t="inlineStr">
        <is>
          <t>Restaurant</t>
        </is>
      </c>
      <c r="H697" s="300" t="inlineStr">
        <is>
          <t>Cash</t>
        </is>
      </c>
      <c r="I697" s="301" t="inlineStr">
        <is>
          <t>✅ Paid</t>
        </is>
      </c>
      <c r="J697" s="423" t="inlineStr">
        <is>
          <t>No receipt; cash</t>
        </is>
      </c>
    </row>
    <row r="698">
      <c r="B698" s="429" t="n">
        <v>46263</v>
      </c>
      <c r="C698" s="297" t="inlineStr">
        <is>
          <t>Soft app license</t>
        </is>
      </c>
      <c r="D698" s="298" t="inlineStr">
        <is>
          <t>No bill</t>
        </is>
      </c>
      <c r="E698" s="297" t="inlineStr">
        <is>
          <t>Software/Subscription</t>
        </is>
      </c>
      <c r="F698" s="299" t="n">
        <v>810</v>
      </c>
      <c r="G698" s="300" t="inlineStr">
        <is>
          <t>Restaurant</t>
        </is>
      </c>
      <c r="H698" s="300" t="inlineStr">
        <is>
          <t>Cash</t>
        </is>
      </c>
      <c r="I698" s="301" t="inlineStr">
        <is>
          <t>✅ Paid</t>
        </is>
      </c>
      <c r="J698" s="423" t="inlineStr">
        <is>
          <t>No receipt; cash</t>
        </is>
      </c>
    </row>
    <row r="699">
      <c r="B699" s="429" t="n">
        <v>46263</v>
      </c>
      <c r="C699" s="297" t="inlineStr">
        <is>
          <t>Duvi - salary</t>
        </is>
      </c>
      <c r="D699" s="298" t="inlineStr">
        <is>
          <t>Payroll</t>
        </is>
      </c>
      <c r="E699" s="297" t="inlineStr">
        <is>
          <t>Staff - Salary</t>
        </is>
      </c>
      <c r="F699" s="299" t="n">
        <v>1200</v>
      </c>
      <c r="G699" s="300" t="inlineStr">
        <is>
          <t>Restaurant</t>
        </is>
      </c>
      <c r="H699" s="300" t="inlineStr">
        <is>
          <t>Cash</t>
        </is>
      </c>
      <c r="I699" s="301" t="inlineStr">
        <is>
          <t>✅ Paid</t>
        </is>
      </c>
      <c r="J699" s="423" t="inlineStr">
        <is>
          <t>Weekly salary</t>
        </is>
      </c>
    </row>
    <row r="700">
      <c r="B700" s="429" t="n">
        <v>46263</v>
      </c>
      <c r="C700" s="297" t="inlineStr">
        <is>
          <t>Jhon - salary</t>
        </is>
      </c>
      <c r="D700" s="298" t="inlineStr">
        <is>
          <t>Payroll</t>
        </is>
      </c>
      <c r="E700" s="297" t="inlineStr">
        <is>
          <t>Staff - Salary</t>
        </is>
      </c>
      <c r="F700" s="299" t="n">
        <v>3750</v>
      </c>
      <c r="G700" s="300" t="inlineStr">
        <is>
          <t>Restaurant</t>
        </is>
      </c>
      <c r="H700" s="300" t="inlineStr">
        <is>
          <t>Cash</t>
        </is>
      </c>
      <c r="I700" s="301" t="inlineStr">
        <is>
          <t>✅ Paid</t>
        </is>
      </c>
      <c r="J700" s="423" t="inlineStr">
        <is>
          <t>Weekly salary</t>
        </is>
      </c>
    </row>
    <row r="701">
      <c r="B701" s="429" t="n">
        <v>46265</v>
      </c>
      <c r="C701" s="297" t="inlineStr">
        <is>
          <t>Carne</t>
        </is>
      </c>
      <c r="D701" s="298" t="inlineStr">
        <is>
          <t>No bill</t>
        </is>
      </c>
      <c r="E701" s="297" t="inlineStr">
        <is>
          <t>Ingredients - Meat</t>
        </is>
      </c>
      <c r="F701" s="299" t="n">
        <v>276</v>
      </c>
      <c r="G701" s="300" t="inlineStr">
        <is>
          <t>Restaurant</t>
        </is>
      </c>
      <c r="H701" s="300" t="inlineStr">
        <is>
          <t>Cash</t>
        </is>
      </c>
      <c r="I701" s="301" t="inlineStr">
        <is>
          <t>✅ Paid</t>
        </is>
      </c>
      <c r="J701" s="423" t="inlineStr">
        <is>
          <t>No receipt; cash</t>
        </is>
      </c>
    </row>
    <row r="702">
      <c r="B702" s="429" t="n">
        <v>46265</v>
      </c>
      <c r="C702" s="297" t="inlineStr">
        <is>
          <t>Carne</t>
        </is>
      </c>
      <c r="D702" s="298" t="inlineStr">
        <is>
          <t>No bill</t>
        </is>
      </c>
      <c r="E702" s="297" t="inlineStr">
        <is>
          <t>Ingredients - Meat</t>
        </is>
      </c>
      <c r="F702" s="299" t="n">
        <v>293</v>
      </c>
      <c r="G702" s="300" t="inlineStr">
        <is>
          <t>Restaurant</t>
        </is>
      </c>
      <c r="H702" s="300" t="inlineStr">
        <is>
          <t>Cash</t>
        </is>
      </c>
      <c r="I702" s="301" t="inlineStr">
        <is>
          <t>✅ Paid</t>
        </is>
      </c>
      <c r="J702" s="423" t="inlineStr">
        <is>
          <t>No receipt; cash</t>
        </is>
      </c>
    </row>
    <row r="703">
      <c r="B703" s="429" t="n">
        <v>46265</v>
      </c>
      <c r="C703" s="297" t="inlineStr">
        <is>
          <t>Oxxo Aceite</t>
        </is>
      </c>
      <c r="D703" s="298" t="inlineStr">
        <is>
          <t>OXXO</t>
        </is>
      </c>
      <c r="E703" s="297" t="inlineStr">
        <is>
          <t>Ingredients - Pantry</t>
        </is>
      </c>
      <c r="F703" s="299" t="n">
        <v>112</v>
      </c>
      <c r="G703" s="300" t="inlineStr">
        <is>
          <t>Restaurant</t>
        </is>
      </c>
      <c r="H703" s="300" t="inlineStr">
        <is>
          <t>Cash</t>
        </is>
      </c>
      <c r="I703" s="301" t="inlineStr">
        <is>
          <t>✅ Paid</t>
        </is>
      </c>
      <c r="J703" s="423" t="inlineStr">
        <is>
          <t>No receipt; cash</t>
        </is>
      </c>
    </row>
    <row r="704">
      <c r="B704" s="429" t="n">
        <v>46265</v>
      </c>
      <c r="C704" s="297" t="inlineStr">
        <is>
          <t>Agua Natural</t>
        </is>
      </c>
      <c r="D704" s="298" t="inlineStr">
        <is>
          <t>No bill</t>
        </is>
      </c>
      <c r="E704" s="297" t="inlineStr">
        <is>
          <t>Ingredients - Beverages</t>
        </is>
      </c>
      <c r="F704" s="299" t="n">
        <v>75</v>
      </c>
      <c r="G704" s="300" t="inlineStr">
        <is>
          <t>Restaurant</t>
        </is>
      </c>
      <c r="H704" s="300" t="inlineStr">
        <is>
          <t>Cash</t>
        </is>
      </c>
      <c r="I704" s="301" t="inlineStr">
        <is>
          <t>✅ Paid</t>
        </is>
      </c>
      <c r="J704" s="423" t="inlineStr">
        <is>
          <t>No receipt; cash</t>
        </is>
      </c>
    </row>
    <row r="705">
      <c r="B705" s="429" t="n">
        <v>46265</v>
      </c>
      <c r="C705" s="297" t="inlineStr">
        <is>
          <t>Chedraui</t>
        </is>
      </c>
      <c r="D705" s="298" t="inlineStr">
        <is>
          <t>Chedraui</t>
        </is>
      </c>
      <c r="E705" s="297" t="inlineStr">
        <is>
          <t>Supermarket/General</t>
        </is>
      </c>
      <c r="F705" s="299" t="n">
        <v>92</v>
      </c>
      <c r="G705" s="300" t="inlineStr">
        <is>
          <t>Restaurant</t>
        </is>
      </c>
      <c r="H705" s="300" t="inlineStr">
        <is>
          <t>Cash</t>
        </is>
      </c>
      <c r="I705" s="301" t="inlineStr">
        <is>
          <t>✅ Paid</t>
        </is>
      </c>
      <c r="J705" s="423" t="inlineStr">
        <is>
          <t>No receipt; cash</t>
        </is>
      </c>
    </row>
    <row r="706">
      <c r="B706" s="429" t="n">
        <v>46265</v>
      </c>
      <c r="C706" s="297" t="inlineStr">
        <is>
          <t>Queso Panela</t>
        </is>
      </c>
      <c r="D706" s="298" t="inlineStr">
        <is>
          <t>No bill</t>
        </is>
      </c>
      <c r="E706" s="297" t="inlineStr">
        <is>
          <t>Ingredients - Dairy</t>
        </is>
      </c>
      <c r="F706" s="299" t="n">
        <v>590</v>
      </c>
      <c r="G706" s="300" t="inlineStr">
        <is>
          <t>Restaurant</t>
        </is>
      </c>
      <c r="H706" s="300" t="inlineStr">
        <is>
          <t>Cash</t>
        </is>
      </c>
      <c r="I706" s="301" t="inlineStr">
        <is>
          <t>✅ Paid</t>
        </is>
      </c>
      <c r="J706" s="423" t="inlineStr">
        <is>
          <t>No receipt; cash</t>
        </is>
      </c>
    </row>
    <row r="707">
      <c r="B707" s="429" t="n">
        <v>46266</v>
      </c>
      <c r="C707" s="297" t="inlineStr">
        <is>
          <t>3B Aceite</t>
        </is>
      </c>
      <c r="D707" s="298" t="inlineStr">
        <is>
          <t>Tres B</t>
        </is>
      </c>
      <c r="E707" s="297" t="inlineStr">
        <is>
          <t>Supermarket/General</t>
        </is>
      </c>
      <c r="F707" s="299" t="n">
        <v>628</v>
      </c>
      <c r="G707" s="300" t="inlineStr">
        <is>
          <t>Restaurant</t>
        </is>
      </c>
      <c r="H707" s="300" t="inlineStr">
        <is>
          <t>Cash</t>
        </is>
      </c>
      <c r="I707" s="301" t="inlineStr">
        <is>
          <t>✅ Paid</t>
        </is>
      </c>
      <c r="J707" s="423" t="inlineStr">
        <is>
          <t>No receipt; cash</t>
        </is>
      </c>
    </row>
    <row r="708">
      <c r="B708" s="429" t="n">
        <v>46266</v>
      </c>
      <c r="C708" s="297" t="inlineStr">
        <is>
          <t>Carne Hamburguesa</t>
        </is>
      </c>
      <c r="D708" s="298" t="inlineStr">
        <is>
          <t>No bill</t>
        </is>
      </c>
      <c r="E708" s="297" t="inlineStr">
        <is>
          <t>Ingredients - Meat</t>
        </is>
      </c>
      <c r="F708" s="299" t="n">
        <v>380</v>
      </c>
      <c r="G708" s="300" t="inlineStr">
        <is>
          <t>Restaurant</t>
        </is>
      </c>
      <c r="H708" s="300" t="inlineStr">
        <is>
          <t>Cash</t>
        </is>
      </c>
      <c r="I708" s="301" t="inlineStr">
        <is>
          <t>✅ Paid</t>
        </is>
      </c>
      <c r="J708" s="423" t="inlineStr">
        <is>
          <t>No receipt; cash</t>
        </is>
      </c>
    </row>
    <row r="709">
      <c r="B709" s="429" t="n">
        <v>46266</v>
      </c>
      <c r="C709" s="297" t="inlineStr">
        <is>
          <t>Mole</t>
        </is>
      </c>
      <c r="D709" s="298" t="inlineStr">
        <is>
          <t>No bill</t>
        </is>
      </c>
      <c r="E709" s="297" t="inlineStr">
        <is>
          <t>Ingredients - Pantry</t>
        </is>
      </c>
      <c r="F709" s="299" t="n">
        <v>890</v>
      </c>
      <c r="G709" s="300" t="inlineStr">
        <is>
          <t>Restaurant</t>
        </is>
      </c>
      <c r="H709" s="300" t="inlineStr">
        <is>
          <t>Cash</t>
        </is>
      </c>
      <c r="I709" s="301" t="inlineStr">
        <is>
          <t>✅ Paid</t>
        </is>
      </c>
      <c r="J709" s="423" t="inlineStr">
        <is>
          <t>No receipt; cash</t>
        </is>
      </c>
    </row>
    <row r="710">
      <c r="B710" s="429" t="n">
        <v>46266</v>
      </c>
      <c r="C710" s="297" t="inlineStr">
        <is>
          <t>Chile pasilla</t>
        </is>
      </c>
      <c r="D710" s="298" t="inlineStr">
        <is>
          <t>No bill</t>
        </is>
      </c>
      <c r="E710" s="297" t="inlineStr">
        <is>
          <t>Ingredients - Vegetables</t>
        </is>
      </c>
      <c r="F710" s="299" t="n">
        <v>115</v>
      </c>
      <c r="G710" s="300" t="inlineStr">
        <is>
          <t>Restaurant</t>
        </is>
      </c>
      <c r="H710" s="300" t="inlineStr">
        <is>
          <t>Cash</t>
        </is>
      </c>
      <c r="I710" s="301" t="inlineStr">
        <is>
          <t>✅ Paid</t>
        </is>
      </c>
      <c r="J710" s="423" t="inlineStr">
        <is>
          <t>No receipt; cash</t>
        </is>
      </c>
    </row>
    <row r="711">
      <c r="B711" s="429" t="n">
        <v>46266</v>
      </c>
      <c r="C711" s="297" t="inlineStr">
        <is>
          <t>Pan Reales</t>
        </is>
      </c>
      <c r="D711" s="298" t="inlineStr">
        <is>
          <t>Pan Reales</t>
        </is>
      </c>
      <c r="E711" s="297" t="inlineStr">
        <is>
          <t>Ingredients - Bread</t>
        </is>
      </c>
      <c r="F711" s="299" t="n">
        <v>416</v>
      </c>
      <c r="G711" s="300" t="inlineStr">
        <is>
          <t>Restaurant</t>
        </is>
      </c>
      <c r="H711" s="300" t="inlineStr">
        <is>
          <t>Cash</t>
        </is>
      </c>
      <c r="I711" s="301" t="inlineStr">
        <is>
          <t>✅ Paid</t>
        </is>
      </c>
      <c r="J711" s="423" t="inlineStr">
        <is>
          <t>No receipt; cash</t>
        </is>
      </c>
    </row>
    <row r="712">
      <c r="B712" s="429" t="n">
        <v>46266</v>
      </c>
      <c r="C712" s="297" t="inlineStr">
        <is>
          <t>Pollo</t>
        </is>
      </c>
      <c r="D712" s="298" t="inlineStr">
        <is>
          <t>No bill</t>
        </is>
      </c>
      <c r="E712" s="297" t="inlineStr">
        <is>
          <t>Ingredients - Meat</t>
        </is>
      </c>
      <c r="F712" s="299" t="n">
        <v>1032</v>
      </c>
      <c r="G712" s="300" t="inlineStr">
        <is>
          <t>Restaurant</t>
        </is>
      </c>
      <c r="H712" s="300" t="inlineStr">
        <is>
          <t>Cash</t>
        </is>
      </c>
      <c r="I712" s="301" t="inlineStr">
        <is>
          <t>✅ Paid</t>
        </is>
      </c>
      <c r="J712" s="423" t="inlineStr">
        <is>
          <t>No receipt; cash</t>
        </is>
      </c>
    </row>
    <row r="713">
      <c r="B713" s="429" t="n">
        <v>46266</v>
      </c>
      <c r="C713" s="297" t="inlineStr">
        <is>
          <t>Gas</t>
        </is>
      </c>
      <c r="D713" s="298" t="inlineStr">
        <is>
          <t>No bill</t>
        </is>
      </c>
      <c r="E713" s="297" t="inlineStr">
        <is>
          <t>Utilities/Gas</t>
        </is>
      </c>
      <c r="F713" s="299" t="n">
        <v>1500</v>
      </c>
      <c r="G713" s="300" t="inlineStr">
        <is>
          <t>Restaurant</t>
        </is>
      </c>
      <c r="H713" s="300" t="inlineStr">
        <is>
          <t>Cash</t>
        </is>
      </c>
      <c r="I713" s="301" t="inlineStr">
        <is>
          <t>✅ Paid</t>
        </is>
      </c>
      <c r="J713" s="423" t="inlineStr">
        <is>
          <t>No receipt; cash</t>
        </is>
      </c>
    </row>
    <row r="714">
      <c r="B714" s="429" t="n">
        <v>46266</v>
      </c>
      <c r="C714" s="297" t="inlineStr">
        <is>
          <t>Sams Club</t>
        </is>
      </c>
      <c r="D714" s="298" t="inlineStr">
        <is>
          <t>Sam's Club</t>
        </is>
      </c>
      <c r="E714" s="297" t="inlineStr">
        <is>
          <t>Supermarket/General</t>
        </is>
      </c>
      <c r="F714" s="299" t="n">
        <v>2816</v>
      </c>
      <c r="G714" s="300" t="inlineStr">
        <is>
          <t>Restaurant</t>
        </is>
      </c>
      <c r="H714" s="300" t="inlineStr">
        <is>
          <t>Cash</t>
        </is>
      </c>
      <c r="I714" s="301" t="inlineStr">
        <is>
          <t>✅ Paid</t>
        </is>
      </c>
      <c r="J714" s="423" t="inlineStr">
        <is>
          <t>No receipt; cash</t>
        </is>
      </c>
    </row>
    <row r="715">
      <c r="B715" s="429" t="n">
        <v>46267</v>
      </c>
      <c r="C715" s="297" t="inlineStr">
        <is>
          <t>Jamon</t>
        </is>
      </c>
      <c r="D715" s="298" t="inlineStr">
        <is>
          <t>No bill</t>
        </is>
      </c>
      <c r="E715" s="297" t="inlineStr">
        <is>
          <t>Ingredients - Meat</t>
        </is>
      </c>
      <c r="F715" s="299" t="n">
        <v>89</v>
      </c>
      <c r="G715" s="300" t="inlineStr">
        <is>
          <t>Restaurant</t>
        </is>
      </c>
      <c r="H715" s="300" t="inlineStr">
        <is>
          <t>Cash</t>
        </is>
      </c>
      <c r="I715" s="301" t="inlineStr">
        <is>
          <t>✅ Paid</t>
        </is>
      </c>
      <c r="J715" s="423" t="inlineStr">
        <is>
          <t>No receipt; cash</t>
        </is>
      </c>
    </row>
    <row r="716">
      <c r="B716" s="429" t="n">
        <v>46267</v>
      </c>
      <c r="C716" s="297" t="inlineStr">
        <is>
          <t>Chedraui</t>
        </is>
      </c>
      <c r="D716" s="298" t="inlineStr">
        <is>
          <t>Chedraui</t>
        </is>
      </c>
      <c r="E716" s="297" t="inlineStr">
        <is>
          <t>Supermarket/General</t>
        </is>
      </c>
      <c r="F716" s="299" t="n">
        <v>149</v>
      </c>
      <c r="G716" s="300" t="inlineStr">
        <is>
          <t>Restaurant</t>
        </is>
      </c>
      <c r="H716" s="300" t="inlineStr">
        <is>
          <t>Cash</t>
        </is>
      </c>
      <c r="I716" s="301" t="inlineStr">
        <is>
          <t>✅ Paid</t>
        </is>
      </c>
      <c r="J716" s="423" t="inlineStr">
        <is>
          <t>No receipt; cash</t>
        </is>
      </c>
    </row>
    <row r="717">
      <c r="B717" s="429" t="n">
        <v>46267</v>
      </c>
      <c r="C717" s="297" t="inlineStr">
        <is>
          <t>Avia</t>
        </is>
      </c>
      <c r="D717" s="298" t="inlineStr">
        <is>
          <t>No bill</t>
        </is>
      </c>
      <c r="E717" s="297" t="inlineStr">
        <is>
          <t>Ingredients - Beverages</t>
        </is>
      </c>
      <c r="F717" s="299" t="n">
        <v>450</v>
      </c>
      <c r="G717" s="300" t="inlineStr">
        <is>
          <t>Restaurant</t>
        </is>
      </c>
      <c r="H717" s="300" t="inlineStr">
        <is>
          <t>Cash</t>
        </is>
      </c>
      <c r="I717" s="301" t="inlineStr">
        <is>
          <t>✅ Paid</t>
        </is>
      </c>
      <c r="J717" s="423" t="inlineStr">
        <is>
          <t>No receipt; cash</t>
        </is>
      </c>
    </row>
    <row r="718">
      <c r="B718" s="429" t="n">
        <v>46268</v>
      </c>
      <c r="C718" s="297" t="inlineStr">
        <is>
          <t>Carne</t>
        </is>
      </c>
      <c r="D718" s="298" t="inlineStr">
        <is>
          <t>No bill</t>
        </is>
      </c>
      <c r="E718" s="297" t="inlineStr">
        <is>
          <t>Ingredients - Meat</t>
        </is>
      </c>
      <c r="F718" s="299" t="n">
        <v>1934</v>
      </c>
      <c r="G718" s="300" t="inlineStr">
        <is>
          <t>Restaurant</t>
        </is>
      </c>
      <c r="H718" s="300" t="inlineStr">
        <is>
          <t>Cash</t>
        </is>
      </c>
      <c r="I718" s="301" t="inlineStr">
        <is>
          <t>✅ Paid</t>
        </is>
      </c>
      <c r="J718" s="423" t="inlineStr">
        <is>
          <t>No receipt; cash</t>
        </is>
      </c>
    </row>
    <row r="719">
      <c r="B719" s="429" t="n">
        <v>46268</v>
      </c>
      <c r="C719" s="297" t="inlineStr">
        <is>
          <t>Vessels</t>
        </is>
      </c>
      <c r="D719" s="298" t="inlineStr">
        <is>
          <t>No bill</t>
        </is>
      </c>
      <c r="E719" s="297" t="inlineStr">
        <is>
          <t>Kitchen Supplies</t>
        </is>
      </c>
      <c r="F719" s="299" t="n">
        <v>1245</v>
      </c>
      <c r="G719" s="300" t="inlineStr">
        <is>
          <t>Restaurant</t>
        </is>
      </c>
      <c r="H719" s="300" t="inlineStr">
        <is>
          <t>Cash</t>
        </is>
      </c>
      <c r="I719" s="301" t="inlineStr">
        <is>
          <t>✅ Paid</t>
        </is>
      </c>
      <c r="J719" s="423" t="inlineStr">
        <is>
          <t>No receipt; cash</t>
        </is>
      </c>
    </row>
    <row r="720">
      <c r="B720" s="429" t="n">
        <v>46268</v>
      </c>
      <c r="C720" s="297" t="inlineStr">
        <is>
          <t>Pan Reales</t>
        </is>
      </c>
      <c r="D720" s="298" t="inlineStr">
        <is>
          <t>Pan Reales</t>
        </is>
      </c>
      <c r="E720" s="297" t="inlineStr">
        <is>
          <t>Ingredients - Bread</t>
        </is>
      </c>
      <c r="F720" s="299" t="n">
        <v>451</v>
      </c>
      <c r="G720" s="300" t="inlineStr">
        <is>
          <t>Restaurant</t>
        </is>
      </c>
      <c r="H720" s="300" t="inlineStr">
        <is>
          <t>Cash</t>
        </is>
      </c>
      <c r="I720" s="301" t="inlineStr">
        <is>
          <t>✅ Paid</t>
        </is>
      </c>
      <c r="J720" s="423" t="inlineStr">
        <is>
          <t>No receipt; cash</t>
        </is>
      </c>
    </row>
    <row r="721">
      <c r="B721" s="429" t="n">
        <v>46268</v>
      </c>
      <c r="C721" s="297" t="inlineStr">
        <is>
          <t>Vegetables</t>
        </is>
      </c>
      <c r="D721" s="298" t="inlineStr">
        <is>
          <t>No bill</t>
        </is>
      </c>
      <c r="E721" s="297" t="inlineStr">
        <is>
          <t>Ingredients - Vegetables</t>
        </is>
      </c>
      <c r="F721" s="299" t="n">
        <v>213</v>
      </c>
      <c r="G721" s="300" t="inlineStr">
        <is>
          <t>Restaurant</t>
        </is>
      </c>
      <c r="H721" s="300" t="inlineStr">
        <is>
          <t>Cash</t>
        </is>
      </c>
      <c r="I721" s="301" t="inlineStr">
        <is>
          <t>✅ Paid</t>
        </is>
      </c>
      <c r="J721" s="423" t="inlineStr">
        <is>
          <t>No receipt; cash</t>
        </is>
      </c>
    </row>
    <row r="722">
      <c r="B722" s="429" t="n">
        <v>46268</v>
      </c>
      <c r="C722" s="297" t="inlineStr">
        <is>
          <t>Carne</t>
        </is>
      </c>
      <c r="D722" s="298" t="inlineStr">
        <is>
          <t>No bill</t>
        </is>
      </c>
      <c r="E722" s="297" t="inlineStr">
        <is>
          <t>Ingredients - Meat</t>
        </is>
      </c>
      <c r="F722" s="299" t="n">
        <v>450</v>
      </c>
      <c r="G722" s="300" t="inlineStr">
        <is>
          <t>Restaurant</t>
        </is>
      </c>
      <c r="H722" s="300" t="inlineStr">
        <is>
          <t>Cash</t>
        </is>
      </c>
      <c r="I722" s="301" t="inlineStr">
        <is>
          <t>✅ Paid</t>
        </is>
      </c>
      <c r="J722" s="423" t="inlineStr">
        <is>
          <t>No receipt; cash</t>
        </is>
      </c>
    </row>
    <row r="723">
      <c r="B723" s="429" t="n">
        <v>46268</v>
      </c>
      <c r="C723" s="297" t="inlineStr">
        <is>
          <t>Pescado</t>
        </is>
      </c>
      <c r="D723" s="298" t="inlineStr">
        <is>
          <t>No bill</t>
        </is>
      </c>
      <c r="E723" s="297" t="inlineStr">
        <is>
          <t>Ingredients - Meat &amp; Fish</t>
        </is>
      </c>
      <c r="F723" s="299" t="n">
        <v>333</v>
      </c>
      <c r="G723" s="300" t="inlineStr">
        <is>
          <t>Restaurant</t>
        </is>
      </c>
      <c r="H723" s="300" t="inlineStr">
        <is>
          <t>Cash</t>
        </is>
      </c>
      <c r="I723" s="301" t="inlineStr">
        <is>
          <t>✅ Paid</t>
        </is>
      </c>
      <c r="J723" s="423" t="inlineStr">
        <is>
          <t>No receipt; cash</t>
        </is>
      </c>
    </row>
    <row r="724">
      <c r="B724" s="429" t="n">
        <v>46268</v>
      </c>
      <c r="C724" s="297" t="inlineStr">
        <is>
          <t>Oxxo</t>
        </is>
      </c>
      <c r="D724" s="298" t="inlineStr">
        <is>
          <t>OXXO</t>
        </is>
      </c>
      <c r="E724" s="297" t="inlineStr">
        <is>
          <t>Ingredients - Pantry</t>
        </is>
      </c>
      <c r="F724" s="299" t="n">
        <v>79</v>
      </c>
      <c r="G724" s="300" t="inlineStr">
        <is>
          <t>Restaurant</t>
        </is>
      </c>
      <c r="H724" s="300" t="inlineStr">
        <is>
          <t>Cash</t>
        </is>
      </c>
      <c r="I724" s="301" t="inlineStr">
        <is>
          <t>✅ Paid</t>
        </is>
      </c>
      <c r="J724" s="423" t="inlineStr">
        <is>
          <t>No receipt; cash</t>
        </is>
      </c>
    </row>
    <row r="725">
      <c r="B725" s="429" t="n">
        <v>46268</v>
      </c>
      <c r="C725" s="297" t="inlineStr">
        <is>
          <t>Jhon - salary</t>
        </is>
      </c>
      <c r="D725" s="298" t="inlineStr">
        <is>
          <t>Payroll</t>
        </is>
      </c>
      <c r="E725" s="297" t="inlineStr">
        <is>
          <t>Staff - Salary</t>
        </is>
      </c>
      <c r="F725" s="299" t="n">
        <v>500</v>
      </c>
      <c r="G725" s="300" t="inlineStr">
        <is>
          <t>Restaurant</t>
        </is>
      </c>
      <c r="H725" s="300" t="inlineStr">
        <is>
          <t>Cash</t>
        </is>
      </c>
      <c r="I725" s="301" t="inlineStr">
        <is>
          <t>✅ Paid</t>
        </is>
      </c>
      <c r="J725" s="423" t="inlineStr">
        <is>
          <t>Weekly salary</t>
        </is>
      </c>
    </row>
    <row r="726">
      <c r="B726" s="429" t="n">
        <v>46268</v>
      </c>
      <c r="C726" s="297" t="inlineStr">
        <is>
          <t>Armando - salary</t>
        </is>
      </c>
      <c r="D726" s="298" t="inlineStr">
        <is>
          <t>Payroll</t>
        </is>
      </c>
      <c r="E726" s="297" t="inlineStr">
        <is>
          <t>Staff - Salary</t>
        </is>
      </c>
      <c r="F726" s="299" t="n">
        <v>300</v>
      </c>
      <c r="G726" s="300" t="inlineStr">
        <is>
          <t>Restaurant</t>
        </is>
      </c>
      <c r="H726" s="300" t="inlineStr">
        <is>
          <t>Cash</t>
        </is>
      </c>
      <c r="I726" s="301" t="inlineStr">
        <is>
          <t>✅ Paid</t>
        </is>
      </c>
      <c r="J726" s="423" t="inlineStr">
        <is>
          <t>Weekly salary</t>
        </is>
      </c>
    </row>
    <row r="727">
      <c r="B727" s="429" t="n">
        <v>46269</v>
      </c>
      <c r="C727" s="297" t="inlineStr">
        <is>
          <t>Rent</t>
        </is>
      </c>
      <c r="D727" s="298" t="inlineStr">
        <is>
          <t>No Bill</t>
        </is>
      </c>
      <c r="E727" s="297" t="inlineStr">
        <is>
          <t>Rent</t>
        </is>
      </c>
      <c r="F727" s="299" t="n">
        <v>19066.68</v>
      </c>
      <c r="G727" s="300" t="inlineStr">
        <is>
          <t>Capital</t>
        </is>
      </c>
      <c r="H727" s="300" t="inlineStr">
        <is>
          <t>Transfer</t>
        </is>
      </c>
      <c r="I727" s="301" t="inlineStr">
        <is>
          <t>✅ Paid</t>
        </is>
      </c>
      <c r="J727" s="423" t="inlineStr">
        <is>
          <t>Paid from Capital</t>
        </is>
      </c>
    </row>
    <row r="728">
      <c r="B728" s="429" t="n">
        <v>46269</v>
      </c>
      <c r="C728" s="297" t="inlineStr">
        <is>
          <t>Pollo</t>
        </is>
      </c>
      <c r="D728" s="298" t="inlineStr">
        <is>
          <t>No bill</t>
        </is>
      </c>
      <c r="E728" s="297" t="inlineStr">
        <is>
          <t>Ingredients - Meat</t>
        </is>
      </c>
      <c r="F728" s="299" t="n">
        <v>117</v>
      </c>
      <c r="G728" s="300" t="inlineStr">
        <is>
          <t>Restaurant</t>
        </is>
      </c>
      <c r="H728" s="300" t="inlineStr">
        <is>
          <t>Cash</t>
        </is>
      </c>
      <c r="I728" s="301" t="inlineStr">
        <is>
          <t>✅ Paid</t>
        </is>
      </c>
      <c r="J728" s="423" t="inlineStr">
        <is>
          <t>No receipt; cash</t>
        </is>
      </c>
    </row>
    <row r="729">
      <c r="B729" s="429" t="n">
        <v>46269</v>
      </c>
      <c r="C729" s="297" t="inlineStr">
        <is>
          <t>Mayonesa</t>
        </is>
      </c>
      <c r="D729" s="298" t="inlineStr">
        <is>
          <t>No bill</t>
        </is>
      </c>
      <c r="E729" s="297" t="inlineStr">
        <is>
          <t>Ingredients - Other</t>
        </is>
      </c>
      <c r="F729" s="299" t="n">
        <v>227</v>
      </c>
      <c r="G729" s="300" t="inlineStr">
        <is>
          <t>Restaurant</t>
        </is>
      </c>
      <c r="H729" s="300" t="inlineStr">
        <is>
          <t>Cash</t>
        </is>
      </c>
      <c r="I729" s="301" t="inlineStr">
        <is>
          <t>✅ Paid</t>
        </is>
      </c>
      <c r="J729" s="423" t="inlineStr">
        <is>
          <t>No receipt; cash</t>
        </is>
      </c>
    </row>
    <row r="730">
      <c r="B730" s="429" t="n">
        <v>46269</v>
      </c>
      <c r="C730" s="297" t="inlineStr">
        <is>
          <t>Abastos</t>
        </is>
      </c>
      <c r="D730" s="298" t="inlineStr">
        <is>
          <t>Central de Abastos</t>
        </is>
      </c>
      <c r="E730" s="297" t="inlineStr">
        <is>
          <t>Ingredients - Vegetables</t>
        </is>
      </c>
      <c r="F730" s="299" t="n">
        <v>125</v>
      </c>
      <c r="G730" s="300" t="inlineStr">
        <is>
          <t>Restaurant</t>
        </is>
      </c>
      <c r="H730" s="300" t="inlineStr">
        <is>
          <t>Cash</t>
        </is>
      </c>
      <c r="I730" s="301" t="inlineStr">
        <is>
          <t>✅ Paid</t>
        </is>
      </c>
      <c r="J730" s="423" t="inlineStr">
        <is>
          <t>No receipt; cash</t>
        </is>
      </c>
    </row>
    <row r="731">
      <c r="B731" s="429" t="n">
        <v>46269</v>
      </c>
      <c r="C731" s="297" t="inlineStr">
        <is>
          <t>Basicos</t>
        </is>
      </c>
      <c r="D731" s="298" t="inlineStr">
        <is>
          <t>No bill</t>
        </is>
      </c>
      <c r="E731" s="297" t="inlineStr">
        <is>
          <t>Supermarket/General</t>
        </is>
      </c>
      <c r="F731" s="299" t="n">
        <v>346</v>
      </c>
      <c r="G731" s="300" t="inlineStr">
        <is>
          <t>Restaurant</t>
        </is>
      </c>
      <c r="H731" s="300" t="inlineStr">
        <is>
          <t>Cash</t>
        </is>
      </c>
      <c r="I731" s="301" t="inlineStr">
        <is>
          <t>✅ Paid</t>
        </is>
      </c>
      <c r="J731" s="423" t="inlineStr">
        <is>
          <t>No receipt; cash</t>
        </is>
      </c>
    </row>
    <row r="732">
      <c r="B732" s="429" t="n">
        <v>46270</v>
      </c>
      <c r="C732" s="297" t="inlineStr">
        <is>
          <t>Armando - salary</t>
        </is>
      </c>
      <c r="D732" s="298" t="inlineStr">
        <is>
          <t>Payroll</t>
        </is>
      </c>
      <c r="E732" s="297" t="inlineStr">
        <is>
          <t>Staff - Salary</t>
        </is>
      </c>
      <c r="F732" s="299" t="n">
        <v>2200</v>
      </c>
      <c r="G732" s="300" t="inlineStr">
        <is>
          <t>Restaurant</t>
        </is>
      </c>
      <c r="H732" s="300" t="inlineStr">
        <is>
          <t>Cash</t>
        </is>
      </c>
      <c r="I732" s="301" t="inlineStr">
        <is>
          <t>✅ Paid</t>
        </is>
      </c>
      <c r="J732" s="423" t="inlineStr">
        <is>
          <t>Weekly salary</t>
        </is>
      </c>
    </row>
    <row r="733">
      <c r="B733" s="429" t="n">
        <v>46270</v>
      </c>
      <c r="C733" s="297" t="inlineStr">
        <is>
          <t>Duvi - salary</t>
        </is>
      </c>
      <c r="D733" s="298" t="inlineStr">
        <is>
          <t>Payroll</t>
        </is>
      </c>
      <c r="E733" s="297" t="inlineStr">
        <is>
          <t>Staff - Salary</t>
        </is>
      </c>
      <c r="F733" s="299" t="n">
        <v>1460</v>
      </c>
      <c r="G733" s="300" t="inlineStr">
        <is>
          <t>Restaurant</t>
        </is>
      </c>
      <c r="H733" s="300" t="inlineStr">
        <is>
          <t>Cash</t>
        </is>
      </c>
      <c r="I733" s="301" t="inlineStr">
        <is>
          <t>✅ Paid</t>
        </is>
      </c>
      <c r="J733" s="423" t="inlineStr">
        <is>
          <t>Weekly salary</t>
        </is>
      </c>
    </row>
    <row r="734">
      <c r="B734" s="429" t="n">
        <v>46270</v>
      </c>
      <c r="C734" s="297" t="inlineStr">
        <is>
          <t>Jhon - salary</t>
        </is>
      </c>
      <c r="D734" s="298" t="inlineStr">
        <is>
          <t>Payroll</t>
        </is>
      </c>
      <c r="E734" s="297" t="inlineStr">
        <is>
          <t>Staff - Salary</t>
        </is>
      </c>
      <c r="F734" s="299" t="n">
        <v>3750</v>
      </c>
      <c r="G734" s="300" t="inlineStr">
        <is>
          <t>Restaurant</t>
        </is>
      </c>
      <c r="H734" s="300" t="inlineStr">
        <is>
          <t>Cash</t>
        </is>
      </c>
      <c r="I734" s="301" t="inlineStr">
        <is>
          <t>✅ Paid</t>
        </is>
      </c>
      <c r="J734" s="423" t="inlineStr">
        <is>
          <t>Weekly salary</t>
        </is>
      </c>
    </row>
    <row r="735">
      <c r="B735" s="429" t="n">
        <v>46270</v>
      </c>
      <c r="C735" s="297" t="inlineStr">
        <is>
          <t>Vegetables</t>
        </is>
      </c>
      <c r="D735" s="298" t="inlineStr">
        <is>
          <t>No bill</t>
        </is>
      </c>
      <c r="E735" s="297" t="inlineStr">
        <is>
          <t>Ingredients - Vegetables</t>
        </is>
      </c>
      <c r="F735" s="299" t="n">
        <v>1380</v>
      </c>
      <c r="G735" s="300" t="inlineStr">
        <is>
          <t>Restaurant</t>
        </is>
      </c>
      <c r="H735" s="300" t="inlineStr">
        <is>
          <t>Cash</t>
        </is>
      </c>
      <c r="I735" s="301" t="inlineStr">
        <is>
          <t>✅ Paid</t>
        </is>
      </c>
      <c r="J735" s="423" t="inlineStr">
        <is>
          <t>No receipt; cash</t>
        </is>
      </c>
    </row>
    <row r="736">
      <c r="B736" s="429" t="n">
        <v>46270</v>
      </c>
      <c r="C736" s="297" t="inlineStr">
        <is>
          <t>Chedraui</t>
        </is>
      </c>
      <c r="D736" s="298" t="inlineStr">
        <is>
          <t>Chedraui</t>
        </is>
      </c>
      <c r="E736" s="297" t="inlineStr">
        <is>
          <t>Supermarket/General</t>
        </is>
      </c>
      <c r="F736" s="299" t="n">
        <v>303</v>
      </c>
      <c r="G736" s="300" t="inlineStr">
        <is>
          <t>Restaurant</t>
        </is>
      </c>
      <c r="H736" s="300" t="inlineStr">
        <is>
          <t>Cash</t>
        </is>
      </c>
      <c r="I736" s="301" t="inlineStr">
        <is>
          <t>✅ Paid</t>
        </is>
      </c>
      <c r="J736" s="423" t="inlineStr">
        <is>
          <t>No receipt; cash</t>
        </is>
      </c>
    </row>
    <row r="737">
      <c r="B737" s="429" t="n">
        <v>46270</v>
      </c>
      <c r="C737" s="297" t="inlineStr">
        <is>
          <t>Jamon</t>
        </is>
      </c>
      <c r="D737" s="298" t="inlineStr">
        <is>
          <t>No bill</t>
        </is>
      </c>
      <c r="E737" s="297" t="inlineStr">
        <is>
          <t>Ingredients - Meat</t>
        </is>
      </c>
      <c r="F737" s="299" t="n">
        <v>89</v>
      </c>
      <c r="G737" s="300" t="inlineStr">
        <is>
          <t>Restaurant</t>
        </is>
      </c>
      <c r="H737" s="300" t="inlineStr">
        <is>
          <t>Cash</t>
        </is>
      </c>
      <c r="I737" s="301" t="inlineStr">
        <is>
          <t>✅ Paid</t>
        </is>
      </c>
      <c r="J737" s="423" t="inlineStr">
        <is>
          <t>No receipt; cash</t>
        </is>
      </c>
    </row>
    <row r="738">
      <c r="B738" s="429" t="n">
        <v>46272</v>
      </c>
      <c r="C738" s="297" t="inlineStr">
        <is>
          <t>Lechugas</t>
        </is>
      </c>
      <c r="D738" s="298" t="inlineStr">
        <is>
          <t>No bill</t>
        </is>
      </c>
      <c r="E738" s="297" t="inlineStr">
        <is>
          <t>Ingredients - Vegetables</t>
        </is>
      </c>
      <c r="F738" s="299" t="n">
        <v>60</v>
      </c>
      <c r="G738" s="300" t="inlineStr">
        <is>
          <t>Restaurant</t>
        </is>
      </c>
      <c r="H738" s="300" t="inlineStr">
        <is>
          <t>Cash</t>
        </is>
      </c>
      <c r="I738" s="301" t="inlineStr">
        <is>
          <t>✅ Paid</t>
        </is>
      </c>
      <c r="J738" s="423" t="inlineStr">
        <is>
          <t>No receipt; cash</t>
        </is>
      </c>
    </row>
    <row r="739">
      <c r="B739" s="429" t="n">
        <v>46272</v>
      </c>
      <c r="C739" s="297" t="inlineStr">
        <is>
          <t>Vegetales</t>
        </is>
      </c>
      <c r="D739" s="298" t="inlineStr">
        <is>
          <t>No bill</t>
        </is>
      </c>
      <c r="E739" s="297" t="inlineStr">
        <is>
          <t>Ingredients - Vegetables</t>
        </is>
      </c>
      <c r="F739" s="299" t="n">
        <v>200</v>
      </c>
      <c r="G739" s="300" t="inlineStr">
        <is>
          <t>Restaurant</t>
        </is>
      </c>
      <c r="H739" s="300" t="inlineStr">
        <is>
          <t>Cash</t>
        </is>
      </c>
      <c r="I739" s="301" t="inlineStr">
        <is>
          <t>✅ Paid</t>
        </is>
      </c>
      <c r="J739" s="423" t="inlineStr">
        <is>
          <t>No receipt; cash</t>
        </is>
      </c>
    </row>
    <row r="740">
      <c r="B740" s="429" t="n">
        <v>46272</v>
      </c>
      <c r="C740" s="297" t="inlineStr">
        <is>
          <t>Carne</t>
        </is>
      </c>
      <c r="D740" s="298" t="inlineStr">
        <is>
          <t>No bill</t>
        </is>
      </c>
      <c r="E740" s="297" t="inlineStr">
        <is>
          <t>Ingredients - Meat</t>
        </is>
      </c>
      <c r="F740" s="299" t="n">
        <v>3327</v>
      </c>
      <c r="G740" s="300" t="inlineStr">
        <is>
          <t>Restaurant</t>
        </is>
      </c>
      <c r="H740" s="300" t="inlineStr">
        <is>
          <t>Cash</t>
        </is>
      </c>
      <c r="I740" s="301" t="inlineStr">
        <is>
          <t>✅ Paid</t>
        </is>
      </c>
      <c r="J740" s="423" t="inlineStr">
        <is>
          <t>No receipt; cash</t>
        </is>
      </c>
    </row>
    <row r="741">
      <c r="B741" s="429" t="n">
        <v>46272</v>
      </c>
      <c r="C741" s="297" t="inlineStr">
        <is>
          <t>Caramelo</t>
        </is>
      </c>
      <c r="D741" s="298" t="inlineStr">
        <is>
          <t>No bill</t>
        </is>
      </c>
      <c r="E741" s="297" t="inlineStr">
        <is>
          <t>Ingredients - Other</t>
        </is>
      </c>
      <c r="F741" s="299" t="n">
        <v>95</v>
      </c>
      <c r="G741" s="300" t="inlineStr">
        <is>
          <t>Restaurant</t>
        </is>
      </c>
      <c r="H741" s="300" t="inlineStr">
        <is>
          <t>Cash</t>
        </is>
      </c>
      <c r="I741" s="301" t="inlineStr">
        <is>
          <t>✅ Paid</t>
        </is>
      </c>
      <c r="J741" s="423" t="inlineStr">
        <is>
          <t>No receipt; cash</t>
        </is>
      </c>
    </row>
    <row r="742">
      <c r="B742" s="429" t="n">
        <v>46272</v>
      </c>
      <c r="C742" s="297" t="inlineStr">
        <is>
          <t>Guimar</t>
        </is>
      </c>
      <c r="D742" s="298" t="inlineStr">
        <is>
          <t>Guimar Polietilenos</t>
        </is>
      </c>
      <c r="E742" s="297" t="inlineStr">
        <is>
          <t>Packaging/Disposables</t>
        </is>
      </c>
      <c r="F742" s="299" t="n">
        <v>24</v>
      </c>
      <c r="G742" s="300" t="inlineStr">
        <is>
          <t>Restaurant</t>
        </is>
      </c>
      <c r="H742" s="300" t="inlineStr">
        <is>
          <t>Cash</t>
        </is>
      </c>
      <c r="I742" s="301" t="inlineStr">
        <is>
          <t>✅ Paid</t>
        </is>
      </c>
      <c r="J742" s="423" t="inlineStr">
        <is>
          <t>No receipt; cash</t>
        </is>
      </c>
    </row>
    <row r="743">
      <c r="B743" s="429" t="n">
        <v>46272</v>
      </c>
      <c r="C743" s="297" t="inlineStr">
        <is>
          <t>Carne</t>
        </is>
      </c>
      <c r="D743" s="298" t="inlineStr">
        <is>
          <t>No bill</t>
        </is>
      </c>
      <c r="E743" s="297" t="inlineStr">
        <is>
          <t>Ingredients - Meat</t>
        </is>
      </c>
      <c r="F743" s="299" t="n">
        <v>498</v>
      </c>
      <c r="G743" s="300" t="inlineStr">
        <is>
          <t>Restaurant</t>
        </is>
      </c>
      <c r="H743" s="300" t="inlineStr">
        <is>
          <t>Cash</t>
        </is>
      </c>
      <c r="I743" s="301" t="inlineStr">
        <is>
          <t>✅ Paid</t>
        </is>
      </c>
      <c r="J743" s="423" t="inlineStr">
        <is>
          <t>No receipt; cash</t>
        </is>
      </c>
    </row>
    <row r="744">
      <c r="B744" s="429" t="n">
        <v>46272</v>
      </c>
      <c r="C744" s="297" t="inlineStr">
        <is>
          <t>Jamon</t>
        </is>
      </c>
      <c r="D744" s="298" t="inlineStr">
        <is>
          <t>No bill</t>
        </is>
      </c>
      <c r="E744" s="297" t="inlineStr">
        <is>
          <t>Ingredients - Meat</t>
        </is>
      </c>
      <c r="F744" s="299" t="n">
        <v>176</v>
      </c>
      <c r="G744" s="300" t="inlineStr">
        <is>
          <t>Restaurant</t>
        </is>
      </c>
      <c r="H744" s="300" t="inlineStr">
        <is>
          <t>Cash</t>
        </is>
      </c>
      <c r="I744" s="301" t="inlineStr">
        <is>
          <t>✅ Paid</t>
        </is>
      </c>
      <c r="J744" s="423" t="inlineStr">
        <is>
          <t>No receipt; cash</t>
        </is>
      </c>
    </row>
    <row r="745">
      <c r="B745" s="429" t="n">
        <v>46272</v>
      </c>
      <c r="C745" s="297" t="inlineStr">
        <is>
          <t>Pollo</t>
        </is>
      </c>
      <c r="D745" s="298" t="inlineStr">
        <is>
          <t>No bill</t>
        </is>
      </c>
      <c r="E745" s="297" t="inlineStr">
        <is>
          <t>Ingredients - Meat</t>
        </is>
      </c>
      <c r="F745" s="299" t="n">
        <v>925</v>
      </c>
      <c r="G745" s="300" t="inlineStr">
        <is>
          <t>Restaurant</t>
        </is>
      </c>
      <c r="H745" s="300" t="inlineStr">
        <is>
          <t>Cash</t>
        </is>
      </c>
      <c r="I745" s="301" t="inlineStr">
        <is>
          <t>✅ Paid</t>
        </is>
      </c>
      <c r="J745" s="423" t="inlineStr">
        <is>
          <t>No receipt; cash</t>
        </is>
      </c>
    </row>
    <row r="746">
      <c r="B746" s="429" t="n">
        <v>46272</v>
      </c>
      <c r="C746" s="297" t="inlineStr">
        <is>
          <t>Electric Issue</t>
        </is>
      </c>
      <c r="D746" s="298" t="inlineStr">
        <is>
          <t>No bill</t>
        </is>
      </c>
      <c r="E746" s="297" t="inlineStr">
        <is>
          <t>Maintenance</t>
        </is>
      </c>
      <c r="F746" s="299" t="n">
        <v>600</v>
      </c>
      <c r="G746" s="300" t="inlineStr">
        <is>
          <t>Restaurant</t>
        </is>
      </c>
      <c r="H746" s="300" t="inlineStr">
        <is>
          <t>Cash</t>
        </is>
      </c>
      <c r="I746" s="301" t="inlineStr">
        <is>
          <t>✅ Paid</t>
        </is>
      </c>
      <c r="J746" s="423" t="inlineStr">
        <is>
          <t>No receipt; cash. Electrical repair (confirmed 18-Sep)</t>
        </is>
      </c>
    </row>
    <row r="747">
      <c r="B747" s="429" t="n">
        <v>46272</v>
      </c>
      <c r="C747" s="297" t="inlineStr">
        <is>
          <t>Oxxo Arroz</t>
        </is>
      </c>
      <c r="D747" s="298" t="inlineStr">
        <is>
          <t>OXXO</t>
        </is>
      </c>
      <c r="E747" s="297" t="inlineStr">
        <is>
          <t>Ingredients - Pantry</t>
        </is>
      </c>
      <c r="F747" s="299" t="n">
        <v>260</v>
      </c>
      <c r="G747" s="300" t="inlineStr">
        <is>
          <t>Restaurant</t>
        </is>
      </c>
      <c r="H747" s="300" t="inlineStr">
        <is>
          <t>Cash</t>
        </is>
      </c>
      <c r="I747" s="301" t="inlineStr">
        <is>
          <t>✅ Paid</t>
        </is>
      </c>
      <c r="J747" s="423" t="inlineStr">
        <is>
          <t>No receipt; cash</t>
        </is>
      </c>
    </row>
    <row r="748">
      <c r="B748" s="429" t="n">
        <v>46272</v>
      </c>
      <c r="C748" s="297" t="inlineStr">
        <is>
          <t>Wallmart</t>
        </is>
      </c>
      <c r="D748" s="298" t="inlineStr">
        <is>
          <t>No bill</t>
        </is>
      </c>
      <c r="E748" s="297" t="inlineStr">
        <is>
          <t>Supplies/Other</t>
        </is>
      </c>
      <c r="F748" s="299" t="n">
        <v>123</v>
      </c>
      <c r="G748" s="300" t="inlineStr">
        <is>
          <t>Lohith</t>
        </is>
      </c>
      <c r="H748" s="300" t="inlineStr">
        <is>
          <t>Cash</t>
        </is>
      </c>
      <c r="I748" s="301" t="inlineStr">
        <is>
          <t>✅ Paid</t>
        </is>
      </c>
      <c r="J748" s="423" t="inlineStr">
        <is>
          <t>Pagado por Lohith (bolsillo); reembolsable via Owner Ledger</t>
        </is>
      </c>
    </row>
    <row r="749">
      <c r="B749" s="429" t="n">
        <v>46273</v>
      </c>
      <c r="C749" s="297" t="inlineStr">
        <is>
          <t>Vegetables</t>
        </is>
      </c>
      <c r="D749" s="298" t="inlineStr">
        <is>
          <t>No bill</t>
        </is>
      </c>
      <c r="E749" s="297" t="inlineStr">
        <is>
          <t>Ingredients - Vegetables</t>
        </is>
      </c>
      <c r="F749" s="299" t="n">
        <v>324</v>
      </c>
      <c r="G749" s="300" t="inlineStr">
        <is>
          <t>Restaurant</t>
        </is>
      </c>
      <c r="H749" s="300" t="inlineStr">
        <is>
          <t>Cash</t>
        </is>
      </c>
      <c r="I749" s="301" t="inlineStr">
        <is>
          <t>✅ Paid</t>
        </is>
      </c>
      <c r="J749" s="423" t="inlineStr">
        <is>
          <t>No receipt; cash</t>
        </is>
      </c>
    </row>
    <row r="750">
      <c r="B750" s="429" t="n">
        <v>46273</v>
      </c>
      <c r="C750" s="297" t="inlineStr">
        <is>
          <t>Molino Soya</t>
        </is>
      </c>
      <c r="D750" s="298" t="inlineStr">
        <is>
          <t>No bill</t>
        </is>
      </c>
      <c r="E750" s="297" t="inlineStr">
        <is>
          <t>Supermarket/General</t>
        </is>
      </c>
      <c r="F750" s="299" t="n">
        <v>55</v>
      </c>
      <c r="G750" s="300" t="inlineStr">
        <is>
          <t>Restaurant</t>
        </is>
      </c>
      <c r="H750" s="300" t="inlineStr">
        <is>
          <t>Cash</t>
        </is>
      </c>
      <c r="I750" s="301" t="inlineStr">
        <is>
          <t>✅ Paid</t>
        </is>
      </c>
      <c r="J750" s="423" t="inlineStr">
        <is>
          <t>No receipt; cash</t>
        </is>
      </c>
    </row>
    <row r="751">
      <c r="B751" s="429" t="n">
        <v>46273</v>
      </c>
      <c r="C751" s="297" t="inlineStr">
        <is>
          <t>La Comer</t>
        </is>
      </c>
      <c r="D751" s="298" t="inlineStr">
        <is>
          <t>No bill</t>
        </is>
      </c>
      <c r="E751" s="297" t="inlineStr">
        <is>
          <t>Supermarket/General</t>
        </is>
      </c>
      <c r="F751" s="299" t="n">
        <v>132</v>
      </c>
      <c r="G751" s="300" t="inlineStr">
        <is>
          <t>Restaurant</t>
        </is>
      </c>
      <c r="H751" s="300" t="inlineStr">
        <is>
          <t>Cash</t>
        </is>
      </c>
      <c r="I751" s="301" t="inlineStr">
        <is>
          <t>✅ Paid</t>
        </is>
      </c>
      <c r="J751" s="423" t="inlineStr">
        <is>
          <t>No receipt; cash</t>
        </is>
      </c>
    </row>
    <row r="752">
      <c r="B752" s="429" t="n">
        <v>46273</v>
      </c>
      <c r="C752" s="297" t="inlineStr">
        <is>
          <t>Guimar</t>
        </is>
      </c>
      <c r="D752" s="298" t="inlineStr">
        <is>
          <t>Guimar Polietilenos</t>
        </is>
      </c>
      <c r="E752" s="297" t="inlineStr">
        <is>
          <t>Packaging/Disposables</t>
        </is>
      </c>
      <c r="F752" s="299" t="n">
        <v>429</v>
      </c>
      <c r="G752" s="300" t="inlineStr">
        <is>
          <t>Restaurant</t>
        </is>
      </c>
      <c r="H752" s="300" t="inlineStr">
        <is>
          <t>Cash</t>
        </is>
      </c>
      <c r="I752" s="301" t="inlineStr">
        <is>
          <t>✅ Paid</t>
        </is>
      </c>
      <c r="J752" s="423" t="inlineStr">
        <is>
          <t>No receipt; cash</t>
        </is>
      </c>
    </row>
    <row r="753">
      <c r="B753" s="429" t="n">
        <v>46273</v>
      </c>
      <c r="C753" s="297" t="inlineStr">
        <is>
          <t>3B Jugo</t>
        </is>
      </c>
      <c r="D753" s="298" t="inlineStr">
        <is>
          <t>Tres B</t>
        </is>
      </c>
      <c r="E753" s="297" t="inlineStr">
        <is>
          <t>Supermarket/General</t>
        </is>
      </c>
      <c r="F753" s="299" t="n">
        <v>1040</v>
      </c>
      <c r="G753" s="300" t="inlineStr">
        <is>
          <t>Restaurant</t>
        </is>
      </c>
      <c r="H753" s="300" t="inlineStr">
        <is>
          <t>Cash</t>
        </is>
      </c>
      <c r="I753" s="301" t="inlineStr">
        <is>
          <t>✅ Paid</t>
        </is>
      </c>
      <c r="J753" s="423" t="inlineStr">
        <is>
          <t>No receipt; cash</t>
        </is>
      </c>
    </row>
    <row r="754">
      <c r="B754" s="429" t="n">
        <v>46274</v>
      </c>
      <c r="C754" s="297" t="inlineStr">
        <is>
          <t>Avia</t>
        </is>
      </c>
      <c r="D754" s="298" t="inlineStr">
        <is>
          <t>No bill</t>
        </is>
      </c>
      <c r="E754" s="297" t="inlineStr">
        <is>
          <t>Ingredients - Beverages</t>
        </is>
      </c>
      <c r="F754" s="299" t="n">
        <v>450</v>
      </c>
      <c r="G754" s="300" t="inlineStr">
        <is>
          <t>Restaurant</t>
        </is>
      </c>
      <c r="H754" s="300" t="inlineStr">
        <is>
          <t>Cash</t>
        </is>
      </c>
      <c r="I754" s="301" t="inlineStr">
        <is>
          <t>✅ Paid</t>
        </is>
      </c>
      <c r="J754" s="423" t="inlineStr">
        <is>
          <t>No receipt; cash</t>
        </is>
      </c>
    </row>
    <row r="755">
      <c r="B755" s="429" t="n">
        <v>46274</v>
      </c>
      <c r="C755" s="297" t="inlineStr">
        <is>
          <t>Carne</t>
        </is>
      </c>
      <c r="D755" s="298" t="inlineStr">
        <is>
          <t>No bill</t>
        </is>
      </c>
      <c r="E755" s="297" t="inlineStr">
        <is>
          <t>Ingredients - Meat</t>
        </is>
      </c>
      <c r="F755" s="299" t="n">
        <v>634</v>
      </c>
      <c r="G755" s="300" t="inlineStr">
        <is>
          <t>Restaurant</t>
        </is>
      </c>
      <c r="H755" s="300" t="inlineStr">
        <is>
          <t>Cash</t>
        </is>
      </c>
      <c r="I755" s="301" t="inlineStr">
        <is>
          <t>✅ Paid</t>
        </is>
      </c>
      <c r="J755" s="423" t="inlineStr">
        <is>
          <t>No receipt; cash</t>
        </is>
      </c>
    </row>
    <row r="756">
      <c r="B756" s="429" t="n">
        <v>46274</v>
      </c>
      <c r="C756" s="297" t="inlineStr">
        <is>
          <t>Oxxo</t>
        </is>
      </c>
      <c r="D756" s="298" t="inlineStr">
        <is>
          <t>OXXO</t>
        </is>
      </c>
      <c r="E756" s="297" t="inlineStr">
        <is>
          <t>Ingredients - Pantry</t>
        </is>
      </c>
      <c r="F756" s="299" t="n">
        <v>22</v>
      </c>
      <c r="G756" s="300" t="inlineStr">
        <is>
          <t>Restaurant</t>
        </is>
      </c>
      <c r="H756" s="300" t="inlineStr">
        <is>
          <t>Cash</t>
        </is>
      </c>
      <c r="I756" s="301" t="inlineStr">
        <is>
          <t>✅ Paid</t>
        </is>
      </c>
      <c r="J756" s="423" t="inlineStr">
        <is>
          <t>No receipt; cash</t>
        </is>
      </c>
    </row>
    <row r="757">
      <c r="B757" s="429" t="n">
        <v>46275</v>
      </c>
      <c r="C757" s="297" t="inlineStr">
        <is>
          <t>Pan Reales</t>
        </is>
      </c>
      <c r="D757" s="298" t="inlineStr">
        <is>
          <t>Pan Reales</t>
        </is>
      </c>
      <c r="E757" s="297" t="inlineStr">
        <is>
          <t>Ingredients - Bread</t>
        </is>
      </c>
      <c r="F757" s="299" t="n">
        <v>621</v>
      </c>
      <c r="G757" s="300" t="inlineStr">
        <is>
          <t>Restaurant</t>
        </is>
      </c>
      <c r="H757" s="300" t="inlineStr">
        <is>
          <t>Cash</t>
        </is>
      </c>
      <c r="I757" s="301" t="inlineStr">
        <is>
          <t>✅ Paid</t>
        </is>
      </c>
      <c r="J757" s="423" t="inlineStr">
        <is>
          <t>No receipt; cash</t>
        </is>
      </c>
    </row>
    <row r="758">
      <c r="B758" s="429" t="n">
        <v>46275</v>
      </c>
      <c r="C758" s="297" t="inlineStr">
        <is>
          <t>Oxxo</t>
        </is>
      </c>
      <c r="D758" s="298" t="inlineStr">
        <is>
          <t>OXXO</t>
        </is>
      </c>
      <c r="E758" s="297" t="inlineStr">
        <is>
          <t>Ingredients - Pantry</t>
        </is>
      </c>
      <c r="F758" s="299" t="n">
        <v>32</v>
      </c>
      <c r="G758" s="300" t="inlineStr">
        <is>
          <t>Restaurant</t>
        </is>
      </c>
      <c r="H758" s="300" t="inlineStr">
        <is>
          <t>Cash</t>
        </is>
      </c>
      <c r="I758" s="301" t="inlineStr">
        <is>
          <t>✅ Paid</t>
        </is>
      </c>
      <c r="J758" s="423" t="inlineStr">
        <is>
          <t>No receipt; cash</t>
        </is>
      </c>
    </row>
    <row r="759">
      <c r="B759" s="429" t="n">
        <v>46275</v>
      </c>
      <c r="C759" s="297" t="inlineStr">
        <is>
          <t>Pescado</t>
        </is>
      </c>
      <c r="D759" s="298" t="inlineStr">
        <is>
          <t>No bill</t>
        </is>
      </c>
      <c r="E759" s="297" t="inlineStr">
        <is>
          <t>Ingredients - Meat &amp; Fish</t>
        </is>
      </c>
      <c r="F759" s="299" t="n">
        <v>317</v>
      </c>
      <c r="G759" s="300" t="inlineStr">
        <is>
          <t>Restaurant</t>
        </is>
      </c>
      <c r="H759" s="300" t="inlineStr">
        <is>
          <t>Cash</t>
        </is>
      </c>
      <c r="I759" s="301" t="inlineStr">
        <is>
          <t>✅ Paid</t>
        </is>
      </c>
      <c r="J759" s="423" t="inlineStr">
        <is>
          <t>No receipt; cash</t>
        </is>
      </c>
    </row>
    <row r="760">
      <c r="B760" s="429" t="n">
        <v>46275</v>
      </c>
      <c r="C760" s="297" t="inlineStr">
        <is>
          <t>Carne</t>
        </is>
      </c>
      <c r="D760" s="298" t="inlineStr">
        <is>
          <t>No bill</t>
        </is>
      </c>
      <c r="E760" s="297" t="inlineStr">
        <is>
          <t>Ingredients - Meat</t>
        </is>
      </c>
      <c r="F760" s="299" t="n">
        <v>495</v>
      </c>
      <c r="G760" s="300" t="inlineStr">
        <is>
          <t>Restaurant</t>
        </is>
      </c>
      <c r="H760" s="300" t="inlineStr">
        <is>
          <t>Cash</t>
        </is>
      </c>
      <c r="I760" s="301" t="inlineStr">
        <is>
          <t>✅ Paid</t>
        </is>
      </c>
      <c r="J760" s="423" t="inlineStr">
        <is>
          <t>No receipt; cash</t>
        </is>
      </c>
    </row>
    <row r="761">
      <c r="B761" s="429" t="n">
        <v>46275</v>
      </c>
      <c r="C761" s="297" t="inlineStr">
        <is>
          <t>Tomato</t>
        </is>
      </c>
      <c r="D761" s="298" t="inlineStr">
        <is>
          <t>No bill</t>
        </is>
      </c>
      <c r="E761" s="297" t="inlineStr">
        <is>
          <t>Ingredients - Vegetables</t>
        </is>
      </c>
      <c r="F761" s="299" t="n">
        <v>60</v>
      </c>
      <c r="G761" s="300" t="inlineStr">
        <is>
          <t>Restaurant</t>
        </is>
      </c>
      <c r="H761" s="300" t="inlineStr">
        <is>
          <t>Cash</t>
        </is>
      </c>
      <c r="I761" s="301" t="inlineStr">
        <is>
          <t>✅ Paid</t>
        </is>
      </c>
      <c r="J761" s="423" t="inlineStr">
        <is>
          <t>No receipt; cash</t>
        </is>
      </c>
    </row>
    <row r="762">
      <c r="B762" s="429" t="n">
        <v>46275</v>
      </c>
      <c r="C762" s="297" t="inlineStr">
        <is>
          <t>Lechuga</t>
        </is>
      </c>
      <c r="D762" s="298" t="inlineStr">
        <is>
          <t>No bill</t>
        </is>
      </c>
      <c r="E762" s="297" t="inlineStr">
        <is>
          <t>Ingredients - Vegetables</t>
        </is>
      </c>
      <c r="F762" s="299" t="n">
        <v>50</v>
      </c>
      <c r="G762" s="300" t="inlineStr">
        <is>
          <t>Restaurant</t>
        </is>
      </c>
      <c r="H762" s="300" t="inlineStr">
        <is>
          <t>Cash</t>
        </is>
      </c>
      <c r="I762" s="301" t="inlineStr">
        <is>
          <t>✅ Paid</t>
        </is>
      </c>
      <c r="J762" s="423" t="inlineStr">
        <is>
          <t>No receipt; cash</t>
        </is>
      </c>
    </row>
    <row r="763">
      <c r="B763" s="429" t="n">
        <v>46275</v>
      </c>
      <c r="C763" s="297" t="inlineStr">
        <is>
          <t>Chedraui</t>
        </is>
      </c>
      <c r="D763" s="298" t="inlineStr">
        <is>
          <t>Chedraui</t>
        </is>
      </c>
      <c r="E763" s="297" t="inlineStr">
        <is>
          <t>Supermarket/General</t>
        </is>
      </c>
      <c r="F763" s="299" t="n">
        <v>84</v>
      </c>
      <c r="G763" s="300" t="inlineStr">
        <is>
          <t>Restaurant</t>
        </is>
      </c>
      <c r="H763" s="300" t="inlineStr">
        <is>
          <t>Cash</t>
        </is>
      </c>
      <c r="I763" s="301" t="inlineStr">
        <is>
          <t>✅ Paid</t>
        </is>
      </c>
      <c r="J763" s="423" t="inlineStr">
        <is>
          <t>No receipt; cash</t>
        </is>
      </c>
    </row>
    <row r="764">
      <c r="B764" s="429" t="n">
        <v>46276</v>
      </c>
      <c r="C764" s="297" t="inlineStr">
        <is>
          <t>Agua Natural</t>
        </is>
      </c>
      <c r="D764" s="298" t="inlineStr">
        <is>
          <t>No bill</t>
        </is>
      </c>
      <c r="E764" s="297" t="inlineStr">
        <is>
          <t>Ingredients - Beverages</t>
        </is>
      </c>
      <c r="F764" s="299" t="n">
        <v>45</v>
      </c>
      <c r="G764" s="300" t="inlineStr">
        <is>
          <t>Restaurant</t>
        </is>
      </c>
      <c r="H764" s="300" t="inlineStr">
        <is>
          <t>Cash</t>
        </is>
      </c>
      <c r="I764" s="301" t="inlineStr">
        <is>
          <t>✅ Paid</t>
        </is>
      </c>
      <c r="J764" s="423" t="inlineStr">
        <is>
          <t>No receipt; cash</t>
        </is>
      </c>
    </row>
    <row r="765">
      <c r="B765" s="429" t="n">
        <v>46277</v>
      </c>
      <c r="C765" s="297" t="inlineStr">
        <is>
          <t>Carne</t>
        </is>
      </c>
      <c r="D765" s="298" t="inlineStr">
        <is>
          <t>No bill</t>
        </is>
      </c>
      <c r="E765" s="297" t="inlineStr">
        <is>
          <t>Ingredients - Meat</t>
        </is>
      </c>
      <c r="F765" s="299" t="n">
        <v>300</v>
      </c>
      <c r="G765" s="300" t="inlineStr">
        <is>
          <t>Restaurant</t>
        </is>
      </c>
      <c r="H765" s="300" t="inlineStr">
        <is>
          <t>Cash</t>
        </is>
      </c>
      <c r="I765" s="301" t="inlineStr">
        <is>
          <t>✅ Paid</t>
        </is>
      </c>
      <c r="J765" s="423" t="inlineStr">
        <is>
          <t>No receipt; cash</t>
        </is>
      </c>
    </row>
    <row r="766">
      <c r="B766" s="429" t="n">
        <v>46277</v>
      </c>
      <c r="C766" s="297" t="inlineStr">
        <is>
          <t>Vegetales</t>
        </is>
      </c>
      <c r="D766" s="298" t="inlineStr">
        <is>
          <t>No bill</t>
        </is>
      </c>
      <c r="E766" s="297" t="inlineStr">
        <is>
          <t>Ingredients - Vegetables</t>
        </is>
      </c>
      <c r="F766" s="299" t="n">
        <v>950</v>
      </c>
      <c r="G766" s="300" t="inlineStr">
        <is>
          <t>Restaurant</t>
        </is>
      </c>
      <c r="H766" s="300" t="inlineStr">
        <is>
          <t>Cash</t>
        </is>
      </c>
      <c r="I766" s="301" t="inlineStr">
        <is>
          <t>✅ Paid</t>
        </is>
      </c>
      <c r="J766" s="423" t="inlineStr">
        <is>
          <t>No receipt; cash</t>
        </is>
      </c>
    </row>
    <row r="767">
      <c r="B767" s="429" t="n">
        <v>46277</v>
      </c>
      <c r="C767" s="297" t="inlineStr">
        <is>
          <t>Chedraui</t>
        </is>
      </c>
      <c r="D767" s="298" t="inlineStr">
        <is>
          <t>Chedraui</t>
        </is>
      </c>
      <c r="E767" s="297" t="inlineStr">
        <is>
          <t>Supermarket/General</t>
        </is>
      </c>
      <c r="F767" s="299" t="n">
        <v>153</v>
      </c>
      <c r="G767" s="300" t="inlineStr">
        <is>
          <t>Restaurant</t>
        </is>
      </c>
      <c r="H767" s="300" t="inlineStr">
        <is>
          <t>Cash</t>
        </is>
      </c>
      <c r="I767" s="301" t="inlineStr">
        <is>
          <t>✅ Paid</t>
        </is>
      </c>
      <c r="J767" s="423" t="inlineStr">
        <is>
          <t>No receipt; cash</t>
        </is>
      </c>
    </row>
    <row r="768">
      <c r="B768" s="429" t="n">
        <v>46277</v>
      </c>
      <c r="C768" s="297" t="inlineStr">
        <is>
          <t>Duvi - salary</t>
        </is>
      </c>
      <c r="D768" s="298" t="inlineStr">
        <is>
          <t>Payroll</t>
        </is>
      </c>
      <c r="E768" s="297" t="inlineStr">
        <is>
          <t>Staff - Salary</t>
        </is>
      </c>
      <c r="F768" s="299" t="n">
        <v>1460</v>
      </c>
      <c r="G768" s="300" t="inlineStr">
        <is>
          <t>Restaurant</t>
        </is>
      </c>
      <c r="H768" s="300" t="inlineStr">
        <is>
          <t>Cash</t>
        </is>
      </c>
      <c r="I768" s="301" t="inlineStr">
        <is>
          <t>✅ Paid</t>
        </is>
      </c>
      <c r="J768" s="423" t="inlineStr">
        <is>
          <t>Weekly salary</t>
        </is>
      </c>
    </row>
    <row r="769">
      <c r="B769" s="429" t="n">
        <v>46277</v>
      </c>
      <c r="C769" s="297" t="inlineStr">
        <is>
          <t>Armando - salary</t>
        </is>
      </c>
      <c r="D769" s="298" t="inlineStr">
        <is>
          <t>Payroll</t>
        </is>
      </c>
      <c r="E769" s="297" t="inlineStr">
        <is>
          <t>Staff - Salary</t>
        </is>
      </c>
      <c r="F769" s="299" t="n">
        <v>2200</v>
      </c>
      <c r="G769" s="300" t="inlineStr">
        <is>
          <t>Restaurant</t>
        </is>
      </c>
      <c r="H769" s="300" t="inlineStr">
        <is>
          <t>Cash</t>
        </is>
      </c>
      <c r="I769" s="301" t="inlineStr">
        <is>
          <t>✅ Paid</t>
        </is>
      </c>
      <c r="J769" s="423" t="inlineStr">
        <is>
          <t>Weekly salary</t>
        </is>
      </c>
    </row>
    <row r="770">
      <c r="B770" s="429" t="n">
        <v>46277</v>
      </c>
      <c r="C770" s="297" t="inlineStr">
        <is>
          <t>Jhon - salary</t>
        </is>
      </c>
      <c r="D770" s="298" t="inlineStr">
        <is>
          <t>Payroll</t>
        </is>
      </c>
      <c r="E770" s="297" t="inlineStr">
        <is>
          <t>Staff - Salary</t>
        </is>
      </c>
      <c r="F770" s="299" t="n">
        <v>3750</v>
      </c>
      <c r="G770" s="300" t="inlineStr">
        <is>
          <t>Restaurant</t>
        </is>
      </c>
      <c r="H770" s="300" t="inlineStr">
        <is>
          <t>Cash</t>
        </is>
      </c>
      <c r="I770" s="301" t="inlineStr">
        <is>
          <t>✅ Paid</t>
        </is>
      </c>
      <c r="J770" s="423" t="inlineStr">
        <is>
          <t>Weekly salary</t>
        </is>
      </c>
    </row>
    <row r="771">
      <c r="B771" s="429" t="n">
        <v>46279</v>
      </c>
      <c r="C771" s="297" t="inlineStr">
        <is>
          <t>Queso Panela</t>
        </is>
      </c>
      <c r="D771" s="298" t="inlineStr">
        <is>
          <t>No bill</t>
        </is>
      </c>
      <c r="E771" s="297" t="inlineStr">
        <is>
          <t>Ingredients - Dairy</t>
        </is>
      </c>
      <c r="F771" s="299" t="n">
        <v>590</v>
      </c>
      <c r="G771" s="300" t="inlineStr">
        <is>
          <t>Restaurant</t>
        </is>
      </c>
      <c r="H771" s="300" t="inlineStr">
        <is>
          <t>Cash</t>
        </is>
      </c>
      <c r="I771" s="301" t="inlineStr">
        <is>
          <t>✅ Paid</t>
        </is>
      </c>
      <c r="J771" s="423" t="inlineStr">
        <is>
          <t>No receipt; cash</t>
        </is>
      </c>
    </row>
    <row r="772">
      <c r="B772" s="429" t="n">
        <v>46279</v>
      </c>
      <c r="C772" s="297" t="inlineStr">
        <is>
          <t>oxxo</t>
        </is>
      </c>
      <c r="D772" s="298" t="inlineStr">
        <is>
          <t>OXXO</t>
        </is>
      </c>
      <c r="E772" s="297" t="inlineStr">
        <is>
          <t>Ingredients - Pantry</t>
        </is>
      </c>
      <c r="F772" s="299" t="n">
        <v>70</v>
      </c>
      <c r="G772" s="300" t="inlineStr">
        <is>
          <t>Restaurant</t>
        </is>
      </c>
      <c r="H772" s="300" t="inlineStr">
        <is>
          <t>Cash</t>
        </is>
      </c>
      <c r="I772" s="301" t="inlineStr">
        <is>
          <t>✅ Paid</t>
        </is>
      </c>
      <c r="J772" s="423" t="inlineStr">
        <is>
          <t>No receipt; cash</t>
        </is>
      </c>
    </row>
    <row r="773">
      <c r="B773" s="429" t="n">
        <v>46282</v>
      </c>
      <c r="C773" s="297" t="inlineStr">
        <is>
          <t>Sams Club</t>
        </is>
      </c>
      <c r="D773" s="298" t="inlineStr">
        <is>
          <t>Sam's Club</t>
        </is>
      </c>
      <c r="E773" s="297" t="inlineStr">
        <is>
          <t>Supermarket/General</t>
        </is>
      </c>
      <c r="F773" s="299" t="n">
        <v>713</v>
      </c>
      <c r="G773" s="300" t="inlineStr">
        <is>
          <t>Restaurant</t>
        </is>
      </c>
      <c r="H773" s="300" t="inlineStr">
        <is>
          <t>Cash</t>
        </is>
      </c>
      <c r="I773" s="301" t="inlineStr">
        <is>
          <t>✅ Paid</t>
        </is>
      </c>
      <c r="J773" s="423" t="inlineStr">
        <is>
          <t>No receipt; cash</t>
        </is>
      </c>
    </row>
    <row r="774">
      <c r="B774" s="429" t="n">
        <v>46282</v>
      </c>
      <c r="C774" s="297" t="inlineStr">
        <is>
          <t>Pollo</t>
        </is>
      </c>
      <c r="D774" s="298" t="inlineStr">
        <is>
          <t>No bill</t>
        </is>
      </c>
      <c r="E774" s="297" t="inlineStr">
        <is>
          <t>Ingredients - Meat</t>
        </is>
      </c>
      <c r="F774" s="299" t="n">
        <v>977</v>
      </c>
      <c r="G774" s="300" t="inlineStr">
        <is>
          <t>Lohith</t>
        </is>
      </c>
      <c r="H774" s="300" t="inlineStr">
        <is>
          <t>Cash</t>
        </is>
      </c>
      <c r="I774" s="301" t="inlineStr">
        <is>
          <t>✅ Paid</t>
        </is>
      </c>
      <c r="J774" s="423" t="inlineStr">
        <is>
          <t>Pagado por Lohith (bolsillo); reembolsable via Owner Ledger</t>
        </is>
      </c>
    </row>
    <row r="775">
      <c r="B775" s="429" t="n">
        <v>46282</v>
      </c>
      <c r="C775" s="297" t="inlineStr">
        <is>
          <t>Marker Vidrio</t>
        </is>
      </c>
      <c r="D775" s="298" t="inlineStr">
        <is>
          <t>No bill</t>
        </is>
      </c>
      <c r="E775" s="297" t="inlineStr">
        <is>
          <t>Office Supplies</t>
        </is>
      </c>
      <c r="F775" s="299" t="n">
        <v>392</v>
      </c>
      <c r="G775" s="300" t="inlineStr">
        <is>
          <t>Restaurant</t>
        </is>
      </c>
      <c r="H775" s="300" t="inlineStr">
        <is>
          <t>Cash</t>
        </is>
      </c>
      <c r="I775" s="301" t="inlineStr">
        <is>
          <t>✅ Paid</t>
        </is>
      </c>
      <c r="J775" s="423" t="inlineStr">
        <is>
          <t>No receipt; cash</t>
        </is>
      </c>
    </row>
    <row r="776">
      <c r="B776" s="429" t="n">
        <v>46282</v>
      </c>
      <c r="C776" s="297" t="inlineStr">
        <is>
          <t>3B</t>
        </is>
      </c>
      <c r="D776" s="298" t="inlineStr">
        <is>
          <t>Tres B</t>
        </is>
      </c>
      <c r="E776" s="297" t="inlineStr">
        <is>
          <t>Supermarket/General</t>
        </is>
      </c>
      <c r="F776" s="299" t="n">
        <v>529</v>
      </c>
      <c r="G776" s="300" t="inlineStr">
        <is>
          <t>Restaurant</t>
        </is>
      </c>
      <c r="H776" s="300" t="inlineStr">
        <is>
          <t>Cash</t>
        </is>
      </c>
      <c r="I776" s="301" t="inlineStr">
        <is>
          <t>✅ Paid</t>
        </is>
      </c>
      <c r="J776" s="423" t="inlineStr">
        <is>
          <t>No receipt; cash</t>
        </is>
      </c>
    </row>
    <row r="777">
      <c r="B777" s="429" t="n">
        <v>46282</v>
      </c>
      <c r="C777" s="297" t="inlineStr">
        <is>
          <t>Pollo</t>
        </is>
      </c>
      <c r="D777" s="298" t="inlineStr">
        <is>
          <t>No bill</t>
        </is>
      </c>
      <c r="E777" s="297" t="inlineStr">
        <is>
          <t>Ingredients - Meat</t>
        </is>
      </c>
      <c r="F777" s="299" t="n">
        <v>183</v>
      </c>
      <c r="G777" s="300" t="inlineStr">
        <is>
          <t>Lohith</t>
        </is>
      </c>
      <c r="H777" s="300" t="inlineStr">
        <is>
          <t>Cash</t>
        </is>
      </c>
      <c r="I777" s="301" t="inlineStr">
        <is>
          <t>✅ Paid</t>
        </is>
      </c>
      <c r="J777" s="423" t="inlineStr">
        <is>
          <t>Pagado por Lohith (bolsillo); reembolsable via Owner Ledger</t>
        </is>
      </c>
    </row>
    <row r="778">
      <c r="B778" s="429" t="n">
        <v>46283</v>
      </c>
      <c r="C778" s="297" t="inlineStr">
        <is>
          <t>Vegetables</t>
        </is>
      </c>
      <c r="D778" s="298" t="inlineStr">
        <is>
          <t>No bill</t>
        </is>
      </c>
      <c r="E778" s="297" t="inlineStr">
        <is>
          <t>Ingredients - Vegetables</t>
        </is>
      </c>
      <c r="F778" s="299" t="n">
        <v>72</v>
      </c>
      <c r="G778" s="300" t="inlineStr">
        <is>
          <t>Restaurant</t>
        </is>
      </c>
      <c r="H778" s="300" t="inlineStr">
        <is>
          <t>Cash</t>
        </is>
      </c>
      <c r="I778" s="301" t="inlineStr">
        <is>
          <t>✅ Paid</t>
        </is>
      </c>
      <c r="J778" s="423" t="inlineStr">
        <is>
          <t>No receipt; cash</t>
        </is>
      </c>
    </row>
    <row r="779">
      <c r="B779" s="429" t="n">
        <v>46283</v>
      </c>
      <c r="C779" s="297" t="inlineStr">
        <is>
          <t>Carne</t>
        </is>
      </c>
      <c r="D779" s="298" t="inlineStr">
        <is>
          <t>No bill</t>
        </is>
      </c>
      <c r="E779" s="297" t="inlineStr">
        <is>
          <t>Ingredients - Meat</t>
        </is>
      </c>
      <c r="F779" s="299" t="n">
        <v>1109</v>
      </c>
      <c r="G779" s="300" t="inlineStr">
        <is>
          <t>Restaurant</t>
        </is>
      </c>
      <c r="H779" s="300" t="inlineStr">
        <is>
          <t>Cash</t>
        </is>
      </c>
      <c r="I779" s="301" t="inlineStr">
        <is>
          <t>✅ Paid</t>
        </is>
      </c>
      <c r="J779" s="423" t="inlineStr">
        <is>
          <t>No receipt; cash</t>
        </is>
      </c>
    </row>
    <row r="780">
      <c r="B780" s="429" t="n">
        <v>46283</v>
      </c>
      <c r="C780" s="297" t="inlineStr">
        <is>
          <t>Chedraui</t>
        </is>
      </c>
      <c r="D780" s="298" t="inlineStr">
        <is>
          <t>Chedraui</t>
        </is>
      </c>
      <c r="E780" s="297" t="inlineStr">
        <is>
          <t>Supermarket/General</t>
        </is>
      </c>
      <c r="F780" s="299" t="n">
        <v>449</v>
      </c>
      <c r="G780" s="300" t="inlineStr">
        <is>
          <t>Restaurant</t>
        </is>
      </c>
      <c r="H780" s="300" t="inlineStr">
        <is>
          <t>Cash</t>
        </is>
      </c>
      <c r="I780" s="301" t="inlineStr">
        <is>
          <t>✅ Paid</t>
        </is>
      </c>
      <c r="J780" s="423" t="inlineStr">
        <is>
          <t>No receipt; cash</t>
        </is>
      </c>
    </row>
    <row r="781">
      <c r="B781" s="429" t="n">
        <v>46283</v>
      </c>
      <c r="C781" s="297" t="inlineStr">
        <is>
          <t>Internet</t>
        </is>
      </c>
      <c r="D781" s="298" t="inlineStr">
        <is>
          <t>No bill</t>
        </is>
      </c>
      <c r="E781" s="297" t="inlineStr">
        <is>
          <t>Utilities/Internet</t>
        </is>
      </c>
      <c r="F781" s="299" t="n">
        <v>349</v>
      </c>
      <c r="G781" s="300" t="inlineStr">
        <is>
          <t>Lohith</t>
        </is>
      </c>
      <c r="H781" s="300" t="inlineStr">
        <is>
          <t>Cash</t>
        </is>
      </c>
      <c r="I781" s="301" t="inlineStr">
        <is>
          <t>✅ Paid</t>
        </is>
      </c>
      <c r="J781" s="423" t="inlineStr">
        <is>
          <t>Pagado por Lohith (bolsillo); reembolsable via Owner Ledger</t>
        </is>
      </c>
    </row>
    <row r="782">
      <c r="B782" s="429" t="n">
        <v>46269</v>
      </c>
      <c r="C782" s="297" t="inlineStr">
        <is>
          <t>Guimar desechables</t>
        </is>
      </c>
      <c r="D782" s="298" t="inlineStr">
        <is>
          <t>Guimar Polietilenos</t>
        </is>
      </c>
      <c r="E782" s="297" t="inlineStr">
        <is>
          <t>Packaging/Disposables</t>
        </is>
      </c>
      <c r="F782" s="299" t="n">
        <v>226</v>
      </c>
      <c r="G782" s="300" t="inlineStr">
        <is>
          <t>Restaurant</t>
        </is>
      </c>
      <c r="H782" s="300" t="inlineStr">
        <is>
          <t>Cash</t>
        </is>
      </c>
      <c r="I782" s="301" t="inlineStr">
        <is>
          <t>✅ Paid</t>
        </is>
      </c>
      <c r="J782" s="423" t="inlineStr">
        <is>
          <t>No receipt; cash. Typed as 'Guimar 2333w' on 04-Sep and dropped by eod.py; confirmed $226 by Reddy 18-Sep</t>
        </is>
      </c>
    </row>
    <row r="783">
      <c r="B783" s="429" t="n">
        <v>46284</v>
      </c>
      <c r="C783" s="297" t="inlineStr">
        <is>
          <t>Jhon - salary</t>
        </is>
      </c>
      <c r="D783" s="298" t="inlineStr">
        <is>
          <t>Payroll</t>
        </is>
      </c>
      <c r="E783" s="297" t="inlineStr">
        <is>
          <t>Staff - Salary</t>
        </is>
      </c>
      <c r="F783" s="299" t="n">
        <v>3750</v>
      </c>
      <c r="G783" s="300" t="inlineStr">
        <is>
          <t>Restaurant</t>
        </is>
      </c>
      <c r="H783" s="300" t="inlineStr">
        <is>
          <t>Cash</t>
        </is>
      </c>
      <c r="I783" s="301" t="inlineStr">
        <is>
          <t>✅ Paid</t>
        </is>
      </c>
      <c r="J783" s="423" t="inlineStr">
        <is>
          <t>Weekly salary</t>
        </is>
      </c>
    </row>
    <row r="784">
      <c r="B784" s="429" t="n">
        <v>46284</v>
      </c>
      <c r="C784" s="297" t="inlineStr">
        <is>
          <t>Duvi - salary</t>
        </is>
      </c>
      <c r="D784" s="298" t="inlineStr">
        <is>
          <t>Payroll</t>
        </is>
      </c>
      <c r="E784" s="297" t="inlineStr">
        <is>
          <t>Staff - Salary</t>
        </is>
      </c>
      <c r="F784" s="299" t="n">
        <v>876</v>
      </c>
      <c r="G784" s="300" t="inlineStr">
        <is>
          <t>Restaurant</t>
        </is>
      </c>
      <c r="H784" s="300" t="inlineStr">
        <is>
          <t>Cash</t>
        </is>
      </c>
      <c r="I784" s="301" t="inlineStr">
        <is>
          <t>✅ Paid</t>
        </is>
      </c>
      <c r="J784" s="423" t="inlineStr">
        <is>
          <t>Weekly salary</t>
        </is>
      </c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tabSelected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331" min="1" max="1"/>
    <col width="26" customWidth="1" style="331" min="2" max="2"/>
    <col width="16" customWidth="1" style="331" min="3" max="3"/>
    <col width="10" customWidth="1" style="331" min="4" max="4"/>
    <col width="14" customWidth="1" style="331" min="5" max="5"/>
    <col width="12" customWidth="1" style="331" min="6" max="7"/>
    <col width="14" customWidth="1" style="331" min="8" max="8"/>
    <col width="16" customWidth="1" style="331" min="9" max="9"/>
    <col width="20" customWidth="1" style="331" min="10" max="10"/>
    <col width="18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📦  LOKA — INVENTORY</t>
        </is>
      </c>
      <c r="F2" s="418" t="inlineStr">
        <is>
          <t>Update stock levels when you receive deliveries or do stock checks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331">
      <c r="B6" s="79">
        <f>COUNTA(B9:B2000)</f>
        <v/>
      </c>
      <c r="D6" s="80">
        <f>COUNTIF(J9:J2000,"⚠️ LOW STOCK")</f>
        <v/>
      </c>
      <c r="E6" s="80">
        <f>COUNTIF(J9:J2000,"⚠️ LOW STOCK")+COUNTIF(J9:J2000,"🚫 OUT OF STOCK")</f>
        <v/>
      </c>
      <c r="F6" s="81">
        <f>COUNTIF(J9:J2000,"🚫 OUT OF STOCK")</f>
        <v/>
      </c>
      <c r="H6" s="81">
        <f>COUNTIF(J9:J2000,"⚠️ LOW STOCK")+COUNTIF(J9:J2000,"🚫 OUT OF STOCK")</f>
        <v/>
      </c>
      <c r="J6" s="82">
        <f>TODAY()</f>
        <v/>
      </c>
    </row>
    <row r="7" ht="7.5" customHeight="1" s="331"/>
    <row r="8" ht="19.5" customHeight="1" s="331">
      <c r="B8" s="406" t="inlineStr">
        <is>
          <t>Item Name  |  Category  |  Unit  |  Min Stock  |  Current Stock  |  Last Ordered  |  Supplier  |  Status  |  Notes</t>
        </is>
      </c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331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331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331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331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331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331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331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331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331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331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331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331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331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331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331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331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331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331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331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331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331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331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331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331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331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331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331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331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331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331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331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331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331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331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331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331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331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331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331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331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331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331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331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331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331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331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331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331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331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331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331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331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331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331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331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331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331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331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331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331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331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331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331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331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331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331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331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331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331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331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331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331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331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331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331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331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331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331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331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331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331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331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331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331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331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331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331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331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331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331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331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331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331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331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331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331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331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331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331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331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331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331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331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331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331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331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331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331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331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331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331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331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331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331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331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331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331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331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331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331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331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331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331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331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331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331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331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331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331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331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331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331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331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331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331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331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331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331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331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331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331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331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331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331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331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331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331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331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331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331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331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331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331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331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331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331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331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331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331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331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331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331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331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331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331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331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331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331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331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331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331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331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331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331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331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331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331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331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331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331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331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331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331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331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331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331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331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331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331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331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331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331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331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331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331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331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331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331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331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331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331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331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331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331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331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331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331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331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331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331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331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331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331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331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331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331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331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129"/>
  <sheetViews>
    <sheetView showGridLines="0" tabSelected="0" topLeftCell="A72" zoomScaleNormal="100" workbookViewId="0">
      <selection activeCell="A84" sqref="A84:D86"/>
    </sheetView>
  </sheetViews>
  <sheetFormatPr baseColWidth="8" defaultColWidth="8.6640625" defaultRowHeight="14.4" customHeight="1"/>
  <cols>
    <col width="18.33203125" customWidth="1" style="331" min="1" max="1"/>
    <col width="32.5546875" customWidth="1" style="331" min="2" max="2"/>
    <col width="19.44140625" bestFit="1" customWidth="1" style="331" min="3" max="3"/>
    <col width="15.21875" customWidth="1" style="331" min="4" max="4"/>
    <col width="13.88671875" customWidth="1" style="331" min="5" max="6"/>
    <col width="12.33203125" customWidth="1" style="331" min="7" max="7"/>
    <col width="12.88671875" customWidth="1" style="331" min="8" max="8"/>
    <col width="7.33203125" bestFit="1" customWidth="1" style="331" min="9" max="9"/>
    <col width="7.21875" bestFit="1" customWidth="1" style="331" min="10" max="10"/>
    <col width="11" bestFit="1" customWidth="1" style="331" min="11" max="11"/>
    <col width="10.77734375" bestFit="1" customWidth="1" style="331" min="12" max="12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331">
      <c r="A2" s="424" t="inlineStr">
        <is>
          <t>👥  LOKA — STAFF &amp; PAYROLL</t>
        </is>
      </c>
      <c r="D2" s="425" t="inlineStr">
        <is>
          <t>Weekly schedule + auto payroll calculation</t>
        </is>
      </c>
    </row>
    <row r="3" ht="3.75" customHeight="1" s="331"/>
    <row r="4" ht="7.5" customHeight="1" s="331"/>
    <row r="5" ht="7.5" customHeight="1" s="331" thickBot="1"/>
    <row r="6" ht="21.75" customHeight="1" s="331" thickBot="1">
      <c r="A6" s="360" t="inlineStr">
        <is>
          <t xml:space="preserve">  STAFF SCHEDULE  —  Week of:</t>
        </is>
      </c>
      <c r="B6" s="329" t="n"/>
      <c r="C6" s="329" t="n"/>
      <c r="D6" s="192">
        <f>TODAY()-WEEKDAY(TODAY(),2)+1</f>
        <v/>
      </c>
      <c r="E6" s="346" t="n"/>
      <c r="F6" s="346" t="n"/>
      <c r="G6" s="346" t="n"/>
      <c r="H6" s="346" t="n"/>
      <c r="I6" s="346" t="n"/>
      <c r="J6" s="346" t="n"/>
      <c r="K6" s="346" t="n"/>
      <c r="L6" s="346" t="n"/>
    </row>
    <row r="7" ht="27.75" customHeight="1" s="331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331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331" thickBot="1">
      <c r="A9" s="97" t="inlineStr">
        <is>
          <t>Debi</t>
        </is>
      </c>
      <c r="B9" s="103" t="inlineStr">
        <is>
          <t>Cleaner</t>
        </is>
      </c>
      <c r="C9" s="104" t="n">
        <v>243.3333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331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331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331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331" thickBot="1">
      <c r="A13" s="97" t="inlineStr">
        <is>
          <t>Samu (INACTIVE)</t>
        </is>
      </c>
      <c r="B13" s="98" t="inlineStr">
        <is>
          <t>Ayudante / Support — left Aug 2026 · final week paid 14 Aug ($1,200)</t>
        </is>
      </c>
      <c r="C13" s="99" t="n">
        <v>0</v>
      </c>
      <c r="D13" s="100" t="inlineStr">
        <is>
          <t>—</t>
        </is>
      </c>
      <c r="E13" s="100" t="inlineStr">
        <is>
          <t>—</t>
        </is>
      </c>
      <c r="F13" s="100" t="inlineStr">
        <is>
          <t>—</t>
        </is>
      </c>
      <c r="G13" s="100" t="inlineStr">
        <is>
          <t>—</t>
        </is>
      </c>
      <c r="H13" s="100" t="inlineStr">
        <is>
          <t>—</t>
        </is>
      </c>
      <c r="I13" s="100" t="inlineStr">
        <is>
          <t>—</t>
        </is>
      </c>
      <c r="J13" s="100" t="inlineStr">
        <is>
          <t>—</t>
        </is>
      </c>
      <c r="K13" s="101" t="n">
        <v>0</v>
      </c>
      <c r="L13" s="102" t="n">
        <v>0</v>
      </c>
    </row>
    <row r="14" ht="19.5" customHeight="1" s="331" thickBot="1">
      <c r="A14" s="97" t="inlineStr">
        <is>
          <t>Armando</t>
        </is>
      </c>
      <c r="B14" s="445" t="inlineStr">
        <is>
          <t>Ayudante / Support</t>
        </is>
      </c>
      <c r="C14" s="446" t="n">
        <v>440</v>
      </c>
      <c r="D14" s="447" t="inlineStr">
        <is>
          <t>Full Day</t>
        </is>
      </c>
      <c r="E14" s="447" t="inlineStr">
        <is>
          <t>Full Day</t>
        </is>
      </c>
      <c r="F14" s="447" t="inlineStr">
        <is>
          <t>Full Day</t>
        </is>
      </c>
      <c r="G14" s="447" t="inlineStr">
        <is>
          <t>Full Day</t>
        </is>
      </c>
      <c r="H14" s="447" t="inlineStr">
        <is>
          <t>Full Day</t>
        </is>
      </c>
      <c r="I14" s="447" t="inlineStr">
        <is>
          <t>Day Off</t>
        </is>
      </c>
      <c r="J14" s="447" t="inlineStr">
        <is>
          <t>Day Off</t>
        </is>
      </c>
      <c r="K14" s="448">
        <f>COUNTIF(D14:J14,"Full Day")</f>
        <v/>
      </c>
      <c r="L14" s="449">
        <f>K14*C14</f>
        <v/>
      </c>
    </row>
    <row r="15" ht="19.5" customHeight="1" s="331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331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331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331"/>
    <row r="19" ht="19.5" customHeight="1" s="331" thickBot="1"/>
    <row r="20" ht="27.75" customHeight="1" s="331" thickBot="1">
      <c r="A20" s="360" t="inlineStr">
        <is>
          <t xml:space="preserve">  MONTHLY PAYROLL PROJECTION</t>
        </is>
      </c>
      <c r="B20" s="329" t="n"/>
      <c r="C20" s="329" t="n"/>
      <c r="D20" s="329" t="n"/>
      <c r="E20" s="329" t="n"/>
      <c r="F20" s="329" t="n"/>
      <c r="G20" s="329" t="n"/>
      <c r="H20" s="329" t="n"/>
      <c r="I20" s="329" t="n"/>
      <c r="J20" s="329" t="n"/>
      <c r="K20" s="329" t="n"/>
      <c r="L20" s="329" t="n"/>
    </row>
    <row r="21" ht="18" customHeight="1" s="331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331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331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331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331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331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331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331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331">
      <c r="A29" s="115">
        <f>A15</f>
        <v/>
      </c>
      <c r="B29" s="346" t="n"/>
      <c r="C29" s="346" t="n"/>
      <c r="D29" s="346" t="n"/>
      <c r="E29" s="194">
        <f>C29*D29</f>
        <v/>
      </c>
      <c r="F29" s="342" t="n"/>
      <c r="G29" s="120">
        <f>E29*(1+F29)</f>
        <v/>
      </c>
      <c r="H29" s="96" t="n"/>
    </row>
    <row r="30" ht="17.4" customHeight="1" s="331">
      <c r="A30" s="408" t="inlineStr">
        <is>
          <t>TOTAL MONTHLY PAYROLL COST</t>
        </is>
      </c>
      <c r="B30" s="346" t="n"/>
      <c r="C30" s="346" t="n"/>
      <c r="D30" s="346" t="n"/>
      <c r="E30" s="346" t="n"/>
      <c r="F30" s="342" t="n"/>
      <c r="G30" s="108">
        <f>SUM(G21:G28)</f>
        <v/>
      </c>
    </row>
    <row r="33" ht="15.6" customHeight="1" s="331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1460</v>
      </c>
      <c r="C36" s="201" t="n">
        <v>5840</v>
      </c>
      <c r="D36" s="199" t="inlineStr">
        <is>
          <t>Confirmed 18-Sep-2026 ($1,460/wk)</t>
        </is>
      </c>
    </row>
    <row r="37">
      <c r="A37" t="inlineStr">
        <is>
          <t>Armando — Ayudante Salary</t>
        </is>
      </c>
      <c r="B37" s="199" t="n">
        <v>2200</v>
      </c>
      <c r="C37" s="220" t="n">
        <v>8800</v>
      </c>
      <c r="D37" s="221" t="inlineStr">
        <is>
          <t>Confirmed 18-Sep-2026 ($2,200/wk, Mon-Fri, $440/day)</t>
        </is>
      </c>
      <c r="E37" s="222" t="n"/>
    </row>
    <row r="38">
      <c r="A38" t="inlineStr">
        <is>
          <t>Samu — Ayudante Salary (INACTIVE)</t>
        </is>
      </c>
      <c r="B38" s="193" t="n">
        <v>0</v>
      </c>
      <c r="C38" s="223" t="n">
        <v>0</v>
      </c>
      <c r="D38" s="224" t="inlineStr">
        <is>
          <t>Left Aug 2026 — final week paid 14 Aug · removed from forward fixed costs</t>
        </is>
      </c>
      <c r="E38" s="225" t="n"/>
    </row>
    <row r="39">
      <c r="A39" s="193" t="inlineStr">
        <is>
          <t>Rent (contractual $19,066.68/mo from Sep)</t>
        </is>
      </c>
      <c r="B39" s="197" t="n">
        <v>4766.67</v>
      </c>
      <c r="C39" s="198" t="n">
        <v>19066.68</v>
      </c>
      <c r="D39" s="193" t="inlineStr">
        <is>
          <t>Cash basis; weekly = monthly / 4</t>
        </is>
      </c>
    </row>
    <row r="40">
      <c r="A40" s="199" t="inlineStr">
        <is>
          <t>Utilities - CFE + gas + internet + Soft app</t>
        </is>
      </c>
      <c r="B40" s="200" t="n">
        <v>1763.25</v>
      </c>
      <c r="C40" s="201" t="n">
        <v>7053</v>
      </c>
      <c r="D40" s="199" t="inlineStr">
        <is>
          <t>CFE $8,789 bimonthly (~$4,395/mo) + gas $1,500 + internet $349 + Soft $810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STAFF STATUS — ✅ JOHN + DEBI + ARMANDO ACTIVE (Samu left Aug 2026)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331">
      <c r="A45" s="203" t="inlineStr">
        <is>
          <t>Current roster: John + Duvi + Armando</t>
        </is>
      </c>
      <c r="B45" s="204">
        <f>B41</f>
        <v/>
      </c>
      <c r="C45" s="204" t="n">
        <v>10500</v>
      </c>
      <c r="D45" s="204">
        <f>B45+C45</f>
        <v/>
      </c>
      <c r="E45" s="204">
        <f>D45/6</f>
        <v/>
      </c>
      <c r="F45" s="204" t="inlineStr">
        <is>
          <t>Payroll $7,410/wk as confirmed 18-Sep</t>
        </is>
      </c>
      <c r="G45" s="204" t="inlineStr">
        <is>
          <t>Break-even = (fixed + variable) / 6 trading days</t>
        </is>
      </c>
      <c r="H45" s="204" t="n"/>
    </row>
    <row r="47" ht="15.6" customHeight="1" s="331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Current (John + Duvi + Armando)</t>
        </is>
      </c>
      <c r="B49" s="205">
        <f>B41</f>
        <v/>
      </c>
      <c r="C49" s="206" t="n">
        <v>10500</v>
      </c>
      <c r="D49" s="207">
        <f>B49+C49</f>
        <v/>
      </c>
      <c r="E49" s="208">
        <f>D49/6</f>
        <v/>
      </c>
      <c r="F49" s="204" t="n">
        <v>3980</v>
      </c>
      <c r="G49" s="204">
        <f>IF(F49&gt;=E49,"✅ Above break-even","⚠️ Below by $"&amp;TEXT(E49-F49,"#,##0")&amp;"/day")</f>
        <v/>
      </c>
      <c r="H49" t="inlineStr">
        <is>
          <t>F = Sep avg/day to 18-Sep, excl. the one-off $15,896 payment</t>
        </is>
      </c>
    </row>
    <row r="50">
      <c r="A50" s="209" t="inlineStr">
        <is>
          <t>If a mesero is hired (+$2,000/wk)</t>
        </is>
      </c>
      <c r="B50" s="210">
        <f>B41+2000</f>
        <v/>
      </c>
      <c r="C50" s="211" t="n">
        <v>10500</v>
      </c>
      <c r="D50" s="212">
        <f>B50+C50</f>
        <v/>
      </c>
      <c r="E50" s="213">
        <f>D50/6</f>
        <v/>
      </c>
      <c r="F50" s="209">
        <f>F49</f>
        <v/>
      </c>
      <c r="G50" s="209">
        <f>IF(F50&gt;=E50,"✅ Above break-even","⚠️ Below by $"&amp;TEXT(E50-F50,"#,##0")&amp;"/day")</f>
        <v/>
      </c>
      <c r="H50" t="inlineStr">
        <is>
          <t>Scenario only</t>
        </is>
      </c>
    </row>
    <row r="51">
      <c r="A51" s="214" t="inlineStr">
        <is>
          <t>Safety buffer (+15%)</t>
        </is>
      </c>
      <c r="B51" s="215">
        <f>B49</f>
        <v/>
      </c>
      <c r="C51" s="216">
        <f>C49</f>
        <v/>
      </c>
      <c r="D51" s="217">
        <f>D49*1.15</f>
        <v/>
      </c>
      <c r="E51" s="218">
        <f>D51/6</f>
        <v/>
      </c>
      <c r="F51" s="214">
        <f>F49</f>
        <v/>
      </c>
      <c r="G51" s="214">
        <f>IF(F51&gt;=E51,"✅ Above break-even","⚠️ Below by $"&amp;TEXT(E51-F51,"#,##0")&amp;"/day")</f>
        <v/>
      </c>
      <c r="H51" t="inlineStr">
        <is>
          <t>Healthy target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food + supplies, estimated $10,500/wk (Aug actual ~ $10,750/wk).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Rent = contractual $19,066.68/mo from Sep (cash basis). Weekly figures use monthly / 4.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Utilities ~ $7,053/mo from actual bills: CFE $8,789 bimonthly + gas $1,500 + internet $349 + Soft app $810.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Payroll confirmed 18-Sep-2026: John $3,750 + Duvi $1,460 + Armando $2,200 = $7,410/wk.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331"/>
    <row r="61" ht="15.6" customHeight="1" s="331">
      <c r="A61" s="265" t="inlineStr">
        <is>
          <t>── PROPINAS / TIPS PASS-THROUGH (NOT income, NOT expense) ──</t>
        </is>
      </c>
      <c r="B61" s="265" t="n"/>
      <c r="C61" s="265" t="n"/>
      <c r="D61" s="265" t="n"/>
    </row>
    <row r="62">
      <c r="A62" s="265" t="inlineStr">
        <is>
          <t>Date</t>
        </is>
      </c>
      <c r="B62" s="265" t="inlineStr">
        <is>
          <t>Paid To</t>
        </is>
      </c>
      <c r="C62" s="265" t="n"/>
      <c r="D62" s="265" t="inlineStr">
        <is>
          <t>Amount</t>
        </is>
      </c>
    </row>
    <row r="63">
      <c r="A63" s="263" t="n">
        <v>46165</v>
      </c>
      <c r="B63" s="262" t="inlineStr">
        <is>
          <t>John (6 dias)</t>
        </is>
      </c>
      <c r="C63" s="262" t="n"/>
      <c r="D63" s="264" t="n">
        <v>515</v>
      </c>
    </row>
    <row r="64">
      <c r="A64" s="263" t="n">
        <v>46165</v>
      </c>
      <c r="B64" s="262" t="inlineStr">
        <is>
          <t>Debi (6 dias)</t>
        </is>
      </c>
      <c r="C64" s="262" t="n"/>
      <c r="D64" s="264" t="n">
        <v>515</v>
      </c>
    </row>
    <row r="65">
      <c r="A65" s="263" t="n">
        <v>46165</v>
      </c>
      <c r="B65" s="262" t="inlineStr">
        <is>
          <t>Victor (2 dias)</t>
        </is>
      </c>
      <c r="C65" s="262" t="n"/>
      <c r="D65" s="264" t="n">
        <v>168</v>
      </c>
    </row>
    <row r="66">
      <c r="A66" s="263" t="n">
        <v>46174</v>
      </c>
      <c r="B66" s="262" t="inlineStr">
        <is>
          <t>John (Week 2)</t>
        </is>
      </c>
      <c r="C66" s="262" t="n"/>
      <c r="D66" s="264" t="n">
        <v>350</v>
      </c>
    </row>
    <row r="67">
      <c r="A67" s="263" t="n">
        <v>46174</v>
      </c>
      <c r="B67" s="262" t="inlineStr">
        <is>
          <t>Duvi/Debi (Week 2)</t>
        </is>
      </c>
      <c r="C67" s="262" t="n"/>
      <c r="D67" s="264" t="n">
        <v>350</v>
      </c>
    </row>
    <row r="68">
      <c r="A68" s="263" t="n">
        <v>46186</v>
      </c>
      <c r="B68" s="262" t="inlineStr">
        <is>
          <t>John (Week 4)</t>
        </is>
      </c>
      <c r="C68" s="262" t="n"/>
      <c r="D68" s="264" t="n">
        <v>200</v>
      </c>
    </row>
    <row r="69">
      <c r="A69" s="263" t="n">
        <v>46186</v>
      </c>
      <c r="B69" s="262" t="inlineStr">
        <is>
          <t>Duvi/Debi (Week 4)</t>
        </is>
      </c>
      <c r="C69" s="262" t="n"/>
      <c r="D69" s="264" t="n">
        <v>200</v>
      </c>
    </row>
    <row r="70">
      <c r="A70" s="263" t="n">
        <v>46186</v>
      </c>
      <c r="B70" s="262" t="inlineStr">
        <is>
          <t>Cesar (Week 4)</t>
        </is>
      </c>
      <c r="C70" s="262" t="n"/>
      <c r="D70" s="264" t="n">
        <v>126</v>
      </c>
    </row>
    <row r="71">
      <c r="A71" s="263" t="n">
        <v>46186</v>
      </c>
      <c r="B71" s="262" t="inlineStr">
        <is>
          <t>Samu (Week 4)</t>
        </is>
      </c>
      <c r="C71" s="262" t="n"/>
      <c r="D71" s="264" t="n">
        <v>126</v>
      </c>
    </row>
    <row r="72">
      <c r="A72" s="263" t="n">
        <v>46193</v>
      </c>
      <c r="B72" s="262" t="inlineStr">
        <is>
          <t>Duvi/Debi (Week 5 partial)</t>
        </is>
      </c>
      <c r="C72" s="262" t="n"/>
      <c r="D72" s="264" t="n">
        <v>120</v>
      </c>
    </row>
    <row r="73">
      <c r="A73" s="263" t="n">
        <v>46193</v>
      </c>
      <c r="B73" s="262" t="inlineStr">
        <is>
          <t>John (Week 5 partial)</t>
        </is>
      </c>
      <c r="C73" s="262" t="n"/>
      <c r="D73" s="264" t="n">
        <v>150</v>
      </c>
    </row>
    <row r="74">
      <c r="A74" s="263" t="n">
        <v>46193</v>
      </c>
      <c r="B74" s="262" t="inlineStr">
        <is>
          <t>Samu (Week 5)</t>
        </is>
      </c>
      <c r="C74" s="262" t="n"/>
      <c r="D74" s="264" t="n">
        <v>100</v>
      </c>
      <c r="E74" s="266" t="n"/>
      <c r="F74" s="266" t="n"/>
      <c r="G74" s="266" t="n"/>
      <c r="H74" s="266" t="n"/>
    </row>
    <row r="75">
      <c r="A75" s="263" t="n">
        <v>46216</v>
      </c>
      <c r="B75" s="262" t="inlineStr">
        <is>
          <t>John (Week 8: 6-12 Jul)</t>
        </is>
      </c>
      <c r="C75" s="262" t="n"/>
      <c r="D75" s="264" t="n">
        <v>100</v>
      </c>
    </row>
    <row r="76">
      <c r="A76" s="263" t="n">
        <v>46216</v>
      </c>
      <c r="B76" s="262" t="inlineStr">
        <is>
          <t>Duvi/Debi (Week 8: 6-12 Jul)</t>
        </is>
      </c>
      <c r="C76" s="262" t="n"/>
      <c r="D76" s="264" t="n">
        <v>80</v>
      </c>
    </row>
    <row r="77">
      <c r="A77" s="263" t="n">
        <v>46216</v>
      </c>
      <c r="B77" s="262" t="inlineStr">
        <is>
          <t>Samu (Week 8: 6-12 Jul)</t>
        </is>
      </c>
      <c r="C77" s="262" t="n"/>
      <c r="D77" s="264" t="n">
        <v>80</v>
      </c>
    </row>
    <row r="78">
      <c r="A78" s="263" t="n">
        <v>46225</v>
      </c>
      <c r="B78" s="262" t="inlineStr">
        <is>
          <t>John (Week 9: 13-19 Jul)</t>
        </is>
      </c>
      <c r="C78" s="262" t="n"/>
      <c r="D78" s="264" t="n">
        <v>160</v>
      </c>
    </row>
    <row r="79">
      <c r="A79" s="263" t="n">
        <v>46225</v>
      </c>
      <c r="B79" s="262" t="inlineStr">
        <is>
          <t>Duvi/Debi (Week 9: 13-19 Jul)</t>
        </is>
      </c>
      <c r="C79" s="262" t="n"/>
      <c r="D79" s="264" t="n">
        <v>160</v>
      </c>
    </row>
    <row r="80">
      <c r="A80" s="263" t="n">
        <v>46225</v>
      </c>
      <c r="B80" s="262" t="inlineStr">
        <is>
          <t>Samu (Week 9: 13-19 Jul)</t>
        </is>
      </c>
      <c r="C80" s="262" t="n"/>
      <c r="D80" s="264" t="n">
        <v>160</v>
      </c>
    </row>
    <row r="81">
      <c r="A81" s="263" t="n">
        <v>46237</v>
      </c>
      <c r="B81" s="262" t="inlineStr">
        <is>
          <t>John (Week 10)</t>
        </is>
      </c>
      <c r="C81" s="262" t="n"/>
      <c r="D81" s="264" t="n">
        <v>100</v>
      </c>
    </row>
    <row r="82">
      <c r="A82" s="263" t="n">
        <v>46237</v>
      </c>
      <c r="B82" s="262" t="inlineStr">
        <is>
          <t>Duvi/Debi (Week 10)</t>
        </is>
      </c>
      <c r="C82" s="262" t="n"/>
      <c r="D82" s="264" t="n">
        <v>100</v>
      </c>
    </row>
    <row r="83">
      <c r="A83" s="263" t="n">
        <v>46237</v>
      </c>
      <c r="B83" s="262" t="inlineStr">
        <is>
          <t>Samu (Week 10)</t>
        </is>
      </c>
      <c r="C83" s="262" t="n"/>
      <c r="D83" s="264" t="n">
        <v>100</v>
      </c>
    </row>
    <row r="84">
      <c r="A84" s="263" t="n">
        <v>46245</v>
      </c>
      <c r="B84" s="262" t="inlineStr">
        <is>
          <t>John (week 11)</t>
        </is>
      </c>
      <c r="C84" s="262" t="n"/>
      <c r="D84" s="264" t="n">
        <v>150</v>
      </c>
    </row>
    <row r="85">
      <c r="A85" s="263" t="n">
        <v>46245</v>
      </c>
      <c r="B85" s="262" t="inlineStr">
        <is>
          <t>Samu (week 11)</t>
        </is>
      </c>
      <c r="C85" s="262" t="n"/>
      <c r="D85" s="264" t="n">
        <v>105</v>
      </c>
    </row>
    <row r="86">
      <c r="A86" s="263" t="n"/>
      <c r="B86" s="262" t="n"/>
      <c r="C86" s="262" t="n"/>
      <c r="D86" s="264" t="n"/>
    </row>
    <row r="87">
      <c r="A87" s="263" t="n"/>
      <c r="B87" s="262" t="n"/>
      <c r="C87" s="262" t="n"/>
      <c r="D87" s="264" t="n"/>
    </row>
    <row r="88">
      <c r="A88" s="263" t="n"/>
      <c r="B88" s="262" t="n"/>
      <c r="C88" s="262" t="n"/>
      <c r="D88" s="264" t="n"/>
    </row>
    <row r="89">
      <c r="A89" s="263" t="n"/>
      <c r="B89" s="262" t="n"/>
      <c r="C89" s="262" t="n"/>
      <c r="D89" s="264" t="n"/>
    </row>
    <row r="90">
      <c r="A90" s="263" t="n"/>
      <c r="B90" s="262" t="n"/>
      <c r="C90" s="262" t="n"/>
      <c r="D90" s="264" t="n"/>
    </row>
    <row r="91">
      <c r="A91" s="263" t="n"/>
      <c r="B91" s="262" t="n"/>
      <c r="C91" s="262" t="n"/>
      <c r="D91" s="264" t="n"/>
    </row>
    <row r="92">
      <c r="A92" s="263" t="n"/>
      <c r="B92" s="262" t="n"/>
      <c r="C92" s="262" t="n"/>
      <c r="D92" s="264" t="n"/>
    </row>
    <row r="93">
      <c r="A93" s="263" t="n"/>
      <c r="B93" s="262" t="n"/>
      <c r="C93" s="262" t="n"/>
      <c r="D93" s="264" t="n"/>
      <c r="E93" s="423" t="n"/>
      <c r="F93" s="423" t="n"/>
      <c r="G93" s="423" t="n"/>
      <c r="H93" s="423" t="n"/>
    </row>
    <row r="94">
      <c r="A94" s="263" t="n"/>
      <c r="B94" s="262" t="n"/>
      <c r="C94" s="262" t="n"/>
      <c r="D94" s="264" t="n"/>
      <c r="E94" s="423" t="n"/>
      <c r="F94" s="423" t="n"/>
      <c r="G94" s="423" t="n"/>
      <c r="H94" s="423" t="n"/>
    </row>
    <row r="95">
      <c r="A95" s="263" t="n"/>
      <c r="B95" s="262" t="n"/>
      <c r="C95" s="262" t="n"/>
      <c r="D95" s="264" t="n"/>
      <c r="E95" s="423" t="n"/>
      <c r="F95" s="423" t="n"/>
      <c r="G95" s="423" t="n"/>
      <c r="H95" s="423" t="n"/>
    </row>
    <row r="96">
      <c r="A96" s="263" t="n"/>
      <c r="B96" s="262" t="n"/>
      <c r="C96" s="262" t="n"/>
      <c r="D96" s="264" t="n"/>
      <c r="E96" s="423" t="n"/>
      <c r="F96" s="423" t="n"/>
      <c r="G96" s="423" t="n"/>
      <c r="H96" s="423" t="n"/>
    </row>
    <row r="97">
      <c r="A97" s="263" t="n"/>
      <c r="B97" s="262" t="n"/>
      <c r="C97" s="262" t="n"/>
      <c r="D97" s="264" t="n"/>
      <c r="E97" s="423" t="n"/>
      <c r="F97" s="423" t="n"/>
      <c r="G97" s="423" t="n"/>
      <c r="H97" s="423" t="n"/>
    </row>
    <row r="98">
      <c r="A98" s="263" t="n"/>
      <c r="B98" s="262" t="n"/>
      <c r="C98" s="262" t="n"/>
      <c r="D98" s="264" t="n"/>
      <c r="E98" s="423" t="n"/>
      <c r="F98" s="423" t="n"/>
      <c r="G98" s="423" t="n"/>
      <c r="H98" s="423" t="n"/>
    </row>
    <row r="99">
      <c r="A99" s="263" t="n"/>
      <c r="B99" s="262" t="n"/>
      <c r="C99" s="262" t="n"/>
      <c r="D99" s="264" t="n"/>
      <c r="E99" s="423" t="n"/>
      <c r="F99" s="423" t="n"/>
      <c r="G99" s="423" t="n"/>
      <c r="H99" s="423" t="n"/>
    </row>
    <row r="100">
      <c r="A100" s="263" t="n"/>
      <c r="B100" s="262" t="n"/>
      <c r="C100" s="262" t="n"/>
      <c r="D100" s="264" t="n"/>
      <c r="E100" s="423" t="n"/>
      <c r="F100" s="423" t="n"/>
      <c r="G100" s="423" t="n"/>
      <c r="H100" s="423" t="n"/>
    </row>
    <row r="101">
      <c r="A101" s="263" t="n"/>
      <c r="B101" s="262" t="n"/>
      <c r="C101" s="262" t="n"/>
      <c r="D101" s="264" t="n"/>
      <c r="E101" s="423" t="n"/>
      <c r="F101" s="423" t="n"/>
      <c r="G101" s="423" t="n"/>
      <c r="H101" s="423" t="n"/>
    </row>
    <row r="102">
      <c r="A102" s="263" t="n"/>
      <c r="B102" s="262" t="n"/>
      <c r="C102" s="262" t="n"/>
      <c r="D102" s="264" t="n"/>
      <c r="E102" s="423" t="n"/>
      <c r="F102" s="423" t="n"/>
      <c r="G102" s="423" t="n"/>
      <c r="H102" s="423" t="n"/>
    </row>
    <row r="103">
      <c r="A103" s="263" t="n"/>
      <c r="B103" s="262" t="n"/>
      <c r="C103" s="262" t="n"/>
      <c r="D103" s="264" t="n"/>
      <c r="E103" s="423" t="n"/>
      <c r="F103" s="423" t="n"/>
      <c r="G103" s="423" t="n"/>
      <c r="H103" s="423" t="n"/>
    </row>
    <row r="104">
      <c r="A104" s="263" t="n"/>
      <c r="B104" s="262" t="n"/>
      <c r="C104" s="262" t="n"/>
      <c r="D104" s="264" t="n"/>
      <c r="E104" s="423" t="n"/>
      <c r="F104" s="423" t="n"/>
      <c r="G104" s="423" t="n"/>
      <c r="H104" s="423" t="n"/>
    </row>
    <row r="105">
      <c r="A105" s="263" t="n"/>
      <c r="B105" s="262" t="n"/>
      <c r="C105" s="262" t="n"/>
      <c r="D105" s="264" t="n"/>
      <c r="E105" s="423" t="n"/>
      <c r="F105" s="423" t="n"/>
      <c r="G105" s="423" t="n"/>
      <c r="H105" s="423" t="n"/>
    </row>
    <row r="106">
      <c r="A106" s="263" t="n"/>
      <c r="B106" s="262" t="n"/>
      <c r="C106" s="262" t="n"/>
      <c r="D106" s="264" t="n"/>
      <c r="E106" s="423" t="n"/>
      <c r="F106" s="423" t="n"/>
      <c r="G106" s="423" t="n"/>
      <c r="H106" s="423" t="n"/>
    </row>
    <row r="107">
      <c r="A107" s="263" t="n"/>
      <c r="B107" s="262" t="n"/>
      <c r="C107" s="262" t="n"/>
      <c r="D107" s="264" t="n"/>
      <c r="E107" s="423" t="n"/>
      <c r="F107" s="423" t="n"/>
      <c r="G107" s="423" t="n"/>
      <c r="H107" s="423" t="n"/>
    </row>
    <row r="108">
      <c r="A108" s="263" t="n"/>
      <c r="B108" s="262" t="n"/>
      <c r="C108" s="262" t="n"/>
      <c r="D108" s="264" t="n"/>
      <c r="E108" s="423" t="n"/>
      <c r="F108" s="423" t="n"/>
      <c r="G108" s="423" t="n"/>
      <c r="H108" s="423" t="n"/>
    </row>
    <row r="109">
      <c r="A109" s="263" t="n"/>
      <c r="B109" s="262" t="n"/>
      <c r="C109" s="262" t="n"/>
      <c r="D109" s="264" t="n"/>
      <c r="E109" s="423" t="n"/>
      <c r="F109" s="423" t="n"/>
      <c r="G109" s="423" t="n"/>
      <c r="H109" s="423" t="n"/>
    </row>
    <row r="110">
      <c r="A110" s="263" t="n"/>
      <c r="B110" s="262" t="n"/>
      <c r="C110" s="262" t="n"/>
      <c r="D110" s="264" t="n"/>
      <c r="E110" s="423" t="n"/>
      <c r="F110" s="423" t="n"/>
      <c r="G110" s="423" t="n"/>
      <c r="H110" s="423" t="n"/>
    </row>
    <row r="111">
      <c r="A111" s="263" t="n"/>
      <c r="B111" s="262" t="n"/>
      <c r="C111" s="262" t="n"/>
      <c r="D111" s="264" t="n"/>
      <c r="E111" s="423" t="n"/>
      <c r="F111" s="423" t="n"/>
      <c r="G111" s="423" t="n"/>
      <c r="H111" s="423" t="n"/>
    </row>
    <row r="112">
      <c r="A112" s="263" t="n"/>
      <c r="B112" s="262" t="n"/>
      <c r="C112" s="262" t="n"/>
      <c r="D112" s="264" t="n"/>
      <c r="E112" s="423" t="n"/>
      <c r="F112" s="423" t="n"/>
      <c r="G112" s="423" t="n"/>
      <c r="H112" s="423" t="n"/>
    </row>
    <row r="113">
      <c r="A113" s="263" t="n"/>
      <c r="B113" s="262" t="n"/>
      <c r="C113" s="262" t="n"/>
      <c r="D113" s="264" t="n"/>
      <c r="E113" s="423" t="n"/>
      <c r="F113" s="423" t="n"/>
      <c r="G113" s="423" t="n"/>
      <c r="H113" s="423" t="n"/>
    </row>
    <row r="114">
      <c r="A114" s="263" t="n"/>
      <c r="B114" s="262" t="n"/>
      <c r="C114" s="262" t="n"/>
      <c r="D114" s="264" t="n"/>
      <c r="E114" s="423" t="n"/>
      <c r="F114" s="423" t="n"/>
      <c r="G114" s="423" t="n"/>
      <c r="H114" s="423" t="n"/>
    </row>
    <row r="115">
      <c r="A115" s="263" t="n"/>
      <c r="B115" s="262" t="n"/>
      <c r="C115" s="262" t="n"/>
      <c r="D115" s="264" t="n"/>
      <c r="E115" s="423" t="n"/>
      <c r="F115" s="423" t="n"/>
      <c r="G115" s="423" t="n"/>
      <c r="H115" s="423" t="n"/>
    </row>
    <row r="116">
      <c r="A116" s="263" t="n"/>
      <c r="B116" s="262" t="n"/>
      <c r="C116" s="262" t="n"/>
      <c r="D116" s="264" t="n"/>
      <c r="E116" s="423" t="n"/>
      <c r="F116" s="423" t="n"/>
      <c r="G116" s="423" t="n"/>
      <c r="H116" s="423" t="n"/>
    </row>
    <row r="117">
      <c r="A117" s="263" t="n"/>
      <c r="B117" s="262" t="n"/>
      <c r="C117" s="262" t="n"/>
      <c r="D117" s="264" t="n"/>
      <c r="E117" s="423" t="n"/>
      <c r="F117" s="423" t="n"/>
      <c r="G117" s="423" t="n"/>
      <c r="H117" s="423" t="n"/>
    </row>
    <row r="118">
      <c r="A118" s="263" t="n"/>
      <c r="B118" s="262" t="n"/>
      <c r="C118" s="262" t="n"/>
      <c r="D118" s="264" t="n"/>
      <c r="E118" s="423" t="n"/>
      <c r="F118" s="423" t="n"/>
      <c r="G118" s="423" t="n"/>
      <c r="H118" s="423" t="n"/>
    </row>
    <row r="119">
      <c r="A119" s="263" t="n"/>
      <c r="B119" s="262" t="n"/>
      <c r="C119" s="262" t="n"/>
      <c r="D119" s="264" t="n"/>
      <c r="E119" s="423" t="n"/>
      <c r="F119" s="423" t="n"/>
      <c r="G119" s="423" t="n"/>
      <c r="H119" s="423" t="n"/>
    </row>
    <row r="120">
      <c r="A120" s="263" t="n"/>
      <c r="B120" s="262" t="n"/>
      <c r="C120" s="262" t="n"/>
      <c r="D120" s="264" t="n"/>
      <c r="E120" s="423" t="n"/>
      <c r="F120" s="423" t="n"/>
      <c r="G120" s="423" t="n"/>
      <c r="H120" s="423" t="n"/>
    </row>
    <row r="121">
      <c r="A121" s="263" t="n"/>
      <c r="B121" s="262" t="n"/>
      <c r="C121" s="262" t="n"/>
      <c r="D121" s="264" t="n"/>
      <c r="E121" s="423" t="n"/>
      <c r="F121" s="423" t="n"/>
      <c r="G121" s="423" t="n"/>
      <c r="H121" s="423" t="n"/>
    </row>
    <row r="122">
      <c r="A122" s="263" t="n"/>
      <c r="B122" s="262" t="n"/>
      <c r="C122" s="262" t="n"/>
      <c r="D122" s="264" t="n"/>
      <c r="E122" s="423" t="n"/>
      <c r="F122" s="423" t="n"/>
      <c r="G122" s="423" t="n"/>
      <c r="H122" s="423" t="n"/>
    </row>
    <row r="123">
      <c r="A123" s="262" t="n"/>
      <c r="B123" s="262" t="inlineStr">
        <is>
          <t>TOTAL TIPS PASSED THROUGH</t>
        </is>
      </c>
      <c r="C123" s="262" t="n"/>
      <c r="D123" s="264">
        <f>SUM(D63:D122)</f>
        <v/>
      </c>
      <c r="E123" s="423" t="n"/>
      <c r="F123" s="423" t="n"/>
      <c r="G123" s="423" t="n"/>
      <c r="H123" s="423" t="n"/>
    </row>
    <row r="124">
      <c r="A124" s="262" t="inlineStr">
        <is>
          <t>Customer tips collected &amp; handed to staff. Excluded from P&amp;L — nets to zero (received = paid).</t>
        </is>
      </c>
      <c r="B124" s="262" t="n"/>
      <c r="C124" s="262" t="n"/>
      <c r="D124" s="262" t="n"/>
      <c r="E124" s="423" t="n"/>
      <c r="F124" s="423" t="n"/>
      <c r="G124" s="423" t="n"/>
      <c r="H124" s="423" t="n"/>
    </row>
    <row r="125">
      <c r="A125" s="423" t="n"/>
      <c r="B125" s="423" t="n"/>
      <c r="C125" s="423" t="n"/>
      <c r="D125" s="423" t="n"/>
      <c r="E125" s="423" t="n"/>
      <c r="F125" s="423" t="n"/>
      <c r="G125" s="423" t="n"/>
      <c r="H125" s="423" t="n"/>
    </row>
    <row r="126">
      <c r="A126" s="423" t="inlineStr">
        <is>
          <t>── CASH RECONCILIATION (15 Jun 2026) ──</t>
        </is>
      </c>
      <c r="B126" s="423" t="n"/>
      <c r="C126" s="423" t="n"/>
      <c r="D126" s="423" t="n"/>
      <c r="E126" s="423" t="n"/>
      <c r="F126" s="423" t="n"/>
      <c r="G126" s="423" t="n"/>
      <c r="H126" s="423" t="n"/>
    </row>
    <row r="127">
      <c r="A127" s="423" t="inlineStr">
        <is>
          <t>Actual restaurant cash on hand</t>
        </is>
      </c>
      <c r="B127" s="423" t="n"/>
      <c r="C127" s="423" t="n"/>
      <c r="D127" s="442" t="n">
        <v>20283</v>
      </c>
      <c r="E127" s="423" t="n"/>
      <c r="F127" s="423" t="n"/>
      <c r="G127" s="423" t="n"/>
      <c r="H127" s="423" t="n"/>
    </row>
    <row r="128">
      <c r="A128" s="423" t="inlineStr">
        <is>
          <t>Adjustment: restaurant cash added to tips + Mercado Pago commission (vs running estimate)</t>
        </is>
      </c>
      <c r="B128" s="423" t="n"/>
      <c r="C128" s="423" t="n"/>
      <c r="D128" s="442" t="n">
        <v>-165</v>
      </c>
      <c r="E128" s="423" t="n"/>
      <c r="F128" s="423" t="n"/>
      <c r="G128" s="423" t="n"/>
      <c r="H128" s="423" t="n"/>
    </row>
    <row r="129">
      <c r="A129" s="423" t="inlineStr">
        <is>
          <t>Reconciled to physical count provided by Reddy. $20,283 is net of MP % deductions.</t>
        </is>
      </c>
      <c r="B129" s="423" t="n"/>
      <c r="C129" s="423" t="n"/>
      <c r="D129" s="423" t="n"/>
      <c r="E129" s="423" t="n"/>
      <c r="F129" s="423" t="n"/>
      <c r="G129" s="423" t="n"/>
      <c r="H129" s="423" t="n"/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tabSelected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2" customWidth="1" style="331" min="3" max="3"/>
    <col width="20" customWidth="1" style="331" min="4" max="4"/>
    <col width="12" customWidth="1" style="331" min="5" max="5"/>
    <col width="10" customWidth="1" style="331" min="6" max="6"/>
    <col width="12" customWidth="1" style="331" min="7" max="7"/>
    <col width="14" customWidth="1" style="331" min="8" max="9"/>
    <col width="18" customWidth="1" style="331" min="10" max="10"/>
    <col width="16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🚚  LOKA — SUPPLIER ORDERS</t>
        </is>
      </c>
      <c r="F2" s="418" t="inlineStr">
        <is>
          <t>Track purchase orders from suppliers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331">
      <c r="B6" s="79">
        <f>COUNTA(C9:C3000)-1</f>
        <v/>
      </c>
      <c r="C6" s="121">
        <f>COUNTIF(K9:K3000,"Pending")</f>
        <v/>
      </c>
      <c r="D6" s="122">
        <f>COUNTIF(K9:K3000,"In Transit")</f>
        <v/>
      </c>
      <c r="E6" s="123">
        <f>COUNTIF(K9:K3000,"Received")</f>
        <v/>
      </c>
      <c r="F6" s="124">
        <f>SUMIF(K9:K3000,"Received",J9:J3000)</f>
        <v/>
      </c>
      <c r="G6" s="61">
        <f>SUMIF(K9:K3000,"Pending",J9:J3000)</f>
        <v/>
      </c>
      <c r="H6" s="121">
        <f>COUNTIF(K9:K3000,"Pending")+COUNTIF(K9:K3000,"In Transit")</f>
        <v/>
      </c>
    </row>
    <row r="7" ht="7.5" customHeight="1" s="331"/>
    <row r="8" ht="19.5" customHeight="1" s="331">
      <c r="B8" s="406" t="n"/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331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331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331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331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331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331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331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331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331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331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331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331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331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331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331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331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331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331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331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331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331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331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331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331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331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331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331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331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331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331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331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331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331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331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331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331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331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331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331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331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331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331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331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331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331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331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331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331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331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331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331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331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331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331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331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331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331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331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331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331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331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331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331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331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331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331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331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331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331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331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331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331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331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331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331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331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331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331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331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331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331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331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331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331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331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331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331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331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331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331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331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331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331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331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331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331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331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331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331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331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331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331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331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331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331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331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331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331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331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331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331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331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331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331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331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331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331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331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331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331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331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331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331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331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331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331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331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331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331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331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331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331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331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331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331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331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331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331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331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331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331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331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331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331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331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331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331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331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331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331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331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331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331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331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331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331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331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331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331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331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331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331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331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331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331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331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331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331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331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331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331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331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331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331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331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331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331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331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331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331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331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331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331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331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331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331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331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331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331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331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331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331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331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331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331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331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331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331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331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331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331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331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331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331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331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331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331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331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331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331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331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331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331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331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331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331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331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331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331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331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331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331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331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331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331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331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331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331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331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331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331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331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331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331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331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331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331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331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331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331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331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331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331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331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331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331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331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331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331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331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331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331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331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331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331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331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331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331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331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331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331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331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331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331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331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331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331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331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331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331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331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331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331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331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331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331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331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331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331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331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331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331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331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331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331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331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331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331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331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331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331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331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331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331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331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331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331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331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331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331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tabSelected="0" workbookViewId="0">
      <selection activeCell="A1" sqref="A1"/>
    </sheetView>
  </sheetViews>
  <sheetFormatPr baseColWidth="8" defaultRowHeight="14.4"/>
  <cols>
    <col width="35.6640625" customWidth="1" style="331" min="2" max="2"/>
    <col width="14.33203125" bestFit="1" customWidth="1" style="331" min="3" max="3"/>
    <col width="44" bestFit="1" customWidth="1" style="331" min="4" max="4"/>
    <col width="87.77734375" bestFit="1" customWidth="1" style="331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tabSelected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331" min="1" max="1"/>
    <col width="15" bestFit="1" customWidth="1" style="331" min="2" max="2"/>
    <col width="15" customWidth="1" style="331" min="3" max="5"/>
    <col width="15" customWidth="1" style="331" min="4" max="4"/>
    <col width="15" customWidth="1" style="331" min="5" max="5"/>
    <col width="15" customWidth="1" style="331" min="6" max="14"/>
    <col width="9" customWidth="1" style="331" min="7" max="7"/>
    <col width="9" customWidth="1" style="331" min="8" max="8"/>
    <col width="9" customWidth="1" style="331" min="9" max="9"/>
    <col width="9" customWidth="1" style="331" min="10" max="10"/>
    <col width="9" customWidth="1" style="331" min="11" max="11"/>
    <col width="9" customWidth="1" style="331" min="12" max="12"/>
    <col width="9" customWidth="1" style="331" min="13" max="13"/>
    <col width="9" customWidth="1" style="331" min="14" max="14"/>
  </cols>
  <sheetData>
    <row r="1" ht="26" customHeight="1" s="331">
      <c r="A1" s="431" t="inlineStr">
        <is>
          <t>LOKA — MONTHLY P&amp;L   (live formulas — auto-updates from Daily Log &amp; Expenses)</t>
        </is>
      </c>
      <c r="B1" s="432" t="n"/>
      <c r="C1" s="432" t="n"/>
      <c r="D1" s="432" t="n"/>
      <c r="E1" s="432" t="n"/>
      <c r="F1" s="432" t="n"/>
      <c r="G1" s="433" t="n"/>
      <c r="H1" s="433" t="n"/>
      <c r="I1" s="433" t="n"/>
      <c r="J1" s="433" t="n"/>
      <c r="K1" s="433" t="n"/>
      <c r="L1" s="433" t="n"/>
    </row>
    <row r="2">
      <c r="A2" s="433" t="n"/>
      <c r="B2" s="433" t="n"/>
      <c r="C2" s="433" t="n"/>
      <c r="D2" s="433" t="n"/>
      <c r="E2" s="433" t="n"/>
      <c r="F2" s="433" t="n"/>
      <c r="G2" s="433" t="n"/>
      <c r="H2" s="433" t="n"/>
      <c r="I2" s="433" t="n"/>
      <c r="J2" s="433" t="n"/>
      <c r="K2" s="433" t="n"/>
      <c r="L2" s="433" t="n"/>
    </row>
    <row r="3">
      <c r="A3" s="434" t="inlineStr">
        <is>
          <t>SUMMARY</t>
        </is>
      </c>
      <c r="B3" s="435" t="inlineStr">
        <is>
          <t>May 2026</t>
        </is>
      </c>
      <c r="C3" s="435" t="inlineStr">
        <is>
          <t>Jun 2026</t>
        </is>
      </c>
      <c r="D3" s="435" t="inlineStr">
        <is>
          <t>Jul 2026</t>
        </is>
      </c>
      <c r="E3" s="435" t="inlineStr">
        <is>
          <t>Aug 2026</t>
        </is>
      </c>
      <c r="F3" s="435" t="inlineStr">
        <is>
          <t>Sep 2026</t>
        </is>
      </c>
      <c r="G3" s="433" t="n"/>
      <c r="H3" s="433" t="n"/>
      <c r="I3" s="433" t="n"/>
      <c r="J3" s="433" t="n"/>
      <c r="K3" s="433" t="n"/>
      <c r="L3" s="433" t="n"/>
    </row>
    <row r="4">
      <c r="A4" s="436" t="inlineStr">
        <is>
          <t>Total Income</t>
        </is>
      </c>
      <c r="B4" s="437">
        <f>SUMIFS('📅 Daily Log'!$F$8:$F$5000,'📅 Daily Log'!$B$8:$B$5000,"&gt;="&amp;DATE(2026,5,1),'📅 Daily Log'!$B$8:$B$5000,"&lt;"&amp;DATE(2026,6,1))</f>
        <v/>
      </c>
      <c r="C4" s="437">
        <f>SUMIFS('📅 Daily Log'!$F$8:$F$5000,'📅 Daily Log'!$B$8:$B$5000,"&gt;="&amp;DATE(2026,6,1),'📅 Daily Log'!$B$8:$B$5000,"&lt;"&amp;DATE(2026,7,1))</f>
        <v/>
      </c>
      <c r="D4" s="437">
        <f>SUMIFS('📅 Daily Log'!$F$8:$F$5000,'📅 Daily Log'!$B$8:$B$5000,"&gt;="&amp;DATE(2026,7,1),'📅 Daily Log'!$B$8:$B$5000,"&lt;"&amp;DATE(2026,8,1))</f>
        <v/>
      </c>
      <c r="E4" s="437">
        <f>SUMIFS('📅 Daily Log'!$F$8:$F$5000,'📅 Daily Log'!$B$8:$B$5000,"&gt;="&amp;DATE(2026,8,1),'📅 Daily Log'!$B$8:$B$5000,"&lt;"&amp;DATE(2026,9,1))</f>
        <v/>
      </c>
      <c r="F4" s="437">
        <f>SUMIFS('📅 Daily Log'!$F$8:$F$5000,'📅 Daily Log'!$B$8:$B$5000,"&gt;="&amp;DATE(2026,9,1),'📅 Daily Log'!$B$8:$B$5000,"&lt;"&amp;DATE(2026,10,1))</f>
        <v/>
      </c>
      <c r="G4" s="433" t="n"/>
      <c r="H4" s="433" t="n"/>
      <c r="I4" s="433" t="n"/>
      <c r="J4" s="433" t="n"/>
      <c r="K4" s="433" t="n"/>
      <c r="L4" s="433" t="n"/>
    </row>
    <row r="5">
      <c r="A5" s="436" t="inlineStr">
        <is>
          <t>Total Expenses</t>
        </is>
      </c>
      <c r="B5" s="437">
        <f>SUMIFS('💸 Expenses'!$F$8:$F$5000,'💸 Expenses'!$B$8:$B$5000,"&gt;="&amp;DATE(2026,5,1),'💸 Expenses'!$B$8:$B$5000,"&lt;"&amp;DATE(2026,6,1))</f>
        <v/>
      </c>
      <c r="C5" s="437">
        <f>SUMIFS('💸 Expenses'!$F$8:$F$5000,'💸 Expenses'!$B$8:$B$5000,"&gt;="&amp;DATE(2026,6,1),'💸 Expenses'!$B$8:$B$5000,"&lt;"&amp;DATE(2026,7,1))</f>
        <v/>
      </c>
      <c r="D5" s="437">
        <f>SUMIFS('💸 Expenses'!$F$8:$F$5000,'💸 Expenses'!$B$8:$B$5000,"&gt;="&amp;DATE(2026,7,1),'💸 Expenses'!$B$8:$B$5000,"&lt;"&amp;DATE(2026,8,1))</f>
        <v/>
      </c>
      <c r="E5" s="437">
        <f>SUMIFS('💸 Expenses'!$F$8:$F$5000,'💸 Expenses'!$B$8:$B$5000,"&gt;="&amp;DATE(2026,8,1),'💸 Expenses'!$B$8:$B$5000,"&lt;"&amp;DATE(2026,9,1))</f>
        <v/>
      </c>
      <c r="F5" s="437">
        <f>SUMIFS('💸 Expenses'!$F$8:$F$5000,'💸 Expenses'!$B$8:$B$5000,"&gt;="&amp;DATE(2026,9,1),'💸 Expenses'!$B$8:$B$5000,"&lt;"&amp;DATE(2026,10,1))</f>
        <v/>
      </c>
      <c r="G5" s="433" t="n"/>
      <c r="H5" s="433" t="n"/>
      <c r="I5" s="433" t="n"/>
      <c r="J5" s="433" t="n"/>
      <c r="K5" s="433" t="n"/>
      <c r="L5" s="433" t="n"/>
    </row>
    <row r="6">
      <c r="A6" s="436" t="inlineStr">
        <is>
          <t>NET PROFIT / LOSS</t>
        </is>
      </c>
      <c r="B6" s="438">
        <f>B4-B5</f>
        <v/>
      </c>
      <c r="C6" s="438">
        <f>C4-C5</f>
        <v/>
      </c>
      <c r="D6" s="438">
        <f>D4-D5</f>
        <v/>
      </c>
      <c r="E6" s="438">
        <f>E4-E5</f>
        <v/>
      </c>
      <c r="F6" s="438">
        <f>F4-F5</f>
        <v/>
      </c>
      <c r="G6" s="433" t="n"/>
      <c r="H6" s="433" t="n"/>
      <c r="I6" s="433" t="n"/>
      <c r="J6" s="433" t="n"/>
      <c r="K6" s="433" t="n"/>
      <c r="L6" s="433" t="n"/>
    </row>
    <row r="7">
      <c r="A7" s="439" t="inlineStr">
        <is>
          <t>Trading Days</t>
        </is>
      </c>
      <c r="B7" s="440">
        <f>COUNTIFS('📅 Daily Log'!$F$8:$F$5000,"&gt;0",'📅 Daily Log'!$B$8:$B$5000,"&gt;="&amp;DATE(2026,5,1),'📅 Daily Log'!$B$8:$B$5000,"&lt;"&amp;DATE(2026,6,1))</f>
        <v/>
      </c>
      <c r="C7" s="440">
        <f>COUNTIFS('📅 Daily Log'!$F$8:$F$5000,"&gt;0",'📅 Daily Log'!$B$8:$B$5000,"&gt;="&amp;DATE(2026,6,1),'📅 Daily Log'!$B$8:$B$5000,"&lt;"&amp;DATE(2026,7,1))</f>
        <v/>
      </c>
      <c r="D7" s="440">
        <f>COUNTIFS('📅 Daily Log'!$F$8:$F$5000,"&gt;0",'📅 Daily Log'!$B$8:$B$5000,"&gt;="&amp;DATE(2026,7,1),'📅 Daily Log'!$B$8:$B$5000,"&lt;"&amp;DATE(2026,8,1))</f>
        <v/>
      </c>
      <c r="E7" s="440">
        <f>COUNTIFS('📅 Daily Log'!$F$8:$F$5000,"&gt;0",'📅 Daily Log'!$B$8:$B$5000,"&gt;="&amp;DATE(2026,8,1),'📅 Daily Log'!$B$8:$B$5000,"&lt;"&amp;DATE(2026,9,1))</f>
        <v/>
      </c>
      <c r="F7" s="440">
        <f>COUNTIFS('📅 Daily Log'!$F$8:$F$5000,"&gt;0",'📅 Daily Log'!$B$8:$B$5000,"&gt;="&amp;DATE(2026,9,1),'📅 Daily Log'!$B$8:$B$5000,"&lt;"&amp;DATE(2026,10,1))</f>
        <v/>
      </c>
      <c r="G7" s="433" t="n"/>
      <c r="H7" s="433" t="n"/>
      <c r="I7" s="433" t="n"/>
      <c r="J7" s="433" t="n"/>
      <c r="K7" s="433" t="n"/>
      <c r="L7" s="433" t="n"/>
    </row>
    <row r="8">
      <c r="A8" s="439" t="inlineStr">
        <is>
          <t>Avg Income / Day</t>
        </is>
      </c>
      <c r="B8" s="437">
        <f>IFERROR(B4/B7,0)</f>
        <v/>
      </c>
      <c r="C8" s="437">
        <f>IFERROR(C4/C7,0)</f>
        <v/>
      </c>
      <c r="D8" s="437">
        <f>IFERROR(D4/D7,0)</f>
        <v/>
      </c>
      <c r="E8" s="437">
        <f>IFERROR(E4/E7,0)</f>
        <v/>
      </c>
      <c r="F8" s="437">
        <f>IFERROR(F4/F7,0)</f>
        <v/>
      </c>
      <c r="G8" s="433" t="n"/>
      <c r="H8" s="433" t="n"/>
      <c r="I8" s="433" t="n"/>
      <c r="J8" s="433" t="n"/>
      <c r="K8" s="433" t="n"/>
      <c r="L8" s="433" t="n"/>
    </row>
    <row r="9">
      <c r="A9" s="433" t="n"/>
      <c r="B9" s="433" t="n"/>
      <c r="C9" s="433" t="n"/>
      <c r="D9" s="433" t="n"/>
      <c r="E9" s="433" t="n"/>
      <c r="F9" s="433" t="n"/>
      <c r="G9" s="433" t="n"/>
      <c r="H9" s="433" t="n"/>
      <c r="I9" s="433" t="n"/>
      <c r="J9" s="433" t="n"/>
      <c r="K9" s="433" t="n"/>
      <c r="L9" s="433" t="n"/>
    </row>
    <row r="10">
      <c r="A10" s="434" t="inlineStr">
        <is>
          <t>INCOME BY TYPE</t>
        </is>
      </c>
      <c r="B10" s="435" t="inlineStr">
        <is>
          <t>May 2026</t>
        </is>
      </c>
      <c r="C10" s="435" t="inlineStr">
        <is>
          <t>Jun 2026</t>
        </is>
      </c>
      <c r="D10" s="435" t="inlineStr">
        <is>
          <t>Jul 2026</t>
        </is>
      </c>
      <c r="E10" s="435" t="inlineStr">
        <is>
          <t>Aug 2026</t>
        </is>
      </c>
      <c r="F10" s="435" t="inlineStr">
        <is>
          <t>Sep 2026</t>
        </is>
      </c>
      <c r="G10" s="433" t="n"/>
      <c r="H10" s="433" t="n"/>
      <c r="I10" s="433" t="n"/>
      <c r="J10" s="433" t="n"/>
      <c r="K10" s="433" t="n"/>
      <c r="L10" s="433" t="n"/>
    </row>
    <row r="11">
      <c r="A11" s="439" t="inlineStr">
        <is>
          <t>Card (MP + Soft + BBVA)</t>
        </is>
      </c>
      <c r="B11" s="437">
        <f>SUMIFS('📅 Daily Log'!$D$8:$D$5000,'📅 Daily Log'!$B$8:$B$5000,"&gt;="&amp;DATE(2026,5,1),'📅 Daily Log'!$B$8:$B$5000,"&lt;"&amp;DATE(2026,6,1))+SUMIFS('📅 Daily Log'!$U$8:$U$5000,'📅 Daily Log'!$B$8:$B$5000,"&gt;="&amp;DATE(2026,5,1),'📅 Daily Log'!$B$8:$B$5000,"&lt;"&amp;DATE(2026,6,1))+SUMIFS('📅 Daily Log'!$Y$8:$Y$5000,'📅 Daily Log'!$B$8:$B$5000,"&gt;="&amp;DATE(2026,5,1),'📅 Daily Log'!$B$8:$B$5000,"&lt;"&amp;DATE(2026,6,1))</f>
        <v/>
      </c>
      <c r="C11" s="437">
        <f>SUMIFS('📅 Daily Log'!$D$8:$D$5000,'📅 Daily Log'!$B$8:$B$5000,"&gt;="&amp;DATE(2026,6,1),'📅 Daily Log'!$B$8:$B$5000,"&lt;"&amp;DATE(2026,7,1))+SUMIFS('📅 Daily Log'!$U$8:$U$5000,'📅 Daily Log'!$B$8:$B$5000,"&gt;="&amp;DATE(2026,6,1),'📅 Daily Log'!$B$8:$B$5000,"&lt;"&amp;DATE(2026,7,1))+SUMIFS('📅 Daily Log'!$Y$8:$Y$5000,'📅 Daily Log'!$B$8:$B$5000,"&gt;="&amp;DATE(2026,6,1),'📅 Daily Log'!$B$8:$B$5000,"&lt;"&amp;DATE(2026,7,1))</f>
        <v/>
      </c>
      <c r="D11" s="437">
        <f>SUMIFS('📅 Daily Log'!$D$8:$D$5000,'📅 Daily Log'!$B$8:$B$5000,"&gt;="&amp;DATE(2026,7,1),'📅 Daily Log'!$B$8:$B$5000,"&lt;"&amp;DATE(2026,8,1))+SUMIFS('📅 Daily Log'!$U$8:$U$5000,'📅 Daily Log'!$B$8:$B$5000,"&gt;="&amp;DATE(2026,7,1),'📅 Daily Log'!$B$8:$B$5000,"&lt;"&amp;DATE(2026,8,1))+SUMIFS('📅 Daily Log'!$Y$8:$Y$5000,'📅 Daily Log'!$B$8:$B$5000,"&gt;="&amp;DATE(2026,7,1),'📅 Daily Log'!$B$8:$B$5000,"&lt;"&amp;DATE(2026,8,1))</f>
        <v/>
      </c>
      <c r="E11" s="437">
        <f>SUMIFS('📅 Daily Log'!$D$8:$D$5000,'📅 Daily Log'!$B$8:$B$5000,"&gt;="&amp;DATE(2026,8,1),'📅 Daily Log'!$B$8:$B$5000,"&lt;"&amp;DATE(2026,9,1))+SUMIFS('📅 Daily Log'!$U$8:$U$5000,'📅 Daily Log'!$B$8:$B$5000,"&gt;="&amp;DATE(2026,8,1),'📅 Daily Log'!$B$8:$B$5000,"&lt;"&amp;DATE(2026,9,1))+SUMIFS('📅 Daily Log'!$Y$8:$Y$5000,'📅 Daily Log'!$B$8:$B$5000,"&gt;="&amp;DATE(2026,8,1),'📅 Daily Log'!$B$8:$B$5000,"&lt;"&amp;DATE(2026,9,1))</f>
        <v/>
      </c>
      <c r="F11" s="437">
        <f>SUMIFS('📅 Daily Log'!$D$8:$D$5000,'📅 Daily Log'!$B$8:$B$5000,"&gt;="&amp;DATE(2026,9,1),'📅 Daily Log'!$B$8:$B$5000,"&lt;"&amp;DATE(2026,10,1))+SUMIFS('📅 Daily Log'!$U$8:$U$5000,'📅 Daily Log'!$B$8:$B$5000,"&gt;="&amp;DATE(2026,9,1),'📅 Daily Log'!$B$8:$B$5000,"&lt;"&amp;DATE(2026,10,1))+SUMIFS('📅 Daily Log'!$Y$8:$Y$5000,'📅 Daily Log'!$B$8:$B$5000,"&gt;="&amp;DATE(2026,9,1),'📅 Daily Log'!$B$8:$B$5000,"&lt;"&amp;DATE(2026,10,1))</f>
        <v/>
      </c>
      <c r="G11" s="433" t="n"/>
      <c r="H11" s="433" t="n"/>
      <c r="I11" s="433" t="n"/>
      <c r="J11" s="433" t="n"/>
      <c r="K11" s="433" t="n"/>
      <c r="L11" s="433" t="n"/>
    </row>
    <row r="12">
      <c r="A12" s="439" t="inlineStr">
        <is>
          <t>Cash</t>
        </is>
      </c>
      <c r="B12" s="437">
        <f>SUMIFS('📅 Daily Log'!$E$8:$E$5000,'📅 Daily Log'!$B$8:$B$5000,"&gt;="&amp;DATE(2026,5,1),'📅 Daily Log'!$B$8:$B$5000,"&lt;"&amp;DATE(2026,6,1))</f>
        <v/>
      </c>
      <c r="C12" s="437">
        <f>SUMIFS('📅 Daily Log'!$E$8:$E$5000,'📅 Daily Log'!$B$8:$B$5000,"&gt;="&amp;DATE(2026,6,1),'📅 Daily Log'!$B$8:$B$5000,"&lt;"&amp;DATE(2026,7,1))</f>
        <v/>
      </c>
      <c r="D12" s="437">
        <f>SUMIFS('📅 Daily Log'!$E$8:$E$5000,'📅 Daily Log'!$B$8:$B$5000,"&gt;="&amp;DATE(2026,7,1),'📅 Daily Log'!$B$8:$B$5000,"&lt;"&amp;DATE(2026,8,1))</f>
        <v/>
      </c>
      <c r="E12" s="437">
        <f>SUMIFS('📅 Daily Log'!$E$8:$E$5000,'📅 Daily Log'!$B$8:$B$5000,"&gt;="&amp;DATE(2026,8,1),'📅 Daily Log'!$B$8:$B$5000,"&lt;"&amp;DATE(2026,9,1))</f>
        <v/>
      </c>
      <c r="F12" s="437">
        <f>SUMIFS('📅 Daily Log'!$E$8:$E$5000,'📅 Daily Log'!$B$8:$B$5000,"&gt;="&amp;DATE(2026,9,1),'📅 Daily Log'!$B$8:$B$5000,"&lt;"&amp;DATE(2026,10,1))</f>
        <v/>
      </c>
      <c r="G12" s="433" t="n"/>
      <c r="H12" s="433" t="n"/>
      <c r="I12" s="433" t="n"/>
      <c r="J12" s="433" t="n"/>
      <c r="K12" s="433" t="n"/>
      <c r="L12" s="433" t="n"/>
    </row>
    <row r="13">
      <c r="A13" s="439" t="inlineStr">
        <is>
          <t>Transfer</t>
        </is>
      </c>
      <c r="B13" s="437">
        <f>SUMIFS('📅 Daily Log'!$G$8:$G$5000,'📅 Daily Log'!$B$8:$B$5000,"&gt;="&amp;DATE(2026,5,1),'📅 Daily Log'!$B$8:$B$5000,"&lt;"&amp;DATE(2026,6,1))</f>
        <v/>
      </c>
      <c r="C13" s="437">
        <f>SUMIFS('📅 Daily Log'!$G$8:$G$5000,'📅 Daily Log'!$B$8:$B$5000,"&gt;="&amp;DATE(2026,6,1),'📅 Daily Log'!$B$8:$B$5000,"&lt;"&amp;DATE(2026,7,1))</f>
        <v/>
      </c>
      <c r="D13" s="437">
        <f>SUMIFS('📅 Daily Log'!$G$8:$G$5000,'📅 Daily Log'!$B$8:$B$5000,"&gt;="&amp;DATE(2026,7,1),'📅 Daily Log'!$B$8:$B$5000,"&lt;"&amp;DATE(2026,8,1))</f>
        <v/>
      </c>
      <c r="E13" s="437">
        <f>SUMIFS('📅 Daily Log'!$G$8:$G$5000,'📅 Daily Log'!$B$8:$B$5000,"&gt;="&amp;DATE(2026,8,1),'📅 Daily Log'!$B$8:$B$5000,"&lt;"&amp;DATE(2026,9,1))</f>
        <v/>
      </c>
      <c r="F13" s="437">
        <f>SUMIFS('📅 Daily Log'!$G$8:$G$5000,'📅 Daily Log'!$B$8:$B$5000,"&gt;="&amp;DATE(2026,9,1),'📅 Daily Log'!$B$8:$B$5000,"&lt;"&amp;DATE(2026,10,1))</f>
        <v/>
      </c>
      <c r="G13" s="433" t="n"/>
      <c r="H13" s="433" t="n"/>
      <c r="I13" s="433" t="n"/>
      <c r="J13" s="433" t="n"/>
      <c r="K13" s="433" t="n"/>
      <c r="L13" s="433" t="n"/>
    </row>
    <row r="14">
      <c r="A14" s="436" t="inlineStr">
        <is>
          <t>Total Income</t>
        </is>
      </c>
      <c r="B14" s="438">
        <f>B11+B12+B13</f>
        <v/>
      </c>
      <c r="C14" s="438">
        <f>C11+C12+C13</f>
        <v/>
      </c>
      <c r="D14" s="438">
        <f>D11+D12+D13</f>
        <v/>
      </c>
      <c r="E14" s="438">
        <f>E11+E12+E13</f>
        <v/>
      </c>
      <c r="F14" s="438">
        <f>F11+F12+F13</f>
        <v/>
      </c>
      <c r="G14" s="433" t="n"/>
      <c r="H14" s="433" t="n"/>
      <c r="I14" s="433" t="n"/>
      <c r="J14" s="433" t="n"/>
      <c r="K14" s="433" t="n"/>
      <c r="L14" s="433" t="n"/>
    </row>
    <row r="15">
      <c r="A15" s="433" t="n"/>
      <c r="B15" s="433" t="n"/>
      <c r="C15" s="433" t="n"/>
      <c r="D15" s="433" t="n"/>
      <c r="E15" s="433" t="n"/>
      <c r="F15" s="433" t="n"/>
      <c r="G15" s="433" t="n"/>
      <c r="H15" s="433" t="n"/>
      <c r="I15" s="433" t="n"/>
      <c r="J15" s="433" t="n"/>
      <c r="K15" s="433" t="n"/>
      <c r="L15" s="433" t="n"/>
    </row>
    <row r="16">
      <c r="A16" s="434" t="inlineStr">
        <is>
          <t>EXPENSES BY CATEGORY (high → low)</t>
        </is>
      </c>
      <c r="B16" s="435" t="inlineStr">
        <is>
          <t>May 2026</t>
        </is>
      </c>
      <c r="C16" s="435" t="inlineStr">
        <is>
          <t>Jun 2026</t>
        </is>
      </c>
      <c r="D16" s="435" t="inlineStr">
        <is>
          <t>Jul 2026</t>
        </is>
      </c>
      <c r="E16" s="435" t="inlineStr">
        <is>
          <t>Aug 2026</t>
        </is>
      </c>
      <c r="F16" s="435" t="inlineStr">
        <is>
          <t>Sep 2026</t>
        </is>
      </c>
      <c r="G16" s="433" t="n"/>
      <c r="H16" s="433" t="n"/>
      <c r="I16" s="433" t="n"/>
      <c r="J16" s="433" t="n"/>
      <c r="K16" s="433" t="n"/>
      <c r="L16" s="433" t="n"/>
    </row>
    <row r="17">
      <c r="A17" s="439" t="inlineStr">
        <is>
          <t>Staff - Salary</t>
        </is>
      </c>
      <c r="B17" s="437">
        <f>SUMIFS('💸 Expenses'!$F$8:$F$5000,'💸 Expenses'!$E$8:$E$5000,$A17,'💸 Expenses'!$B$8:$B$5000,"&gt;="&amp;DATE(2026,5,1),'💸 Expenses'!$B$8:$B$5000,"&lt;"&amp;DATE(2026,6,1))</f>
        <v/>
      </c>
      <c r="C17" s="437">
        <f>SUMIFS('💸 Expenses'!$F$8:$F$5000,'💸 Expenses'!$E$8:$E$5000,$A17,'💸 Expenses'!$B$8:$B$5000,"&gt;="&amp;DATE(2026,6,1),'💸 Expenses'!$B$8:$B$5000,"&lt;"&amp;DATE(2026,7,1))</f>
        <v/>
      </c>
      <c r="D17" s="437">
        <f>SUMIFS('💸 Expenses'!$F$8:$F$5000,'💸 Expenses'!$E$8:$E$5000,$A17,'💸 Expenses'!$B$8:$B$5000,"&gt;="&amp;DATE(2026,7,1),'💸 Expenses'!$B$8:$B$5000,"&lt;"&amp;DATE(2026,8,1))</f>
        <v/>
      </c>
      <c r="E17" s="437">
        <f>SUMIFS('💸 Expenses'!$F$8:$F$5000,'💸 Expenses'!$E$8:$E$5000,$A17,'💸 Expenses'!$B$8:$B$5000,"&gt;="&amp;DATE(2026,8,1),'💸 Expenses'!$B$8:$B$5000,"&lt;"&amp;DATE(2026,9,1))</f>
        <v/>
      </c>
      <c r="F17" s="437">
        <f>SUMIFS('💸 Expenses'!$F$8:$F$5000,'💸 Expenses'!$E$8:$E$5000,$A17,'💸 Expenses'!$B$8:$B$5000,"&gt;="&amp;DATE(2026,9,1),'💸 Expenses'!$B$8:$B$5000,"&lt;"&amp;DATE(2026,10,1))</f>
        <v/>
      </c>
      <c r="G17" s="433" t="n"/>
      <c r="H17" s="433" t="n"/>
      <c r="I17" s="433" t="n"/>
      <c r="J17" s="433" t="n"/>
      <c r="K17" s="433" t="n"/>
      <c r="L17" s="433" t="n"/>
    </row>
    <row r="18">
      <c r="A18" s="439" t="inlineStr">
        <is>
          <t>Rent</t>
        </is>
      </c>
      <c r="B18" s="437">
        <f>SUMIFS('💸 Expenses'!$F$8:$F$5000,'💸 Expenses'!$E$8:$E$5000,$A18,'💸 Expenses'!$B$8:$B$5000,"&gt;="&amp;DATE(2026,5,1),'💸 Expenses'!$B$8:$B$5000,"&lt;"&amp;DATE(2026,6,1))</f>
        <v/>
      </c>
      <c r="C18" s="437">
        <f>SUMIFS('💸 Expenses'!$F$8:$F$5000,'💸 Expenses'!$E$8:$E$5000,$A18,'💸 Expenses'!$B$8:$B$5000,"&gt;="&amp;DATE(2026,6,1),'💸 Expenses'!$B$8:$B$5000,"&lt;"&amp;DATE(2026,7,1))</f>
        <v/>
      </c>
      <c r="D18" s="437">
        <f>SUMIFS('💸 Expenses'!$F$8:$F$5000,'💸 Expenses'!$E$8:$E$5000,$A18,'💸 Expenses'!$B$8:$B$5000,"&gt;="&amp;DATE(2026,7,1),'💸 Expenses'!$B$8:$B$5000,"&lt;"&amp;DATE(2026,8,1))</f>
        <v/>
      </c>
      <c r="E18" s="437">
        <f>SUMIFS('💸 Expenses'!$F$8:$F$5000,'💸 Expenses'!$E$8:$E$5000,$A18,'💸 Expenses'!$B$8:$B$5000,"&gt;="&amp;DATE(2026,8,1),'💸 Expenses'!$B$8:$B$5000,"&lt;"&amp;DATE(2026,9,1))</f>
        <v/>
      </c>
      <c r="F18" s="437">
        <f>SUMIFS('💸 Expenses'!$F$8:$F$5000,'💸 Expenses'!$E$8:$E$5000,$A18,'💸 Expenses'!$B$8:$B$5000,"&gt;="&amp;DATE(2026,9,1),'💸 Expenses'!$B$8:$B$5000,"&lt;"&amp;DATE(2026,10,1))</f>
        <v/>
      </c>
      <c r="G18" s="433" t="n"/>
      <c r="H18" s="433" t="n"/>
      <c r="I18" s="433" t="n"/>
      <c r="J18" s="433" t="n"/>
      <c r="K18" s="433" t="n"/>
      <c r="L18" s="433" t="n"/>
    </row>
    <row r="19">
      <c r="A19" s="439" t="inlineStr">
        <is>
          <t>Ingredients - Meat</t>
        </is>
      </c>
      <c r="B19" s="437">
        <f>SUMIFS('💸 Expenses'!$F$8:$F$5000,'💸 Expenses'!$E$8:$E$5000,$A19,'💸 Expenses'!$B$8:$B$5000,"&gt;="&amp;DATE(2026,5,1),'💸 Expenses'!$B$8:$B$5000,"&lt;"&amp;DATE(2026,6,1))</f>
        <v/>
      </c>
      <c r="C19" s="437">
        <f>SUMIFS('💸 Expenses'!$F$8:$F$5000,'💸 Expenses'!$E$8:$E$5000,$A19,'💸 Expenses'!$B$8:$B$5000,"&gt;="&amp;DATE(2026,6,1),'💸 Expenses'!$B$8:$B$5000,"&lt;"&amp;DATE(2026,7,1))</f>
        <v/>
      </c>
      <c r="D19" s="437">
        <f>SUMIFS('💸 Expenses'!$F$8:$F$5000,'💸 Expenses'!$E$8:$E$5000,$A19,'💸 Expenses'!$B$8:$B$5000,"&gt;="&amp;DATE(2026,7,1),'💸 Expenses'!$B$8:$B$5000,"&lt;"&amp;DATE(2026,8,1))</f>
        <v/>
      </c>
      <c r="E19" s="437">
        <f>SUMIFS('💸 Expenses'!$F$8:$F$5000,'💸 Expenses'!$E$8:$E$5000,$A19,'💸 Expenses'!$B$8:$B$5000,"&gt;="&amp;DATE(2026,8,1),'💸 Expenses'!$B$8:$B$5000,"&lt;"&amp;DATE(2026,9,1))</f>
        <v/>
      </c>
      <c r="F19" s="437">
        <f>SUMIFS('💸 Expenses'!$F$8:$F$5000,'💸 Expenses'!$E$8:$E$5000,$A19,'💸 Expenses'!$B$8:$B$5000,"&gt;="&amp;DATE(2026,9,1),'💸 Expenses'!$B$8:$B$5000,"&lt;"&amp;DATE(2026,10,1))</f>
        <v/>
      </c>
      <c r="G19" s="433" t="n"/>
      <c r="H19" s="433" t="n"/>
      <c r="I19" s="433" t="n"/>
      <c r="J19" s="433" t="n"/>
      <c r="K19" s="433" t="n"/>
      <c r="L19" s="433" t="n"/>
    </row>
    <row r="20">
      <c r="A20" s="439" t="inlineStr">
        <is>
          <t>Supermarket/General</t>
        </is>
      </c>
      <c r="B20" s="437">
        <f>SUMIFS('💸 Expenses'!$F$8:$F$5000,'💸 Expenses'!$E$8:$E$5000,$A20,'💸 Expenses'!$B$8:$B$5000,"&gt;="&amp;DATE(2026,5,1),'💸 Expenses'!$B$8:$B$5000,"&lt;"&amp;DATE(2026,6,1))</f>
        <v/>
      </c>
      <c r="C20" s="437">
        <f>SUMIFS('💸 Expenses'!$F$8:$F$5000,'💸 Expenses'!$E$8:$E$5000,$A20,'💸 Expenses'!$B$8:$B$5000,"&gt;="&amp;DATE(2026,6,1),'💸 Expenses'!$B$8:$B$5000,"&lt;"&amp;DATE(2026,7,1))</f>
        <v/>
      </c>
      <c r="D20" s="437">
        <f>SUMIFS('💸 Expenses'!$F$8:$F$5000,'💸 Expenses'!$E$8:$E$5000,$A20,'💸 Expenses'!$B$8:$B$5000,"&gt;="&amp;DATE(2026,7,1),'💸 Expenses'!$B$8:$B$5000,"&lt;"&amp;DATE(2026,8,1))</f>
        <v/>
      </c>
      <c r="E20" s="437">
        <f>SUMIFS('💸 Expenses'!$F$8:$F$5000,'💸 Expenses'!$E$8:$E$5000,$A20,'💸 Expenses'!$B$8:$B$5000,"&gt;="&amp;DATE(2026,8,1),'💸 Expenses'!$B$8:$B$5000,"&lt;"&amp;DATE(2026,9,1))</f>
        <v/>
      </c>
      <c r="F20" s="437">
        <f>SUMIFS('💸 Expenses'!$F$8:$F$5000,'💸 Expenses'!$E$8:$E$5000,$A20,'💸 Expenses'!$B$8:$B$5000,"&gt;="&amp;DATE(2026,9,1),'💸 Expenses'!$B$8:$B$5000,"&lt;"&amp;DATE(2026,10,1))</f>
        <v/>
      </c>
      <c r="G20" s="433" t="n"/>
      <c r="H20" s="433" t="n"/>
      <c r="I20" s="433" t="n"/>
      <c r="J20" s="433" t="n"/>
      <c r="K20" s="433" t="n"/>
      <c r="L20" s="433" t="n"/>
    </row>
    <row r="21">
      <c r="A21" s="439" t="inlineStr">
        <is>
          <t>Ingredients - Vegetables</t>
        </is>
      </c>
      <c r="B21" s="437">
        <f>SUMIFS('💸 Expenses'!$F$8:$F$5000,'💸 Expenses'!$E$8:$E$5000,$A21,'💸 Expenses'!$B$8:$B$5000,"&gt;="&amp;DATE(2026,5,1),'💸 Expenses'!$B$8:$B$5000,"&lt;"&amp;DATE(2026,6,1))</f>
        <v/>
      </c>
      <c r="C21" s="437">
        <f>SUMIFS('💸 Expenses'!$F$8:$F$5000,'💸 Expenses'!$E$8:$E$5000,$A21,'💸 Expenses'!$B$8:$B$5000,"&gt;="&amp;DATE(2026,6,1),'💸 Expenses'!$B$8:$B$5000,"&lt;"&amp;DATE(2026,7,1))</f>
        <v/>
      </c>
      <c r="D21" s="437">
        <f>SUMIFS('💸 Expenses'!$F$8:$F$5000,'💸 Expenses'!$E$8:$E$5000,$A21,'💸 Expenses'!$B$8:$B$5000,"&gt;="&amp;DATE(2026,7,1),'💸 Expenses'!$B$8:$B$5000,"&lt;"&amp;DATE(2026,8,1))</f>
        <v/>
      </c>
      <c r="E21" s="437">
        <f>SUMIFS('💸 Expenses'!$F$8:$F$5000,'💸 Expenses'!$E$8:$E$5000,$A21,'💸 Expenses'!$B$8:$B$5000,"&gt;="&amp;DATE(2026,8,1),'💸 Expenses'!$B$8:$B$5000,"&lt;"&amp;DATE(2026,9,1))</f>
        <v/>
      </c>
      <c r="F21" s="437">
        <f>SUMIFS('💸 Expenses'!$F$8:$F$5000,'💸 Expenses'!$E$8:$E$5000,$A21,'💸 Expenses'!$B$8:$B$5000,"&gt;="&amp;DATE(2026,9,1),'💸 Expenses'!$B$8:$B$5000,"&lt;"&amp;DATE(2026,10,1))</f>
        <v/>
      </c>
      <c r="G21" s="433" t="n"/>
      <c r="H21" s="433" t="n"/>
      <c r="I21" s="433" t="n"/>
      <c r="J21" s="433" t="n"/>
      <c r="K21" s="433" t="n"/>
      <c r="L21" s="433" t="n"/>
    </row>
    <row r="22">
      <c r="A22" s="439" t="inlineStr">
        <is>
          <t>Ingredients - Pantry</t>
        </is>
      </c>
      <c r="B22" s="437">
        <f>SUMIFS('💸 Expenses'!$F$8:$F$5000,'💸 Expenses'!$E$8:$E$5000,$A22,'💸 Expenses'!$B$8:$B$5000,"&gt;="&amp;DATE(2026,5,1),'💸 Expenses'!$B$8:$B$5000,"&lt;"&amp;DATE(2026,6,1))</f>
        <v/>
      </c>
      <c r="C22" s="437">
        <f>SUMIFS('💸 Expenses'!$F$8:$F$5000,'💸 Expenses'!$E$8:$E$5000,$A22,'💸 Expenses'!$B$8:$B$5000,"&gt;="&amp;DATE(2026,6,1),'💸 Expenses'!$B$8:$B$5000,"&lt;"&amp;DATE(2026,7,1))</f>
        <v/>
      </c>
      <c r="D22" s="437">
        <f>SUMIFS('💸 Expenses'!$F$8:$F$5000,'💸 Expenses'!$E$8:$E$5000,$A22,'💸 Expenses'!$B$8:$B$5000,"&gt;="&amp;DATE(2026,7,1),'💸 Expenses'!$B$8:$B$5000,"&lt;"&amp;DATE(2026,8,1))</f>
        <v/>
      </c>
      <c r="E22" s="437">
        <f>SUMIFS('💸 Expenses'!$F$8:$F$5000,'💸 Expenses'!$E$8:$E$5000,$A22,'💸 Expenses'!$B$8:$B$5000,"&gt;="&amp;DATE(2026,8,1),'💸 Expenses'!$B$8:$B$5000,"&lt;"&amp;DATE(2026,9,1))</f>
        <v/>
      </c>
      <c r="F22" s="437">
        <f>SUMIFS('💸 Expenses'!$F$8:$F$5000,'💸 Expenses'!$E$8:$E$5000,$A22,'💸 Expenses'!$B$8:$B$5000,"&gt;="&amp;DATE(2026,9,1),'💸 Expenses'!$B$8:$B$5000,"&lt;"&amp;DATE(2026,10,1))</f>
        <v/>
      </c>
      <c r="G22" s="433" t="n"/>
      <c r="H22" s="433" t="n"/>
      <c r="I22" s="433" t="n"/>
      <c r="J22" s="433" t="n"/>
      <c r="K22" s="433" t="n"/>
      <c r="L22" s="433" t="n"/>
    </row>
    <row r="23">
      <c r="A23" s="439" t="inlineStr">
        <is>
          <t>Ingredients - Beverages</t>
        </is>
      </c>
      <c r="B23" s="437">
        <f>SUMIFS('💸 Expenses'!$F$8:$F$5000,'💸 Expenses'!$E$8:$E$5000,$A23,'💸 Expenses'!$B$8:$B$5000,"&gt;="&amp;DATE(2026,5,1),'💸 Expenses'!$B$8:$B$5000,"&lt;"&amp;DATE(2026,6,1))</f>
        <v/>
      </c>
      <c r="C23" s="437">
        <f>SUMIFS('💸 Expenses'!$F$8:$F$5000,'💸 Expenses'!$E$8:$E$5000,$A23,'💸 Expenses'!$B$8:$B$5000,"&gt;="&amp;DATE(2026,6,1),'💸 Expenses'!$B$8:$B$5000,"&lt;"&amp;DATE(2026,7,1))</f>
        <v/>
      </c>
      <c r="D23" s="437">
        <f>SUMIFS('💸 Expenses'!$F$8:$F$5000,'💸 Expenses'!$E$8:$E$5000,$A23,'💸 Expenses'!$B$8:$B$5000,"&gt;="&amp;DATE(2026,7,1),'💸 Expenses'!$B$8:$B$5000,"&lt;"&amp;DATE(2026,8,1))</f>
        <v/>
      </c>
      <c r="E23" s="437">
        <f>SUMIFS('💸 Expenses'!$F$8:$F$5000,'💸 Expenses'!$E$8:$E$5000,$A23,'💸 Expenses'!$B$8:$B$5000,"&gt;="&amp;DATE(2026,8,1),'💸 Expenses'!$B$8:$B$5000,"&lt;"&amp;DATE(2026,9,1))</f>
        <v/>
      </c>
      <c r="F23" s="437">
        <f>SUMIFS('💸 Expenses'!$F$8:$F$5000,'💸 Expenses'!$E$8:$E$5000,$A23,'💸 Expenses'!$B$8:$B$5000,"&gt;="&amp;DATE(2026,9,1),'💸 Expenses'!$B$8:$B$5000,"&lt;"&amp;DATE(2026,10,1))</f>
        <v/>
      </c>
      <c r="G23" s="433" t="n"/>
      <c r="H23" s="433" t="n"/>
      <c r="I23" s="433" t="n"/>
      <c r="J23" s="433" t="n"/>
      <c r="K23" s="433" t="n"/>
      <c r="L23" s="433" t="n"/>
    </row>
    <row r="24">
      <c r="A24" s="439" t="inlineStr">
        <is>
          <t>Ingredients - Dairy</t>
        </is>
      </c>
      <c r="B24" s="437">
        <f>SUMIFS('💸 Expenses'!$F$8:$F$5000,'💸 Expenses'!$E$8:$E$5000,$A24,'💸 Expenses'!$B$8:$B$5000,"&gt;="&amp;DATE(2026,5,1),'💸 Expenses'!$B$8:$B$5000,"&lt;"&amp;DATE(2026,6,1))</f>
        <v/>
      </c>
      <c r="C24" s="437">
        <f>SUMIFS('💸 Expenses'!$F$8:$F$5000,'💸 Expenses'!$E$8:$E$5000,$A24,'💸 Expenses'!$B$8:$B$5000,"&gt;="&amp;DATE(2026,6,1),'💸 Expenses'!$B$8:$B$5000,"&lt;"&amp;DATE(2026,7,1))</f>
        <v/>
      </c>
      <c r="D24" s="437">
        <f>SUMIFS('💸 Expenses'!$F$8:$F$5000,'💸 Expenses'!$E$8:$E$5000,$A24,'💸 Expenses'!$B$8:$B$5000,"&gt;="&amp;DATE(2026,7,1),'💸 Expenses'!$B$8:$B$5000,"&lt;"&amp;DATE(2026,8,1))</f>
        <v/>
      </c>
      <c r="E24" s="437">
        <f>SUMIFS('💸 Expenses'!$F$8:$F$5000,'💸 Expenses'!$E$8:$E$5000,$A24,'💸 Expenses'!$B$8:$B$5000,"&gt;="&amp;DATE(2026,8,1),'💸 Expenses'!$B$8:$B$5000,"&lt;"&amp;DATE(2026,9,1))</f>
        <v/>
      </c>
      <c r="F24" s="437">
        <f>SUMIFS('💸 Expenses'!$F$8:$F$5000,'💸 Expenses'!$E$8:$E$5000,$A24,'💸 Expenses'!$B$8:$B$5000,"&gt;="&amp;DATE(2026,9,1),'💸 Expenses'!$B$8:$B$5000,"&lt;"&amp;DATE(2026,10,1))</f>
        <v/>
      </c>
      <c r="G24" s="433" t="n"/>
      <c r="H24" s="433" t="n"/>
      <c r="I24" s="433" t="n"/>
      <c r="J24" s="433" t="n"/>
      <c r="K24" s="433" t="n"/>
      <c r="L24" s="433" t="n"/>
    </row>
    <row r="25">
      <c r="A25" s="439" t="inlineStr">
        <is>
          <t>Ingredients - Bread</t>
        </is>
      </c>
      <c r="B25" s="437">
        <f>SUMIFS('💸 Expenses'!$F$8:$F$5000,'💸 Expenses'!$E$8:$E$5000,$A25,'💸 Expenses'!$B$8:$B$5000,"&gt;="&amp;DATE(2026,5,1),'💸 Expenses'!$B$8:$B$5000,"&lt;"&amp;DATE(2026,6,1))</f>
        <v/>
      </c>
      <c r="C25" s="437">
        <f>SUMIFS('💸 Expenses'!$F$8:$F$5000,'💸 Expenses'!$E$8:$E$5000,$A25,'💸 Expenses'!$B$8:$B$5000,"&gt;="&amp;DATE(2026,6,1),'💸 Expenses'!$B$8:$B$5000,"&lt;"&amp;DATE(2026,7,1))</f>
        <v/>
      </c>
      <c r="D25" s="437">
        <f>SUMIFS('💸 Expenses'!$F$8:$F$5000,'💸 Expenses'!$E$8:$E$5000,$A25,'💸 Expenses'!$B$8:$B$5000,"&gt;="&amp;DATE(2026,7,1),'💸 Expenses'!$B$8:$B$5000,"&lt;"&amp;DATE(2026,8,1))</f>
        <v/>
      </c>
      <c r="E25" s="437">
        <f>SUMIFS('💸 Expenses'!$F$8:$F$5000,'💸 Expenses'!$E$8:$E$5000,$A25,'💸 Expenses'!$B$8:$B$5000,"&gt;="&amp;DATE(2026,8,1),'💸 Expenses'!$B$8:$B$5000,"&lt;"&amp;DATE(2026,9,1))</f>
        <v/>
      </c>
      <c r="F25" s="437">
        <f>SUMIFS('💸 Expenses'!$F$8:$F$5000,'💸 Expenses'!$E$8:$E$5000,$A25,'💸 Expenses'!$B$8:$B$5000,"&gt;="&amp;DATE(2026,9,1),'💸 Expenses'!$B$8:$B$5000,"&lt;"&amp;DATE(2026,10,1))</f>
        <v/>
      </c>
      <c r="G25" s="433" t="n"/>
      <c r="H25" s="433" t="n"/>
      <c r="I25" s="433" t="n"/>
      <c r="J25" s="433" t="n"/>
      <c r="K25" s="433" t="n"/>
      <c r="L25" s="433" t="n"/>
    </row>
    <row r="26">
      <c r="A26" s="439" t="inlineStr">
        <is>
          <t>Utilities/Electricity</t>
        </is>
      </c>
      <c r="B26" s="437">
        <f>SUMIFS('💸 Expenses'!$F$8:$F$5000,'💸 Expenses'!$E$8:$E$5000,$A26,'💸 Expenses'!$B$8:$B$5000,"&gt;="&amp;DATE(2026,5,1),'💸 Expenses'!$B$8:$B$5000,"&lt;"&amp;DATE(2026,6,1))</f>
        <v/>
      </c>
      <c r="C26" s="437">
        <f>SUMIFS('💸 Expenses'!$F$8:$F$5000,'💸 Expenses'!$E$8:$E$5000,$A26,'💸 Expenses'!$B$8:$B$5000,"&gt;="&amp;DATE(2026,6,1),'💸 Expenses'!$B$8:$B$5000,"&lt;"&amp;DATE(2026,7,1))</f>
        <v/>
      </c>
      <c r="D26" s="437">
        <f>SUMIFS('💸 Expenses'!$F$8:$F$5000,'💸 Expenses'!$E$8:$E$5000,$A26,'💸 Expenses'!$B$8:$B$5000,"&gt;="&amp;DATE(2026,7,1),'💸 Expenses'!$B$8:$B$5000,"&lt;"&amp;DATE(2026,8,1))</f>
        <v/>
      </c>
      <c r="E26" s="437">
        <f>SUMIFS('💸 Expenses'!$F$8:$F$5000,'💸 Expenses'!$E$8:$E$5000,$A26,'💸 Expenses'!$B$8:$B$5000,"&gt;="&amp;DATE(2026,8,1),'💸 Expenses'!$B$8:$B$5000,"&lt;"&amp;DATE(2026,9,1))</f>
        <v/>
      </c>
      <c r="F26" s="437">
        <f>SUMIFS('💸 Expenses'!$F$8:$F$5000,'💸 Expenses'!$E$8:$E$5000,$A26,'💸 Expenses'!$B$8:$B$5000,"&gt;="&amp;DATE(2026,9,1),'💸 Expenses'!$B$8:$B$5000,"&lt;"&amp;DATE(2026,10,1))</f>
        <v/>
      </c>
      <c r="G26" s="433" t="n"/>
      <c r="H26" s="433" t="n"/>
      <c r="I26" s="433" t="n"/>
      <c r="J26" s="433" t="n"/>
      <c r="K26" s="433" t="n"/>
      <c r="L26" s="433" t="n"/>
    </row>
    <row r="27">
      <c r="A27" s="439" t="inlineStr">
        <is>
          <t>Ingredients - Meat &amp; Fish</t>
        </is>
      </c>
      <c r="B27" s="437">
        <f>SUMIFS('💸 Expenses'!$F$8:$F$5000,'💸 Expenses'!$E$8:$E$5000,$A27,'💸 Expenses'!$B$8:$B$5000,"&gt;="&amp;DATE(2026,5,1),'💸 Expenses'!$B$8:$B$5000,"&lt;"&amp;DATE(2026,6,1))</f>
        <v/>
      </c>
      <c r="C27" s="437">
        <f>SUMIFS('💸 Expenses'!$F$8:$F$5000,'💸 Expenses'!$E$8:$E$5000,$A27,'💸 Expenses'!$B$8:$B$5000,"&gt;="&amp;DATE(2026,6,1),'💸 Expenses'!$B$8:$B$5000,"&lt;"&amp;DATE(2026,7,1))</f>
        <v/>
      </c>
      <c r="D27" s="437">
        <f>SUMIFS('💸 Expenses'!$F$8:$F$5000,'💸 Expenses'!$E$8:$E$5000,$A27,'💸 Expenses'!$B$8:$B$5000,"&gt;="&amp;DATE(2026,7,1),'💸 Expenses'!$B$8:$B$5000,"&lt;"&amp;DATE(2026,8,1))</f>
        <v/>
      </c>
      <c r="E27" s="437">
        <f>SUMIFS('💸 Expenses'!$F$8:$F$5000,'💸 Expenses'!$E$8:$E$5000,$A27,'💸 Expenses'!$B$8:$B$5000,"&gt;="&amp;DATE(2026,8,1),'💸 Expenses'!$B$8:$B$5000,"&lt;"&amp;DATE(2026,9,1))</f>
        <v/>
      </c>
      <c r="F27" s="437">
        <f>SUMIFS('💸 Expenses'!$F$8:$F$5000,'💸 Expenses'!$E$8:$E$5000,$A27,'💸 Expenses'!$B$8:$B$5000,"&gt;="&amp;DATE(2026,9,1),'💸 Expenses'!$B$8:$B$5000,"&lt;"&amp;DATE(2026,10,1))</f>
        <v/>
      </c>
      <c r="G27" s="433" t="n"/>
      <c r="H27" s="433" t="n"/>
      <c r="I27" s="433" t="n"/>
      <c r="J27" s="433" t="n"/>
      <c r="K27" s="433" t="n"/>
      <c r="L27" s="433" t="n"/>
    </row>
    <row r="28">
      <c r="A28" s="439" t="inlineStr">
        <is>
          <t>Supplies/Other</t>
        </is>
      </c>
      <c r="B28" s="437">
        <f>SUMIFS('💸 Expenses'!$F$8:$F$5000,'💸 Expenses'!$E$8:$E$5000,$A28,'💸 Expenses'!$B$8:$B$5000,"&gt;="&amp;DATE(2026,5,1),'💸 Expenses'!$B$8:$B$5000,"&lt;"&amp;DATE(2026,6,1))</f>
        <v/>
      </c>
      <c r="C28" s="437">
        <f>SUMIFS('💸 Expenses'!$F$8:$F$5000,'💸 Expenses'!$E$8:$E$5000,$A28,'💸 Expenses'!$B$8:$B$5000,"&gt;="&amp;DATE(2026,6,1),'💸 Expenses'!$B$8:$B$5000,"&lt;"&amp;DATE(2026,7,1))</f>
        <v/>
      </c>
      <c r="D28" s="437">
        <f>SUMIFS('💸 Expenses'!$F$8:$F$5000,'💸 Expenses'!$E$8:$E$5000,$A28,'💸 Expenses'!$B$8:$B$5000,"&gt;="&amp;DATE(2026,7,1),'💸 Expenses'!$B$8:$B$5000,"&lt;"&amp;DATE(2026,8,1))</f>
        <v/>
      </c>
      <c r="E28" s="437">
        <f>SUMIFS('💸 Expenses'!$F$8:$F$5000,'💸 Expenses'!$E$8:$E$5000,$A28,'💸 Expenses'!$B$8:$B$5000,"&gt;="&amp;DATE(2026,8,1),'💸 Expenses'!$B$8:$B$5000,"&lt;"&amp;DATE(2026,9,1))</f>
        <v/>
      </c>
      <c r="F28" s="437">
        <f>SUMIFS('💸 Expenses'!$F$8:$F$5000,'💸 Expenses'!$E$8:$E$5000,$A28,'💸 Expenses'!$B$8:$B$5000,"&gt;="&amp;DATE(2026,9,1),'💸 Expenses'!$B$8:$B$5000,"&lt;"&amp;DATE(2026,10,1))</f>
        <v/>
      </c>
      <c r="G28" s="433" t="n"/>
      <c r="H28" s="433" t="n"/>
      <c r="I28" s="433" t="n"/>
      <c r="J28" s="433" t="n"/>
      <c r="K28" s="433" t="n"/>
      <c r="L28" s="433" t="n"/>
    </row>
    <row r="29">
      <c r="A29" s="439" t="inlineStr">
        <is>
          <t>Maintenance</t>
        </is>
      </c>
      <c r="B29" s="437">
        <f>SUMIFS('💸 Expenses'!$F$8:$F$5000,'💸 Expenses'!$E$8:$E$5000,$A29,'💸 Expenses'!$B$8:$B$5000,"&gt;="&amp;DATE(2026,5,1),'💸 Expenses'!$B$8:$B$5000,"&lt;"&amp;DATE(2026,6,1))</f>
        <v/>
      </c>
      <c r="C29" s="437">
        <f>SUMIFS('💸 Expenses'!$F$8:$F$5000,'💸 Expenses'!$E$8:$E$5000,$A29,'💸 Expenses'!$B$8:$B$5000,"&gt;="&amp;DATE(2026,6,1),'💸 Expenses'!$B$8:$B$5000,"&lt;"&amp;DATE(2026,7,1))</f>
        <v/>
      </c>
      <c r="D29" s="437">
        <f>SUMIFS('💸 Expenses'!$F$8:$F$5000,'💸 Expenses'!$E$8:$E$5000,$A29,'💸 Expenses'!$B$8:$B$5000,"&gt;="&amp;DATE(2026,7,1),'💸 Expenses'!$B$8:$B$5000,"&lt;"&amp;DATE(2026,8,1))</f>
        <v/>
      </c>
      <c r="E29" s="437">
        <f>SUMIFS('💸 Expenses'!$F$8:$F$5000,'💸 Expenses'!$E$8:$E$5000,$A29,'💸 Expenses'!$B$8:$B$5000,"&gt;="&amp;DATE(2026,8,1),'💸 Expenses'!$B$8:$B$5000,"&lt;"&amp;DATE(2026,9,1))</f>
        <v/>
      </c>
      <c r="F29" s="437">
        <f>SUMIFS('💸 Expenses'!$F$8:$F$5000,'💸 Expenses'!$E$8:$E$5000,$A29,'💸 Expenses'!$B$8:$B$5000,"&gt;="&amp;DATE(2026,9,1),'💸 Expenses'!$B$8:$B$5000,"&lt;"&amp;DATE(2026,10,1))</f>
        <v/>
      </c>
      <c r="G29" s="433" t="n"/>
      <c r="H29" s="433" t="n"/>
      <c r="I29" s="433" t="n"/>
      <c r="J29" s="433" t="n"/>
      <c r="K29" s="433" t="n"/>
      <c r="L29" s="433" t="n"/>
    </row>
    <row r="30">
      <c r="A30" s="439" t="inlineStr">
        <is>
          <t>Packaging/Disposables</t>
        </is>
      </c>
      <c r="B30" s="437">
        <f>SUMIFS('💸 Expenses'!$F$8:$F$5000,'💸 Expenses'!$E$8:$E$5000,$A30,'💸 Expenses'!$B$8:$B$5000,"&gt;="&amp;DATE(2026,5,1),'💸 Expenses'!$B$8:$B$5000,"&lt;"&amp;DATE(2026,6,1))</f>
        <v/>
      </c>
      <c r="C30" s="437">
        <f>SUMIFS('💸 Expenses'!$F$8:$F$5000,'💸 Expenses'!$E$8:$E$5000,$A30,'💸 Expenses'!$B$8:$B$5000,"&gt;="&amp;DATE(2026,6,1),'💸 Expenses'!$B$8:$B$5000,"&lt;"&amp;DATE(2026,7,1))</f>
        <v/>
      </c>
      <c r="D30" s="437">
        <f>SUMIFS('💸 Expenses'!$F$8:$F$5000,'💸 Expenses'!$E$8:$E$5000,$A30,'💸 Expenses'!$B$8:$B$5000,"&gt;="&amp;DATE(2026,7,1),'💸 Expenses'!$B$8:$B$5000,"&lt;"&amp;DATE(2026,8,1))</f>
        <v/>
      </c>
      <c r="E30" s="437">
        <f>SUMIFS('💸 Expenses'!$F$8:$F$5000,'💸 Expenses'!$E$8:$E$5000,$A30,'💸 Expenses'!$B$8:$B$5000,"&gt;="&amp;DATE(2026,8,1),'💸 Expenses'!$B$8:$B$5000,"&lt;"&amp;DATE(2026,9,1))</f>
        <v/>
      </c>
      <c r="F30" s="437">
        <f>SUMIFS('💸 Expenses'!$F$8:$F$5000,'💸 Expenses'!$E$8:$E$5000,$A30,'💸 Expenses'!$B$8:$B$5000,"&gt;="&amp;DATE(2026,9,1),'💸 Expenses'!$B$8:$B$5000,"&lt;"&amp;DATE(2026,10,1))</f>
        <v/>
      </c>
      <c r="G30" s="433" t="n"/>
      <c r="H30" s="433" t="n"/>
      <c r="I30" s="433" t="n"/>
      <c r="J30" s="433" t="n"/>
      <c r="K30" s="433" t="n"/>
      <c r="L30" s="433" t="n"/>
    </row>
    <row r="31">
      <c r="A31" s="439" t="inlineStr">
        <is>
          <t>Utilities/Gas</t>
        </is>
      </c>
      <c r="B31" s="437">
        <f>SUMIFS('💸 Expenses'!$F$8:$F$5000,'💸 Expenses'!$E$8:$E$5000,$A31,'💸 Expenses'!$B$8:$B$5000,"&gt;="&amp;DATE(2026,5,1),'💸 Expenses'!$B$8:$B$5000,"&lt;"&amp;DATE(2026,6,1))</f>
        <v/>
      </c>
      <c r="C31" s="437">
        <f>SUMIFS('💸 Expenses'!$F$8:$F$5000,'💸 Expenses'!$E$8:$E$5000,$A31,'💸 Expenses'!$B$8:$B$5000,"&gt;="&amp;DATE(2026,6,1),'💸 Expenses'!$B$8:$B$5000,"&lt;"&amp;DATE(2026,7,1))</f>
        <v/>
      </c>
      <c r="D31" s="437">
        <f>SUMIFS('💸 Expenses'!$F$8:$F$5000,'💸 Expenses'!$E$8:$E$5000,$A31,'💸 Expenses'!$B$8:$B$5000,"&gt;="&amp;DATE(2026,7,1),'💸 Expenses'!$B$8:$B$5000,"&lt;"&amp;DATE(2026,8,1))</f>
        <v/>
      </c>
      <c r="E31" s="437">
        <f>SUMIFS('💸 Expenses'!$F$8:$F$5000,'💸 Expenses'!$E$8:$E$5000,$A31,'💸 Expenses'!$B$8:$B$5000,"&gt;="&amp;DATE(2026,8,1),'💸 Expenses'!$B$8:$B$5000,"&lt;"&amp;DATE(2026,9,1))</f>
        <v/>
      </c>
      <c r="F31" s="437">
        <f>SUMIFS('💸 Expenses'!$F$8:$F$5000,'💸 Expenses'!$E$8:$E$5000,$A31,'💸 Expenses'!$B$8:$B$5000,"&gt;="&amp;DATE(2026,9,1),'💸 Expenses'!$B$8:$B$5000,"&lt;"&amp;DATE(2026,10,1))</f>
        <v/>
      </c>
      <c r="G31" s="433" t="n"/>
      <c r="H31" s="433" t="n"/>
      <c r="I31" s="433" t="n"/>
      <c r="J31" s="433" t="n"/>
      <c r="K31" s="433" t="n"/>
      <c r="L31" s="433" t="n"/>
    </row>
    <row r="32">
      <c r="A32" s="439" t="inlineStr">
        <is>
          <t>Kitchen Supplies</t>
        </is>
      </c>
      <c r="B32" s="437">
        <f>SUMIFS('💸 Expenses'!$F$8:$F$5000,'💸 Expenses'!$E$8:$E$5000,$A32,'💸 Expenses'!$B$8:$B$5000,"&gt;="&amp;DATE(2026,5,1),'💸 Expenses'!$B$8:$B$5000,"&lt;"&amp;DATE(2026,6,1))</f>
        <v/>
      </c>
      <c r="C32" s="437">
        <f>SUMIFS('💸 Expenses'!$F$8:$F$5000,'💸 Expenses'!$E$8:$E$5000,$A32,'💸 Expenses'!$B$8:$B$5000,"&gt;="&amp;DATE(2026,6,1),'💸 Expenses'!$B$8:$B$5000,"&lt;"&amp;DATE(2026,7,1))</f>
        <v/>
      </c>
      <c r="D32" s="437">
        <f>SUMIFS('💸 Expenses'!$F$8:$F$5000,'💸 Expenses'!$E$8:$E$5000,$A32,'💸 Expenses'!$B$8:$B$5000,"&gt;="&amp;DATE(2026,7,1),'💸 Expenses'!$B$8:$B$5000,"&lt;"&amp;DATE(2026,8,1))</f>
        <v/>
      </c>
      <c r="E32" s="437">
        <f>SUMIFS('💸 Expenses'!$F$8:$F$5000,'💸 Expenses'!$E$8:$E$5000,$A32,'💸 Expenses'!$B$8:$B$5000,"&gt;="&amp;DATE(2026,8,1),'💸 Expenses'!$B$8:$B$5000,"&lt;"&amp;DATE(2026,9,1))</f>
        <v/>
      </c>
      <c r="F32" s="437">
        <f>SUMIFS('💸 Expenses'!$F$8:$F$5000,'💸 Expenses'!$E$8:$E$5000,$A32,'💸 Expenses'!$B$8:$B$5000,"&gt;="&amp;DATE(2026,9,1),'💸 Expenses'!$B$8:$B$5000,"&lt;"&amp;DATE(2026,10,1))</f>
        <v/>
      </c>
      <c r="G32" s="433" t="n"/>
      <c r="H32" s="433" t="n"/>
      <c r="I32" s="433" t="n"/>
      <c r="J32" s="433" t="n"/>
      <c r="K32" s="433" t="n"/>
      <c r="L32" s="433" t="n"/>
    </row>
    <row r="33">
      <c r="A33" s="439" t="inlineStr">
        <is>
          <t>Ingredients - Fruit</t>
        </is>
      </c>
      <c r="B33" s="437">
        <f>SUMIFS('💸 Expenses'!$F$8:$F$5000,'💸 Expenses'!$E$8:$E$5000,$A33,'💸 Expenses'!$B$8:$B$5000,"&gt;="&amp;DATE(2026,5,1),'💸 Expenses'!$B$8:$B$5000,"&lt;"&amp;DATE(2026,6,1))</f>
        <v/>
      </c>
      <c r="C33" s="437">
        <f>SUMIFS('💸 Expenses'!$F$8:$F$5000,'💸 Expenses'!$E$8:$E$5000,$A33,'💸 Expenses'!$B$8:$B$5000,"&gt;="&amp;DATE(2026,6,1),'💸 Expenses'!$B$8:$B$5000,"&lt;"&amp;DATE(2026,7,1))</f>
        <v/>
      </c>
      <c r="D33" s="437">
        <f>SUMIFS('💸 Expenses'!$F$8:$F$5000,'💸 Expenses'!$E$8:$E$5000,$A33,'💸 Expenses'!$B$8:$B$5000,"&gt;="&amp;DATE(2026,7,1),'💸 Expenses'!$B$8:$B$5000,"&lt;"&amp;DATE(2026,8,1))</f>
        <v/>
      </c>
      <c r="E33" s="437">
        <f>SUMIFS('💸 Expenses'!$F$8:$F$5000,'💸 Expenses'!$E$8:$E$5000,$A33,'💸 Expenses'!$B$8:$B$5000,"&gt;="&amp;DATE(2026,8,1),'💸 Expenses'!$B$8:$B$5000,"&lt;"&amp;DATE(2026,9,1))</f>
        <v/>
      </c>
      <c r="F33" s="437">
        <f>SUMIFS('💸 Expenses'!$F$8:$F$5000,'💸 Expenses'!$E$8:$E$5000,$A33,'💸 Expenses'!$B$8:$B$5000,"&gt;="&amp;DATE(2026,9,1),'💸 Expenses'!$B$8:$B$5000,"&lt;"&amp;DATE(2026,10,1))</f>
        <v/>
      </c>
      <c r="G33" s="433" t="n"/>
      <c r="H33" s="433" t="n"/>
      <c r="I33" s="433" t="n"/>
      <c r="J33" s="433" t="n"/>
      <c r="K33" s="433" t="n"/>
      <c r="L33" s="433" t="n"/>
    </row>
    <row r="34">
      <c r="A34" s="439" t="inlineStr">
        <is>
          <t>Utilities/Internet</t>
        </is>
      </c>
      <c r="B34" s="437">
        <f>SUMIFS('💸 Expenses'!$F$8:$F$5000,'💸 Expenses'!$E$8:$E$5000,$A34,'💸 Expenses'!$B$8:$B$5000,"&gt;="&amp;DATE(2026,5,1),'💸 Expenses'!$B$8:$B$5000,"&lt;"&amp;DATE(2026,6,1))</f>
        <v/>
      </c>
      <c r="C34" s="437">
        <f>SUMIFS('💸 Expenses'!$F$8:$F$5000,'💸 Expenses'!$E$8:$E$5000,$A34,'💸 Expenses'!$B$8:$B$5000,"&gt;="&amp;DATE(2026,6,1),'💸 Expenses'!$B$8:$B$5000,"&lt;"&amp;DATE(2026,7,1))</f>
        <v/>
      </c>
      <c r="D34" s="437">
        <f>SUMIFS('💸 Expenses'!$F$8:$F$5000,'💸 Expenses'!$E$8:$E$5000,$A34,'💸 Expenses'!$B$8:$B$5000,"&gt;="&amp;DATE(2026,7,1),'💸 Expenses'!$B$8:$B$5000,"&lt;"&amp;DATE(2026,8,1))</f>
        <v/>
      </c>
      <c r="E34" s="437">
        <f>SUMIFS('💸 Expenses'!$F$8:$F$5000,'💸 Expenses'!$E$8:$E$5000,$A34,'💸 Expenses'!$B$8:$B$5000,"&gt;="&amp;DATE(2026,8,1),'💸 Expenses'!$B$8:$B$5000,"&lt;"&amp;DATE(2026,9,1))</f>
        <v/>
      </c>
      <c r="F34" s="437">
        <f>SUMIFS('💸 Expenses'!$F$8:$F$5000,'💸 Expenses'!$E$8:$E$5000,$A34,'💸 Expenses'!$B$8:$B$5000,"&gt;="&amp;DATE(2026,9,1),'💸 Expenses'!$B$8:$B$5000,"&lt;"&amp;DATE(2026,10,1))</f>
        <v/>
      </c>
      <c r="G34" s="433" t="n"/>
      <c r="H34" s="433" t="n"/>
      <c r="I34" s="433" t="n"/>
      <c r="J34" s="433" t="n"/>
      <c r="K34" s="433" t="n"/>
      <c r="L34" s="433" t="n"/>
    </row>
    <row r="35">
      <c r="A35" s="439" t="inlineStr">
        <is>
          <t>Office Supplies</t>
        </is>
      </c>
      <c r="B35" s="437">
        <f>SUMIFS('💸 Expenses'!$F$8:$F$5000,'💸 Expenses'!$E$8:$E$5000,$A35,'💸 Expenses'!$B$8:$B$5000,"&gt;="&amp;DATE(2026,5,1),'💸 Expenses'!$B$8:$B$5000,"&lt;"&amp;DATE(2026,6,1))</f>
        <v/>
      </c>
      <c r="C35" s="437">
        <f>SUMIFS('💸 Expenses'!$F$8:$F$5000,'💸 Expenses'!$E$8:$E$5000,$A35,'💸 Expenses'!$B$8:$B$5000,"&gt;="&amp;DATE(2026,6,1),'💸 Expenses'!$B$8:$B$5000,"&lt;"&amp;DATE(2026,7,1))</f>
        <v/>
      </c>
      <c r="D35" s="437">
        <f>SUMIFS('💸 Expenses'!$F$8:$F$5000,'💸 Expenses'!$E$8:$E$5000,$A35,'💸 Expenses'!$B$8:$B$5000,"&gt;="&amp;DATE(2026,7,1),'💸 Expenses'!$B$8:$B$5000,"&lt;"&amp;DATE(2026,8,1))</f>
        <v/>
      </c>
      <c r="E35" s="437">
        <f>SUMIFS('💸 Expenses'!$F$8:$F$5000,'💸 Expenses'!$E$8:$E$5000,$A35,'💸 Expenses'!$B$8:$B$5000,"&gt;="&amp;DATE(2026,8,1),'💸 Expenses'!$B$8:$B$5000,"&lt;"&amp;DATE(2026,9,1))</f>
        <v/>
      </c>
      <c r="F35" s="437">
        <f>SUMIFS('💸 Expenses'!$F$8:$F$5000,'💸 Expenses'!$E$8:$E$5000,$A35,'💸 Expenses'!$B$8:$B$5000,"&gt;="&amp;DATE(2026,9,1),'💸 Expenses'!$B$8:$B$5000,"&lt;"&amp;DATE(2026,10,1))</f>
        <v/>
      </c>
      <c r="G35" s="433" t="n"/>
      <c r="H35" s="433" t="n"/>
      <c r="I35" s="433" t="n"/>
      <c r="J35" s="433" t="n"/>
      <c r="K35" s="433" t="n"/>
      <c r="L35" s="433" t="n"/>
    </row>
    <row r="36">
      <c r="A36" s="439" t="inlineStr">
        <is>
          <t>Ingredients - Other</t>
        </is>
      </c>
      <c r="B36" s="437">
        <f>SUMIFS('💸 Expenses'!$F$8:$F$5000,'💸 Expenses'!$E$8:$E$5000,$A36,'💸 Expenses'!$B$8:$B$5000,"&gt;="&amp;DATE(2026,5,1),'💸 Expenses'!$B$8:$B$5000,"&lt;"&amp;DATE(2026,6,1))</f>
        <v/>
      </c>
      <c r="C36" s="437">
        <f>SUMIFS('💸 Expenses'!$F$8:$F$5000,'💸 Expenses'!$E$8:$E$5000,$A36,'💸 Expenses'!$B$8:$B$5000,"&gt;="&amp;DATE(2026,6,1),'💸 Expenses'!$B$8:$B$5000,"&lt;"&amp;DATE(2026,7,1))</f>
        <v/>
      </c>
      <c r="D36" s="437">
        <f>SUMIFS('💸 Expenses'!$F$8:$F$5000,'💸 Expenses'!$E$8:$E$5000,$A36,'💸 Expenses'!$B$8:$B$5000,"&gt;="&amp;DATE(2026,7,1),'💸 Expenses'!$B$8:$B$5000,"&lt;"&amp;DATE(2026,8,1))</f>
        <v/>
      </c>
      <c r="E36" s="437">
        <f>SUMIFS('💸 Expenses'!$F$8:$F$5000,'💸 Expenses'!$E$8:$E$5000,$A36,'💸 Expenses'!$B$8:$B$5000,"&gt;="&amp;DATE(2026,8,1),'💸 Expenses'!$B$8:$B$5000,"&lt;"&amp;DATE(2026,9,1))</f>
        <v/>
      </c>
      <c r="F36" s="437">
        <f>SUMIFS('💸 Expenses'!$F$8:$F$5000,'💸 Expenses'!$E$8:$E$5000,$A36,'💸 Expenses'!$B$8:$B$5000,"&gt;="&amp;DATE(2026,9,1),'💸 Expenses'!$B$8:$B$5000,"&lt;"&amp;DATE(2026,10,1))</f>
        <v/>
      </c>
      <c r="G36" s="433" t="n"/>
      <c r="H36" s="433" t="n"/>
      <c r="I36" s="433" t="n"/>
      <c r="J36" s="433" t="n"/>
      <c r="K36" s="433" t="n"/>
      <c r="L36" s="433" t="n"/>
    </row>
    <row r="37">
      <c r="A37" s="439" t="inlineStr">
        <is>
          <t>Software/Subscription</t>
        </is>
      </c>
      <c r="B37" s="437">
        <f>SUMIFS('💸 Expenses'!$F$8:$F$5000,'💸 Expenses'!$E$8:$E$5000,$A37,'💸 Expenses'!$B$8:$B$5000,"&gt;="&amp;DATE(2026,5,1),'💸 Expenses'!$B$8:$B$5000,"&lt;"&amp;DATE(2026,6,1))</f>
        <v/>
      </c>
      <c r="C37" s="437">
        <f>SUMIFS('💸 Expenses'!$F$8:$F$5000,'💸 Expenses'!$E$8:$E$5000,$A37,'💸 Expenses'!$B$8:$B$5000,"&gt;="&amp;DATE(2026,6,1),'💸 Expenses'!$B$8:$B$5000,"&lt;"&amp;DATE(2026,7,1))</f>
        <v/>
      </c>
      <c r="D37" s="437">
        <f>SUMIFS('💸 Expenses'!$F$8:$F$5000,'💸 Expenses'!$E$8:$E$5000,$A37,'💸 Expenses'!$B$8:$B$5000,"&gt;="&amp;DATE(2026,7,1),'💸 Expenses'!$B$8:$B$5000,"&lt;"&amp;DATE(2026,8,1))</f>
        <v/>
      </c>
      <c r="E37" s="437">
        <f>SUMIFS('💸 Expenses'!$F$8:$F$5000,'💸 Expenses'!$E$8:$E$5000,$A37,'💸 Expenses'!$B$8:$B$5000,"&gt;="&amp;DATE(2026,8,1),'💸 Expenses'!$B$8:$B$5000,"&lt;"&amp;DATE(2026,9,1))</f>
        <v/>
      </c>
      <c r="F37" s="437">
        <f>SUMIFS('💸 Expenses'!$F$8:$F$5000,'💸 Expenses'!$E$8:$E$5000,$A37,'💸 Expenses'!$B$8:$B$5000,"&gt;="&amp;DATE(2026,9,1),'💸 Expenses'!$B$8:$B$5000,"&lt;"&amp;DATE(2026,10,1))</f>
        <v/>
      </c>
      <c r="G37" s="433" t="n"/>
      <c r="H37" s="433" t="n"/>
      <c r="I37" s="433" t="n"/>
      <c r="J37" s="433" t="n"/>
      <c r="K37" s="433" t="n"/>
      <c r="L37" s="433" t="n"/>
    </row>
    <row r="38">
      <c r="A38" s="439" t="inlineStr">
        <is>
          <t>Staff - Advance</t>
        </is>
      </c>
      <c r="B38" s="437">
        <f>SUMIFS('💸 Expenses'!$F$8:$F$5000,'💸 Expenses'!$E$8:$E$5000,$A38,'💸 Expenses'!$B$8:$B$5000,"&gt;="&amp;DATE(2026,5,1),'💸 Expenses'!$B$8:$B$5000,"&lt;"&amp;DATE(2026,6,1))</f>
        <v/>
      </c>
      <c r="C38" s="437">
        <f>SUMIFS('💸 Expenses'!$F$8:$F$5000,'💸 Expenses'!$E$8:$E$5000,$A38,'💸 Expenses'!$B$8:$B$5000,"&gt;="&amp;DATE(2026,6,1),'💸 Expenses'!$B$8:$B$5000,"&lt;"&amp;DATE(2026,7,1))</f>
        <v/>
      </c>
      <c r="D38" s="437">
        <f>SUMIFS('💸 Expenses'!$F$8:$F$5000,'💸 Expenses'!$E$8:$E$5000,$A38,'💸 Expenses'!$B$8:$B$5000,"&gt;="&amp;DATE(2026,7,1),'💸 Expenses'!$B$8:$B$5000,"&lt;"&amp;DATE(2026,8,1))</f>
        <v/>
      </c>
      <c r="E38" s="437">
        <f>SUMIFS('💸 Expenses'!$F$8:$F$5000,'💸 Expenses'!$E$8:$E$5000,$A38,'💸 Expenses'!$B$8:$B$5000,"&gt;="&amp;DATE(2026,8,1),'💸 Expenses'!$B$8:$B$5000,"&lt;"&amp;DATE(2026,9,1))</f>
        <v/>
      </c>
      <c r="F38" s="437">
        <f>SUMIFS('💸 Expenses'!$F$8:$F$5000,'💸 Expenses'!$E$8:$E$5000,$A38,'💸 Expenses'!$B$8:$B$5000,"&gt;="&amp;DATE(2026,9,1),'💸 Expenses'!$B$8:$B$5000,"&lt;"&amp;DATE(2026,10,1))</f>
        <v/>
      </c>
      <c r="G38" s="433" t="n"/>
      <c r="H38" s="433" t="n"/>
      <c r="I38" s="433" t="n"/>
      <c r="J38" s="433" t="n"/>
      <c r="K38" s="433" t="n"/>
      <c r="L38" s="433" t="n"/>
    </row>
    <row r="39">
      <c r="A39" s="439" t="inlineStr">
        <is>
          <t>Ingredients - Eggs</t>
        </is>
      </c>
      <c r="B39" s="437">
        <f>SUMIFS('💸 Expenses'!$F$8:$F$5000,'💸 Expenses'!$E$8:$E$5000,$A39,'💸 Expenses'!$B$8:$B$5000,"&gt;="&amp;DATE(2026,5,1),'💸 Expenses'!$B$8:$B$5000,"&lt;"&amp;DATE(2026,6,1))</f>
        <v/>
      </c>
      <c r="C39" s="437">
        <f>SUMIFS('💸 Expenses'!$F$8:$F$5000,'💸 Expenses'!$E$8:$E$5000,$A39,'💸 Expenses'!$B$8:$B$5000,"&gt;="&amp;DATE(2026,6,1),'💸 Expenses'!$B$8:$B$5000,"&lt;"&amp;DATE(2026,7,1))</f>
        <v/>
      </c>
      <c r="D39" s="437">
        <f>SUMIFS('💸 Expenses'!$F$8:$F$5000,'💸 Expenses'!$E$8:$E$5000,$A39,'💸 Expenses'!$B$8:$B$5000,"&gt;="&amp;DATE(2026,7,1),'💸 Expenses'!$B$8:$B$5000,"&lt;"&amp;DATE(2026,8,1))</f>
        <v/>
      </c>
      <c r="E39" s="437">
        <f>SUMIFS('💸 Expenses'!$F$8:$F$5000,'💸 Expenses'!$E$8:$E$5000,$A39,'💸 Expenses'!$B$8:$B$5000,"&gt;="&amp;DATE(2026,8,1),'💸 Expenses'!$B$8:$B$5000,"&lt;"&amp;DATE(2026,9,1))</f>
        <v/>
      </c>
      <c r="F39" s="437">
        <f>SUMIFS('💸 Expenses'!$F$8:$F$5000,'💸 Expenses'!$E$8:$E$5000,$A39,'💸 Expenses'!$B$8:$B$5000,"&gt;="&amp;DATE(2026,9,1),'💸 Expenses'!$B$8:$B$5000,"&lt;"&amp;DATE(2026,10,1))</f>
        <v/>
      </c>
      <c r="G39" s="433" t="n"/>
      <c r="H39" s="433" t="n"/>
      <c r="I39" s="433" t="n"/>
      <c r="J39" s="433" t="n"/>
      <c r="K39" s="433" t="n"/>
      <c r="L39" s="433" t="n"/>
    </row>
    <row r="40">
      <c r="A40" s="439" t="inlineStr">
        <is>
          <t>Ingredients - Desserts</t>
        </is>
      </c>
      <c r="B40" s="437">
        <f>SUMIFS('💸 Expenses'!$F$8:$F$5000,'💸 Expenses'!$E$8:$E$5000,$A40,'💸 Expenses'!$B$8:$B$5000,"&gt;="&amp;DATE(2026,5,1),'💸 Expenses'!$B$8:$B$5000,"&lt;"&amp;DATE(2026,6,1))</f>
        <v/>
      </c>
      <c r="C40" s="437">
        <f>SUMIFS('💸 Expenses'!$F$8:$F$5000,'💸 Expenses'!$E$8:$E$5000,$A40,'💸 Expenses'!$B$8:$B$5000,"&gt;="&amp;DATE(2026,6,1),'💸 Expenses'!$B$8:$B$5000,"&lt;"&amp;DATE(2026,7,1))</f>
        <v/>
      </c>
      <c r="D40" s="437">
        <f>SUMIFS('💸 Expenses'!$F$8:$F$5000,'💸 Expenses'!$E$8:$E$5000,$A40,'💸 Expenses'!$B$8:$B$5000,"&gt;="&amp;DATE(2026,7,1),'💸 Expenses'!$B$8:$B$5000,"&lt;"&amp;DATE(2026,8,1))</f>
        <v/>
      </c>
      <c r="E40" s="437">
        <f>SUMIFS('💸 Expenses'!$F$8:$F$5000,'💸 Expenses'!$E$8:$E$5000,$A40,'💸 Expenses'!$B$8:$B$5000,"&gt;="&amp;DATE(2026,8,1),'💸 Expenses'!$B$8:$B$5000,"&lt;"&amp;DATE(2026,9,1))</f>
        <v/>
      </c>
      <c r="F40" s="437">
        <f>SUMIFS('💸 Expenses'!$F$8:$F$5000,'💸 Expenses'!$E$8:$E$5000,$A40,'💸 Expenses'!$B$8:$B$5000,"&gt;="&amp;DATE(2026,9,1),'💸 Expenses'!$B$8:$B$5000,"&lt;"&amp;DATE(2026,10,1))</f>
        <v/>
      </c>
      <c r="G40" s="433" t="n"/>
      <c r="H40" s="433" t="n"/>
      <c r="I40" s="433" t="n"/>
      <c r="J40" s="433" t="n"/>
      <c r="K40" s="433" t="n"/>
      <c r="L40" s="433" t="n"/>
    </row>
    <row r="41">
      <c r="A41" s="439" t="inlineStr">
        <is>
          <t>Staff - Propinas</t>
        </is>
      </c>
      <c r="B41" s="437">
        <f>SUMIFS('💸 Expenses'!$F$8:$F$5000,'💸 Expenses'!$E$8:$E$5000,$A41,'💸 Expenses'!$B$8:$B$5000,"&gt;="&amp;DATE(2026,5,1),'💸 Expenses'!$B$8:$B$5000,"&lt;"&amp;DATE(2026,6,1))</f>
        <v/>
      </c>
      <c r="C41" s="437">
        <f>SUMIFS('💸 Expenses'!$F$8:$F$5000,'💸 Expenses'!$E$8:$E$5000,$A41,'💸 Expenses'!$B$8:$B$5000,"&gt;="&amp;DATE(2026,6,1),'💸 Expenses'!$B$8:$B$5000,"&lt;"&amp;DATE(2026,7,1))</f>
        <v/>
      </c>
      <c r="D41" s="437">
        <f>SUMIFS('💸 Expenses'!$F$8:$F$5000,'💸 Expenses'!$E$8:$E$5000,$A41,'💸 Expenses'!$B$8:$B$5000,"&gt;="&amp;DATE(2026,7,1),'💸 Expenses'!$B$8:$B$5000,"&lt;"&amp;DATE(2026,8,1))</f>
        <v/>
      </c>
      <c r="E41" s="437">
        <f>SUMIFS('💸 Expenses'!$F$8:$F$5000,'💸 Expenses'!$E$8:$E$5000,$A41,'💸 Expenses'!$B$8:$B$5000,"&gt;="&amp;DATE(2026,8,1),'💸 Expenses'!$B$8:$B$5000,"&lt;"&amp;DATE(2026,9,1))</f>
        <v/>
      </c>
      <c r="F41" s="437">
        <f>SUMIFS('💸 Expenses'!$F$8:$F$5000,'💸 Expenses'!$E$8:$E$5000,$A41,'💸 Expenses'!$B$8:$B$5000,"&gt;="&amp;DATE(2026,9,1),'💸 Expenses'!$B$8:$B$5000,"&lt;"&amp;DATE(2026,10,1))</f>
        <v/>
      </c>
      <c r="G41" s="433" t="n"/>
      <c r="H41" s="433" t="n"/>
      <c r="I41" s="433" t="n"/>
      <c r="J41" s="433" t="n"/>
      <c r="K41" s="433" t="n"/>
      <c r="L41" s="433" t="n"/>
    </row>
    <row r="42">
      <c r="A42" s="436" t="inlineStr">
        <is>
          <t>TOTAL EXPENSES</t>
        </is>
      </c>
      <c r="B42" s="438">
        <f>SUMIFS('💸 Expenses'!$F$8:$F$5000,'💸 Expenses'!$B$8:$B$5000,"&gt;="&amp;DATE(2026,5,1),'💸 Expenses'!$B$8:$B$5000,"&lt;"&amp;DATE(2026,6,1))</f>
        <v/>
      </c>
      <c r="C42" s="438">
        <f>SUMIFS('💸 Expenses'!$F$8:$F$5000,'💸 Expenses'!$B$8:$B$5000,"&gt;="&amp;DATE(2026,6,1),'💸 Expenses'!$B$8:$B$5000,"&lt;"&amp;DATE(2026,7,1))</f>
        <v/>
      </c>
      <c r="D42" s="438">
        <f>SUMIFS('💸 Expenses'!$F$8:$F$5000,'💸 Expenses'!$B$8:$B$5000,"&gt;="&amp;DATE(2026,7,1),'💸 Expenses'!$B$8:$B$5000,"&lt;"&amp;DATE(2026,8,1))</f>
        <v/>
      </c>
      <c r="E42" s="438">
        <f>SUMIFS('💸 Expenses'!$F$8:$F$5000,'💸 Expenses'!$B$8:$B$5000,"&gt;="&amp;DATE(2026,8,1),'💸 Expenses'!$B$8:$B$5000,"&lt;"&amp;DATE(2026,9,1))</f>
        <v/>
      </c>
      <c r="F42" s="438">
        <f>SUMIFS('💸 Expenses'!$F$8:$F$5000,'💸 Expenses'!$B$8:$B$5000,"&gt;="&amp;DATE(2026,9,1),'💸 Expenses'!$B$8:$B$5000,"&lt;"&amp;DATE(2026,10,1))</f>
        <v/>
      </c>
      <c r="G42" s="433" t="n"/>
      <c r="H42" s="433" t="n"/>
      <c r="I42" s="433" t="n"/>
      <c r="J42" s="433" t="n"/>
      <c r="K42" s="433" t="n"/>
      <c r="L42" s="433" t="n"/>
    </row>
    <row r="43">
      <c r="A43" s="436" t="inlineStr">
        <is>
          <t>NET PROFIT / LOSS</t>
        </is>
      </c>
      <c r="B43" s="438">
        <f>B4-B42</f>
        <v/>
      </c>
      <c r="C43" s="438">
        <f>C4-C42</f>
        <v/>
      </c>
      <c r="D43" s="438">
        <f>D4-D42</f>
        <v/>
      </c>
      <c r="E43" s="438">
        <f>E4-E42</f>
        <v/>
      </c>
      <c r="F43" s="438">
        <f>F4-F42</f>
        <v/>
      </c>
      <c r="G43" s="433" t="n"/>
      <c r="H43" s="433" t="n"/>
      <c r="I43" s="433" t="n"/>
      <c r="J43" s="433" t="n"/>
      <c r="K43" s="433" t="n"/>
      <c r="L43" s="433" t="n"/>
    </row>
    <row r="44">
      <c r="A44" s="433" t="n"/>
      <c r="B44" s="433" t="n"/>
      <c r="C44" s="433" t="n"/>
      <c r="D44" s="433" t="n"/>
      <c r="E44" s="433" t="n"/>
      <c r="F44" s="433" t="n"/>
      <c r="G44" s="433" t="n"/>
      <c r="H44" s="433" t="n"/>
      <c r="I44" s="433" t="n"/>
      <c r="J44" s="433" t="n"/>
      <c r="K44" s="433" t="n"/>
      <c r="L44" s="433" t="n"/>
    </row>
    <row r="45">
      <c r="A45" s="433" t="n"/>
      <c r="B45" s="433" t="n"/>
      <c r="C45" s="433" t="n"/>
      <c r="D45" s="433" t="n"/>
      <c r="E45" s="433" t="n"/>
      <c r="F45" s="433" t="n"/>
      <c r="G45" s="433" t="n"/>
      <c r="H45" s="433" t="n"/>
      <c r="I45" s="433" t="n"/>
      <c r="J45" s="433" t="n"/>
      <c r="K45" s="433" t="n"/>
      <c r="L45" s="433" t="n"/>
    </row>
    <row r="46">
      <c r="A46" s="433" t="n"/>
      <c r="B46" s="433" t="n"/>
      <c r="C46" s="433" t="n"/>
      <c r="D46" s="433" t="n"/>
      <c r="E46" s="433" t="n"/>
      <c r="F46" s="433" t="n"/>
      <c r="G46" s="433" t="n"/>
      <c r="H46" s="433" t="n"/>
      <c r="I46" s="433" t="n"/>
      <c r="J46" s="433" t="n"/>
      <c r="K46" s="433" t="n"/>
      <c r="L46" s="433" t="n"/>
    </row>
    <row r="47">
      <c r="A47" s="433" t="n"/>
      <c r="B47" s="433" t="n"/>
      <c r="C47" s="433" t="n"/>
      <c r="D47" s="433" t="n"/>
      <c r="E47" s="433" t="n"/>
      <c r="F47" s="433" t="n"/>
      <c r="G47" s="433" t="n"/>
      <c r="H47" s="433" t="n"/>
      <c r="I47" s="433" t="n"/>
      <c r="J47" s="433" t="n"/>
      <c r="K47" s="433" t="n"/>
      <c r="L47" s="433" t="n"/>
    </row>
    <row r="48">
      <c r="A48" s="433" t="n"/>
      <c r="B48" s="433" t="n"/>
      <c r="C48" s="433" t="n"/>
      <c r="D48" s="433" t="n"/>
      <c r="E48" s="433" t="n"/>
      <c r="F48" s="433" t="n"/>
      <c r="G48" s="433" t="n"/>
      <c r="H48" s="433" t="n"/>
      <c r="I48" s="433" t="n"/>
      <c r="J48" s="433" t="n"/>
      <c r="K48" s="433" t="n"/>
      <c r="L48" s="433" t="n"/>
    </row>
    <row r="49">
      <c r="A49" s="433" t="n"/>
      <c r="B49" s="433" t="n"/>
      <c r="C49" s="433" t="n"/>
      <c r="D49" s="433" t="n"/>
      <c r="E49" s="433" t="n"/>
      <c r="F49" s="433" t="n"/>
      <c r="G49" s="433" t="n"/>
      <c r="H49" s="433" t="n"/>
      <c r="I49" s="433" t="n"/>
      <c r="J49" s="433" t="n"/>
      <c r="K49" s="433" t="n"/>
      <c r="L49" s="433" t="n"/>
    </row>
    <row r="50">
      <c r="A50" s="433" t="n"/>
      <c r="B50" s="433" t="n"/>
      <c r="C50" s="433" t="n"/>
      <c r="D50" s="433" t="n"/>
      <c r="E50" s="433" t="n"/>
      <c r="F50" s="433" t="n"/>
      <c r="G50" s="433" t="n"/>
      <c r="H50" s="433" t="n"/>
      <c r="I50" s="433" t="n"/>
      <c r="J50" s="433" t="n"/>
      <c r="K50" s="433" t="n"/>
      <c r="L50" s="433" t="n"/>
    </row>
    <row r="51">
      <c r="A51" s="433" t="n"/>
      <c r="B51" s="433" t="n"/>
      <c r="C51" s="433" t="n"/>
      <c r="D51" s="433" t="n"/>
      <c r="E51" s="433" t="n"/>
      <c r="F51" s="433" t="n"/>
      <c r="G51" s="433" t="n"/>
      <c r="H51" s="433" t="n"/>
      <c r="I51" s="433" t="n"/>
      <c r="J51" s="433" t="n"/>
      <c r="K51" s="433" t="n"/>
      <c r="L51" s="433" t="n"/>
    </row>
    <row r="52">
      <c r="A52" s="433" t="n"/>
      <c r="B52" s="433" t="n"/>
      <c r="C52" s="433" t="n"/>
      <c r="D52" s="433" t="n"/>
      <c r="E52" s="433" t="n"/>
      <c r="F52" s="433" t="n"/>
      <c r="G52" s="433" t="n"/>
      <c r="H52" s="433" t="n"/>
      <c r="I52" s="433" t="n"/>
      <c r="J52" s="433" t="n"/>
      <c r="K52" s="433" t="n"/>
      <c r="L52" s="433" t="n"/>
    </row>
    <row r="53">
      <c r="A53" s="433" t="n"/>
      <c r="B53" s="433" t="n"/>
      <c r="C53" s="433" t="n"/>
      <c r="D53" s="433" t="n"/>
      <c r="E53" s="433" t="n"/>
      <c r="F53" s="433" t="n"/>
      <c r="G53" s="433" t="n"/>
      <c r="H53" s="433" t="n"/>
      <c r="I53" s="433" t="n"/>
      <c r="J53" s="433" t="n"/>
      <c r="K53" s="433" t="n"/>
      <c r="L53" s="433" t="n"/>
    </row>
    <row r="54">
      <c r="A54" s="433" t="n"/>
      <c r="B54" s="433" t="n"/>
      <c r="C54" s="433" t="n"/>
      <c r="D54" s="433" t="n"/>
      <c r="E54" s="433" t="n"/>
      <c r="F54" s="433" t="n"/>
      <c r="G54" s="433" t="n"/>
      <c r="H54" s="433" t="n"/>
      <c r="I54" s="433" t="n"/>
      <c r="J54" s="433" t="n"/>
      <c r="K54" s="433" t="n"/>
      <c r="L54" s="433" t="n"/>
    </row>
    <row r="55">
      <c r="A55" s="433" t="n"/>
      <c r="B55" s="433" t="n"/>
      <c r="C55" s="433" t="n"/>
      <c r="D55" s="433" t="n"/>
      <c r="E55" s="433" t="n"/>
      <c r="F55" s="433" t="n"/>
      <c r="G55" s="433" t="n"/>
      <c r="H55" s="433" t="n"/>
      <c r="I55" s="433" t="n"/>
      <c r="J55" s="433" t="n"/>
      <c r="K55" s="433" t="n"/>
      <c r="L55" s="433" t="n"/>
    </row>
    <row r="56">
      <c r="A56" s="433" t="n"/>
      <c r="B56" s="433" t="n"/>
      <c r="C56" s="433" t="n"/>
      <c r="D56" s="433" t="n"/>
      <c r="E56" s="433" t="n"/>
      <c r="F56" s="433" t="n"/>
      <c r="G56" s="433" t="n"/>
      <c r="H56" s="433" t="n"/>
      <c r="I56" s="433" t="n"/>
      <c r="J56" s="433" t="n"/>
      <c r="K56" s="433" t="n"/>
      <c r="L56" s="433" t="n"/>
    </row>
    <row r="57">
      <c r="A57" s="433" t="n"/>
      <c r="B57" s="433" t="n"/>
      <c r="C57" s="433" t="n"/>
      <c r="D57" s="433" t="n"/>
      <c r="E57" s="433" t="n"/>
      <c r="F57" s="433" t="n"/>
      <c r="G57" s="433" t="n"/>
      <c r="H57" s="433" t="n"/>
      <c r="I57" s="433" t="n"/>
      <c r="J57" s="433" t="n"/>
      <c r="K57" s="433" t="n"/>
      <c r="L57" s="433" t="n"/>
    </row>
    <row r="58">
      <c r="A58" s="433" t="n"/>
      <c r="B58" s="433" t="n"/>
      <c r="C58" s="433" t="n"/>
      <c r="D58" s="433" t="n"/>
      <c r="E58" s="433" t="n"/>
      <c r="F58" s="433" t="n"/>
      <c r="G58" s="433" t="n"/>
      <c r="H58" s="433" t="n"/>
      <c r="I58" s="433" t="n"/>
      <c r="J58" s="433" t="n"/>
      <c r="K58" s="433" t="n"/>
      <c r="L58" s="433" t="n"/>
    </row>
    <row r="59">
      <c r="A59" s="433" t="n"/>
      <c r="B59" s="433" t="n"/>
      <c r="C59" s="433" t="n"/>
      <c r="D59" s="433" t="n"/>
      <c r="E59" s="433" t="n"/>
      <c r="F59" s="433" t="n"/>
      <c r="G59" s="433" t="n"/>
      <c r="H59" s="433" t="n"/>
      <c r="I59" s="433" t="n"/>
      <c r="J59" s="433" t="n"/>
      <c r="K59" s="433" t="n"/>
      <c r="L59" s="433" t="n"/>
    </row>
    <row r="60">
      <c r="A60" s="433" t="n"/>
      <c r="B60" s="433" t="n"/>
      <c r="C60" s="433" t="n"/>
      <c r="D60" s="433" t="n"/>
      <c r="E60" s="433" t="n"/>
      <c r="F60" s="433" t="n"/>
      <c r="G60" s="433" t="n"/>
      <c r="H60" s="433" t="n"/>
      <c r="I60" s="433" t="n"/>
      <c r="J60" s="433" t="n"/>
      <c r="K60" s="433" t="n"/>
      <c r="L60" s="433" t="n"/>
    </row>
  </sheetData>
  <mergeCells count="1">
    <mergeCell ref="A1:F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tabSelected="0"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5"/>
  <sheetViews>
    <sheetView tabSelected="0"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331" min="1" max="1"/>
    <col width="46" customWidth="1" style="331" min="2" max="2"/>
    <col width="18" customWidth="1" style="331" min="3" max="4"/>
    <col width="22" customWidth="1" style="331" min="5" max="5"/>
    <col width="18" customWidth="1" style="331" min="6" max="6"/>
    <col width="22" customWidth="1" style="331" min="7" max="7"/>
    <col width="40" customWidth="1" style="331" min="8" max="8"/>
  </cols>
  <sheetData>
    <row r="1" ht="25.95" customHeight="1" s="331">
      <c r="A1" s="426" t="inlineStr">
        <is>
          <t>LOHITH — OWNER LEDGER &amp; PERSONAL BALANCE TRACKER</t>
        </is>
      </c>
    </row>
    <row r="3" ht="30" customHeight="1" s="331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231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231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231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231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231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231" t="n">
        <v>46210</v>
      </c>
      <c r="B31" s="232" t="inlineStr">
        <is>
          <t>HEB — Dustbin covers + Pan cutting knife</t>
        </is>
      </c>
      <c r="C31" s="232" t="inlineStr">
        <is>
          <t>Expense - Personal</t>
        </is>
      </c>
      <c r="D31" s="232" t="n">
        <v>205</v>
      </c>
      <c r="E31" s="233" t="n"/>
      <c r="F31" s="233">
        <f>IFERROR(F30+D31-E31,0)</f>
        <v/>
      </c>
      <c r="G31" s="232" t="inlineStr">
        <is>
          <t>✅ Settled</t>
        </is>
      </c>
      <c r="H31" s="232" t="inlineStr">
        <is>
          <t>Paid personally by Lohith (HEB) — dustbin covers + pan cutting knife; reimbursable</t>
        </is>
      </c>
    </row>
    <row r="32">
      <c r="A32" s="231" t="n">
        <v>46210</v>
      </c>
      <c r="B32" s="232" t="inlineStr">
        <is>
          <t>Transfer from restaurant — net settlement</t>
        </is>
      </c>
      <c r="C32" s="232" t="inlineStr">
        <is>
          <t>Reimbursement</t>
        </is>
      </c>
      <c r="D32" s="232" t="n"/>
      <c r="E32" s="233" t="n">
        <v>150</v>
      </c>
      <c r="F32" s="233">
        <f>IFERROR(F31+D32-E32,0)</f>
        <v/>
      </c>
      <c r="G32" s="232" t="inlineStr">
        <is>
          <t>✅ Settled</t>
        </is>
      </c>
      <c r="H32" s="232" t="inlineStr">
        <is>
          <t>Net $150 = $205 HEB expense − $55 Lohith owed to restaurant; balance now ZERO</t>
        </is>
      </c>
    </row>
    <row r="33">
      <c r="A33" s="231" t="n">
        <v>46211</v>
      </c>
      <c r="B33" s="232" t="inlineStr">
        <is>
          <t>GUIMAR — Vasos de plástico + tapas</t>
        </is>
      </c>
      <c r="C33" s="232" t="inlineStr">
        <is>
          <t>Expense - Personal</t>
        </is>
      </c>
      <c r="D33" s="232" t="n">
        <v>73.5</v>
      </c>
      <c r="E33" s="233" t="n"/>
      <c r="F33" s="233">
        <f>IFERROR(F32+D33-E33,0)</f>
        <v/>
      </c>
      <c r="G33" s="232" t="inlineStr">
        <is>
          <t>⏳ Reimburse</t>
        </is>
      </c>
      <c r="H33" s="232" t="inlineStr">
        <is>
          <t>Paid by Lohith (GUIMAR receipt, 08-Jul): vasos plast. $41 + reyma tapa vaso $32.50 = $73.50; reimbursable</t>
        </is>
      </c>
    </row>
    <row r="34">
      <c r="A34" s="231" t="n">
        <v>46211</v>
      </c>
      <c r="B34" s="232" t="inlineStr">
        <is>
          <t>Transfer-to-me (customer payment 08-Jul)</t>
        </is>
      </c>
      <c r="C34" s="232" t="inlineStr">
        <is>
          <t>Transfer Received</t>
        </is>
      </c>
      <c r="D34" s="232" t="n"/>
      <c r="E34" s="233" t="n">
        <v>195</v>
      </c>
      <c r="F34" s="233">
        <f>IFERROR(F33+D34-E34,0)</f>
        <v/>
      </c>
      <c r="G34" s="232" t="inlineStr">
        <is>
          <t>✅ Received</t>
        </is>
      </c>
      <c r="H34" s="232" t="inlineStr">
        <is>
          <t>Customer paid $195 by transfer to Lohith (counts as 08-Jul revenue; cash went to Lohith not the till)</t>
        </is>
      </c>
    </row>
    <row r="35">
      <c r="A35" s="231" t="n">
        <v>46212</v>
      </c>
      <c r="B35" s="232" t="inlineStr">
        <is>
          <t>Transfer-to-me (customer payment 09-Jul)</t>
        </is>
      </c>
      <c r="C35" s="232" t="inlineStr">
        <is>
          <t>Transfer Received</t>
        </is>
      </c>
      <c r="D35" s="232" t="n"/>
      <c r="E35" s="233" t="n">
        <v>120</v>
      </c>
      <c r="F35" s="233">
        <f>IFERROR(F34+D35-E35,0)</f>
        <v/>
      </c>
      <c r="G35" s="232" t="inlineStr">
        <is>
          <t>✅ Received</t>
        </is>
      </c>
      <c r="H35" s="232" t="inlineStr">
        <is>
          <t>Customer paid $120 by transfer to Lohith (09-Jul revenue; cash to Lohith not till)</t>
        </is>
      </c>
    </row>
    <row r="36">
      <c r="A36" s="231" t="n">
        <v>46213</v>
      </c>
      <c r="B36" s="232" t="inlineStr">
        <is>
          <t>Transfer-to-me (customer payment 10-Jul)</t>
        </is>
      </c>
      <c r="C36" s="232" t="inlineStr">
        <is>
          <t>Transfer Received</t>
        </is>
      </c>
      <c r="D36" s="232" t="n"/>
      <c r="E36" s="233" t="n">
        <v>70</v>
      </c>
      <c r="F36" s="233">
        <f>IFERROR(F35+D36-E36,0)</f>
        <v/>
      </c>
      <c r="G36" s="232" t="inlineStr">
        <is>
          <t>✅ Received</t>
        </is>
      </c>
      <c r="H36" s="232" t="inlineStr">
        <is>
          <t>Customer paid $70 by transfer to Lohith (10-Jul revenue; cash to Lohith not till)</t>
        </is>
      </c>
    </row>
    <row r="37">
      <c r="A37" s="231" t="n">
        <v>46216</v>
      </c>
      <c r="B37" s="232" t="inlineStr">
        <is>
          <t>Transfer-to-me (customer payment 13-Jul)</t>
        </is>
      </c>
      <c r="C37" s="232" t="inlineStr">
        <is>
          <t>Transfer Received</t>
        </is>
      </c>
      <c r="D37" s="232" t="n"/>
      <c r="E37" s="233" t="n">
        <v>120</v>
      </c>
      <c r="F37" s="233">
        <f>IFERROR(F36+D37-E37,0)</f>
        <v/>
      </c>
      <c r="G37" s="232" t="inlineStr">
        <is>
          <t>✅ Received</t>
        </is>
      </c>
      <c r="H37" s="232" t="inlineStr">
        <is>
          <t>Customer paid $120 by transfer to Lohith (13-Jul revenue; cash to Lohith not till)</t>
        </is>
      </c>
    </row>
    <row r="38">
      <c r="A38" s="231" t="n">
        <v>46216</v>
      </c>
      <c r="B38" s="232" t="inlineStr">
        <is>
          <t>Aceite $330 + Agua $60 + Clorox $10 (paid by Lohith)</t>
        </is>
      </c>
      <c r="C38" s="232" t="inlineStr">
        <is>
          <t>Expense - Personal</t>
        </is>
      </c>
      <c r="D38" s="232" t="n">
        <v>400</v>
      </c>
      <c r="E38" s="233" t="n"/>
      <c r="F38" s="233">
        <f>IFERROR(F37+D38-E38,0)</f>
        <v/>
      </c>
      <c r="G38" s="232" t="inlineStr">
        <is>
          <t>⏳ Reimburse</t>
        </is>
      </c>
      <c r="H38" s="232" t="inlineStr">
        <is>
          <t>Lohith pagó $400 de su bolsillo (13-Jul). Gastos registrados en Expenses (paid=Lohith); excluidos de la caja via cash_adjust.</t>
        </is>
      </c>
    </row>
    <row r="39">
      <c r="A39" s="231" t="n">
        <v>46218</v>
      </c>
      <c r="B39" s="232" t="inlineStr">
        <is>
          <t>Transfer-to-me (customer payment 15-Jul)</t>
        </is>
      </c>
      <c r="C39" s="232" t="inlineStr">
        <is>
          <t>Transfer Received</t>
        </is>
      </c>
      <c r="D39" s="232" t="n"/>
      <c r="E39" s="233" t="n">
        <v>130</v>
      </c>
      <c r="F39" s="233">
        <f>IFERROR(F38+D39-E39,0)</f>
        <v/>
      </c>
      <c r="G39" s="232" t="inlineStr">
        <is>
          <t>✅ Received</t>
        </is>
      </c>
      <c r="H39" s="232" t="inlineStr">
        <is>
          <t>Customer paid $130 by transfer to Lohith (15-Jul revenue; cash to Lohith not till)</t>
        </is>
      </c>
    </row>
    <row r="40">
      <c r="A40" s="231" t="n">
        <v>46218</v>
      </c>
      <c r="B40" s="232" t="inlineStr">
        <is>
          <t>Sam's Club — Italpast 1kg x5 (paid CASH by Lohith)</t>
        </is>
      </c>
      <c r="C40" s="232" t="inlineStr">
        <is>
          <t>Expense - Personal</t>
        </is>
      </c>
      <c r="D40" s="232" t="n">
        <v>195</v>
      </c>
      <c r="E40" s="233" t="n"/>
      <c r="F40" s="233">
        <f>IFERROR(F39+D40-E40,0)</f>
        <v/>
      </c>
      <c r="G40" s="232" t="inlineStr">
        <is>
          <t>⏳ Reimburse</t>
        </is>
      </c>
      <c r="H40" s="232" t="inlineStr">
        <is>
          <t>Lohith pago $195 EN EFECTIVO de su bolsillo (socio Shashi en ticket). En Expenses paid=Lohith; excluido de la caja via cash_adjust.</t>
        </is>
      </c>
    </row>
    <row r="41">
      <c r="A41" s="231" t="n">
        <v>46220</v>
      </c>
      <c r="B41" s="232" t="inlineStr">
        <is>
          <t>Transfer-to-me (customer payment 17-Jul)</t>
        </is>
      </c>
      <c r="C41" s="232" t="inlineStr">
        <is>
          <t>Transfer Received</t>
        </is>
      </c>
      <c r="D41" s="232" t="n"/>
      <c r="E41" s="233" t="n">
        <v>300</v>
      </c>
      <c r="F41" s="233">
        <f>IFERROR(F40+D41-E41,0)</f>
        <v/>
      </c>
      <c r="G41" s="232" t="inlineStr">
        <is>
          <t>✅ Received</t>
        </is>
      </c>
      <c r="H41" s="232" t="inlineStr">
        <is>
          <t>Customer paid $300 by transfer to Lohith (17-Jul revenue; cash to Lohith not till)</t>
        </is>
      </c>
    </row>
    <row r="42">
      <c r="A42" s="231" t="n">
        <v>46221</v>
      </c>
      <c r="B42" s="232" t="inlineStr">
        <is>
          <t>Transfer-to-me (customer payment 18-Jul)</t>
        </is>
      </c>
      <c r="C42" s="232" t="inlineStr">
        <is>
          <t>Transfer Received</t>
        </is>
      </c>
      <c r="D42" s="232" t="n"/>
      <c r="E42" s="233" t="n">
        <v>290</v>
      </c>
      <c r="F42" s="233">
        <f>IFERROR(F41+D42-E42,0)</f>
        <v/>
      </c>
      <c r="G42" s="232" t="inlineStr">
        <is>
          <t>✅ Received</t>
        </is>
      </c>
      <c r="H42" s="232" t="inlineStr">
        <is>
          <t>Customer paid $290 by transfer to Lohith (18-Jul revenue; cash to Lohith not till)</t>
        </is>
      </c>
    </row>
    <row r="43">
      <c r="A43" s="231" t="n">
        <v>46220</v>
      </c>
      <c r="B43" s="232" t="inlineStr">
        <is>
          <t>Pollo (paid by Lohith, 17-Jul)</t>
        </is>
      </c>
      <c r="C43" s="232" t="inlineStr">
        <is>
          <t>Expense - Personal</t>
        </is>
      </c>
      <c r="D43" s="232" t="n">
        <v>300</v>
      </c>
      <c r="E43" s="233" t="n"/>
      <c r="F43" s="233">
        <f>IFERROR(F42+D43-E43,0)</f>
        <v/>
      </c>
      <c r="G43" s="232" t="inlineStr">
        <is>
          <t>⏳ Reimburse</t>
        </is>
      </c>
      <c r="H43" s="232" t="inlineStr">
        <is>
          <t>Lohith pago $300 de pollo de su bolsillo (17-Jul). En Expenses paid=Lohith; excluido de la caja via cash_adjust.</t>
        </is>
      </c>
    </row>
    <row r="44">
      <c r="A44" s="231" t="n">
        <v>46223</v>
      </c>
      <c r="B44" s="232" t="inlineStr">
        <is>
          <t>Bistec $290 + Pollo $89 + Hielo Oxxo $54 (paid by Lohith)</t>
        </is>
      </c>
      <c r="C44" s="232" t="inlineStr">
        <is>
          <t>Expense - Personal</t>
        </is>
      </c>
      <c r="D44" s="232" t="n">
        <v>433</v>
      </c>
      <c r="E44" s="233" t="n"/>
      <c r="F44" s="233">
        <f>IFERROR(F43+D44-E44,0)</f>
        <v/>
      </c>
      <c r="G44" s="232" t="inlineStr">
        <is>
          <t>⏳ Reimburse</t>
        </is>
      </c>
      <c r="H44" s="232" t="inlineStr">
        <is>
          <t>Lohith pago $433 de su bolsillo (20-Jul). En Expenses paid=Lohith; excluido de la caja via cash_adjust.</t>
        </is>
      </c>
    </row>
    <row r="45">
      <c r="A45" s="231" t="n">
        <v>46225</v>
      </c>
      <c r="B45" s="232" t="inlineStr">
        <is>
          <t>Transfer-to-me (customer payment 22-Jul)</t>
        </is>
      </c>
      <c r="C45" s="232" t="inlineStr">
        <is>
          <t>Transfer Received</t>
        </is>
      </c>
      <c r="D45" s="232" t="n"/>
      <c r="E45" s="233" t="n">
        <v>260</v>
      </c>
      <c r="F45" s="233">
        <f>IFERROR(F44+D45-E45,0)</f>
        <v/>
      </c>
      <c r="G45" s="232" t="inlineStr">
        <is>
          <t>✅ Received</t>
        </is>
      </c>
      <c r="H45" s="232" t="inlineStr">
        <is>
          <t>Customer paid $260 by transfer to Lohith personal acct (22-Jul revenue; not the $95 that went to restaurant bank)</t>
        </is>
      </c>
    </row>
    <row r="46">
      <c r="A46" s="231" t="n">
        <v>46225</v>
      </c>
      <c r="B46" s="232" t="inlineStr">
        <is>
          <t>Pollo (paid by Lohith, 22-Jul)</t>
        </is>
      </c>
      <c r="C46" s="232" t="inlineStr">
        <is>
          <t>Expense - Personal</t>
        </is>
      </c>
      <c r="D46" s="232" t="n">
        <v>234</v>
      </c>
      <c r="E46" s="233" t="n"/>
      <c r="F46" s="233">
        <f>IFERROR(F45+D46-E46,0)</f>
        <v/>
      </c>
      <c r="G46" s="232" t="inlineStr">
        <is>
          <t>⏳ Reimburse</t>
        </is>
      </c>
      <c r="H46" s="232" t="inlineStr">
        <is>
          <t>Lohith pago $234 de pollo de su bolsillo (22-Jul). En Expenses paid=Lohith; excluido de la caja via cash_adjust.</t>
        </is>
      </c>
    </row>
    <row r="47">
      <c r="A47" s="231" t="n">
        <v>46230</v>
      </c>
      <c r="B47" s="232" t="inlineStr">
        <is>
          <t>Transfer-to-me (customer payment 27-Jul)</t>
        </is>
      </c>
      <c r="C47" s="232" t="inlineStr">
        <is>
          <t>Transfer Received</t>
        </is>
      </c>
      <c r="D47" s="232" t="n"/>
      <c r="E47" s="233" t="n">
        <v>700</v>
      </c>
      <c r="F47" s="233">
        <f>IFERROR(F46+D47-E47,0)</f>
        <v/>
      </c>
      <c r="G47" s="232" t="inlineStr">
        <is>
          <t>✅ Received</t>
        </is>
      </c>
      <c r="H47" s="232" t="inlineStr">
        <is>
          <t>Customer paid Lohith personal acct</t>
        </is>
      </c>
    </row>
    <row r="48">
      <c r="A48" s="231" t="n">
        <v>46231</v>
      </c>
      <c r="B48" s="232" t="inlineStr">
        <is>
          <t>Transfer-to-me (customer payment 28-Jul)</t>
        </is>
      </c>
      <c r="C48" s="232" t="inlineStr">
        <is>
          <t>Transfer Received</t>
        </is>
      </c>
      <c r="D48" s="232" t="n"/>
      <c r="E48" s="233" t="n">
        <v>130</v>
      </c>
      <c r="F48" s="233">
        <f>IFERROR(F47+D48-E48,0)</f>
        <v/>
      </c>
      <c r="G48" s="232" t="inlineStr">
        <is>
          <t>✅ Received</t>
        </is>
      </c>
      <c r="H48" s="232" t="inlineStr">
        <is>
          <t>Customer paid Lohith personal acct</t>
        </is>
      </c>
    </row>
    <row r="49">
      <c r="A49" s="231" t="n">
        <v>46231</v>
      </c>
      <c r="B49" s="232" t="inlineStr">
        <is>
          <t>Pollo $396 (paid by Lohith)</t>
        </is>
      </c>
      <c r="C49" s="232" t="inlineStr">
        <is>
          <t>Expense - Personal</t>
        </is>
      </c>
      <c r="D49" s="232" t="n">
        <v>396</v>
      </c>
      <c r="E49" s="233" t="n"/>
      <c r="F49" s="233">
        <f>IFERROR(F48+D49-E49,0)</f>
        <v/>
      </c>
      <c r="G49" s="232" t="inlineStr">
        <is>
          <t>⏳ Reimburse</t>
        </is>
      </c>
      <c r="H49" s="232" t="inlineStr">
        <is>
          <t>Fronted from own pocket; excluded from till via cash_adjust</t>
        </is>
      </c>
    </row>
    <row r="50">
      <c r="A50" s="231" t="n">
        <v>46232</v>
      </c>
      <c r="B50" s="232" t="inlineStr">
        <is>
          <t>Transfer-to-me (customer payment 29-Jul)</t>
        </is>
      </c>
      <c r="C50" s="232" t="inlineStr">
        <is>
          <t>Transfer Received</t>
        </is>
      </c>
      <c r="D50" s="232" t="n"/>
      <c r="E50" s="233" t="n">
        <v>205</v>
      </c>
      <c r="F50" s="233">
        <f>IFERROR(F49+D50-E50,0)</f>
        <v/>
      </c>
      <c r="G50" s="232" t="inlineStr">
        <is>
          <t>✅ Received</t>
        </is>
      </c>
      <c r="H50" s="232" t="inlineStr">
        <is>
          <t>Customer paid Lohith personal acct</t>
        </is>
      </c>
    </row>
    <row r="51">
      <c r="A51" s="231" t="n">
        <v>46232</v>
      </c>
      <c r="B51" s="232" t="inlineStr">
        <is>
          <t>Arroz Sushi HEB $60 (paid by Lohith)</t>
        </is>
      </c>
      <c r="C51" s="232" t="inlineStr">
        <is>
          <t>Expense - Personal</t>
        </is>
      </c>
      <c r="D51" s="232" t="n">
        <v>60</v>
      </c>
      <c r="E51" s="233" t="n"/>
      <c r="F51" s="233">
        <f>IFERROR(F50+D51-E51,0)</f>
        <v/>
      </c>
      <c r="G51" s="232" t="inlineStr">
        <is>
          <t>⏳ Reimburse</t>
        </is>
      </c>
      <c r="H51" s="232" t="inlineStr">
        <is>
          <t>Fronted from own pocket; excluded from till via cash_adjust</t>
        </is>
      </c>
    </row>
    <row r="52">
      <c r="A52" s="231" t="n">
        <v>46233</v>
      </c>
      <c r="B52" s="232" t="inlineStr">
        <is>
          <t>Pollo $188 + Chedraui $80 (paid by Lohith)</t>
        </is>
      </c>
      <c r="C52" s="232" t="inlineStr">
        <is>
          <t>Expense - Personal</t>
        </is>
      </c>
      <c r="D52" s="232" t="n">
        <v>268</v>
      </c>
      <c r="E52" s="233" t="n"/>
      <c r="F52" s="233">
        <f>IFERROR(F51+D52-E52,0)</f>
        <v/>
      </c>
      <c r="G52" s="232" t="inlineStr">
        <is>
          <t>⏳ Reimburse</t>
        </is>
      </c>
      <c r="H52" s="232" t="inlineStr">
        <is>
          <t>Fronted from own pocket; excluded from till via cash_adjust</t>
        </is>
      </c>
    </row>
    <row r="53">
      <c r="A53" s="231" t="n">
        <v>46234</v>
      </c>
      <c r="B53" s="232" t="inlineStr">
        <is>
          <t>Transfer-to-me (customer payment 31-Jul)</t>
        </is>
      </c>
      <c r="C53" s="232" t="inlineStr">
        <is>
          <t>Transfer Received</t>
        </is>
      </c>
      <c r="D53" s="232" t="n"/>
      <c r="E53" s="233" t="n">
        <v>390</v>
      </c>
      <c r="F53" s="233">
        <f>IFERROR(F52+D53-E53,0)</f>
        <v/>
      </c>
      <c r="G53" s="232" t="inlineStr">
        <is>
          <t>✅ Received</t>
        </is>
      </c>
      <c r="H53" s="232" t="inlineStr">
        <is>
          <t>Customer paid Lohith personal acct</t>
        </is>
      </c>
    </row>
    <row r="54">
      <c r="A54" s="231" t="n">
        <v>46234</v>
      </c>
      <c r="B54" s="232" t="inlineStr">
        <is>
          <t>Oxxo Arroz $78 (paid by Lohith)</t>
        </is>
      </c>
      <c r="C54" s="232" t="inlineStr">
        <is>
          <t>Expense - Personal</t>
        </is>
      </c>
      <c r="D54" s="232" t="n">
        <v>78</v>
      </c>
      <c r="E54" s="233" t="n"/>
      <c r="F54" s="233">
        <f>IFERROR(F53+D54-E54,0)</f>
        <v/>
      </c>
      <c r="G54" s="232" t="inlineStr">
        <is>
          <t>⏳ Reimburse</t>
        </is>
      </c>
      <c r="H54" s="232" t="inlineStr">
        <is>
          <t>Fronted from own pocket; excluded from till via cash_adjust</t>
        </is>
      </c>
    </row>
    <row r="55">
      <c r="A55" s="231" t="n">
        <v>46235</v>
      </c>
      <c r="B55" s="232" t="inlineStr">
        <is>
          <t>Transfer-to-me (customer payment 01-Aug)</t>
        </is>
      </c>
      <c r="C55" s="232" t="inlineStr">
        <is>
          <t>Transfer Received</t>
        </is>
      </c>
      <c r="D55" s="232" t="n"/>
      <c r="E55" s="233" t="n">
        <v>225</v>
      </c>
      <c r="F55" s="233">
        <f>IFERROR(F54+D55-E55,0)</f>
        <v/>
      </c>
      <c r="G55" s="232" t="inlineStr">
        <is>
          <t>✅ Received</t>
        </is>
      </c>
      <c r="H55" s="232" t="inlineStr">
        <is>
          <t>Customer paid Lohith personal acct</t>
        </is>
      </c>
    </row>
    <row r="56">
      <c r="A56" s="430" t="n">
        <v>46237</v>
      </c>
      <c r="B56" s="232" t="inlineStr">
        <is>
          <t>Pollo $1,008 (paid by Lohith)</t>
        </is>
      </c>
      <c r="C56" s="232" t="inlineStr">
        <is>
          <t>Expense - Personal</t>
        </is>
      </c>
      <c r="D56" s="232" t="n">
        <v>1008</v>
      </c>
      <c r="E56" s="233" t="n"/>
      <c r="F56" s="233">
        <f>IFERROR(F55+D56-E56,0)</f>
        <v/>
      </c>
      <c r="G56" s="232" t="inlineStr">
        <is>
          <t>⏳ Reimburse</t>
        </is>
      </c>
      <c r="H56" s="232" t="inlineStr">
        <is>
          <t>Fronted from own pocket; excluded from till via cash_adjust</t>
        </is>
      </c>
    </row>
    <row r="57">
      <c r="A57" s="430" t="n">
        <v>46239</v>
      </c>
      <c r="B57" s="232" t="inlineStr">
        <is>
          <t>Pollo $285 (paid by Lohith)</t>
        </is>
      </c>
      <c r="C57" s="232" t="inlineStr">
        <is>
          <t>Expense - Personal</t>
        </is>
      </c>
      <c r="D57" s="232" t="n">
        <v>285</v>
      </c>
      <c r="E57" s="233" t="n"/>
      <c r="F57" s="233">
        <f>IFERROR(F56+D57-E57,0)</f>
        <v/>
      </c>
      <c r="G57" s="232" t="inlineStr">
        <is>
          <t>⏳ Reimburse</t>
        </is>
      </c>
      <c r="H57" s="232" t="inlineStr">
        <is>
          <t>Fronted from own pocket; excluded from till via cash_adjust</t>
        </is>
      </c>
    </row>
    <row r="58">
      <c r="A58" s="430" t="n">
        <v>46240</v>
      </c>
      <c r="B58" s="232" t="inlineStr">
        <is>
          <t>Transfer-to-me (customer payment 06-Aug)</t>
        </is>
      </c>
      <c r="C58" s="232" t="inlineStr">
        <is>
          <t>Transfer Received</t>
        </is>
      </c>
      <c r="D58" s="232" t="n"/>
      <c r="E58" s="233" t="n">
        <v>130</v>
      </c>
      <c r="F58" s="233">
        <f>IFERROR(F57+D58-E58,0)</f>
        <v/>
      </c>
      <c r="G58" s="232" t="inlineStr">
        <is>
          <t>✅ Received</t>
        </is>
      </c>
      <c r="H58" s="232" t="inlineStr">
        <is>
          <t>Customer paid Lohith personal acct</t>
        </is>
      </c>
    </row>
    <row r="59">
      <c r="A59" s="430" t="n">
        <v>46240</v>
      </c>
      <c r="B59" s="232" t="inlineStr">
        <is>
          <t>Pollo $319 (paid by Lohith)</t>
        </is>
      </c>
      <c r="C59" s="232" t="inlineStr">
        <is>
          <t>Expense - Personal</t>
        </is>
      </c>
      <c r="D59" s="232" t="n">
        <v>319</v>
      </c>
      <c r="E59" s="233" t="n"/>
      <c r="F59" s="233">
        <f>IFERROR(F58+D59-E59,0)</f>
        <v/>
      </c>
      <c r="G59" s="232" t="inlineStr">
        <is>
          <t>⏳ Reimburse</t>
        </is>
      </c>
      <c r="H59" s="232" t="inlineStr">
        <is>
          <t>Fronted from own pocket; excluded from till via cash_adjust</t>
        </is>
      </c>
    </row>
    <row r="60">
      <c r="A60" s="430" t="n">
        <v>46241</v>
      </c>
      <c r="B60" s="232" t="inlineStr">
        <is>
          <t>Transfer-to-me (customer payment 07-Aug)</t>
        </is>
      </c>
      <c r="C60" s="232" t="inlineStr">
        <is>
          <t>Transfer Received</t>
        </is>
      </c>
      <c r="D60" s="232" t="n"/>
      <c r="E60" s="233" t="n">
        <v>130</v>
      </c>
      <c r="F60" s="233">
        <f>IFERROR(F59+D60-E60,0)</f>
        <v/>
      </c>
      <c r="G60" s="232" t="inlineStr">
        <is>
          <t>✅ Received</t>
        </is>
      </c>
      <c r="H60" s="232" t="inlineStr">
        <is>
          <t>Customer paid Lohith personal acct</t>
        </is>
      </c>
    </row>
    <row r="61">
      <c r="A61" s="430" t="n">
        <v>46242</v>
      </c>
      <c r="B61" s="232" t="inlineStr">
        <is>
          <t>Transfer-to-me (customer payment 08-Aug)</t>
        </is>
      </c>
      <c r="C61" s="232" t="inlineStr">
        <is>
          <t>Transfer Received</t>
        </is>
      </c>
      <c r="D61" s="232" t="n"/>
      <c r="E61" s="233" t="n">
        <v>135</v>
      </c>
      <c r="F61" s="233">
        <f>IFERROR(F60+D61-E61,0)</f>
        <v/>
      </c>
      <c r="G61" s="232" t="inlineStr">
        <is>
          <t>✅ Received</t>
        </is>
      </c>
      <c r="H61" s="232" t="inlineStr">
        <is>
          <t>Customer paid Lohith personal acct</t>
        </is>
      </c>
    </row>
    <row r="62">
      <c r="A62" s="430" t="n">
        <v>46242</v>
      </c>
      <c r="B62" s="232" t="inlineStr">
        <is>
          <t>Pollo $1,028 (paid by Lohith)</t>
        </is>
      </c>
      <c r="C62" s="232" t="inlineStr">
        <is>
          <t>Expense - Personal</t>
        </is>
      </c>
      <c r="D62" s="232" t="n">
        <v>1028</v>
      </c>
      <c r="E62" s="233" t="n"/>
      <c r="F62" s="233">
        <f>IFERROR(F61+D62-E62,0)</f>
        <v/>
      </c>
      <c r="G62" s="232" t="inlineStr">
        <is>
          <t>⏳ Reimburse</t>
        </is>
      </c>
      <c r="H62" s="232" t="inlineStr">
        <is>
          <t>Fronted from own pocket; excluded from till via cash_adjust</t>
        </is>
      </c>
    </row>
    <row r="63">
      <c r="A63" s="430" t="n">
        <v>46244</v>
      </c>
      <c r="B63" s="232" t="inlineStr">
        <is>
          <t>Transfer-to-me (customer payment 10-Aug)</t>
        </is>
      </c>
      <c r="C63" s="232" t="inlineStr">
        <is>
          <t>Transfer Received</t>
        </is>
      </c>
      <c r="D63" s="232" t="n"/>
      <c r="E63" s="233" t="n">
        <v>130</v>
      </c>
      <c r="F63" s="233">
        <f>IFERROR(F62+D63-E63,0)</f>
        <v/>
      </c>
      <c r="G63" s="232" t="inlineStr">
        <is>
          <t>✅ Received</t>
        </is>
      </c>
      <c r="H63" s="232" t="inlineStr">
        <is>
          <t>Customer paid Lohith personal acct</t>
        </is>
      </c>
    </row>
    <row r="64">
      <c r="A64" s="430" t="n">
        <v>46244</v>
      </c>
      <c r="B64" s="232" t="inlineStr">
        <is>
          <t>3B Pasta $110 (paid by Lohith)</t>
        </is>
      </c>
      <c r="C64" s="232" t="inlineStr">
        <is>
          <t>Expense - Personal</t>
        </is>
      </c>
      <c r="D64" s="232" t="n">
        <v>110</v>
      </c>
      <c r="E64" s="233" t="n"/>
      <c r="F64" s="233">
        <f>IFERROR(F63+D64-E64,0)</f>
        <v/>
      </c>
      <c r="G64" s="232" t="inlineStr">
        <is>
          <t>⏳ Reimburse</t>
        </is>
      </c>
      <c r="H64" s="232" t="inlineStr">
        <is>
          <t>Fronted from own pocket; excluded from till via cash_adjust</t>
        </is>
      </c>
    </row>
    <row r="65">
      <c r="A65" s="430" t="n">
        <v>46245</v>
      </c>
      <c r="B65" s="232" t="inlineStr">
        <is>
          <t>Transfer-to-me (customer payment 11-Aug)</t>
        </is>
      </c>
      <c r="C65" s="232" t="inlineStr">
        <is>
          <t>Transfer Received</t>
        </is>
      </c>
      <c r="D65" s="232" t="n"/>
      <c r="E65" s="233" t="n">
        <v>655</v>
      </c>
      <c r="F65" s="233">
        <f>IFERROR(F64+D65-E65,0)</f>
        <v/>
      </c>
      <c r="G65" s="232" t="inlineStr">
        <is>
          <t>✅ Received</t>
        </is>
      </c>
      <c r="H65" s="232" t="inlineStr">
        <is>
          <t>Customer paid Lohith personal acct</t>
        </is>
      </c>
    </row>
    <row r="66">
      <c r="A66" s="430" t="n">
        <v>46246</v>
      </c>
      <c r="B66" s="232" t="inlineStr">
        <is>
          <t>Transfer-to-me (customer payment 12-Aug)</t>
        </is>
      </c>
      <c r="C66" s="232" t="inlineStr">
        <is>
          <t>Transfer Received</t>
        </is>
      </c>
      <c r="D66" s="232" t="n"/>
      <c r="E66" s="233" t="n">
        <v>130</v>
      </c>
      <c r="F66" s="233">
        <f>IFERROR(F65+D66-E66,0)</f>
        <v/>
      </c>
      <c r="G66" s="232" t="inlineStr">
        <is>
          <t>✅ Received</t>
        </is>
      </c>
      <c r="H66" s="232" t="inlineStr">
        <is>
          <t>Customer paid Lohith personal acct</t>
        </is>
      </c>
    </row>
    <row r="67">
      <c r="A67" s="430" t="n">
        <v>46246</v>
      </c>
      <c r="B67" s="232" t="inlineStr">
        <is>
          <t>Pollo $639 (paid by Lohith)</t>
        </is>
      </c>
      <c r="C67" s="232" t="inlineStr">
        <is>
          <t>Expense - Personal</t>
        </is>
      </c>
      <c r="D67" s="232" t="n">
        <v>639</v>
      </c>
      <c r="E67" s="233" t="n"/>
      <c r="F67" s="233">
        <f>IFERROR(F66+D67-E67,0)</f>
        <v/>
      </c>
      <c r="G67" s="232" t="inlineStr">
        <is>
          <t>⏳ Reimburse</t>
        </is>
      </c>
      <c r="H67" s="232" t="inlineStr">
        <is>
          <t>Fronted from own pocket; excluded from till via cash_adjust</t>
        </is>
      </c>
    </row>
    <row r="68">
      <c r="A68" s="430" t="n">
        <v>46247</v>
      </c>
      <c r="B68" s="232" t="inlineStr">
        <is>
          <t>Transfer-to-me (customer payment 13-Aug)</t>
        </is>
      </c>
      <c r="C68" s="232" t="inlineStr">
        <is>
          <t>Transfer Received</t>
        </is>
      </c>
      <c r="D68" s="232" t="n"/>
      <c r="E68" s="233" t="n">
        <v>135</v>
      </c>
      <c r="F68" s="233">
        <f>IFERROR(F67+D68-E68,0)</f>
        <v/>
      </c>
      <c r="G68" s="232" t="inlineStr">
        <is>
          <t>✅ Received</t>
        </is>
      </c>
      <c r="H68" s="232" t="inlineStr">
        <is>
          <t>Customer paid Lohith personal acct</t>
        </is>
      </c>
    </row>
    <row r="69">
      <c r="A69" s="430" t="n">
        <v>46249</v>
      </c>
      <c r="B69" s="232" t="inlineStr">
        <is>
          <t>Pollo $368 + Pollo $995 (paid by Lohith)</t>
        </is>
      </c>
      <c r="C69" s="232" t="inlineStr">
        <is>
          <t>Expense - Personal</t>
        </is>
      </c>
      <c r="D69" s="232" t="n">
        <v>1363</v>
      </c>
      <c r="E69" s="233" t="n"/>
      <c r="F69" s="233">
        <f>IFERROR(F68+D69-E69,0)</f>
        <v/>
      </c>
      <c r="G69" s="232" t="inlineStr">
        <is>
          <t>⏳ Reimburse</t>
        </is>
      </c>
      <c r="H69" s="232" t="inlineStr">
        <is>
          <t>Fronted from own pocket; excluded from till via cash_adjust</t>
        </is>
      </c>
    </row>
    <row r="70">
      <c r="A70" s="430" t="n">
        <v>46251</v>
      </c>
      <c r="B70" s="232" t="inlineStr">
        <is>
          <t>Transfer-to-me (customer payment 17-Aug)</t>
        </is>
      </c>
      <c r="C70" s="232" t="inlineStr">
        <is>
          <t>Transfer Received</t>
        </is>
      </c>
      <c r="D70" s="232" t="n"/>
      <c r="E70" s="233" t="n">
        <v>130</v>
      </c>
      <c r="F70" s="233">
        <f>IFERROR(F69+D70-E70,0)</f>
        <v/>
      </c>
      <c r="G70" s="232" t="inlineStr">
        <is>
          <t>✅ Received</t>
        </is>
      </c>
      <c r="H70" s="232" t="inlineStr">
        <is>
          <t>Customer paid Lohith personal acct</t>
        </is>
      </c>
    </row>
    <row r="71">
      <c r="A71" s="430" t="n">
        <v>46251</v>
      </c>
      <c r="B71" s="232" t="inlineStr">
        <is>
          <t>Telmex $349 (paid by Lohith)</t>
        </is>
      </c>
      <c r="C71" s="232" t="inlineStr">
        <is>
          <t>Expense - Personal</t>
        </is>
      </c>
      <c r="D71" s="232" t="n">
        <v>349</v>
      </c>
      <c r="E71" s="233" t="n"/>
      <c r="F71" s="233">
        <f>IFERROR(F70+D71-E71,0)</f>
        <v/>
      </c>
      <c r="G71" s="232" t="inlineStr">
        <is>
          <t>⏳ Reimburse</t>
        </is>
      </c>
      <c r="H71" s="232" t="inlineStr">
        <is>
          <t>Fronted from own pocket; excluded from till via cash_adjust</t>
        </is>
      </c>
    </row>
    <row r="72">
      <c r="A72" s="430" t="n">
        <v>46251</v>
      </c>
      <c r="B72" s="232" t="inlineStr">
        <is>
          <t>Settlement - restaurant paid Lohith</t>
        </is>
      </c>
      <c r="C72" s="232" t="inlineStr">
        <is>
          <t>Settlement</t>
        </is>
      </c>
      <c r="D72" s="232" t="n"/>
      <c r="E72" s="233" t="n">
        <v>2820</v>
      </c>
      <c r="F72" s="233">
        <f>IFERROR(F71+D72-E72,0)</f>
        <v/>
      </c>
      <c r="G72" s="232" t="inlineStr">
        <is>
          <t>✅ Settled</t>
        </is>
      </c>
      <c r="H72" s="232" t="inlineStr">
        <is>
          <t>Ledger settled from operating cash</t>
        </is>
      </c>
    </row>
    <row r="73">
      <c r="A73" s="430" t="n">
        <v>46252</v>
      </c>
      <c r="B73" s="232" t="inlineStr">
        <is>
          <t>Transfer-to-me (customer payment 18-Aug)</t>
        </is>
      </c>
      <c r="C73" s="232" t="inlineStr">
        <is>
          <t>Transfer Received</t>
        </is>
      </c>
      <c r="D73" s="232" t="n"/>
      <c r="E73" s="233" t="n">
        <v>210</v>
      </c>
      <c r="F73" s="233">
        <f>IFERROR(F72+D73-E73,0)</f>
        <v/>
      </c>
      <c r="G73" s="232" t="inlineStr">
        <is>
          <t>✅ Received</t>
        </is>
      </c>
      <c r="H73" s="232" t="inlineStr">
        <is>
          <t>Customer paid Lohith personal acct</t>
        </is>
      </c>
    </row>
    <row r="74">
      <c r="A74" s="430" t="n">
        <v>46253</v>
      </c>
      <c r="B74" s="232" t="inlineStr">
        <is>
          <t>Transfer-to-me (customer payment 19-Aug)</t>
        </is>
      </c>
      <c r="C74" s="232" t="inlineStr">
        <is>
          <t>Transfer Received</t>
        </is>
      </c>
      <c r="D74" s="232" t="n"/>
      <c r="E74" s="233" t="n">
        <v>120</v>
      </c>
      <c r="F74" s="233">
        <f>IFERROR(F73+D74-E74,0)</f>
        <v/>
      </c>
      <c r="G74" s="232" t="inlineStr">
        <is>
          <t>✅ Received</t>
        </is>
      </c>
      <c r="H74" s="232" t="inlineStr">
        <is>
          <t>Customer paid Lohith personal acct</t>
        </is>
      </c>
    </row>
    <row r="75">
      <c r="A75" s="430" t="n">
        <v>46253</v>
      </c>
      <c r="B75" s="232" t="inlineStr">
        <is>
          <t>Pollo $418 (paid by Lohith)</t>
        </is>
      </c>
      <c r="C75" s="232" t="inlineStr">
        <is>
          <t>Expense - Personal</t>
        </is>
      </c>
      <c r="D75" s="232" t="n">
        <v>418</v>
      </c>
      <c r="E75" s="233" t="n"/>
      <c r="F75" s="233">
        <f>IFERROR(F74+D75-E75,0)</f>
        <v/>
      </c>
      <c r="G75" s="232" t="inlineStr">
        <is>
          <t>⏳ Reimburse</t>
        </is>
      </c>
      <c r="H75" s="232" t="inlineStr">
        <is>
          <t>Fronted from own pocket; excluded from till via cash_adjust</t>
        </is>
      </c>
    </row>
    <row r="76">
      <c r="A76" s="430" t="n">
        <v>46258</v>
      </c>
      <c r="B76" s="232" t="inlineStr">
        <is>
          <t>Pollo $1,429 (paid by Lohith)</t>
        </is>
      </c>
      <c r="C76" s="232" t="inlineStr">
        <is>
          <t>Expense - Personal</t>
        </is>
      </c>
      <c r="D76" s="232" t="n">
        <v>1429</v>
      </c>
      <c r="E76" s="233" t="n"/>
      <c r="F76" s="233">
        <f>IFERROR(F75+D76-E76,0)</f>
        <v/>
      </c>
      <c r="G76" s="232" t="inlineStr">
        <is>
          <t>⏳ Reimburse</t>
        </is>
      </c>
      <c r="H76" s="232" t="inlineStr">
        <is>
          <t>Fronted from own pocket; excluded from till via cash_adjust</t>
        </is>
      </c>
    </row>
    <row r="77">
      <c r="A77" s="430" t="n">
        <v>46259</v>
      </c>
      <c r="B77" s="232" t="inlineStr">
        <is>
          <t>Transfer-to-me (customer payment 25-Aug)</t>
        </is>
      </c>
      <c r="C77" s="232" t="inlineStr">
        <is>
          <t>Transfer Received</t>
        </is>
      </c>
      <c r="D77" s="232" t="n"/>
      <c r="E77" s="233" t="n">
        <v>250</v>
      </c>
      <c r="F77" s="233">
        <f>IFERROR(F76+D77-E77,0)</f>
        <v/>
      </c>
      <c r="G77" s="232" t="inlineStr">
        <is>
          <t>✅ Received</t>
        </is>
      </c>
      <c r="H77" s="232" t="inlineStr">
        <is>
          <t>Customer paid Lohith personal acct</t>
        </is>
      </c>
    </row>
    <row r="78">
      <c r="A78" s="430" t="n">
        <v>46261</v>
      </c>
      <c r="B78" s="232" t="inlineStr">
        <is>
          <t>Transfer-to-me (customer payment 27-Aug)</t>
        </is>
      </c>
      <c r="C78" s="232" t="inlineStr">
        <is>
          <t>Transfer Received</t>
        </is>
      </c>
      <c r="D78" s="232" t="n"/>
      <c r="E78" s="233" t="n">
        <v>260</v>
      </c>
      <c r="F78" s="233">
        <f>IFERROR(F77+D78-E78,0)</f>
        <v/>
      </c>
      <c r="G78" s="232" t="inlineStr">
        <is>
          <t>✅ Received</t>
        </is>
      </c>
      <c r="H78" s="232" t="inlineStr">
        <is>
          <t>Customer paid Lohith personal acct</t>
        </is>
      </c>
    </row>
    <row r="79">
      <c r="A79" s="430" t="n">
        <v>46262</v>
      </c>
      <c r="B79" s="232" t="inlineStr">
        <is>
          <t>Transfer-to-me (customer payment 28-Aug)</t>
        </is>
      </c>
      <c r="C79" s="232" t="inlineStr">
        <is>
          <t>Transfer Received</t>
        </is>
      </c>
      <c r="D79" s="232" t="n"/>
      <c r="E79" s="233" t="n">
        <v>235</v>
      </c>
      <c r="F79" s="233">
        <f>IFERROR(F78+D79-E79,0)</f>
        <v/>
      </c>
      <c r="G79" s="232" t="inlineStr">
        <is>
          <t>✅ Received</t>
        </is>
      </c>
      <c r="H79" s="232" t="inlineStr">
        <is>
          <t>Customer paid Lohith personal acct</t>
        </is>
      </c>
    </row>
    <row r="80">
      <c r="A80" s="430" t="n">
        <v>46265</v>
      </c>
      <c r="B80" s="232" t="inlineStr">
        <is>
          <t>Transfer-to-me (customer payment 31-Aug)</t>
        </is>
      </c>
      <c r="C80" s="232" t="inlineStr">
        <is>
          <t>Transfer Received</t>
        </is>
      </c>
      <c r="D80" s="232" t="n"/>
      <c r="E80" s="233" t="n">
        <v>130</v>
      </c>
      <c r="F80" s="233">
        <f>IFERROR(F79+D80-E80,0)</f>
        <v/>
      </c>
      <c r="G80" s="232" t="inlineStr">
        <is>
          <t>✅ Received</t>
        </is>
      </c>
      <c r="H80" s="232" t="inlineStr">
        <is>
          <t>Customer paid Lohith personal acct</t>
        </is>
      </c>
    </row>
    <row r="81">
      <c r="A81" s="430" t="n">
        <v>46269</v>
      </c>
      <c r="B81" s="232" t="inlineStr">
        <is>
          <t>Settlement - restaurant paid Lohith</t>
        </is>
      </c>
      <c r="C81" s="232" t="inlineStr">
        <is>
          <t>Settlement</t>
        </is>
      </c>
      <c r="D81" s="232" t="n"/>
      <c r="E81" s="233" t="n">
        <v>650.5</v>
      </c>
      <c r="F81" s="233">
        <f>IFERROR(F80+D81-E81,0)</f>
        <v/>
      </c>
      <c r="G81" s="232" t="inlineStr">
        <is>
          <t>✅ Settled</t>
        </is>
      </c>
      <c r="H81" s="232" t="inlineStr">
        <is>
          <t>Ledger settled from operating cash</t>
        </is>
      </c>
    </row>
    <row r="82">
      <c r="A82" s="430" t="n">
        <v>46272</v>
      </c>
      <c r="B82" s="232" t="inlineStr">
        <is>
          <t>Wallmart $123 (paid by Lohith)</t>
        </is>
      </c>
      <c r="C82" s="232" t="inlineStr">
        <is>
          <t>Expense - Personal</t>
        </is>
      </c>
      <c r="D82" s="232" t="n">
        <v>123</v>
      </c>
      <c r="E82" s="233" t="n"/>
      <c r="F82" s="233">
        <f>IFERROR(F81+D82-E82,0)</f>
        <v/>
      </c>
      <c r="G82" s="232" t="inlineStr">
        <is>
          <t>⏳ Reimburse</t>
        </is>
      </c>
      <c r="H82" s="232" t="inlineStr">
        <is>
          <t>Fronted from own pocket; excluded from till via cash_adjust</t>
        </is>
      </c>
    </row>
    <row r="83">
      <c r="A83" s="430" t="n">
        <v>46273</v>
      </c>
      <c r="B83" s="232" t="inlineStr">
        <is>
          <t>Transfer-to-me (customer payment 08-Sep)</t>
        </is>
      </c>
      <c r="C83" s="232" t="inlineStr">
        <is>
          <t>Transfer Received</t>
        </is>
      </c>
      <c r="D83" s="232" t="n"/>
      <c r="E83" s="233" t="n">
        <v>275</v>
      </c>
      <c r="F83" s="233">
        <f>IFERROR(F82+D83-E83,0)</f>
        <v/>
      </c>
      <c r="G83" s="232" t="inlineStr">
        <is>
          <t>✅ Received</t>
        </is>
      </c>
      <c r="H83" s="232" t="inlineStr">
        <is>
          <t>Customer paid Lohith personal acct</t>
        </is>
      </c>
    </row>
    <row r="84">
      <c r="A84" s="430" t="n">
        <v>46274</v>
      </c>
      <c r="B84" s="232" t="inlineStr">
        <is>
          <t>Transfer-to-me (customer payment 09-Sep)</t>
        </is>
      </c>
      <c r="C84" s="232" t="inlineStr">
        <is>
          <t>Transfer Received</t>
        </is>
      </c>
      <c r="D84" s="232" t="n"/>
      <c r="E84" s="233" t="n">
        <v>250</v>
      </c>
      <c r="F84" s="233">
        <f>IFERROR(F83+D84-E84,0)</f>
        <v/>
      </c>
      <c r="G84" s="232" t="inlineStr">
        <is>
          <t>✅ Received</t>
        </is>
      </c>
      <c r="H84" s="232" t="inlineStr">
        <is>
          <t>Customer paid Lohith personal acct</t>
        </is>
      </c>
    </row>
    <row r="85">
      <c r="A85" s="430" t="n">
        <v>46275</v>
      </c>
      <c r="B85" s="232" t="inlineStr">
        <is>
          <t>Transfer-to-me (customer payment 10-Sep)</t>
        </is>
      </c>
      <c r="C85" s="232" t="inlineStr">
        <is>
          <t>Transfer Received</t>
        </is>
      </c>
      <c r="D85" s="232" t="n"/>
      <c r="E85" s="233" t="n">
        <v>120</v>
      </c>
      <c r="F85" s="233">
        <f>IFERROR(F84+D85-E85,0)</f>
        <v/>
      </c>
      <c r="G85" s="232" t="inlineStr">
        <is>
          <t>✅ Received</t>
        </is>
      </c>
      <c r="H85" s="232" t="inlineStr">
        <is>
          <t>Customer paid Lohith personal acct</t>
        </is>
      </c>
    </row>
    <row r="86">
      <c r="A86" s="430" t="n">
        <v>46276</v>
      </c>
      <c r="B86" s="232" t="inlineStr">
        <is>
          <t>Transfer-to-me (customer payment 11-Sep)</t>
        </is>
      </c>
      <c r="C86" s="232" t="inlineStr">
        <is>
          <t>Transfer Received</t>
        </is>
      </c>
      <c r="D86" s="232" t="n"/>
      <c r="E86" s="233" t="n">
        <v>1010</v>
      </c>
      <c r="F86" s="233">
        <f>IFERROR(F85+D86-E86,0)</f>
        <v/>
      </c>
      <c r="G86" s="232" t="inlineStr">
        <is>
          <t>✅ Received</t>
        </is>
      </c>
      <c r="H86" s="232" t="inlineStr">
        <is>
          <t>Customer paid Lohith personal acct</t>
        </is>
      </c>
    </row>
    <row r="87">
      <c r="A87" s="430" t="n">
        <v>46279</v>
      </c>
      <c r="B87" s="232" t="inlineStr">
        <is>
          <t>Transfer-to-me (customer payment 14-Sep)</t>
        </is>
      </c>
      <c r="C87" s="232" t="inlineStr">
        <is>
          <t>Transfer Received</t>
        </is>
      </c>
      <c r="D87" s="232" t="n"/>
      <c r="E87" s="233" t="n">
        <v>130</v>
      </c>
      <c r="F87" s="233">
        <f>IFERROR(F86+D87-E87,0)</f>
        <v/>
      </c>
      <c r="G87" s="232" t="inlineStr">
        <is>
          <t>✅ Received</t>
        </is>
      </c>
      <c r="H87" s="232" t="inlineStr">
        <is>
          <t>Customer paid Lohith personal acct</t>
        </is>
      </c>
    </row>
    <row r="88">
      <c r="A88" s="430" t="n">
        <v>46282</v>
      </c>
      <c r="B88" s="232" t="inlineStr">
        <is>
          <t>Transfer-to-me (customer payment 17-Sep)</t>
        </is>
      </c>
      <c r="C88" s="232" t="inlineStr">
        <is>
          <t>Transfer Received</t>
        </is>
      </c>
      <c r="D88" s="232" t="n"/>
      <c r="E88" s="233" t="n">
        <v>260</v>
      </c>
      <c r="F88" s="233">
        <f>IFERROR(F87+D88-E88,0)</f>
        <v/>
      </c>
      <c r="G88" s="232" t="inlineStr">
        <is>
          <t>✅ Received</t>
        </is>
      </c>
      <c r="H88" s="232" t="inlineStr">
        <is>
          <t>Customer paid Lohith personal acct</t>
        </is>
      </c>
    </row>
    <row r="89">
      <c r="A89" s="430" t="n">
        <v>46282</v>
      </c>
      <c r="B89" s="232" t="inlineStr">
        <is>
          <t>Pollo $977 (paid by Lohith)</t>
        </is>
      </c>
      <c r="C89" s="232" t="inlineStr">
        <is>
          <t>Expense - Personal</t>
        </is>
      </c>
      <c r="D89" s="232" t="n">
        <v>977</v>
      </c>
      <c r="E89" s="233" t="n"/>
      <c r="F89" s="233">
        <f>IFERROR(F88+D89-E89,0)</f>
        <v/>
      </c>
      <c r="G89" s="232" t="inlineStr">
        <is>
          <t>⏳ Reimburse</t>
        </is>
      </c>
      <c r="H89" s="232" t="inlineStr">
        <is>
          <t>Fronted from own pocket; excluded from till via cash_adjust</t>
        </is>
      </c>
    </row>
    <row r="90">
      <c r="A90" s="430" t="n">
        <v>46282</v>
      </c>
      <c r="B90" s="232" t="inlineStr">
        <is>
          <t>Pollo $183 (paid by Lohith)</t>
        </is>
      </c>
      <c r="C90" s="232" t="inlineStr">
        <is>
          <t>Expense - Personal</t>
        </is>
      </c>
      <c r="D90" s="232" t="n">
        <v>183</v>
      </c>
      <c r="E90" s="233" t="n"/>
      <c r="F90" s="233">
        <f>IFERROR(F89+D90-E90,0)</f>
        <v/>
      </c>
      <c r="G90" s="232" t="inlineStr">
        <is>
          <t>⏳ Reimburse</t>
        </is>
      </c>
      <c r="H90" s="232" t="inlineStr">
        <is>
          <t>Fronted from own pocket; excluded from till via cash_adjust</t>
        </is>
      </c>
    </row>
    <row r="91">
      <c r="A91" s="430" t="n">
        <v>46282</v>
      </c>
      <c r="B91" s="232" t="inlineStr">
        <is>
          <t>Transfer-to-me (customer payment 17-Sep)</t>
        </is>
      </c>
      <c r="C91" s="232" t="inlineStr">
        <is>
          <t>Transfer Received</t>
        </is>
      </c>
      <c r="D91" s="232" t="n"/>
      <c r="E91" s="233" t="n">
        <v>15896</v>
      </c>
      <c r="F91" s="233">
        <f>IFERROR(F90+D91-E91,0)</f>
        <v/>
      </c>
      <c r="G91" s="232" t="inlineStr">
        <is>
          <t>✅ Received</t>
        </is>
      </c>
      <c r="H91" s="232" t="inlineStr">
        <is>
          <t>Customer paid Lohith personal acct</t>
        </is>
      </c>
    </row>
    <row r="92">
      <c r="A92" s="430" t="n">
        <v>46283</v>
      </c>
      <c r="B92" s="232" t="inlineStr">
        <is>
          <t>Internet $349 (paid by Lohith)</t>
        </is>
      </c>
      <c r="C92" s="232" t="inlineStr">
        <is>
          <t>Expense - Personal</t>
        </is>
      </c>
      <c r="D92" s="232" t="n">
        <v>349</v>
      </c>
      <c r="E92" s="233" t="n"/>
      <c r="F92" s="233">
        <f>IFERROR(F91+D92-E92,0)</f>
        <v/>
      </c>
      <c r="G92" s="232" t="inlineStr">
        <is>
          <t>⏳ Reimburse</t>
        </is>
      </c>
      <c r="H92" s="232" t="inlineStr">
        <is>
          <t>Fronted from own pocket; excluded from till via cash_adjust</t>
        </is>
      </c>
    </row>
    <row r="93">
      <c r="A93" s="430" t="n">
        <v>46283</v>
      </c>
      <c r="B93" s="232" t="inlineStr">
        <is>
          <t>Settlement - Lohith returned restaurant money</t>
        </is>
      </c>
      <c r="C93" s="232" t="inlineStr">
        <is>
          <t>Settlement</t>
        </is>
      </c>
      <c r="D93" s="232" t="n">
        <v>12000</v>
      </c>
      <c r="E93" s="233" t="n"/>
      <c r="F93" s="233">
        <f>IFERROR(F92+D93-E93,0)</f>
        <v/>
      </c>
      <c r="G93" s="232" t="inlineStr">
        <is>
          <t>✅ Settled</t>
        </is>
      </c>
      <c r="H93" s="232" t="inlineStr">
        <is>
          <t>Lohith handed back cash he was holding</t>
        </is>
      </c>
    </row>
    <row r="94">
      <c r="A94" s="430" t="n">
        <v>46283</v>
      </c>
      <c r="B94" s="232" t="inlineStr">
        <is>
          <t>Settlement - Lohith returned restaurant money</t>
        </is>
      </c>
      <c r="C94" s="232" t="inlineStr">
        <is>
          <t>Settlement</t>
        </is>
      </c>
      <c r="D94" s="232" t="n">
        <v>2778.53</v>
      </c>
      <c r="E94" s="233" t="n"/>
      <c r="F94" s="233">
        <f>IFERROR(F93+D94-E94,0)</f>
        <v/>
      </c>
      <c r="G94" s="232" t="inlineStr">
        <is>
          <t>✅ Settled</t>
        </is>
      </c>
      <c r="H94" s="232" t="inlineStr">
        <is>
          <t>Lohith handed back cash he was holding</t>
        </is>
      </c>
    </row>
    <row r="95">
      <c r="A95" s="430" t="inlineStr">
        <is>
          <t>TOTALS &amp; CURRENT BALANCE</t>
        </is>
      </c>
      <c r="B95" s="232" t="n"/>
      <c r="C95" s="232" t="n"/>
      <c r="D95" s="232">
        <f>SUM(D4:D94)</f>
        <v/>
      </c>
      <c r="E95" s="233">
        <f>SUM(E4:E94)</f>
        <v/>
      </c>
      <c r="F95" s="233">
        <f>F94</f>
        <v/>
      </c>
      <c r="G95" s="232">
        <f>IF(F94&gt;0,"Restaurant owes Lohith $"&amp;TEXT(F94,"#,##0"),IF(F94&lt;0,"Lohith holds $"&amp;TEXT(ABS(F94),"#,##0"),"Zero balance"))</f>
        <v/>
      </c>
      <c r="H95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2026-09-20T03:23:08Z</dcterms:modified>
  <cp:lastModifiedBy>LOHITH REDDY</cp:lastModifiedBy>
</cp:coreProperties>
</file>