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4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  <xf numFmtId="176" fontId="0" fillId="0" borderId="0" pivotButton="0" quotePrefix="0" xfId="0"/>
    <xf numFmtId="0" fontId="92" fillId="44" borderId="25" pivotButton="0" quotePrefix="0" xfId="0"/>
    <xf numFmtId="176" fontId="95" fillId="0" borderId="0" pivotButton="0" quotePrefix="0" xfId="0"/>
    <xf numFmtId="176" fontId="98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22 Sep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CAPITAL STILL TO BE PAID IN  —  OWED TO CAPITAL (company account)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to Lohith ($)</t>
        </is>
      </c>
      <c r="E99" s="170" t="inlineStr">
        <is>
          <t>Direct Expenses ($)</t>
        </is>
      </c>
      <c r="F99" s="170" t="inlineStr">
        <is>
          <t>Still Owed to Capital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Owes Capital $"&amp;TEXT(F100,"#,##0"))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Owes Capital $"&amp;TEXT(F101,"#,##0"))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UNDEPLOYED CAPITAL (with Lohith + company-account reserve)</t>
        </is>
      </c>
      <c r="D140">
        <f>D136-D137-D138-D139</f>
        <v/>
      </c>
    </row>
    <row r="141">
      <c r="B141" t="inlineStr">
        <is>
          <t xml:space="preserve">   → Physically WITH ME (excl. company-account reserve, Section M)</t>
        </is>
      </c>
      <c r="D141" s="450">
        <f>D140-C171</f>
        <v/>
      </c>
      <c r="E141" t="inlineStr">
        <is>
          <t>All remaining capital moved to company account 22-Sep-2026</t>
        </is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18442</v>
      </c>
      <c r="E147" s="286" t="inlineStr">
        <is>
          <t>Operating costs funded from partner capital, net of repayments. Latest addition 22-Sep-2026 $18,442.00. Still owed by Operations: $18,442.00.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Undeployed capital (Section J: with Lohith + company-account reserve)</t>
        </is>
      </c>
      <c r="C162" s="320">
        <f>D140</f>
        <v/>
      </c>
      <c r="E162">
        <f>"With Lohith $"&amp;TEXT(D141,"#,##0")&amp;" + company-account reserve $"&amp;TEXT(C171,"#,##0")</f>
        <v/>
      </c>
    </row>
    <row r="163">
      <c r="B163" s="319" t="inlineStr">
        <is>
          <t xml:space="preserve">   Kashigoud still owes CAPITAL (to pay into company account)</t>
        </is>
      </c>
      <c r="C163" s="320">
        <f>F100</f>
        <v/>
      </c>
      <c r="E163" t="inlineStr">
        <is>
          <t>Committed $180k: $145k sent to Lohith + direct expenses paid. Balance due to Capital (company account), since 22-Sep-2026.</t>
        </is>
      </c>
    </row>
    <row r="164">
      <c r="B164" s="319" t="inlineStr">
        <is>
          <t xml:space="preserve">   Shashirekha still owes CAPITAL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Undeployed (with Lohith + company reserve)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451" t="inlineStr">
        <is>
          <t xml:space="preserve">  M.  CAPITAL RESERVE  —  HELD IN THE COMPANY ACCOUNT  (separate from operating cash)</t>
        </is>
      </c>
      <c r="C168" s="320" t="n"/>
    </row>
    <row r="169">
      <c r="B169" s="319" t="inlineStr">
        <is>
          <t xml:space="preserve">   Moved INTO company account (capital deposits + repayments kept there)</t>
        </is>
      </c>
      <c r="C169" s="452" t="n">
        <v>125934</v>
      </c>
      <c r="E169" t="inlineStr">
        <is>
          <t>22-Sep-2026: +$125,934.00 Lohith moved all remaining capital to company account.</t>
        </is>
      </c>
    </row>
    <row r="170">
      <c r="B170" s="319" t="inlineStr">
        <is>
          <t xml:space="preserve">   Drawn from reserve (bills paid with capital from company account)</t>
        </is>
      </c>
      <c r="C170" s="452" t="n">
        <v>-18442</v>
      </c>
      <c r="E170" t="inlineStr">
        <is>
          <t>Cumulative draws (menu 5). Negative number. | 22-Sep-2026: -$18,442.00 Impuestos junio, julio y agosto 2026, Honorarios Julio Contador</t>
        </is>
      </c>
    </row>
    <row r="171">
      <c r="B171" s="317" t="inlineStr">
        <is>
          <t>CAPITAL RESERVE BALANCE (in company account)</t>
        </is>
      </c>
      <c r="C171" s="453">
        <f>C169+C170</f>
        <v/>
      </c>
      <c r="E171" t="inlineStr">
        <is>
          <t>Counted in the bank at a cash count, but NOT operating cash. Recount subtracts it.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4945.0</v>
      </c>
      <c r="G6" s="31">
        <f>SUMIFS($G$8:$G$5000,$B$8:$B$5000,TODAY())</f>
        <v>0.0</v>
      </c>
      <c r="H6" s="28">
        <f>SUMIFS($H$8:$H$5000,$B$8:$B$5000,TODAY())</f>
        <v>5375.0</v>
      </c>
      <c r="I6" s="32">
        <f>F6-H6</f>
        <v>-430.0</v>
      </c>
      <c r="J6">
        <f>IFERROR(I6/F6,0)</f>
        <v>-0.086957</v>
      </c>
      <c r="K6" s="28" t="n"/>
      <c r="L6" s="31" t="n"/>
      <c r="M6" s="28">
        <f>SUMIFS($F$8:$F$5000,$B$8:$B$5000,"&gt;="&amp;(TODAY()-WEEKDAY(TODAY(),2)+1),$B$8:$B$5000,"&lt;"&amp;(TODAY()-WEEKDAY(TODAY(),2)+8))</f>
        <v>12835.0</v>
      </c>
      <c r="N6" s="33">
        <f>SUMIFS($F$8:$F$5000,$B$8:$B$5000,"&gt;="&amp;(TODAY()-WEEKDAY(TODAY(),2)+1),$B$8:$B$5000,"&lt;"&amp;(TODAY()-WEEKDAY(TODAY(),2)+8))</f>
        <v>12835.0</v>
      </c>
      <c r="O6" s="33">
        <f>SUMIFS($F$8:$F$5000,$B$8:$B$5000,"&gt;="&amp;DATE(YEAR(TODAY()),MONTH(TODAY()),1),$B$8:$B$5000,"&lt;"&amp;DATE(YEAR(TODAY()),MONTH(TODAY())+1,1))</f>
        <v>86415.0</v>
      </c>
      <c r="P6">
        <f>SUMIFS('💸 Expenses'!$F$8:$F$5000,'💸 Expenses'!$B$8:$B$5000,"&gt;="&amp;(TODAY()-WEEKDAY(TODAY(),2)+1),'💸 Expenses'!$B$8:$B$5000,"&lt;"&amp;(TODAY()-WEEKDAY(TODAY(),2)+8))</f>
        <v>28238.0</v>
      </c>
      <c r="Q6">
        <f>M6-P6</f>
        <v>-15403.0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427" t="n">
        <v>46284</v>
      </c>
      <c r="C119" s="255" t="inlineStr">
        <is>
          <t>Sat</t>
        </is>
      </c>
      <c r="D119" s="256" t="n">
        <v>625</v>
      </c>
      <c r="E119" s="49" t="n">
        <v>1335</v>
      </c>
      <c r="F119" s="50">
        <f>IFERROR(D119+E119+G119+U119+Y119,0)</f>
        <v>1960.0</v>
      </c>
      <c r="G119" s="257" t="n">
        <v>0</v>
      </c>
      <c r="H119" s="258">
        <f>SUMIFS('💸 Expenses'!$F$8:$F$5000,'💸 Expenses'!$B$8:$B$5000,"&gt;="&amp;B119,'💸 Expenses'!$B$8:$B$5000,"&lt;"&amp;(B119+1))</f>
        <v>4626.0</v>
      </c>
      <c r="I119" s="259">
        <f>IFERROR(F119-H119,0)</f>
        <v>-2666.0</v>
      </c>
      <c r="J119" s="260">
        <f>IFERROR(I119/F119,0)</f>
        <v>-1.360204</v>
      </c>
      <c r="K119" s="254" t="n"/>
      <c r="L119" s="261" t="inlineStr">
        <is>
          <t>Cierre via loka.py</t>
        </is>
      </c>
      <c r="M119" s="291" t="n"/>
      <c r="N119" s="292" t="n"/>
      <c r="O119" s="293" t="n"/>
      <c r="P119" s="294" t="n"/>
      <c r="Q119" s="292" t="n"/>
      <c r="R119" s="443">
        <f>IFERROR(D119*$T$7,0)</f>
        <v>25.38</v>
      </c>
      <c r="S119" s="292" t="n"/>
      <c r="T119" s="292" t="n"/>
      <c r="U119" s="443" t="n">
        <v>0</v>
      </c>
      <c r="V119" s="443" t="n">
        <v>0</v>
      </c>
      <c r="W119" s="292" t="n"/>
      <c r="X119" s="292" t="n"/>
      <c r="Y119" s="443" t="n">
        <v>0</v>
      </c>
      <c r="Z119" s="443" t="n">
        <v>0</v>
      </c>
      <c r="AA119" s="292" t="n"/>
      <c r="AB119" s="292" t="n"/>
    </row>
    <row r="120" ht="16.5" customHeight="1" s="331">
      <c r="B120" s="427" t="n">
        <v>46286</v>
      </c>
      <c r="C120" s="270" t="inlineStr">
        <is>
          <t>Mon</t>
        </is>
      </c>
      <c r="D120" s="271" t="n">
        <v>2860</v>
      </c>
      <c r="E120" s="37" t="n">
        <v>1680</v>
      </c>
      <c r="F120" s="38">
        <f>IFERROR(D120+E120+G120+U120+Y120,0)</f>
        <v>4800.0</v>
      </c>
      <c r="G120" s="272" t="n">
        <v>260</v>
      </c>
      <c r="H120" s="273">
        <f>SUMIFS('💸 Expenses'!$F$8:$F$5000,'💸 Expenses'!$B$8:$B$5000,"&gt;="&amp;B120,'💸 Expenses'!$B$8:$B$5000,"&lt;"&amp;(B120+1))</f>
        <v>3883.0</v>
      </c>
      <c r="I120" s="274">
        <f>IFERROR(F120-H120,0)</f>
        <v>917.0</v>
      </c>
      <c r="J120" s="275">
        <f>IFERROR(I120/F120,0)</f>
        <v>0.191042</v>
      </c>
      <c r="K120" s="250" t="n"/>
      <c r="L120" s="276" t="inlineStr">
        <is>
          <t>Cierre via loka.py | updated 21:05</t>
        </is>
      </c>
      <c r="M120" s="323" t="n"/>
      <c r="N120" s="324" t="n"/>
      <c r="O120" s="325" t="n"/>
      <c r="P120" s="326" t="n"/>
      <c r="Q120" s="324" t="n"/>
      <c r="R120" s="428">
        <f>IFERROR(D120*$T$7,0)</f>
        <v>116.12</v>
      </c>
      <c r="S120" s="324" t="n"/>
      <c r="T120" s="324" t="n"/>
      <c r="U120" s="428" t="n">
        <v>0</v>
      </c>
      <c r="V120" s="428" t="n">
        <v>0</v>
      </c>
      <c r="W120" s="324" t="n"/>
      <c r="X120" s="324" t="n"/>
      <c r="Y120" s="428" t="n">
        <v>0</v>
      </c>
      <c r="Z120" s="428" t="n">
        <v>0</v>
      </c>
      <c r="AA120" s="324" t="n"/>
      <c r="AB120" s="324" t="n"/>
    </row>
    <row r="121" ht="16.5" customHeight="1" s="331">
      <c r="B121" s="427" t="n">
        <v>46287</v>
      </c>
      <c r="C121" s="255" t="inlineStr">
        <is>
          <t>Tue</t>
        </is>
      </c>
      <c r="D121" s="256" t="n">
        <v>1575</v>
      </c>
      <c r="E121" s="49" t="n">
        <v>1515</v>
      </c>
      <c r="F121" s="50">
        <f>IFERROR(D121+E121+G121+U121+Y121,0)</f>
        <v>3090.0</v>
      </c>
      <c r="G121" s="257" t="n">
        <v>0</v>
      </c>
      <c r="H121" s="258">
        <f>SUMIFS('💸 Expenses'!$F$8:$F$5000,'💸 Expenses'!$B$8:$B$5000,"&gt;="&amp;B121,'💸 Expenses'!$B$8:$B$5000,"&lt;"&amp;(B121+1))</f>
        <v>18980.0</v>
      </c>
      <c r="I121" s="259">
        <f>IFERROR(F121-H121,0)</f>
        <v>-15890.0</v>
      </c>
      <c r="J121" s="260">
        <f>IFERROR(I121/F121,0)</f>
        <v>-5.142395</v>
      </c>
      <c r="K121" s="254" t="n"/>
      <c r="L121" s="261" t="inlineStr">
        <is>
          <t>Cierre via loka.py</t>
        </is>
      </c>
      <c r="M121" s="291" t="n"/>
      <c r="N121" s="292" t="n"/>
      <c r="O121" s="293" t="n"/>
      <c r="P121" s="294" t="n"/>
      <c r="Q121" s="292" t="n"/>
      <c r="R121" s="443">
        <f>IFERROR(D121*$T$7,0)</f>
        <v>63.94</v>
      </c>
      <c r="S121" s="292" t="n"/>
      <c r="T121" s="292" t="n"/>
      <c r="U121" s="443" t="n">
        <v>0</v>
      </c>
      <c r="V121" s="443" t="n">
        <v>0</v>
      </c>
      <c r="W121" s="292" t="n"/>
      <c r="X121" s="292" t="n"/>
      <c r="Y121" s="443" t="n">
        <v>0</v>
      </c>
      <c r="Z121" s="443" t="n">
        <v>0</v>
      </c>
      <c r="AA121" s="292" t="n"/>
      <c r="AB121" s="292" t="n"/>
    </row>
    <row r="122" ht="16.5" customHeight="1" s="331">
      <c r="B122" s="427" t="n">
        <v>46288</v>
      </c>
      <c r="C122" s="270" t="inlineStr">
        <is>
          <t>Wed</t>
        </is>
      </c>
      <c r="D122" s="271" t="n">
        <v>3585</v>
      </c>
      <c r="E122" s="37" t="n">
        <v>1360</v>
      </c>
      <c r="F122" s="38">
        <f>IFERROR(D122+E122+G122+U122+Y122,0)</f>
        <v>4945.0</v>
      </c>
      <c r="G122" s="272" t="n">
        <v>0</v>
      </c>
      <c r="H122" s="273">
        <f>SUMIFS('💸 Expenses'!$F$8:$F$5000,'💸 Expenses'!$B$8:$B$5000,"&gt;="&amp;B122,'💸 Expenses'!$B$8:$B$5000,"&lt;"&amp;(B122+1))</f>
        <v>5375.0</v>
      </c>
      <c r="I122" s="274">
        <f>IFERROR(F122-H122,0)</f>
        <v>-430.0</v>
      </c>
      <c r="J122" s="275">
        <f>IFERROR(I122/F122,0)</f>
        <v>-0.086957</v>
      </c>
      <c r="K122" s="250" t="n"/>
      <c r="L122" s="276" t="inlineStr">
        <is>
          <t>Cierre via loka.py</t>
        </is>
      </c>
      <c r="M122" s="323" t="n"/>
      <c r="N122" s="324" t="n"/>
      <c r="O122" s="325" t="n"/>
      <c r="P122" s="326" t="n"/>
      <c r="Q122" s="324" t="n"/>
      <c r="R122" s="428">
        <f>IFERROR(D122*$T$7,0)</f>
        <v>145.55</v>
      </c>
      <c r="S122" s="324" t="n"/>
      <c r="T122" s="324" t="n"/>
      <c r="U122" s="428" t="n">
        <v>0</v>
      </c>
      <c r="V122" s="428" t="n">
        <v>0</v>
      </c>
      <c r="W122" s="324" t="n"/>
      <c r="X122" s="324" t="n"/>
      <c r="Y122" s="428" t="n">
        <v>0</v>
      </c>
      <c r="Z122" s="428" t="n">
        <v>0</v>
      </c>
      <c r="AA122" s="324" t="n"/>
      <c r="AB122" s="32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801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  <row r="783">
      <c r="B783" s="429" t="n">
        <v>46284</v>
      </c>
      <c r="C783" s="297" t="inlineStr">
        <is>
          <t>Jhon - salary</t>
        </is>
      </c>
      <c r="D783" s="298" t="inlineStr">
        <is>
          <t>Payroll</t>
        </is>
      </c>
      <c r="E783" s="297" t="inlineStr">
        <is>
          <t>Staff - Salary</t>
        </is>
      </c>
      <c r="F783" s="299" t="n">
        <v>3750</v>
      </c>
      <c r="G783" s="300" t="inlineStr">
        <is>
          <t>Restaurant</t>
        </is>
      </c>
      <c r="H783" s="300" t="inlineStr">
        <is>
          <t>Cash</t>
        </is>
      </c>
      <c r="I783" s="301" t="inlineStr">
        <is>
          <t>✅ Paid</t>
        </is>
      </c>
      <c r="J783" s="423" t="inlineStr">
        <is>
          <t>Weekly salary</t>
        </is>
      </c>
    </row>
    <row r="784">
      <c r="B784" s="429" t="n">
        <v>46284</v>
      </c>
      <c r="C784" s="297" t="inlineStr">
        <is>
          <t>Duvi - salary</t>
        </is>
      </c>
      <c r="D784" s="298" t="inlineStr">
        <is>
          <t>Payroll</t>
        </is>
      </c>
      <c r="E784" s="297" t="inlineStr">
        <is>
          <t>Staff - Salary</t>
        </is>
      </c>
      <c r="F784" s="299" t="n">
        <v>876</v>
      </c>
      <c r="G784" s="300" t="inlineStr">
        <is>
          <t>Restaurant</t>
        </is>
      </c>
      <c r="H784" s="300" t="inlineStr">
        <is>
          <t>Cash</t>
        </is>
      </c>
      <c r="I784" s="301" t="inlineStr">
        <is>
          <t>✅ Paid</t>
        </is>
      </c>
      <c r="J784" s="423" t="inlineStr">
        <is>
          <t>Weekly salary</t>
        </is>
      </c>
    </row>
    <row r="785">
      <c r="B785" s="429" t="n">
        <v>46286</v>
      </c>
      <c r="C785" s="297" t="inlineStr">
        <is>
          <t>Vegetables</t>
        </is>
      </c>
      <c r="D785" s="298" t="inlineStr">
        <is>
          <t>No bill</t>
        </is>
      </c>
      <c r="E785" s="297" t="inlineStr">
        <is>
          <t>Ingredients - Vegetables</t>
        </is>
      </c>
      <c r="F785" s="299" t="n">
        <v>1833</v>
      </c>
      <c r="G785" s="300" t="inlineStr">
        <is>
          <t>Restaurant</t>
        </is>
      </c>
      <c r="H785" s="300" t="inlineStr">
        <is>
          <t>Cash</t>
        </is>
      </c>
      <c r="I785" s="301" t="inlineStr">
        <is>
          <t>✅ Paid</t>
        </is>
      </c>
      <c r="J785" s="423" t="inlineStr">
        <is>
          <t>No receipt; cash</t>
        </is>
      </c>
    </row>
    <row r="786">
      <c r="B786" s="429" t="n">
        <v>46286</v>
      </c>
      <c r="C786" s="297" t="inlineStr">
        <is>
          <t>Jamon</t>
        </is>
      </c>
      <c r="D786" s="298" t="inlineStr">
        <is>
          <t>No bill</t>
        </is>
      </c>
      <c r="E786" s="297" t="inlineStr">
        <is>
          <t>Ingredients - Meat</t>
        </is>
      </c>
      <c r="F786" s="299" t="n">
        <v>267</v>
      </c>
      <c r="G786" s="300" t="inlineStr">
        <is>
          <t>Restaurant</t>
        </is>
      </c>
      <c r="H786" s="300" t="inlineStr">
        <is>
          <t>Cash</t>
        </is>
      </c>
      <c r="I786" s="301" t="inlineStr">
        <is>
          <t>✅ Paid</t>
        </is>
      </c>
      <c r="J786" s="423" t="inlineStr">
        <is>
          <t>No receipt; cash</t>
        </is>
      </c>
    </row>
    <row r="787">
      <c r="B787" s="429" t="n">
        <v>46286</v>
      </c>
      <c r="C787" s="297" t="inlineStr">
        <is>
          <t>Carne</t>
        </is>
      </c>
      <c r="D787" s="298" t="inlineStr">
        <is>
          <t>No bill</t>
        </is>
      </c>
      <c r="E787" s="297" t="inlineStr">
        <is>
          <t>Ingredients - Meat</t>
        </is>
      </c>
      <c r="F787" s="299" t="n">
        <v>812</v>
      </c>
      <c r="G787" s="300" t="inlineStr">
        <is>
          <t>Restaurant</t>
        </is>
      </c>
      <c r="H787" s="300" t="inlineStr">
        <is>
          <t>Cash</t>
        </is>
      </c>
      <c r="I787" s="301" t="inlineStr">
        <is>
          <t>✅ Paid</t>
        </is>
      </c>
      <c r="J787" s="423" t="inlineStr">
        <is>
          <t>No receipt; cash</t>
        </is>
      </c>
    </row>
    <row r="788">
      <c r="B788" s="429" t="n">
        <v>46286</v>
      </c>
      <c r="C788" s="297" t="inlineStr">
        <is>
          <t>Queso</t>
        </is>
      </c>
      <c r="D788" s="298" t="inlineStr">
        <is>
          <t>No bill</t>
        </is>
      </c>
      <c r="E788" s="297" t="inlineStr">
        <is>
          <t>Ingredients - Dairy</t>
        </is>
      </c>
      <c r="F788" s="299" t="n">
        <v>567</v>
      </c>
      <c r="G788" s="300" t="inlineStr">
        <is>
          <t>Restaurant</t>
        </is>
      </c>
      <c r="H788" s="300" t="inlineStr">
        <is>
          <t>Cash</t>
        </is>
      </c>
      <c r="I788" s="301" t="inlineStr">
        <is>
          <t>✅ Paid</t>
        </is>
      </c>
      <c r="J788" s="423" t="inlineStr">
        <is>
          <t>No receipt; cash</t>
        </is>
      </c>
    </row>
    <row r="789">
      <c r="B789" s="429" t="n">
        <v>46286</v>
      </c>
      <c r="C789" s="297" t="inlineStr">
        <is>
          <t>Pollo</t>
        </is>
      </c>
      <c r="D789" s="298" t="inlineStr">
        <is>
          <t>No bill</t>
        </is>
      </c>
      <c r="E789" s="297" t="inlineStr">
        <is>
          <t>Ingredients - Meat</t>
        </is>
      </c>
      <c r="F789" s="299" t="n">
        <v>404</v>
      </c>
      <c r="G789" s="300" t="inlineStr">
        <is>
          <t>Lohith</t>
        </is>
      </c>
      <c r="H789" s="300" t="inlineStr">
        <is>
          <t>Cash</t>
        </is>
      </c>
      <c r="I789" s="301" t="inlineStr">
        <is>
          <t>✅ Paid</t>
        </is>
      </c>
      <c r="J789" s="423" t="inlineStr">
        <is>
          <t>Pagado por Lohith (bolsillo); reembolsable via Owner Ledger</t>
        </is>
      </c>
    </row>
    <row r="790">
      <c r="B790" s="429" t="n">
        <v>46287</v>
      </c>
      <c r="C790" s="297" t="inlineStr">
        <is>
          <t>Chedraui</t>
        </is>
      </c>
      <c r="D790" s="298" t="inlineStr">
        <is>
          <t>Chedraui</t>
        </is>
      </c>
      <c r="E790" s="297" t="inlineStr">
        <is>
          <t>Supermarket/General</t>
        </is>
      </c>
      <c r="F790" s="299" t="n">
        <v>258</v>
      </c>
      <c r="G790" s="300" t="inlineStr">
        <is>
          <t>Restaurant</t>
        </is>
      </c>
      <c r="H790" s="300" t="inlineStr">
        <is>
          <t>Cash</t>
        </is>
      </c>
      <c r="I790" s="301" t="inlineStr">
        <is>
          <t>✅ Paid</t>
        </is>
      </c>
      <c r="J790" s="423" t="inlineStr">
        <is>
          <t>No receipt; cash</t>
        </is>
      </c>
    </row>
    <row r="791">
      <c r="B791" s="429" t="n">
        <v>46287</v>
      </c>
      <c r="C791" s="297" t="inlineStr">
        <is>
          <t>Hielo</t>
        </is>
      </c>
      <c r="D791" s="298" t="inlineStr">
        <is>
          <t>No bill</t>
        </is>
      </c>
      <c r="E791" s="297" t="inlineStr">
        <is>
          <t>Kitchen Supplies</t>
        </is>
      </c>
      <c r="F791" s="299" t="n">
        <v>200</v>
      </c>
      <c r="G791" s="300" t="inlineStr">
        <is>
          <t>Restaurant</t>
        </is>
      </c>
      <c r="H791" s="300" t="inlineStr">
        <is>
          <t>Cash</t>
        </is>
      </c>
      <c r="I791" s="301" t="inlineStr">
        <is>
          <t>✅ Paid</t>
        </is>
      </c>
      <c r="J791" s="423" t="inlineStr">
        <is>
          <t>No receipt; cash</t>
        </is>
      </c>
    </row>
    <row r="792">
      <c r="B792" s="429" t="n">
        <v>46287</v>
      </c>
      <c r="C792" s="297" t="inlineStr">
        <is>
          <t>Agua Natural</t>
        </is>
      </c>
      <c r="D792" s="298" t="inlineStr">
        <is>
          <t>No bill</t>
        </is>
      </c>
      <c r="E792" s="297" t="inlineStr">
        <is>
          <t>Ingredients - Beverages</t>
        </is>
      </c>
      <c r="F792" s="299" t="n">
        <v>80</v>
      </c>
      <c r="G792" s="300" t="inlineStr">
        <is>
          <t>Restaurant</t>
        </is>
      </c>
      <c r="H792" s="300" t="inlineStr">
        <is>
          <t>Cash</t>
        </is>
      </c>
      <c r="I792" s="301" t="inlineStr">
        <is>
          <t>✅ Paid</t>
        </is>
      </c>
      <c r="J792" s="423" t="inlineStr">
        <is>
          <t>No receipt; cash</t>
        </is>
      </c>
    </row>
    <row r="793">
      <c r="B793" s="429" t="n">
        <v>46287</v>
      </c>
      <c r="C793" s="297" t="inlineStr">
        <is>
          <t>Impuestos junio, julio y agosto 2026</t>
        </is>
      </c>
      <c r="D793" s="298" t="inlineStr">
        <is>
          <t>SAT</t>
        </is>
      </c>
      <c r="E793" s="297" t="inlineStr">
        <is>
          <t>Taxes</t>
        </is>
      </c>
      <c r="F793" s="299" t="n">
        <v>14842</v>
      </c>
      <c r="G793" s="300" t="inlineStr">
        <is>
          <t>Capital</t>
        </is>
      </c>
      <c r="H793" s="300" t="inlineStr">
        <is>
          <t>Transfer</t>
        </is>
      </c>
      <c r="I793" s="301" t="inlineStr">
        <is>
          <t>✅ Paid</t>
        </is>
      </c>
      <c r="J793" s="423" t="inlineStr">
        <is>
          <t>Impuestos Jun-Ago 2026 pagados con capital - reserva cuenta empresa</t>
        </is>
      </c>
    </row>
    <row r="794">
      <c r="B794" s="429" t="n">
        <v>46287</v>
      </c>
      <c r="C794" s="297" t="inlineStr">
        <is>
          <t>Honorarios Julio Contador</t>
        </is>
      </c>
      <c r="D794" s="298" t="inlineStr">
        <is>
          <t>Julio Contador</t>
        </is>
      </c>
      <c r="E794" s="297" t="inlineStr">
        <is>
          <t>Professional Services</t>
        </is>
      </c>
      <c r="F794" s="299" t="n">
        <v>3600</v>
      </c>
      <c r="G794" s="300" t="inlineStr">
        <is>
          <t>Capital</t>
        </is>
      </c>
      <c r="H794" s="300" t="inlineStr">
        <is>
          <t>Transfer</t>
        </is>
      </c>
      <c r="I794" s="301" t="inlineStr">
        <is>
          <t>✅ Paid</t>
        </is>
      </c>
      <c r="J794" s="423" t="inlineStr">
        <is>
          <t>Honorarios contables pagados con capital - reserva cuenta empresa</t>
        </is>
      </c>
    </row>
    <row r="795">
      <c r="B795" s="429" t="n">
        <v>46288</v>
      </c>
      <c r="C795" s="297" t="inlineStr">
        <is>
          <t>Avia</t>
        </is>
      </c>
      <c r="D795" s="298" t="inlineStr">
        <is>
          <t>No bill</t>
        </is>
      </c>
      <c r="E795" s="297" t="inlineStr">
        <is>
          <t>Ingredients - Beverages</t>
        </is>
      </c>
      <c r="F795" s="299" t="n">
        <v>600</v>
      </c>
      <c r="G795" s="300" t="inlineStr">
        <is>
          <t>Restaurant</t>
        </is>
      </c>
      <c r="H795" s="300" t="inlineStr">
        <is>
          <t>Cash</t>
        </is>
      </c>
      <c r="I795" s="301" t="inlineStr">
        <is>
          <t>✅ Paid</t>
        </is>
      </c>
      <c r="J795" s="423" t="inlineStr">
        <is>
          <t>No receipt; cash</t>
        </is>
      </c>
    </row>
    <row r="796">
      <c r="B796" s="429" t="n">
        <v>46288</v>
      </c>
      <c r="C796" s="297" t="inlineStr">
        <is>
          <t>Boneless</t>
        </is>
      </c>
      <c r="D796" s="298" t="inlineStr">
        <is>
          <t>No bill</t>
        </is>
      </c>
      <c r="E796" s="297" t="inlineStr">
        <is>
          <t>Ingredients - Meat</t>
        </is>
      </c>
      <c r="F796" s="299" t="n">
        <v>1200</v>
      </c>
      <c r="G796" s="300" t="inlineStr">
        <is>
          <t>Restaurant</t>
        </is>
      </c>
      <c r="H796" s="300" t="inlineStr">
        <is>
          <t>Cash</t>
        </is>
      </c>
      <c r="I796" s="301" t="inlineStr">
        <is>
          <t>✅ Paid</t>
        </is>
      </c>
      <c r="J796" s="423" t="inlineStr">
        <is>
          <t>No receipt; cash</t>
        </is>
      </c>
    </row>
    <row r="797">
      <c r="B797" s="429" t="n">
        <v>46288</v>
      </c>
      <c r="C797" s="297" t="inlineStr">
        <is>
          <t>Carne</t>
        </is>
      </c>
      <c r="D797" s="298" t="inlineStr">
        <is>
          <t>No bill</t>
        </is>
      </c>
      <c r="E797" s="297" t="inlineStr">
        <is>
          <t>Ingredients - Meat</t>
        </is>
      </c>
      <c r="F797" s="299" t="n">
        <v>644</v>
      </c>
      <c r="G797" s="300" t="inlineStr">
        <is>
          <t>Restaurant</t>
        </is>
      </c>
      <c r="H797" s="300" t="inlineStr">
        <is>
          <t>Cash</t>
        </is>
      </c>
      <c r="I797" s="301" t="inlineStr">
        <is>
          <t>✅ Paid</t>
        </is>
      </c>
      <c r="J797" s="423" t="inlineStr">
        <is>
          <t>No receipt; cash</t>
        </is>
      </c>
    </row>
    <row r="798">
      <c r="B798" s="429" t="n">
        <v>46288</v>
      </c>
      <c r="C798" s="297" t="inlineStr">
        <is>
          <t>Guimar</t>
        </is>
      </c>
      <c r="D798" s="298" t="inlineStr">
        <is>
          <t>Guimar Polietilenos</t>
        </is>
      </c>
      <c r="E798" s="297" t="inlineStr">
        <is>
          <t>Packaging/Disposables</t>
        </is>
      </c>
      <c r="F798" s="299" t="n">
        <v>216</v>
      </c>
      <c r="G798" s="300" t="inlineStr">
        <is>
          <t>Restaurant</t>
        </is>
      </c>
      <c r="H798" s="300" t="inlineStr">
        <is>
          <t>Cash</t>
        </is>
      </c>
      <c r="I798" s="301" t="inlineStr">
        <is>
          <t>✅ Paid</t>
        </is>
      </c>
      <c r="J798" s="423" t="inlineStr">
        <is>
          <t>No receipt; cash</t>
        </is>
      </c>
    </row>
    <row r="799">
      <c r="B799" s="429" t="n">
        <v>46288</v>
      </c>
      <c r="C799" s="297" t="inlineStr">
        <is>
          <t>Oxxo Arroz</t>
        </is>
      </c>
      <c r="D799" s="298" t="inlineStr">
        <is>
          <t>OXXO</t>
        </is>
      </c>
      <c r="E799" s="297" t="inlineStr">
        <is>
          <t>Ingredients - Pantry</t>
        </is>
      </c>
      <c r="F799" s="299" t="n">
        <v>130</v>
      </c>
      <c r="G799" s="300" t="inlineStr">
        <is>
          <t>Restaurant</t>
        </is>
      </c>
      <c r="H799" s="300" t="inlineStr">
        <is>
          <t>Cash</t>
        </is>
      </c>
      <c r="I799" s="301" t="inlineStr">
        <is>
          <t>✅ Paid</t>
        </is>
      </c>
      <c r="J799" s="423" t="inlineStr">
        <is>
          <t>No receipt; cash</t>
        </is>
      </c>
    </row>
    <row r="800">
      <c r="B800" s="429" t="n">
        <v>46288</v>
      </c>
      <c r="C800" s="297" t="inlineStr">
        <is>
          <t>Pan Real</t>
        </is>
      </c>
      <c r="D800" s="298" t="inlineStr">
        <is>
          <t>No bill</t>
        </is>
      </c>
      <c r="E800" s="297" t="inlineStr">
        <is>
          <t>Ingredients - Bread</t>
        </is>
      </c>
      <c r="F800" s="299" t="n">
        <v>1706</v>
      </c>
      <c r="G800" s="300" t="inlineStr">
        <is>
          <t>Restaurant</t>
        </is>
      </c>
      <c r="H800" s="300" t="inlineStr">
        <is>
          <t>Cash</t>
        </is>
      </c>
      <c r="I800" s="301" t="inlineStr">
        <is>
          <t>✅ Paid</t>
        </is>
      </c>
      <c r="J800" s="423" t="inlineStr">
        <is>
          <t>No receipt; cash</t>
        </is>
      </c>
    </row>
    <row r="801">
      <c r="B801" s="429" t="n">
        <v>46288</v>
      </c>
      <c r="C801" s="297" t="inlineStr">
        <is>
          <t>Pollo</t>
        </is>
      </c>
      <c r="D801" s="298" t="inlineStr">
        <is>
          <t>No bill</t>
        </is>
      </c>
      <c r="E801" s="297" t="inlineStr">
        <is>
          <t>Ingredients - Meat</t>
        </is>
      </c>
      <c r="F801" s="299" t="n">
        <v>879</v>
      </c>
      <c r="G801" s="300" t="inlineStr">
        <is>
          <t>Lohith</t>
        </is>
      </c>
      <c r="H801" s="300" t="inlineStr">
        <is>
          <t>Cash</t>
        </is>
      </c>
      <c r="I801" s="301" t="inlineStr">
        <is>
          <t>✅ Paid</t>
        </is>
      </c>
      <c r="J801" s="423" t="inlineStr">
        <is>
          <t>Pagado por Lohith (bolsillo); reembolsable via Owner Ledger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Taxes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Pantry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Bread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Beverages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Ingredients - Dairy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Utilities/Electricity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Supplies/Other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Maintenance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Utilities/Gas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Professional Services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Fruit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Utilities/Internet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Office Supplies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Ingredients - Other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Software/Subscription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Staff - Advance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Ingredients - Eggs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9" t="inlineStr">
        <is>
          <t>Ingredients - Desserts</t>
        </is>
      </c>
      <c r="B42" s="437">
        <f>SUMIFS('💸 Expenses'!$F$8:$F$5000,'💸 Expenses'!$E$8:$E$5000,$A42,'💸 Expenses'!$B$8:$B$5000,"&gt;="&amp;DATE(2026,5,1),'💸 Expenses'!$B$8:$B$5000,"&lt;"&amp;DATE(2026,6,1))</f>
        <v/>
      </c>
      <c r="C42" s="437">
        <f>SUMIFS('💸 Expenses'!$F$8:$F$5000,'💸 Expenses'!$E$8:$E$5000,$A42,'💸 Expenses'!$B$8:$B$5000,"&gt;="&amp;DATE(2026,6,1),'💸 Expenses'!$B$8:$B$5000,"&lt;"&amp;DATE(2026,7,1))</f>
        <v/>
      </c>
      <c r="D42" s="437">
        <f>SUMIFS('💸 Expenses'!$F$8:$F$5000,'💸 Expenses'!$E$8:$E$5000,$A42,'💸 Expenses'!$B$8:$B$5000,"&gt;="&amp;DATE(2026,7,1),'💸 Expenses'!$B$8:$B$5000,"&lt;"&amp;DATE(2026,8,1))</f>
        <v/>
      </c>
      <c r="E42" s="437">
        <f>SUMIFS('💸 Expenses'!$F$8:$F$5000,'💸 Expenses'!$E$8:$E$5000,$A42,'💸 Expenses'!$B$8:$B$5000,"&gt;="&amp;DATE(2026,8,1),'💸 Expenses'!$B$8:$B$5000,"&lt;"&amp;DATE(2026,9,1))</f>
        <v/>
      </c>
      <c r="F42" s="437">
        <f>SUMIFS('💸 Expenses'!$F$8:$F$5000,'💸 Expenses'!$E$8:$E$5000,$A42,'💸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9" t="inlineStr">
        <is>
          <t>Staff - Propinas</t>
        </is>
      </c>
      <c r="B43" s="437">
        <f>SUMIFS('💸 Expenses'!$F$8:$F$5000,'💸 Expenses'!$E$8:$E$5000,$A43,'💸 Expenses'!$B$8:$B$5000,"&gt;="&amp;DATE(2026,5,1),'💸 Expenses'!$B$8:$B$5000,"&lt;"&amp;DATE(2026,6,1))</f>
        <v/>
      </c>
      <c r="C43" s="437">
        <f>SUMIFS('💸 Expenses'!$F$8:$F$5000,'💸 Expenses'!$E$8:$E$5000,$A43,'💸 Expenses'!$B$8:$B$5000,"&gt;="&amp;DATE(2026,6,1),'💸 Expenses'!$B$8:$B$5000,"&lt;"&amp;DATE(2026,7,1))</f>
        <v/>
      </c>
      <c r="D43" s="437">
        <f>SUMIFS('💸 Expenses'!$F$8:$F$5000,'💸 Expenses'!$E$8:$E$5000,$A43,'💸 Expenses'!$B$8:$B$5000,"&gt;="&amp;DATE(2026,7,1),'💸 Expenses'!$B$8:$B$5000,"&lt;"&amp;DATE(2026,8,1))</f>
        <v/>
      </c>
      <c r="E43" s="437">
        <f>SUMIFS('💸 Expenses'!$F$8:$F$5000,'💸 Expenses'!$E$8:$E$5000,$A43,'💸 Expenses'!$B$8:$B$5000,"&gt;="&amp;DATE(2026,8,1),'💸 Expenses'!$B$8:$B$5000,"&lt;"&amp;DATE(2026,9,1))</f>
        <v/>
      </c>
      <c r="F43" s="437">
        <f>SUMIFS('💸 Expenses'!$F$8:$F$5000,'💸 Expenses'!$E$8:$E$5000,$A43,'💸 Expenses'!$B$8:$B$5000,"&gt;="&amp;DATE(2026,9,1),'💸 Expenses'!$B$8:$B$5000,"&lt;"&amp;DATE(2026,10,1))</f>
        <v/>
      </c>
      <c r="G43" s="433" t="n"/>
      <c r="H43" s="433" t="n"/>
      <c r="I43" s="433" t="n"/>
      <c r="J43" s="433" t="n"/>
      <c r="K43" s="433" t="n"/>
      <c r="L43" s="433" t="n"/>
    </row>
    <row r="44">
      <c r="A44" s="436" t="inlineStr">
        <is>
          <t>TOTAL EXPENSES</t>
        </is>
      </c>
      <c r="B44" s="438">
        <f>SUMIFS('💸 Expenses'!$F$8:$F$5000,'💸 Expenses'!$B$8:$B$5000,"&gt;="&amp;DATE(2026,5,1),'💸 Expenses'!$B$8:$B$5000,"&lt;"&amp;DATE(2026,6,1))</f>
        <v/>
      </c>
      <c r="C44" s="438">
        <f>SUMIFS('💸 Expenses'!$F$8:$F$5000,'💸 Expenses'!$B$8:$B$5000,"&gt;="&amp;DATE(2026,6,1),'💸 Expenses'!$B$8:$B$5000,"&lt;"&amp;DATE(2026,7,1))</f>
        <v/>
      </c>
      <c r="D44" s="438">
        <f>SUMIFS('💸 Expenses'!$F$8:$F$5000,'💸 Expenses'!$B$8:$B$5000,"&gt;="&amp;DATE(2026,7,1),'💸 Expenses'!$B$8:$B$5000,"&lt;"&amp;DATE(2026,8,1))</f>
        <v/>
      </c>
      <c r="E44" s="438">
        <f>SUMIFS('💸 Expenses'!$F$8:$F$5000,'💸 Expenses'!$B$8:$B$5000,"&gt;="&amp;DATE(2026,8,1),'💸 Expenses'!$B$8:$B$5000,"&lt;"&amp;DATE(2026,9,1))</f>
        <v/>
      </c>
      <c r="F44" s="438">
        <f>SUMIFS('💸 Expenses'!$F$8:$F$5000,'💸 Expenses'!$B$8:$B$5000,"&gt;="&amp;DATE(2026,9,1),'💸 Expenses'!$B$8:$B$5000,"&lt;"&amp;DATE(2026,10,1))</f>
        <v/>
      </c>
      <c r="G44" s="433" t="n"/>
      <c r="H44" s="433" t="n"/>
      <c r="I44" s="433" t="n"/>
      <c r="J44" s="433" t="n"/>
      <c r="K44" s="433" t="n"/>
      <c r="L44" s="433" t="n"/>
    </row>
    <row r="45">
      <c r="A45" s="436" t="inlineStr">
        <is>
          <t>NET PROFIT / LOSS</t>
        </is>
      </c>
      <c r="B45" s="438">
        <f>B4-B44</f>
        <v/>
      </c>
      <c r="C45" s="438">
        <f>C4-C44</f>
        <v/>
      </c>
      <c r="D45" s="438">
        <f>D4-D44</f>
        <v/>
      </c>
      <c r="E45" s="438">
        <f>E4-E44</f>
        <v/>
      </c>
      <c r="F45" s="438">
        <f>F4-F44</f>
        <v/>
      </c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8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n">
        <v>46286</v>
      </c>
      <c r="B95" s="232" t="inlineStr">
        <is>
          <t>Pollo $404 (paid by Lohith)</t>
        </is>
      </c>
      <c r="C95" s="232" t="inlineStr">
        <is>
          <t>Expense - Personal</t>
        </is>
      </c>
      <c r="D95" s="232" t="n">
        <v>404</v>
      </c>
      <c r="E95" s="233" t="n"/>
      <c r="F95" s="233">
        <f>IFERROR(F94+D95-E95,0)</f>
        <v/>
      </c>
      <c r="G95" s="232" t="inlineStr">
        <is>
          <t>⏳ Reimburse</t>
        </is>
      </c>
      <c r="H95" s="232" t="inlineStr">
        <is>
          <t>Fronted from own pocket; excluded from till via cash_adjust</t>
        </is>
      </c>
    </row>
    <row r="96">
      <c r="A96" s="430" t="n">
        <v>46286</v>
      </c>
      <c r="B96" s="232" t="inlineStr">
        <is>
          <t>Transfer-to-me (customer payment 21-Sep, corrected from Cash)</t>
        </is>
      </c>
      <c r="C96" s="232" t="inlineStr">
        <is>
          <t>Transfer Received</t>
        </is>
      </c>
      <c r="D96" s="232" t="n"/>
      <c r="E96" s="233" t="n">
        <v>260</v>
      </c>
      <c r="F96" s="233">
        <f>IFERROR(F95+D96-E96,0)</f>
        <v/>
      </c>
      <c r="G96" s="232" t="inlineStr">
        <is>
          <t>✅ Received</t>
        </is>
      </c>
      <c r="H96" s="232" t="inlineStr">
        <is>
          <t>Moved from Cash via tools.py move</t>
        </is>
      </c>
    </row>
    <row r="97">
      <c r="A97" s="430" t="n">
        <v>46288</v>
      </c>
      <c r="B97" s="232" t="inlineStr">
        <is>
          <t>Pollo $879 (paid by Lohith)</t>
        </is>
      </c>
      <c r="C97" s="232" t="inlineStr">
        <is>
          <t>Expense - Personal</t>
        </is>
      </c>
      <c r="D97" s="232" t="n">
        <v>879</v>
      </c>
      <c r="E97" s="233" t="n"/>
      <c r="F97" s="233">
        <f>IFERROR(F96+D97-E97,0)</f>
        <v/>
      </c>
      <c r="G97" s="232" t="inlineStr">
        <is>
          <t>⏳ Reimburse</t>
        </is>
      </c>
      <c r="H97" s="232" t="inlineStr">
        <is>
          <t>Fronted from own pocket; excluded from till via cash_adjust</t>
        </is>
      </c>
    </row>
    <row r="98">
      <c r="A98" s="430" t="inlineStr">
        <is>
          <t>TOTALS &amp; CURRENT BALANCE</t>
        </is>
      </c>
      <c r="B98" s="232" t="n"/>
      <c r="C98" s="232" t="n"/>
      <c r="D98" s="232">
        <f>SUM(D4:D97)</f>
        <v/>
      </c>
      <c r="E98" s="233">
        <f>SUM(E4:E97)</f>
        <v/>
      </c>
      <c r="F98" s="233">
        <f>F97</f>
        <v/>
      </c>
      <c r="G98" s="232">
        <f>IF(F97&gt;0,"Restaurant owes Lohith $"&amp;TEXT(F97,"#,##0"),IF(F97&lt;0,"Lohith holds $"&amp;TEXT(ABS(F97),"#,##0"),"Zero balance"))</f>
        <v/>
      </c>
      <c r="H98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2026-09-24T01:29:29Z</dcterms:modified>
  <cp:lastModifiedBy>LOHITH REDDY</cp:lastModifiedBy>
</cp:coreProperties>
</file>