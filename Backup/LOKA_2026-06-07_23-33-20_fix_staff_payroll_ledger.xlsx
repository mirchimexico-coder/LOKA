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6 Jun 2026  |  Capital, Acquisition &amp; Pre-Opening Expenses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D55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D42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D68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  <c r="C17" s="266" t="n">
        <v>46177</v>
      </c>
      <c r="D17" t="n">
        <v>4500</v>
      </c>
      <c r="E17" t="inlineStr">
        <is>
          <t>Lohith Reddy</t>
        </is>
      </c>
      <c r="F17" t="inlineStr">
        <is>
          <t>✅ PAID</t>
        </is>
      </c>
      <c r="G17" t="inlineStr">
        <is>
          <t>Capital payment — from main budget — transferred to different account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t="inlineStr">
        <is>
          <t>Payment to Previous Owner — Jun 5</t>
        </is>
      </c>
      <c r="C22" s="266" t="n">
        <v>46178</v>
      </c>
      <c r="D22" t="n">
        <v>30000</v>
      </c>
      <c r="E22" t="inlineStr">
        <is>
          <t>Lohith Reddy</t>
        </is>
      </c>
      <c r="F22" t="inlineStr">
        <is>
          <t>✅ PAID</t>
        </is>
      </c>
      <c r="G22" t="inlineStr">
        <is>
          <t>Transfer — 5 Jun 2026</t>
        </is>
      </c>
    </row>
    <row r="23">
      <c r="B23" s="17" t="inlineStr">
        <is>
          <t>Balance Remaining</t>
        </is>
      </c>
      <c r="C23" s="18" t="n"/>
      <c r="D23" s="19">
        <f>D13-SUM(D14:D22)</f>
        <v/>
      </c>
      <c r="E23" s="17" t="inlineStr">
        <is>
          <t>—</t>
        </is>
      </c>
      <c r="F23" s="17" t="inlineStr">
        <is>
          <t>⏳ PENDING</t>
        </is>
      </c>
      <c r="G23" s="17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D27/390000</f>
        <v/>
      </c>
      <c r="F27" s="20">
        <f>D27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D28/390000</f>
        <v/>
      </c>
      <c r="F28" s="21">
        <f>D27+D28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390000-D27-D28</f>
        <v/>
      </c>
      <c r="E29" s="3">
        <f>D29/390000</f>
        <v/>
      </c>
      <c r="F29" s="20">
        <f>D27+D28+D29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D30/390000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" t="inlineStr">
        <is>
          <t>Mercado Pago Terminal</t>
        </is>
      </c>
      <c r="D36" t="n">
        <v>500</v>
      </c>
      <c r="E36" t="inlineStr">
        <is>
          <t>Soft App</t>
        </is>
      </c>
      <c r="F36" t="inlineStr">
        <is>
          <t>POS Hardware</t>
        </is>
      </c>
      <c r="G36" t="inlineStr">
        <is>
          <t>MP card terminal fee</t>
        </is>
      </c>
    </row>
    <row r="37" ht="22.05" customHeight="1" s="186">
      <c r="B37" s="23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23" t="n"/>
      <c r="C41" s="24" t="n"/>
      <c r="D41" s="25" t="n"/>
      <c r="E41" s="23" t="n"/>
      <c r="F41" s="23" t="n"/>
      <c r="G41" s="23" t="n"/>
    </row>
    <row r="42" ht="19.95" customHeight="1" s="186">
      <c r="B42" s="195" t="inlineStr">
        <is>
          <t>KASHIGOUD TOTAL</t>
        </is>
      </c>
      <c r="C42" s="229" t="n"/>
      <c r="D42" s="198">
        <f>SUM(D34:D41)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6" t="inlineStr">
        <is>
          <t>Alejandra — Documentation Asst.</t>
        </is>
      </c>
      <c r="D49" t="n">
        <v>3000</v>
      </c>
      <c r="E49" t="inlineStr">
        <is>
          <t>Alejandra</t>
        </is>
      </c>
      <c r="F49" t="inlineStr">
        <is>
          <t>Professional Services</t>
        </is>
      </c>
      <c r="G49" t="inlineStr">
        <is>
          <t>Documentation &amp; assistance — pre-opening</t>
        </is>
      </c>
    </row>
    <row r="50" ht="22.05" customHeight="1" s="186">
      <c r="B50" s="23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23" t="n"/>
      <c r="C54" s="24" t="n"/>
      <c r="D54" s="25" t="n"/>
      <c r="E54" s="23" t="n"/>
      <c r="F54" s="23" t="n"/>
      <c r="G54" s="23" t="n"/>
    </row>
    <row r="55" ht="19.95" customHeight="1" s="186">
      <c r="B55" s="195" t="inlineStr">
        <is>
          <t>LOHITH TOTAL</t>
        </is>
      </c>
      <c r="C55" s="229" t="n"/>
      <c r="D55" s="198">
        <f>SUM(D46:D54)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" t="inlineStr">
        <is>
          <t>Transfer to Lohith Reddy (capital allocation)</t>
        </is>
      </c>
      <c r="C59" s="13" t="n"/>
      <c r="D59" s="4" t="n">
        <v>100000</v>
      </c>
      <c r="E59" s="2" t="inlineStr">
        <is>
          <t>Bank → Lohith</t>
        </is>
      </c>
      <c r="F59" s="2" t="inlineStr">
        <is>
          <t>Internal Transfer</t>
        </is>
      </c>
      <c r="G59" s="2" t="inlineStr">
        <is>
          <t>For acquisition &amp; expenses</t>
        </is>
      </c>
    </row>
    <row r="60">
      <c r="B60" s="23" t="inlineStr">
        <is>
          <t>Temu items</t>
        </is>
      </c>
      <c r="C60" s="24" t="n"/>
      <c r="D60" s="25" t="n">
        <v>2646</v>
      </c>
      <c r="E60" s="23" t="inlineStr">
        <is>
          <t>Temu</t>
        </is>
      </c>
      <c r="F60" s="23" t="inlineStr">
        <is>
          <t>Equipment / Supplies</t>
        </is>
      </c>
      <c r="G60" s="23" t="inlineStr">
        <is>
          <t>Temu items — restaurant supplies &amp; equipment</t>
        </is>
      </c>
    </row>
    <row r="61" ht="25.95" customHeight="1" s="186">
      <c r="B61" s="23" t="inlineStr">
        <is>
          <t>Board games for restaurant ambiance</t>
        </is>
      </c>
      <c r="D61" t="n">
        <v>745</v>
      </c>
      <c r="E61" t="inlineStr">
        <is>
          <t>Various</t>
        </is>
      </c>
      <c r="F61" t="inlineStr">
        <is>
          <t>Equipment / Decor</t>
        </is>
      </c>
      <c r="G61" t="inlineStr">
        <is>
          <t>Board games for restaurant ambiance</t>
        </is>
      </c>
    </row>
    <row r="62" ht="22.05" customHeight="1" s="186">
      <c r="B62" s="23" t="inlineStr">
        <is>
          <t>Special menu board</t>
        </is>
      </c>
      <c r="C62" s="196" t="n"/>
      <c r="D62" s="196" t="n">
        <v>204</v>
      </c>
      <c r="E62" s="196" t="inlineStr">
        <is>
          <t>Sign Maker</t>
        </is>
      </c>
      <c r="F62" s="196" t="inlineStr">
        <is>
          <t>Branding / Signage</t>
        </is>
      </c>
      <c r="G62" s="196" t="inlineStr">
        <is>
          <t>Special menu board</t>
        </is>
      </c>
      <c r="H62" s="197" t="n"/>
    </row>
    <row r="63" ht="19.95" customHeight="1" s="186">
      <c r="B63" s="23" t="inlineStr">
        <is>
          <t>Logo and sticker printing</t>
        </is>
      </c>
      <c r="C63" s="24" t="n"/>
      <c r="D63" s="25" t="n">
        <v>845</v>
      </c>
      <c r="E63" s="23" t="inlineStr">
        <is>
          <t>Print Shop</t>
        </is>
      </c>
      <c r="F63" s="23" t="inlineStr">
        <is>
          <t>Branding / Signage</t>
        </is>
      </c>
      <c r="G63" s="23" t="inlineStr">
        <is>
          <t>Logo and sticker printing</t>
        </is>
      </c>
    </row>
    <row r="64" ht="19.95" customHeight="1" s="186">
      <c r="B64" s="23" t="inlineStr">
        <is>
          <t>Sign boards, stationary, other decor</t>
        </is>
      </c>
      <c r="C64" s="24" t="n"/>
      <c r="D64" s="25" t="n">
        <v>1555</v>
      </c>
      <c r="E64" s="23" t="inlineStr">
        <is>
          <t>China Shop</t>
        </is>
      </c>
      <c r="F64" s="23" t="inlineStr">
        <is>
          <t>Decor / Signage</t>
        </is>
      </c>
      <c r="G64" s="23" t="inlineStr">
        <is>
          <t>Sign boards, stationary, other decor</t>
        </is>
      </c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s="23" t="n"/>
      <c r="C66" s="24" t="n"/>
      <c r="D66" s="25" t="n"/>
      <c r="E66" s="23" t="n"/>
      <c r="F66" s="23" t="n"/>
      <c r="G66" s="23" t="n"/>
    </row>
    <row r="67" ht="19.95" customHeight="1" s="186">
      <c r="B67" t="inlineStr">
        <is>
          <t>Logo Box Repair / Fix</t>
        </is>
      </c>
      <c r="C67" s="184" t="n">
        <v>46176</v>
      </c>
      <c r="D67" t="n">
        <v>900</v>
      </c>
      <c r="E67" t="inlineStr">
        <is>
          <t>Supplier</t>
        </is>
      </c>
      <c r="F67" t="inlineStr">
        <is>
          <t>Branding / Signage</t>
        </is>
      </c>
      <c r="G67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>
        <f>SUM(D59:D67)</f>
        <v/>
      </c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</t>
        </is>
      </c>
      <c r="C72" s="223">
        <f>SUM(D6:D8)</f>
        <v/>
      </c>
      <c r="D72" s="215" t="n"/>
      <c r="E72" s="228" t="inlineStr">
        <is>
          <t>100% of committed capital</t>
        </is>
      </c>
    </row>
    <row r="73" ht="19.95" customHeight="1" s="186">
      <c r="B73" s="230" t="inlineStr">
        <is>
          <t>Acquisition Total</t>
        </is>
      </c>
      <c r="C73" s="246">
        <f>D13</f>
        <v/>
      </c>
      <c r="D73" s="231">
        <f>C73/C72</f>
        <v/>
      </c>
      <c r="E73" s="230" t="inlineStr">
        <is>
          <t>To be paid to previous owners</t>
        </is>
      </c>
    </row>
    <row r="74">
      <c r="B74" s="228" t="inlineStr">
        <is>
          <t>Advance Paid</t>
        </is>
      </c>
      <c r="C74" s="223">
        <f>D14</f>
        <v/>
      </c>
      <c r="D74" s="215">
        <f>C74/C72</f>
        <v/>
      </c>
      <c r="E74" s="228" t="inlineStr">
        <is>
          <t>✅ Already paid</t>
        </is>
      </c>
    </row>
    <row r="75">
      <c r="B75" s="230" t="inlineStr">
        <is>
          <t>Balance Remaining</t>
        </is>
      </c>
      <c r="C75" s="246">
        <f>D23</f>
        <v/>
      </c>
      <c r="D75" s="231">
        <f>C75/C72</f>
        <v/>
      </c>
      <c r="E75" s="230" t="inlineStr">
        <is>
          <t>⏳ Pending — funded by transfers</t>
        </is>
      </c>
    </row>
    <row r="76">
      <c r="B76" s="228" t="inlineStr">
        <is>
          <t>Kashi Ops (excl tr)</t>
        </is>
      </c>
      <c r="C76" s="223">
        <f>SUM(D35:D36)</f>
        <v/>
      </c>
      <c r="D76" s="215">
        <f>C76/C72</f>
        <v/>
      </c>
      <c r="E76" s="228" t="inlineStr">
        <is>
          <t>Soft license + terminal</t>
        </is>
      </c>
    </row>
    <row r="77">
      <c r="B77" s="230" t="inlineStr">
        <is>
          <t>Kashi Transfer</t>
        </is>
      </c>
      <c r="C77" s="246">
        <f>D34</f>
        <v/>
      </c>
      <c r="D77" s="231">
        <f>C77/C72</f>
        <v/>
      </c>
      <c r="E77" s="230" t="n"/>
    </row>
    <row r="78">
      <c r="B78" s="228" t="inlineStr">
        <is>
          <t>Lohith Pre-Opening</t>
        </is>
      </c>
      <c r="C78" s="223">
        <f>D55</f>
        <v/>
      </c>
      <c r="D78" s="215">
        <f>C78/C72</f>
        <v/>
      </c>
      <c r="E78" s="228" t="inlineStr">
        <is>
          <t>Advance + Notary + Poliza + Alejandra</t>
        </is>
      </c>
    </row>
    <row r="79">
      <c r="B79" s="230" t="inlineStr">
        <is>
          <t>Shashi Transfer</t>
        </is>
      </c>
      <c r="C79" s="246">
        <f>D59</f>
        <v/>
      </c>
      <c r="D79" s="231">
        <f>C79/C72</f>
        <v/>
      </c>
      <c r="E79" s="230" t="n"/>
    </row>
    <row r="80">
      <c r="B80" s="228" t="inlineStr">
        <is>
          <t>Shashi Other Exp</t>
        </is>
      </c>
      <c r="C80" s="223">
        <f>SUM(D60:D67)</f>
        <v/>
      </c>
      <c r="D80" s="215">
        <f>C80/C72</f>
        <v/>
      </c>
      <c r="E80" s="228" t="inlineStr">
        <is>
          <t>Yellow rows above</t>
        </is>
      </c>
    </row>
    <row r="81">
      <c r="B81" s="195" t="inlineStr">
        <is>
          <t>Total Cash Out</t>
        </is>
      </c>
      <c r="C81" s="198">
        <f>C73+C76+C78+C80</f>
        <v/>
      </c>
      <c r="D81" s="213">
        <f>C81/C72</f>
        <v/>
      </c>
      <c r="E81" s="195" t="inlineStr">
        <is>
          <t>Actual cash leaving the partnership</t>
        </is>
      </c>
    </row>
    <row r="82">
      <c r="B82" s="195" t="inlineStr">
        <is>
          <t>Remaining Budget</t>
        </is>
      </c>
      <c r="C82" s="198">
        <f>C72-C81</f>
        <v/>
      </c>
      <c r="D82" s="213">
        <f>C82/C72</f>
        <v/>
      </c>
      <c r="E82" s="195" t="n"/>
    </row>
    <row r="84">
      <c r="B84" t="inlineStr">
        <is>
          <t xml:space="preserve">  G.  REMAINING TRANSFERS DUE TO LOHITH REDDY</t>
        </is>
      </c>
      <c r="C84" t="inlineStr">
        <is>
          <t xml:space="preserve">  G.  REMAINING TRANSFERS DUE TO LOHITH REDDY</t>
        </is>
      </c>
      <c r="D84" t="inlineStr">
        <is>
          <t xml:space="preserve">  G.  REMAINING TRANSFERS DUE TO LOHITH REDDY</t>
        </is>
      </c>
      <c r="E84" t="inlineStr">
        <is>
          <t xml:space="preserve">  G.  REMAINING TRANSFERS DUE TO LOHITH REDDY</t>
        </is>
      </c>
      <c r="F84" t="inlineStr">
        <is>
          <t xml:space="preserve">  G.  REMAINING TRANSFERS DUE TO LOHITH REDDY</t>
        </is>
      </c>
      <c r="G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D7</f>
        <v/>
      </c>
      <c r="D86">
        <f>D34</f>
        <v/>
      </c>
      <c r="E86">
        <f>SUM(D35:D41)</f>
        <v/>
      </c>
      <c r="F86">
        <f>C86-D86-E86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D8</f>
        <v/>
      </c>
      <c r="D87">
        <f>D59</f>
        <v/>
      </c>
      <c r="E87">
        <f>SUM(D60:D67)</f>
        <v/>
      </c>
      <c r="F87">
        <f>C87-D87-E87</f>
        <v/>
      </c>
      <c r="G87" t="inlineStr">
        <is>
          <t>⏳ PENDING</t>
        </is>
      </c>
    </row>
    <row r="88">
      <c r="B88" t="inlineStr">
        <is>
          <t>TOTAL</t>
        </is>
      </c>
      <c r="C88">
        <f>C86+C87</f>
        <v/>
      </c>
      <c r="D88">
        <f>D86+D87</f>
        <v/>
      </c>
      <c r="E88">
        <f>E86+E87</f>
        <v/>
      </c>
      <c r="F88">
        <f>F86+F87</f>
        <v/>
      </c>
    </row>
    <row r="90">
      <c r="B90" t="inlineStr">
        <is>
          <t xml:space="preserve">  H.  ACQUISITION PAYMENT — SPLIT BY OWNERSHIP SHARE  ($385,000 BALANCE DUE)</t>
        </is>
      </c>
      <c r="C90" t="inlineStr">
        <is>
          <t xml:space="preserve">  H.  ACQUISITION PAYMENT — SPLIT BY OWNERSHIP SHARE  ($385,000 BALANCE DUE)</t>
        </is>
      </c>
      <c r="D90" t="inlineStr">
        <is>
          <t xml:space="preserve">  H.  ACQUISITION PAYMENT — SPLIT BY OWNERSHIP SHARE  ($385,000 BALANCE DUE)</t>
        </is>
      </c>
      <c r="E90" t="inlineStr">
        <is>
          <t xml:space="preserve">  H.  ACQUISITION PAYMENT — SPLIT BY OWNERSHIP SHARE  ($385,000 BALANCE DUE)</t>
        </is>
      </c>
      <c r="F90" t="inlineStr">
        <is>
          <t xml:space="preserve">  H.  ACQUISITION PAYMENT — SPLIT BY OWNERSHIP SHARE  ($385,000 BALANCE DUE)</t>
        </is>
      </c>
      <c r="G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>
        <f>C6</f>
        <v/>
      </c>
      <c r="D92">
        <f>C92*D13</f>
        <v/>
      </c>
      <c r="E92">
        <f>D14</f>
        <v/>
      </c>
      <c r="F92">
        <f>D92-E92</f>
        <v/>
      </c>
      <c r="G92">
        <f>E83-F83</f>
        <v/>
      </c>
    </row>
    <row r="93">
      <c r="B93" t="inlineStr">
        <is>
          <t>Kashigoud Patil</t>
        </is>
      </c>
      <c r="C93">
        <f>C7</f>
        <v/>
      </c>
      <c r="D93">
        <f>C93*D13</f>
        <v/>
      </c>
      <c r="E93" t="n">
        <v>0</v>
      </c>
      <c r="F93">
        <f>D93-E93</f>
        <v/>
      </c>
      <c r="G93">
        <f>E84-F84</f>
        <v/>
      </c>
    </row>
    <row r="94">
      <c r="B94" t="inlineStr">
        <is>
          <t>Shashirekha Basavaraju</t>
        </is>
      </c>
      <c r="C94">
        <f>C8</f>
        <v/>
      </c>
      <c r="D94">
        <f>C94*D13</f>
        <v/>
      </c>
      <c r="E94" t="n">
        <v>0</v>
      </c>
      <c r="F94">
        <f>D94-E94</f>
        <v/>
      </c>
      <c r="G94">
        <f>E85-F85</f>
        <v/>
      </c>
    </row>
    <row r="95">
      <c r="B95" t="inlineStr">
        <is>
          <t>TOTAL</t>
        </is>
      </c>
      <c r="C95" t="n">
        <v>1</v>
      </c>
      <c r="D95">
        <f>D92+D93+D94</f>
        <v/>
      </c>
      <c r="E95">
        <f>E92+E93+E94</f>
        <v/>
      </c>
      <c r="F95">
        <f>F92+F93+F94</f>
        <v/>
      </c>
      <c r="G95">
        <f>G83+G84+G85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inlineStr">
        <is>
          <t>06-Jun-2026</t>
        </is>
      </c>
      <c r="C27" s="74" t="inlineStr">
        <is>
          <t>Sat</t>
        </is>
      </c>
      <c r="D27" s="75" t="n">
        <v>580</v>
      </c>
      <c r="E27" s="76" t="n">
        <v>1754</v>
      </c>
      <c r="F27" s="77">
        <f>IFERROR(D27+E27+G27,0)</f>
        <v/>
      </c>
      <c r="G27" s="78" t="n"/>
      <c r="H27" s="79" t="n">
        <v>5414</v>
      </c>
      <c r="I27" s="80">
        <f>IFERROR(F27-H27,0)</f>
        <v/>
      </c>
      <c r="J27" s="81">
        <f>IFERROR(I27/F27,0)</f>
        <v/>
      </c>
      <c r="K27" s="82" t="n"/>
      <c r="L27" s="45" t="inlineStr">
        <is>
          <t>Manual Bills</t>
        </is>
      </c>
      <c r="M27" s="48" t="n"/>
      <c r="N27" s="83" t="n"/>
      <c r="O27" s="84" t="n"/>
      <c r="P27" s="85" t="n"/>
      <c r="Q27" s="83" t="n"/>
    </row>
    <row r="28" ht="16.5" customHeight="1" s="186">
      <c r="B28" s="61" t="inlineStr">
        <is>
          <t>07-Jun-2026</t>
        </is>
      </c>
      <c r="C28" s="62" t="inlineStr">
        <is>
          <t>Sun</t>
        </is>
      </c>
      <c r="D28" s="63" t="n"/>
      <c r="E28" s="64" t="n"/>
      <c r="F28" s="65" t="n">
        <v>0</v>
      </c>
      <c r="G28" s="66" t="n"/>
      <c r="H28" s="67" t="n">
        <v>1671</v>
      </c>
      <c r="I28" s="68">
        <f>IFERROR(F28-H28,0)</f>
        <v/>
      </c>
      <c r="J28" s="69" t="n"/>
      <c r="K28" s="70" t="n"/>
      <c r="L28" s="36" t="inlineStr">
        <is>
          <t>Manual Bills</t>
        </is>
      </c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Lohith</t>
        </is>
      </c>
      <c r="H186" s="41" t="inlineStr">
        <is>
          <t>Personal</t>
        </is>
      </c>
      <c r="I186" s="70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Lohith</t>
        </is>
      </c>
      <c r="H187" s="50" t="inlineStr">
        <is>
          <t>Personal</t>
        </is>
      </c>
      <c r="I187" s="82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>
        <v>46179</v>
      </c>
      <c r="C195" s="96" t="inlineStr">
        <is>
          <t>John — Salary Parcial Week 3 (Sat)</t>
        </is>
      </c>
      <c r="D195" s="95" t="inlineStr">
        <is>
          <t>Nomina</t>
        </is>
      </c>
      <c r="E195" s="96" t="inlineStr">
        <is>
          <t>Staff - Salary</t>
        </is>
      </c>
      <c r="F195" s="97" t="n">
        <v>2500</v>
      </c>
      <c r="G195" s="50" t="inlineStr">
        <is>
          <t>Restaurant</t>
        </is>
      </c>
      <c r="H195" s="50" t="inlineStr">
        <is>
          <t>Cash</t>
        </is>
      </c>
      <c r="I195" s="82" t="inlineStr">
        <is>
          <t>✅ Paid</t>
        </is>
      </c>
      <c r="J195" t="inlineStr">
        <is>
          <t>Week 3 partial — $1,250 balance due Mon 8 Jun</t>
        </is>
      </c>
    </row>
    <row r="196">
      <c r="B196" s="91" t="n">
        <v>46179</v>
      </c>
      <c r="C196" s="92" t="inlineStr">
        <is>
          <t>Debi — Salary Parcial Week 3 (Sat)</t>
        </is>
      </c>
      <c r="D196" s="93" t="inlineStr">
        <is>
          <t>Nomina</t>
        </is>
      </c>
      <c r="E196" s="92" t="inlineStr">
        <is>
          <t>Staff - Salary</t>
        </is>
      </c>
      <c r="F196" s="94" t="n">
        <v>1000</v>
      </c>
      <c r="G196" s="41" t="inlineStr">
        <is>
          <t>Restaurant</t>
        </is>
      </c>
      <c r="H196" s="41" t="inlineStr">
        <is>
          <t>Cash</t>
        </is>
      </c>
      <c r="I196" s="70" t="inlineStr">
        <is>
          <t>✅ Paid</t>
        </is>
      </c>
      <c r="J196" t="inlineStr">
        <is>
          <t>Week 3 partial — $500 balance due Mon 8 Jun</t>
        </is>
      </c>
    </row>
    <row r="197">
      <c r="B197" s="91" t="n">
        <v>46179</v>
      </c>
      <c r="C197" s="96" t="inlineStr">
        <is>
          <t>Judith — Salary Parcial Week 3 (Sat)</t>
        </is>
      </c>
      <c r="D197" s="95" t="inlineStr">
        <is>
          <t>Nomina</t>
        </is>
      </c>
      <c r="E197" s="96" t="inlineStr">
        <is>
          <t>Staff - Salary</t>
        </is>
      </c>
      <c r="F197" s="97" t="n">
        <v>1500</v>
      </c>
      <c r="G197" s="50" t="inlineStr">
        <is>
          <t>Restaurant</t>
        </is>
      </c>
      <c r="H197" s="50" t="inlineStr">
        <is>
          <t>Cash</t>
        </is>
      </c>
      <c r="I197" s="82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91" t="n">
        <v>46181</v>
      </c>
      <c r="C198" s="92" t="inlineStr">
        <is>
          <t>John — Salary Balance Week 3 (Mon)</t>
        </is>
      </c>
      <c r="D198" s="93" t="inlineStr">
        <is>
          <t>Nomina</t>
        </is>
      </c>
      <c r="E198" s="92" t="inlineStr">
        <is>
          <t>Staff - Salary</t>
        </is>
      </c>
      <c r="F198" s="94" t="n">
        <v>1250</v>
      </c>
      <c r="G198" s="41" t="inlineStr">
        <is>
          <t>Restaurant</t>
        </is>
      </c>
      <c r="H198" s="41" t="inlineStr">
        <is>
          <t>Cash</t>
        </is>
      </c>
      <c r="I198" s="70" t="inlineStr">
        <is>
          <t>⏳ Pending</t>
        </is>
      </c>
      <c r="J198" t="inlineStr">
        <is>
          <t>Week 3 balance — to pay Mon 8 Jun</t>
        </is>
      </c>
    </row>
    <row r="199">
      <c r="B199" s="91" t="n">
        <v>46181</v>
      </c>
      <c r="C199" s="96" t="inlineStr">
        <is>
          <t>Debi — Salary Balance Week 3 (Mon)</t>
        </is>
      </c>
      <c r="D199" s="95" t="inlineStr">
        <is>
          <t>Nomina</t>
        </is>
      </c>
      <c r="E199" s="96" t="inlineStr">
        <is>
          <t>Staff - Salary</t>
        </is>
      </c>
      <c r="F199" s="97" t="n">
        <v>500</v>
      </c>
      <c r="G199" s="50" t="inlineStr">
        <is>
          <t>Restaurant</t>
        </is>
      </c>
      <c r="H199" s="50" t="inlineStr">
        <is>
          <t>Cash</t>
        </is>
      </c>
      <c r="I199" s="82" t="inlineStr">
        <is>
          <t>⏳ Pending</t>
        </is>
      </c>
      <c r="J199" t="inlineStr">
        <is>
          <t>Week 3 balance — to pay Mon 8 Jun</t>
        </is>
      </c>
    </row>
    <row r="200">
      <c r="B200" s="91" t="n">
        <v>46181</v>
      </c>
      <c r="C200" s="92" t="inlineStr">
        <is>
          <t>Judith — Salary Balance Week 3 (Mon)</t>
        </is>
      </c>
      <c r="D200" s="93" t="inlineStr">
        <is>
          <t>Nomina</t>
        </is>
      </c>
      <c r="E200" s="92" t="inlineStr">
        <is>
          <t>Staff - Salary</t>
        </is>
      </c>
      <c r="F200" s="94" t="n">
        <v>166.65</v>
      </c>
      <c r="G200" s="41" t="inlineStr">
        <is>
          <t>Restaurant</t>
        </is>
      </c>
      <c r="H200" s="41" t="inlineStr">
        <is>
          <t>Cash</t>
        </is>
      </c>
      <c r="I200" s="70" t="inlineStr">
        <is>
          <t>⏳ Pending</t>
        </is>
      </c>
      <c r="J200" t="inlineStr">
        <is>
          <t>Week 3 balance — to pay Mon 8 Jun (0.5 day)</t>
        </is>
      </c>
    </row>
    <row r="201">
      <c r="B201" s="91" t="n">
        <v>46179</v>
      </c>
      <c r="C201" s="96" t="inlineStr">
        <is>
          <t>Aceite La Posada 800 (4 units, 2x1 promo)</t>
        </is>
      </c>
      <c r="D201" s="95" t="inlineStr">
        <is>
          <t>OXXO Pathe QRF</t>
        </is>
      </c>
      <c r="E201" s="96" t="inlineStr">
        <is>
          <t>Ingredients - Pantry</t>
        </is>
      </c>
      <c r="F201" s="97" t="n">
        <v>104</v>
      </c>
      <c r="G201" s="50" t="inlineStr">
        <is>
          <t>Restaurant</t>
        </is>
      </c>
      <c r="H201" s="50" t="inlineStr">
        <is>
          <t>Cash</t>
        </is>
      </c>
      <c r="I201" s="82" t="inlineStr">
        <is>
          <t>✅ Paid</t>
        </is>
      </c>
      <c r="J201" t="inlineStr">
        <is>
          <t>4 units, -$23.60 discount — paid $120 cash, change $16</t>
        </is>
      </c>
    </row>
    <row r="202">
      <c r="B202" s="91" t="n">
        <v>46179</v>
      </c>
      <c r="C202" s="92" t="inlineStr">
        <is>
          <t>Compra Miscelanea Producto Real II</t>
        </is>
      </c>
      <c r="D202" s="93" t="inlineStr">
        <is>
          <t>Misc Producto Real II</t>
        </is>
      </c>
      <c r="E202" s="92" t="inlineStr">
        <is>
          <t>Ingredients - Pantry</t>
        </is>
      </c>
      <c r="F202" s="94" t="n">
        <v>260</v>
      </c>
      <c r="G202" s="41" t="inlineStr">
        <is>
          <t>Restaurant</t>
        </is>
      </c>
      <c r="H202" s="41" t="inlineStr">
        <is>
          <t>Card</t>
        </is>
      </c>
      <c r="I202" s="70" t="inlineStr">
        <is>
          <t>✅ Paid</t>
        </is>
      </c>
      <c r="J202" t="inlineStr">
        <is>
          <t>Mastercard Debit ••••3982 — 06/06/2026 11:47</t>
        </is>
      </c>
    </row>
    <row r="203">
      <c r="B203" s="91" t="n">
        <v>46179</v>
      </c>
      <c r="C203" s="96" t="inlineStr">
        <is>
          <t>Hielo (2 paquetes)</t>
        </is>
      </c>
      <c r="D203" s="95" t="inlineStr">
        <is>
          <t>—</t>
        </is>
      </c>
      <c r="E203" s="96" t="inlineStr">
        <is>
          <t>Supplies / Other</t>
        </is>
      </c>
      <c r="F203" s="97" t="n">
        <v>50</v>
      </c>
      <c r="G203" s="50" t="inlineStr">
        <is>
          <t>Restaurant</t>
        </is>
      </c>
      <c r="H203" s="50" t="inlineStr">
        <is>
          <t>Cash</t>
        </is>
      </c>
      <c r="I203" s="82" t="inlineStr">
        <is>
          <t>✅ Paid</t>
        </is>
      </c>
      <c r="J203" t="inlineStr">
        <is>
          <t>No bill — 2 ice packets</t>
        </is>
      </c>
    </row>
    <row r="204">
      <c r="B204" s="91" t="n">
        <v>46180</v>
      </c>
      <c r="C204" s="92" t="inlineStr">
        <is>
          <t>Frutas y Legumbres variadas (Calabaza, Zanahoria, Limon, Cebolla, Papaya)</t>
        </is>
      </c>
      <c r="D204" s="93" t="inlineStr">
        <is>
          <t>Frutas y Legumbres El Compita</t>
        </is>
      </c>
      <c r="E204" s="92" t="inlineStr">
        <is>
          <t>Ingredients - Fruit</t>
        </is>
      </c>
      <c r="F204" s="94" t="n">
        <v>312</v>
      </c>
      <c r="G204" s="41" t="inlineStr">
        <is>
          <t>Restaurant</t>
        </is>
      </c>
      <c r="H204" s="41" t="inlineStr">
        <is>
          <t>Cash</t>
        </is>
      </c>
      <c r="I204" s="70" t="inlineStr">
        <is>
          <t>✅ Paid</t>
        </is>
      </c>
      <c r="J204" t="inlineStr">
        <is>
          <t>Mercado de Abastos — various produce</t>
        </is>
      </c>
    </row>
    <row r="205">
      <c r="B205" s="91" t="n">
        <v>46180</v>
      </c>
      <c r="C205" s="96" t="inlineStr">
        <is>
          <t>Chile de Arbol Suelto (2 kg)</t>
        </is>
      </c>
      <c r="D205" s="95" t="inlineStr">
        <is>
          <t>Los Morros II</t>
        </is>
      </c>
      <c r="E205" s="96" t="inlineStr">
        <is>
          <t>Ingredients - Vegetables</t>
        </is>
      </c>
      <c r="F205" s="97" t="n">
        <v>240</v>
      </c>
      <c r="G205" s="50" t="inlineStr">
        <is>
          <t>Restaurant</t>
        </is>
      </c>
      <c r="H205" s="50" t="inlineStr">
        <is>
          <t>Cash</t>
        </is>
      </c>
      <c r="I205" s="82" t="inlineStr">
        <is>
          <t>✅ Paid</t>
        </is>
      </c>
      <c r="J205" t="inlineStr">
        <is>
          <t>2 kg × $120/kg — 07/06/2026 11:53</t>
        </is>
      </c>
    </row>
    <row r="206">
      <c r="B206" s="91" t="n">
        <v>46180</v>
      </c>
      <c r="C206" s="92" t="inlineStr">
        <is>
          <t>Papas</t>
        </is>
      </c>
      <c r="D206" s="93" t="inlineStr">
        <is>
          <t>—</t>
        </is>
      </c>
      <c r="E206" s="92" t="inlineStr">
        <is>
          <t>Ingredients - Vegetables</t>
        </is>
      </c>
      <c r="F206" s="94" t="n">
        <v>200</v>
      </c>
      <c r="G206" s="41" t="inlineStr">
        <is>
          <t>Restaurant</t>
        </is>
      </c>
      <c r="H206" s="41" t="inlineStr">
        <is>
          <t>Cash</t>
        </is>
      </c>
      <c r="I206" s="70" t="inlineStr">
        <is>
          <t>✅ Paid</t>
        </is>
      </c>
      <c r="J206" t="inlineStr">
        <is>
          <t>No bill</t>
        </is>
      </c>
    </row>
    <row r="207">
      <c r="B207" s="91" t="n">
        <v>46180</v>
      </c>
      <c r="C207" s="96" t="inlineStr">
        <is>
          <t>Sandia y Jicama</t>
        </is>
      </c>
      <c r="D207" s="95" t="inlineStr">
        <is>
          <t>—</t>
        </is>
      </c>
      <c r="E207" s="96" t="inlineStr">
        <is>
          <t>Ingredients - Fruit</t>
        </is>
      </c>
      <c r="F207" s="97" t="n">
        <v>193</v>
      </c>
      <c r="G207" s="50" t="inlineStr">
        <is>
          <t>Restaurant</t>
        </is>
      </c>
      <c r="H207" s="50" t="inlineStr">
        <is>
          <t>Cash</t>
        </is>
      </c>
      <c r="I207" s="82" t="inlineStr">
        <is>
          <t>✅ Paid</t>
        </is>
      </c>
      <c r="J207" t="inlineStr">
        <is>
          <t>No bill</t>
        </is>
      </c>
    </row>
    <row r="208">
      <c r="B208" s="91" t="n">
        <v>46180</v>
      </c>
      <c r="C208" s="92" t="inlineStr">
        <is>
          <t>Pepino</t>
        </is>
      </c>
      <c r="D208" s="93" t="inlineStr">
        <is>
          <t>—</t>
        </is>
      </c>
      <c r="E208" s="92" t="inlineStr">
        <is>
          <t>Ingredients - Vegetables</t>
        </is>
      </c>
      <c r="F208" s="94" t="n">
        <v>112</v>
      </c>
      <c r="G208" s="41" t="inlineStr">
        <is>
          <t>Restaurant</t>
        </is>
      </c>
      <c r="H208" s="41" t="inlineStr">
        <is>
          <t>Cash</t>
        </is>
      </c>
      <c r="I208" s="70" t="inlineStr">
        <is>
          <t>✅ Paid</t>
        </is>
      </c>
      <c r="J208" t="inlineStr">
        <is>
          <t>No bill</t>
        </is>
      </c>
    </row>
    <row r="209">
      <c r="B209" s="91" t="n">
        <v>46180</v>
      </c>
      <c r="C209" s="96" t="inlineStr">
        <is>
          <t>Tomate Verde</t>
        </is>
      </c>
      <c r="D209" s="95" t="inlineStr">
        <is>
          <t>—</t>
        </is>
      </c>
      <c r="E209" s="96" t="inlineStr">
        <is>
          <t>Ingredients - Vegetables</t>
        </is>
      </c>
      <c r="F209" s="97" t="n">
        <v>55</v>
      </c>
      <c r="G209" s="50" t="inlineStr">
        <is>
          <t>Restaurant</t>
        </is>
      </c>
      <c r="H209" s="50" t="inlineStr">
        <is>
          <t>Cash</t>
        </is>
      </c>
      <c r="I209" s="82" t="inlineStr">
        <is>
          <t>✅ Paid</t>
        </is>
      </c>
      <c r="J209" t="inlineStr">
        <is>
          <t>No bill</t>
        </is>
      </c>
    </row>
    <row r="210">
      <c r="B210" s="91" t="n">
        <v>46180</v>
      </c>
      <c r="C210" s="92" t="inlineStr">
        <is>
          <t>Lechuga, Espinaca, Cilantro, Jengibre, Habanero</t>
        </is>
      </c>
      <c r="D210" s="93" t="inlineStr">
        <is>
          <t>—</t>
        </is>
      </c>
      <c r="E210" s="92" t="inlineStr">
        <is>
          <t>Ingredients - Vegetables</t>
        </is>
      </c>
      <c r="F210" s="94" t="n">
        <v>328</v>
      </c>
      <c r="G210" s="41" t="inlineStr">
        <is>
          <t>Restaurant</t>
        </is>
      </c>
      <c r="H210" s="41" t="inlineStr">
        <is>
          <t>Cash</t>
        </is>
      </c>
      <c r="I210" s="70" t="inlineStr">
        <is>
          <t>✅ Paid</t>
        </is>
      </c>
      <c r="J210" t="inlineStr">
        <is>
          <t>No bill</t>
        </is>
      </c>
    </row>
    <row r="211">
      <c r="B211" s="91" t="n">
        <v>46180</v>
      </c>
      <c r="C211" s="96" t="inlineStr">
        <is>
          <t>Chile Serrano</t>
        </is>
      </c>
      <c r="D211" s="95" t="inlineStr">
        <is>
          <t>—</t>
        </is>
      </c>
      <c r="E211" s="96" t="inlineStr">
        <is>
          <t>Ingredients - Vegetables</t>
        </is>
      </c>
      <c r="F211" s="97" t="n">
        <v>22</v>
      </c>
      <c r="G211" s="50" t="inlineStr">
        <is>
          <t>Restaurant</t>
        </is>
      </c>
      <c r="H211" s="50" t="inlineStr">
        <is>
          <t>Cash</t>
        </is>
      </c>
      <c r="I211" s="82" t="inlineStr">
        <is>
          <t>✅ Paid</t>
        </is>
      </c>
      <c r="J211" t="inlineStr">
        <is>
          <t>No bill</t>
        </is>
      </c>
    </row>
    <row r="212">
      <c r="B212" s="91" t="n">
        <v>46180</v>
      </c>
      <c r="C212" s="92" t="inlineStr">
        <is>
          <t>Tomate Roja</t>
        </is>
      </c>
      <c r="D212" s="93" t="inlineStr">
        <is>
          <t>—</t>
        </is>
      </c>
      <c r="E212" s="92" t="inlineStr">
        <is>
          <t>Ingredients - Vegetables</t>
        </is>
      </c>
      <c r="F212" s="94" t="n">
        <v>209</v>
      </c>
      <c r="G212" s="41" t="inlineStr">
        <is>
          <t>Restaurant</t>
        </is>
      </c>
      <c r="H212" s="41" t="inlineStr">
        <is>
          <t>Cash</t>
        </is>
      </c>
      <c r="I212" s="70" t="inlineStr">
        <is>
          <t>✅ Paid</t>
        </is>
      </c>
      <c r="J212" t="inlineStr">
        <is>
          <t>No bill</t>
        </is>
      </c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4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2000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6"/>
    <row r="57"/>
    <row r="58"/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s="266" t="n">
        <v>46177</v>
      </c>
      <c r="C68" t="inlineStr">
        <is>
          <t>Renta + Mantenimiento Junio 2026</t>
        </is>
      </c>
      <c r="D68" t="inlineStr">
        <is>
          <t>Expense - Personal</t>
        </is>
      </c>
      <c r="E68" t="n">
        <v>20000</v>
      </c>
      <c r="G68">
        <f>IFERROR(G67+E68-F68,0)</f>
        <v/>
      </c>
      <c r="H68" t="inlineStr">
        <is>
          <t>⏳ Reimburse</t>
        </is>
      </c>
      <c r="I68" t="inlineStr">
        <is>
          <t>Rent $15,000 + Maintenance $5,000 — paid personally by Lohith on 4 Jun</t>
        </is>
      </c>
    </row>
    <row r="69">
      <c r="B69" t="inlineStr">
        <is>
          <t>TOTALS &amp; CURRENT BALANCE</t>
        </is>
      </c>
      <c r="E69">
        <f>SUM(E59:E62)</f>
        <v/>
      </c>
      <c r="F69">
        <f>SUM(F59:F62)</f>
        <v/>
      </c>
      <c r="G69">
        <f>G68</f>
        <v/>
      </c>
      <c r="H69">
        <f>IF(G62&gt;0,"⏳ Restaurant owes Lohith",IF(G62&lt;0,"💵 Lohith holds restaurant funds","✅ Zero balance"))</f>
        <v/>
      </c>
    </row>
    <row r="70"/>
    <row r="71">
      <c r="B71" t="inlineStr">
        <is>
          <t>HOW TO USE:</t>
        </is>
      </c>
    </row>
    <row r="72">
      <c r="B72" t="inlineStr">
        <is>
          <t>Add new rows above TOTALS. Spent by Lohith = restaurant expenses he paid personally.</t>
        </is>
      </c>
    </row>
    <row r="73">
      <c r="B73" t="inlineStr">
        <is>
          <t>Transferred to Lohith = customer bank transfers received in his personal account.</t>
        </is>
      </c>
    </row>
    <row r="74">
      <c r="B74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2026-06-08T05:18:21Z</dcterms:modified>
  <cp:lastModifiedBy>LOHITH REDDY</cp:lastModifiedBy>
</cp:coreProperties>
</file>