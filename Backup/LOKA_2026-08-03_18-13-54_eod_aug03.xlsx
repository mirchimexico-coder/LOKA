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LOKA\"/>
    </mc:Choice>
  </mc:AlternateContent>
  <xr:revisionPtr revIDLastSave="0" documentId="13_ncr:1_{FC1A4574-4BCE-48B6-A598-B2873BA84F1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apital &amp; Ownership" sheetId="1" r:id="rId1"/>
    <sheet name="📊 Dashboard" sheetId="2" r:id="rId2"/>
    <sheet name="📅 Daily Log" sheetId="3" r:id="rId3"/>
    <sheet name="💸 Expenses" sheetId="4" r:id="rId4"/>
    <sheet name="📦 Inventory" sheetId="5" r:id="rId5"/>
    <sheet name="👥 Staff &amp; Payroll" sheetId="6" r:id="rId6"/>
    <sheet name="🚚 Suppliers" sheetId="7" r:id="rId7"/>
    <sheet name="📋 Supplier Directory" sheetId="8" r:id="rId8"/>
    <sheet name="📈 Monthly P&amp;L" sheetId="9" r:id="rId9"/>
    <sheet name="📥 Pending Income" sheetId="10" r:id="rId10"/>
    <sheet name="💰 Owner Ledger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1" l="1"/>
  <c r="D56" i="11"/>
  <c r="F4" i="11"/>
  <c r="F5" i="11" s="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4" i="9"/>
  <c r="D14" i="9"/>
  <c r="E13" i="9"/>
  <c r="D13" i="9"/>
  <c r="C13" i="9"/>
  <c r="B13" i="9"/>
  <c r="E12" i="9"/>
  <c r="D12" i="9"/>
  <c r="C12" i="9"/>
  <c r="C14" i="9" s="1"/>
  <c r="B12" i="9"/>
  <c r="B14" i="9" s="1"/>
  <c r="E11" i="9"/>
  <c r="D11" i="9"/>
  <c r="C11" i="9"/>
  <c r="B11" i="9"/>
  <c r="E5" i="9"/>
  <c r="D5" i="9"/>
  <c r="C5" i="9"/>
  <c r="B5" i="9"/>
  <c r="H6" i="7"/>
  <c r="G6" i="7"/>
  <c r="F6" i="7"/>
  <c r="E6" i="7"/>
  <c r="D6" i="7"/>
  <c r="C6" i="7"/>
  <c r="B6" i="7"/>
  <c r="D93" i="6"/>
  <c r="C41" i="6"/>
  <c r="B41" i="6"/>
  <c r="E29" i="6"/>
  <c r="G29" i="6" s="1"/>
  <c r="A29" i="6"/>
  <c r="G28" i="6"/>
  <c r="E28" i="6"/>
  <c r="C28" i="6"/>
  <c r="A28" i="6"/>
  <c r="C27" i="6"/>
  <c r="E27" i="6" s="1"/>
  <c r="G27" i="6" s="1"/>
  <c r="A27" i="6"/>
  <c r="G26" i="6"/>
  <c r="E26" i="6"/>
  <c r="C26" i="6"/>
  <c r="A26" i="6"/>
  <c r="C25" i="6"/>
  <c r="E25" i="6" s="1"/>
  <c r="G25" i="6" s="1"/>
  <c r="A25" i="6"/>
  <c r="G24" i="6"/>
  <c r="E24" i="6"/>
  <c r="C24" i="6"/>
  <c r="A24" i="6"/>
  <c r="A23" i="6"/>
  <c r="A22" i="6"/>
  <c r="L13" i="6"/>
  <c r="K13" i="6"/>
  <c r="L9" i="6"/>
  <c r="C23" i="6" s="1"/>
  <c r="E23" i="6" s="1"/>
  <c r="G23" i="6" s="1"/>
  <c r="K9" i="6"/>
  <c r="L8" i="6"/>
  <c r="C22" i="6" s="1"/>
  <c r="E22" i="6" s="1"/>
  <c r="G22" i="6" s="1"/>
  <c r="K8" i="6"/>
  <c r="D6" i="6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F6" i="5" s="1"/>
  <c r="J13" i="5"/>
  <c r="J12" i="5"/>
  <c r="I39" i="2" s="1"/>
  <c r="J11" i="5"/>
  <c r="J10" i="5"/>
  <c r="J9" i="5"/>
  <c r="I36" i="2" s="1"/>
  <c r="J6" i="5"/>
  <c r="E6" i="5"/>
  <c r="B6" i="5"/>
  <c r="I6" i="4"/>
  <c r="H6" i="4"/>
  <c r="G6" i="4"/>
  <c r="F6" i="4"/>
  <c r="E6" i="4"/>
  <c r="D6" i="4"/>
  <c r="C6" i="4"/>
  <c r="B6" i="4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F52" i="2"/>
  <c r="D52" i="2"/>
  <c r="B52" i="2"/>
  <c r="F51" i="2"/>
  <c r="D51" i="2"/>
  <c r="B51" i="2"/>
  <c r="F50" i="2"/>
  <c r="D50" i="2"/>
  <c r="B50" i="2"/>
  <c r="L45" i="2"/>
  <c r="J45" i="2"/>
  <c r="H45" i="2"/>
  <c r="B45" i="2"/>
  <c r="K40" i="2"/>
  <c r="I40" i="2"/>
  <c r="G40" i="2"/>
  <c r="E40" i="2"/>
  <c r="B40" i="2"/>
  <c r="K39" i="2"/>
  <c r="G39" i="2"/>
  <c r="E39" i="2"/>
  <c r="B39" i="2"/>
  <c r="K38" i="2"/>
  <c r="I38" i="2"/>
  <c r="G38" i="2"/>
  <c r="E38" i="2"/>
  <c r="B38" i="2"/>
  <c r="K37" i="2"/>
  <c r="I37" i="2"/>
  <c r="G37" i="2"/>
  <c r="E37" i="2"/>
  <c r="B37" i="2"/>
  <c r="K36" i="2"/>
  <c r="G36" i="2"/>
  <c r="E36" i="2"/>
  <c r="B36" i="2"/>
  <c r="J32" i="2"/>
  <c r="I32" i="2"/>
  <c r="D32" i="2"/>
  <c r="C32" i="2"/>
  <c r="B32" i="2"/>
  <c r="J31" i="2"/>
  <c r="I31" i="2"/>
  <c r="E31" i="2"/>
  <c r="D31" i="2"/>
  <c r="K31" i="2" s="1"/>
  <c r="C31" i="2"/>
  <c r="B31" i="2"/>
  <c r="J30" i="2"/>
  <c r="I30" i="2"/>
  <c r="D30" i="2"/>
  <c r="K30" i="2" s="1"/>
  <c r="B30" i="2"/>
  <c r="K29" i="2"/>
  <c r="J29" i="2"/>
  <c r="I29" i="2"/>
  <c r="F29" i="2"/>
  <c r="D29" i="2"/>
  <c r="C29" i="2"/>
  <c r="B29" i="2"/>
  <c r="K28" i="2"/>
  <c r="J28" i="2"/>
  <c r="I28" i="2"/>
  <c r="D28" i="2"/>
  <c r="B28" i="2"/>
  <c r="J27" i="2"/>
  <c r="I27" i="2"/>
  <c r="E27" i="2"/>
  <c r="D27" i="2"/>
  <c r="K27" i="2" s="1"/>
  <c r="B27" i="2"/>
  <c r="J26" i="2"/>
  <c r="I26" i="2"/>
  <c r="F26" i="2"/>
  <c r="E26" i="2"/>
  <c r="D26" i="2"/>
  <c r="K26" i="2" s="1"/>
  <c r="B26" i="2"/>
  <c r="K25" i="2"/>
  <c r="J25" i="2"/>
  <c r="I25" i="2"/>
  <c r="D25" i="2"/>
  <c r="B25" i="2"/>
  <c r="K24" i="2"/>
  <c r="J24" i="2"/>
  <c r="I24" i="2"/>
  <c r="D24" i="2"/>
  <c r="C24" i="2"/>
  <c r="B24" i="2"/>
  <c r="J23" i="2"/>
  <c r="I23" i="2"/>
  <c r="D23" i="2"/>
  <c r="C23" i="2"/>
  <c r="B23" i="2"/>
  <c r="L17" i="2"/>
  <c r="H17" i="2"/>
  <c r="D17" i="2"/>
  <c r="B17" i="2"/>
  <c r="C159" i="1"/>
  <c r="C157" i="1"/>
  <c r="C156" i="1"/>
  <c r="C154" i="1"/>
  <c r="C152" i="1"/>
  <c r="C144" i="1"/>
  <c r="C143" i="1"/>
  <c r="D139" i="1"/>
  <c r="D138" i="1"/>
  <c r="D135" i="1"/>
  <c r="D134" i="1"/>
  <c r="D133" i="1"/>
  <c r="D136" i="1" s="1"/>
  <c r="D129" i="1"/>
  <c r="C158" i="1" s="1"/>
  <c r="D108" i="1"/>
  <c r="F108" i="1" s="1"/>
  <c r="G108" i="1" s="1"/>
  <c r="C108" i="1"/>
  <c r="E108" i="1" s="1"/>
  <c r="C107" i="1"/>
  <c r="E107" i="1" s="1"/>
  <c r="E106" i="1"/>
  <c r="E109" i="1" s="1"/>
  <c r="D106" i="1"/>
  <c r="C106" i="1"/>
  <c r="E101" i="1"/>
  <c r="F101" i="1" s="1"/>
  <c r="C164" i="1" s="1"/>
  <c r="D101" i="1"/>
  <c r="C101" i="1"/>
  <c r="E100" i="1"/>
  <c r="E102" i="1" s="1"/>
  <c r="D100" i="1"/>
  <c r="D102" i="1" s="1"/>
  <c r="C100" i="1"/>
  <c r="C102" i="1" s="1"/>
  <c r="C97" i="1"/>
  <c r="D97" i="1" s="1"/>
  <c r="C94" i="1"/>
  <c r="D94" i="1" s="1"/>
  <c r="C93" i="1"/>
  <c r="D93" i="1" s="1"/>
  <c r="C91" i="1"/>
  <c r="D91" i="1" s="1"/>
  <c r="C90" i="1"/>
  <c r="D90" i="1" s="1"/>
  <c r="D89" i="1"/>
  <c r="C89" i="1"/>
  <c r="D88" i="1"/>
  <c r="C88" i="1"/>
  <c r="C87" i="1"/>
  <c r="F45" i="2" s="1"/>
  <c r="C86" i="1"/>
  <c r="D82" i="1"/>
  <c r="D67" i="1"/>
  <c r="D52" i="1"/>
  <c r="E7" i="1" s="1"/>
  <c r="F7" i="1" s="1"/>
  <c r="J51" i="2" s="1"/>
  <c r="E38" i="1"/>
  <c r="D37" i="1"/>
  <c r="F37" i="1" s="1"/>
  <c r="F36" i="1"/>
  <c r="E36" i="1"/>
  <c r="F35" i="1"/>
  <c r="E35" i="1"/>
  <c r="D31" i="1"/>
  <c r="D9" i="1"/>
  <c r="F53" i="2" s="1"/>
  <c r="C9" i="1"/>
  <c r="D53" i="2" s="1"/>
  <c r="E8" i="1"/>
  <c r="R79" i="3"/>
  <c r="H79" i="3"/>
  <c r="F79" i="3"/>
  <c r="I79" i="3" s="1"/>
  <c r="J79" i="3" s="1"/>
  <c r="R78" i="3"/>
  <c r="H78" i="3"/>
  <c r="F78" i="3"/>
  <c r="I78" i="3" s="1"/>
  <c r="J78" i="3" s="1"/>
  <c r="R77" i="3"/>
  <c r="J77" i="3"/>
  <c r="I77" i="3"/>
  <c r="H77" i="3"/>
  <c r="F77" i="3"/>
  <c r="R76" i="3"/>
  <c r="H76" i="3"/>
  <c r="F76" i="3"/>
  <c r="I76" i="3" s="1"/>
  <c r="J76" i="3" s="1"/>
  <c r="R75" i="3"/>
  <c r="H75" i="3"/>
  <c r="F75" i="3"/>
  <c r="I75" i="3" s="1"/>
  <c r="J75" i="3" s="1"/>
  <c r="R74" i="3"/>
  <c r="H74" i="3"/>
  <c r="I74" i="3" s="1"/>
  <c r="J74" i="3" s="1"/>
  <c r="F74" i="3"/>
  <c r="R73" i="3"/>
  <c r="H73" i="3"/>
  <c r="F73" i="3"/>
  <c r="I73" i="3" s="1"/>
  <c r="J73" i="3" s="1"/>
  <c r="R72" i="3"/>
  <c r="J72" i="3"/>
  <c r="I72" i="3"/>
  <c r="H72" i="3"/>
  <c r="F72" i="3"/>
  <c r="R71" i="3"/>
  <c r="H71" i="3"/>
  <c r="F71" i="3"/>
  <c r="R70" i="3"/>
  <c r="H70" i="3"/>
  <c r="F70" i="3"/>
  <c r="I70" i="3" s="1"/>
  <c r="J70" i="3" s="1"/>
  <c r="R69" i="3"/>
  <c r="J69" i="3"/>
  <c r="I69" i="3"/>
  <c r="H69" i="3"/>
  <c r="F69" i="3"/>
  <c r="R68" i="3"/>
  <c r="H68" i="3"/>
  <c r="F68" i="3"/>
  <c r="I68" i="3" s="1"/>
  <c r="J68" i="3" s="1"/>
  <c r="R67" i="3"/>
  <c r="H67" i="3"/>
  <c r="F67" i="3"/>
  <c r="I67" i="3" s="1"/>
  <c r="J67" i="3" s="1"/>
  <c r="R66" i="3"/>
  <c r="I66" i="3"/>
  <c r="J66" i="3" s="1"/>
  <c r="H66" i="3"/>
  <c r="F66" i="3"/>
  <c r="R65" i="3"/>
  <c r="H65" i="3"/>
  <c r="F65" i="3"/>
  <c r="I65" i="3" s="1"/>
  <c r="J65" i="3" s="1"/>
  <c r="R64" i="3"/>
  <c r="J64" i="3"/>
  <c r="I64" i="3"/>
  <c r="H64" i="3"/>
  <c r="F64" i="3"/>
  <c r="R63" i="3"/>
  <c r="H63" i="3"/>
  <c r="F63" i="3"/>
  <c r="I63" i="3" s="1"/>
  <c r="J63" i="3" s="1"/>
  <c r="R62" i="3"/>
  <c r="H62" i="3"/>
  <c r="F62" i="3"/>
  <c r="I62" i="3" s="1"/>
  <c r="J62" i="3" s="1"/>
  <c r="R61" i="3"/>
  <c r="I61" i="3"/>
  <c r="J61" i="3" s="1"/>
  <c r="H61" i="3"/>
  <c r="F61" i="3"/>
  <c r="R60" i="3"/>
  <c r="H60" i="3"/>
  <c r="F60" i="3"/>
  <c r="I60" i="3" s="1"/>
  <c r="J60" i="3" s="1"/>
  <c r="R59" i="3"/>
  <c r="H59" i="3"/>
  <c r="F59" i="3"/>
  <c r="I59" i="3" s="1"/>
  <c r="J59" i="3" s="1"/>
  <c r="R58" i="3"/>
  <c r="I58" i="3"/>
  <c r="J58" i="3" s="1"/>
  <c r="H58" i="3"/>
  <c r="F58" i="3"/>
  <c r="R57" i="3"/>
  <c r="H57" i="3"/>
  <c r="F57" i="3"/>
  <c r="I57" i="3" s="1"/>
  <c r="J57" i="3" s="1"/>
  <c r="R56" i="3"/>
  <c r="J56" i="3"/>
  <c r="I56" i="3"/>
  <c r="H56" i="3"/>
  <c r="F56" i="3"/>
  <c r="R55" i="3"/>
  <c r="H55" i="3"/>
  <c r="F55" i="3"/>
  <c r="R54" i="3"/>
  <c r="H54" i="3"/>
  <c r="F54" i="3"/>
  <c r="I54" i="3" s="1"/>
  <c r="J54" i="3" s="1"/>
  <c r="R53" i="3"/>
  <c r="J53" i="3"/>
  <c r="I53" i="3"/>
  <c r="H53" i="3"/>
  <c r="F53" i="3"/>
  <c r="R52" i="3"/>
  <c r="H52" i="3"/>
  <c r="F52" i="3"/>
  <c r="I52" i="3" s="1"/>
  <c r="J52" i="3" s="1"/>
  <c r="R51" i="3"/>
  <c r="H51" i="3"/>
  <c r="F51" i="3"/>
  <c r="I51" i="3" s="1"/>
  <c r="J51" i="3" s="1"/>
  <c r="R50" i="3"/>
  <c r="H50" i="3"/>
  <c r="I50" i="3" s="1"/>
  <c r="J50" i="3" s="1"/>
  <c r="F50" i="3"/>
  <c r="R49" i="3"/>
  <c r="H49" i="3"/>
  <c r="F49" i="3"/>
  <c r="I49" i="3" s="1"/>
  <c r="J49" i="3" s="1"/>
  <c r="R48" i="3"/>
  <c r="J48" i="3"/>
  <c r="I48" i="3"/>
  <c r="H48" i="3"/>
  <c r="F48" i="3"/>
  <c r="R47" i="3"/>
  <c r="H47" i="3"/>
  <c r="F47" i="3"/>
  <c r="I47" i="3" s="1"/>
  <c r="J47" i="3" s="1"/>
  <c r="R46" i="3"/>
  <c r="H46" i="3"/>
  <c r="F46" i="3"/>
  <c r="I46" i="3" s="1"/>
  <c r="J46" i="3" s="1"/>
  <c r="R45" i="3"/>
  <c r="I45" i="3"/>
  <c r="J45" i="3" s="1"/>
  <c r="H45" i="3"/>
  <c r="F45" i="3"/>
  <c r="R44" i="3"/>
  <c r="H44" i="3"/>
  <c r="F44" i="3"/>
  <c r="I44" i="3" s="1"/>
  <c r="J44" i="3" s="1"/>
  <c r="R43" i="3"/>
  <c r="J43" i="3"/>
  <c r="H43" i="3"/>
  <c r="F43" i="3"/>
  <c r="I43" i="3" s="1"/>
  <c r="R42" i="3"/>
  <c r="I42" i="3"/>
  <c r="J42" i="3" s="1"/>
  <c r="H42" i="3"/>
  <c r="F42" i="3"/>
  <c r="R41" i="3"/>
  <c r="H41" i="3"/>
  <c r="F41" i="3"/>
  <c r="I41" i="3" s="1"/>
  <c r="J41" i="3" s="1"/>
  <c r="R40" i="3"/>
  <c r="J40" i="3"/>
  <c r="I40" i="3"/>
  <c r="H40" i="3"/>
  <c r="F40" i="3"/>
  <c r="R39" i="3"/>
  <c r="H39" i="3"/>
  <c r="F39" i="3"/>
  <c r="I39" i="3" s="1"/>
  <c r="J39" i="3" s="1"/>
  <c r="R38" i="3"/>
  <c r="H38" i="3"/>
  <c r="F38" i="3"/>
  <c r="I38" i="3" s="1"/>
  <c r="J38" i="3" s="1"/>
  <c r="R37" i="3"/>
  <c r="H37" i="3"/>
  <c r="I37" i="3" s="1"/>
  <c r="J37" i="3" s="1"/>
  <c r="F37" i="3"/>
  <c r="R36" i="3"/>
  <c r="H36" i="3"/>
  <c r="F36" i="3"/>
  <c r="I36" i="3" s="1"/>
  <c r="J36" i="3" s="1"/>
  <c r="R35" i="3"/>
  <c r="H35" i="3"/>
  <c r="F35" i="3"/>
  <c r="I35" i="3" s="1"/>
  <c r="J35" i="3" s="1"/>
  <c r="R34" i="3"/>
  <c r="H34" i="3"/>
  <c r="F34" i="3"/>
  <c r="I34" i="3" s="1"/>
  <c r="J34" i="3" s="1"/>
  <c r="R33" i="3"/>
  <c r="H33" i="3"/>
  <c r="F33" i="3"/>
  <c r="I33" i="3" s="1"/>
  <c r="J33" i="3" s="1"/>
  <c r="R32" i="3"/>
  <c r="J32" i="3"/>
  <c r="I32" i="3"/>
  <c r="H32" i="3"/>
  <c r="F32" i="3"/>
  <c r="R31" i="3"/>
  <c r="H31" i="3"/>
  <c r="F31" i="3"/>
  <c r="I31" i="3" s="1"/>
  <c r="J31" i="3" s="1"/>
  <c r="R30" i="3"/>
  <c r="H30" i="3"/>
  <c r="F30" i="3"/>
  <c r="I30" i="3" s="1"/>
  <c r="J30" i="3" s="1"/>
  <c r="R29" i="3"/>
  <c r="H29" i="3"/>
  <c r="I29" i="3" s="1"/>
  <c r="J29" i="3" s="1"/>
  <c r="F29" i="3"/>
  <c r="R28" i="3"/>
  <c r="H28" i="3"/>
  <c r="F28" i="3"/>
  <c r="I28" i="3" s="1"/>
  <c r="R27" i="3"/>
  <c r="J27" i="3"/>
  <c r="I27" i="3"/>
  <c r="H27" i="3"/>
  <c r="F27" i="3"/>
  <c r="R26" i="3"/>
  <c r="H26" i="3"/>
  <c r="F26" i="3"/>
  <c r="I26" i="3" s="1"/>
  <c r="J26" i="3" s="1"/>
  <c r="R25" i="3"/>
  <c r="H25" i="3"/>
  <c r="F25" i="3"/>
  <c r="I25" i="3" s="1"/>
  <c r="J25" i="3" s="1"/>
  <c r="R24" i="3"/>
  <c r="H24" i="3"/>
  <c r="I24" i="3" s="1"/>
  <c r="J24" i="3" s="1"/>
  <c r="F24" i="3"/>
  <c r="R23" i="3"/>
  <c r="H23" i="3"/>
  <c r="F23" i="3"/>
  <c r="R22" i="3"/>
  <c r="J22" i="3"/>
  <c r="H22" i="3"/>
  <c r="F22" i="3"/>
  <c r="I22" i="3" s="1"/>
  <c r="R21" i="3"/>
  <c r="H21" i="3"/>
  <c r="F21" i="3"/>
  <c r="I21" i="3" s="1"/>
  <c r="J21" i="3" s="1"/>
  <c r="R20" i="3"/>
  <c r="H20" i="3"/>
  <c r="F20" i="3"/>
  <c r="I20" i="3" s="1"/>
  <c r="J20" i="3" s="1"/>
  <c r="R19" i="3"/>
  <c r="J19" i="3"/>
  <c r="I19" i="3"/>
  <c r="H19" i="3"/>
  <c r="F19" i="3"/>
  <c r="R18" i="3"/>
  <c r="H18" i="3"/>
  <c r="F18" i="3"/>
  <c r="I18" i="3" s="1"/>
  <c r="J18" i="3" s="1"/>
  <c r="R17" i="3"/>
  <c r="H17" i="3"/>
  <c r="F32" i="2" s="1"/>
  <c r="F17" i="3"/>
  <c r="I17" i="3" s="1"/>
  <c r="R16" i="3"/>
  <c r="H16" i="3"/>
  <c r="F31" i="2" s="1"/>
  <c r="F16" i="3"/>
  <c r="R15" i="3"/>
  <c r="H15" i="3"/>
  <c r="F30" i="2" s="1"/>
  <c r="F15" i="3"/>
  <c r="R14" i="3"/>
  <c r="J14" i="3"/>
  <c r="H29" i="2" s="1"/>
  <c r="H14" i="3"/>
  <c r="F14" i="3"/>
  <c r="I14" i="3" s="1"/>
  <c r="G29" i="2" s="1"/>
  <c r="R13" i="3"/>
  <c r="H13" i="3"/>
  <c r="F28" i="2" s="1"/>
  <c r="F13" i="3"/>
  <c r="E28" i="2" s="1"/>
  <c r="R12" i="3"/>
  <c r="H12" i="3"/>
  <c r="F27" i="2" s="1"/>
  <c r="F12" i="3"/>
  <c r="R11" i="3"/>
  <c r="I11" i="3"/>
  <c r="J11" i="3" s="1"/>
  <c r="H26" i="2" s="1"/>
  <c r="H11" i="3"/>
  <c r="F11" i="3"/>
  <c r="C26" i="2" s="1"/>
  <c r="R10" i="3"/>
  <c r="H10" i="3"/>
  <c r="F25" i="2" s="1"/>
  <c r="F10" i="3"/>
  <c r="R9" i="3"/>
  <c r="H9" i="3"/>
  <c r="F24" i="2" s="1"/>
  <c r="F9" i="3"/>
  <c r="R8" i="3"/>
  <c r="H8" i="3"/>
  <c r="F23" i="2" s="1"/>
  <c r="F8" i="3"/>
  <c r="P6" i="3"/>
  <c r="J17" i="2" s="1"/>
  <c r="O6" i="3"/>
  <c r="F10" i="2" s="1"/>
  <c r="N6" i="3"/>
  <c r="D10" i="2" s="1"/>
  <c r="M6" i="3"/>
  <c r="Q6" i="3" s="1"/>
  <c r="I6" i="3"/>
  <c r="J10" i="2" s="1"/>
  <c r="H6" i="3"/>
  <c r="H10" i="2" s="1"/>
  <c r="G6" i="3"/>
  <c r="F6" i="3"/>
  <c r="L10" i="2" s="1"/>
  <c r="J6" i="3" l="1"/>
  <c r="F17" i="2" s="1"/>
  <c r="B10" i="2"/>
  <c r="C145" i="1"/>
  <c r="C4" i="9"/>
  <c r="I23" i="3"/>
  <c r="J23" i="3" s="1"/>
  <c r="D4" i="9"/>
  <c r="E30" i="2"/>
  <c r="C30" i="2"/>
  <c r="I15" i="3"/>
  <c r="J17" i="3"/>
  <c r="H32" i="2" s="1"/>
  <c r="G32" i="2"/>
  <c r="F106" i="1"/>
  <c r="I55" i="3"/>
  <c r="J55" i="3" s="1"/>
  <c r="C96" i="1"/>
  <c r="D96" i="1" s="1"/>
  <c r="G26" i="2"/>
  <c r="E4" i="9"/>
  <c r="D137" i="1"/>
  <c r="D140" i="1" s="1"/>
  <c r="C162" i="1" s="1"/>
  <c r="C92" i="1"/>
  <c r="D92" i="1" s="1"/>
  <c r="E6" i="1"/>
  <c r="C7" i="9"/>
  <c r="C155" i="1"/>
  <c r="K32" i="2"/>
  <c r="I13" i="3"/>
  <c r="C28" i="2"/>
  <c r="B4" i="9"/>
  <c r="E25" i="2"/>
  <c r="C25" i="2"/>
  <c r="I71" i="3"/>
  <c r="J71" i="3" s="1"/>
  <c r="F8" i="1"/>
  <c r="J52" i="2" s="1"/>
  <c r="L52" i="2"/>
  <c r="C146" i="1"/>
  <c r="G30" i="6"/>
  <c r="G56" i="11"/>
  <c r="F56" i="11"/>
  <c r="L51" i="2"/>
  <c r="H51" i="2"/>
  <c r="C160" i="1"/>
  <c r="C27" i="2"/>
  <c r="I12" i="3"/>
  <c r="I8" i="3"/>
  <c r="I10" i="3"/>
  <c r="I16" i="3"/>
  <c r="H52" i="2"/>
  <c r="D6" i="5"/>
  <c r="E23" i="2"/>
  <c r="H6" i="5"/>
  <c r="B7" i="9"/>
  <c r="E24" i="2"/>
  <c r="E32" i="2"/>
  <c r="C95" i="1"/>
  <c r="D95" i="1" s="1"/>
  <c r="D107" i="1"/>
  <c r="F107" i="1" s="1"/>
  <c r="G107" i="1" s="1"/>
  <c r="D7" i="9"/>
  <c r="I9" i="3"/>
  <c r="E37" i="1"/>
  <c r="D87" i="1"/>
  <c r="F100" i="1"/>
  <c r="E29" i="2"/>
  <c r="E7" i="9"/>
  <c r="D45" i="2"/>
  <c r="J12" i="3" l="1"/>
  <c r="H27" i="2" s="1"/>
  <c r="G27" i="2"/>
  <c r="E42" i="9"/>
  <c r="E8" i="9"/>
  <c r="E6" i="9"/>
  <c r="G28" i="2"/>
  <c r="J13" i="3"/>
  <c r="H28" i="2" s="1"/>
  <c r="J9" i="3"/>
  <c r="H24" i="2" s="1"/>
  <c r="G24" i="2"/>
  <c r="D42" i="9"/>
  <c r="D6" i="9"/>
  <c r="D8" i="9"/>
  <c r="D109" i="1"/>
  <c r="C163" i="1"/>
  <c r="C165" i="1" s="1"/>
  <c r="C166" i="1" s="1"/>
  <c r="F102" i="1"/>
  <c r="G23" i="2"/>
  <c r="J8" i="3"/>
  <c r="H23" i="2" s="1"/>
  <c r="C42" i="9"/>
  <c r="C8" i="9"/>
  <c r="C6" i="9"/>
  <c r="B42" i="9"/>
  <c r="B8" i="9"/>
  <c r="B6" i="9"/>
  <c r="J15" i="3"/>
  <c r="H30" i="2" s="1"/>
  <c r="G30" i="2"/>
  <c r="G31" i="2"/>
  <c r="J16" i="3"/>
  <c r="H31" i="2" s="1"/>
  <c r="F109" i="1"/>
  <c r="G109" i="1" s="1"/>
  <c r="G106" i="1"/>
  <c r="L50" i="2"/>
  <c r="F6" i="1"/>
  <c r="E9" i="1"/>
  <c r="H50" i="2"/>
  <c r="G25" i="2"/>
  <c r="J10" i="3"/>
  <c r="H25" i="2" s="1"/>
  <c r="L53" i="2" l="1"/>
  <c r="H53" i="2"/>
  <c r="F9" i="1"/>
  <c r="J53" i="2" s="1"/>
  <c r="J50" i="2"/>
</calcChain>
</file>

<file path=xl/sharedStrings.xml><?xml version="1.0" encoding="utf-8"?>
<sst xmlns="http://schemas.openxmlformats.org/spreadsheetml/2006/main" count="5224" uniqueCount="1613">
  <si>
    <t>📅  LOKA — DAILY LOG</t>
  </si>
  <si>
    <t>Enter 2 values from Soft App each day → everything else calculates</t>
  </si>
  <si>
    <t>✏️  INSTRUCTIONS:  Each time you open this file, add a new row below.  Fill only the BLUE cells:  📌 Date  |  💰 Revenue (from Soft App end-of-day report)  |  🛒 Orders (from Soft App)  |  📝 Notes (optional).  All other columns calculate automatically.</t>
  </si>
  <si>
    <t>Date</t>
  </si>
  <si>
    <t>Day</t>
  </si>
  <si>
    <t>Card / Mercado Pago ($)</t>
  </si>
  <si>
    <t>Cash ($)</t>
  </si>
  <si>
    <t>Total Revenue ($)</t>
  </si>
  <si>
    <t>Transfer ($)</t>
  </si>
  <si>
    <t>Expenses $</t>
  </si>
  <si>
    <t>Net Profit $</t>
  </si>
  <si>
    <t>Margin %</t>
  </si>
  <si>
    <t>Notes</t>
  </si>
  <si>
    <t>Source</t>
  </si>
  <si>
    <t>WEEK PROFIT</t>
  </si>
  <si>
    <t>CUMUL. REVENUE</t>
  </si>
  <si>
    <t>MONTH REVENUE</t>
  </si>
  <si>
    <t>Week Expenses</t>
  </si>
  <si>
    <t>Week Profit</t>
  </si>
  <si>
    <t>MP Comm $</t>
  </si>
  <si>
    <t>MP Rate</t>
  </si>
  <si>
    <t>Soft Rest Card $</t>
  </si>
  <si>
    <t>Soft Comm $</t>
  </si>
  <si>
    <t>Soft Rate</t>
  </si>
  <si>
    <t>BBVA Card $</t>
  </si>
  <si>
    <t>BBVA Comm $</t>
  </si>
  <si>
    <t>BBVA Rate</t>
  </si>
  <si>
    <t>Mon</t>
  </si>
  <si>
    <t>Manual Bills</t>
  </si>
  <si>
    <t>Tue</t>
  </si>
  <si>
    <t>Wed</t>
  </si>
  <si>
    <t>Thu</t>
  </si>
  <si>
    <t>Fri</t>
  </si>
  <si>
    <t>Sat</t>
  </si>
  <si>
    <t>Payroll week — John $3,250 + Debi $1,500 + Victor $666 + Tips $1,198</t>
  </si>
  <si>
    <t>Sun</t>
  </si>
  <si>
    <t>🔴 CLOSED — Sunday. Expenses are prep purchases for the week ahead.</t>
  </si>
  <si>
    <t>Cierre 11 Jun + receipts</t>
  </si>
  <si>
    <t>Cierre 12 Jun + receipts</t>
  </si>
  <si>
    <t>Receipts + Week 4 payroll paid Sat</t>
  </si>
  <si>
    <t>CLOSED (Sunday) — market/prep run, no revenue</t>
  </si>
  <si>
    <t>Cierre 15 Jun + receipts</t>
  </si>
  <si>
    <t>Cierre 16 Jun + receipts</t>
  </si>
  <si>
    <t>Cierre 17 Jun + receipts</t>
  </si>
  <si>
    <t>Cierre 18 Jun + receipts</t>
  </si>
  <si>
    <t>Cierre via loka.py</t>
  </si>
  <si>
    <t>incl +$120 additional card income (added 02-Jul)</t>
  </si>
  <si>
    <t>incl +$110 additional cash income (added 04-Jul)</t>
  </si>
  <si>
    <t>EOD close (dual card: MP + Soft Restaurant)</t>
  </si>
  <si>
    <t>EOD close (dual card: MP + Soft Restaurant, actual comm)</t>
  </si>
  <si>
    <t>EOD close (MP only; no Soft card today)</t>
  </si>
  <si>
    <t>EOD close (3 cards: MP + Soft Restaurant + BBVA) | Propinas de tarjeta de la SEMANA 8 (6-12 Jul) repartidas hoy 13-Jul: John $100 + Duvi $80 + Samu $80 = $260 (pass-through, no P&amp;L; registrado en Staff &amp; Payroll)</t>
  </si>
  <si>
    <t>EOD close (BBVA + cash)</t>
  </si>
  <si>
    <t>EOD close (BBVA + cash) | +$605 cash added (correction)</t>
  </si>
  <si>
    <t>EOD close (BBVA card + cash + $2,385 bank transfer to restaurant BBVA acct, no commission) | +$3,870 evening wine party (BBVA $1,150 + cash $2,720)</t>
  </si>
  <si>
    <t>EOD close (BBVA + cash) - expenses pending, salaries recorded</t>
  </si>
  <si>
    <t>EOD close (BBVA + Soft + cash). Note: 19-Jul not recorded (closed). | transfer-to-me corrected to $0</t>
  </si>
  <si>
    <t>EOD close (BBVA + cash). Week 10 start.</t>
  </si>
  <si>
    <t>EOD close (MP + BBVA + cash). Transfer col = $260 to-me (ledger) + $95 to restaurant BBVA bank (revenue, no comm). | +$240 additional cash income</t>
  </si>
  <si>
    <t>EOD close (MP + cash; no BBVA/Soft, no transfers). Heavy Guimar packaging restock day.</t>
  </si>
  <si>
    <t>EOD close (MP + cash). Samu Week 10 salary paid.</t>
  </si>
  <si>
    <t>EOD close (MP + cash). John + Duvi Week 10 salaries paid.</t>
  </si>
  <si>
    <t>LOKA  —  CAPITAL, OWNERSHIP &amp; PRE-OPENING EXPENSES</t>
  </si>
  <si>
    <t>Last updated: 1 Jul 2026  |  Capital, Acquisition, Pre-Opening, Renovation CapEx &amp; Operations↔Capital</t>
  </si>
  <si>
    <t xml:space="preserve">  A.  OWNERSHIP STRUCTURE</t>
  </si>
  <si>
    <t>Owner</t>
  </si>
  <si>
    <t>Share %</t>
  </si>
  <si>
    <t>Capital ($)</t>
  </si>
  <si>
    <t>Expenses ($)</t>
  </si>
  <si>
    <t>Remaining ($)</t>
  </si>
  <si>
    <t>Role / Notes</t>
  </si>
  <si>
    <t>Lohith Reddy</t>
  </si>
  <si>
    <t>50% — Managing Partner</t>
  </si>
  <si>
    <t>Kashigoud Patil</t>
  </si>
  <si>
    <t>30% — Partner</t>
  </si>
  <si>
    <t>Shashirekha Basavaraju</t>
  </si>
  <si>
    <t>20% — Partner</t>
  </si>
  <si>
    <t>TOTAL</t>
  </si>
  <si>
    <t xml:space="preserve">  B.  RESTAURANT ACQUISITION  —  $390,000 TOTAL</t>
  </si>
  <si>
    <t>Description</t>
  </si>
  <si>
    <t>Amount ($)</t>
  </si>
  <si>
    <t>Paid By</t>
  </si>
  <si>
    <t>Status</t>
  </si>
  <si>
    <t>TOTAL Purchase Price — Previous Owners</t>
  </si>
  <si>
    <t>All Partners</t>
  </si>
  <si>
    <t>⚠️ PARTIALLY PAID — $2,235 remaining</t>
  </si>
  <si>
    <t>Full acquisition amount</t>
  </si>
  <si>
    <t>Advance Payment (paid by Lohith)</t>
  </si>
  <si>
    <t>✅ PAID</t>
  </si>
  <si>
    <t>Advance to previous owners</t>
  </si>
  <si>
    <t>Payment to Previous Owners</t>
  </si>
  <si>
    <t>Paid from restaurant operating balance — 3 Jun 2026</t>
  </si>
  <si>
    <t>Payment to Previous Owner — Account 1</t>
  </si>
  <si>
    <t>Capital payment — from main budget — transferred to different accounts</t>
  </si>
  <si>
    <t>Payment to Previous Owner — Account 2</t>
  </si>
  <si>
    <t>Capital payment — from main budget — transferred to different account</t>
  </si>
  <si>
    <t>Payment to Previous Owner — Account 3</t>
  </si>
  <si>
    <t>Payment to Previous Owner — Account 4</t>
  </si>
  <si>
    <t>Payment to Previous Owner — Account 5</t>
  </si>
  <si>
    <t>Payment to Previous Owner — Account 6</t>
  </si>
  <si>
    <t>Payment to Previous Owner — Jun 5</t>
  </si>
  <si>
    <t>Transfer — 5 Jun 2026</t>
  </si>
  <si>
    <t>Payment to Previous Owners — Jun 19 (a)</t>
  </si>
  <si>
    <t>Capital payment to previous owners — 19 Jun 2026</t>
  </si>
  <si>
    <t>Payment to Previous Owners — Jun 19 (b)</t>
  </si>
  <si>
    <t>Electricity Bill (Mar–May CFE) — paid by Lohith for Previous Owners</t>
  </si>
  <si>
    <t>✅ OFFSET vs balance</t>
  </si>
  <si>
    <t>Prev owners’ liability (pre-handover). Deducted from acquisition balance owed to them.</t>
  </si>
  <si>
    <t>Payment to Previous Owners — Jun 22</t>
  </si>
  <si>
    <t>Capital payment to previous owners — 22 Jun 2026</t>
  </si>
  <si>
    <t>Additional Payment to Previous Owners — Jun 30</t>
  </si>
  <si>
    <t>Additional capital payment to previous owners — 30 Jun 2026 (part of $16k transfer; rent portion logged separately)</t>
  </si>
  <si>
    <t>Balance Remaining</t>
  </si>
  <si>
    <t>—</t>
  </si>
  <si>
    <t>⏳ PENDING</t>
  </si>
  <si>
    <t>$390,000 − $372,235 paid (Jun 3–30) − $15,530 electricity offset = $2,235 remaining</t>
  </si>
  <si>
    <t xml:space="preserve">  PAYMENT BREAKDOWN  —  How the $390,000 will be funded</t>
  </si>
  <si>
    <t>From</t>
  </si>
  <si>
    <t>Toward %</t>
  </si>
  <si>
    <t>Cumulative</t>
  </si>
  <si>
    <t>Kashigoud Transfer to Lohith</t>
  </si>
  <si>
    <t>Full Kashi transfer</t>
  </si>
  <si>
    <t>Shashirekha Transfer to Lohith</t>
  </si>
  <si>
    <t>Shashirekha B.</t>
  </si>
  <si>
    <t>Full Shashi transfer</t>
  </si>
  <si>
    <t>Lohith Reddy (own funds)</t>
  </si>
  <si>
    <t>Balance from Lohith</t>
  </si>
  <si>
    <t>Advance Already Paid</t>
  </si>
  <si>
    <t>Paid ✅</t>
  </si>
  <si>
    <t>Already paid</t>
  </si>
  <si>
    <t xml:space="preserve">  C.  PRE-OPENING EXPENSES — KASHIGOUD PATIL</t>
  </si>
  <si>
    <t>Paid To</t>
  </si>
  <si>
    <t>Category</t>
  </si>
  <si>
    <t>Transfer to Lohith Reddy (capital allocation)</t>
  </si>
  <si>
    <t>Bank → Lohith</t>
  </si>
  <si>
    <t>Internal Transfer</t>
  </si>
  <si>
    <t>For acquisition &amp; expenses; $125,000 initial + $20,000 transferred 29 Jun 2026 = $145,000</t>
  </si>
  <si>
    <t>Soft Restaurant License &amp; Tools</t>
  </si>
  <si>
    <t>Soft App</t>
  </si>
  <si>
    <t>Software / License</t>
  </si>
  <si>
    <t>POS + mgmt tools</t>
  </si>
  <si>
    <t>Mercado Pago Terminal</t>
  </si>
  <si>
    <t>Soft App / MP</t>
  </si>
  <si>
    <t>POS Hardware</t>
  </si>
  <si>
    <t>MP card reader terminal fee</t>
  </si>
  <si>
    <t>Camera Cloud Recording — 7 Day Continuous (28 May)</t>
  </si>
  <si>
    <t>Kashigoud Patil (VISA ••••9193)</t>
  </si>
  <si>
    <t>Technology / Security</t>
  </si>
  <si>
    <t>Shenzhen Tange — cloud CCTV recording 1yr — US$23.90 = MXN $436.12</t>
  </si>
  <si>
    <t>Camera Cloud Recording — 7 Day Continuous (29 May)</t>
  </si>
  <si>
    <t>Shenzhen Tange — cloud CCTV recording 1yr — US$23.90 = MXN $437.22</t>
  </si>
  <si>
    <t>KASHIGOUD TOTAL</t>
  </si>
  <si>
    <t xml:space="preserve">  D.  PRE-OPENING EXPENSES — LOHITH REDDY</t>
  </si>
  <si>
    <t>Advance Payment to Previous Owners</t>
  </si>
  <si>
    <t>Previous Owners</t>
  </si>
  <si>
    <t>Acquisition</t>
  </si>
  <si>
    <t>5k advance on 390k purchase</t>
  </si>
  <si>
    <t>Notary Fees</t>
  </si>
  <si>
    <t>Notary Office</t>
  </si>
  <si>
    <t>Legal</t>
  </si>
  <si>
    <t>Legal fees for restaurant acquisition</t>
  </si>
  <si>
    <t>Poliza Juridica (Legal Policy)</t>
  </si>
  <si>
    <t>Legal / Insurance</t>
  </si>
  <si>
    <t>Poliza Juridica — legal insurance policy</t>
  </si>
  <si>
    <t>Alejandra — Documentation Asst.</t>
  </si>
  <si>
    <t>Alejandra</t>
  </si>
  <si>
    <t>Professional Services</t>
  </si>
  <si>
    <t>Documentation &amp; legal assistance — pre-opening</t>
  </si>
  <si>
    <t>Alejandra — License Costs</t>
  </si>
  <si>
    <t>Legal / License</t>
  </si>
  <si>
    <t>License costs — paid by Lohith 17 Jun</t>
  </si>
  <si>
    <t>Reimbursement to Shashirekha (over-budget expenses)</t>
  </si>
  <si>
    <t>Partner Settlement</t>
  </si>
  <si>
    <t>Reimbursed Shashi for spending $1,034 over her $120k budget (menu + syrup) — 7 Jul 2026</t>
  </si>
  <si>
    <t>Additional License Costs</t>
  </si>
  <si>
    <t>Gov / License</t>
  </si>
  <si>
    <t>Additional license fees — paid by Lohith (from pooled partner capital)</t>
  </si>
  <si>
    <t>Coffee board + flyers, visiting cards</t>
  </si>
  <si>
    <t>Print Shop</t>
  </si>
  <si>
    <t>Branding / Printing</t>
  </si>
  <si>
    <t>Coffee menu board, flyers, visiting cards — paid by Lohith (from pooled partner capital)</t>
  </si>
  <si>
    <t>LOHITH TOTAL</t>
  </si>
  <si>
    <t xml:space="preserve">  E.  PRE-OPENING EXPENSES — SHASHIREKHA BASAVARAJU</t>
  </si>
  <si>
    <t>For acquisition &amp; expenses</t>
  </si>
  <si>
    <t>Temu items</t>
  </si>
  <si>
    <t>Temu</t>
  </si>
  <si>
    <t>Equipment / Supplies</t>
  </si>
  <si>
    <t>Temu items — restaurant supplies &amp; equipment</t>
  </si>
  <si>
    <t>Board games for restaurant ambiance</t>
  </si>
  <si>
    <t>Various</t>
  </si>
  <si>
    <t>Equipment / Decor</t>
  </si>
  <si>
    <t>Special menu board</t>
  </si>
  <si>
    <t>Sign Maker</t>
  </si>
  <si>
    <t>Branding / Signage</t>
  </si>
  <si>
    <t>Logo and sticker printing</t>
  </si>
  <si>
    <t>Sign boards, stationary, other decor</t>
  </si>
  <si>
    <t>China Shop</t>
  </si>
  <si>
    <t>Decor / Signage</t>
  </si>
  <si>
    <t>Logo Box Repair / Fix</t>
  </si>
  <si>
    <t>Supplier</t>
  </si>
  <si>
    <t>Logo box repair — paid by Shashirekha</t>
  </si>
  <si>
    <t>Letrero 3-D Retroiluminado (illuminated sign)</t>
  </si>
  <si>
    <t>POPA Publicidad</t>
  </si>
  <si>
    <t>3D backlit sign + "CAFE RESTAURANT &amp; BAR" letters — paid by Shashirekha · Cotización A0626-560</t>
  </si>
  <si>
    <t>Menu printing</t>
  </si>
  <si>
    <t>Printed menus — paid by Shashirekha (post-opening)</t>
  </si>
  <si>
    <t>Syrup bottles</t>
  </si>
  <si>
    <t>Syrup bottles — paid by Shashirekha (post-opening)</t>
  </si>
  <si>
    <t>Reimbursement received from Lohith (over-budget)</t>
  </si>
  <si>
    <t>Received $1,034 back from Lohith for over-budget spend — nets Shashi to her $120k budget</t>
  </si>
  <si>
    <t>SHASHIREKHA TOTAL</t>
  </si>
  <si>
    <t xml:space="preserve">  F.  GRAND SUMMARY — CAPITAL DEPLOYMENT</t>
  </si>
  <si>
    <t>Line Item</t>
  </si>
  <si>
    <t>Total Budget</t>
  </si>
  <si>
    <t>100% of committed capital</t>
  </si>
  <si>
    <t>Acquisition Total</t>
  </si>
  <si>
    <t>To be paid to previous owners</t>
  </si>
  <si>
    <t>Advance Paid</t>
  </si>
  <si>
    <t>✅ Already paid</t>
  </si>
  <si>
    <t>⏳ Pending — funded by transfers</t>
  </si>
  <si>
    <t>Kashi Ops (excl tr)</t>
  </si>
  <si>
    <t>Soft license + terminal</t>
  </si>
  <si>
    <t>Kashi Transfer</t>
  </si>
  <si>
    <t>Lohith Pre-Opening</t>
  </si>
  <si>
    <t>Advance + Notary + Poliza + Alejandra</t>
  </si>
  <si>
    <t>Shashi Transfer</t>
  </si>
  <si>
    <t>Shashi Other Exp</t>
  </si>
  <si>
    <t>Yellow rows above</t>
  </si>
  <si>
    <t>Total Cash Out</t>
  </si>
  <si>
    <t>Actual cash leaving the partnership</t>
  </si>
  <si>
    <t>Remaining Budget</t>
  </si>
  <si>
    <t>Renovation &amp; Post-Opening CapEx</t>
  </si>
  <si>
    <t>Section I (bottom of sheet)</t>
  </si>
  <si>
    <t xml:space="preserve">  G.  REMAINING TRANSFERS DUE TO LOHITH REDDY</t>
  </si>
  <si>
    <t>Partner</t>
  </si>
  <si>
    <t>Total Budget ($)</t>
  </si>
  <si>
    <t>Already Transferred ($)</t>
  </si>
  <si>
    <t>Direct Expenses ($)</t>
  </si>
  <si>
    <t>Still Owed to Lohith ($)</t>
  </si>
  <si>
    <t xml:space="preserve">  H.  ACQUISITION PAYMENT — SPLIT BY OWNERSHIP SHARE  (50% / 30% / 20%)</t>
  </si>
  <si>
    <t>Share of $390k Total ($)</t>
  </si>
  <si>
    <t>Paid So Far — by Share ($)</t>
  </si>
  <si>
    <t>Share of Balance Remaining ($)</t>
  </si>
  <si>
    <t xml:space="preserve">  I.  RENOVATION &amp; CAPITAL EXPENSES — POST-OPENING</t>
  </si>
  <si>
    <t>RENOVATION / CAPEX TOTAL</t>
  </si>
  <si>
    <t>Log renovation/equipment here with Paid By for partner settlement. If also logged in 💸 Expenses, tag category "Capital Expense — …" so it stays OUT of Daily Log operating costs.</t>
  </si>
  <si>
    <t xml:space="preserve">  J.  LOHITH — CASH POSITION  (funds managed: own budget + partner transfers)</t>
  </si>
  <si>
    <t>My Total Budget</t>
  </si>
  <si>
    <t>+ Kashigoud Transferred to Me</t>
  </si>
  <si>
    <t>+ Shashirekha Transferred to Me</t>
  </si>
  <si>
    <t>Total Funds In</t>
  </si>
  <si>
    <t>− Pre-Opening Expenses (excl. $5k advance)</t>
  </si>
  <si>
    <t>− Paid to Previous Owners (incl. $15,530 electricity offset)</t>
  </si>
  <si>
    <t>− Operating costs funded from capital (ledger settlement + rent)</t>
  </si>
  <si>
    <t>REMAINING WITH ME (budget left WITH Lohith)</t>
  </si>
  <si>
    <t xml:space="preserve">  K.  OPERATIONS ↔ CAPITAL  —  RUNNING POSITION</t>
  </si>
  <si>
    <t>Operating Income (all-time, from Daily Log)</t>
  </si>
  <si>
    <t>Operating Expenses (all-time, from Expenses)</t>
  </si>
  <si>
    <t>MP Commission (auto: card × 4.06%)</t>
  </si>
  <si>
    <t>OPERATING RESULT  (income − expenses − commission)</t>
  </si>
  <si>
    <t>ADVANCE OWED by Operations to Capital</t>
  </si>
  <si>
    <t>Advance from capital-funded operating costs; repaid from operating cash: $20,000 (21-Jul) + $2,587 (22-Jul). Net advance still owed = $16,727.81.</t>
  </si>
  <si>
    <t>MP commission now auto-calculated per day in Daily Log (col R) at the rate in T7; feeds this result and Cash-on-Hand automatically.</t>
  </si>
  <si>
    <t xml:space="preserve">  &gt;&gt; Repaid to Capital from operating cash</t>
  </si>
  <si>
    <t>21-Jul $20,000 + 22-Jul $2,587 = $22,587 repaid from restaurant operating cash. Reduces advance owed &amp; Cash-on-Hand; NOT a P&amp;L expense.</t>
  </si>
  <si>
    <t xml:space="preserve">  L.  POOLED CAPITAL POSITION  (single $600k pot — reconciles fully)</t>
  </si>
  <si>
    <t>POOLED COMMITTED BUDGET</t>
  </si>
  <si>
    <t>Lohith 300k + Kashi 180k + Shashi 120k</t>
  </si>
  <si>
    <t>CAPITAL DEPLOYED (spent / committed out):</t>
  </si>
  <si>
    <t xml:space="preserve">   Acquisition — paid to previous owners</t>
  </si>
  <si>
    <t>of $390k (incl $15,530 CFE offset); incl $5k advance</t>
  </si>
  <si>
    <t xml:space="preserve">   Lohith pre-opening (excl. $5k advance)</t>
  </si>
  <si>
    <t>Notary, poliza, licenses, branding (advance is in acq. above)</t>
  </si>
  <si>
    <t xml:space="preserve">   Kashigoud — direct ops</t>
  </si>
  <si>
    <t>Soft license + MP terminal + cameras (his card)</t>
  </si>
  <si>
    <t xml:space="preserve">   Shashirekha — direct expenses</t>
  </si>
  <si>
    <t>Signage, Temu, menus (net of reimb.)</t>
  </si>
  <si>
    <t xml:space="preserve">   Renovation / post-opening CapEx</t>
  </si>
  <si>
    <t>Section I</t>
  </si>
  <si>
    <t xml:space="preserve">   Operating costs funded from capital</t>
  </si>
  <si>
    <t>Rent-from-capital + owner-ledger settlement (Section K)</t>
  </si>
  <si>
    <t>TOTAL CAPITAL DEPLOYED</t>
  </si>
  <si>
    <t>Money spent OR committed out of the pool</t>
  </si>
  <si>
    <t>CAPITAL STILL AVAILABLE:</t>
  </si>
  <si>
    <t xml:space="preserve">   Cash still WITH Lohith (Section J)</t>
  </si>
  <si>
    <t>Undeployed capital physically in Lohith’s hands</t>
  </si>
  <si>
    <t xml:space="preserve">   Kashigoud still to TRANSFER IN</t>
  </si>
  <si>
    <t>Committed $180k not yet fully sent</t>
  </si>
  <si>
    <t xml:space="preserve">   Shashirekha still to TRANSFER IN</t>
  </si>
  <si>
    <t>~0 (fully deployed)</t>
  </si>
  <si>
    <t>TOTAL CAPITAL AVAILABLE</t>
  </si>
  <si>
    <t>With Lohith + still to come in</t>
  </si>
  <si>
    <t>CHECK: Deployed + Available</t>
  </si>
  <si>
    <t>MUST equal $600,000</t>
  </si>
  <si>
    <t>🍽️  LOKA Cafe Restaurante</t>
  </si>
  <si>
    <t>Restaurant Manager — powered by Soft + Excel</t>
  </si>
  <si>
    <t>📌  HOW TO USE:  ① Each update, go to 📅 Daily Log → enter Date + Revenue + Orders from Soft App  ② Fill 💸 Expenses for costs paid  ③ Update 📦 Inventory when stock changes  ④ This dashboard updates automatically</t>
  </si>
  <si>
    <t xml:space="preserve">  💰  REVENUE  (auto-pulled from Daily Log)</t>
  </si>
  <si>
    <t>TODAY'S REVENUE</t>
  </si>
  <si>
    <t>WEEK REVENUE</t>
  </si>
  <si>
    <t>TODAY'S EXPENSES</t>
  </si>
  <si>
    <t>TODAY'S NET PROFIT</t>
  </si>
  <si>
    <t>AVG TICKET</t>
  </si>
  <si>
    <t xml:space="preserve">  📊  OPERATIONS</t>
  </si>
  <si>
    <t>TODAY'S ORDERS</t>
  </si>
  <si>
    <t>WEEK ORDERS</t>
  </si>
  <si>
    <t>PROFIT MARGIN %</t>
  </si>
  <si>
    <t>LOW STOCK ITEMS</t>
  </si>
  <si>
    <t>WEEK EXPENSES</t>
  </si>
  <si>
    <t>PENDING ORDERS</t>
  </si>
  <si>
    <t xml:space="preserve">  📅  LAST 10 DAYS  (from Daily Log — updates automatically)</t>
  </si>
  <si>
    <t>Revenue ($)</t>
  </si>
  <si>
    <t>Orders</t>
  </si>
  <si>
    <t>Avg Ticket</t>
  </si>
  <si>
    <t>Net Profit ($)</t>
  </si>
  <si>
    <t>vs Prev Day</t>
  </si>
  <si>
    <t xml:space="preserve">  ⚠️  INVENTORY ALERTS  (from Inventory sheet)</t>
  </si>
  <si>
    <t>Ingredient</t>
  </si>
  <si>
    <t>Min Level</t>
  </si>
  <si>
    <t>Action Needed</t>
  </si>
  <si>
    <t>💼  CAPITAL &amp; ACQUISITION STATUS  —  live from Capital &amp; Ownership sheet</t>
  </si>
  <si>
    <t>TOTAL BUDGET</t>
  </si>
  <si>
    <t>TOTAL CASH OUT</t>
  </si>
  <si>
    <t>REMAINING BUDGET</t>
  </si>
  <si>
    <t>ACQUISITION PRICE</t>
  </si>
  <si>
    <t>ADVANCE PAID</t>
  </si>
  <si>
    <t>BALANCE PENDING</t>
  </si>
  <si>
    <t>All 3 partners</t>
  </si>
  <si>
    <t>Excl. internal transfers</t>
  </si>
  <si>
    <t>Available for operations</t>
  </si>
  <si>
    <t>To previous owners</t>
  </si>
  <si>
    <t>✅ Paid by Lohith</t>
  </si>
  <si>
    <t>⏳ Outstanding</t>
  </si>
  <si>
    <t xml:space="preserve">  👥  OWNER CAPITAL SUMMARY</t>
  </si>
  <si>
    <t>OWNER</t>
  </si>
  <si>
    <t>SHARE %</t>
  </si>
  <si>
    <t>CAPITAL ($)</t>
  </si>
  <si>
    <t>ROLE</t>
  </si>
  <si>
    <t>EXPENSES ($)</t>
  </si>
  <si>
    <t>REMAINING ($)</t>
  </si>
  <si>
    <t>% SPENT</t>
  </si>
  <si>
    <t xml:space="preserve">  🧾  PRE-OPENING EXPENSES BREAKDOWN</t>
  </si>
  <si>
    <t>EXPENSE ITEM</t>
  </si>
  <si>
    <t>PAID BY</t>
  </si>
  <si>
    <t>AMOUNT ($)</t>
  </si>
  <si>
    <t>CATEGORY</t>
  </si>
  <si>
    <t>STATUS</t>
  </si>
  <si>
    <t>⚠️ Not Fully Paid</t>
  </si>
  <si>
    <t>Acquisition Advance</t>
  </si>
  <si>
    <t>✅ Paid</t>
  </si>
  <si>
    <t>Equipment</t>
  </si>
  <si>
    <t>Legal / Notary</t>
  </si>
  <si>
    <t xml:space="preserve">  ℹ️  Internal transfers:  Kashigoud → Lohith  $125,000  |  Shashirekha → Lohith  $100,000  (not counted as expenses — capital reallocation only)</t>
  </si>
  <si>
    <t>💸  LOKA — EXPENSES TRACKER</t>
  </si>
  <si>
    <t>Log every cost: ingredients, staff, utilities, supplies…</t>
  </si>
  <si>
    <t>TODAY</t>
  </si>
  <si>
    <t>THIS WEEK</t>
  </si>
  <si>
    <t>THIS MONTH</t>
  </si>
  <si>
    <t>INGREDIENTS</t>
  </si>
  <si>
    <t>STAFF</t>
  </si>
  <si>
    <t>UTILITIES</t>
  </si>
  <si>
    <t>TODAY TOTAL</t>
  </si>
  <si>
    <t>WEEK TOTAL</t>
  </si>
  <si>
    <t>Payment Method</t>
  </si>
  <si>
    <t>Carne</t>
  </si>
  <si>
    <t>Ingredients - Meat</t>
  </si>
  <si>
    <t>Restaurant</t>
  </si>
  <si>
    <t>Cash</t>
  </si>
  <si>
    <t>Basicos</t>
  </si>
  <si>
    <t>Ingredients - Pantry</t>
  </si>
  <si>
    <t>Real Pan Services</t>
  </si>
  <si>
    <t>Real Pan</t>
  </si>
  <si>
    <t>Ingredients - Bread</t>
  </si>
  <si>
    <t>Chedruai</t>
  </si>
  <si>
    <t>Chedraui</t>
  </si>
  <si>
    <t>Supermarket/General</t>
  </si>
  <si>
    <t>Vegetables</t>
  </si>
  <si>
    <t>Abastos</t>
  </si>
  <si>
    <t>Ingredients - Vegetables</t>
  </si>
  <si>
    <t>Arroz</t>
  </si>
  <si>
    <t>Lechuga</t>
  </si>
  <si>
    <t>Tortillas</t>
  </si>
  <si>
    <t>Jamon Mexicana</t>
  </si>
  <si>
    <t>Salmon</t>
  </si>
  <si>
    <t>Ingredients - Meat &amp; Fish</t>
  </si>
  <si>
    <t>Pollo</t>
  </si>
  <si>
    <t>Queso Gouda</t>
  </si>
  <si>
    <t>Ingredients - Dairy</t>
  </si>
  <si>
    <t>Avia Reca</t>
  </si>
  <si>
    <t>Supplies/Other</t>
  </si>
  <si>
    <t>John - Advance</t>
  </si>
  <si>
    <t>Staff - Advance</t>
  </si>
  <si>
    <t>Chuletas Carne</t>
  </si>
  <si>
    <t>Mercado</t>
  </si>
  <si>
    <t>Nutralat Milk</t>
  </si>
  <si>
    <t>OXXO</t>
  </si>
  <si>
    <t>Crema y Queso</t>
  </si>
  <si>
    <t>CAQ</t>
  </si>
  <si>
    <t>Pasta</t>
  </si>
  <si>
    <t>Papas</t>
  </si>
  <si>
    <t>Frutas</t>
  </si>
  <si>
    <t>Ingredients - Fruit</t>
  </si>
  <si>
    <t>Panco (Bread)</t>
  </si>
  <si>
    <t>Molino</t>
  </si>
  <si>
    <t>3B Supermarket</t>
  </si>
  <si>
    <t>3B</t>
  </si>
  <si>
    <t>Agua Natural</t>
  </si>
  <si>
    <t>Filete Mojarra</t>
  </si>
  <si>
    <t>Brisa del Mar</t>
  </si>
  <si>
    <t>Aceite Vegetal</t>
  </si>
  <si>
    <t>Leche Deslactosada</t>
  </si>
  <si>
    <t>Panko x5</t>
  </si>
  <si>
    <t>Molino la Cruz</t>
  </si>
  <si>
    <t>Hielo (4 bolsas)</t>
  </si>
  <si>
    <t>Papa bola (Papas)</t>
  </si>
  <si>
    <t>Remision Formitec</t>
  </si>
  <si>
    <t>John - Saldo Semana</t>
  </si>
  <si>
    <t>Nomina</t>
  </si>
  <si>
    <t>Staff - Salary</t>
  </si>
  <si>
    <t>Head Chef — weekly salary Week 1</t>
  </si>
  <si>
    <t>Debi - Limpieza</t>
  </si>
  <si>
    <t>Cleaning staff — weekly salary Week 1</t>
  </si>
  <si>
    <t>Victor - Mesero (2 dias)</t>
  </si>
  <si>
    <t>Waiter — 2 days salary Week 1</t>
  </si>
  <si>
    <t>Sal Fina (20 x 1 kg)</t>
  </si>
  <si>
    <t>Costco</t>
  </si>
  <si>
    <t>Card</t>
  </si>
  <si>
    <t>Costco — Sal Fina 20/1KG</t>
  </si>
  <si>
    <t>Coca Cola (24 x 600ml)</t>
  </si>
  <si>
    <t>Ingredients - Beverages</t>
  </si>
  <si>
    <t>Costco — discount applied, total $844</t>
  </si>
  <si>
    <t>Leche Deslactosada (12 x 1LT)</t>
  </si>
  <si>
    <t>Sam's Club</t>
  </si>
  <si>
    <t>Sam's Club — reimbursed to Shashirekha, settled</t>
  </si>
  <si>
    <t>Leche Alpura (12 x 1L)</t>
  </si>
  <si>
    <t>Crema Ácida</t>
  </si>
  <si>
    <t>Salsa / Tomate (12 x 600ml)</t>
  </si>
  <si>
    <t>Champiñones (24 x 400ml)</t>
  </si>
  <si>
    <t>Guayabas Mediana</t>
  </si>
  <si>
    <t>Aviles Hernandez</t>
  </si>
  <si>
    <t>Jicamas + Pinas + Melon Chino</t>
  </si>
  <si>
    <t>El Matamoros</t>
  </si>
  <si>
    <t>Cilantro + Italiana</t>
  </si>
  <si>
    <t>Oscar Verduras</t>
  </si>
  <si>
    <t>Habanero + Pepino</t>
  </si>
  <si>
    <t>Betabel (~1.9 kg)</t>
  </si>
  <si>
    <t>Nota Remision</t>
  </si>
  <si>
    <t>Jitomate</t>
  </si>
  <si>
    <t>Brisia y Hermanos</t>
  </si>
  <si>
    <t>Mango + Sandia</t>
  </si>
  <si>
    <t>Papayas Maradol</t>
  </si>
  <si>
    <t>Verduras variadas</t>
  </si>
  <si>
    <t>JP Verduras</t>
  </si>
  <si>
    <t>Pimiento Morron</t>
  </si>
  <si>
    <t>Sin factura</t>
  </si>
  <si>
    <t>No receipt — Sin factura</t>
  </si>
  <si>
    <t>Pan para Hamburguesa con Ajonjolí + Pan de Caja Arandano</t>
  </si>
  <si>
    <t>Real Abastos</t>
  </si>
  <si>
    <t>Real Sucursal Central de Abastos — 12 pcs hamburger buns + 3x900g bread</t>
  </si>
  <si>
    <t>Limonada / Naranjada / Tamarindo 1LT (18 pcs)</t>
  </si>
  <si>
    <t>Reca del Bajio</t>
  </si>
  <si>
    <t>Mercado Pago — 6 Limonada + 6 Naranjada + 6 Tamarindo</t>
  </si>
  <si>
    <t>QsoCrema Lala 190g</t>
  </si>
  <si>
    <t>Chedraui Selecto</t>
  </si>
  <si>
    <t>Tortillas Blanca (2.21 kg)</t>
  </si>
  <si>
    <t>Rosca de Nuez</t>
  </si>
  <si>
    <t>Bolillo (6 pcs)</t>
  </si>
  <si>
    <t>Salmon lonja (1.455 kg)</t>
  </si>
  <si>
    <t>1.455 kg x $340/kg</t>
  </si>
  <si>
    <t>Papas (4 bolsas)</t>
  </si>
  <si>
    <t>Remision handwritten</t>
  </si>
  <si>
    <t>Costillas cerdo</t>
  </si>
  <si>
    <t>Azucar Est Posada 1K</t>
  </si>
  <si>
    <t>Paid via Mercado Libre</t>
  </si>
  <si>
    <t>Pollo NutryEnt (4 packs, 8.29 kg)</t>
  </si>
  <si>
    <t>Chedraui Paseo</t>
  </si>
  <si>
    <t>4 x PolloNutryEnt ~2kg each</t>
  </si>
  <si>
    <t>Naranja de Jugo (1.265 kg)</t>
  </si>
  <si>
    <t>Mango Paraiso (1.560 kg)</t>
  </si>
  <si>
    <t>Azucar Ref 10/1K + Pastel Chocolate</t>
  </si>
  <si>
    <t>Azucar $275.18 + Pastel $224.03 — discount $11.21 applied</t>
  </si>
  <si>
    <t>Arroz Extra LP 500G</t>
  </si>
  <si>
    <t>OXXO Circunvalacion QRF</t>
  </si>
  <si>
    <t>Chapata Grande Sabores Varios (24)</t>
  </si>
  <si>
    <t>24 pcs x $12 = $288</t>
  </si>
  <si>
    <t>Tilapia (~6.74 kg)</t>
  </si>
  <si>
    <t>Pescaderia El Faro</t>
  </si>
  <si>
    <t>Nota El Faro — corrected from $944 to $244</t>
  </si>
  <si>
    <t>Bistek de Puerco</t>
  </si>
  <si>
    <t>Remision</t>
  </si>
  <si>
    <t>Remision + Getnet card terminal</t>
  </si>
  <si>
    <t>Tortillas Blancos</t>
  </si>
  <si>
    <t>No bill — cash purchase</t>
  </si>
  <si>
    <t>Jamon Delicia Pierna Mandolin (2.005 kg)</t>
  </si>
  <si>
    <t>San Juan Salchichonerias</t>
  </si>
  <si>
    <t>Rappi delivery — 27 May</t>
  </si>
  <si>
    <t>Arroz La Posada 900g (x3, 2x1 promo)</t>
  </si>
  <si>
    <t>OXXO Unity QRF — buy 2 get 1 promo</t>
  </si>
  <si>
    <t>Tres Leches Frutos Rojos</t>
  </si>
  <si>
    <t>Lecaroz 1972</t>
  </si>
  <si>
    <t>Ingredients - Desserts</t>
  </si>
  <si>
    <t>Panadería Circunvalacion</t>
  </si>
  <si>
    <t>Tocino</t>
  </si>
  <si>
    <t>Bistec Cerdo + Pierna Cerdo</t>
  </si>
  <si>
    <t>Getnet terminal — 28 May</t>
  </si>
  <si>
    <t>Muslo c/Hueso Amarillo + Elote + Cebolla</t>
  </si>
  <si>
    <t>H-E-B</t>
  </si>
  <si>
    <t>Net after return of $268.91 (chicken issue)</t>
  </si>
  <si>
    <t>QsoCrema Lala + Tortilla Amarilla</t>
  </si>
  <si>
    <t>Microfibra Formula (2 pcs)</t>
  </si>
  <si>
    <t>Cleaning supplies</t>
  </si>
  <si>
    <t>Nutralat Milk 1.5L (x2)</t>
  </si>
  <si>
    <t>OXXO Pathe QRF</t>
  </si>
  <si>
    <t>Muslo con Hueso (4.8 kg)</t>
  </si>
  <si>
    <t>Merjaliz</t>
  </si>
  <si>
    <t>Mercado de Abastos — 4.8kg x $70</t>
  </si>
  <si>
    <t>Queso Panela Quinta Azul Granel (2.4 kg)</t>
  </si>
  <si>
    <t>2.4kg x $123.38</t>
  </si>
  <si>
    <t>Queso Gouda Menona (1 unit)</t>
  </si>
  <si>
    <t>Bodega del Queso</t>
  </si>
  <si>
    <t>Restaurant portion only — 1 of 2 units</t>
  </si>
  <si>
    <t>Lechuga Italiana</t>
  </si>
  <si>
    <t>No bill</t>
  </si>
  <si>
    <t>Hielo</t>
  </si>
  <si>
    <t>Potato (Papas)</t>
  </si>
  <si>
    <t>Jitomate (2.030 kg)</t>
  </si>
  <si>
    <t>Super Fruterias Bermudez</t>
  </si>
  <si>
    <t>2.030kg x $49/kg</t>
  </si>
  <si>
    <t>Tortillas Blanca (3.875 kg)</t>
  </si>
  <si>
    <t>Concha Chocolate (3 pcs)</t>
  </si>
  <si>
    <t>Rosca Marmoleada</t>
  </si>
  <si>
    <t>Arroz La Posada 900g (4 pcs, 2x1 promo)</t>
  </si>
  <si>
    <t>4 packs, buy 2 get 2 promo — $11.60 saving</t>
  </si>
  <si>
    <t>Frijol Bayos REF 430g</t>
  </si>
  <si>
    <t>$1.00 discount applied</t>
  </si>
  <si>
    <t>Huevo BCO Bachoco 12P</t>
  </si>
  <si>
    <t>$8.50 discount applied — paid $50 cash change $14</t>
  </si>
  <si>
    <t>Frutas y Verduras variadas</t>
  </si>
  <si>
    <t>Fruteria Franco</t>
  </si>
  <si>
    <t>Mercado Pago — Fruteria Franco</t>
  </si>
  <si>
    <t>Pollo Muslo</t>
  </si>
  <si>
    <t>John — Saldo Semana (Week 2)</t>
  </si>
  <si>
    <t>Head Chef — weekly salary Week 2</t>
  </si>
  <si>
    <t>Duvi/Debi — Limpieza (Week 2)</t>
  </si>
  <si>
    <t>Cleaning staff — weekly salary Week 2</t>
  </si>
  <si>
    <t>Tomate (0.930 kg)</t>
  </si>
  <si>
    <t>0.930kg x $20/kg</t>
  </si>
  <si>
    <t>Jitomate (1.180 kg)</t>
  </si>
  <si>
    <t>1.180kg x $49/kg</t>
  </si>
  <si>
    <t>Cilantro (4 un)</t>
  </si>
  <si>
    <t>4 units x $1/un</t>
  </si>
  <si>
    <t>Aceite La Posada 800 (12 units, 2x1 promo)</t>
  </si>
  <si>
    <t>$70.80 discount applied — Mercado Libre payment</t>
  </si>
  <si>
    <t>Azucar Morena 10/1</t>
  </si>
  <si>
    <t>Atun DOL.AG 10/140</t>
  </si>
  <si>
    <t>Mayonesa 3.7L (x2)</t>
  </si>
  <si>
    <t>2 packs x $234.26</t>
  </si>
  <si>
    <t>Agua Mineral 12/600ml</t>
  </si>
  <si>
    <t>Net after $30.68 discount split</t>
  </si>
  <si>
    <t>Pastel Queso Guayaba</t>
  </si>
  <si>
    <t>Net after discount allocation</t>
  </si>
  <si>
    <t>Arroz 10/900 (3 packs)</t>
  </si>
  <si>
    <t>3 x $184.14, discount -$12.42</t>
  </si>
  <si>
    <t>Arrachera Clarita</t>
  </si>
  <si>
    <t>Miscelanea LC La Cruz</t>
  </si>
  <si>
    <t>Getnet terminal</t>
  </si>
  <si>
    <t>Bistec Res</t>
  </si>
  <si>
    <t>Bistec CD</t>
  </si>
  <si>
    <t>DeoCrema Lala 190g (x2)</t>
  </si>
  <si>
    <t>Tortillas Blanca K (5.4 kg)</t>
  </si>
  <si>
    <t>3.446kg+1.955kg net after discount</t>
  </si>
  <si>
    <t>Pollos Enteros (x2)</t>
  </si>
  <si>
    <t>Polleria Emily</t>
  </si>
  <si>
    <t>Muslo de Pollo (18 pcs)</t>
  </si>
  <si>
    <t>Cebolla (3 pcs)</t>
  </si>
  <si>
    <t>El Rancho Mercado</t>
  </si>
  <si>
    <t>Zanahorias (2 pcs)</t>
  </si>
  <si>
    <t>Tomate (5 pcs)</t>
  </si>
  <si>
    <t>Queso Panela Quinta Azul (4.8 kg)</t>
  </si>
  <si>
    <t>4.8kg x $123.38</t>
  </si>
  <si>
    <t>Nopales</t>
  </si>
  <si>
    <t>Cilantro</t>
  </si>
  <si>
    <t>Papaya</t>
  </si>
  <si>
    <t>Aguacate</t>
  </si>
  <si>
    <t>Calabaza y Manzana</t>
  </si>
  <si>
    <t>Tomate (no bill)</t>
  </si>
  <si>
    <t>Banana</t>
  </si>
  <si>
    <t>Leche UHT NUTRI 1L (x2)</t>
  </si>
  <si>
    <t>$14 discount applied</t>
  </si>
  <si>
    <t>Gas LP Delivery</t>
  </si>
  <si>
    <t>Gas Tomza</t>
  </si>
  <si>
    <t>Remision #11592 — cooking gas</t>
  </si>
  <si>
    <t>Pierna Suiza (2.0 kg)</t>
  </si>
  <si>
    <t>2.0kg x $95/kg — Getnet</t>
  </si>
  <si>
    <t>Crema Acida (x2)</t>
  </si>
  <si>
    <t>2 x $250.63, discount -$11.26</t>
  </si>
  <si>
    <t>Internet Telmex (Mayo bill paid 30-May)</t>
  </si>
  <si>
    <t>Telmex</t>
  </si>
  <si>
    <t>Lohith</t>
  </si>
  <si>
    <t>Personal</t>
  </si>
  <si>
    <t>⏳ Reimburse</t>
  </si>
  <si>
    <t>Internet bill — paid personally on 30 May, logged 1 June</t>
  </si>
  <si>
    <t>Tortillas Blanca K (6.025 kg)</t>
  </si>
  <si>
    <t>6.025kg x $14.50, discount -$12.05</t>
  </si>
  <si>
    <t>Tomate Sal (1.510 kg)</t>
  </si>
  <si>
    <t>1.510kg x $28.90</t>
  </si>
  <si>
    <t>Tortillas Blanca K (6.235 kg)</t>
  </si>
  <si>
    <t>6.235kg net after -$12.47 discount — total Chedraui bill $138.36</t>
  </si>
  <si>
    <t>Bolillo (8 pcs)</t>
  </si>
  <si>
    <t>8 x $2.10 — Chedraui Paseo, total receipt $138.36</t>
  </si>
  <si>
    <t>Gises Comp de Colores C/12 (x2)</t>
  </si>
  <si>
    <t>Office Depot Queretaro</t>
  </si>
  <si>
    <t>Chalk set x2 for menu board</t>
  </si>
  <si>
    <t>Extension GE 2.7M 3 Contact</t>
  </si>
  <si>
    <t>Extension cord 2.7m 3 outlets</t>
  </si>
  <si>
    <t>Sobres Oficina Ecol 10.4x24 CM100</t>
  </si>
  <si>
    <t>Office envelopes</t>
  </si>
  <si>
    <t>Pechuga (3.11 kg)</t>
  </si>
  <si>
    <t>3.11kg x $115/kg</t>
  </si>
  <si>
    <t>Muslo de Pollo (4.30 kg)</t>
  </si>
  <si>
    <t>4.30kg x $50/kg</t>
  </si>
  <si>
    <t>Milanesa de Pollo (3.20 kg)</t>
  </si>
  <si>
    <t>3.20kg x $135/kg</t>
  </si>
  <si>
    <t>Filete de Mojarra (3.425 kg)</t>
  </si>
  <si>
    <t>EVD Bizkaia</t>
  </si>
  <si>
    <t>3.425kg x $140/kg</t>
  </si>
  <si>
    <t>Costilla de Res (3.025 kg)</t>
  </si>
  <si>
    <t>3.025kg x $103/kg — Getnet 03/06/2026</t>
  </si>
  <si>
    <t>Chicken Boneless + Carne Hamburguesa</t>
  </si>
  <si>
    <t>No bill — boneless chicken + hamburger meat</t>
  </si>
  <si>
    <t>Vasos DART 100Z 40/25 (4 packs)</t>
  </si>
  <si>
    <t>Guimar Polietilenos</t>
  </si>
  <si>
    <t>4 packs x $15.50</t>
  </si>
  <si>
    <t>Tapas DART Plastica 10SL 10/100 (100pcs)</t>
  </si>
  <si>
    <t>100 x $0.62</t>
  </si>
  <si>
    <t>Domo Triangular Alto RP25 250PZ (10pcs)</t>
  </si>
  <si>
    <t>10 x $3.596</t>
  </si>
  <si>
    <t>Domo Reyma RB-100 250PZ (10pcs)</t>
  </si>
  <si>
    <t>10 x $2.30 — Folio XCC36390</t>
  </si>
  <si>
    <t>Vasos de Plast. 4CH Reyma 20/50 (2pks)</t>
  </si>
  <si>
    <t>2 x $23.00 — Folio XCC36400</t>
  </si>
  <si>
    <t>Reyma Tapas Vaso 5 1/2-4CH 20/50 (2pks)</t>
  </si>
  <si>
    <t>2 x $23.00</t>
  </si>
  <si>
    <t>Bistec Corte (7.54 kg)</t>
  </si>
  <si>
    <t>Getnet 04/06/2026 09:53</t>
  </si>
  <si>
    <t>Queso</t>
  </si>
  <si>
    <t>Huevos</t>
  </si>
  <si>
    <t>No bill — paid by Lohith</t>
  </si>
  <si>
    <t>Ajonjoli Blanco</t>
  </si>
  <si>
    <t>Ajonjoli Negro</t>
  </si>
  <si>
    <t>Renta Mensual — Junio 2026</t>
  </si>
  <si>
    <t>Propietario</t>
  </si>
  <si>
    <t>Rent</t>
  </si>
  <si>
    <t>Monthly rent — June 2026 — paid personally by Lohith</t>
  </si>
  <si>
    <t>Mantenimiento Mensual — Junio 2026</t>
  </si>
  <si>
    <t>Maintenance</t>
  </si>
  <si>
    <t>Monthly maintenance — June 2026 — paid personally by Lohith</t>
  </si>
  <si>
    <t>Ahumada</t>
  </si>
  <si>
    <t>Getnet 05/06/2026</t>
  </si>
  <si>
    <t>Getnet 05/06/2026 — same remision</t>
  </si>
  <si>
    <t>Tortillas Blanca K (10.045kg)</t>
  </si>
  <si>
    <t>3 batches: 4.025+4.015+2.005kg, discount -$20.08</t>
  </si>
  <si>
    <t>Pepino</t>
  </si>
  <si>
    <t>Hierbabuena</t>
  </si>
  <si>
    <t>John — Salary Parcial Week 3 (Sat)</t>
  </si>
  <si>
    <t>Week 3 partial — $1,250 balance due Mon 8 Jun</t>
  </si>
  <si>
    <t>Debi — Salary Parcial Week 3 (Sat)</t>
  </si>
  <si>
    <t>Week 3 partial — $500 balance due Mon 8 Jun</t>
  </si>
  <si>
    <t>Judith — Salary Parcial Week 3 (Sat)</t>
  </si>
  <si>
    <t>Week 3 partial — $166.65 balance due Mon 8 Jun (5 days × $333.33)</t>
  </si>
  <si>
    <t>John — Salary Balance + Propinas Week 3 (Mon)</t>
  </si>
  <si>
    <t>Balance $1,250 + Propinas $250 — paid Mon 8 Jun</t>
  </si>
  <si>
    <t>Debi — Salary Balance + Propinas Week 3 (Mon)</t>
  </si>
  <si>
    <t>Balance $500 + Propinas $250 — paid Mon 8 Jun</t>
  </si>
  <si>
    <t>Judith — Salary Balance + Propinas Week 3 (Mon)</t>
  </si>
  <si>
    <t>Balance $166.65 + Propinas $234 — paid Mon 8 Jun</t>
  </si>
  <si>
    <t>Aceite La Posada 800 (4 units, 2x1 promo)</t>
  </si>
  <si>
    <t>4 units, -$23.60 discount — paid $120 cash, change $16</t>
  </si>
  <si>
    <t>Compra Miscelanea Producto Real II</t>
  </si>
  <si>
    <t>Misc Producto Real II</t>
  </si>
  <si>
    <t>Mastercard Debit ••••3982 — 06/06/2026 11:47</t>
  </si>
  <si>
    <t>Hielo (2 paquetes)</t>
  </si>
  <si>
    <t>No bill — 2 ice packets</t>
  </si>
  <si>
    <t>Frutas y Legumbres variadas (Calabaza, Zanahoria, Limon, Cebolla, Papaya)</t>
  </si>
  <si>
    <t>Frutas y Legumbres El Compita</t>
  </si>
  <si>
    <t>Mercado de Abastos — various produce</t>
  </si>
  <si>
    <t>Chile de Arbol Suelto (2 kg)</t>
  </si>
  <si>
    <t>Los Morros II</t>
  </si>
  <si>
    <t>2 kg × $120/kg — 07/06/2026 11:53</t>
  </si>
  <si>
    <t>Sandia y Jicama</t>
  </si>
  <si>
    <t>Tomate Verde</t>
  </si>
  <si>
    <t>Lechuga, Espinaca, Cilantro, Jengibre, Habanero</t>
  </si>
  <si>
    <t>Chile Serrano</t>
  </si>
  <si>
    <t>Tomate Roja</t>
  </si>
  <si>
    <t>Carne Molida (2.020 kg)</t>
  </si>
  <si>
    <t>2.020kg x $135/kg — Getnet 08/06/2026 11:01</t>
  </si>
  <si>
    <t>Pure de Tomate Del (2 units)</t>
  </si>
  <si>
    <t>2 x $34 — Folio 2606 0809 0301 8507 0068</t>
  </si>
  <si>
    <t>Tortillas Blanca K (2.960 kg)</t>
  </si>
  <si>
    <t>2.960kg x $13.40</t>
  </si>
  <si>
    <t>8 x $2.10</t>
  </si>
  <si>
    <t>Total Chedraui $213.46 — BBVA ••••3982</t>
  </si>
  <si>
    <t>Queso Gouda Menona (2.04 kg)</t>
  </si>
  <si>
    <t>La Bodega del Buen Queso</t>
  </si>
  <si>
    <t>2.04 kg x $135 — Nota 0031847, 09/jun/2026 10:10</t>
  </si>
  <si>
    <t>Muslo de Pollo (4.40 kg)</t>
  </si>
  <si>
    <t>4.40 kg x $50 — Remision 09/06/26</t>
  </si>
  <si>
    <t>Pechuga de Pollo (3.95 kg)</t>
  </si>
  <si>
    <t>3.95 kg x $115 — Remision 09/06/26 total $675</t>
  </si>
  <si>
    <t>Jamon Deli Pierna Manolina</t>
  </si>
  <si>
    <t>After $24.56 discount — Rappi/Banregio ••••3982, 09/06/2026 10:20</t>
  </si>
  <si>
    <t>Ribeye</t>
  </si>
  <si>
    <t>Getnet $529 total — 09/06/2026 10:16</t>
  </si>
  <si>
    <t>Bistec Cerdo</t>
  </si>
  <si>
    <t>Part of same Getnet $529 remision</t>
  </si>
  <si>
    <t>Aceite La Posada 800 (x4, 2x1 promo)</t>
  </si>
  <si>
    <t>4 units after $23.60 promo discount — 09/06/2026 09:28</t>
  </si>
  <si>
    <t>UHT Lala Entera 1.5L (x2)</t>
  </si>
  <si>
    <t>2 x $56 with $9.50 discount each = $93 — 09/06/2026 09:39</t>
  </si>
  <si>
    <t>Lenteja Grande Granel (2 kg)</t>
  </si>
  <si>
    <t>Molino y Condimentos La Cruz</t>
  </si>
  <si>
    <t>Nota 200483 — 09/06/2026</t>
  </si>
  <si>
    <t>Tea Zone Concentrado Lichi 1.9L</t>
  </si>
  <si>
    <t>Etrusca</t>
  </si>
  <si>
    <t>Folio 005C01FR44612 incl IVA</t>
  </si>
  <si>
    <t>Tea Zone Concentrado Fresa 1.9L</t>
  </si>
  <si>
    <t>incl IVA 93.66</t>
  </si>
  <si>
    <t>Tea Zone Concentrado Maracuya 1.9L</t>
  </si>
  <si>
    <t>Tea Zone Concentrado Mango 1.9L</t>
  </si>
  <si>
    <t>Chillout Mix Base Taro 2kg</t>
  </si>
  <si>
    <t>Frappe base powder</t>
  </si>
  <si>
    <t>Chillout Mix Base Te Matcha 2kg</t>
  </si>
  <si>
    <t>Jarabe Agave Caramelo 1L</t>
  </si>
  <si>
    <t>Agave syrup</t>
  </si>
  <si>
    <t>Jarabe Agave Crema Irlandesa 1L</t>
  </si>
  <si>
    <t>Jarabe Agave Vainilla Francesa 1L</t>
  </si>
  <si>
    <t>Etrusca total 4632.23 MC 2684 17:00</t>
  </si>
  <si>
    <t>Groceries — Elote, Chile Poblano, Tomate, Tortillas, Bolillo</t>
  </si>
  <si>
    <t>Lohith (Personal)</t>
  </si>
  <si>
    <t>Paid personally by Lohith — reimburse · HSBC **5543 · 14 items</t>
  </si>
  <si>
    <t>Comanda Restaurante (order pad)</t>
  </si>
  <si>
    <t>Office Depot</t>
  </si>
  <si>
    <t>Paid personally by Lohith — reimburse · MC **5543</t>
  </si>
  <si>
    <t>Aguas Frescas 1LT — Horchata/Jamaica/Naranjada/Tamarindo (24 pcs + 4 canje)</t>
  </si>
  <si>
    <t>6 pcs each flavor @ $21.55 + IVA · 4 free pcs (canje) · payment method assumed cash</t>
  </si>
  <si>
    <t>Bistec de Cerdo (pork steak)</t>
  </si>
  <si>
    <t>Miscelánea LC La Cruz</t>
  </si>
  <si>
    <t>Getnet card slip + handwritten remision B. Cerdo - Aut 975901</t>
  </si>
  <si>
    <t>Costillas de Cerdo $315 + Bistec de Cerdo $190 + Carne Molida $409</t>
  </si>
  <si>
    <t>Getnet slip $914 · ML debit MC · Aut 291606 · 08:59</t>
  </si>
  <si>
    <t>Ala de Pollo $975 + Papa Harvest 13.62kg $690 + Boneless Freskecito $1,200</t>
  </si>
  <si>
    <t>ALICO (Cerro de las Campanas)</t>
  </si>
  <si>
    <t>Paid cash exact $2,865 · 08:22 AM | Paid personally by Lohith (transfer) — reimburse</t>
  </si>
  <si>
    <t>Muslo de Pollo 4.70 kg @ $50</t>
  </si>
  <si>
    <t>Pollería (nota de remisión)</t>
  </si>
  <si>
    <t>Pink nota "Oh Lele" · marked Cobrado | Paid personally by Lohith (transfer) — reimburse</t>
  </si>
  <si>
    <t>Agua Natural — 3 bottles</t>
  </si>
  <si>
    <t>Local purchase</t>
  </si>
  <si>
    <t>Logged retroactively (no receipt)</t>
  </si>
  <si>
    <t>Agua Natural — 2 bottles</t>
  </si>
  <si>
    <t>Pasta (caracol, codo, fusilli) + Roma detergent 1kg</t>
  </si>
  <si>
    <t>Tiendas 3B (La Pradera)</t>
  </si>
  <si>
    <t>Ticket 188 · 19:25 · card Banco Plata **2684 · logged 11 Jun</t>
  </si>
  <si>
    <t>Leche PL UHT Nutri 1LT (2 pcs)</t>
  </si>
  <si>
    <t>OXXO Acueducto</t>
  </si>
  <si>
    <t>ML debit **3982 · Aut 324051 · 10:13</t>
  </si>
  <si>
    <t>Pan hamburguesa ajonjolí (36) + Chapata grande (24)</t>
  </si>
  <si>
    <t>Productos Real (La Cruz)</t>
  </si>
  <si>
    <t>Folio 4251 · debit · 09:38</t>
  </si>
  <si>
    <t>Aceite Vegetal La Posada 800 (2 pcs)</t>
  </si>
  <si>
    <t>OXXO Pathe</t>
  </si>
  <si>
    <t>Ingredients - Other</t>
  </si>
  <si>
    <t>ML debit **3982 · Aut 468013 · 09:22</t>
  </si>
  <si>
    <t>Plátano + Tortillas Blancas + Rosca Marmoleada</t>
  </si>
  <si>
    <t>Debit BBVA **3982 · Aut 200580 · 09:02</t>
  </si>
  <si>
    <t>Lechugas (lettuce)</t>
  </si>
  <si>
    <t>No receipt — logged manually</t>
  </si>
  <si>
    <t>Empanizador Bimbo, especias, tomate, pimiento verde, papa, mole, tortillas (14 art.)</t>
  </si>
  <si>
    <t>Debit BBVA **3982 · Aut 641502 · 09:19 · Folio 2606-1309-1901</t>
  </si>
  <si>
    <t>Bistec de Cerdo 1.66 kg</t>
  </si>
  <si>
    <t>Carnicería (nota de remisión)</t>
  </si>
  <si>
    <t>Handwritten remisión · 1.66 kg · total $310</t>
  </si>
  <si>
    <t>John — Salary Week 4 (full week)</t>
  </si>
  <si>
    <t>Staff Payroll</t>
  </si>
  <si>
    <t>Paid Sat 13 Jun — Week 4</t>
  </si>
  <si>
    <t>Duvi/Debi — Limpieza Week 4 (5 days)</t>
  </si>
  <si>
    <t>Cesar — Mesero Week 4 (5 days)</t>
  </si>
  <si>
    <t>Samu — Ayudante Week 4 (4 days)</t>
  </si>
  <si>
    <t>Sandía + Pepino</t>
  </si>
  <si>
    <t>Citricos Sánchez</t>
  </si>
  <si>
    <t>Folio 7029</t>
  </si>
  <si>
    <t>Aguacate Hass Tercera 1.7 kg</t>
  </si>
  <si>
    <t>Rey Tacamba</t>
  </si>
  <si>
    <t>Central de Abastos</t>
  </si>
  <si>
    <t>Tomate 8 kg @ $11</t>
  </si>
  <si>
    <t>Nopales Guerrero</t>
  </si>
  <si>
    <t>Pagado</t>
  </si>
  <si>
    <t>Papaya + Melón</t>
  </si>
  <si>
    <t>Frutas Gaby</t>
  </si>
  <si>
    <t>Nota de venta</t>
  </si>
  <si>
    <t>Cilantro, Hierbabuena, Lechugas italianas</t>
  </si>
  <si>
    <t>Hnos. Labra</t>
  </si>
  <si>
    <t>Mercado de Abastos</t>
  </si>
  <si>
    <t>Jitomate Saladet 8 kg @ $15</t>
  </si>
  <si>
    <t>Ticket 26070</t>
  </si>
  <si>
    <t>Manzana chica 1.158 kg</t>
  </si>
  <si>
    <t>Zugarmex</t>
  </si>
  <si>
    <t>Venta 2197</t>
  </si>
  <si>
    <t>Papa 3 kg @ $35</t>
  </si>
  <si>
    <t>Papas San Miguel</t>
  </si>
  <si>
    <t>Huevo (eggs)</t>
  </si>
  <si>
    <t>Jaime (Pollos)</t>
  </si>
  <si>
    <t>Remisión</t>
  </si>
  <si>
    <t>Calabaza, Morrón surtido, Brócoli</t>
  </si>
  <si>
    <t>Verduras Oscar</t>
  </si>
  <si>
    <t>Calabaza $36 + Morrón surtido $29 = $65</t>
  </si>
  <si>
    <t>Contenedor Unicel 8x8, cucharas, tenedores, cuchillos</t>
  </si>
  <si>
    <t>MPPD Abastos</t>
  </si>
  <si>
    <t>Debit · Folio 380306</t>
  </si>
  <si>
    <t>Bolsa Polietileno 27x52x45</t>
  </si>
  <si>
    <t>Debit · Folio 380307</t>
  </si>
  <si>
    <t>Zanahoria 2kg, Cebolla 2kg, Jalapeño 2kg, Poblano 1.3kg</t>
  </si>
  <si>
    <t>Mi Joven (Mercado Abastos)</t>
  </si>
  <si>
    <t>Folio 18808 · 08:31 · 4 productos</t>
  </si>
  <si>
    <t>Tortillas Blancas, Bolillo, Rosca de Nuez</t>
  </si>
  <si>
    <t>HSBC **5543 · Aut 559375 · paid by Lohith (reimburse)</t>
  </si>
  <si>
    <t>HSBC **5543 · Aut 710124 · paid by Lohith (reimburse)</t>
  </si>
  <si>
    <t>Ribeye $420 + Chuleta ahumada $403 + Bistec $192</t>
  </si>
  <si>
    <t>HSBC **5543 · Getnet Aut 578540 · paid by Lohith (reimburse)</t>
  </si>
  <si>
    <t>Queso Gouda Menona 2.05 kg @ $135</t>
  </si>
  <si>
    <t>La Bodega del Queso</t>
  </si>
  <si>
    <t>Nota 0032122 · 16:35</t>
  </si>
  <si>
    <t>No receipt</t>
  </si>
  <si>
    <t>Queso Panela</t>
  </si>
  <si>
    <t>Samosas</t>
  </si>
  <si>
    <t>Le Croz Paste</t>
  </si>
  <si>
    <t>Hielo (ice)</t>
  </si>
  <si>
    <t>Filete de Mojarra 3.245 kg @ $130</t>
  </si>
  <si>
    <t>Pescados y Mariscos · 09:26</t>
  </si>
  <si>
    <t>Leche Lala UHT Entera 1.5L (2 pcs)</t>
  </si>
  <si>
    <t>HSBC **5543 · Aut 920308 · paid by Lohith (reimburse)</t>
  </si>
  <si>
    <t>Pechuga 4.15kg @ $115 + Muslo 4.13kg @ $50</t>
  </si>
  <si>
    <t>Oh lele (poultry)</t>
  </si>
  <si>
    <t>Nota de remisión · 478+207</t>
  </si>
  <si>
    <t>Azúcar, Leche Entera, Crema Ácida, Arroz Morelos (7 art.)</t>
  </si>
  <si>
    <t>Sam’s Club</t>
  </si>
  <si>
    <t>Visa Débito **29 · Aut 070287</t>
  </si>
  <si>
    <t>Jamaica 1LT (6) + Té Fresco 1LT (6) — 12 pzas</t>
  </si>
  <si>
    <t>Casa Reca</t>
  </si>
  <si>
    <t>Nota QR-3 · Café Oh lele</t>
  </si>
  <si>
    <t>Bolsas papel #5/#6, Vasos plást. 4CH, Tapas</t>
  </si>
  <si>
    <t>Débito **28 · Folio XCC37437</t>
  </si>
  <si>
    <t>Bistec</t>
  </si>
  <si>
    <t>Getnet **3982 · Aut 354977</t>
  </si>
  <si>
    <t>Tortillas Blancas</t>
  </si>
  <si>
    <t>Leche Descremada, Jumex (2), Coca-Cola, CC Sin Azúcar, Crema (6 art.)</t>
  </si>
  <si>
    <t>Debit MC **82 · Aut 135301 · 12:46</t>
  </si>
  <si>
    <t>Detergente Roma 2kg + Blanqueador Clorox 5.8L</t>
  </si>
  <si>
    <t>Débito **3982 · Aut 161026 · cleaning supplies</t>
  </si>
  <si>
    <t>Yogurt Yalpura 1kg, Tortillas, Bolillo</t>
  </si>
  <si>
    <t>Débito BBVA **3982 · Aut 411221</t>
  </si>
  <si>
    <t>2 H de Sirloin + Papa Harvest 13.62 kg</t>
  </si>
  <si>
    <t>ALICO</t>
  </si>
  <si>
    <t>Sirloin $760 + Papa $690</t>
  </si>
  <si>
    <t>Jamón Pierna, Queso Mozzarella, Chiles Rodajas</t>
  </si>
  <si>
    <t>San Juan Salchichonerías</t>
  </si>
  <si>
    <t>Débito MC **3982 · Ticket 0250950</t>
  </si>
  <si>
    <t>Costilla $267 + Bistec $96 + Tocino $237</t>
  </si>
  <si>
    <t>Getnet **3982 · Aut 349371</t>
  </si>
  <si>
    <t>Telmex Internet (monthly)</t>
  </si>
  <si>
    <t>Utilities/Internet</t>
  </si>
  <si>
    <t>Transfer</t>
  </si>
  <si>
    <t>No receipt — internet service</t>
  </si>
  <si>
    <t>Aceite La Posada 800 (x4)</t>
  </si>
  <si>
    <t>Folio 177330 · oil</t>
  </si>
  <si>
    <t>Muslo (chicken thigh) 2.98 kg @ $50</t>
  </si>
  <si>
    <t>Oh lele / Local</t>
  </si>
  <si>
    <t>Nota de remisión</t>
  </si>
  <si>
    <t>Frijol Negro Granel (x4)</t>
  </si>
  <si>
    <t>Nota 201921</t>
  </si>
  <si>
    <t>Aceite La Posada 800 (x2)</t>
  </si>
  <si>
    <t>Folio 177958 · oil</t>
  </si>
  <si>
    <t>Débito **3982 · Folio 178400</t>
  </si>
  <si>
    <t>Queso Gouda Menona 2.01 kg @ $135</t>
  </si>
  <si>
    <t>Nota 0032364 (Oh lele)</t>
  </si>
  <si>
    <t>Arrachera (beef)</t>
  </si>
  <si>
    <t>Getnet **3982 · Aut 941892</t>
  </si>
  <si>
    <t>Salsa BBQ 3.8L + Pan hamburguesa x12 + Pan arándano x4</t>
  </si>
  <si>
    <t>REAL La Cruz</t>
  </si>
  <si>
    <t>Folio 4323 · less $6 desc</t>
  </si>
  <si>
    <t>Hamburguesa Vegetal + Eggo Waffles</t>
  </si>
  <si>
    <t>Costco Querétaro</t>
  </si>
  <si>
    <t>Amex **1000 · Ticket 5774</t>
  </si>
  <si>
    <t>Tortillas Blanca 4.980 kg</t>
  </si>
  <si>
    <t>Crédito BBVA **2684 · Folio 0011</t>
  </si>
  <si>
    <t>Samu — Ayudante Week 5 (incl. $400 mesero top-up)</t>
  </si>
  <si>
    <t>Payroll</t>
  </si>
  <si>
    <t>$800 base + $400 covering mesero (no mesero hired)</t>
  </si>
  <si>
    <t>Duvi/Debi — Limpieza Week 5</t>
  </si>
  <si>
    <t>Weekly wage</t>
  </si>
  <si>
    <t>John — Head Chef Week 5 (full week)</t>
  </si>
  <si>
    <t>Propinas restaurant top-up - Week 5 (370 paid to staff vs 249 card tips collected)</t>
  </si>
  <si>
    <t>Payroll / Tips</t>
  </si>
  <si>
    <t>Staff - Propinas</t>
  </si>
  <si>
    <t>Card tips 249; payouts John 150 + Duvi 120 + Samu 100 = 370; restaurant covers 121</t>
  </si>
  <si>
    <t>Cuchara de Moka 6pcs 10.5cm (x2)</t>
  </si>
  <si>
    <t>Small China</t>
  </si>
  <si>
    <t>Kitchen Supplies</t>
  </si>
  <si>
    <t>Tarjeta crédito · serial D2606031530065 (back-dated 3 Jun)</t>
  </si>
  <si>
    <t>Topo Chico (2 packs)</t>
  </si>
  <si>
    <t>Soft Restaurant — POS app subscription</t>
  </si>
  <si>
    <t>Soft Restaurant</t>
  </si>
  <si>
    <t>Software/Subscription</t>
  </si>
  <si>
    <t>No receipt · POS software subscription</t>
  </si>
  <si>
    <t>Morrón surtido, espinaca, betabel</t>
  </si>
  <si>
    <t>Verduras Selectas Oscar</t>
  </si>
  <si>
    <t>Champiñón 1.02kg + Manzana Mexicana 1.13kg</t>
  </si>
  <si>
    <t>Ticket 26351 (incl. apple)</t>
  </si>
  <si>
    <t>Huevo (2 conos)</t>
  </si>
  <si>
    <t>Jaime (Mercado Abastos)</t>
  </si>
  <si>
    <t>Ingredients - Eggs</t>
  </si>
  <si>
    <t>Zanahoria, jalapeño, serrano, cebolla</t>
  </si>
  <si>
    <t>Mi Joven</t>
  </si>
  <si>
    <t>Folio 19465</t>
  </si>
  <si>
    <t>Calabaza 1.7kg</t>
  </si>
  <si>
    <t>Folio 19466</t>
  </si>
  <si>
    <t>Tomate, limón, pepino, jícama</t>
  </si>
  <si>
    <t>Handwritten note</t>
  </si>
  <si>
    <t>Jitomate 7kg</t>
  </si>
  <si>
    <t>Frutas Finas Ana Pao</t>
  </si>
  <si>
    <t>Sandía, papaya, plátano, melón</t>
  </si>
  <si>
    <t>Papa (3 x $35)</t>
  </si>
  <si>
    <t>Aguacate Hass + habanero</t>
  </si>
  <si>
    <t>Hass $94 + habanero $120</t>
  </si>
  <si>
    <t>Chicharrón (1 hoja)</t>
  </si>
  <si>
    <t>Chicharronería San Nicolás</t>
  </si>
  <si>
    <t>Corrected to \ per Reddy (was read as 899)</t>
  </si>
  <si>
    <t>Vasos, tapas, cucharas, biocup vaso papel</t>
  </si>
  <si>
    <t>MPPD - Materias Primas Plasticos</t>
  </si>
  <si>
    <t>Packaging/Disposables</t>
  </si>
  <si>
    <t>Folio 381088</t>
  </si>
  <si>
    <t>Cilantro, hierbabuena, lechuga italiana</t>
  </si>
  <si>
    <t>Hnos. Labra's</t>
  </si>
  <si>
    <t>Pens (office/stationery)</t>
  </si>
  <si>
    <t>Office Supplies</t>
  </si>
  <si>
    <t>Restaurant Command booklet (comandas)</t>
  </si>
  <si>
    <t>No receipt — order pads</t>
  </si>
  <si>
    <t>Pollo: muslo 4.95kg, pechuga 3.32kg, milanesa 1.64kg, ala 1.74kg</t>
  </si>
  <si>
    <t>Polleria local</t>
  </si>
  <si>
    <t>Nota remision LOKA Cafe</t>
  </si>
  <si>
    <t>Carne ~3 kg</t>
  </si>
  <si>
    <t>Getnet 3982 Aut 358593</t>
  </si>
  <si>
    <t>Agua natural</t>
  </si>
  <si>
    <t>Pan dulces</t>
  </si>
  <si>
    <t>Panko (x2)</t>
  </si>
  <si>
    <t>Nota 202067 back-dated 19 Jun; paid by another person, reimbursed by Lohith 22-Jun</t>
  </si>
  <si>
    <t>Papel alimenticio (food paper)</t>
  </si>
  <si>
    <t>Folio XCC37706 back-dated 19 Jun; paid by another person, reimbursed by Lohith 22-Jun</t>
  </si>
  <si>
    <t>Sushi ingredients: arroz para sushi + alga nori</t>
  </si>
  <si>
    <t>CB PROSA 3982 Aut 766296 (part of 366 ticket)</t>
  </si>
  <si>
    <t>Sushi supplies: makisu mat + palillos</t>
  </si>
  <si>
    <t>Part of 366 H-E-B ticket</t>
  </si>
  <si>
    <t>Carne / meat (handwritten remision)</t>
  </si>
  <si>
    <t>Getnet 3982 Aut 993325</t>
  </si>
  <si>
    <t>Pan molido (breadcrumbs)</t>
  </si>
  <si>
    <t>Tortillas blanca 3.395 kg</t>
  </si>
  <si>
    <t>Debito BBVA 3982 Aut 651338 Folio 2606230937026818</t>
  </si>
  <si>
    <t>Queso crema Lala 190g x2</t>
  </si>
  <si>
    <t>Debito BBVA 3982; Chedraui Paseo ticket total 126.33 (crema+tortillas), dairy portion</t>
  </si>
  <si>
    <t>Tortillas blancas x2</t>
  </si>
  <si>
    <t>Debito BBVA 3982; same Chedraui ticket, bread portion</t>
  </si>
  <si>
    <t>Crema acida x2</t>
  </si>
  <si>
    <t>Debito Mastercard **82; Sam's ticket 1512.00 net of cuponera -32.73 + descuento -34.77; dairy portion of split</t>
  </si>
  <si>
    <t>Condimix 3.6, Mayo Real, Arroz Morel</t>
  </si>
  <si>
    <t>Debito Mastercard **82; pantry portion of 1512.00 Sam's ticket</t>
  </si>
  <si>
    <t>Gas LP</t>
  </si>
  <si>
    <t>Gas Tomza de Mexico</t>
  </si>
  <si>
    <t>Utilities/Gas</t>
  </si>
  <si>
    <t>Remision 8900 @ $10.58/L IVA incl; pague antes 25/06; paid cash</t>
  </si>
  <si>
    <t>Filete de salmon 1.03 kg @ 350/kg</t>
  </si>
  <si>
    <t>Contado; NT 027672</t>
  </si>
  <si>
    <t>Naranjada 1L x6</t>
  </si>
  <si>
    <t>Nota QR-37; 6 pzas; canje CJ-4 (horchata/naranjada/tamarindo) $0; paid cash</t>
  </si>
  <si>
    <t>Papas (potatoes)</t>
  </si>
  <si>
    <t>Muslo (chicken thigh) ~12.3 kg @ $50/kg</t>
  </si>
  <si>
    <t>Nota de remision (handwritten, Loka Cafe); total $615; cash</t>
  </si>
  <si>
    <t>Costilla cd (pork ribs) 3.15 kg @ ~$103/kg</t>
  </si>
  <si>
    <t>Remision ~319 handwritten; Getnet card charge 318.00; card **3982 Aut 298095; LC remision partly illegible</t>
  </si>
  <si>
    <t>Frigadora (kitchenware)</t>
  </si>
  <si>
    <t>Gancho (hook)</t>
  </si>
  <si>
    <t>Zanahoria, cilantro, tomate (granel)</t>
  </si>
  <si>
    <t>Debito BBVA 3982; Chedraui ticket total 99.53 (veg+tortillas), veg portion</t>
  </si>
  <si>
    <t>Curcuma (turmeric) 70g</t>
  </si>
  <si>
    <t>Efectivo; ticket 215/07/02997</t>
  </si>
  <si>
    <t>Mi Huevo Blanco (white eggs) 5.59 kg @ $24/kg</t>
  </si>
  <si>
    <t>Delgado Semillas y Especias</t>
  </si>
  <si>
    <t>Folio 134837; efectivo</t>
  </si>
  <si>
    <t>Dart lids 10oz + Dart cups 10 + aluminum foil 45cm</t>
  </si>
  <si>
    <t>Basicos en Alimentos</t>
  </si>
  <si>
    <t>Ticket Sec 93; 403.72 less desc 8.72; tarjeta debito</t>
  </si>
  <si>
    <t>Fajilla de papel economica 1000pz</t>
  </si>
  <si>
    <t>Folio AK89660; tarjeta debito</t>
  </si>
  <si>
    <t>Vaso plastico 4CH Reyma 20/50 + Tapa vaso 20/50</t>
  </si>
  <si>
    <t>Folio AK89656; ahorro 92; tarjeta debito</t>
  </si>
  <si>
    <t>Gelatina D'Gari (durazno, fresa, pina) 120g</t>
  </si>
  <si>
    <t>Ticket Sec 77; dessert gelatin</t>
  </si>
  <si>
    <t>Clorox King 5.8L + Detergente Roma 5kg</t>
  </si>
  <si>
    <t>Ticket Sec 77; cleaning</t>
  </si>
  <si>
    <t>Servilleta Maxima cuadrada 500pz x8</t>
  </si>
  <si>
    <t>Ticket Sec 77; napkins</t>
  </si>
  <si>
    <t>Manzana (apple)</t>
  </si>
  <si>
    <t>Pepino (cucumber)</t>
  </si>
  <si>
    <t>Tomate verde (tomatillo)</t>
  </si>
  <si>
    <t>Guayaba (guava)</t>
  </si>
  <si>
    <t>Platano (banana)</t>
  </si>
  <si>
    <t>Betabel (beet)</t>
  </si>
  <si>
    <t>Nopal (cactus)</t>
  </si>
  <si>
    <t>Jitomate (tomato)</t>
  </si>
  <si>
    <t>Lechuga italiana</t>
  </si>
  <si>
    <t>Espinaca (spinach)</t>
  </si>
  <si>
    <t>Limones (limes)</t>
  </si>
  <si>
    <t>Verduras variadas (vegetables)</t>
  </si>
  <si>
    <t>Frutas variadas (fruit)</t>
  </si>
  <si>
    <t>Samu — Ayudante Week 6</t>
  </si>
  <si>
    <t>Week 6 salary, paid Friday</t>
  </si>
  <si>
    <t>John — Head Chef Week 6 (full week)</t>
  </si>
  <si>
    <t>Week 6 salary, paid Saturday</t>
  </si>
  <si>
    <t>Duvi/Debi — Limpieza Week 6</t>
  </si>
  <si>
    <t>Towel (kitchen)</t>
  </si>
  <si>
    <t>Tienda China (variety store)</t>
  </si>
  <si>
    <t>No bill; bought from small china/variety store</t>
  </si>
  <si>
    <t>Tortillas blancas 3.965kg + Rosca de nuez</t>
  </si>
  <si>
    <t>Debito BBVA 3982; digital ticket FOLIO ...0050; IEPS 8% on rosca</t>
  </si>
  <si>
    <t>Pechuga (chicken breast) ~4.29kg @ $115/kg</t>
  </si>
  <si>
    <t>Nota de remision (Loka Cafe); ticket total 967 (pechuga+milanesa)</t>
  </si>
  <si>
    <t>Milanesa ~3.79kg @ $125/kg</t>
  </si>
  <si>
    <t>Nota de remision (Loka Cafe); same ticket</t>
  </si>
  <si>
    <t>Frijol pinto a granel x2</t>
  </si>
  <si>
    <t>Nota 203548; efectivo</t>
  </si>
  <si>
    <t>Jamon Americano San Antonio 2.055kg @ $86.50/kg</t>
  </si>
  <si>
    <t>Debito Mastercard 3982; ticket 0254555; net of 17.47 desc</t>
  </si>
  <si>
    <t>Arrachera 1.05kg @ $270/kg</t>
  </si>
  <si>
    <t>Kamy Karnes</t>
  </si>
  <si>
    <t>Nota de venta 0971; method assumed Cash -- CONFIRM if card</t>
  </si>
  <si>
    <t>Bistec + tocino</t>
  </si>
  <si>
    <t>Meat portion of Getnet card charge 1054.00 (Aut 236713, **3982): bistec ~292 + tocino ~123; papas portion logged separately</t>
  </si>
  <si>
    <t>Papas a la francesa (frozen French fries)</t>
  </si>
  <si>
    <t>Frozen French fries; portion of Getnet card charge 1054.00 (Aut 236713, **3982); the ~639 item on the LC remision</t>
  </si>
  <si>
    <t>Renta media mensualidad Mayo 2026 (duenos anteriores)</t>
  </si>
  <si>
    <t>Previous Owners (landlord)</t>
  </si>
  <si>
    <t>May half-month rent (partial first month); transferred by Lohith to previous owners; reimbursable</t>
  </si>
  <si>
    <t>Pan Dulces (no bill receipt)</t>
  </si>
  <si>
    <t>No receipt available; cash purchase</t>
  </si>
  <si>
    <t>Tortillas blancas 2.055kg + Bolillo x6</t>
  </si>
  <si>
    <t>Debito BBVA; ticket 30-Jun 08:38</t>
  </si>
  <si>
    <t>Pan hamburguesa ajonjoli x24, pan caja arandano 900g x4, chapata x24</t>
  </si>
  <si>
    <t>Productos Real La Cruz</t>
  </si>
  <si>
    <t>Tarjeta debito; base $740 - $12 desc = $728; folio 4423</t>
  </si>
  <si>
    <t>Queso Gouda Menona 2.06kg @ $135/kg</t>
  </si>
  <si>
    <t>Efectivo; nota 0032709</t>
  </si>
  <si>
    <t>Miscelanea LC remision (2 lineas manuscritas ilegibles)</t>
  </si>
  <si>
    <t>Getnet $436 autoritativo (Aut 785588, 11:38); lineas ~$197 + 'CH Alto' ~$239 ilegibles - confirmar articulos</t>
  </si>
  <si>
    <t>Aceite La Posada 800 x2</t>
  </si>
  <si>
    <t>OXXO 09:14; cooking oil</t>
  </si>
  <si>
    <t>Horchata/Jamaica/Limonada 1L x6 c/u (18 pzas)</t>
  </si>
  <si>
    <t>Nota venta ruta preventa Casa Reca; facturado a 'CAFE OH LELE' = nombre anterior de LOKA (OK); efectivo confirmado</t>
  </si>
  <si>
    <t>Salchicha nortena p/asar 1kg</t>
  </si>
  <si>
    <t>Ticket 0255365 La Cruz 14:49; tarjeta Banregio</t>
  </si>
  <si>
    <t>Debito BBVA; 08:55</t>
  </si>
  <si>
    <t>Muslo (pollo) 5.23kg @ $50/kg</t>
  </si>
  <si>
    <t>Remision Loka Cafe</t>
  </si>
  <si>
    <t>Nota remision manuscrita; 5.23x50=261.50, total escrito $262; metodo no confirmado</t>
  </si>
  <si>
    <t>Rosca chocolate base + salchicha p/asar 800 x2</t>
  </si>
  <si>
    <t>Cuenta tarjeta ***3982; rosca $105 + salchicha $141.80; incl IEPS</t>
  </si>
  <si>
    <t>Aceite La Posada 800 x12</t>
  </si>
  <si>
    <t>BBVA debito ML ***3982 AUT 922070; 18:35; cooking oil</t>
  </si>
  <si>
    <t>Pork Belly</t>
  </si>
  <si>
    <t>No receipt; cash purchase</t>
  </si>
  <si>
    <t>Carne molida</t>
  </si>
  <si>
    <t>Agua Ciel</t>
  </si>
  <si>
    <t>Hielos</t>
  </si>
  <si>
    <t>Tomatoes</t>
  </si>
  <si>
    <t>Bistec puerco (pork steak)</t>
  </si>
  <si>
    <t>Muslo (pollo) 3.79kg @ $50/kg</t>
  </si>
  <si>
    <t>Nota remision manuscrita; 3.79x50; efectivo</t>
  </si>
  <si>
    <t>Muslo (pollo) 2.30kg @ $50/kg</t>
  </si>
  <si>
    <t>Nota remision manuscrita; 2.30x50=115; efectivo</t>
  </si>
  <si>
    <t>Mayo Real x2 + Leche entera (Sam's Club)</t>
  </si>
  <si>
    <t>Debito Mastercard Bancomer AUT 733600; mayo $544.24 + leche $284.39 - desc $18.63 = 810</t>
  </si>
  <si>
    <t>Filete mojarra de mar 3.14kg @ $140/kg</t>
  </si>
  <si>
    <t>Pescados y mariscos 08:44; metodo no impreso (asumido efectivo)</t>
  </si>
  <si>
    <t>Vegetales</t>
  </si>
  <si>
    <t>Samu — Ayudante Week 7</t>
  </si>
  <si>
    <t>Week 7 salary, paid Friday 03 Jul ($800 base + $400 mesero top-up)</t>
  </si>
  <si>
    <t>Zanahoria 3kg, Limon 3kg, Cebolla 3kg</t>
  </si>
  <si>
    <t>Mercado de Abastos folio 21212; efectivo</t>
  </si>
  <si>
    <t>Papas 6 x $35</t>
  </si>
  <si>
    <t>6x35=210; efectivo</t>
  </si>
  <si>
    <t>Verduras/hierbas mixtas (col, espinacas, hierbabuena, champinones, betabeles, lechugas, jengibre)</t>
  </si>
  <si>
    <t>Suma lineas=339; efectivo</t>
  </si>
  <si>
    <t>Guayaba (1 primera)</t>
  </si>
  <si>
    <t>Guayabas Aviles Hernandez</t>
  </si>
  <si>
    <t>Total ~$150; efectivo</t>
  </si>
  <si>
    <t>Citricos Sanchez</t>
  </si>
  <si>
    <t>Folio 7244; total $49 (detalle de linea poco legible)</t>
  </si>
  <si>
    <t>Cubiertos soperos desechables (tenedor/cuchara/cuchillo)</t>
  </si>
  <si>
    <t>Folio AK90544; tarjeta de credito</t>
  </si>
  <si>
    <t>Melon</t>
  </si>
  <si>
    <t>Frutas de Temporada Jose</t>
  </si>
  <si>
    <t>Solo melon $30; sin total impreso</t>
  </si>
  <si>
    <t>Morron surtido</t>
  </si>
  <si>
    <t>Morron $20; sin total impreso</t>
  </si>
  <si>
    <t>Fresa 0.775kg @ $65/kg</t>
  </si>
  <si>
    <t>Nota manuscrita</t>
  </si>
  <si>
    <t>.775x65=50; efectivo</t>
  </si>
  <si>
    <t>Gelatinas, hot cakes, jarabe, verduras congeladas</t>
  </si>
  <si>
    <t>Total $358 - desc $3.50 = $354.50; tarjeta</t>
  </si>
  <si>
    <t>Melocoton 2.5kg + Platano</t>
  </si>
  <si>
    <t>Melocoton $50 + platano $18 = $68; efectivo</t>
  </si>
  <si>
    <t>Papaya total $36; efectivo</t>
  </si>
  <si>
    <t>Granola 400g + Tortillas blancas 4.435kg</t>
  </si>
  <si>
    <t>Granola $53 + tortillas $55.43; debito ***0311</t>
  </si>
  <si>
    <t>Jitomate 8.3kg + Aguacate Hass</t>
  </si>
  <si>
    <t>Jitomate $100 + hass $26 = $126; sin total impreso</t>
  </si>
  <si>
    <t>John — Head Chef Week 7</t>
  </si>
  <si>
    <t>Week 7 salary, paid Saturday 04 Jul (usual $3,750; $50 higher this week)</t>
  </si>
  <si>
    <t>Duvi/Debi — Limpieza Week 7 (5 days)</t>
  </si>
  <si>
    <t>Week 7, worked 5 days @ $250/day = $1,250, paid Saturday 04 Jul</t>
  </si>
  <si>
    <t>Renta mensual (pagada con capital)</t>
  </si>
  <si>
    <t>Arrendador</t>
  </si>
  <si>
    <t>Capital</t>
  </si>
  <si>
    <t>Renta pagada con dinero de CAPITAL (no de caja operativa). Es gasto operativo (P&amp;L) y operaciones deben este monto al capital. Excluida del roll de efectivo por paid=Capital.</t>
  </si>
  <si>
    <t>Miscelanea LC remision (lineas ilegibles)</t>
  </si>
  <si>
    <t>Getnet $974 autoritativo (Aut 6B6666, 15:52); carniceria/meat shop; lineas manuscritas ilegibles</t>
  </si>
  <si>
    <t>Getnet $289 autoritativo (Aut 722687, 09:45); carniceria/meat shop; lineas manuscritas ilegibles</t>
  </si>
  <si>
    <t>Pasta seca (codo, caracol, spaguetti, estrella)</t>
  </si>
  <si>
    <t>Tres B</t>
  </si>
  <si>
    <t>Ticket 31 08:50; tarjeta ML ***3982</t>
  </si>
  <si>
    <t>Coca-Cola 600ml x2 + Crema acida x2</t>
  </si>
  <si>
    <t>Coca 2x485.92 + crema 2x240.40 - desc 32.64; debito ***82; 11:01</t>
  </si>
  <si>
    <t>Queso x2</t>
  </si>
  <si>
    <t>Walmart</t>
  </si>
  <si>
    <t>GV QSO 37x2; debito ***82; 11:17</t>
  </si>
  <si>
    <t>Milanesa 1.53kg + Muslo 10.18kg + Pechuga 3.69kg</t>
  </si>
  <si>
    <t>Milanesa $199 + muslo $509 + pechuga $425 = $1133; efectivo</t>
  </si>
  <si>
    <t>No receipt; cash</t>
  </si>
  <si>
    <t>Tortillas blancas x2 + Rosca de nuez</t>
  </si>
  <si>
    <t>Debito BBVA ***3982 09:31; tortillas $50.43 + rosca nuez $89</t>
  </si>
  <si>
    <t>Terminal rolls (rollos POS)</t>
  </si>
  <si>
    <t>No receipt; cash; amount confirmed by owner</t>
  </si>
  <si>
    <t>Lomo (cerdo)</t>
  </si>
  <si>
    <t>Nota remision IMG_5162; lomo $200; efectivo</t>
  </si>
  <si>
    <t>Cebolla morada, mango, crema, tortillas</t>
  </si>
  <si>
    <t>Debito Bancomer ***0863; 19:00</t>
  </si>
  <si>
    <t>Salsa BBQ Mr Wings + Salsa Mr Wings 3.8L + Pan caja masa madre</t>
  </si>
  <si>
    <t>Ticket venta folio 4518; debito; salsas $431 + pan $75</t>
  </si>
  <si>
    <t>Milaneza de cerdo 3.04kg @ $95</t>
  </si>
  <si>
    <t>Carnicos Frescos (Central de Abastos)</t>
  </si>
  <si>
    <t>Folio 74169; maciza/molida</t>
  </si>
  <si>
    <t>Pescado/mariscos</t>
  </si>
  <si>
    <t>Pescados y mariscos; NT 092008 12:21</t>
  </si>
  <si>
    <t>Water cans</t>
  </si>
  <si>
    <t>Jamon</t>
  </si>
  <si>
    <t>Tostadas</t>
  </si>
  <si>
    <t>Kinder</t>
  </si>
  <si>
    <t>No receipt; cash; snack/confectionery</t>
  </si>
  <si>
    <t>Saladitas</t>
  </si>
  <si>
    <t>No receipt; cash; crackers</t>
  </si>
  <si>
    <t>Oreo</t>
  </si>
  <si>
    <t>No receipt; cash; cookies</t>
  </si>
  <si>
    <t>Samu — Ayudante Week 8</t>
  </si>
  <si>
    <t>Week 8 salary, paid Friday 10 Jul ($800 base + $400 mesero top-up)</t>
  </si>
  <si>
    <t>Sam's Club: corte recto, arroz/cebolla, dedos queso, tomate cherry, azucar, cafe, jarabe Hershey, Oroweat, Kraft parmesano, champinon, germinado</t>
  </si>
  <si>
    <t>Visa debito ***63 AUT 867321; 11-Jul 11:06. Comprado en la tarjeta de Shashirekha; se le reembolsa con DINERO DEL RESTAURANTE (gasto operativo normal, paid=Restaurant).</t>
  </si>
  <si>
    <t>John — Head Chef Week 8</t>
  </si>
  <si>
    <t>Week 8 salary, paid Saturday 11 Jul. $4,000 (vs $3,750-3,800 normal) — cubrio parte del trabajo de Duvi durante su ausencia.</t>
  </si>
  <si>
    <t>Duvi/Debi — Limpieza Week 8</t>
  </si>
  <si>
    <t>Week 8, paid Saturday 11 Jul. Trabajo 4 dias @ $250 = $1,000 (semana previa $1,250 por 5 dias).</t>
  </si>
  <si>
    <t>Pan dulce</t>
  </si>
  <si>
    <t>Queso panela</t>
  </si>
  <si>
    <t>Aceite (Oxxo)</t>
  </si>
  <si>
    <t>Agua</t>
  </si>
  <si>
    <t>Pagado personalmente por Lohith (13-Jul); gasto operativo real, reembolsable via Owner Ledger. No salió de la caja.</t>
  </si>
  <si>
    <t>Aceite</t>
  </si>
  <si>
    <t>Clorox</t>
  </si>
  <si>
    <t>Clorox 3.8L + Tortillas blancas x3 + Rosca marmoleada + Bolillo x6</t>
  </si>
  <si>
    <t>Debito BBVA ***3982 AUT 312881; 14-Jul 09:17; subtotal $228 - desc $3.62 = $224.38</t>
  </si>
  <si>
    <t>Mojarra (pescado)</t>
  </si>
  <si>
    <t>Italpast 1kg x5</t>
  </si>
  <si>
    <t>Sam's $195 (sub $199.50 - desc $4.50). Pagado en EFECTIVO por LOHITH (bolsillo propio, no de la caja). Reembolsable via Owner Ledger.</t>
  </si>
  <si>
    <t>Leche deslactosada, Unico fresco, Crutones</t>
  </si>
  <si>
    <t>Debito ***3982 ticket 1672; total $615 (sub $629.13 - desc $14.13)</t>
  </si>
  <si>
    <t>Snickers, Queso Philadelphia x2, tortillas, baguette</t>
  </si>
  <si>
    <t>Debito ***3982 AUT 305923; sub $286.87 - desc $3.01 = $282.86</t>
  </si>
  <si>
    <t>Telmex (internet/telefono)</t>
  </si>
  <si>
    <t>No receipt; cash; monthly internet/phone</t>
  </si>
  <si>
    <t>Vasos plastico + Reyma tapas (desechables)</t>
  </si>
  <si>
    <t>Folio XCC39648; disposables</t>
  </si>
  <si>
    <t>Jamaica</t>
  </si>
  <si>
    <t>Molino La Cruz; jamaica (agua fresca)</t>
  </si>
  <si>
    <t>Nota de venta 16-Jul</t>
  </si>
  <si>
    <t>Fideo La Moderna x3</t>
  </si>
  <si>
    <t>3x $17; Mercado Libre contactless</t>
  </si>
  <si>
    <t>Wine glasses</t>
  </si>
  <si>
    <t>No receipt; cash; glassware</t>
  </si>
  <si>
    <t>Salvo (lavatrastes)</t>
  </si>
  <si>
    <t>No receipt; cash; dish soap</t>
  </si>
  <si>
    <t>Topo Chico (Oxxo)</t>
  </si>
  <si>
    <t>Pan y salsas</t>
  </si>
  <si>
    <t>Pan Reales</t>
  </si>
  <si>
    <t>Pan + salsas; gasto de 11-Jul agregado despues (missed en el EOD original)</t>
  </si>
  <si>
    <t>John (Head Chef) — pago por quedarse tarde (wine party)</t>
  </si>
  <si>
    <t>Pago extra al chef por trabajar tarde en el evento de vino (16-Jul). Sueldo/bono, no propina.</t>
  </si>
  <si>
    <t>Arroz (Oxxo)</t>
  </si>
  <si>
    <t>Pollo pagado personalmente por Lohith (17-Jul); gasto operativo real, reembolsable via Owner Ledger. No salio de la caja.</t>
  </si>
  <si>
    <t>Chedraui (varios)</t>
  </si>
  <si>
    <t>No receipt provided; cash</t>
  </si>
  <si>
    <t>Samu — Ayudante Week 9</t>
  </si>
  <si>
    <t>Week 9 salary, paid Friday 17 Jul</t>
  </si>
  <si>
    <t>John — Head Chef Week 9</t>
  </si>
  <si>
    <t>Week 9 salary, paid Saturday 18 Jul</t>
  </si>
  <si>
    <t>Duvi/Debi — Limpieza Week 9</t>
  </si>
  <si>
    <t>Week 9 salary, paid Saturday 18 Jul (full week)</t>
  </si>
  <si>
    <t>Milk (Oxxo)</t>
  </si>
  <si>
    <t>Pagado por Lohith (bolsillo); reembolsable via Owner Ledger; no de la caja</t>
  </si>
  <si>
    <t>Hielo (Oxxo)</t>
  </si>
  <si>
    <t>Hielos (mercado)</t>
  </si>
  <si>
    <t>Sam's Club (varios)</t>
  </si>
  <si>
    <t>No receipt provided; restaurant-paid</t>
  </si>
  <si>
    <t>No receipt; cash; added later (Saturday expense)</t>
  </si>
  <si>
    <t>Carnes</t>
  </si>
  <si>
    <t>Carne de hamburguesa</t>
  </si>
  <si>
    <t>Avia Reca (bebidas)</t>
  </si>
  <si>
    <t>Reca</t>
  </si>
  <si>
    <t>Marca de bebidas; gasto operativo recurrente de inventario de bebidas.</t>
  </si>
  <si>
    <t>Elote (Oxxo)</t>
  </si>
  <si>
    <t>Tilapia</t>
  </si>
  <si>
    <t>No receipt; cash; pescado</t>
  </si>
  <si>
    <t>Soft Restaurant app subscription</t>
  </si>
  <si>
    <t>Suscripcion MENSUAL recurrente del software POS Soft Restaurant. Gasto OPERATIVO (no capital) - se repite cada mes.</t>
  </si>
  <si>
    <t>Groceries (Tres B)</t>
  </si>
  <si>
    <t>No receipt provided; cash; abarrotes</t>
  </si>
  <si>
    <t>Vasos plast. 12 + Reyma tapas + bolsa negra + stretch film</t>
  </si>
  <si>
    <t>Folio AK93904 10:48. Pagado con tarjeta de Lohith pero YA reembolsado con dinero del restaurante -&gt; gasto del restaurante, sin entrada en Owner Ledger.</t>
  </si>
  <si>
    <t>Elote Herdez, agua mineral, detergente 5kg, tortillas, bolillo, rosca de nuez</t>
  </si>
  <si>
    <t>Debito BBVA ***3982 AUT 006060; 23-Jul 11:34; 16 articulos</t>
  </si>
  <si>
    <t>Contenedor termico 8x8D + papel alimenticio + bolsa poliseda + bolsa en rollo</t>
  </si>
  <si>
    <t>Folio AK93900 10:37. Term.8x8D 8x115.25=922 + papel alim. 275 + bolsa poliseda 2x82=164 + bolsa rollo 1.65x73=120.45. Tarjeta de Lohith, YA reembolsado con dinero del restaurante -&gt; sin entrada en Owner Ledger.</t>
  </si>
  <si>
    <t>Pan molido</t>
  </si>
  <si>
    <t>No receipt; cash; breadcrumbs</t>
  </si>
  <si>
    <t>Azucar (Oxxo)</t>
  </si>
  <si>
    <t>Samu — Ayudante Week 10</t>
  </si>
  <si>
    <t>Week 10 salary, paid Friday 24 Jul</t>
  </si>
  <si>
    <t>Carne bistec</t>
  </si>
  <si>
    <t>John — Head Chef Week 10</t>
  </si>
  <si>
    <t>Week 10 salary, paid Saturday 25 Jul</t>
  </si>
  <si>
    <t>Duvi/Debi — Limpieza Week 10</t>
  </si>
  <si>
    <t>Week 10 salary, paid Saturday 25 Jul (full week)</t>
  </si>
  <si>
    <t>Vegetables (Central de Abastos)</t>
  </si>
  <si>
    <t>No receipt; cash; compra semanal (domingo, restaurante cerrado)</t>
  </si>
  <si>
    <t>No receipt; cash; domingo shopping</t>
  </si>
  <si>
    <t>No receipt provided; restaurant-paid; domingo shopping</t>
  </si>
  <si>
    <t>Sams Club</t>
  </si>
  <si>
    <t>Utensils Sushi Kit</t>
  </si>
  <si>
    <t>Pagado por Lohith (bolsillo); reembolsable via Owner Ledger</t>
  </si>
  <si>
    <t>Atun</t>
  </si>
  <si>
    <t>Chedraui Mantequilla</t>
  </si>
  <si>
    <t>Arroz Sushi HEB</t>
  </si>
  <si>
    <t>Pescado</t>
  </si>
  <si>
    <t>Tomato</t>
  </si>
  <si>
    <t>Mango</t>
  </si>
  <si>
    <t>Lemon</t>
  </si>
  <si>
    <t>Oxxo Arroz</t>
  </si>
  <si>
    <t>Samu - salary</t>
  </si>
  <si>
    <t>Weekly salary</t>
  </si>
  <si>
    <t>Potato</t>
  </si>
  <si>
    <t>Gas</t>
  </si>
  <si>
    <t>Duvi - salary</t>
  </si>
  <si>
    <t>Jhon - salary</t>
  </si>
  <si>
    <t>📦  LOKA — INVENTORY</t>
  </si>
  <si>
    <t>Update stock levels when you receive deliveries or do stock checks</t>
  </si>
  <si>
    <t>TOTAL ITEMS</t>
  </si>
  <si>
    <t>⚠️ LOW STOCK</t>
  </si>
  <si>
    <t>LOW STOCK #</t>
  </si>
  <si>
    <t>🚫 OUT OF STOCK</t>
  </si>
  <si>
    <t>ALERT COUNT</t>
  </si>
  <si>
    <t>LAST UPDATED</t>
  </si>
  <si>
    <t>Item Name  |  Category  |  Unit  |  Min Stock  |  Current Stock  |  Last Ordered  |  Supplier  |  Status  |  Notes</t>
  </si>
  <si>
    <t>Carne de Res</t>
  </si>
  <si>
    <t>kg</t>
  </si>
  <si>
    <t>Jamon Mexicano</t>
  </si>
  <si>
    <t>Chuletas de Carne</t>
  </si>
  <si>
    <t>Costillas de Cerdo</t>
  </si>
  <si>
    <t>Filete de Mojarra</t>
  </si>
  <si>
    <t>pcs</t>
  </si>
  <si>
    <t>Italiana</t>
  </si>
  <si>
    <t>Habanero</t>
  </si>
  <si>
    <t>Betabel</t>
  </si>
  <si>
    <t>Naranja de Jugo</t>
  </si>
  <si>
    <t>Sandia</t>
  </si>
  <si>
    <t>Guayabas</t>
  </si>
  <si>
    <t>Jicamas</t>
  </si>
  <si>
    <t>Pinas</t>
  </si>
  <si>
    <t>Frutas variadas</t>
  </si>
  <si>
    <t>Queso Crema (Lala)</t>
  </si>
  <si>
    <t>Crema</t>
  </si>
  <si>
    <t>ltr</t>
  </si>
  <si>
    <t>Leche (Nutralat)</t>
  </si>
  <si>
    <t>Azucar</t>
  </si>
  <si>
    <t>Basicos (Varios)</t>
  </si>
  <si>
    <t>Pan Hamburguesa</t>
  </si>
  <si>
    <t>Pan de Caja Arandano</t>
  </si>
  <si>
    <t>Panko</t>
  </si>
  <si>
    <t>Bolillo</t>
  </si>
  <si>
    <t>Limonada Concentrado</t>
  </si>
  <si>
    <t>Naranjada Concentrado</t>
  </si>
  <si>
    <t>Tamarindo Concentrado</t>
  </si>
  <si>
    <t>Chapata</t>
  </si>
  <si>
    <t>Sal Fina</t>
  </si>
  <si>
    <t>Coca Cola</t>
  </si>
  <si>
    <t>Leche Alpura</t>
  </si>
  <si>
    <t>Salsa / Tomate Lata</t>
  </si>
  <si>
    <t>Champiñones</t>
  </si>
  <si>
    <t>Pierna Cerdo</t>
  </si>
  <si>
    <t>Muslo con Hueso</t>
  </si>
  <si>
    <t>Elote en Lata</t>
  </si>
  <si>
    <t>Cebolla</t>
  </si>
  <si>
    <t>Microfibra / Limpieza</t>
  </si>
  <si>
    <t>Supplies / Other</t>
  </si>
  <si>
    <t>Concha Chocolate</t>
  </si>
  <si>
    <t>Frijol Bayos</t>
  </si>
  <si>
    <t>Huevo Bachoco</t>
  </si>
  <si>
    <t>👥  LOKA — STAFF &amp; PAYROLL</t>
  </si>
  <si>
    <t>Weekly schedule + auto payroll calculation</t>
  </si>
  <si>
    <t xml:space="preserve">  STAFF SCHEDULE  —  Week of:</t>
  </si>
  <si>
    <t>Staff Name</t>
  </si>
  <si>
    <t>Role</t>
  </si>
  <si>
    <t>Daily Rate ($)</t>
  </si>
  <si>
    <t>Days Worked</t>
  </si>
  <si>
    <t>Week Pay ($)</t>
  </si>
  <si>
    <t>John</t>
  </si>
  <si>
    <t>Head Chef</t>
  </si>
  <si>
    <t>Full Day</t>
  </si>
  <si>
    <t>Day Off</t>
  </si>
  <si>
    <t>Debi</t>
  </si>
  <si>
    <t>Cleaner</t>
  </si>
  <si>
    <t>Victor (INACTIVE)</t>
  </si>
  <si>
    <t>Mesero — Left after Week 1</t>
  </si>
  <si>
    <t>Judith (RESIGNED)</t>
  </si>
  <si>
    <t>Mesera — Resigned 7 Jun · paid in full 8 Jun</t>
  </si>
  <si>
    <t>Cesar (RESIGNED)</t>
  </si>
  <si>
    <t>Mesero — Started Tue 9 Jun · Resigned · Week 4 paid in full (5 days)</t>
  </si>
  <si>
    <t>Samu</t>
  </si>
  <si>
    <t>Ayudante / Support</t>
  </si>
  <si>
    <t xml:space="preserve">  MONTHLY PAYROLL PROJECTION</t>
  </si>
  <si>
    <t>x Weeks/Month</t>
  </si>
  <si>
    <t>Monthly ($)</t>
  </si>
  <si>
    <t>IMSS / Benefits %</t>
  </si>
  <si>
    <t>Total Monthly Cost ($)</t>
  </si>
  <si>
    <t>Cleaner / Limpieza</t>
  </si>
  <si>
    <t>Mesero (left Wk1)</t>
  </si>
  <si>
    <t>Mesera (resigned)</t>
  </si>
  <si>
    <t>Mesero / Waiter</t>
  </si>
  <si>
    <t>Kitchen Helper</t>
  </si>
  <si>
    <t>TOTAL MONTHLY PAYROLL COST</t>
  </si>
  <si>
    <t>── WEEKLY FIXED COSTS &amp; BREAK-EVEN TARGETS ──</t>
  </si>
  <si>
    <t>COST ITEM</t>
  </si>
  <si>
    <t>WEEKLY ($)</t>
  </si>
  <si>
    <t>MONTHLY EST. ($)</t>
  </si>
  <si>
    <t>NOTES</t>
  </si>
  <si>
    <t>John — Head Chef Salary</t>
  </si>
  <si>
    <t>Confirmed weekly rate</t>
  </si>
  <si>
    <t>Debi — Limpieza Salary</t>
  </si>
  <si>
    <t>Cesar — Mesero Salary (RESIGNED)</t>
  </si>
  <si>
    <t>Resigned — Week 4 paid in full · removed from forward fixed costs</t>
  </si>
  <si>
    <t>Samu — Ayudante Salary</t>
  </si>
  <si>
    <t>Confirmed — $800/week | $160/day | 5 days Mon–Fri | Start 9 Jun 2026</t>
  </si>
  <si>
    <t>Rent + Maintenance (actual — $20,000/mo)</t>
  </si>
  <si>
    <t>Confirmed — $20,000/month actual</t>
  </si>
  <si>
    <t>Utilities — Electricity + Gas (estimated)</t>
  </si>
  <si>
    <t>⏳ Approx — bills pending · electricity + gas</t>
  </si>
  <si>
    <t>TOTAL FIXED COSTS (current)</t>
  </si>
  <si>
    <t>Incl. rent + maintenance + utilities est.</t>
  </si>
  <si>
    <t>── MESERO STATUS — ✅ CESAR + SAMU ACTIVE FROM 9 JUN 2026 ──</t>
  </si>
  <si>
    <t>Judith — Mesera Salary (historical — resigned 7 Jun)</t>
  </si>
  <si>
    <t>Confirmed — $2,000/week · $333.33/day · absent days deducted</t>
  </si>
  <si>
    <t>Current roster: John + Debi + Samu (no mesero)</t>
  </si>
  <si>
    <t>Cesar resigned — fixed costs down $2,000/wk</t>
  </si>
  <si>
    <t>Break-even ≈ $3,758/day (fixed $12,050 + variable $10,500, ÷6 days)</t>
  </si>
  <si>
    <t>── BREAK-EVEN &amp; WEEKLY REVENUE TARGETS ──</t>
  </si>
  <si>
    <t>SCENARIO</t>
  </si>
  <si>
    <t>Fixed Costs ($)</t>
  </si>
  <si>
    <t>Avg Variable Costs ($)</t>
  </si>
  <si>
    <t>MIN Weekly Revenue ($)</t>
  </si>
  <si>
    <t>MIN Daily Revenue ($)</t>
  </si>
  <si>
    <t>Current Avg/Day ($)</t>
  </si>
  <si>
    <t>Without Mesero (NOW)</t>
  </si>
  <si>
    <t>✅ Above break-even — revised down from $3,792 → $3,625/day</t>
  </si>
  <si>
    <t>✅ Current scenario — no mesero (Judith resigned 7 Jun)</t>
  </si>
  <si>
    <t>With Mesero (~$2,250)</t>
  </si>
  <si>
    <t>⚠️ Still below — need +$-11/day when mesero hired</t>
  </si>
  <si>
    <t>⏳ Will update when 2 new staff details confirmed (9 Jun)</t>
  </si>
  <si>
    <t>Safety buffer (+15%)</t>
  </si>
  <si>
    <t>Target for healthy buffer: $4,169/day</t>
  </si>
  <si>
    <t>NOTES:</t>
  </si>
  <si>
    <t>Variable costs = avg ingredients + supplies per week based on Weeks 1-2 actual data (~$10,500)</t>
  </si>
  <si>
    <t>Break-even revised: Rent+Maintenance confirmed $20,000/mo · Utilities est. $4,000/mo → Total overhead $24,000/mo</t>
  </si>
  <si>
    <t>Min daily (no mesero): $3,625 · With mesero: $4,000 · Comfortable target: $4,169+/day</t>
  </si>
  <si>
    <t>Utilities (electricity+gas) ~$4,000/mo is ESTIMATED — update when bills arrive</t>
  </si>
  <si>
    <t>── PROPINAS / TIPS PASS-THROUGH (NOT income, NOT expense) ──</t>
  </si>
  <si>
    <t>Amount</t>
  </si>
  <si>
    <t>John (6 dias)</t>
  </si>
  <si>
    <t>Debi (6 dias)</t>
  </si>
  <si>
    <t>Victor (2 dias)</t>
  </si>
  <si>
    <t>John (Week 2)</t>
  </si>
  <si>
    <t>Duvi/Debi (Week 2)</t>
  </si>
  <si>
    <t>John (Week 4)</t>
  </si>
  <si>
    <t>Duvi/Debi (Week 4)</t>
  </si>
  <si>
    <t>Cesar (Week 4)</t>
  </si>
  <si>
    <t>Samu (Week 4)</t>
  </si>
  <si>
    <t>Duvi/Debi (Week 5 partial)</t>
  </si>
  <si>
    <t>John (Week 5 partial)</t>
  </si>
  <si>
    <t>Samu (Week 5)</t>
  </si>
  <si>
    <t>John (Week 8: 6-12 Jul)</t>
  </si>
  <si>
    <t>Duvi/Debi (Week 8: 6-12 Jul)</t>
  </si>
  <si>
    <t>Samu (Week 8: 6-12 Jul)</t>
  </si>
  <si>
    <t>John (Week 9: 13-19 Jul)</t>
  </si>
  <si>
    <t>Duvi/Debi (Week 9: 13-19 Jul)</t>
  </si>
  <si>
    <t>Samu (Week 9: 13-19 Jul)</t>
  </si>
  <si>
    <t>John (Week 10)</t>
  </si>
  <si>
    <t>Duvi/Debi (Week 10)</t>
  </si>
  <si>
    <t>Samu (Week 10)</t>
  </si>
  <si>
    <t>TOTAL TIPS PASSED THROUGH</t>
  </si>
  <si>
    <t>Customer tips collected &amp; handed to staff. Excluded from P&amp;L — nets to zero (received = paid).</t>
  </si>
  <si>
    <t>── CASH RECONCILIATION (15 Jun 2026) ──</t>
  </si>
  <si>
    <t>Actual restaurant cash on hand</t>
  </si>
  <si>
    <t>Adjustment: restaurant cash added to tips + Mercado Pago commission (vs running estimate)</t>
  </si>
  <si>
    <t>Reconciled to physical count provided by Reddy. $20,283 is net of MP % deductions.</t>
  </si>
  <si>
    <t>🚚  LOKA — SUPPLIER ORDERS</t>
  </si>
  <si>
    <t>Track purchase orders from suppliers</t>
  </si>
  <si>
    <t>TOTAL ORDERS</t>
  </si>
  <si>
    <t>PENDING</t>
  </si>
  <si>
    <t>IN TRANSIT</t>
  </si>
  <si>
    <t>RECEIVED</t>
  </si>
  <si>
    <t>MONTH SPEND</t>
  </si>
  <si>
    <t>PENDING VALUE</t>
  </si>
  <si>
    <t>PENDING COUNT</t>
  </si>
  <si>
    <t>📋  LOKA — SUPPLIER DIRECTORY</t>
  </si>
  <si>
    <t>Contact list for all regular suppliers</t>
  </si>
  <si>
    <t>Supplier Name</t>
  </si>
  <si>
    <t>Contact / Phone</t>
  </si>
  <si>
    <t>Products Supplied</t>
  </si>
  <si>
    <t>Location / Address</t>
  </si>
  <si>
    <t>Girigallo</t>
  </si>
  <si>
    <t>442-249-4707</t>
  </si>
  <si>
    <t>Islas Aleutianas 134, Loma Linda, C.P 76070</t>
  </si>
  <si>
    <t>Alico</t>
  </si>
  <si>
    <t>442-796-8876</t>
  </si>
  <si>
    <t>Carne de hamburguesa, Papas, Boneless</t>
  </si>
  <si>
    <t>Cerro de las Campanas 173, Col. Las Americas</t>
  </si>
  <si>
    <t>Reca (Repartidor)</t>
  </si>
  <si>
    <t>442-679-6651</t>
  </si>
  <si>
    <t>Aguas Avia / Bebidas</t>
  </si>
  <si>
    <t>Delivery supplier</t>
  </si>
  <si>
    <t>Toluco</t>
  </si>
  <si>
    <t>Desechables (Plasticos)</t>
  </si>
  <si>
    <t>Plásticos Desechables el Toluco, C/ 15 de Mayo 189, La Santa Cruz, Centro, 76020 Santiago de Querétaro</t>
  </si>
  <si>
    <t>442-114-0827</t>
  </si>
  <si>
    <t>Queso, Jamon, Crema</t>
  </si>
  <si>
    <t>Avenida Universidad 119, Los Cedros, 76165 Santiago de Querétaro, Qro.</t>
  </si>
  <si>
    <t>Panadería Real</t>
  </si>
  <si>
    <t>442-379-1880</t>
  </si>
  <si>
    <t>Pan hamburguesa, Mayonesa, Arrachera, Sandwhich</t>
  </si>
  <si>
    <t>Plaza Capuchinas 149, Central de Abasto, Querétaro</t>
  </si>
  <si>
    <t>Also supplies at Brisa del Mar area</t>
  </si>
  <si>
    <t>442-234-5077</t>
  </si>
  <si>
    <t>Sabores de Frappe, Matcha, Taro</t>
  </si>
  <si>
    <t>Café Etrusca Querétaro, Av. Tecnológico 10-Sur, Niños Héroes, 76010 Santiago de Querétaro</t>
  </si>
  <si>
    <t>Note: Additional suppliers recorded in expenses — Brisa del Mar, Chedraui, Costco, Real Abastos, OXXO, Pescadería El Faro</t>
  </si>
  <si>
    <t>LOKA — MONTHLY P&amp;L   (live formulas — auto-updates from Daily Log &amp; Expenses)</t>
  </si>
  <si>
    <t>SUMMARY</t>
  </si>
  <si>
    <t>May 2026</t>
  </si>
  <si>
    <t>Jun 2026</t>
  </si>
  <si>
    <t>Jul 2026</t>
  </si>
  <si>
    <t>Aug 2026</t>
  </si>
  <si>
    <t>Total Income</t>
  </si>
  <si>
    <t>Total Expenses</t>
  </si>
  <si>
    <t>NET PROFIT / LOSS</t>
  </si>
  <si>
    <t>Trading Days</t>
  </si>
  <si>
    <t>Avg Income / Day</t>
  </si>
  <si>
    <t>INCOME BY TYPE</t>
  </si>
  <si>
    <t>EXPENSES BY CATEGORY (high → low)</t>
  </si>
  <si>
    <t>TOTAL EXPENSES</t>
  </si>
  <si>
    <t>LOKA CAFE RESTAURANTE — PENDING INCOME / RECEIVABLES</t>
  </si>
  <si>
    <t>Date Served</t>
  </si>
  <si>
    <t>Client</t>
  </si>
  <si>
    <t>Qty</t>
  </si>
  <si>
    <t>Unit Price ($)</t>
  </si>
  <si>
    <t>Total Amount ($)</t>
  </si>
  <si>
    <t>21-May-2026</t>
  </si>
  <si>
    <t>Government Finances Dept.</t>
  </si>
  <si>
    <t>Catering order — 25 plates</t>
  </si>
  <si>
    <t>⏳ NOT YET PAID</t>
  </si>
  <si>
    <t>Awaiting payment — follow up with client</t>
  </si>
  <si>
    <t>TOTAL PENDING</t>
  </si>
  <si>
    <t>LOHITH — OWNER LEDGER &amp; PERSONAL BALANCE TRACKER</t>
  </si>
  <si>
    <t>Type</t>
  </si>
  <si>
    <t>Spent by Lohith ($)</t>
  </si>
  <si>
    <t>Transferred to Lohith ($)</t>
  </si>
  <si>
    <t>Running Balance ($)</t>
  </si>
  <si>
    <t>Telmex Internet Bill (Mayo)</t>
  </si>
  <si>
    <t>Expense - Personal</t>
  </si>
  <si>
    <t>Paid by Lohith — ⏳ Reimburse</t>
  </si>
  <si>
    <t>Customer Transfer — Jun 1</t>
  </si>
  <si>
    <t>Transfer Received</t>
  </si>
  <si>
    <t>✅</t>
  </si>
  <si>
    <t>✅ Received in Lohith account</t>
  </si>
  <si>
    <t>Customer Transfer — Jun 2</t>
  </si>
  <si>
    <t>Customer Transfer — Jun 3</t>
  </si>
  <si>
    <t>Personal expenses — Huevos, Ajonjoli, Verduras</t>
  </si>
  <si>
    <t>$69 Huevos + $44 Ajonjoli Blanco + $45 Ajonjoli Negro + $200 Verduras</t>
  </si>
  <si>
    <t>Cash settlement — $6 added to restaurant</t>
  </si>
  <si>
    <t>✅ Settled</t>
  </si>
  <si>
    <t>Lohith added $6 cash to restaurant — balance now ZERO</t>
  </si>
  <si>
    <t>Customer Transfer — Jun 5</t>
  </si>
  <si>
    <t>✅ Received</t>
  </si>
  <si>
    <t>✅ Received in Lohith account — Jun 5</t>
  </si>
  <si>
    <t>Renta + Mantenimiento Junio 2026</t>
  </si>
  <si>
    <t>Rent $15,000 + Maintenance $5,000 — paid personally by Lohith on 4 Jun</t>
  </si>
  <si>
    <t>Customer Transfer — Jun 8</t>
  </si>
  <si>
    <t>✅ Received in Lohith account — Jun 8</t>
  </si>
  <si>
    <t>Chedraui Paseo — Groceries (elote, chile, tomate, tortillas, bolillo)</t>
  </si>
  <si>
    <t>Paid personally by Lohith — HSBC **5543</t>
  </si>
  <si>
    <t>Office Depot — Comanda Restaurante</t>
  </si>
  <si>
    <t>Paid personally by Lohith — MC **5543</t>
  </si>
  <si>
    <t>ALICO — Ala de Pollo, Papa Harvest 13.62kg, Boneless Freskecito</t>
  </si>
  <si>
    <t>Restaurant ingredients paid personally by Lohith (transfer) — 11 Jun</t>
  </si>
  <si>
    <t>Pollería — Muslo de Pollo 4.70 kg</t>
  </si>
  <si>
    <t>Chedraui — Tortillas, Bolillo, Rosca de Nuez</t>
  </si>
  <si>
    <t>HSBC **5543 — paid by Lohith 15 Jun</t>
  </si>
  <si>
    <t>OXXO Pathe — Aceite Vegetal (2)</t>
  </si>
  <si>
    <t>Miscelánea LC — Ribeye, Chuleta, Bistec</t>
  </si>
  <si>
    <t>Transfer from Restaurant account</t>
  </si>
  <si>
    <t>Reimbursement</t>
  </si>
  <si>
    <t>Bank transfer to Lohith</t>
  </si>
  <si>
    <t>15 Jun card expenses reimbursed (Chedraui+OXXO+Miscelánea)</t>
  </si>
  <si>
    <t>HSBC **5543 items repaid same day</t>
  </si>
  <si>
    <t>OXXO Pathe — Leche Lala UHT (2)</t>
  </si>
  <si>
    <t>HSBC **5543 — paid by Lohith 16 Jun</t>
  </si>
  <si>
    <t>16 Jun OXXO card expense reimbursed</t>
  </si>
  <si>
    <t>HSBC **5543 item repaid same day</t>
  </si>
  <si>
    <t>Customer Transfer — Jun 18 (revenue paid into Lohith account)</t>
  </si>
  <si>
    <t>Customer paid $400 by transfer into Lohith account — counts against balance owed</t>
  </si>
  <si>
    <t>Customer Transfer — Jun 19 (revenue paid into Lohith account)</t>
  </si>
  <si>
    <t>Customer paid \ by transfer into Lohith account — counts against balance owed</t>
  </si>
  <si>
    <t>Customer Transfer - Jun 26 (revenue paid into Lohith account)</t>
  </si>
  <si>
    <t>Customer paid $165 by transfer into Lohith account - counts against balance owed</t>
  </si>
  <si>
    <t>Cash withdrawal by Lohith from restaurant (partial repayment of balance owed)</t>
  </si>
  <si>
    <t>Cash Withdrawal</t>
  </si>
  <si>
    <t>✅ Taken</t>
  </si>
  <si>
    <t>Took $10,000 cash from restaurant till; deducted from balance owed and from restaurant cash on hand</t>
  </si>
  <si>
    <t>Renta media mensualidad Mayo 2026 (duenos anteriores) - paid by Lohith</t>
  </si>
  <si>
    <t>May half-month rent fronted by Lohith; reimbursable</t>
  </si>
  <si>
    <t>Owner balance settled from restaurant capital budget (paid from Remaining-with-Lohith)</t>
  </si>
  <si>
    <t>Settlement</t>
  </si>
  <si>
    <t>✅ Settled from budget</t>
  </si>
  <si>
    <t>Full owner ledger balance ($19,315 rent + fronted operating items) settled against capital budget remaining with Lohith. Going forward, rent &amp; operating costs funded from allocated budget.</t>
  </si>
  <si>
    <t>Customer transfer-to-me 30-Jun</t>
  </si>
  <si>
    <t>Customer paid 55 via direct transfer to Lohith instead of restaurant card/cash</t>
  </si>
  <si>
    <t>HEB — Dustbin covers + Pan cutting knife</t>
  </si>
  <si>
    <t>Paid personally by Lohith (HEB) — dustbin covers + pan cutting knife; reimbursable</t>
  </si>
  <si>
    <t>Transfer from restaurant — net settlement</t>
  </si>
  <si>
    <t>Net $150 = $205 HEB expense − $55 Lohith owed to restaurant; balance now ZERO</t>
  </si>
  <si>
    <t>GUIMAR — Vasos de plástico + tapas</t>
  </si>
  <si>
    <t>Paid by Lohith (GUIMAR receipt, 08-Jul): vasos plast. $41 + reyma tapa vaso $32.50 = $73.50; reimbursable</t>
  </si>
  <si>
    <t>Transfer-to-me (customer payment 08-Jul)</t>
  </si>
  <si>
    <t>Customer paid $195 by transfer to Lohith (counts as 08-Jul revenue; cash went to Lohith not the till)</t>
  </si>
  <si>
    <t>Transfer-to-me (customer payment 09-Jul)</t>
  </si>
  <si>
    <t>Customer paid $120 by transfer to Lohith (09-Jul revenue; cash to Lohith not till)</t>
  </si>
  <si>
    <t>Transfer-to-me (customer payment 10-Jul)</t>
  </si>
  <si>
    <t>Customer paid $70 by transfer to Lohith (10-Jul revenue; cash to Lohith not till)</t>
  </si>
  <si>
    <t>Transfer-to-me (customer payment 13-Jul)</t>
  </si>
  <si>
    <t>Customer paid $120 by transfer to Lohith (13-Jul revenue; cash to Lohith not till)</t>
  </si>
  <si>
    <t>Aceite $330 + Agua $60 + Clorox $10 (paid by Lohith)</t>
  </si>
  <si>
    <t>Lohith pagó $400 de su bolsillo (13-Jul). Gastos registrados en Expenses (paid=Lohith); excluidos de la caja via cash_adjust.</t>
  </si>
  <si>
    <t>Transfer-to-me (customer payment 15-Jul)</t>
  </si>
  <si>
    <t>Customer paid $130 by transfer to Lohith (15-Jul revenue; cash to Lohith not till)</t>
  </si>
  <si>
    <t>Sam's Club — Italpast 1kg x5 (paid CASH by Lohith)</t>
  </si>
  <si>
    <t>Lohith pago $195 EN EFECTIVO de su bolsillo (socio Shashi en ticket). En Expenses paid=Lohith; excluido de la caja via cash_adjust.</t>
  </si>
  <si>
    <t>Transfer-to-me (customer payment 17-Jul)</t>
  </si>
  <si>
    <t>Customer paid $300 by transfer to Lohith (17-Jul revenue; cash to Lohith not till)</t>
  </si>
  <si>
    <t>Transfer-to-me (customer payment 18-Jul)</t>
  </si>
  <si>
    <t>Customer paid $290 by transfer to Lohith (18-Jul revenue; cash to Lohith not till)</t>
  </si>
  <si>
    <t>Pollo (paid by Lohith, 17-Jul)</t>
  </si>
  <si>
    <t>Lohith pago $300 de pollo de su bolsillo (17-Jul). En Expenses paid=Lohith; excluido de la caja via cash_adjust.</t>
  </si>
  <si>
    <t>Bistec $290 + Pollo $89 + Hielo Oxxo $54 (paid by Lohith)</t>
  </si>
  <si>
    <t>Lohith pago $433 de su bolsillo (20-Jul). En Expenses paid=Lohith; excluido de la caja via cash_adjust.</t>
  </si>
  <si>
    <t>Transfer-to-me (customer payment 22-Jul)</t>
  </si>
  <si>
    <t>Customer paid $260 by transfer to Lohith personal acct (22-Jul revenue; not the $95 that went to restaurant bank)</t>
  </si>
  <si>
    <t>Pollo (paid by Lohith, 22-Jul)</t>
  </si>
  <si>
    <t>Lohith pago $234 de pollo de su bolsillo (22-Jul). En Expenses paid=Lohith; excluido de la caja via cash_adjust.</t>
  </si>
  <si>
    <t>Transfer-to-me (customer payment 27-Jul)</t>
  </si>
  <si>
    <t>Customer paid Lohith personal acct</t>
  </si>
  <si>
    <t>Transfer-to-me (customer payment 28-Jul)</t>
  </si>
  <si>
    <t>Pollo $396 (paid by Lohith)</t>
  </si>
  <si>
    <t>Fronted from own pocket; excluded from till via cash_adjust</t>
  </si>
  <si>
    <t>Transfer-to-me (customer payment 29-Jul)</t>
  </si>
  <si>
    <t>Arroz Sushi HEB $60 (paid by Lohith)</t>
  </si>
  <si>
    <t>Pollo $188 + Chedraui $80 (paid by Lohith)</t>
  </si>
  <si>
    <t>Transfer-to-me (customer payment 31-Jul)</t>
  </si>
  <si>
    <t>Oxxo Arroz $78 (paid by Lohith)</t>
  </si>
  <si>
    <t>Transfer-to-me (customer payment 01-Aug)</t>
  </si>
  <si>
    <t>TOTALS &amp; CURRENT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</si>
</sst>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</numFmts>
  <fonts count="9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theme="1"/>
      <name val="Calibri"/>
      <family val="2"/>
      <charset val="1"/>
    </font>
    <font>
      <b/>
      <sz val="20"/>
      <color rgb="FFE8A020"/>
      <name val="Arial"/>
      <charset val="1"/>
    </font>
    <font>
      <i/>
      <sz val="10"/>
      <color rgb="FF888888"/>
      <name val="Arial"/>
      <charset val="1"/>
    </font>
    <font>
      <sz val="9"/>
      <color rgb="FFFFFFFF"/>
      <name val="Arial"/>
      <charset val="1"/>
    </font>
    <font>
      <b/>
      <sz val="10"/>
      <color rgb="FFE8A020"/>
      <name val="Arial"/>
      <charset val="1"/>
    </font>
    <font>
      <b/>
      <sz val="8"/>
      <color rgb="FF555555"/>
      <name val="Arial"/>
      <charset val="1"/>
    </font>
    <font>
      <b/>
      <sz val="20"/>
      <color rgb="FF2E7D32"/>
      <name val="Arial"/>
      <charset val="1"/>
    </font>
    <font>
      <b/>
      <sz val="20"/>
      <color rgb="FF00695C"/>
      <name val="Arial"/>
      <charset val="1"/>
    </font>
    <font>
      <b/>
      <sz val="20"/>
      <color rgb="FF1565C0"/>
      <name val="Arial"/>
      <charset val="1"/>
    </font>
    <font>
      <b/>
      <sz val="20"/>
      <color rgb="FFC62828"/>
      <name val="Arial"/>
      <charset val="1"/>
    </font>
    <font>
      <b/>
      <sz val="20"/>
      <color rgb="FFF9A825"/>
      <name val="Arial"/>
      <charset val="1"/>
    </font>
    <font>
      <b/>
      <sz val="9"/>
      <color rgb="FFFFFFFF"/>
      <name val="Arial"/>
      <charset val="1"/>
    </font>
    <font>
      <sz val="9"/>
      <color rgb="FF1F1F1F"/>
      <name val="Arial"/>
      <charset val="1"/>
    </font>
    <font>
      <sz val="9"/>
      <color rgb="FF666666"/>
      <name val="Arial"/>
      <charset val="1"/>
    </font>
    <font>
      <sz val="9"/>
      <color rgb="FF2E7D32"/>
      <name val="Arial"/>
      <charset val="1"/>
    </font>
    <font>
      <sz val="9"/>
      <color rgb="FF1565C0"/>
      <name val="Arial"/>
      <charset val="1"/>
    </font>
    <font>
      <sz val="9"/>
      <color rgb="FFE8A020"/>
      <name val="Arial"/>
      <charset val="1"/>
    </font>
    <font>
      <sz val="9"/>
      <color rgb="FFC62828"/>
      <name val="Arial"/>
      <charset val="1"/>
    </font>
    <font>
      <sz val="9"/>
      <color rgb="FF00695C"/>
      <name val="Arial"/>
      <charset val="1"/>
    </font>
    <font>
      <sz val="9"/>
      <color rgb="FF777777"/>
      <name val="Arial"/>
      <charset val="1"/>
    </font>
    <font>
      <sz val="9"/>
      <color rgb="FF555555"/>
      <name val="Arial"/>
      <charset val="1"/>
    </font>
    <font>
      <b/>
      <sz val="13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i/>
      <sz val="8"/>
      <color rgb="FFFFFFFF"/>
      <name val="Arial"/>
    </font>
    <font>
      <b/>
      <sz val="11"/>
      <color rgb="FFFFFFFF"/>
      <name val="Arial"/>
    </font>
    <font>
      <i/>
      <sz val="9"/>
      <color rgb="FF555555"/>
      <name val="Arial"/>
    </font>
    <font>
      <b/>
      <sz val="13"/>
      <color rgb="FFE8A020"/>
      <name val="Arial"/>
      <charset val="1"/>
    </font>
    <font>
      <b/>
      <sz val="13"/>
      <color rgb="FF2E7D32"/>
      <name val="Arial"/>
      <charset val="1"/>
    </font>
    <font>
      <b/>
      <sz val="13"/>
      <color rgb="FF1565C0"/>
      <name val="Arial"/>
      <charset val="1"/>
    </font>
    <font>
      <b/>
      <sz val="13"/>
      <color rgb="FFC62828"/>
      <name val="Arial"/>
      <charset val="1"/>
    </font>
    <font>
      <b/>
      <sz val="13"/>
      <color rgb="FF00695C"/>
      <name val="Arial"/>
      <charset val="1"/>
    </font>
    <font>
      <sz val="10"/>
      <color rgb="FF1565C0"/>
      <name val="Arial"/>
      <charset val="1"/>
    </font>
    <font>
      <i/>
      <sz val="9"/>
      <color rgb="FF666666"/>
      <name val="Arial"/>
      <charset val="1"/>
    </font>
    <font>
      <i/>
      <sz val="9"/>
      <color rgb="FF00695C"/>
      <name val="Arial"/>
      <charset val="1"/>
    </font>
    <font>
      <b/>
      <sz val="11"/>
      <color rgb="FF1565C0"/>
      <name val="Arial"/>
      <charset val="1"/>
    </font>
    <font>
      <sz val="10"/>
      <color rgb="FFE8A020"/>
      <name val="Arial"/>
      <charset val="1"/>
    </font>
    <font>
      <sz val="10"/>
      <color rgb="FFC62828"/>
      <name val="Arial"/>
      <charset val="1"/>
    </font>
    <font>
      <b/>
      <sz val="10"/>
      <color rgb="FF2E7D32"/>
      <name val="Arial"/>
      <charset val="1"/>
    </font>
    <font>
      <sz val="10"/>
      <color rgb="FF00695C"/>
      <name val="Arial"/>
      <charset val="1"/>
    </font>
    <font>
      <i/>
      <sz val="9"/>
      <color rgb="FF555555"/>
      <name val="Arial"/>
      <charset val="1"/>
    </font>
    <font>
      <b/>
      <sz val="9"/>
      <color rgb="FF2E7D32"/>
      <name val="Arial"/>
      <charset val="1"/>
    </font>
    <font>
      <b/>
      <sz val="12"/>
      <color rgb="FFC62828"/>
      <name val="Arial"/>
      <charset val="1"/>
    </font>
    <font>
      <b/>
      <sz val="12"/>
      <color rgb="FFE8A020"/>
      <name val="Arial"/>
      <charset val="1"/>
    </font>
    <font>
      <b/>
      <sz val="12"/>
      <color rgb="FF1565C0"/>
      <name val="Arial"/>
      <charset val="1"/>
    </font>
    <font>
      <b/>
      <sz val="12"/>
      <color rgb="FF6A1B9A"/>
      <name val="Arial"/>
      <charset val="1"/>
    </font>
    <font>
      <b/>
      <sz val="10"/>
      <color rgb="FF1565C0"/>
      <name val="Arial"/>
      <charset val="1"/>
    </font>
    <font>
      <b/>
      <sz val="10"/>
      <color rgb="FF1565C0"/>
      <name val="Arial"/>
    </font>
    <font>
      <sz val="10"/>
      <color rgb="FF1565C0"/>
      <name val="Arial"/>
    </font>
    <font>
      <b/>
      <sz val="11"/>
      <color rgb="FF1565C0"/>
      <name val="Arial"/>
    </font>
    <font>
      <sz val="9"/>
      <color rgb="FF777777"/>
      <name val="Arial"/>
    </font>
    <font>
      <sz val="9"/>
      <color rgb="FF555555"/>
      <name val="Arial"/>
    </font>
    <font>
      <b/>
      <sz val="12"/>
      <color rgb="FF1F1F1F"/>
      <name val="Arial"/>
      <charset val="1"/>
    </font>
    <font>
      <b/>
      <sz val="12"/>
      <color rgb="FFF9A825"/>
      <name val="Arial"/>
      <charset val="1"/>
    </font>
    <font>
      <b/>
      <sz val="10"/>
      <color rgb="FF1F1F1F"/>
      <name val="Arial"/>
      <charset val="1"/>
    </font>
    <font>
      <sz val="10"/>
      <color rgb="FF555555"/>
      <name val="Arial"/>
      <charset val="1"/>
    </font>
    <font>
      <b/>
      <sz val="10"/>
      <color rgb="FF00695C"/>
      <name val="Arial"/>
      <charset val="1"/>
    </font>
    <font>
      <sz val="10"/>
      <color rgb="FF1F1F1F"/>
      <name val="Arial"/>
      <charset val="1"/>
    </font>
    <font>
      <i/>
      <sz val="9"/>
      <color rgb="FF777777"/>
      <name val="Arial"/>
      <charset val="1"/>
    </font>
    <font>
      <b/>
      <sz val="11"/>
      <color rgb="FF2E7D32"/>
      <name val="Arial"/>
      <charset val="1"/>
    </font>
    <font>
      <b/>
      <sz val="12"/>
      <color rgb="FFFFFFFF"/>
      <name val="Arial"/>
      <charset val="1"/>
    </font>
    <font>
      <b/>
      <sz val="14"/>
      <color rgb="FFE8A020"/>
      <name val="Arial"/>
      <charset val="1"/>
    </font>
    <font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2"/>
      <color rgb="FF2E7D32"/>
      <name val="Arial"/>
      <charset val="1"/>
    </font>
    <font>
      <b/>
      <sz val="12"/>
      <color rgb="FF00695C"/>
      <name val="Arial"/>
      <charset val="1"/>
    </font>
    <font>
      <b/>
      <sz val="11"/>
      <color rgb="FF00695C"/>
      <name val="Arial"/>
      <charset val="1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rgb="FF1F1F1F"/>
      <name val="Calibri"/>
    </font>
    <font>
      <sz val="11"/>
      <color rgb="FF1565C0"/>
      <name val="Calibri"/>
    </font>
    <font>
      <b/>
      <sz val="11"/>
      <color rgb="FF2E7D32"/>
      <name val="Calibri"/>
    </font>
    <font>
      <b/>
      <sz val="12"/>
      <color rgb="FFE8A020"/>
      <name val="Calibri"/>
    </font>
    <font>
      <b/>
      <sz val="11"/>
      <color rgb="FF1565C0"/>
      <name val="Calibri"/>
    </font>
    <font>
      <b/>
      <sz val="11"/>
      <color rgb="FFE8A020"/>
      <name val="Calibri"/>
    </font>
    <font>
      <b/>
      <sz val="11"/>
      <color rgb="FFC62828"/>
      <name val="Calibri"/>
    </font>
    <font>
      <sz val="10"/>
      <color rgb="FF555555"/>
      <name val="Calibri"/>
    </font>
    <font>
      <sz val="11"/>
      <color rgb="FF555555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name val="Calibri"/>
    </font>
    <font>
      <b/>
      <sz val="11"/>
      <name val="Calibri"/>
    </font>
    <font>
      <b/>
      <sz val="12"/>
      <color rgb="FFFFFFFF"/>
      <name val="Calibri"/>
    </font>
    <font>
      <i/>
      <sz val="9"/>
      <color rgb="FF808080"/>
      <name val="Calibri"/>
    </font>
    <font>
      <b/>
      <sz val="11"/>
      <name val="Calibri"/>
    </font>
    <font>
      <sz val="11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1"/>
      <name val="Calibri"/>
    </font>
  </fonts>
  <fills count="58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</fills>
  <borders count="26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22"/>
  </cellStyleXfs>
  <cellXfs count="413">
    <xf numFmtId="0" fontId="0" fillId="0" borderId="0" xfId="0" applyBorder="1"/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5" fillId="10" borderId="0" xfId="0" applyFont="1" applyFill="1" applyBorder="1"/>
    <xf numFmtId="0" fontId="16" fillId="10" borderId="9" xfId="0" applyFont="1" applyFill="1" applyBorder="1" applyAlignment="1">
      <alignment horizontal="center" vertical="center" wrapText="1"/>
    </xf>
    <xf numFmtId="165" fontId="17" fillId="19" borderId="9" xfId="0" applyNumberFormat="1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166" fontId="19" fillId="19" borderId="9" xfId="0" applyNumberFormat="1" applyFont="1" applyFill="1" applyBorder="1" applyAlignment="1">
      <alignment horizontal="center" vertical="center"/>
    </xf>
    <xf numFmtId="167" fontId="20" fillId="19" borderId="9" xfId="0" applyNumberFormat="1" applyFont="1" applyFill="1" applyBorder="1" applyAlignment="1">
      <alignment horizontal="center" vertical="center"/>
    </xf>
    <xf numFmtId="166" fontId="21" fillId="19" borderId="9" xfId="0" applyNumberFormat="1" applyFont="1" applyFill="1" applyBorder="1" applyAlignment="1">
      <alignment horizontal="center" vertical="center"/>
    </xf>
    <xf numFmtId="166" fontId="22" fillId="19" borderId="9" xfId="0" applyNumberFormat="1" applyFont="1" applyFill="1" applyBorder="1" applyAlignment="1">
      <alignment horizontal="center" vertical="center"/>
    </xf>
    <xf numFmtId="168" fontId="23" fillId="19" borderId="9" xfId="0" applyNumberFormat="1" applyFont="1" applyFill="1" applyBorder="1" applyAlignment="1">
      <alignment horizontal="center" vertical="center"/>
    </xf>
    <xf numFmtId="0" fontId="24" fillId="19" borderId="9" xfId="0" applyFont="1" applyFill="1" applyBorder="1" applyAlignment="1">
      <alignment horizontal="center" vertical="center"/>
    </xf>
    <xf numFmtId="0" fontId="25" fillId="19" borderId="9" xfId="0" applyFont="1" applyFill="1" applyBorder="1" applyAlignment="1">
      <alignment horizontal="center" vertical="center"/>
    </xf>
    <xf numFmtId="165" fontId="17" fillId="20" borderId="9" xfId="0" applyNumberFormat="1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/>
    </xf>
    <xf numFmtId="166" fontId="19" fillId="20" borderId="9" xfId="0" applyNumberFormat="1" applyFont="1" applyFill="1" applyBorder="1" applyAlignment="1">
      <alignment horizontal="center" vertical="center"/>
    </xf>
    <xf numFmtId="167" fontId="20" fillId="20" borderId="9" xfId="0" applyNumberFormat="1" applyFont="1" applyFill="1" applyBorder="1" applyAlignment="1">
      <alignment horizontal="center" vertical="center"/>
    </xf>
    <xf numFmtId="166" fontId="21" fillId="20" borderId="9" xfId="0" applyNumberFormat="1" applyFont="1" applyFill="1" applyBorder="1" applyAlignment="1">
      <alignment horizontal="center" vertical="center"/>
    </xf>
    <xf numFmtId="166" fontId="22" fillId="20" borderId="9" xfId="0" applyNumberFormat="1" applyFont="1" applyFill="1" applyBorder="1" applyAlignment="1">
      <alignment horizontal="center" vertical="center"/>
    </xf>
    <xf numFmtId="168" fontId="23" fillId="20" borderId="9" xfId="0" applyNumberFormat="1" applyFont="1" applyFill="1" applyBorder="1" applyAlignment="1">
      <alignment horizontal="center" vertical="center"/>
    </xf>
    <xf numFmtId="0" fontId="24" fillId="20" borderId="9" xfId="0" applyFont="1" applyFill="1" applyBorder="1" applyAlignment="1">
      <alignment horizontal="center" vertical="center"/>
    </xf>
    <xf numFmtId="0" fontId="25" fillId="20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166" fontId="33" fillId="19" borderId="9" xfId="0" applyNumberFormat="1" applyFont="1" applyFill="1" applyBorder="1" applyAlignment="1">
      <alignment horizontal="center" vertical="center"/>
    </xf>
    <xf numFmtId="167" fontId="34" fillId="19" borderId="9" xfId="0" applyNumberFormat="1" applyFont="1" applyFill="1" applyBorder="1" applyAlignment="1">
      <alignment horizontal="center" vertical="center"/>
    </xf>
    <xf numFmtId="166" fontId="32" fillId="19" borderId="9" xfId="0" applyNumberFormat="1" applyFont="1" applyFill="1" applyBorder="1" applyAlignment="1">
      <alignment horizontal="center" vertical="center"/>
    </xf>
    <xf numFmtId="166" fontId="35" fillId="19" borderId="9" xfId="0" applyNumberFormat="1" applyFont="1" applyFill="1" applyBorder="1" applyAlignment="1">
      <alignment horizontal="center" vertical="center"/>
    </xf>
    <xf numFmtId="168" fontId="36" fillId="19" borderId="9" xfId="0" applyNumberFormat="1" applyFont="1" applyFill="1" applyBorder="1" applyAlignment="1">
      <alignment horizontal="center" vertical="center"/>
    </xf>
    <xf numFmtId="166" fontId="34" fillId="19" borderId="9" xfId="0" applyNumberFormat="1" applyFont="1" applyFill="1" applyBorder="1" applyAlignment="1">
      <alignment horizontal="center" vertical="center"/>
    </xf>
    <xf numFmtId="165" fontId="37" fillId="19" borderId="13" xfId="0" applyNumberFormat="1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166" fontId="40" fillId="27" borderId="13" xfId="0" applyNumberFormat="1" applyFont="1" applyFill="1" applyBorder="1" applyAlignment="1">
      <alignment horizontal="center" vertical="center"/>
    </xf>
    <xf numFmtId="167" fontId="40" fillId="16" borderId="13" xfId="0" applyNumberFormat="1" applyFont="1" applyFill="1" applyBorder="1" applyAlignment="1">
      <alignment horizontal="center" vertical="center"/>
    </xf>
    <xf numFmtId="166" fontId="41" fillId="19" borderId="9" xfId="0" applyNumberFormat="1" applyFont="1" applyFill="1" applyBorder="1" applyAlignment="1">
      <alignment horizontal="center" vertical="center"/>
    </xf>
    <xf numFmtId="166" fontId="42" fillId="17" borderId="9" xfId="0" applyNumberFormat="1" applyFont="1" applyFill="1" applyBorder="1" applyAlignment="1">
      <alignment horizontal="center" vertical="center"/>
    </xf>
    <xf numFmtId="166" fontId="43" fillId="19" borderId="9" xfId="0" applyNumberFormat="1" applyFont="1" applyFill="1" applyBorder="1" applyAlignment="1">
      <alignment horizontal="center" vertical="center"/>
    </xf>
    <xf numFmtId="168" fontId="44" fillId="19" borderId="9" xfId="0" applyNumberFormat="1" applyFont="1" applyFill="1" applyBorder="1" applyAlignment="1">
      <alignment horizontal="center" vertical="center"/>
    </xf>
    <xf numFmtId="0" fontId="45" fillId="19" borderId="9" xfId="0" applyFont="1" applyFill="1" applyBorder="1" applyAlignment="1">
      <alignment horizontal="left" vertical="center"/>
    </xf>
    <xf numFmtId="166" fontId="46" fillId="19" borderId="9" xfId="0" applyNumberFormat="1" applyFont="1" applyFill="1" applyBorder="1" applyAlignment="1">
      <alignment horizontal="center" vertical="center"/>
    </xf>
    <xf numFmtId="166" fontId="19" fillId="14" borderId="9" xfId="0" applyNumberFormat="1" applyFont="1" applyFill="1" applyBorder="1" applyAlignment="1">
      <alignment horizontal="center" vertical="center"/>
    </xf>
    <xf numFmtId="166" fontId="22" fillId="17" borderId="9" xfId="0" applyNumberFormat="1" applyFont="1" applyFill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39" fillId="20" borderId="9" xfId="0" applyFont="1" applyFill="1" applyBorder="1" applyAlignment="1">
      <alignment horizontal="center" vertical="center"/>
    </xf>
    <xf numFmtId="166" fontId="40" fillId="28" borderId="13" xfId="0" applyNumberFormat="1" applyFont="1" applyFill="1" applyBorder="1" applyAlignment="1">
      <alignment horizontal="center" vertical="center"/>
    </xf>
    <xf numFmtId="167" fontId="40" fillId="29" borderId="13" xfId="0" applyNumberFormat="1" applyFont="1" applyFill="1" applyBorder="1" applyAlignment="1">
      <alignment horizontal="center" vertical="center"/>
    </xf>
    <xf numFmtId="166" fontId="41" fillId="20" borderId="9" xfId="0" applyNumberFormat="1" applyFont="1" applyFill="1" applyBorder="1" applyAlignment="1">
      <alignment horizontal="center" vertical="center"/>
    </xf>
    <xf numFmtId="166" fontId="42" fillId="30" borderId="9" xfId="0" applyNumberFormat="1" applyFont="1" applyFill="1" applyBorder="1" applyAlignment="1">
      <alignment horizontal="center" vertical="center"/>
    </xf>
    <xf numFmtId="166" fontId="43" fillId="20" borderId="9" xfId="0" applyNumberFormat="1" applyFont="1" applyFill="1" applyBorder="1" applyAlignment="1">
      <alignment horizontal="center" vertical="center"/>
    </xf>
    <xf numFmtId="168" fontId="44" fillId="20" borderId="9" xfId="0" applyNumberFormat="1" applyFont="1" applyFill="1" applyBorder="1" applyAlignment="1">
      <alignment horizontal="center" vertical="center"/>
    </xf>
    <xf numFmtId="0" fontId="45" fillId="20" borderId="9" xfId="0" applyFont="1" applyFill="1" applyBorder="1" applyAlignment="1">
      <alignment horizontal="left" vertical="center"/>
    </xf>
    <xf numFmtId="166" fontId="46" fillId="20" borderId="9" xfId="0" applyNumberFormat="1" applyFont="1" applyFill="1" applyBorder="1" applyAlignment="1">
      <alignment horizontal="center" vertical="center"/>
    </xf>
    <xf numFmtId="166" fontId="19" fillId="31" borderId="9" xfId="0" applyNumberFormat="1" applyFont="1" applyFill="1" applyBorder="1" applyAlignment="1">
      <alignment horizontal="center" vertical="center"/>
    </xf>
    <xf numFmtId="166" fontId="22" fillId="32" borderId="9" xfId="0" applyNumberFormat="1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66" fontId="47" fillId="17" borderId="9" xfId="0" applyNumberFormat="1" applyFont="1" applyFill="1" applyBorder="1" applyAlignment="1">
      <alignment horizontal="center" vertical="center"/>
    </xf>
    <xf numFmtId="166" fontId="48" fillId="18" borderId="9" xfId="0" applyNumberFormat="1" applyFont="1" applyFill="1" applyBorder="1" applyAlignment="1">
      <alignment horizontal="center" vertical="center"/>
    </xf>
    <xf numFmtId="166" fontId="49" fillId="16" borderId="9" xfId="0" applyNumberFormat="1" applyFont="1" applyFill="1" applyBorder="1" applyAlignment="1">
      <alignment horizontal="center" vertical="center"/>
    </xf>
    <xf numFmtId="166" fontId="50" fillId="33" borderId="9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left" vertical="center"/>
    </xf>
    <xf numFmtId="166" fontId="40" fillId="17" borderId="13" xfId="0" applyNumberFormat="1" applyFont="1" applyFill="1" applyBorder="1" applyAlignment="1">
      <alignment horizontal="center" vertical="center"/>
    </xf>
    <xf numFmtId="0" fontId="37" fillId="20" borderId="9" xfId="0" applyFont="1" applyFill="1" applyBorder="1" applyAlignment="1">
      <alignment horizontal="left" vertical="center"/>
    </xf>
    <xf numFmtId="0" fontId="37" fillId="20" borderId="9" xfId="0" applyFont="1" applyFill="1" applyBorder="1" applyAlignment="1">
      <alignment horizontal="center" vertical="center"/>
    </xf>
    <xf numFmtId="166" fontId="40" fillId="32" borderId="13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/>
    </xf>
    <xf numFmtId="0" fontId="37" fillId="20" borderId="14" xfId="0" applyFont="1" applyFill="1" applyBorder="1" applyAlignment="1">
      <alignment horizontal="center" vertical="center"/>
    </xf>
    <xf numFmtId="169" fontId="52" fillId="19" borderId="13" xfId="0" applyNumberFormat="1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left" vertical="center"/>
    </xf>
    <xf numFmtId="166" fontId="54" fillId="17" borderId="13" xfId="0" applyNumberFormat="1" applyFont="1" applyFill="1" applyBorder="1" applyAlignment="1">
      <alignment horizontal="center" vertical="center"/>
    </xf>
    <xf numFmtId="0" fontId="55" fillId="19" borderId="9" xfId="0" applyFont="1" applyFill="1" applyBorder="1" applyAlignment="1">
      <alignment horizontal="center" vertical="center"/>
    </xf>
    <xf numFmtId="0" fontId="56" fillId="19" borderId="9" xfId="0" applyFont="1" applyFill="1" applyBorder="1" applyAlignment="1">
      <alignment horizontal="left" vertical="center"/>
    </xf>
    <xf numFmtId="167" fontId="57" fillId="20" borderId="9" xfId="0" applyNumberFormat="1" applyFont="1" applyFill="1" applyBorder="1" applyAlignment="1">
      <alignment horizontal="center" vertical="center"/>
    </xf>
    <xf numFmtId="167" fontId="58" fillId="18" borderId="9" xfId="0" applyNumberFormat="1" applyFont="1" applyFill="1" applyBorder="1" applyAlignment="1">
      <alignment horizontal="center" vertical="center"/>
    </xf>
    <xf numFmtId="167" fontId="47" fillId="17" borderId="9" xfId="0" applyNumberFormat="1" applyFont="1" applyFill="1" applyBorder="1" applyAlignment="1">
      <alignment horizontal="center" vertical="center"/>
    </xf>
    <xf numFmtId="169" fontId="49" fillId="16" borderId="9" xfId="0" applyNumberFormat="1" applyFont="1" applyFill="1" applyBorder="1" applyAlignment="1">
      <alignment horizontal="center" vertical="center"/>
    </xf>
    <xf numFmtId="0" fontId="59" fillId="19" borderId="9" xfId="0" applyFont="1" applyFill="1" applyBorder="1" applyAlignment="1">
      <alignment horizontal="left" vertical="center"/>
    </xf>
    <xf numFmtId="167" fontId="40" fillId="34" borderId="13" xfId="0" applyNumberFormat="1" applyFont="1" applyFill="1" applyBorder="1" applyAlignment="1">
      <alignment horizontal="center" vertical="center"/>
    </xf>
    <xf numFmtId="167" fontId="60" fillId="19" borderId="9" xfId="0" applyNumberFormat="1" applyFont="1" applyFill="1" applyBorder="1" applyAlignment="1">
      <alignment horizontal="center" vertical="center"/>
    </xf>
    <xf numFmtId="166" fontId="37" fillId="19" borderId="9" xfId="0" applyNumberFormat="1" applyFont="1" applyFill="1" applyBorder="1" applyAlignment="1">
      <alignment horizontal="center" vertical="center"/>
    </xf>
    <xf numFmtId="166" fontId="61" fillId="15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center" vertical="center"/>
    </xf>
    <xf numFmtId="0" fontId="63" fillId="19" borderId="9" xfId="0" applyFont="1" applyFill="1" applyBorder="1" applyAlignment="1">
      <alignment horizontal="left" vertical="center"/>
    </xf>
    <xf numFmtId="0" fontId="59" fillId="20" borderId="9" xfId="0" applyFont="1" applyFill="1" applyBorder="1" applyAlignment="1">
      <alignment horizontal="left" vertical="center"/>
    </xf>
    <xf numFmtId="167" fontId="40" fillId="35" borderId="13" xfId="0" applyNumberFormat="1" applyFont="1" applyFill="1" applyBorder="1" applyAlignment="1">
      <alignment horizontal="center" vertical="center"/>
    </xf>
    <xf numFmtId="167" fontId="60" fillId="20" borderId="9" xfId="0" applyNumberFormat="1" applyFont="1" applyFill="1" applyBorder="1" applyAlignment="1">
      <alignment horizontal="center" vertical="center"/>
    </xf>
    <xf numFmtId="166" fontId="37" fillId="20" borderId="9" xfId="0" applyNumberFormat="1" applyFont="1" applyFill="1" applyBorder="1" applyAlignment="1">
      <alignment horizontal="center" vertical="center"/>
    </xf>
    <xf numFmtId="166" fontId="61" fillId="36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center" vertical="center"/>
    </xf>
    <xf numFmtId="0" fontId="63" fillId="20" borderId="9" xfId="0" applyFont="1" applyFill="1" applyBorder="1" applyAlignment="1">
      <alignment horizontal="left" vertical="center"/>
    </xf>
    <xf numFmtId="0" fontId="37" fillId="19" borderId="13" xfId="0" applyFont="1" applyFill="1" applyBorder="1" applyAlignment="1">
      <alignment horizontal="left" vertical="center"/>
    </xf>
    <xf numFmtId="0" fontId="60" fillId="19" borderId="9" xfId="0" applyFont="1" applyFill="1" applyBorder="1" applyAlignment="1">
      <alignment horizontal="center" vertical="center"/>
    </xf>
    <xf numFmtId="166" fontId="51" fillId="19" borderId="9" xfId="0" applyNumberFormat="1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167" fontId="37" fillId="16" borderId="9" xfId="0" applyNumberFormat="1" applyFont="1" applyFill="1" applyBorder="1" applyAlignment="1">
      <alignment horizontal="center" vertical="center"/>
    </xf>
    <xf numFmtId="166" fontId="64" fillId="14" borderId="9" xfId="0" applyNumberFormat="1" applyFont="1" applyFill="1" applyBorder="1" applyAlignment="1">
      <alignment horizontal="center" vertical="center"/>
    </xf>
    <xf numFmtId="0" fontId="60" fillId="20" borderId="9" xfId="0" applyFont="1" applyFill="1" applyBorder="1" applyAlignment="1">
      <alignment horizontal="center" vertical="center"/>
    </xf>
    <xf numFmtId="166" fontId="51" fillId="20" borderId="9" xfId="0" applyNumberFormat="1" applyFont="1" applyFill="1" applyBorder="1" applyAlignment="1">
      <alignment horizontal="center" vertical="center"/>
    </xf>
    <xf numFmtId="0" fontId="17" fillId="20" borderId="9" xfId="0" applyFont="1" applyFill="1" applyBorder="1" applyAlignment="1">
      <alignment horizontal="center" vertical="center"/>
    </xf>
    <xf numFmtId="167" fontId="37" fillId="37" borderId="9" xfId="0" applyNumberFormat="1" applyFont="1" applyFill="1" applyBorder="1" applyAlignment="1">
      <alignment horizontal="center" vertical="center"/>
    </xf>
    <xf numFmtId="166" fontId="64" fillId="31" borderId="9" xfId="0" applyNumberFormat="1" applyFont="1" applyFill="1" applyBorder="1" applyAlignment="1">
      <alignment horizontal="center" vertical="center"/>
    </xf>
    <xf numFmtId="166" fontId="66" fillId="10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left" vertical="center"/>
    </xf>
    <xf numFmtId="166" fontId="67" fillId="19" borderId="9" xfId="0" applyNumberFormat="1" applyFont="1" applyFill="1" applyBorder="1" applyAlignment="1">
      <alignment horizontal="center" vertical="center"/>
    </xf>
    <xf numFmtId="167" fontId="37" fillId="19" borderId="9" xfId="0" applyNumberFormat="1" applyFont="1" applyFill="1" applyBorder="1" applyAlignment="1">
      <alignment horizontal="center" vertical="center"/>
    </xf>
    <xf numFmtId="166" fontId="43" fillId="14" borderId="9" xfId="0" applyNumberFormat="1" applyFont="1" applyFill="1" applyBorder="1" applyAlignment="1">
      <alignment horizontal="center" vertical="center"/>
    </xf>
    <xf numFmtId="168" fontId="37" fillId="19" borderId="9" xfId="0" applyNumberFormat="1" applyFont="1" applyFill="1" applyBorder="1" applyAlignment="1">
      <alignment horizontal="center" vertical="center"/>
    </xf>
    <xf numFmtId="166" fontId="68" fillId="17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left" vertical="center"/>
    </xf>
    <xf numFmtId="166" fontId="67" fillId="20" borderId="9" xfId="0" applyNumberFormat="1" applyFont="1" applyFill="1" applyBorder="1" applyAlignment="1">
      <alignment horizontal="center" vertical="center"/>
    </xf>
    <xf numFmtId="167" fontId="37" fillId="20" borderId="9" xfId="0" applyNumberFormat="1" applyFont="1" applyFill="1" applyBorder="1" applyAlignment="1">
      <alignment horizontal="center" vertical="center"/>
    </xf>
    <xf numFmtId="166" fontId="43" fillId="31" borderId="9" xfId="0" applyNumberFormat="1" applyFont="1" applyFill="1" applyBorder="1" applyAlignment="1">
      <alignment horizontal="center" vertical="center"/>
    </xf>
    <xf numFmtId="168" fontId="37" fillId="20" borderId="9" xfId="0" applyNumberFormat="1" applyFont="1" applyFill="1" applyBorder="1" applyAlignment="1">
      <alignment horizontal="center" vertical="center"/>
    </xf>
    <xf numFmtId="166" fontId="68" fillId="32" borderId="9" xfId="0" applyNumberFormat="1" applyFont="1" applyFill="1" applyBorder="1" applyAlignment="1">
      <alignment horizontal="center" vertical="center"/>
    </xf>
    <xf numFmtId="167" fontId="48" fillId="18" borderId="9" xfId="0" applyNumberFormat="1" applyFont="1" applyFill="1" applyBorder="1" applyAlignment="1">
      <alignment horizontal="center" vertical="center"/>
    </xf>
    <xf numFmtId="167" fontId="49" fillId="16" borderId="9" xfId="0" applyNumberFormat="1" applyFont="1" applyFill="1" applyBorder="1" applyAlignment="1">
      <alignment horizontal="center" vertical="center"/>
    </xf>
    <xf numFmtId="167" fontId="69" fillId="14" borderId="9" xfId="0" applyNumberFormat="1" applyFont="1" applyFill="1" applyBorder="1" applyAlignment="1">
      <alignment horizontal="center" vertical="center"/>
    </xf>
    <xf numFmtId="166" fontId="70" fillId="15" borderId="9" xfId="0" applyNumberFormat="1" applyFont="1" applyFill="1" applyBorder="1" applyAlignment="1">
      <alignment horizontal="center" vertical="center"/>
    </xf>
    <xf numFmtId="167" fontId="51" fillId="16" borderId="13" xfId="0" applyNumberFormat="1" applyFont="1" applyFill="1" applyBorder="1" applyAlignment="1">
      <alignment horizontal="center" vertical="center"/>
    </xf>
    <xf numFmtId="166" fontId="40" fillId="18" borderId="13" xfId="0" applyNumberFormat="1" applyFont="1" applyFill="1" applyBorder="1" applyAlignment="1">
      <alignment horizontal="center" vertical="center"/>
    </xf>
    <xf numFmtId="169" fontId="37" fillId="19" borderId="9" xfId="0" applyNumberFormat="1" applyFont="1" applyFill="1" applyBorder="1" applyAlignment="1">
      <alignment horizontal="center" vertical="center"/>
    </xf>
    <xf numFmtId="166" fontId="71" fillId="15" borderId="9" xfId="0" applyNumberFormat="1" applyFont="1" applyFill="1" applyBorder="1" applyAlignment="1">
      <alignment horizontal="center" vertical="center"/>
    </xf>
    <xf numFmtId="167" fontId="51" fillId="37" borderId="13" xfId="0" applyNumberFormat="1" applyFont="1" applyFill="1" applyBorder="1" applyAlignment="1">
      <alignment horizontal="center" vertical="center"/>
    </xf>
    <xf numFmtId="166" fontId="40" fillId="38" borderId="13" xfId="0" applyNumberFormat="1" applyFont="1" applyFill="1" applyBorder="1" applyAlignment="1">
      <alignment horizontal="center" vertical="center"/>
    </xf>
    <xf numFmtId="169" fontId="37" fillId="20" borderId="9" xfId="0" applyNumberFormat="1" applyFont="1" applyFill="1" applyBorder="1" applyAlignment="1">
      <alignment horizontal="center" vertical="center"/>
    </xf>
    <xf numFmtId="166" fontId="71" fillId="36" borderId="9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11" xfId="0" applyBorder="1"/>
    <xf numFmtId="0" fontId="0" fillId="0" borderId="10" xfId="0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72" fillId="39" borderId="1" xfId="0" applyFont="1" applyFill="1" applyBorder="1" applyAlignment="1">
      <alignment horizontal="left" vertical="center"/>
    </xf>
    <xf numFmtId="0" fontId="72" fillId="39" borderId="0" xfId="0" applyFont="1" applyFill="1" applyBorder="1"/>
    <xf numFmtId="0" fontId="72" fillId="42" borderId="1" xfId="0" applyFont="1" applyFill="1" applyBorder="1" applyAlignment="1">
      <alignment horizontal="left" vertical="center"/>
    </xf>
    <xf numFmtId="0" fontId="72" fillId="42" borderId="0" xfId="0" applyFont="1" applyFill="1" applyBorder="1"/>
    <xf numFmtId="0" fontId="72" fillId="42" borderId="12" xfId="0" applyFont="1" applyFill="1" applyBorder="1"/>
    <xf numFmtId="0" fontId="75" fillId="44" borderId="0" xfId="0" applyFont="1" applyFill="1" applyBorder="1" applyAlignment="1">
      <alignment horizontal="left" vertical="center"/>
    </xf>
    <xf numFmtId="0" fontId="75" fillId="44" borderId="0" xfId="0" applyFont="1" applyFill="1" applyBorder="1"/>
    <xf numFmtId="0" fontId="74" fillId="43" borderId="1" xfId="0" applyFont="1" applyFill="1" applyBorder="1" applyAlignment="1">
      <alignment horizontal="center" vertical="center"/>
    </xf>
    <xf numFmtId="164" fontId="73" fillId="39" borderId="1" xfId="0" applyNumberFormat="1" applyFont="1" applyFill="1" applyBorder="1" applyAlignment="1">
      <alignment horizontal="left" vertical="center"/>
    </xf>
    <xf numFmtId="0" fontId="74" fillId="43" borderId="1" xfId="0" applyFont="1" applyFill="1" applyBorder="1" applyAlignment="1">
      <alignment horizontal="left" vertical="center"/>
    </xf>
    <xf numFmtId="0" fontId="72" fillId="40" borderId="1" xfId="0" applyFont="1" applyFill="1" applyBorder="1" applyAlignment="1">
      <alignment horizontal="left" vertical="center"/>
    </xf>
    <xf numFmtId="0" fontId="72" fillId="40" borderId="0" xfId="0" applyFont="1" applyFill="1" applyBorder="1"/>
    <xf numFmtId="0" fontId="72" fillId="41" borderId="1" xfId="0" applyFont="1" applyFill="1" applyBorder="1" applyAlignment="1">
      <alignment horizontal="left" vertical="center"/>
    </xf>
    <xf numFmtId="0" fontId="74" fillId="45" borderId="0" xfId="0" applyFont="1" applyFill="1" applyBorder="1" applyAlignment="1">
      <alignment horizontal="left" vertical="center"/>
    </xf>
    <xf numFmtId="0" fontId="74" fillId="45" borderId="0" xfId="0" applyFont="1" applyFill="1" applyBorder="1"/>
    <xf numFmtId="0" fontId="74" fillId="43" borderId="12" xfId="0" applyFont="1" applyFill="1" applyBorder="1"/>
    <xf numFmtId="0" fontId="74" fillId="43" borderId="0" xfId="0" applyFont="1" applyFill="1" applyBorder="1"/>
    <xf numFmtId="164" fontId="74" fillId="43" borderId="1" xfId="0" applyNumberFormat="1" applyFont="1" applyFill="1" applyBorder="1" applyAlignment="1">
      <alignment horizontal="left" vertical="center"/>
    </xf>
    <xf numFmtId="164" fontId="73" fillId="40" borderId="1" xfId="0" applyNumberFormat="1" applyFont="1" applyFill="1" applyBorder="1" applyAlignment="1">
      <alignment horizontal="left" vertical="center"/>
    </xf>
    <xf numFmtId="164" fontId="73" fillId="40" borderId="0" xfId="0" applyNumberFormat="1" applyFont="1" applyFill="1" applyBorder="1" applyAlignment="1">
      <alignment horizontal="left" vertical="center"/>
    </xf>
    <xf numFmtId="164" fontId="73" fillId="41" borderId="1" xfId="0" applyNumberFormat="1" applyFont="1" applyFill="1" applyBorder="1" applyAlignment="1">
      <alignment horizontal="left" vertical="center"/>
    </xf>
    <xf numFmtId="164" fontId="73" fillId="42" borderId="1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64" fontId="73" fillId="39" borderId="0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73" fillId="42" borderId="0" xfId="0" applyNumberFormat="1" applyFont="1" applyFill="1" applyBorder="1" applyAlignment="1">
      <alignment horizontal="left" vertical="center"/>
    </xf>
    <xf numFmtId="164" fontId="73" fillId="42" borderId="12" xfId="0" applyNumberFormat="1" applyFont="1" applyFill="1" applyBorder="1" applyAlignment="1">
      <alignment horizontal="left" vertical="center"/>
    </xf>
    <xf numFmtId="164" fontId="74" fillId="43" borderId="12" xfId="0" applyNumberFormat="1" applyFont="1" applyFill="1" applyBorder="1" applyAlignment="1">
      <alignment horizontal="left" vertical="center"/>
    </xf>
    <xf numFmtId="170" fontId="73" fillId="39" borderId="1" xfId="0" applyNumberFormat="1" applyFont="1" applyFill="1" applyBorder="1" applyAlignment="1">
      <alignment horizontal="left" vertical="center"/>
    </xf>
    <xf numFmtId="170" fontId="73" fillId="42" borderId="1" xfId="0" applyNumberFormat="1" applyFont="1" applyFill="1" applyBorder="1" applyAlignment="1">
      <alignment horizontal="left" vertical="center"/>
    </xf>
    <xf numFmtId="170" fontId="73" fillId="41" borderId="1" xfId="0" applyNumberFormat="1" applyFont="1" applyFill="1" applyBorder="1" applyAlignment="1">
      <alignment horizontal="left" vertical="center"/>
    </xf>
    <xf numFmtId="170" fontId="74" fillId="43" borderId="1" xfId="0" applyNumberFormat="1" applyFont="1" applyFill="1" applyBorder="1" applyAlignment="1">
      <alignment horizontal="left" vertical="center"/>
    </xf>
    <xf numFmtId="0" fontId="74" fillId="43" borderId="0" xfId="0" applyFont="1" applyFill="1" applyBorder="1" applyAlignment="1">
      <alignment horizontal="left" vertical="center"/>
    </xf>
    <xf numFmtId="164" fontId="74" fillId="43" borderId="0" xfId="0" applyNumberFormat="1" applyFont="1" applyFill="1" applyBorder="1" applyAlignment="1">
      <alignment horizontal="left" vertical="center"/>
    </xf>
    <xf numFmtId="0" fontId="72" fillId="40" borderId="0" xfId="0" applyFont="1" applyFill="1" applyBorder="1" applyAlignment="1">
      <alignment horizontal="left" vertical="center"/>
    </xf>
    <xf numFmtId="0" fontId="72" fillId="39" borderId="0" xfId="0" applyFont="1" applyFill="1" applyBorder="1" applyAlignment="1">
      <alignment horizontal="left" vertical="center"/>
    </xf>
    <xf numFmtId="0" fontId="72" fillId="42" borderId="0" xfId="0" applyFont="1" applyFill="1" applyBorder="1" applyAlignment="1">
      <alignment horizontal="left" vertical="center"/>
    </xf>
    <xf numFmtId="0" fontId="72" fillId="42" borderId="12" xfId="0" applyFont="1" applyFill="1" applyBorder="1" applyAlignment="1">
      <alignment horizontal="left" vertical="center"/>
    </xf>
    <xf numFmtId="0" fontId="74" fillId="43" borderId="12" xfId="0" applyFont="1" applyFill="1" applyBorder="1" applyAlignment="1">
      <alignment horizontal="left" vertical="center"/>
    </xf>
    <xf numFmtId="170" fontId="73" fillId="39" borderId="0" xfId="0" applyNumberFormat="1" applyFont="1" applyFill="1" applyBorder="1" applyAlignment="1">
      <alignment horizontal="left" vertical="center"/>
    </xf>
    <xf numFmtId="170" fontId="73" fillId="42" borderId="0" xfId="0" applyNumberFormat="1" applyFont="1" applyFill="1" applyBorder="1" applyAlignment="1">
      <alignment horizontal="left" vertical="center"/>
    </xf>
    <xf numFmtId="170" fontId="74" fillId="43" borderId="0" xfId="0" applyNumberFormat="1" applyFont="1" applyFill="1" applyBorder="1" applyAlignment="1">
      <alignment horizontal="left" vertical="center"/>
    </xf>
    <xf numFmtId="171" fontId="72" fillId="40" borderId="0" xfId="0" applyNumberFormat="1" applyFont="1" applyFill="1" applyBorder="1" applyAlignment="1">
      <alignment horizontal="left" vertical="center"/>
    </xf>
    <xf numFmtId="171" fontId="72" fillId="39" borderId="12" xfId="0" applyNumberFormat="1" applyFont="1" applyFill="1" applyBorder="1" applyAlignment="1">
      <alignment horizontal="left" vertical="center"/>
    </xf>
    <xf numFmtId="172" fontId="73" fillId="39" borderId="12" xfId="0" applyNumberFormat="1" applyFont="1" applyFill="1" applyBorder="1" applyAlignment="1">
      <alignment horizontal="left" vertical="center"/>
    </xf>
    <xf numFmtId="0" fontId="72" fillId="39" borderId="12" xfId="0" applyFont="1" applyFill="1" applyBorder="1" applyAlignment="1">
      <alignment horizontal="left" vertical="center"/>
    </xf>
    <xf numFmtId="0" fontId="72" fillId="39" borderId="12" xfId="0" applyFont="1" applyFill="1" applyBorder="1"/>
    <xf numFmtId="171" fontId="72" fillId="42" borderId="1" xfId="0" applyNumberFormat="1" applyFont="1" applyFill="1" applyBorder="1" applyAlignment="1">
      <alignment horizontal="left" vertical="center"/>
    </xf>
    <xf numFmtId="172" fontId="73" fillId="42" borderId="1" xfId="0" applyNumberFormat="1" applyFont="1" applyFill="1" applyBorder="1" applyAlignment="1">
      <alignment horizontal="left" vertical="center"/>
    </xf>
    <xf numFmtId="171" fontId="72" fillId="39" borderId="1" xfId="0" applyNumberFormat="1" applyFont="1" applyFill="1" applyBorder="1" applyAlignment="1">
      <alignment horizontal="left" vertical="center"/>
    </xf>
    <xf numFmtId="172" fontId="73" fillId="39" borderId="1" xfId="0" applyNumberFormat="1" applyFont="1" applyFill="1" applyBorder="1" applyAlignment="1">
      <alignment horizontal="left" vertical="center"/>
    </xf>
    <xf numFmtId="0" fontId="72" fillId="0" borderId="0" xfId="0" applyFont="1" applyBorder="1"/>
    <xf numFmtId="0" fontId="72" fillId="0" borderId="0" xfId="0" applyFont="1" applyBorder="1" applyAlignment="1">
      <alignment horizontal="left" vertical="center"/>
    </xf>
    <xf numFmtId="164" fontId="73" fillId="0" borderId="0" xfId="0" applyNumberFormat="1" applyFont="1" applyBorder="1" applyAlignment="1">
      <alignment horizontal="left" vertical="center"/>
    </xf>
    <xf numFmtId="169" fontId="48" fillId="10" borderId="4" xfId="0" applyNumberFormat="1" applyFont="1" applyFill="1" applyBorder="1" applyAlignment="1">
      <alignment horizontal="left" vertical="center"/>
    </xf>
    <xf numFmtId="0" fontId="76" fillId="42" borderId="0" xfId="0" applyFont="1" applyFill="1" applyBorder="1"/>
    <xf numFmtId="166" fontId="0" fillId="0" borderId="5" xfId="0" applyNumberFormat="1" applyBorder="1"/>
    <xf numFmtId="0" fontId="79" fillId="47" borderId="0" xfId="0" applyFont="1" applyFill="1" applyBorder="1"/>
    <xf numFmtId="0" fontId="74" fillId="47" borderId="0" xfId="0" applyFont="1" applyFill="1" applyBorder="1"/>
    <xf numFmtId="167" fontId="80" fillId="42" borderId="0" xfId="0" applyNumberFormat="1" applyFont="1" applyFill="1" applyBorder="1"/>
    <xf numFmtId="167" fontId="77" fillId="42" borderId="0" xfId="0" applyNumberFormat="1" applyFont="1" applyFill="1" applyBorder="1"/>
    <xf numFmtId="0" fontId="76" fillId="48" borderId="0" xfId="0" applyFont="1" applyFill="1" applyBorder="1"/>
    <xf numFmtId="167" fontId="80" fillId="48" borderId="0" xfId="0" applyNumberFormat="1" applyFont="1" applyFill="1" applyBorder="1"/>
    <xf numFmtId="167" fontId="77" fillId="48" borderId="0" xfId="0" applyNumberFormat="1" applyFont="1" applyFill="1" applyBorder="1"/>
    <xf numFmtId="167" fontId="81" fillId="47" borderId="0" xfId="0" applyNumberFormat="1" applyFont="1" applyFill="1" applyBorder="1"/>
    <xf numFmtId="0" fontId="81" fillId="47" borderId="0" xfId="0" applyFont="1" applyFill="1" applyBorder="1"/>
    <xf numFmtId="0" fontId="76" fillId="46" borderId="0" xfId="0" applyFont="1" applyFill="1" applyBorder="1"/>
    <xf numFmtId="167" fontId="80" fillId="46" borderId="0" xfId="0" applyNumberFormat="1" applyFont="1" applyFill="1" applyBorder="1"/>
    <xf numFmtId="167" fontId="77" fillId="46" borderId="0" xfId="0" applyNumberFormat="1" applyFont="1" applyFill="1" applyBorder="1"/>
    <xf numFmtId="167" fontId="78" fillId="46" borderId="0" xfId="0" applyNumberFormat="1" applyFont="1" applyFill="1" applyBorder="1"/>
    <xf numFmtId="167" fontId="82" fillId="46" borderId="0" xfId="0" applyNumberFormat="1" applyFont="1" applyFill="1" applyBorder="1"/>
    <xf numFmtId="0" fontId="76" fillId="49" borderId="0" xfId="0" applyFont="1" applyFill="1" applyBorder="1"/>
    <xf numFmtId="167" fontId="80" fillId="49" borderId="0" xfId="0" applyNumberFormat="1" applyFont="1" applyFill="1" applyBorder="1"/>
    <xf numFmtId="167" fontId="77" fillId="49" borderId="0" xfId="0" applyNumberFormat="1" applyFont="1" applyFill="1" applyBorder="1"/>
    <xf numFmtId="167" fontId="78" fillId="49" borderId="0" xfId="0" applyNumberFormat="1" applyFont="1" applyFill="1" applyBorder="1"/>
    <xf numFmtId="167" fontId="82" fillId="49" borderId="0" xfId="0" applyNumberFormat="1" applyFont="1" applyFill="1" applyBorder="1"/>
    <xf numFmtId="0" fontId="76" fillId="50" borderId="0" xfId="0" applyFont="1" applyFill="1" applyBorder="1"/>
    <xf numFmtId="167" fontId="80" fillId="50" borderId="0" xfId="0" applyNumberFormat="1" applyFont="1" applyFill="1" applyBorder="1"/>
    <xf numFmtId="167" fontId="77" fillId="50" borderId="0" xfId="0" applyNumberFormat="1" applyFont="1" applyFill="1" applyBorder="1"/>
    <xf numFmtId="167" fontId="78" fillId="50" borderId="0" xfId="0" applyNumberFormat="1" applyFont="1" applyFill="1" applyBorder="1"/>
    <xf numFmtId="167" fontId="82" fillId="50" borderId="0" xfId="0" applyNumberFormat="1" applyFont="1" applyFill="1" applyBorder="1"/>
    <xf numFmtId="0" fontId="83" fillId="0" borderId="0" xfId="0" applyFont="1" applyBorder="1"/>
    <xf numFmtId="173" fontId="80" fillId="48" borderId="0" xfId="0" applyNumberFormat="1" applyFont="1" applyFill="1" applyBorder="1"/>
    <xf numFmtId="173" fontId="77" fillId="48" borderId="0" xfId="0" applyNumberFormat="1" applyFont="1" applyFill="1" applyBorder="1"/>
    <xf numFmtId="0" fontId="84" fillId="48" borderId="0" xfId="0" applyFont="1" applyFill="1" applyBorder="1"/>
    <xf numFmtId="173" fontId="80" fillId="42" borderId="0" xfId="0" applyNumberFormat="1" applyFont="1" applyFill="1" applyBorder="1"/>
    <xf numFmtId="173" fontId="77" fillId="42" borderId="0" xfId="0" applyNumberFormat="1" applyFont="1" applyFill="1" applyBorder="1"/>
    <xf numFmtId="0" fontId="84" fillId="42" borderId="0" xfId="0" applyFont="1" applyFill="1" applyBorder="1"/>
    <xf numFmtId="171" fontId="0" fillId="0" borderId="0" xfId="0" applyNumberFormat="1" applyBorder="1"/>
    <xf numFmtId="172" fontId="0" fillId="0" borderId="0" xfId="0" applyNumberFormat="1" applyBorder="1"/>
    <xf numFmtId="4" fontId="0" fillId="0" borderId="0" xfId="0" applyNumberFormat="1" applyBorder="1"/>
    <xf numFmtId="171" fontId="37" fillId="19" borderId="13" xfId="0" applyNumberFormat="1" applyFont="1" applyFill="1" applyBorder="1" applyAlignment="1">
      <alignment horizontal="center" vertical="center"/>
    </xf>
    <xf numFmtId="0" fontId="86" fillId="52" borderId="15" xfId="0" applyFont="1" applyFill="1" applyBorder="1" applyAlignment="1">
      <alignment horizontal="center" vertical="center" wrapText="1"/>
    </xf>
    <xf numFmtId="171" fontId="0" fillId="0" borderId="16" xfId="0" applyNumberFormat="1" applyBorder="1"/>
    <xf numFmtId="0" fontId="0" fillId="0" borderId="16" xfId="0" applyBorder="1"/>
    <xf numFmtId="4" fontId="0" fillId="0" borderId="16" xfId="0" applyNumberFormat="1" applyBorder="1"/>
    <xf numFmtId="0" fontId="88" fillId="52" borderId="16" xfId="0" applyFont="1" applyFill="1" applyBorder="1"/>
    <xf numFmtId="0" fontId="87" fillId="0" borderId="16" xfId="0" applyFont="1" applyBorder="1"/>
    <xf numFmtId="171" fontId="72" fillId="0" borderId="0" xfId="0" applyNumberFormat="1" applyFont="1" applyBorder="1" applyAlignment="1">
      <alignment horizontal="left" vertical="center"/>
    </xf>
    <xf numFmtId="0" fontId="72" fillId="0" borderId="1" xfId="0" applyFont="1" applyBorder="1" applyAlignment="1">
      <alignment horizontal="left" vertical="center"/>
    </xf>
    <xf numFmtId="171" fontId="72" fillId="0" borderId="1" xfId="0" applyNumberFormat="1" applyFont="1" applyBorder="1" applyAlignment="1">
      <alignment horizontal="left" vertical="center"/>
    </xf>
    <xf numFmtId="172" fontId="73" fillId="0" borderId="1" xfId="0" applyNumberFormat="1" applyFont="1" applyBorder="1" applyAlignment="1">
      <alignment horizontal="left" vertical="center"/>
    </xf>
    <xf numFmtId="0" fontId="89" fillId="51" borderId="0" xfId="0" applyFont="1" applyFill="1" applyBorder="1"/>
    <xf numFmtId="4" fontId="87" fillId="0" borderId="16" xfId="0" applyNumberFormat="1" applyFont="1" applyBorder="1"/>
    <xf numFmtId="4" fontId="88" fillId="52" borderId="16" xfId="0" applyNumberFormat="1" applyFont="1" applyFill="1" applyBorder="1"/>
    <xf numFmtId="171" fontId="0" fillId="53" borderId="16" xfId="0" applyNumberFormat="1" applyFill="1" applyBorder="1"/>
    <xf numFmtId="0" fontId="0" fillId="53" borderId="16" xfId="0" applyFill="1" applyBorder="1"/>
    <xf numFmtId="4" fontId="0" fillId="53" borderId="16" xfId="0" applyNumberFormat="1" applyFill="1" applyBorder="1"/>
    <xf numFmtId="171" fontId="51" fillId="19" borderId="13" xfId="0" applyNumberFormat="1" applyFont="1" applyFill="1" applyBorder="1" applyAlignment="1">
      <alignment horizontal="center" vertical="center"/>
    </xf>
    <xf numFmtId="0" fontId="37" fillId="19" borderId="15" xfId="0" applyFont="1" applyFill="1" applyBorder="1" applyAlignment="1">
      <alignment horizontal="center" vertical="center"/>
    </xf>
    <xf numFmtId="0" fontId="37" fillId="19" borderId="15" xfId="0" applyFont="1" applyFill="1" applyBorder="1" applyAlignment="1">
      <alignment horizontal="left" vertical="center"/>
    </xf>
    <xf numFmtId="0" fontId="24" fillId="19" borderId="15" xfId="0" applyFont="1" applyFill="1" applyBorder="1" applyAlignment="1">
      <alignment horizontal="center" vertical="center"/>
    </xf>
    <xf numFmtId="0" fontId="45" fillId="19" borderId="15" xfId="0" applyFont="1" applyFill="1" applyBorder="1" applyAlignment="1">
      <alignment horizontal="left" vertical="center"/>
    </xf>
    <xf numFmtId="0" fontId="37" fillId="20" borderId="15" xfId="0" applyFont="1" applyFill="1" applyBorder="1" applyAlignment="1">
      <alignment horizontal="center" vertical="center"/>
    </xf>
    <xf numFmtId="0" fontId="37" fillId="20" borderId="15" xfId="0" applyFont="1" applyFill="1" applyBorder="1" applyAlignment="1">
      <alignment horizontal="left" vertical="center"/>
    </xf>
    <xf numFmtId="0" fontId="24" fillId="20" borderId="15" xfId="0" applyFont="1" applyFill="1" applyBorder="1" applyAlignment="1">
      <alignment horizontal="center" vertical="center"/>
    </xf>
    <xf numFmtId="0" fontId="45" fillId="20" borderId="15" xfId="0" applyFont="1" applyFill="1" applyBorder="1" applyAlignment="1">
      <alignment horizontal="left" vertical="center"/>
    </xf>
    <xf numFmtId="0" fontId="38" fillId="20" borderId="15" xfId="0" applyFont="1" applyFill="1" applyBorder="1" applyAlignment="1">
      <alignment horizontal="center" vertical="center"/>
    </xf>
    <xf numFmtId="0" fontId="39" fillId="20" borderId="15" xfId="0" applyFont="1" applyFill="1" applyBorder="1" applyAlignment="1">
      <alignment horizontal="center" vertical="center"/>
    </xf>
    <xf numFmtId="166" fontId="41" fillId="20" borderId="15" xfId="0" applyNumberFormat="1" applyFont="1" applyFill="1" applyBorder="1" applyAlignment="1">
      <alignment horizontal="center" vertical="center"/>
    </xf>
    <xf numFmtId="166" fontId="42" fillId="30" borderId="15" xfId="0" applyNumberFormat="1" applyFont="1" applyFill="1" applyBorder="1" applyAlignment="1">
      <alignment horizontal="center" vertical="center"/>
    </xf>
    <xf numFmtId="166" fontId="43" fillId="20" borderId="15" xfId="0" applyNumberFormat="1" applyFont="1" applyFill="1" applyBorder="1" applyAlignment="1">
      <alignment horizontal="center" vertical="center"/>
    </xf>
    <xf numFmtId="168" fontId="44" fillId="20" borderId="15" xfId="0" applyNumberFormat="1" applyFont="1" applyFill="1" applyBorder="1" applyAlignment="1">
      <alignment horizontal="center" vertical="center"/>
    </xf>
    <xf numFmtId="166" fontId="19" fillId="20" borderId="15" xfId="0" applyNumberFormat="1" applyFont="1" applyFill="1" applyBorder="1" applyAlignment="1">
      <alignment horizontal="center" vertical="center"/>
    </xf>
    <xf numFmtId="0" fontId="0" fillId="0" borderId="18" xfId="0" applyBorder="1"/>
    <xf numFmtId="171" fontId="0" fillId="0" borderId="18" xfId="0" applyNumberFormat="1" applyBorder="1"/>
    <xf numFmtId="4" fontId="0" fillId="0" borderId="18" xfId="0" applyNumberFormat="1" applyBorder="1"/>
    <xf numFmtId="0" fontId="0" fillId="54" borderId="18" xfId="0" applyFill="1" applyBorder="1"/>
    <xf numFmtId="0" fontId="0" fillId="0" borderId="17" xfId="0" applyBorder="1"/>
    <xf numFmtId="0" fontId="91" fillId="0" borderId="21" xfId="0" applyFont="1" applyBorder="1" applyAlignment="1">
      <alignment horizontal="left"/>
    </xf>
    <xf numFmtId="174" fontId="91" fillId="0" borderId="21" xfId="0" applyNumberFormat="1" applyFont="1" applyBorder="1" applyAlignment="1">
      <alignment horizontal="right"/>
    </xf>
    <xf numFmtId="0" fontId="0" fillId="0" borderId="19" xfId="0" applyBorder="1"/>
    <xf numFmtId="0" fontId="38" fillId="19" borderId="15" xfId="0" applyFont="1" applyFill="1" applyBorder="1" applyAlignment="1">
      <alignment horizontal="center" vertical="center"/>
    </xf>
    <xf numFmtId="0" fontId="39" fillId="19" borderId="15" xfId="0" applyFont="1" applyFill="1" applyBorder="1" applyAlignment="1">
      <alignment horizontal="center" vertical="center"/>
    </xf>
    <xf numFmtId="166" fontId="41" fillId="19" borderId="15" xfId="0" applyNumberFormat="1" applyFont="1" applyFill="1" applyBorder="1" applyAlignment="1">
      <alignment horizontal="center" vertical="center"/>
    </xf>
    <xf numFmtId="166" fontId="42" fillId="17" borderId="15" xfId="0" applyNumberFormat="1" applyFont="1" applyFill="1" applyBorder="1" applyAlignment="1">
      <alignment horizontal="center" vertical="center"/>
    </xf>
    <xf numFmtId="166" fontId="43" fillId="19" borderId="15" xfId="0" applyNumberFormat="1" applyFont="1" applyFill="1" applyBorder="1" applyAlignment="1">
      <alignment horizontal="center" vertical="center"/>
    </xf>
    <xf numFmtId="168" fontId="44" fillId="19" borderId="15" xfId="0" applyNumberFormat="1" applyFont="1" applyFill="1" applyBorder="1" applyAlignment="1">
      <alignment horizontal="center" vertical="center"/>
    </xf>
    <xf numFmtId="166" fontId="19" fillId="19" borderId="15" xfId="0" applyNumberFormat="1" applyFont="1" applyFill="1" applyBorder="1" applyAlignment="1">
      <alignment horizontal="center" vertical="center"/>
    </xf>
    <xf numFmtId="0" fontId="72" fillId="40" borderId="19" xfId="0" applyFont="1" applyFill="1" applyBorder="1"/>
    <xf numFmtId="171" fontId="72" fillId="40" borderId="19" xfId="0" applyNumberFormat="1" applyFont="1" applyFill="1" applyBorder="1" applyAlignment="1">
      <alignment horizontal="left" vertical="center"/>
    </xf>
    <xf numFmtId="164" fontId="73" fillId="40" borderId="19" xfId="0" applyNumberFormat="1" applyFont="1" applyFill="1" applyBorder="1" applyAlignment="1">
      <alignment horizontal="left" vertical="center"/>
    </xf>
    <xf numFmtId="0" fontId="72" fillId="40" borderId="19" xfId="0" applyFont="1" applyFill="1" applyBorder="1" applyAlignment="1">
      <alignment horizontal="left" vertical="center"/>
    </xf>
    <xf numFmtId="0" fontId="92" fillId="55" borderId="19" xfId="0" applyFont="1" applyFill="1" applyBorder="1" applyAlignment="1">
      <alignment horizontal="left"/>
    </xf>
    <xf numFmtId="0" fontId="90" fillId="0" borderId="21" xfId="0" applyFont="1" applyBorder="1"/>
    <xf numFmtId="174" fontId="72" fillId="0" borderId="21" xfId="0" applyNumberFormat="1" applyFont="1" applyBorder="1" applyAlignment="1">
      <alignment horizontal="right"/>
    </xf>
    <xf numFmtId="0" fontId="91" fillId="0" borderId="21" xfId="0" applyFont="1" applyBorder="1"/>
    <xf numFmtId="0" fontId="93" fillId="0" borderId="0" xfId="0" applyFont="1" applyBorder="1" applyAlignment="1">
      <alignment horizontal="left"/>
    </xf>
    <xf numFmtId="0" fontId="93" fillId="0" borderId="0" xfId="0" applyFont="1" applyBorder="1"/>
    <xf numFmtId="171" fontId="72" fillId="0" borderId="19" xfId="0" applyNumberFormat="1" applyFont="1" applyBorder="1" applyAlignment="1">
      <alignment horizontal="left" vertical="center"/>
    </xf>
    <xf numFmtId="164" fontId="73" fillId="0" borderId="19" xfId="0" applyNumberFormat="1" applyFont="1" applyBorder="1" applyAlignment="1">
      <alignment horizontal="left" vertical="center"/>
    </xf>
    <xf numFmtId="0" fontId="72" fillId="0" borderId="19" xfId="0" applyFont="1" applyBorder="1" applyAlignment="1">
      <alignment horizontal="left" vertical="center"/>
    </xf>
    <xf numFmtId="0" fontId="72" fillId="0" borderId="19" xfId="0" applyFont="1" applyBorder="1"/>
    <xf numFmtId="166" fontId="22" fillId="20" borderId="15" xfId="0" applyNumberFormat="1" applyFont="1" applyFill="1" applyBorder="1" applyAlignment="1">
      <alignment horizontal="center" vertical="center"/>
    </xf>
    <xf numFmtId="166" fontId="46" fillId="20" borderId="15" xfId="0" applyNumberFormat="1" applyFont="1" applyFill="1" applyBorder="1" applyAlignment="1">
      <alignment horizontal="center" vertical="center"/>
    </xf>
    <xf numFmtId="166" fontId="19" fillId="31" borderId="15" xfId="0" applyNumberFormat="1" applyFont="1" applyFill="1" applyBorder="1" applyAlignment="1">
      <alignment horizontal="center" vertical="center"/>
    </xf>
    <xf numFmtId="166" fontId="22" fillId="32" borderId="15" xfId="0" applyNumberFormat="1" applyFont="1" applyFill="1" applyBorder="1" applyAlignment="1">
      <alignment horizontal="center" vertical="center"/>
    </xf>
    <xf numFmtId="0" fontId="0" fillId="0" borderId="20" xfId="0" applyBorder="1"/>
    <xf numFmtId="171" fontId="51" fillId="0" borderId="13" xfId="0" applyNumberFormat="1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horizontal="left" vertical="center"/>
    </xf>
    <xf numFmtId="166" fontId="40" fillId="0" borderId="13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45" fillId="0" borderId="15" xfId="0" applyFont="1" applyBorder="1" applyAlignment="1">
      <alignment horizontal="left" vertical="center"/>
    </xf>
    <xf numFmtId="0" fontId="95" fillId="0" borderId="23" xfId="0" applyFont="1" applyBorder="1"/>
    <xf numFmtId="0" fontId="97" fillId="57" borderId="24" xfId="0" applyFont="1" applyFill="1" applyBorder="1" applyAlignment="1">
      <alignment horizontal="left"/>
    </xf>
    <xf numFmtId="0" fontId="97" fillId="57" borderId="24" xfId="0" applyFont="1" applyFill="1" applyBorder="1" applyAlignment="1">
      <alignment horizontal="right"/>
    </xf>
    <xf numFmtId="0" fontId="98" fillId="0" borderId="24" xfId="0" applyFont="1" applyBorder="1" applyAlignment="1">
      <alignment horizontal="left"/>
    </xf>
    <xf numFmtId="174" fontId="95" fillId="0" borderId="24" xfId="0" applyNumberFormat="1" applyFont="1" applyBorder="1" applyAlignment="1">
      <alignment horizontal="right"/>
    </xf>
    <xf numFmtId="174" fontId="98" fillId="0" borderId="24" xfId="0" applyNumberFormat="1" applyFont="1" applyBorder="1" applyAlignment="1">
      <alignment horizontal="right"/>
    </xf>
    <xf numFmtId="0" fontId="95" fillId="0" borderId="24" xfId="0" applyFont="1" applyBorder="1" applyAlignment="1">
      <alignment horizontal="left"/>
    </xf>
    <xf numFmtId="3" fontId="95" fillId="0" borderId="24" xfId="0" applyNumberFormat="1" applyFont="1" applyBorder="1" applyAlignment="1">
      <alignment horizontal="right"/>
    </xf>
    <xf numFmtId="0" fontId="0" fillId="0" borderId="22" xfId="0"/>
    <xf numFmtId="174" fontId="46" fillId="20" borderId="15" xfId="0" applyNumberFormat="1" applyFont="1" applyFill="1" applyBorder="1" applyAlignment="1">
      <alignment horizontal="center" vertical="center"/>
    </xf>
    <xf numFmtId="171" fontId="72" fillId="0" borderId="22" xfId="0" applyNumberFormat="1" applyFont="1" applyAlignment="1">
      <alignment horizontal="left" vertical="center"/>
    </xf>
    <xf numFmtId="164" fontId="73" fillId="0" borderId="22" xfId="0" applyNumberFormat="1" applyFont="1" applyAlignment="1">
      <alignment horizontal="left" vertical="center"/>
    </xf>
    <xf numFmtId="0" fontId="72" fillId="0" borderId="22" xfId="0" applyFont="1" applyAlignment="1">
      <alignment horizontal="left" vertical="center"/>
    </xf>
    <xf numFmtId="0" fontId="72" fillId="0" borderId="22" xfId="0" applyFont="1"/>
    <xf numFmtId="0" fontId="92" fillId="44" borderId="0" xfId="0" applyFont="1" applyFill="1" applyBorder="1"/>
    <xf numFmtId="0" fontId="98" fillId="0" borderId="0" xfId="0" applyFont="1" applyBorder="1"/>
    <xf numFmtId="174" fontId="98" fillId="0" borderId="0" xfId="0" applyNumberFormat="1" applyFont="1" applyBorder="1"/>
    <xf numFmtId="0" fontId="95" fillId="0" borderId="0" xfId="0" applyFont="1" applyBorder="1"/>
    <xf numFmtId="174" fontId="95" fillId="0" borderId="0" xfId="0" applyNumberFormat="1" applyFont="1" applyBorder="1"/>
    <xf numFmtId="0" fontId="94" fillId="0" borderId="0" xfId="0" applyFont="1" applyBorder="1"/>
    <xf numFmtId="174" fontId="94" fillId="0" borderId="0" xfId="0" applyNumberFormat="1" applyFont="1" applyBorder="1"/>
    <xf numFmtId="166" fontId="22" fillId="19" borderId="15" xfId="0" applyNumberFormat="1" applyFont="1" applyFill="1" applyBorder="1" applyAlignment="1">
      <alignment horizontal="center" vertical="center"/>
    </xf>
    <xf numFmtId="166" fontId="46" fillId="19" borderId="15" xfId="0" applyNumberFormat="1" applyFont="1" applyFill="1" applyBorder="1" applyAlignment="1">
      <alignment horizontal="center" vertical="center"/>
    </xf>
    <xf numFmtId="166" fontId="19" fillId="14" borderId="15" xfId="0" applyNumberFormat="1" applyFont="1" applyFill="1" applyBorder="1" applyAlignment="1">
      <alignment horizontal="center" vertical="center"/>
    </xf>
    <xf numFmtId="166" fontId="22" fillId="17" borderId="15" xfId="0" applyNumberFormat="1" applyFont="1" applyFill="1" applyBorder="1" applyAlignment="1">
      <alignment horizontal="center" vertical="center"/>
    </xf>
    <xf numFmtId="174" fontId="46" fillId="19" borderId="15" xfId="0" applyNumberFormat="1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 wrapText="1"/>
    </xf>
    <xf numFmtId="0" fontId="0" fillId="0" borderId="3" xfId="0" applyBorder="1"/>
    <xf numFmtId="0" fontId="6" fillId="10" borderId="22" xfId="0" applyFont="1" applyFill="1" applyAlignment="1">
      <alignment horizontal="left" vertical="center"/>
    </xf>
    <xf numFmtId="0" fontId="0" fillId="0" borderId="0" xfId="0" applyBorder="1"/>
    <xf numFmtId="0" fontId="7" fillId="10" borderId="22" xfId="0" applyFont="1" applyFill="1" applyAlignment="1">
      <alignment horizontal="right" vertical="center"/>
    </xf>
    <xf numFmtId="0" fontId="5" fillId="11" borderId="22" xfId="0" applyFont="1" applyFill="1" applyAlignment="1">
      <alignment horizontal="center" vertical="center"/>
    </xf>
    <xf numFmtId="0" fontId="1" fillId="2" borderId="22" xfId="0" applyFont="1" applyFill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93" fillId="0" borderId="22" xfId="0" applyFont="1"/>
    <xf numFmtId="0" fontId="75" fillId="44" borderId="22" xfId="0" applyFont="1" applyFill="1" applyAlignment="1">
      <alignment horizontal="left" vertical="center"/>
    </xf>
    <xf numFmtId="0" fontId="2" fillId="3" borderId="22" xfId="0" applyFont="1" applyFill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16" fillId="10" borderId="15" xfId="0" applyFont="1" applyFill="1" applyBorder="1" applyAlignment="1">
      <alignment horizontal="center" vertical="center" wrapText="1"/>
    </xf>
    <xf numFmtId="0" fontId="0" fillId="0" borderId="10" xfId="0" applyBorder="1"/>
    <xf numFmtId="0" fontId="4" fillId="8" borderId="1" xfId="0" applyFont="1" applyFill="1" applyBorder="1" applyAlignment="1">
      <alignment horizontal="left" vertical="center"/>
    </xf>
    <xf numFmtId="0" fontId="0" fillId="0" borderId="12" xfId="0" applyBorder="1"/>
    <xf numFmtId="0" fontId="25" fillId="20" borderId="15" xfId="0" applyFont="1" applyFill="1" applyBorder="1" applyAlignment="1">
      <alignment horizontal="center" vertical="center"/>
    </xf>
    <xf numFmtId="0" fontId="0" fillId="0" borderId="5" xfId="0" applyBorder="1"/>
    <xf numFmtId="0" fontId="26" fillId="2" borderId="22" xfId="0" applyFont="1" applyFill="1" applyAlignment="1">
      <alignment horizontal="left" vertical="center"/>
    </xf>
    <xf numFmtId="0" fontId="10" fillId="1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6" fontId="12" fillId="15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7" fillId="1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6" fontId="14" fillId="17" borderId="6" xfId="0" applyNumberFormat="1" applyFont="1" applyFill="1" applyBorder="1" applyAlignment="1">
      <alignment horizontal="center" vertical="center"/>
    </xf>
    <xf numFmtId="170" fontId="3" fillId="5" borderId="1" xfId="0" applyNumberFormat="1" applyFont="1" applyFill="1" applyBorder="1" applyAlignment="1">
      <alignment horizontal="center" vertical="center"/>
    </xf>
    <xf numFmtId="167" fontId="6" fillId="18" borderId="6" xfId="0" applyNumberFormat="1" applyFont="1" applyFill="1" applyBorder="1" applyAlignment="1">
      <alignment horizontal="center" vertical="center"/>
    </xf>
    <xf numFmtId="170" fontId="4" fillId="6" borderId="1" xfId="0" applyNumberFormat="1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left" vertical="center"/>
    </xf>
    <xf numFmtId="0" fontId="25" fillId="19" borderId="15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28" fillId="24" borderId="1" xfId="0" applyNumberFormat="1" applyFont="1" applyFill="1" applyBorder="1" applyAlignment="1">
      <alignment horizontal="center" vertical="center"/>
    </xf>
    <xf numFmtId="164" fontId="28" fillId="2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28" fillId="23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7" fontId="20" fillId="19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70" fontId="4" fillId="7" borderId="1" xfId="0" applyNumberFormat="1" applyFont="1" applyFill="1" applyBorder="1" applyAlignment="1">
      <alignment horizontal="center" vertical="center"/>
    </xf>
    <xf numFmtId="166" fontId="13" fillId="16" borderId="6" xfId="0" applyNumberFormat="1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7" fontId="24" fillId="19" borderId="4" xfId="0" applyNumberFormat="1" applyFont="1" applyFill="1" applyBorder="1" applyAlignment="1">
      <alignment horizontal="center" vertical="center"/>
    </xf>
    <xf numFmtId="166" fontId="11" fillId="14" borderId="6" xfId="0" applyNumberFormat="1" applyFont="1" applyFill="1" applyBorder="1" applyAlignment="1">
      <alignment horizontal="center" vertical="center"/>
    </xf>
    <xf numFmtId="164" fontId="28" fillId="22" borderId="1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7" fillId="19" borderId="4" xfId="0" applyFont="1" applyFill="1" applyBorder="1" applyAlignment="1">
      <alignment horizontal="left" vertical="center"/>
    </xf>
    <xf numFmtId="0" fontId="29" fillId="22" borderId="1" xfId="0" applyFont="1" applyFill="1" applyBorder="1" applyAlignment="1">
      <alignment horizontal="center" vertical="center"/>
    </xf>
    <xf numFmtId="168" fontId="11" fillId="14" borderId="6" xfId="0" applyNumberFormat="1" applyFont="1" applyFill="1" applyBorder="1" applyAlignment="1">
      <alignment horizontal="center" vertical="center"/>
    </xf>
    <xf numFmtId="167" fontId="15" fillId="18" borderId="6" xfId="0" applyNumberFormat="1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0" fillId="4" borderId="22" xfId="0" applyFont="1" applyFill="1" applyAlignment="1">
      <alignment horizontal="left" vertical="center"/>
    </xf>
    <xf numFmtId="167" fontId="20" fillId="20" borderId="4" xfId="0" applyNumberFormat="1" applyFont="1" applyFill="1" applyBorder="1" applyAlignment="1">
      <alignment horizontal="center" vertical="center"/>
    </xf>
    <xf numFmtId="167" fontId="24" fillId="20" borderId="4" xfId="0" applyNumberFormat="1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166" fontId="6" fillId="18" borderId="6" xfId="0" applyNumberFormat="1" applyFont="1" applyFill="1" applyBorder="1" applyAlignment="1">
      <alignment horizontal="center" vertical="center"/>
    </xf>
    <xf numFmtId="164" fontId="28" fillId="21" borderId="1" xfId="0" applyNumberFormat="1" applyFont="1" applyFill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45" fillId="18" borderId="4" xfId="0" applyFont="1" applyFill="1" applyBorder="1" applyAlignment="1">
      <alignment horizontal="left" vertical="center"/>
    </xf>
    <xf numFmtId="0" fontId="7" fillId="10" borderId="22" xfId="0" applyFont="1" applyFill="1" applyAlignment="1">
      <alignment horizontal="center" vertical="center"/>
    </xf>
    <xf numFmtId="0" fontId="65" fillId="10" borderId="4" xfId="0" applyFont="1" applyFill="1" applyBorder="1" applyAlignment="1">
      <alignment horizontal="center" vertical="center"/>
    </xf>
    <xf numFmtId="0" fontId="6" fillId="10" borderId="22" xfId="0" applyFont="1" applyFill="1" applyAlignment="1">
      <alignment horizontal="center" vertical="center"/>
    </xf>
    <xf numFmtId="0" fontId="96" fillId="56" borderId="25" xfId="0" applyFont="1" applyFill="1" applyBorder="1" applyAlignment="1">
      <alignment horizontal="center"/>
    </xf>
    <xf numFmtId="0" fontId="0" fillId="0" borderId="22" xfId="0"/>
    <xf numFmtId="0" fontId="85" fillId="51" borderId="22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FCDD2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C8E6C9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B2DFDB"/>
        </patternFill>
      </fill>
    </dxf>
    <dxf>
      <font>
        <sz val="10"/>
        <color rgb="FF1F1F1F"/>
        <name val="Arial"/>
        <charset val="1"/>
      </font>
      <fill>
        <patternFill>
          <bgColor rgb="FFFCE4EC"/>
        </patternFill>
      </fill>
    </dxf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3E5F5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b/>
        <color rgb="FF2E7D32"/>
        <name val="Arial"/>
        <charset val="1"/>
      </font>
      <fill>
        <patternFill>
          <bgColor rgb="FFC8E6C9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"/>
  <sheetViews>
    <sheetView zoomScaleNormal="100" workbookViewId="0">
      <selection activeCell="B11" sqref="B11:H11"/>
    </sheetView>
  </sheetViews>
  <sheetFormatPr defaultRowHeight="14.4" customHeight="1" x14ac:dyDescent="0.3"/>
  <cols>
    <col min="1" max="1" width="3" customWidth="1"/>
    <col min="2" max="2" width="48" customWidth="1"/>
    <col min="3" max="3" width="18" style="160" customWidth="1"/>
    <col min="4" max="6" width="20" style="160" customWidth="1"/>
    <col min="7" max="7" width="71.77734375" customWidth="1"/>
    <col min="8" max="8" width="26" customWidth="1"/>
  </cols>
  <sheetData>
    <row r="1" spans="2:8" ht="36" customHeight="1" x14ac:dyDescent="0.3">
      <c r="B1" s="334" t="s">
        <v>62</v>
      </c>
      <c r="C1" s="335"/>
      <c r="D1" s="335"/>
      <c r="E1" s="335"/>
      <c r="F1" s="335"/>
      <c r="G1" s="331"/>
      <c r="H1" s="331"/>
    </row>
    <row r="2" spans="2:8" ht="24" customHeight="1" x14ac:dyDescent="0.3">
      <c r="B2" s="338" t="s">
        <v>63</v>
      </c>
      <c r="C2" s="335"/>
      <c r="D2" s="335"/>
      <c r="E2" s="335"/>
      <c r="F2" s="335"/>
      <c r="G2" s="331"/>
      <c r="H2" s="331"/>
    </row>
    <row r="4" spans="2:8" ht="25.95" customHeight="1" x14ac:dyDescent="0.3">
      <c r="B4" s="337" t="s">
        <v>64</v>
      </c>
      <c r="C4" s="335"/>
      <c r="D4" s="335"/>
      <c r="E4" s="335"/>
      <c r="F4" s="335"/>
      <c r="G4" s="331"/>
      <c r="H4" s="331"/>
    </row>
    <row r="5" spans="2:8" ht="22.05" customHeight="1" x14ac:dyDescent="0.3">
      <c r="B5" s="145" t="s">
        <v>65</v>
      </c>
      <c r="C5" s="147" t="s">
        <v>66</v>
      </c>
      <c r="D5" s="147" t="s">
        <v>67</v>
      </c>
      <c r="E5" s="147" t="s">
        <v>68</v>
      </c>
      <c r="F5" s="147" t="s">
        <v>69</v>
      </c>
      <c r="G5" s="145" t="s">
        <v>70</v>
      </c>
    </row>
    <row r="6" spans="2:8" ht="19.95" customHeight="1" x14ac:dyDescent="0.3">
      <c r="B6" s="138" t="s">
        <v>71</v>
      </c>
      <c r="C6" s="138">
        <v>0.5</v>
      </c>
      <c r="D6" s="146">
        <v>300000</v>
      </c>
      <c r="E6" s="146">
        <f>D67</f>
        <v>36301</v>
      </c>
      <c r="F6" s="146">
        <f>D6-E6</f>
        <v>263699</v>
      </c>
      <c r="G6" s="138" t="s">
        <v>72</v>
      </c>
    </row>
    <row r="7" spans="2:8" ht="19.95" customHeight="1" x14ac:dyDescent="0.3">
      <c r="B7" s="138" t="s">
        <v>73</v>
      </c>
      <c r="C7" s="138">
        <v>0.3</v>
      </c>
      <c r="D7" s="146">
        <v>180000</v>
      </c>
      <c r="E7" s="146">
        <f>D52</f>
        <v>161568.34</v>
      </c>
      <c r="F7" s="146">
        <f>D7-E7</f>
        <v>18431.660000000003</v>
      </c>
      <c r="G7" s="138" t="s">
        <v>74</v>
      </c>
    </row>
    <row r="8" spans="2:8" ht="19.95" customHeight="1" x14ac:dyDescent="0.3">
      <c r="B8" s="138" t="s">
        <v>75</v>
      </c>
      <c r="C8" s="138">
        <v>0.2</v>
      </c>
      <c r="D8" s="146">
        <v>120000</v>
      </c>
      <c r="E8" s="146">
        <f>D82</f>
        <v>120000</v>
      </c>
      <c r="F8" s="146">
        <f>D8-E8</f>
        <v>0</v>
      </c>
      <c r="G8" s="138" t="s">
        <v>76</v>
      </c>
    </row>
    <row r="9" spans="2:8" ht="22.05" customHeight="1" x14ac:dyDescent="0.3">
      <c r="B9" s="147" t="s">
        <v>77</v>
      </c>
      <c r="C9" s="155">
        <f>SUM(C6:C8)</f>
        <v>1</v>
      </c>
      <c r="D9" s="155">
        <f>SUM(D6:D8)</f>
        <v>600000</v>
      </c>
      <c r="E9" s="155">
        <f>SUM(E6:E8)</f>
        <v>317869.33999999997</v>
      </c>
      <c r="F9" s="155">
        <f>SUM(F6:F8)</f>
        <v>282130.66000000003</v>
      </c>
      <c r="G9" s="145"/>
    </row>
    <row r="11" spans="2:8" ht="25.95" customHeight="1" x14ac:dyDescent="0.3">
      <c r="B11" s="337" t="s">
        <v>78</v>
      </c>
      <c r="C11" s="335"/>
      <c r="D11" s="335"/>
      <c r="E11" s="335"/>
      <c r="F11" s="335"/>
      <c r="G11" s="331"/>
      <c r="H11" s="331"/>
    </row>
    <row r="12" spans="2:8" ht="22.05" customHeight="1" x14ac:dyDescent="0.3">
      <c r="B12" s="145" t="s">
        <v>79</v>
      </c>
      <c r="C12" s="147" t="s">
        <v>3</v>
      </c>
      <c r="D12" s="147" t="s">
        <v>80</v>
      </c>
      <c r="E12" s="147" t="s">
        <v>81</v>
      </c>
      <c r="F12" s="147" t="s">
        <v>82</v>
      </c>
      <c r="G12" s="145" t="s">
        <v>12</v>
      </c>
    </row>
    <row r="13" spans="2:8" ht="19.95" customHeight="1" x14ac:dyDescent="0.3">
      <c r="B13" s="138" t="s">
        <v>83</v>
      </c>
      <c r="C13" s="138"/>
      <c r="D13" s="146">
        <v>390000</v>
      </c>
      <c r="E13" s="138" t="s">
        <v>84</v>
      </c>
      <c r="F13" s="138" t="s">
        <v>85</v>
      </c>
      <c r="G13" s="138" t="s">
        <v>86</v>
      </c>
    </row>
    <row r="14" spans="2:8" ht="19.95" customHeight="1" x14ac:dyDescent="0.3">
      <c r="B14" s="148" t="s">
        <v>87</v>
      </c>
      <c r="C14" s="148"/>
      <c r="D14" s="156">
        <v>5000</v>
      </c>
      <c r="E14" s="148" t="s">
        <v>71</v>
      </c>
      <c r="F14" s="148" t="s">
        <v>88</v>
      </c>
      <c r="G14" s="148" t="s">
        <v>89</v>
      </c>
    </row>
    <row r="15" spans="2:8" ht="19.95" customHeight="1" x14ac:dyDescent="0.3">
      <c r="B15" s="149" t="s">
        <v>90</v>
      </c>
      <c r="C15" s="180">
        <v>46176</v>
      </c>
      <c r="D15" s="157">
        <v>95000</v>
      </c>
      <c r="E15" s="172" t="s">
        <v>71</v>
      </c>
      <c r="F15" s="172" t="s">
        <v>88</v>
      </c>
      <c r="G15" s="149" t="s">
        <v>91</v>
      </c>
    </row>
    <row r="16" spans="2:8" x14ac:dyDescent="0.3">
      <c r="B16" s="149" t="s">
        <v>92</v>
      </c>
      <c r="C16" s="180">
        <v>46177</v>
      </c>
      <c r="D16" s="157">
        <v>8000</v>
      </c>
      <c r="E16" s="172" t="s">
        <v>71</v>
      </c>
      <c r="F16" s="172" t="s">
        <v>88</v>
      </c>
      <c r="G16" s="149" t="s">
        <v>93</v>
      </c>
    </row>
    <row r="17" spans="1:7" ht="19.95" customHeight="1" x14ac:dyDescent="0.3">
      <c r="B17" s="149" t="s">
        <v>94</v>
      </c>
      <c r="C17" s="180">
        <v>46177</v>
      </c>
      <c r="D17" s="157">
        <v>4500</v>
      </c>
      <c r="E17" s="172" t="s">
        <v>71</v>
      </c>
      <c r="F17" s="172" t="s">
        <v>88</v>
      </c>
      <c r="G17" s="149" t="s">
        <v>95</v>
      </c>
    </row>
    <row r="18" spans="1:7" ht="22.05" customHeight="1" x14ac:dyDescent="0.3">
      <c r="B18" s="149" t="s">
        <v>96</v>
      </c>
      <c r="C18" s="180">
        <v>46177</v>
      </c>
      <c r="D18" s="157">
        <v>15000</v>
      </c>
      <c r="E18" s="172" t="s">
        <v>71</v>
      </c>
      <c r="F18" s="172" t="s">
        <v>88</v>
      </c>
      <c r="G18" s="149" t="s">
        <v>93</v>
      </c>
    </row>
    <row r="19" spans="1:7" ht="19.95" customHeight="1" x14ac:dyDescent="0.3">
      <c r="B19" s="149" t="s">
        <v>97</v>
      </c>
      <c r="C19" s="180">
        <v>46177</v>
      </c>
      <c r="D19" s="157">
        <v>10000</v>
      </c>
      <c r="E19" s="172" t="s">
        <v>71</v>
      </c>
      <c r="F19" s="172" t="s">
        <v>88</v>
      </c>
      <c r="G19" s="149" t="s">
        <v>93</v>
      </c>
    </row>
    <row r="20" spans="1:7" ht="19.95" customHeight="1" x14ac:dyDescent="0.3">
      <c r="B20" s="149" t="s">
        <v>98</v>
      </c>
      <c r="C20" s="180">
        <v>46177</v>
      </c>
      <c r="D20" s="157">
        <v>44000</v>
      </c>
      <c r="E20" s="172" t="s">
        <v>71</v>
      </c>
      <c r="F20" s="172" t="s">
        <v>88</v>
      </c>
      <c r="G20" s="149" t="s">
        <v>93</v>
      </c>
    </row>
    <row r="21" spans="1:7" ht="19.95" customHeight="1" x14ac:dyDescent="0.3">
      <c r="B21" s="149" t="s">
        <v>99</v>
      </c>
      <c r="C21" s="180">
        <v>46177</v>
      </c>
      <c r="D21" s="157">
        <v>44000</v>
      </c>
      <c r="E21" s="172" t="s">
        <v>71</v>
      </c>
      <c r="F21" s="172" t="s">
        <v>88</v>
      </c>
      <c r="G21" s="149" t="s">
        <v>93</v>
      </c>
    </row>
    <row r="22" spans="1:7" ht="19.95" customHeight="1" x14ac:dyDescent="0.3">
      <c r="B22" s="149" t="s">
        <v>100</v>
      </c>
      <c r="C22" s="180">
        <v>46178</v>
      </c>
      <c r="D22" s="157">
        <v>30000</v>
      </c>
      <c r="E22" s="172" t="s">
        <v>71</v>
      </c>
      <c r="F22" s="172" t="s">
        <v>88</v>
      </c>
      <c r="G22" s="149" t="s">
        <v>101</v>
      </c>
    </row>
    <row r="23" spans="1:7" ht="19.95" customHeight="1" x14ac:dyDescent="0.3">
      <c r="B23" s="149" t="s">
        <v>102</v>
      </c>
      <c r="C23" s="180">
        <v>46192</v>
      </c>
      <c r="D23" s="157">
        <v>30000</v>
      </c>
      <c r="E23" s="172" t="s">
        <v>71</v>
      </c>
      <c r="F23" s="172" t="s">
        <v>88</v>
      </c>
      <c r="G23" s="149" t="s">
        <v>103</v>
      </c>
    </row>
    <row r="24" spans="1:7" ht="19.95" customHeight="1" x14ac:dyDescent="0.3">
      <c r="B24" s="149" t="s">
        <v>104</v>
      </c>
      <c r="C24" s="180">
        <v>46192</v>
      </c>
      <c r="D24" s="157">
        <v>20735</v>
      </c>
      <c r="E24" s="172" t="s">
        <v>71</v>
      </c>
      <c r="F24" s="172" t="s">
        <v>88</v>
      </c>
      <c r="G24" s="149" t="s">
        <v>103</v>
      </c>
    </row>
    <row r="25" spans="1:7" ht="19.95" customHeight="1" x14ac:dyDescent="0.3">
      <c r="B25" s="149" t="s">
        <v>105</v>
      </c>
      <c r="C25" s="180">
        <v>46190</v>
      </c>
      <c r="D25" s="157">
        <v>15530</v>
      </c>
      <c r="E25" s="172" t="s">
        <v>71</v>
      </c>
      <c r="F25" s="172" t="s">
        <v>106</v>
      </c>
      <c r="G25" s="149" t="s">
        <v>107</v>
      </c>
    </row>
    <row r="26" spans="1:7" ht="19.95" customHeight="1" x14ac:dyDescent="0.3">
      <c r="A26" s="269"/>
      <c r="B26" s="277" t="s">
        <v>108</v>
      </c>
      <c r="C26" s="278">
        <v>46195</v>
      </c>
      <c r="D26" s="279">
        <v>60000</v>
      </c>
      <c r="E26" s="280" t="s">
        <v>71</v>
      </c>
      <c r="F26" s="280" t="s">
        <v>88</v>
      </c>
      <c r="G26" s="277" t="s">
        <v>109</v>
      </c>
    </row>
    <row r="27" spans="1:7" ht="19.95" customHeight="1" x14ac:dyDescent="0.3">
      <c r="B27" s="149" t="s">
        <v>110</v>
      </c>
      <c r="C27" s="180">
        <v>46203</v>
      </c>
      <c r="D27" s="157">
        <v>6000</v>
      </c>
      <c r="E27" s="172" t="s">
        <v>71</v>
      </c>
      <c r="F27" s="172" t="s">
        <v>88</v>
      </c>
      <c r="G27" s="149" t="s">
        <v>111</v>
      </c>
    </row>
    <row r="28" spans="1:7" ht="19.95" customHeight="1" x14ac:dyDescent="0.3">
      <c r="B28" s="149"/>
      <c r="C28" s="180"/>
      <c r="D28" s="157"/>
      <c r="E28" s="172"/>
      <c r="F28" s="172"/>
      <c r="G28" s="149"/>
    </row>
    <row r="29" spans="1:7" ht="19.95" customHeight="1" x14ac:dyDescent="0.3">
      <c r="B29" s="149"/>
      <c r="C29" s="180"/>
      <c r="D29" s="157"/>
      <c r="E29" s="172"/>
      <c r="F29" s="172"/>
      <c r="G29" s="149"/>
    </row>
    <row r="30" spans="1:7" ht="19.95" customHeight="1" x14ac:dyDescent="0.3">
      <c r="B30" s="149"/>
      <c r="C30" s="180"/>
      <c r="D30" s="157"/>
      <c r="E30" s="172"/>
      <c r="F30" s="172"/>
      <c r="G30" s="149"/>
    </row>
    <row r="31" spans="1:7" x14ac:dyDescent="0.3">
      <c r="B31" s="150" t="s">
        <v>112</v>
      </c>
      <c r="C31" s="150"/>
      <c r="D31" s="158">
        <f>D13-SUM(D14:D30)</f>
        <v>2235</v>
      </c>
      <c r="E31" s="150" t="s">
        <v>113</v>
      </c>
      <c r="F31" s="150" t="s">
        <v>114</v>
      </c>
      <c r="G31" s="150" t="s">
        <v>115</v>
      </c>
    </row>
    <row r="32" spans="1:7" ht="25.95" customHeight="1" x14ac:dyDescent="0.3">
      <c r="B32" s="189"/>
      <c r="C32" s="236"/>
      <c r="D32" s="191"/>
      <c r="E32" s="190"/>
      <c r="F32" s="190"/>
      <c r="G32" s="189"/>
    </row>
    <row r="33" spans="2:8" ht="22.05" customHeight="1" x14ac:dyDescent="0.3">
      <c r="B33" s="151" t="s">
        <v>116</v>
      </c>
      <c r="C33" s="151"/>
      <c r="D33" s="151"/>
      <c r="E33" s="151"/>
      <c r="F33" s="151"/>
      <c r="G33" s="152"/>
      <c r="H33" s="152"/>
    </row>
    <row r="34" spans="2:8" ht="19.95" customHeight="1" x14ac:dyDescent="0.3">
      <c r="B34" s="145" t="s">
        <v>13</v>
      </c>
      <c r="C34" s="147" t="s">
        <v>117</v>
      </c>
      <c r="D34" s="147" t="s">
        <v>80</v>
      </c>
      <c r="E34" s="147" t="s">
        <v>118</v>
      </c>
      <c r="F34" s="147" t="s">
        <v>119</v>
      </c>
      <c r="G34" s="145" t="s">
        <v>12</v>
      </c>
    </row>
    <row r="35" spans="2:8" ht="19.95" customHeight="1" x14ac:dyDescent="0.3">
      <c r="B35" s="138" t="s">
        <v>120</v>
      </c>
      <c r="C35" s="138" t="s">
        <v>73</v>
      </c>
      <c r="D35" s="146">
        <v>125000</v>
      </c>
      <c r="E35" s="166">
        <f>D35/390000</f>
        <v>0.32051282051282054</v>
      </c>
      <c r="F35" s="146">
        <f>D35</f>
        <v>125000</v>
      </c>
      <c r="G35" s="138" t="s">
        <v>121</v>
      </c>
    </row>
    <row r="36" spans="2:8" ht="19.95" customHeight="1" x14ac:dyDescent="0.3">
      <c r="B36" s="140" t="s">
        <v>122</v>
      </c>
      <c r="C36" s="140" t="s">
        <v>123</v>
      </c>
      <c r="D36" s="159">
        <v>100000</v>
      </c>
      <c r="E36" s="167">
        <f>D36/390000</f>
        <v>0.25641025641025639</v>
      </c>
      <c r="F36" s="159">
        <f>D35+D36</f>
        <v>225000</v>
      </c>
      <c r="G36" s="140" t="s">
        <v>124</v>
      </c>
    </row>
    <row r="37" spans="2:8" ht="19.95" customHeight="1" x14ac:dyDescent="0.3">
      <c r="B37" s="138" t="s">
        <v>125</v>
      </c>
      <c r="C37" s="138" t="s">
        <v>71</v>
      </c>
      <c r="D37" s="146">
        <f>390000-D35-D36</f>
        <v>165000</v>
      </c>
      <c r="E37" s="166">
        <f>D37/390000</f>
        <v>0.42307692307692307</v>
      </c>
      <c r="F37" s="146">
        <f>D35+D36+D37</f>
        <v>390000</v>
      </c>
      <c r="G37" s="138" t="s">
        <v>126</v>
      </c>
    </row>
    <row r="38" spans="2:8" ht="19.95" customHeight="1" x14ac:dyDescent="0.3">
      <c r="B38" s="140" t="s">
        <v>127</v>
      </c>
      <c r="C38" s="140" t="s">
        <v>71</v>
      </c>
      <c r="D38" s="159">
        <v>5000</v>
      </c>
      <c r="E38" s="167">
        <f>D38/390000</f>
        <v>1.282051282051282E-2</v>
      </c>
      <c r="F38" s="159" t="s">
        <v>128</v>
      </c>
      <c r="G38" s="140" t="s">
        <v>129</v>
      </c>
    </row>
    <row r="39" spans="2:8" ht="19.95" customHeight="1" x14ac:dyDescent="0.3"/>
    <row r="40" spans="2:8" ht="19.95" customHeight="1" x14ac:dyDescent="0.3">
      <c r="B40" s="143" t="s">
        <v>130</v>
      </c>
      <c r="C40" s="143"/>
      <c r="D40" s="143"/>
      <c r="E40" s="143"/>
      <c r="F40" s="143"/>
      <c r="G40" s="144"/>
      <c r="H40" s="144"/>
    </row>
    <row r="41" spans="2:8" ht="19.95" customHeight="1" x14ac:dyDescent="0.3">
      <c r="B41" s="145" t="s">
        <v>79</v>
      </c>
      <c r="C41" s="147" t="s">
        <v>3</v>
      </c>
      <c r="D41" s="147" t="s">
        <v>80</v>
      </c>
      <c r="E41" s="147" t="s">
        <v>131</v>
      </c>
      <c r="F41" s="147" t="s">
        <v>132</v>
      </c>
      <c r="G41" s="145" t="s">
        <v>12</v>
      </c>
    </row>
    <row r="42" spans="2:8" ht="22.05" customHeight="1" x14ac:dyDescent="0.3">
      <c r="B42" s="138" t="s">
        <v>133</v>
      </c>
      <c r="C42" s="138"/>
      <c r="D42" s="146">
        <v>145000</v>
      </c>
      <c r="E42" s="138" t="s">
        <v>134</v>
      </c>
      <c r="F42" s="138" t="s">
        <v>135</v>
      </c>
      <c r="G42" s="138" t="s">
        <v>136</v>
      </c>
    </row>
    <row r="43" spans="2:8" x14ac:dyDescent="0.3">
      <c r="B43" s="140" t="s">
        <v>137</v>
      </c>
      <c r="C43" s="140"/>
      <c r="D43" s="159">
        <v>15195</v>
      </c>
      <c r="E43" s="140" t="s">
        <v>138</v>
      </c>
      <c r="F43" s="140" t="s">
        <v>139</v>
      </c>
      <c r="G43" s="140" t="s">
        <v>140</v>
      </c>
    </row>
    <row r="44" spans="2:8" ht="25.95" customHeight="1" x14ac:dyDescent="0.3">
      <c r="B44" s="138" t="s">
        <v>141</v>
      </c>
      <c r="C44" s="173"/>
      <c r="D44" s="161">
        <v>500</v>
      </c>
      <c r="E44" s="173" t="s">
        <v>142</v>
      </c>
      <c r="F44" s="173" t="s">
        <v>143</v>
      </c>
      <c r="G44" s="139" t="s">
        <v>144</v>
      </c>
    </row>
    <row r="45" spans="2:8" ht="22.05" customHeight="1" x14ac:dyDescent="0.3">
      <c r="B45" s="138" t="s">
        <v>145</v>
      </c>
      <c r="C45" s="181">
        <v>46170</v>
      </c>
      <c r="D45" s="182">
        <v>436.12</v>
      </c>
      <c r="E45" s="183" t="s">
        <v>146</v>
      </c>
      <c r="F45" s="183" t="s">
        <v>147</v>
      </c>
      <c r="G45" s="184" t="s">
        <v>148</v>
      </c>
      <c r="H45" s="134"/>
    </row>
    <row r="46" spans="2:8" ht="19.95" customHeight="1" x14ac:dyDescent="0.3">
      <c r="B46" s="140" t="s">
        <v>149</v>
      </c>
      <c r="C46" s="185">
        <v>46171</v>
      </c>
      <c r="D46" s="186">
        <v>437.22</v>
      </c>
      <c r="E46" s="140" t="s">
        <v>146</v>
      </c>
      <c r="F46" s="140" t="s">
        <v>147</v>
      </c>
      <c r="G46" s="140" t="s">
        <v>150</v>
      </c>
    </row>
    <row r="47" spans="2:8" ht="19.95" customHeight="1" x14ac:dyDescent="0.3">
      <c r="B47" s="137"/>
      <c r="C47" s="137"/>
      <c r="D47" s="162"/>
      <c r="E47" s="137"/>
      <c r="F47" s="137"/>
      <c r="G47" s="137"/>
    </row>
    <row r="48" spans="2:8" ht="19.95" customHeight="1" x14ac:dyDescent="0.3">
      <c r="B48" s="137"/>
      <c r="C48" s="137"/>
      <c r="D48" s="162"/>
      <c r="E48" s="137"/>
      <c r="F48" s="137"/>
      <c r="G48" s="137"/>
    </row>
    <row r="49" spans="2:8" ht="19.95" customHeight="1" x14ac:dyDescent="0.3">
      <c r="B49" s="137"/>
      <c r="C49" s="137"/>
      <c r="D49" s="162"/>
      <c r="E49" s="137"/>
      <c r="F49" s="137"/>
      <c r="G49" s="137"/>
    </row>
    <row r="50" spans="2:8" ht="19.95" customHeight="1" x14ac:dyDescent="0.3">
      <c r="B50" s="137"/>
      <c r="C50" s="137"/>
      <c r="D50" s="162"/>
      <c r="E50" s="137"/>
      <c r="F50" s="137"/>
      <c r="G50" s="137"/>
    </row>
    <row r="51" spans="2:8" ht="19.95" customHeight="1" x14ac:dyDescent="0.3">
      <c r="B51" s="137"/>
      <c r="C51" s="137"/>
      <c r="D51" s="162"/>
      <c r="E51" s="137"/>
      <c r="F51" s="137"/>
      <c r="G51" s="137"/>
    </row>
    <row r="52" spans="2:8" ht="19.95" customHeight="1" x14ac:dyDescent="0.3">
      <c r="B52" s="147" t="s">
        <v>151</v>
      </c>
      <c r="C52" s="147"/>
      <c r="D52" s="155">
        <f>SUM(D42:D51)</f>
        <v>161568.34</v>
      </c>
      <c r="E52" s="147"/>
      <c r="F52" s="147"/>
      <c r="G52" s="145"/>
    </row>
    <row r="53" spans="2:8" ht="19.95" customHeight="1" x14ac:dyDescent="0.3"/>
    <row r="54" spans="2:8" ht="19.95" customHeight="1" x14ac:dyDescent="0.3">
      <c r="B54" s="143" t="s">
        <v>152</v>
      </c>
      <c r="C54" s="143"/>
      <c r="D54" s="143"/>
      <c r="E54" s="143"/>
      <c r="F54" s="143"/>
      <c r="G54" s="144"/>
      <c r="H54" s="144"/>
    </row>
    <row r="55" spans="2:8" ht="19.95" customHeight="1" x14ac:dyDescent="0.3">
      <c r="B55" s="145" t="s">
        <v>79</v>
      </c>
      <c r="C55" s="147" t="s">
        <v>3</v>
      </c>
      <c r="D55" s="147" t="s">
        <v>80</v>
      </c>
      <c r="E55" s="147" t="s">
        <v>131</v>
      </c>
      <c r="F55" s="147" t="s">
        <v>132</v>
      </c>
      <c r="G55" s="145" t="s">
        <v>12</v>
      </c>
    </row>
    <row r="56" spans="2:8" ht="19.95" customHeight="1" x14ac:dyDescent="0.3">
      <c r="B56" s="138" t="s">
        <v>153</v>
      </c>
      <c r="C56" s="138"/>
      <c r="D56" s="146">
        <v>5000</v>
      </c>
      <c r="E56" s="138" t="s">
        <v>154</v>
      </c>
      <c r="F56" s="138" t="s">
        <v>155</v>
      </c>
      <c r="G56" s="138" t="s">
        <v>156</v>
      </c>
    </row>
    <row r="57" spans="2:8" ht="22.05" customHeight="1" x14ac:dyDescent="0.3">
      <c r="B57" s="140" t="s">
        <v>157</v>
      </c>
      <c r="C57" s="140"/>
      <c r="D57" s="159">
        <v>15797</v>
      </c>
      <c r="E57" s="140" t="s">
        <v>158</v>
      </c>
      <c r="F57" s="140" t="s">
        <v>159</v>
      </c>
      <c r="G57" s="140" t="s">
        <v>160</v>
      </c>
    </row>
    <row r="58" spans="2:8" x14ac:dyDescent="0.3">
      <c r="B58" s="138" t="s">
        <v>161</v>
      </c>
      <c r="C58" s="138"/>
      <c r="D58" s="146">
        <v>5150</v>
      </c>
      <c r="E58" s="138" t="s">
        <v>162</v>
      </c>
      <c r="F58" s="138" t="s">
        <v>159</v>
      </c>
      <c r="G58" s="138" t="s">
        <v>163</v>
      </c>
    </row>
    <row r="59" spans="2:8" ht="25.95" customHeight="1" x14ac:dyDescent="0.3">
      <c r="B59" s="140" t="s">
        <v>164</v>
      </c>
      <c r="C59" s="174"/>
      <c r="D59" s="163">
        <v>3000</v>
      </c>
      <c r="E59" s="174" t="s">
        <v>165</v>
      </c>
      <c r="F59" s="174" t="s">
        <v>166</v>
      </c>
      <c r="G59" s="141" t="s">
        <v>167</v>
      </c>
    </row>
    <row r="60" spans="2:8" ht="22.05" customHeight="1" x14ac:dyDescent="0.3">
      <c r="B60" s="237" t="s">
        <v>168</v>
      </c>
      <c r="C60" s="236">
        <v>46190</v>
      </c>
      <c r="D60" s="191">
        <v>1400</v>
      </c>
      <c r="E60" s="190" t="s">
        <v>165</v>
      </c>
      <c r="F60" s="190" t="s">
        <v>169</v>
      </c>
      <c r="G60" s="189" t="s">
        <v>170</v>
      </c>
      <c r="H60" s="134"/>
    </row>
    <row r="61" spans="2:8" ht="22.05" customHeight="1" x14ac:dyDescent="0.3">
      <c r="B61" s="237" t="s">
        <v>171</v>
      </c>
      <c r="C61" s="287">
        <v>46210</v>
      </c>
      <c r="D61" s="288">
        <v>1034</v>
      </c>
      <c r="E61" s="289" t="s">
        <v>123</v>
      </c>
      <c r="F61" s="289" t="s">
        <v>172</v>
      </c>
      <c r="G61" s="290" t="s">
        <v>173</v>
      </c>
    </row>
    <row r="62" spans="2:8" ht="22.05" customHeight="1" x14ac:dyDescent="0.3">
      <c r="B62" s="237" t="s">
        <v>174</v>
      </c>
      <c r="C62" s="312">
        <v>46223</v>
      </c>
      <c r="D62" s="313">
        <v>2300</v>
      </c>
      <c r="E62" s="314" t="s">
        <v>175</v>
      </c>
      <c r="F62" s="314" t="s">
        <v>169</v>
      </c>
      <c r="G62" s="315" t="s">
        <v>176</v>
      </c>
    </row>
    <row r="63" spans="2:8" ht="19.95" customHeight="1" x14ac:dyDescent="0.3">
      <c r="B63" s="237" t="s">
        <v>177</v>
      </c>
      <c r="C63" s="312">
        <v>46223</v>
      </c>
      <c r="D63" s="313">
        <v>2620</v>
      </c>
      <c r="E63" s="314" t="s">
        <v>178</v>
      </c>
      <c r="F63" s="314" t="s">
        <v>179</v>
      </c>
      <c r="G63" s="315" t="s">
        <v>180</v>
      </c>
    </row>
    <row r="64" spans="2:8" ht="19.95" customHeight="1" x14ac:dyDescent="0.3">
      <c r="B64" s="137"/>
      <c r="C64" s="137"/>
      <c r="D64" s="162"/>
      <c r="E64" s="137"/>
      <c r="F64" s="137"/>
      <c r="G64" s="137"/>
    </row>
    <row r="65" spans="2:8" ht="19.95" customHeight="1" x14ac:dyDescent="0.3">
      <c r="B65" s="137"/>
      <c r="C65" s="137"/>
      <c r="D65" s="162"/>
      <c r="E65" s="137"/>
      <c r="F65" s="137"/>
      <c r="G65" s="137"/>
    </row>
    <row r="66" spans="2:8" ht="19.95" customHeight="1" x14ac:dyDescent="0.3">
      <c r="B66" s="137"/>
      <c r="C66" s="137"/>
      <c r="D66" s="162"/>
      <c r="E66" s="137"/>
      <c r="F66" s="137"/>
      <c r="G66" s="137"/>
    </row>
    <row r="67" spans="2:8" ht="19.95" customHeight="1" x14ac:dyDescent="0.3">
      <c r="B67" s="147" t="s">
        <v>181</v>
      </c>
      <c r="C67" s="147"/>
      <c r="D67" s="155">
        <f>SUM(D56:D66)</f>
        <v>36301</v>
      </c>
      <c r="E67" s="147"/>
      <c r="F67" s="147"/>
      <c r="G67" s="145"/>
    </row>
    <row r="68" spans="2:8" ht="19.95" customHeight="1" x14ac:dyDescent="0.3"/>
    <row r="69" spans="2:8" ht="19.95" customHeight="1" x14ac:dyDescent="0.3">
      <c r="B69" s="143" t="s">
        <v>182</v>
      </c>
      <c r="C69" s="143"/>
      <c r="D69" s="143"/>
      <c r="E69" s="143"/>
      <c r="F69" s="143"/>
      <c r="G69" s="144"/>
      <c r="H69" s="144"/>
    </row>
    <row r="70" spans="2:8" ht="19.95" customHeight="1" x14ac:dyDescent="0.3">
      <c r="B70" s="145" t="s">
        <v>79</v>
      </c>
      <c r="C70" s="147" t="s">
        <v>3</v>
      </c>
      <c r="D70" s="147" t="s">
        <v>80</v>
      </c>
      <c r="E70" s="147" t="s">
        <v>131</v>
      </c>
      <c r="F70" s="147" t="s">
        <v>132</v>
      </c>
      <c r="G70" s="145" t="s">
        <v>12</v>
      </c>
    </row>
    <row r="71" spans="2:8" ht="22.05" customHeight="1" x14ac:dyDescent="0.3">
      <c r="B71" s="138" t="s">
        <v>133</v>
      </c>
      <c r="C71" s="138"/>
      <c r="D71" s="146">
        <v>100000</v>
      </c>
      <c r="E71" s="138" t="s">
        <v>134</v>
      </c>
      <c r="F71" s="138" t="s">
        <v>135</v>
      </c>
      <c r="G71" s="138" t="s">
        <v>183</v>
      </c>
    </row>
    <row r="72" spans="2:8" x14ac:dyDescent="0.3">
      <c r="B72" s="140" t="s">
        <v>184</v>
      </c>
      <c r="C72" s="140"/>
      <c r="D72" s="159">
        <v>2646</v>
      </c>
      <c r="E72" s="140" t="s">
        <v>185</v>
      </c>
      <c r="F72" s="140" t="s">
        <v>186</v>
      </c>
      <c r="G72" s="140" t="s">
        <v>187</v>
      </c>
    </row>
    <row r="73" spans="2:8" ht="25.95" customHeight="1" x14ac:dyDescent="0.3">
      <c r="B73" s="138" t="s">
        <v>188</v>
      </c>
      <c r="C73" s="173"/>
      <c r="D73" s="161">
        <v>745</v>
      </c>
      <c r="E73" s="173" t="s">
        <v>189</v>
      </c>
      <c r="F73" s="173" t="s">
        <v>190</v>
      </c>
      <c r="G73" s="139" t="s">
        <v>188</v>
      </c>
    </row>
    <row r="74" spans="2:8" ht="22.05" customHeight="1" x14ac:dyDescent="0.3">
      <c r="B74" s="140" t="s">
        <v>191</v>
      </c>
      <c r="C74" s="175"/>
      <c r="D74" s="164">
        <v>204</v>
      </c>
      <c r="E74" s="175" t="s">
        <v>192</v>
      </c>
      <c r="F74" s="175" t="s">
        <v>193</v>
      </c>
      <c r="G74" s="142" t="s">
        <v>191</v>
      </c>
      <c r="H74" s="134"/>
    </row>
    <row r="75" spans="2:8" ht="19.95" customHeight="1" x14ac:dyDescent="0.3">
      <c r="B75" s="138" t="s">
        <v>194</v>
      </c>
      <c r="C75" s="138"/>
      <c r="D75" s="146">
        <v>845</v>
      </c>
      <c r="E75" s="138" t="s">
        <v>178</v>
      </c>
      <c r="F75" s="138" t="s">
        <v>193</v>
      </c>
      <c r="G75" s="138" t="s">
        <v>194</v>
      </c>
    </row>
    <row r="76" spans="2:8" ht="19.95" customHeight="1" x14ac:dyDescent="0.3">
      <c r="B76" s="140" t="s">
        <v>195</v>
      </c>
      <c r="C76" s="140"/>
      <c r="D76" s="159">
        <v>1555</v>
      </c>
      <c r="E76" s="140" t="s">
        <v>196</v>
      </c>
      <c r="F76" s="140" t="s">
        <v>197</v>
      </c>
      <c r="G76" s="140" t="s">
        <v>195</v>
      </c>
    </row>
    <row r="77" spans="2:8" ht="19.95" customHeight="1" x14ac:dyDescent="0.3">
      <c r="B77" s="138" t="s">
        <v>198</v>
      </c>
      <c r="C77" s="187">
        <v>46176</v>
      </c>
      <c r="D77" s="188">
        <v>900</v>
      </c>
      <c r="E77" s="138" t="s">
        <v>199</v>
      </c>
      <c r="F77" s="138" t="s">
        <v>193</v>
      </c>
      <c r="G77" s="138" t="s">
        <v>200</v>
      </c>
    </row>
    <row r="78" spans="2:8" ht="19.95" customHeight="1" x14ac:dyDescent="0.3">
      <c r="B78" s="237" t="s">
        <v>201</v>
      </c>
      <c r="C78" s="238">
        <v>46190</v>
      </c>
      <c r="D78" s="239">
        <v>12000</v>
      </c>
      <c r="E78" s="237" t="s">
        <v>202</v>
      </c>
      <c r="F78" s="237" t="s">
        <v>193</v>
      </c>
      <c r="G78" s="237" t="s">
        <v>203</v>
      </c>
    </row>
    <row r="79" spans="2:8" ht="19.95" customHeight="1" x14ac:dyDescent="0.3">
      <c r="B79" s="237" t="s">
        <v>204</v>
      </c>
      <c r="C79" s="238">
        <v>46210</v>
      </c>
      <c r="D79" s="239">
        <v>1219</v>
      </c>
      <c r="E79" s="237" t="s">
        <v>178</v>
      </c>
      <c r="F79" s="237" t="s">
        <v>179</v>
      </c>
      <c r="G79" s="237" t="s">
        <v>205</v>
      </c>
    </row>
    <row r="80" spans="2:8" ht="19.95" customHeight="1" x14ac:dyDescent="0.3">
      <c r="B80" s="237" t="s">
        <v>206</v>
      </c>
      <c r="C80" s="238">
        <v>46210</v>
      </c>
      <c r="D80" s="239">
        <v>920</v>
      </c>
      <c r="E80" s="237" t="s">
        <v>199</v>
      </c>
      <c r="F80" s="237" t="s">
        <v>186</v>
      </c>
      <c r="G80" s="237" t="s">
        <v>207</v>
      </c>
    </row>
    <row r="81" spans="2:8" ht="19.95" customHeight="1" x14ac:dyDescent="0.3">
      <c r="B81" s="237" t="s">
        <v>208</v>
      </c>
      <c r="C81" s="238">
        <v>46210</v>
      </c>
      <c r="D81" s="239">
        <v>-1034</v>
      </c>
      <c r="E81" s="237" t="s">
        <v>71</v>
      </c>
      <c r="F81" s="237" t="s">
        <v>172</v>
      </c>
      <c r="G81" s="237" t="s">
        <v>209</v>
      </c>
    </row>
    <row r="82" spans="2:8" ht="19.95" customHeight="1" x14ac:dyDescent="0.3">
      <c r="B82" s="147" t="s">
        <v>210</v>
      </c>
      <c r="C82" s="176"/>
      <c r="D82" s="165">
        <f>SUM(D71:D81)</f>
        <v>120000</v>
      </c>
      <c r="E82" s="176"/>
      <c r="F82" s="176"/>
      <c r="G82" s="153"/>
      <c r="H82" s="134"/>
    </row>
    <row r="83" spans="2:8" ht="19.95" customHeight="1" x14ac:dyDescent="0.3"/>
    <row r="84" spans="2:8" ht="19.95" customHeight="1" x14ac:dyDescent="0.3">
      <c r="B84" s="143" t="s">
        <v>211</v>
      </c>
      <c r="C84" s="143"/>
      <c r="D84" s="143"/>
      <c r="E84" s="143"/>
      <c r="F84" s="143"/>
      <c r="G84" s="144"/>
      <c r="H84" s="144"/>
    </row>
    <row r="85" spans="2:8" ht="19.95" customHeight="1" x14ac:dyDescent="0.3">
      <c r="B85" s="145" t="s">
        <v>212</v>
      </c>
      <c r="C85" s="147"/>
      <c r="D85" s="147"/>
      <c r="E85" s="147"/>
      <c r="F85" s="147"/>
      <c r="G85" s="145"/>
    </row>
    <row r="86" spans="2:8" ht="19.95" customHeight="1" x14ac:dyDescent="0.3">
      <c r="B86" s="138" t="s">
        <v>213</v>
      </c>
      <c r="C86" s="146">
        <f>SUM(D6:D8)</f>
        <v>600000</v>
      </c>
      <c r="D86" s="166"/>
      <c r="E86" s="138" t="s">
        <v>214</v>
      </c>
    </row>
    <row r="87" spans="2:8" ht="19.95" customHeight="1" x14ac:dyDescent="0.3">
      <c r="B87" s="140" t="s">
        <v>215</v>
      </c>
      <c r="C87" s="159">
        <f>D13</f>
        <v>390000</v>
      </c>
      <c r="D87" s="167">
        <f>C87/C86</f>
        <v>0.65</v>
      </c>
      <c r="E87" s="140" t="s">
        <v>216</v>
      </c>
    </row>
    <row r="88" spans="2:8" x14ac:dyDescent="0.3">
      <c r="B88" s="138" t="s">
        <v>217</v>
      </c>
      <c r="C88" s="146">
        <f>D14</f>
        <v>5000</v>
      </c>
      <c r="D88" s="166">
        <f>C88/C86</f>
        <v>8.3333333333333332E-3</v>
      </c>
      <c r="E88" s="138" t="s">
        <v>218</v>
      </c>
    </row>
    <row r="89" spans="2:8" x14ac:dyDescent="0.3">
      <c r="B89" s="150" t="s">
        <v>112</v>
      </c>
      <c r="C89" s="158">
        <f>D31</f>
        <v>2235</v>
      </c>
      <c r="D89" s="168">
        <f>C89/C86</f>
        <v>3.725E-3</v>
      </c>
      <c r="E89" s="150" t="s">
        <v>219</v>
      </c>
    </row>
    <row r="90" spans="2:8" x14ac:dyDescent="0.3">
      <c r="B90" s="140" t="s">
        <v>220</v>
      </c>
      <c r="C90" s="159">
        <f>SUM(D43:D51)</f>
        <v>16568.34</v>
      </c>
      <c r="D90" s="167">
        <f>C90/C86</f>
        <v>2.76139E-2</v>
      </c>
      <c r="E90" s="140" t="s">
        <v>221</v>
      </c>
    </row>
    <row r="91" spans="2:8" x14ac:dyDescent="0.3">
      <c r="B91" s="138" t="s">
        <v>222</v>
      </c>
      <c r="C91" s="146">
        <f>D42</f>
        <v>145000</v>
      </c>
      <c r="D91" s="166">
        <f>C91/C86</f>
        <v>0.24166666666666667</v>
      </c>
      <c r="E91" s="138"/>
    </row>
    <row r="92" spans="2:8" x14ac:dyDescent="0.3">
      <c r="B92" s="140" t="s">
        <v>223</v>
      </c>
      <c r="C92" s="159">
        <f>D67</f>
        <v>36301</v>
      </c>
      <c r="D92" s="167">
        <f>C92/C86</f>
        <v>6.0501666666666669E-2</v>
      </c>
      <c r="E92" s="140" t="s">
        <v>224</v>
      </c>
    </row>
    <row r="93" spans="2:8" x14ac:dyDescent="0.3">
      <c r="B93" s="138" t="s">
        <v>225</v>
      </c>
      <c r="C93" s="146">
        <f>D71</f>
        <v>100000</v>
      </c>
      <c r="D93" s="166">
        <f>C93/C86</f>
        <v>0.16666666666666666</v>
      </c>
      <c r="E93" s="138"/>
    </row>
    <row r="94" spans="2:8" x14ac:dyDescent="0.3">
      <c r="B94" s="140" t="s">
        <v>226</v>
      </c>
      <c r="C94" s="159">
        <f>SUM(D72:D81)</f>
        <v>20000</v>
      </c>
      <c r="D94" s="167">
        <f>C94/C86</f>
        <v>3.3333333333333333E-2</v>
      </c>
      <c r="E94" s="140" t="s">
        <v>227</v>
      </c>
    </row>
    <row r="95" spans="2:8" x14ac:dyDescent="0.3">
      <c r="B95" s="147" t="s">
        <v>228</v>
      </c>
      <c r="C95" s="155">
        <f>C87+C90+C92+C94+C97</f>
        <v>462869.34</v>
      </c>
      <c r="D95" s="169">
        <f>C95/C86</f>
        <v>0.77144889999999999</v>
      </c>
      <c r="E95" s="147" t="s">
        <v>229</v>
      </c>
      <c r="F95" s="170"/>
      <c r="G95" s="154"/>
    </row>
    <row r="96" spans="2:8" x14ac:dyDescent="0.3">
      <c r="B96" s="147" t="s">
        <v>230</v>
      </c>
      <c r="C96" s="155">
        <f>C86-C95</f>
        <v>137130.65999999997</v>
      </c>
      <c r="D96" s="169">
        <f>C96/C86</f>
        <v>0.22855109999999995</v>
      </c>
      <c r="E96" s="147"/>
      <c r="F96" s="170"/>
      <c r="G96" s="154"/>
    </row>
    <row r="97" spans="2:8" x14ac:dyDescent="0.3">
      <c r="B97" s="140" t="s">
        <v>231</v>
      </c>
      <c r="C97" s="159">
        <f>D129</f>
        <v>0</v>
      </c>
      <c r="D97" s="167">
        <f>C97/C86</f>
        <v>0</v>
      </c>
      <c r="E97" s="140" t="s">
        <v>232</v>
      </c>
    </row>
    <row r="98" spans="2:8" ht="15.6" customHeight="1" x14ac:dyDescent="0.3">
      <c r="B98" s="144" t="s">
        <v>233</v>
      </c>
      <c r="C98" s="143"/>
      <c r="D98" s="143"/>
      <c r="E98" s="143"/>
      <c r="F98" s="143"/>
      <c r="G98" s="144"/>
      <c r="H98" s="144"/>
    </row>
    <row r="99" spans="2:8" x14ac:dyDescent="0.3">
      <c r="B99" s="154" t="s">
        <v>234</v>
      </c>
      <c r="C99" s="170" t="s">
        <v>235</v>
      </c>
      <c r="D99" s="170" t="s">
        <v>236</v>
      </c>
      <c r="E99" s="170" t="s">
        <v>237</v>
      </c>
      <c r="F99" s="170" t="s">
        <v>238</v>
      </c>
      <c r="G99" s="154" t="s">
        <v>82</v>
      </c>
    </row>
    <row r="100" spans="2:8" x14ac:dyDescent="0.3">
      <c r="B100" s="139" t="s">
        <v>73</v>
      </c>
      <c r="C100" s="161">
        <f>D7</f>
        <v>180000</v>
      </c>
      <c r="D100" s="161">
        <f>D42</f>
        <v>145000</v>
      </c>
      <c r="E100" s="161">
        <f>SUM(D43:D51)</f>
        <v>16568.34</v>
      </c>
      <c r="F100" s="161">
        <f>C100-D100-E100</f>
        <v>18431.66</v>
      </c>
      <c r="G100" s="139" t="s">
        <v>114</v>
      </c>
    </row>
    <row r="101" spans="2:8" x14ac:dyDescent="0.3">
      <c r="B101" s="141" t="s">
        <v>75</v>
      </c>
      <c r="C101" s="163">
        <f>D8</f>
        <v>120000</v>
      </c>
      <c r="D101" s="163">
        <f>D71</f>
        <v>100000</v>
      </c>
      <c r="E101" s="163">
        <f>SUM(D72:D81)</f>
        <v>20000</v>
      </c>
      <c r="F101" s="163">
        <f>C101-D101-E101</f>
        <v>0</v>
      </c>
      <c r="G101" s="141" t="s">
        <v>114</v>
      </c>
    </row>
    <row r="102" spans="2:8" x14ac:dyDescent="0.3">
      <c r="B102" s="154" t="s">
        <v>77</v>
      </c>
      <c r="C102" s="171">
        <f>C100+C101</f>
        <v>300000</v>
      </c>
      <c r="D102" s="171">
        <f>D100+D101</f>
        <v>245000</v>
      </c>
      <c r="E102" s="171">
        <f>E100+E101</f>
        <v>36568.339999999997</v>
      </c>
      <c r="F102" s="171">
        <f>F100+F101</f>
        <v>18431.66</v>
      </c>
      <c r="G102" s="154"/>
    </row>
    <row r="104" spans="2:8" ht="15.6" customHeight="1" x14ac:dyDescent="0.3">
      <c r="B104" s="144" t="s">
        <v>239</v>
      </c>
      <c r="C104" s="143"/>
      <c r="D104" s="143"/>
      <c r="E104" s="143"/>
      <c r="F104" s="143"/>
      <c r="G104" s="144"/>
      <c r="H104" s="144"/>
    </row>
    <row r="105" spans="2:8" x14ac:dyDescent="0.3">
      <c r="B105" s="154" t="s">
        <v>234</v>
      </c>
      <c r="C105" s="170" t="s">
        <v>66</v>
      </c>
      <c r="D105" s="170" t="s">
        <v>240</v>
      </c>
      <c r="E105" s="170" t="s">
        <v>241</v>
      </c>
      <c r="F105" s="170" t="s">
        <v>242</v>
      </c>
      <c r="G105" s="154" t="s">
        <v>82</v>
      </c>
    </row>
    <row r="106" spans="2:8" x14ac:dyDescent="0.3">
      <c r="B106" s="139" t="s">
        <v>71</v>
      </c>
      <c r="C106" s="177">
        <f>C6</f>
        <v>0.5</v>
      </c>
      <c r="D106" s="161">
        <f>C106*D13</f>
        <v>195000</v>
      </c>
      <c r="E106" s="161">
        <f>C106*$D$138</f>
        <v>193882.5</v>
      </c>
      <c r="F106" s="161">
        <f>D106-E106</f>
        <v>1117.5</v>
      </c>
      <c r="G106" s="139" t="str">
        <f>IF(F106&lt;1,"✅ Share fully paid","⏳ $"&amp;TEXT(F106,"#,##0")&amp;" of share remaining")</f>
        <v>⏳ $1,118 of share remaining</v>
      </c>
    </row>
    <row r="107" spans="2:8" x14ac:dyDescent="0.3">
      <c r="B107" s="141" t="s">
        <v>73</v>
      </c>
      <c r="C107" s="178">
        <f>C7</f>
        <v>0.3</v>
      </c>
      <c r="D107" s="163">
        <f>C107*D13</f>
        <v>117000</v>
      </c>
      <c r="E107" s="163">
        <f>C107*$D$138</f>
        <v>116329.5</v>
      </c>
      <c r="F107" s="163">
        <f>D107-E107</f>
        <v>670.5</v>
      </c>
      <c r="G107" s="141" t="str">
        <f>IF(F107&lt;1,"✅ Share fully paid","⏳ $"&amp;TEXT(F107,"#,##0")&amp;" of share remaining")</f>
        <v>⏳ $671 of share remaining</v>
      </c>
    </row>
    <row r="108" spans="2:8" x14ac:dyDescent="0.3">
      <c r="B108" s="139" t="s">
        <v>75</v>
      </c>
      <c r="C108" s="177">
        <f>C8</f>
        <v>0.2</v>
      </c>
      <c r="D108" s="161">
        <f>C108*D13</f>
        <v>78000</v>
      </c>
      <c r="E108" s="161">
        <f>C108*$D$138</f>
        <v>77553</v>
      </c>
      <c r="F108" s="161">
        <f>D108-E108</f>
        <v>447</v>
      </c>
      <c r="G108" s="139" t="str">
        <f>IF(F108&lt;1,"✅ Share fully paid","⏳ $"&amp;TEXT(F108,"#,##0")&amp;" of share remaining")</f>
        <v>⏳ $447 of share remaining</v>
      </c>
    </row>
    <row r="109" spans="2:8" x14ac:dyDescent="0.3">
      <c r="B109" s="154" t="s">
        <v>77</v>
      </c>
      <c r="C109" s="179">
        <v>1</v>
      </c>
      <c r="D109" s="171">
        <f>D106+D107+D108</f>
        <v>390000</v>
      </c>
      <c r="E109" s="171">
        <f>E106+E107+E108</f>
        <v>387765</v>
      </c>
      <c r="F109" s="171">
        <f>F106+F107+F108</f>
        <v>2235</v>
      </c>
      <c r="G109" s="154" t="str">
        <f>IF(F109=0,"✅ Fully Paid","⏳ Balance: $"&amp;TEXT(F109,"#,##0"))</f>
        <v>⏳ Balance: $2,235</v>
      </c>
    </row>
    <row r="112" spans="2:8" ht="15.6" customHeight="1" x14ac:dyDescent="0.3">
      <c r="B112" s="144" t="s">
        <v>243</v>
      </c>
    </row>
    <row r="113" spans="2:8" x14ac:dyDescent="0.3">
      <c r="B113" s="154" t="s">
        <v>79</v>
      </c>
      <c r="C113" s="170" t="s">
        <v>3</v>
      </c>
      <c r="D113" s="170" t="s">
        <v>80</v>
      </c>
      <c r="E113" s="170" t="s">
        <v>81</v>
      </c>
      <c r="F113" s="170" t="s">
        <v>132</v>
      </c>
      <c r="G113" s="154" t="s">
        <v>82</v>
      </c>
      <c r="H113" t="s">
        <v>12</v>
      </c>
    </row>
    <row r="114" spans="2:8" x14ac:dyDescent="0.3">
      <c r="C114" s="226"/>
      <c r="D114" s="227"/>
    </row>
    <row r="115" spans="2:8" x14ac:dyDescent="0.3">
      <c r="C115" s="226"/>
      <c r="D115" s="227"/>
    </row>
    <row r="116" spans="2:8" x14ac:dyDescent="0.3">
      <c r="C116" s="226"/>
      <c r="D116" s="227"/>
    </row>
    <row r="117" spans="2:8" x14ac:dyDescent="0.3">
      <c r="C117" s="226"/>
      <c r="D117" s="227"/>
    </row>
    <row r="118" spans="2:8" x14ac:dyDescent="0.3">
      <c r="C118" s="226"/>
      <c r="D118" s="227"/>
    </row>
    <row r="119" spans="2:8" x14ac:dyDescent="0.3">
      <c r="C119" s="226"/>
      <c r="D119" s="227"/>
    </row>
    <row r="120" spans="2:8" x14ac:dyDescent="0.3">
      <c r="C120" s="226"/>
      <c r="D120" s="227"/>
    </row>
    <row r="121" spans="2:8" x14ac:dyDescent="0.3">
      <c r="C121" s="226"/>
      <c r="D121" s="227"/>
    </row>
    <row r="122" spans="2:8" x14ac:dyDescent="0.3">
      <c r="C122" s="226"/>
      <c r="D122" s="227"/>
    </row>
    <row r="123" spans="2:8" x14ac:dyDescent="0.3">
      <c r="C123" s="226"/>
      <c r="D123" s="227"/>
    </row>
    <row r="124" spans="2:8" x14ac:dyDescent="0.3">
      <c r="C124" s="226"/>
      <c r="D124" s="227"/>
    </row>
    <row r="125" spans="2:8" x14ac:dyDescent="0.3">
      <c r="C125" s="226"/>
      <c r="D125" s="227"/>
    </row>
    <row r="126" spans="2:8" x14ac:dyDescent="0.3">
      <c r="C126" s="226"/>
      <c r="D126" s="227"/>
    </row>
    <row r="127" spans="2:8" x14ac:dyDescent="0.3">
      <c r="C127" s="226"/>
      <c r="D127" s="227"/>
    </row>
    <row r="128" spans="2:8" x14ac:dyDescent="0.3">
      <c r="C128" s="226"/>
      <c r="D128" s="227"/>
    </row>
    <row r="129" spans="2:7" x14ac:dyDescent="0.3">
      <c r="B129" s="147" t="s">
        <v>244</v>
      </c>
      <c r="D129" s="155">
        <f>SUM(D114:D128)</f>
        <v>0</v>
      </c>
    </row>
    <row r="130" spans="2:7" x14ac:dyDescent="0.3">
      <c r="B130" t="s">
        <v>245</v>
      </c>
    </row>
    <row r="132" spans="2:7" ht="15.6" customHeight="1" x14ac:dyDescent="0.3">
      <c r="B132" s="240" t="s">
        <v>246</v>
      </c>
    </row>
    <row r="133" spans="2:7" x14ac:dyDescent="0.3">
      <c r="B133" s="232" t="s">
        <v>247</v>
      </c>
      <c r="D133" s="233">
        <f>D6</f>
        <v>300000</v>
      </c>
    </row>
    <row r="134" spans="2:7" x14ac:dyDescent="0.3">
      <c r="B134" s="232" t="s">
        <v>248</v>
      </c>
      <c r="D134" s="233">
        <f>D42</f>
        <v>145000</v>
      </c>
    </row>
    <row r="135" spans="2:7" x14ac:dyDescent="0.3">
      <c r="B135" s="232" t="s">
        <v>249</v>
      </c>
      <c r="D135" s="233">
        <f>D71</f>
        <v>100000</v>
      </c>
    </row>
    <row r="136" spans="2:7" x14ac:dyDescent="0.3">
      <c r="B136" s="235" t="s">
        <v>250</v>
      </c>
      <c r="D136" s="241">
        <f>D133+D134+D135</f>
        <v>545000</v>
      </c>
    </row>
    <row r="137" spans="2:7" x14ac:dyDescent="0.3">
      <c r="B137" s="232" t="s">
        <v>251</v>
      </c>
      <c r="D137" s="233">
        <f>D67-D56</f>
        <v>31301</v>
      </c>
    </row>
    <row r="138" spans="2:7" x14ac:dyDescent="0.3">
      <c r="B138" s="232" t="s">
        <v>252</v>
      </c>
      <c r="D138" s="233">
        <f>SUM(D14:D30)</f>
        <v>387765</v>
      </c>
    </row>
    <row r="139" spans="2:7" x14ac:dyDescent="0.3">
      <c r="B139" s="234" t="s">
        <v>253</v>
      </c>
      <c r="D139" s="242">
        <f>C147</f>
        <v>16727.810000000001</v>
      </c>
    </row>
    <row r="140" spans="2:7" x14ac:dyDescent="0.3">
      <c r="B140" t="s">
        <v>254</v>
      </c>
      <c r="D140">
        <f>D136-D137-D138-D139</f>
        <v>109206.19</v>
      </c>
    </row>
    <row r="142" spans="2:7" ht="22.05" customHeight="1" x14ac:dyDescent="0.3">
      <c r="B142" s="281" t="s">
        <v>255</v>
      </c>
    </row>
    <row r="143" spans="2:7" x14ac:dyDescent="0.3">
      <c r="B143" s="282" t="s">
        <v>256</v>
      </c>
      <c r="C143" s="283">
        <f>SUM('📅 Daily Log'!D8:D5000)+SUM('📅 Daily Log'!E8:E5000)+SUM('📅 Daily Log'!G8:G5000)</f>
        <v>249198</v>
      </c>
      <c r="D143" s="191"/>
      <c r="E143" s="190"/>
      <c r="F143" s="190"/>
      <c r="G143" s="189"/>
    </row>
    <row r="144" spans="2:7" x14ac:dyDescent="0.3">
      <c r="B144" s="282" t="s">
        <v>257</v>
      </c>
      <c r="C144" s="283">
        <f>SUM('💸 Expenses'!F8:F5000)</f>
        <v>264710.32999999996</v>
      </c>
      <c r="D144" s="191"/>
      <c r="E144" s="190"/>
      <c r="F144" s="190"/>
      <c r="G144" s="189"/>
    </row>
    <row r="145" spans="2:8" x14ac:dyDescent="0.3">
      <c r="B145" s="282" t="s">
        <v>258</v>
      </c>
      <c r="C145" s="268">
        <f>SUM('📅 Daily Log'!R8:R5000)</f>
        <v>4649.4307999999983</v>
      </c>
    </row>
    <row r="146" spans="2:8" x14ac:dyDescent="0.3">
      <c r="B146" s="284" t="s">
        <v>259</v>
      </c>
      <c r="C146" s="268">
        <f>C143-C144-C145</f>
        <v>-20161.760799999956</v>
      </c>
      <c r="E146" s="285"/>
    </row>
    <row r="147" spans="2:8" x14ac:dyDescent="0.3">
      <c r="B147" s="267" t="s">
        <v>260</v>
      </c>
      <c r="C147" s="268">
        <v>16727.810000000001</v>
      </c>
      <c r="E147" s="286" t="s">
        <v>261</v>
      </c>
    </row>
    <row r="148" spans="2:8" x14ac:dyDescent="0.3">
      <c r="B148" s="336" t="s">
        <v>262</v>
      </c>
      <c r="C148" s="335"/>
      <c r="D148" s="335"/>
      <c r="E148" s="335"/>
      <c r="F148" s="335"/>
      <c r="G148" s="331"/>
      <c r="H148" s="331"/>
    </row>
    <row r="149" spans="2:8" x14ac:dyDescent="0.3">
      <c r="B149" s="321" t="s">
        <v>263</v>
      </c>
      <c r="C149" s="322">
        <v>-22587</v>
      </c>
      <c r="E149" t="s">
        <v>264</v>
      </c>
    </row>
    <row r="150" spans="2:8" ht="15.6" x14ac:dyDescent="0.3">
      <c r="B150" s="316" t="s">
        <v>265</v>
      </c>
    </row>
    <row r="151" spans="2:8" x14ac:dyDescent="0.3">
      <c r="B151" s="317" t="s">
        <v>212</v>
      </c>
      <c r="C151" s="317" t="s">
        <v>80</v>
      </c>
      <c r="E151" s="317" t="s">
        <v>12</v>
      </c>
    </row>
    <row r="152" spans="2:8" x14ac:dyDescent="0.3">
      <c r="B152" s="317" t="s">
        <v>266</v>
      </c>
      <c r="C152" s="318">
        <f>SUM(D6:D8)</f>
        <v>600000</v>
      </c>
      <c r="E152" t="s">
        <v>267</v>
      </c>
    </row>
    <row r="153" spans="2:8" x14ac:dyDescent="0.3">
      <c r="B153" s="317" t="s">
        <v>268</v>
      </c>
    </row>
    <row r="154" spans="2:8" x14ac:dyDescent="0.3">
      <c r="B154" s="319" t="s">
        <v>269</v>
      </c>
      <c r="C154" s="320">
        <f>SUM(D14:D30)</f>
        <v>387765</v>
      </c>
      <c r="E154" t="s">
        <v>270</v>
      </c>
    </row>
    <row r="155" spans="2:8" x14ac:dyDescent="0.3">
      <c r="B155" s="319" t="s">
        <v>271</v>
      </c>
      <c r="C155" s="320">
        <f>D67-D56</f>
        <v>31301</v>
      </c>
      <c r="E155" t="s">
        <v>272</v>
      </c>
    </row>
    <row r="156" spans="2:8" x14ac:dyDescent="0.3">
      <c r="B156" s="319" t="s">
        <v>273</v>
      </c>
      <c r="C156" s="320">
        <f>SUM(D43:D51)</f>
        <v>16568.34</v>
      </c>
      <c r="E156" t="s">
        <v>274</v>
      </c>
    </row>
    <row r="157" spans="2:8" x14ac:dyDescent="0.3">
      <c r="B157" s="319" t="s">
        <v>275</v>
      </c>
      <c r="C157" s="320">
        <f>SUM(D72:D81)</f>
        <v>20000</v>
      </c>
      <c r="E157" t="s">
        <v>276</v>
      </c>
    </row>
    <row r="158" spans="2:8" x14ac:dyDescent="0.3">
      <c r="B158" s="319" t="s">
        <v>277</v>
      </c>
      <c r="C158" s="320">
        <f>D129</f>
        <v>0</v>
      </c>
      <c r="E158" t="s">
        <v>278</v>
      </c>
    </row>
    <row r="159" spans="2:8" x14ac:dyDescent="0.3">
      <c r="B159" s="319" t="s">
        <v>279</v>
      </c>
      <c r="C159" s="320">
        <f>C147</f>
        <v>16727.810000000001</v>
      </c>
      <c r="E159" t="s">
        <v>280</v>
      </c>
    </row>
    <row r="160" spans="2:8" x14ac:dyDescent="0.3">
      <c r="B160" s="317" t="s">
        <v>281</v>
      </c>
      <c r="C160" s="318">
        <f>SUM(C154:C159)</f>
        <v>472362.15</v>
      </c>
      <c r="E160" t="s">
        <v>282</v>
      </c>
    </row>
    <row r="161" spans="2:5" x14ac:dyDescent="0.3">
      <c r="B161" s="317" t="s">
        <v>283</v>
      </c>
    </row>
    <row r="162" spans="2:5" x14ac:dyDescent="0.3">
      <c r="B162" s="319" t="s">
        <v>284</v>
      </c>
      <c r="C162" s="320">
        <f>D140</f>
        <v>109206.19</v>
      </c>
      <c r="E162" t="s">
        <v>285</v>
      </c>
    </row>
    <row r="163" spans="2:5" x14ac:dyDescent="0.3">
      <c r="B163" s="319" t="s">
        <v>286</v>
      </c>
      <c r="C163" s="320">
        <f>F100</f>
        <v>18431.66</v>
      </c>
      <c r="E163" t="s">
        <v>287</v>
      </c>
    </row>
    <row r="164" spans="2:5" x14ac:dyDescent="0.3">
      <c r="B164" s="319" t="s">
        <v>288</v>
      </c>
      <c r="C164" s="320">
        <f>F101</f>
        <v>0</v>
      </c>
      <c r="E164" t="s">
        <v>289</v>
      </c>
    </row>
    <row r="165" spans="2:5" x14ac:dyDescent="0.3">
      <c r="B165" s="317" t="s">
        <v>290</v>
      </c>
      <c r="C165" s="318">
        <f>C162+C163+C164</f>
        <v>127637.85</v>
      </c>
      <c r="E165" t="s">
        <v>291</v>
      </c>
    </row>
    <row r="166" spans="2:5" x14ac:dyDescent="0.3">
      <c r="B166" s="317" t="s">
        <v>292</v>
      </c>
      <c r="C166" s="318">
        <f>C160+C165</f>
        <v>600000</v>
      </c>
      <c r="E166" t="s">
        <v>293</v>
      </c>
    </row>
    <row r="167" spans="2:5" x14ac:dyDescent="0.3">
      <c r="B167" s="317"/>
    </row>
    <row r="168" spans="2:5" x14ac:dyDescent="0.3">
      <c r="B168" s="319"/>
      <c r="C168" s="320"/>
    </row>
    <row r="169" spans="2:5" x14ac:dyDescent="0.3">
      <c r="B169" s="319"/>
      <c r="C169" s="320"/>
    </row>
    <row r="170" spans="2:5" x14ac:dyDescent="0.3">
      <c r="B170" s="319"/>
      <c r="C170" s="320"/>
    </row>
    <row r="171" spans="2:5" x14ac:dyDescent="0.3">
      <c r="B171" s="317"/>
      <c r="C171" s="318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020"/>
  </sheetPr>
  <dimension ref="A1:N64"/>
  <sheetViews>
    <sheetView showGridLines="0" zoomScaleNormal="100" workbookViewId="0"/>
  </sheetViews>
  <sheetFormatPr defaultColWidth="8.6640625" defaultRowHeight="14.4" customHeight="1" x14ac:dyDescent="0.3"/>
  <cols>
    <col min="1" max="1" width="2" customWidth="1"/>
    <col min="2" max="2" width="18" customWidth="1"/>
    <col min="3" max="7" width="14" customWidth="1"/>
    <col min="8" max="8" width="16" customWidth="1"/>
    <col min="9" max="14" width="14" customWidth="1"/>
  </cols>
  <sheetData>
    <row r="1" spans="1:14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7.5" customHeight="1" x14ac:dyDescent="0.3">
      <c r="A2" s="330" t="s">
        <v>294</v>
      </c>
      <c r="B2" s="331"/>
      <c r="C2" s="331"/>
      <c r="D2" s="331"/>
      <c r="E2" s="331"/>
      <c r="F2" s="331"/>
      <c r="G2" s="331"/>
      <c r="H2" s="332" t="s">
        <v>295</v>
      </c>
      <c r="I2" s="331"/>
      <c r="J2" s="331"/>
      <c r="K2" s="331"/>
      <c r="L2" s="331"/>
      <c r="M2" s="331"/>
      <c r="N2" s="331"/>
    </row>
    <row r="3" spans="1:14" ht="3.75" customHeight="1" x14ac:dyDescent="0.3">
      <c r="A3" s="333"/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</row>
    <row r="4" spans="1:14" ht="7.5" customHeight="1" x14ac:dyDescent="0.3"/>
    <row r="5" spans="1:14" ht="36" customHeight="1" x14ac:dyDescent="0.3">
      <c r="B5" s="328" t="s">
        <v>296</v>
      </c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</row>
    <row r="6" spans="1:14" ht="9.75" customHeight="1" x14ac:dyDescent="0.3"/>
    <row r="7" spans="1:14" ht="19.5" customHeight="1" x14ac:dyDescent="0.3">
      <c r="B7" s="360" t="s">
        <v>297</v>
      </c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</row>
    <row r="8" spans="1:14" ht="6" customHeight="1" x14ac:dyDescent="0.3"/>
    <row r="9" spans="1:14" ht="18" customHeight="1" x14ac:dyDescent="0.3">
      <c r="B9" s="348" t="s">
        <v>298</v>
      </c>
      <c r="C9" s="346"/>
      <c r="D9" s="348" t="s">
        <v>299</v>
      </c>
      <c r="E9" s="346"/>
      <c r="F9" s="348" t="s">
        <v>16</v>
      </c>
      <c r="G9" s="346"/>
      <c r="H9" s="348" t="s">
        <v>300</v>
      </c>
      <c r="I9" s="346"/>
      <c r="J9" s="348" t="s">
        <v>301</v>
      </c>
      <c r="K9" s="346"/>
      <c r="L9" s="348" t="s">
        <v>302</v>
      </c>
      <c r="M9" s="346"/>
    </row>
    <row r="10" spans="1:14" ht="19.5" customHeight="1" x14ac:dyDescent="0.3">
      <c r="B10" s="379">
        <f ca="1">'📅 Daily Log'!F6</f>
        <v>0</v>
      </c>
      <c r="C10" s="351"/>
      <c r="D10" s="350">
        <f ca="1">'📅 Daily Log'!N6</f>
        <v>0</v>
      </c>
      <c r="E10" s="351"/>
      <c r="F10" s="375">
        <f ca="1">'📅 Daily Log'!O6</f>
        <v>0</v>
      </c>
      <c r="G10" s="351"/>
      <c r="H10" s="355">
        <f ca="1">'📅 Daily Log'!H6</f>
        <v>0</v>
      </c>
      <c r="I10" s="351"/>
      <c r="J10" s="379">
        <f ca="1">'📅 Daily Log'!I6</f>
        <v>0</v>
      </c>
      <c r="K10" s="351"/>
      <c r="L10" s="396">
        <f ca="1">IFERROR('📅 Daily Log'!F6/'📅 Daily Log'!G6,0)</f>
        <v>0</v>
      </c>
      <c r="M10" s="351"/>
    </row>
    <row r="11" spans="1:14" ht="19.5" customHeight="1" x14ac:dyDescent="0.3">
      <c r="B11" s="352"/>
      <c r="C11" s="331"/>
      <c r="D11" s="352"/>
      <c r="E11" s="331"/>
      <c r="F11" s="352"/>
      <c r="G11" s="331"/>
      <c r="H11" s="352"/>
      <c r="I11" s="331"/>
      <c r="J11" s="352"/>
      <c r="K11" s="331"/>
      <c r="L11" s="352"/>
      <c r="M11" s="331"/>
    </row>
    <row r="12" spans="1:14" ht="19.5" customHeight="1" x14ac:dyDescent="0.3">
      <c r="B12" s="352"/>
      <c r="C12" s="331"/>
      <c r="D12" s="352"/>
      <c r="E12" s="331"/>
      <c r="F12" s="352"/>
      <c r="G12" s="331"/>
      <c r="H12" s="352"/>
      <c r="I12" s="331"/>
      <c r="J12" s="352"/>
      <c r="K12" s="331"/>
      <c r="L12" s="352"/>
      <c r="M12" s="331"/>
    </row>
    <row r="13" spans="1:14" ht="9.75" customHeight="1" x14ac:dyDescent="0.3"/>
    <row r="14" spans="1:14" ht="19.5" customHeight="1" x14ac:dyDescent="0.3">
      <c r="B14" s="360" t="s">
        <v>303</v>
      </c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29"/>
    </row>
    <row r="15" spans="1:14" ht="6" customHeight="1" x14ac:dyDescent="0.3"/>
    <row r="16" spans="1:14" ht="18" customHeight="1" x14ac:dyDescent="0.3">
      <c r="B16" s="348" t="s">
        <v>304</v>
      </c>
      <c r="C16" s="346"/>
      <c r="D16" s="348" t="s">
        <v>305</v>
      </c>
      <c r="E16" s="346"/>
      <c r="F16" s="348" t="s">
        <v>306</v>
      </c>
      <c r="G16" s="346"/>
      <c r="H16" s="348" t="s">
        <v>307</v>
      </c>
      <c r="I16" s="346"/>
      <c r="J16" s="348" t="s">
        <v>308</v>
      </c>
      <c r="K16" s="346"/>
      <c r="L16" s="348" t="s">
        <v>309</v>
      </c>
      <c r="M16" s="346"/>
    </row>
    <row r="17" spans="2:13" ht="19.5" customHeight="1" x14ac:dyDescent="0.3">
      <c r="B17" s="381">
        <f ca="1">'📅 Daily Log'!G6</f>
        <v>0</v>
      </c>
      <c r="C17" s="351"/>
      <c r="D17" s="381">
        <f ca="1">IFERROR(SUMPRODUCT((ISNUMBER('📅 Daily Log'!$B$8:$B$5000))*('📅 Daily Log'!$B$8:$B$5000&gt;=TODAY()-MOD(TODAY()-2,7))*('📅 Daily Log'!$B$8:$B$5000&lt;TODAY()-MOD(TODAY()-2,7)+7)*IF(ISNUMBER('📅 Daily Log'!$G$8:$G$5000),'📅 Daily Log'!$G$8:$G$5000,0)),0)</f>
        <v>0</v>
      </c>
      <c r="E17" s="351"/>
      <c r="F17" s="385">
        <f ca="1">IFERROR('📅 Daily Log'!J6,0)</f>
        <v>0</v>
      </c>
      <c r="G17" s="351"/>
      <c r="H17" s="386" t="str">
        <f>'📦 Inventory'!H5</f>
        <v>ALERT COUNT</v>
      </c>
      <c r="I17" s="351"/>
      <c r="J17" s="355">
        <f ca="1">'📅 Daily Log'!P6</f>
        <v>0</v>
      </c>
      <c r="K17" s="351"/>
      <c r="L17" s="357" t="str">
        <f>'🚚 Suppliers'!H5</f>
        <v>PENDING COUNT</v>
      </c>
      <c r="M17" s="351"/>
    </row>
    <row r="18" spans="2:13" ht="19.5" customHeight="1" x14ac:dyDescent="0.3">
      <c r="B18" s="352"/>
      <c r="C18" s="331"/>
      <c r="D18" s="352"/>
      <c r="E18" s="331"/>
      <c r="F18" s="352"/>
      <c r="G18" s="331"/>
      <c r="H18" s="352"/>
      <c r="I18" s="331"/>
      <c r="J18" s="352"/>
      <c r="K18" s="331"/>
      <c r="L18" s="352"/>
      <c r="M18" s="331"/>
    </row>
    <row r="19" spans="2:13" ht="19.5" customHeight="1" x14ac:dyDescent="0.3">
      <c r="B19" s="352"/>
      <c r="C19" s="331"/>
      <c r="D19" s="352"/>
      <c r="E19" s="331"/>
      <c r="F19" s="352"/>
      <c r="G19" s="331"/>
      <c r="H19" s="352"/>
      <c r="I19" s="331"/>
      <c r="J19" s="352"/>
      <c r="K19" s="331"/>
      <c r="L19" s="352"/>
      <c r="M19" s="331"/>
    </row>
    <row r="20" spans="2:13" ht="9.75" customHeight="1" x14ac:dyDescent="0.3"/>
    <row r="21" spans="2:13" ht="19.5" customHeight="1" x14ac:dyDescent="0.3">
      <c r="B21" s="360" t="s">
        <v>310</v>
      </c>
      <c r="C21" s="329"/>
      <c r="D21" s="329"/>
      <c r="E21" s="329"/>
      <c r="F21" s="329"/>
      <c r="G21" s="329"/>
      <c r="H21" s="329"/>
      <c r="I21" s="329"/>
      <c r="J21" s="329"/>
      <c r="K21" s="329"/>
      <c r="L21" s="329"/>
      <c r="M21" s="329"/>
    </row>
    <row r="22" spans="2:13" ht="27.75" customHeight="1" x14ac:dyDescent="0.3">
      <c r="B22" s="6" t="s">
        <v>3</v>
      </c>
      <c r="C22" s="6" t="s">
        <v>4</v>
      </c>
      <c r="D22" s="6" t="s">
        <v>311</v>
      </c>
      <c r="E22" s="6" t="s">
        <v>312</v>
      </c>
      <c r="F22" s="6" t="s">
        <v>313</v>
      </c>
      <c r="G22" s="6" t="s">
        <v>68</v>
      </c>
      <c r="H22" s="6" t="s">
        <v>314</v>
      </c>
      <c r="I22" s="6" t="s">
        <v>11</v>
      </c>
      <c r="J22" s="6" t="s">
        <v>12</v>
      </c>
      <c r="K22" s="376" t="s">
        <v>315</v>
      </c>
      <c r="L22" s="346"/>
      <c r="M22" s="342"/>
    </row>
    <row r="23" spans="2:13" ht="16.5" customHeight="1" x14ac:dyDescent="0.3">
      <c r="B23" s="7">
        <f>'📅 Daily Log'!B8</f>
        <v>46160</v>
      </c>
      <c r="C23" s="8">
        <f>'📅 Daily Log'!F8</f>
        <v>3689</v>
      </c>
      <c r="D23" s="9">
        <f>'📅 Daily Log'!G8</f>
        <v>0</v>
      </c>
      <c r="E23" s="10">
        <f>IFERROR('📅 Daily Log'!F8/'📅 Daily Log'!G8,0)</f>
        <v>0</v>
      </c>
      <c r="F23" s="11">
        <f>'📅 Daily Log'!H8</f>
        <v>2629</v>
      </c>
      <c r="G23" s="12">
        <f>'📅 Daily Log'!I8</f>
        <v>1060</v>
      </c>
      <c r="H23" s="9">
        <f>'📅 Daily Log'!J8</f>
        <v>0.28734074274871241</v>
      </c>
      <c r="I23" s="13">
        <f>'📅 Daily Log'!K8</f>
        <v>0</v>
      </c>
      <c r="J23" s="14">
        <f>'📅 Daily Log'!K8</f>
        <v>0</v>
      </c>
      <c r="K23" s="362" t="s">
        <v>113</v>
      </c>
      <c r="L23" s="346"/>
      <c r="M23" s="342"/>
    </row>
    <row r="24" spans="2:13" ht="16.5" customHeight="1" x14ac:dyDescent="0.3">
      <c r="B24" s="16">
        <f>'📅 Daily Log'!B9</f>
        <v>46161</v>
      </c>
      <c r="C24" s="17">
        <f>'📅 Daily Log'!F9</f>
        <v>3854</v>
      </c>
      <c r="D24" s="18">
        <f>'📅 Daily Log'!G9</f>
        <v>0</v>
      </c>
      <c r="E24" s="19">
        <f>IFERROR('📅 Daily Log'!F9/'📅 Daily Log'!G9,0)</f>
        <v>0</v>
      </c>
      <c r="F24" s="20">
        <f>'📅 Daily Log'!H9</f>
        <v>30</v>
      </c>
      <c r="G24" s="21">
        <f>'📅 Daily Log'!I9</f>
        <v>3824</v>
      </c>
      <c r="H24" s="18">
        <f>'📅 Daily Log'!J9</f>
        <v>0.99221587960560453</v>
      </c>
      <c r="I24" s="22">
        <f>'📅 Daily Log'!K9</f>
        <v>0</v>
      </c>
      <c r="J24" s="23">
        <f>'📅 Daily Log'!K9</f>
        <v>0</v>
      </c>
      <c r="K24" s="345" t="str">
        <f t="shared" ref="K24:K32" si="0">IFERROR(IF(D24&gt;D23,"▲ +"&amp;TEXT(D24-D23,"$#,##0"),IF(D24&lt;D23,"▼ "&amp;TEXT(D24-D23,"$#,##0"),"— same")),"")</f>
        <v>— same</v>
      </c>
      <c r="L24" s="346"/>
      <c r="M24" s="342"/>
    </row>
    <row r="25" spans="2:13" ht="16.5" customHeight="1" x14ac:dyDescent="0.3">
      <c r="B25" s="7">
        <f>'📅 Daily Log'!B10</f>
        <v>46162</v>
      </c>
      <c r="C25" s="8">
        <f>'📅 Daily Log'!F10</f>
        <v>4124</v>
      </c>
      <c r="D25" s="9">
        <f>'📅 Daily Log'!G10</f>
        <v>0</v>
      </c>
      <c r="E25" s="10">
        <f>IFERROR('📅 Daily Log'!F10/'📅 Daily Log'!G10,0)</f>
        <v>0</v>
      </c>
      <c r="F25" s="11">
        <f>'📅 Daily Log'!H10</f>
        <v>3777</v>
      </c>
      <c r="G25" s="12">
        <f>'📅 Daily Log'!I10</f>
        <v>347</v>
      </c>
      <c r="H25" s="9">
        <f>'📅 Daily Log'!J10</f>
        <v>8.4141610087293886E-2</v>
      </c>
      <c r="I25" s="13">
        <f>'📅 Daily Log'!K10</f>
        <v>0</v>
      </c>
      <c r="J25" s="14">
        <f>'📅 Daily Log'!K10</f>
        <v>0</v>
      </c>
      <c r="K25" s="362" t="str">
        <f t="shared" si="0"/>
        <v>— same</v>
      </c>
      <c r="L25" s="346"/>
      <c r="M25" s="342"/>
    </row>
    <row r="26" spans="2:13" ht="16.5" customHeight="1" x14ac:dyDescent="0.3">
      <c r="B26" s="16">
        <f>'📅 Daily Log'!B11</f>
        <v>46163</v>
      </c>
      <c r="C26" s="17">
        <f>'📅 Daily Log'!F11</f>
        <v>4733</v>
      </c>
      <c r="D26" s="18">
        <f>'📅 Daily Log'!G11</f>
        <v>0</v>
      </c>
      <c r="E26" s="19">
        <f>IFERROR('📅 Daily Log'!F11/'📅 Daily Log'!G11,0)</f>
        <v>0</v>
      </c>
      <c r="F26" s="20">
        <f>'📅 Daily Log'!H11</f>
        <v>2434</v>
      </c>
      <c r="G26" s="21">
        <f>'📅 Daily Log'!I11</f>
        <v>2299</v>
      </c>
      <c r="H26" s="18">
        <f>'📅 Daily Log'!J11</f>
        <v>0.48573843228396368</v>
      </c>
      <c r="I26" s="22">
        <f>'📅 Daily Log'!K11</f>
        <v>0</v>
      </c>
      <c r="J26" s="23">
        <f>'📅 Daily Log'!K11</f>
        <v>0</v>
      </c>
      <c r="K26" s="345" t="str">
        <f t="shared" si="0"/>
        <v>— same</v>
      </c>
      <c r="L26" s="346"/>
      <c r="M26" s="342"/>
    </row>
    <row r="27" spans="2:13" ht="16.5" customHeight="1" x14ac:dyDescent="0.3">
      <c r="B27" s="7">
        <f>'📅 Daily Log'!B12</f>
        <v>46164</v>
      </c>
      <c r="C27" s="8">
        <f>'📅 Daily Log'!F12</f>
        <v>4282</v>
      </c>
      <c r="D27" s="9">
        <f>'📅 Daily Log'!G12</f>
        <v>0</v>
      </c>
      <c r="E27" s="10">
        <f>IFERROR('📅 Daily Log'!F12/'📅 Daily Log'!G12,0)</f>
        <v>0</v>
      </c>
      <c r="F27" s="11">
        <f>'📅 Daily Log'!H12</f>
        <v>1457</v>
      </c>
      <c r="G27" s="12">
        <f>'📅 Daily Log'!I12</f>
        <v>2825</v>
      </c>
      <c r="H27" s="9">
        <f>'📅 Daily Log'!J12</f>
        <v>0.65973843998131709</v>
      </c>
      <c r="I27" s="13">
        <f>'📅 Daily Log'!K12</f>
        <v>0</v>
      </c>
      <c r="J27" s="14">
        <f>'📅 Daily Log'!K12</f>
        <v>0</v>
      </c>
      <c r="K27" s="362" t="str">
        <f t="shared" si="0"/>
        <v>— same</v>
      </c>
      <c r="L27" s="346"/>
      <c r="M27" s="342"/>
    </row>
    <row r="28" spans="2:13" ht="16.5" customHeight="1" x14ac:dyDescent="0.3">
      <c r="B28" s="16">
        <f>'📅 Daily Log'!B13</f>
        <v>46165</v>
      </c>
      <c r="C28" s="17">
        <f>'📅 Daily Log'!F13</f>
        <v>3802</v>
      </c>
      <c r="D28" s="18">
        <f>'📅 Daily Log'!G13</f>
        <v>0</v>
      </c>
      <c r="E28" s="19">
        <f>IFERROR('📅 Daily Log'!F13/'📅 Daily Log'!G13,0)</f>
        <v>0</v>
      </c>
      <c r="F28" s="20">
        <f>'📅 Daily Log'!H13</f>
        <v>7755.43</v>
      </c>
      <c r="G28" s="21">
        <f>'📅 Daily Log'!I13</f>
        <v>-3953.4300000000003</v>
      </c>
      <c r="H28" s="18">
        <f>'📅 Daily Log'!J13</f>
        <v>-1.039829037348764</v>
      </c>
      <c r="I28" s="22" t="str">
        <f>'📅 Daily Log'!K13</f>
        <v>Payroll week — John $3,250 + Debi $1,500 + Victor $666 + Tips $1,198</v>
      </c>
      <c r="J28" s="23" t="str">
        <f>'📅 Daily Log'!K13</f>
        <v>Payroll week — John $3,250 + Debi $1,500 + Victor $666 + Tips $1,198</v>
      </c>
      <c r="K28" s="345" t="str">
        <f t="shared" si="0"/>
        <v>— same</v>
      </c>
      <c r="L28" s="346"/>
      <c r="M28" s="342"/>
    </row>
    <row r="29" spans="2:13" ht="16.5" customHeight="1" x14ac:dyDescent="0.3">
      <c r="B29" s="7">
        <f>'📅 Daily Log'!B14</f>
        <v>46166</v>
      </c>
      <c r="C29" s="8">
        <f>'📅 Daily Log'!F14</f>
        <v>1198</v>
      </c>
      <c r="D29" s="9">
        <f>'📅 Daily Log'!G14</f>
        <v>0</v>
      </c>
      <c r="E29" s="10">
        <f>IFERROR('📅 Daily Log'!F14/'📅 Daily Log'!G14,0)</f>
        <v>0</v>
      </c>
      <c r="F29" s="11">
        <f>'📅 Daily Log'!H14</f>
        <v>1076</v>
      </c>
      <c r="G29" s="12">
        <f>'📅 Daily Log'!I14</f>
        <v>122</v>
      </c>
      <c r="H29" s="9">
        <f>'📅 Daily Log'!J14</f>
        <v>0.1018363939899833</v>
      </c>
      <c r="I29" s="13" t="str">
        <f>'📅 Daily Log'!K14</f>
        <v>🔴 CLOSED — Sunday. Expenses are prep purchases for the week ahead.</v>
      </c>
      <c r="J29" s="14" t="str">
        <f>'📅 Daily Log'!K14</f>
        <v>🔴 CLOSED — Sunday. Expenses are prep purchases for the week ahead.</v>
      </c>
      <c r="K29" s="362" t="str">
        <f t="shared" si="0"/>
        <v>— same</v>
      </c>
      <c r="L29" s="346"/>
      <c r="M29" s="342"/>
    </row>
    <row r="30" spans="2:13" ht="16.5" customHeight="1" x14ac:dyDescent="0.3">
      <c r="B30" s="16">
        <f>'📅 Daily Log'!B15</f>
        <v>46167</v>
      </c>
      <c r="C30" s="17">
        <f>'📅 Daily Log'!F15</f>
        <v>3730</v>
      </c>
      <c r="D30" s="18">
        <f>'📅 Daily Log'!G15</f>
        <v>0</v>
      </c>
      <c r="E30" s="19">
        <f>IFERROR('📅 Daily Log'!F15/'📅 Daily Log'!G15,0)</f>
        <v>0</v>
      </c>
      <c r="F30" s="20">
        <f>'📅 Daily Log'!H15</f>
        <v>3021.45</v>
      </c>
      <c r="G30" s="21">
        <f>'📅 Daily Log'!I15</f>
        <v>708.55000000000018</v>
      </c>
      <c r="H30" s="18">
        <f>'📅 Daily Log'!J15</f>
        <v>0.18995978552278825</v>
      </c>
      <c r="I30" s="22">
        <f>'📅 Daily Log'!K15</f>
        <v>0</v>
      </c>
      <c r="J30" s="23">
        <f>'📅 Daily Log'!K15</f>
        <v>0</v>
      </c>
      <c r="K30" s="345" t="str">
        <f t="shared" si="0"/>
        <v>— same</v>
      </c>
      <c r="L30" s="346"/>
      <c r="M30" s="342"/>
    </row>
    <row r="31" spans="2:13" ht="16.5" customHeight="1" x14ac:dyDescent="0.3">
      <c r="B31" s="7">
        <f>'📅 Daily Log'!B16</f>
        <v>46168</v>
      </c>
      <c r="C31" s="8">
        <f>'📅 Daily Log'!F16</f>
        <v>4264</v>
      </c>
      <c r="D31" s="9">
        <f>'📅 Daily Log'!G16</f>
        <v>0</v>
      </c>
      <c r="E31" s="10">
        <f>IFERROR('📅 Daily Log'!F16/'📅 Daily Log'!G16,0)</f>
        <v>0</v>
      </c>
      <c r="F31" s="11">
        <f>'📅 Daily Log'!H16</f>
        <v>1191.5999999999999</v>
      </c>
      <c r="G31" s="12">
        <f>'📅 Daily Log'!I16</f>
        <v>3072.4</v>
      </c>
      <c r="H31" s="9">
        <f>'📅 Daily Log'!J16</f>
        <v>0.72054409005628517</v>
      </c>
      <c r="I31" s="13">
        <f>'📅 Daily Log'!K16</f>
        <v>0</v>
      </c>
      <c r="J31" s="14">
        <f>'📅 Daily Log'!K16</f>
        <v>0</v>
      </c>
      <c r="K31" s="362" t="str">
        <f t="shared" si="0"/>
        <v>— same</v>
      </c>
      <c r="L31" s="346"/>
      <c r="M31" s="342"/>
    </row>
    <row r="32" spans="2:13" ht="16.5" customHeight="1" x14ac:dyDescent="0.3">
      <c r="B32" s="16">
        <f>'📅 Daily Log'!B17</f>
        <v>46169</v>
      </c>
      <c r="C32" s="17">
        <f>'📅 Daily Log'!F17</f>
        <v>3621</v>
      </c>
      <c r="D32" s="18">
        <f>'📅 Daily Log'!G17</f>
        <v>0</v>
      </c>
      <c r="E32" s="19">
        <f>IFERROR('📅 Daily Log'!F17/'📅 Daily Log'!G17,0)</f>
        <v>0</v>
      </c>
      <c r="F32" s="20">
        <f>'📅 Daily Log'!H17</f>
        <v>1073.22</v>
      </c>
      <c r="G32" s="21">
        <f>'📅 Daily Log'!I17</f>
        <v>2547.7799999999997</v>
      </c>
      <c r="H32" s="18">
        <f>'📅 Daily Log'!J17</f>
        <v>0.70361226180613079</v>
      </c>
      <c r="I32" s="22">
        <f>'📅 Daily Log'!K17</f>
        <v>0</v>
      </c>
      <c r="J32" s="23">
        <f>'📅 Daily Log'!K17</f>
        <v>0</v>
      </c>
      <c r="K32" s="345" t="str">
        <f t="shared" si="0"/>
        <v>— same</v>
      </c>
      <c r="L32" s="346"/>
      <c r="M32" s="342"/>
    </row>
    <row r="33" spans="2:13" ht="9.75" customHeight="1" x14ac:dyDescent="0.3"/>
    <row r="34" spans="2:13" ht="19.5" customHeight="1" x14ac:dyDescent="0.3">
      <c r="B34" s="360" t="s">
        <v>316</v>
      </c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</row>
    <row r="35" spans="2:13" ht="27.75" customHeight="1" x14ac:dyDescent="0.3">
      <c r="B35" s="341" t="s">
        <v>317</v>
      </c>
      <c r="C35" s="346"/>
      <c r="D35" s="342"/>
      <c r="E35" s="6"/>
      <c r="F35" s="341" t="s">
        <v>318</v>
      </c>
      <c r="G35" s="342"/>
      <c r="H35" s="341" t="s">
        <v>82</v>
      </c>
      <c r="I35" s="342"/>
      <c r="J35" s="341" t="s">
        <v>319</v>
      </c>
      <c r="K35" s="346"/>
      <c r="L35" s="346"/>
      <c r="M35" s="342"/>
    </row>
    <row r="36" spans="2:13" ht="16.5" customHeight="1" x14ac:dyDescent="0.3">
      <c r="B36" s="383" t="str">
        <f>'📦 Inventory'!B9</f>
        <v>Carne de Res</v>
      </c>
      <c r="C36" s="346"/>
      <c r="D36" s="346"/>
      <c r="E36" s="370">
        <f>'📦 Inventory'!E9</f>
        <v>0</v>
      </c>
      <c r="F36" s="346"/>
      <c r="G36" s="378">
        <f>'📦 Inventory'!F9</f>
        <v>0</v>
      </c>
      <c r="H36" s="346"/>
      <c r="I36" s="353" t="str">
        <f>'📦 Inventory'!J9</f>
        <v>—</v>
      </c>
      <c r="J36" s="346"/>
      <c r="K36" s="353" t="str">
        <f>IF('📦 Inventory'!E9=0,"🚫 Order immediately",IF('📦 Inventory'!E9&lt;='📦 Inventory'!F9,"⚠️ Reorder soon","✅ OK"))</f>
        <v>🚫 Order immediately</v>
      </c>
      <c r="L36" s="346"/>
      <c r="M36" s="346"/>
    </row>
    <row r="37" spans="2:13" ht="16.5" customHeight="1" x14ac:dyDescent="0.3">
      <c r="B37" s="361" t="str">
        <f>'📦 Inventory'!B10</f>
        <v>Jamon Mexicano</v>
      </c>
      <c r="C37" s="346"/>
      <c r="D37" s="346"/>
      <c r="E37" s="392">
        <f>'📦 Inventory'!E10</f>
        <v>0</v>
      </c>
      <c r="F37" s="346"/>
      <c r="G37" s="393">
        <f>'📦 Inventory'!F10</f>
        <v>0</v>
      </c>
      <c r="H37" s="346"/>
      <c r="I37" s="394" t="str">
        <f>'📦 Inventory'!J10</f>
        <v>—</v>
      </c>
      <c r="J37" s="346"/>
      <c r="K37" s="394" t="str">
        <f>IF('📦 Inventory'!E10=0,"🚫 Order immediately",IF('📦 Inventory'!E10&lt;='📦 Inventory'!F10,"⚠️ Reorder soon","✅ OK"))</f>
        <v>🚫 Order immediately</v>
      </c>
      <c r="L37" s="346"/>
      <c r="M37" s="346"/>
    </row>
    <row r="38" spans="2:13" ht="16.5" customHeight="1" x14ac:dyDescent="0.3">
      <c r="B38" s="383" t="str">
        <f>'📦 Inventory'!B11</f>
        <v>Pollo</v>
      </c>
      <c r="C38" s="346"/>
      <c r="D38" s="346"/>
      <c r="E38" s="370">
        <f>'📦 Inventory'!E11</f>
        <v>0</v>
      </c>
      <c r="F38" s="346"/>
      <c r="G38" s="378">
        <f>'📦 Inventory'!F11</f>
        <v>0</v>
      </c>
      <c r="H38" s="346"/>
      <c r="I38" s="353" t="str">
        <f>'📦 Inventory'!J11</f>
        <v>—</v>
      </c>
      <c r="J38" s="346"/>
      <c r="K38" s="353" t="str">
        <f>IF('📦 Inventory'!E11=0,"🚫 Order immediately",IF('📦 Inventory'!E11&lt;='📦 Inventory'!F11,"⚠️ Reorder soon","✅ OK"))</f>
        <v>🚫 Order immediately</v>
      </c>
      <c r="L38" s="346"/>
      <c r="M38" s="346"/>
    </row>
    <row r="39" spans="2:13" ht="16.5" customHeight="1" x14ac:dyDescent="0.3">
      <c r="B39" s="361" t="str">
        <f>'📦 Inventory'!B12</f>
        <v>Chuletas de Carne</v>
      </c>
      <c r="C39" s="346"/>
      <c r="D39" s="346"/>
      <c r="E39" s="392">
        <f>'📦 Inventory'!E12</f>
        <v>0</v>
      </c>
      <c r="F39" s="346"/>
      <c r="G39" s="393">
        <f>'📦 Inventory'!F12</f>
        <v>0</v>
      </c>
      <c r="H39" s="346"/>
      <c r="I39" s="394" t="str">
        <f>'📦 Inventory'!J12</f>
        <v>—</v>
      </c>
      <c r="J39" s="346"/>
      <c r="K39" s="394" t="str">
        <f>IF('📦 Inventory'!E12=0,"🚫 Order immediately",IF('📦 Inventory'!E12&lt;='📦 Inventory'!F12,"⚠️ Reorder soon","✅ OK"))</f>
        <v>🚫 Order immediately</v>
      </c>
      <c r="L39" s="346"/>
      <c r="M39" s="346"/>
    </row>
    <row r="40" spans="2:13" ht="16.5" customHeight="1" x14ac:dyDescent="0.3">
      <c r="B40" s="383" t="str">
        <f>'📦 Inventory'!B13</f>
        <v>Costillas de Cerdo</v>
      </c>
      <c r="C40" s="346"/>
      <c r="D40" s="346"/>
      <c r="E40" s="370">
        <f>'📦 Inventory'!E13</f>
        <v>0</v>
      </c>
      <c r="F40" s="346"/>
      <c r="G40" s="378">
        <f>'📦 Inventory'!F13</f>
        <v>0</v>
      </c>
      <c r="H40" s="346"/>
      <c r="I40" s="353" t="str">
        <f>'📦 Inventory'!J13</f>
        <v>—</v>
      </c>
      <c r="J40" s="346"/>
      <c r="K40" s="353" t="str">
        <f>IF('📦 Inventory'!E13=0,"🚫 Order immediately",IF('📦 Inventory'!E13&lt;='📦 Inventory'!F13,"⚠️ Reorder soon","✅ OK"))</f>
        <v>🚫 Order immediately</v>
      </c>
      <c r="L40" s="346"/>
      <c r="M40" s="346"/>
    </row>
    <row r="41" spans="2:13" ht="7.5" customHeight="1" x14ac:dyDescent="0.3"/>
    <row r="42" spans="2:13" ht="30" customHeight="1" x14ac:dyDescent="0.3">
      <c r="B42" s="347" t="s">
        <v>320</v>
      </c>
      <c r="C42" s="331"/>
      <c r="D42" s="331"/>
      <c r="E42" s="331"/>
      <c r="F42" s="331"/>
      <c r="G42" s="331"/>
      <c r="H42" s="331"/>
      <c r="I42" s="331"/>
      <c r="J42" s="331"/>
      <c r="K42" s="331"/>
      <c r="L42" s="331"/>
      <c r="M42" s="331"/>
    </row>
    <row r="43" spans="2:13" ht="6" customHeight="1" x14ac:dyDescent="0.3"/>
    <row r="44" spans="2:13" ht="16.05" customHeight="1" x14ac:dyDescent="0.3">
      <c r="B44" s="395" t="s">
        <v>321</v>
      </c>
      <c r="C44" s="340"/>
      <c r="D44" s="404" t="s">
        <v>322</v>
      </c>
      <c r="E44" s="340"/>
      <c r="F44" s="405" t="s">
        <v>323</v>
      </c>
      <c r="G44" s="340"/>
      <c r="H44" s="401" t="s">
        <v>324</v>
      </c>
      <c r="I44" s="340"/>
      <c r="J44" s="398" t="s">
        <v>325</v>
      </c>
      <c r="K44" s="340"/>
      <c r="L44" s="387" t="s">
        <v>326</v>
      </c>
      <c r="M44" s="340"/>
    </row>
    <row r="45" spans="2:13" ht="22.05" customHeight="1" x14ac:dyDescent="0.3">
      <c r="B45" s="397">
        <f>'Capital &amp; Ownership'!C75</f>
        <v>0</v>
      </c>
      <c r="C45" s="340"/>
      <c r="D45" s="359">
        <f>'Capital &amp; Ownership'!C86</f>
        <v>600000</v>
      </c>
      <c r="E45" s="340"/>
      <c r="F45" s="380">
        <f>'Capital &amp; Ownership'!C87</f>
        <v>390000</v>
      </c>
      <c r="G45" s="340"/>
      <c r="H45" s="368">
        <f>'Capital &amp; Ownership'!C76</f>
        <v>0</v>
      </c>
      <c r="I45" s="340"/>
      <c r="J45" s="364">
        <f>'Capital &amp; Ownership'!C77</f>
        <v>46176</v>
      </c>
      <c r="K45" s="340"/>
      <c r="L45" s="365">
        <f>'Capital &amp; Ownership'!C78</f>
        <v>46190</v>
      </c>
      <c r="M45" s="340"/>
    </row>
    <row r="46" spans="2:13" ht="16.05" customHeight="1" x14ac:dyDescent="0.3">
      <c r="B46" s="399" t="s">
        <v>327</v>
      </c>
      <c r="C46" s="340"/>
      <c r="D46" s="400" t="s">
        <v>328</v>
      </c>
      <c r="E46" s="340"/>
      <c r="F46" s="384" t="s">
        <v>329</v>
      </c>
      <c r="G46" s="340"/>
      <c r="H46" s="402" t="s">
        <v>330</v>
      </c>
      <c r="I46" s="340"/>
      <c r="J46" s="388" t="s">
        <v>331</v>
      </c>
      <c r="K46" s="340"/>
      <c r="L46" s="389" t="s">
        <v>332</v>
      </c>
      <c r="M46" s="340"/>
    </row>
    <row r="47" spans="2:13" ht="7.95" customHeight="1" x14ac:dyDescent="0.3"/>
    <row r="48" spans="2:13" ht="22.05" customHeight="1" x14ac:dyDescent="0.3">
      <c r="B48" s="391" t="s">
        <v>333</v>
      </c>
      <c r="C48" s="331"/>
      <c r="D48" s="331"/>
      <c r="E48" s="331"/>
      <c r="F48" s="331"/>
      <c r="G48" s="331"/>
      <c r="H48" s="331"/>
      <c r="I48" s="331"/>
      <c r="J48" s="331"/>
      <c r="K48" s="331"/>
      <c r="L48" s="331"/>
      <c r="M48" s="331"/>
    </row>
    <row r="49" spans="2:13" ht="19.95" customHeight="1" x14ac:dyDescent="0.3">
      <c r="B49" s="372" t="s">
        <v>334</v>
      </c>
      <c r="C49" s="340"/>
      <c r="D49" s="372" t="s">
        <v>335</v>
      </c>
      <c r="E49" s="340"/>
      <c r="F49" s="1" t="s">
        <v>336</v>
      </c>
      <c r="G49" s="1" t="s">
        <v>337</v>
      </c>
      <c r="H49" s="372" t="s">
        <v>338</v>
      </c>
      <c r="I49" s="340"/>
      <c r="J49" s="372" t="s">
        <v>339</v>
      </c>
      <c r="K49" s="340"/>
      <c r="L49" s="372" t="s">
        <v>340</v>
      </c>
      <c r="M49" s="340"/>
    </row>
    <row r="50" spans="2:13" ht="19.95" customHeight="1" x14ac:dyDescent="0.3">
      <c r="B50" s="371" t="str">
        <f>'Capital &amp; Ownership'!B6</f>
        <v>Lohith Reddy</v>
      </c>
      <c r="C50" s="340"/>
      <c r="D50" s="358">
        <f>'Capital &amp; Ownership'!C6</f>
        <v>0.5</v>
      </c>
      <c r="E50" s="340"/>
      <c r="F50" s="3">
        <f>'Capital &amp; Ownership'!D6</f>
        <v>300000</v>
      </c>
      <c r="G50" s="25" t="s">
        <v>72</v>
      </c>
      <c r="H50" s="366">
        <f>'Capital &amp; Ownership'!E6</f>
        <v>36301</v>
      </c>
      <c r="I50" s="340"/>
      <c r="J50" s="366">
        <f>'Capital &amp; Ownership'!F6</f>
        <v>263699</v>
      </c>
      <c r="K50" s="340"/>
      <c r="L50" s="358">
        <f>IFERROR('Capital &amp; Ownership'!E6/'Capital &amp; Ownership'!D6,0)</f>
        <v>0.12100333333333334</v>
      </c>
      <c r="M50" s="340"/>
    </row>
    <row r="51" spans="2:13" ht="19.95" customHeight="1" x14ac:dyDescent="0.3">
      <c r="B51" s="373" t="str">
        <f>'Capital &amp; Ownership'!B7</f>
        <v>Kashigoud Patil</v>
      </c>
      <c r="C51" s="340"/>
      <c r="D51" s="374">
        <f>'Capital &amp; Ownership'!C7</f>
        <v>0.3</v>
      </c>
      <c r="E51" s="340"/>
      <c r="F51" s="4">
        <f>'Capital &amp; Ownership'!D7</f>
        <v>180000</v>
      </c>
      <c r="G51" s="26" t="s">
        <v>74</v>
      </c>
      <c r="H51" s="390">
        <f>'Capital &amp; Ownership'!E7</f>
        <v>161568.34</v>
      </c>
      <c r="I51" s="340"/>
      <c r="J51" s="390">
        <f>'Capital &amp; Ownership'!F7</f>
        <v>18431.660000000003</v>
      </c>
      <c r="K51" s="340"/>
      <c r="L51" s="374">
        <f>IFERROR('Capital &amp; Ownership'!E7/'Capital &amp; Ownership'!D7,0)</f>
        <v>0.89760188888888892</v>
      </c>
      <c r="M51" s="340"/>
    </row>
    <row r="52" spans="2:13" ht="19.95" customHeight="1" x14ac:dyDescent="0.3">
      <c r="B52" s="371" t="str">
        <f>'Capital &amp; Ownership'!B8</f>
        <v>Shashirekha Basavaraju</v>
      </c>
      <c r="C52" s="340"/>
      <c r="D52" s="358">
        <f>'Capital &amp; Ownership'!C8</f>
        <v>0.2</v>
      </c>
      <c r="E52" s="340"/>
      <c r="F52" s="3">
        <f>'Capital &amp; Ownership'!D8</f>
        <v>120000</v>
      </c>
      <c r="G52" s="25" t="s">
        <v>76</v>
      </c>
      <c r="H52" s="366">
        <f>'Capital &amp; Ownership'!E8</f>
        <v>120000</v>
      </c>
      <c r="I52" s="340"/>
      <c r="J52" s="366">
        <f>'Capital &amp; Ownership'!F8</f>
        <v>0</v>
      </c>
      <c r="K52" s="340"/>
      <c r="L52" s="358">
        <f>IFERROR('Capital &amp; Ownership'!E8/'Capital &amp; Ownership'!D8,0)</f>
        <v>1</v>
      </c>
      <c r="M52" s="340"/>
    </row>
    <row r="53" spans="2:13" ht="22.05" customHeight="1" x14ac:dyDescent="0.3">
      <c r="B53" s="382" t="s">
        <v>77</v>
      </c>
      <c r="C53" s="340"/>
      <c r="D53" s="356">
        <f>'Capital &amp; Ownership'!C9</f>
        <v>1</v>
      </c>
      <c r="E53" s="340"/>
      <c r="F53" s="2">
        <f>'Capital &amp; Ownership'!D9</f>
        <v>600000</v>
      </c>
      <c r="G53" s="1"/>
      <c r="H53" s="339">
        <f>'Capital &amp; Ownership'!E9</f>
        <v>317869.33999999997</v>
      </c>
      <c r="I53" s="340"/>
      <c r="J53" s="339">
        <f>'Capital &amp; Ownership'!F9</f>
        <v>282130.66000000003</v>
      </c>
      <c r="K53" s="340"/>
      <c r="L53" s="356">
        <f>IFERROR('Capital &amp; Ownership'!E9/'Capital &amp; Ownership'!D9,0)</f>
        <v>0.5297822333333333</v>
      </c>
      <c r="M53" s="340"/>
    </row>
    <row r="54" spans="2:13" ht="7.95" customHeight="1" x14ac:dyDescent="0.3"/>
    <row r="55" spans="2:13" ht="22.05" customHeight="1" x14ac:dyDescent="0.3">
      <c r="B55" s="391" t="s">
        <v>341</v>
      </c>
      <c r="C55" s="331"/>
      <c r="D55" s="331"/>
      <c r="E55" s="331"/>
      <c r="F55" s="331"/>
      <c r="G55" s="331"/>
      <c r="H55" s="331"/>
      <c r="I55" s="331"/>
      <c r="J55" s="331"/>
      <c r="K55" s="331"/>
      <c r="L55" s="331"/>
      <c r="M55" s="331"/>
    </row>
    <row r="56" spans="2:13" ht="19.95" customHeight="1" x14ac:dyDescent="0.3">
      <c r="B56" s="372" t="s">
        <v>342</v>
      </c>
      <c r="C56" s="344"/>
      <c r="D56" s="340"/>
      <c r="E56" s="372" t="s">
        <v>343</v>
      </c>
      <c r="F56" s="340"/>
      <c r="G56" s="372" t="s">
        <v>344</v>
      </c>
      <c r="H56" s="340"/>
      <c r="I56" s="372" t="s">
        <v>345</v>
      </c>
      <c r="J56" s="340"/>
      <c r="K56" s="372" t="s">
        <v>346</v>
      </c>
      <c r="L56" s="340"/>
    </row>
    <row r="57" spans="2:13" ht="19.95" customHeight="1" x14ac:dyDescent="0.3">
      <c r="B57" s="354" t="str">
        <f>'Capital &amp; Ownership'!B13</f>
        <v>TOTAL Purchase Price — Previous Owners</v>
      </c>
      <c r="C57" s="344"/>
      <c r="D57" s="340"/>
      <c r="E57" s="377" t="s">
        <v>84</v>
      </c>
      <c r="F57" s="340"/>
      <c r="G57" s="363">
        <f>'Capital &amp; Ownership'!D13</f>
        <v>390000</v>
      </c>
      <c r="H57" s="340"/>
      <c r="I57" s="377" t="s">
        <v>155</v>
      </c>
      <c r="J57" s="340"/>
      <c r="K57" s="377" t="s">
        <v>347</v>
      </c>
      <c r="L57" s="340"/>
    </row>
    <row r="58" spans="2:13" ht="19.95" customHeight="1" x14ac:dyDescent="0.3">
      <c r="B58" s="343" t="str">
        <f>'Capital &amp; Ownership'!B14</f>
        <v>Advance Payment (paid by Lohith)</v>
      </c>
      <c r="C58" s="344"/>
      <c r="D58" s="340"/>
      <c r="E58" s="367" t="s">
        <v>71</v>
      </c>
      <c r="F58" s="340"/>
      <c r="G58" s="369">
        <f>'Capital &amp; Ownership'!D14</f>
        <v>5000</v>
      </c>
      <c r="H58" s="340"/>
      <c r="I58" s="367" t="s">
        <v>348</v>
      </c>
      <c r="J58" s="340"/>
      <c r="K58" s="367" t="s">
        <v>349</v>
      </c>
      <c r="L58" s="340"/>
    </row>
    <row r="59" spans="2:13" ht="19.95" customHeight="1" x14ac:dyDescent="0.3">
      <c r="B59" s="343" t="str">
        <f>'Capital &amp; Ownership'!B35</f>
        <v>Kashigoud Transfer to Lohith</v>
      </c>
      <c r="C59" s="344"/>
      <c r="D59" s="340"/>
      <c r="E59" s="367" t="s">
        <v>73</v>
      </c>
      <c r="F59" s="340"/>
      <c r="G59" s="369">
        <f>'Capital &amp; Ownership'!D35</f>
        <v>125000</v>
      </c>
      <c r="H59" s="340"/>
      <c r="I59" s="367" t="s">
        <v>139</v>
      </c>
      <c r="J59" s="340"/>
      <c r="K59" s="367" t="s">
        <v>349</v>
      </c>
      <c r="L59" s="340"/>
    </row>
    <row r="60" spans="2:13" ht="19.95" customHeight="1" x14ac:dyDescent="0.3">
      <c r="B60" s="343" t="str">
        <f>'Capital &amp; Ownership'!B36</f>
        <v>Shashirekha Transfer to Lohith</v>
      </c>
      <c r="C60" s="344"/>
      <c r="D60" s="340"/>
      <c r="E60" s="367" t="s">
        <v>73</v>
      </c>
      <c r="F60" s="340"/>
      <c r="G60" s="369">
        <f>'Capital &amp; Ownership'!D36</f>
        <v>100000</v>
      </c>
      <c r="H60" s="340"/>
      <c r="I60" s="367" t="s">
        <v>350</v>
      </c>
      <c r="J60" s="340"/>
      <c r="K60" s="367" t="s">
        <v>349</v>
      </c>
      <c r="L60" s="340"/>
    </row>
    <row r="61" spans="2:13" ht="19.95" customHeight="1" x14ac:dyDescent="0.3">
      <c r="B61" s="371">
        <f>'Capital &amp; Ownership'!B47</f>
        <v>0</v>
      </c>
      <c r="C61" s="344"/>
      <c r="D61" s="340"/>
      <c r="E61" s="349" t="s">
        <v>71</v>
      </c>
      <c r="F61" s="340"/>
      <c r="G61" s="366">
        <f>'Capital &amp; Ownership'!D47</f>
        <v>0</v>
      </c>
      <c r="H61" s="340"/>
      <c r="I61" s="349" t="s">
        <v>351</v>
      </c>
      <c r="J61" s="340"/>
      <c r="K61" s="349" t="s">
        <v>349</v>
      </c>
      <c r="L61" s="340"/>
    </row>
    <row r="62" spans="2:13" ht="19.95" customHeight="1" x14ac:dyDescent="0.3">
      <c r="B62" s="371">
        <f>'Capital &amp; Ownership'!B50</f>
        <v>0</v>
      </c>
      <c r="C62" s="344"/>
      <c r="D62" s="340"/>
      <c r="E62" s="349" t="s">
        <v>71</v>
      </c>
      <c r="F62" s="340"/>
      <c r="G62" s="366">
        <f>'Capital &amp; Ownership'!D50</f>
        <v>0</v>
      </c>
      <c r="H62" s="340"/>
      <c r="I62" s="349" t="s">
        <v>162</v>
      </c>
      <c r="J62" s="340"/>
      <c r="K62" s="349" t="s">
        <v>349</v>
      </c>
      <c r="L62" s="340"/>
    </row>
    <row r="63" spans="2:13" ht="19.95" customHeight="1" x14ac:dyDescent="0.3">
      <c r="B63" s="371">
        <f>'Capital &amp; Ownership'!B51</f>
        <v>0</v>
      </c>
      <c r="C63" s="344"/>
      <c r="D63" s="340"/>
      <c r="E63" s="349" t="s">
        <v>71</v>
      </c>
      <c r="F63" s="340"/>
      <c r="G63" s="366">
        <f>'Capital &amp; Ownership'!D51</f>
        <v>0</v>
      </c>
      <c r="H63" s="340"/>
      <c r="I63" s="349" t="s">
        <v>166</v>
      </c>
      <c r="J63" s="340"/>
      <c r="K63" s="349" t="s">
        <v>349</v>
      </c>
      <c r="L63" s="340"/>
    </row>
    <row r="64" spans="2:13" ht="19.95" customHeight="1" x14ac:dyDescent="0.3">
      <c r="B64" s="403" t="s">
        <v>352</v>
      </c>
      <c r="C64" s="344"/>
      <c r="D64" s="344"/>
      <c r="E64" s="344"/>
      <c r="F64" s="344"/>
      <c r="G64" s="344"/>
      <c r="H64" s="344"/>
      <c r="I64" s="344"/>
      <c r="J64" s="344"/>
      <c r="K64" s="344"/>
      <c r="L64" s="344"/>
      <c r="M64" s="340"/>
    </row>
  </sheetData>
  <mergeCells count="159"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B45:C45"/>
    <mergeCell ref="K57:L5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G63:H63"/>
    <mergeCell ref="I63:J63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H50:I50"/>
    <mergeCell ref="I57:J57"/>
    <mergeCell ref="E38:F38"/>
    <mergeCell ref="G38:H38"/>
    <mergeCell ref="H10:I12"/>
    <mergeCell ref="J10:K12"/>
    <mergeCell ref="K23:M23"/>
    <mergeCell ref="F45:G45"/>
    <mergeCell ref="H49:I49"/>
    <mergeCell ref="J49:K49"/>
    <mergeCell ref="E40:F40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G61:H61"/>
    <mergeCell ref="I61:J61"/>
    <mergeCell ref="K63:L63"/>
    <mergeCell ref="G62:H62"/>
    <mergeCell ref="B17:C19"/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B53:C53"/>
    <mergeCell ref="I56:J56"/>
    <mergeCell ref="D53:E53"/>
    <mergeCell ref="K56:L56"/>
    <mergeCell ref="B52:C52"/>
    <mergeCell ref="D52:E52"/>
    <mergeCell ref="D49:E49"/>
    <mergeCell ref="D17:E19"/>
    <mergeCell ref="G37:H3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defaultColWidth="8.6640625" defaultRowHeight="14.4" customHeight="1" x14ac:dyDescent="0.3"/>
  <cols>
    <col min="1" max="1" width="4" customWidth="1"/>
    <col min="2" max="2" width="18" customWidth="1"/>
    <col min="3" max="5" width="16" customWidth="1"/>
    <col min="6" max="6" width="12" customWidth="1"/>
    <col min="7" max="7" width="14" customWidth="1"/>
    <col min="8" max="9" width="16" customWidth="1"/>
    <col min="10" max="10" width="12" customWidth="1"/>
    <col min="11" max="11" width="30" customWidth="1"/>
    <col min="12" max="17" width="16" customWidth="1"/>
    <col min="21" max="21" width="14.33203125" bestFit="1" customWidth="1"/>
    <col min="22" max="24" width="13" customWidth="1"/>
    <col min="25" max="25" width="14.33203125" customWidth="1"/>
    <col min="26" max="28" width="13" customWidth="1"/>
  </cols>
  <sheetData>
    <row r="1" spans="1:28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28" ht="37.5" customHeight="1" x14ac:dyDescent="0.3">
      <c r="A2" s="330" t="s">
        <v>0</v>
      </c>
      <c r="B2" s="331"/>
      <c r="C2" s="331"/>
      <c r="D2" s="331"/>
      <c r="E2" s="331"/>
      <c r="F2" s="331"/>
      <c r="G2" s="331"/>
      <c r="H2" s="331"/>
      <c r="I2" s="332" t="s">
        <v>1</v>
      </c>
      <c r="J2" s="331"/>
      <c r="K2" s="331"/>
      <c r="L2" s="331"/>
      <c r="M2" s="331"/>
      <c r="N2" s="331"/>
      <c r="O2" s="331"/>
      <c r="P2" s="331"/>
    </row>
    <row r="3" spans="1:28" ht="3.75" customHeight="1" x14ac:dyDescent="0.3">
      <c r="A3" s="333"/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</row>
    <row r="4" spans="1:28" ht="7.5" customHeight="1" x14ac:dyDescent="0.3"/>
    <row r="5" spans="1:28" ht="49.5" customHeight="1" x14ac:dyDescent="0.3">
      <c r="B5" s="328" t="s">
        <v>2</v>
      </c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</row>
    <row r="6" spans="1:28" ht="7.5" customHeight="1" x14ac:dyDescent="0.3">
      <c r="B6" s="27"/>
      <c r="D6" s="28"/>
      <c r="E6" s="29"/>
      <c r="F6" s="30">
        <f ca="1">SUMIFS($D$8:$D$5000,$B$8:$B$5000,TODAY())+SUMIFS($E$8:$E$5000,$B$8:$B$5000,TODAY())+SUMIFS($G$8:$G$5000,$B$8:$B$5000,TODAY())</f>
        <v>0</v>
      </c>
      <c r="G6" s="31">
        <f ca="1">SUMIFS($G$8:$G$5000,$B$8:$B$5000,TODAY())</f>
        <v>0</v>
      </c>
      <c r="H6" s="28">
        <f ca="1">SUMIFS($H$8:$H$5000,$B$8:$B$5000,TODAY())</f>
        <v>0</v>
      </c>
      <c r="I6" s="32">
        <f ca="1">F6-H6</f>
        <v>0</v>
      </c>
      <c r="J6">
        <f ca="1">IFERROR(I6/F6,0)</f>
        <v>0</v>
      </c>
      <c r="K6" s="28"/>
      <c r="L6" s="31"/>
      <c r="M6" s="28">
        <f ca="1">SUMPRODUCT((ISNUMBER($B$8:$B$5000))*($B$8:$B$5000&gt;=TODAY()-MOD(TODAY()-2,7))*($B$8:$B$5000&lt;TODAY()-MOD(TODAY()-2,7)+7)*IF(ISNUMBER($F$8:$F$5000),$F$8:$F$5000,0))</f>
        <v>0</v>
      </c>
      <c r="N6" s="33">
        <f ca="1">SUMPRODUCT((ISNUMBER($B$8:$B$5000))*($B$8:$B$5000&gt;=TODAY()-MOD(TODAY()-2,7))*($B$8:$B$5000&lt;TODAY()-MOD(TODAY()-2,7)+7)*IF(ISNUMBER($F$8:$F$5000),$F$8:$F$5000,0))</f>
        <v>0</v>
      </c>
      <c r="O6" s="33">
        <f ca="1">SUMPRODUCT((ISNUMBER($B$8:$B$5000))*(MONTH($B$8:$B$5000)=MONTH(TODAY()))*(YEAR($B$8:$B$5000)=YEAR(TODAY()))*IF(ISNUMBER($F$8:$F$5000),$F$8:$F$5000,0))</f>
        <v>0</v>
      </c>
      <c r="P6">
        <f ca="1">SUMPRODUCT((ISNUMBER($B$8:$B$5000))*($B$8:$B$5000&gt;=TODAY()-MOD(TODAY()-2,7))*($B$8:$B$5000&lt;TODAY()-MOD(TODAY()-2,7)+7)*IF(ISNUMBER($H$8:$H$5000),$H$8:$H$5000,0))</f>
        <v>0</v>
      </c>
      <c r="Q6">
        <f ca="1">M6-P6</f>
        <v>0</v>
      </c>
    </row>
    <row r="7" spans="1:28" ht="27.75" customHeight="1" x14ac:dyDescent="0.3"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6" t="s">
        <v>14</v>
      </c>
      <c r="N7" s="6" t="s">
        <v>15</v>
      </c>
      <c r="O7" s="6" t="s">
        <v>16</v>
      </c>
      <c r="P7" s="6" t="s">
        <v>17</v>
      </c>
      <c r="Q7" s="6" t="s">
        <v>18</v>
      </c>
      <c r="R7" s="6" t="s">
        <v>19</v>
      </c>
      <c r="S7" s="6" t="s">
        <v>20</v>
      </c>
      <c r="T7" s="6">
        <v>4.0599999999999997E-2</v>
      </c>
      <c r="U7" s="6" t="s">
        <v>21</v>
      </c>
      <c r="V7" s="6" t="s">
        <v>22</v>
      </c>
      <c r="W7" s="6" t="s">
        <v>23</v>
      </c>
      <c r="X7" s="6">
        <v>2.0500000000000001E-2</v>
      </c>
      <c r="Y7" s="6" t="s">
        <v>24</v>
      </c>
      <c r="Z7" s="6" t="s">
        <v>25</v>
      </c>
      <c r="AA7" s="6" t="s">
        <v>26</v>
      </c>
      <c r="AB7" s="6">
        <v>1.9E-2</v>
      </c>
    </row>
    <row r="8" spans="1:28" ht="16.5" customHeight="1" x14ac:dyDescent="0.3">
      <c r="B8" s="229">
        <v>46160</v>
      </c>
      <c r="C8" s="35" t="s">
        <v>27</v>
      </c>
      <c r="D8" s="36">
        <v>2229</v>
      </c>
      <c r="E8" s="37">
        <v>1460</v>
      </c>
      <c r="F8" s="38">
        <f t="shared" ref="F8:F39" si="0">IFERROR(D8+E8+G8,0)</f>
        <v>3689</v>
      </c>
      <c r="G8" s="39"/>
      <c r="H8" s="40">
        <f>SUMIFS('💸 Expenses'!$F$8:$F$5000,'💸 Expenses'!$B$8:$B$5000,"&gt;="&amp;B8,'💸 Expenses'!$B$8:$B$5000,"&lt;"&amp;(B8+1))</f>
        <v>2629</v>
      </c>
      <c r="I8" s="41">
        <f t="shared" ref="I8:I39" si="1">IFERROR(F8-H8,0)</f>
        <v>1060</v>
      </c>
      <c r="J8" s="42">
        <f t="shared" ref="J8:J27" si="2">IFERROR(I8/F8,0)</f>
        <v>0.28734074274871241</v>
      </c>
      <c r="K8" s="43"/>
      <c r="L8" s="9" t="s">
        <v>28</v>
      </c>
      <c r="M8" s="12"/>
      <c r="N8" s="44"/>
      <c r="O8" s="45"/>
      <c r="P8" s="46"/>
      <c r="Q8" s="44"/>
      <c r="R8" s="44">
        <f t="shared" ref="R8:R39" si="3">IFERROR(D8*$T$7,0)</f>
        <v>90.497399999999999</v>
      </c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spans="1:28" ht="16.5" customHeight="1" x14ac:dyDescent="0.3">
      <c r="B9" s="229">
        <v>46161</v>
      </c>
      <c r="C9" s="47" t="s">
        <v>29</v>
      </c>
      <c r="D9" s="48">
        <v>2125</v>
      </c>
      <c r="E9" s="49">
        <v>1729</v>
      </c>
      <c r="F9" s="50">
        <f t="shared" si="0"/>
        <v>3854</v>
      </c>
      <c r="G9" s="51"/>
      <c r="H9" s="52">
        <f>SUMIFS('💸 Expenses'!$F$8:$F$5000,'💸 Expenses'!$B$8:$B$5000,"&gt;="&amp;B9,'💸 Expenses'!$B$8:$B$5000,"&lt;"&amp;(B9+1))</f>
        <v>30</v>
      </c>
      <c r="I9" s="53">
        <f t="shared" si="1"/>
        <v>3824</v>
      </c>
      <c r="J9" s="54">
        <f t="shared" si="2"/>
        <v>0.99221587960560453</v>
      </c>
      <c r="K9" s="55"/>
      <c r="L9" s="18" t="s">
        <v>28</v>
      </c>
      <c r="M9" s="21"/>
      <c r="N9" s="56"/>
      <c r="O9" s="57"/>
      <c r="P9" s="58"/>
      <c r="Q9" s="56"/>
      <c r="R9" s="56">
        <f t="shared" si="3"/>
        <v>86.274999999999991</v>
      </c>
      <c r="S9" s="56"/>
      <c r="T9" s="56"/>
      <c r="U9" s="56"/>
      <c r="V9" s="56"/>
      <c r="W9" s="56"/>
      <c r="X9" s="56"/>
      <c r="Y9" s="56"/>
      <c r="Z9" s="56"/>
      <c r="AA9" s="56"/>
      <c r="AB9" s="56"/>
    </row>
    <row r="10" spans="1:28" ht="16.5" customHeight="1" x14ac:dyDescent="0.3">
      <c r="B10" s="229">
        <v>46162</v>
      </c>
      <c r="C10" s="35" t="s">
        <v>30</v>
      </c>
      <c r="D10" s="36">
        <v>1459</v>
      </c>
      <c r="E10" s="37">
        <v>2665</v>
      </c>
      <c r="F10" s="38">
        <f t="shared" si="0"/>
        <v>4124</v>
      </c>
      <c r="G10" s="39"/>
      <c r="H10" s="40">
        <f>SUMIFS('💸 Expenses'!$F$8:$F$5000,'💸 Expenses'!$B$8:$B$5000,"&gt;="&amp;B10,'💸 Expenses'!$B$8:$B$5000,"&lt;"&amp;(B10+1))</f>
        <v>3777</v>
      </c>
      <c r="I10" s="41">
        <f t="shared" si="1"/>
        <v>347</v>
      </c>
      <c r="J10" s="42">
        <f t="shared" si="2"/>
        <v>8.4141610087293886E-2</v>
      </c>
      <c r="K10" s="43"/>
      <c r="L10" s="9" t="s">
        <v>28</v>
      </c>
      <c r="M10" s="12"/>
      <c r="N10" s="44"/>
      <c r="O10" s="45"/>
      <c r="P10" s="46"/>
      <c r="Q10" s="44"/>
      <c r="R10" s="44">
        <f t="shared" si="3"/>
        <v>59.235399999999998</v>
      </c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spans="1:28" ht="16.5" customHeight="1" x14ac:dyDescent="0.3">
      <c r="B11" s="229">
        <v>46163</v>
      </c>
      <c r="C11" s="47" t="s">
        <v>31</v>
      </c>
      <c r="D11" s="48">
        <v>2570</v>
      </c>
      <c r="E11" s="49">
        <v>2163</v>
      </c>
      <c r="F11" s="50">
        <f t="shared" si="0"/>
        <v>4733</v>
      </c>
      <c r="G11" s="51"/>
      <c r="H11" s="52">
        <f>SUMIFS('💸 Expenses'!$F$8:$F$5000,'💸 Expenses'!$B$8:$B$5000,"&gt;="&amp;B11,'💸 Expenses'!$B$8:$B$5000,"&lt;"&amp;(B11+1))</f>
        <v>2434</v>
      </c>
      <c r="I11" s="53">
        <f t="shared" si="1"/>
        <v>2299</v>
      </c>
      <c r="J11" s="54">
        <f t="shared" si="2"/>
        <v>0.48573843228396368</v>
      </c>
      <c r="K11" s="55"/>
      <c r="L11" s="18" t="s">
        <v>28</v>
      </c>
      <c r="M11" s="21"/>
      <c r="N11" s="56"/>
      <c r="O11" s="57"/>
      <c r="P11" s="58"/>
      <c r="Q11" s="56"/>
      <c r="R11" s="56">
        <f t="shared" si="3"/>
        <v>104.342</v>
      </c>
      <c r="S11" s="56"/>
      <c r="T11" s="56"/>
      <c r="U11" s="56"/>
      <c r="V11" s="56"/>
      <c r="W11" s="56"/>
      <c r="X11" s="56"/>
      <c r="Y11" s="56"/>
      <c r="Z11" s="56"/>
      <c r="AA11" s="56"/>
      <c r="AB11" s="56"/>
    </row>
    <row r="12" spans="1:28" ht="16.5" customHeight="1" x14ac:dyDescent="0.3">
      <c r="B12" s="229">
        <v>46164</v>
      </c>
      <c r="C12" s="35" t="s">
        <v>32</v>
      </c>
      <c r="D12" s="36">
        <v>1959</v>
      </c>
      <c r="E12" s="37">
        <v>2323</v>
      </c>
      <c r="F12" s="38">
        <f t="shared" si="0"/>
        <v>4282</v>
      </c>
      <c r="G12" s="39"/>
      <c r="H12" s="40">
        <f>SUMIFS('💸 Expenses'!$F$8:$F$5000,'💸 Expenses'!$B$8:$B$5000,"&gt;="&amp;B12,'💸 Expenses'!$B$8:$B$5000,"&lt;"&amp;(B12+1))</f>
        <v>1457</v>
      </c>
      <c r="I12" s="41">
        <f t="shared" si="1"/>
        <v>2825</v>
      </c>
      <c r="J12" s="42">
        <f t="shared" si="2"/>
        <v>0.65973843998131709</v>
      </c>
      <c r="K12" s="43"/>
      <c r="L12" s="9" t="s">
        <v>28</v>
      </c>
      <c r="M12" s="12"/>
      <c r="N12" s="44"/>
      <c r="O12" s="45"/>
      <c r="P12" s="46"/>
      <c r="Q12" s="44"/>
      <c r="R12" s="44">
        <f t="shared" si="3"/>
        <v>79.535399999999996</v>
      </c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 spans="1:28" ht="16.5" customHeight="1" x14ac:dyDescent="0.3">
      <c r="B13" s="229">
        <v>46165</v>
      </c>
      <c r="C13" s="47" t="s">
        <v>33</v>
      </c>
      <c r="D13" s="48">
        <v>2044</v>
      </c>
      <c r="E13" s="49">
        <v>1758</v>
      </c>
      <c r="F13" s="50">
        <f t="shared" si="0"/>
        <v>3802</v>
      </c>
      <c r="G13" s="51"/>
      <c r="H13" s="52">
        <f>SUMIFS('💸 Expenses'!$F$8:$F$5000,'💸 Expenses'!$B$8:$B$5000,"&gt;="&amp;B13,'💸 Expenses'!$B$8:$B$5000,"&lt;"&amp;(B13+1))</f>
        <v>7755.43</v>
      </c>
      <c r="I13" s="53">
        <f t="shared" si="1"/>
        <v>-3953.4300000000003</v>
      </c>
      <c r="J13" s="54">
        <f t="shared" si="2"/>
        <v>-1.039829037348764</v>
      </c>
      <c r="K13" s="55" t="s">
        <v>34</v>
      </c>
      <c r="L13" s="18" t="s">
        <v>28</v>
      </c>
      <c r="M13" s="21"/>
      <c r="N13" s="56"/>
      <c r="O13" s="57"/>
      <c r="P13" s="58"/>
      <c r="Q13" s="56"/>
      <c r="R13" s="56">
        <f t="shared" si="3"/>
        <v>82.986399999999989</v>
      </c>
      <c r="S13" s="56"/>
      <c r="T13" s="56"/>
      <c r="U13" s="56"/>
      <c r="V13" s="56"/>
      <c r="W13" s="56"/>
      <c r="X13" s="56"/>
      <c r="Y13" s="56"/>
      <c r="Z13" s="56"/>
      <c r="AA13" s="56"/>
      <c r="AB13" s="56"/>
    </row>
    <row r="14" spans="1:28" ht="16.5" customHeight="1" x14ac:dyDescent="0.3">
      <c r="B14" s="229">
        <v>46166</v>
      </c>
      <c r="C14" s="35" t="s">
        <v>35</v>
      </c>
      <c r="D14" s="36"/>
      <c r="E14" s="37">
        <v>1198</v>
      </c>
      <c r="F14" s="38">
        <f t="shared" si="0"/>
        <v>1198</v>
      </c>
      <c r="G14" s="39"/>
      <c r="H14" s="40">
        <f>SUMIFS('💸 Expenses'!$F$8:$F$5000,'💸 Expenses'!$B$8:$B$5000,"&gt;="&amp;B14,'💸 Expenses'!$B$8:$B$5000,"&lt;"&amp;(B14+1))</f>
        <v>1076</v>
      </c>
      <c r="I14" s="41">
        <f t="shared" si="1"/>
        <v>122</v>
      </c>
      <c r="J14" s="42">
        <f t="shared" si="2"/>
        <v>0.1018363939899833</v>
      </c>
      <c r="K14" s="43" t="s">
        <v>36</v>
      </c>
      <c r="L14" s="9" t="s">
        <v>28</v>
      </c>
      <c r="M14" s="12"/>
      <c r="N14" s="44"/>
      <c r="O14" s="45"/>
      <c r="P14" s="46"/>
      <c r="Q14" s="44"/>
      <c r="R14" s="44">
        <f t="shared" si="3"/>
        <v>0</v>
      </c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 spans="1:28" ht="16.5" customHeight="1" x14ac:dyDescent="0.3">
      <c r="B15" s="229">
        <v>46167</v>
      </c>
      <c r="C15" s="47" t="s">
        <v>27</v>
      </c>
      <c r="D15" s="48">
        <v>2106</v>
      </c>
      <c r="E15" s="49">
        <v>1624</v>
      </c>
      <c r="F15" s="50">
        <f t="shared" si="0"/>
        <v>3730</v>
      </c>
      <c r="G15" s="51"/>
      <c r="H15" s="52">
        <f>SUMIFS('💸 Expenses'!$F$8:$F$5000,'💸 Expenses'!$B$8:$B$5000,"&gt;="&amp;B15,'💸 Expenses'!$B$8:$B$5000,"&lt;"&amp;(B15+1))</f>
        <v>3021.45</v>
      </c>
      <c r="I15" s="53">
        <f t="shared" si="1"/>
        <v>708.55000000000018</v>
      </c>
      <c r="J15" s="54">
        <f t="shared" si="2"/>
        <v>0.18995978552278825</v>
      </c>
      <c r="K15" s="55"/>
      <c r="L15" s="18" t="s">
        <v>28</v>
      </c>
      <c r="M15" s="21"/>
      <c r="N15" s="56"/>
      <c r="O15" s="57"/>
      <c r="P15" s="58"/>
      <c r="Q15" s="56"/>
      <c r="R15" s="56">
        <f t="shared" si="3"/>
        <v>85.503599999999992</v>
      </c>
      <c r="S15" s="56"/>
      <c r="T15" s="56"/>
      <c r="U15" s="56"/>
      <c r="V15" s="56"/>
      <c r="W15" s="56"/>
      <c r="X15" s="56"/>
      <c r="Y15" s="56"/>
      <c r="Z15" s="56"/>
      <c r="AA15" s="56"/>
      <c r="AB15" s="56"/>
    </row>
    <row r="16" spans="1:28" ht="16.5" customHeight="1" x14ac:dyDescent="0.3">
      <c r="B16" s="229">
        <v>46168</v>
      </c>
      <c r="C16" s="35" t="s">
        <v>29</v>
      </c>
      <c r="D16" s="36">
        <v>1909</v>
      </c>
      <c r="E16" s="37">
        <v>2355</v>
      </c>
      <c r="F16" s="38">
        <f t="shared" si="0"/>
        <v>4264</v>
      </c>
      <c r="G16" s="39"/>
      <c r="H16" s="40">
        <f>SUMIFS('💸 Expenses'!$F$8:$F$5000,'💸 Expenses'!$B$8:$B$5000,"&gt;="&amp;B16,'💸 Expenses'!$B$8:$B$5000,"&lt;"&amp;(B16+1))</f>
        <v>1191.5999999999999</v>
      </c>
      <c r="I16" s="41">
        <f t="shared" si="1"/>
        <v>3072.4</v>
      </c>
      <c r="J16" s="42">
        <f t="shared" si="2"/>
        <v>0.72054409005628517</v>
      </c>
      <c r="K16" s="43"/>
      <c r="L16" s="9" t="s">
        <v>28</v>
      </c>
      <c r="M16" s="12"/>
      <c r="N16" s="44"/>
      <c r="O16" s="45"/>
      <c r="P16" s="46"/>
      <c r="Q16" s="44"/>
      <c r="R16" s="44">
        <f t="shared" si="3"/>
        <v>77.505399999999995</v>
      </c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spans="2:28" ht="16.5" customHeight="1" x14ac:dyDescent="0.3">
      <c r="B17" s="229">
        <v>46169</v>
      </c>
      <c r="C17" s="47" t="s">
        <v>30</v>
      </c>
      <c r="D17" s="48">
        <v>1956</v>
      </c>
      <c r="E17" s="49">
        <v>1665</v>
      </c>
      <c r="F17" s="50">
        <f t="shared" si="0"/>
        <v>3621</v>
      </c>
      <c r="G17" s="51"/>
      <c r="H17" s="52">
        <f>SUMIFS('💸 Expenses'!$F$8:$F$5000,'💸 Expenses'!$B$8:$B$5000,"&gt;="&amp;B17,'💸 Expenses'!$B$8:$B$5000,"&lt;"&amp;(B17+1))</f>
        <v>1073.22</v>
      </c>
      <c r="I17" s="53">
        <f t="shared" si="1"/>
        <v>2547.7799999999997</v>
      </c>
      <c r="J17" s="54">
        <f t="shared" si="2"/>
        <v>0.70361226180613079</v>
      </c>
      <c r="K17" s="55"/>
      <c r="L17" s="18" t="s">
        <v>28</v>
      </c>
      <c r="M17" s="21"/>
      <c r="N17" s="56"/>
      <c r="O17" s="57"/>
      <c r="P17" s="58"/>
      <c r="Q17" s="56"/>
      <c r="R17" s="56">
        <f t="shared" si="3"/>
        <v>79.413599999999988</v>
      </c>
      <c r="S17" s="56"/>
      <c r="T17" s="56"/>
      <c r="U17" s="56"/>
      <c r="V17" s="56"/>
      <c r="W17" s="56"/>
      <c r="X17" s="56"/>
      <c r="Y17" s="56"/>
      <c r="Z17" s="56"/>
      <c r="AA17" s="56"/>
      <c r="AB17" s="56"/>
    </row>
    <row r="18" spans="2:28" ht="16.5" customHeight="1" x14ac:dyDescent="0.3">
      <c r="B18" s="229">
        <v>46170</v>
      </c>
      <c r="C18" s="35" t="s">
        <v>31</v>
      </c>
      <c r="D18" s="36">
        <v>1501</v>
      </c>
      <c r="E18" s="37">
        <v>2569</v>
      </c>
      <c r="F18" s="38">
        <f t="shared" si="0"/>
        <v>4070</v>
      </c>
      <c r="G18" s="39"/>
      <c r="H18" s="40">
        <f>SUMIFS('💸 Expenses'!$F$8:$F$5000,'💸 Expenses'!$B$8:$B$5000,"&gt;="&amp;B18,'💸 Expenses'!$B$8:$B$5000,"&lt;"&amp;(B18+1))</f>
        <v>1931.3400000000001</v>
      </c>
      <c r="I18" s="41">
        <f t="shared" si="1"/>
        <v>2138.66</v>
      </c>
      <c r="J18" s="42">
        <f t="shared" si="2"/>
        <v>0.52546928746928745</v>
      </c>
      <c r="K18" s="43"/>
      <c r="L18" s="9" t="s">
        <v>28</v>
      </c>
      <c r="M18" s="12"/>
      <c r="N18" s="44"/>
      <c r="O18" s="45"/>
      <c r="P18" s="46"/>
      <c r="Q18" s="44"/>
      <c r="R18" s="44">
        <f t="shared" si="3"/>
        <v>60.940599999999996</v>
      </c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spans="2:28" ht="16.5" customHeight="1" x14ac:dyDescent="0.3">
      <c r="B19" s="229">
        <v>46171</v>
      </c>
      <c r="C19" s="47" t="s">
        <v>32</v>
      </c>
      <c r="D19" s="48">
        <v>3369</v>
      </c>
      <c r="E19" s="49">
        <v>2717</v>
      </c>
      <c r="F19" s="50">
        <f t="shared" si="0"/>
        <v>6086</v>
      </c>
      <c r="G19" s="51"/>
      <c r="H19" s="52">
        <f>SUMIFS('💸 Expenses'!$F$8:$F$5000,'💸 Expenses'!$B$8:$B$5000,"&gt;="&amp;B19,'💸 Expenses'!$B$8:$B$5000,"&lt;"&amp;(B19+1))</f>
        <v>257.28999999999996</v>
      </c>
      <c r="I19" s="53">
        <f t="shared" si="1"/>
        <v>5828.71</v>
      </c>
      <c r="J19" s="54">
        <f t="shared" si="2"/>
        <v>0.95772428524482422</v>
      </c>
      <c r="K19" s="55"/>
      <c r="L19" s="18" t="s">
        <v>28</v>
      </c>
      <c r="M19" s="21"/>
      <c r="N19" s="56"/>
      <c r="O19" s="57"/>
      <c r="P19" s="58"/>
      <c r="Q19" s="56"/>
      <c r="R19" s="56">
        <f t="shared" si="3"/>
        <v>136.78139999999999</v>
      </c>
      <c r="S19" s="56"/>
      <c r="T19" s="56"/>
      <c r="U19" s="56"/>
      <c r="V19" s="56"/>
      <c r="W19" s="56"/>
      <c r="X19" s="56"/>
      <c r="Y19" s="56"/>
      <c r="Z19" s="56"/>
      <c r="AA19" s="56"/>
      <c r="AB19" s="56"/>
    </row>
    <row r="20" spans="2:28" ht="16.5" customHeight="1" x14ac:dyDescent="0.3">
      <c r="B20" s="229">
        <v>46172</v>
      </c>
      <c r="C20" s="35" t="s">
        <v>33</v>
      </c>
      <c r="D20" s="36">
        <v>3457</v>
      </c>
      <c r="E20" s="37">
        <v>1146</v>
      </c>
      <c r="F20" s="38">
        <f t="shared" si="0"/>
        <v>4603</v>
      </c>
      <c r="G20" s="39"/>
      <c r="H20" s="40">
        <f>SUMIFS('💸 Expenses'!$F$8:$F$5000,'💸 Expenses'!$B$8:$B$5000,"&gt;="&amp;B20,'💸 Expenses'!$B$8:$B$5000,"&lt;"&amp;(B20+1))</f>
        <v>5974.3</v>
      </c>
      <c r="I20" s="41">
        <f t="shared" si="1"/>
        <v>-1371.3000000000002</v>
      </c>
      <c r="J20" s="42">
        <f t="shared" si="2"/>
        <v>-0.29791440364979366</v>
      </c>
      <c r="K20" s="43"/>
      <c r="L20" s="9" t="s">
        <v>28</v>
      </c>
      <c r="M20" s="12"/>
      <c r="N20" s="44"/>
      <c r="O20" s="45"/>
      <c r="P20" s="46"/>
      <c r="Q20" s="44"/>
      <c r="R20" s="44">
        <f t="shared" si="3"/>
        <v>140.35419999999999</v>
      </c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spans="2:28" ht="16.5" customHeight="1" x14ac:dyDescent="0.3">
      <c r="B21" s="229">
        <v>46173</v>
      </c>
      <c r="C21" s="47" t="s">
        <v>35</v>
      </c>
      <c r="D21" s="48"/>
      <c r="E21" s="49">
        <v>893</v>
      </c>
      <c r="F21" s="50">
        <f t="shared" si="0"/>
        <v>893</v>
      </c>
      <c r="G21" s="51"/>
      <c r="H21" s="52">
        <f>SUMIFS('💸 Expenses'!$F$8:$F$5000,'💸 Expenses'!$B$8:$B$5000,"&gt;="&amp;B21,'💸 Expenses'!$B$8:$B$5000,"&lt;"&amp;(B21+1))</f>
        <v>10312</v>
      </c>
      <c r="I21" s="53">
        <f t="shared" si="1"/>
        <v>-9419</v>
      </c>
      <c r="J21" s="54">
        <f t="shared" si="2"/>
        <v>-10.547592385218366</v>
      </c>
      <c r="K21" s="55"/>
      <c r="L21" s="18" t="s">
        <v>28</v>
      </c>
      <c r="M21" s="21"/>
      <c r="N21" s="56"/>
      <c r="O21" s="57"/>
      <c r="P21" s="58"/>
      <c r="Q21" s="56"/>
      <c r="R21" s="56">
        <f t="shared" si="3"/>
        <v>0</v>
      </c>
      <c r="S21" s="56"/>
      <c r="T21" s="56"/>
      <c r="U21" s="56"/>
      <c r="V21" s="56"/>
      <c r="W21" s="56"/>
      <c r="X21" s="56"/>
      <c r="Y21" s="56"/>
      <c r="Z21" s="56"/>
      <c r="AA21" s="56"/>
      <c r="AB21" s="56"/>
    </row>
    <row r="22" spans="2:28" ht="16.5" customHeight="1" x14ac:dyDescent="0.3">
      <c r="B22" s="229">
        <v>46174</v>
      </c>
      <c r="C22" s="35" t="s">
        <v>27</v>
      </c>
      <c r="D22" s="36">
        <v>3433</v>
      </c>
      <c r="E22" s="37">
        <v>1276</v>
      </c>
      <c r="F22" s="38">
        <f t="shared" si="0"/>
        <v>5019</v>
      </c>
      <c r="G22" s="39">
        <v>310</v>
      </c>
      <c r="H22" s="40">
        <f>SUMIFS('💸 Expenses'!$F$8:$F$5000,'💸 Expenses'!$B$8:$B$5000,"&gt;="&amp;B22,'💸 Expenses'!$B$8:$B$5000,"&lt;"&amp;(B22+1))</f>
        <v>5329.64</v>
      </c>
      <c r="I22" s="41">
        <f t="shared" si="1"/>
        <v>-310.64000000000033</v>
      </c>
      <c r="J22" s="42">
        <f t="shared" si="2"/>
        <v>-6.1892807332137943E-2</v>
      </c>
      <c r="K22" s="43"/>
      <c r="L22" s="9" t="s">
        <v>28</v>
      </c>
      <c r="M22" s="12"/>
      <c r="N22" s="44"/>
      <c r="O22" s="45"/>
      <c r="P22" s="46"/>
      <c r="Q22" s="44"/>
      <c r="R22" s="44">
        <f t="shared" si="3"/>
        <v>139.37979999999999</v>
      </c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 spans="2:28" ht="16.5" customHeight="1" x14ac:dyDescent="0.3">
      <c r="B23" s="229">
        <v>46175</v>
      </c>
      <c r="C23" s="47" t="s">
        <v>29</v>
      </c>
      <c r="D23" s="48">
        <v>1240</v>
      </c>
      <c r="E23" s="49">
        <v>320</v>
      </c>
      <c r="F23" s="50">
        <f t="shared" si="0"/>
        <v>1843</v>
      </c>
      <c r="G23" s="51">
        <v>283</v>
      </c>
      <c r="H23" s="52">
        <f>SUMIFS('💸 Expenses'!$F$8:$F$5000,'💸 Expenses'!$B$8:$B$5000,"&gt;="&amp;B23,'💸 Expenses'!$B$8:$B$5000,"&lt;"&amp;(B23+1))</f>
        <v>2379.11</v>
      </c>
      <c r="I23" s="53">
        <f t="shared" si="1"/>
        <v>-536.11000000000013</v>
      </c>
      <c r="J23" s="54">
        <f t="shared" si="2"/>
        <v>-0.29088985349972879</v>
      </c>
      <c r="K23" s="55"/>
      <c r="L23" s="18" t="s">
        <v>28</v>
      </c>
      <c r="M23" s="21"/>
      <c r="N23" s="56"/>
      <c r="O23" s="57"/>
      <c r="P23" s="58"/>
      <c r="Q23" s="56"/>
      <c r="R23" s="56">
        <f t="shared" si="3"/>
        <v>50.343999999999994</v>
      </c>
      <c r="S23" s="56"/>
      <c r="T23" s="56"/>
      <c r="U23" s="56"/>
      <c r="V23" s="56"/>
      <c r="W23" s="56"/>
      <c r="X23" s="56"/>
      <c r="Y23" s="56"/>
      <c r="Z23" s="56"/>
      <c r="AA23" s="56"/>
      <c r="AB23" s="56"/>
    </row>
    <row r="24" spans="2:28" ht="16.5" customHeight="1" x14ac:dyDescent="0.3">
      <c r="B24" s="229">
        <v>46176</v>
      </c>
      <c r="C24" s="35" t="s">
        <v>30</v>
      </c>
      <c r="D24" s="36">
        <v>1853</v>
      </c>
      <c r="E24" s="37">
        <v>1939</v>
      </c>
      <c r="F24" s="38">
        <f t="shared" si="0"/>
        <v>3912</v>
      </c>
      <c r="G24" s="39">
        <v>120</v>
      </c>
      <c r="H24" s="40">
        <f>SUMIFS('💸 Expenses'!$F$8:$F$5000,'💸 Expenses'!$B$8:$B$5000,"&gt;="&amp;B24,'💸 Expenses'!$B$8:$B$5000,"&lt;"&amp;(B24+1))</f>
        <v>4211.8600000000006</v>
      </c>
      <c r="I24" s="41">
        <f t="shared" si="1"/>
        <v>-299.86000000000058</v>
      </c>
      <c r="J24" s="42">
        <f t="shared" si="2"/>
        <v>-7.6651329243353938E-2</v>
      </c>
      <c r="K24" s="43"/>
      <c r="L24" s="9" t="s">
        <v>28</v>
      </c>
      <c r="M24" s="12"/>
      <c r="N24" s="44"/>
      <c r="O24" s="45"/>
      <c r="P24" s="46"/>
      <c r="Q24" s="44"/>
      <c r="R24" s="44">
        <f t="shared" si="3"/>
        <v>75.231799999999993</v>
      </c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 spans="2:28" ht="16.5" customHeight="1" x14ac:dyDescent="0.3">
      <c r="B25" s="229">
        <v>46177</v>
      </c>
      <c r="C25" s="47" t="s">
        <v>31</v>
      </c>
      <c r="D25" s="48">
        <v>2712</v>
      </c>
      <c r="E25" s="49">
        <v>1045</v>
      </c>
      <c r="F25" s="50">
        <f t="shared" si="0"/>
        <v>3757</v>
      </c>
      <c r="G25" s="51"/>
      <c r="H25" s="52">
        <f>SUMIFS('💸 Expenses'!$F$8:$F$5000,'💸 Expenses'!$B$8:$B$5000,"&gt;="&amp;B25,'💸 Expenses'!$B$8:$B$5000,"&lt;"&amp;(B25+1))</f>
        <v>20959.96</v>
      </c>
      <c r="I25" s="53">
        <f t="shared" si="1"/>
        <v>-17202.96</v>
      </c>
      <c r="J25" s="54">
        <f t="shared" si="2"/>
        <v>-4.5789087037529939</v>
      </c>
      <c r="K25" s="55"/>
      <c r="L25" s="18" t="s">
        <v>28</v>
      </c>
      <c r="M25" s="21"/>
      <c r="N25" s="56"/>
      <c r="O25" s="57"/>
      <c r="P25" s="58"/>
      <c r="Q25" s="56"/>
      <c r="R25" s="56">
        <f t="shared" si="3"/>
        <v>110.10719999999999</v>
      </c>
      <c r="S25" s="56"/>
      <c r="T25" s="56"/>
      <c r="U25" s="56"/>
      <c r="V25" s="56"/>
      <c r="W25" s="56"/>
      <c r="X25" s="56"/>
      <c r="Y25" s="56"/>
      <c r="Z25" s="56"/>
      <c r="AA25" s="56"/>
      <c r="AB25" s="56"/>
    </row>
    <row r="26" spans="2:28" ht="16.5" customHeight="1" x14ac:dyDescent="0.3">
      <c r="B26" s="229">
        <v>46178</v>
      </c>
      <c r="C26" s="35" t="s">
        <v>32</v>
      </c>
      <c r="D26" s="36">
        <v>2495</v>
      </c>
      <c r="E26" s="37">
        <v>1778</v>
      </c>
      <c r="F26" s="38">
        <f t="shared" si="0"/>
        <v>4408</v>
      </c>
      <c r="G26" s="39">
        <v>135</v>
      </c>
      <c r="H26" s="40">
        <f>SUMIFS('💸 Expenses'!$F$8:$F$5000,'💸 Expenses'!$B$8:$B$5000,"&gt;="&amp;B26,'💸 Expenses'!$B$8:$B$5000,"&lt;"&amp;(B26+1))</f>
        <v>878.06</v>
      </c>
      <c r="I26" s="41">
        <f t="shared" si="1"/>
        <v>3529.94</v>
      </c>
      <c r="J26" s="42">
        <f t="shared" si="2"/>
        <v>0.80080308529945554</v>
      </c>
      <c r="K26" s="43"/>
      <c r="L26" s="9" t="s">
        <v>28</v>
      </c>
      <c r="M26" s="12"/>
      <c r="N26" s="44"/>
      <c r="O26" s="45"/>
      <c r="P26" s="46"/>
      <c r="Q26" s="44"/>
      <c r="R26" s="44">
        <f t="shared" si="3"/>
        <v>101.297</v>
      </c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 spans="2:28" ht="16.5" customHeight="1" x14ac:dyDescent="0.3">
      <c r="B27" s="229">
        <v>46179</v>
      </c>
      <c r="C27" s="47" t="s">
        <v>33</v>
      </c>
      <c r="D27" s="48">
        <v>580</v>
      </c>
      <c r="E27" s="49">
        <v>1754</v>
      </c>
      <c r="F27" s="50">
        <f t="shared" si="0"/>
        <v>2334</v>
      </c>
      <c r="G27" s="51"/>
      <c r="H27" s="52">
        <f>SUMIFS('💸 Expenses'!$F$8:$F$5000,'💸 Expenses'!$B$8:$B$5000,"&gt;="&amp;B27,'💸 Expenses'!$B$8:$B$5000,"&lt;"&amp;(B27+1))</f>
        <v>5414</v>
      </c>
      <c r="I27" s="53">
        <f t="shared" si="1"/>
        <v>-3080</v>
      </c>
      <c r="J27" s="54">
        <f t="shared" si="2"/>
        <v>-1.3196229648671809</v>
      </c>
      <c r="K27" s="55"/>
      <c r="L27" s="18" t="s">
        <v>28</v>
      </c>
      <c r="M27" s="21"/>
      <c r="N27" s="56"/>
      <c r="O27" s="57"/>
      <c r="P27" s="58"/>
      <c r="Q27" s="56"/>
      <c r="R27" s="56">
        <f t="shared" si="3"/>
        <v>23.547999999999998</v>
      </c>
      <c r="S27" s="56"/>
      <c r="T27" s="56"/>
      <c r="U27" s="56"/>
      <c r="V27" s="56"/>
      <c r="W27" s="56"/>
      <c r="X27" s="56"/>
      <c r="Y27" s="56"/>
      <c r="Z27" s="56"/>
      <c r="AA27" s="56"/>
      <c r="AB27" s="56"/>
    </row>
    <row r="28" spans="2:28" ht="16.5" customHeight="1" x14ac:dyDescent="0.3">
      <c r="B28" s="229">
        <v>46180</v>
      </c>
      <c r="C28" s="35" t="s">
        <v>35</v>
      </c>
      <c r="D28" s="36"/>
      <c r="E28" s="37"/>
      <c r="F28" s="38">
        <f t="shared" si="0"/>
        <v>0</v>
      </c>
      <c r="G28" s="39"/>
      <c r="H28" s="40">
        <f>SUMIFS('💸 Expenses'!$F$8:$F$5000,'💸 Expenses'!$B$8:$B$5000,"&gt;="&amp;B28,'💸 Expenses'!$B$8:$B$5000,"&lt;"&amp;(B28+1))</f>
        <v>1671</v>
      </c>
      <c r="I28" s="41">
        <f t="shared" si="1"/>
        <v>-1671</v>
      </c>
      <c r="J28" s="42"/>
      <c r="K28" s="43"/>
      <c r="L28" s="9" t="s">
        <v>28</v>
      </c>
      <c r="M28" s="12"/>
      <c r="N28" s="44"/>
      <c r="O28" s="45"/>
      <c r="P28" s="46"/>
      <c r="Q28" s="44"/>
      <c r="R28" s="44">
        <f t="shared" si="3"/>
        <v>0</v>
      </c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 spans="2:28" ht="16.5" customHeight="1" x14ac:dyDescent="0.3">
      <c r="B29" s="229">
        <v>46181</v>
      </c>
      <c r="C29" s="47" t="s">
        <v>27</v>
      </c>
      <c r="D29" s="48">
        <v>1778</v>
      </c>
      <c r="E29" s="49">
        <v>1850</v>
      </c>
      <c r="F29" s="50">
        <f t="shared" si="0"/>
        <v>3727</v>
      </c>
      <c r="G29" s="51">
        <v>99</v>
      </c>
      <c r="H29" s="52">
        <f>SUMIFS('💸 Expenses'!$F$8:$F$5000,'💸 Expenses'!$B$8:$B$5000,"&gt;="&amp;B29,'💸 Expenses'!$B$8:$B$5000,"&lt;"&amp;(B29+1))</f>
        <v>3187.11</v>
      </c>
      <c r="I29" s="53">
        <f t="shared" si="1"/>
        <v>539.88999999999987</v>
      </c>
      <c r="J29" s="54">
        <f t="shared" ref="J29:J60" si="4">IFERROR(I29/F29,0)</f>
        <v>0.14485913603434394</v>
      </c>
      <c r="K29" s="55"/>
      <c r="L29" s="18" t="s">
        <v>28</v>
      </c>
      <c r="M29" s="21"/>
      <c r="N29" s="56"/>
      <c r="O29" s="57"/>
      <c r="P29" s="58"/>
      <c r="Q29" s="56"/>
      <c r="R29" s="56">
        <f t="shared" si="3"/>
        <v>72.186799999999991</v>
      </c>
      <c r="S29" s="56"/>
      <c r="T29" s="56"/>
      <c r="U29" s="56"/>
      <c r="V29" s="56"/>
      <c r="W29" s="56"/>
      <c r="X29" s="56"/>
      <c r="Y29" s="56"/>
      <c r="Z29" s="56"/>
      <c r="AA29" s="56"/>
      <c r="AB29" s="56"/>
    </row>
    <row r="30" spans="2:28" ht="16.5" customHeight="1" x14ac:dyDescent="0.3">
      <c r="B30" s="229">
        <v>46182</v>
      </c>
      <c r="C30" s="35" t="s">
        <v>29</v>
      </c>
      <c r="D30" s="36">
        <v>930</v>
      </c>
      <c r="E30" s="37">
        <v>4480</v>
      </c>
      <c r="F30" s="38">
        <f t="shared" si="0"/>
        <v>5410</v>
      </c>
      <c r="G30" s="39"/>
      <c r="H30" s="40">
        <f>SUMIFS('💸 Expenses'!$F$8:$F$5000,'💸 Expenses'!$B$8:$B$5000,"&gt;="&amp;B30,'💸 Expenses'!$B$8:$B$5000,"&lt;"&amp;(B30+1))</f>
        <v>6623.9800000000005</v>
      </c>
      <c r="I30" s="41">
        <f t="shared" si="1"/>
        <v>-1213.9800000000005</v>
      </c>
      <c r="J30" s="42">
        <f t="shared" si="4"/>
        <v>-0.22439556377079492</v>
      </c>
      <c r="K30" s="43"/>
      <c r="L30" s="9" t="s">
        <v>28</v>
      </c>
      <c r="M30" s="12"/>
      <c r="N30" s="44"/>
      <c r="O30" s="45"/>
      <c r="P30" s="46"/>
      <c r="Q30" s="44"/>
      <c r="R30" s="44">
        <f t="shared" si="3"/>
        <v>37.757999999999996</v>
      </c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 spans="2:28" ht="16.5" customHeight="1" x14ac:dyDescent="0.3">
      <c r="B31" s="229">
        <v>46183</v>
      </c>
      <c r="C31" s="47" t="s">
        <v>30</v>
      </c>
      <c r="D31" s="48">
        <v>2506</v>
      </c>
      <c r="E31" s="49">
        <v>1759</v>
      </c>
      <c r="F31" s="50">
        <f t="shared" si="0"/>
        <v>4265</v>
      </c>
      <c r="G31" s="51"/>
      <c r="H31" s="52">
        <f>SUMIFS('💸 Expenses'!$F$8:$F$5000,'💸 Expenses'!$B$8:$B$5000,"&gt;="&amp;B31,'💸 Expenses'!$B$8:$B$5000,"&lt;"&amp;(B31+1))</f>
        <v>1341.81</v>
      </c>
      <c r="I31" s="53">
        <f t="shared" si="1"/>
        <v>2923.19</v>
      </c>
      <c r="J31" s="54">
        <f t="shared" si="4"/>
        <v>0.68539038686987108</v>
      </c>
      <c r="K31" s="55"/>
      <c r="L31" s="18" t="s">
        <v>28</v>
      </c>
      <c r="M31" s="21"/>
      <c r="N31" s="56"/>
      <c r="O31" s="57"/>
      <c r="P31" s="58"/>
      <c r="Q31" s="56"/>
      <c r="R31" s="56">
        <f t="shared" si="3"/>
        <v>101.74359999999999</v>
      </c>
      <c r="S31" s="56"/>
      <c r="T31" s="56"/>
      <c r="U31" s="56"/>
      <c r="V31" s="56"/>
      <c r="W31" s="56"/>
      <c r="X31" s="56"/>
      <c r="Y31" s="56"/>
      <c r="Z31" s="56"/>
      <c r="AA31" s="56"/>
      <c r="AB31" s="56"/>
    </row>
    <row r="32" spans="2:28" ht="16.5" customHeight="1" x14ac:dyDescent="0.3">
      <c r="B32" s="229">
        <v>46184</v>
      </c>
      <c r="C32" s="35" t="s">
        <v>31</v>
      </c>
      <c r="D32" s="36">
        <v>2075</v>
      </c>
      <c r="E32" s="37">
        <v>2091</v>
      </c>
      <c r="F32" s="38">
        <f t="shared" si="0"/>
        <v>4166</v>
      </c>
      <c r="G32" s="39">
        <v>0</v>
      </c>
      <c r="H32" s="40">
        <f>SUMIFS('💸 Expenses'!$F$8:$F$5000,'💸 Expenses'!$B$8:$B$5000,"&gt;="&amp;B32,'💸 Expenses'!$B$8:$B$5000,"&lt;"&amp;(B32+1))</f>
        <v>4044</v>
      </c>
      <c r="I32" s="41">
        <f t="shared" si="1"/>
        <v>122</v>
      </c>
      <c r="J32" s="42">
        <f t="shared" si="4"/>
        <v>2.9284685549687949E-2</v>
      </c>
      <c r="K32" s="43"/>
      <c r="L32" s="9" t="s">
        <v>37</v>
      </c>
      <c r="M32" s="12"/>
      <c r="N32" s="44"/>
      <c r="O32" s="45"/>
      <c r="P32" s="46"/>
      <c r="Q32" s="44"/>
      <c r="R32" s="44">
        <f t="shared" si="3"/>
        <v>84.24499999999999</v>
      </c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 spans="2:28" ht="16.5" customHeight="1" x14ac:dyDescent="0.3">
      <c r="B33" s="229">
        <v>46185</v>
      </c>
      <c r="C33" s="47" t="s">
        <v>32</v>
      </c>
      <c r="D33" s="48">
        <v>2635</v>
      </c>
      <c r="E33" s="49">
        <v>3435</v>
      </c>
      <c r="F33" s="50">
        <f t="shared" si="0"/>
        <v>6070</v>
      </c>
      <c r="G33" s="51">
        <v>0</v>
      </c>
      <c r="H33" s="52">
        <f>SUMIFS('💸 Expenses'!$F$8:$F$5000,'💸 Expenses'!$B$8:$B$5000,"&gt;="&amp;B33,'💸 Expenses'!$B$8:$B$5000,"&lt;"&amp;(B33+1))</f>
        <v>901.8</v>
      </c>
      <c r="I33" s="53">
        <f t="shared" si="1"/>
        <v>5168.2</v>
      </c>
      <c r="J33" s="54">
        <f t="shared" si="4"/>
        <v>0.8514332784184514</v>
      </c>
      <c r="K33" s="55"/>
      <c r="L33" s="18" t="s">
        <v>38</v>
      </c>
      <c r="M33" s="21"/>
      <c r="N33" s="56"/>
      <c r="O33" s="57"/>
      <c r="P33" s="58"/>
      <c r="Q33" s="56"/>
      <c r="R33" s="56">
        <f t="shared" si="3"/>
        <v>106.98099999999999</v>
      </c>
      <c r="S33" s="56"/>
      <c r="T33" s="56"/>
      <c r="U33" s="56"/>
      <c r="V33" s="56"/>
      <c r="W33" s="56"/>
      <c r="X33" s="56"/>
      <c r="Y33" s="56"/>
      <c r="Z33" s="56"/>
      <c r="AA33" s="56"/>
      <c r="AB33" s="56"/>
    </row>
    <row r="34" spans="2:28" ht="16.5" customHeight="1" x14ac:dyDescent="0.3">
      <c r="B34" s="229">
        <v>46186</v>
      </c>
      <c r="C34" s="35" t="s">
        <v>33</v>
      </c>
      <c r="D34" s="36">
        <v>1005</v>
      </c>
      <c r="E34" s="37">
        <v>806</v>
      </c>
      <c r="F34" s="38">
        <f t="shared" si="0"/>
        <v>1811</v>
      </c>
      <c r="G34" s="39">
        <v>0</v>
      </c>
      <c r="H34" s="40">
        <f>SUMIFS('💸 Expenses'!$F$8:$F$5000,'💸 Expenses'!$B$8:$B$5000,"&gt;="&amp;B34,'💸 Expenses'!$B$8:$B$5000,"&lt;"&amp;(B34+1))</f>
        <v>8084.16</v>
      </c>
      <c r="I34" s="41">
        <f t="shared" si="1"/>
        <v>-6273.16</v>
      </c>
      <c r="J34" s="42">
        <f t="shared" si="4"/>
        <v>-3.4639204859193815</v>
      </c>
      <c r="K34" s="43"/>
      <c r="L34" s="9" t="s">
        <v>39</v>
      </c>
      <c r="M34" s="12"/>
      <c r="N34" s="44"/>
      <c r="O34" s="45"/>
      <c r="P34" s="46"/>
      <c r="Q34" s="44"/>
      <c r="R34" s="44">
        <f t="shared" si="3"/>
        <v>40.802999999999997</v>
      </c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spans="2:28" ht="16.5" customHeight="1" x14ac:dyDescent="0.3">
      <c r="B35" s="229">
        <v>46187</v>
      </c>
      <c r="C35" s="47" t="s">
        <v>35</v>
      </c>
      <c r="D35" s="48">
        <v>0</v>
      </c>
      <c r="E35" s="49">
        <v>0</v>
      </c>
      <c r="F35" s="50">
        <f t="shared" si="0"/>
        <v>0</v>
      </c>
      <c r="G35" s="51">
        <v>0</v>
      </c>
      <c r="H35" s="52">
        <f>SUMIFS('💸 Expenses'!$F$8:$F$5000,'💸 Expenses'!$B$8:$B$5000,"&gt;="&amp;B35,'💸 Expenses'!$B$8:$B$5000,"&lt;"&amp;(B35+1))</f>
        <v>1526.1799999999998</v>
      </c>
      <c r="I35" s="53">
        <f t="shared" si="1"/>
        <v>-1526.1799999999998</v>
      </c>
      <c r="J35" s="54">
        <f t="shared" si="4"/>
        <v>0</v>
      </c>
      <c r="K35" s="55"/>
      <c r="L35" s="18" t="s">
        <v>40</v>
      </c>
      <c r="M35" s="21"/>
      <c r="N35" s="56"/>
      <c r="O35" s="57"/>
      <c r="P35" s="58"/>
      <c r="Q35" s="56"/>
      <c r="R35" s="56">
        <f t="shared" si="3"/>
        <v>0</v>
      </c>
      <c r="S35" s="56"/>
      <c r="T35" s="56"/>
      <c r="U35" s="56"/>
      <c r="V35" s="56"/>
      <c r="W35" s="56"/>
      <c r="X35" s="56"/>
      <c r="Y35" s="56"/>
      <c r="Z35" s="56"/>
      <c r="AA35" s="56"/>
      <c r="AB35" s="56"/>
    </row>
    <row r="36" spans="2:28" ht="16.5" customHeight="1" x14ac:dyDescent="0.3">
      <c r="B36" s="229">
        <v>46188</v>
      </c>
      <c r="C36" s="35" t="s">
        <v>27</v>
      </c>
      <c r="D36" s="36">
        <v>2075</v>
      </c>
      <c r="E36" s="37">
        <v>2348</v>
      </c>
      <c r="F36" s="38">
        <f t="shared" si="0"/>
        <v>4423</v>
      </c>
      <c r="G36" s="39">
        <v>0</v>
      </c>
      <c r="H36" s="40">
        <f>SUMIFS('💸 Expenses'!$F$8:$F$5000,'💸 Expenses'!$B$8:$B$5000,"&gt;="&amp;B36,'💸 Expenses'!$B$8:$B$5000,"&lt;"&amp;(B36+1))</f>
        <v>2858.08</v>
      </c>
      <c r="I36" s="41">
        <f t="shared" si="1"/>
        <v>1564.92</v>
      </c>
      <c r="J36" s="42">
        <f t="shared" si="4"/>
        <v>0.35381415328962246</v>
      </c>
      <c r="K36" s="43"/>
      <c r="L36" s="9" t="s">
        <v>41</v>
      </c>
      <c r="M36" s="12"/>
      <c r="N36" s="44"/>
      <c r="O36" s="45"/>
      <c r="P36" s="46"/>
      <c r="Q36" s="44"/>
      <c r="R36" s="44">
        <f t="shared" si="3"/>
        <v>84.24499999999999</v>
      </c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 spans="2:28" ht="16.5" customHeight="1" x14ac:dyDescent="0.3">
      <c r="B37" s="229">
        <v>46189</v>
      </c>
      <c r="C37" s="47" t="s">
        <v>29</v>
      </c>
      <c r="D37" s="48">
        <v>1841</v>
      </c>
      <c r="E37" s="49">
        <v>945</v>
      </c>
      <c r="F37" s="50">
        <f t="shared" si="0"/>
        <v>2786</v>
      </c>
      <c r="G37" s="51">
        <v>0</v>
      </c>
      <c r="H37" s="52">
        <f>SUMIFS('💸 Expenses'!$F$8:$F$5000,'💸 Expenses'!$B$8:$B$5000,"&gt;="&amp;B37,'💸 Expenses'!$B$8:$B$5000,"&lt;"&amp;(B37+1))</f>
        <v>2541.9</v>
      </c>
      <c r="I37" s="53">
        <f t="shared" si="1"/>
        <v>244.09999999999991</v>
      </c>
      <c r="J37" s="54">
        <f t="shared" si="4"/>
        <v>8.7616654702081812E-2</v>
      </c>
      <c r="K37" s="55"/>
      <c r="L37" s="18" t="s">
        <v>42</v>
      </c>
      <c r="M37" s="21"/>
      <c r="N37" s="56"/>
      <c r="O37" s="57"/>
      <c r="P37" s="58"/>
      <c r="Q37" s="56"/>
      <c r="R37" s="56">
        <f t="shared" si="3"/>
        <v>74.744599999999991</v>
      </c>
      <c r="S37" s="56"/>
      <c r="T37" s="56"/>
      <c r="U37" s="56"/>
      <c r="V37" s="56"/>
      <c r="W37" s="56"/>
      <c r="X37" s="56"/>
      <c r="Y37" s="56"/>
      <c r="Z37" s="56"/>
      <c r="AA37" s="56"/>
      <c r="AB37" s="56"/>
    </row>
    <row r="38" spans="2:28" ht="16.5" customHeight="1" x14ac:dyDescent="0.3">
      <c r="B38" s="229">
        <v>46190</v>
      </c>
      <c r="C38" s="35" t="s">
        <v>30</v>
      </c>
      <c r="D38" s="36">
        <v>2123</v>
      </c>
      <c r="E38" s="37">
        <v>2281</v>
      </c>
      <c r="F38" s="38">
        <f t="shared" si="0"/>
        <v>4404</v>
      </c>
      <c r="G38" s="39">
        <v>0</v>
      </c>
      <c r="H38" s="40">
        <f>SUMIFS('💸 Expenses'!$F$8:$F$5000,'💸 Expenses'!$B$8:$B$5000,"&gt;="&amp;B38,'💸 Expenses'!$B$8:$B$5000,"&lt;"&amp;(B38+1))</f>
        <v>2353</v>
      </c>
      <c r="I38" s="41">
        <f t="shared" si="1"/>
        <v>2051</v>
      </c>
      <c r="J38" s="42">
        <f t="shared" si="4"/>
        <v>0.46571298819255225</v>
      </c>
      <c r="K38" s="43"/>
      <c r="L38" s="9" t="s">
        <v>43</v>
      </c>
      <c r="M38" s="12"/>
      <c r="N38" s="44"/>
      <c r="O38" s="45"/>
      <c r="P38" s="46"/>
      <c r="Q38" s="44"/>
      <c r="R38" s="44">
        <f t="shared" si="3"/>
        <v>86.193799999999996</v>
      </c>
      <c r="S38" s="44"/>
      <c r="T38" s="44"/>
      <c r="U38" s="44"/>
      <c r="V38" s="44"/>
      <c r="W38" s="44"/>
      <c r="X38" s="44"/>
      <c r="Y38" s="44"/>
      <c r="Z38" s="44"/>
      <c r="AA38" s="44"/>
      <c r="AB38" s="44"/>
    </row>
    <row r="39" spans="2:28" ht="16.5" customHeight="1" x14ac:dyDescent="0.3">
      <c r="B39" s="229">
        <v>46191</v>
      </c>
      <c r="C39" s="47" t="s">
        <v>31</v>
      </c>
      <c r="D39" s="48">
        <v>2211</v>
      </c>
      <c r="E39" s="49">
        <v>1554</v>
      </c>
      <c r="F39" s="50">
        <f t="shared" si="0"/>
        <v>4165</v>
      </c>
      <c r="G39" s="51">
        <v>400</v>
      </c>
      <c r="H39" s="52">
        <f>SUMIFS('💸 Expenses'!$F$8:$F$5000,'💸 Expenses'!$B$8:$B$5000,"&gt;="&amp;B39,'💸 Expenses'!$B$8:$B$5000,"&lt;"&amp;(B39+1))</f>
        <v>2958.83</v>
      </c>
      <c r="I39" s="53">
        <f t="shared" si="1"/>
        <v>1206.17</v>
      </c>
      <c r="J39" s="54">
        <f t="shared" si="4"/>
        <v>0.2895966386554622</v>
      </c>
      <c r="K39" s="55"/>
      <c r="L39" s="18" t="s">
        <v>44</v>
      </c>
      <c r="M39" s="21"/>
      <c r="N39" s="56"/>
      <c r="O39" s="57"/>
      <c r="P39" s="58"/>
      <c r="Q39" s="56"/>
      <c r="R39" s="56">
        <f t="shared" si="3"/>
        <v>89.766599999999997</v>
      </c>
      <c r="S39" s="56"/>
      <c r="T39" s="56"/>
      <c r="U39" s="56"/>
      <c r="V39" s="56"/>
      <c r="W39" s="56"/>
      <c r="X39" s="56"/>
      <c r="Y39" s="56"/>
      <c r="Z39" s="56"/>
      <c r="AA39" s="56"/>
      <c r="AB39" s="56"/>
    </row>
    <row r="40" spans="2:28" ht="16.5" customHeight="1" x14ac:dyDescent="0.3">
      <c r="B40" s="229">
        <v>46192</v>
      </c>
      <c r="C40" s="35" t="s">
        <v>32</v>
      </c>
      <c r="D40" s="36">
        <v>4179</v>
      </c>
      <c r="E40" s="37">
        <v>2505</v>
      </c>
      <c r="F40" s="38">
        <f t="shared" ref="F40:F71" si="5">IFERROR(D40+E40+G40,0)</f>
        <v>6804</v>
      </c>
      <c r="G40" s="39">
        <v>120</v>
      </c>
      <c r="H40" s="40">
        <f>SUMIFS('💸 Expenses'!$F$8:$F$5000,'💸 Expenses'!$B$8:$B$5000,"&gt;="&amp;B40,'💸 Expenses'!$B$8:$B$5000,"&lt;"&amp;(B40+1))</f>
        <v>1483</v>
      </c>
      <c r="I40" s="41">
        <f t="shared" ref="I40:I71" si="6">IFERROR(F40-H40,0)</f>
        <v>5321</v>
      </c>
      <c r="J40" s="42">
        <f t="shared" si="4"/>
        <v>0.78203997648442092</v>
      </c>
      <c r="K40" s="43"/>
      <c r="L40" s="9" t="s">
        <v>45</v>
      </c>
      <c r="M40" s="12"/>
      <c r="N40" s="44"/>
      <c r="O40" s="45"/>
      <c r="P40" s="46"/>
      <c r="Q40" s="44"/>
      <c r="R40" s="44">
        <f t="shared" ref="R40:R71" si="7">IFERROR(D40*$T$7,0)</f>
        <v>169.66739999999999</v>
      </c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 spans="2:28" ht="16.5" customHeight="1" x14ac:dyDescent="0.3">
      <c r="B41" s="229">
        <v>46193</v>
      </c>
      <c r="C41" s="255" t="s">
        <v>33</v>
      </c>
      <c r="D41" s="256">
        <v>1172</v>
      </c>
      <c r="E41" s="49">
        <v>1079</v>
      </c>
      <c r="F41" s="50">
        <f t="shared" si="5"/>
        <v>2251</v>
      </c>
      <c r="G41" s="257">
        <v>0</v>
      </c>
      <c r="H41" s="258">
        <f>SUMIFS('💸 Expenses'!$F$8:$F$5000,'💸 Expenses'!$B$8:$B$5000,"&gt;="&amp;B41,'💸 Expenses'!$B$8:$B$5000,"&lt;"&amp;(B41+1))</f>
        <v>9320.81</v>
      </c>
      <c r="I41" s="259">
        <f t="shared" si="6"/>
        <v>-7069.8099999999995</v>
      </c>
      <c r="J41" s="260">
        <f t="shared" si="4"/>
        <v>-3.1407418924922252</v>
      </c>
      <c r="K41" s="254"/>
      <c r="L41" s="261" t="s">
        <v>45</v>
      </c>
      <c r="M41" s="21"/>
      <c r="N41" s="56"/>
      <c r="O41" s="57"/>
      <c r="P41" s="58"/>
      <c r="Q41" s="56"/>
      <c r="R41" s="56">
        <f t="shared" si="7"/>
        <v>47.583199999999998</v>
      </c>
      <c r="S41" s="56"/>
      <c r="T41" s="56"/>
      <c r="U41" s="56"/>
      <c r="V41" s="56"/>
      <c r="W41" s="56"/>
      <c r="X41" s="56"/>
      <c r="Y41" s="56"/>
      <c r="Z41" s="56"/>
      <c r="AA41" s="56"/>
      <c r="AB41" s="56"/>
    </row>
    <row r="42" spans="2:28" ht="16.5" customHeight="1" x14ac:dyDescent="0.3">
      <c r="B42" s="229">
        <v>46194</v>
      </c>
      <c r="C42" s="270" t="s">
        <v>35</v>
      </c>
      <c r="D42" s="271">
        <v>0</v>
      </c>
      <c r="E42" s="37">
        <v>0</v>
      </c>
      <c r="F42" s="38">
        <f t="shared" si="5"/>
        <v>0</v>
      </c>
      <c r="G42" s="272">
        <v>0</v>
      </c>
      <c r="H42" s="273">
        <f>SUMIFS('💸 Expenses'!$F$8:$F$5000,'💸 Expenses'!$B$8:$B$5000,"&gt;="&amp;B42,'💸 Expenses'!$B$8:$B$5000,"&lt;"&amp;(B42+1))</f>
        <v>2065.85</v>
      </c>
      <c r="I42" s="274">
        <f t="shared" si="6"/>
        <v>-2065.85</v>
      </c>
      <c r="J42" s="275">
        <f t="shared" si="4"/>
        <v>0</v>
      </c>
      <c r="K42" s="250"/>
      <c r="L42" s="276" t="s">
        <v>45</v>
      </c>
      <c r="M42" s="12"/>
      <c r="N42" s="44"/>
      <c r="O42" s="45"/>
      <c r="P42" s="46"/>
      <c r="Q42" s="44"/>
      <c r="R42" s="44">
        <f t="shared" si="7"/>
        <v>0</v>
      </c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 spans="2:28" ht="16.5" customHeight="1" x14ac:dyDescent="0.3">
      <c r="B43" s="229">
        <v>46195</v>
      </c>
      <c r="C43" s="255" t="s">
        <v>27</v>
      </c>
      <c r="D43" s="256">
        <v>2459</v>
      </c>
      <c r="E43" s="49">
        <v>1800</v>
      </c>
      <c r="F43" s="50">
        <f t="shared" si="5"/>
        <v>4259</v>
      </c>
      <c r="G43" s="257">
        <v>0</v>
      </c>
      <c r="H43" s="258">
        <f>SUMIFS('💸 Expenses'!$F$8:$F$5000,'💸 Expenses'!$B$8:$B$5000,"&gt;="&amp;B43,'💸 Expenses'!$B$8:$B$5000,"&lt;"&amp;(B43+1))</f>
        <v>1451</v>
      </c>
      <c r="I43" s="259">
        <f t="shared" si="6"/>
        <v>2808</v>
      </c>
      <c r="J43" s="260">
        <f t="shared" si="4"/>
        <v>0.65930969711199816</v>
      </c>
      <c r="K43" s="254"/>
      <c r="L43" s="261" t="s">
        <v>45</v>
      </c>
      <c r="M43" s="21"/>
      <c r="N43" s="56"/>
      <c r="O43" s="57"/>
      <c r="P43" s="58"/>
      <c r="Q43" s="56"/>
      <c r="R43" s="56">
        <f t="shared" si="7"/>
        <v>99.835399999999993</v>
      </c>
      <c r="S43" s="56"/>
      <c r="T43" s="56"/>
      <c r="U43" s="56"/>
      <c r="V43" s="56"/>
      <c r="W43" s="56"/>
      <c r="X43" s="56"/>
      <c r="Y43" s="56"/>
      <c r="Z43" s="56"/>
      <c r="AA43" s="56"/>
      <c r="AB43" s="56"/>
    </row>
    <row r="44" spans="2:28" ht="16.5" customHeight="1" x14ac:dyDescent="0.3">
      <c r="B44" s="229">
        <v>46196</v>
      </c>
      <c r="C44" s="270" t="s">
        <v>29</v>
      </c>
      <c r="D44" s="271">
        <v>1452</v>
      </c>
      <c r="E44" s="37">
        <v>1515</v>
      </c>
      <c r="F44" s="38">
        <f t="shared" si="5"/>
        <v>2967</v>
      </c>
      <c r="G44" s="272">
        <v>0</v>
      </c>
      <c r="H44" s="273">
        <f>SUMIFS('💸 Expenses'!$F$8:$F$5000,'💸 Expenses'!$B$8:$B$5000,"&gt;="&amp;B44,'💸 Expenses'!$B$8:$B$5000,"&lt;"&amp;(B44+1))</f>
        <v>757.13</v>
      </c>
      <c r="I44" s="274">
        <f t="shared" si="6"/>
        <v>2209.87</v>
      </c>
      <c r="J44" s="275">
        <f t="shared" si="4"/>
        <v>0.74481631277384563</v>
      </c>
      <c r="K44" s="250"/>
      <c r="L44" s="276" t="s">
        <v>45</v>
      </c>
      <c r="M44" s="12"/>
      <c r="N44" s="44"/>
      <c r="O44" s="45"/>
      <c r="P44" s="46"/>
      <c r="Q44" s="44"/>
      <c r="R44" s="44">
        <f t="shared" si="7"/>
        <v>58.951199999999993</v>
      </c>
      <c r="S44" s="44"/>
      <c r="T44" s="44"/>
      <c r="U44" s="44"/>
      <c r="V44" s="44"/>
      <c r="W44" s="44"/>
      <c r="X44" s="44"/>
      <c r="Y44" s="44"/>
      <c r="Z44" s="44"/>
      <c r="AA44" s="44"/>
      <c r="AB44" s="44"/>
    </row>
    <row r="45" spans="2:28" ht="16.5" customHeight="1" x14ac:dyDescent="0.3">
      <c r="B45" s="229">
        <v>46197</v>
      </c>
      <c r="C45" s="255" t="s">
        <v>30</v>
      </c>
      <c r="D45" s="256">
        <v>1064</v>
      </c>
      <c r="E45" s="49">
        <v>2525</v>
      </c>
      <c r="F45" s="50">
        <f t="shared" si="5"/>
        <v>3589</v>
      </c>
      <c r="G45" s="257">
        <v>0</v>
      </c>
      <c r="H45" s="258">
        <f>SUMIFS('💸 Expenses'!$F$8:$F$5000,'💸 Expenses'!$B$8:$B$5000,"&gt;="&amp;B45,'💸 Expenses'!$B$8:$B$5000,"&lt;"&amp;(B45+1))</f>
        <v>3781.35</v>
      </c>
      <c r="I45" s="259">
        <f t="shared" si="6"/>
        <v>-192.34999999999991</v>
      </c>
      <c r="J45" s="260">
        <f t="shared" si="4"/>
        <v>-5.359431596544996E-2</v>
      </c>
      <c r="K45" s="254"/>
      <c r="L45" s="261" t="s">
        <v>45</v>
      </c>
      <c r="M45" s="21"/>
      <c r="N45" s="56"/>
      <c r="O45" s="57"/>
      <c r="P45" s="58"/>
      <c r="Q45" s="56"/>
      <c r="R45" s="56">
        <f t="shared" si="7"/>
        <v>43.198399999999999</v>
      </c>
      <c r="S45" s="56"/>
      <c r="T45" s="56"/>
      <c r="U45" s="56"/>
      <c r="V45" s="56"/>
      <c r="W45" s="56"/>
      <c r="X45" s="56"/>
      <c r="Y45" s="56"/>
      <c r="Z45" s="56"/>
      <c r="AA45" s="56"/>
      <c r="AB45" s="56"/>
    </row>
    <row r="46" spans="2:28" ht="16.5" customHeight="1" x14ac:dyDescent="0.3">
      <c r="B46" s="229">
        <v>46198</v>
      </c>
      <c r="C46" s="270" t="s">
        <v>31</v>
      </c>
      <c r="D46" s="271">
        <v>1735</v>
      </c>
      <c r="E46" s="37">
        <v>1853</v>
      </c>
      <c r="F46" s="38">
        <f t="shared" si="5"/>
        <v>3588</v>
      </c>
      <c r="G46" s="272">
        <v>0</v>
      </c>
      <c r="H46" s="273">
        <f>SUMIFS('💸 Expenses'!$F$8:$F$5000,'💸 Expenses'!$B$8:$B$5000,"&gt;="&amp;B46,'💸 Expenses'!$B$8:$B$5000,"&lt;"&amp;(B46+1))</f>
        <v>1228</v>
      </c>
      <c r="I46" s="274">
        <f t="shared" si="6"/>
        <v>2360</v>
      </c>
      <c r="J46" s="275">
        <f t="shared" si="4"/>
        <v>0.65774804905239692</v>
      </c>
      <c r="K46" s="250"/>
      <c r="L46" s="276" t="s">
        <v>45</v>
      </c>
      <c r="M46" s="12"/>
      <c r="N46" s="44"/>
      <c r="O46" s="45"/>
      <c r="P46" s="46"/>
      <c r="Q46" s="44"/>
      <c r="R46" s="44">
        <f t="shared" si="7"/>
        <v>70.440999999999988</v>
      </c>
      <c r="S46" s="44"/>
      <c r="T46" s="44"/>
      <c r="U46" s="44"/>
      <c r="V46" s="44"/>
      <c r="W46" s="44"/>
      <c r="X46" s="44"/>
      <c r="Y46" s="44"/>
      <c r="Z46" s="44"/>
      <c r="AA46" s="44"/>
      <c r="AB46" s="44"/>
    </row>
    <row r="47" spans="2:28" ht="16.5" customHeight="1" x14ac:dyDescent="0.3">
      <c r="B47" s="229">
        <v>46199</v>
      </c>
      <c r="C47" s="255" t="s">
        <v>32</v>
      </c>
      <c r="D47" s="256">
        <v>1719</v>
      </c>
      <c r="E47" s="49">
        <v>2593</v>
      </c>
      <c r="F47" s="50">
        <f t="shared" si="5"/>
        <v>4477</v>
      </c>
      <c r="G47" s="257">
        <v>165</v>
      </c>
      <c r="H47" s="258">
        <f>SUMIFS('💸 Expenses'!$F$8:$F$5000,'💸 Expenses'!$B$8:$B$5000,"&gt;="&amp;B47,'💸 Expenses'!$B$8:$B$5000,"&lt;"&amp;(B47+1))</f>
        <v>1945.53</v>
      </c>
      <c r="I47" s="259">
        <f t="shared" si="6"/>
        <v>2531.4700000000003</v>
      </c>
      <c r="J47" s="260">
        <f t="shared" si="4"/>
        <v>0.56543890998436463</v>
      </c>
      <c r="K47" s="254"/>
      <c r="L47" s="261" t="s">
        <v>45</v>
      </c>
      <c r="M47" s="21"/>
      <c r="N47" s="56"/>
      <c r="O47" s="57"/>
      <c r="P47" s="58"/>
      <c r="Q47" s="56"/>
      <c r="R47" s="56">
        <f t="shared" si="7"/>
        <v>69.791399999999996</v>
      </c>
      <c r="S47" s="56"/>
      <c r="T47" s="56"/>
      <c r="U47" s="56"/>
      <c r="V47" s="56"/>
      <c r="W47" s="56"/>
      <c r="X47" s="56"/>
      <c r="Y47" s="56"/>
      <c r="Z47" s="56"/>
      <c r="AA47" s="56"/>
      <c r="AB47" s="56"/>
    </row>
    <row r="48" spans="2:28" ht="16.5" customHeight="1" x14ac:dyDescent="0.3">
      <c r="B48" s="229">
        <v>46200</v>
      </c>
      <c r="C48" s="270" t="s">
        <v>33</v>
      </c>
      <c r="D48" s="271">
        <v>175</v>
      </c>
      <c r="E48" s="37">
        <v>1854</v>
      </c>
      <c r="F48" s="38">
        <f t="shared" si="5"/>
        <v>2029</v>
      </c>
      <c r="G48" s="272">
        <v>0</v>
      </c>
      <c r="H48" s="273">
        <f>SUMIFS('💸 Expenses'!$F$8:$F$5000,'💸 Expenses'!$B$8:$B$5000,"&gt;="&amp;B48,'💸 Expenses'!$B$8:$B$5000,"&lt;"&amp;(B48+1))</f>
        <v>5250</v>
      </c>
      <c r="I48" s="274">
        <f t="shared" si="6"/>
        <v>-3221</v>
      </c>
      <c r="J48" s="275">
        <f t="shared" si="4"/>
        <v>-1.5874815179891573</v>
      </c>
      <c r="K48" s="250"/>
      <c r="L48" s="276" t="s">
        <v>45</v>
      </c>
      <c r="M48" s="12"/>
      <c r="N48" s="44"/>
      <c r="O48" s="45"/>
      <c r="P48" s="46"/>
      <c r="Q48" s="44"/>
      <c r="R48" s="44">
        <f t="shared" si="7"/>
        <v>7.1049999999999995</v>
      </c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 spans="2:28" ht="16.5" customHeight="1" x14ac:dyDescent="0.3">
      <c r="B49" s="229">
        <v>46201</v>
      </c>
      <c r="C49" s="255" t="s">
        <v>35</v>
      </c>
      <c r="D49" s="256">
        <v>0</v>
      </c>
      <c r="E49" s="49">
        <v>0</v>
      </c>
      <c r="F49" s="50">
        <f t="shared" si="5"/>
        <v>0</v>
      </c>
      <c r="G49" s="257">
        <v>0</v>
      </c>
      <c r="H49" s="258">
        <f>SUMIFS('💸 Expenses'!$F$8:$F$5000,'💸 Expenses'!$B$8:$B$5000,"&gt;="&amp;B49,'💸 Expenses'!$B$8:$B$5000,"&lt;"&amp;(B49+1))</f>
        <v>3865.06</v>
      </c>
      <c r="I49" s="259">
        <f t="shared" si="6"/>
        <v>-3865.06</v>
      </c>
      <c r="J49" s="260">
        <f t="shared" si="4"/>
        <v>0</v>
      </c>
      <c r="K49" s="254"/>
      <c r="L49" s="261" t="s">
        <v>45</v>
      </c>
      <c r="M49" s="21"/>
      <c r="N49" s="56"/>
      <c r="O49" s="57"/>
      <c r="P49" s="58"/>
      <c r="Q49" s="56"/>
      <c r="R49" s="56">
        <f t="shared" si="7"/>
        <v>0</v>
      </c>
      <c r="S49" s="56"/>
      <c r="T49" s="56"/>
      <c r="U49" s="56"/>
      <c r="V49" s="56"/>
      <c r="W49" s="56"/>
      <c r="X49" s="56"/>
      <c r="Y49" s="56"/>
      <c r="Z49" s="56"/>
      <c r="AA49" s="56"/>
      <c r="AB49" s="56"/>
    </row>
    <row r="50" spans="2:28" ht="16.5" customHeight="1" x14ac:dyDescent="0.3">
      <c r="B50" s="229">
        <v>46202</v>
      </c>
      <c r="C50" s="270" t="s">
        <v>27</v>
      </c>
      <c r="D50" s="271">
        <v>1814</v>
      </c>
      <c r="E50" s="37">
        <v>1575</v>
      </c>
      <c r="F50" s="38">
        <f t="shared" si="5"/>
        <v>3389</v>
      </c>
      <c r="G50" s="272">
        <v>0</v>
      </c>
      <c r="H50" s="273">
        <f>SUMIFS('💸 Expenses'!$F$8:$F$5000,'💸 Expenses'!$B$8:$B$5000,"&gt;="&amp;B50,'💸 Expenses'!$B$8:$B$5000,"&lt;"&amp;(B50+1))</f>
        <v>2683.27</v>
      </c>
      <c r="I50" s="274">
        <f t="shared" si="6"/>
        <v>705.73</v>
      </c>
      <c r="J50" s="275">
        <f t="shared" si="4"/>
        <v>0.2082413691354382</v>
      </c>
      <c r="K50" s="250"/>
      <c r="L50" s="276" t="s">
        <v>45</v>
      </c>
      <c r="M50" s="12"/>
      <c r="N50" s="44"/>
      <c r="O50" s="45"/>
      <c r="P50" s="46"/>
      <c r="Q50" s="44"/>
      <c r="R50" s="44">
        <f t="shared" si="7"/>
        <v>73.648399999999995</v>
      </c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 spans="2:28" ht="16.5" customHeight="1" x14ac:dyDescent="0.3">
      <c r="B51" s="229">
        <v>46203</v>
      </c>
      <c r="C51" s="255" t="s">
        <v>29</v>
      </c>
      <c r="D51" s="256">
        <v>2408</v>
      </c>
      <c r="E51" s="49">
        <v>1670</v>
      </c>
      <c r="F51" s="50">
        <f t="shared" si="5"/>
        <v>4133</v>
      </c>
      <c r="G51" s="257">
        <v>55</v>
      </c>
      <c r="H51" s="258">
        <f>SUMIFS('💸 Expenses'!$F$8:$F$5000,'💸 Expenses'!$B$8:$B$5000,"&gt;="&amp;B51,'💸 Expenses'!$B$8:$B$5000,"&lt;"&amp;(B51+1))</f>
        <v>1581.27</v>
      </c>
      <c r="I51" s="259">
        <f t="shared" si="6"/>
        <v>2551.73</v>
      </c>
      <c r="J51" s="260">
        <f t="shared" si="4"/>
        <v>0.61740382288894269</v>
      </c>
      <c r="K51" s="254"/>
      <c r="L51" s="261" t="s">
        <v>45</v>
      </c>
      <c r="M51" s="21"/>
      <c r="N51" s="56"/>
      <c r="O51" s="57"/>
      <c r="P51" s="58"/>
      <c r="Q51" s="56"/>
      <c r="R51" s="56">
        <f t="shared" si="7"/>
        <v>97.764799999999994</v>
      </c>
      <c r="S51" s="56"/>
      <c r="T51" s="56"/>
      <c r="U51" s="56"/>
      <c r="V51" s="56"/>
      <c r="W51" s="56"/>
      <c r="X51" s="56"/>
      <c r="Y51" s="56"/>
      <c r="Z51" s="56"/>
      <c r="AA51" s="56"/>
      <c r="AB51" s="56"/>
    </row>
    <row r="52" spans="2:28" ht="16.5" customHeight="1" x14ac:dyDescent="0.3">
      <c r="B52" s="229">
        <v>46204</v>
      </c>
      <c r="C52" s="270" t="s">
        <v>30</v>
      </c>
      <c r="D52" s="271">
        <v>2498</v>
      </c>
      <c r="E52" s="37">
        <v>2024</v>
      </c>
      <c r="F52" s="38">
        <f t="shared" si="5"/>
        <v>4522</v>
      </c>
      <c r="G52" s="272">
        <v>0</v>
      </c>
      <c r="H52" s="273">
        <f>SUMIFS('💸 Expenses'!$F$8:$F$5000,'💸 Expenses'!$B$8:$B$5000,"&gt;="&amp;B52,'💸 Expenses'!$B$8:$B$5000,"&lt;"&amp;(B52+1))</f>
        <v>2341.23</v>
      </c>
      <c r="I52" s="274">
        <f t="shared" si="6"/>
        <v>2180.77</v>
      </c>
      <c r="J52" s="275">
        <f t="shared" si="4"/>
        <v>0.48225785050862452</v>
      </c>
      <c r="K52" s="250"/>
      <c r="L52" s="276" t="s">
        <v>45</v>
      </c>
      <c r="M52" s="12"/>
      <c r="N52" s="44"/>
      <c r="O52" s="45"/>
      <c r="P52" s="46"/>
      <c r="Q52" s="44"/>
      <c r="R52" s="44">
        <f t="shared" si="7"/>
        <v>101.41879999999999</v>
      </c>
      <c r="S52" s="44"/>
      <c r="T52" s="44"/>
      <c r="U52" s="44"/>
      <c r="V52" s="44"/>
      <c r="W52" s="44"/>
      <c r="X52" s="44"/>
      <c r="Y52" s="44"/>
      <c r="Z52" s="44"/>
      <c r="AA52" s="44"/>
      <c r="AB52" s="44"/>
    </row>
    <row r="53" spans="2:28" ht="16.5" customHeight="1" x14ac:dyDescent="0.3">
      <c r="B53" s="229">
        <v>46205</v>
      </c>
      <c r="C53" s="255" t="s">
        <v>31</v>
      </c>
      <c r="D53" s="256">
        <v>1859</v>
      </c>
      <c r="E53" s="49">
        <v>1249</v>
      </c>
      <c r="F53" s="50">
        <f t="shared" si="5"/>
        <v>3108</v>
      </c>
      <c r="G53" s="257">
        <v>0</v>
      </c>
      <c r="H53" s="258">
        <f>SUMIFS('💸 Expenses'!$F$8:$F$5000,'💸 Expenses'!$B$8:$B$5000,"&gt;="&amp;B53,'💸 Expenses'!$B$8:$B$5000,"&lt;"&amp;(B53+1))</f>
        <v>318</v>
      </c>
      <c r="I53" s="259">
        <f t="shared" si="6"/>
        <v>2790</v>
      </c>
      <c r="J53" s="260">
        <f t="shared" si="4"/>
        <v>0.89768339768339767</v>
      </c>
      <c r="K53" s="254" t="s">
        <v>46</v>
      </c>
      <c r="L53" s="261" t="s">
        <v>45</v>
      </c>
      <c r="M53" s="21"/>
      <c r="N53" s="56"/>
      <c r="O53" s="57"/>
      <c r="P53" s="58"/>
      <c r="Q53" s="56"/>
      <c r="R53" s="56">
        <f t="shared" si="7"/>
        <v>75.475399999999993</v>
      </c>
      <c r="S53" s="56"/>
      <c r="T53" s="56"/>
      <c r="U53" s="56"/>
      <c r="V53" s="56"/>
      <c r="W53" s="56"/>
      <c r="X53" s="56"/>
      <c r="Y53" s="56"/>
      <c r="Z53" s="56"/>
      <c r="AA53" s="56"/>
      <c r="AB53" s="56"/>
    </row>
    <row r="54" spans="2:28" ht="16.5" customHeight="1" x14ac:dyDescent="0.3">
      <c r="B54" s="229">
        <v>46206</v>
      </c>
      <c r="C54" s="270" t="s">
        <v>32</v>
      </c>
      <c r="D54" s="271">
        <v>3702</v>
      </c>
      <c r="E54" s="37">
        <v>2375</v>
      </c>
      <c r="F54" s="38">
        <f t="shared" si="5"/>
        <v>6077</v>
      </c>
      <c r="G54" s="272">
        <v>0</v>
      </c>
      <c r="H54" s="273">
        <f>SUMIFS('💸 Expenses'!$F$8:$F$5000,'💸 Expenses'!$B$8:$B$5000,"&gt;="&amp;B54,'💸 Expenses'!$B$8:$B$5000,"&lt;"&amp;(B54+1))</f>
        <v>2809.6</v>
      </c>
      <c r="I54" s="274">
        <f t="shared" si="6"/>
        <v>3267.4</v>
      </c>
      <c r="J54" s="275">
        <f t="shared" si="4"/>
        <v>0.53766661181504039</v>
      </c>
      <c r="K54" s="250" t="s">
        <v>47</v>
      </c>
      <c r="L54" s="276" t="s">
        <v>45</v>
      </c>
      <c r="M54" s="12"/>
      <c r="N54" s="44"/>
      <c r="O54" s="45"/>
      <c r="P54" s="46"/>
      <c r="Q54" s="44"/>
      <c r="R54" s="44">
        <f t="shared" si="7"/>
        <v>150.30119999999999</v>
      </c>
      <c r="S54" s="44"/>
      <c r="T54" s="44"/>
      <c r="U54" s="44"/>
      <c r="V54" s="44"/>
      <c r="W54" s="44"/>
      <c r="X54" s="44"/>
      <c r="Y54" s="44"/>
      <c r="Z54" s="44"/>
      <c r="AA54" s="44"/>
      <c r="AB54" s="44"/>
    </row>
    <row r="55" spans="2:28" ht="16.5" customHeight="1" x14ac:dyDescent="0.3">
      <c r="B55" s="229">
        <v>46207</v>
      </c>
      <c r="C55" s="255" t="s">
        <v>33</v>
      </c>
      <c r="D55" s="256">
        <v>1739</v>
      </c>
      <c r="E55" s="49">
        <v>895</v>
      </c>
      <c r="F55" s="50">
        <f t="shared" si="5"/>
        <v>2634</v>
      </c>
      <c r="G55" s="257">
        <v>0</v>
      </c>
      <c r="H55" s="258">
        <f>SUMIFS('💸 Expenses'!$F$8:$F$5000,'💸 Expenses'!$B$8:$B$5000,"&gt;="&amp;B55,'💸 Expenses'!$B$8:$B$5000,"&lt;"&amp;(B55+1))</f>
        <v>6877.73</v>
      </c>
      <c r="I55" s="259">
        <f t="shared" si="6"/>
        <v>-4243.7299999999996</v>
      </c>
      <c r="J55" s="260">
        <f t="shared" si="4"/>
        <v>-1.6111351556567957</v>
      </c>
      <c r="K55" s="254"/>
      <c r="L55" s="261" t="s">
        <v>45</v>
      </c>
      <c r="M55" s="21"/>
      <c r="N55" s="56"/>
      <c r="O55" s="57"/>
      <c r="P55" s="58"/>
      <c r="Q55" s="56"/>
      <c r="R55" s="56">
        <f t="shared" si="7"/>
        <v>70.603399999999993</v>
      </c>
      <c r="S55" s="56"/>
      <c r="T55" s="56"/>
      <c r="U55" s="56"/>
      <c r="V55" s="56"/>
      <c r="W55" s="56"/>
      <c r="X55" s="56"/>
      <c r="Y55" s="56"/>
      <c r="Z55" s="56"/>
      <c r="AA55" s="56"/>
      <c r="AB55" s="56"/>
    </row>
    <row r="56" spans="2:28" ht="16.5" customHeight="1" x14ac:dyDescent="0.3">
      <c r="B56" s="229">
        <v>46209</v>
      </c>
      <c r="C56" s="270" t="s">
        <v>27</v>
      </c>
      <c r="D56" s="271">
        <v>2190</v>
      </c>
      <c r="E56" s="37">
        <v>1500</v>
      </c>
      <c r="F56" s="38">
        <f t="shared" si="5"/>
        <v>3690</v>
      </c>
      <c r="G56" s="272">
        <v>0</v>
      </c>
      <c r="H56" s="273">
        <f>SUMIFS('💸 Expenses'!$F$8:$F$5000,'💸 Expenses'!$B$8:$B$5000,"&gt;="&amp;B56,'💸 Expenses'!$B$8:$B$5000,"&lt;"&amp;(B56+1))</f>
        <v>4200</v>
      </c>
      <c r="I56" s="274">
        <f t="shared" si="6"/>
        <v>-510</v>
      </c>
      <c r="J56" s="275">
        <f t="shared" si="4"/>
        <v>-0.13821138211382114</v>
      </c>
      <c r="K56" s="250"/>
      <c r="L56" s="276" t="s">
        <v>45</v>
      </c>
      <c r="M56" s="12"/>
      <c r="N56" s="44"/>
      <c r="O56" s="45"/>
      <c r="P56" s="46"/>
      <c r="Q56" s="44"/>
      <c r="R56" s="44">
        <f t="shared" si="7"/>
        <v>88.913999999999987</v>
      </c>
      <c r="S56" s="44"/>
      <c r="T56" s="44"/>
      <c r="U56" s="44"/>
      <c r="V56" s="44"/>
      <c r="W56" s="44"/>
      <c r="X56" s="44"/>
      <c r="Y56" s="44"/>
      <c r="Z56" s="44"/>
      <c r="AA56" s="44"/>
      <c r="AB56" s="44"/>
    </row>
    <row r="57" spans="2:28" ht="16.5" customHeight="1" x14ac:dyDescent="0.3">
      <c r="B57" s="229">
        <v>46210</v>
      </c>
      <c r="C57" s="255" t="s">
        <v>29</v>
      </c>
      <c r="D57" s="256">
        <v>1840</v>
      </c>
      <c r="E57" s="49">
        <v>1820</v>
      </c>
      <c r="F57" s="50">
        <f t="shared" si="5"/>
        <v>3660</v>
      </c>
      <c r="G57" s="257">
        <v>0</v>
      </c>
      <c r="H57" s="258">
        <f>SUMIFS('💸 Expenses'!$F$8:$F$5000,'💸 Expenses'!$B$8:$B$5000,"&gt;="&amp;B57,'💸 Expenses'!$B$8:$B$5000,"&lt;"&amp;(B57+1))</f>
        <v>49</v>
      </c>
      <c r="I57" s="259">
        <f t="shared" si="6"/>
        <v>3611</v>
      </c>
      <c r="J57" s="260">
        <f t="shared" si="4"/>
        <v>0.98661202185792352</v>
      </c>
      <c r="K57" s="254"/>
      <c r="L57" s="261" t="s">
        <v>45</v>
      </c>
      <c r="M57" s="21"/>
      <c r="N57" s="56"/>
      <c r="O57" s="57"/>
      <c r="P57" s="58"/>
      <c r="Q57" s="56"/>
      <c r="R57" s="56">
        <f t="shared" si="7"/>
        <v>74.703999999999994</v>
      </c>
      <c r="S57" s="56"/>
      <c r="T57" s="56"/>
      <c r="U57" s="56"/>
      <c r="V57" s="56"/>
      <c r="W57" s="56"/>
      <c r="X57" s="56"/>
      <c r="Y57" s="56"/>
      <c r="Z57" s="56"/>
      <c r="AA57" s="56"/>
      <c r="AB57" s="56"/>
    </row>
    <row r="58" spans="2:28" ht="16.5" customHeight="1" x14ac:dyDescent="0.3">
      <c r="B58" s="229">
        <v>46211</v>
      </c>
      <c r="C58" s="255" t="s">
        <v>30</v>
      </c>
      <c r="D58" s="256">
        <v>360</v>
      </c>
      <c r="E58" s="49">
        <v>2055</v>
      </c>
      <c r="F58" s="50">
        <f>IFERROR(D58+E58+G58+U58,0)</f>
        <v>3688</v>
      </c>
      <c r="G58" s="257">
        <v>195</v>
      </c>
      <c r="H58" s="258">
        <f>SUMIFS('💸 Expenses'!$F$8:$F$5000,'💸 Expenses'!$B$8:$B$5000,"&gt;="&amp;B58,'💸 Expenses'!$B$8:$B$5000,"&lt;"&amp;(B58+1))</f>
        <v>1415.43</v>
      </c>
      <c r="I58" s="259">
        <f t="shared" si="6"/>
        <v>2272.5699999999997</v>
      </c>
      <c r="J58" s="260">
        <f t="shared" si="4"/>
        <v>0.61620661605206062</v>
      </c>
      <c r="K58" s="254"/>
      <c r="L58" s="261" t="s">
        <v>48</v>
      </c>
      <c r="M58" s="291"/>
      <c r="N58" s="292"/>
      <c r="O58" s="293"/>
      <c r="P58" s="294"/>
      <c r="Q58" s="292"/>
      <c r="R58" s="292">
        <f t="shared" si="7"/>
        <v>14.616</v>
      </c>
      <c r="S58" s="292"/>
      <c r="T58" s="292"/>
      <c r="U58" s="292">
        <v>1078</v>
      </c>
      <c r="V58" s="292">
        <v>22.1</v>
      </c>
      <c r="W58" s="292"/>
      <c r="X58" s="292"/>
      <c r="Y58" s="292"/>
      <c r="Z58" s="292"/>
      <c r="AA58" s="292"/>
      <c r="AB58" s="292"/>
    </row>
    <row r="59" spans="2:28" ht="16.5" customHeight="1" x14ac:dyDescent="0.3">
      <c r="B59" s="229">
        <v>46212</v>
      </c>
      <c r="C59" s="255" t="s">
        <v>31</v>
      </c>
      <c r="D59" s="256">
        <v>1940</v>
      </c>
      <c r="E59" s="49">
        <v>3685</v>
      </c>
      <c r="F59" s="50">
        <f>IFERROR(D59+E59+G59+U59,0)</f>
        <v>6015</v>
      </c>
      <c r="G59" s="257">
        <v>120</v>
      </c>
      <c r="H59" s="258">
        <f>SUMIFS('💸 Expenses'!$F$8:$F$5000,'💸 Expenses'!$B$8:$B$5000,"&gt;="&amp;B59,'💸 Expenses'!$B$8:$B$5000,"&lt;"&amp;(B59+1))</f>
        <v>1820.89</v>
      </c>
      <c r="I59" s="259">
        <f t="shared" si="6"/>
        <v>4194.1099999999997</v>
      </c>
      <c r="J59" s="260">
        <f t="shared" si="4"/>
        <v>0.69727514546965919</v>
      </c>
      <c r="K59" s="254"/>
      <c r="L59" s="261" t="s">
        <v>49</v>
      </c>
      <c r="M59" s="291"/>
      <c r="N59" s="292"/>
      <c r="O59" s="293"/>
      <c r="P59" s="294"/>
      <c r="Q59" s="292"/>
      <c r="R59" s="292">
        <f t="shared" si="7"/>
        <v>78.763999999999996</v>
      </c>
      <c r="S59" s="292"/>
      <c r="T59" s="292"/>
      <c r="U59" s="292">
        <v>270</v>
      </c>
      <c r="V59" s="292">
        <v>5.01</v>
      </c>
      <c r="W59" s="292"/>
      <c r="X59" s="292"/>
      <c r="Y59" s="292"/>
      <c r="Z59" s="292"/>
      <c r="AA59" s="292"/>
      <c r="AB59" s="292"/>
    </row>
    <row r="60" spans="2:28" ht="16.5" customHeight="1" x14ac:dyDescent="0.3">
      <c r="B60" s="229">
        <v>46213</v>
      </c>
      <c r="C60" s="255" t="s">
        <v>32</v>
      </c>
      <c r="D60" s="256">
        <v>1700</v>
      </c>
      <c r="E60" s="49">
        <v>1730</v>
      </c>
      <c r="F60" s="50">
        <f>IFERROR(D60+E60+G60+U60,0)</f>
        <v>3500</v>
      </c>
      <c r="G60" s="257">
        <v>70</v>
      </c>
      <c r="H60" s="258">
        <f>SUMIFS('💸 Expenses'!$F$8:$F$5000,'💸 Expenses'!$B$8:$B$5000,"&gt;="&amp;B60,'💸 Expenses'!$B$8:$B$5000,"&lt;"&amp;(B60+1))</f>
        <v>2094</v>
      </c>
      <c r="I60" s="259">
        <f t="shared" si="6"/>
        <v>1406</v>
      </c>
      <c r="J60" s="260">
        <f t="shared" si="4"/>
        <v>0.40171428571428569</v>
      </c>
      <c r="K60" s="254"/>
      <c r="L60" s="261" t="s">
        <v>50</v>
      </c>
      <c r="M60" s="291"/>
      <c r="N60" s="292"/>
      <c r="O60" s="293"/>
      <c r="P60" s="294"/>
      <c r="Q60" s="292"/>
      <c r="R60" s="292">
        <f t="shared" si="7"/>
        <v>69.02</v>
      </c>
      <c r="S60" s="292"/>
      <c r="T60" s="292"/>
      <c r="U60" s="292">
        <v>0</v>
      </c>
      <c r="V60" s="292">
        <v>0</v>
      </c>
      <c r="W60" s="292"/>
      <c r="X60" s="292"/>
      <c r="Y60" s="292"/>
      <c r="Z60" s="292"/>
      <c r="AA60" s="292"/>
      <c r="AB60" s="292"/>
    </row>
    <row r="61" spans="2:28" ht="16.5" customHeight="1" x14ac:dyDescent="0.3">
      <c r="B61" s="229">
        <v>46214</v>
      </c>
      <c r="C61" s="255" t="s">
        <v>33</v>
      </c>
      <c r="D61" s="256">
        <v>280</v>
      </c>
      <c r="E61" s="49">
        <v>1235</v>
      </c>
      <c r="F61" s="50">
        <f>IFERROR(D61+E61+G61+U61,0)</f>
        <v>2725</v>
      </c>
      <c r="G61" s="257">
        <v>0</v>
      </c>
      <c r="H61" s="258">
        <f>SUMIFS('💸 Expenses'!$F$8:$F$5000,'💸 Expenses'!$B$8:$B$5000,"&gt;="&amp;B61,'💸 Expenses'!$B$8:$B$5000,"&lt;"&amp;(B61+1))</f>
        <v>10207</v>
      </c>
      <c r="I61" s="259">
        <f t="shared" si="6"/>
        <v>-7482</v>
      </c>
      <c r="J61" s="260">
        <f t="shared" ref="J61:J92" si="8">IFERROR(I61/F61,0)</f>
        <v>-2.7456880733944953</v>
      </c>
      <c r="K61" s="254"/>
      <c r="L61" s="261" t="s">
        <v>48</v>
      </c>
      <c r="M61" s="291"/>
      <c r="N61" s="292"/>
      <c r="O61" s="293"/>
      <c r="P61" s="294"/>
      <c r="Q61" s="292"/>
      <c r="R61" s="292">
        <f t="shared" si="7"/>
        <v>11.367999999999999</v>
      </c>
      <c r="S61" s="292"/>
      <c r="T61" s="292"/>
      <c r="U61" s="292">
        <v>1210</v>
      </c>
      <c r="V61" s="292">
        <v>26.03</v>
      </c>
      <c r="W61" s="292"/>
      <c r="X61" s="292"/>
      <c r="Y61" s="292"/>
      <c r="Z61" s="292"/>
      <c r="AA61" s="292"/>
      <c r="AB61" s="292"/>
    </row>
    <row r="62" spans="2:28" ht="16.5" customHeight="1" x14ac:dyDescent="0.3">
      <c r="B62" s="229">
        <v>46216</v>
      </c>
      <c r="C62" s="255" t="s">
        <v>27</v>
      </c>
      <c r="D62" s="256">
        <v>0</v>
      </c>
      <c r="E62" s="49">
        <v>1330</v>
      </c>
      <c r="F62" s="50">
        <f t="shared" ref="F62:F79" si="9">IFERROR(D62+E62+G62+U62+Y62,0)</f>
        <v>3990</v>
      </c>
      <c r="G62" s="257">
        <v>120</v>
      </c>
      <c r="H62" s="258">
        <f>SUMIFS('💸 Expenses'!$F$8:$F$5000,'💸 Expenses'!$B$8:$B$5000,"&gt;="&amp;B62,'💸 Expenses'!$B$8:$B$5000,"&lt;"&amp;(B62+1))</f>
        <v>3142</v>
      </c>
      <c r="I62" s="259">
        <f t="shared" si="6"/>
        <v>848</v>
      </c>
      <c r="J62" s="260">
        <f t="shared" si="8"/>
        <v>0.21253132832080202</v>
      </c>
      <c r="K62" s="254"/>
      <c r="L62" s="261" t="s">
        <v>51</v>
      </c>
      <c r="M62" s="291"/>
      <c r="N62" s="292"/>
      <c r="O62" s="293"/>
      <c r="P62" s="294"/>
      <c r="Q62" s="292"/>
      <c r="R62" s="292">
        <f t="shared" si="7"/>
        <v>0</v>
      </c>
      <c r="S62" s="292"/>
      <c r="T62" s="292"/>
      <c r="U62" s="292">
        <v>245</v>
      </c>
      <c r="V62" s="292">
        <v>5.07</v>
      </c>
      <c r="W62" s="292"/>
      <c r="X62" s="292"/>
      <c r="Y62" s="292">
        <v>2295</v>
      </c>
      <c r="Z62" s="292">
        <v>43.604999999999997</v>
      </c>
      <c r="AA62" s="292"/>
      <c r="AB62" s="292"/>
    </row>
    <row r="63" spans="2:28" ht="16.5" customHeight="1" x14ac:dyDescent="0.3">
      <c r="B63" s="229">
        <v>46217</v>
      </c>
      <c r="C63" s="255" t="s">
        <v>29</v>
      </c>
      <c r="D63" s="256">
        <v>0</v>
      </c>
      <c r="E63" s="49">
        <v>1960</v>
      </c>
      <c r="F63" s="50">
        <f t="shared" si="9"/>
        <v>3915</v>
      </c>
      <c r="G63" s="257">
        <v>0</v>
      </c>
      <c r="H63" s="258">
        <f>SUMIFS('💸 Expenses'!$F$8:$F$5000,'💸 Expenses'!$B$8:$B$5000,"&gt;="&amp;B63,'💸 Expenses'!$B$8:$B$5000,"&lt;"&amp;(B63+1))</f>
        <v>596.38</v>
      </c>
      <c r="I63" s="259">
        <f t="shared" si="6"/>
        <v>3318.62</v>
      </c>
      <c r="J63" s="260">
        <f t="shared" si="8"/>
        <v>0.84766794380587485</v>
      </c>
      <c r="K63" s="254"/>
      <c r="L63" s="261" t="s">
        <v>52</v>
      </c>
      <c r="M63" s="291"/>
      <c r="N63" s="292"/>
      <c r="O63" s="293"/>
      <c r="P63" s="294"/>
      <c r="Q63" s="292"/>
      <c r="R63" s="311">
        <f t="shared" si="7"/>
        <v>0</v>
      </c>
      <c r="S63" s="292"/>
      <c r="T63" s="292"/>
      <c r="U63" s="311">
        <v>0</v>
      </c>
      <c r="V63" s="311">
        <v>0</v>
      </c>
      <c r="W63" s="292"/>
      <c r="X63" s="292"/>
      <c r="Y63" s="311">
        <v>1955</v>
      </c>
      <c r="Z63" s="311">
        <v>37.15</v>
      </c>
      <c r="AA63" s="292"/>
      <c r="AB63" s="292"/>
    </row>
    <row r="64" spans="2:28" ht="16.5" customHeight="1" x14ac:dyDescent="0.3">
      <c r="B64" s="229">
        <v>46218</v>
      </c>
      <c r="C64" s="255" t="s">
        <v>30</v>
      </c>
      <c r="D64" s="256">
        <v>0</v>
      </c>
      <c r="E64" s="49">
        <v>2105</v>
      </c>
      <c r="F64" s="50">
        <f t="shared" si="9"/>
        <v>5565</v>
      </c>
      <c r="G64" s="257">
        <v>130</v>
      </c>
      <c r="H64" s="258">
        <f>SUMIFS('💸 Expenses'!$F$8:$F$5000,'💸 Expenses'!$B$8:$B$5000,"&gt;="&amp;B64,'💸 Expenses'!$B$8:$B$5000,"&lt;"&amp;(B64+1))</f>
        <v>2606.86</v>
      </c>
      <c r="I64" s="259">
        <f t="shared" si="6"/>
        <v>2958.14</v>
      </c>
      <c r="J64" s="260">
        <f t="shared" si="8"/>
        <v>0.53156154537286615</v>
      </c>
      <c r="K64" s="254"/>
      <c r="L64" s="261" t="s">
        <v>53</v>
      </c>
      <c r="M64" s="291"/>
      <c r="N64" s="292"/>
      <c r="O64" s="293"/>
      <c r="P64" s="294"/>
      <c r="Q64" s="292"/>
      <c r="R64" s="311">
        <f t="shared" si="7"/>
        <v>0</v>
      </c>
      <c r="S64" s="292"/>
      <c r="T64" s="292"/>
      <c r="U64" s="311">
        <v>0</v>
      </c>
      <c r="V64" s="311">
        <v>0</v>
      </c>
      <c r="W64" s="292"/>
      <c r="X64" s="292"/>
      <c r="Y64" s="311">
        <v>3330</v>
      </c>
      <c r="Z64" s="311">
        <v>63.27</v>
      </c>
      <c r="AA64" s="292"/>
      <c r="AB64" s="292"/>
    </row>
    <row r="65" spans="2:28" ht="16.5" customHeight="1" x14ac:dyDescent="0.3">
      <c r="B65" s="229">
        <v>46219</v>
      </c>
      <c r="C65" s="255" t="s">
        <v>31</v>
      </c>
      <c r="D65" s="256">
        <v>0</v>
      </c>
      <c r="E65" s="49">
        <v>4850</v>
      </c>
      <c r="F65" s="50">
        <f t="shared" si="9"/>
        <v>12495</v>
      </c>
      <c r="G65" s="257">
        <v>2385</v>
      </c>
      <c r="H65" s="258">
        <f>SUMIFS('💸 Expenses'!$F$8:$F$5000,'💸 Expenses'!$B$8:$B$5000,"&gt;="&amp;B65,'💸 Expenses'!$B$8:$B$5000,"&lt;"&amp;(B65+1))</f>
        <v>1657</v>
      </c>
      <c r="I65" s="259">
        <f t="shared" si="6"/>
        <v>10838</v>
      </c>
      <c r="J65" s="260">
        <f t="shared" si="8"/>
        <v>0.86738695478191274</v>
      </c>
      <c r="K65" s="254"/>
      <c r="L65" s="261" t="s">
        <v>54</v>
      </c>
      <c r="M65" s="291"/>
      <c r="N65" s="292"/>
      <c r="O65" s="293"/>
      <c r="P65" s="294"/>
      <c r="Q65" s="292"/>
      <c r="R65" s="311">
        <f t="shared" si="7"/>
        <v>0</v>
      </c>
      <c r="S65" s="292"/>
      <c r="T65" s="292"/>
      <c r="U65" s="311">
        <v>0</v>
      </c>
      <c r="V65" s="311">
        <v>0</v>
      </c>
      <c r="W65" s="292"/>
      <c r="X65" s="292"/>
      <c r="Y65" s="311">
        <v>5260</v>
      </c>
      <c r="Z65" s="311">
        <v>99.94</v>
      </c>
      <c r="AA65" s="292"/>
      <c r="AB65" s="292"/>
    </row>
    <row r="66" spans="2:28" ht="16.5" customHeight="1" x14ac:dyDescent="0.3">
      <c r="B66" s="229">
        <v>46220</v>
      </c>
      <c r="C66" s="255" t="s">
        <v>32</v>
      </c>
      <c r="D66" s="256">
        <v>0</v>
      </c>
      <c r="E66" s="49">
        <v>785</v>
      </c>
      <c r="F66" s="50">
        <f t="shared" si="9"/>
        <v>2622</v>
      </c>
      <c r="G66" s="257">
        <v>300</v>
      </c>
      <c r="H66" s="258">
        <f>SUMIFS('💸 Expenses'!$F$8:$F$5000,'💸 Expenses'!$B$8:$B$5000,"&gt;="&amp;B66,'💸 Expenses'!$B$8:$B$5000,"&lt;"&amp;(B66+1))</f>
        <v>1951</v>
      </c>
      <c r="I66" s="259">
        <f t="shared" si="6"/>
        <v>671</v>
      </c>
      <c r="J66" s="260">
        <f t="shared" si="8"/>
        <v>0.25591151792524791</v>
      </c>
      <c r="K66" s="254"/>
      <c r="L66" s="261" t="s">
        <v>52</v>
      </c>
      <c r="M66" s="291"/>
      <c r="N66" s="292"/>
      <c r="O66" s="293"/>
      <c r="P66" s="294"/>
      <c r="Q66" s="292"/>
      <c r="R66" s="311">
        <f t="shared" si="7"/>
        <v>0</v>
      </c>
      <c r="S66" s="292"/>
      <c r="T66" s="292"/>
      <c r="U66" s="311">
        <v>0</v>
      </c>
      <c r="V66" s="311">
        <v>0</v>
      </c>
      <c r="W66" s="292"/>
      <c r="X66" s="292"/>
      <c r="Y66" s="311">
        <v>1537</v>
      </c>
      <c r="Z66" s="311">
        <v>29.2</v>
      </c>
      <c r="AA66" s="292"/>
      <c r="AB66" s="292"/>
    </row>
    <row r="67" spans="2:28" ht="16.5" customHeight="1" x14ac:dyDescent="0.3">
      <c r="B67" s="229">
        <v>46221</v>
      </c>
      <c r="C67" s="255" t="s">
        <v>33</v>
      </c>
      <c r="D67" s="256">
        <v>0</v>
      </c>
      <c r="E67" s="49">
        <v>745</v>
      </c>
      <c r="F67" s="50">
        <f t="shared" si="9"/>
        <v>2900</v>
      </c>
      <c r="G67" s="257">
        <v>290</v>
      </c>
      <c r="H67" s="258">
        <f>SUMIFS('💸 Expenses'!$F$8:$F$5000,'💸 Expenses'!$B$8:$B$5000,"&gt;="&amp;B67,'💸 Expenses'!$B$8:$B$5000,"&lt;"&amp;(B67+1))</f>
        <v>6770</v>
      </c>
      <c r="I67" s="259">
        <f t="shared" si="6"/>
        <v>-3870</v>
      </c>
      <c r="J67" s="260">
        <f t="shared" si="8"/>
        <v>-1.3344827586206895</v>
      </c>
      <c r="K67" s="254"/>
      <c r="L67" s="261" t="s">
        <v>55</v>
      </c>
      <c r="M67" s="291"/>
      <c r="N67" s="292"/>
      <c r="O67" s="293"/>
      <c r="P67" s="294"/>
      <c r="Q67" s="292"/>
      <c r="R67" s="311">
        <f t="shared" si="7"/>
        <v>0</v>
      </c>
      <c r="S67" s="292"/>
      <c r="T67" s="292"/>
      <c r="U67" s="311">
        <v>0</v>
      </c>
      <c r="V67" s="311">
        <v>0</v>
      </c>
      <c r="W67" s="292"/>
      <c r="X67" s="292"/>
      <c r="Y67" s="311">
        <v>1865</v>
      </c>
      <c r="Z67" s="311">
        <v>35.44</v>
      </c>
      <c r="AA67" s="292"/>
      <c r="AB67" s="292"/>
    </row>
    <row r="68" spans="2:28" ht="16.5" customHeight="1" x14ac:dyDescent="0.3">
      <c r="B68" s="229">
        <v>46223</v>
      </c>
      <c r="C68" s="255" t="s">
        <v>27</v>
      </c>
      <c r="D68" s="256">
        <v>0</v>
      </c>
      <c r="E68" s="49">
        <v>1390</v>
      </c>
      <c r="F68" s="50">
        <f t="shared" si="9"/>
        <v>4955</v>
      </c>
      <c r="G68" s="257">
        <v>0</v>
      </c>
      <c r="H68" s="258">
        <f>SUMIFS('💸 Expenses'!$F$8:$F$5000,'💸 Expenses'!$B$8:$B$5000,"&gt;="&amp;B68,'💸 Expenses'!$B$8:$B$5000,"&lt;"&amp;(B68+1))</f>
        <v>2459</v>
      </c>
      <c r="I68" s="259">
        <f t="shared" si="6"/>
        <v>2496</v>
      </c>
      <c r="J68" s="260">
        <f t="shared" si="8"/>
        <v>0.50373360242179621</v>
      </c>
      <c r="K68" s="254"/>
      <c r="L68" s="261" t="s">
        <v>56</v>
      </c>
      <c r="M68" s="291"/>
      <c r="N68" s="292"/>
      <c r="O68" s="293"/>
      <c r="P68" s="294"/>
      <c r="Q68" s="292"/>
      <c r="R68" s="311">
        <f t="shared" si="7"/>
        <v>0</v>
      </c>
      <c r="S68" s="292"/>
      <c r="T68" s="292"/>
      <c r="U68" s="311">
        <v>80</v>
      </c>
      <c r="V68" s="311">
        <v>1.48</v>
      </c>
      <c r="W68" s="292"/>
      <c r="X68" s="292"/>
      <c r="Y68" s="311">
        <v>3485</v>
      </c>
      <c r="Z68" s="311">
        <v>66.22</v>
      </c>
      <c r="AA68" s="292"/>
      <c r="AB68" s="292"/>
    </row>
    <row r="69" spans="2:28" ht="16.5" customHeight="1" x14ac:dyDescent="0.3">
      <c r="B69" s="229">
        <v>46224</v>
      </c>
      <c r="C69" s="255" t="s">
        <v>29</v>
      </c>
      <c r="D69" s="256">
        <v>0</v>
      </c>
      <c r="E69" s="49">
        <v>3470</v>
      </c>
      <c r="F69" s="50">
        <f t="shared" si="9"/>
        <v>5480</v>
      </c>
      <c r="G69" s="257">
        <v>0</v>
      </c>
      <c r="H69" s="258">
        <f>SUMIFS('💸 Expenses'!$F$8:$F$5000,'💸 Expenses'!$B$8:$B$5000,"&gt;="&amp;B69,'💸 Expenses'!$B$8:$B$5000,"&lt;"&amp;(B69+1))</f>
        <v>2197</v>
      </c>
      <c r="I69" s="259">
        <f t="shared" si="6"/>
        <v>3283</v>
      </c>
      <c r="J69" s="260">
        <f t="shared" si="8"/>
        <v>0.59908759124087596</v>
      </c>
      <c r="K69" s="254"/>
      <c r="L69" s="261" t="s">
        <v>57</v>
      </c>
      <c r="M69" s="291"/>
      <c r="N69" s="292"/>
      <c r="O69" s="293"/>
      <c r="P69" s="294"/>
      <c r="Q69" s="292"/>
      <c r="R69" s="311">
        <f t="shared" si="7"/>
        <v>0</v>
      </c>
      <c r="S69" s="292"/>
      <c r="T69" s="292"/>
      <c r="U69" s="311">
        <v>0</v>
      </c>
      <c r="V69" s="311">
        <v>0</v>
      </c>
      <c r="W69" s="292"/>
      <c r="X69" s="292"/>
      <c r="Y69" s="311">
        <v>2010</v>
      </c>
      <c r="Z69" s="311">
        <v>38.19</v>
      </c>
      <c r="AA69" s="292"/>
      <c r="AB69" s="292"/>
    </row>
    <row r="70" spans="2:28" ht="16.5" customHeight="1" x14ac:dyDescent="0.3">
      <c r="B70" s="229">
        <v>46225</v>
      </c>
      <c r="C70" s="255" t="s">
        <v>30</v>
      </c>
      <c r="D70" s="256">
        <v>2310</v>
      </c>
      <c r="E70" s="49">
        <v>1730</v>
      </c>
      <c r="F70" s="50">
        <f t="shared" si="9"/>
        <v>5205</v>
      </c>
      <c r="G70" s="257">
        <v>355</v>
      </c>
      <c r="H70" s="258">
        <f>SUMIFS('💸 Expenses'!$F$8:$F$5000,'💸 Expenses'!$B$8:$B$5000,"&gt;="&amp;B70,'💸 Expenses'!$B$8:$B$5000,"&lt;"&amp;(B70+1))</f>
        <v>3819</v>
      </c>
      <c r="I70" s="259">
        <f t="shared" si="6"/>
        <v>1386</v>
      </c>
      <c r="J70" s="260">
        <f t="shared" si="8"/>
        <v>0.26628242074927955</v>
      </c>
      <c r="K70" s="254"/>
      <c r="L70" s="261" t="s">
        <v>58</v>
      </c>
      <c r="M70" s="291"/>
      <c r="N70" s="292"/>
      <c r="O70" s="293"/>
      <c r="P70" s="294"/>
      <c r="Q70" s="292"/>
      <c r="R70" s="311">
        <f t="shared" si="7"/>
        <v>93.785999999999987</v>
      </c>
      <c r="S70" s="292"/>
      <c r="T70" s="292"/>
      <c r="U70" s="311">
        <v>0</v>
      </c>
      <c r="V70" s="311">
        <v>0</v>
      </c>
      <c r="W70" s="292"/>
      <c r="X70" s="292"/>
      <c r="Y70" s="311">
        <v>810</v>
      </c>
      <c r="Z70" s="311">
        <v>15.39</v>
      </c>
      <c r="AA70" s="292"/>
      <c r="AB70" s="292"/>
    </row>
    <row r="71" spans="2:28" ht="16.5" customHeight="1" x14ac:dyDescent="0.3">
      <c r="B71" s="229">
        <v>46226</v>
      </c>
      <c r="C71" s="255" t="s">
        <v>31</v>
      </c>
      <c r="D71" s="256">
        <v>1695</v>
      </c>
      <c r="E71" s="49">
        <v>2380</v>
      </c>
      <c r="F71" s="50">
        <f t="shared" si="9"/>
        <v>4075</v>
      </c>
      <c r="G71" s="257">
        <v>0</v>
      </c>
      <c r="H71" s="258">
        <f>SUMIFS('💸 Expenses'!$F$8:$F$5000,'💸 Expenses'!$B$8:$B$5000,"&gt;="&amp;B71,'💸 Expenses'!$B$8:$B$5000,"&lt;"&amp;(B71+1))</f>
        <v>5348.83</v>
      </c>
      <c r="I71" s="259">
        <f t="shared" si="6"/>
        <v>-1273.83</v>
      </c>
      <c r="J71" s="260">
        <f t="shared" si="8"/>
        <v>-0.3125963190184049</v>
      </c>
      <c r="K71" s="254"/>
      <c r="L71" s="261" t="s">
        <v>59</v>
      </c>
      <c r="M71" s="291"/>
      <c r="N71" s="292"/>
      <c r="O71" s="293"/>
      <c r="P71" s="294"/>
      <c r="Q71" s="292"/>
      <c r="R71" s="311">
        <f t="shared" si="7"/>
        <v>68.816999999999993</v>
      </c>
      <c r="S71" s="292"/>
      <c r="T71" s="292"/>
      <c r="U71" s="311">
        <v>0</v>
      </c>
      <c r="V71" s="311">
        <v>0</v>
      </c>
      <c r="W71" s="292"/>
      <c r="X71" s="292"/>
      <c r="Y71" s="311">
        <v>0</v>
      </c>
      <c r="Z71" s="311">
        <v>0</v>
      </c>
      <c r="AA71" s="292"/>
      <c r="AB71" s="292"/>
    </row>
    <row r="72" spans="2:28" ht="16.5" customHeight="1" x14ac:dyDescent="0.3">
      <c r="B72" s="229">
        <v>46227</v>
      </c>
      <c r="C72" s="255" t="s">
        <v>32</v>
      </c>
      <c r="D72" s="256">
        <v>2455</v>
      </c>
      <c r="E72" s="49">
        <v>3315</v>
      </c>
      <c r="F72" s="50">
        <f t="shared" si="9"/>
        <v>5770</v>
      </c>
      <c r="G72" s="257">
        <v>0</v>
      </c>
      <c r="H72" s="258">
        <f>SUMIFS('💸 Expenses'!$F$8:$F$5000,'💸 Expenses'!$B$8:$B$5000,"&gt;="&amp;B72,'💸 Expenses'!$B$8:$B$5000,"&lt;"&amp;(B72+1))</f>
        <v>1886</v>
      </c>
      <c r="I72" s="259">
        <f t="shared" ref="I72:I103" si="10">IFERROR(F72-H72,0)</f>
        <v>3884</v>
      </c>
      <c r="J72" s="260">
        <f t="shared" si="8"/>
        <v>0.67313691507798956</v>
      </c>
      <c r="K72" s="254"/>
      <c r="L72" s="261" t="s">
        <v>60</v>
      </c>
      <c r="M72" s="291"/>
      <c r="N72" s="292"/>
      <c r="O72" s="293"/>
      <c r="P72" s="294"/>
      <c r="Q72" s="292"/>
      <c r="R72" s="311">
        <f t="shared" ref="R72:R79" si="11">IFERROR(D72*$T$7,0)</f>
        <v>99.672999999999988</v>
      </c>
      <c r="S72" s="292"/>
      <c r="T72" s="292"/>
      <c r="U72" s="311">
        <v>0</v>
      </c>
      <c r="V72" s="311">
        <v>0</v>
      </c>
      <c r="W72" s="292"/>
      <c r="X72" s="292"/>
      <c r="Y72" s="311">
        <v>0</v>
      </c>
      <c r="Z72" s="311">
        <v>0</v>
      </c>
      <c r="AA72" s="292"/>
      <c r="AB72" s="292"/>
    </row>
    <row r="73" spans="2:28" ht="16.5" customHeight="1" x14ac:dyDescent="0.3">
      <c r="B73" s="229">
        <v>46228</v>
      </c>
      <c r="C73" s="255" t="s">
        <v>33</v>
      </c>
      <c r="D73" s="256">
        <v>155</v>
      </c>
      <c r="E73" s="49">
        <v>1070</v>
      </c>
      <c r="F73" s="50">
        <f t="shared" si="9"/>
        <v>1225</v>
      </c>
      <c r="G73" s="257">
        <v>0</v>
      </c>
      <c r="H73" s="258">
        <f>SUMIFS('💸 Expenses'!$F$8:$F$5000,'💸 Expenses'!$B$8:$B$5000,"&gt;="&amp;B73,'💸 Expenses'!$B$8:$B$5000,"&lt;"&amp;(B73+1))</f>
        <v>6613</v>
      </c>
      <c r="I73" s="259">
        <f t="shared" si="10"/>
        <v>-5388</v>
      </c>
      <c r="J73" s="260">
        <f t="shared" si="8"/>
        <v>-4.3983673469387758</v>
      </c>
      <c r="K73" s="254"/>
      <c r="L73" s="261" t="s">
        <v>61</v>
      </c>
      <c r="M73" s="291"/>
      <c r="N73" s="292"/>
      <c r="O73" s="293"/>
      <c r="P73" s="294"/>
      <c r="Q73" s="292"/>
      <c r="R73" s="311">
        <f t="shared" si="11"/>
        <v>6.2929999999999993</v>
      </c>
      <c r="S73" s="292"/>
      <c r="T73" s="292"/>
      <c r="U73" s="311">
        <v>0</v>
      </c>
      <c r="V73" s="311">
        <v>0</v>
      </c>
      <c r="W73" s="292"/>
      <c r="X73" s="292"/>
      <c r="Y73" s="311">
        <v>0</v>
      </c>
      <c r="Z73" s="311">
        <v>0</v>
      </c>
      <c r="AA73" s="292"/>
      <c r="AB73" s="292"/>
    </row>
    <row r="74" spans="2:28" ht="16.5" customHeight="1" x14ac:dyDescent="0.3">
      <c r="B74" s="229">
        <v>46230</v>
      </c>
      <c r="C74" s="270" t="s">
        <v>27</v>
      </c>
      <c r="D74" s="271">
        <v>1100</v>
      </c>
      <c r="E74" s="37">
        <v>1380</v>
      </c>
      <c r="F74" s="38">
        <f t="shared" si="9"/>
        <v>3180</v>
      </c>
      <c r="G74" s="272">
        <v>700</v>
      </c>
      <c r="H74" s="273">
        <f>SUMIFS('💸 Expenses'!$F$8:$F$5000,'💸 Expenses'!$B$8:$B$5000,"&gt;="&amp;B74,'💸 Expenses'!$B$8:$B$5000,"&lt;"&amp;(B74+1))</f>
        <v>928</v>
      </c>
      <c r="I74" s="274">
        <f t="shared" si="10"/>
        <v>2252</v>
      </c>
      <c r="J74" s="275">
        <f t="shared" si="8"/>
        <v>0.70817610062893077</v>
      </c>
      <c r="K74" s="250"/>
      <c r="L74" s="276" t="s">
        <v>45</v>
      </c>
      <c r="M74" s="323"/>
      <c r="N74" s="324"/>
      <c r="O74" s="325"/>
      <c r="P74" s="326"/>
      <c r="Q74" s="324"/>
      <c r="R74" s="327">
        <f t="shared" si="11"/>
        <v>44.66</v>
      </c>
      <c r="S74" s="324"/>
      <c r="T74" s="324"/>
      <c r="U74" s="327">
        <v>0</v>
      </c>
      <c r="V74" s="327">
        <v>0</v>
      </c>
      <c r="W74" s="324"/>
      <c r="X74" s="324"/>
      <c r="Y74" s="327">
        <v>0</v>
      </c>
      <c r="Z74" s="327">
        <v>0</v>
      </c>
      <c r="AA74" s="324"/>
      <c r="AB74" s="324"/>
    </row>
    <row r="75" spans="2:28" ht="16.5" customHeight="1" x14ac:dyDescent="0.3">
      <c r="B75" s="229">
        <v>46231</v>
      </c>
      <c r="C75" s="255" t="s">
        <v>29</v>
      </c>
      <c r="D75" s="256">
        <v>3205</v>
      </c>
      <c r="E75" s="49">
        <v>1565</v>
      </c>
      <c r="F75" s="50">
        <f t="shared" si="9"/>
        <v>5250</v>
      </c>
      <c r="G75" s="257">
        <v>130</v>
      </c>
      <c r="H75" s="258">
        <f>SUMIFS('💸 Expenses'!$F$8:$F$5000,'💸 Expenses'!$B$8:$B$5000,"&gt;="&amp;B75,'💸 Expenses'!$B$8:$B$5000,"&lt;"&amp;(B75+1))</f>
        <v>1504</v>
      </c>
      <c r="I75" s="259">
        <f t="shared" si="10"/>
        <v>3746</v>
      </c>
      <c r="J75" s="260">
        <f t="shared" si="8"/>
        <v>0.71352380952380956</v>
      </c>
      <c r="K75" s="254"/>
      <c r="L75" s="261" t="s">
        <v>45</v>
      </c>
      <c r="M75" s="291"/>
      <c r="N75" s="292"/>
      <c r="O75" s="293"/>
      <c r="P75" s="294"/>
      <c r="Q75" s="292"/>
      <c r="R75" s="311">
        <f t="shared" si="11"/>
        <v>130.12299999999999</v>
      </c>
      <c r="S75" s="292"/>
      <c r="T75" s="292"/>
      <c r="U75" s="311">
        <v>0</v>
      </c>
      <c r="V75" s="311">
        <v>0</v>
      </c>
      <c r="W75" s="292"/>
      <c r="X75" s="292"/>
      <c r="Y75" s="311">
        <v>350</v>
      </c>
      <c r="Z75" s="311">
        <v>6.65</v>
      </c>
      <c r="AA75" s="292"/>
      <c r="AB75" s="292"/>
    </row>
    <row r="76" spans="2:28" ht="16.5" customHeight="1" x14ac:dyDescent="0.3">
      <c r="B76" s="229">
        <v>46232</v>
      </c>
      <c r="C76" s="270" t="s">
        <v>30</v>
      </c>
      <c r="D76" s="271">
        <v>2455</v>
      </c>
      <c r="E76" s="37">
        <v>1460</v>
      </c>
      <c r="F76" s="38">
        <f t="shared" si="9"/>
        <v>4120</v>
      </c>
      <c r="G76" s="272">
        <v>205</v>
      </c>
      <c r="H76" s="273">
        <f>SUMIFS('💸 Expenses'!$F$8:$F$5000,'💸 Expenses'!$B$8:$B$5000,"&gt;="&amp;B76,'💸 Expenses'!$B$8:$B$5000,"&lt;"&amp;(B76+1))</f>
        <v>1495</v>
      </c>
      <c r="I76" s="274">
        <f t="shared" si="10"/>
        <v>2625</v>
      </c>
      <c r="J76" s="275">
        <f t="shared" si="8"/>
        <v>0.63713592233009708</v>
      </c>
      <c r="K76" s="250"/>
      <c r="L76" s="276" t="s">
        <v>45</v>
      </c>
      <c r="M76" s="323"/>
      <c r="N76" s="324"/>
      <c r="O76" s="325"/>
      <c r="P76" s="326"/>
      <c r="Q76" s="324"/>
      <c r="R76" s="327">
        <f t="shared" si="11"/>
        <v>99.672999999999988</v>
      </c>
      <c r="S76" s="324"/>
      <c r="T76" s="324"/>
      <c r="U76" s="327">
        <v>0</v>
      </c>
      <c r="V76" s="327">
        <v>0</v>
      </c>
      <c r="W76" s="324"/>
      <c r="X76" s="324"/>
      <c r="Y76" s="327">
        <v>0</v>
      </c>
      <c r="Z76" s="327">
        <v>0</v>
      </c>
      <c r="AA76" s="324"/>
      <c r="AB76" s="324"/>
    </row>
    <row r="77" spans="2:28" ht="16.5" customHeight="1" x14ac:dyDescent="0.3">
      <c r="B77" s="229">
        <v>46233</v>
      </c>
      <c r="C77" s="255" t="s">
        <v>31</v>
      </c>
      <c r="D77" s="256">
        <v>1944</v>
      </c>
      <c r="E77" s="49">
        <v>1290</v>
      </c>
      <c r="F77" s="50">
        <f t="shared" si="9"/>
        <v>3234</v>
      </c>
      <c r="G77" s="257">
        <v>0</v>
      </c>
      <c r="H77" s="258">
        <f>SUMIFS('💸 Expenses'!$F$8:$F$5000,'💸 Expenses'!$B$8:$B$5000,"&gt;="&amp;B77,'💸 Expenses'!$B$8:$B$5000,"&lt;"&amp;(B77+1))</f>
        <v>268</v>
      </c>
      <c r="I77" s="259">
        <f t="shared" si="10"/>
        <v>2966</v>
      </c>
      <c r="J77" s="260">
        <f t="shared" si="8"/>
        <v>0.91713048855905999</v>
      </c>
      <c r="K77" s="254"/>
      <c r="L77" s="261" t="s">
        <v>45</v>
      </c>
      <c r="M77" s="291"/>
      <c r="N77" s="292"/>
      <c r="O77" s="293"/>
      <c r="P77" s="294"/>
      <c r="Q77" s="292"/>
      <c r="R77" s="311">
        <f t="shared" si="11"/>
        <v>78.926400000000001</v>
      </c>
      <c r="S77" s="292"/>
      <c r="T77" s="292"/>
      <c r="U77" s="311">
        <v>0</v>
      </c>
      <c r="V77" s="311">
        <v>0</v>
      </c>
      <c r="W77" s="292"/>
      <c r="X77" s="292"/>
      <c r="Y77" s="311">
        <v>0</v>
      </c>
      <c r="Z77" s="311">
        <v>0</v>
      </c>
      <c r="AA77" s="292"/>
      <c r="AB77" s="292"/>
    </row>
    <row r="78" spans="2:28" ht="16.5" customHeight="1" x14ac:dyDescent="0.3">
      <c r="B78" s="229">
        <v>46234</v>
      </c>
      <c r="C78" s="270" t="s">
        <v>32</v>
      </c>
      <c r="D78" s="271">
        <v>2500</v>
      </c>
      <c r="E78" s="37">
        <v>1815</v>
      </c>
      <c r="F78" s="38">
        <f t="shared" si="9"/>
        <v>4705</v>
      </c>
      <c r="G78" s="272">
        <v>390</v>
      </c>
      <c r="H78" s="273">
        <f>SUMIFS('💸 Expenses'!$F$8:$F$5000,'💸 Expenses'!$B$8:$B$5000,"&gt;="&amp;B78,'💸 Expenses'!$B$8:$B$5000,"&lt;"&amp;(B78+1))</f>
        <v>1993</v>
      </c>
      <c r="I78" s="274">
        <f t="shared" si="10"/>
        <v>2712</v>
      </c>
      <c r="J78" s="275">
        <f t="shared" si="8"/>
        <v>0.57640807651434645</v>
      </c>
      <c r="K78" s="250"/>
      <c r="L78" s="276" t="s">
        <v>45</v>
      </c>
      <c r="M78" s="323"/>
      <c r="N78" s="324"/>
      <c r="O78" s="325"/>
      <c r="P78" s="326"/>
      <c r="Q78" s="324"/>
      <c r="R78" s="327">
        <f t="shared" si="11"/>
        <v>101.5</v>
      </c>
      <c r="S78" s="324"/>
      <c r="T78" s="324"/>
      <c r="U78" s="327">
        <v>0</v>
      </c>
      <c r="V78" s="327">
        <v>0</v>
      </c>
      <c r="W78" s="324"/>
      <c r="X78" s="324"/>
      <c r="Y78" s="327">
        <v>0</v>
      </c>
      <c r="Z78" s="327">
        <v>0</v>
      </c>
      <c r="AA78" s="324"/>
      <c r="AB78" s="324"/>
    </row>
    <row r="79" spans="2:28" ht="16.5" customHeight="1" x14ac:dyDescent="0.3">
      <c r="B79" s="229">
        <v>46235</v>
      </c>
      <c r="C79" s="255" t="s">
        <v>33</v>
      </c>
      <c r="D79" s="256">
        <v>2238</v>
      </c>
      <c r="E79" s="49">
        <v>1275</v>
      </c>
      <c r="F79" s="50">
        <f t="shared" si="9"/>
        <v>3738</v>
      </c>
      <c r="G79" s="257">
        <v>225</v>
      </c>
      <c r="H79" s="258">
        <f>SUMIFS('💸 Expenses'!$F$8:$F$5000,'💸 Expenses'!$B$8:$B$5000,"&gt;="&amp;B79,'💸 Expenses'!$B$8:$B$5000,"&lt;"&amp;(B79+1))</f>
        <v>7208</v>
      </c>
      <c r="I79" s="259">
        <f t="shared" si="10"/>
        <v>-3470</v>
      </c>
      <c r="J79" s="260">
        <f t="shared" si="8"/>
        <v>-0.92830390583199573</v>
      </c>
      <c r="K79" s="254"/>
      <c r="L79" s="261" t="s">
        <v>45</v>
      </c>
      <c r="M79" s="291"/>
      <c r="N79" s="292"/>
      <c r="O79" s="293"/>
      <c r="P79" s="294"/>
      <c r="Q79" s="292"/>
      <c r="R79" s="311">
        <f t="shared" si="11"/>
        <v>90.862799999999993</v>
      </c>
      <c r="S79" s="292"/>
      <c r="T79" s="292"/>
      <c r="U79" s="311">
        <v>0</v>
      </c>
      <c r="V79" s="311">
        <v>0</v>
      </c>
      <c r="W79" s="292"/>
      <c r="X79" s="292"/>
      <c r="Y79" s="311">
        <v>0</v>
      </c>
      <c r="Z79" s="311">
        <v>0</v>
      </c>
      <c r="AA79" s="292"/>
      <c r="AB79" s="292"/>
    </row>
    <row r="80" spans="2:28" ht="16.5" customHeight="1" x14ac:dyDescent="0.3">
      <c r="B80" s="34"/>
      <c r="C80" s="35"/>
      <c r="D80" s="36"/>
      <c r="E80" s="37"/>
      <c r="F80" s="38"/>
      <c r="G80" s="39"/>
      <c r="H80" s="40"/>
      <c r="I80" s="41"/>
      <c r="J80" s="42"/>
      <c r="K80" s="43"/>
      <c r="L80" s="9"/>
      <c r="M80" s="12"/>
      <c r="N80" s="44"/>
      <c r="O80" s="45"/>
      <c r="P80" s="46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</row>
    <row r="81" spans="2:28" ht="16.5" customHeight="1" x14ac:dyDescent="0.3">
      <c r="B81" s="34"/>
      <c r="C81" s="47"/>
      <c r="D81" s="48"/>
      <c r="E81" s="49"/>
      <c r="F81" s="50"/>
      <c r="G81" s="51"/>
      <c r="H81" s="52"/>
      <c r="I81" s="53"/>
      <c r="J81" s="54"/>
      <c r="K81" s="55"/>
      <c r="L81" s="18"/>
      <c r="M81" s="21"/>
      <c r="N81" s="56"/>
      <c r="O81" s="57"/>
      <c r="P81" s="58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</row>
    <row r="82" spans="2:28" ht="16.5" customHeight="1" x14ac:dyDescent="0.3">
      <c r="B82" s="34"/>
      <c r="C82" s="35"/>
      <c r="D82" s="36"/>
      <c r="E82" s="37"/>
      <c r="F82" s="38"/>
      <c r="G82" s="39"/>
      <c r="H82" s="40"/>
      <c r="I82" s="41"/>
      <c r="J82" s="42"/>
      <c r="K82" s="43"/>
      <c r="L82" s="9"/>
      <c r="M82" s="12"/>
      <c r="N82" s="44"/>
      <c r="O82" s="45"/>
      <c r="P82" s="46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</row>
    <row r="83" spans="2:28" ht="16.5" customHeight="1" x14ac:dyDescent="0.3">
      <c r="B83" s="34"/>
      <c r="C83" s="47"/>
      <c r="D83" s="48"/>
      <c r="E83" s="49"/>
      <c r="F83" s="50"/>
      <c r="G83" s="51"/>
      <c r="H83" s="52"/>
      <c r="I83" s="53"/>
      <c r="J83" s="54"/>
      <c r="K83" s="55"/>
      <c r="L83" s="18"/>
      <c r="M83" s="21"/>
      <c r="N83" s="56"/>
      <c r="O83" s="57"/>
      <c r="P83" s="58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</row>
    <row r="84" spans="2:28" ht="16.5" customHeight="1" x14ac:dyDescent="0.3">
      <c r="B84" s="34"/>
      <c r="C84" s="35"/>
      <c r="D84" s="36"/>
      <c r="E84" s="37"/>
      <c r="F84" s="38"/>
      <c r="G84" s="39"/>
      <c r="H84" s="40"/>
      <c r="I84" s="41"/>
      <c r="J84" s="42"/>
      <c r="K84" s="43"/>
      <c r="L84" s="9"/>
      <c r="M84" s="12"/>
      <c r="N84" s="44"/>
      <c r="O84" s="45"/>
      <c r="P84" s="46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</row>
    <row r="85" spans="2:28" ht="16.5" customHeight="1" x14ac:dyDescent="0.3">
      <c r="B85" s="34"/>
      <c r="C85" s="47"/>
      <c r="D85" s="48"/>
      <c r="E85" s="49"/>
      <c r="F85" s="50"/>
      <c r="G85" s="51"/>
      <c r="H85" s="52"/>
      <c r="I85" s="53"/>
      <c r="J85" s="54"/>
      <c r="K85" s="55"/>
      <c r="L85" s="18"/>
      <c r="M85" s="21"/>
      <c r="N85" s="56"/>
      <c r="O85" s="57"/>
      <c r="P85" s="58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</row>
    <row r="86" spans="2:28" ht="16.5" customHeight="1" x14ac:dyDescent="0.3">
      <c r="B86" s="34"/>
      <c r="C86" s="35"/>
      <c r="D86" s="36"/>
      <c r="E86" s="37"/>
      <c r="F86" s="38"/>
      <c r="G86" s="39"/>
      <c r="H86" s="40"/>
      <c r="I86" s="41"/>
      <c r="J86" s="42"/>
      <c r="K86" s="43"/>
      <c r="L86" s="9"/>
      <c r="M86" s="12"/>
      <c r="N86" s="44"/>
      <c r="O86" s="45"/>
      <c r="P86" s="46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</row>
    <row r="87" spans="2:28" ht="16.5" customHeight="1" x14ac:dyDescent="0.3">
      <c r="B87" s="34"/>
      <c r="C87" s="47"/>
      <c r="D87" s="48"/>
      <c r="E87" s="49"/>
      <c r="F87" s="50"/>
      <c r="G87" s="51"/>
      <c r="H87" s="52"/>
      <c r="I87" s="53"/>
      <c r="J87" s="54"/>
      <c r="K87" s="55"/>
      <c r="L87" s="18"/>
      <c r="M87" s="21"/>
      <c r="N87" s="56"/>
      <c r="O87" s="57"/>
      <c r="P87" s="58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</row>
    <row r="88" spans="2:28" ht="16.5" customHeight="1" x14ac:dyDescent="0.3">
      <c r="B88" s="34"/>
      <c r="C88" s="35"/>
      <c r="D88" s="36"/>
      <c r="E88" s="37"/>
      <c r="F88" s="38"/>
      <c r="G88" s="39"/>
      <c r="H88" s="40"/>
      <c r="I88" s="41"/>
      <c r="J88" s="42"/>
      <c r="K88" s="43"/>
      <c r="L88" s="9"/>
      <c r="M88" s="12"/>
      <c r="N88" s="44"/>
      <c r="O88" s="45"/>
      <c r="P88" s="46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</row>
    <row r="89" spans="2:28" ht="16.5" customHeight="1" x14ac:dyDescent="0.3">
      <c r="B89" s="34"/>
      <c r="C89" s="47"/>
      <c r="D89" s="48"/>
      <c r="E89" s="49"/>
      <c r="F89" s="50"/>
      <c r="G89" s="51"/>
      <c r="H89" s="52"/>
      <c r="I89" s="53"/>
      <c r="J89" s="54"/>
      <c r="K89" s="55"/>
      <c r="L89" s="18"/>
      <c r="M89" s="21"/>
      <c r="N89" s="56"/>
      <c r="O89" s="57"/>
      <c r="P89" s="58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</row>
    <row r="90" spans="2:28" ht="16.5" customHeight="1" x14ac:dyDescent="0.3">
      <c r="B90" s="34"/>
      <c r="C90" s="35"/>
      <c r="D90" s="36"/>
      <c r="E90" s="37"/>
      <c r="F90" s="38"/>
      <c r="G90" s="39"/>
      <c r="H90" s="40"/>
      <c r="I90" s="41"/>
      <c r="J90" s="42"/>
      <c r="K90" s="43"/>
      <c r="L90" s="9"/>
      <c r="M90" s="12"/>
      <c r="N90" s="44"/>
      <c r="O90" s="45"/>
      <c r="P90" s="46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</row>
    <row r="91" spans="2:28" ht="16.5" customHeight="1" x14ac:dyDescent="0.3">
      <c r="B91" s="34"/>
      <c r="C91" s="47"/>
      <c r="D91" s="48"/>
      <c r="E91" s="49"/>
      <c r="F91" s="50"/>
      <c r="G91" s="51"/>
      <c r="H91" s="52"/>
      <c r="I91" s="53"/>
      <c r="J91" s="54"/>
      <c r="K91" s="55"/>
      <c r="L91" s="18"/>
      <c r="M91" s="21"/>
      <c r="N91" s="56"/>
      <c r="O91" s="57"/>
      <c r="P91" s="58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</row>
    <row r="92" spans="2:28" ht="16.5" customHeight="1" x14ac:dyDescent="0.3">
      <c r="B92" s="34"/>
      <c r="C92" s="35"/>
      <c r="D92" s="36"/>
      <c r="E92" s="37"/>
      <c r="F92" s="38"/>
      <c r="G92" s="39"/>
      <c r="H92" s="40"/>
      <c r="I92" s="41"/>
      <c r="J92" s="42"/>
      <c r="K92" s="43"/>
      <c r="L92" s="9"/>
      <c r="M92" s="12"/>
      <c r="N92" s="44"/>
      <c r="O92" s="45"/>
      <c r="P92" s="46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</row>
    <row r="93" spans="2:28" ht="16.5" customHeight="1" x14ac:dyDescent="0.3">
      <c r="B93" s="34"/>
      <c r="C93" s="47"/>
      <c r="D93" s="48"/>
      <c r="E93" s="49"/>
      <c r="F93" s="50"/>
      <c r="G93" s="51"/>
      <c r="H93" s="52"/>
      <c r="I93" s="53"/>
      <c r="J93" s="54"/>
      <c r="K93" s="55"/>
      <c r="L93" s="18"/>
      <c r="M93" s="21"/>
      <c r="N93" s="56"/>
      <c r="O93" s="57"/>
      <c r="P93" s="58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</row>
    <row r="94" spans="2:28" ht="16.5" customHeight="1" x14ac:dyDescent="0.3">
      <c r="B94" s="34"/>
      <c r="C94" s="35"/>
      <c r="D94" s="36"/>
      <c r="E94" s="37"/>
      <c r="F94" s="38"/>
      <c r="G94" s="39"/>
      <c r="H94" s="40"/>
      <c r="I94" s="41"/>
      <c r="J94" s="42"/>
      <c r="K94" s="43"/>
      <c r="L94" s="9"/>
      <c r="M94" s="12"/>
      <c r="N94" s="44"/>
      <c r="O94" s="45"/>
      <c r="P94" s="46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</row>
    <row r="95" spans="2:28" ht="16.5" customHeight="1" x14ac:dyDescent="0.3">
      <c r="B95" s="34"/>
      <c r="C95" s="47"/>
      <c r="D95" s="48"/>
      <c r="E95" s="49"/>
      <c r="F95" s="50"/>
      <c r="G95" s="51"/>
      <c r="H95" s="52"/>
      <c r="I95" s="53"/>
      <c r="J95" s="54"/>
      <c r="K95" s="55"/>
      <c r="L95" s="18"/>
      <c r="M95" s="21"/>
      <c r="N95" s="56"/>
      <c r="O95" s="57"/>
      <c r="P95" s="58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</row>
    <row r="96" spans="2:28" ht="16.5" customHeight="1" x14ac:dyDescent="0.3">
      <c r="B96" s="34"/>
      <c r="C96" s="35"/>
      <c r="D96" s="36"/>
      <c r="E96" s="37"/>
      <c r="F96" s="38"/>
      <c r="G96" s="39"/>
      <c r="H96" s="40"/>
      <c r="I96" s="41"/>
      <c r="J96" s="42"/>
      <c r="K96" s="43"/>
      <c r="L96" s="9"/>
      <c r="M96" s="12"/>
      <c r="N96" s="44"/>
      <c r="O96" s="45"/>
      <c r="P96" s="46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</row>
    <row r="97" spans="2:28" ht="16.5" customHeight="1" x14ac:dyDescent="0.3">
      <c r="B97" s="34"/>
      <c r="C97" s="47"/>
      <c r="D97" s="48"/>
      <c r="E97" s="49"/>
      <c r="F97" s="50"/>
      <c r="G97" s="51"/>
      <c r="H97" s="52"/>
      <c r="I97" s="53"/>
      <c r="J97" s="54"/>
      <c r="K97" s="55"/>
      <c r="L97" s="18"/>
      <c r="M97" s="21"/>
      <c r="N97" s="56"/>
      <c r="O97" s="57"/>
      <c r="P97" s="58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</row>
    <row r="98" spans="2:28" ht="16.5" customHeight="1" x14ac:dyDescent="0.3">
      <c r="B98" s="34"/>
      <c r="C98" s="35"/>
      <c r="D98" s="36"/>
      <c r="E98" s="37"/>
      <c r="F98" s="38"/>
      <c r="G98" s="39"/>
      <c r="H98" s="40"/>
      <c r="I98" s="41"/>
      <c r="J98" s="42"/>
      <c r="K98" s="43"/>
      <c r="L98" s="9"/>
      <c r="M98" s="12"/>
      <c r="N98" s="44"/>
      <c r="O98" s="45"/>
      <c r="P98" s="46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</row>
    <row r="99" spans="2:28" ht="16.5" customHeight="1" x14ac:dyDescent="0.3">
      <c r="B99" s="34"/>
      <c r="C99" s="47"/>
      <c r="D99" s="48"/>
      <c r="E99" s="49"/>
      <c r="F99" s="50"/>
      <c r="G99" s="51"/>
      <c r="H99" s="52"/>
      <c r="I99" s="53"/>
      <c r="J99" s="54"/>
      <c r="K99" s="55"/>
      <c r="L99" s="18"/>
      <c r="M99" s="21"/>
      <c r="N99" s="56"/>
      <c r="O99" s="57"/>
      <c r="P99" s="58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</row>
    <row r="100" spans="2:28" ht="16.5" customHeight="1" x14ac:dyDescent="0.3">
      <c r="B100" s="34"/>
      <c r="C100" s="35"/>
      <c r="D100" s="36"/>
      <c r="E100" s="37"/>
      <c r="F100" s="38"/>
      <c r="G100" s="39"/>
      <c r="H100" s="40"/>
      <c r="I100" s="41"/>
      <c r="J100" s="42"/>
      <c r="K100" s="43"/>
      <c r="L100" s="9"/>
      <c r="M100" s="12"/>
      <c r="N100" s="44"/>
      <c r="O100" s="45"/>
      <c r="P100" s="46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</row>
    <row r="101" spans="2:28" ht="16.5" customHeight="1" x14ac:dyDescent="0.3">
      <c r="B101" s="34"/>
      <c r="C101" s="47"/>
      <c r="D101" s="48"/>
      <c r="E101" s="49"/>
      <c r="F101" s="50"/>
      <c r="G101" s="51"/>
      <c r="H101" s="52"/>
      <c r="I101" s="53"/>
      <c r="J101" s="54"/>
      <c r="K101" s="55"/>
      <c r="L101" s="18"/>
      <c r="M101" s="21"/>
      <c r="N101" s="56"/>
      <c r="O101" s="57"/>
      <c r="P101" s="58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</row>
    <row r="102" spans="2:28" ht="16.5" customHeight="1" x14ac:dyDescent="0.3">
      <c r="B102" s="34"/>
      <c r="C102" s="35"/>
      <c r="D102" s="36"/>
      <c r="E102" s="37"/>
      <c r="F102" s="38"/>
      <c r="G102" s="39"/>
      <c r="H102" s="40"/>
      <c r="I102" s="41"/>
      <c r="J102" s="42"/>
      <c r="K102" s="43"/>
      <c r="L102" s="9"/>
      <c r="M102" s="12"/>
      <c r="N102" s="44"/>
      <c r="O102" s="45"/>
      <c r="P102" s="46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</row>
    <row r="103" spans="2:28" ht="16.5" customHeight="1" x14ac:dyDescent="0.3">
      <c r="B103" s="34"/>
      <c r="C103" s="47"/>
      <c r="D103" s="48"/>
      <c r="E103" s="49"/>
      <c r="F103" s="50"/>
      <c r="G103" s="51"/>
      <c r="H103" s="52"/>
      <c r="I103" s="53"/>
      <c r="J103" s="54"/>
      <c r="K103" s="55"/>
      <c r="L103" s="18"/>
      <c r="M103" s="21"/>
      <c r="N103" s="56"/>
      <c r="O103" s="57"/>
      <c r="P103" s="58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</row>
    <row r="104" spans="2:28" ht="16.5" customHeight="1" x14ac:dyDescent="0.3">
      <c r="B104" s="34"/>
      <c r="C104" s="35"/>
      <c r="D104" s="36"/>
      <c r="E104" s="37"/>
      <c r="F104" s="38"/>
      <c r="G104" s="39"/>
      <c r="H104" s="40"/>
      <c r="I104" s="41"/>
      <c r="J104" s="42"/>
      <c r="K104" s="43"/>
      <c r="L104" s="9"/>
      <c r="M104" s="12"/>
      <c r="N104" s="44"/>
      <c r="O104" s="45"/>
      <c r="P104" s="46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</row>
    <row r="105" spans="2:28" ht="16.5" customHeight="1" x14ac:dyDescent="0.3">
      <c r="B105" s="34"/>
      <c r="C105" s="47"/>
      <c r="D105" s="48"/>
      <c r="E105" s="49"/>
      <c r="F105" s="50"/>
      <c r="G105" s="51"/>
      <c r="H105" s="52"/>
      <c r="I105" s="53"/>
      <c r="J105" s="54"/>
      <c r="K105" s="55"/>
      <c r="L105" s="18"/>
      <c r="M105" s="21"/>
      <c r="N105" s="56"/>
      <c r="O105" s="57"/>
      <c r="P105" s="58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</row>
    <row r="106" spans="2:28" ht="16.5" customHeight="1" x14ac:dyDescent="0.3">
      <c r="B106" s="34"/>
      <c r="C106" s="35"/>
      <c r="D106" s="36"/>
      <c r="E106" s="37"/>
      <c r="F106" s="38"/>
      <c r="G106" s="39"/>
      <c r="H106" s="40"/>
      <c r="I106" s="41"/>
      <c r="J106" s="42"/>
      <c r="K106" s="43"/>
      <c r="L106" s="9"/>
      <c r="M106" s="12"/>
      <c r="N106" s="44"/>
      <c r="O106" s="45"/>
      <c r="P106" s="46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</row>
    <row r="107" spans="2:28" ht="16.5" customHeight="1" x14ac:dyDescent="0.3">
      <c r="B107" s="34"/>
      <c r="C107" s="47"/>
      <c r="D107" s="48"/>
      <c r="E107" s="49"/>
      <c r="F107" s="50"/>
      <c r="G107" s="51"/>
      <c r="H107" s="52"/>
      <c r="I107" s="53"/>
      <c r="J107" s="54"/>
      <c r="K107" s="55"/>
      <c r="L107" s="18"/>
      <c r="M107" s="21"/>
      <c r="N107" s="56"/>
      <c r="O107" s="57"/>
      <c r="P107" s="58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</row>
    <row r="108" spans="2:28" ht="16.5" customHeight="1" x14ac:dyDescent="0.3">
      <c r="B108" s="34"/>
      <c r="C108" s="35"/>
      <c r="D108" s="36"/>
      <c r="E108" s="37"/>
      <c r="F108" s="38"/>
      <c r="G108" s="39"/>
      <c r="H108" s="40"/>
      <c r="I108" s="41"/>
      <c r="J108" s="42"/>
      <c r="K108" s="43"/>
      <c r="L108" s="9"/>
      <c r="M108" s="12"/>
      <c r="N108" s="44"/>
      <c r="O108" s="45"/>
      <c r="P108" s="46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</row>
    <row r="109" spans="2:28" ht="16.5" customHeight="1" x14ac:dyDescent="0.3">
      <c r="B109" s="34"/>
      <c r="C109" s="47"/>
      <c r="D109" s="48"/>
      <c r="E109" s="49"/>
      <c r="F109" s="50"/>
      <c r="G109" s="51"/>
      <c r="H109" s="52"/>
      <c r="I109" s="53"/>
      <c r="J109" s="54"/>
      <c r="K109" s="55"/>
      <c r="L109" s="18"/>
      <c r="M109" s="21"/>
      <c r="N109" s="56"/>
      <c r="O109" s="57"/>
      <c r="P109" s="58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</row>
    <row r="110" spans="2:28" ht="16.5" customHeight="1" x14ac:dyDescent="0.3">
      <c r="B110" s="34"/>
      <c r="C110" s="35"/>
      <c r="D110" s="36"/>
      <c r="E110" s="37"/>
      <c r="F110" s="38"/>
      <c r="G110" s="39"/>
      <c r="H110" s="40"/>
      <c r="I110" s="41"/>
      <c r="J110" s="42"/>
      <c r="K110" s="43"/>
      <c r="L110" s="9"/>
      <c r="M110" s="12"/>
      <c r="N110" s="44"/>
      <c r="O110" s="45"/>
      <c r="P110" s="46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</row>
    <row r="111" spans="2:28" ht="16.5" customHeight="1" x14ac:dyDescent="0.3">
      <c r="B111" s="34"/>
      <c r="C111" s="47"/>
      <c r="D111" s="48"/>
      <c r="E111" s="49"/>
      <c r="F111" s="50"/>
      <c r="G111" s="51"/>
      <c r="H111" s="52"/>
      <c r="I111" s="53"/>
      <c r="J111" s="54"/>
      <c r="K111" s="55"/>
      <c r="L111" s="18"/>
      <c r="M111" s="21"/>
      <c r="N111" s="56"/>
      <c r="O111" s="57"/>
      <c r="P111" s="58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</row>
    <row r="112" spans="2:28" ht="16.5" customHeight="1" x14ac:dyDescent="0.3">
      <c r="B112" s="34"/>
      <c r="C112" s="35"/>
      <c r="D112" s="36"/>
      <c r="E112" s="37"/>
      <c r="F112" s="38"/>
      <c r="G112" s="39"/>
      <c r="H112" s="40"/>
      <c r="I112" s="41"/>
      <c r="J112" s="42"/>
      <c r="K112" s="43"/>
      <c r="L112" s="9"/>
      <c r="M112" s="12"/>
      <c r="N112" s="44"/>
      <c r="O112" s="45"/>
      <c r="P112" s="46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</row>
    <row r="113" spans="2:28" ht="16.5" customHeight="1" x14ac:dyDescent="0.3">
      <c r="B113" s="34"/>
      <c r="C113" s="47"/>
      <c r="D113" s="48"/>
      <c r="E113" s="49"/>
      <c r="F113" s="50"/>
      <c r="G113" s="51"/>
      <c r="H113" s="52"/>
      <c r="I113" s="53"/>
      <c r="J113" s="54"/>
      <c r="K113" s="55"/>
      <c r="L113" s="18"/>
      <c r="M113" s="21"/>
      <c r="N113" s="56"/>
      <c r="O113" s="57"/>
      <c r="P113" s="58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</row>
    <row r="114" spans="2:28" ht="16.5" customHeight="1" x14ac:dyDescent="0.3">
      <c r="B114" s="34"/>
      <c r="C114" s="35"/>
      <c r="D114" s="36"/>
      <c r="E114" s="37"/>
      <c r="F114" s="38"/>
      <c r="G114" s="39"/>
      <c r="H114" s="40"/>
      <c r="I114" s="41"/>
      <c r="J114" s="42"/>
      <c r="K114" s="43"/>
      <c r="L114" s="9"/>
      <c r="M114" s="12"/>
      <c r="N114" s="44"/>
      <c r="O114" s="45"/>
      <c r="P114" s="46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</row>
    <row r="115" spans="2:28" ht="16.5" customHeight="1" x14ac:dyDescent="0.3">
      <c r="B115" s="34"/>
      <c r="C115" s="47"/>
      <c r="D115" s="48"/>
      <c r="E115" s="49"/>
      <c r="F115" s="50"/>
      <c r="G115" s="51"/>
      <c r="H115" s="52"/>
      <c r="I115" s="53"/>
      <c r="J115" s="54"/>
      <c r="K115" s="55"/>
      <c r="L115" s="18"/>
      <c r="M115" s="21"/>
      <c r="N115" s="56"/>
      <c r="O115" s="57"/>
      <c r="P115" s="58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</row>
    <row r="116" spans="2:28" ht="16.5" customHeight="1" x14ac:dyDescent="0.3">
      <c r="B116" s="34"/>
      <c r="C116" s="35"/>
      <c r="D116" s="36"/>
      <c r="E116" s="37"/>
      <c r="F116" s="38"/>
      <c r="G116" s="39"/>
      <c r="H116" s="40"/>
      <c r="I116" s="41"/>
      <c r="J116" s="42"/>
      <c r="K116" s="43"/>
      <c r="L116" s="9"/>
      <c r="M116" s="12"/>
      <c r="N116" s="44"/>
      <c r="O116" s="45"/>
      <c r="P116" s="46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</row>
    <row r="117" spans="2:28" ht="16.5" customHeight="1" x14ac:dyDescent="0.3">
      <c r="B117" s="34"/>
      <c r="C117" s="47"/>
      <c r="D117" s="48"/>
      <c r="E117" s="49"/>
      <c r="F117" s="50"/>
      <c r="G117" s="51"/>
      <c r="H117" s="52"/>
      <c r="I117" s="53"/>
      <c r="J117" s="54"/>
      <c r="K117" s="55"/>
      <c r="L117" s="18"/>
      <c r="M117" s="21"/>
      <c r="N117" s="56"/>
      <c r="O117" s="57"/>
      <c r="P117" s="58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</row>
    <row r="118" spans="2:28" ht="16.5" customHeight="1" x14ac:dyDescent="0.3">
      <c r="B118" s="34"/>
      <c r="C118" s="35"/>
      <c r="D118" s="36"/>
      <c r="E118" s="37"/>
      <c r="F118" s="38"/>
      <c r="G118" s="39"/>
      <c r="H118" s="40"/>
      <c r="I118" s="41"/>
      <c r="J118" s="42"/>
      <c r="K118" s="43"/>
      <c r="L118" s="9"/>
      <c r="M118" s="12"/>
      <c r="N118" s="44"/>
      <c r="O118" s="45"/>
      <c r="P118" s="46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</row>
    <row r="119" spans="2:28" ht="16.5" customHeight="1" x14ac:dyDescent="0.3">
      <c r="B119" s="34"/>
      <c r="C119" s="47"/>
      <c r="D119" s="48"/>
      <c r="E119" s="49"/>
      <c r="F119" s="50"/>
      <c r="G119" s="51"/>
      <c r="H119" s="52"/>
      <c r="I119" s="53"/>
      <c r="J119" s="54"/>
      <c r="K119" s="55"/>
      <c r="L119" s="18"/>
      <c r="M119" s="21"/>
      <c r="N119" s="56"/>
      <c r="O119" s="57"/>
      <c r="P119" s="58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</row>
    <row r="120" spans="2:28" ht="16.5" customHeight="1" x14ac:dyDescent="0.3">
      <c r="B120" s="34"/>
      <c r="C120" s="35"/>
      <c r="D120" s="36"/>
      <c r="E120" s="37"/>
      <c r="F120" s="38"/>
      <c r="G120" s="39"/>
      <c r="H120" s="40"/>
      <c r="I120" s="41"/>
      <c r="J120" s="42"/>
      <c r="K120" s="43"/>
      <c r="L120" s="9"/>
      <c r="M120" s="12"/>
      <c r="N120" s="44"/>
      <c r="O120" s="45"/>
      <c r="P120" s="46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</row>
    <row r="121" spans="2:28" ht="16.5" customHeight="1" x14ac:dyDescent="0.3">
      <c r="B121" s="34"/>
      <c r="C121" s="47"/>
      <c r="D121" s="48"/>
      <c r="E121" s="49"/>
      <c r="F121" s="50"/>
      <c r="G121" s="51"/>
      <c r="H121" s="52"/>
      <c r="I121" s="53"/>
      <c r="J121" s="54"/>
      <c r="K121" s="55"/>
      <c r="L121" s="18"/>
      <c r="M121" s="21"/>
      <c r="N121" s="56"/>
      <c r="O121" s="57"/>
      <c r="P121" s="58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</row>
    <row r="122" spans="2:28" ht="16.5" customHeight="1" x14ac:dyDescent="0.3">
      <c r="B122" s="34"/>
      <c r="C122" s="35"/>
      <c r="D122" s="36"/>
      <c r="E122" s="37"/>
      <c r="F122" s="38"/>
      <c r="G122" s="39"/>
      <c r="H122" s="40"/>
      <c r="I122" s="41"/>
      <c r="J122" s="42"/>
      <c r="K122" s="43"/>
      <c r="L122" s="9"/>
      <c r="M122" s="12"/>
      <c r="N122" s="44"/>
      <c r="O122" s="45"/>
      <c r="P122" s="46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</row>
    <row r="123" spans="2:28" ht="16.5" customHeight="1" x14ac:dyDescent="0.3">
      <c r="B123" s="34"/>
      <c r="C123" s="47"/>
      <c r="D123" s="48"/>
      <c r="E123" s="49"/>
      <c r="F123" s="50"/>
      <c r="G123" s="51"/>
      <c r="H123" s="52"/>
      <c r="I123" s="53"/>
      <c r="J123" s="54"/>
      <c r="K123" s="55"/>
      <c r="L123" s="18"/>
      <c r="M123" s="21"/>
      <c r="N123" s="56"/>
      <c r="O123" s="57"/>
      <c r="P123" s="58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</row>
    <row r="124" spans="2:28" ht="16.5" customHeight="1" x14ac:dyDescent="0.3">
      <c r="B124" s="34"/>
      <c r="C124" s="35"/>
      <c r="D124" s="36"/>
      <c r="E124" s="37"/>
      <c r="F124" s="38"/>
      <c r="G124" s="39"/>
      <c r="H124" s="40"/>
      <c r="I124" s="41"/>
      <c r="J124" s="42"/>
      <c r="K124" s="43"/>
      <c r="L124" s="9"/>
      <c r="M124" s="12"/>
      <c r="N124" s="44"/>
      <c r="O124" s="45"/>
      <c r="P124" s="46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</row>
    <row r="125" spans="2:28" ht="16.5" customHeight="1" x14ac:dyDescent="0.3">
      <c r="B125" s="34"/>
      <c r="C125" s="47"/>
      <c r="D125" s="48"/>
      <c r="E125" s="49"/>
      <c r="F125" s="50"/>
      <c r="G125" s="51"/>
      <c r="H125" s="52"/>
      <c r="I125" s="53"/>
      <c r="J125" s="54"/>
      <c r="K125" s="55"/>
      <c r="L125" s="18"/>
      <c r="M125" s="21"/>
      <c r="N125" s="56"/>
      <c r="O125" s="57"/>
      <c r="P125" s="58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</row>
    <row r="126" spans="2:28" ht="16.5" customHeight="1" x14ac:dyDescent="0.3">
      <c r="B126" s="34"/>
      <c r="C126" s="35"/>
      <c r="D126" s="36"/>
      <c r="E126" s="37"/>
      <c r="F126" s="38"/>
      <c r="G126" s="39"/>
      <c r="H126" s="40"/>
      <c r="I126" s="41"/>
      <c r="J126" s="42"/>
      <c r="K126" s="43"/>
      <c r="L126" s="9"/>
      <c r="M126" s="12"/>
      <c r="N126" s="44"/>
      <c r="O126" s="45"/>
      <c r="P126" s="46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</row>
    <row r="127" spans="2:28" ht="16.5" customHeight="1" x14ac:dyDescent="0.3">
      <c r="B127" s="34"/>
      <c r="C127" s="47"/>
      <c r="D127" s="48"/>
      <c r="E127" s="49"/>
      <c r="F127" s="50"/>
      <c r="G127" s="51"/>
      <c r="H127" s="52"/>
      <c r="I127" s="53"/>
      <c r="J127" s="54"/>
      <c r="K127" s="55"/>
      <c r="L127" s="18"/>
      <c r="M127" s="21"/>
      <c r="N127" s="56"/>
      <c r="O127" s="57"/>
      <c r="P127" s="58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</row>
    <row r="128" spans="2:28" ht="16.5" customHeight="1" x14ac:dyDescent="0.3">
      <c r="B128" s="34"/>
      <c r="C128" s="35"/>
      <c r="D128" s="36"/>
      <c r="E128" s="37"/>
      <c r="F128" s="38"/>
      <c r="G128" s="39"/>
      <c r="H128" s="40"/>
      <c r="I128" s="41"/>
      <c r="J128" s="42"/>
      <c r="K128" s="43"/>
      <c r="L128" s="9"/>
      <c r="M128" s="12"/>
      <c r="N128" s="44"/>
      <c r="O128" s="45"/>
      <c r="P128" s="46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</row>
    <row r="129" spans="2:28" ht="16.5" customHeight="1" x14ac:dyDescent="0.3">
      <c r="B129" s="34"/>
      <c r="C129" s="47"/>
      <c r="D129" s="48"/>
      <c r="E129" s="49"/>
      <c r="F129" s="50"/>
      <c r="G129" s="51"/>
      <c r="H129" s="52"/>
      <c r="I129" s="53"/>
      <c r="J129" s="54"/>
      <c r="K129" s="55"/>
      <c r="L129" s="18"/>
      <c r="M129" s="21"/>
      <c r="N129" s="56"/>
      <c r="O129" s="57"/>
      <c r="P129" s="58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</row>
    <row r="130" spans="2:28" ht="16.5" customHeight="1" x14ac:dyDescent="0.3">
      <c r="B130" s="34"/>
      <c r="C130" s="35"/>
      <c r="D130" s="36"/>
      <c r="E130" s="37"/>
      <c r="F130" s="38"/>
      <c r="G130" s="39"/>
      <c r="H130" s="40"/>
      <c r="I130" s="41"/>
      <c r="J130" s="42"/>
      <c r="K130" s="43"/>
      <c r="L130" s="9"/>
      <c r="M130" s="12"/>
      <c r="N130" s="44"/>
      <c r="O130" s="45"/>
      <c r="P130" s="46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</row>
    <row r="131" spans="2:28" ht="16.5" customHeight="1" x14ac:dyDescent="0.3">
      <c r="B131" s="34"/>
      <c r="C131" s="47"/>
      <c r="D131" s="48"/>
      <c r="E131" s="49"/>
      <c r="F131" s="50"/>
      <c r="G131" s="51"/>
      <c r="H131" s="52"/>
      <c r="I131" s="53"/>
      <c r="J131" s="54"/>
      <c r="K131" s="55"/>
      <c r="L131" s="18"/>
      <c r="M131" s="21"/>
      <c r="N131" s="56"/>
      <c r="O131" s="57"/>
      <c r="P131" s="58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</row>
    <row r="132" spans="2:28" ht="16.5" customHeight="1" x14ac:dyDescent="0.3">
      <c r="B132" s="34"/>
      <c r="C132" s="35"/>
      <c r="D132" s="36"/>
      <c r="E132" s="37"/>
      <c r="F132" s="38"/>
      <c r="G132" s="39"/>
      <c r="H132" s="40"/>
      <c r="I132" s="41"/>
      <c r="J132" s="42"/>
      <c r="K132" s="43"/>
      <c r="L132" s="9"/>
      <c r="M132" s="12"/>
      <c r="N132" s="44"/>
      <c r="O132" s="45"/>
      <c r="P132" s="46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</row>
    <row r="133" spans="2:28" ht="16.5" customHeight="1" x14ac:dyDescent="0.3">
      <c r="B133" s="34"/>
      <c r="C133" s="47"/>
      <c r="D133" s="48"/>
      <c r="E133" s="49"/>
      <c r="F133" s="50"/>
      <c r="G133" s="51"/>
      <c r="H133" s="52"/>
      <c r="I133" s="53"/>
      <c r="J133" s="54"/>
      <c r="K133" s="55"/>
      <c r="L133" s="18"/>
      <c r="M133" s="21"/>
      <c r="N133" s="56"/>
      <c r="O133" s="57"/>
      <c r="P133" s="58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</row>
    <row r="134" spans="2:28" ht="16.5" customHeight="1" x14ac:dyDescent="0.3">
      <c r="B134" s="34"/>
      <c r="C134" s="35"/>
      <c r="D134" s="36"/>
      <c r="E134" s="37"/>
      <c r="F134" s="38"/>
      <c r="G134" s="39"/>
      <c r="H134" s="40"/>
      <c r="I134" s="41"/>
      <c r="J134" s="42"/>
      <c r="K134" s="43"/>
      <c r="L134" s="9"/>
      <c r="M134" s="12"/>
      <c r="N134" s="44"/>
      <c r="O134" s="45"/>
      <c r="P134" s="46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</row>
    <row r="135" spans="2:28" ht="16.5" customHeight="1" x14ac:dyDescent="0.3">
      <c r="B135" s="34"/>
      <c r="C135" s="47"/>
      <c r="D135" s="48"/>
      <c r="E135" s="49"/>
      <c r="F135" s="50"/>
      <c r="G135" s="51"/>
      <c r="H135" s="52"/>
      <c r="I135" s="53"/>
      <c r="J135" s="54"/>
      <c r="K135" s="55"/>
      <c r="L135" s="18"/>
      <c r="M135" s="21"/>
      <c r="N135" s="56"/>
      <c r="O135" s="57"/>
      <c r="P135" s="58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</row>
    <row r="136" spans="2:28" ht="16.5" customHeight="1" x14ac:dyDescent="0.3">
      <c r="B136" s="34"/>
      <c r="C136" s="35"/>
      <c r="D136" s="36"/>
      <c r="E136" s="37"/>
      <c r="F136" s="38"/>
      <c r="G136" s="39"/>
      <c r="H136" s="40"/>
      <c r="I136" s="41"/>
      <c r="J136" s="42"/>
      <c r="K136" s="43"/>
      <c r="L136" s="9"/>
      <c r="M136" s="12"/>
      <c r="N136" s="44"/>
      <c r="O136" s="45"/>
      <c r="P136" s="46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</row>
    <row r="137" spans="2:28" ht="16.5" customHeight="1" x14ac:dyDescent="0.3">
      <c r="B137" s="34"/>
      <c r="C137" s="47"/>
      <c r="D137" s="48"/>
      <c r="E137" s="49"/>
      <c r="F137" s="50"/>
      <c r="G137" s="51"/>
      <c r="H137" s="52"/>
      <c r="I137" s="53"/>
      <c r="J137" s="54"/>
      <c r="K137" s="55"/>
      <c r="L137" s="18"/>
      <c r="M137" s="21"/>
      <c r="N137" s="56"/>
      <c r="O137" s="57"/>
      <c r="P137" s="58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</row>
    <row r="138" spans="2:28" ht="16.5" customHeight="1" x14ac:dyDescent="0.3">
      <c r="B138" s="34"/>
      <c r="C138" s="35"/>
      <c r="D138" s="36"/>
      <c r="E138" s="37"/>
      <c r="F138" s="38"/>
      <c r="G138" s="39"/>
      <c r="H138" s="40"/>
      <c r="I138" s="41"/>
      <c r="J138" s="42"/>
      <c r="K138" s="43"/>
      <c r="L138" s="9"/>
      <c r="M138" s="12"/>
      <c r="N138" s="44"/>
      <c r="O138" s="45"/>
      <c r="P138" s="46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</row>
    <row r="139" spans="2:28" ht="16.5" customHeight="1" x14ac:dyDescent="0.3">
      <c r="B139" s="34"/>
      <c r="C139" s="47"/>
      <c r="D139" s="48"/>
      <c r="E139" s="49"/>
      <c r="F139" s="50"/>
      <c r="G139" s="51"/>
      <c r="H139" s="52"/>
      <c r="I139" s="53"/>
      <c r="J139" s="54"/>
      <c r="K139" s="55"/>
      <c r="L139" s="18"/>
      <c r="M139" s="21"/>
      <c r="N139" s="56"/>
      <c r="O139" s="57"/>
      <c r="P139" s="58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</row>
    <row r="140" spans="2:28" ht="16.5" customHeight="1" x14ac:dyDescent="0.3">
      <c r="B140" s="34"/>
      <c r="C140" s="35"/>
      <c r="D140" s="36"/>
      <c r="E140" s="37"/>
      <c r="F140" s="38"/>
      <c r="G140" s="39"/>
      <c r="H140" s="40"/>
      <c r="I140" s="41"/>
      <c r="J140" s="42"/>
      <c r="K140" s="43"/>
      <c r="L140" s="9"/>
      <c r="M140" s="12"/>
      <c r="N140" s="44"/>
      <c r="O140" s="45"/>
      <c r="P140" s="46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</row>
    <row r="141" spans="2:28" ht="16.5" customHeight="1" x14ac:dyDescent="0.3">
      <c r="B141" s="34"/>
      <c r="C141" s="47"/>
      <c r="D141" s="48"/>
      <c r="E141" s="49"/>
      <c r="F141" s="50"/>
      <c r="G141" s="51"/>
      <c r="H141" s="52"/>
      <c r="I141" s="53"/>
      <c r="J141" s="54"/>
      <c r="K141" s="55"/>
      <c r="L141" s="18"/>
      <c r="M141" s="21"/>
      <c r="N141" s="56"/>
      <c r="O141" s="57"/>
      <c r="P141" s="58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</row>
    <row r="142" spans="2:28" ht="16.5" customHeight="1" x14ac:dyDescent="0.3">
      <c r="B142" s="34"/>
      <c r="C142" s="35"/>
      <c r="D142" s="36"/>
      <c r="E142" s="37"/>
      <c r="F142" s="38"/>
      <c r="G142" s="39"/>
      <c r="H142" s="40"/>
      <c r="I142" s="41"/>
      <c r="J142" s="42"/>
      <c r="K142" s="43"/>
      <c r="L142" s="9"/>
      <c r="M142" s="12"/>
      <c r="N142" s="44"/>
      <c r="O142" s="45"/>
      <c r="P142" s="46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</row>
    <row r="143" spans="2:28" ht="16.5" customHeight="1" x14ac:dyDescent="0.3">
      <c r="B143" s="34"/>
      <c r="C143" s="47"/>
      <c r="D143" s="48"/>
      <c r="E143" s="49"/>
      <c r="F143" s="50"/>
      <c r="G143" s="51"/>
      <c r="H143" s="52"/>
      <c r="I143" s="53"/>
      <c r="J143" s="54"/>
      <c r="K143" s="55"/>
      <c r="L143" s="18"/>
      <c r="M143" s="21"/>
      <c r="N143" s="56"/>
      <c r="O143" s="57"/>
      <c r="P143" s="58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</row>
    <row r="144" spans="2:28" ht="16.5" customHeight="1" x14ac:dyDescent="0.3">
      <c r="B144" s="34"/>
      <c r="C144" s="35"/>
      <c r="D144" s="36"/>
      <c r="E144" s="37"/>
      <c r="F144" s="38"/>
      <c r="G144" s="39"/>
      <c r="H144" s="40"/>
      <c r="I144" s="41"/>
      <c r="J144" s="42"/>
      <c r="K144" s="43"/>
      <c r="L144" s="9"/>
      <c r="M144" s="12"/>
      <c r="N144" s="44"/>
      <c r="O144" s="45"/>
      <c r="P144" s="46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</row>
    <row r="145" spans="2:28" ht="16.5" customHeight="1" x14ac:dyDescent="0.3">
      <c r="B145" s="34"/>
      <c r="C145" s="47"/>
      <c r="D145" s="48"/>
      <c r="E145" s="49"/>
      <c r="F145" s="50"/>
      <c r="G145" s="51"/>
      <c r="H145" s="52"/>
      <c r="I145" s="53"/>
      <c r="J145" s="54"/>
      <c r="K145" s="55"/>
      <c r="L145" s="18"/>
      <c r="M145" s="21"/>
      <c r="N145" s="56"/>
      <c r="O145" s="57"/>
      <c r="P145" s="58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</row>
    <row r="146" spans="2:28" ht="16.5" customHeight="1" x14ac:dyDescent="0.3">
      <c r="B146" s="34"/>
      <c r="C146" s="35"/>
      <c r="D146" s="36"/>
      <c r="E146" s="37"/>
      <c r="F146" s="38"/>
      <c r="G146" s="39"/>
      <c r="H146" s="40"/>
      <c r="I146" s="41"/>
      <c r="J146" s="42"/>
      <c r="K146" s="43"/>
      <c r="L146" s="9"/>
      <c r="M146" s="12"/>
      <c r="N146" s="44"/>
      <c r="O146" s="45"/>
      <c r="P146" s="46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</row>
    <row r="147" spans="2:28" ht="16.5" customHeight="1" x14ac:dyDescent="0.3">
      <c r="B147" s="34"/>
      <c r="C147" s="47"/>
      <c r="D147" s="48"/>
      <c r="E147" s="49"/>
      <c r="F147" s="50"/>
      <c r="G147" s="51"/>
      <c r="H147" s="52"/>
      <c r="I147" s="53"/>
      <c r="J147" s="54"/>
      <c r="K147" s="55"/>
      <c r="L147" s="18"/>
      <c r="M147" s="21"/>
      <c r="N147" s="56"/>
      <c r="O147" s="57"/>
      <c r="P147" s="58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</row>
    <row r="148" spans="2:28" ht="16.5" customHeight="1" x14ac:dyDescent="0.3">
      <c r="B148" s="34"/>
      <c r="C148" s="35"/>
      <c r="D148" s="36"/>
      <c r="E148" s="37"/>
      <c r="F148" s="38"/>
      <c r="G148" s="39"/>
      <c r="H148" s="40"/>
      <c r="I148" s="41"/>
      <c r="J148" s="42"/>
      <c r="K148" s="43"/>
      <c r="L148" s="9"/>
      <c r="M148" s="12"/>
      <c r="N148" s="44"/>
      <c r="O148" s="45"/>
      <c r="P148" s="46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</row>
    <row r="149" spans="2:28" ht="16.5" customHeight="1" x14ac:dyDescent="0.3">
      <c r="B149" s="34"/>
      <c r="C149" s="47"/>
      <c r="D149" s="48"/>
      <c r="E149" s="49"/>
      <c r="F149" s="50"/>
      <c r="G149" s="51"/>
      <c r="H149" s="52"/>
      <c r="I149" s="53"/>
      <c r="J149" s="54"/>
      <c r="K149" s="55"/>
      <c r="L149" s="18"/>
      <c r="M149" s="21"/>
      <c r="N149" s="56"/>
      <c r="O149" s="57"/>
      <c r="P149" s="58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</row>
    <row r="150" spans="2:28" ht="16.5" customHeight="1" x14ac:dyDescent="0.3">
      <c r="B150" s="34"/>
      <c r="C150" s="35"/>
      <c r="D150" s="36"/>
      <c r="E150" s="37"/>
      <c r="F150" s="38"/>
      <c r="G150" s="39"/>
      <c r="H150" s="40"/>
      <c r="I150" s="41"/>
      <c r="J150" s="42"/>
      <c r="K150" s="43"/>
      <c r="L150" s="9"/>
      <c r="M150" s="12"/>
      <c r="N150" s="44"/>
      <c r="O150" s="45"/>
      <c r="P150" s="46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</row>
    <row r="151" spans="2:28" ht="16.5" customHeight="1" x14ac:dyDescent="0.3">
      <c r="B151" s="34"/>
      <c r="C151" s="47"/>
      <c r="D151" s="48"/>
      <c r="E151" s="49"/>
      <c r="F151" s="50"/>
      <c r="G151" s="51"/>
      <c r="H151" s="52"/>
      <c r="I151" s="53"/>
      <c r="J151" s="54"/>
      <c r="K151" s="55"/>
      <c r="L151" s="18"/>
      <c r="M151" s="21"/>
      <c r="N151" s="56"/>
      <c r="O151" s="57"/>
      <c r="P151" s="58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</row>
    <row r="152" spans="2:28" ht="16.5" customHeight="1" x14ac:dyDescent="0.3">
      <c r="B152" s="34"/>
      <c r="C152" s="35"/>
      <c r="D152" s="36"/>
      <c r="E152" s="37"/>
      <c r="F152" s="38"/>
      <c r="G152" s="39"/>
      <c r="H152" s="40"/>
      <c r="I152" s="41"/>
      <c r="J152" s="42"/>
      <c r="K152" s="43"/>
      <c r="L152" s="9"/>
      <c r="M152" s="12"/>
      <c r="N152" s="44"/>
      <c r="O152" s="45"/>
      <c r="P152" s="46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</row>
    <row r="153" spans="2:28" ht="16.5" customHeight="1" x14ac:dyDescent="0.3">
      <c r="B153" s="34"/>
      <c r="C153" s="47"/>
      <c r="D153" s="48"/>
      <c r="E153" s="49"/>
      <c r="F153" s="50"/>
      <c r="G153" s="51"/>
      <c r="H153" s="52"/>
      <c r="I153" s="53"/>
      <c r="J153" s="54"/>
      <c r="K153" s="55"/>
      <c r="L153" s="18"/>
      <c r="M153" s="21"/>
      <c r="N153" s="56"/>
      <c r="O153" s="57"/>
      <c r="P153" s="58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</row>
    <row r="154" spans="2:28" ht="16.5" customHeight="1" x14ac:dyDescent="0.3">
      <c r="B154" s="34"/>
      <c r="C154" s="35"/>
      <c r="D154" s="36"/>
      <c r="E154" s="37"/>
      <c r="F154" s="38"/>
      <c r="G154" s="39"/>
      <c r="H154" s="40"/>
      <c r="I154" s="41"/>
      <c r="J154" s="42"/>
      <c r="K154" s="43"/>
      <c r="L154" s="9"/>
      <c r="M154" s="12"/>
      <c r="N154" s="44"/>
      <c r="O154" s="45"/>
      <c r="P154" s="46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</row>
    <row r="155" spans="2:28" ht="16.5" customHeight="1" x14ac:dyDescent="0.3">
      <c r="B155" s="34"/>
      <c r="C155" s="47"/>
      <c r="D155" s="48"/>
      <c r="E155" s="49"/>
      <c r="F155" s="50"/>
      <c r="G155" s="51"/>
      <c r="H155" s="52"/>
      <c r="I155" s="53"/>
      <c r="J155" s="54"/>
      <c r="K155" s="55"/>
      <c r="L155" s="18"/>
      <c r="M155" s="21"/>
      <c r="N155" s="56"/>
      <c r="O155" s="57"/>
      <c r="P155" s="58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</row>
    <row r="156" spans="2:28" ht="16.5" customHeight="1" x14ac:dyDescent="0.3">
      <c r="B156" s="34"/>
      <c r="C156" s="35"/>
      <c r="D156" s="36"/>
      <c r="E156" s="37"/>
      <c r="F156" s="38"/>
      <c r="G156" s="39"/>
      <c r="H156" s="40"/>
      <c r="I156" s="41"/>
      <c r="J156" s="42"/>
      <c r="K156" s="43"/>
      <c r="L156" s="9"/>
      <c r="M156" s="12"/>
      <c r="N156" s="44"/>
      <c r="O156" s="45"/>
      <c r="P156" s="46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</row>
    <row r="157" spans="2:28" ht="16.5" customHeight="1" x14ac:dyDescent="0.3">
      <c r="B157" s="34"/>
      <c r="C157" s="47"/>
      <c r="D157" s="48"/>
      <c r="E157" s="49"/>
      <c r="F157" s="50"/>
      <c r="G157" s="51"/>
      <c r="H157" s="52"/>
      <c r="I157" s="53"/>
      <c r="J157" s="54"/>
      <c r="K157" s="55"/>
      <c r="L157" s="18"/>
      <c r="M157" s="21"/>
      <c r="N157" s="56"/>
      <c r="O157" s="57"/>
      <c r="P157" s="58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</row>
    <row r="158" spans="2:28" ht="16.5" customHeight="1" x14ac:dyDescent="0.3">
      <c r="B158" s="34"/>
      <c r="C158" s="35"/>
      <c r="D158" s="36"/>
      <c r="E158" s="37"/>
      <c r="F158" s="38"/>
      <c r="G158" s="39"/>
      <c r="H158" s="40"/>
      <c r="I158" s="41"/>
      <c r="J158" s="42"/>
      <c r="K158" s="43"/>
      <c r="L158" s="9"/>
      <c r="M158" s="12"/>
      <c r="N158" s="44"/>
      <c r="O158" s="45"/>
      <c r="P158" s="46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</row>
    <row r="159" spans="2:28" ht="16.5" customHeight="1" x14ac:dyDescent="0.3">
      <c r="B159" s="34"/>
      <c r="C159" s="47"/>
      <c r="D159" s="48"/>
      <c r="E159" s="49"/>
      <c r="F159" s="50"/>
      <c r="G159" s="51"/>
      <c r="H159" s="52"/>
      <c r="I159" s="53"/>
      <c r="J159" s="54"/>
      <c r="K159" s="55"/>
      <c r="L159" s="18"/>
      <c r="M159" s="21"/>
      <c r="N159" s="56"/>
      <c r="O159" s="57"/>
      <c r="P159" s="58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</row>
    <row r="160" spans="2:28" ht="16.5" customHeight="1" x14ac:dyDescent="0.3">
      <c r="B160" s="34"/>
      <c r="C160" s="35"/>
      <c r="D160" s="36"/>
      <c r="E160" s="37"/>
      <c r="F160" s="38"/>
      <c r="G160" s="39"/>
      <c r="H160" s="40"/>
      <c r="I160" s="41"/>
      <c r="J160" s="42"/>
      <c r="K160" s="43"/>
      <c r="L160" s="9"/>
      <c r="M160" s="12"/>
      <c r="N160" s="44"/>
      <c r="O160" s="45"/>
      <c r="P160" s="46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</row>
    <row r="161" spans="2:28" ht="16.5" customHeight="1" x14ac:dyDescent="0.3">
      <c r="B161" s="34"/>
      <c r="C161" s="47"/>
      <c r="D161" s="48"/>
      <c r="E161" s="49"/>
      <c r="F161" s="50"/>
      <c r="G161" s="51"/>
      <c r="H161" s="52"/>
      <c r="I161" s="53"/>
      <c r="J161" s="54"/>
      <c r="K161" s="55"/>
      <c r="L161" s="18"/>
      <c r="M161" s="21"/>
      <c r="N161" s="56"/>
      <c r="O161" s="57"/>
      <c r="P161" s="58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</row>
    <row r="162" spans="2:28" ht="16.5" customHeight="1" x14ac:dyDescent="0.3">
      <c r="B162" s="34"/>
      <c r="C162" s="35"/>
      <c r="D162" s="36"/>
      <c r="E162" s="37"/>
      <c r="F162" s="38"/>
      <c r="G162" s="39"/>
      <c r="H162" s="40"/>
      <c r="I162" s="41"/>
      <c r="J162" s="42"/>
      <c r="K162" s="43"/>
      <c r="L162" s="9"/>
      <c r="M162" s="12"/>
      <c r="N162" s="44"/>
      <c r="O162" s="45"/>
      <c r="P162" s="46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</row>
    <row r="163" spans="2:28" ht="16.5" customHeight="1" x14ac:dyDescent="0.3">
      <c r="B163" s="34"/>
      <c r="C163" s="47"/>
      <c r="D163" s="48"/>
      <c r="E163" s="49"/>
      <c r="F163" s="50"/>
      <c r="G163" s="51"/>
      <c r="H163" s="52"/>
      <c r="I163" s="53"/>
      <c r="J163" s="54"/>
      <c r="K163" s="55"/>
      <c r="L163" s="18"/>
      <c r="M163" s="21"/>
      <c r="N163" s="56"/>
      <c r="O163" s="57"/>
      <c r="P163" s="58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</row>
    <row r="164" spans="2:28" ht="16.5" customHeight="1" x14ac:dyDescent="0.3">
      <c r="B164" s="34"/>
      <c r="C164" s="35"/>
      <c r="D164" s="36"/>
      <c r="E164" s="37"/>
      <c r="F164" s="38"/>
      <c r="G164" s="39"/>
      <c r="H164" s="40"/>
      <c r="I164" s="41"/>
      <c r="J164" s="42"/>
      <c r="K164" s="43"/>
      <c r="L164" s="9"/>
      <c r="M164" s="12"/>
      <c r="N164" s="44"/>
      <c r="O164" s="45"/>
      <c r="P164" s="46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</row>
    <row r="165" spans="2:28" ht="16.5" customHeight="1" x14ac:dyDescent="0.3">
      <c r="B165" s="34"/>
      <c r="C165" s="47"/>
      <c r="D165" s="48"/>
      <c r="E165" s="49"/>
      <c r="F165" s="50"/>
      <c r="G165" s="51"/>
      <c r="H165" s="52"/>
      <c r="I165" s="53"/>
      <c r="J165" s="54"/>
      <c r="K165" s="55"/>
      <c r="L165" s="18"/>
      <c r="M165" s="21"/>
      <c r="N165" s="56"/>
      <c r="O165" s="57"/>
      <c r="P165" s="58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</row>
    <row r="166" spans="2:28" ht="16.5" customHeight="1" x14ac:dyDescent="0.3">
      <c r="B166" s="34"/>
      <c r="C166" s="35"/>
      <c r="D166" s="36"/>
      <c r="E166" s="37"/>
      <c r="F166" s="38"/>
      <c r="G166" s="39"/>
      <c r="H166" s="40"/>
      <c r="I166" s="41"/>
      <c r="J166" s="42"/>
      <c r="K166" s="43"/>
      <c r="L166" s="9"/>
      <c r="M166" s="12"/>
      <c r="N166" s="44"/>
      <c r="O166" s="45"/>
      <c r="P166" s="46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</row>
    <row r="167" spans="2:28" ht="16.5" customHeight="1" x14ac:dyDescent="0.3">
      <c r="B167" s="34"/>
      <c r="C167" s="47"/>
      <c r="D167" s="48"/>
      <c r="E167" s="49"/>
      <c r="F167" s="50"/>
      <c r="G167" s="51"/>
      <c r="H167" s="52"/>
      <c r="I167" s="53"/>
      <c r="J167" s="54"/>
      <c r="K167" s="55"/>
      <c r="L167" s="18"/>
      <c r="M167" s="21"/>
      <c r="N167" s="56"/>
      <c r="O167" s="57"/>
      <c r="P167" s="58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</row>
    <row r="168" spans="2:28" ht="16.5" customHeight="1" x14ac:dyDescent="0.3">
      <c r="B168" s="34"/>
      <c r="C168" s="35"/>
      <c r="D168" s="36"/>
      <c r="E168" s="37"/>
      <c r="F168" s="38"/>
      <c r="G168" s="39"/>
      <c r="H168" s="40"/>
      <c r="I168" s="41"/>
      <c r="J168" s="42"/>
      <c r="K168" s="43"/>
      <c r="L168" s="9"/>
      <c r="M168" s="12"/>
      <c r="N168" s="44"/>
      <c r="O168" s="45"/>
      <c r="P168" s="46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</row>
    <row r="169" spans="2:28" ht="16.5" customHeight="1" x14ac:dyDescent="0.3">
      <c r="B169" s="34"/>
      <c r="C169" s="47"/>
      <c r="D169" s="48"/>
      <c r="E169" s="49"/>
      <c r="F169" s="50"/>
      <c r="G169" s="51"/>
      <c r="H169" s="52"/>
      <c r="I169" s="53"/>
      <c r="J169" s="54"/>
      <c r="K169" s="55"/>
      <c r="L169" s="18"/>
      <c r="M169" s="21"/>
      <c r="N169" s="56"/>
      <c r="O169" s="57"/>
      <c r="P169" s="58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</row>
    <row r="170" spans="2:28" ht="16.5" customHeight="1" x14ac:dyDescent="0.3">
      <c r="B170" s="34"/>
      <c r="C170" s="35"/>
      <c r="D170" s="36"/>
      <c r="E170" s="37"/>
      <c r="F170" s="38"/>
      <c r="G170" s="39"/>
      <c r="H170" s="40"/>
      <c r="I170" s="41"/>
      <c r="J170" s="42"/>
      <c r="K170" s="43"/>
      <c r="L170" s="9"/>
      <c r="M170" s="12"/>
      <c r="N170" s="44"/>
      <c r="O170" s="45"/>
      <c r="P170" s="46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</row>
    <row r="171" spans="2:28" ht="16.5" customHeight="1" x14ac:dyDescent="0.3">
      <c r="B171" s="34"/>
      <c r="C171" s="47"/>
      <c r="D171" s="48"/>
      <c r="E171" s="49"/>
      <c r="F171" s="50"/>
      <c r="G171" s="51"/>
      <c r="H171" s="52"/>
      <c r="I171" s="53"/>
      <c r="J171" s="54"/>
      <c r="K171" s="55"/>
      <c r="L171" s="18"/>
      <c r="M171" s="21"/>
      <c r="N171" s="56"/>
      <c r="O171" s="57"/>
      <c r="P171" s="58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</row>
    <row r="172" spans="2:28" ht="16.5" customHeight="1" x14ac:dyDescent="0.3">
      <c r="B172" s="34"/>
      <c r="C172" s="35"/>
      <c r="D172" s="36"/>
      <c r="E172" s="37"/>
      <c r="F172" s="38"/>
      <c r="G172" s="39"/>
      <c r="H172" s="40"/>
      <c r="I172" s="41"/>
      <c r="J172" s="42"/>
      <c r="K172" s="43"/>
      <c r="L172" s="9"/>
      <c r="M172" s="12"/>
      <c r="N172" s="44"/>
      <c r="O172" s="45"/>
      <c r="P172" s="46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</row>
    <row r="173" spans="2:28" ht="16.5" customHeight="1" x14ac:dyDescent="0.3">
      <c r="B173" s="34"/>
      <c r="C173" s="47"/>
      <c r="D173" s="48"/>
      <c r="E173" s="49"/>
      <c r="F173" s="50"/>
      <c r="G173" s="51"/>
      <c r="H173" s="52"/>
      <c r="I173" s="53"/>
      <c r="J173" s="54"/>
      <c r="K173" s="55"/>
      <c r="L173" s="18"/>
      <c r="M173" s="21"/>
      <c r="N173" s="56"/>
      <c r="O173" s="57"/>
      <c r="P173" s="58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</row>
    <row r="174" spans="2:28" ht="16.5" customHeight="1" x14ac:dyDescent="0.3">
      <c r="B174" s="34"/>
      <c r="C174" s="35"/>
      <c r="D174" s="36"/>
      <c r="E174" s="37"/>
      <c r="F174" s="38"/>
      <c r="G174" s="39"/>
      <c r="H174" s="40"/>
      <c r="I174" s="41"/>
      <c r="J174" s="42"/>
      <c r="K174" s="43"/>
      <c r="L174" s="9"/>
      <c r="M174" s="12"/>
      <c r="N174" s="44"/>
      <c r="O174" s="45"/>
      <c r="P174" s="46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</row>
    <row r="175" spans="2:28" ht="16.5" customHeight="1" x14ac:dyDescent="0.3">
      <c r="B175" s="34"/>
      <c r="C175" s="47"/>
      <c r="D175" s="48"/>
      <c r="E175" s="49"/>
      <c r="F175" s="50"/>
      <c r="G175" s="51"/>
      <c r="H175" s="52"/>
      <c r="I175" s="53"/>
      <c r="J175" s="54"/>
      <c r="K175" s="55"/>
      <c r="L175" s="18"/>
      <c r="M175" s="21"/>
      <c r="N175" s="56"/>
      <c r="O175" s="57"/>
      <c r="P175" s="58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</row>
    <row r="176" spans="2:28" ht="16.5" customHeight="1" x14ac:dyDescent="0.3">
      <c r="B176" s="34"/>
      <c r="C176" s="35"/>
      <c r="D176" s="36"/>
      <c r="E176" s="37"/>
      <c r="F176" s="38"/>
      <c r="G176" s="39"/>
      <c r="H176" s="40"/>
      <c r="I176" s="41"/>
      <c r="J176" s="42"/>
      <c r="K176" s="43"/>
      <c r="L176" s="9"/>
      <c r="M176" s="12"/>
      <c r="N176" s="44"/>
      <c r="O176" s="45"/>
      <c r="P176" s="46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</row>
    <row r="177" spans="2:28" ht="16.5" customHeight="1" x14ac:dyDescent="0.3">
      <c r="B177" s="34"/>
      <c r="C177" s="47"/>
      <c r="D177" s="48"/>
      <c r="E177" s="49"/>
      <c r="F177" s="50"/>
      <c r="G177" s="51"/>
      <c r="H177" s="52"/>
      <c r="I177" s="53"/>
      <c r="J177" s="54"/>
      <c r="K177" s="55"/>
      <c r="L177" s="18"/>
      <c r="M177" s="21"/>
      <c r="N177" s="56"/>
      <c r="O177" s="57"/>
      <c r="P177" s="58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</row>
    <row r="178" spans="2:28" ht="16.5" customHeight="1" x14ac:dyDescent="0.3">
      <c r="B178" s="34"/>
      <c r="C178" s="35"/>
      <c r="D178" s="36"/>
      <c r="E178" s="37"/>
      <c r="F178" s="38"/>
      <c r="G178" s="39"/>
      <c r="H178" s="40"/>
      <c r="I178" s="41"/>
      <c r="J178" s="42"/>
      <c r="K178" s="43"/>
      <c r="L178" s="9"/>
      <c r="M178" s="12"/>
      <c r="N178" s="44"/>
      <c r="O178" s="45"/>
      <c r="P178" s="46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</row>
    <row r="179" spans="2:28" ht="16.5" customHeight="1" x14ac:dyDescent="0.3">
      <c r="B179" s="34"/>
      <c r="C179" s="47"/>
      <c r="D179" s="48"/>
      <c r="E179" s="49"/>
      <c r="F179" s="50"/>
      <c r="G179" s="51"/>
      <c r="H179" s="52"/>
      <c r="I179" s="53"/>
      <c r="J179" s="54"/>
      <c r="K179" s="55"/>
      <c r="L179" s="18"/>
      <c r="M179" s="21"/>
      <c r="N179" s="56"/>
      <c r="O179" s="57"/>
      <c r="P179" s="58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</row>
    <row r="180" spans="2:28" ht="16.5" customHeight="1" x14ac:dyDescent="0.3">
      <c r="B180" s="34"/>
      <c r="C180" s="35"/>
      <c r="D180" s="36"/>
      <c r="E180" s="37"/>
      <c r="F180" s="38"/>
      <c r="G180" s="39"/>
      <c r="H180" s="40"/>
      <c r="I180" s="41"/>
      <c r="J180" s="42"/>
      <c r="K180" s="43"/>
      <c r="L180" s="9"/>
      <c r="M180" s="12"/>
      <c r="N180" s="44"/>
      <c r="O180" s="45"/>
      <c r="P180" s="46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</row>
    <row r="181" spans="2:28" ht="16.5" customHeight="1" x14ac:dyDescent="0.3">
      <c r="B181" s="34"/>
      <c r="C181" s="47"/>
      <c r="D181" s="48"/>
      <c r="E181" s="49"/>
      <c r="F181" s="50"/>
      <c r="G181" s="51"/>
      <c r="H181" s="52"/>
      <c r="I181" s="53"/>
      <c r="J181" s="54"/>
      <c r="K181" s="55"/>
      <c r="L181" s="18"/>
      <c r="M181" s="21"/>
      <c r="N181" s="56"/>
      <c r="O181" s="57"/>
      <c r="P181" s="58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</row>
    <row r="182" spans="2:28" ht="16.5" customHeight="1" x14ac:dyDescent="0.3">
      <c r="B182" s="34"/>
      <c r="C182" s="35"/>
      <c r="D182" s="36"/>
      <c r="E182" s="37"/>
      <c r="F182" s="38"/>
      <c r="G182" s="39"/>
      <c r="H182" s="40"/>
      <c r="I182" s="41"/>
      <c r="J182" s="42"/>
      <c r="K182" s="43"/>
      <c r="L182" s="9"/>
      <c r="M182" s="12"/>
      <c r="N182" s="44"/>
      <c r="O182" s="45"/>
      <c r="P182" s="46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</row>
    <row r="183" spans="2:28" ht="16.5" customHeight="1" x14ac:dyDescent="0.3">
      <c r="B183" s="34"/>
      <c r="C183" s="47"/>
      <c r="D183" s="48"/>
      <c r="E183" s="49"/>
      <c r="F183" s="50"/>
      <c r="G183" s="51"/>
      <c r="H183" s="52"/>
      <c r="I183" s="53"/>
      <c r="J183" s="54"/>
      <c r="K183" s="55"/>
      <c r="L183" s="18"/>
      <c r="M183" s="21"/>
      <c r="N183" s="56"/>
      <c r="O183" s="57"/>
      <c r="P183" s="58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</row>
    <row r="184" spans="2:28" ht="16.5" customHeight="1" x14ac:dyDescent="0.3">
      <c r="B184" s="34"/>
      <c r="C184" s="35"/>
      <c r="D184" s="36"/>
      <c r="E184" s="37"/>
      <c r="F184" s="38"/>
      <c r="G184" s="39"/>
      <c r="H184" s="40"/>
      <c r="I184" s="41"/>
      <c r="J184" s="42"/>
      <c r="K184" s="43"/>
      <c r="L184" s="9"/>
      <c r="M184" s="12"/>
      <c r="N184" s="44"/>
      <c r="O184" s="45"/>
      <c r="P184" s="46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</row>
    <row r="185" spans="2:28" ht="16.5" customHeight="1" x14ac:dyDescent="0.3">
      <c r="B185" s="34"/>
      <c r="C185" s="47"/>
      <c r="D185" s="48"/>
      <c r="E185" s="49"/>
      <c r="F185" s="50"/>
      <c r="G185" s="51"/>
      <c r="H185" s="52"/>
      <c r="I185" s="53"/>
      <c r="J185" s="54"/>
      <c r="K185" s="55"/>
      <c r="L185" s="18"/>
      <c r="M185" s="21"/>
      <c r="N185" s="56"/>
      <c r="O185" s="57"/>
      <c r="P185" s="58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</row>
    <row r="186" spans="2:28" ht="16.5" customHeight="1" x14ac:dyDescent="0.3">
      <c r="B186" s="34"/>
      <c r="C186" s="35"/>
      <c r="D186" s="36"/>
      <c r="E186" s="37"/>
      <c r="F186" s="38"/>
      <c r="G186" s="39"/>
      <c r="H186" s="40"/>
      <c r="I186" s="41"/>
      <c r="J186" s="42"/>
      <c r="K186" s="43"/>
      <c r="L186" s="9"/>
      <c r="M186" s="12"/>
      <c r="N186" s="44"/>
      <c r="O186" s="45"/>
      <c r="P186" s="46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</row>
    <row r="187" spans="2:28" ht="16.5" customHeight="1" x14ac:dyDescent="0.3">
      <c r="B187" s="34"/>
      <c r="C187" s="47"/>
      <c r="D187" s="48"/>
      <c r="E187" s="49"/>
      <c r="F187" s="50"/>
      <c r="G187" s="51"/>
      <c r="H187" s="52"/>
      <c r="I187" s="53"/>
      <c r="J187" s="54"/>
      <c r="K187" s="55"/>
      <c r="L187" s="18"/>
      <c r="M187" s="21"/>
      <c r="N187" s="56"/>
      <c r="O187" s="57"/>
      <c r="P187" s="58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</row>
    <row r="188" spans="2:28" ht="16.5" customHeight="1" x14ac:dyDescent="0.3">
      <c r="B188" s="34"/>
      <c r="C188" s="35"/>
      <c r="D188" s="36"/>
      <c r="E188" s="37"/>
      <c r="F188" s="38"/>
      <c r="G188" s="39"/>
      <c r="H188" s="40"/>
      <c r="I188" s="41"/>
      <c r="J188" s="42"/>
      <c r="K188" s="43"/>
      <c r="L188" s="9"/>
      <c r="M188" s="12"/>
      <c r="N188" s="44"/>
      <c r="O188" s="45"/>
      <c r="P188" s="46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</row>
    <row r="189" spans="2:28" ht="16.5" customHeight="1" x14ac:dyDescent="0.3">
      <c r="B189" s="34"/>
      <c r="C189" s="47"/>
      <c r="D189" s="48"/>
      <c r="E189" s="49"/>
      <c r="F189" s="50"/>
      <c r="G189" s="51"/>
      <c r="H189" s="52"/>
      <c r="I189" s="53"/>
      <c r="J189" s="54"/>
      <c r="K189" s="55"/>
      <c r="L189" s="18"/>
      <c r="M189" s="21"/>
      <c r="N189" s="56"/>
      <c r="O189" s="57"/>
      <c r="P189" s="58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</row>
    <row r="190" spans="2:28" ht="16.5" customHeight="1" x14ac:dyDescent="0.3">
      <c r="B190" s="34"/>
      <c r="C190" s="35"/>
      <c r="D190" s="36"/>
      <c r="E190" s="37"/>
      <c r="F190" s="38"/>
      <c r="G190" s="39"/>
      <c r="H190" s="40"/>
      <c r="I190" s="41"/>
      <c r="J190" s="42"/>
      <c r="K190" s="43"/>
      <c r="L190" s="9"/>
      <c r="M190" s="12"/>
      <c r="N190" s="44"/>
      <c r="O190" s="45"/>
      <c r="P190" s="46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</row>
    <row r="191" spans="2:28" ht="16.5" customHeight="1" x14ac:dyDescent="0.3">
      <c r="B191" s="34"/>
      <c r="C191" s="47"/>
      <c r="D191" s="48"/>
      <c r="E191" s="49"/>
      <c r="F191" s="50"/>
      <c r="G191" s="51"/>
      <c r="H191" s="52"/>
      <c r="I191" s="53"/>
      <c r="J191" s="54"/>
      <c r="K191" s="55"/>
      <c r="L191" s="18"/>
      <c r="M191" s="21"/>
      <c r="N191" s="56"/>
      <c r="O191" s="57"/>
      <c r="P191" s="58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</row>
    <row r="192" spans="2:28" ht="16.5" customHeight="1" x14ac:dyDescent="0.3">
      <c r="B192" s="34"/>
      <c r="C192" s="35"/>
      <c r="D192" s="36"/>
      <c r="E192" s="37"/>
      <c r="F192" s="38"/>
      <c r="G192" s="39"/>
      <c r="H192" s="40"/>
      <c r="I192" s="41"/>
      <c r="J192" s="42"/>
      <c r="K192" s="43"/>
      <c r="L192" s="9"/>
      <c r="M192" s="12"/>
      <c r="N192" s="44"/>
      <c r="O192" s="45"/>
      <c r="P192" s="46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</row>
    <row r="193" spans="2:28" ht="16.5" customHeight="1" x14ac:dyDescent="0.3">
      <c r="B193" s="34"/>
      <c r="C193" s="47"/>
      <c r="D193" s="48"/>
      <c r="E193" s="49"/>
      <c r="F193" s="50"/>
      <c r="G193" s="51"/>
      <c r="H193" s="52"/>
      <c r="I193" s="53"/>
      <c r="J193" s="54"/>
      <c r="K193" s="55"/>
      <c r="L193" s="18"/>
      <c r="M193" s="21"/>
      <c r="N193" s="56"/>
      <c r="O193" s="57"/>
      <c r="P193" s="58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</row>
    <row r="194" spans="2:28" ht="16.5" customHeight="1" x14ac:dyDescent="0.3">
      <c r="B194" s="34"/>
      <c r="C194" s="35"/>
      <c r="D194" s="36"/>
      <c r="E194" s="37"/>
      <c r="F194" s="38"/>
      <c r="G194" s="39"/>
      <c r="H194" s="40"/>
      <c r="I194" s="41"/>
      <c r="J194" s="42"/>
      <c r="K194" s="43"/>
      <c r="L194" s="9"/>
      <c r="M194" s="12"/>
      <c r="N194" s="44"/>
      <c r="O194" s="45"/>
      <c r="P194" s="46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</row>
    <row r="195" spans="2:28" ht="16.5" customHeight="1" x14ac:dyDescent="0.3">
      <c r="B195" s="34"/>
      <c r="C195" s="47"/>
      <c r="D195" s="48"/>
      <c r="E195" s="49"/>
      <c r="F195" s="50"/>
      <c r="G195" s="51"/>
      <c r="H195" s="52"/>
      <c r="I195" s="53"/>
      <c r="J195" s="54"/>
      <c r="K195" s="55"/>
      <c r="L195" s="18"/>
      <c r="M195" s="21"/>
      <c r="N195" s="56"/>
      <c r="O195" s="57"/>
      <c r="P195" s="58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</row>
    <row r="196" spans="2:28" ht="16.5" customHeight="1" x14ac:dyDescent="0.3">
      <c r="B196" s="34"/>
      <c r="C196" s="35"/>
      <c r="D196" s="36"/>
      <c r="E196" s="37"/>
      <c r="F196" s="38"/>
      <c r="G196" s="39"/>
      <c r="H196" s="40"/>
      <c r="I196" s="41"/>
      <c r="J196" s="42"/>
      <c r="K196" s="43"/>
      <c r="L196" s="9"/>
      <c r="M196" s="12"/>
      <c r="N196" s="44"/>
      <c r="O196" s="45"/>
      <c r="P196" s="46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</row>
    <row r="197" spans="2:28" ht="16.5" customHeight="1" x14ac:dyDescent="0.3">
      <c r="B197" s="34"/>
      <c r="C197" s="47"/>
      <c r="D197" s="48"/>
      <c r="E197" s="49"/>
      <c r="F197" s="50"/>
      <c r="G197" s="51"/>
      <c r="H197" s="52"/>
      <c r="I197" s="53"/>
      <c r="J197" s="54"/>
      <c r="K197" s="55"/>
      <c r="L197" s="18"/>
      <c r="M197" s="21"/>
      <c r="N197" s="56"/>
      <c r="O197" s="57"/>
      <c r="P197" s="58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</row>
    <row r="198" spans="2:28" ht="16.5" customHeight="1" x14ac:dyDescent="0.3">
      <c r="B198" s="34"/>
      <c r="C198" s="35"/>
      <c r="D198" s="36"/>
      <c r="E198" s="37"/>
      <c r="F198" s="38"/>
      <c r="G198" s="39"/>
      <c r="H198" s="40"/>
      <c r="I198" s="41"/>
      <c r="J198" s="42"/>
      <c r="K198" s="43"/>
      <c r="L198" s="9"/>
      <c r="M198" s="12"/>
      <c r="N198" s="44"/>
      <c r="O198" s="45"/>
      <c r="P198" s="46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</row>
    <row r="199" spans="2:28" ht="16.5" customHeight="1" x14ac:dyDescent="0.3">
      <c r="B199" s="34"/>
      <c r="C199" s="47"/>
      <c r="D199" s="48"/>
      <c r="E199" s="49"/>
      <c r="F199" s="50"/>
      <c r="G199" s="51"/>
      <c r="H199" s="52"/>
      <c r="I199" s="53"/>
      <c r="J199" s="54"/>
      <c r="K199" s="55"/>
      <c r="L199" s="18"/>
      <c r="M199" s="21"/>
      <c r="N199" s="56"/>
      <c r="O199" s="57"/>
      <c r="P199" s="58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</row>
    <row r="200" spans="2:28" ht="16.5" customHeight="1" x14ac:dyDescent="0.3">
      <c r="B200" s="34"/>
      <c r="C200" s="35"/>
      <c r="D200" s="36"/>
      <c r="E200" s="37"/>
      <c r="F200" s="38"/>
      <c r="G200" s="39"/>
      <c r="H200" s="40"/>
      <c r="I200" s="41"/>
      <c r="J200" s="42"/>
      <c r="K200" s="43"/>
      <c r="L200" s="9"/>
      <c r="M200" s="12"/>
      <c r="N200" s="44"/>
      <c r="O200" s="45"/>
      <c r="P200" s="46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</row>
    <row r="201" spans="2:28" ht="16.5" customHeight="1" x14ac:dyDescent="0.3">
      <c r="B201" s="34"/>
      <c r="C201" s="47"/>
      <c r="D201" s="48"/>
      <c r="E201" s="49"/>
      <c r="F201" s="50"/>
      <c r="G201" s="51"/>
      <c r="H201" s="52"/>
      <c r="I201" s="53"/>
      <c r="J201" s="54"/>
      <c r="K201" s="55"/>
      <c r="L201" s="18"/>
      <c r="M201" s="21"/>
      <c r="N201" s="56"/>
      <c r="O201" s="57"/>
      <c r="P201" s="58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</row>
    <row r="202" spans="2:28" ht="16.5" customHeight="1" x14ac:dyDescent="0.3">
      <c r="B202" s="34"/>
      <c r="C202" s="35"/>
      <c r="D202" s="36"/>
      <c r="E202" s="37"/>
      <c r="F202" s="38"/>
      <c r="G202" s="39"/>
      <c r="H202" s="40"/>
      <c r="I202" s="41"/>
      <c r="J202" s="42"/>
      <c r="K202" s="43"/>
      <c r="L202" s="9"/>
      <c r="M202" s="12"/>
      <c r="N202" s="44"/>
      <c r="O202" s="45"/>
      <c r="P202" s="46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</row>
    <row r="203" spans="2:28" ht="16.5" customHeight="1" x14ac:dyDescent="0.3">
      <c r="B203" s="34"/>
      <c r="C203" s="47"/>
      <c r="D203" s="48"/>
      <c r="E203" s="49"/>
      <c r="F203" s="50"/>
      <c r="G203" s="51"/>
      <c r="H203" s="52"/>
      <c r="I203" s="53"/>
      <c r="J203" s="54"/>
      <c r="K203" s="55"/>
      <c r="L203" s="18"/>
      <c r="M203" s="21"/>
      <c r="N203" s="56"/>
      <c r="O203" s="57"/>
      <c r="P203" s="58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</row>
    <row r="204" spans="2:28" ht="16.5" customHeight="1" x14ac:dyDescent="0.3">
      <c r="B204" s="34"/>
      <c r="C204" s="35"/>
      <c r="D204" s="36"/>
      <c r="E204" s="37"/>
      <c r="F204" s="38"/>
      <c r="G204" s="39"/>
      <c r="H204" s="40"/>
      <c r="I204" s="41"/>
      <c r="J204" s="42"/>
      <c r="K204" s="43"/>
      <c r="L204" s="9"/>
      <c r="M204" s="12"/>
      <c r="N204" s="44"/>
      <c r="O204" s="45"/>
      <c r="P204" s="46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</row>
    <row r="205" spans="2:28" ht="16.5" customHeight="1" x14ac:dyDescent="0.3">
      <c r="B205" s="34"/>
      <c r="C205" s="47"/>
      <c r="D205" s="48"/>
      <c r="E205" s="49"/>
      <c r="F205" s="50"/>
      <c r="G205" s="51"/>
      <c r="H205" s="52"/>
      <c r="I205" s="53"/>
      <c r="J205" s="54"/>
      <c r="K205" s="55"/>
      <c r="L205" s="18"/>
      <c r="M205" s="21"/>
      <c r="N205" s="56"/>
      <c r="O205" s="57"/>
      <c r="P205" s="58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</row>
    <row r="206" spans="2:28" ht="16.5" customHeight="1" x14ac:dyDescent="0.3">
      <c r="B206" s="34"/>
      <c r="C206" s="35"/>
      <c r="D206" s="36"/>
      <c r="E206" s="37"/>
      <c r="F206" s="38"/>
      <c r="G206" s="39"/>
      <c r="H206" s="40"/>
      <c r="I206" s="41"/>
      <c r="J206" s="42"/>
      <c r="K206" s="43"/>
      <c r="L206" s="9"/>
      <c r="M206" s="12"/>
      <c r="N206" s="44"/>
      <c r="O206" s="45"/>
      <c r="P206" s="46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</row>
    <row r="207" spans="2:28" ht="16.5" customHeight="1" x14ac:dyDescent="0.3">
      <c r="B207" s="34"/>
      <c r="C207" s="47"/>
      <c r="D207" s="48"/>
      <c r="E207" s="49"/>
      <c r="F207" s="50"/>
      <c r="G207" s="51"/>
      <c r="H207" s="52"/>
      <c r="I207" s="53"/>
      <c r="J207" s="54"/>
      <c r="K207" s="55"/>
      <c r="L207" s="18"/>
      <c r="M207" s="21"/>
      <c r="N207" s="56"/>
      <c r="O207" s="57"/>
      <c r="P207" s="58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</row>
    <row r="208" spans="2:28" ht="16.5" customHeight="1" x14ac:dyDescent="0.3">
      <c r="B208" s="34"/>
      <c r="C208" s="35"/>
      <c r="D208" s="36"/>
      <c r="E208" s="37"/>
      <c r="F208" s="38"/>
      <c r="G208" s="39"/>
      <c r="H208" s="40"/>
      <c r="I208" s="41"/>
      <c r="J208" s="42"/>
      <c r="K208" s="43"/>
      <c r="L208" s="9"/>
      <c r="M208" s="12"/>
      <c r="N208" s="44"/>
      <c r="O208" s="45"/>
      <c r="P208" s="46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</row>
    <row r="209" spans="2:28" ht="16.5" customHeight="1" x14ac:dyDescent="0.3">
      <c r="B209" s="34"/>
      <c r="C209" s="47"/>
      <c r="D209" s="48"/>
      <c r="E209" s="49"/>
      <c r="F209" s="50"/>
      <c r="G209" s="51"/>
      <c r="H209" s="52"/>
      <c r="I209" s="53"/>
      <c r="J209" s="54"/>
      <c r="K209" s="55"/>
      <c r="L209" s="18"/>
      <c r="M209" s="21"/>
      <c r="N209" s="56"/>
      <c r="O209" s="57"/>
      <c r="P209" s="58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</row>
    <row r="210" spans="2:28" ht="16.5" customHeight="1" x14ac:dyDescent="0.3">
      <c r="B210" s="34"/>
      <c r="C210" s="35"/>
      <c r="D210" s="36"/>
      <c r="E210" s="37"/>
      <c r="F210" s="38"/>
      <c r="G210" s="39"/>
      <c r="H210" s="40"/>
      <c r="I210" s="41"/>
      <c r="J210" s="42"/>
      <c r="K210" s="43"/>
      <c r="L210" s="9"/>
      <c r="M210" s="12"/>
      <c r="N210" s="44"/>
      <c r="O210" s="45"/>
      <c r="P210" s="46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</row>
    <row r="211" spans="2:28" ht="16.5" customHeight="1" x14ac:dyDescent="0.3">
      <c r="B211" s="34"/>
      <c r="C211" s="47"/>
      <c r="D211" s="48"/>
      <c r="E211" s="49"/>
      <c r="F211" s="50"/>
      <c r="G211" s="51"/>
      <c r="H211" s="52"/>
      <c r="I211" s="53"/>
      <c r="J211" s="54"/>
      <c r="K211" s="55"/>
      <c r="L211" s="18"/>
      <c r="M211" s="21"/>
      <c r="N211" s="56"/>
      <c r="O211" s="57"/>
      <c r="P211" s="58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</row>
    <row r="212" spans="2:28" ht="16.5" customHeight="1" x14ac:dyDescent="0.3">
      <c r="B212" s="34"/>
      <c r="C212" s="35"/>
      <c r="D212" s="36"/>
      <c r="E212" s="37"/>
      <c r="F212" s="38"/>
      <c r="G212" s="39"/>
      <c r="H212" s="40"/>
      <c r="I212" s="41"/>
      <c r="J212" s="42"/>
      <c r="K212" s="43"/>
      <c r="L212" s="9"/>
      <c r="M212" s="12"/>
      <c r="N212" s="44"/>
      <c r="O212" s="45"/>
      <c r="P212" s="46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</row>
    <row r="213" spans="2:28" ht="16.5" customHeight="1" x14ac:dyDescent="0.3">
      <c r="B213" s="34"/>
      <c r="C213" s="47"/>
      <c r="D213" s="48"/>
      <c r="E213" s="49"/>
      <c r="F213" s="50"/>
      <c r="G213" s="51"/>
      <c r="H213" s="52"/>
      <c r="I213" s="53"/>
      <c r="J213" s="54"/>
      <c r="K213" s="55"/>
      <c r="L213" s="18"/>
      <c r="M213" s="21"/>
      <c r="N213" s="56"/>
      <c r="O213" s="57"/>
      <c r="P213" s="58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</row>
    <row r="214" spans="2:28" ht="16.5" customHeight="1" x14ac:dyDescent="0.3">
      <c r="B214" s="34"/>
      <c r="C214" s="35"/>
      <c r="D214" s="36"/>
      <c r="E214" s="37"/>
      <c r="F214" s="38"/>
      <c r="G214" s="39"/>
      <c r="H214" s="40"/>
      <c r="I214" s="41"/>
      <c r="J214" s="42"/>
      <c r="K214" s="43"/>
      <c r="L214" s="9"/>
      <c r="M214" s="12"/>
      <c r="N214" s="44"/>
      <c r="O214" s="45"/>
      <c r="P214" s="46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</row>
    <row r="215" spans="2:28" ht="16.5" customHeight="1" x14ac:dyDescent="0.3">
      <c r="B215" s="34"/>
      <c r="C215" s="47"/>
      <c r="D215" s="48"/>
      <c r="E215" s="49"/>
      <c r="F215" s="50"/>
      <c r="G215" s="51"/>
      <c r="H215" s="52"/>
      <c r="I215" s="53"/>
      <c r="J215" s="54"/>
      <c r="K215" s="55"/>
      <c r="L215" s="18"/>
      <c r="M215" s="21"/>
      <c r="N215" s="56"/>
      <c r="O215" s="57"/>
      <c r="P215" s="58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</row>
    <row r="216" spans="2:28" ht="16.5" customHeight="1" x14ac:dyDescent="0.3">
      <c r="B216" s="34"/>
      <c r="C216" s="35"/>
      <c r="D216" s="36"/>
      <c r="E216" s="37"/>
      <c r="F216" s="38"/>
      <c r="G216" s="39"/>
      <c r="H216" s="40"/>
      <c r="I216" s="41"/>
      <c r="J216" s="42"/>
      <c r="K216" s="43"/>
      <c r="L216" s="9"/>
      <c r="M216" s="12"/>
      <c r="N216" s="44"/>
      <c r="O216" s="45"/>
      <c r="P216" s="46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</row>
    <row r="217" spans="2:28" ht="16.5" customHeight="1" x14ac:dyDescent="0.3">
      <c r="B217" s="34"/>
      <c r="C217" s="47"/>
      <c r="D217" s="48"/>
      <c r="E217" s="49"/>
      <c r="F217" s="50"/>
      <c r="G217" s="51"/>
      <c r="H217" s="52"/>
      <c r="I217" s="53"/>
      <c r="J217" s="54"/>
      <c r="K217" s="55"/>
      <c r="L217" s="18"/>
      <c r="M217" s="21"/>
      <c r="N217" s="56"/>
      <c r="O217" s="57"/>
      <c r="P217" s="58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</row>
    <row r="218" spans="2:28" ht="16.5" customHeight="1" x14ac:dyDescent="0.3">
      <c r="B218" s="34"/>
      <c r="C218" s="35"/>
      <c r="D218" s="36"/>
      <c r="E218" s="37"/>
      <c r="F218" s="38"/>
      <c r="G218" s="39"/>
      <c r="H218" s="40"/>
      <c r="I218" s="41"/>
      <c r="J218" s="42"/>
      <c r="K218" s="43"/>
      <c r="L218" s="9"/>
      <c r="M218" s="12"/>
      <c r="N218" s="44"/>
      <c r="O218" s="45"/>
      <c r="P218" s="46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</row>
    <row r="219" spans="2:28" ht="16.5" customHeight="1" x14ac:dyDescent="0.3">
      <c r="B219" s="34"/>
      <c r="C219" s="47"/>
      <c r="D219" s="48"/>
      <c r="E219" s="49"/>
      <c r="F219" s="50"/>
      <c r="G219" s="51"/>
      <c r="H219" s="52"/>
      <c r="I219" s="53"/>
      <c r="J219" s="54"/>
      <c r="K219" s="55"/>
      <c r="L219" s="18"/>
      <c r="M219" s="21"/>
      <c r="N219" s="56"/>
      <c r="O219" s="57"/>
      <c r="P219" s="58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</row>
    <row r="220" spans="2:28" ht="16.5" customHeight="1" x14ac:dyDescent="0.3">
      <c r="B220" s="34"/>
      <c r="C220" s="35"/>
      <c r="D220" s="36"/>
      <c r="E220" s="37"/>
      <c r="F220" s="38"/>
      <c r="G220" s="39"/>
      <c r="H220" s="40"/>
      <c r="I220" s="41"/>
      <c r="J220" s="42"/>
      <c r="K220" s="43"/>
      <c r="L220" s="9"/>
      <c r="M220" s="12"/>
      <c r="N220" s="44"/>
      <c r="O220" s="45"/>
      <c r="P220" s="46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</row>
    <row r="221" spans="2:28" ht="16.5" customHeight="1" x14ac:dyDescent="0.3">
      <c r="B221" s="34"/>
      <c r="C221" s="47"/>
      <c r="D221" s="48"/>
      <c r="E221" s="49"/>
      <c r="F221" s="50"/>
      <c r="G221" s="51"/>
      <c r="H221" s="52"/>
      <c r="I221" s="53"/>
      <c r="J221" s="54"/>
      <c r="K221" s="55"/>
      <c r="L221" s="18"/>
      <c r="M221" s="21"/>
      <c r="N221" s="56"/>
      <c r="O221" s="57"/>
      <c r="P221" s="58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</row>
    <row r="222" spans="2:28" ht="16.5" customHeight="1" x14ac:dyDescent="0.3">
      <c r="B222" s="34"/>
      <c r="C222" s="35"/>
      <c r="D222" s="36"/>
      <c r="E222" s="37"/>
      <c r="F222" s="38"/>
      <c r="G222" s="39"/>
      <c r="H222" s="40"/>
      <c r="I222" s="41"/>
      <c r="J222" s="42"/>
      <c r="K222" s="43"/>
      <c r="L222" s="9"/>
      <c r="M222" s="12"/>
      <c r="N222" s="44"/>
      <c r="O222" s="45"/>
      <c r="P222" s="46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</row>
    <row r="223" spans="2:28" ht="16.5" customHeight="1" x14ac:dyDescent="0.3">
      <c r="B223" s="34"/>
      <c r="C223" s="47"/>
      <c r="D223" s="48"/>
      <c r="E223" s="49"/>
      <c r="F223" s="50"/>
      <c r="G223" s="51"/>
      <c r="H223" s="52"/>
      <c r="I223" s="53"/>
      <c r="J223" s="54"/>
      <c r="K223" s="55"/>
      <c r="L223" s="18"/>
      <c r="M223" s="21"/>
      <c r="N223" s="56"/>
      <c r="O223" s="57"/>
      <c r="P223" s="58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</row>
    <row r="224" spans="2:28" ht="16.5" customHeight="1" x14ac:dyDescent="0.3">
      <c r="B224" s="34"/>
      <c r="C224" s="35"/>
      <c r="D224" s="36"/>
      <c r="E224" s="37"/>
      <c r="F224" s="38"/>
      <c r="G224" s="39"/>
      <c r="H224" s="40"/>
      <c r="I224" s="41"/>
      <c r="J224" s="42"/>
      <c r="K224" s="43"/>
      <c r="L224" s="9"/>
      <c r="M224" s="12"/>
      <c r="N224" s="44"/>
      <c r="O224" s="45"/>
      <c r="P224" s="46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</row>
    <row r="225" spans="2:28" ht="16.5" customHeight="1" x14ac:dyDescent="0.3">
      <c r="B225" s="34"/>
      <c r="C225" s="47"/>
      <c r="D225" s="48"/>
      <c r="E225" s="49"/>
      <c r="F225" s="50"/>
      <c r="G225" s="51"/>
      <c r="H225" s="52"/>
      <c r="I225" s="53"/>
      <c r="J225" s="54"/>
      <c r="K225" s="55"/>
      <c r="L225" s="18"/>
      <c r="M225" s="21"/>
      <c r="N225" s="56"/>
      <c r="O225" s="57"/>
      <c r="P225" s="58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</row>
    <row r="226" spans="2:28" ht="16.5" customHeight="1" x14ac:dyDescent="0.3">
      <c r="B226" s="34"/>
      <c r="C226" s="35"/>
      <c r="D226" s="36"/>
      <c r="E226" s="37"/>
      <c r="F226" s="38"/>
      <c r="G226" s="39"/>
      <c r="H226" s="40"/>
      <c r="I226" s="41"/>
      <c r="J226" s="42"/>
      <c r="K226" s="43"/>
      <c r="L226" s="9"/>
      <c r="M226" s="12"/>
      <c r="N226" s="44"/>
      <c r="O226" s="45"/>
      <c r="P226" s="46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</row>
    <row r="227" spans="2:28" ht="16.5" customHeight="1" x14ac:dyDescent="0.3">
      <c r="B227" s="34"/>
      <c r="C227" s="47"/>
      <c r="D227" s="48"/>
      <c r="E227" s="49"/>
      <c r="F227" s="50"/>
      <c r="G227" s="51"/>
      <c r="H227" s="52"/>
      <c r="I227" s="53"/>
      <c r="J227" s="54"/>
      <c r="K227" s="55"/>
      <c r="L227" s="18"/>
      <c r="M227" s="21"/>
      <c r="N227" s="56"/>
      <c r="O227" s="57"/>
      <c r="P227" s="58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</row>
    <row r="228" spans="2:28" ht="16.5" customHeight="1" x14ac:dyDescent="0.3">
      <c r="B228" s="34"/>
      <c r="C228" s="35"/>
      <c r="D228" s="36"/>
      <c r="E228" s="37"/>
      <c r="F228" s="38"/>
      <c r="G228" s="39"/>
      <c r="H228" s="40"/>
      <c r="I228" s="41"/>
      <c r="J228" s="42"/>
      <c r="K228" s="43"/>
      <c r="L228" s="9"/>
      <c r="M228" s="12"/>
      <c r="N228" s="44"/>
      <c r="O228" s="45"/>
      <c r="P228" s="46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</row>
    <row r="229" spans="2:28" ht="16.5" customHeight="1" x14ac:dyDescent="0.3">
      <c r="B229" s="34"/>
      <c r="C229" s="47"/>
      <c r="D229" s="48"/>
      <c r="E229" s="49"/>
      <c r="F229" s="50"/>
      <c r="G229" s="51"/>
      <c r="H229" s="52"/>
      <c r="I229" s="53"/>
      <c r="J229" s="54"/>
      <c r="K229" s="55"/>
      <c r="L229" s="18"/>
      <c r="M229" s="21"/>
      <c r="N229" s="56"/>
      <c r="O229" s="57"/>
      <c r="P229" s="58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</row>
    <row r="230" spans="2:28" ht="16.5" customHeight="1" x14ac:dyDescent="0.3">
      <c r="B230" s="34"/>
      <c r="C230" s="35"/>
      <c r="D230" s="36"/>
      <c r="E230" s="37"/>
      <c r="F230" s="38"/>
      <c r="G230" s="39"/>
      <c r="H230" s="40"/>
      <c r="I230" s="41"/>
      <c r="J230" s="42"/>
      <c r="K230" s="43"/>
      <c r="L230" s="9"/>
      <c r="M230" s="12"/>
      <c r="N230" s="44"/>
      <c r="O230" s="45"/>
      <c r="P230" s="46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</row>
    <row r="231" spans="2:28" ht="16.5" customHeight="1" x14ac:dyDescent="0.3">
      <c r="B231" s="34"/>
      <c r="C231" s="47"/>
      <c r="D231" s="48"/>
      <c r="E231" s="49"/>
      <c r="F231" s="50"/>
      <c r="G231" s="51"/>
      <c r="H231" s="52"/>
      <c r="I231" s="53"/>
      <c r="J231" s="54"/>
      <c r="K231" s="55"/>
      <c r="L231" s="18"/>
      <c r="M231" s="21"/>
      <c r="N231" s="56"/>
      <c r="O231" s="57"/>
      <c r="P231" s="58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</row>
    <row r="232" spans="2:28" ht="16.5" customHeight="1" x14ac:dyDescent="0.3">
      <c r="B232" s="34"/>
      <c r="C232" s="35"/>
      <c r="D232" s="36"/>
      <c r="E232" s="37"/>
      <c r="F232" s="38"/>
      <c r="G232" s="39"/>
      <c r="H232" s="40"/>
      <c r="I232" s="41"/>
      <c r="J232" s="42"/>
      <c r="K232" s="43"/>
      <c r="L232" s="9"/>
      <c r="M232" s="12"/>
      <c r="N232" s="44"/>
      <c r="O232" s="45"/>
      <c r="P232" s="46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</row>
    <row r="233" spans="2:28" ht="16.5" customHeight="1" x14ac:dyDescent="0.3">
      <c r="B233" s="34"/>
      <c r="C233" s="47"/>
      <c r="D233" s="48"/>
      <c r="E233" s="49"/>
      <c r="F233" s="50"/>
      <c r="G233" s="51"/>
      <c r="H233" s="52"/>
      <c r="I233" s="53"/>
      <c r="J233" s="54"/>
      <c r="K233" s="55"/>
      <c r="L233" s="18"/>
      <c r="M233" s="21"/>
      <c r="N233" s="56"/>
      <c r="O233" s="57"/>
      <c r="P233" s="58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</row>
    <row r="234" spans="2:28" ht="16.5" customHeight="1" x14ac:dyDescent="0.3">
      <c r="B234" s="34"/>
      <c r="C234" s="35"/>
      <c r="D234" s="36"/>
      <c r="E234" s="37"/>
      <c r="F234" s="38"/>
      <c r="G234" s="39"/>
      <c r="H234" s="40"/>
      <c r="I234" s="41"/>
      <c r="J234" s="42"/>
      <c r="K234" s="43"/>
      <c r="L234" s="9"/>
      <c r="M234" s="12"/>
      <c r="N234" s="44"/>
      <c r="O234" s="45"/>
      <c r="P234" s="46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</row>
    <row r="235" spans="2:28" ht="16.5" customHeight="1" x14ac:dyDescent="0.3">
      <c r="B235" s="34"/>
      <c r="C235" s="47"/>
      <c r="D235" s="48"/>
      <c r="E235" s="49"/>
      <c r="F235" s="50"/>
      <c r="G235" s="51"/>
      <c r="H235" s="52"/>
      <c r="I235" s="53"/>
      <c r="J235" s="54"/>
      <c r="K235" s="55"/>
      <c r="L235" s="18"/>
      <c r="M235" s="21"/>
      <c r="N235" s="56"/>
      <c r="O235" s="57"/>
      <c r="P235" s="58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</row>
    <row r="236" spans="2:28" ht="16.5" customHeight="1" x14ac:dyDescent="0.3">
      <c r="B236" s="34"/>
      <c r="C236" s="35"/>
      <c r="D236" s="36"/>
      <c r="E236" s="37"/>
      <c r="F236" s="38"/>
      <c r="G236" s="39"/>
      <c r="H236" s="40"/>
      <c r="I236" s="41"/>
      <c r="J236" s="42"/>
      <c r="K236" s="43"/>
      <c r="L236" s="9"/>
      <c r="M236" s="12"/>
      <c r="N236" s="44"/>
      <c r="O236" s="45"/>
      <c r="P236" s="46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</row>
    <row r="237" spans="2:28" ht="16.5" customHeight="1" x14ac:dyDescent="0.3">
      <c r="B237" s="34"/>
      <c r="C237" s="47"/>
      <c r="D237" s="48"/>
      <c r="E237" s="49"/>
      <c r="F237" s="50"/>
      <c r="G237" s="51"/>
      <c r="H237" s="52"/>
      <c r="I237" s="53"/>
      <c r="J237" s="54"/>
      <c r="K237" s="55"/>
      <c r="L237" s="18"/>
      <c r="M237" s="21"/>
      <c r="N237" s="56"/>
      <c r="O237" s="57"/>
      <c r="P237" s="58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</row>
    <row r="238" spans="2:28" ht="16.5" customHeight="1" x14ac:dyDescent="0.3">
      <c r="B238" s="34"/>
      <c r="C238" s="35"/>
      <c r="D238" s="36"/>
      <c r="E238" s="37"/>
      <c r="F238" s="38"/>
      <c r="G238" s="39"/>
      <c r="H238" s="40"/>
      <c r="I238" s="41"/>
      <c r="J238" s="42"/>
      <c r="K238" s="43"/>
      <c r="L238" s="9"/>
      <c r="M238" s="12"/>
      <c r="N238" s="44"/>
      <c r="O238" s="45"/>
      <c r="P238" s="46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</row>
    <row r="239" spans="2:28" ht="16.5" customHeight="1" x14ac:dyDescent="0.3">
      <c r="B239" s="34"/>
      <c r="C239" s="47"/>
      <c r="D239" s="48"/>
      <c r="E239" s="49"/>
      <c r="F239" s="50"/>
      <c r="G239" s="51"/>
      <c r="H239" s="52"/>
      <c r="I239" s="53"/>
      <c r="J239" s="54"/>
      <c r="K239" s="55"/>
      <c r="L239" s="18"/>
      <c r="M239" s="21"/>
      <c r="N239" s="56"/>
      <c r="O239" s="57"/>
      <c r="P239" s="58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</row>
    <row r="240" spans="2:28" ht="16.5" customHeight="1" x14ac:dyDescent="0.3">
      <c r="B240" s="34"/>
      <c r="C240" s="35"/>
      <c r="D240" s="36"/>
      <c r="E240" s="37"/>
      <c r="F240" s="38"/>
      <c r="G240" s="39"/>
      <c r="H240" s="40"/>
      <c r="I240" s="41"/>
      <c r="J240" s="42"/>
      <c r="K240" s="43"/>
      <c r="L240" s="9"/>
      <c r="M240" s="12"/>
      <c r="N240" s="44"/>
      <c r="O240" s="45"/>
      <c r="P240" s="46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</row>
    <row r="241" spans="2:28" ht="16.5" customHeight="1" x14ac:dyDescent="0.3">
      <c r="B241" s="34"/>
      <c r="C241" s="47"/>
      <c r="D241" s="48"/>
      <c r="E241" s="49"/>
      <c r="F241" s="50"/>
      <c r="G241" s="51"/>
      <c r="H241" s="52"/>
      <c r="I241" s="53"/>
      <c r="J241" s="54"/>
      <c r="K241" s="55"/>
      <c r="L241" s="18"/>
      <c r="M241" s="21"/>
      <c r="N241" s="56"/>
      <c r="O241" s="57"/>
      <c r="P241" s="58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</row>
    <row r="242" spans="2:28" ht="16.5" customHeight="1" x14ac:dyDescent="0.3">
      <c r="B242" s="34"/>
      <c r="C242" s="35"/>
      <c r="D242" s="36"/>
      <c r="E242" s="37"/>
      <c r="F242" s="38"/>
      <c r="G242" s="39"/>
      <c r="H242" s="40"/>
      <c r="I242" s="41"/>
      <c r="J242" s="42"/>
      <c r="K242" s="43"/>
      <c r="L242" s="9"/>
      <c r="M242" s="12"/>
      <c r="N242" s="44"/>
      <c r="O242" s="45"/>
      <c r="P242" s="46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</row>
    <row r="243" spans="2:28" ht="16.5" customHeight="1" x14ac:dyDescent="0.3">
      <c r="B243" s="34"/>
      <c r="C243" s="47"/>
      <c r="D243" s="48"/>
      <c r="E243" s="49"/>
      <c r="F243" s="50"/>
      <c r="G243" s="51"/>
      <c r="H243" s="52"/>
      <c r="I243" s="53"/>
      <c r="J243" s="54"/>
      <c r="K243" s="55"/>
      <c r="L243" s="18"/>
      <c r="M243" s="21"/>
      <c r="N243" s="56"/>
      <c r="O243" s="57"/>
      <c r="P243" s="58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</row>
    <row r="244" spans="2:28" ht="16.5" customHeight="1" x14ac:dyDescent="0.3">
      <c r="B244" s="34"/>
      <c r="C244" s="35"/>
      <c r="D244" s="36"/>
      <c r="E244" s="37"/>
      <c r="F244" s="38"/>
      <c r="G244" s="39"/>
      <c r="H244" s="40"/>
      <c r="I244" s="41"/>
      <c r="J244" s="42"/>
      <c r="K244" s="43"/>
      <c r="L244" s="9"/>
      <c r="M244" s="12"/>
      <c r="N244" s="44"/>
      <c r="O244" s="45"/>
      <c r="P244" s="46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</row>
    <row r="245" spans="2:28" ht="16.5" customHeight="1" x14ac:dyDescent="0.3">
      <c r="B245" s="34"/>
      <c r="C245" s="47"/>
      <c r="D245" s="48"/>
      <c r="E245" s="49"/>
      <c r="F245" s="50"/>
      <c r="G245" s="51"/>
      <c r="H245" s="52"/>
      <c r="I245" s="53"/>
      <c r="J245" s="54"/>
      <c r="K245" s="55"/>
      <c r="L245" s="18"/>
      <c r="M245" s="21"/>
      <c r="N245" s="56"/>
      <c r="O245" s="57"/>
      <c r="P245" s="58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</row>
    <row r="246" spans="2:28" ht="16.5" customHeight="1" x14ac:dyDescent="0.3">
      <c r="B246" s="34"/>
      <c r="C246" s="35"/>
      <c r="D246" s="36"/>
      <c r="E246" s="37"/>
      <c r="F246" s="38"/>
      <c r="G246" s="39"/>
      <c r="H246" s="40"/>
      <c r="I246" s="41"/>
      <c r="J246" s="42"/>
      <c r="K246" s="43"/>
      <c r="L246" s="9"/>
      <c r="M246" s="12"/>
      <c r="N246" s="44"/>
      <c r="O246" s="45"/>
      <c r="P246" s="46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</row>
    <row r="247" spans="2:28" ht="16.5" customHeight="1" x14ac:dyDescent="0.3">
      <c r="B247" s="34"/>
      <c r="C247" s="47"/>
      <c r="D247" s="48"/>
      <c r="E247" s="49"/>
      <c r="F247" s="50"/>
      <c r="G247" s="51"/>
      <c r="H247" s="52"/>
      <c r="I247" s="53"/>
      <c r="J247" s="54"/>
      <c r="K247" s="55"/>
      <c r="L247" s="18"/>
      <c r="M247" s="21"/>
      <c r="N247" s="56"/>
      <c r="O247" s="57"/>
      <c r="P247" s="58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</row>
    <row r="248" spans="2:28" ht="16.5" customHeight="1" x14ac:dyDescent="0.3">
      <c r="B248" s="34"/>
      <c r="C248" s="35"/>
      <c r="D248" s="36"/>
      <c r="E248" s="37"/>
      <c r="F248" s="38"/>
      <c r="G248" s="39"/>
      <c r="H248" s="40"/>
      <c r="I248" s="41"/>
      <c r="J248" s="42"/>
      <c r="K248" s="43"/>
      <c r="L248" s="9"/>
      <c r="M248" s="12"/>
      <c r="N248" s="44"/>
      <c r="O248" s="45"/>
      <c r="P248" s="46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</row>
    <row r="249" spans="2:28" ht="16.5" customHeight="1" x14ac:dyDescent="0.3">
      <c r="B249" s="34"/>
      <c r="C249" s="47"/>
      <c r="D249" s="48"/>
      <c r="E249" s="49"/>
      <c r="F249" s="50"/>
      <c r="G249" s="51"/>
      <c r="H249" s="52"/>
      <c r="I249" s="53"/>
      <c r="J249" s="54"/>
      <c r="K249" s="55"/>
      <c r="L249" s="18"/>
      <c r="M249" s="21"/>
      <c r="N249" s="56"/>
      <c r="O249" s="57"/>
      <c r="P249" s="58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</row>
    <row r="250" spans="2:28" ht="16.5" customHeight="1" x14ac:dyDescent="0.3">
      <c r="B250" s="34"/>
      <c r="C250" s="35"/>
      <c r="D250" s="36"/>
      <c r="E250" s="37"/>
      <c r="F250" s="38"/>
      <c r="G250" s="39"/>
      <c r="H250" s="40"/>
      <c r="I250" s="41"/>
      <c r="J250" s="42"/>
      <c r="K250" s="43"/>
      <c r="L250" s="9"/>
      <c r="M250" s="12"/>
      <c r="N250" s="44"/>
      <c r="O250" s="45"/>
      <c r="P250" s="46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</row>
    <row r="251" spans="2:28" ht="16.5" customHeight="1" x14ac:dyDescent="0.3">
      <c r="B251" s="34"/>
      <c r="C251" s="47"/>
      <c r="D251" s="48"/>
      <c r="E251" s="49"/>
      <c r="F251" s="50"/>
      <c r="G251" s="51"/>
      <c r="H251" s="52"/>
      <c r="I251" s="53"/>
      <c r="J251" s="54"/>
      <c r="K251" s="55"/>
      <c r="L251" s="18"/>
      <c r="M251" s="21"/>
      <c r="N251" s="56"/>
      <c r="O251" s="57"/>
      <c r="P251" s="58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</row>
    <row r="252" spans="2:28" ht="16.5" customHeight="1" x14ac:dyDescent="0.3">
      <c r="B252" s="34"/>
      <c r="C252" s="35"/>
      <c r="D252" s="36"/>
      <c r="E252" s="37"/>
      <c r="F252" s="38"/>
      <c r="G252" s="39"/>
      <c r="H252" s="40"/>
      <c r="I252" s="41"/>
      <c r="J252" s="42"/>
      <c r="K252" s="43"/>
      <c r="L252" s="9"/>
      <c r="M252" s="12"/>
      <c r="N252" s="44"/>
      <c r="O252" s="45"/>
      <c r="P252" s="46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</row>
    <row r="253" spans="2:28" ht="16.5" customHeight="1" x14ac:dyDescent="0.3">
      <c r="B253" s="34"/>
      <c r="C253" s="47"/>
      <c r="D253" s="48"/>
      <c r="E253" s="49"/>
      <c r="F253" s="50"/>
      <c r="G253" s="51"/>
      <c r="H253" s="52"/>
      <c r="I253" s="53"/>
      <c r="J253" s="54"/>
      <c r="K253" s="55"/>
      <c r="L253" s="18"/>
      <c r="M253" s="21"/>
      <c r="N253" s="56"/>
      <c r="O253" s="57"/>
      <c r="P253" s="58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</row>
    <row r="254" spans="2:28" ht="16.5" customHeight="1" x14ac:dyDescent="0.3">
      <c r="B254" s="34"/>
      <c r="C254" s="35"/>
      <c r="D254" s="36"/>
      <c r="E254" s="37"/>
      <c r="F254" s="38"/>
      <c r="G254" s="39"/>
      <c r="H254" s="40"/>
      <c r="I254" s="41"/>
      <c r="J254" s="42"/>
      <c r="K254" s="43"/>
      <c r="L254" s="9"/>
      <c r="M254" s="12"/>
      <c r="N254" s="44"/>
      <c r="O254" s="45"/>
      <c r="P254" s="46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</row>
    <row r="255" spans="2:28" ht="16.5" customHeight="1" x14ac:dyDescent="0.3">
      <c r="B255" s="34"/>
      <c r="C255" s="47"/>
      <c r="D255" s="48"/>
      <c r="E255" s="49"/>
      <c r="F255" s="50"/>
      <c r="G255" s="51"/>
      <c r="H255" s="52"/>
      <c r="I255" s="53"/>
      <c r="J255" s="54"/>
      <c r="K255" s="55"/>
      <c r="L255" s="18"/>
      <c r="M255" s="21"/>
      <c r="N255" s="56"/>
      <c r="O255" s="57"/>
      <c r="P255" s="58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</row>
    <row r="256" spans="2:28" ht="16.5" customHeight="1" x14ac:dyDescent="0.3">
      <c r="B256" s="34"/>
      <c r="C256" s="35"/>
      <c r="D256" s="36"/>
      <c r="E256" s="37"/>
      <c r="F256" s="38"/>
      <c r="G256" s="39"/>
      <c r="H256" s="40"/>
      <c r="I256" s="41"/>
      <c r="J256" s="42"/>
      <c r="K256" s="43"/>
      <c r="L256" s="9"/>
      <c r="M256" s="12"/>
      <c r="N256" s="44"/>
      <c r="O256" s="45"/>
      <c r="P256" s="46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</row>
    <row r="257" spans="2:28" ht="16.5" customHeight="1" x14ac:dyDescent="0.3">
      <c r="B257" s="34"/>
      <c r="C257" s="47"/>
      <c r="D257" s="48"/>
      <c r="E257" s="49"/>
      <c r="F257" s="50"/>
      <c r="G257" s="51"/>
      <c r="H257" s="52"/>
      <c r="I257" s="53"/>
      <c r="J257" s="54"/>
      <c r="K257" s="55"/>
      <c r="L257" s="18"/>
      <c r="M257" s="21"/>
      <c r="N257" s="56"/>
      <c r="O257" s="57"/>
      <c r="P257" s="58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</row>
    <row r="258" spans="2:28" ht="16.5" customHeight="1" x14ac:dyDescent="0.3">
      <c r="B258" s="34"/>
      <c r="C258" s="35"/>
      <c r="D258" s="36"/>
      <c r="E258" s="37"/>
      <c r="F258" s="38"/>
      <c r="G258" s="39"/>
      <c r="H258" s="40"/>
      <c r="I258" s="41"/>
      <c r="J258" s="42"/>
      <c r="K258" s="43"/>
      <c r="L258" s="9"/>
      <c r="M258" s="12"/>
      <c r="N258" s="44"/>
      <c r="O258" s="45"/>
      <c r="P258" s="46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</row>
    <row r="259" spans="2:28" ht="16.5" customHeight="1" x14ac:dyDescent="0.3">
      <c r="B259" s="34"/>
      <c r="C259" s="47"/>
      <c r="D259" s="48"/>
      <c r="E259" s="49"/>
      <c r="F259" s="50"/>
      <c r="G259" s="51"/>
      <c r="H259" s="52"/>
      <c r="I259" s="53"/>
      <c r="J259" s="54"/>
      <c r="K259" s="55"/>
      <c r="L259" s="18"/>
      <c r="M259" s="21"/>
      <c r="N259" s="56"/>
      <c r="O259" s="57"/>
      <c r="P259" s="58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</row>
    <row r="260" spans="2:28" ht="16.5" customHeight="1" x14ac:dyDescent="0.3">
      <c r="B260" s="34"/>
      <c r="C260" s="35"/>
      <c r="D260" s="36"/>
      <c r="E260" s="37"/>
      <c r="F260" s="38"/>
      <c r="G260" s="39"/>
      <c r="H260" s="40"/>
      <c r="I260" s="41"/>
      <c r="J260" s="42"/>
      <c r="K260" s="43"/>
      <c r="L260" s="9"/>
      <c r="M260" s="12"/>
      <c r="N260" s="44"/>
      <c r="O260" s="45"/>
      <c r="P260" s="46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</row>
    <row r="261" spans="2:28" ht="16.5" customHeight="1" x14ac:dyDescent="0.3">
      <c r="B261" s="34"/>
      <c r="C261" s="47"/>
      <c r="D261" s="48"/>
      <c r="E261" s="49"/>
      <c r="F261" s="50"/>
      <c r="G261" s="51"/>
      <c r="H261" s="52"/>
      <c r="I261" s="53"/>
      <c r="J261" s="54"/>
      <c r="K261" s="55"/>
      <c r="L261" s="18"/>
      <c r="M261" s="21"/>
      <c r="N261" s="56"/>
      <c r="O261" s="57"/>
      <c r="P261" s="58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</row>
    <row r="262" spans="2:28" ht="16.5" customHeight="1" x14ac:dyDescent="0.3">
      <c r="B262" s="34"/>
      <c r="C262" s="35"/>
      <c r="D262" s="36"/>
      <c r="E262" s="37"/>
      <c r="F262" s="38"/>
      <c r="G262" s="39"/>
      <c r="H262" s="40"/>
      <c r="I262" s="41"/>
      <c r="J262" s="42"/>
      <c r="K262" s="43"/>
      <c r="L262" s="9"/>
      <c r="M262" s="12"/>
      <c r="N262" s="44"/>
      <c r="O262" s="45"/>
      <c r="P262" s="46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</row>
    <row r="263" spans="2:28" ht="16.5" customHeight="1" x14ac:dyDescent="0.3">
      <c r="B263" s="34"/>
      <c r="C263" s="47"/>
      <c r="D263" s="48"/>
      <c r="E263" s="49"/>
      <c r="F263" s="50"/>
      <c r="G263" s="51"/>
      <c r="H263" s="52"/>
      <c r="I263" s="53"/>
      <c r="J263" s="54"/>
      <c r="K263" s="55"/>
      <c r="L263" s="18"/>
      <c r="M263" s="21"/>
      <c r="N263" s="56"/>
      <c r="O263" s="57"/>
      <c r="P263" s="58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</row>
    <row r="264" spans="2:28" ht="16.5" customHeight="1" x14ac:dyDescent="0.3">
      <c r="B264" s="34"/>
      <c r="C264" s="35"/>
      <c r="D264" s="36"/>
      <c r="E264" s="37"/>
      <c r="F264" s="38"/>
      <c r="G264" s="39"/>
      <c r="H264" s="40"/>
      <c r="I264" s="41"/>
      <c r="J264" s="42"/>
      <c r="K264" s="43"/>
      <c r="L264" s="9"/>
      <c r="M264" s="12"/>
      <c r="N264" s="44"/>
      <c r="O264" s="45"/>
      <c r="P264" s="46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</row>
    <row r="265" spans="2:28" ht="16.5" customHeight="1" x14ac:dyDescent="0.3">
      <c r="B265" s="34"/>
      <c r="C265" s="47"/>
      <c r="D265" s="48"/>
      <c r="E265" s="49"/>
      <c r="F265" s="50"/>
      <c r="G265" s="51"/>
      <c r="H265" s="52"/>
      <c r="I265" s="53"/>
      <c r="J265" s="54"/>
      <c r="K265" s="55"/>
      <c r="L265" s="18"/>
      <c r="M265" s="21"/>
      <c r="N265" s="56"/>
      <c r="O265" s="57"/>
      <c r="P265" s="58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</row>
    <row r="266" spans="2:28" ht="16.5" customHeight="1" x14ac:dyDescent="0.3">
      <c r="B266" s="34"/>
      <c r="C266" s="35"/>
      <c r="D266" s="36"/>
      <c r="E266" s="37"/>
      <c r="F266" s="38"/>
      <c r="G266" s="39"/>
      <c r="H266" s="40"/>
      <c r="I266" s="41"/>
      <c r="J266" s="42"/>
      <c r="K266" s="43"/>
      <c r="L266" s="9"/>
      <c r="M266" s="12"/>
      <c r="N266" s="44"/>
      <c r="O266" s="45"/>
      <c r="P266" s="46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</row>
    <row r="267" spans="2:28" ht="16.5" customHeight="1" x14ac:dyDescent="0.3">
      <c r="B267" s="34"/>
      <c r="C267" s="47"/>
      <c r="D267" s="48"/>
      <c r="E267" s="49"/>
      <c r="F267" s="50"/>
      <c r="G267" s="51"/>
      <c r="H267" s="52"/>
      <c r="I267" s="53"/>
      <c r="J267" s="54"/>
      <c r="K267" s="55"/>
      <c r="L267" s="18"/>
      <c r="M267" s="21"/>
      <c r="N267" s="56"/>
      <c r="O267" s="57"/>
      <c r="P267" s="58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</row>
    <row r="268" spans="2:28" ht="16.5" customHeight="1" x14ac:dyDescent="0.3">
      <c r="B268" s="34"/>
      <c r="C268" s="35"/>
      <c r="D268" s="36"/>
      <c r="E268" s="37"/>
      <c r="F268" s="38"/>
      <c r="G268" s="39"/>
      <c r="H268" s="40"/>
      <c r="I268" s="41"/>
      <c r="J268" s="42"/>
      <c r="K268" s="43"/>
      <c r="L268" s="9"/>
      <c r="M268" s="12"/>
      <c r="N268" s="44"/>
      <c r="O268" s="45"/>
      <c r="P268" s="46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</row>
    <row r="269" spans="2:28" ht="16.5" customHeight="1" x14ac:dyDescent="0.3">
      <c r="B269" s="34"/>
      <c r="C269" s="47"/>
      <c r="D269" s="48"/>
      <c r="E269" s="49"/>
      <c r="F269" s="50"/>
      <c r="G269" s="51"/>
      <c r="H269" s="52"/>
      <c r="I269" s="53"/>
      <c r="J269" s="54"/>
      <c r="K269" s="55"/>
      <c r="L269" s="18"/>
      <c r="M269" s="21"/>
      <c r="N269" s="56"/>
      <c r="O269" s="57"/>
      <c r="P269" s="58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</row>
    <row r="270" spans="2:28" ht="16.5" customHeight="1" x14ac:dyDescent="0.3">
      <c r="B270" s="34"/>
      <c r="C270" s="35"/>
      <c r="D270" s="36"/>
      <c r="E270" s="37"/>
      <c r="F270" s="38"/>
      <c r="G270" s="39"/>
      <c r="H270" s="40"/>
      <c r="I270" s="41"/>
      <c r="J270" s="42"/>
      <c r="K270" s="43"/>
      <c r="L270" s="9"/>
      <c r="M270" s="12"/>
      <c r="N270" s="44"/>
      <c r="O270" s="45"/>
      <c r="P270" s="46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</row>
    <row r="271" spans="2:28" ht="16.5" customHeight="1" x14ac:dyDescent="0.3">
      <c r="B271" s="34"/>
      <c r="C271" s="47"/>
      <c r="D271" s="48"/>
      <c r="E271" s="49"/>
      <c r="F271" s="50"/>
      <c r="G271" s="51"/>
      <c r="H271" s="52"/>
      <c r="I271" s="53"/>
      <c r="J271" s="54"/>
      <c r="K271" s="55"/>
      <c r="L271" s="18"/>
      <c r="M271" s="21"/>
      <c r="N271" s="56"/>
      <c r="O271" s="57"/>
      <c r="P271" s="58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</row>
    <row r="272" spans="2:28" ht="16.5" customHeight="1" x14ac:dyDescent="0.3">
      <c r="B272" s="34"/>
      <c r="C272" s="35"/>
      <c r="D272" s="36"/>
      <c r="E272" s="37"/>
      <c r="F272" s="38"/>
      <c r="G272" s="39"/>
      <c r="H272" s="40"/>
      <c r="I272" s="41"/>
      <c r="J272" s="42"/>
      <c r="K272" s="43"/>
      <c r="L272" s="9"/>
      <c r="M272" s="12"/>
      <c r="N272" s="44"/>
      <c r="O272" s="45"/>
      <c r="P272" s="46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</row>
    <row r="273" spans="2:28" ht="16.5" customHeight="1" x14ac:dyDescent="0.3">
      <c r="B273" s="34"/>
      <c r="C273" s="47"/>
      <c r="D273" s="48"/>
      <c r="E273" s="49"/>
      <c r="F273" s="50"/>
      <c r="G273" s="51"/>
      <c r="H273" s="52"/>
      <c r="I273" s="53"/>
      <c r="J273" s="54"/>
      <c r="K273" s="55"/>
      <c r="L273" s="18"/>
      <c r="M273" s="21"/>
      <c r="N273" s="56"/>
      <c r="O273" s="57"/>
      <c r="P273" s="58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</row>
    <row r="274" spans="2:28" ht="16.5" customHeight="1" x14ac:dyDescent="0.3">
      <c r="B274" s="34"/>
      <c r="C274" s="35"/>
      <c r="D274" s="36"/>
      <c r="E274" s="37"/>
      <c r="F274" s="38"/>
      <c r="G274" s="39"/>
      <c r="H274" s="40"/>
      <c r="I274" s="41"/>
      <c r="J274" s="42"/>
      <c r="K274" s="43"/>
      <c r="L274" s="9"/>
      <c r="M274" s="12"/>
      <c r="N274" s="44"/>
      <c r="O274" s="45"/>
      <c r="P274" s="46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</row>
    <row r="275" spans="2:28" ht="16.5" customHeight="1" x14ac:dyDescent="0.3">
      <c r="B275" s="34"/>
      <c r="C275" s="47"/>
      <c r="D275" s="48"/>
      <c r="E275" s="49"/>
      <c r="F275" s="50"/>
      <c r="G275" s="51"/>
      <c r="H275" s="52"/>
      <c r="I275" s="53"/>
      <c r="J275" s="54"/>
      <c r="K275" s="55"/>
      <c r="L275" s="18"/>
      <c r="M275" s="21"/>
      <c r="N275" s="56"/>
      <c r="O275" s="57"/>
      <c r="P275" s="58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</row>
    <row r="276" spans="2:28" ht="16.5" customHeight="1" x14ac:dyDescent="0.3">
      <c r="B276" s="34"/>
      <c r="C276" s="35"/>
      <c r="D276" s="36"/>
      <c r="E276" s="37"/>
      <c r="F276" s="38"/>
      <c r="G276" s="39"/>
      <c r="H276" s="40"/>
      <c r="I276" s="41"/>
      <c r="J276" s="42"/>
      <c r="K276" s="43"/>
      <c r="L276" s="9"/>
      <c r="M276" s="12"/>
      <c r="N276" s="44"/>
      <c r="O276" s="45"/>
      <c r="P276" s="46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</row>
    <row r="277" spans="2:28" ht="16.5" customHeight="1" x14ac:dyDescent="0.3">
      <c r="B277" s="34"/>
      <c r="C277" s="47"/>
      <c r="D277" s="48"/>
      <c r="E277" s="49"/>
      <c r="F277" s="50"/>
      <c r="G277" s="51"/>
      <c r="H277" s="52"/>
      <c r="I277" s="53"/>
      <c r="J277" s="54"/>
      <c r="K277" s="55"/>
      <c r="L277" s="18"/>
      <c r="M277" s="21"/>
      <c r="N277" s="56"/>
      <c r="O277" s="57"/>
      <c r="P277" s="58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</row>
    <row r="278" spans="2:28" ht="16.5" customHeight="1" x14ac:dyDescent="0.3">
      <c r="B278" s="34"/>
      <c r="C278" s="35"/>
      <c r="D278" s="36"/>
      <c r="E278" s="37"/>
      <c r="F278" s="38"/>
      <c r="G278" s="39"/>
      <c r="H278" s="40"/>
      <c r="I278" s="41"/>
      <c r="J278" s="42"/>
      <c r="K278" s="43"/>
      <c r="L278" s="9"/>
      <c r="M278" s="12"/>
      <c r="N278" s="44"/>
      <c r="O278" s="45"/>
      <c r="P278" s="46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</row>
    <row r="279" spans="2:28" ht="16.5" customHeight="1" x14ac:dyDescent="0.3">
      <c r="B279" s="34"/>
      <c r="C279" s="47"/>
      <c r="D279" s="48"/>
      <c r="E279" s="49"/>
      <c r="F279" s="50"/>
      <c r="G279" s="51"/>
      <c r="H279" s="52"/>
      <c r="I279" s="53"/>
      <c r="J279" s="54"/>
      <c r="K279" s="55"/>
      <c r="L279" s="18"/>
      <c r="M279" s="21"/>
      <c r="N279" s="56"/>
      <c r="O279" s="57"/>
      <c r="P279" s="58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</row>
    <row r="280" spans="2:28" ht="16.5" customHeight="1" x14ac:dyDescent="0.3">
      <c r="B280" s="34"/>
      <c r="C280" s="35"/>
      <c r="D280" s="36"/>
      <c r="E280" s="37"/>
      <c r="F280" s="38"/>
      <c r="G280" s="39"/>
      <c r="H280" s="40"/>
      <c r="I280" s="41"/>
      <c r="J280" s="42"/>
      <c r="K280" s="43"/>
      <c r="L280" s="9"/>
      <c r="M280" s="12"/>
      <c r="N280" s="44"/>
      <c r="O280" s="45"/>
      <c r="P280" s="46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</row>
    <row r="281" spans="2:28" ht="16.5" customHeight="1" x14ac:dyDescent="0.3">
      <c r="B281" s="34"/>
      <c r="C281" s="47"/>
      <c r="D281" s="48"/>
      <c r="E281" s="49"/>
      <c r="F281" s="50"/>
      <c r="G281" s="51"/>
      <c r="H281" s="52"/>
      <c r="I281" s="53"/>
      <c r="J281" s="54"/>
      <c r="K281" s="55"/>
      <c r="L281" s="18"/>
      <c r="M281" s="21"/>
      <c r="N281" s="56"/>
      <c r="O281" s="57"/>
      <c r="P281" s="58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</row>
    <row r="282" spans="2:28" ht="16.5" customHeight="1" x14ac:dyDescent="0.3">
      <c r="B282" s="34"/>
      <c r="C282" s="35"/>
      <c r="D282" s="36"/>
      <c r="E282" s="37"/>
      <c r="F282" s="38"/>
      <c r="G282" s="39"/>
      <c r="H282" s="40"/>
      <c r="I282" s="41"/>
      <c r="J282" s="42"/>
      <c r="K282" s="43"/>
      <c r="L282" s="9"/>
      <c r="M282" s="12"/>
      <c r="N282" s="44"/>
      <c r="O282" s="45"/>
      <c r="P282" s="46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</row>
    <row r="283" spans="2:28" ht="16.5" customHeight="1" x14ac:dyDescent="0.3">
      <c r="B283" s="34"/>
      <c r="C283" s="47"/>
      <c r="D283" s="48"/>
      <c r="E283" s="49"/>
      <c r="F283" s="50"/>
      <c r="G283" s="51"/>
      <c r="H283" s="52"/>
      <c r="I283" s="53"/>
      <c r="J283" s="54"/>
      <c r="K283" s="55"/>
      <c r="L283" s="18"/>
      <c r="M283" s="21"/>
      <c r="N283" s="56"/>
      <c r="O283" s="57"/>
      <c r="P283" s="58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</row>
    <row r="284" spans="2:28" ht="16.5" customHeight="1" x14ac:dyDescent="0.3">
      <c r="B284" s="34"/>
      <c r="C284" s="35"/>
      <c r="D284" s="36"/>
      <c r="E284" s="37"/>
      <c r="F284" s="38"/>
      <c r="G284" s="39"/>
      <c r="H284" s="40"/>
      <c r="I284" s="41"/>
      <c r="J284" s="42"/>
      <c r="K284" s="43"/>
      <c r="L284" s="9"/>
      <c r="M284" s="12"/>
      <c r="N284" s="44"/>
      <c r="O284" s="45"/>
      <c r="P284" s="46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</row>
    <row r="285" spans="2:28" ht="16.5" customHeight="1" x14ac:dyDescent="0.3">
      <c r="B285" s="34"/>
      <c r="C285" s="47"/>
      <c r="D285" s="48"/>
      <c r="E285" s="49"/>
      <c r="F285" s="50"/>
      <c r="G285" s="51"/>
      <c r="H285" s="52"/>
      <c r="I285" s="53"/>
      <c r="J285" s="54"/>
      <c r="K285" s="55"/>
      <c r="L285" s="18"/>
      <c r="M285" s="21"/>
      <c r="N285" s="56"/>
      <c r="O285" s="57"/>
      <c r="P285" s="58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</row>
    <row r="286" spans="2:28" ht="16.5" customHeight="1" x14ac:dyDescent="0.3">
      <c r="B286" s="34"/>
      <c r="C286" s="35"/>
      <c r="D286" s="36"/>
      <c r="E286" s="37"/>
      <c r="F286" s="38"/>
      <c r="G286" s="39"/>
      <c r="H286" s="40"/>
      <c r="I286" s="41"/>
      <c r="J286" s="42"/>
      <c r="K286" s="43"/>
      <c r="L286" s="9"/>
      <c r="M286" s="12"/>
      <c r="N286" s="44"/>
      <c r="O286" s="45"/>
      <c r="P286" s="46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</row>
    <row r="287" spans="2:28" ht="16.5" customHeight="1" x14ac:dyDescent="0.3">
      <c r="B287" s="34"/>
      <c r="C287" s="47"/>
      <c r="D287" s="48"/>
      <c r="E287" s="49"/>
      <c r="F287" s="50"/>
      <c r="G287" s="51"/>
      <c r="H287" s="52"/>
      <c r="I287" s="53"/>
      <c r="J287" s="54"/>
      <c r="K287" s="55"/>
      <c r="L287" s="18"/>
      <c r="M287" s="21"/>
      <c r="N287" s="56"/>
      <c r="O287" s="57"/>
      <c r="P287" s="58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</row>
    <row r="288" spans="2:28" ht="16.5" customHeight="1" x14ac:dyDescent="0.3">
      <c r="B288" s="34"/>
      <c r="C288" s="35"/>
      <c r="D288" s="36"/>
      <c r="E288" s="37"/>
      <c r="F288" s="38"/>
      <c r="G288" s="39"/>
      <c r="H288" s="40"/>
      <c r="I288" s="41"/>
      <c r="J288" s="42"/>
      <c r="K288" s="43"/>
      <c r="L288" s="9"/>
      <c r="M288" s="12"/>
      <c r="N288" s="44"/>
      <c r="O288" s="45"/>
      <c r="P288" s="46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</row>
    <row r="289" spans="2:28" ht="16.5" customHeight="1" x14ac:dyDescent="0.3">
      <c r="B289" s="34"/>
      <c r="C289" s="47"/>
      <c r="D289" s="48"/>
      <c r="E289" s="49"/>
      <c r="F289" s="50"/>
      <c r="G289" s="51"/>
      <c r="H289" s="52"/>
      <c r="I289" s="53"/>
      <c r="J289" s="54"/>
      <c r="K289" s="55"/>
      <c r="L289" s="18"/>
      <c r="M289" s="21"/>
      <c r="N289" s="56"/>
      <c r="O289" s="57"/>
      <c r="P289" s="58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</row>
    <row r="290" spans="2:28" ht="16.5" customHeight="1" x14ac:dyDescent="0.3">
      <c r="B290" s="34"/>
      <c r="C290" s="35"/>
      <c r="D290" s="36"/>
      <c r="E290" s="37"/>
      <c r="F290" s="38"/>
      <c r="G290" s="39"/>
      <c r="H290" s="40"/>
      <c r="I290" s="41"/>
      <c r="J290" s="42"/>
      <c r="K290" s="43"/>
      <c r="L290" s="9"/>
      <c r="M290" s="12"/>
      <c r="N290" s="44"/>
      <c r="O290" s="45"/>
      <c r="P290" s="46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</row>
    <row r="291" spans="2:28" ht="16.5" customHeight="1" x14ac:dyDescent="0.3">
      <c r="B291" s="34"/>
      <c r="C291" s="47"/>
      <c r="D291" s="48"/>
      <c r="E291" s="49"/>
      <c r="F291" s="50"/>
      <c r="G291" s="51"/>
      <c r="H291" s="52"/>
      <c r="I291" s="53"/>
      <c r="J291" s="54"/>
      <c r="K291" s="55"/>
      <c r="L291" s="18"/>
      <c r="M291" s="21"/>
      <c r="N291" s="56"/>
      <c r="O291" s="57"/>
      <c r="P291" s="58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</row>
    <row r="292" spans="2:28" ht="16.5" customHeight="1" x14ac:dyDescent="0.3">
      <c r="B292" s="34"/>
      <c r="C292" s="35"/>
      <c r="D292" s="36"/>
      <c r="E292" s="37"/>
      <c r="F292" s="38"/>
      <c r="G292" s="39"/>
      <c r="H292" s="40"/>
      <c r="I292" s="41"/>
      <c r="J292" s="42"/>
      <c r="K292" s="43"/>
      <c r="L292" s="9"/>
      <c r="M292" s="12"/>
      <c r="N292" s="44"/>
      <c r="O292" s="45"/>
      <c r="P292" s="46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</row>
    <row r="293" spans="2:28" ht="16.5" customHeight="1" x14ac:dyDescent="0.3">
      <c r="B293" s="34"/>
      <c r="C293" s="47"/>
      <c r="D293" s="48"/>
      <c r="E293" s="49"/>
      <c r="F293" s="50"/>
      <c r="G293" s="51"/>
      <c r="H293" s="52"/>
      <c r="I293" s="53"/>
      <c r="J293" s="54"/>
      <c r="K293" s="55"/>
      <c r="L293" s="18"/>
      <c r="M293" s="21"/>
      <c r="N293" s="56"/>
      <c r="O293" s="57"/>
      <c r="P293" s="58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</row>
    <row r="294" spans="2:28" ht="16.5" customHeight="1" x14ac:dyDescent="0.3">
      <c r="B294" s="34"/>
      <c r="C294" s="35"/>
      <c r="D294" s="36"/>
      <c r="E294" s="37"/>
      <c r="F294" s="38"/>
      <c r="G294" s="39"/>
      <c r="H294" s="40"/>
      <c r="I294" s="41"/>
      <c r="J294" s="42"/>
      <c r="K294" s="43"/>
      <c r="L294" s="9"/>
      <c r="M294" s="12"/>
      <c r="N294" s="44"/>
      <c r="O294" s="45"/>
      <c r="P294" s="46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</row>
    <row r="295" spans="2:28" ht="16.5" customHeight="1" x14ac:dyDescent="0.3">
      <c r="B295" s="34"/>
      <c r="C295" s="47"/>
      <c r="D295" s="48"/>
      <c r="E295" s="49"/>
      <c r="F295" s="50"/>
      <c r="G295" s="51"/>
      <c r="H295" s="52"/>
      <c r="I295" s="53"/>
      <c r="J295" s="54"/>
      <c r="K295" s="55"/>
      <c r="L295" s="18"/>
      <c r="M295" s="21"/>
      <c r="N295" s="56"/>
      <c r="O295" s="57"/>
      <c r="P295" s="58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</row>
    <row r="296" spans="2:28" ht="16.5" customHeight="1" x14ac:dyDescent="0.3">
      <c r="B296" s="34"/>
      <c r="C296" s="35"/>
      <c r="D296" s="36"/>
      <c r="E296" s="37"/>
      <c r="F296" s="38"/>
      <c r="G296" s="39"/>
      <c r="H296" s="40"/>
      <c r="I296" s="41"/>
      <c r="J296" s="42"/>
      <c r="K296" s="43"/>
      <c r="L296" s="9"/>
      <c r="M296" s="12"/>
      <c r="N296" s="44"/>
      <c r="O296" s="45"/>
      <c r="P296" s="46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</row>
    <row r="297" spans="2:28" ht="16.5" customHeight="1" x14ac:dyDescent="0.3">
      <c r="B297" s="34"/>
      <c r="C297" s="47"/>
      <c r="D297" s="48"/>
      <c r="E297" s="49"/>
      <c r="F297" s="50"/>
      <c r="G297" s="51"/>
      <c r="H297" s="52"/>
      <c r="I297" s="53"/>
      <c r="J297" s="54"/>
      <c r="K297" s="55"/>
      <c r="L297" s="18"/>
      <c r="M297" s="21"/>
      <c r="N297" s="56"/>
      <c r="O297" s="57"/>
      <c r="P297" s="58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</row>
    <row r="298" spans="2:28" ht="16.5" customHeight="1" x14ac:dyDescent="0.3">
      <c r="B298" s="34"/>
      <c r="C298" s="35"/>
      <c r="D298" s="36"/>
      <c r="E298" s="37"/>
      <c r="F298" s="38"/>
      <c r="G298" s="39"/>
      <c r="H298" s="40"/>
      <c r="I298" s="41"/>
      <c r="J298" s="42"/>
      <c r="K298" s="43"/>
      <c r="L298" s="9"/>
      <c r="M298" s="12"/>
      <c r="N298" s="44"/>
      <c r="O298" s="45"/>
      <c r="P298" s="46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</row>
    <row r="299" spans="2:28" ht="16.5" customHeight="1" x14ac:dyDescent="0.3">
      <c r="B299" s="34"/>
      <c r="C299" s="47"/>
      <c r="D299" s="48"/>
      <c r="E299" s="49"/>
      <c r="F299" s="50"/>
      <c r="G299" s="51"/>
      <c r="H299" s="52"/>
      <c r="I299" s="53"/>
      <c r="J299" s="54"/>
      <c r="K299" s="55"/>
      <c r="L299" s="18"/>
      <c r="M299" s="21"/>
      <c r="N299" s="56"/>
      <c r="O299" s="57"/>
      <c r="P299" s="58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</row>
    <row r="300" spans="2:28" ht="16.5" customHeight="1" x14ac:dyDescent="0.3">
      <c r="B300" s="34"/>
      <c r="C300" s="35"/>
      <c r="D300" s="36"/>
      <c r="E300" s="37"/>
      <c r="F300" s="38"/>
      <c r="G300" s="39"/>
      <c r="H300" s="40"/>
      <c r="I300" s="41"/>
      <c r="J300" s="42"/>
      <c r="K300" s="43"/>
      <c r="L300" s="9"/>
      <c r="M300" s="12"/>
      <c r="N300" s="44"/>
      <c r="O300" s="45"/>
      <c r="P300" s="46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</row>
    <row r="301" spans="2:28" ht="16.5" customHeight="1" x14ac:dyDescent="0.3">
      <c r="B301" s="34"/>
      <c r="C301" s="47"/>
      <c r="D301" s="48"/>
      <c r="E301" s="49"/>
      <c r="F301" s="50"/>
      <c r="G301" s="51"/>
      <c r="H301" s="52"/>
      <c r="I301" s="53"/>
      <c r="J301" s="54"/>
      <c r="K301" s="55"/>
      <c r="L301" s="18"/>
      <c r="M301" s="21"/>
      <c r="N301" s="56"/>
      <c r="O301" s="57"/>
      <c r="P301" s="58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</row>
    <row r="302" spans="2:28" ht="16.5" customHeight="1" x14ac:dyDescent="0.3">
      <c r="B302" s="34"/>
      <c r="C302" s="35"/>
      <c r="D302" s="36"/>
      <c r="E302" s="37"/>
      <c r="F302" s="38"/>
      <c r="G302" s="39"/>
      <c r="H302" s="40"/>
      <c r="I302" s="41"/>
      <c r="J302" s="42"/>
      <c r="K302" s="43"/>
      <c r="L302" s="9"/>
      <c r="M302" s="12"/>
      <c r="N302" s="44"/>
      <c r="O302" s="45"/>
      <c r="P302" s="46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</row>
    <row r="303" spans="2:28" ht="16.5" customHeight="1" x14ac:dyDescent="0.3">
      <c r="B303" s="34"/>
      <c r="C303" s="47"/>
      <c r="D303" s="48"/>
      <c r="E303" s="49"/>
      <c r="F303" s="50"/>
      <c r="G303" s="51"/>
      <c r="H303" s="52"/>
      <c r="I303" s="53"/>
      <c r="J303" s="54"/>
      <c r="K303" s="55"/>
      <c r="L303" s="18"/>
      <c r="M303" s="21"/>
      <c r="N303" s="56"/>
      <c r="O303" s="57"/>
      <c r="P303" s="58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</row>
    <row r="304" spans="2:28" ht="16.5" customHeight="1" x14ac:dyDescent="0.3">
      <c r="B304" s="34"/>
      <c r="C304" s="35"/>
      <c r="D304" s="36"/>
      <c r="E304" s="37"/>
      <c r="F304" s="38"/>
      <c r="G304" s="39"/>
      <c r="H304" s="40"/>
      <c r="I304" s="41"/>
      <c r="J304" s="42"/>
      <c r="K304" s="43"/>
      <c r="L304" s="9"/>
      <c r="M304" s="12"/>
      <c r="N304" s="44"/>
      <c r="O304" s="45"/>
      <c r="P304" s="46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</row>
    <row r="305" spans="2:28" ht="16.5" customHeight="1" x14ac:dyDescent="0.3">
      <c r="B305" s="34"/>
      <c r="C305" s="47"/>
      <c r="D305" s="48"/>
      <c r="E305" s="49"/>
      <c r="F305" s="50"/>
      <c r="G305" s="51"/>
      <c r="H305" s="52"/>
      <c r="I305" s="53"/>
      <c r="J305" s="54"/>
      <c r="K305" s="55"/>
      <c r="L305" s="18"/>
      <c r="M305" s="21"/>
      <c r="N305" s="56"/>
      <c r="O305" s="57"/>
      <c r="P305" s="58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</row>
    <row r="306" spans="2:28" ht="16.5" customHeight="1" x14ac:dyDescent="0.3">
      <c r="B306" s="34"/>
      <c r="C306" s="35"/>
      <c r="D306" s="36"/>
      <c r="E306" s="37"/>
      <c r="F306" s="38"/>
      <c r="G306" s="39"/>
      <c r="H306" s="40"/>
      <c r="I306" s="41"/>
      <c r="J306" s="42"/>
      <c r="K306" s="43"/>
      <c r="L306" s="9"/>
      <c r="M306" s="12"/>
      <c r="N306" s="44"/>
      <c r="O306" s="45"/>
      <c r="P306" s="46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</row>
    <row r="307" spans="2:28" ht="16.5" customHeight="1" x14ac:dyDescent="0.3">
      <c r="B307" s="34"/>
      <c r="C307" s="47"/>
      <c r="D307" s="48"/>
      <c r="E307" s="49"/>
      <c r="F307" s="50"/>
      <c r="G307" s="51"/>
      <c r="H307" s="52"/>
      <c r="I307" s="53"/>
      <c r="J307" s="54"/>
      <c r="K307" s="55"/>
      <c r="L307" s="18"/>
      <c r="M307" s="21"/>
      <c r="N307" s="56"/>
      <c r="O307" s="57"/>
      <c r="P307" s="58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</row>
    <row r="308" spans="2:28" ht="16.5" customHeight="1" x14ac:dyDescent="0.3">
      <c r="B308" s="34"/>
      <c r="C308" s="35"/>
      <c r="D308" s="36"/>
      <c r="E308" s="37"/>
      <c r="F308" s="38"/>
      <c r="G308" s="39"/>
      <c r="H308" s="40"/>
      <c r="I308" s="41"/>
      <c r="J308" s="42"/>
      <c r="K308" s="43"/>
      <c r="L308" s="9"/>
      <c r="M308" s="12"/>
      <c r="N308" s="44"/>
      <c r="O308" s="45"/>
      <c r="P308" s="46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</row>
    <row r="309" spans="2:28" ht="16.5" customHeight="1" x14ac:dyDescent="0.3">
      <c r="B309" s="34"/>
      <c r="C309" s="47"/>
      <c r="D309" s="48"/>
      <c r="E309" s="49"/>
      <c r="F309" s="50"/>
      <c r="G309" s="51"/>
      <c r="H309" s="52"/>
      <c r="I309" s="53"/>
      <c r="J309" s="54"/>
      <c r="K309" s="55"/>
      <c r="L309" s="18"/>
      <c r="M309" s="21"/>
      <c r="N309" s="56"/>
      <c r="O309" s="57"/>
      <c r="P309" s="58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</row>
    <row r="310" spans="2:28" ht="16.5" customHeight="1" x14ac:dyDescent="0.3">
      <c r="B310" s="34"/>
      <c r="C310" s="35"/>
      <c r="D310" s="36"/>
      <c r="E310" s="37"/>
      <c r="F310" s="38"/>
      <c r="G310" s="39"/>
      <c r="H310" s="40"/>
      <c r="I310" s="41"/>
      <c r="J310" s="42"/>
      <c r="K310" s="43"/>
      <c r="L310" s="9"/>
      <c r="M310" s="12"/>
      <c r="N310" s="44"/>
      <c r="O310" s="45"/>
      <c r="P310" s="46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</row>
    <row r="311" spans="2:28" ht="16.5" customHeight="1" x14ac:dyDescent="0.3">
      <c r="B311" s="34"/>
      <c r="C311" s="47"/>
      <c r="D311" s="48"/>
      <c r="E311" s="49"/>
      <c r="F311" s="50"/>
      <c r="G311" s="51"/>
      <c r="H311" s="52"/>
      <c r="I311" s="53"/>
      <c r="J311" s="54"/>
      <c r="K311" s="55"/>
      <c r="L311" s="18"/>
      <c r="M311" s="21"/>
      <c r="N311" s="56"/>
      <c r="O311" s="57"/>
      <c r="P311" s="58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</row>
    <row r="312" spans="2:28" ht="16.5" customHeight="1" x14ac:dyDescent="0.3">
      <c r="B312" s="34"/>
      <c r="C312" s="35"/>
      <c r="D312" s="36"/>
      <c r="E312" s="37"/>
      <c r="F312" s="38"/>
      <c r="G312" s="39"/>
      <c r="H312" s="40"/>
      <c r="I312" s="41"/>
      <c r="J312" s="42"/>
      <c r="K312" s="43"/>
      <c r="L312" s="9"/>
      <c r="M312" s="12"/>
      <c r="N312" s="44"/>
      <c r="O312" s="45"/>
      <c r="P312" s="46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</row>
    <row r="313" spans="2:28" ht="16.5" customHeight="1" x14ac:dyDescent="0.3">
      <c r="B313" s="34"/>
      <c r="C313" s="47"/>
      <c r="D313" s="48"/>
      <c r="E313" s="49"/>
      <c r="F313" s="50"/>
      <c r="G313" s="51"/>
      <c r="H313" s="52"/>
      <c r="I313" s="53"/>
      <c r="J313" s="54"/>
      <c r="K313" s="55"/>
      <c r="L313" s="18"/>
      <c r="M313" s="21"/>
      <c r="N313" s="56"/>
      <c r="O313" s="57"/>
      <c r="P313" s="58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</row>
    <row r="314" spans="2:28" ht="16.5" customHeight="1" x14ac:dyDescent="0.3">
      <c r="B314" s="34"/>
      <c r="C314" s="35"/>
      <c r="D314" s="36"/>
      <c r="E314" s="37"/>
      <c r="F314" s="38"/>
      <c r="G314" s="39"/>
      <c r="H314" s="40"/>
      <c r="I314" s="41"/>
      <c r="J314" s="42"/>
      <c r="K314" s="43"/>
      <c r="L314" s="9"/>
      <c r="M314" s="12"/>
      <c r="N314" s="44"/>
      <c r="O314" s="45"/>
      <c r="P314" s="46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</row>
    <row r="315" spans="2:28" ht="16.5" customHeight="1" x14ac:dyDescent="0.3">
      <c r="B315" s="34"/>
      <c r="C315" s="47"/>
      <c r="D315" s="48"/>
      <c r="E315" s="49"/>
      <c r="F315" s="50"/>
      <c r="G315" s="51"/>
      <c r="H315" s="52"/>
      <c r="I315" s="53"/>
      <c r="J315" s="54"/>
      <c r="K315" s="55"/>
      <c r="L315" s="18"/>
      <c r="M315" s="21"/>
      <c r="N315" s="56"/>
      <c r="O315" s="57"/>
      <c r="P315" s="58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</row>
    <row r="316" spans="2:28" ht="16.5" customHeight="1" x14ac:dyDescent="0.3">
      <c r="B316" s="34"/>
      <c r="C316" s="35"/>
      <c r="D316" s="36"/>
      <c r="E316" s="37"/>
      <c r="F316" s="38"/>
      <c r="G316" s="39"/>
      <c r="H316" s="40"/>
      <c r="I316" s="41"/>
      <c r="J316" s="42"/>
      <c r="K316" s="43"/>
      <c r="L316" s="9"/>
      <c r="M316" s="12"/>
      <c r="N316" s="44"/>
      <c r="O316" s="45"/>
      <c r="P316" s="46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</row>
    <row r="317" spans="2:28" ht="16.5" customHeight="1" x14ac:dyDescent="0.3">
      <c r="B317" s="34"/>
      <c r="C317" s="47"/>
      <c r="D317" s="48"/>
      <c r="E317" s="49"/>
      <c r="F317" s="50"/>
      <c r="G317" s="51"/>
      <c r="H317" s="52"/>
      <c r="I317" s="53"/>
      <c r="J317" s="54"/>
      <c r="K317" s="55"/>
      <c r="L317" s="18"/>
      <c r="M317" s="21"/>
      <c r="N317" s="56"/>
      <c r="O317" s="57"/>
      <c r="P317" s="58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</row>
    <row r="318" spans="2:28" ht="16.5" customHeight="1" x14ac:dyDescent="0.3">
      <c r="B318" s="34"/>
      <c r="C318" s="35"/>
      <c r="D318" s="36"/>
      <c r="E318" s="37"/>
      <c r="F318" s="38"/>
      <c r="G318" s="39"/>
      <c r="H318" s="40"/>
      <c r="I318" s="41"/>
      <c r="J318" s="42"/>
      <c r="K318" s="43"/>
      <c r="L318" s="9"/>
      <c r="M318" s="12"/>
      <c r="N318" s="44"/>
      <c r="O318" s="45"/>
      <c r="P318" s="46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</row>
    <row r="319" spans="2:28" ht="16.5" customHeight="1" x14ac:dyDescent="0.3">
      <c r="B319" s="34"/>
      <c r="C319" s="47"/>
      <c r="D319" s="48"/>
      <c r="E319" s="49"/>
      <c r="F319" s="50"/>
      <c r="G319" s="51"/>
      <c r="H319" s="52"/>
      <c r="I319" s="53"/>
      <c r="J319" s="54"/>
      <c r="K319" s="55"/>
      <c r="L319" s="18"/>
      <c r="M319" s="21"/>
      <c r="N319" s="56"/>
      <c r="O319" s="57"/>
      <c r="P319" s="58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</row>
    <row r="320" spans="2:28" ht="16.5" customHeight="1" x14ac:dyDescent="0.3">
      <c r="B320" s="34"/>
      <c r="C320" s="35"/>
      <c r="D320" s="36"/>
      <c r="E320" s="37"/>
      <c r="F320" s="38"/>
      <c r="G320" s="39"/>
      <c r="H320" s="40"/>
      <c r="I320" s="41"/>
      <c r="J320" s="42"/>
      <c r="K320" s="43"/>
      <c r="L320" s="9"/>
      <c r="M320" s="12"/>
      <c r="N320" s="44"/>
      <c r="O320" s="45"/>
      <c r="P320" s="46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</row>
    <row r="321" spans="2:28" ht="16.5" customHeight="1" x14ac:dyDescent="0.3">
      <c r="B321" s="34"/>
      <c r="C321" s="47"/>
      <c r="D321" s="48"/>
      <c r="E321" s="49"/>
      <c r="F321" s="50"/>
      <c r="G321" s="51"/>
      <c r="H321" s="52"/>
      <c r="I321" s="53"/>
      <c r="J321" s="54"/>
      <c r="K321" s="55"/>
      <c r="L321" s="18"/>
      <c r="M321" s="21"/>
      <c r="N321" s="56"/>
      <c r="O321" s="57"/>
      <c r="P321" s="58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</row>
    <row r="322" spans="2:28" ht="16.5" customHeight="1" x14ac:dyDescent="0.3">
      <c r="B322" s="34"/>
      <c r="C322" s="35"/>
      <c r="D322" s="36"/>
      <c r="E322" s="37"/>
      <c r="F322" s="38"/>
      <c r="G322" s="39"/>
      <c r="H322" s="40"/>
      <c r="I322" s="41"/>
      <c r="J322" s="42"/>
      <c r="K322" s="43"/>
      <c r="L322" s="9"/>
      <c r="M322" s="12"/>
      <c r="N322" s="44"/>
      <c r="O322" s="45"/>
      <c r="P322" s="46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</row>
    <row r="323" spans="2:28" ht="16.5" customHeight="1" x14ac:dyDescent="0.3">
      <c r="B323" s="34"/>
      <c r="C323" s="47"/>
      <c r="D323" s="48"/>
      <c r="E323" s="49"/>
      <c r="F323" s="50"/>
      <c r="G323" s="51"/>
      <c r="H323" s="52"/>
      <c r="I323" s="53"/>
      <c r="J323" s="54"/>
      <c r="K323" s="55"/>
      <c r="L323" s="18"/>
      <c r="M323" s="21"/>
      <c r="N323" s="56"/>
      <c r="O323" s="57"/>
      <c r="P323" s="58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</row>
    <row r="324" spans="2:28" ht="16.5" customHeight="1" x14ac:dyDescent="0.3">
      <c r="B324" s="34"/>
      <c r="C324" s="35"/>
      <c r="D324" s="36"/>
      <c r="E324" s="37"/>
      <c r="F324" s="38"/>
      <c r="G324" s="39"/>
      <c r="H324" s="40"/>
      <c r="I324" s="41"/>
      <c r="J324" s="42"/>
      <c r="K324" s="43"/>
      <c r="L324" s="9"/>
      <c r="M324" s="12"/>
      <c r="N324" s="44"/>
      <c r="O324" s="45"/>
      <c r="P324" s="46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</row>
    <row r="325" spans="2:28" ht="16.5" customHeight="1" x14ac:dyDescent="0.3">
      <c r="B325" s="34"/>
      <c r="C325" s="47"/>
      <c r="D325" s="48"/>
      <c r="E325" s="49"/>
      <c r="F325" s="50"/>
      <c r="G325" s="51"/>
      <c r="H325" s="52"/>
      <c r="I325" s="53"/>
      <c r="J325" s="54"/>
      <c r="K325" s="55"/>
      <c r="L325" s="18"/>
      <c r="M325" s="21"/>
      <c r="N325" s="56"/>
      <c r="O325" s="57"/>
      <c r="P325" s="58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</row>
    <row r="326" spans="2:28" ht="16.5" customHeight="1" x14ac:dyDescent="0.3">
      <c r="B326" s="34"/>
      <c r="C326" s="35"/>
      <c r="D326" s="36"/>
      <c r="E326" s="37"/>
      <c r="F326" s="38"/>
      <c r="G326" s="39"/>
      <c r="H326" s="40"/>
      <c r="I326" s="41"/>
      <c r="J326" s="42"/>
      <c r="K326" s="43"/>
      <c r="L326" s="9"/>
      <c r="M326" s="12"/>
      <c r="N326" s="44"/>
      <c r="O326" s="45"/>
      <c r="P326" s="46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</row>
    <row r="327" spans="2:28" ht="16.5" customHeight="1" x14ac:dyDescent="0.3">
      <c r="B327" s="34"/>
      <c r="C327" s="47"/>
      <c r="D327" s="48"/>
      <c r="E327" s="49"/>
      <c r="F327" s="50"/>
      <c r="G327" s="51"/>
      <c r="H327" s="52"/>
      <c r="I327" s="53"/>
      <c r="J327" s="54"/>
      <c r="K327" s="55"/>
      <c r="L327" s="18"/>
      <c r="M327" s="21"/>
      <c r="N327" s="56"/>
      <c r="O327" s="57"/>
      <c r="P327" s="58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</row>
    <row r="328" spans="2:28" ht="16.5" customHeight="1" x14ac:dyDescent="0.3">
      <c r="B328" s="34"/>
      <c r="C328" s="35"/>
      <c r="D328" s="36"/>
      <c r="E328" s="37"/>
      <c r="F328" s="38"/>
      <c r="G328" s="39"/>
      <c r="H328" s="40"/>
      <c r="I328" s="41"/>
      <c r="J328" s="42"/>
      <c r="K328" s="43"/>
      <c r="L328" s="9"/>
      <c r="M328" s="12"/>
      <c r="N328" s="44"/>
      <c r="O328" s="45"/>
      <c r="P328" s="46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</row>
    <row r="329" spans="2:28" ht="16.5" customHeight="1" x14ac:dyDescent="0.3">
      <c r="B329" s="34"/>
      <c r="C329" s="47"/>
      <c r="D329" s="48"/>
      <c r="E329" s="49"/>
      <c r="F329" s="50"/>
      <c r="G329" s="51"/>
      <c r="H329" s="52"/>
      <c r="I329" s="53"/>
      <c r="J329" s="54"/>
      <c r="K329" s="55"/>
      <c r="L329" s="18"/>
      <c r="M329" s="21"/>
      <c r="N329" s="56"/>
      <c r="O329" s="57"/>
      <c r="P329" s="58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</row>
    <row r="330" spans="2:28" ht="16.5" customHeight="1" x14ac:dyDescent="0.3">
      <c r="B330" s="34"/>
      <c r="C330" s="35"/>
      <c r="D330" s="36"/>
      <c r="E330" s="37"/>
      <c r="F330" s="38"/>
      <c r="G330" s="39"/>
      <c r="H330" s="40"/>
      <c r="I330" s="41"/>
      <c r="J330" s="42"/>
      <c r="K330" s="43"/>
      <c r="L330" s="9"/>
      <c r="M330" s="12"/>
      <c r="N330" s="44"/>
      <c r="O330" s="45"/>
      <c r="P330" s="46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</row>
    <row r="331" spans="2:28" ht="16.5" customHeight="1" x14ac:dyDescent="0.3">
      <c r="B331" s="34"/>
      <c r="C331" s="47"/>
      <c r="D331" s="48"/>
      <c r="E331" s="49"/>
      <c r="F331" s="50"/>
      <c r="G331" s="51"/>
      <c r="H331" s="52"/>
      <c r="I331" s="53"/>
      <c r="J331" s="54"/>
      <c r="K331" s="55"/>
      <c r="L331" s="18"/>
      <c r="M331" s="21"/>
      <c r="N331" s="56"/>
      <c r="O331" s="57"/>
      <c r="P331" s="58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</row>
    <row r="332" spans="2:28" ht="16.5" customHeight="1" x14ac:dyDescent="0.3">
      <c r="B332" s="34"/>
      <c r="C332" s="35"/>
      <c r="D332" s="36"/>
      <c r="E332" s="37"/>
      <c r="F332" s="38"/>
      <c r="G332" s="39"/>
      <c r="H332" s="40"/>
      <c r="I332" s="41"/>
      <c r="J332" s="42"/>
      <c r="K332" s="43"/>
      <c r="L332" s="9"/>
      <c r="M332" s="12"/>
      <c r="N332" s="44"/>
      <c r="O332" s="45"/>
      <c r="P332" s="46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</row>
    <row r="333" spans="2:28" ht="16.5" customHeight="1" x14ac:dyDescent="0.3">
      <c r="B333" s="34"/>
      <c r="C333" s="47"/>
      <c r="D333" s="48"/>
      <c r="E333" s="49"/>
      <c r="F333" s="50"/>
      <c r="G333" s="51"/>
      <c r="H333" s="52"/>
      <c r="I333" s="53"/>
      <c r="J333" s="54"/>
      <c r="K333" s="55"/>
      <c r="L333" s="18"/>
      <c r="M333" s="21"/>
      <c r="N333" s="56"/>
      <c r="O333" s="57"/>
      <c r="P333" s="58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</row>
    <row r="334" spans="2:28" ht="16.5" customHeight="1" x14ac:dyDescent="0.3">
      <c r="B334" s="34"/>
      <c r="C334" s="35"/>
      <c r="D334" s="36"/>
      <c r="E334" s="37"/>
      <c r="F334" s="38"/>
      <c r="G334" s="39"/>
      <c r="H334" s="40"/>
      <c r="I334" s="41"/>
      <c r="J334" s="42"/>
      <c r="K334" s="43"/>
      <c r="L334" s="9"/>
      <c r="M334" s="12"/>
      <c r="N334" s="44"/>
      <c r="O334" s="45"/>
      <c r="P334" s="46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</row>
    <row r="335" spans="2:28" ht="16.5" customHeight="1" x14ac:dyDescent="0.3">
      <c r="B335" s="34"/>
      <c r="C335" s="47"/>
      <c r="D335" s="48"/>
      <c r="E335" s="49"/>
      <c r="F335" s="50"/>
      <c r="G335" s="51"/>
      <c r="H335" s="52"/>
      <c r="I335" s="53"/>
      <c r="J335" s="54"/>
      <c r="K335" s="55"/>
      <c r="L335" s="18"/>
      <c r="M335" s="21"/>
      <c r="N335" s="56"/>
      <c r="O335" s="57"/>
      <c r="P335" s="58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</row>
    <row r="336" spans="2:28" ht="16.5" customHeight="1" x14ac:dyDescent="0.3">
      <c r="B336" s="34"/>
      <c r="C336" s="35"/>
      <c r="D336" s="36"/>
      <c r="E336" s="37"/>
      <c r="F336" s="38"/>
      <c r="G336" s="39"/>
      <c r="H336" s="40"/>
      <c r="I336" s="41"/>
      <c r="J336" s="42"/>
      <c r="K336" s="43"/>
      <c r="L336" s="9"/>
      <c r="M336" s="12"/>
      <c r="N336" s="44"/>
      <c r="O336" s="45"/>
      <c r="P336" s="46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</row>
    <row r="337" spans="2:28" ht="16.5" customHeight="1" x14ac:dyDescent="0.3">
      <c r="B337" s="34"/>
      <c r="C337" s="47"/>
      <c r="D337" s="48"/>
      <c r="E337" s="49"/>
      <c r="F337" s="50"/>
      <c r="G337" s="51"/>
      <c r="H337" s="52"/>
      <c r="I337" s="53"/>
      <c r="J337" s="54"/>
      <c r="K337" s="55"/>
      <c r="L337" s="18"/>
      <c r="M337" s="21"/>
      <c r="N337" s="56"/>
      <c r="O337" s="57"/>
      <c r="P337" s="58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</row>
    <row r="338" spans="2:28" ht="16.5" customHeight="1" x14ac:dyDescent="0.3">
      <c r="B338" s="34"/>
      <c r="C338" s="35"/>
      <c r="D338" s="36"/>
      <c r="E338" s="37"/>
      <c r="F338" s="38"/>
      <c r="G338" s="39"/>
      <c r="H338" s="40"/>
      <c r="I338" s="41"/>
      <c r="J338" s="42"/>
      <c r="K338" s="43"/>
      <c r="L338" s="9"/>
      <c r="M338" s="12"/>
      <c r="N338" s="44"/>
      <c r="O338" s="45"/>
      <c r="P338" s="46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</row>
    <row r="339" spans="2:28" ht="16.5" customHeight="1" x14ac:dyDescent="0.3">
      <c r="B339" s="34"/>
      <c r="C339" s="47"/>
      <c r="D339" s="48"/>
      <c r="E339" s="49"/>
      <c r="F339" s="50"/>
      <c r="G339" s="51"/>
      <c r="H339" s="52"/>
      <c r="I339" s="53"/>
      <c r="J339" s="54"/>
      <c r="K339" s="55"/>
      <c r="L339" s="18"/>
      <c r="M339" s="21"/>
      <c r="N339" s="56"/>
      <c r="O339" s="57"/>
      <c r="P339" s="58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</row>
    <row r="340" spans="2:28" ht="16.5" customHeight="1" x14ac:dyDescent="0.3">
      <c r="B340" s="34"/>
      <c r="C340" s="35"/>
      <c r="D340" s="36"/>
      <c r="E340" s="37"/>
      <c r="F340" s="38"/>
      <c r="G340" s="39"/>
      <c r="H340" s="40"/>
      <c r="I340" s="41"/>
      <c r="J340" s="42"/>
      <c r="K340" s="43"/>
      <c r="L340" s="9"/>
      <c r="M340" s="12"/>
      <c r="N340" s="44"/>
      <c r="O340" s="45"/>
      <c r="P340" s="46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</row>
    <row r="341" spans="2:28" ht="16.5" customHeight="1" x14ac:dyDescent="0.3">
      <c r="B341" s="34"/>
      <c r="C341" s="47"/>
      <c r="D341" s="48"/>
      <c r="E341" s="49"/>
      <c r="F341" s="50"/>
      <c r="G341" s="51"/>
      <c r="H341" s="52"/>
      <c r="I341" s="53"/>
      <c r="J341" s="54"/>
      <c r="K341" s="55"/>
      <c r="L341" s="18"/>
      <c r="M341" s="21"/>
      <c r="N341" s="56"/>
      <c r="O341" s="57"/>
      <c r="P341" s="58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</row>
    <row r="342" spans="2:28" ht="16.5" customHeight="1" x14ac:dyDescent="0.3">
      <c r="B342" s="34"/>
      <c r="C342" s="35"/>
      <c r="D342" s="36"/>
      <c r="E342" s="37"/>
      <c r="F342" s="38"/>
      <c r="G342" s="39"/>
      <c r="H342" s="40"/>
      <c r="I342" s="41"/>
      <c r="J342" s="42"/>
      <c r="K342" s="43"/>
      <c r="L342" s="9"/>
      <c r="M342" s="12"/>
      <c r="N342" s="44"/>
      <c r="O342" s="45"/>
      <c r="P342" s="46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</row>
    <row r="343" spans="2:28" ht="16.5" customHeight="1" x14ac:dyDescent="0.3">
      <c r="B343" s="34"/>
      <c r="C343" s="47"/>
      <c r="D343" s="48"/>
      <c r="E343" s="49"/>
      <c r="F343" s="50"/>
      <c r="G343" s="51"/>
      <c r="H343" s="52"/>
      <c r="I343" s="53"/>
      <c r="J343" s="54"/>
      <c r="K343" s="55"/>
      <c r="L343" s="18"/>
      <c r="M343" s="21"/>
      <c r="N343" s="56"/>
      <c r="O343" s="57"/>
      <c r="P343" s="58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</row>
    <row r="344" spans="2:28" ht="16.5" customHeight="1" x14ac:dyDescent="0.3">
      <c r="B344" s="34"/>
      <c r="C344" s="35"/>
      <c r="D344" s="36"/>
      <c r="E344" s="37"/>
      <c r="F344" s="38"/>
      <c r="G344" s="39"/>
      <c r="H344" s="40"/>
      <c r="I344" s="41"/>
      <c r="J344" s="42"/>
      <c r="K344" s="43"/>
      <c r="L344" s="9"/>
      <c r="M344" s="12"/>
      <c r="N344" s="44"/>
      <c r="O344" s="45"/>
      <c r="P344" s="46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</row>
    <row r="345" spans="2:28" ht="16.5" customHeight="1" x14ac:dyDescent="0.3">
      <c r="B345" s="34"/>
      <c r="C345" s="47"/>
      <c r="D345" s="48"/>
      <c r="E345" s="49"/>
      <c r="F345" s="50"/>
      <c r="G345" s="51"/>
      <c r="H345" s="52"/>
      <c r="I345" s="53"/>
      <c r="J345" s="54"/>
      <c r="K345" s="55"/>
      <c r="L345" s="18"/>
      <c r="M345" s="21"/>
      <c r="N345" s="56"/>
      <c r="O345" s="57"/>
      <c r="P345" s="58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</row>
    <row r="346" spans="2:28" ht="16.5" customHeight="1" x14ac:dyDescent="0.3">
      <c r="B346" s="34"/>
      <c r="C346" s="35"/>
      <c r="D346" s="36"/>
      <c r="E346" s="37"/>
      <c r="F346" s="38"/>
      <c r="G346" s="39"/>
      <c r="H346" s="40"/>
      <c r="I346" s="41"/>
      <c r="J346" s="42"/>
      <c r="K346" s="43"/>
      <c r="L346" s="9"/>
      <c r="M346" s="12"/>
      <c r="N346" s="44"/>
      <c r="O346" s="45"/>
      <c r="P346" s="46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</row>
    <row r="347" spans="2:28" ht="16.5" customHeight="1" x14ac:dyDescent="0.3">
      <c r="B347" s="34"/>
      <c r="C347" s="47"/>
      <c r="D347" s="48"/>
      <c r="E347" s="49"/>
      <c r="F347" s="50"/>
      <c r="G347" s="51"/>
      <c r="H347" s="52"/>
      <c r="I347" s="53"/>
      <c r="J347" s="54"/>
      <c r="K347" s="55"/>
      <c r="L347" s="18"/>
      <c r="M347" s="21"/>
      <c r="N347" s="56"/>
      <c r="O347" s="57"/>
      <c r="P347" s="58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</row>
    <row r="348" spans="2:28" ht="16.5" customHeight="1" x14ac:dyDescent="0.3">
      <c r="B348" s="34"/>
      <c r="C348" s="35"/>
      <c r="D348" s="36"/>
      <c r="E348" s="37"/>
      <c r="F348" s="38"/>
      <c r="G348" s="39"/>
      <c r="H348" s="40"/>
      <c r="I348" s="41"/>
      <c r="J348" s="42"/>
      <c r="K348" s="43"/>
      <c r="L348" s="9"/>
      <c r="M348" s="12"/>
      <c r="N348" s="44"/>
      <c r="O348" s="45"/>
      <c r="P348" s="46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</row>
    <row r="349" spans="2:28" ht="16.5" customHeight="1" x14ac:dyDescent="0.3">
      <c r="B349" s="34"/>
      <c r="C349" s="47"/>
      <c r="D349" s="48"/>
      <c r="E349" s="49"/>
      <c r="F349" s="50"/>
      <c r="G349" s="51"/>
      <c r="H349" s="52"/>
      <c r="I349" s="53"/>
      <c r="J349" s="54"/>
      <c r="K349" s="55"/>
      <c r="L349" s="18"/>
      <c r="M349" s="21"/>
      <c r="N349" s="56"/>
      <c r="O349" s="57"/>
      <c r="P349" s="58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</row>
    <row r="350" spans="2:28" ht="16.5" customHeight="1" x14ac:dyDescent="0.3">
      <c r="B350" s="34"/>
      <c r="C350" s="35"/>
      <c r="D350" s="36"/>
      <c r="E350" s="37"/>
      <c r="F350" s="38"/>
      <c r="G350" s="39"/>
      <c r="H350" s="40"/>
      <c r="I350" s="41"/>
      <c r="J350" s="42"/>
      <c r="K350" s="43"/>
      <c r="L350" s="9"/>
      <c r="M350" s="12"/>
      <c r="N350" s="44"/>
      <c r="O350" s="45"/>
      <c r="P350" s="46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</row>
    <row r="351" spans="2:28" ht="16.5" customHeight="1" x14ac:dyDescent="0.3">
      <c r="B351" s="34"/>
      <c r="C351" s="47"/>
      <c r="D351" s="48"/>
      <c r="E351" s="49"/>
      <c r="F351" s="50"/>
      <c r="G351" s="51"/>
      <c r="H351" s="52"/>
      <c r="I351" s="53"/>
      <c r="J351" s="54"/>
      <c r="K351" s="55"/>
      <c r="L351" s="18"/>
      <c r="M351" s="21"/>
      <c r="N351" s="56"/>
      <c r="O351" s="57"/>
      <c r="P351" s="58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</row>
    <row r="352" spans="2:28" ht="16.5" customHeight="1" x14ac:dyDescent="0.3">
      <c r="B352" s="34"/>
      <c r="C352" s="35"/>
      <c r="D352" s="36"/>
      <c r="E352" s="37"/>
      <c r="F352" s="38"/>
      <c r="G352" s="39"/>
      <c r="H352" s="40"/>
      <c r="I352" s="41"/>
      <c r="J352" s="42"/>
      <c r="K352" s="43"/>
      <c r="L352" s="9"/>
      <c r="M352" s="12"/>
      <c r="N352" s="44"/>
      <c r="O352" s="45"/>
      <c r="P352" s="46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</row>
    <row r="353" spans="2:28" ht="16.5" customHeight="1" x14ac:dyDescent="0.3">
      <c r="B353" s="34"/>
      <c r="C353" s="47"/>
      <c r="D353" s="48"/>
      <c r="E353" s="49"/>
      <c r="F353" s="50"/>
      <c r="G353" s="51"/>
      <c r="H353" s="52"/>
      <c r="I353" s="53"/>
      <c r="J353" s="54"/>
      <c r="K353" s="55"/>
      <c r="L353" s="18"/>
      <c r="M353" s="21"/>
      <c r="N353" s="56"/>
      <c r="O353" s="57"/>
      <c r="P353" s="58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</row>
    <row r="354" spans="2:28" ht="16.5" customHeight="1" x14ac:dyDescent="0.3">
      <c r="B354" s="34"/>
      <c r="C354" s="35"/>
      <c r="D354" s="36"/>
      <c r="E354" s="37"/>
      <c r="F354" s="38"/>
      <c r="G354" s="39"/>
      <c r="H354" s="40"/>
      <c r="I354" s="41"/>
      <c r="J354" s="42"/>
      <c r="K354" s="43"/>
      <c r="L354" s="9"/>
      <c r="M354" s="12"/>
      <c r="N354" s="44"/>
      <c r="O354" s="45"/>
      <c r="P354" s="46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</row>
    <row r="355" spans="2:28" ht="16.5" customHeight="1" x14ac:dyDescent="0.3">
      <c r="B355" s="34"/>
      <c r="C355" s="47"/>
      <c r="D355" s="48"/>
      <c r="E355" s="49"/>
      <c r="F355" s="50"/>
      <c r="G355" s="51"/>
      <c r="H355" s="52"/>
      <c r="I355" s="53"/>
      <c r="J355" s="54"/>
      <c r="K355" s="55"/>
      <c r="L355" s="18"/>
      <c r="M355" s="21"/>
      <c r="N355" s="56"/>
      <c r="O355" s="57"/>
      <c r="P355" s="58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</row>
    <row r="356" spans="2:28" ht="16.5" customHeight="1" x14ac:dyDescent="0.3">
      <c r="B356" s="34"/>
      <c r="C356" s="35"/>
      <c r="D356" s="36"/>
      <c r="E356" s="37"/>
      <c r="F356" s="38"/>
      <c r="G356" s="39"/>
      <c r="H356" s="40"/>
      <c r="I356" s="41"/>
      <c r="J356" s="42"/>
      <c r="K356" s="43"/>
      <c r="L356" s="9"/>
      <c r="M356" s="12"/>
      <c r="N356" s="44"/>
      <c r="O356" s="45"/>
      <c r="P356" s="46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</row>
    <row r="357" spans="2:28" ht="16.5" customHeight="1" x14ac:dyDescent="0.3">
      <c r="B357" s="34"/>
      <c r="C357" s="47"/>
      <c r="D357" s="48"/>
      <c r="E357" s="49"/>
      <c r="F357" s="50"/>
      <c r="G357" s="51"/>
      <c r="H357" s="52"/>
      <c r="I357" s="53"/>
      <c r="J357" s="54"/>
      <c r="K357" s="55"/>
      <c r="L357" s="18"/>
      <c r="M357" s="21"/>
      <c r="N357" s="56"/>
      <c r="O357" s="57"/>
      <c r="P357" s="58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</row>
    <row r="358" spans="2:28" ht="16.5" customHeight="1" x14ac:dyDescent="0.3">
      <c r="B358" s="34"/>
      <c r="C358" s="35"/>
      <c r="D358" s="36"/>
      <c r="E358" s="37"/>
      <c r="F358" s="38"/>
      <c r="G358" s="39"/>
      <c r="H358" s="40"/>
      <c r="I358" s="41"/>
      <c r="J358" s="42"/>
      <c r="K358" s="43"/>
      <c r="L358" s="9"/>
      <c r="M358" s="12"/>
      <c r="N358" s="44"/>
      <c r="O358" s="45"/>
      <c r="P358" s="46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</row>
    <row r="359" spans="2:28" ht="16.5" customHeight="1" x14ac:dyDescent="0.3">
      <c r="B359" s="34"/>
      <c r="C359" s="47"/>
      <c r="D359" s="48"/>
      <c r="E359" s="49"/>
      <c r="F359" s="50"/>
      <c r="G359" s="51"/>
      <c r="H359" s="52"/>
      <c r="I359" s="53"/>
      <c r="J359" s="54"/>
      <c r="K359" s="55"/>
      <c r="L359" s="18"/>
      <c r="M359" s="21"/>
      <c r="N359" s="56"/>
      <c r="O359" s="57"/>
      <c r="P359" s="58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</row>
    <row r="360" spans="2:28" ht="16.5" customHeight="1" x14ac:dyDescent="0.3">
      <c r="B360" s="34"/>
      <c r="C360" s="35"/>
      <c r="D360" s="36"/>
      <c r="E360" s="37"/>
      <c r="F360" s="38"/>
      <c r="G360" s="39"/>
      <c r="H360" s="40"/>
      <c r="I360" s="41"/>
      <c r="J360" s="42"/>
      <c r="K360" s="43"/>
      <c r="L360" s="9"/>
      <c r="M360" s="12"/>
      <c r="N360" s="44"/>
      <c r="O360" s="45"/>
      <c r="P360" s="46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</row>
    <row r="361" spans="2:28" ht="16.5" customHeight="1" x14ac:dyDescent="0.3">
      <c r="B361" s="34"/>
      <c r="C361" s="47"/>
      <c r="D361" s="48"/>
      <c r="E361" s="49"/>
      <c r="F361" s="50"/>
      <c r="G361" s="51"/>
      <c r="H361" s="52"/>
      <c r="I361" s="53"/>
      <c r="J361" s="54"/>
      <c r="K361" s="55"/>
      <c r="L361" s="18"/>
      <c r="M361" s="21"/>
      <c r="N361" s="56"/>
      <c r="O361" s="57"/>
      <c r="P361" s="58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</row>
    <row r="362" spans="2:28" ht="16.5" customHeight="1" x14ac:dyDescent="0.3">
      <c r="B362" s="34"/>
      <c r="C362" s="35"/>
      <c r="D362" s="36"/>
      <c r="E362" s="37"/>
      <c r="F362" s="38"/>
      <c r="G362" s="39"/>
      <c r="H362" s="40"/>
      <c r="I362" s="41"/>
      <c r="J362" s="42"/>
      <c r="K362" s="43"/>
      <c r="L362" s="9"/>
      <c r="M362" s="12"/>
      <c r="N362" s="44"/>
      <c r="O362" s="45"/>
      <c r="P362" s="46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</row>
    <row r="363" spans="2:28" ht="16.5" customHeight="1" x14ac:dyDescent="0.3">
      <c r="B363" s="34"/>
      <c r="C363" s="47"/>
      <c r="D363" s="48"/>
      <c r="E363" s="49"/>
      <c r="F363" s="50"/>
      <c r="G363" s="51"/>
      <c r="H363" s="52"/>
      <c r="I363" s="53"/>
      <c r="J363" s="54"/>
      <c r="K363" s="55"/>
      <c r="L363" s="18"/>
      <c r="M363" s="21"/>
      <c r="N363" s="56"/>
      <c r="O363" s="57"/>
      <c r="P363" s="58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</row>
    <row r="364" spans="2:28" ht="16.5" customHeight="1" x14ac:dyDescent="0.3">
      <c r="B364" s="34"/>
      <c r="C364" s="35"/>
      <c r="D364" s="36"/>
      <c r="E364" s="37"/>
      <c r="F364" s="38"/>
      <c r="G364" s="39"/>
      <c r="H364" s="40"/>
      <c r="I364" s="41"/>
      <c r="J364" s="42"/>
      <c r="K364" s="43"/>
      <c r="L364" s="9"/>
      <c r="M364" s="12"/>
      <c r="N364" s="44"/>
      <c r="O364" s="45"/>
      <c r="P364" s="46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</row>
    <row r="365" spans="2:28" ht="16.5" customHeight="1" x14ac:dyDescent="0.3">
      <c r="B365" s="34"/>
      <c r="C365" s="47"/>
      <c r="D365" s="48"/>
      <c r="E365" s="49"/>
      <c r="F365" s="50"/>
      <c r="G365" s="51"/>
      <c r="H365" s="52"/>
      <c r="I365" s="53"/>
      <c r="J365" s="54"/>
      <c r="K365" s="55"/>
      <c r="L365" s="18"/>
      <c r="M365" s="21"/>
      <c r="N365" s="56"/>
      <c r="O365" s="57"/>
      <c r="P365" s="58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</row>
    <row r="366" spans="2:28" ht="16.5" customHeight="1" x14ac:dyDescent="0.3">
      <c r="B366" s="34"/>
      <c r="C366" s="35"/>
      <c r="D366" s="36"/>
      <c r="E366" s="37"/>
      <c r="F366" s="38"/>
      <c r="G366" s="39"/>
      <c r="H366" s="40"/>
      <c r="I366" s="41"/>
      <c r="J366" s="42"/>
      <c r="K366" s="43"/>
      <c r="L366" s="9"/>
      <c r="M366" s="12"/>
      <c r="N366" s="44"/>
      <c r="O366" s="45"/>
      <c r="P366" s="46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</row>
    <row r="367" spans="2:28" ht="16.5" customHeight="1" x14ac:dyDescent="0.3">
      <c r="B367" s="34"/>
      <c r="C367" s="47"/>
      <c r="D367" s="48"/>
      <c r="E367" s="49"/>
      <c r="F367" s="50"/>
      <c r="G367" s="51"/>
      <c r="H367" s="52"/>
      <c r="I367" s="53"/>
      <c r="J367" s="54"/>
      <c r="K367" s="55"/>
      <c r="L367" s="18"/>
      <c r="M367" s="21"/>
      <c r="N367" s="56"/>
      <c r="O367" s="57"/>
      <c r="P367" s="58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</row>
    <row r="368" spans="2:28" ht="16.5" customHeight="1" x14ac:dyDescent="0.3">
      <c r="B368" s="34"/>
      <c r="C368" s="35"/>
      <c r="D368" s="36"/>
      <c r="E368" s="37"/>
      <c r="F368" s="38"/>
      <c r="G368" s="39"/>
      <c r="H368" s="40"/>
      <c r="I368" s="41"/>
      <c r="J368" s="42"/>
      <c r="K368" s="43"/>
      <c r="L368" s="9"/>
      <c r="M368" s="12"/>
      <c r="N368" s="44"/>
      <c r="O368" s="45"/>
      <c r="P368" s="46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</row>
    <row r="369" spans="2:28" ht="16.5" customHeight="1" x14ac:dyDescent="0.3">
      <c r="B369" s="34"/>
      <c r="C369" s="47"/>
      <c r="D369" s="48"/>
      <c r="E369" s="49"/>
      <c r="F369" s="50"/>
      <c r="G369" s="51"/>
      <c r="H369" s="52"/>
      <c r="I369" s="53"/>
      <c r="J369" s="54"/>
      <c r="K369" s="55"/>
      <c r="L369" s="18"/>
      <c r="M369" s="21"/>
      <c r="N369" s="56"/>
      <c r="O369" s="57"/>
      <c r="P369" s="58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</row>
    <row r="370" spans="2:28" ht="16.5" customHeight="1" x14ac:dyDescent="0.3">
      <c r="B370" s="34"/>
      <c r="C370" s="35"/>
      <c r="D370" s="36"/>
      <c r="E370" s="37"/>
      <c r="F370" s="38"/>
      <c r="G370" s="39"/>
      <c r="H370" s="40"/>
      <c r="I370" s="41"/>
      <c r="J370" s="42"/>
      <c r="K370" s="43"/>
      <c r="L370" s="9"/>
      <c r="M370" s="12"/>
      <c r="N370" s="44"/>
      <c r="O370" s="45"/>
      <c r="P370" s="46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</row>
    <row r="371" spans="2:28" ht="16.5" customHeight="1" x14ac:dyDescent="0.3">
      <c r="B371" s="34"/>
      <c r="C371" s="47"/>
      <c r="D371" s="48"/>
      <c r="E371" s="49"/>
      <c r="F371" s="50"/>
      <c r="G371" s="51"/>
      <c r="H371" s="52"/>
      <c r="I371" s="53"/>
      <c r="J371" s="54"/>
      <c r="K371" s="55"/>
      <c r="L371" s="18"/>
      <c r="M371" s="21"/>
      <c r="N371" s="56"/>
      <c r="O371" s="57"/>
      <c r="P371" s="58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</row>
    <row r="372" spans="2:28" ht="16.5" customHeight="1" x14ac:dyDescent="0.3">
      <c r="B372" s="34"/>
      <c r="C372" s="35"/>
      <c r="D372" s="36"/>
      <c r="E372" s="37"/>
      <c r="F372" s="38"/>
      <c r="G372" s="39"/>
      <c r="H372" s="40"/>
      <c r="I372" s="41"/>
      <c r="J372" s="42"/>
      <c r="K372" s="43"/>
      <c r="L372" s="9"/>
      <c r="M372" s="12"/>
      <c r="N372" s="44"/>
      <c r="O372" s="45"/>
      <c r="P372" s="46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</row>
  </sheetData>
  <mergeCells count="4">
    <mergeCell ref="B5:P5"/>
    <mergeCell ref="A2:H2"/>
    <mergeCell ref="I2:P2"/>
    <mergeCell ref="A3:P3"/>
  </mergeCells>
  <conditionalFormatting sqref="I8:I372">
    <cfRule type="expression" dxfId="13" priority="2">
      <formula>I8&lt;0</formula>
    </cfRule>
    <cfRule type="expression" dxfId="12" priority="3">
      <formula>I8&gt;0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J575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4" customWidth="1"/>
    <col min="4" max="4" width="22" customWidth="1"/>
    <col min="5" max="5" width="19.77734375" customWidth="1"/>
    <col min="6" max="6" width="16" customWidth="1"/>
    <col min="7" max="7" width="14" customWidth="1"/>
    <col min="8" max="8" width="16" customWidth="1"/>
    <col min="9" max="9" width="18" customWidth="1"/>
  </cols>
  <sheetData>
    <row r="1" spans="1:10" x14ac:dyDescent="0.3">
      <c r="A1" s="5"/>
      <c r="B1" s="5"/>
      <c r="C1" s="5"/>
      <c r="D1" s="5"/>
      <c r="E1" s="5"/>
      <c r="F1" s="5"/>
      <c r="G1" s="5"/>
      <c r="H1" s="5"/>
      <c r="I1" s="5"/>
    </row>
    <row r="2" spans="1:10" ht="24.6" customHeight="1" x14ac:dyDescent="0.3">
      <c r="A2" s="330" t="s">
        <v>353</v>
      </c>
      <c r="B2" s="331"/>
      <c r="C2" s="331"/>
      <c r="D2" s="331"/>
      <c r="E2" s="332" t="s">
        <v>354</v>
      </c>
      <c r="F2" s="331"/>
      <c r="G2" s="331"/>
      <c r="H2" s="331"/>
      <c r="I2" s="331"/>
    </row>
    <row r="3" spans="1:10" x14ac:dyDescent="0.3">
      <c r="A3" s="333"/>
      <c r="B3" s="331"/>
      <c r="C3" s="331"/>
      <c r="D3" s="331"/>
      <c r="E3" s="331"/>
      <c r="F3" s="331"/>
      <c r="G3" s="331"/>
      <c r="H3" s="331"/>
      <c r="I3" s="331"/>
    </row>
    <row r="5" spans="1:10" x14ac:dyDescent="0.3">
      <c r="B5" s="59" t="s">
        <v>355</v>
      </c>
      <c r="C5" s="59" t="s">
        <v>356</v>
      </c>
      <c r="D5" s="59" t="s">
        <v>357</v>
      </c>
      <c r="E5" s="59" t="s">
        <v>358</v>
      </c>
      <c r="F5" s="59" t="s">
        <v>359</v>
      </c>
      <c r="G5" s="59" t="s">
        <v>360</v>
      </c>
      <c r="H5" s="59" t="s">
        <v>361</v>
      </c>
      <c r="I5" s="59" t="s">
        <v>362</v>
      </c>
    </row>
    <row r="6" spans="1:10" ht="15.6" customHeight="1" x14ac:dyDescent="0.3">
      <c r="B6" s="60">
        <f ca="1">SUMIFS($F$8:$F$5000,$B$8:$B$5000,TODAY())</f>
        <v>0</v>
      </c>
      <c r="C6" s="61">
        <f ca="1">SUMIFS($F$8:$F$5000,$B$8:$B$5000,"&gt;="&amp;(TODAY()-WEEKDAY(TODAY(),2)+1),$B$8:$B$5000,"&lt;="&amp;(TODAY()-WEEKDAY(TODAY(),2)+7))</f>
        <v>0</v>
      </c>
      <c r="D6" s="62">
        <f ca="1">SUMIFS($F$8:$F$5000,$B$8:$B$5000,"&gt;="&amp;DATE(YEAR(TODAY()),MONTH(TODAY()),1),$B$8:$B$5000,"&lt;"&amp;DATE(YEAR(TODAY()),MONTH(TODAY())+1,1))</f>
        <v>8680</v>
      </c>
      <c r="E6" s="61">
        <f>SUMIF($E$8:$E$5000,"Ingredients*",$F$8:$F$5000)</f>
        <v>106175.76000000002</v>
      </c>
      <c r="F6" s="63">
        <f>SUMIF($E$8:$E$5000,"Staff*",$F$8:$F$5000)</f>
        <v>71443.649999999994</v>
      </c>
      <c r="G6" s="62">
        <f>SUMIF($E$8:$E$5000,"Supplies*",$F$8:$F$5000)+SUMIF($E$8:$E$5000,"Utilities*",$F$8:$F$5000)</f>
        <v>11208.27</v>
      </c>
      <c r="H6" s="60">
        <f ca="1">SUMIFS($F$8:$F$5000,$B$8:$B$5000,TODAY())</f>
        <v>0</v>
      </c>
      <c r="I6" s="60">
        <f ca="1">SUMIFS($F$8:$F$5000,$B$8:$B$5000,"&gt;="&amp;(TODAY()-WEEKDAY(TODAY(),2)+1),$B$8:$B$5000,"&lt;="&amp;(TODAY()-WEEKDAY(TODAY(),2)+7))</f>
        <v>0</v>
      </c>
    </row>
    <row r="7" spans="1:10" x14ac:dyDescent="0.3">
      <c r="B7" t="s">
        <v>3</v>
      </c>
      <c r="C7" t="s">
        <v>79</v>
      </c>
      <c r="D7" t="s">
        <v>199</v>
      </c>
      <c r="E7" t="s">
        <v>132</v>
      </c>
      <c r="F7" t="s">
        <v>80</v>
      </c>
      <c r="G7" t="s">
        <v>81</v>
      </c>
      <c r="H7" t="s">
        <v>363</v>
      </c>
      <c r="I7" t="s">
        <v>82</v>
      </c>
      <c r="J7" t="s">
        <v>12</v>
      </c>
    </row>
    <row r="8" spans="1:10" x14ac:dyDescent="0.3">
      <c r="B8" s="64">
        <v>46160</v>
      </c>
      <c r="C8" s="65" t="s">
        <v>364</v>
      </c>
      <c r="D8" s="66" t="s">
        <v>113</v>
      </c>
      <c r="E8" s="65" t="s">
        <v>365</v>
      </c>
      <c r="F8" s="67">
        <v>420</v>
      </c>
      <c r="G8" s="14" t="s">
        <v>366</v>
      </c>
      <c r="H8" s="14" t="s">
        <v>367</v>
      </c>
      <c r="I8" s="43" t="s">
        <v>349</v>
      </c>
    </row>
    <row r="9" spans="1:10" x14ac:dyDescent="0.3">
      <c r="B9" s="64">
        <v>46160</v>
      </c>
      <c r="C9" s="65" t="s">
        <v>368</v>
      </c>
      <c r="D9" s="66" t="s">
        <v>113</v>
      </c>
      <c r="E9" s="65" t="s">
        <v>369</v>
      </c>
      <c r="F9" s="67">
        <v>1068</v>
      </c>
      <c r="G9" s="14" t="s">
        <v>366</v>
      </c>
      <c r="H9" s="14" t="s">
        <v>367</v>
      </c>
      <c r="I9" s="43" t="s">
        <v>349</v>
      </c>
    </row>
    <row r="10" spans="1:10" x14ac:dyDescent="0.3">
      <c r="B10" s="64">
        <v>46160</v>
      </c>
      <c r="C10" s="65" t="s">
        <v>370</v>
      </c>
      <c r="D10" s="68" t="s">
        <v>371</v>
      </c>
      <c r="E10" s="69" t="s">
        <v>372</v>
      </c>
      <c r="F10" s="70">
        <v>522</v>
      </c>
      <c r="G10" s="23" t="s">
        <v>366</v>
      </c>
      <c r="H10" s="23" t="s">
        <v>367</v>
      </c>
      <c r="I10" s="55" t="s">
        <v>349</v>
      </c>
    </row>
    <row r="11" spans="1:10" x14ac:dyDescent="0.3">
      <c r="B11" s="64">
        <v>46160</v>
      </c>
      <c r="C11" s="65" t="s">
        <v>373</v>
      </c>
      <c r="D11" s="66" t="s">
        <v>374</v>
      </c>
      <c r="E11" s="65" t="s">
        <v>375</v>
      </c>
      <c r="F11" s="67">
        <v>129</v>
      </c>
      <c r="G11" s="14" t="s">
        <v>366</v>
      </c>
      <c r="H11" s="14" t="s">
        <v>367</v>
      </c>
      <c r="I11" s="43" t="s">
        <v>349</v>
      </c>
    </row>
    <row r="12" spans="1:10" x14ac:dyDescent="0.3">
      <c r="B12" s="64">
        <v>46160</v>
      </c>
      <c r="C12" s="69" t="s">
        <v>376</v>
      </c>
      <c r="D12" s="68" t="s">
        <v>377</v>
      </c>
      <c r="E12" s="69" t="s">
        <v>378</v>
      </c>
      <c r="F12" s="70">
        <v>400</v>
      </c>
      <c r="G12" s="23" t="s">
        <v>366</v>
      </c>
      <c r="H12" s="23" t="s">
        <v>367</v>
      </c>
      <c r="I12" s="55" t="s">
        <v>349</v>
      </c>
    </row>
    <row r="13" spans="1:10" x14ac:dyDescent="0.3">
      <c r="B13" s="64">
        <v>46160</v>
      </c>
      <c r="C13" s="65" t="s">
        <v>376</v>
      </c>
      <c r="D13" s="66" t="s">
        <v>113</v>
      </c>
      <c r="E13" s="65" t="s">
        <v>378</v>
      </c>
      <c r="F13" s="67">
        <v>90</v>
      </c>
      <c r="G13" s="14" t="s">
        <v>366</v>
      </c>
      <c r="H13" s="14" t="s">
        <v>367</v>
      </c>
      <c r="I13" s="43" t="s">
        <v>349</v>
      </c>
    </row>
    <row r="14" spans="1:10" x14ac:dyDescent="0.3">
      <c r="B14" s="64">
        <v>46161</v>
      </c>
      <c r="C14" s="69" t="s">
        <v>379</v>
      </c>
      <c r="D14" s="68" t="s">
        <v>113</v>
      </c>
      <c r="E14" s="69" t="s">
        <v>369</v>
      </c>
      <c r="F14" s="70">
        <v>30</v>
      </c>
      <c r="G14" s="23" t="s">
        <v>366</v>
      </c>
      <c r="H14" s="23" t="s">
        <v>367</v>
      </c>
      <c r="I14" s="55" t="s">
        <v>349</v>
      </c>
    </row>
    <row r="15" spans="1:10" x14ac:dyDescent="0.3">
      <c r="B15" s="64">
        <v>46162</v>
      </c>
      <c r="C15" s="65" t="s">
        <v>380</v>
      </c>
      <c r="D15" s="68" t="s">
        <v>113</v>
      </c>
      <c r="E15" s="65" t="s">
        <v>378</v>
      </c>
      <c r="F15" s="67">
        <v>65</v>
      </c>
      <c r="G15" s="14" t="s">
        <v>366</v>
      </c>
      <c r="H15" s="14" t="s">
        <v>367</v>
      </c>
      <c r="I15" s="43" t="s">
        <v>349</v>
      </c>
    </row>
    <row r="16" spans="1:10" x14ac:dyDescent="0.3">
      <c r="B16" s="64">
        <v>46162</v>
      </c>
      <c r="C16" s="65" t="s">
        <v>381</v>
      </c>
      <c r="D16" s="68" t="s">
        <v>113</v>
      </c>
      <c r="E16" s="65" t="s">
        <v>369</v>
      </c>
      <c r="F16" s="70">
        <v>26</v>
      </c>
      <c r="G16" s="23" t="s">
        <v>366</v>
      </c>
      <c r="H16" s="23" t="s">
        <v>367</v>
      </c>
      <c r="I16" s="55" t="s">
        <v>349</v>
      </c>
    </row>
    <row r="17" spans="2:9" x14ac:dyDescent="0.3">
      <c r="B17" s="64">
        <v>46162</v>
      </c>
      <c r="C17" s="65" t="s">
        <v>382</v>
      </c>
      <c r="D17" s="66" t="s">
        <v>113</v>
      </c>
      <c r="E17" s="69" t="s">
        <v>365</v>
      </c>
      <c r="F17" s="67">
        <v>88</v>
      </c>
      <c r="G17" s="14" t="s">
        <v>366</v>
      </c>
      <c r="H17" s="14" t="s">
        <v>367</v>
      </c>
      <c r="I17" s="43" t="s">
        <v>349</v>
      </c>
    </row>
    <row r="18" spans="2:9" x14ac:dyDescent="0.3">
      <c r="B18" s="64">
        <v>46162</v>
      </c>
      <c r="C18" s="65" t="s">
        <v>364</v>
      </c>
      <c r="D18" s="68" t="s">
        <v>113</v>
      </c>
      <c r="E18" s="69" t="s">
        <v>365</v>
      </c>
      <c r="F18" s="70">
        <v>1104</v>
      </c>
      <c r="G18" s="23" t="s">
        <v>366</v>
      </c>
      <c r="H18" s="23" t="s">
        <v>367</v>
      </c>
      <c r="I18" s="55" t="s">
        <v>349</v>
      </c>
    </row>
    <row r="19" spans="2:9" x14ac:dyDescent="0.3">
      <c r="B19" s="64">
        <v>46162</v>
      </c>
      <c r="C19" s="65" t="s">
        <v>383</v>
      </c>
      <c r="D19" s="66" t="s">
        <v>113</v>
      </c>
      <c r="E19" s="65" t="s">
        <v>384</v>
      </c>
      <c r="F19" s="67">
        <v>397</v>
      </c>
      <c r="G19" s="14" t="s">
        <v>366</v>
      </c>
      <c r="H19" s="14" t="s">
        <v>367</v>
      </c>
      <c r="I19" s="43" t="s">
        <v>349</v>
      </c>
    </row>
    <row r="20" spans="2:9" x14ac:dyDescent="0.3">
      <c r="B20" s="64">
        <v>46162</v>
      </c>
      <c r="C20" s="65" t="s">
        <v>385</v>
      </c>
      <c r="D20" s="68" t="s">
        <v>113</v>
      </c>
      <c r="E20" s="69" t="s">
        <v>365</v>
      </c>
      <c r="F20" s="70">
        <v>935</v>
      </c>
      <c r="G20" s="23" t="s">
        <v>366</v>
      </c>
      <c r="H20" s="23" t="s">
        <v>367</v>
      </c>
      <c r="I20" s="55" t="s">
        <v>349</v>
      </c>
    </row>
    <row r="21" spans="2:9" x14ac:dyDescent="0.3">
      <c r="B21" s="64">
        <v>46162</v>
      </c>
      <c r="C21" s="65" t="s">
        <v>379</v>
      </c>
      <c r="D21" s="66" t="s">
        <v>113</v>
      </c>
      <c r="E21" s="65" t="s">
        <v>369</v>
      </c>
      <c r="F21" s="67">
        <v>90</v>
      </c>
      <c r="G21" s="14" t="s">
        <v>366</v>
      </c>
      <c r="H21" s="14" t="s">
        <v>367</v>
      </c>
      <c r="I21" s="43" t="s">
        <v>349</v>
      </c>
    </row>
    <row r="22" spans="2:9" x14ac:dyDescent="0.3">
      <c r="B22" s="64">
        <v>46162</v>
      </c>
      <c r="C22" s="65" t="s">
        <v>386</v>
      </c>
      <c r="D22" s="68" t="s">
        <v>113</v>
      </c>
      <c r="E22" s="69" t="s">
        <v>387</v>
      </c>
      <c r="F22" s="70">
        <v>272</v>
      </c>
      <c r="G22" s="23" t="s">
        <v>366</v>
      </c>
      <c r="H22" s="23" t="s">
        <v>367</v>
      </c>
      <c r="I22" s="55" t="s">
        <v>349</v>
      </c>
    </row>
    <row r="23" spans="2:9" x14ac:dyDescent="0.3">
      <c r="B23" s="64">
        <v>46162</v>
      </c>
      <c r="C23" s="65" t="s">
        <v>388</v>
      </c>
      <c r="D23" s="66" t="s">
        <v>113</v>
      </c>
      <c r="E23" s="65" t="s">
        <v>389</v>
      </c>
      <c r="F23" s="67">
        <v>300</v>
      </c>
      <c r="G23" s="14" t="s">
        <v>366</v>
      </c>
      <c r="H23" s="14" t="s">
        <v>367</v>
      </c>
      <c r="I23" s="43" t="s">
        <v>349</v>
      </c>
    </row>
    <row r="24" spans="2:9" x14ac:dyDescent="0.3">
      <c r="B24" s="64">
        <v>46162</v>
      </c>
      <c r="C24" s="65" t="s">
        <v>390</v>
      </c>
      <c r="D24" s="68" t="s">
        <v>113</v>
      </c>
      <c r="E24" s="69" t="s">
        <v>391</v>
      </c>
      <c r="F24" s="70">
        <v>500</v>
      </c>
      <c r="G24" s="23" t="s">
        <v>366</v>
      </c>
      <c r="H24" s="23" t="s">
        <v>367</v>
      </c>
      <c r="I24" s="55" t="s">
        <v>349</v>
      </c>
    </row>
    <row r="25" spans="2:9" x14ac:dyDescent="0.3">
      <c r="B25" s="64">
        <v>46163</v>
      </c>
      <c r="C25" s="65" t="s">
        <v>392</v>
      </c>
      <c r="D25" s="66" t="s">
        <v>393</v>
      </c>
      <c r="E25" s="65" t="s">
        <v>365</v>
      </c>
      <c r="F25" s="67">
        <v>213</v>
      </c>
      <c r="G25" s="14" t="s">
        <v>366</v>
      </c>
      <c r="H25" s="14" t="s">
        <v>367</v>
      </c>
      <c r="I25" s="43" t="s">
        <v>349</v>
      </c>
    </row>
    <row r="26" spans="2:9" x14ac:dyDescent="0.3">
      <c r="B26" s="71">
        <v>46163</v>
      </c>
      <c r="C26" s="69" t="s">
        <v>373</v>
      </c>
      <c r="D26" s="68" t="s">
        <v>374</v>
      </c>
      <c r="E26" s="72" t="s">
        <v>375</v>
      </c>
      <c r="F26" s="70">
        <v>232</v>
      </c>
      <c r="G26" s="23" t="s">
        <v>366</v>
      </c>
      <c r="H26" s="23" t="s">
        <v>367</v>
      </c>
      <c r="I26" s="55" t="s">
        <v>349</v>
      </c>
    </row>
    <row r="27" spans="2:9" x14ac:dyDescent="0.3">
      <c r="B27" s="71">
        <v>46163</v>
      </c>
      <c r="C27" s="69" t="s">
        <v>394</v>
      </c>
      <c r="D27" s="66" t="s">
        <v>395</v>
      </c>
      <c r="E27" s="69" t="s">
        <v>387</v>
      </c>
      <c r="F27" s="67">
        <v>24</v>
      </c>
      <c r="G27" s="14" t="s">
        <v>366</v>
      </c>
      <c r="H27" s="14" t="s">
        <v>367</v>
      </c>
      <c r="I27" s="43" t="s">
        <v>349</v>
      </c>
    </row>
    <row r="28" spans="2:9" x14ac:dyDescent="0.3">
      <c r="B28" s="71">
        <v>46163</v>
      </c>
      <c r="C28" s="69" t="s">
        <v>396</v>
      </c>
      <c r="D28" s="68" t="s">
        <v>397</v>
      </c>
      <c r="E28" s="69" t="s">
        <v>387</v>
      </c>
      <c r="F28" s="70">
        <v>572</v>
      </c>
      <c r="G28" s="23" t="s">
        <v>366</v>
      </c>
      <c r="H28" s="23" t="s">
        <v>367</v>
      </c>
      <c r="I28" s="55" t="s">
        <v>349</v>
      </c>
    </row>
    <row r="29" spans="2:9" x14ac:dyDescent="0.3">
      <c r="B29" s="71">
        <v>46163</v>
      </c>
      <c r="C29" s="69" t="s">
        <v>398</v>
      </c>
      <c r="D29" s="66" t="s">
        <v>113</v>
      </c>
      <c r="E29" s="65" t="s">
        <v>369</v>
      </c>
      <c r="F29" s="67">
        <v>82</v>
      </c>
      <c r="G29" s="14" t="s">
        <v>366</v>
      </c>
      <c r="H29" s="14" t="s">
        <v>367</v>
      </c>
      <c r="I29" s="43" t="s">
        <v>349</v>
      </c>
    </row>
    <row r="30" spans="2:9" x14ac:dyDescent="0.3">
      <c r="B30" s="71">
        <v>46163</v>
      </c>
      <c r="C30" s="69" t="s">
        <v>376</v>
      </c>
      <c r="D30" s="68" t="s">
        <v>377</v>
      </c>
      <c r="E30" s="69" t="s">
        <v>378</v>
      </c>
      <c r="F30" s="70">
        <v>148</v>
      </c>
      <c r="G30" s="23" t="s">
        <v>366</v>
      </c>
      <c r="H30" s="23" t="s">
        <v>367</v>
      </c>
      <c r="I30" s="55" t="s">
        <v>349</v>
      </c>
    </row>
    <row r="31" spans="2:9" x14ac:dyDescent="0.3">
      <c r="B31" s="71">
        <v>46163</v>
      </c>
      <c r="C31" s="69" t="s">
        <v>399</v>
      </c>
      <c r="D31" s="66" t="s">
        <v>377</v>
      </c>
      <c r="E31" s="65" t="s">
        <v>378</v>
      </c>
      <c r="F31" s="67">
        <v>130</v>
      </c>
      <c r="G31" s="14" t="s">
        <v>366</v>
      </c>
      <c r="H31" s="14" t="s">
        <v>367</v>
      </c>
      <c r="I31" s="43" t="s">
        <v>349</v>
      </c>
    </row>
    <row r="32" spans="2:9" x14ac:dyDescent="0.3">
      <c r="B32" s="71">
        <v>46163</v>
      </c>
      <c r="C32" s="69" t="s">
        <v>376</v>
      </c>
      <c r="D32" s="68" t="s">
        <v>377</v>
      </c>
      <c r="E32" s="65" t="s">
        <v>378</v>
      </c>
      <c r="F32" s="70">
        <v>207</v>
      </c>
      <c r="G32" s="23" t="s">
        <v>366</v>
      </c>
      <c r="H32" s="23" t="s">
        <v>367</v>
      </c>
      <c r="I32" s="55" t="s">
        <v>349</v>
      </c>
    </row>
    <row r="33" spans="2:10" x14ac:dyDescent="0.3">
      <c r="B33" s="71">
        <v>46163</v>
      </c>
      <c r="C33" s="69" t="s">
        <v>376</v>
      </c>
      <c r="D33" s="66" t="s">
        <v>377</v>
      </c>
      <c r="E33" s="65" t="s">
        <v>378</v>
      </c>
      <c r="F33" s="67">
        <v>185</v>
      </c>
      <c r="G33" s="14" t="s">
        <v>366</v>
      </c>
      <c r="H33" s="14" t="s">
        <v>367</v>
      </c>
      <c r="I33" s="43" t="s">
        <v>349</v>
      </c>
    </row>
    <row r="34" spans="2:10" x14ac:dyDescent="0.3">
      <c r="B34" s="71">
        <v>46163</v>
      </c>
      <c r="C34" s="69" t="s">
        <v>400</v>
      </c>
      <c r="D34" s="66" t="s">
        <v>377</v>
      </c>
      <c r="E34" s="65" t="s">
        <v>401</v>
      </c>
      <c r="F34" s="70">
        <v>108</v>
      </c>
      <c r="G34" s="23" t="s">
        <v>366</v>
      </c>
      <c r="H34" s="23" t="s">
        <v>367</v>
      </c>
      <c r="I34" s="55" t="s">
        <v>349</v>
      </c>
    </row>
    <row r="35" spans="2:10" x14ac:dyDescent="0.3">
      <c r="B35" s="71">
        <v>46163</v>
      </c>
      <c r="C35" s="69" t="s">
        <v>402</v>
      </c>
      <c r="D35" s="66" t="s">
        <v>403</v>
      </c>
      <c r="E35" s="65" t="s">
        <v>372</v>
      </c>
      <c r="F35" s="67">
        <v>196</v>
      </c>
      <c r="G35" s="14" t="s">
        <v>366</v>
      </c>
      <c r="H35" s="14" t="s">
        <v>367</v>
      </c>
      <c r="I35" s="43" t="s">
        <v>349</v>
      </c>
    </row>
    <row r="36" spans="2:10" x14ac:dyDescent="0.3">
      <c r="B36" s="71">
        <v>46163</v>
      </c>
      <c r="C36" s="69" t="s">
        <v>404</v>
      </c>
      <c r="D36" s="68" t="s">
        <v>405</v>
      </c>
      <c r="E36" s="69" t="s">
        <v>375</v>
      </c>
      <c r="F36" s="70">
        <v>337</v>
      </c>
      <c r="G36" s="23" t="s">
        <v>366</v>
      </c>
      <c r="H36" s="23" t="s">
        <v>367</v>
      </c>
      <c r="I36" s="55" t="s">
        <v>349</v>
      </c>
    </row>
    <row r="37" spans="2:10" ht="15" customHeight="1" thickBot="1" x14ac:dyDescent="0.35">
      <c r="B37" s="73">
        <v>46164</v>
      </c>
      <c r="C37" s="74" t="s">
        <v>406</v>
      </c>
      <c r="D37" s="75" t="s">
        <v>113</v>
      </c>
      <c r="E37" s="74" t="s">
        <v>389</v>
      </c>
      <c r="F37" s="76">
        <v>30</v>
      </c>
      <c r="G37" s="77" t="s">
        <v>366</v>
      </c>
      <c r="H37" s="77" t="s">
        <v>367</v>
      </c>
      <c r="I37" s="78" t="s">
        <v>349</v>
      </c>
    </row>
    <row r="38" spans="2:10" ht="15" customHeight="1" thickBot="1" x14ac:dyDescent="0.35">
      <c r="B38" s="71">
        <v>46164</v>
      </c>
      <c r="C38" s="69" t="s">
        <v>394</v>
      </c>
      <c r="D38" s="66" t="s">
        <v>395</v>
      </c>
      <c r="E38" s="65" t="s">
        <v>387</v>
      </c>
      <c r="F38" s="67">
        <v>24</v>
      </c>
      <c r="G38" s="14" t="s">
        <v>366</v>
      </c>
      <c r="H38" s="14" t="s">
        <v>367</v>
      </c>
      <c r="I38" s="43" t="s">
        <v>349</v>
      </c>
    </row>
    <row r="39" spans="2:10" ht="15" customHeight="1" thickBot="1" x14ac:dyDescent="0.35">
      <c r="B39" s="71">
        <v>46164</v>
      </c>
      <c r="C39" s="69" t="s">
        <v>407</v>
      </c>
      <c r="D39" s="68" t="s">
        <v>408</v>
      </c>
      <c r="E39" s="69" t="s">
        <v>384</v>
      </c>
      <c r="F39" s="70">
        <v>405</v>
      </c>
      <c r="G39" s="23" t="s">
        <v>366</v>
      </c>
      <c r="H39" s="23" t="s">
        <v>367</v>
      </c>
      <c r="I39" s="55" t="s">
        <v>349</v>
      </c>
    </row>
    <row r="40" spans="2:10" ht="15" customHeight="1" thickBot="1" x14ac:dyDescent="0.35">
      <c r="B40" s="73">
        <v>46164</v>
      </c>
      <c r="C40" s="74" t="s">
        <v>409</v>
      </c>
      <c r="D40" s="75" t="s">
        <v>395</v>
      </c>
      <c r="E40" s="74" t="s">
        <v>369</v>
      </c>
      <c r="F40" s="76">
        <v>312</v>
      </c>
      <c r="G40" s="77" t="s">
        <v>366</v>
      </c>
      <c r="H40" s="77" t="s">
        <v>367</v>
      </c>
      <c r="I40" s="78" t="s">
        <v>349</v>
      </c>
    </row>
    <row r="41" spans="2:10" ht="15" customHeight="1" thickBot="1" x14ac:dyDescent="0.35">
      <c r="B41" s="71">
        <v>46164</v>
      </c>
      <c r="C41" s="69" t="s">
        <v>409</v>
      </c>
      <c r="D41" s="66" t="s">
        <v>395</v>
      </c>
      <c r="E41" s="65" t="s">
        <v>369</v>
      </c>
      <c r="F41" s="67">
        <v>52</v>
      </c>
      <c r="G41" s="14" t="s">
        <v>366</v>
      </c>
      <c r="H41" s="14" t="s">
        <v>367</v>
      </c>
      <c r="I41" s="43" t="s">
        <v>349</v>
      </c>
    </row>
    <row r="42" spans="2:10" ht="15" customHeight="1" thickBot="1" x14ac:dyDescent="0.35">
      <c r="B42" s="71">
        <v>46164</v>
      </c>
      <c r="C42" s="69" t="s">
        <v>410</v>
      </c>
      <c r="D42" s="68" t="s">
        <v>395</v>
      </c>
      <c r="E42" s="69" t="s">
        <v>387</v>
      </c>
      <c r="F42" s="70">
        <v>44</v>
      </c>
      <c r="G42" s="23" t="s">
        <v>366</v>
      </c>
      <c r="H42" s="23" t="s">
        <v>367</v>
      </c>
      <c r="I42" s="55" t="s">
        <v>349</v>
      </c>
    </row>
    <row r="43" spans="2:10" ht="15" customHeight="1" thickBot="1" x14ac:dyDescent="0.35">
      <c r="B43" s="73">
        <v>46164</v>
      </c>
      <c r="C43" s="74" t="s">
        <v>411</v>
      </c>
      <c r="D43" s="75" t="s">
        <v>412</v>
      </c>
      <c r="E43" s="74" t="s">
        <v>372</v>
      </c>
      <c r="F43" s="76">
        <v>490</v>
      </c>
      <c r="G43" s="77" t="s">
        <v>366</v>
      </c>
      <c r="H43" s="77" t="s">
        <v>367</v>
      </c>
      <c r="I43" s="78" t="s">
        <v>349</v>
      </c>
    </row>
    <row r="44" spans="2:10" ht="15" customHeight="1" thickBot="1" x14ac:dyDescent="0.35">
      <c r="B44" s="71">
        <v>46164</v>
      </c>
      <c r="C44" s="69" t="s">
        <v>413</v>
      </c>
      <c r="D44" s="66" t="s">
        <v>113</v>
      </c>
      <c r="E44" s="65" t="s">
        <v>389</v>
      </c>
      <c r="F44" s="67">
        <v>100</v>
      </c>
      <c r="G44" s="14" t="s">
        <v>366</v>
      </c>
      <c r="H44" s="14" t="s">
        <v>367</v>
      </c>
      <c r="I44" s="43" t="s">
        <v>349</v>
      </c>
    </row>
    <row r="45" spans="2:10" ht="15" customHeight="1" thickBot="1" x14ac:dyDescent="0.35">
      <c r="B45" s="64">
        <v>46165</v>
      </c>
      <c r="C45" s="69" t="s">
        <v>414</v>
      </c>
      <c r="D45" s="68" t="s">
        <v>415</v>
      </c>
      <c r="E45" s="69" t="s">
        <v>378</v>
      </c>
      <c r="F45" s="70">
        <v>110</v>
      </c>
      <c r="G45" s="23" t="s">
        <v>366</v>
      </c>
      <c r="H45" s="23" t="s">
        <v>367</v>
      </c>
      <c r="I45" s="55" t="s">
        <v>349</v>
      </c>
    </row>
    <row r="46" spans="2:10" x14ac:dyDescent="0.3">
      <c r="B46" s="64">
        <v>46165</v>
      </c>
      <c r="C46" s="65" t="s">
        <v>406</v>
      </c>
      <c r="D46" s="66" t="s">
        <v>113</v>
      </c>
      <c r="E46" s="65" t="s">
        <v>389</v>
      </c>
      <c r="F46" s="67">
        <v>30</v>
      </c>
      <c r="G46" s="14" t="s">
        <v>366</v>
      </c>
      <c r="H46" s="14" t="s">
        <v>367</v>
      </c>
      <c r="I46" s="43" t="s">
        <v>349</v>
      </c>
    </row>
    <row r="47" spans="2:10" x14ac:dyDescent="0.3">
      <c r="B47" s="64">
        <v>46165</v>
      </c>
      <c r="C47" s="69" t="s">
        <v>416</v>
      </c>
      <c r="D47" s="68" t="s">
        <v>417</v>
      </c>
      <c r="E47" s="69" t="s">
        <v>418</v>
      </c>
      <c r="F47" s="70">
        <v>3250</v>
      </c>
      <c r="G47" s="23" t="s">
        <v>366</v>
      </c>
      <c r="H47" s="23" t="s">
        <v>367</v>
      </c>
      <c r="I47" s="55" t="s">
        <v>349</v>
      </c>
      <c r="J47" t="s">
        <v>419</v>
      </c>
    </row>
    <row r="48" spans="2:10" x14ac:dyDescent="0.3">
      <c r="B48" s="64">
        <v>46165</v>
      </c>
      <c r="C48" s="65" t="s">
        <v>420</v>
      </c>
      <c r="D48" s="66" t="s">
        <v>417</v>
      </c>
      <c r="E48" s="65" t="s">
        <v>418</v>
      </c>
      <c r="F48" s="67">
        <v>1500</v>
      </c>
      <c r="G48" s="14" t="s">
        <v>366</v>
      </c>
      <c r="H48" s="14" t="s">
        <v>367</v>
      </c>
      <c r="I48" s="43" t="s">
        <v>349</v>
      </c>
      <c r="J48" t="s">
        <v>421</v>
      </c>
    </row>
    <row r="49" spans="2:10" x14ac:dyDescent="0.3">
      <c r="B49" s="64">
        <v>46165</v>
      </c>
      <c r="C49" s="69" t="s">
        <v>422</v>
      </c>
      <c r="D49" s="68" t="s">
        <v>417</v>
      </c>
      <c r="E49" s="69" t="s">
        <v>418</v>
      </c>
      <c r="F49" s="70">
        <v>666</v>
      </c>
      <c r="G49" s="23" t="s">
        <v>366</v>
      </c>
      <c r="H49" s="23" t="s">
        <v>367</v>
      </c>
      <c r="I49" s="55" t="s">
        <v>349</v>
      </c>
      <c r="J49" t="s">
        <v>423</v>
      </c>
    </row>
    <row r="50" spans="2:10" x14ac:dyDescent="0.3">
      <c r="B50" s="64">
        <v>46165</v>
      </c>
      <c r="C50" s="69" t="s">
        <v>424</v>
      </c>
      <c r="D50" s="68" t="s">
        <v>425</v>
      </c>
      <c r="E50" s="69" t="s">
        <v>369</v>
      </c>
      <c r="F50" s="70">
        <v>408.17</v>
      </c>
      <c r="G50" s="23" t="s">
        <v>366</v>
      </c>
      <c r="H50" s="23" t="s">
        <v>426</v>
      </c>
      <c r="I50" s="55" t="s">
        <v>349</v>
      </c>
      <c r="J50" t="s">
        <v>427</v>
      </c>
    </row>
    <row r="51" spans="2:10" x14ac:dyDescent="0.3">
      <c r="B51" s="64">
        <v>46165</v>
      </c>
      <c r="C51" s="65" t="s">
        <v>428</v>
      </c>
      <c r="D51" s="66" t="s">
        <v>425</v>
      </c>
      <c r="E51" s="65" t="s">
        <v>429</v>
      </c>
      <c r="F51" s="67">
        <v>455.23</v>
      </c>
      <c r="G51" s="14" t="s">
        <v>366</v>
      </c>
      <c r="H51" s="14" t="s">
        <v>426</v>
      </c>
      <c r="I51" s="43" t="s">
        <v>349</v>
      </c>
      <c r="J51" t="s">
        <v>430</v>
      </c>
    </row>
    <row r="52" spans="2:10" x14ac:dyDescent="0.3">
      <c r="B52" s="64">
        <v>46165</v>
      </c>
      <c r="C52" s="69" t="s">
        <v>431</v>
      </c>
      <c r="D52" s="68" t="s">
        <v>432</v>
      </c>
      <c r="E52" s="69" t="s">
        <v>387</v>
      </c>
      <c r="F52" s="70">
        <v>317.13</v>
      </c>
      <c r="G52" s="23" t="s">
        <v>366</v>
      </c>
      <c r="H52" s="23" t="s">
        <v>426</v>
      </c>
      <c r="I52" s="55" t="s">
        <v>349</v>
      </c>
      <c r="J52" t="s">
        <v>433</v>
      </c>
    </row>
    <row r="53" spans="2:10" x14ac:dyDescent="0.3">
      <c r="B53" s="64">
        <v>46165</v>
      </c>
      <c r="C53" s="65" t="s">
        <v>434</v>
      </c>
      <c r="D53" s="66" t="s">
        <v>432</v>
      </c>
      <c r="E53" s="65" t="s">
        <v>387</v>
      </c>
      <c r="F53" s="67">
        <v>317.13</v>
      </c>
      <c r="G53" s="14" t="s">
        <v>366</v>
      </c>
      <c r="H53" s="14" t="s">
        <v>426</v>
      </c>
      <c r="I53" s="43" t="s">
        <v>349</v>
      </c>
      <c r="J53" t="s">
        <v>433</v>
      </c>
    </row>
    <row r="54" spans="2:10" x14ac:dyDescent="0.3">
      <c r="B54" s="64">
        <v>46165</v>
      </c>
      <c r="C54" s="69" t="s">
        <v>435</v>
      </c>
      <c r="D54" s="68" t="s">
        <v>432</v>
      </c>
      <c r="E54" s="69" t="s">
        <v>387</v>
      </c>
      <c r="F54" s="70">
        <v>250.63</v>
      </c>
      <c r="G54" s="23" t="s">
        <v>366</v>
      </c>
      <c r="H54" s="23" t="s">
        <v>426</v>
      </c>
      <c r="I54" s="55" t="s">
        <v>349</v>
      </c>
      <c r="J54" t="s">
        <v>433</v>
      </c>
    </row>
    <row r="55" spans="2:10" x14ac:dyDescent="0.3">
      <c r="B55" s="64">
        <v>46165</v>
      </c>
      <c r="C55" s="65" t="s">
        <v>436</v>
      </c>
      <c r="D55" s="66" t="s">
        <v>432</v>
      </c>
      <c r="E55" s="65" t="s">
        <v>369</v>
      </c>
      <c r="F55" s="67">
        <v>232.22</v>
      </c>
      <c r="G55" s="14" t="s">
        <v>366</v>
      </c>
      <c r="H55" s="14" t="s">
        <v>426</v>
      </c>
      <c r="I55" s="43" t="s">
        <v>349</v>
      </c>
      <c r="J55" t="s">
        <v>433</v>
      </c>
    </row>
    <row r="56" spans="2:10" x14ac:dyDescent="0.3">
      <c r="B56" s="64">
        <v>46165</v>
      </c>
      <c r="C56" s="69" t="s">
        <v>437</v>
      </c>
      <c r="D56" s="68" t="s">
        <v>432</v>
      </c>
      <c r="E56" s="69" t="s">
        <v>378</v>
      </c>
      <c r="F56" s="70">
        <v>218.92</v>
      </c>
      <c r="G56" s="23" t="s">
        <v>366</v>
      </c>
      <c r="H56" s="23" t="s">
        <v>426</v>
      </c>
      <c r="I56" s="55" t="s">
        <v>349</v>
      </c>
      <c r="J56" t="s">
        <v>433</v>
      </c>
    </row>
    <row r="57" spans="2:10" x14ac:dyDescent="0.3">
      <c r="B57" s="64">
        <v>46166</v>
      </c>
      <c r="C57" s="65" t="s">
        <v>438</v>
      </c>
      <c r="D57" s="66" t="s">
        <v>439</v>
      </c>
      <c r="E57" s="65" t="s">
        <v>401</v>
      </c>
      <c r="F57" s="67">
        <v>120</v>
      </c>
      <c r="G57" s="14" t="s">
        <v>366</v>
      </c>
      <c r="H57" s="14" t="s">
        <v>367</v>
      </c>
      <c r="I57" s="43" t="s">
        <v>349</v>
      </c>
    </row>
    <row r="58" spans="2:10" x14ac:dyDescent="0.3">
      <c r="B58" s="64">
        <v>46166</v>
      </c>
      <c r="C58" s="69" t="s">
        <v>440</v>
      </c>
      <c r="D58" s="68" t="s">
        <v>441</v>
      </c>
      <c r="E58" s="69" t="s">
        <v>401</v>
      </c>
      <c r="F58" s="70">
        <v>147</v>
      </c>
      <c r="G58" s="23" t="s">
        <v>366</v>
      </c>
      <c r="H58" s="23" t="s">
        <v>367</v>
      </c>
      <c r="I58" s="55" t="s">
        <v>349</v>
      </c>
    </row>
    <row r="59" spans="2:10" x14ac:dyDescent="0.3">
      <c r="B59" s="64">
        <v>46166</v>
      </c>
      <c r="C59" s="65" t="s">
        <v>442</v>
      </c>
      <c r="D59" s="66" t="s">
        <v>443</v>
      </c>
      <c r="E59" s="65" t="s">
        <v>378</v>
      </c>
      <c r="F59" s="67">
        <v>100</v>
      </c>
      <c r="G59" s="14" t="s">
        <v>366</v>
      </c>
      <c r="H59" s="14" t="s">
        <v>367</v>
      </c>
      <c r="I59" s="43" t="s">
        <v>349</v>
      </c>
    </row>
    <row r="60" spans="2:10" x14ac:dyDescent="0.3">
      <c r="B60" s="64">
        <v>46166</v>
      </c>
      <c r="C60" s="69" t="s">
        <v>444</v>
      </c>
      <c r="D60" s="68" t="s">
        <v>415</v>
      </c>
      <c r="E60" s="69" t="s">
        <v>378</v>
      </c>
      <c r="F60" s="70">
        <v>90</v>
      </c>
      <c r="G60" s="23" t="s">
        <v>366</v>
      </c>
      <c r="H60" s="23" t="s">
        <v>367</v>
      </c>
      <c r="I60" s="55" t="s">
        <v>349</v>
      </c>
    </row>
    <row r="61" spans="2:10" x14ac:dyDescent="0.3">
      <c r="B61" s="64">
        <v>46166</v>
      </c>
      <c r="C61" s="65" t="s">
        <v>445</v>
      </c>
      <c r="D61" s="66" t="s">
        <v>446</v>
      </c>
      <c r="E61" s="65" t="s">
        <v>378</v>
      </c>
      <c r="F61" s="67">
        <v>78</v>
      </c>
      <c r="G61" s="14" t="s">
        <v>366</v>
      </c>
      <c r="H61" s="14" t="s">
        <v>367</v>
      </c>
      <c r="I61" s="43" t="s">
        <v>349</v>
      </c>
    </row>
    <row r="62" spans="2:10" x14ac:dyDescent="0.3">
      <c r="B62" s="64">
        <v>46166</v>
      </c>
      <c r="C62" s="69" t="s">
        <v>447</v>
      </c>
      <c r="D62" s="68" t="s">
        <v>448</v>
      </c>
      <c r="E62" s="69" t="s">
        <v>378</v>
      </c>
      <c r="F62" s="70">
        <v>178</v>
      </c>
      <c r="G62" s="23" t="s">
        <v>366</v>
      </c>
      <c r="H62" s="23" t="s">
        <v>367</v>
      </c>
      <c r="I62" s="55" t="s">
        <v>349</v>
      </c>
    </row>
    <row r="63" spans="2:10" x14ac:dyDescent="0.3">
      <c r="B63" s="64">
        <v>46166</v>
      </c>
      <c r="C63" s="65" t="s">
        <v>449</v>
      </c>
      <c r="D63" s="66" t="s">
        <v>450</v>
      </c>
      <c r="E63" s="65" t="s">
        <v>401</v>
      </c>
      <c r="F63" s="67">
        <v>116</v>
      </c>
      <c r="G63" s="14" t="s">
        <v>366</v>
      </c>
      <c r="H63" s="14" t="s">
        <v>367</v>
      </c>
      <c r="I63" s="43" t="s">
        <v>349</v>
      </c>
    </row>
    <row r="64" spans="2:10" x14ac:dyDescent="0.3">
      <c r="B64" s="64">
        <v>46166</v>
      </c>
      <c r="C64" s="69" t="s">
        <v>451</v>
      </c>
      <c r="D64" s="68" t="s">
        <v>452</v>
      </c>
      <c r="E64" s="69" t="s">
        <v>378</v>
      </c>
      <c r="F64" s="70">
        <v>224</v>
      </c>
      <c r="G64" s="23" t="s">
        <v>366</v>
      </c>
      <c r="H64" s="23" t="s">
        <v>367</v>
      </c>
      <c r="I64" s="55" t="s">
        <v>349</v>
      </c>
    </row>
    <row r="65" spans="2:10" x14ac:dyDescent="0.3">
      <c r="B65" s="64">
        <v>46166</v>
      </c>
      <c r="C65" s="65" t="s">
        <v>453</v>
      </c>
      <c r="D65" s="66" t="s">
        <v>454</v>
      </c>
      <c r="E65" s="65" t="s">
        <v>378</v>
      </c>
      <c r="F65" s="67">
        <v>23</v>
      </c>
      <c r="G65" s="14" t="s">
        <v>366</v>
      </c>
      <c r="H65" s="14" t="s">
        <v>367</v>
      </c>
      <c r="I65" s="43" t="s">
        <v>349</v>
      </c>
      <c r="J65" t="s">
        <v>455</v>
      </c>
    </row>
    <row r="66" spans="2:10" x14ac:dyDescent="0.3">
      <c r="B66" s="64">
        <v>46167</v>
      </c>
      <c r="C66" s="69" t="s">
        <v>456</v>
      </c>
      <c r="D66" s="68" t="s">
        <v>457</v>
      </c>
      <c r="E66" s="69" t="s">
        <v>372</v>
      </c>
      <c r="F66" s="70">
        <v>273</v>
      </c>
      <c r="G66" s="23" t="s">
        <v>366</v>
      </c>
      <c r="H66" s="23" t="s">
        <v>426</v>
      </c>
      <c r="I66" s="55" t="s">
        <v>349</v>
      </c>
      <c r="J66" t="s">
        <v>458</v>
      </c>
    </row>
    <row r="67" spans="2:10" x14ac:dyDescent="0.3">
      <c r="B67" s="64">
        <v>46167</v>
      </c>
      <c r="C67" s="65" t="s">
        <v>459</v>
      </c>
      <c r="D67" s="66" t="s">
        <v>460</v>
      </c>
      <c r="E67" s="65" t="s">
        <v>429</v>
      </c>
      <c r="F67" s="67">
        <v>450</v>
      </c>
      <c r="G67" s="14" t="s">
        <v>366</v>
      </c>
      <c r="H67" s="14" t="s">
        <v>426</v>
      </c>
      <c r="I67" s="43" t="s">
        <v>349</v>
      </c>
      <c r="J67" t="s">
        <v>461</v>
      </c>
    </row>
    <row r="68" spans="2:10" x14ac:dyDescent="0.3">
      <c r="B68" s="64">
        <v>46167</v>
      </c>
      <c r="C68" s="69" t="s">
        <v>462</v>
      </c>
      <c r="D68" s="68" t="s">
        <v>463</v>
      </c>
      <c r="E68" s="69" t="s">
        <v>387</v>
      </c>
      <c r="F68" s="70">
        <v>32</v>
      </c>
      <c r="G68" s="23" t="s">
        <v>366</v>
      </c>
      <c r="H68" s="23" t="s">
        <v>426</v>
      </c>
      <c r="I68" s="55" t="s">
        <v>349</v>
      </c>
    </row>
    <row r="69" spans="2:10" x14ac:dyDescent="0.3">
      <c r="B69" s="64">
        <v>46167</v>
      </c>
      <c r="C69" s="65" t="s">
        <v>464</v>
      </c>
      <c r="D69" s="66" t="s">
        <v>463</v>
      </c>
      <c r="E69" s="65" t="s">
        <v>369</v>
      </c>
      <c r="F69" s="67">
        <v>28.73</v>
      </c>
      <c r="G69" s="14" t="s">
        <v>366</v>
      </c>
      <c r="H69" s="14" t="s">
        <v>426</v>
      </c>
      <c r="I69" s="43" t="s">
        <v>349</v>
      </c>
    </row>
    <row r="70" spans="2:10" x14ac:dyDescent="0.3">
      <c r="B70" s="64">
        <v>46167</v>
      </c>
      <c r="C70" s="69" t="s">
        <v>465</v>
      </c>
      <c r="D70" s="68" t="s">
        <v>463</v>
      </c>
      <c r="E70" s="69" t="s">
        <v>372</v>
      </c>
      <c r="F70" s="70">
        <v>89</v>
      </c>
      <c r="G70" s="23" t="s">
        <v>366</v>
      </c>
      <c r="H70" s="23" t="s">
        <v>426</v>
      </c>
      <c r="I70" s="55" t="s">
        <v>349</v>
      </c>
    </row>
    <row r="71" spans="2:10" x14ac:dyDescent="0.3">
      <c r="B71" s="64">
        <v>46167</v>
      </c>
      <c r="C71" s="65" t="s">
        <v>466</v>
      </c>
      <c r="D71" s="66" t="s">
        <v>463</v>
      </c>
      <c r="E71" s="65" t="s">
        <v>372</v>
      </c>
      <c r="F71" s="67">
        <v>12.6</v>
      </c>
      <c r="G71" s="14" t="s">
        <v>366</v>
      </c>
      <c r="H71" s="14" t="s">
        <v>426</v>
      </c>
      <c r="I71" s="43" t="s">
        <v>349</v>
      </c>
    </row>
    <row r="72" spans="2:10" x14ac:dyDescent="0.3">
      <c r="B72" s="64">
        <v>46167</v>
      </c>
      <c r="C72" s="69" t="s">
        <v>467</v>
      </c>
      <c r="D72" s="68" t="s">
        <v>408</v>
      </c>
      <c r="E72" s="69" t="s">
        <v>384</v>
      </c>
      <c r="F72" s="70">
        <v>494.7</v>
      </c>
      <c r="G72" s="23" t="s">
        <v>366</v>
      </c>
      <c r="H72" s="23" t="s">
        <v>367</v>
      </c>
      <c r="I72" s="55" t="s">
        <v>349</v>
      </c>
      <c r="J72" t="s">
        <v>468</v>
      </c>
    </row>
    <row r="73" spans="2:10" x14ac:dyDescent="0.3">
      <c r="B73" s="64">
        <v>46167</v>
      </c>
      <c r="C73" s="65" t="s">
        <v>469</v>
      </c>
      <c r="D73" s="66" t="s">
        <v>113</v>
      </c>
      <c r="E73" s="65" t="s">
        <v>378</v>
      </c>
      <c r="F73" s="67">
        <v>440</v>
      </c>
      <c r="G73" s="14" t="s">
        <v>366</v>
      </c>
      <c r="H73" s="14" t="s">
        <v>367</v>
      </c>
      <c r="I73" s="43" t="s">
        <v>349</v>
      </c>
      <c r="J73" t="s">
        <v>470</v>
      </c>
    </row>
    <row r="74" spans="2:10" x14ac:dyDescent="0.3">
      <c r="B74" s="64">
        <v>46167</v>
      </c>
      <c r="C74" s="69" t="s">
        <v>471</v>
      </c>
      <c r="D74" s="68" t="s">
        <v>113</v>
      </c>
      <c r="E74" s="69" t="s">
        <v>365</v>
      </c>
      <c r="F74" s="70">
        <v>282</v>
      </c>
      <c r="G74" s="23" t="s">
        <v>366</v>
      </c>
      <c r="H74" s="23" t="s">
        <v>367</v>
      </c>
      <c r="I74" s="55" t="s">
        <v>349</v>
      </c>
      <c r="J74" t="s">
        <v>470</v>
      </c>
    </row>
    <row r="75" spans="2:10" x14ac:dyDescent="0.3">
      <c r="B75" s="64">
        <v>46167</v>
      </c>
      <c r="C75" s="65" t="s">
        <v>472</v>
      </c>
      <c r="D75" s="66" t="s">
        <v>395</v>
      </c>
      <c r="E75" s="65" t="s">
        <v>369</v>
      </c>
      <c r="F75" s="67">
        <v>25</v>
      </c>
      <c r="G75" s="14" t="s">
        <v>366</v>
      </c>
      <c r="H75" s="14" t="s">
        <v>426</v>
      </c>
      <c r="I75" s="43" t="s">
        <v>349</v>
      </c>
      <c r="J75" t="s">
        <v>473</v>
      </c>
    </row>
    <row r="76" spans="2:10" x14ac:dyDescent="0.3">
      <c r="B76" s="64">
        <v>46167</v>
      </c>
      <c r="C76" s="69" t="s">
        <v>474</v>
      </c>
      <c r="D76" s="68" t="s">
        <v>475</v>
      </c>
      <c r="E76" s="69" t="s">
        <v>365</v>
      </c>
      <c r="F76" s="70">
        <v>323.36</v>
      </c>
      <c r="G76" s="23" t="s">
        <v>366</v>
      </c>
      <c r="H76" s="23" t="s">
        <v>426</v>
      </c>
      <c r="I76" s="55" t="s">
        <v>349</v>
      </c>
      <c r="J76" t="s">
        <v>476</v>
      </c>
    </row>
    <row r="77" spans="2:10" x14ac:dyDescent="0.3">
      <c r="B77" s="64">
        <v>46167</v>
      </c>
      <c r="C77" s="65" t="s">
        <v>477</v>
      </c>
      <c r="D77" s="66" t="s">
        <v>475</v>
      </c>
      <c r="E77" s="65" t="s">
        <v>401</v>
      </c>
      <c r="F77" s="67">
        <v>37.82</v>
      </c>
      <c r="G77" s="14" t="s">
        <v>366</v>
      </c>
      <c r="H77" s="14" t="s">
        <v>426</v>
      </c>
      <c r="I77" s="43" t="s">
        <v>349</v>
      </c>
    </row>
    <row r="78" spans="2:10" x14ac:dyDescent="0.3">
      <c r="B78" s="64">
        <v>46167</v>
      </c>
      <c r="C78" s="69" t="s">
        <v>478</v>
      </c>
      <c r="D78" s="68" t="s">
        <v>475</v>
      </c>
      <c r="E78" s="69" t="s">
        <v>401</v>
      </c>
      <c r="F78" s="70">
        <v>45.24</v>
      </c>
      <c r="G78" s="23" t="s">
        <v>366</v>
      </c>
      <c r="H78" s="23" t="s">
        <v>426</v>
      </c>
      <c r="I78" s="55" t="s">
        <v>349</v>
      </c>
    </row>
    <row r="79" spans="2:10" x14ac:dyDescent="0.3">
      <c r="B79" s="64">
        <v>46167</v>
      </c>
      <c r="C79" s="65" t="s">
        <v>479</v>
      </c>
      <c r="D79" s="66" t="s">
        <v>425</v>
      </c>
      <c r="E79" s="65" t="s">
        <v>369</v>
      </c>
      <c r="F79" s="67">
        <v>488</v>
      </c>
      <c r="G79" s="14" t="s">
        <v>366</v>
      </c>
      <c r="H79" s="14" t="s">
        <v>426</v>
      </c>
      <c r="I79" s="43" t="s">
        <v>349</v>
      </c>
      <c r="J79" t="s">
        <v>480</v>
      </c>
    </row>
    <row r="80" spans="2:10" x14ac:dyDescent="0.3">
      <c r="B80" s="64">
        <v>46168</v>
      </c>
      <c r="C80" s="69" t="s">
        <v>481</v>
      </c>
      <c r="D80" s="68" t="s">
        <v>395</v>
      </c>
      <c r="E80" s="69" t="s">
        <v>369</v>
      </c>
      <c r="F80" s="70">
        <v>47.6</v>
      </c>
      <c r="G80" s="23" t="s">
        <v>366</v>
      </c>
      <c r="H80" s="23" t="s">
        <v>426</v>
      </c>
      <c r="I80" s="55" t="s">
        <v>349</v>
      </c>
      <c r="J80" t="s">
        <v>482</v>
      </c>
    </row>
    <row r="81" spans="2:10" x14ac:dyDescent="0.3">
      <c r="B81" s="64">
        <v>46168</v>
      </c>
      <c r="C81" s="65" t="s">
        <v>483</v>
      </c>
      <c r="D81" s="66" t="s">
        <v>457</v>
      </c>
      <c r="E81" s="65" t="s">
        <v>372</v>
      </c>
      <c r="F81" s="67">
        <v>288</v>
      </c>
      <c r="G81" s="14" t="s">
        <v>366</v>
      </c>
      <c r="H81" s="14" t="s">
        <v>426</v>
      </c>
      <c r="I81" s="43" t="s">
        <v>349</v>
      </c>
      <c r="J81" t="s">
        <v>484</v>
      </c>
    </row>
    <row r="82" spans="2:10" x14ac:dyDescent="0.3">
      <c r="B82" s="64">
        <v>46168</v>
      </c>
      <c r="C82" s="69" t="s">
        <v>485</v>
      </c>
      <c r="D82" s="68" t="s">
        <v>486</v>
      </c>
      <c r="E82" s="69" t="s">
        <v>384</v>
      </c>
      <c r="F82" s="70">
        <v>244</v>
      </c>
      <c r="G82" s="23" t="s">
        <v>366</v>
      </c>
      <c r="H82" s="23" t="s">
        <v>367</v>
      </c>
      <c r="I82" s="55" t="s">
        <v>349</v>
      </c>
      <c r="J82" t="s">
        <v>487</v>
      </c>
    </row>
    <row r="83" spans="2:10" x14ac:dyDescent="0.3">
      <c r="B83" s="64">
        <v>46168</v>
      </c>
      <c r="C83" s="65" t="s">
        <v>488</v>
      </c>
      <c r="D83" s="66" t="s">
        <v>489</v>
      </c>
      <c r="E83" s="65" t="s">
        <v>365</v>
      </c>
      <c r="F83" s="67">
        <v>586</v>
      </c>
      <c r="G83" s="14" t="s">
        <v>366</v>
      </c>
      <c r="H83" s="14" t="s">
        <v>426</v>
      </c>
      <c r="I83" s="43" t="s">
        <v>349</v>
      </c>
      <c r="J83" t="s">
        <v>490</v>
      </c>
    </row>
    <row r="84" spans="2:10" x14ac:dyDescent="0.3">
      <c r="B84" s="64">
        <v>46168</v>
      </c>
      <c r="C84" s="69" t="s">
        <v>491</v>
      </c>
      <c r="D84" s="68" t="s">
        <v>113</v>
      </c>
      <c r="E84" s="69" t="s">
        <v>369</v>
      </c>
      <c r="F84" s="70">
        <v>26</v>
      </c>
      <c r="G84" s="23" t="s">
        <v>366</v>
      </c>
      <c r="H84" s="23" t="s">
        <v>367</v>
      </c>
      <c r="I84" s="55" t="s">
        <v>349</v>
      </c>
      <c r="J84" t="s">
        <v>492</v>
      </c>
    </row>
    <row r="85" spans="2:10" x14ac:dyDescent="0.3">
      <c r="B85" s="64">
        <v>46169</v>
      </c>
      <c r="C85" s="65" t="s">
        <v>493</v>
      </c>
      <c r="D85" s="66" t="s">
        <v>494</v>
      </c>
      <c r="E85" s="65" t="s">
        <v>365</v>
      </c>
      <c r="F85" s="67">
        <v>170.22</v>
      </c>
      <c r="G85" s="14" t="s">
        <v>366</v>
      </c>
      <c r="H85" s="14" t="s">
        <v>426</v>
      </c>
      <c r="I85" s="43" t="s">
        <v>349</v>
      </c>
      <c r="J85" t="s">
        <v>495</v>
      </c>
    </row>
    <row r="86" spans="2:10" x14ac:dyDescent="0.3">
      <c r="B86" s="64">
        <v>46169</v>
      </c>
      <c r="C86" s="69" t="s">
        <v>496</v>
      </c>
      <c r="D86" s="68" t="s">
        <v>395</v>
      </c>
      <c r="E86" s="69" t="s">
        <v>369</v>
      </c>
      <c r="F86" s="70">
        <v>60</v>
      </c>
      <c r="G86" s="23" t="s">
        <v>366</v>
      </c>
      <c r="H86" s="23" t="s">
        <v>426</v>
      </c>
      <c r="I86" s="55" t="s">
        <v>349</v>
      </c>
      <c r="J86" t="s">
        <v>497</v>
      </c>
    </row>
    <row r="87" spans="2:10" x14ac:dyDescent="0.3">
      <c r="B87" s="64">
        <v>46169</v>
      </c>
      <c r="C87" s="65" t="s">
        <v>498</v>
      </c>
      <c r="D87" s="66" t="s">
        <v>499</v>
      </c>
      <c r="E87" s="65" t="s">
        <v>500</v>
      </c>
      <c r="F87" s="67">
        <v>260</v>
      </c>
      <c r="G87" s="14" t="s">
        <v>366</v>
      </c>
      <c r="H87" s="14" t="s">
        <v>426</v>
      </c>
      <c r="I87" s="43" t="s">
        <v>349</v>
      </c>
      <c r="J87" t="s">
        <v>501</v>
      </c>
    </row>
    <row r="88" spans="2:10" x14ac:dyDescent="0.3">
      <c r="B88" s="64">
        <v>46169</v>
      </c>
      <c r="C88" s="69" t="s">
        <v>502</v>
      </c>
      <c r="D88" s="68" t="s">
        <v>489</v>
      </c>
      <c r="E88" s="69" t="s">
        <v>365</v>
      </c>
      <c r="F88" s="70">
        <v>236</v>
      </c>
      <c r="G88" s="23" t="s">
        <v>366</v>
      </c>
      <c r="H88" s="23" t="s">
        <v>426</v>
      </c>
      <c r="I88" s="55" t="s">
        <v>349</v>
      </c>
      <c r="J88" t="s">
        <v>490</v>
      </c>
    </row>
    <row r="89" spans="2:10" x14ac:dyDescent="0.3">
      <c r="B89" s="64">
        <v>46169</v>
      </c>
      <c r="C89" s="65" t="s">
        <v>491</v>
      </c>
      <c r="D89" s="66" t="s">
        <v>113</v>
      </c>
      <c r="E89" s="65" t="s">
        <v>369</v>
      </c>
      <c r="F89" s="67">
        <v>52</v>
      </c>
      <c r="G89" s="14" t="s">
        <v>366</v>
      </c>
      <c r="H89" s="14" t="s">
        <v>367</v>
      </c>
      <c r="I89" s="43" t="s">
        <v>349</v>
      </c>
      <c r="J89" t="s">
        <v>492</v>
      </c>
    </row>
    <row r="90" spans="2:10" x14ac:dyDescent="0.3">
      <c r="B90" s="64">
        <v>46169</v>
      </c>
      <c r="C90" s="69" t="s">
        <v>376</v>
      </c>
      <c r="D90" s="68" t="s">
        <v>113</v>
      </c>
      <c r="E90" s="69" t="s">
        <v>378</v>
      </c>
      <c r="F90" s="70">
        <v>295</v>
      </c>
      <c r="G90" s="23" t="s">
        <v>366</v>
      </c>
      <c r="H90" s="23" t="s">
        <v>367</v>
      </c>
      <c r="I90" s="55" t="s">
        <v>349</v>
      </c>
      <c r="J90" t="s">
        <v>492</v>
      </c>
    </row>
    <row r="91" spans="2:10" x14ac:dyDescent="0.3">
      <c r="B91" s="64">
        <v>46170</v>
      </c>
      <c r="C91" s="65" t="s">
        <v>503</v>
      </c>
      <c r="D91" s="66" t="s">
        <v>489</v>
      </c>
      <c r="E91" s="65" t="s">
        <v>365</v>
      </c>
      <c r="F91" s="67">
        <v>530</v>
      </c>
      <c r="G91" s="14" t="s">
        <v>366</v>
      </c>
      <c r="H91" s="14" t="s">
        <v>426</v>
      </c>
      <c r="I91" s="43" t="s">
        <v>349</v>
      </c>
      <c r="J91" t="s">
        <v>504</v>
      </c>
    </row>
    <row r="92" spans="2:10" x14ac:dyDescent="0.3">
      <c r="B92" s="64">
        <v>46170</v>
      </c>
      <c r="C92" s="69" t="s">
        <v>505</v>
      </c>
      <c r="D92" s="68" t="s">
        <v>506</v>
      </c>
      <c r="E92" s="69" t="s">
        <v>365</v>
      </c>
      <c r="F92" s="70">
        <v>83.91</v>
      </c>
      <c r="G92" s="23" t="s">
        <v>366</v>
      </c>
      <c r="H92" s="23" t="s">
        <v>426</v>
      </c>
      <c r="I92" s="55" t="s">
        <v>349</v>
      </c>
      <c r="J92" t="s">
        <v>507</v>
      </c>
    </row>
    <row r="93" spans="2:10" x14ac:dyDescent="0.3">
      <c r="B93" s="64">
        <v>46170</v>
      </c>
      <c r="C93" s="65" t="s">
        <v>508</v>
      </c>
      <c r="D93" s="66" t="s">
        <v>463</v>
      </c>
      <c r="E93" s="65" t="s">
        <v>387</v>
      </c>
      <c r="F93" s="67">
        <v>56.11</v>
      </c>
      <c r="G93" s="14" t="s">
        <v>366</v>
      </c>
      <c r="H93" s="14" t="s">
        <v>426</v>
      </c>
      <c r="I93" s="43" t="s">
        <v>349</v>
      </c>
    </row>
    <row r="94" spans="2:10" x14ac:dyDescent="0.3">
      <c r="B94" s="64">
        <v>46170</v>
      </c>
      <c r="C94" s="69" t="s">
        <v>509</v>
      </c>
      <c r="D94" s="68" t="s">
        <v>463</v>
      </c>
      <c r="E94" s="69" t="s">
        <v>389</v>
      </c>
      <c r="F94" s="70">
        <v>23.2</v>
      </c>
      <c r="G94" s="23" t="s">
        <v>366</v>
      </c>
      <c r="H94" s="23" t="s">
        <v>426</v>
      </c>
      <c r="I94" s="55" t="s">
        <v>349</v>
      </c>
      <c r="J94" t="s">
        <v>510</v>
      </c>
    </row>
    <row r="95" spans="2:10" x14ac:dyDescent="0.3">
      <c r="B95" s="64">
        <v>46170</v>
      </c>
      <c r="C95" s="65" t="s">
        <v>511</v>
      </c>
      <c r="D95" s="66" t="s">
        <v>395</v>
      </c>
      <c r="E95" s="65" t="s">
        <v>387</v>
      </c>
      <c r="F95" s="67">
        <v>48</v>
      </c>
      <c r="G95" s="14" t="s">
        <v>366</v>
      </c>
      <c r="H95" s="14" t="s">
        <v>426</v>
      </c>
      <c r="I95" s="43" t="s">
        <v>349</v>
      </c>
      <c r="J95" t="s">
        <v>512</v>
      </c>
    </row>
    <row r="96" spans="2:10" x14ac:dyDescent="0.3">
      <c r="B96" s="64">
        <v>46170</v>
      </c>
      <c r="C96" s="69" t="s">
        <v>513</v>
      </c>
      <c r="D96" s="68" t="s">
        <v>514</v>
      </c>
      <c r="E96" s="69" t="s">
        <v>365</v>
      </c>
      <c r="F96" s="70">
        <v>336</v>
      </c>
      <c r="G96" s="23" t="s">
        <v>366</v>
      </c>
      <c r="H96" s="23" t="s">
        <v>367</v>
      </c>
      <c r="I96" s="55" t="s">
        <v>349</v>
      </c>
      <c r="J96" t="s">
        <v>515</v>
      </c>
    </row>
    <row r="97" spans="2:10" x14ac:dyDescent="0.3">
      <c r="B97" s="64">
        <v>46170</v>
      </c>
      <c r="C97" s="65" t="s">
        <v>516</v>
      </c>
      <c r="D97" s="66" t="s">
        <v>397</v>
      </c>
      <c r="E97" s="65" t="s">
        <v>387</v>
      </c>
      <c r="F97" s="67">
        <v>296.12</v>
      </c>
      <c r="G97" s="14" t="s">
        <v>366</v>
      </c>
      <c r="H97" s="14" t="s">
        <v>426</v>
      </c>
      <c r="I97" s="43" t="s">
        <v>349</v>
      </c>
      <c r="J97" t="s">
        <v>517</v>
      </c>
    </row>
    <row r="98" spans="2:10" x14ac:dyDescent="0.3">
      <c r="B98" s="64">
        <v>46170</v>
      </c>
      <c r="C98" s="69" t="s">
        <v>518</v>
      </c>
      <c r="D98" s="68" t="s">
        <v>519</v>
      </c>
      <c r="E98" s="69" t="s">
        <v>387</v>
      </c>
      <c r="F98" s="70">
        <v>135</v>
      </c>
      <c r="G98" s="23" t="s">
        <v>366</v>
      </c>
      <c r="H98" s="23" t="s">
        <v>367</v>
      </c>
      <c r="I98" s="55" t="s">
        <v>349</v>
      </c>
      <c r="J98" t="s">
        <v>520</v>
      </c>
    </row>
    <row r="99" spans="2:10" x14ac:dyDescent="0.3">
      <c r="B99" s="64">
        <v>46170</v>
      </c>
      <c r="C99" s="65" t="s">
        <v>521</v>
      </c>
      <c r="D99" s="66" t="s">
        <v>113</v>
      </c>
      <c r="E99" s="65" t="s">
        <v>378</v>
      </c>
      <c r="F99" s="67">
        <v>48</v>
      </c>
      <c r="G99" s="14" t="s">
        <v>366</v>
      </c>
      <c r="H99" s="14" t="s">
        <v>367</v>
      </c>
      <c r="I99" s="43" t="s">
        <v>349</v>
      </c>
      <c r="J99" t="s">
        <v>522</v>
      </c>
    </row>
    <row r="100" spans="2:10" x14ac:dyDescent="0.3">
      <c r="B100" s="64">
        <v>46170</v>
      </c>
      <c r="C100" s="69" t="s">
        <v>523</v>
      </c>
      <c r="D100" s="68" t="s">
        <v>113</v>
      </c>
      <c r="E100" s="69" t="s">
        <v>389</v>
      </c>
      <c r="F100" s="70">
        <v>100</v>
      </c>
      <c r="G100" s="23" t="s">
        <v>366</v>
      </c>
      <c r="H100" s="23" t="s">
        <v>367</v>
      </c>
      <c r="I100" s="55" t="s">
        <v>349</v>
      </c>
      <c r="J100" t="s">
        <v>522</v>
      </c>
    </row>
    <row r="101" spans="2:10" x14ac:dyDescent="0.3">
      <c r="B101" s="64">
        <v>46170</v>
      </c>
      <c r="C101" s="65" t="s">
        <v>406</v>
      </c>
      <c r="D101" s="66" t="s">
        <v>113</v>
      </c>
      <c r="E101" s="65" t="s">
        <v>389</v>
      </c>
      <c r="F101" s="67">
        <v>45</v>
      </c>
      <c r="G101" s="14" t="s">
        <v>366</v>
      </c>
      <c r="H101" s="14" t="s">
        <v>367</v>
      </c>
      <c r="I101" s="43" t="s">
        <v>349</v>
      </c>
      <c r="J101" t="s">
        <v>522</v>
      </c>
    </row>
    <row r="102" spans="2:10" x14ac:dyDescent="0.3">
      <c r="B102" s="64">
        <v>46170</v>
      </c>
      <c r="C102" s="69" t="s">
        <v>524</v>
      </c>
      <c r="D102" s="68" t="s">
        <v>113</v>
      </c>
      <c r="E102" s="69" t="s">
        <v>378</v>
      </c>
      <c r="F102" s="70">
        <v>200</v>
      </c>
      <c r="G102" s="23" t="s">
        <v>366</v>
      </c>
      <c r="H102" s="23" t="s">
        <v>367</v>
      </c>
      <c r="I102" s="55" t="s">
        <v>349</v>
      </c>
      <c r="J102" t="s">
        <v>522</v>
      </c>
    </row>
    <row r="103" spans="2:10" x14ac:dyDescent="0.3">
      <c r="B103" s="64">
        <v>46170</v>
      </c>
      <c r="C103" s="65" t="s">
        <v>521</v>
      </c>
      <c r="D103" s="66" t="s">
        <v>113</v>
      </c>
      <c r="E103" s="65" t="s">
        <v>378</v>
      </c>
      <c r="F103" s="67">
        <v>30</v>
      </c>
      <c r="G103" s="14" t="s">
        <v>366</v>
      </c>
      <c r="H103" s="14" t="s">
        <v>367</v>
      </c>
      <c r="I103" s="43" t="s">
        <v>349</v>
      </c>
      <c r="J103" t="s">
        <v>522</v>
      </c>
    </row>
    <row r="104" spans="2:10" x14ac:dyDescent="0.3">
      <c r="B104" s="64">
        <v>46171</v>
      </c>
      <c r="C104" s="69" t="s">
        <v>525</v>
      </c>
      <c r="D104" s="68" t="s">
        <v>526</v>
      </c>
      <c r="E104" s="69" t="s">
        <v>378</v>
      </c>
      <c r="F104" s="70">
        <v>99.47</v>
      </c>
      <c r="G104" s="23" t="s">
        <v>366</v>
      </c>
      <c r="H104" s="23" t="s">
        <v>367</v>
      </c>
      <c r="I104" s="55" t="s">
        <v>349</v>
      </c>
      <c r="J104" t="s">
        <v>527</v>
      </c>
    </row>
    <row r="105" spans="2:10" x14ac:dyDescent="0.3">
      <c r="B105" s="64">
        <v>46171</v>
      </c>
      <c r="C105" s="65" t="s">
        <v>528</v>
      </c>
      <c r="D105" s="66" t="s">
        <v>475</v>
      </c>
      <c r="E105" s="65" t="s">
        <v>369</v>
      </c>
      <c r="F105" s="67">
        <v>51.92</v>
      </c>
      <c r="G105" s="14" t="s">
        <v>366</v>
      </c>
      <c r="H105" s="14" t="s">
        <v>426</v>
      </c>
      <c r="I105" s="43" t="s">
        <v>349</v>
      </c>
    </row>
    <row r="106" spans="2:10" x14ac:dyDescent="0.3">
      <c r="B106" s="64">
        <v>46171</v>
      </c>
      <c r="C106" s="69" t="s">
        <v>529</v>
      </c>
      <c r="D106" s="68" t="s">
        <v>475</v>
      </c>
      <c r="E106" s="69" t="s">
        <v>372</v>
      </c>
      <c r="F106" s="70">
        <v>36</v>
      </c>
      <c r="G106" s="23" t="s">
        <v>366</v>
      </c>
      <c r="H106" s="23" t="s">
        <v>426</v>
      </c>
      <c r="I106" s="55" t="s">
        <v>349</v>
      </c>
    </row>
    <row r="107" spans="2:10" x14ac:dyDescent="0.3">
      <c r="B107" s="64">
        <v>46171</v>
      </c>
      <c r="C107" s="65" t="s">
        <v>530</v>
      </c>
      <c r="D107" s="66" t="s">
        <v>475</v>
      </c>
      <c r="E107" s="65" t="s">
        <v>372</v>
      </c>
      <c r="F107" s="67">
        <v>69.900000000000006</v>
      </c>
      <c r="G107" s="14" t="s">
        <v>366</v>
      </c>
      <c r="H107" s="14" t="s">
        <v>426</v>
      </c>
      <c r="I107" s="43" t="s">
        <v>349</v>
      </c>
    </row>
    <row r="108" spans="2:10" x14ac:dyDescent="0.3">
      <c r="B108" s="64">
        <v>46172</v>
      </c>
      <c r="C108" s="69" t="s">
        <v>531</v>
      </c>
      <c r="D108" s="68" t="s">
        <v>512</v>
      </c>
      <c r="E108" s="69" t="s">
        <v>369</v>
      </c>
      <c r="F108" s="70">
        <v>60</v>
      </c>
      <c r="G108" s="23" t="s">
        <v>366</v>
      </c>
      <c r="H108" s="23" t="s">
        <v>426</v>
      </c>
      <c r="I108" s="55" t="s">
        <v>349</v>
      </c>
      <c r="J108" t="s">
        <v>532</v>
      </c>
    </row>
    <row r="109" spans="2:10" x14ac:dyDescent="0.3">
      <c r="B109" s="64">
        <v>46172</v>
      </c>
      <c r="C109" s="65" t="s">
        <v>533</v>
      </c>
      <c r="D109" s="66" t="s">
        <v>512</v>
      </c>
      <c r="E109" s="65" t="s">
        <v>369</v>
      </c>
      <c r="F109" s="67">
        <v>17.899999999999999</v>
      </c>
      <c r="G109" s="14" t="s">
        <v>366</v>
      </c>
      <c r="H109" s="14" t="s">
        <v>426</v>
      </c>
      <c r="I109" s="43" t="s">
        <v>349</v>
      </c>
      <c r="J109" t="s">
        <v>534</v>
      </c>
    </row>
    <row r="110" spans="2:10" x14ac:dyDescent="0.3">
      <c r="B110" s="64">
        <v>46172</v>
      </c>
      <c r="C110" s="69" t="s">
        <v>535</v>
      </c>
      <c r="D110" s="68" t="s">
        <v>512</v>
      </c>
      <c r="E110" s="69" t="s">
        <v>369</v>
      </c>
      <c r="F110" s="70">
        <v>36</v>
      </c>
      <c r="G110" s="23" t="s">
        <v>366</v>
      </c>
      <c r="H110" s="23" t="s">
        <v>367</v>
      </c>
      <c r="I110" s="55" t="s">
        <v>349</v>
      </c>
      <c r="J110" t="s">
        <v>536</v>
      </c>
    </row>
    <row r="111" spans="2:10" x14ac:dyDescent="0.3">
      <c r="B111" s="64">
        <v>46172</v>
      </c>
      <c r="C111" s="65" t="s">
        <v>537</v>
      </c>
      <c r="D111" s="66" t="s">
        <v>538</v>
      </c>
      <c r="E111" s="65" t="s">
        <v>401</v>
      </c>
      <c r="F111" s="67">
        <v>220</v>
      </c>
      <c r="G111" s="14" t="s">
        <v>366</v>
      </c>
      <c r="H111" s="14" t="s">
        <v>426</v>
      </c>
      <c r="I111" s="43" t="s">
        <v>349</v>
      </c>
      <c r="J111" t="s">
        <v>539</v>
      </c>
    </row>
    <row r="112" spans="2:10" x14ac:dyDescent="0.3">
      <c r="B112" s="64">
        <v>46172</v>
      </c>
      <c r="C112" s="69" t="s">
        <v>540</v>
      </c>
      <c r="D112" s="68" t="s">
        <v>113</v>
      </c>
      <c r="E112" s="69" t="s">
        <v>365</v>
      </c>
      <c r="F112" s="70">
        <v>310</v>
      </c>
      <c r="G112" s="23" t="s">
        <v>366</v>
      </c>
      <c r="H112" s="23" t="s">
        <v>367</v>
      </c>
      <c r="I112" s="55" t="s">
        <v>349</v>
      </c>
      <c r="J112" t="s">
        <v>492</v>
      </c>
    </row>
    <row r="113" spans="2:10" x14ac:dyDescent="0.3">
      <c r="B113" s="64">
        <v>46172</v>
      </c>
      <c r="C113" s="65" t="s">
        <v>541</v>
      </c>
      <c r="D113" s="66" t="s">
        <v>417</v>
      </c>
      <c r="E113" s="65" t="s">
        <v>418</v>
      </c>
      <c r="F113" s="67">
        <v>3750</v>
      </c>
      <c r="G113" s="14" t="s">
        <v>366</v>
      </c>
      <c r="H113" s="14" t="s">
        <v>367</v>
      </c>
      <c r="I113" s="43" t="s">
        <v>349</v>
      </c>
      <c r="J113" t="s">
        <v>542</v>
      </c>
    </row>
    <row r="114" spans="2:10" x14ac:dyDescent="0.3">
      <c r="B114" s="64">
        <v>46172</v>
      </c>
      <c r="C114" s="69" t="s">
        <v>543</v>
      </c>
      <c r="D114" s="68" t="s">
        <v>417</v>
      </c>
      <c r="E114" s="69" t="s">
        <v>418</v>
      </c>
      <c r="F114" s="70">
        <v>1500</v>
      </c>
      <c r="G114" s="23" t="s">
        <v>366</v>
      </c>
      <c r="H114" s="23" t="s">
        <v>367</v>
      </c>
      <c r="I114" s="55" t="s">
        <v>349</v>
      </c>
      <c r="J114" t="s">
        <v>544</v>
      </c>
    </row>
    <row r="115" spans="2:10" x14ac:dyDescent="0.3">
      <c r="B115" s="64">
        <v>46172</v>
      </c>
      <c r="C115" s="65" t="s">
        <v>545</v>
      </c>
      <c r="D115" s="66" t="s">
        <v>526</v>
      </c>
      <c r="E115" s="65" t="s">
        <v>378</v>
      </c>
      <c r="F115" s="67">
        <v>18.600000000000001</v>
      </c>
      <c r="G115" s="14" t="s">
        <v>366</v>
      </c>
      <c r="H115" s="14" t="s">
        <v>367</v>
      </c>
      <c r="I115" s="43" t="s">
        <v>349</v>
      </c>
      <c r="J115" t="s">
        <v>546</v>
      </c>
    </row>
    <row r="116" spans="2:10" x14ac:dyDescent="0.3">
      <c r="B116" s="64">
        <v>46172</v>
      </c>
      <c r="C116" s="69" t="s">
        <v>547</v>
      </c>
      <c r="D116" s="68" t="s">
        <v>526</v>
      </c>
      <c r="E116" s="69" t="s">
        <v>378</v>
      </c>
      <c r="F116" s="70">
        <v>57.8</v>
      </c>
      <c r="G116" s="23" t="s">
        <v>366</v>
      </c>
      <c r="H116" s="23" t="s">
        <v>367</v>
      </c>
      <c r="I116" s="55" t="s">
        <v>349</v>
      </c>
      <c r="J116" t="s">
        <v>548</v>
      </c>
    </row>
    <row r="117" spans="2:10" x14ac:dyDescent="0.3">
      <c r="B117" s="64">
        <v>46172</v>
      </c>
      <c r="C117" s="65" t="s">
        <v>549</v>
      </c>
      <c r="D117" s="66" t="s">
        <v>526</v>
      </c>
      <c r="E117" s="65" t="s">
        <v>378</v>
      </c>
      <c r="F117" s="67">
        <v>4</v>
      </c>
      <c r="G117" s="14" t="s">
        <v>366</v>
      </c>
      <c r="H117" s="14" t="s">
        <v>367</v>
      </c>
      <c r="I117" s="43" t="s">
        <v>349</v>
      </c>
      <c r="J117" t="s">
        <v>550</v>
      </c>
    </row>
    <row r="118" spans="2:10" x14ac:dyDescent="0.3">
      <c r="B118" s="64">
        <v>46173</v>
      </c>
      <c r="C118" s="69" t="s">
        <v>551</v>
      </c>
      <c r="D118" s="68" t="s">
        <v>395</v>
      </c>
      <c r="E118" s="69" t="s">
        <v>369</v>
      </c>
      <c r="F118" s="70">
        <v>312</v>
      </c>
      <c r="G118" s="23" t="s">
        <v>366</v>
      </c>
      <c r="H118" s="23" t="s">
        <v>426</v>
      </c>
      <c r="I118" s="55" t="s">
        <v>349</v>
      </c>
      <c r="J118" t="s">
        <v>552</v>
      </c>
    </row>
    <row r="119" spans="2:10" x14ac:dyDescent="0.3">
      <c r="B119" s="64">
        <v>46174</v>
      </c>
      <c r="C119" s="65" t="s">
        <v>553</v>
      </c>
      <c r="D119" s="66" t="s">
        <v>425</v>
      </c>
      <c r="E119" s="65" t="s">
        <v>369</v>
      </c>
      <c r="F119" s="67">
        <v>219.94</v>
      </c>
      <c r="G119" s="14" t="s">
        <v>366</v>
      </c>
      <c r="H119" s="14" t="s">
        <v>426</v>
      </c>
      <c r="I119" s="43" t="s">
        <v>349</v>
      </c>
    </row>
    <row r="120" spans="2:10" x14ac:dyDescent="0.3">
      <c r="B120" s="64">
        <v>46174</v>
      </c>
      <c r="C120" s="69" t="s">
        <v>554</v>
      </c>
      <c r="D120" s="68" t="s">
        <v>425</v>
      </c>
      <c r="E120" s="69" t="s">
        <v>369</v>
      </c>
      <c r="F120" s="70">
        <v>193.34</v>
      </c>
      <c r="G120" s="23" t="s">
        <v>366</v>
      </c>
      <c r="H120" s="23" t="s">
        <v>426</v>
      </c>
      <c r="I120" s="55" t="s">
        <v>349</v>
      </c>
    </row>
    <row r="121" spans="2:10" x14ac:dyDescent="0.3">
      <c r="B121" s="64">
        <v>46174</v>
      </c>
      <c r="C121" s="65" t="s">
        <v>555</v>
      </c>
      <c r="D121" s="66" t="s">
        <v>425</v>
      </c>
      <c r="E121" s="65" t="s">
        <v>369</v>
      </c>
      <c r="F121" s="67">
        <v>468.52</v>
      </c>
      <c r="G121" s="14" t="s">
        <v>366</v>
      </c>
      <c r="H121" s="14" t="s">
        <v>426</v>
      </c>
      <c r="I121" s="43" t="s">
        <v>349</v>
      </c>
      <c r="J121" t="s">
        <v>556</v>
      </c>
    </row>
    <row r="122" spans="2:10" x14ac:dyDescent="0.3">
      <c r="B122" s="64">
        <v>46174</v>
      </c>
      <c r="C122" s="69" t="s">
        <v>557</v>
      </c>
      <c r="D122" s="68" t="s">
        <v>425</v>
      </c>
      <c r="E122" s="69" t="s">
        <v>429</v>
      </c>
      <c r="F122" s="70">
        <v>230.16</v>
      </c>
      <c r="G122" s="23" t="s">
        <v>366</v>
      </c>
      <c r="H122" s="23" t="s">
        <v>426</v>
      </c>
      <c r="I122" s="55" t="s">
        <v>349</v>
      </c>
      <c r="J122" t="s">
        <v>558</v>
      </c>
    </row>
    <row r="123" spans="2:10" x14ac:dyDescent="0.3">
      <c r="B123" s="64">
        <v>46174</v>
      </c>
      <c r="C123" s="65" t="s">
        <v>559</v>
      </c>
      <c r="D123" s="66" t="s">
        <v>425</v>
      </c>
      <c r="E123" s="65" t="s">
        <v>372</v>
      </c>
      <c r="F123" s="67">
        <v>224.04</v>
      </c>
      <c r="G123" s="14" t="s">
        <v>366</v>
      </c>
      <c r="H123" s="14" t="s">
        <v>426</v>
      </c>
      <c r="I123" s="43" t="s">
        <v>349</v>
      </c>
      <c r="J123" t="s">
        <v>560</v>
      </c>
    </row>
    <row r="124" spans="2:10" x14ac:dyDescent="0.3">
      <c r="B124" s="64">
        <v>46174</v>
      </c>
      <c r="C124" s="69" t="s">
        <v>561</v>
      </c>
      <c r="D124" s="68" t="s">
        <v>432</v>
      </c>
      <c r="E124" s="69" t="s">
        <v>369</v>
      </c>
      <c r="F124" s="70">
        <v>540</v>
      </c>
      <c r="G124" s="23" t="s">
        <v>366</v>
      </c>
      <c r="H124" s="23" t="s">
        <v>426</v>
      </c>
      <c r="I124" s="55" t="s">
        <v>349</v>
      </c>
      <c r="J124" t="s">
        <v>562</v>
      </c>
    </row>
    <row r="125" spans="2:10" x14ac:dyDescent="0.3">
      <c r="B125" s="64">
        <v>46174</v>
      </c>
      <c r="C125" s="65" t="s">
        <v>563</v>
      </c>
      <c r="D125" s="66" t="s">
        <v>564</v>
      </c>
      <c r="E125" s="65" t="s">
        <v>365</v>
      </c>
      <c r="F125" s="67">
        <v>303</v>
      </c>
      <c r="G125" s="14" t="s">
        <v>366</v>
      </c>
      <c r="H125" s="14" t="s">
        <v>426</v>
      </c>
      <c r="I125" s="43" t="s">
        <v>349</v>
      </c>
      <c r="J125" t="s">
        <v>565</v>
      </c>
    </row>
    <row r="126" spans="2:10" x14ac:dyDescent="0.3">
      <c r="B126" s="64">
        <v>46174</v>
      </c>
      <c r="C126" s="69" t="s">
        <v>566</v>
      </c>
      <c r="D126" s="68" t="s">
        <v>564</v>
      </c>
      <c r="E126" s="69" t="s">
        <v>365</v>
      </c>
      <c r="F126" s="70">
        <v>260</v>
      </c>
      <c r="G126" s="23" t="s">
        <v>366</v>
      </c>
      <c r="H126" s="23" t="s">
        <v>426</v>
      </c>
      <c r="I126" s="55" t="s">
        <v>349</v>
      </c>
    </row>
    <row r="127" spans="2:10" x14ac:dyDescent="0.3">
      <c r="B127" s="64">
        <v>46174</v>
      </c>
      <c r="C127" s="65" t="s">
        <v>567</v>
      </c>
      <c r="D127" s="66" t="s">
        <v>564</v>
      </c>
      <c r="E127" s="65" t="s">
        <v>365</v>
      </c>
      <c r="F127" s="67">
        <v>293</v>
      </c>
      <c r="G127" s="14" t="s">
        <v>366</v>
      </c>
      <c r="H127" s="14" t="s">
        <v>426</v>
      </c>
      <c r="I127" s="43" t="s">
        <v>349</v>
      </c>
    </row>
    <row r="128" spans="2:10" x14ac:dyDescent="0.3">
      <c r="B128" s="64">
        <v>46174</v>
      </c>
      <c r="C128" s="69" t="s">
        <v>568</v>
      </c>
      <c r="D128" s="68" t="s">
        <v>463</v>
      </c>
      <c r="E128" s="69" t="s">
        <v>387</v>
      </c>
      <c r="F128" s="70">
        <v>64</v>
      </c>
      <c r="G128" s="23" t="s">
        <v>366</v>
      </c>
      <c r="H128" s="23" t="s">
        <v>426</v>
      </c>
      <c r="I128" s="55" t="s">
        <v>349</v>
      </c>
    </row>
    <row r="129" spans="2:10" x14ac:dyDescent="0.3">
      <c r="B129" s="64">
        <v>46174</v>
      </c>
      <c r="C129" s="65" t="s">
        <v>569</v>
      </c>
      <c r="D129" s="66" t="s">
        <v>463</v>
      </c>
      <c r="E129" s="65" t="s">
        <v>369</v>
      </c>
      <c r="F129" s="67">
        <v>67.5</v>
      </c>
      <c r="G129" s="14" t="s">
        <v>366</v>
      </c>
      <c r="H129" s="14" t="s">
        <v>426</v>
      </c>
      <c r="I129" s="43" t="s">
        <v>349</v>
      </c>
      <c r="J129" t="s">
        <v>570</v>
      </c>
    </row>
    <row r="130" spans="2:10" x14ac:dyDescent="0.3">
      <c r="B130" s="64">
        <v>46174</v>
      </c>
      <c r="C130" s="69" t="s">
        <v>465</v>
      </c>
      <c r="D130" s="68" t="s">
        <v>463</v>
      </c>
      <c r="E130" s="69" t="s">
        <v>372</v>
      </c>
      <c r="F130" s="70">
        <v>79.900000000000006</v>
      </c>
      <c r="G130" s="23" t="s">
        <v>366</v>
      </c>
      <c r="H130" s="23" t="s">
        <v>426</v>
      </c>
      <c r="I130" s="55" t="s">
        <v>349</v>
      </c>
    </row>
    <row r="131" spans="2:10" x14ac:dyDescent="0.3">
      <c r="B131" s="64">
        <v>46174</v>
      </c>
      <c r="C131" s="65" t="s">
        <v>571</v>
      </c>
      <c r="D131" s="66" t="s">
        <v>572</v>
      </c>
      <c r="E131" s="65" t="s">
        <v>365</v>
      </c>
      <c r="F131" s="67">
        <v>350</v>
      </c>
      <c r="G131" s="14" t="s">
        <v>366</v>
      </c>
      <c r="H131" s="14" t="s">
        <v>367</v>
      </c>
      <c r="I131" s="43" t="s">
        <v>349</v>
      </c>
    </row>
    <row r="132" spans="2:10" x14ac:dyDescent="0.3">
      <c r="B132" s="64">
        <v>46174</v>
      </c>
      <c r="C132" s="69" t="s">
        <v>573</v>
      </c>
      <c r="D132" s="68" t="s">
        <v>572</v>
      </c>
      <c r="E132" s="69" t="s">
        <v>365</v>
      </c>
      <c r="F132" s="70">
        <v>297</v>
      </c>
      <c r="G132" s="23" t="s">
        <v>366</v>
      </c>
      <c r="H132" s="23" t="s">
        <v>367</v>
      </c>
      <c r="I132" s="55" t="s">
        <v>349</v>
      </c>
    </row>
    <row r="133" spans="2:10" x14ac:dyDescent="0.3">
      <c r="B133" s="64">
        <v>46174</v>
      </c>
      <c r="C133" s="65" t="s">
        <v>574</v>
      </c>
      <c r="D133" s="66" t="s">
        <v>575</v>
      </c>
      <c r="E133" s="65" t="s">
        <v>378</v>
      </c>
      <c r="F133" s="67">
        <v>30</v>
      </c>
      <c r="G133" s="14" t="s">
        <v>366</v>
      </c>
      <c r="H133" s="14" t="s">
        <v>367</v>
      </c>
      <c r="I133" s="43" t="s">
        <v>349</v>
      </c>
    </row>
    <row r="134" spans="2:10" x14ac:dyDescent="0.3">
      <c r="B134" s="64">
        <v>46174</v>
      </c>
      <c r="C134" s="69" t="s">
        <v>576</v>
      </c>
      <c r="D134" s="68" t="s">
        <v>575</v>
      </c>
      <c r="E134" s="69" t="s">
        <v>378</v>
      </c>
      <c r="F134" s="70">
        <v>26</v>
      </c>
      <c r="G134" s="23" t="s">
        <v>366</v>
      </c>
      <c r="H134" s="23" t="s">
        <v>367</v>
      </c>
      <c r="I134" s="55" t="s">
        <v>349</v>
      </c>
    </row>
    <row r="135" spans="2:10" x14ac:dyDescent="0.3">
      <c r="B135" s="64">
        <v>46174</v>
      </c>
      <c r="C135" s="65" t="s">
        <v>577</v>
      </c>
      <c r="D135" s="66" t="s">
        <v>575</v>
      </c>
      <c r="E135" s="65" t="s">
        <v>378</v>
      </c>
      <c r="F135" s="67">
        <v>45</v>
      </c>
      <c r="G135" s="14" t="s">
        <v>366</v>
      </c>
      <c r="H135" s="14" t="s">
        <v>367</v>
      </c>
      <c r="I135" s="43" t="s">
        <v>349</v>
      </c>
    </row>
    <row r="136" spans="2:10" x14ac:dyDescent="0.3">
      <c r="B136" s="64">
        <v>46174</v>
      </c>
      <c r="C136" s="69" t="s">
        <v>578</v>
      </c>
      <c r="D136" s="68" t="s">
        <v>397</v>
      </c>
      <c r="E136" s="69" t="s">
        <v>387</v>
      </c>
      <c r="F136" s="70">
        <v>592.24</v>
      </c>
      <c r="G136" s="23" t="s">
        <v>366</v>
      </c>
      <c r="H136" s="23" t="s">
        <v>367</v>
      </c>
      <c r="I136" s="55" t="s">
        <v>349</v>
      </c>
      <c r="J136" t="s">
        <v>579</v>
      </c>
    </row>
    <row r="137" spans="2:10" x14ac:dyDescent="0.3">
      <c r="B137" s="64">
        <v>46174</v>
      </c>
      <c r="C137" s="65" t="s">
        <v>399</v>
      </c>
      <c r="D137" s="66" t="s">
        <v>113</v>
      </c>
      <c r="E137" s="65" t="s">
        <v>378</v>
      </c>
      <c r="F137" s="67">
        <v>120</v>
      </c>
      <c r="G137" s="14" t="s">
        <v>366</v>
      </c>
      <c r="H137" s="14" t="s">
        <v>367</v>
      </c>
      <c r="I137" s="43" t="s">
        <v>349</v>
      </c>
      <c r="J137" t="s">
        <v>522</v>
      </c>
    </row>
    <row r="138" spans="2:10" x14ac:dyDescent="0.3">
      <c r="B138" s="64">
        <v>46174</v>
      </c>
      <c r="C138" s="69" t="s">
        <v>580</v>
      </c>
      <c r="D138" s="68" t="s">
        <v>113</v>
      </c>
      <c r="E138" s="69" t="s">
        <v>378</v>
      </c>
      <c r="F138" s="70">
        <v>20</v>
      </c>
      <c r="G138" s="23" t="s">
        <v>366</v>
      </c>
      <c r="H138" s="23" t="s">
        <v>367</v>
      </c>
      <c r="I138" s="55" t="s">
        <v>349</v>
      </c>
      <c r="J138" t="s">
        <v>522</v>
      </c>
    </row>
    <row r="139" spans="2:10" x14ac:dyDescent="0.3">
      <c r="B139" s="64">
        <v>46174</v>
      </c>
      <c r="C139" s="65" t="s">
        <v>581</v>
      </c>
      <c r="D139" s="66" t="s">
        <v>113</v>
      </c>
      <c r="E139" s="65" t="s">
        <v>378</v>
      </c>
      <c r="F139" s="67">
        <v>70</v>
      </c>
      <c r="G139" s="14" t="s">
        <v>366</v>
      </c>
      <c r="H139" s="14" t="s">
        <v>367</v>
      </c>
      <c r="I139" s="43" t="s">
        <v>349</v>
      </c>
      <c r="J139" t="s">
        <v>522</v>
      </c>
    </row>
    <row r="140" spans="2:10" x14ac:dyDescent="0.3">
      <c r="B140" s="64">
        <v>46174</v>
      </c>
      <c r="C140" s="69" t="s">
        <v>521</v>
      </c>
      <c r="D140" s="68" t="s">
        <v>113</v>
      </c>
      <c r="E140" s="69" t="s">
        <v>378</v>
      </c>
      <c r="F140" s="70">
        <v>60</v>
      </c>
      <c r="G140" s="23" t="s">
        <v>366</v>
      </c>
      <c r="H140" s="23" t="s">
        <v>367</v>
      </c>
      <c r="I140" s="55" t="s">
        <v>349</v>
      </c>
      <c r="J140" t="s">
        <v>522</v>
      </c>
    </row>
    <row r="141" spans="2:10" x14ac:dyDescent="0.3">
      <c r="B141" s="64">
        <v>46174</v>
      </c>
      <c r="C141" s="65" t="s">
        <v>582</v>
      </c>
      <c r="D141" s="66" t="s">
        <v>113</v>
      </c>
      <c r="E141" s="65" t="s">
        <v>401</v>
      </c>
      <c r="F141" s="67">
        <v>55</v>
      </c>
      <c r="G141" s="14" t="s">
        <v>366</v>
      </c>
      <c r="H141" s="14" t="s">
        <v>367</v>
      </c>
      <c r="I141" s="43" t="s">
        <v>349</v>
      </c>
      <c r="J141" t="s">
        <v>522</v>
      </c>
    </row>
    <row r="142" spans="2:10" x14ac:dyDescent="0.3">
      <c r="B142" s="64">
        <v>46174</v>
      </c>
      <c r="C142" s="69" t="s">
        <v>583</v>
      </c>
      <c r="D142" s="68" t="s">
        <v>113</v>
      </c>
      <c r="E142" s="69" t="s">
        <v>401</v>
      </c>
      <c r="F142" s="70">
        <v>70</v>
      </c>
      <c r="G142" s="23" t="s">
        <v>366</v>
      </c>
      <c r="H142" s="23" t="s">
        <v>367</v>
      </c>
      <c r="I142" s="55" t="s">
        <v>349</v>
      </c>
      <c r="J142" t="s">
        <v>522</v>
      </c>
    </row>
    <row r="143" spans="2:10" x14ac:dyDescent="0.3">
      <c r="B143" s="64">
        <v>46174</v>
      </c>
      <c r="C143" s="65" t="s">
        <v>584</v>
      </c>
      <c r="D143" s="66" t="s">
        <v>113</v>
      </c>
      <c r="E143" s="65" t="s">
        <v>401</v>
      </c>
      <c r="F143" s="67">
        <v>90</v>
      </c>
      <c r="G143" s="14" t="s">
        <v>366</v>
      </c>
      <c r="H143" s="14" t="s">
        <v>367</v>
      </c>
      <c r="I143" s="43" t="s">
        <v>349</v>
      </c>
      <c r="J143" t="s">
        <v>522</v>
      </c>
    </row>
    <row r="144" spans="2:10" x14ac:dyDescent="0.3">
      <c r="B144" s="64">
        <v>46174</v>
      </c>
      <c r="C144" s="69" t="s">
        <v>585</v>
      </c>
      <c r="D144" s="68" t="s">
        <v>113</v>
      </c>
      <c r="E144" s="69" t="s">
        <v>378</v>
      </c>
      <c r="F144" s="70">
        <v>160</v>
      </c>
      <c r="G144" s="23" t="s">
        <v>366</v>
      </c>
      <c r="H144" s="23" t="s">
        <v>367</v>
      </c>
      <c r="I144" s="55" t="s">
        <v>349</v>
      </c>
      <c r="J144" t="s">
        <v>522</v>
      </c>
    </row>
    <row r="145" spans="2:10" x14ac:dyDescent="0.3">
      <c r="B145" s="64">
        <v>46174</v>
      </c>
      <c r="C145" s="65" t="s">
        <v>586</v>
      </c>
      <c r="D145" s="66" t="s">
        <v>113</v>
      </c>
      <c r="E145" s="65" t="s">
        <v>401</v>
      </c>
      <c r="F145" s="67">
        <v>52</v>
      </c>
      <c r="G145" s="14" t="s">
        <v>366</v>
      </c>
      <c r="H145" s="14" t="s">
        <v>367</v>
      </c>
      <c r="I145" s="43" t="s">
        <v>349</v>
      </c>
      <c r="J145" t="s">
        <v>522</v>
      </c>
    </row>
    <row r="146" spans="2:10" x14ac:dyDescent="0.3">
      <c r="B146" s="64">
        <v>46175</v>
      </c>
      <c r="C146" s="69" t="s">
        <v>587</v>
      </c>
      <c r="D146" s="68" t="s">
        <v>512</v>
      </c>
      <c r="E146" s="69" t="s">
        <v>387</v>
      </c>
      <c r="F146" s="70">
        <v>42</v>
      </c>
      <c r="G146" s="23" t="s">
        <v>366</v>
      </c>
      <c r="H146" s="23" t="s">
        <v>426</v>
      </c>
      <c r="I146" s="55" t="s">
        <v>349</v>
      </c>
      <c r="J146" t="s">
        <v>588</v>
      </c>
    </row>
    <row r="147" spans="2:10" x14ac:dyDescent="0.3">
      <c r="B147" s="64">
        <v>46175</v>
      </c>
      <c r="C147" s="65" t="s">
        <v>589</v>
      </c>
      <c r="D147" s="66" t="s">
        <v>590</v>
      </c>
      <c r="E147" s="65" t="s">
        <v>389</v>
      </c>
      <c r="F147" s="67">
        <v>1500.8</v>
      </c>
      <c r="G147" s="14" t="s">
        <v>366</v>
      </c>
      <c r="H147" s="14" t="s">
        <v>426</v>
      </c>
      <c r="I147" s="43" t="s">
        <v>349</v>
      </c>
      <c r="J147" t="s">
        <v>591</v>
      </c>
    </row>
    <row r="148" spans="2:10" x14ac:dyDescent="0.3">
      <c r="B148" s="64">
        <v>46175</v>
      </c>
      <c r="C148" s="69" t="s">
        <v>592</v>
      </c>
      <c r="D148" s="68" t="s">
        <v>564</v>
      </c>
      <c r="E148" s="69" t="s">
        <v>365</v>
      </c>
      <c r="F148" s="70">
        <v>191</v>
      </c>
      <c r="G148" s="23" t="s">
        <v>366</v>
      </c>
      <c r="H148" s="23" t="s">
        <v>426</v>
      </c>
      <c r="I148" s="55" t="s">
        <v>349</v>
      </c>
      <c r="J148" t="s">
        <v>593</v>
      </c>
    </row>
    <row r="149" spans="2:10" x14ac:dyDescent="0.3">
      <c r="B149" s="64">
        <v>46175</v>
      </c>
      <c r="C149" s="65" t="s">
        <v>594</v>
      </c>
      <c r="D149" s="66" t="s">
        <v>432</v>
      </c>
      <c r="E149" s="65" t="s">
        <v>387</v>
      </c>
      <c r="F149" s="67">
        <v>490</v>
      </c>
      <c r="G149" s="14" t="s">
        <v>366</v>
      </c>
      <c r="H149" s="14" t="s">
        <v>426</v>
      </c>
      <c r="I149" s="43" t="s">
        <v>349</v>
      </c>
      <c r="J149" t="s">
        <v>595</v>
      </c>
    </row>
    <row r="150" spans="2:10" x14ac:dyDescent="0.3">
      <c r="B150" s="64">
        <v>46175</v>
      </c>
      <c r="C150" s="69" t="s">
        <v>523</v>
      </c>
      <c r="D150" s="68" t="s">
        <v>113</v>
      </c>
      <c r="E150" s="69" t="s">
        <v>389</v>
      </c>
      <c r="F150" s="70">
        <v>50</v>
      </c>
      <c r="G150" s="23" t="s">
        <v>366</v>
      </c>
      <c r="H150" s="23" t="s">
        <v>367</v>
      </c>
      <c r="I150" s="55" t="s">
        <v>349</v>
      </c>
      <c r="J150" t="s">
        <v>522</v>
      </c>
    </row>
    <row r="151" spans="2:10" x14ac:dyDescent="0.3">
      <c r="B151" s="64">
        <v>46175</v>
      </c>
      <c r="C151" s="65" t="s">
        <v>406</v>
      </c>
      <c r="D151" s="66" t="s">
        <v>113</v>
      </c>
      <c r="E151" s="65" t="s">
        <v>389</v>
      </c>
      <c r="F151" s="67">
        <v>30</v>
      </c>
      <c r="G151" s="14" t="s">
        <v>366</v>
      </c>
      <c r="H151" s="14" t="s">
        <v>367</v>
      </c>
      <c r="I151" s="43" t="s">
        <v>349</v>
      </c>
      <c r="J151" t="s">
        <v>522</v>
      </c>
    </row>
    <row r="152" spans="2:10" x14ac:dyDescent="0.3">
      <c r="B152" s="64">
        <v>46174</v>
      </c>
      <c r="C152" s="69" t="s">
        <v>596</v>
      </c>
      <c r="D152" s="68" t="s">
        <v>597</v>
      </c>
      <c r="E152" s="69" t="s">
        <v>389</v>
      </c>
      <c r="F152" s="70">
        <v>349</v>
      </c>
      <c r="G152" s="23" t="s">
        <v>598</v>
      </c>
      <c r="H152" s="23" t="s">
        <v>599</v>
      </c>
      <c r="I152" s="55" t="s">
        <v>600</v>
      </c>
      <c r="J152" t="s">
        <v>601</v>
      </c>
    </row>
    <row r="153" spans="2:10" x14ac:dyDescent="0.3">
      <c r="B153" s="64">
        <v>46175</v>
      </c>
      <c r="C153" s="65" t="s">
        <v>602</v>
      </c>
      <c r="D153" s="66" t="s">
        <v>475</v>
      </c>
      <c r="E153" s="65" t="s">
        <v>369</v>
      </c>
      <c r="F153" s="67">
        <v>75.31</v>
      </c>
      <c r="G153" s="14" t="s">
        <v>366</v>
      </c>
      <c r="H153" s="14" t="s">
        <v>426</v>
      </c>
      <c r="I153" s="43" t="s">
        <v>349</v>
      </c>
      <c r="J153" t="s">
        <v>603</v>
      </c>
    </row>
    <row r="154" spans="2:10" x14ac:dyDescent="0.3">
      <c r="B154" s="64">
        <v>46176</v>
      </c>
      <c r="C154" s="69" t="s">
        <v>604</v>
      </c>
      <c r="D154" s="68" t="s">
        <v>475</v>
      </c>
      <c r="E154" s="69" t="s">
        <v>378</v>
      </c>
      <c r="F154" s="70">
        <v>43.63</v>
      </c>
      <c r="G154" s="23" t="s">
        <v>366</v>
      </c>
      <c r="H154" s="23" t="s">
        <v>426</v>
      </c>
      <c r="I154" s="55" t="s">
        <v>349</v>
      </c>
      <c r="J154" t="s">
        <v>605</v>
      </c>
    </row>
    <row r="155" spans="2:10" x14ac:dyDescent="0.3">
      <c r="B155" s="64">
        <v>46176</v>
      </c>
      <c r="C155" s="65" t="s">
        <v>606</v>
      </c>
      <c r="D155" s="66" t="s">
        <v>475</v>
      </c>
      <c r="E155" s="65" t="s">
        <v>369</v>
      </c>
      <c r="F155" s="67">
        <v>77.930000000000007</v>
      </c>
      <c r="G155" s="14" t="s">
        <v>366</v>
      </c>
      <c r="H155" s="14" t="s">
        <v>426</v>
      </c>
      <c r="I155" s="43" t="s">
        <v>349</v>
      </c>
      <c r="J155" t="s">
        <v>607</v>
      </c>
    </row>
    <row r="156" spans="2:10" x14ac:dyDescent="0.3">
      <c r="B156" s="64">
        <v>46176</v>
      </c>
      <c r="C156" s="69" t="s">
        <v>608</v>
      </c>
      <c r="D156" s="68" t="s">
        <v>475</v>
      </c>
      <c r="E156" s="69" t="s">
        <v>372</v>
      </c>
      <c r="F156" s="70">
        <v>16.8</v>
      </c>
      <c r="G156" s="23" t="s">
        <v>366</v>
      </c>
      <c r="H156" s="23" t="s">
        <v>426</v>
      </c>
      <c r="I156" s="55" t="s">
        <v>349</v>
      </c>
      <c r="J156" t="s">
        <v>609</v>
      </c>
    </row>
    <row r="157" spans="2:10" x14ac:dyDescent="0.3">
      <c r="B157" s="64">
        <v>46176</v>
      </c>
      <c r="C157" s="65" t="s">
        <v>610</v>
      </c>
      <c r="D157" s="66" t="s">
        <v>611</v>
      </c>
      <c r="E157" s="65" t="s">
        <v>389</v>
      </c>
      <c r="F157" s="67">
        <v>108</v>
      </c>
      <c r="G157" s="14" t="s">
        <v>366</v>
      </c>
      <c r="H157" s="14" t="s">
        <v>426</v>
      </c>
      <c r="I157" s="43" t="s">
        <v>349</v>
      </c>
      <c r="J157" t="s">
        <v>612</v>
      </c>
    </row>
    <row r="158" spans="2:10" x14ac:dyDescent="0.3">
      <c r="B158" s="64">
        <v>46176</v>
      </c>
      <c r="C158" s="69" t="s">
        <v>613</v>
      </c>
      <c r="D158" s="68" t="s">
        <v>611</v>
      </c>
      <c r="E158" s="69" t="s">
        <v>389</v>
      </c>
      <c r="F158" s="70">
        <v>239</v>
      </c>
      <c r="G158" s="23" t="s">
        <v>366</v>
      </c>
      <c r="H158" s="23" t="s">
        <v>426</v>
      </c>
      <c r="I158" s="55" t="s">
        <v>349</v>
      </c>
      <c r="J158" t="s">
        <v>614</v>
      </c>
    </row>
    <row r="159" spans="2:10" x14ac:dyDescent="0.3">
      <c r="B159" s="64">
        <v>46176</v>
      </c>
      <c r="C159" s="65" t="s">
        <v>615</v>
      </c>
      <c r="D159" s="66" t="s">
        <v>611</v>
      </c>
      <c r="E159" s="65" t="s">
        <v>389</v>
      </c>
      <c r="F159" s="67">
        <v>109</v>
      </c>
      <c r="G159" s="14" t="s">
        <v>366</v>
      </c>
      <c r="H159" s="14" t="s">
        <v>426</v>
      </c>
      <c r="I159" s="43" t="s">
        <v>349</v>
      </c>
      <c r="J159" t="s">
        <v>616</v>
      </c>
    </row>
    <row r="160" spans="2:10" x14ac:dyDescent="0.3">
      <c r="B160" s="64">
        <v>46176</v>
      </c>
      <c r="C160" s="69" t="s">
        <v>617</v>
      </c>
      <c r="D160" s="68" t="s">
        <v>489</v>
      </c>
      <c r="E160" s="69" t="s">
        <v>365</v>
      </c>
      <c r="F160" s="70">
        <v>358</v>
      </c>
      <c r="G160" s="23" t="s">
        <v>366</v>
      </c>
      <c r="H160" s="23" t="s">
        <v>367</v>
      </c>
      <c r="I160" s="55" t="s">
        <v>349</v>
      </c>
      <c r="J160" t="s">
        <v>618</v>
      </c>
    </row>
    <row r="161" spans="2:10" x14ac:dyDescent="0.3">
      <c r="B161" s="64">
        <v>46176</v>
      </c>
      <c r="C161" s="65" t="s">
        <v>619</v>
      </c>
      <c r="D161" s="66" t="s">
        <v>489</v>
      </c>
      <c r="E161" s="65" t="s">
        <v>365</v>
      </c>
      <c r="F161" s="67">
        <v>215</v>
      </c>
      <c r="G161" s="14" t="s">
        <v>366</v>
      </c>
      <c r="H161" s="14" t="s">
        <v>367</v>
      </c>
      <c r="I161" s="43" t="s">
        <v>349</v>
      </c>
      <c r="J161" t="s">
        <v>620</v>
      </c>
    </row>
    <row r="162" spans="2:10" x14ac:dyDescent="0.3">
      <c r="B162" s="64">
        <v>46176</v>
      </c>
      <c r="C162" s="69" t="s">
        <v>621</v>
      </c>
      <c r="D162" s="68" t="s">
        <v>489</v>
      </c>
      <c r="E162" s="69" t="s">
        <v>365</v>
      </c>
      <c r="F162" s="70">
        <v>432</v>
      </c>
      <c r="G162" s="23" t="s">
        <v>366</v>
      </c>
      <c r="H162" s="23" t="s">
        <v>367</v>
      </c>
      <c r="I162" s="55" t="s">
        <v>349</v>
      </c>
      <c r="J162" t="s">
        <v>622</v>
      </c>
    </row>
    <row r="163" spans="2:10" x14ac:dyDescent="0.3">
      <c r="B163" s="64">
        <v>46176</v>
      </c>
      <c r="C163" s="65" t="s">
        <v>623</v>
      </c>
      <c r="D163" s="66" t="s">
        <v>624</v>
      </c>
      <c r="E163" s="65" t="s">
        <v>384</v>
      </c>
      <c r="F163" s="67">
        <v>479.5</v>
      </c>
      <c r="G163" s="14" t="s">
        <v>366</v>
      </c>
      <c r="H163" s="14" t="s">
        <v>367</v>
      </c>
      <c r="I163" s="43" t="s">
        <v>349</v>
      </c>
      <c r="J163" t="s">
        <v>625</v>
      </c>
    </row>
    <row r="164" spans="2:10" x14ac:dyDescent="0.3">
      <c r="B164" s="64">
        <v>46176</v>
      </c>
      <c r="C164" s="69" t="s">
        <v>626</v>
      </c>
      <c r="D164" s="68" t="s">
        <v>564</v>
      </c>
      <c r="E164" s="69" t="s">
        <v>365</v>
      </c>
      <c r="F164" s="70">
        <v>311</v>
      </c>
      <c r="G164" s="23" t="s">
        <v>366</v>
      </c>
      <c r="H164" s="23" t="s">
        <v>426</v>
      </c>
      <c r="I164" s="55" t="s">
        <v>349</v>
      </c>
      <c r="J164" t="s">
        <v>627</v>
      </c>
    </row>
    <row r="165" spans="2:10" x14ac:dyDescent="0.3">
      <c r="B165" s="64">
        <v>46176</v>
      </c>
      <c r="C165" s="65" t="s">
        <v>521</v>
      </c>
      <c r="D165" s="66" t="s">
        <v>113</v>
      </c>
      <c r="E165" s="65" t="s">
        <v>378</v>
      </c>
      <c r="F165" s="67">
        <v>64</v>
      </c>
      <c r="G165" s="14" t="s">
        <v>366</v>
      </c>
      <c r="H165" s="14" t="s">
        <v>367</v>
      </c>
      <c r="I165" s="43" t="s">
        <v>349</v>
      </c>
      <c r="J165" t="s">
        <v>522</v>
      </c>
    </row>
    <row r="166" spans="2:10" x14ac:dyDescent="0.3">
      <c r="B166" s="64">
        <v>46176</v>
      </c>
      <c r="C166" s="69" t="s">
        <v>628</v>
      </c>
      <c r="D166" s="68" t="s">
        <v>113</v>
      </c>
      <c r="E166" s="69" t="s">
        <v>365</v>
      </c>
      <c r="F166" s="70">
        <v>1580</v>
      </c>
      <c r="G166" s="23" t="s">
        <v>366</v>
      </c>
      <c r="H166" s="23" t="s">
        <v>367</v>
      </c>
      <c r="I166" s="55" t="s">
        <v>349</v>
      </c>
      <c r="J166" t="s">
        <v>629</v>
      </c>
    </row>
    <row r="167" spans="2:10" x14ac:dyDescent="0.3">
      <c r="B167" s="64">
        <v>46177</v>
      </c>
      <c r="C167" s="65" t="s">
        <v>630</v>
      </c>
      <c r="D167" s="66" t="s">
        <v>631</v>
      </c>
      <c r="E167" s="65" t="s">
        <v>389</v>
      </c>
      <c r="F167" s="67">
        <v>62</v>
      </c>
      <c r="G167" s="14" t="s">
        <v>366</v>
      </c>
      <c r="H167" s="14" t="s">
        <v>426</v>
      </c>
      <c r="I167" s="43" t="s">
        <v>349</v>
      </c>
      <c r="J167" t="s">
        <v>632</v>
      </c>
    </row>
    <row r="168" spans="2:10" x14ac:dyDescent="0.3">
      <c r="B168" s="64">
        <v>46177</v>
      </c>
      <c r="C168" s="69" t="s">
        <v>633</v>
      </c>
      <c r="D168" s="68" t="s">
        <v>631</v>
      </c>
      <c r="E168" s="69" t="s">
        <v>389</v>
      </c>
      <c r="F168" s="70">
        <v>62</v>
      </c>
      <c r="G168" s="23" t="s">
        <v>366</v>
      </c>
      <c r="H168" s="23" t="s">
        <v>426</v>
      </c>
      <c r="I168" s="55" t="s">
        <v>349</v>
      </c>
      <c r="J168" t="s">
        <v>634</v>
      </c>
    </row>
    <row r="169" spans="2:10" x14ac:dyDescent="0.3">
      <c r="B169" s="64">
        <v>46177</v>
      </c>
      <c r="C169" s="65" t="s">
        <v>635</v>
      </c>
      <c r="D169" s="66" t="s">
        <v>631</v>
      </c>
      <c r="E169" s="65" t="s">
        <v>389</v>
      </c>
      <c r="F169" s="67">
        <v>35.96</v>
      </c>
      <c r="G169" s="14" t="s">
        <v>366</v>
      </c>
      <c r="H169" s="14" t="s">
        <v>426</v>
      </c>
      <c r="I169" s="43" t="s">
        <v>349</v>
      </c>
      <c r="J169" t="s">
        <v>636</v>
      </c>
    </row>
    <row r="170" spans="2:10" x14ac:dyDescent="0.3">
      <c r="B170" s="64">
        <v>46177</v>
      </c>
      <c r="C170" s="69" t="s">
        <v>637</v>
      </c>
      <c r="D170" s="68" t="s">
        <v>631</v>
      </c>
      <c r="E170" s="69" t="s">
        <v>389</v>
      </c>
      <c r="F170" s="70">
        <v>23</v>
      </c>
      <c r="G170" s="23" t="s">
        <v>366</v>
      </c>
      <c r="H170" s="23" t="s">
        <v>426</v>
      </c>
      <c r="I170" s="55" t="s">
        <v>349</v>
      </c>
      <c r="J170" t="s">
        <v>638</v>
      </c>
    </row>
    <row r="171" spans="2:10" x14ac:dyDescent="0.3">
      <c r="B171" s="64">
        <v>46177</v>
      </c>
      <c r="C171" s="65" t="s">
        <v>639</v>
      </c>
      <c r="D171" s="66" t="s">
        <v>631</v>
      </c>
      <c r="E171" s="65" t="s">
        <v>389</v>
      </c>
      <c r="F171" s="67">
        <v>46</v>
      </c>
      <c r="G171" s="14" t="s">
        <v>366</v>
      </c>
      <c r="H171" s="14" t="s">
        <v>367</v>
      </c>
      <c r="I171" s="43" t="s">
        <v>349</v>
      </c>
      <c r="J171" t="s">
        <v>640</v>
      </c>
    </row>
    <row r="172" spans="2:10" x14ac:dyDescent="0.3">
      <c r="B172" s="64">
        <v>46177</v>
      </c>
      <c r="C172" s="69" t="s">
        <v>641</v>
      </c>
      <c r="D172" s="68" t="s">
        <v>631</v>
      </c>
      <c r="E172" s="69" t="s">
        <v>389</v>
      </c>
      <c r="F172" s="70">
        <v>46</v>
      </c>
      <c r="G172" s="23" t="s">
        <v>366</v>
      </c>
      <c r="H172" s="23" t="s">
        <v>367</v>
      </c>
      <c r="I172" s="55" t="s">
        <v>349</v>
      </c>
      <c r="J172" t="s">
        <v>642</v>
      </c>
    </row>
    <row r="173" spans="2:10" x14ac:dyDescent="0.3">
      <c r="B173" s="64">
        <v>46177</v>
      </c>
      <c r="C173" s="65" t="s">
        <v>643</v>
      </c>
      <c r="D173" s="66" t="s">
        <v>564</v>
      </c>
      <c r="E173" s="65" t="s">
        <v>365</v>
      </c>
      <c r="F173" s="67">
        <v>245</v>
      </c>
      <c r="G173" s="14" t="s">
        <v>366</v>
      </c>
      <c r="H173" s="14" t="s">
        <v>426</v>
      </c>
      <c r="I173" s="43" t="s">
        <v>349</v>
      </c>
      <c r="J173" t="s">
        <v>644</v>
      </c>
    </row>
    <row r="174" spans="2:10" x14ac:dyDescent="0.3">
      <c r="B174" s="64">
        <v>46177</v>
      </c>
      <c r="C174" s="69" t="s">
        <v>645</v>
      </c>
      <c r="D174" s="68" t="s">
        <v>113</v>
      </c>
      <c r="E174" s="69" t="s">
        <v>387</v>
      </c>
      <c r="F174" s="70">
        <v>82</v>
      </c>
      <c r="G174" s="23" t="s">
        <v>366</v>
      </c>
      <c r="H174" s="23" t="s">
        <v>367</v>
      </c>
      <c r="I174" s="55" t="s">
        <v>349</v>
      </c>
      <c r="J174" t="s">
        <v>522</v>
      </c>
    </row>
    <row r="175" spans="2:10" x14ac:dyDescent="0.3">
      <c r="B175" s="64">
        <v>46177</v>
      </c>
      <c r="C175" s="65" t="s">
        <v>646</v>
      </c>
      <c r="D175" s="66" t="s">
        <v>113</v>
      </c>
      <c r="E175" s="65" t="s">
        <v>369</v>
      </c>
      <c r="F175" s="67">
        <v>69</v>
      </c>
      <c r="G175" s="14" t="s">
        <v>598</v>
      </c>
      <c r="H175" s="14" t="s">
        <v>367</v>
      </c>
      <c r="I175" s="43" t="s">
        <v>349</v>
      </c>
      <c r="J175" t="s">
        <v>647</v>
      </c>
    </row>
    <row r="176" spans="2:10" x14ac:dyDescent="0.3">
      <c r="B176" s="64">
        <v>46177</v>
      </c>
      <c r="C176" s="69" t="s">
        <v>648</v>
      </c>
      <c r="D176" s="68" t="s">
        <v>113</v>
      </c>
      <c r="E176" s="69" t="s">
        <v>369</v>
      </c>
      <c r="F176" s="70">
        <v>44</v>
      </c>
      <c r="G176" s="23" t="s">
        <v>598</v>
      </c>
      <c r="H176" s="23" t="s">
        <v>367</v>
      </c>
      <c r="I176" s="55" t="s">
        <v>349</v>
      </c>
      <c r="J176" t="s">
        <v>647</v>
      </c>
    </row>
    <row r="177" spans="2:10" x14ac:dyDescent="0.3">
      <c r="B177" s="64">
        <v>46177</v>
      </c>
      <c r="C177" s="65" t="s">
        <v>649</v>
      </c>
      <c r="D177" s="66" t="s">
        <v>113</v>
      </c>
      <c r="E177" s="65" t="s">
        <v>369</v>
      </c>
      <c r="F177" s="67">
        <v>45</v>
      </c>
      <c r="G177" s="14" t="s">
        <v>598</v>
      </c>
      <c r="H177" s="14" t="s">
        <v>367</v>
      </c>
      <c r="I177" s="43" t="s">
        <v>349</v>
      </c>
      <c r="J177" t="s">
        <v>647</v>
      </c>
    </row>
    <row r="178" spans="2:10" x14ac:dyDescent="0.3">
      <c r="B178" s="64">
        <v>46177</v>
      </c>
      <c r="C178" s="69" t="s">
        <v>451</v>
      </c>
      <c r="D178" s="68" t="s">
        <v>113</v>
      </c>
      <c r="E178" s="69" t="s">
        <v>378</v>
      </c>
      <c r="F178" s="70">
        <v>200</v>
      </c>
      <c r="G178" s="23" t="s">
        <v>598</v>
      </c>
      <c r="H178" s="23" t="s">
        <v>367</v>
      </c>
      <c r="I178" s="55" t="s">
        <v>349</v>
      </c>
      <c r="J178" t="s">
        <v>647</v>
      </c>
    </row>
    <row r="179" spans="2:10" x14ac:dyDescent="0.3">
      <c r="B179" s="64">
        <v>46177</v>
      </c>
      <c r="C179" s="65" t="s">
        <v>650</v>
      </c>
      <c r="D179" s="66" t="s">
        <v>651</v>
      </c>
      <c r="E179" s="65" t="s">
        <v>652</v>
      </c>
      <c r="F179" s="67">
        <v>15000</v>
      </c>
      <c r="G179" s="14" t="s">
        <v>598</v>
      </c>
      <c r="H179" s="14" t="s">
        <v>599</v>
      </c>
      <c r="I179" s="43" t="s">
        <v>600</v>
      </c>
      <c r="J179" t="s">
        <v>653</v>
      </c>
    </row>
    <row r="180" spans="2:10" x14ac:dyDescent="0.3">
      <c r="B180" s="64">
        <v>46177</v>
      </c>
      <c r="C180" s="69" t="s">
        <v>654</v>
      </c>
      <c r="D180" s="68" t="s">
        <v>651</v>
      </c>
      <c r="E180" s="69" t="s">
        <v>655</v>
      </c>
      <c r="F180" s="70">
        <v>5000</v>
      </c>
      <c r="G180" s="23" t="s">
        <v>598</v>
      </c>
      <c r="H180" s="23" t="s">
        <v>599</v>
      </c>
      <c r="I180" s="55" t="s">
        <v>600</v>
      </c>
      <c r="J180" t="s">
        <v>656</v>
      </c>
    </row>
    <row r="181" spans="2:10" x14ac:dyDescent="0.3">
      <c r="B181" s="64">
        <v>46178</v>
      </c>
      <c r="C181" s="65" t="s">
        <v>657</v>
      </c>
      <c r="D181" s="66" t="s">
        <v>564</v>
      </c>
      <c r="E181" s="65" t="s">
        <v>365</v>
      </c>
      <c r="F181" s="67">
        <v>245</v>
      </c>
      <c r="G181" s="14" t="s">
        <v>366</v>
      </c>
      <c r="H181" s="14" t="s">
        <v>426</v>
      </c>
      <c r="I181" s="43" t="s">
        <v>349</v>
      </c>
      <c r="J181" t="s">
        <v>658</v>
      </c>
    </row>
    <row r="182" spans="2:10" x14ac:dyDescent="0.3">
      <c r="B182" s="64">
        <v>46178</v>
      </c>
      <c r="C182" s="69" t="s">
        <v>399</v>
      </c>
      <c r="D182" s="68" t="s">
        <v>564</v>
      </c>
      <c r="E182" s="69" t="s">
        <v>378</v>
      </c>
      <c r="F182" s="70">
        <v>220</v>
      </c>
      <c r="G182" s="23" t="s">
        <v>366</v>
      </c>
      <c r="H182" s="23" t="s">
        <v>426</v>
      </c>
      <c r="I182" s="55" t="s">
        <v>349</v>
      </c>
      <c r="J182" t="s">
        <v>659</v>
      </c>
    </row>
    <row r="183" spans="2:10" x14ac:dyDescent="0.3">
      <c r="B183" s="64">
        <v>46178</v>
      </c>
      <c r="C183" s="65" t="s">
        <v>660</v>
      </c>
      <c r="D183" s="66" t="s">
        <v>475</v>
      </c>
      <c r="E183" s="65" t="s">
        <v>369</v>
      </c>
      <c r="F183" s="67">
        <v>125.56</v>
      </c>
      <c r="G183" s="14" t="s">
        <v>366</v>
      </c>
      <c r="H183" s="14" t="s">
        <v>426</v>
      </c>
      <c r="I183" s="43" t="s">
        <v>349</v>
      </c>
      <c r="J183" t="s">
        <v>661</v>
      </c>
    </row>
    <row r="184" spans="2:10" x14ac:dyDescent="0.3">
      <c r="B184" s="64">
        <v>46178</v>
      </c>
      <c r="C184" s="69" t="s">
        <v>662</v>
      </c>
      <c r="D184" s="68" t="s">
        <v>113</v>
      </c>
      <c r="E184" s="69" t="s">
        <v>378</v>
      </c>
      <c r="F184" s="70">
        <v>123.5</v>
      </c>
      <c r="G184" s="23" t="s">
        <v>366</v>
      </c>
      <c r="H184" s="23" t="s">
        <v>367</v>
      </c>
      <c r="I184" s="55" t="s">
        <v>349</v>
      </c>
      <c r="J184" t="s">
        <v>522</v>
      </c>
    </row>
    <row r="185" spans="2:10" x14ac:dyDescent="0.3">
      <c r="B185" s="64">
        <v>46178</v>
      </c>
      <c r="C185" s="65" t="s">
        <v>663</v>
      </c>
      <c r="D185" s="66" t="s">
        <v>113</v>
      </c>
      <c r="E185" s="65" t="s">
        <v>378</v>
      </c>
      <c r="F185" s="67">
        <v>10</v>
      </c>
      <c r="G185" s="14" t="s">
        <v>366</v>
      </c>
      <c r="H185" s="14" t="s">
        <v>367</v>
      </c>
      <c r="I185" s="43" t="s">
        <v>349</v>
      </c>
      <c r="J185" t="s">
        <v>522</v>
      </c>
    </row>
    <row r="186" spans="2:10" x14ac:dyDescent="0.3">
      <c r="B186" s="64">
        <v>46178</v>
      </c>
      <c r="C186" s="69" t="s">
        <v>380</v>
      </c>
      <c r="D186" s="68" t="s">
        <v>113</v>
      </c>
      <c r="E186" s="69" t="s">
        <v>378</v>
      </c>
      <c r="F186" s="70">
        <v>104</v>
      </c>
      <c r="G186" s="23" t="s">
        <v>366</v>
      </c>
      <c r="H186" s="23" t="s">
        <v>367</v>
      </c>
      <c r="I186" s="55" t="s">
        <v>349</v>
      </c>
      <c r="J186" t="s">
        <v>522</v>
      </c>
    </row>
    <row r="187" spans="2:10" x14ac:dyDescent="0.3">
      <c r="B187" s="64">
        <v>46178</v>
      </c>
      <c r="C187" s="65" t="s">
        <v>523</v>
      </c>
      <c r="D187" s="66" t="s">
        <v>113</v>
      </c>
      <c r="E187" s="65" t="s">
        <v>389</v>
      </c>
      <c r="F187" s="67">
        <v>50</v>
      </c>
      <c r="G187" s="14" t="s">
        <v>366</v>
      </c>
      <c r="H187" s="14" t="s">
        <v>367</v>
      </c>
      <c r="I187" s="43" t="s">
        <v>349</v>
      </c>
      <c r="J187" t="s">
        <v>522</v>
      </c>
    </row>
    <row r="188" spans="2:10" x14ac:dyDescent="0.3">
      <c r="B188" s="64">
        <v>46179</v>
      </c>
      <c r="C188" s="69" t="s">
        <v>664</v>
      </c>
      <c r="D188" s="68" t="s">
        <v>417</v>
      </c>
      <c r="E188" s="69" t="s">
        <v>418</v>
      </c>
      <c r="F188" s="70">
        <v>2500</v>
      </c>
      <c r="G188" s="23" t="s">
        <v>366</v>
      </c>
      <c r="H188" s="23" t="s">
        <v>367</v>
      </c>
      <c r="I188" s="55" t="s">
        <v>349</v>
      </c>
      <c r="J188" t="s">
        <v>665</v>
      </c>
    </row>
    <row r="189" spans="2:10" x14ac:dyDescent="0.3">
      <c r="B189" s="64">
        <v>46179</v>
      </c>
      <c r="C189" s="65" t="s">
        <v>666</v>
      </c>
      <c r="D189" s="66" t="s">
        <v>417</v>
      </c>
      <c r="E189" s="65" t="s">
        <v>418</v>
      </c>
      <c r="F189" s="67">
        <v>1000</v>
      </c>
      <c r="G189" s="14" t="s">
        <v>366</v>
      </c>
      <c r="H189" s="14" t="s">
        <v>367</v>
      </c>
      <c r="I189" s="43" t="s">
        <v>349</v>
      </c>
      <c r="J189" t="s">
        <v>667</v>
      </c>
    </row>
    <row r="190" spans="2:10" x14ac:dyDescent="0.3">
      <c r="B190" s="64">
        <v>46179</v>
      </c>
      <c r="C190" s="69" t="s">
        <v>668</v>
      </c>
      <c r="D190" s="68" t="s">
        <v>417</v>
      </c>
      <c r="E190" s="69" t="s">
        <v>418</v>
      </c>
      <c r="F190" s="70">
        <v>1500</v>
      </c>
      <c r="G190" s="23" t="s">
        <v>366</v>
      </c>
      <c r="H190" s="23" t="s">
        <v>367</v>
      </c>
      <c r="I190" s="55" t="s">
        <v>349</v>
      </c>
      <c r="J190" t="s">
        <v>669</v>
      </c>
    </row>
    <row r="191" spans="2:10" x14ac:dyDescent="0.3">
      <c r="B191" s="64">
        <v>46181</v>
      </c>
      <c r="C191" s="65" t="s">
        <v>670</v>
      </c>
      <c r="D191" s="66" t="s">
        <v>417</v>
      </c>
      <c r="E191" s="65" t="s">
        <v>418</v>
      </c>
      <c r="F191" s="67">
        <v>1500</v>
      </c>
      <c r="G191" s="14" t="s">
        <v>366</v>
      </c>
      <c r="H191" s="14" t="s">
        <v>367</v>
      </c>
      <c r="I191" s="43" t="s">
        <v>349</v>
      </c>
      <c r="J191" t="s">
        <v>671</v>
      </c>
    </row>
    <row r="192" spans="2:10" x14ac:dyDescent="0.3">
      <c r="B192" s="64">
        <v>46181</v>
      </c>
      <c r="C192" s="69" t="s">
        <v>672</v>
      </c>
      <c r="D192" s="68" t="s">
        <v>417</v>
      </c>
      <c r="E192" s="69" t="s">
        <v>418</v>
      </c>
      <c r="F192" s="70">
        <v>750</v>
      </c>
      <c r="G192" s="23" t="s">
        <v>366</v>
      </c>
      <c r="H192" s="23" t="s">
        <v>367</v>
      </c>
      <c r="I192" s="55" t="s">
        <v>349</v>
      </c>
      <c r="J192" t="s">
        <v>673</v>
      </c>
    </row>
    <row r="193" spans="2:10" x14ac:dyDescent="0.3">
      <c r="B193" s="64">
        <v>46181</v>
      </c>
      <c r="C193" s="65" t="s">
        <v>674</v>
      </c>
      <c r="D193" s="66" t="s">
        <v>417</v>
      </c>
      <c r="E193" s="65" t="s">
        <v>418</v>
      </c>
      <c r="F193" s="67">
        <v>400.65</v>
      </c>
      <c r="G193" s="14" t="s">
        <v>366</v>
      </c>
      <c r="H193" s="14" t="s">
        <v>367</v>
      </c>
      <c r="I193" s="43" t="s">
        <v>349</v>
      </c>
      <c r="J193" t="s">
        <v>675</v>
      </c>
    </row>
    <row r="194" spans="2:10" x14ac:dyDescent="0.3">
      <c r="B194" s="64">
        <v>46179</v>
      </c>
      <c r="C194" s="69" t="s">
        <v>676</v>
      </c>
      <c r="D194" s="68" t="s">
        <v>512</v>
      </c>
      <c r="E194" s="69" t="s">
        <v>369</v>
      </c>
      <c r="F194" s="70">
        <v>104</v>
      </c>
      <c r="G194" s="23" t="s">
        <v>366</v>
      </c>
      <c r="H194" s="23" t="s">
        <v>367</v>
      </c>
      <c r="I194" s="55" t="s">
        <v>349</v>
      </c>
      <c r="J194" t="s">
        <v>677</v>
      </c>
    </row>
    <row r="195" spans="2:10" x14ac:dyDescent="0.3">
      <c r="B195" s="64">
        <v>46179</v>
      </c>
      <c r="C195" s="65" t="s">
        <v>678</v>
      </c>
      <c r="D195" s="66" t="s">
        <v>679</v>
      </c>
      <c r="E195" s="65" t="s">
        <v>369</v>
      </c>
      <c r="F195" s="67">
        <v>260</v>
      </c>
      <c r="G195" s="14" t="s">
        <v>366</v>
      </c>
      <c r="H195" s="14" t="s">
        <v>426</v>
      </c>
      <c r="I195" s="43" t="s">
        <v>349</v>
      </c>
      <c r="J195" t="s">
        <v>680</v>
      </c>
    </row>
    <row r="196" spans="2:10" x14ac:dyDescent="0.3">
      <c r="B196" s="64">
        <v>46179</v>
      </c>
      <c r="C196" s="69" t="s">
        <v>681</v>
      </c>
      <c r="D196" s="68" t="s">
        <v>113</v>
      </c>
      <c r="E196" s="69" t="s">
        <v>389</v>
      </c>
      <c r="F196" s="70">
        <v>50</v>
      </c>
      <c r="G196" s="23" t="s">
        <v>366</v>
      </c>
      <c r="H196" s="23" t="s">
        <v>367</v>
      </c>
      <c r="I196" s="55" t="s">
        <v>349</v>
      </c>
      <c r="J196" t="s">
        <v>682</v>
      </c>
    </row>
    <row r="197" spans="2:10" x14ac:dyDescent="0.3">
      <c r="B197" s="64">
        <v>46180</v>
      </c>
      <c r="C197" s="65" t="s">
        <v>683</v>
      </c>
      <c r="D197" s="66" t="s">
        <v>684</v>
      </c>
      <c r="E197" s="65" t="s">
        <v>401</v>
      </c>
      <c r="F197" s="67">
        <v>312</v>
      </c>
      <c r="G197" s="14" t="s">
        <v>366</v>
      </c>
      <c r="H197" s="14" t="s">
        <v>367</v>
      </c>
      <c r="I197" s="43" t="s">
        <v>349</v>
      </c>
      <c r="J197" t="s">
        <v>685</v>
      </c>
    </row>
    <row r="198" spans="2:10" x14ac:dyDescent="0.3">
      <c r="B198" s="64">
        <v>46180</v>
      </c>
      <c r="C198" s="69" t="s">
        <v>686</v>
      </c>
      <c r="D198" s="68" t="s">
        <v>687</v>
      </c>
      <c r="E198" s="69" t="s">
        <v>378</v>
      </c>
      <c r="F198" s="70">
        <v>240</v>
      </c>
      <c r="G198" s="23" t="s">
        <v>366</v>
      </c>
      <c r="H198" s="23" t="s">
        <v>367</v>
      </c>
      <c r="I198" s="55" t="s">
        <v>349</v>
      </c>
      <c r="J198" t="s">
        <v>688</v>
      </c>
    </row>
    <row r="199" spans="2:10" x14ac:dyDescent="0.3">
      <c r="B199" s="64">
        <v>46180</v>
      </c>
      <c r="C199" s="65" t="s">
        <v>399</v>
      </c>
      <c r="D199" s="66" t="s">
        <v>113</v>
      </c>
      <c r="E199" s="65" t="s">
        <v>378</v>
      </c>
      <c r="F199" s="67">
        <v>200</v>
      </c>
      <c r="G199" s="14" t="s">
        <v>366</v>
      </c>
      <c r="H199" s="14" t="s">
        <v>367</v>
      </c>
      <c r="I199" s="43" t="s">
        <v>349</v>
      </c>
      <c r="J199" t="s">
        <v>522</v>
      </c>
    </row>
    <row r="200" spans="2:10" x14ac:dyDescent="0.3">
      <c r="B200" s="64">
        <v>46180</v>
      </c>
      <c r="C200" s="69" t="s">
        <v>689</v>
      </c>
      <c r="D200" s="68" t="s">
        <v>113</v>
      </c>
      <c r="E200" s="69" t="s">
        <v>401</v>
      </c>
      <c r="F200" s="70">
        <v>193</v>
      </c>
      <c r="G200" s="23" t="s">
        <v>366</v>
      </c>
      <c r="H200" s="23" t="s">
        <v>367</v>
      </c>
      <c r="I200" s="55" t="s">
        <v>349</v>
      </c>
      <c r="J200" t="s">
        <v>522</v>
      </c>
    </row>
    <row r="201" spans="2:10" x14ac:dyDescent="0.3">
      <c r="B201" s="64">
        <v>46180</v>
      </c>
      <c r="C201" s="65" t="s">
        <v>662</v>
      </c>
      <c r="D201" s="66" t="s">
        <v>113</v>
      </c>
      <c r="E201" s="65" t="s">
        <v>378</v>
      </c>
      <c r="F201" s="67">
        <v>112</v>
      </c>
      <c r="G201" s="14" t="s">
        <v>366</v>
      </c>
      <c r="H201" s="14" t="s">
        <v>367</v>
      </c>
      <c r="I201" s="43" t="s">
        <v>349</v>
      </c>
      <c r="J201" t="s">
        <v>522</v>
      </c>
    </row>
    <row r="202" spans="2:10" x14ac:dyDescent="0.3">
      <c r="B202" s="64">
        <v>46180</v>
      </c>
      <c r="C202" s="69" t="s">
        <v>690</v>
      </c>
      <c r="D202" s="68" t="s">
        <v>113</v>
      </c>
      <c r="E202" s="69" t="s">
        <v>378</v>
      </c>
      <c r="F202" s="70">
        <v>55</v>
      </c>
      <c r="G202" s="23" t="s">
        <v>366</v>
      </c>
      <c r="H202" s="23" t="s">
        <v>367</v>
      </c>
      <c r="I202" s="55" t="s">
        <v>349</v>
      </c>
      <c r="J202" t="s">
        <v>522</v>
      </c>
    </row>
    <row r="203" spans="2:10" x14ac:dyDescent="0.3">
      <c r="B203" s="64">
        <v>46180</v>
      </c>
      <c r="C203" s="65" t="s">
        <v>691</v>
      </c>
      <c r="D203" s="66" t="s">
        <v>113</v>
      </c>
      <c r="E203" s="65" t="s">
        <v>378</v>
      </c>
      <c r="F203" s="67">
        <v>328</v>
      </c>
      <c r="G203" s="14" t="s">
        <v>366</v>
      </c>
      <c r="H203" s="14" t="s">
        <v>367</v>
      </c>
      <c r="I203" s="43" t="s">
        <v>349</v>
      </c>
      <c r="J203" t="s">
        <v>522</v>
      </c>
    </row>
    <row r="204" spans="2:10" x14ac:dyDescent="0.3">
      <c r="B204" s="64">
        <v>46180</v>
      </c>
      <c r="C204" s="69" t="s">
        <v>692</v>
      </c>
      <c r="D204" s="68" t="s">
        <v>113</v>
      </c>
      <c r="E204" s="69" t="s">
        <v>378</v>
      </c>
      <c r="F204" s="70">
        <v>22</v>
      </c>
      <c r="G204" s="23" t="s">
        <v>366</v>
      </c>
      <c r="H204" s="23" t="s">
        <v>367</v>
      </c>
      <c r="I204" s="55" t="s">
        <v>349</v>
      </c>
      <c r="J204" t="s">
        <v>522</v>
      </c>
    </row>
    <row r="205" spans="2:10" x14ac:dyDescent="0.3">
      <c r="B205" s="64">
        <v>46180</v>
      </c>
      <c r="C205" s="65" t="s">
        <v>693</v>
      </c>
      <c r="D205" s="66" t="s">
        <v>113</v>
      </c>
      <c r="E205" s="65" t="s">
        <v>378</v>
      </c>
      <c r="F205" s="67">
        <v>209</v>
      </c>
      <c r="G205" s="14" t="s">
        <v>366</v>
      </c>
      <c r="H205" s="14" t="s">
        <v>367</v>
      </c>
      <c r="I205" s="43" t="s">
        <v>349</v>
      </c>
      <c r="J205" t="s">
        <v>522</v>
      </c>
    </row>
    <row r="206" spans="2:10" x14ac:dyDescent="0.3">
      <c r="B206" s="64">
        <v>46181</v>
      </c>
      <c r="C206" s="69" t="s">
        <v>694</v>
      </c>
      <c r="D206" s="68" t="s">
        <v>564</v>
      </c>
      <c r="E206" s="69" t="s">
        <v>365</v>
      </c>
      <c r="F206" s="70">
        <v>273</v>
      </c>
      <c r="G206" s="23" t="s">
        <v>366</v>
      </c>
      <c r="H206" s="23" t="s">
        <v>426</v>
      </c>
      <c r="I206" s="55" t="s">
        <v>349</v>
      </c>
      <c r="J206" t="s">
        <v>695</v>
      </c>
    </row>
    <row r="207" spans="2:10" x14ac:dyDescent="0.3">
      <c r="B207" s="64">
        <v>46181</v>
      </c>
      <c r="C207" s="65" t="s">
        <v>696</v>
      </c>
      <c r="D207" s="66" t="s">
        <v>475</v>
      </c>
      <c r="E207" s="65" t="s">
        <v>369</v>
      </c>
      <c r="F207" s="67">
        <v>68</v>
      </c>
      <c r="G207" s="14" t="s">
        <v>366</v>
      </c>
      <c r="H207" s="14" t="s">
        <v>426</v>
      </c>
      <c r="I207" s="43" t="s">
        <v>349</v>
      </c>
      <c r="J207" t="s">
        <v>697</v>
      </c>
    </row>
    <row r="208" spans="2:10" x14ac:dyDescent="0.3">
      <c r="B208" s="64">
        <v>46181</v>
      </c>
      <c r="C208" s="69" t="s">
        <v>698</v>
      </c>
      <c r="D208" s="68" t="s">
        <v>475</v>
      </c>
      <c r="E208" s="69" t="s">
        <v>369</v>
      </c>
      <c r="F208" s="70">
        <v>39.659999999999997</v>
      </c>
      <c r="G208" s="23" t="s">
        <v>366</v>
      </c>
      <c r="H208" s="23" t="s">
        <v>426</v>
      </c>
      <c r="I208" s="55" t="s">
        <v>349</v>
      </c>
      <c r="J208" t="s">
        <v>699</v>
      </c>
    </row>
    <row r="209" spans="2:10" x14ac:dyDescent="0.3">
      <c r="B209" s="64">
        <v>46181</v>
      </c>
      <c r="C209" s="65" t="s">
        <v>608</v>
      </c>
      <c r="D209" s="66" t="s">
        <v>475</v>
      </c>
      <c r="E209" s="65" t="s">
        <v>372</v>
      </c>
      <c r="F209" s="67">
        <v>16.8</v>
      </c>
      <c r="G209" s="14" t="s">
        <v>366</v>
      </c>
      <c r="H209" s="14" t="s">
        <v>426</v>
      </c>
      <c r="I209" s="43" t="s">
        <v>349</v>
      </c>
      <c r="J209" t="s">
        <v>700</v>
      </c>
    </row>
    <row r="210" spans="2:10" x14ac:dyDescent="0.3">
      <c r="B210" s="64">
        <v>46181</v>
      </c>
      <c r="C210" s="69" t="s">
        <v>530</v>
      </c>
      <c r="D210" s="68" t="s">
        <v>475</v>
      </c>
      <c r="E210" s="69" t="s">
        <v>372</v>
      </c>
      <c r="F210" s="70">
        <v>89</v>
      </c>
      <c r="G210" s="23" t="s">
        <v>366</v>
      </c>
      <c r="H210" s="23" t="s">
        <v>426</v>
      </c>
      <c r="I210" s="55" t="s">
        <v>349</v>
      </c>
      <c r="J210" t="s">
        <v>701</v>
      </c>
    </row>
    <row r="211" spans="2:10" x14ac:dyDescent="0.3">
      <c r="B211" s="64">
        <v>46181</v>
      </c>
      <c r="C211" s="65" t="s">
        <v>523</v>
      </c>
      <c r="D211" s="66" t="s">
        <v>113</v>
      </c>
      <c r="E211" s="65" t="s">
        <v>389</v>
      </c>
      <c r="F211" s="67">
        <v>50</v>
      </c>
      <c r="G211" s="14" t="s">
        <v>366</v>
      </c>
      <c r="H211" s="14" t="s">
        <v>367</v>
      </c>
      <c r="I211" s="43" t="s">
        <v>349</v>
      </c>
      <c r="J211" t="s">
        <v>522</v>
      </c>
    </row>
    <row r="212" spans="2:10" x14ac:dyDescent="0.3">
      <c r="B212" s="64">
        <v>46182</v>
      </c>
      <c r="C212" s="69" t="s">
        <v>702</v>
      </c>
      <c r="D212" s="68" t="s">
        <v>703</v>
      </c>
      <c r="E212" s="69" t="s">
        <v>387</v>
      </c>
      <c r="F212" s="70">
        <v>275.39999999999998</v>
      </c>
      <c r="G212" s="23" t="s">
        <v>366</v>
      </c>
      <c r="H212" s="23" t="s">
        <v>367</v>
      </c>
      <c r="I212" s="55" t="s">
        <v>349</v>
      </c>
      <c r="J212" t="s">
        <v>704</v>
      </c>
    </row>
    <row r="213" spans="2:10" x14ac:dyDescent="0.3">
      <c r="B213" s="64">
        <v>46182</v>
      </c>
      <c r="C213" s="65" t="s">
        <v>705</v>
      </c>
      <c r="D213" s="66" t="s">
        <v>489</v>
      </c>
      <c r="E213" s="65" t="s">
        <v>365</v>
      </c>
      <c r="F213" s="67">
        <v>220</v>
      </c>
      <c r="G213" s="14" t="s">
        <v>366</v>
      </c>
      <c r="H213" s="14" t="s">
        <v>367</v>
      </c>
      <c r="I213" s="43" t="s">
        <v>349</v>
      </c>
      <c r="J213" t="s">
        <v>706</v>
      </c>
    </row>
    <row r="214" spans="2:10" x14ac:dyDescent="0.3">
      <c r="B214" s="64">
        <v>46182</v>
      </c>
      <c r="C214" s="69" t="s">
        <v>707</v>
      </c>
      <c r="D214" s="68" t="s">
        <v>489</v>
      </c>
      <c r="E214" s="69" t="s">
        <v>365</v>
      </c>
      <c r="F214" s="70">
        <v>455</v>
      </c>
      <c r="G214" s="23" t="s">
        <v>366</v>
      </c>
      <c r="H214" s="23" t="s">
        <v>367</v>
      </c>
      <c r="I214" s="55" t="s">
        <v>349</v>
      </c>
      <c r="J214" t="s">
        <v>708</v>
      </c>
    </row>
    <row r="215" spans="2:10" x14ac:dyDescent="0.3">
      <c r="B215" s="64">
        <v>46182</v>
      </c>
      <c r="C215" s="65" t="s">
        <v>709</v>
      </c>
      <c r="D215" s="66" t="s">
        <v>494</v>
      </c>
      <c r="E215" s="65" t="s">
        <v>365</v>
      </c>
      <c r="F215" s="67">
        <v>172.35</v>
      </c>
      <c r="G215" s="14" t="s">
        <v>366</v>
      </c>
      <c r="H215" s="14" t="s">
        <v>426</v>
      </c>
      <c r="I215" s="43" t="s">
        <v>349</v>
      </c>
      <c r="J215" t="s">
        <v>710</v>
      </c>
    </row>
    <row r="216" spans="2:10" x14ac:dyDescent="0.3">
      <c r="B216" s="64">
        <v>46182</v>
      </c>
      <c r="C216" s="69" t="s">
        <v>711</v>
      </c>
      <c r="D216" s="68" t="s">
        <v>564</v>
      </c>
      <c r="E216" s="69" t="s">
        <v>365</v>
      </c>
      <c r="F216" s="70">
        <v>426</v>
      </c>
      <c r="G216" s="23" t="s">
        <v>366</v>
      </c>
      <c r="H216" s="23" t="s">
        <v>426</v>
      </c>
      <c r="I216" s="55" t="s">
        <v>349</v>
      </c>
      <c r="J216" t="s">
        <v>712</v>
      </c>
    </row>
    <row r="217" spans="2:10" x14ac:dyDescent="0.3">
      <c r="B217" s="64">
        <v>46182</v>
      </c>
      <c r="C217" s="65" t="s">
        <v>713</v>
      </c>
      <c r="D217" s="66" t="s">
        <v>564</v>
      </c>
      <c r="E217" s="65" t="s">
        <v>365</v>
      </c>
      <c r="F217" s="67">
        <v>103</v>
      </c>
      <c r="G217" s="14" t="s">
        <v>366</v>
      </c>
      <c r="H217" s="14" t="s">
        <v>426</v>
      </c>
      <c r="I217" s="43" t="s">
        <v>349</v>
      </c>
      <c r="J217" t="s">
        <v>714</v>
      </c>
    </row>
    <row r="218" spans="2:10" x14ac:dyDescent="0.3">
      <c r="B218" s="64">
        <v>46182</v>
      </c>
      <c r="C218" s="69" t="s">
        <v>715</v>
      </c>
      <c r="D218" s="68" t="s">
        <v>512</v>
      </c>
      <c r="E218" s="69" t="s">
        <v>369</v>
      </c>
      <c r="F218" s="70">
        <v>104</v>
      </c>
      <c r="G218" s="23" t="s">
        <v>366</v>
      </c>
      <c r="H218" s="23" t="s">
        <v>426</v>
      </c>
      <c r="I218" s="55" t="s">
        <v>349</v>
      </c>
      <c r="J218" t="s">
        <v>716</v>
      </c>
    </row>
    <row r="219" spans="2:10" x14ac:dyDescent="0.3">
      <c r="B219" s="64">
        <v>46182</v>
      </c>
      <c r="C219" s="65" t="s">
        <v>717</v>
      </c>
      <c r="D219" s="66" t="s">
        <v>512</v>
      </c>
      <c r="E219" s="65" t="s">
        <v>387</v>
      </c>
      <c r="F219" s="67">
        <v>93</v>
      </c>
      <c r="G219" s="14" t="s">
        <v>366</v>
      </c>
      <c r="H219" s="14" t="s">
        <v>426</v>
      </c>
      <c r="I219" s="43" t="s">
        <v>349</v>
      </c>
      <c r="J219" t="s">
        <v>718</v>
      </c>
    </row>
    <row r="220" spans="2:10" x14ac:dyDescent="0.3">
      <c r="B220" s="64">
        <v>46182</v>
      </c>
      <c r="C220" s="69" t="s">
        <v>719</v>
      </c>
      <c r="D220" s="68" t="s">
        <v>720</v>
      </c>
      <c r="E220" s="69" t="s">
        <v>369</v>
      </c>
      <c r="F220" s="70">
        <v>48</v>
      </c>
      <c r="G220" s="23" t="s">
        <v>366</v>
      </c>
      <c r="H220" s="23" t="s">
        <v>367</v>
      </c>
      <c r="I220" s="55" t="s">
        <v>349</v>
      </c>
      <c r="J220" t="s">
        <v>721</v>
      </c>
    </row>
    <row r="221" spans="2:10" x14ac:dyDescent="0.3">
      <c r="B221" s="64">
        <v>46182</v>
      </c>
      <c r="C221" s="65" t="s">
        <v>523</v>
      </c>
      <c r="D221" s="66" t="s">
        <v>113</v>
      </c>
      <c r="E221" s="65" t="s">
        <v>389</v>
      </c>
      <c r="F221" s="67">
        <v>50</v>
      </c>
      <c r="G221" s="14" t="s">
        <v>366</v>
      </c>
      <c r="H221" s="14" t="s">
        <v>367</v>
      </c>
      <c r="I221" s="43" t="s">
        <v>349</v>
      </c>
      <c r="J221" t="s">
        <v>522</v>
      </c>
    </row>
    <row r="222" spans="2:10" x14ac:dyDescent="0.3">
      <c r="B222" s="64">
        <v>46182</v>
      </c>
      <c r="C222" s="69" t="s">
        <v>722</v>
      </c>
      <c r="D222" s="68" t="s">
        <v>723</v>
      </c>
      <c r="E222" s="69" t="s">
        <v>429</v>
      </c>
      <c r="F222" s="70">
        <v>679.01</v>
      </c>
      <c r="G222" s="23" t="s">
        <v>366</v>
      </c>
      <c r="H222" s="23" t="s">
        <v>426</v>
      </c>
      <c r="I222" s="55" t="s">
        <v>349</v>
      </c>
      <c r="J222" t="s">
        <v>724</v>
      </c>
    </row>
    <row r="223" spans="2:10" x14ac:dyDescent="0.3">
      <c r="B223" s="64">
        <v>46182</v>
      </c>
      <c r="C223" s="65" t="s">
        <v>725</v>
      </c>
      <c r="D223" s="66" t="s">
        <v>723</v>
      </c>
      <c r="E223" s="65" t="s">
        <v>429</v>
      </c>
      <c r="F223" s="67">
        <v>679.01</v>
      </c>
      <c r="G223" s="14" t="s">
        <v>366</v>
      </c>
      <c r="H223" s="14" t="s">
        <v>426</v>
      </c>
      <c r="I223" s="43" t="s">
        <v>349</v>
      </c>
      <c r="J223" t="s">
        <v>726</v>
      </c>
    </row>
    <row r="224" spans="2:10" x14ac:dyDescent="0.3">
      <c r="B224" s="64">
        <v>46182</v>
      </c>
      <c r="C224" s="69" t="s">
        <v>727</v>
      </c>
      <c r="D224" s="68" t="s">
        <v>723</v>
      </c>
      <c r="E224" s="69" t="s">
        <v>429</v>
      </c>
      <c r="F224" s="70">
        <v>679.01</v>
      </c>
      <c r="G224" s="23" t="s">
        <v>366</v>
      </c>
      <c r="H224" s="23" t="s">
        <v>426</v>
      </c>
      <c r="I224" s="55" t="s">
        <v>349</v>
      </c>
      <c r="J224" t="s">
        <v>726</v>
      </c>
    </row>
    <row r="225" spans="2:10" x14ac:dyDescent="0.3">
      <c r="B225" s="64">
        <v>46182</v>
      </c>
      <c r="C225" s="65" t="s">
        <v>728</v>
      </c>
      <c r="D225" s="66" t="s">
        <v>723</v>
      </c>
      <c r="E225" s="65" t="s">
        <v>429</v>
      </c>
      <c r="F225" s="67">
        <v>679.01</v>
      </c>
      <c r="G225" s="14" t="s">
        <v>366</v>
      </c>
      <c r="H225" s="14" t="s">
        <v>426</v>
      </c>
      <c r="I225" s="43" t="s">
        <v>349</v>
      </c>
      <c r="J225" t="s">
        <v>726</v>
      </c>
    </row>
    <row r="226" spans="2:10" x14ac:dyDescent="0.3">
      <c r="B226" s="64">
        <v>46182</v>
      </c>
      <c r="C226" s="69" t="s">
        <v>729</v>
      </c>
      <c r="D226" s="68" t="s">
        <v>723</v>
      </c>
      <c r="E226" s="69" t="s">
        <v>429</v>
      </c>
      <c r="F226" s="70">
        <v>592.37</v>
      </c>
      <c r="G226" s="23" t="s">
        <v>366</v>
      </c>
      <c r="H226" s="23" t="s">
        <v>426</v>
      </c>
      <c r="I226" s="55" t="s">
        <v>349</v>
      </c>
      <c r="J226" t="s">
        <v>730</v>
      </c>
    </row>
    <row r="227" spans="2:10" x14ac:dyDescent="0.3">
      <c r="B227" s="64">
        <v>46182</v>
      </c>
      <c r="C227" s="65" t="s">
        <v>731</v>
      </c>
      <c r="D227" s="66" t="s">
        <v>723</v>
      </c>
      <c r="E227" s="65" t="s">
        <v>429</v>
      </c>
      <c r="F227" s="67">
        <v>792.82</v>
      </c>
      <c r="G227" s="14" t="s">
        <v>366</v>
      </c>
      <c r="H227" s="14" t="s">
        <v>426</v>
      </c>
      <c r="I227" s="43" t="s">
        <v>349</v>
      </c>
      <c r="J227" t="s">
        <v>730</v>
      </c>
    </row>
    <row r="228" spans="2:10" x14ac:dyDescent="0.3">
      <c r="B228" s="64">
        <v>46182</v>
      </c>
      <c r="C228" s="69" t="s">
        <v>732</v>
      </c>
      <c r="D228" s="68" t="s">
        <v>723</v>
      </c>
      <c r="E228" s="69" t="s">
        <v>429</v>
      </c>
      <c r="F228" s="70">
        <v>177</v>
      </c>
      <c r="G228" s="23" t="s">
        <v>366</v>
      </c>
      <c r="H228" s="23" t="s">
        <v>426</v>
      </c>
      <c r="I228" s="55" t="s">
        <v>349</v>
      </c>
      <c r="J228" t="s">
        <v>733</v>
      </c>
    </row>
    <row r="229" spans="2:10" x14ac:dyDescent="0.3">
      <c r="B229" s="64">
        <v>46182</v>
      </c>
      <c r="C229" s="65" t="s">
        <v>734</v>
      </c>
      <c r="D229" s="66" t="s">
        <v>723</v>
      </c>
      <c r="E229" s="65" t="s">
        <v>429</v>
      </c>
      <c r="F229" s="67">
        <v>177</v>
      </c>
      <c r="G229" s="14" t="s">
        <v>366</v>
      </c>
      <c r="H229" s="14" t="s">
        <v>426</v>
      </c>
      <c r="I229" s="43" t="s">
        <v>349</v>
      </c>
      <c r="J229" t="s">
        <v>733</v>
      </c>
    </row>
    <row r="230" spans="2:10" x14ac:dyDescent="0.3">
      <c r="B230" s="64">
        <v>46182</v>
      </c>
      <c r="C230" s="69" t="s">
        <v>735</v>
      </c>
      <c r="D230" s="68" t="s">
        <v>723</v>
      </c>
      <c r="E230" s="69" t="s">
        <v>429</v>
      </c>
      <c r="F230" s="70">
        <v>177</v>
      </c>
      <c r="G230" s="23" t="s">
        <v>366</v>
      </c>
      <c r="H230" s="23" t="s">
        <v>426</v>
      </c>
      <c r="I230" s="55" t="s">
        <v>349</v>
      </c>
      <c r="J230" t="s">
        <v>736</v>
      </c>
    </row>
    <row r="231" spans="2:10" x14ac:dyDescent="0.3">
      <c r="B231" s="64">
        <v>46183</v>
      </c>
      <c r="C231" s="65" t="s">
        <v>737</v>
      </c>
      <c r="D231" s="66" t="s">
        <v>475</v>
      </c>
      <c r="E231" s="65" t="s">
        <v>375</v>
      </c>
      <c r="F231" s="67">
        <v>236.81</v>
      </c>
      <c r="G231" s="14" t="s">
        <v>738</v>
      </c>
      <c r="H231" s="14" t="s">
        <v>426</v>
      </c>
      <c r="I231" s="43" t="s">
        <v>349</v>
      </c>
      <c r="J231" t="s">
        <v>739</v>
      </c>
    </row>
    <row r="232" spans="2:10" x14ac:dyDescent="0.3">
      <c r="B232" s="64">
        <v>46183</v>
      </c>
      <c r="C232" s="69" t="s">
        <v>740</v>
      </c>
      <c r="D232" s="68" t="s">
        <v>741</v>
      </c>
      <c r="E232" s="69" t="s">
        <v>389</v>
      </c>
      <c r="F232" s="70">
        <v>59</v>
      </c>
      <c r="G232" s="23" t="s">
        <v>738</v>
      </c>
      <c r="H232" s="23" t="s">
        <v>426</v>
      </c>
      <c r="I232" s="55" t="s">
        <v>349</v>
      </c>
      <c r="J232" t="s">
        <v>742</v>
      </c>
    </row>
    <row r="233" spans="2:10" x14ac:dyDescent="0.3">
      <c r="B233" s="64">
        <v>46183</v>
      </c>
      <c r="C233" s="65" t="s">
        <v>743</v>
      </c>
      <c r="D233" s="66" t="s">
        <v>460</v>
      </c>
      <c r="E233" s="65" t="s">
        <v>429</v>
      </c>
      <c r="F233" s="67">
        <v>600</v>
      </c>
      <c r="G233" s="14" t="s">
        <v>366</v>
      </c>
      <c r="H233" s="14" t="s">
        <v>367</v>
      </c>
      <c r="I233" s="43" t="s">
        <v>349</v>
      </c>
      <c r="J233" t="s">
        <v>744</v>
      </c>
    </row>
    <row r="234" spans="2:10" x14ac:dyDescent="0.3">
      <c r="B234" s="64">
        <v>46183</v>
      </c>
      <c r="C234" s="69" t="s">
        <v>745</v>
      </c>
      <c r="D234" s="68" t="s">
        <v>746</v>
      </c>
      <c r="E234" s="69" t="s">
        <v>365</v>
      </c>
      <c r="F234" s="70">
        <v>194</v>
      </c>
      <c r="G234" s="23" t="s">
        <v>366</v>
      </c>
      <c r="H234" s="23" t="s">
        <v>426</v>
      </c>
      <c r="I234" s="55" t="s">
        <v>349</v>
      </c>
      <c r="J234" t="s">
        <v>747</v>
      </c>
    </row>
    <row r="235" spans="2:10" x14ac:dyDescent="0.3">
      <c r="B235" s="64">
        <v>46184</v>
      </c>
      <c r="C235" s="65" t="s">
        <v>748</v>
      </c>
      <c r="D235" s="66" t="s">
        <v>746</v>
      </c>
      <c r="E235" s="65" t="s">
        <v>365</v>
      </c>
      <c r="F235" s="67">
        <v>914</v>
      </c>
      <c r="G235" s="14" t="s">
        <v>366</v>
      </c>
      <c r="H235" s="14" t="s">
        <v>426</v>
      </c>
      <c r="I235" s="43" t="s">
        <v>349</v>
      </c>
      <c r="J235" t="s">
        <v>749</v>
      </c>
    </row>
    <row r="236" spans="2:10" x14ac:dyDescent="0.3">
      <c r="B236" s="64">
        <v>46184</v>
      </c>
      <c r="C236" s="69" t="s">
        <v>750</v>
      </c>
      <c r="D236" s="68" t="s">
        <v>751</v>
      </c>
      <c r="E236" s="69" t="s">
        <v>365</v>
      </c>
      <c r="F236" s="70">
        <v>2865</v>
      </c>
      <c r="G236" s="23" t="s">
        <v>738</v>
      </c>
      <c r="H236" s="23" t="s">
        <v>367</v>
      </c>
      <c r="I236" s="55" t="s">
        <v>349</v>
      </c>
      <c r="J236" t="s">
        <v>752</v>
      </c>
    </row>
    <row r="237" spans="2:10" x14ac:dyDescent="0.3">
      <c r="B237" s="64">
        <v>46184</v>
      </c>
      <c r="C237" s="65" t="s">
        <v>753</v>
      </c>
      <c r="D237" s="66" t="s">
        <v>754</v>
      </c>
      <c r="E237" s="65" t="s">
        <v>365</v>
      </c>
      <c r="F237" s="67">
        <v>235</v>
      </c>
      <c r="G237" s="14" t="s">
        <v>738</v>
      </c>
      <c r="H237" s="14" t="s">
        <v>367</v>
      </c>
      <c r="I237" s="43" t="s">
        <v>349</v>
      </c>
      <c r="J237" t="s">
        <v>755</v>
      </c>
    </row>
    <row r="238" spans="2:10" x14ac:dyDescent="0.3">
      <c r="B238" s="64">
        <v>46182</v>
      </c>
      <c r="C238" s="69" t="s">
        <v>756</v>
      </c>
      <c r="D238" s="68" t="s">
        <v>757</v>
      </c>
      <c r="E238" s="69" t="s">
        <v>429</v>
      </c>
      <c r="F238" s="70">
        <v>45</v>
      </c>
      <c r="G238" s="23" t="s">
        <v>366</v>
      </c>
      <c r="H238" s="23" t="s">
        <v>367</v>
      </c>
      <c r="I238" s="55" t="s">
        <v>349</v>
      </c>
      <c r="J238" t="s">
        <v>758</v>
      </c>
    </row>
    <row r="239" spans="2:10" x14ac:dyDescent="0.3">
      <c r="B239" s="64">
        <v>46184</v>
      </c>
      <c r="C239" s="65" t="s">
        <v>759</v>
      </c>
      <c r="D239" s="66" t="s">
        <v>757</v>
      </c>
      <c r="E239" s="65" t="s">
        <v>429</v>
      </c>
      <c r="F239" s="67">
        <v>30</v>
      </c>
      <c r="G239" s="14" t="s">
        <v>366</v>
      </c>
      <c r="H239" s="14" t="s">
        <v>367</v>
      </c>
      <c r="I239" s="43" t="s">
        <v>349</v>
      </c>
      <c r="J239" t="s">
        <v>758</v>
      </c>
    </row>
    <row r="240" spans="2:10" x14ac:dyDescent="0.3">
      <c r="B240" s="64">
        <v>46183</v>
      </c>
      <c r="C240" s="69" t="s">
        <v>760</v>
      </c>
      <c r="D240" s="68" t="s">
        <v>761</v>
      </c>
      <c r="E240" s="69" t="s">
        <v>375</v>
      </c>
      <c r="F240" s="70">
        <v>252</v>
      </c>
      <c r="G240" s="23" t="s">
        <v>366</v>
      </c>
      <c r="H240" s="23" t="s">
        <v>426</v>
      </c>
      <c r="I240" s="55" t="s">
        <v>349</v>
      </c>
      <c r="J240" t="s">
        <v>762</v>
      </c>
    </row>
    <row r="241" spans="2:10" x14ac:dyDescent="0.3">
      <c r="B241" s="64">
        <v>46185</v>
      </c>
      <c r="C241" s="65" t="s">
        <v>763</v>
      </c>
      <c r="D241" s="66" t="s">
        <v>764</v>
      </c>
      <c r="E241" s="65" t="s">
        <v>387</v>
      </c>
      <c r="F241" s="67">
        <v>42</v>
      </c>
      <c r="G241" s="14" t="s">
        <v>366</v>
      </c>
      <c r="H241" s="14" t="s">
        <v>426</v>
      </c>
      <c r="I241" s="43" t="s">
        <v>349</v>
      </c>
      <c r="J241" t="s">
        <v>765</v>
      </c>
    </row>
    <row r="242" spans="2:10" x14ac:dyDescent="0.3">
      <c r="B242" s="64">
        <v>46185</v>
      </c>
      <c r="C242" s="69" t="s">
        <v>766</v>
      </c>
      <c r="D242" s="68" t="s">
        <v>767</v>
      </c>
      <c r="E242" s="69" t="s">
        <v>372</v>
      </c>
      <c r="F242" s="70">
        <v>546</v>
      </c>
      <c r="G242" s="23" t="s">
        <v>366</v>
      </c>
      <c r="H242" s="23" t="s">
        <v>426</v>
      </c>
      <c r="I242" s="55" t="s">
        <v>349</v>
      </c>
      <c r="J242" t="s">
        <v>768</v>
      </c>
    </row>
    <row r="243" spans="2:10" x14ac:dyDescent="0.3">
      <c r="B243" s="64">
        <v>46185</v>
      </c>
      <c r="C243" s="65" t="s">
        <v>769</v>
      </c>
      <c r="D243" s="66" t="s">
        <v>770</v>
      </c>
      <c r="E243" s="65" t="s">
        <v>771</v>
      </c>
      <c r="F243" s="67">
        <v>104</v>
      </c>
      <c r="G243" s="14" t="s">
        <v>366</v>
      </c>
      <c r="H243" s="14" t="s">
        <v>426</v>
      </c>
      <c r="I243" s="43" t="s">
        <v>349</v>
      </c>
      <c r="J243" t="s">
        <v>772</v>
      </c>
    </row>
    <row r="244" spans="2:10" x14ac:dyDescent="0.3">
      <c r="B244" s="64">
        <v>46185</v>
      </c>
      <c r="C244" s="69" t="s">
        <v>773</v>
      </c>
      <c r="D244" s="68" t="s">
        <v>475</v>
      </c>
      <c r="E244" s="69" t="s">
        <v>375</v>
      </c>
      <c r="F244" s="70">
        <v>161.80000000000001</v>
      </c>
      <c r="G244" s="23" t="s">
        <v>366</v>
      </c>
      <c r="H244" s="23" t="s">
        <v>426</v>
      </c>
      <c r="I244" s="55" t="s">
        <v>349</v>
      </c>
      <c r="J244" t="s">
        <v>774</v>
      </c>
    </row>
    <row r="245" spans="2:10" x14ac:dyDescent="0.3">
      <c r="B245" s="64">
        <v>46185</v>
      </c>
      <c r="C245" s="65" t="s">
        <v>775</v>
      </c>
      <c r="D245" s="66" t="s">
        <v>757</v>
      </c>
      <c r="E245" s="65" t="s">
        <v>378</v>
      </c>
      <c r="F245" s="67">
        <v>48</v>
      </c>
      <c r="G245" s="14" t="s">
        <v>366</v>
      </c>
      <c r="H245" s="14" t="s">
        <v>367</v>
      </c>
      <c r="I245" s="43" t="s">
        <v>349</v>
      </c>
      <c r="J245" t="s">
        <v>776</v>
      </c>
    </row>
    <row r="246" spans="2:10" x14ac:dyDescent="0.3">
      <c r="B246" s="64">
        <v>46186</v>
      </c>
      <c r="C246" s="69" t="s">
        <v>777</v>
      </c>
      <c r="D246" s="68" t="s">
        <v>475</v>
      </c>
      <c r="E246" s="69" t="s">
        <v>375</v>
      </c>
      <c r="F246" s="70">
        <v>468.16</v>
      </c>
      <c r="G246" s="23" t="s">
        <v>366</v>
      </c>
      <c r="H246" s="23" t="s">
        <v>426</v>
      </c>
      <c r="I246" s="55" t="s">
        <v>349</v>
      </c>
      <c r="J246" t="s">
        <v>778</v>
      </c>
    </row>
    <row r="247" spans="2:10" x14ac:dyDescent="0.3">
      <c r="B247" s="64">
        <v>46186</v>
      </c>
      <c r="C247" s="65" t="s">
        <v>779</v>
      </c>
      <c r="D247" s="66" t="s">
        <v>780</v>
      </c>
      <c r="E247" s="65" t="s">
        <v>365</v>
      </c>
      <c r="F247" s="67">
        <v>310</v>
      </c>
      <c r="G247" s="14" t="s">
        <v>366</v>
      </c>
      <c r="H247" s="14" t="s">
        <v>367</v>
      </c>
      <c r="I247" s="43" t="s">
        <v>349</v>
      </c>
      <c r="J247" t="s">
        <v>781</v>
      </c>
    </row>
    <row r="248" spans="2:10" x14ac:dyDescent="0.3">
      <c r="B248" s="64">
        <v>46186</v>
      </c>
      <c r="C248" s="69" t="s">
        <v>782</v>
      </c>
      <c r="D248" s="68" t="s">
        <v>783</v>
      </c>
      <c r="E248" s="69" t="s">
        <v>418</v>
      </c>
      <c r="F248" s="70">
        <v>3750</v>
      </c>
      <c r="G248" s="23" t="s">
        <v>366</v>
      </c>
      <c r="H248" s="23" t="s">
        <v>367</v>
      </c>
      <c r="I248" s="55" t="s">
        <v>349</v>
      </c>
      <c r="J248" t="s">
        <v>784</v>
      </c>
    </row>
    <row r="249" spans="2:10" x14ac:dyDescent="0.3">
      <c r="B249" s="64">
        <v>46186</v>
      </c>
      <c r="C249" s="65" t="s">
        <v>785</v>
      </c>
      <c r="D249" s="66" t="s">
        <v>783</v>
      </c>
      <c r="E249" s="65" t="s">
        <v>418</v>
      </c>
      <c r="F249" s="67">
        <v>1250</v>
      </c>
      <c r="G249" s="14" t="s">
        <v>366</v>
      </c>
      <c r="H249" s="14" t="s">
        <v>367</v>
      </c>
      <c r="I249" s="43" t="s">
        <v>349</v>
      </c>
      <c r="J249" t="s">
        <v>784</v>
      </c>
    </row>
    <row r="250" spans="2:10" x14ac:dyDescent="0.3">
      <c r="B250" s="64">
        <v>46186</v>
      </c>
      <c r="C250" s="69" t="s">
        <v>786</v>
      </c>
      <c r="D250" s="68" t="s">
        <v>783</v>
      </c>
      <c r="E250" s="69" t="s">
        <v>418</v>
      </c>
      <c r="F250" s="70">
        <v>1666</v>
      </c>
      <c r="G250" s="23" t="s">
        <v>366</v>
      </c>
      <c r="H250" s="23" t="s">
        <v>367</v>
      </c>
      <c r="I250" s="55" t="s">
        <v>349</v>
      </c>
      <c r="J250" t="s">
        <v>784</v>
      </c>
    </row>
    <row r="251" spans="2:10" x14ac:dyDescent="0.3">
      <c r="B251" s="64">
        <v>46186</v>
      </c>
      <c r="C251" s="65" t="s">
        <v>787</v>
      </c>
      <c r="D251" s="66" t="s">
        <v>783</v>
      </c>
      <c r="E251" s="65" t="s">
        <v>418</v>
      </c>
      <c r="F251" s="67">
        <v>640</v>
      </c>
      <c r="G251" s="14" t="s">
        <v>366</v>
      </c>
      <c r="H251" s="14" t="s">
        <v>367</v>
      </c>
      <c r="I251" s="43" t="s">
        <v>349</v>
      </c>
      <c r="J251" t="s">
        <v>784</v>
      </c>
    </row>
    <row r="252" spans="2:10" x14ac:dyDescent="0.3">
      <c r="B252" s="64">
        <v>46187</v>
      </c>
      <c r="C252" s="69" t="s">
        <v>788</v>
      </c>
      <c r="D252" s="68" t="s">
        <v>789</v>
      </c>
      <c r="E252" s="69" t="s">
        <v>401</v>
      </c>
      <c r="F252" s="70">
        <v>99</v>
      </c>
      <c r="G252" s="23" t="s">
        <v>366</v>
      </c>
      <c r="H252" s="23" t="s">
        <v>367</v>
      </c>
      <c r="I252" s="55" t="s">
        <v>349</v>
      </c>
      <c r="J252" t="s">
        <v>790</v>
      </c>
    </row>
    <row r="253" spans="2:10" x14ac:dyDescent="0.3">
      <c r="B253" s="64">
        <v>46187</v>
      </c>
      <c r="C253" s="65" t="s">
        <v>791</v>
      </c>
      <c r="D253" s="66" t="s">
        <v>792</v>
      </c>
      <c r="E253" s="65" t="s">
        <v>378</v>
      </c>
      <c r="F253" s="67">
        <v>94</v>
      </c>
      <c r="G253" s="14" t="s">
        <v>366</v>
      </c>
      <c r="H253" s="14" t="s">
        <v>367</v>
      </c>
      <c r="I253" s="43" t="s">
        <v>349</v>
      </c>
      <c r="J253" t="s">
        <v>793</v>
      </c>
    </row>
    <row r="254" spans="2:10" x14ac:dyDescent="0.3">
      <c r="B254" s="64">
        <v>46187</v>
      </c>
      <c r="C254" s="69" t="s">
        <v>794</v>
      </c>
      <c r="D254" s="68" t="s">
        <v>795</v>
      </c>
      <c r="E254" s="69" t="s">
        <v>378</v>
      </c>
      <c r="F254" s="70">
        <v>88</v>
      </c>
      <c r="G254" s="23" t="s">
        <v>366</v>
      </c>
      <c r="H254" s="23" t="s">
        <v>367</v>
      </c>
      <c r="I254" s="55" t="s">
        <v>349</v>
      </c>
      <c r="J254" t="s">
        <v>796</v>
      </c>
    </row>
    <row r="255" spans="2:10" x14ac:dyDescent="0.3">
      <c r="B255" s="64">
        <v>46187</v>
      </c>
      <c r="C255" s="65" t="s">
        <v>797</v>
      </c>
      <c r="D255" s="66" t="s">
        <v>798</v>
      </c>
      <c r="E255" s="65" t="s">
        <v>401</v>
      </c>
      <c r="F255" s="67">
        <v>123</v>
      </c>
      <c r="G255" s="14" t="s">
        <v>366</v>
      </c>
      <c r="H255" s="14" t="s">
        <v>367</v>
      </c>
      <c r="I255" s="43" t="s">
        <v>349</v>
      </c>
      <c r="J255" t="s">
        <v>799</v>
      </c>
    </row>
    <row r="256" spans="2:10" x14ac:dyDescent="0.3">
      <c r="B256" s="64">
        <v>46187</v>
      </c>
      <c r="C256" s="69" t="s">
        <v>800</v>
      </c>
      <c r="D256" s="68" t="s">
        <v>801</v>
      </c>
      <c r="E256" s="69" t="s">
        <v>378</v>
      </c>
      <c r="F256" s="70">
        <v>140</v>
      </c>
      <c r="G256" s="23" t="s">
        <v>366</v>
      </c>
      <c r="H256" s="23" t="s">
        <v>367</v>
      </c>
      <c r="I256" s="55" t="s">
        <v>349</v>
      </c>
      <c r="J256" t="s">
        <v>802</v>
      </c>
    </row>
    <row r="257" spans="2:10" x14ac:dyDescent="0.3">
      <c r="B257" s="64">
        <v>46187</v>
      </c>
      <c r="C257" s="65" t="s">
        <v>803</v>
      </c>
      <c r="D257" s="66" t="s">
        <v>802</v>
      </c>
      <c r="E257" s="65" t="s">
        <v>378</v>
      </c>
      <c r="F257" s="67">
        <v>120</v>
      </c>
      <c r="G257" s="14" t="s">
        <v>366</v>
      </c>
      <c r="H257" s="14" t="s">
        <v>367</v>
      </c>
      <c r="I257" s="43" t="s">
        <v>349</v>
      </c>
      <c r="J257" t="s">
        <v>804</v>
      </c>
    </row>
    <row r="258" spans="2:10" x14ac:dyDescent="0.3">
      <c r="B258" s="64">
        <v>46187</v>
      </c>
      <c r="C258" s="69" t="s">
        <v>805</v>
      </c>
      <c r="D258" s="68" t="s">
        <v>806</v>
      </c>
      <c r="E258" s="69" t="s">
        <v>401</v>
      </c>
      <c r="F258" s="70">
        <v>49.79</v>
      </c>
      <c r="G258" s="23" t="s">
        <v>366</v>
      </c>
      <c r="H258" s="23" t="s">
        <v>367</v>
      </c>
      <c r="I258" s="55" t="s">
        <v>349</v>
      </c>
      <c r="J258" t="s">
        <v>807</v>
      </c>
    </row>
    <row r="259" spans="2:10" x14ac:dyDescent="0.3">
      <c r="B259" s="64">
        <v>46187</v>
      </c>
      <c r="C259" s="65" t="s">
        <v>808</v>
      </c>
      <c r="D259" s="66" t="s">
        <v>809</v>
      </c>
      <c r="E259" s="65" t="s">
        <v>378</v>
      </c>
      <c r="F259" s="67">
        <v>105</v>
      </c>
      <c r="G259" s="14" t="s">
        <v>366</v>
      </c>
      <c r="H259" s="14" t="s">
        <v>367</v>
      </c>
      <c r="I259" s="43" t="s">
        <v>349</v>
      </c>
      <c r="J259" t="s">
        <v>802</v>
      </c>
    </row>
    <row r="260" spans="2:10" x14ac:dyDescent="0.3">
      <c r="B260" s="64">
        <v>46187</v>
      </c>
      <c r="C260" s="69" t="s">
        <v>810</v>
      </c>
      <c r="D260" s="68" t="s">
        <v>811</v>
      </c>
      <c r="E260" s="69" t="s">
        <v>387</v>
      </c>
      <c r="F260" s="70">
        <v>90</v>
      </c>
      <c r="G260" s="23" t="s">
        <v>366</v>
      </c>
      <c r="H260" s="23" t="s">
        <v>367</v>
      </c>
      <c r="I260" s="55" t="s">
        <v>349</v>
      </c>
      <c r="J260" t="s">
        <v>812</v>
      </c>
    </row>
    <row r="261" spans="2:10" x14ac:dyDescent="0.3">
      <c r="B261" s="64">
        <v>46187</v>
      </c>
      <c r="C261" s="65" t="s">
        <v>813</v>
      </c>
      <c r="D261" s="66" t="s">
        <v>814</v>
      </c>
      <c r="E261" s="65" t="s">
        <v>378</v>
      </c>
      <c r="F261" s="67">
        <v>65</v>
      </c>
      <c r="G261" s="14" t="s">
        <v>366</v>
      </c>
      <c r="H261" s="14" t="s">
        <v>367</v>
      </c>
      <c r="I261" s="43" t="s">
        <v>349</v>
      </c>
      <c r="J261" t="s">
        <v>815</v>
      </c>
    </row>
    <row r="262" spans="2:10" x14ac:dyDescent="0.3">
      <c r="B262" s="64">
        <v>46187</v>
      </c>
      <c r="C262" s="69" t="s">
        <v>816</v>
      </c>
      <c r="D262" s="68" t="s">
        <v>817</v>
      </c>
      <c r="E262" s="69" t="s">
        <v>389</v>
      </c>
      <c r="F262" s="70">
        <v>336.62</v>
      </c>
      <c r="G262" s="23" t="s">
        <v>366</v>
      </c>
      <c r="H262" s="23" t="s">
        <v>426</v>
      </c>
      <c r="I262" s="55" t="s">
        <v>349</v>
      </c>
      <c r="J262" t="s">
        <v>818</v>
      </c>
    </row>
    <row r="263" spans="2:10" x14ac:dyDescent="0.3">
      <c r="B263" s="64">
        <v>46187</v>
      </c>
      <c r="C263" s="65" t="s">
        <v>819</v>
      </c>
      <c r="D263" s="66" t="s">
        <v>817</v>
      </c>
      <c r="E263" s="65" t="s">
        <v>389</v>
      </c>
      <c r="F263" s="67">
        <v>81.27</v>
      </c>
      <c r="G263" s="14" t="s">
        <v>366</v>
      </c>
      <c r="H263" s="14" t="s">
        <v>426</v>
      </c>
      <c r="I263" s="43" t="s">
        <v>349</v>
      </c>
      <c r="J263" t="s">
        <v>820</v>
      </c>
    </row>
    <row r="264" spans="2:10" x14ac:dyDescent="0.3">
      <c r="B264" s="64">
        <v>46187</v>
      </c>
      <c r="C264" s="69" t="s">
        <v>821</v>
      </c>
      <c r="D264" s="68" t="s">
        <v>822</v>
      </c>
      <c r="E264" s="69" t="s">
        <v>378</v>
      </c>
      <c r="F264" s="70">
        <v>134.5</v>
      </c>
      <c r="G264" s="23" t="s">
        <v>366</v>
      </c>
      <c r="H264" s="23" t="s">
        <v>367</v>
      </c>
      <c r="I264" s="55" t="s">
        <v>349</v>
      </c>
      <c r="J264" t="s">
        <v>823</v>
      </c>
    </row>
    <row r="265" spans="2:10" x14ac:dyDescent="0.3">
      <c r="B265" s="64">
        <v>46188</v>
      </c>
      <c r="C265" s="65" t="s">
        <v>824</v>
      </c>
      <c r="D265" s="66" t="s">
        <v>475</v>
      </c>
      <c r="E265" s="65" t="s">
        <v>375</v>
      </c>
      <c r="F265" s="67">
        <v>160.33000000000001</v>
      </c>
      <c r="G265" s="14" t="s">
        <v>738</v>
      </c>
      <c r="H265" s="14" t="s">
        <v>426</v>
      </c>
      <c r="I265" s="43" t="s">
        <v>349</v>
      </c>
      <c r="J265" t="s">
        <v>825</v>
      </c>
    </row>
    <row r="266" spans="2:10" x14ac:dyDescent="0.3">
      <c r="B266" s="64">
        <v>46188</v>
      </c>
      <c r="C266" s="69" t="s">
        <v>769</v>
      </c>
      <c r="D266" s="68" t="s">
        <v>770</v>
      </c>
      <c r="E266" s="69" t="s">
        <v>771</v>
      </c>
      <c r="F266" s="70">
        <v>104</v>
      </c>
      <c r="G266" s="23" t="s">
        <v>738</v>
      </c>
      <c r="H266" s="23" t="s">
        <v>426</v>
      </c>
      <c r="I266" s="55" t="s">
        <v>349</v>
      </c>
      <c r="J266" t="s">
        <v>826</v>
      </c>
    </row>
    <row r="267" spans="2:10" x14ac:dyDescent="0.3">
      <c r="B267" s="64">
        <v>46188</v>
      </c>
      <c r="C267" s="65" t="s">
        <v>827</v>
      </c>
      <c r="D267" s="66" t="s">
        <v>746</v>
      </c>
      <c r="E267" s="65" t="s">
        <v>365</v>
      </c>
      <c r="F267" s="67">
        <v>1015</v>
      </c>
      <c r="G267" s="14" t="s">
        <v>738</v>
      </c>
      <c r="H267" s="14" t="s">
        <v>426</v>
      </c>
      <c r="I267" s="43" t="s">
        <v>349</v>
      </c>
      <c r="J267" t="s">
        <v>828</v>
      </c>
    </row>
    <row r="268" spans="2:10" x14ac:dyDescent="0.3">
      <c r="B268" s="64">
        <v>46188</v>
      </c>
      <c r="C268" s="69" t="s">
        <v>829</v>
      </c>
      <c r="D268" s="68" t="s">
        <v>830</v>
      </c>
      <c r="E268" s="69" t="s">
        <v>387</v>
      </c>
      <c r="F268" s="70">
        <v>276.75</v>
      </c>
      <c r="G268" s="23" t="s">
        <v>366</v>
      </c>
      <c r="H268" s="23" t="s">
        <v>367</v>
      </c>
      <c r="I268" s="55" t="s">
        <v>349</v>
      </c>
      <c r="J268" t="s">
        <v>831</v>
      </c>
    </row>
    <row r="269" spans="2:10" x14ac:dyDescent="0.3">
      <c r="B269" s="64">
        <v>46188</v>
      </c>
      <c r="C269" s="65" t="s">
        <v>406</v>
      </c>
      <c r="D269" s="66" t="s">
        <v>757</v>
      </c>
      <c r="E269" s="65" t="s">
        <v>429</v>
      </c>
      <c r="F269" s="67">
        <v>30</v>
      </c>
      <c r="G269" s="14" t="s">
        <v>366</v>
      </c>
      <c r="H269" s="14" t="s">
        <v>367</v>
      </c>
      <c r="I269" s="43" t="s">
        <v>349</v>
      </c>
      <c r="J269" t="s">
        <v>832</v>
      </c>
    </row>
    <row r="270" spans="2:10" x14ac:dyDescent="0.3">
      <c r="B270" s="64">
        <v>46188</v>
      </c>
      <c r="C270" s="69" t="s">
        <v>833</v>
      </c>
      <c r="D270" s="68" t="s">
        <v>757</v>
      </c>
      <c r="E270" s="69" t="s">
        <v>387</v>
      </c>
      <c r="F270" s="70">
        <v>592</v>
      </c>
      <c r="G270" s="23" t="s">
        <v>366</v>
      </c>
      <c r="H270" s="23" t="s">
        <v>367</v>
      </c>
      <c r="I270" s="55" t="s">
        <v>349</v>
      </c>
      <c r="J270" t="s">
        <v>832</v>
      </c>
    </row>
    <row r="271" spans="2:10" x14ac:dyDescent="0.3">
      <c r="B271" s="64">
        <v>46188</v>
      </c>
      <c r="C271" s="65" t="s">
        <v>834</v>
      </c>
      <c r="D271" s="66" t="s">
        <v>757</v>
      </c>
      <c r="E271" s="65" t="s">
        <v>771</v>
      </c>
      <c r="F271" s="67">
        <v>400</v>
      </c>
      <c r="G271" s="14" t="s">
        <v>366</v>
      </c>
      <c r="H271" s="14" t="s">
        <v>367</v>
      </c>
      <c r="I271" s="43" t="s">
        <v>349</v>
      </c>
      <c r="J271" t="s">
        <v>832</v>
      </c>
    </row>
    <row r="272" spans="2:10" x14ac:dyDescent="0.3">
      <c r="B272" s="64">
        <v>46188</v>
      </c>
      <c r="C272" s="69" t="s">
        <v>835</v>
      </c>
      <c r="D272" s="68" t="s">
        <v>757</v>
      </c>
      <c r="E272" s="69" t="s">
        <v>369</v>
      </c>
      <c r="F272" s="70">
        <v>180</v>
      </c>
      <c r="G272" s="23" t="s">
        <v>366</v>
      </c>
      <c r="H272" s="23" t="s">
        <v>367</v>
      </c>
      <c r="I272" s="55" t="s">
        <v>349</v>
      </c>
      <c r="J272" t="s">
        <v>776</v>
      </c>
    </row>
    <row r="273" spans="2:10" x14ac:dyDescent="0.3">
      <c r="B273" s="64">
        <v>46188</v>
      </c>
      <c r="C273" s="65" t="s">
        <v>836</v>
      </c>
      <c r="D273" s="66" t="s">
        <v>757</v>
      </c>
      <c r="E273" s="65" t="s">
        <v>389</v>
      </c>
      <c r="F273" s="67">
        <v>100</v>
      </c>
      <c r="G273" s="14" t="s">
        <v>366</v>
      </c>
      <c r="H273" s="14" t="s">
        <v>367</v>
      </c>
      <c r="I273" s="43" t="s">
        <v>349</v>
      </c>
      <c r="J273" t="s">
        <v>776</v>
      </c>
    </row>
    <row r="274" spans="2:10" x14ac:dyDescent="0.3">
      <c r="B274" s="64">
        <v>46189</v>
      </c>
      <c r="C274" s="69" t="s">
        <v>837</v>
      </c>
      <c r="D274" s="68" t="s">
        <v>408</v>
      </c>
      <c r="E274" s="69" t="s">
        <v>384</v>
      </c>
      <c r="F274" s="70">
        <v>421.9</v>
      </c>
      <c r="G274" s="23" t="s">
        <v>366</v>
      </c>
      <c r="H274" s="23" t="s">
        <v>367</v>
      </c>
      <c r="I274" s="55" t="s">
        <v>349</v>
      </c>
      <c r="J274" t="s">
        <v>838</v>
      </c>
    </row>
    <row r="275" spans="2:10" x14ac:dyDescent="0.3">
      <c r="B275" s="64">
        <v>46189</v>
      </c>
      <c r="C275" s="65" t="s">
        <v>839</v>
      </c>
      <c r="D275" s="66" t="s">
        <v>770</v>
      </c>
      <c r="E275" s="65" t="s">
        <v>387</v>
      </c>
      <c r="F275" s="67">
        <v>93</v>
      </c>
      <c r="G275" s="14" t="s">
        <v>738</v>
      </c>
      <c r="H275" s="14" t="s">
        <v>426</v>
      </c>
      <c r="I275" s="43" t="s">
        <v>349</v>
      </c>
      <c r="J275" t="s">
        <v>840</v>
      </c>
    </row>
    <row r="276" spans="2:10" x14ac:dyDescent="0.3">
      <c r="B276" s="64">
        <v>46189</v>
      </c>
      <c r="C276" s="69" t="s">
        <v>841</v>
      </c>
      <c r="D276" s="68" t="s">
        <v>842</v>
      </c>
      <c r="E276" s="69" t="s">
        <v>365</v>
      </c>
      <c r="F276" s="70">
        <v>685</v>
      </c>
      <c r="G276" s="23" t="s">
        <v>366</v>
      </c>
      <c r="H276" s="23" t="s">
        <v>367</v>
      </c>
      <c r="I276" s="55" t="s">
        <v>349</v>
      </c>
      <c r="J276" t="s">
        <v>843</v>
      </c>
    </row>
    <row r="277" spans="2:10" x14ac:dyDescent="0.3">
      <c r="B277" s="64">
        <v>46189</v>
      </c>
      <c r="C277" s="65" t="s">
        <v>844</v>
      </c>
      <c r="D277" s="66" t="s">
        <v>845</v>
      </c>
      <c r="E277" s="65" t="s">
        <v>375</v>
      </c>
      <c r="F277" s="67">
        <v>1342</v>
      </c>
      <c r="G277" s="14" t="s">
        <v>366</v>
      </c>
      <c r="H277" s="14" t="s">
        <v>426</v>
      </c>
      <c r="I277" s="43" t="s">
        <v>349</v>
      </c>
      <c r="J277" t="s">
        <v>846</v>
      </c>
    </row>
    <row r="278" spans="2:10" x14ac:dyDescent="0.3">
      <c r="B278" s="64">
        <v>46190</v>
      </c>
      <c r="C278" s="69" t="s">
        <v>847</v>
      </c>
      <c r="D278" s="68" t="s">
        <v>848</v>
      </c>
      <c r="E278" s="69" t="s">
        <v>429</v>
      </c>
      <c r="F278" s="70">
        <v>300</v>
      </c>
      <c r="G278" s="23" t="s">
        <v>366</v>
      </c>
      <c r="H278" s="23" t="s">
        <v>367</v>
      </c>
      <c r="I278" s="55" t="s">
        <v>349</v>
      </c>
      <c r="J278" t="s">
        <v>849</v>
      </c>
    </row>
    <row r="279" spans="2:10" x14ac:dyDescent="0.3">
      <c r="B279" s="64">
        <v>46190</v>
      </c>
      <c r="C279" s="65" t="s">
        <v>850</v>
      </c>
      <c r="D279" s="66" t="s">
        <v>631</v>
      </c>
      <c r="E279" s="65" t="s">
        <v>389</v>
      </c>
      <c r="F279" s="67">
        <v>173</v>
      </c>
      <c r="G279" s="14" t="s">
        <v>366</v>
      </c>
      <c r="H279" s="14" t="s">
        <v>426</v>
      </c>
      <c r="I279" s="43" t="s">
        <v>349</v>
      </c>
      <c r="J279" t="s">
        <v>851</v>
      </c>
    </row>
    <row r="280" spans="2:10" x14ac:dyDescent="0.3">
      <c r="B280" s="64">
        <v>46190</v>
      </c>
      <c r="C280" s="69" t="s">
        <v>852</v>
      </c>
      <c r="D280" s="68" t="s">
        <v>746</v>
      </c>
      <c r="E280" s="69" t="s">
        <v>365</v>
      </c>
      <c r="F280" s="70">
        <v>285</v>
      </c>
      <c r="G280" s="23" t="s">
        <v>366</v>
      </c>
      <c r="H280" s="23" t="s">
        <v>426</v>
      </c>
      <c r="I280" s="55" t="s">
        <v>349</v>
      </c>
      <c r="J280" t="s">
        <v>853</v>
      </c>
    </row>
    <row r="281" spans="2:10" x14ac:dyDescent="0.3">
      <c r="B281" s="64">
        <v>46190</v>
      </c>
      <c r="C281" s="65" t="s">
        <v>854</v>
      </c>
      <c r="D281" s="66" t="s">
        <v>757</v>
      </c>
      <c r="E281" s="65" t="s">
        <v>372</v>
      </c>
      <c r="F281" s="67">
        <v>52</v>
      </c>
      <c r="G281" s="14" t="s">
        <v>366</v>
      </c>
      <c r="H281" s="14" t="s">
        <v>367</v>
      </c>
      <c r="I281" s="43" t="s">
        <v>349</v>
      </c>
      <c r="J281" t="s">
        <v>832</v>
      </c>
    </row>
    <row r="282" spans="2:10" x14ac:dyDescent="0.3">
      <c r="B282" s="64">
        <v>46190</v>
      </c>
      <c r="C282" s="69" t="s">
        <v>855</v>
      </c>
      <c r="D282" s="68" t="s">
        <v>845</v>
      </c>
      <c r="E282" s="69" t="s">
        <v>375</v>
      </c>
      <c r="F282" s="70">
        <v>1386</v>
      </c>
      <c r="G282" s="23" t="s">
        <v>366</v>
      </c>
      <c r="H282" s="23" t="s">
        <v>426</v>
      </c>
      <c r="I282" s="55" t="s">
        <v>349</v>
      </c>
      <c r="J282" t="s">
        <v>856</v>
      </c>
    </row>
    <row r="283" spans="2:10" x14ac:dyDescent="0.3">
      <c r="B283" s="64">
        <v>46190</v>
      </c>
      <c r="C283" s="65" t="s">
        <v>857</v>
      </c>
      <c r="D283" s="66" t="s">
        <v>475</v>
      </c>
      <c r="E283" s="65" t="s">
        <v>389</v>
      </c>
      <c r="F283" s="67">
        <v>157</v>
      </c>
      <c r="G283" s="14" t="s">
        <v>366</v>
      </c>
      <c r="H283" s="14" t="s">
        <v>426</v>
      </c>
      <c r="I283" s="43" t="s">
        <v>349</v>
      </c>
      <c r="J283" t="s">
        <v>858</v>
      </c>
    </row>
    <row r="284" spans="2:10" x14ac:dyDescent="0.3">
      <c r="B284" s="64">
        <v>46191</v>
      </c>
      <c r="C284" s="69" t="s">
        <v>859</v>
      </c>
      <c r="D284" s="68" t="s">
        <v>475</v>
      </c>
      <c r="E284" s="69" t="s">
        <v>375</v>
      </c>
      <c r="F284" s="70">
        <v>117.7</v>
      </c>
      <c r="G284" s="23" t="s">
        <v>366</v>
      </c>
      <c r="H284" s="23" t="s">
        <v>426</v>
      </c>
      <c r="I284" s="55" t="s">
        <v>349</v>
      </c>
      <c r="J284" t="s">
        <v>860</v>
      </c>
    </row>
    <row r="285" spans="2:10" x14ac:dyDescent="0.3">
      <c r="B285" s="64">
        <v>46191</v>
      </c>
      <c r="C285" s="65" t="s">
        <v>861</v>
      </c>
      <c r="D285" s="66" t="s">
        <v>862</v>
      </c>
      <c r="E285" s="65" t="s">
        <v>365</v>
      </c>
      <c r="F285" s="67">
        <v>1450</v>
      </c>
      <c r="G285" s="14" t="s">
        <v>366</v>
      </c>
      <c r="H285" s="14" t="s">
        <v>367</v>
      </c>
      <c r="I285" s="43" t="s">
        <v>349</v>
      </c>
      <c r="J285" t="s">
        <v>863</v>
      </c>
    </row>
    <row r="286" spans="2:10" x14ac:dyDescent="0.3">
      <c r="B286" s="64">
        <v>46191</v>
      </c>
      <c r="C286" s="69" t="s">
        <v>864</v>
      </c>
      <c r="D286" s="68" t="s">
        <v>865</v>
      </c>
      <c r="E286" s="69" t="s">
        <v>365</v>
      </c>
      <c r="F286" s="70">
        <v>298.13</v>
      </c>
      <c r="G286" s="23" t="s">
        <v>366</v>
      </c>
      <c r="H286" s="23" t="s">
        <v>426</v>
      </c>
      <c r="I286" s="55" t="s">
        <v>349</v>
      </c>
      <c r="J286" t="s">
        <v>866</v>
      </c>
    </row>
    <row r="287" spans="2:10" x14ac:dyDescent="0.3">
      <c r="B287" s="64">
        <v>46191</v>
      </c>
      <c r="C287" s="65" t="s">
        <v>867</v>
      </c>
      <c r="D287" s="66" t="s">
        <v>746</v>
      </c>
      <c r="E287" s="65" t="s">
        <v>365</v>
      </c>
      <c r="F287" s="67">
        <v>600</v>
      </c>
      <c r="G287" s="14" t="s">
        <v>366</v>
      </c>
      <c r="H287" s="14" t="s">
        <v>426</v>
      </c>
      <c r="I287" s="43" t="s">
        <v>349</v>
      </c>
      <c r="J287" t="s">
        <v>868</v>
      </c>
    </row>
    <row r="288" spans="2:10" x14ac:dyDescent="0.3">
      <c r="B288" s="64">
        <v>46191</v>
      </c>
      <c r="C288" s="69" t="s">
        <v>380</v>
      </c>
      <c r="D288" s="68" t="s">
        <v>757</v>
      </c>
      <c r="E288" s="69" t="s">
        <v>378</v>
      </c>
      <c r="F288" s="70">
        <v>40</v>
      </c>
      <c r="G288" s="23" t="s">
        <v>366</v>
      </c>
      <c r="H288" s="23" t="s">
        <v>367</v>
      </c>
      <c r="I288" s="55" t="s">
        <v>349</v>
      </c>
      <c r="J288" t="s">
        <v>832</v>
      </c>
    </row>
    <row r="289" spans="2:10" x14ac:dyDescent="0.3">
      <c r="B289" s="64">
        <v>46191</v>
      </c>
      <c r="C289" s="65" t="s">
        <v>869</v>
      </c>
      <c r="D289" s="66" t="s">
        <v>597</v>
      </c>
      <c r="E289" s="65" t="s">
        <v>870</v>
      </c>
      <c r="F289" s="67">
        <v>349</v>
      </c>
      <c r="G289" s="14" t="s">
        <v>366</v>
      </c>
      <c r="H289" s="14" t="s">
        <v>871</v>
      </c>
      <c r="I289" s="43" t="s">
        <v>349</v>
      </c>
      <c r="J289" t="s">
        <v>872</v>
      </c>
    </row>
    <row r="290" spans="2:10" x14ac:dyDescent="0.3">
      <c r="B290" s="64">
        <v>46191</v>
      </c>
      <c r="C290" s="69" t="s">
        <v>873</v>
      </c>
      <c r="D290" s="68" t="s">
        <v>395</v>
      </c>
      <c r="E290" s="69" t="s">
        <v>369</v>
      </c>
      <c r="F290" s="70">
        <v>104</v>
      </c>
      <c r="G290" s="23" t="s">
        <v>366</v>
      </c>
      <c r="H290" s="23" t="s">
        <v>367</v>
      </c>
      <c r="I290" s="55" t="s">
        <v>349</v>
      </c>
      <c r="J290" t="s">
        <v>874</v>
      </c>
    </row>
    <row r="291" spans="2:10" x14ac:dyDescent="0.3">
      <c r="B291" s="246">
        <v>46192</v>
      </c>
      <c r="C291" s="65" t="s">
        <v>875</v>
      </c>
      <c r="D291" s="66" t="s">
        <v>876</v>
      </c>
      <c r="E291" s="65" t="s">
        <v>365</v>
      </c>
      <c r="F291" s="67">
        <v>149</v>
      </c>
      <c r="G291" s="14" t="s">
        <v>366</v>
      </c>
      <c r="H291" s="14" t="s">
        <v>367</v>
      </c>
      <c r="I291" s="43" t="s">
        <v>349</v>
      </c>
      <c r="J291" t="s">
        <v>877</v>
      </c>
    </row>
    <row r="292" spans="2:10" x14ac:dyDescent="0.3">
      <c r="B292" s="246">
        <v>46192</v>
      </c>
      <c r="C292" s="69" t="s">
        <v>878</v>
      </c>
      <c r="D292" s="68" t="s">
        <v>720</v>
      </c>
      <c r="E292" s="69" t="s">
        <v>369</v>
      </c>
      <c r="F292" s="70">
        <v>112</v>
      </c>
      <c r="G292" s="23" t="s">
        <v>366</v>
      </c>
      <c r="H292" s="23" t="s">
        <v>367</v>
      </c>
      <c r="I292" s="55" t="s">
        <v>349</v>
      </c>
      <c r="J292" t="s">
        <v>879</v>
      </c>
    </row>
    <row r="293" spans="2:10" x14ac:dyDescent="0.3">
      <c r="B293" s="246">
        <v>46192</v>
      </c>
      <c r="C293" s="65" t="s">
        <v>880</v>
      </c>
      <c r="D293" s="66" t="s">
        <v>395</v>
      </c>
      <c r="E293" s="65" t="s">
        <v>369</v>
      </c>
      <c r="F293" s="67">
        <v>52</v>
      </c>
      <c r="G293" s="14" t="s">
        <v>366</v>
      </c>
      <c r="H293" s="14" t="s">
        <v>367</v>
      </c>
      <c r="I293" s="43" t="s">
        <v>349</v>
      </c>
      <c r="J293" t="s">
        <v>881</v>
      </c>
    </row>
    <row r="294" spans="2:10" x14ac:dyDescent="0.3">
      <c r="B294" s="246">
        <v>46192</v>
      </c>
      <c r="C294" s="69" t="s">
        <v>376</v>
      </c>
      <c r="D294" s="68" t="s">
        <v>757</v>
      </c>
      <c r="E294" s="69" t="s">
        <v>378</v>
      </c>
      <c r="F294" s="70">
        <v>129</v>
      </c>
      <c r="G294" s="23" t="s">
        <v>366</v>
      </c>
      <c r="H294" s="23" t="s">
        <v>367</v>
      </c>
      <c r="I294" s="55" t="s">
        <v>349</v>
      </c>
      <c r="J294" t="s">
        <v>832</v>
      </c>
    </row>
    <row r="295" spans="2:10" x14ac:dyDescent="0.3">
      <c r="B295" s="246">
        <v>46193</v>
      </c>
      <c r="C295" s="247" t="s">
        <v>880</v>
      </c>
      <c r="D295" s="248" t="s">
        <v>395</v>
      </c>
      <c r="E295" s="247" t="s">
        <v>369</v>
      </c>
      <c r="F295" s="67">
        <v>312</v>
      </c>
      <c r="G295" s="249" t="s">
        <v>366</v>
      </c>
      <c r="H295" s="249" t="s">
        <v>426</v>
      </c>
      <c r="I295" s="250" t="s">
        <v>349</v>
      </c>
      <c r="J295" t="s">
        <v>882</v>
      </c>
    </row>
    <row r="296" spans="2:10" x14ac:dyDescent="0.3">
      <c r="B296" s="246">
        <v>46193</v>
      </c>
      <c r="C296" s="251" t="s">
        <v>883</v>
      </c>
      <c r="D296" s="252" t="s">
        <v>703</v>
      </c>
      <c r="E296" s="251" t="s">
        <v>387</v>
      </c>
      <c r="F296" s="70">
        <v>271.35000000000002</v>
      </c>
      <c r="G296" s="253" t="s">
        <v>366</v>
      </c>
      <c r="H296" s="253" t="s">
        <v>367</v>
      </c>
      <c r="I296" s="254" t="s">
        <v>349</v>
      </c>
      <c r="J296" t="s">
        <v>884</v>
      </c>
    </row>
    <row r="297" spans="2:10" x14ac:dyDescent="0.3">
      <c r="B297" s="246">
        <v>46193</v>
      </c>
      <c r="C297" s="247" t="s">
        <v>885</v>
      </c>
      <c r="D297" s="248" t="s">
        <v>746</v>
      </c>
      <c r="E297" s="247" t="s">
        <v>365</v>
      </c>
      <c r="F297" s="67">
        <v>474</v>
      </c>
      <c r="G297" s="249" t="s">
        <v>366</v>
      </c>
      <c r="H297" s="249" t="s">
        <v>426</v>
      </c>
      <c r="I297" s="250" t="s">
        <v>349</v>
      </c>
      <c r="J297" t="s">
        <v>886</v>
      </c>
    </row>
    <row r="298" spans="2:10" x14ac:dyDescent="0.3">
      <c r="B298" s="246">
        <v>46193</v>
      </c>
      <c r="C298" s="251" t="s">
        <v>887</v>
      </c>
      <c r="D298" s="252" t="s">
        <v>888</v>
      </c>
      <c r="E298" s="251" t="s">
        <v>372</v>
      </c>
      <c r="F298" s="70">
        <v>544</v>
      </c>
      <c r="G298" s="253" t="s">
        <v>366</v>
      </c>
      <c r="H298" s="253" t="s">
        <v>426</v>
      </c>
      <c r="I298" s="254" t="s">
        <v>349</v>
      </c>
      <c r="J298" t="s">
        <v>889</v>
      </c>
    </row>
    <row r="299" spans="2:10" x14ac:dyDescent="0.3">
      <c r="B299" s="246">
        <v>46193</v>
      </c>
      <c r="C299" s="247" t="s">
        <v>890</v>
      </c>
      <c r="D299" s="248" t="s">
        <v>891</v>
      </c>
      <c r="E299" s="247" t="s">
        <v>375</v>
      </c>
      <c r="F299" s="67">
        <v>566.73</v>
      </c>
      <c r="G299" s="249" t="s">
        <v>366</v>
      </c>
      <c r="H299" s="249" t="s">
        <v>426</v>
      </c>
      <c r="I299" s="250" t="s">
        <v>349</v>
      </c>
      <c r="J299" t="s">
        <v>892</v>
      </c>
    </row>
    <row r="300" spans="2:10" x14ac:dyDescent="0.3">
      <c r="B300" s="246">
        <v>46193</v>
      </c>
      <c r="C300" s="251" t="s">
        <v>893</v>
      </c>
      <c r="D300" s="252" t="s">
        <v>475</v>
      </c>
      <c r="E300" s="251" t="s">
        <v>372</v>
      </c>
      <c r="F300" s="70">
        <v>66.73</v>
      </c>
      <c r="G300" s="253" t="s">
        <v>366</v>
      </c>
      <c r="H300" s="253" t="s">
        <v>426</v>
      </c>
      <c r="I300" s="254" t="s">
        <v>349</v>
      </c>
      <c r="J300" t="s">
        <v>894</v>
      </c>
    </row>
    <row r="301" spans="2:10" x14ac:dyDescent="0.3">
      <c r="B301" s="246">
        <v>46193</v>
      </c>
      <c r="C301" s="247" t="s">
        <v>376</v>
      </c>
      <c r="D301" s="248" t="s">
        <v>757</v>
      </c>
      <c r="E301" s="247" t="s">
        <v>378</v>
      </c>
      <c r="F301" s="67">
        <v>51</v>
      </c>
      <c r="G301" s="249" t="s">
        <v>366</v>
      </c>
      <c r="H301" s="249" t="s">
        <v>367</v>
      </c>
      <c r="I301" s="250" t="s">
        <v>349</v>
      </c>
      <c r="J301" t="s">
        <v>832</v>
      </c>
    </row>
    <row r="302" spans="2:10" x14ac:dyDescent="0.3">
      <c r="B302" s="246">
        <v>46193</v>
      </c>
      <c r="C302" s="251" t="s">
        <v>895</v>
      </c>
      <c r="D302" s="252" t="s">
        <v>896</v>
      </c>
      <c r="E302" s="251" t="s">
        <v>418</v>
      </c>
      <c r="F302" s="70">
        <v>1200</v>
      </c>
      <c r="G302" s="253" t="s">
        <v>366</v>
      </c>
      <c r="H302" s="253" t="s">
        <v>367</v>
      </c>
      <c r="I302" s="254" t="s">
        <v>349</v>
      </c>
      <c r="J302" t="s">
        <v>897</v>
      </c>
    </row>
    <row r="303" spans="2:10" x14ac:dyDescent="0.3">
      <c r="B303" s="246">
        <v>46193</v>
      </c>
      <c r="C303" s="247" t="s">
        <v>898</v>
      </c>
      <c r="D303" s="248" t="s">
        <v>896</v>
      </c>
      <c r="E303" s="247" t="s">
        <v>418</v>
      </c>
      <c r="F303" s="67">
        <v>1500</v>
      </c>
      <c r="G303" s="249" t="s">
        <v>366</v>
      </c>
      <c r="H303" s="249" t="s">
        <v>367</v>
      </c>
      <c r="I303" s="250" t="s">
        <v>349</v>
      </c>
      <c r="J303" t="s">
        <v>899</v>
      </c>
    </row>
    <row r="304" spans="2:10" x14ac:dyDescent="0.3">
      <c r="B304" s="246">
        <v>46193</v>
      </c>
      <c r="C304" s="251" t="s">
        <v>900</v>
      </c>
      <c r="D304" s="252" t="s">
        <v>896</v>
      </c>
      <c r="E304" s="251" t="s">
        <v>418</v>
      </c>
      <c r="F304" s="70">
        <v>3750</v>
      </c>
      <c r="G304" s="253" t="s">
        <v>366</v>
      </c>
      <c r="H304" s="253" t="s">
        <v>367</v>
      </c>
      <c r="I304" s="254" t="s">
        <v>349</v>
      </c>
      <c r="J304" t="s">
        <v>899</v>
      </c>
    </row>
    <row r="305" spans="2:10" x14ac:dyDescent="0.3">
      <c r="B305" s="246">
        <v>46193</v>
      </c>
      <c r="C305" s="247" t="s">
        <v>901</v>
      </c>
      <c r="D305" s="248" t="s">
        <v>902</v>
      </c>
      <c r="E305" s="247" t="s">
        <v>903</v>
      </c>
      <c r="F305" s="67">
        <v>121</v>
      </c>
      <c r="G305" s="249" t="s">
        <v>366</v>
      </c>
      <c r="H305" s="249" t="s">
        <v>367</v>
      </c>
      <c r="I305" s="250" t="s">
        <v>349</v>
      </c>
      <c r="J305" s="266" t="s">
        <v>904</v>
      </c>
    </row>
    <row r="306" spans="2:10" x14ac:dyDescent="0.3">
      <c r="B306" s="246">
        <v>46176</v>
      </c>
      <c r="C306" s="251" t="s">
        <v>905</v>
      </c>
      <c r="D306" s="252" t="s">
        <v>906</v>
      </c>
      <c r="E306" s="251" t="s">
        <v>907</v>
      </c>
      <c r="F306" s="70">
        <v>178</v>
      </c>
      <c r="G306" s="253" t="s">
        <v>366</v>
      </c>
      <c r="H306" s="253" t="s">
        <v>426</v>
      </c>
      <c r="I306" s="254" t="s">
        <v>349</v>
      </c>
      <c r="J306" s="269" t="s">
        <v>908</v>
      </c>
    </row>
    <row r="307" spans="2:10" x14ac:dyDescent="0.3">
      <c r="B307" s="246">
        <v>46193</v>
      </c>
      <c r="C307" s="247" t="s">
        <v>909</v>
      </c>
      <c r="D307" s="248" t="s">
        <v>432</v>
      </c>
      <c r="E307" s="247" t="s">
        <v>429</v>
      </c>
      <c r="F307" s="67">
        <v>464</v>
      </c>
      <c r="G307" s="249" t="s">
        <v>366</v>
      </c>
      <c r="H307" s="249" t="s">
        <v>426</v>
      </c>
      <c r="I307" s="250" t="s">
        <v>349</v>
      </c>
      <c r="J307" s="269" t="s">
        <v>832</v>
      </c>
    </row>
    <row r="308" spans="2:10" x14ac:dyDescent="0.3">
      <c r="B308" s="246">
        <v>46192</v>
      </c>
      <c r="C308" s="251" t="s">
        <v>910</v>
      </c>
      <c r="D308" s="252" t="s">
        <v>911</v>
      </c>
      <c r="E308" s="251" t="s">
        <v>912</v>
      </c>
      <c r="F308" s="70">
        <v>810</v>
      </c>
      <c r="G308" s="253" t="s">
        <v>366</v>
      </c>
      <c r="H308" s="253" t="s">
        <v>426</v>
      </c>
      <c r="I308" s="254" t="s">
        <v>349</v>
      </c>
      <c r="J308" s="269" t="s">
        <v>913</v>
      </c>
    </row>
    <row r="309" spans="2:10" x14ac:dyDescent="0.3">
      <c r="B309" s="246">
        <v>46194</v>
      </c>
      <c r="C309" s="247" t="s">
        <v>914</v>
      </c>
      <c r="D309" s="248" t="s">
        <v>915</v>
      </c>
      <c r="E309" s="247" t="s">
        <v>378</v>
      </c>
      <c r="F309" s="67">
        <v>84</v>
      </c>
      <c r="G309" s="249" t="s">
        <v>366</v>
      </c>
      <c r="H309" s="249" t="s">
        <v>367</v>
      </c>
      <c r="I309" s="250" t="s">
        <v>349</v>
      </c>
      <c r="J309" s="269" t="s">
        <v>802</v>
      </c>
    </row>
    <row r="310" spans="2:10" x14ac:dyDescent="0.3">
      <c r="B310" s="246">
        <v>46194</v>
      </c>
      <c r="C310" s="251" t="s">
        <v>916</v>
      </c>
      <c r="D310" s="252" t="s">
        <v>802</v>
      </c>
      <c r="E310" s="251" t="s">
        <v>378</v>
      </c>
      <c r="F310" s="70">
        <v>153.62</v>
      </c>
      <c r="G310" s="253" t="s">
        <v>366</v>
      </c>
      <c r="H310" s="253" t="s">
        <v>367</v>
      </c>
      <c r="I310" s="254" t="s">
        <v>349</v>
      </c>
      <c r="J310" s="269" t="s">
        <v>917</v>
      </c>
    </row>
    <row r="311" spans="2:10" x14ac:dyDescent="0.3">
      <c r="B311" s="246">
        <v>46194</v>
      </c>
      <c r="C311" s="247" t="s">
        <v>918</v>
      </c>
      <c r="D311" s="248" t="s">
        <v>919</v>
      </c>
      <c r="E311" s="247" t="s">
        <v>920</v>
      </c>
      <c r="F311" s="67">
        <v>102</v>
      </c>
      <c r="G311" s="249" t="s">
        <v>366</v>
      </c>
      <c r="H311" s="249" t="s">
        <v>367</v>
      </c>
      <c r="I311" s="250" t="s">
        <v>349</v>
      </c>
      <c r="J311" s="269"/>
    </row>
    <row r="312" spans="2:10" x14ac:dyDescent="0.3">
      <c r="B312" s="246">
        <v>46194</v>
      </c>
      <c r="C312" s="251" t="s">
        <v>921</v>
      </c>
      <c r="D312" s="252" t="s">
        <v>922</v>
      </c>
      <c r="E312" s="251" t="s">
        <v>378</v>
      </c>
      <c r="F312" s="70">
        <v>131.5</v>
      </c>
      <c r="G312" s="253" t="s">
        <v>366</v>
      </c>
      <c r="H312" s="253" t="s">
        <v>367</v>
      </c>
      <c r="I312" s="254" t="s">
        <v>349</v>
      </c>
      <c r="J312" s="269" t="s">
        <v>923</v>
      </c>
    </row>
    <row r="313" spans="2:10" x14ac:dyDescent="0.3">
      <c r="B313" s="246">
        <v>46194</v>
      </c>
      <c r="C313" s="247" t="s">
        <v>924</v>
      </c>
      <c r="D313" s="248" t="s">
        <v>922</v>
      </c>
      <c r="E313" s="247" t="s">
        <v>378</v>
      </c>
      <c r="F313" s="67">
        <v>34</v>
      </c>
      <c r="G313" s="249" t="s">
        <v>366</v>
      </c>
      <c r="H313" s="249" t="s">
        <v>367</v>
      </c>
      <c r="I313" s="250" t="s">
        <v>349</v>
      </c>
      <c r="J313" s="269" t="s">
        <v>925</v>
      </c>
    </row>
    <row r="314" spans="2:10" x14ac:dyDescent="0.3">
      <c r="B314" s="246">
        <v>46194</v>
      </c>
      <c r="C314" s="251" t="s">
        <v>926</v>
      </c>
      <c r="D314" s="252" t="s">
        <v>802</v>
      </c>
      <c r="E314" s="251" t="s">
        <v>378</v>
      </c>
      <c r="F314" s="70">
        <v>240</v>
      </c>
      <c r="G314" s="253" t="s">
        <v>366</v>
      </c>
      <c r="H314" s="253" t="s">
        <v>367</v>
      </c>
      <c r="I314" s="254" t="s">
        <v>349</v>
      </c>
      <c r="J314" s="269" t="s">
        <v>927</v>
      </c>
    </row>
    <row r="315" spans="2:10" x14ac:dyDescent="0.3">
      <c r="B315" s="246">
        <v>46194</v>
      </c>
      <c r="C315" s="247" t="s">
        <v>928</v>
      </c>
      <c r="D315" s="248" t="s">
        <v>929</v>
      </c>
      <c r="E315" s="247" t="s">
        <v>378</v>
      </c>
      <c r="F315" s="67">
        <v>105</v>
      </c>
      <c r="G315" s="249" t="s">
        <v>366</v>
      </c>
      <c r="H315" s="249" t="s">
        <v>367</v>
      </c>
      <c r="I315" s="250" t="s">
        <v>349</v>
      </c>
      <c r="J315" s="269"/>
    </row>
    <row r="316" spans="2:10" x14ac:dyDescent="0.3">
      <c r="B316" s="246">
        <v>46194</v>
      </c>
      <c r="C316" s="251" t="s">
        <v>930</v>
      </c>
      <c r="D316" s="252" t="s">
        <v>802</v>
      </c>
      <c r="E316" s="251" t="s">
        <v>401</v>
      </c>
      <c r="F316" s="70">
        <v>208</v>
      </c>
      <c r="G316" s="253" t="s">
        <v>366</v>
      </c>
      <c r="H316" s="253" t="s">
        <v>367</v>
      </c>
      <c r="I316" s="254" t="s">
        <v>349</v>
      </c>
      <c r="J316" s="269" t="s">
        <v>927</v>
      </c>
    </row>
    <row r="317" spans="2:10" x14ac:dyDescent="0.3">
      <c r="B317" s="246">
        <v>46194</v>
      </c>
      <c r="C317" s="247" t="s">
        <v>931</v>
      </c>
      <c r="D317" s="248" t="s">
        <v>809</v>
      </c>
      <c r="E317" s="247" t="s">
        <v>378</v>
      </c>
      <c r="F317" s="67">
        <v>105</v>
      </c>
      <c r="G317" s="249" t="s">
        <v>366</v>
      </c>
      <c r="H317" s="249" t="s">
        <v>367</v>
      </c>
      <c r="I317" s="250" t="s">
        <v>349</v>
      </c>
      <c r="J317" s="269"/>
    </row>
    <row r="318" spans="2:10" x14ac:dyDescent="0.3">
      <c r="B318" s="246">
        <v>46194</v>
      </c>
      <c r="C318" s="251" t="s">
        <v>932</v>
      </c>
      <c r="D318" s="252" t="s">
        <v>792</v>
      </c>
      <c r="E318" s="251" t="s">
        <v>378</v>
      </c>
      <c r="F318" s="70">
        <v>214</v>
      </c>
      <c r="G318" s="253" t="s">
        <v>366</v>
      </c>
      <c r="H318" s="253" t="s">
        <v>367</v>
      </c>
      <c r="I318" s="254" t="s">
        <v>349</v>
      </c>
      <c r="J318" s="269" t="s">
        <v>933</v>
      </c>
    </row>
    <row r="319" spans="2:10" x14ac:dyDescent="0.3">
      <c r="B319" s="246">
        <v>46194</v>
      </c>
      <c r="C319" s="247" t="s">
        <v>934</v>
      </c>
      <c r="D319" s="248" t="s">
        <v>935</v>
      </c>
      <c r="E319" s="247" t="s">
        <v>365</v>
      </c>
      <c r="F319" s="67">
        <v>89</v>
      </c>
      <c r="G319" s="249" t="s">
        <v>366</v>
      </c>
      <c r="H319" s="249" t="s">
        <v>367</v>
      </c>
      <c r="I319" s="250" t="s">
        <v>349</v>
      </c>
      <c r="J319" s="269" t="s">
        <v>936</v>
      </c>
    </row>
    <row r="320" spans="2:10" x14ac:dyDescent="0.3">
      <c r="B320" s="246">
        <v>46194</v>
      </c>
      <c r="C320" s="251" t="s">
        <v>937</v>
      </c>
      <c r="D320" s="252" t="s">
        <v>938</v>
      </c>
      <c r="E320" s="251" t="s">
        <v>939</v>
      </c>
      <c r="F320" s="70">
        <v>295.73</v>
      </c>
      <c r="G320" s="253" t="s">
        <v>366</v>
      </c>
      <c r="H320" s="253" t="s">
        <v>367</v>
      </c>
      <c r="I320" s="254" t="s">
        <v>349</v>
      </c>
      <c r="J320" s="269" t="s">
        <v>940</v>
      </c>
    </row>
    <row r="321" spans="2:10" x14ac:dyDescent="0.3">
      <c r="B321" s="246">
        <v>46194</v>
      </c>
      <c r="C321" s="247" t="s">
        <v>941</v>
      </c>
      <c r="D321" s="248" t="s">
        <v>942</v>
      </c>
      <c r="E321" s="247" t="s">
        <v>378</v>
      </c>
      <c r="F321" s="67">
        <v>215</v>
      </c>
      <c r="G321" s="249" t="s">
        <v>366</v>
      </c>
      <c r="H321" s="249" t="s">
        <v>367</v>
      </c>
      <c r="I321" s="250" t="s">
        <v>349</v>
      </c>
      <c r="J321" s="269"/>
    </row>
    <row r="322" spans="2:10" x14ac:dyDescent="0.3">
      <c r="B322" s="246">
        <v>46194</v>
      </c>
      <c r="C322" s="251" t="s">
        <v>943</v>
      </c>
      <c r="D322" s="252" t="s">
        <v>757</v>
      </c>
      <c r="E322" s="251" t="s">
        <v>944</v>
      </c>
      <c r="F322" s="70">
        <v>30</v>
      </c>
      <c r="G322" s="253" t="s">
        <v>366</v>
      </c>
      <c r="H322" s="253" t="s">
        <v>367</v>
      </c>
      <c r="I322" s="254" t="s">
        <v>349</v>
      </c>
      <c r="J322" s="269" t="s">
        <v>832</v>
      </c>
    </row>
    <row r="323" spans="2:10" x14ac:dyDescent="0.3">
      <c r="B323" s="246">
        <v>46194</v>
      </c>
      <c r="C323" s="247" t="s">
        <v>945</v>
      </c>
      <c r="D323" s="248" t="s">
        <v>757</v>
      </c>
      <c r="E323" s="247" t="s">
        <v>944</v>
      </c>
      <c r="F323" s="67">
        <v>59</v>
      </c>
      <c r="G323" s="249" t="s">
        <v>366</v>
      </c>
      <c r="H323" s="249" t="s">
        <v>367</v>
      </c>
      <c r="I323" s="250" t="s">
        <v>349</v>
      </c>
      <c r="J323" s="269" t="s">
        <v>946</v>
      </c>
    </row>
    <row r="324" spans="2:10" x14ac:dyDescent="0.3">
      <c r="B324" s="246">
        <v>46195</v>
      </c>
      <c r="C324" s="251" t="s">
        <v>947</v>
      </c>
      <c r="D324" s="252" t="s">
        <v>948</v>
      </c>
      <c r="E324" s="251" t="s">
        <v>365</v>
      </c>
      <c r="F324" s="70">
        <v>940</v>
      </c>
      <c r="G324" s="253" t="s">
        <v>366</v>
      </c>
      <c r="H324" s="253" t="s">
        <v>367</v>
      </c>
      <c r="I324" s="254" t="s">
        <v>349</v>
      </c>
      <c r="J324" s="269" t="s">
        <v>949</v>
      </c>
    </row>
    <row r="325" spans="2:10" x14ac:dyDescent="0.3">
      <c r="B325" s="246">
        <v>46195</v>
      </c>
      <c r="C325" s="247" t="s">
        <v>950</v>
      </c>
      <c r="D325" s="248" t="s">
        <v>564</v>
      </c>
      <c r="E325" s="247" t="s">
        <v>365</v>
      </c>
      <c r="F325" s="67">
        <v>291</v>
      </c>
      <c r="G325" s="249" t="s">
        <v>366</v>
      </c>
      <c r="H325" s="249" t="s">
        <v>426</v>
      </c>
      <c r="I325" s="250" t="s">
        <v>349</v>
      </c>
      <c r="J325" s="269" t="s">
        <v>951</v>
      </c>
    </row>
    <row r="326" spans="2:10" x14ac:dyDescent="0.3">
      <c r="B326" s="246">
        <v>46195</v>
      </c>
      <c r="C326" s="251" t="s">
        <v>952</v>
      </c>
      <c r="D326" s="252" t="s">
        <v>757</v>
      </c>
      <c r="E326" s="251" t="s">
        <v>429</v>
      </c>
      <c r="F326" s="70">
        <v>60</v>
      </c>
      <c r="G326" s="253" t="s">
        <v>366</v>
      </c>
      <c r="H326" s="253" t="s">
        <v>367</v>
      </c>
      <c r="I326" s="254" t="s">
        <v>349</v>
      </c>
      <c r="J326" s="269" t="s">
        <v>832</v>
      </c>
    </row>
    <row r="327" spans="2:10" x14ac:dyDescent="0.3">
      <c r="B327" s="246">
        <v>46195</v>
      </c>
      <c r="C327" s="247" t="s">
        <v>381</v>
      </c>
      <c r="D327" s="248" t="s">
        <v>757</v>
      </c>
      <c r="E327" s="247" t="s">
        <v>372</v>
      </c>
      <c r="F327" s="67">
        <v>26</v>
      </c>
      <c r="G327" s="249" t="s">
        <v>366</v>
      </c>
      <c r="H327" s="249" t="s">
        <v>367</v>
      </c>
      <c r="I327" s="250" t="s">
        <v>349</v>
      </c>
      <c r="J327" s="269" t="s">
        <v>832</v>
      </c>
    </row>
    <row r="328" spans="2:10" x14ac:dyDescent="0.3">
      <c r="B328" s="246">
        <v>46195</v>
      </c>
      <c r="C328" s="251" t="s">
        <v>953</v>
      </c>
      <c r="D328" s="252" t="s">
        <v>757</v>
      </c>
      <c r="E328" s="251" t="s">
        <v>372</v>
      </c>
      <c r="F328" s="70">
        <v>134</v>
      </c>
      <c r="G328" s="253" t="s">
        <v>366</v>
      </c>
      <c r="H328" s="253" t="s">
        <v>367</v>
      </c>
      <c r="I328" s="254" t="s">
        <v>349</v>
      </c>
      <c r="J328" s="269" t="s">
        <v>832</v>
      </c>
    </row>
    <row r="329" spans="2:10" x14ac:dyDescent="0.3">
      <c r="B329" s="246">
        <v>46192</v>
      </c>
      <c r="C329" s="247" t="s">
        <v>954</v>
      </c>
      <c r="D329" s="248" t="s">
        <v>720</v>
      </c>
      <c r="E329" s="247" t="s">
        <v>369</v>
      </c>
      <c r="F329" s="67">
        <v>196</v>
      </c>
      <c r="G329" s="249" t="s">
        <v>366</v>
      </c>
      <c r="H329" s="249" t="s">
        <v>367</v>
      </c>
      <c r="I329" s="250" t="s">
        <v>349</v>
      </c>
      <c r="J329" s="269" t="s">
        <v>955</v>
      </c>
    </row>
    <row r="330" spans="2:10" x14ac:dyDescent="0.3">
      <c r="B330" s="246">
        <v>46192</v>
      </c>
      <c r="C330" s="251" t="s">
        <v>956</v>
      </c>
      <c r="D330" s="252" t="s">
        <v>631</v>
      </c>
      <c r="E330" s="251" t="s">
        <v>939</v>
      </c>
      <c r="F330" s="70">
        <v>35</v>
      </c>
      <c r="G330" s="253" t="s">
        <v>366</v>
      </c>
      <c r="H330" s="253" t="s">
        <v>367</v>
      </c>
      <c r="I330" s="254" t="s">
        <v>349</v>
      </c>
      <c r="J330" s="269" t="s">
        <v>957</v>
      </c>
    </row>
    <row r="331" spans="2:10" x14ac:dyDescent="0.3">
      <c r="B331" s="246">
        <v>46196</v>
      </c>
      <c r="C331" s="247" t="s">
        <v>958</v>
      </c>
      <c r="D331" s="248" t="s">
        <v>506</v>
      </c>
      <c r="E331" s="247" t="s">
        <v>369</v>
      </c>
      <c r="F331" s="67">
        <v>269.5</v>
      </c>
      <c r="G331" s="249" t="s">
        <v>366</v>
      </c>
      <c r="H331" s="249" t="s">
        <v>426</v>
      </c>
      <c r="I331" s="250" t="s">
        <v>349</v>
      </c>
      <c r="J331" s="269" t="s">
        <v>959</v>
      </c>
    </row>
    <row r="332" spans="2:10" x14ac:dyDescent="0.3">
      <c r="B332" s="246">
        <v>46196</v>
      </c>
      <c r="C332" s="251" t="s">
        <v>960</v>
      </c>
      <c r="D332" s="252" t="s">
        <v>506</v>
      </c>
      <c r="E332" s="251" t="s">
        <v>907</v>
      </c>
      <c r="F332" s="70">
        <v>96.5</v>
      </c>
      <c r="G332" s="253" t="s">
        <v>366</v>
      </c>
      <c r="H332" s="253" t="s">
        <v>426</v>
      </c>
      <c r="I332" s="254" t="s">
        <v>349</v>
      </c>
      <c r="J332" s="269" t="s">
        <v>961</v>
      </c>
    </row>
    <row r="333" spans="2:10" x14ac:dyDescent="0.3">
      <c r="B333" s="246">
        <v>46196</v>
      </c>
      <c r="C333" s="247" t="s">
        <v>962</v>
      </c>
      <c r="D333" s="248" t="s">
        <v>564</v>
      </c>
      <c r="E333" s="247" t="s">
        <v>365</v>
      </c>
      <c r="F333" s="67">
        <v>151</v>
      </c>
      <c r="G333" s="249" t="s">
        <v>366</v>
      </c>
      <c r="H333" s="249" t="s">
        <v>426</v>
      </c>
      <c r="I333" s="250" t="s">
        <v>349</v>
      </c>
      <c r="J333" s="269" t="s">
        <v>963</v>
      </c>
    </row>
    <row r="334" spans="2:10" x14ac:dyDescent="0.3">
      <c r="B334" s="246">
        <v>46196</v>
      </c>
      <c r="C334" s="251" t="s">
        <v>836</v>
      </c>
      <c r="D334" s="252" t="s">
        <v>757</v>
      </c>
      <c r="E334" s="251" t="s">
        <v>429</v>
      </c>
      <c r="F334" s="70">
        <v>150</v>
      </c>
      <c r="G334" s="253" t="s">
        <v>366</v>
      </c>
      <c r="H334" s="253" t="s">
        <v>367</v>
      </c>
      <c r="I334" s="254" t="s">
        <v>349</v>
      </c>
      <c r="J334" s="269" t="s">
        <v>522</v>
      </c>
    </row>
    <row r="335" spans="2:10" x14ac:dyDescent="0.3">
      <c r="B335" s="246">
        <v>46196</v>
      </c>
      <c r="C335" s="247" t="s">
        <v>964</v>
      </c>
      <c r="D335" s="248" t="s">
        <v>757</v>
      </c>
      <c r="E335" s="247" t="s">
        <v>369</v>
      </c>
      <c r="F335" s="67">
        <v>46</v>
      </c>
      <c r="G335" s="249" t="s">
        <v>366</v>
      </c>
      <c r="H335" s="249" t="s">
        <v>367</v>
      </c>
      <c r="I335" s="250" t="s">
        <v>349</v>
      </c>
      <c r="J335" s="269" t="s">
        <v>522</v>
      </c>
    </row>
    <row r="336" spans="2:10" x14ac:dyDescent="0.3">
      <c r="B336" s="246">
        <v>46196</v>
      </c>
      <c r="C336" s="251" t="s">
        <v>965</v>
      </c>
      <c r="D336" s="252" t="s">
        <v>463</v>
      </c>
      <c r="E336" s="251" t="s">
        <v>372</v>
      </c>
      <c r="F336" s="70">
        <v>44.13</v>
      </c>
      <c r="G336" s="253" t="s">
        <v>366</v>
      </c>
      <c r="H336" s="253" t="s">
        <v>426</v>
      </c>
      <c r="I336" s="254" t="s">
        <v>349</v>
      </c>
      <c r="J336" s="269" t="s">
        <v>966</v>
      </c>
    </row>
    <row r="337" spans="2:10" x14ac:dyDescent="0.3">
      <c r="B337" s="246">
        <v>46197</v>
      </c>
      <c r="C337" s="247" t="s">
        <v>967</v>
      </c>
      <c r="D337" s="248" t="s">
        <v>475</v>
      </c>
      <c r="E337" s="247" t="s">
        <v>387</v>
      </c>
      <c r="F337" s="67">
        <v>72</v>
      </c>
      <c r="G337" s="249" t="s">
        <v>366</v>
      </c>
      <c r="H337" s="249" t="s">
        <v>426</v>
      </c>
      <c r="I337" s="250" t="s">
        <v>349</v>
      </c>
      <c r="J337" s="269" t="s">
        <v>968</v>
      </c>
    </row>
    <row r="338" spans="2:10" x14ac:dyDescent="0.3">
      <c r="B338" s="246">
        <v>46197</v>
      </c>
      <c r="C338" s="251" t="s">
        <v>969</v>
      </c>
      <c r="D338" s="252" t="s">
        <v>475</v>
      </c>
      <c r="E338" s="251" t="s">
        <v>372</v>
      </c>
      <c r="F338" s="70">
        <v>54.33</v>
      </c>
      <c r="G338" s="253" t="s">
        <v>366</v>
      </c>
      <c r="H338" s="253" t="s">
        <v>426</v>
      </c>
      <c r="I338" s="254" t="s">
        <v>349</v>
      </c>
      <c r="J338" s="269" t="s">
        <v>970</v>
      </c>
    </row>
    <row r="339" spans="2:10" x14ac:dyDescent="0.3">
      <c r="B339" s="246">
        <v>46197</v>
      </c>
      <c r="C339" s="247" t="s">
        <v>971</v>
      </c>
      <c r="D339" s="248" t="s">
        <v>432</v>
      </c>
      <c r="E339" s="247" t="s">
        <v>387</v>
      </c>
      <c r="F339" s="67">
        <v>479.84</v>
      </c>
      <c r="G339" s="249" t="s">
        <v>366</v>
      </c>
      <c r="H339" s="249" t="s">
        <v>426</v>
      </c>
      <c r="I339" s="250" t="s">
        <v>349</v>
      </c>
      <c r="J339" s="269" t="s">
        <v>972</v>
      </c>
    </row>
    <row r="340" spans="2:10" x14ac:dyDescent="0.3">
      <c r="B340" s="246">
        <v>46197</v>
      </c>
      <c r="C340" s="251" t="s">
        <v>973</v>
      </c>
      <c r="D340" s="252" t="s">
        <v>432</v>
      </c>
      <c r="E340" s="251" t="s">
        <v>369</v>
      </c>
      <c r="F340" s="70">
        <v>1032.1600000000001</v>
      </c>
      <c r="G340" s="253" t="s">
        <v>366</v>
      </c>
      <c r="H340" s="253" t="s">
        <v>426</v>
      </c>
      <c r="I340" s="254" t="s">
        <v>349</v>
      </c>
      <c r="J340" s="269" t="s">
        <v>974</v>
      </c>
    </row>
    <row r="341" spans="2:10" x14ac:dyDescent="0.3">
      <c r="B341" s="246">
        <v>46197</v>
      </c>
      <c r="C341" s="247" t="s">
        <v>975</v>
      </c>
      <c r="D341" s="248" t="s">
        <v>976</v>
      </c>
      <c r="E341" s="247" t="s">
        <v>977</v>
      </c>
      <c r="F341" s="67">
        <v>1499.52</v>
      </c>
      <c r="G341" s="249" t="s">
        <v>366</v>
      </c>
      <c r="H341" s="249" t="s">
        <v>367</v>
      </c>
      <c r="I341" s="250" t="s">
        <v>349</v>
      </c>
      <c r="J341" s="269" t="s">
        <v>978</v>
      </c>
    </row>
    <row r="342" spans="2:10" x14ac:dyDescent="0.3">
      <c r="B342" s="246">
        <v>46197</v>
      </c>
      <c r="C342" s="251" t="s">
        <v>979</v>
      </c>
      <c r="D342" s="252" t="s">
        <v>408</v>
      </c>
      <c r="E342" s="251" t="s">
        <v>384</v>
      </c>
      <c r="F342" s="70">
        <v>360.5</v>
      </c>
      <c r="G342" s="253" t="s">
        <v>366</v>
      </c>
      <c r="H342" s="253" t="s">
        <v>367</v>
      </c>
      <c r="I342" s="254" t="s">
        <v>349</v>
      </c>
      <c r="J342" s="269" t="s">
        <v>980</v>
      </c>
    </row>
    <row r="343" spans="2:10" x14ac:dyDescent="0.3">
      <c r="B343" s="246">
        <v>46197</v>
      </c>
      <c r="C343" s="247" t="s">
        <v>981</v>
      </c>
      <c r="D343" s="248" t="s">
        <v>848</v>
      </c>
      <c r="E343" s="247" t="s">
        <v>429</v>
      </c>
      <c r="F343" s="67">
        <v>150</v>
      </c>
      <c r="G343" s="249" t="s">
        <v>366</v>
      </c>
      <c r="H343" s="249" t="s">
        <v>367</v>
      </c>
      <c r="I343" s="250" t="s">
        <v>349</v>
      </c>
      <c r="J343" s="269" t="s">
        <v>982</v>
      </c>
    </row>
    <row r="344" spans="2:10" x14ac:dyDescent="0.3">
      <c r="B344" s="246">
        <v>46197</v>
      </c>
      <c r="C344" s="251" t="s">
        <v>983</v>
      </c>
      <c r="D344" s="252" t="s">
        <v>757</v>
      </c>
      <c r="E344" s="251" t="s">
        <v>378</v>
      </c>
      <c r="F344" s="70">
        <v>133</v>
      </c>
      <c r="G344" s="253" t="s">
        <v>366</v>
      </c>
      <c r="H344" s="253" t="s">
        <v>367</v>
      </c>
      <c r="I344" s="254" t="s">
        <v>349</v>
      </c>
      <c r="J344" s="269" t="s">
        <v>522</v>
      </c>
    </row>
    <row r="345" spans="2:10" x14ac:dyDescent="0.3">
      <c r="B345" s="246">
        <v>46198</v>
      </c>
      <c r="C345" s="247" t="s">
        <v>984</v>
      </c>
      <c r="D345" s="248" t="s">
        <v>876</v>
      </c>
      <c r="E345" s="247" t="s">
        <v>365</v>
      </c>
      <c r="F345" s="67">
        <v>615</v>
      </c>
      <c r="G345" s="249" t="s">
        <v>366</v>
      </c>
      <c r="H345" s="249" t="s">
        <v>367</v>
      </c>
      <c r="I345" s="250" t="s">
        <v>349</v>
      </c>
      <c r="J345" s="269" t="s">
        <v>985</v>
      </c>
    </row>
    <row r="346" spans="2:10" x14ac:dyDescent="0.3">
      <c r="B346" s="246">
        <v>46198</v>
      </c>
      <c r="C346" s="251" t="s">
        <v>986</v>
      </c>
      <c r="D346" s="252" t="s">
        <v>564</v>
      </c>
      <c r="E346" s="251" t="s">
        <v>365</v>
      </c>
      <c r="F346" s="70">
        <v>318</v>
      </c>
      <c r="G346" s="253" t="s">
        <v>366</v>
      </c>
      <c r="H346" s="253" t="s">
        <v>426</v>
      </c>
      <c r="I346" s="254" t="s">
        <v>349</v>
      </c>
      <c r="J346" s="269" t="s">
        <v>987</v>
      </c>
    </row>
    <row r="347" spans="2:10" x14ac:dyDescent="0.3">
      <c r="B347" s="246">
        <v>46198</v>
      </c>
      <c r="C347" s="247" t="s">
        <v>983</v>
      </c>
      <c r="D347" s="248" t="s">
        <v>757</v>
      </c>
      <c r="E347" s="247" t="s">
        <v>378</v>
      </c>
      <c r="F347" s="67">
        <v>64</v>
      </c>
      <c r="G347" s="249" t="s">
        <v>366</v>
      </c>
      <c r="H347" s="249" t="s">
        <v>367</v>
      </c>
      <c r="I347" s="250" t="s">
        <v>349</v>
      </c>
      <c r="J347" s="269" t="s">
        <v>522</v>
      </c>
    </row>
    <row r="348" spans="2:10" x14ac:dyDescent="0.3">
      <c r="B348" s="246">
        <v>46198</v>
      </c>
      <c r="C348" s="251" t="s">
        <v>953</v>
      </c>
      <c r="D348" s="252" t="s">
        <v>757</v>
      </c>
      <c r="E348" s="251" t="s">
        <v>372</v>
      </c>
      <c r="F348" s="70">
        <v>96</v>
      </c>
      <c r="G348" s="253" t="s">
        <v>366</v>
      </c>
      <c r="H348" s="253" t="s">
        <v>367</v>
      </c>
      <c r="I348" s="254" t="s">
        <v>349</v>
      </c>
      <c r="J348" s="269" t="s">
        <v>522</v>
      </c>
    </row>
    <row r="349" spans="2:10" x14ac:dyDescent="0.3">
      <c r="B349" s="246">
        <v>46198</v>
      </c>
      <c r="C349" s="247" t="s">
        <v>952</v>
      </c>
      <c r="D349" s="248" t="s">
        <v>757</v>
      </c>
      <c r="E349" s="247" t="s">
        <v>389</v>
      </c>
      <c r="F349" s="67">
        <v>60</v>
      </c>
      <c r="G349" s="249" t="s">
        <v>366</v>
      </c>
      <c r="H349" s="249" t="s">
        <v>367</v>
      </c>
      <c r="I349" s="250" t="s">
        <v>349</v>
      </c>
      <c r="J349" s="269" t="s">
        <v>522</v>
      </c>
    </row>
    <row r="350" spans="2:10" x14ac:dyDescent="0.3">
      <c r="B350" s="246">
        <v>46198</v>
      </c>
      <c r="C350" s="251" t="s">
        <v>988</v>
      </c>
      <c r="D350" s="252" t="s">
        <v>757</v>
      </c>
      <c r="E350" s="251" t="s">
        <v>907</v>
      </c>
      <c r="F350" s="70">
        <v>45</v>
      </c>
      <c r="G350" s="253" t="s">
        <v>366</v>
      </c>
      <c r="H350" s="253" t="s">
        <v>367</v>
      </c>
      <c r="I350" s="254" t="s">
        <v>349</v>
      </c>
      <c r="J350" s="269" t="s">
        <v>522</v>
      </c>
    </row>
    <row r="351" spans="2:10" x14ac:dyDescent="0.3">
      <c r="B351" s="246">
        <v>46198</v>
      </c>
      <c r="C351" s="247" t="s">
        <v>989</v>
      </c>
      <c r="D351" s="248" t="s">
        <v>757</v>
      </c>
      <c r="E351" s="247" t="s">
        <v>389</v>
      </c>
      <c r="F351" s="67">
        <v>30</v>
      </c>
      <c r="G351" s="249" t="s">
        <v>366</v>
      </c>
      <c r="H351" s="249" t="s">
        <v>367</v>
      </c>
      <c r="I351" s="250" t="s">
        <v>349</v>
      </c>
      <c r="J351" s="269" t="s">
        <v>522</v>
      </c>
    </row>
    <row r="352" spans="2:10" x14ac:dyDescent="0.3">
      <c r="B352" s="246">
        <v>46199</v>
      </c>
      <c r="C352" s="251" t="s">
        <v>990</v>
      </c>
      <c r="D352" s="252" t="s">
        <v>475</v>
      </c>
      <c r="E352" s="251" t="s">
        <v>378</v>
      </c>
      <c r="F352" s="70">
        <v>45.74</v>
      </c>
      <c r="G352" s="253" t="s">
        <v>366</v>
      </c>
      <c r="H352" s="253" t="s">
        <v>426</v>
      </c>
      <c r="I352" s="254" t="s">
        <v>349</v>
      </c>
      <c r="J352" s="269" t="s">
        <v>991</v>
      </c>
    </row>
    <row r="353" spans="2:10" x14ac:dyDescent="0.3">
      <c r="B353" s="246">
        <v>46199</v>
      </c>
      <c r="C353" s="247" t="s">
        <v>969</v>
      </c>
      <c r="D353" s="248" t="s">
        <v>475</v>
      </c>
      <c r="E353" s="247" t="s">
        <v>372</v>
      </c>
      <c r="F353" s="67">
        <v>53.79</v>
      </c>
      <c r="G353" s="249" t="s">
        <v>366</v>
      </c>
      <c r="H353" s="249" t="s">
        <v>426</v>
      </c>
      <c r="I353" s="250" t="s">
        <v>349</v>
      </c>
      <c r="J353" s="269" t="s">
        <v>970</v>
      </c>
    </row>
    <row r="354" spans="2:10" x14ac:dyDescent="0.3">
      <c r="B354" s="246">
        <v>46199</v>
      </c>
      <c r="C354" s="251" t="s">
        <v>992</v>
      </c>
      <c r="D354" s="252" t="s">
        <v>506</v>
      </c>
      <c r="E354" s="251" t="s">
        <v>369</v>
      </c>
      <c r="F354" s="70">
        <v>14</v>
      </c>
      <c r="G354" s="253" t="s">
        <v>366</v>
      </c>
      <c r="H354" s="253" t="s">
        <v>367</v>
      </c>
      <c r="I354" s="254" t="s">
        <v>349</v>
      </c>
      <c r="J354" s="269" t="s">
        <v>993</v>
      </c>
    </row>
    <row r="355" spans="2:10" x14ac:dyDescent="0.3">
      <c r="B355" s="246">
        <v>46199</v>
      </c>
      <c r="C355" s="247" t="s">
        <v>775</v>
      </c>
      <c r="D355" s="248" t="s">
        <v>757</v>
      </c>
      <c r="E355" s="247" t="s">
        <v>378</v>
      </c>
      <c r="F355" s="67">
        <v>40</v>
      </c>
      <c r="G355" s="249" t="s">
        <v>366</v>
      </c>
      <c r="H355" s="249" t="s">
        <v>367</v>
      </c>
      <c r="I355" s="250" t="s">
        <v>349</v>
      </c>
      <c r="J355" s="269" t="s">
        <v>522</v>
      </c>
    </row>
    <row r="356" spans="2:10" x14ac:dyDescent="0.3">
      <c r="B356" s="246">
        <v>46199</v>
      </c>
      <c r="C356" s="251" t="s">
        <v>833</v>
      </c>
      <c r="D356" s="252" t="s">
        <v>757</v>
      </c>
      <c r="E356" s="251" t="s">
        <v>387</v>
      </c>
      <c r="F356" s="70">
        <v>592</v>
      </c>
      <c r="G356" s="253" t="s">
        <v>366</v>
      </c>
      <c r="H356" s="253" t="s">
        <v>367</v>
      </c>
      <c r="I356" s="254" t="s">
        <v>349</v>
      </c>
      <c r="J356" s="269" t="s">
        <v>522</v>
      </c>
    </row>
    <row r="357" spans="2:10" x14ac:dyDescent="0.3">
      <c r="B357" s="246">
        <v>46201</v>
      </c>
      <c r="C357" s="247" t="s">
        <v>994</v>
      </c>
      <c r="D357" s="248" t="s">
        <v>995</v>
      </c>
      <c r="E357" s="247" t="s">
        <v>920</v>
      </c>
      <c r="F357" s="67">
        <v>134.16</v>
      </c>
      <c r="G357" s="249" t="s">
        <v>366</v>
      </c>
      <c r="H357" s="249" t="s">
        <v>367</v>
      </c>
      <c r="I357" s="250" t="s">
        <v>349</v>
      </c>
      <c r="J357" s="269" t="s">
        <v>996</v>
      </c>
    </row>
    <row r="358" spans="2:10" x14ac:dyDescent="0.3">
      <c r="B358" s="246">
        <v>46201</v>
      </c>
      <c r="C358" s="251" t="s">
        <v>997</v>
      </c>
      <c r="D358" s="252" t="s">
        <v>998</v>
      </c>
      <c r="E358" s="251" t="s">
        <v>389</v>
      </c>
      <c r="F358" s="70">
        <v>395</v>
      </c>
      <c r="G358" s="253" t="s">
        <v>366</v>
      </c>
      <c r="H358" s="253" t="s">
        <v>426</v>
      </c>
      <c r="I358" s="254" t="s">
        <v>349</v>
      </c>
      <c r="J358" s="269" t="s">
        <v>999</v>
      </c>
    </row>
    <row r="359" spans="2:10" x14ac:dyDescent="0.3">
      <c r="B359" s="246">
        <v>46201</v>
      </c>
      <c r="C359" s="247" t="s">
        <v>1000</v>
      </c>
      <c r="D359" s="248" t="s">
        <v>631</v>
      </c>
      <c r="E359" s="247" t="s">
        <v>389</v>
      </c>
      <c r="F359" s="67">
        <v>104.4</v>
      </c>
      <c r="G359" s="249" t="s">
        <v>366</v>
      </c>
      <c r="H359" s="249" t="s">
        <v>426</v>
      </c>
      <c r="I359" s="250" t="s">
        <v>349</v>
      </c>
      <c r="J359" s="269" t="s">
        <v>1001</v>
      </c>
    </row>
    <row r="360" spans="2:10" x14ac:dyDescent="0.3">
      <c r="B360" s="246">
        <v>46201</v>
      </c>
      <c r="C360" s="251" t="s">
        <v>1002</v>
      </c>
      <c r="D360" s="252" t="s">
        <v>631</v>
      </c>
      <c r="E360" s="251" t="s">
        <v>389</v>
      </c>
      <c r="F360" s="70">
        <v>828</v>
      </c>
      <c r="G360" s="253" t="s">
        <v>366</v>
      </c>
      <c r="H360" s="253" t="s">
        <v>426</v>
      </c>
      <c r="I360" s="254" t="s">
        <v>349</v>
      </c>
      <c r="J360" s="269" t="s">
        <v>1003</v>
      </c>
    </row>
    <row r="361" spans="2:10" x14ac:dyDescent="0.3">
      <c r="B361" s="246">
        <v>46201</v>
      </c>
      <c r="C361" s="247" t="s">
        <v>1004</v>
      </c>
      <c r="D361" s="248" t="s">
        <v>998</v>
      </c>
      <c r="E361" s="247" t="s">
        <v>369</v>
      </c>
      <c r="F361" s="67">
        <v>96</v>
      </c>
      <c r="G361" s="249" t="s">
        <v>366</v>
      </c>
      <c r="H361" s="249" t="s">
        <v>426</v>
      </c>
      <c r="I361" s="250" t="s">
        <v>349</v>
      </c>
      <c r="J361" s="269" t="s">
        <v>1005</v>
      </c>
    </row>
    <row r="362" spans="2:10" x14ac:dyDescent="0.3">
      <c r="B362" s="246">
        <v>46201</v>
      </c>
      <c r="C362" s="251" t="s">
        <v>1006</v>
      </c>
      <c r="D362" s="252" t="s">
        <v>998</v>
      </c>
      <c r="E362" s="251" t="s">
        <v>389</v>
      </c>
      <c r="F362" s="70">
        <v>297.5</v>
      </c>
      <c r="G362" s="253" t="s">
        <v>366</v>
      </c>
      <c r="H362" s="253" t="s">
        <v>426</v>
      </c>
      <c r="I362" s="254" t="s">
        <v>349</v>
      </c>
      <c r="J362" s="269" t="s">
        <v>1007</v>
      </c>
    </row>
    <row r="363" spans="2:10" x14ac:dyDescent="0.3">
      <c r="B363" s="246">
        <v>46201</v>
      </c>
      <c r="C363" s="247" t="s">
        <v>1008</v>
      </c>
      <c r="D363" s="248" t="s">
        <v>998</v>
      </c>
      <c r="E363" s="247" t="s">
        <v>389</v>
      </c>
      <c r="F363" s="67">
        <v>340</v>
      </c>
      <c r="G363" s="249" t="s">
        <v>366</v>
      </c>
      <c r="H363" s="249" t="s">
        <v>426</v>
      </c>
      <c r="I363" s="250" t="s">
        <v>349</v>
      </c>
      <c r="J363" s="269" t="s">
        <v>1009</v>
      </c>
    </row>
    <row r="364" spans="2:10" x14ac:dyDescent="0.3">
      <c r="B364" s="246">
        <v>46201</v>
      </c>
      <c r="C364" s="251" t="s">
        <v>1010</v>
      </c>
      <c r="D364" s="252" t="s">
        <v>757</v>
      </c>
      <c r="E364" s="251" t="s">
        <v>401</v>
      </c>
      <c r="F364" s="70">
        <v>89</v>
      </c>
      <c r="G364" s="253" t="s">
        <v>366</v>
      </c>
      <c r="H364" s="253" t="s">
        <v>367</v>
      </c>
      <c r="I364" s="254" t="s">
        <v>349</v>
      </c>
      <c r="J364" s="269" t="s">
        <v>522</v>
      </c>
    </row>
    <row r="365" spans="2:10" x14ac:dyDescent="0.3">
      <c r="B365" s="246">
        <v>46201</v>
      </c>
      <c r="C365" s="247" t="s">
        <v>1011</v>
      </c>
      <c r="D365" s="248" t="s">
        <v>757</v>
      </c>
      <c r="E365" s="247" t="s">
        <v>378</v>
      </c>
      <c r="F365" s="67">
        <v>80</v>
      </c>
      <c r="G365" s="249" t="s">
        <v>366</v>
      </c>
      <c r="H365" s="249" t="s">
        <v>367</v>
      </c>
      <c r="I365" s="250" t="s">
        <v>349</v>
      </c>
      <c r="J365" s="269" t="s">
        <v>522</v>
      </c>
    </row>
    <row r="366" spans="2:10" x14ac:dyDescent="0.3">
      <c r="B366" s="246">
        <v>46201</v>
      </c>
      <c r="C366" s="251" t="s">
        <v>1012</v>
      </c>
      <c r="D366" s="252" t="s">
        <v>757</v>
      </c>
      <c r="E366" s="251" t="s">
        <v>378</v>
      </c>
      <c r="F366" s="70">
        <v>80</v>
      </c>
      <c r="G366" s="253" t="s">
        <v>366</v>
      </c>
      <c r="H366" s="253" t="s">
        <v>367</v>
      </c>
      <c r="I366" s="254" t="s">
        <v>349</v>
      </c>
      <c r="J366" s="269" t="s">
        <v>522</v>
      </c>
    </row>
    <row r="367" spans="2:10" x14ac:dyDescent="0.3">
      <c r="B367" s="246">
        <v>46201</v>
      </c>
      <c r="C367" s="247" t="s">
        <v>983</v>
      </c>
      <c r="D367" s="248" t="s">
        <v>757</v>
      </c>
      <c r="E367" s="247" t="s">
        <v>378</v>
      </c>
      <c r="F367" s="67">
        <v>195</v>
      </c>
      <c r="G367" s="249" t="s">
        <v>366</v>
      </c>
      <c r="H367" s="249" t="s">
        <v>367</v>
      </c>
      <c r="I367" s="250" t="s">
        <v>349</v>
      </c>
      <c r="J367" s="269" t="s">
        <v>522</v>
      </c>
    </row>
    <row r="368" spans="2:10" x14ac:dyDescent="0.3">
      <c r="B368" s="246">
        <v>46201</v>
      </c>
      <c r="C368" s="251" t="s">
        <v>1013</v>
      </c>
      <c r="D368" s="252" t="s">
        <v>757</v>
      </c>
      <c r="E368" s="251" t="s">
        <v>401</v>
      </c>
      <c r="F368" s="70">
        <v>100</v>
      </c>
      <c r="G368" s="253" t="s">
        <v>366</v>
      </c>
      <c r="H368" s="253" t="s">
        <v>367</v>
      </c>
      <c r="I368" s="254" t="s">
        <v>349</v>
      </c>
      <c r="J368" s="269" t="s">
        <v>522</v>
      </c>
    </row>
    <row r="369" spans="2:10" x14ac:dyDescent="0.3">
      <c r="B369" s="246">
        <v>46201</v>
      </c>
      <c r="C369" s="247" t="s">
        <v>1014</v>
      </c>
      <c r="D369" s="248" t="s">
        <v>757</v>
      </c>
      <c r="E369" s="247" t="s">
        <v>401</v>
      </c>
      <c r="F369" s="67">
        <v>54</v>
      </c>
      <c r="G369" s="249" t="s">
        <v>366</v>
      </c>
      <c r="H369" s="249" t="s">
        <v>367</v>
      </c>
      <c r="I369" s="250" t="s">
        <v>349</v>
      </c>
      <c r="J369" s="269" t="s">
        <v>522</v>
      </c>
    </row>
    <row r="370" spans="2:10" x14ac:dyDescent="0.3">
      <c r="B370" s="246">
        <v>46201</v>
      </c>
      <c r="C370" s="251" t="s">
        <v>1015</v>
      </c>
      <c r="D370" s="252" t="s">
        <v>757</v>
      </c>
      <c r="E370" s="251" t="s">
        <v>378</v>
      </c>
      <c r="F370" s="70">
        <v>80</v>
      </c>
      <c r="G370" s="253" t="s">
        <v>366</v>
      </c>
      <c r="H370" s="253" t="s">
        <v>367</v>
      </c>
      <c r="I370" s="254" t="s">
        <v>349</v>
      </c>
      <c r="J370" s="269" t="s">
        <v>522</v>
      </c>
    </row>
    <row r="371" spans="2:10" x14ac:dyDescent="0.3">
      <c r="B371" s="246">
        <v>46201</v>
      </c>
      <c r="C371" s="247" t="s">
        <v>581</v>
      </c>
      <c r="D371" s="248" t="s">
        <v>757</v>
      </c>
      <c r="E371" s="247" t="s">
        <v>378</v>
      </c>
      <c r="F371" s="67">
        <v>60</v>
      </c>
      <c r="G371" s="249" t="s">
        <v>366</v>
      </c>
      <c r="H371" s="249" t="s">
        <v>367</v>
      </c>
      <c r="I371" s="250" t="s">
        <v>349</v>
      </c>
      <c r="J371" s="269" t="s">
        <v>522</v>
      </c>
    </row>
    <row r="372" spans="2:10" x14ac:dyDescent="0.3">
      <c r="B372" s="246">
        <v>46201</v>
      </c>
      <c r="C372" s="251" t="s">
        <v>1016</v>
      </c>
      <c r="D372" s="252" t="s">
        <v>757</v>
      </c>
      <c r="E372" s="251" t="s">
        <v>378</v>
      </c>
      <c r="F372" s="70">
        <v>50</v>
      </c>
      <c r="G372" s="253" t="s">
        <v>366</v>
      </c>
      <c r="H372" s="253" t="s">
        <v>367</v>
      </c>
      <c r="I372" s="254" t="s">
        <v>349</v>
      </c>
      <c r="J372" s="269" t="s">
        <v>522</v>
      </c>
    </row>
    <row r="373" spans="2:10" x14ac:dyDescent="0.3">
      <c r="B373" s="246">
        <v>46201</v>
      </c>
      <c r="C373" s="247" t="s">
        <v>1017</v>
      </c>
      <c r="D373" s="248" t="s">
        <v>757</v>
      </c>
      <c r="E373" s="247" t="s">
        <v>378</v>
      </c>
      <c r="F373" s="67">
        <v>80</v>
      </c>
      <c r="G373" s="249" t="s">
        <v>366</v>
      </c>
      <c r="H373" s="249" t="s">
        <v>367</v>
      </c>
      <c r="I373" s="250" t="s">
        <v>349</v>
      </c>
      <c r="J373" s="269" t="s">
        <v>522</v>
      </c>
    </row>
    <row r="374" spans="2:10" x14ac:dyDescent="0.3">
      <c r="B374" s="246">
        <v>46201</v>
      </c>
      <c r="C374" s="251" t="s">
        <v>1018</v>
      </c>
      <c r="D374" s="252" t="s">
        <v>757</v>
      </c>
      <c r="E374" s="251" t="s">
        <v>378</v>
      </c>
      <c r="F374" s="70">
        <v>148</v>
      </c>
      <c r="G374" s="253" t="s">
        <v>366</v>
      </c>
      <c r="H374" s="253" t="s">
        <v>367</v>
      </c>
      <c r="I374" s="254" t="s">
        <v>349</v>
      </c>
      <c r="J374" s="269" t="s">
        <v>522</v>
      </c>
    </row>
    <row r="375" spans="2:10" x14ac:dyDescent="0.3">
      <c r="B375" s="246">
        <v>46201</v>
      </c>
      <c r="C375" s="247" t="s">
        <v>1019</v>
      </c>
      <c r="D375" s="248" t="s">
        <v>757</v>
      </c>
      <c r="E375" s="247" t="s">
        <v>378</v>
      </c>
      <c r="F375" s="67">
        <v>30</v>
      </c>
      <c r="G375" s="249" t="s">
        <v>366</v>
      </c>
      <c r="H375" s="249" t="s">
        <v>367</v>
      </c>
      <c r="I375" s="250" t="s">
        <v>349</v>
      </c>
      <c r="J375" s="269" t="s">
        <v>522</v>
      </c>
    </row>
    <row r="376" spans="2:10" x14ac:dyDescent="0.3">
      <c r="B376" s="246">
        <v>46201</v>
      </c>
      <c r="C376" s="251" t="s">
        <v>1020</v>
      </c>
      <c r="D376" s="252" t="s">
        <v>757</v>
      </c>
      <c r="E376" s="251" t="s">
        <v>401</v>
      </c>
      <c r="F376" s="70">
        <v>20</v>
      </c>
      <c r="G376" s="253" t="s">
        <v>366</v>
      </c>
      <c r="H376" s="253" t="s">
        <v>367</v>
      </c>
      <c r="I376" s="254" t="s">
        <v>349</v>
      </c>
      <c r="J376" s="269" t="s">
        <v>522</v>
      </c>
    </row>
    <row r="377" spans="2:10" x14ac:dyDescent="0.3">
      <c r="B377" s="246">
        <v>46201</v>
      </c>
      <c r="C377" s="247" t="s">
        <v>1021</v>
      </c>
      <c r="D377" s="248" t="s">
        <v>757</v>
      </c>
      <c r="E377" s="247" t="s">
        <v>378</v>
      </c>
      <c r="F377" s="67">
        <v>211</v>
      </c>
      <c r="G377" s="249" t="s">
        <v>366</v>
      </c>
      <c r="H377" s="249" t="s">
        <v>367</v>
      </c>
      <c r="I377" s="250" t="s">
        <v>349</v>
      </c>
      <c r="J377" s="269" t="s">
        <v>522</v>
      </c>
    </row>
    <row r="378" spans="2:10" x14ac:dyDescent="0.3">
      <c r="B378" s="246">
        <v>46201</v>
      </c>
      <c r="C378" s="251" t="s">
        <v>1022</v>
      </c>
      <c r="D378" s="252" t="s">
        <v>757</v>
      </c>
      <c r="E378" s="251" t="s">
        <v>401</v>
      </c>
      <c r="F378" s="70">
        <v>324</v>
      </c>
      <c r="G378" s="253" t="s">
        <v>366</v>
      </c>
      <c r="H378" s="253" t="s">
        <v>367</v>
      </c>
      <c r="I378" s="254" t="s">
        <v>349</v>
      </c>
      <c r="J378" s="269" t="s">
        <v>522</v>
      </c>
    </row>
    <row r="379" spans="2:10" x14ac:dyDescent="0.3">
      <c r="B379" s="246">
        <v>46199</v>
      </c>
      <c r="C379" s="247" t="s">
        <v>1023</v>
      </c>
      <c r="D379" s="248" t="s">
        <v>896</v>
      </c>
      <c r="E379" s="247" t="s">
        <v>418</v>
      </c>
      <c r="F379" s="67">
        <v>1200</v>
      </c>
      <c r="G379" s="249" t="s">
        <v>366</v>
      </c>
      <c r="H379" s="249" t="s">
        <v>367</v>
      </c>
      <c r="I379" s="250" t="s">
        <v>349</v>
      </c>
      <c r="J379" s="269" t="s">
        <v>1024</v>
      </c>
    </row>
    <row r="380" spans="2:10" x14ac:dyDescent="0.3">
      <c r="B380" s="246">
        <v>46200</v>
      </c>
      <c r="C380" s="251" t="s">
        <v>1025</v>
      </c>
      <c r="D380" s="252" t="s">
        <v>896</v>
      </c>
      <c r="E380" s="251" t="s">
        <v>418</v>
      </c>
      <c r="F380" s="70">
        <v>3750</v>
      </c>
      <c r="G380" s="253" t="s">
        <v>366</v>
      </c>
      <c r="H380" s="253" t="s">
        <v>367</v>
      </c>
      <c r="I380" s="254" t="s">
        <v>349</v>
      </c>
      <c r="J380" s="269" t="s">
        <v>1026</v>
      </c>
    </row>
    <row r="381" spans="2:10" x14ac:dyDescent="0.3">
      <c r="B381" s="246">
        <v>46200</v>
      </c>
      <c r="C381" s="247" t="s">
        <v>1027</v>
      </c>
      <c r="D381" s="248" t="s">
        <v>896</v>
      </c>
      <c r="E381" s="247" t="s">
        <v>418</v>
      </c>
      <c r="F381" s="67">
        <v>1500</v>
      </c>
      <c r="G381" s="249" t="s">
        <v>366</v>
      </c>
      <c r="H381" s="249" t="s">
        <v>367</v>
      </c>
      <c r="I381" s="250" t="s">
        <v>349</v>
      </c>
      <c r="J381" s="269" t="s">
        <v>1026</v>
      </c>
    </row>
    <row r="382" spans="2:10" x14ac:dyDescent="0.3">
      <c r="B382" s="246">
        <v>46201</v>
      </c>
      <c r="C382" s="251" t="s">
        <v>1028</v>
      </c>
      <c r="D382" s="252" t="s">
        <v>1029</v>
      </c>
      <c r="E382" s="251" t="s">
        <v>907</v>
      </c>
      <c r="F382" s="70">
        <v>69</v>
      </c>
      <c r="G382" s="253" t="s">
        <v>366</v>
      </c>
      <c r="H382" s="253" t="s">
        <v>367</v>
      </c>
      <c r="I382" s="254" t="s">
        <v>349</v>
      </c>
      <c r="J382" s="269" t="s">
        <v>1030</v>
      </c>
    </row>
    <row r="383" spans="2:10" x14ac:dyDescent="0.3">
      <c r="B383" s="246">
        <v>46202</v>
      </c>
      <c r="C383" s="247" t="s">
        <v>1031</v>
      </c>
      <c r="D383" s="248" t="s">
        <v>475</v>
      </c>
      <c r="E383" s="247" t="s">
        <v>372</v>
      </c>
      <c r="F383" s="67">
        <v>144.51</v>
      </c>
      <c r="G383" s="249" t="s">
        <v>366</v>
      </c>
      <c r="H383" s="249" t="s">
        <v>426</v>
      </c>
      <c r="I383" s="250" t="s">
        <v>349</v>
      </c>
      <c r="J383" s="269" t="s">
        <v>1032</v>
      </c>
    </row>
    <row r="384" spans="2:10" x14ac:dyDescent="0.3">
      <c r="B384" s="246">
        <v>46202</v>
      </c>
      <c r="C384" s="251" t="s">
        <v>1033</v>
      </c>
      <c r="D384" s="252" t="s">
        <v>876</v>
      </c>
      <c r="E384" s="251" t="s">
        <v>365</v>
      </c>
      <c r="F384" s="70">
        <v>493</v>
      </c>
      <c r="G384" s="253" t="s">
        <v>366</v>
      </c>
      <c r="H384" s="253" t="s">
        <v>367</v>
      </c>
      <c r="I384" s="254" t="s">
        <v>349</v>
      </c>
      <c r="J384" s="269" t="s">
        <v>1034</v>
      </c>
    </row>
    <row r="385" spans="2:10" x14ac:dyDescent="0.3">
      <c r="B385" s="246">
        <v>46202</v>
      </c>
      <c r="C385" s="247" t="s">
        <v>1035</v>
      </c>
      <c r="D385" s="248" t="s">
        <v>876</v>
      </c>
      <c r="E385" s="247" t="s">
        <v>365</v>
      </c>
      <c r="F385" s="67">
        <v>474</v>
      </c>
      <c r="G385" s="249" t="s">
        <v>366</v>
      </c>
      <c r="H385" s="249" t="s">
        <v>367</v>
      </c>
      <c r="I385" s="250" t="s">
        <v>349</v>
      </c>
      <c r="J385" s="269" t="s">
        <v>1036</v>
      </c>
    </row>
    <row r="386" spans="2:10" x14ac:dyDescent="0.3">
      <c r="B386" s="246">
        <v>46202</v>
      </c>
      <c r="C386" s="251" t="s">
        <v>1037</v>
      </c>
      <c r="D386" s="252" t="s">
        <v>720</v>
      </c>
      <c r="E386" s="251" t="s">
        <v>369</v>
      </c>
      <c r="F386" s="70">
        <v>56</v>
      </c>
      <c r="G386" s="253" t="s">
        <v>366</v>
      </c>
      <c r="H386" s="253" t="s">
        <v>367</v>
      </c>
      <c r="I386" s="254" t="s">
        <v>349</v>
      </c>
      <c r="J386" s="269" t="s">
        <v>1038</v>
      </c>
    </row>
    <row r="387" spans="2:10" x14ac:dyDescent="0.3">
      <c r="B387" s="246">
        <v>46202</v>
      </c>
      <c r="C387" s="247" t="s">
        <v>1039</v>
      </c>
      <c r="D387" s="248" t="s">
        <v>494</v>
      </c>
      <c r="E387" s="247" t="s">
        <v>365</v>
      </c>
      <c r="F387" s="67">
        <v>177.76</v>
      </c>
      <c r="G387" s="249" t="s">
        <v>366</v>
      </c>
      <c r="H387" s="249" t="s">
        <v>426</v>
      </c>
      <c r="I387" s="250" t="s">
        <v>349</v>
      </c>
      <c r="J387" s="269" t="s">
        <v>1040</v>
      </c>
    </row>
    <row r="388" spans="2:10" x14ac:dyDescent="0.3">
      <c r="B388" s="246">
        <v>46202</v>
      </c>
      <c r="C388" s="251" t="s">
        <v>1041</v>
      </c>
      <c r="D388" s="252" t="s">
        <v>1042</v>
      </c>
      <c r="E388" s="251" t="s">
        <v>365</v>
      </c>
      <c r="F388" s="70">
        <v>284</v>
      </c>
      <c r="G388" s="253" t="s">
        <v>366</v>
      </c>
      <c r="H388" s="253" t="s">
        <v>367</v>
      </c>
      <c r="I388" s="254" t="s">
        <v>349</v>
      </c>
      <c r="J388" s="269" t="s">
        <v>1043</v>
      </c>
    </row>
    <row r="389" spans="2:10" x14ac:dyDescent="0.3">
      <c r="B389" s="246">
        <v>46202</v>
      </c>
      <c r="C389" s="247" t="s">
        <v>1044</v>
      </c>
      <c r="D389" s="248" t="s">
        <v>564</v>
      </c>
      <c r="E389" s="247" t="s">
        <v>365</v>
      </c>
      <c r="F389" s="67">
        <v>415</v>
      </c>
      <c r="G389" s="249" t="s">
        <v>366</v>
      </c>
      <c r="H389" s="249" t="s">
        <v>426</v>
      </c>
      <c r="I389" s="250" t="s">
        <v>349</v>
      </c>
      <c r="J389" s="269" t="s">
        <v>1045</v>
      </c>
    </row>
    <row r="390" spans="2:10" x14ac:dyDescent="0.3">
      <c r="B390" s="246">
        <v>46202</v>
      </c>
      <c r="C390" s="251" t="s">
        <v>1046</v>
      </c>
      <c r="D390" s="252" t="s">
        <v>564</v>
      </c>
      <c r="E390" s="251" t="s">
        <v>369</v>
      </c>
      <c r="F390" s="70">
        <v>639</v>
      </c>
      <c r="G390" s="253" t="s">
        <v>366</v>
      </c>
      <c r="H390" s="253" t="s">
        <v>426</v>
      </c>
      <c r="I390" s="254" t="s">
        <v>349</v>
      </c>
      <c r="J390" s="269" t="s">
        <v>1047</v>
      </c>
    </row>
    <row r="391" spans="2:10" x14ac:dyDescent="0.3">
      <c r="B391" s="246">
        <v>46173</v>
      </c>
      <c r="C391" s="247" t="s">
        <v>1048</v>
      </c>
      <c r="D391" s="248" t="s">
        <v>1049</v>
      </c>
      <c r="E391" s="247" t="s">
        <v>652</v>
      </c>
      <c r="F391" s="67">
        <v>10000</v>
      </c>
      <c r="G391" s="249" t="s">
        <v>598</v>
      </c>
      <c r="H391" s="249" t="s">
        <v>599</v>
      </c>
      <c r="I391" s="250" t="s">
        <v>349</v>
      </c>
      <c r="J391" s="269" t="s">
        <v>1050</v>
      </c>
    </row>
    <row r="392" spans="2:10" x14ac:dyDescent="0.3">
      <c r="B392" s="246">
        <v>46203</v>
      </c>
      <c r="C392" s="251" t="s">
        <v>1051</v>
      </c>
      <c r="D392" s="252" t="s">
        <v>522</v>
      </c>
      <c r="E392" s="251" t="s">
        <v>372</v>
      </c>
      <c r="F392" s="70">
        <v>96</v>
      </c>
      <c r="G392" s="253" t="s">
        <v>366</v>
      </c>
      <c r="H392" s="253" t="s">
        <v>367</v>
      </c>
      <c r="I392" s="254" t="s">
        <v>349</v>
      </c>
      <c r="J392" s="269" t="s">
        <v>1052</v>
      </c>
    </row>
    <row r="393" spans="2:10" x14ac:dyDescent="0.3">
      <c r="B393" s="246">
        <v>46203</v>
      </c>
      <c r="C393" s="247" t="s">
        <v>1053</v>
      </c>
      <c r="D393" s="248" t="s">
        <v>475</v>
      </c>
      <c r="E393" s="247" t="s">
        <v>372</v>
      </c>
      <c r="F393" s="67">
        <v>43.17</v>
      </c>
      <c r="G393" s="249" t="s">
        <v>366</v>
      </c>
      <c r="H393" s="249" t="s">
        <v>426</v>
      </c>
      <c r="I393" s="250" t="s">
        <v>349</v>
      </c>
      <c r="J393" s="269" t="s">
        <v>1054</v>
      </c>
    </row>
    <row r="394" spans="2:10" x14ac:dyDescent="0.3">
      <c r="B394" s="246">
        <v>46203</v>
      </c>
      <c r="C394" s="251" t="s">
        <v>1055</v>
      </c>
      <c r="D394" s="252" t="s">
        <v>1056</v>
      </c>
      <c r="E394" s="251" t="s">
        <v>372</v>
      </c>
      <c r="F394" s="70">
        <v>728</v>
      </c>
      <c r="G394" s="253" t="s">
        <v>366</v>
      </c>
      <c r="H394" s="253" t="s">
        <v>426</v>
      </c>
      <c r="I394" s="254" t="s">
        <v>349</v>
      </c>
      <c r="J394" s="269" t="s">
        <v>1057</v>
      </c>
    </row>
    <row r="395" spans="2:10" x14ac:dyDescent="0.3">
      <c r="B395" s="246">
        <v>46203</v>
      </c>
      <c r="C395" s="247" t="s">
        <v>1058</v>
      </c>
      <c r="D395" s="248" t="s">
        <v>703</v>
      </c>
      <c r="E395" s="247" t="s">
        <v>387</v>
      </c>
      <c r="F395" s="67">
        <v>278.10000000000002</v>
      </c>
      <c r="G395" s="249" t="s">
        <v>366</v>
      </c>
      <c r="H395" s="249" t="s">
        <v>367</v>
      </c>
      <c r="I395" s="250" t="s">
        <v>349</v>
      </c>
      <c r="J395" s="269" t="s">
        <v>1059</v>
      </c>
    </row>
    <row r="396" spans="2:10" x14ac:dyDescent="0.3">
      <c r="B396" s="246">
        <v>46203</v>
      </c>
      <c r="C396" s="251" t="s">
        <v>1060</v>
      </c>
      <c r="D396" s="252" t="s">
        <v>564</v>
      </c>
      <c r="E396" s="251" t="s">
        <v>771</v>
      </c>
      <c r="F396" s="70">
        <v>436</v>
      </c>
      <c r="G396" s="253" t="s">
        <v>366</v>
      </c>
      <c r="H396" s="253" t="s">
        <v>426</v>
      </c>
      <c r="I396" s="254" t="s">
        <v>349</v>
      </c>
      <c r="J396" s="269" t="s">
        <v>1061</v>
      </c>
    </row>
    <row r="397" spans="2:10" x14ac:dyDescent="0.3">
      <c r="B397" s="246">
        <v>46204</v>
      </c>
      <c r="C397" s="247" t="s">
        <v>1062</v>
      </c>
      <c r="D397" s="248" t="s">
        <v>395</v>
      </c>
      <c r="E397" s="247" t="s">
        <v>369</v>
      </c>
      <c r="F397" s="67">
        <v>56</v>
      </c>
      <c r="G397" s="249" t="s">
        <v>366</v>
      </c>
      <c r="H397" s="249" t="s">
        <v>367</v>
      </c>
      <c r="I397" s="250" t="s">
        <v>349</v>
      </c>
      <c r="J397" s="269" t="s">
        <v>1063</v>
      </c>
    </row>
    <row r="398" spans="2:10" x14ac:dyDescent="0.3">
      <c r="B398" s="246">
        <v>46204</v>
      </c>
      <c r="C398" s="251" t="s">
        <v>1064</v>
      </c>
      <c r="D398" s="252" t="s">
        <v>848</v>
      </c>
      <c r="E398" s="251" t="s">
        <v>429</v>
      </c>
      <c r="F398" s="70">
        <v>450</v>
      </c>
      <c r="G398" s="253" t="s">
        <v>366</v>
      </c>
      <c r="H398" s="253" t="s">
        <v>367</v>
      </c>
      <c r="I398" s="254" t="s">
        <v>349</v>
      </c>
      <c r="J398" s="269" t="s">
        <v>1065</v>
      </c>
    </row>
    <row r="399" spans="2:10" x14ac:dyDescent="0.3">
      <c r="B399" s="246">
        <v>46204</v>
      </c>
      <c r="C399" s="247" t="s">
        <v>1066</v>
      </c>
      <c r="D399" s="248" t="s">
        <v>494</v>
      </c>
      <c r="E399" s="247" t="s">
        <v>365</v>
      </c>
      <c r="F399" s="67">
        <v>73</v>
      </c>
      <c r="G399" s="249" t="s">
        <v>366</v>
      </c>
      <c r="H399" s="249" t="s">
        <v>426</v>
      </c>
      <c r="I399" s="250" t="s">
        <v>349</v>
      </c>
      <c r="J399" s="269" t="s">
        <v>1067</v>
      </c>
    </row>
    <row r="400" spans="2:10" x14ac:dyDescent="0.3">
      <c r="B400" s="246">
        <v>46204</v>
      </c>
      <c r="C400" s="251" t="s">
        <v>969</v>
      </c>
      <c r="D400" s="252" t="s">
        <v>475</v>
      </c>
      <c r="E400" s="251" t="s">
        <v>372</v>
      </c>
      <c r="F400" s="70">
        <v>55.93</v>
      </c>
      <c r="G400" s="253" t="s">
        <v>366</v>
      </c>
      <c r="H400" s="253" t="s">
        <v>426</v>
      </c>
      <c r="I400" s="254" t="s">
        <v>349</v>
      </c>
      <c r="J400" s="269" t="s">
        <v>1068</v>
      </c>
    </row>
    <row r="401" spans="2:10" x14ac:dyDescent="0.3">
      <c r="B401" s="246">
        <v>46204</v>
      </c>
      <c r="C401" s="247" t="s">
        <v>1069</v>
      </c>
      <c r="D401" s="248" t="s">
        <v>1070</v>
      </c>
      <c r="E401" s="247" t="s">
        <v>365</v>
      </c>
      <c r="F401" s="67">
        <v>262</v>
      </c>
      <c r="G401" s="249" t="s">
        <v>366</v>
      </c>
      <c r="H401" s="249" t="s">
        <v>367</v>
      </c>
      <c r="I401" s="250" t="s">
        <v>349</v>
      </c>
      <c r="J401" s="269" t="s">
        <v>1071</v>
      </c>
    </row>
    <row r="402" spans="2:10" x14ac:dyDescent="0.3">
      <c r="B402" s="246">
        <v>46204</v>
      </c>
      <c r="C402" s="251" t="s">
        <v>1072</v>
      </c>
      <c r="D402" s="252" t="s">
        <v>506</v>
      </c>
      <c r="E402" s="251" t="s">
        <v>771</v>
      </c>
      <c r="F402" s="70">
        <v>246.8</v>
      </c>
      <c r="G402" s="253" t="s">
        <v>366</v>
      </c>
      <c r="H402" s="253" t="s">
        <v>426</v>
      </c>
      <c r="I402" s="254" t="s">
        <v>349</v>
      </c>
      <c r="J402" s="269" t="s">
        <v>1073</v>
      </c>
    </row>
    <row r="403" spans="2:10" x14ac:dyDescent="0.3">
      <c r="B403" s="246">
        <v>46204</v>
      </c>
      <c r="C403" s="247" t="s">
        <v>1074</v>
      </c>
      <c r="D403" s="248" t="s">
        <v>395</v>
      </c>
      <c r="E403" s="247" t="s">
        <v>369</v>
      </c>
      <c r="F403" s="67">
        <v>336</v>
      </c>
      <c r="G403" s="249" t="s">
        <v>366</v>
      </c>
      <c r="H403" s="249" t="s">
        <v>426</v>
      </c>
      <c r="I403" s="250" t="s">
        <v>349</v>
      </c>
      <c r="J403" s="269" t="s">
        <v>1075</v>
      </c>
    </row>
    <row r="404" spans="2:10" x14ac:dyDescent="0.3">
      <c r="B404" s="246">
        <v>46204</v>
      </c>
      <c r="C404" s="251" t="s">
        <v>1076</v>
      </c>
      <c r="D404" s="252" t="s">
        <v>522</v>
      </c>
      <c r="E404" s="251" t="s">
        <v>365</v>
      </c>
      <c r="F404" s="70">
        <v>355</v>
      </c>
      <c r="G404" s="253" t="s">
        <v>366</v>
      </c>
      <c r="H404" s="253" t="s">
        <v>367</v>
      </c>
      <c r="I404" s="254" t="s">
        <v>349</v>
      </c>
      <c r="J404" s="269" t="s">
        <v>1077</v>
      </c>
    </row>
    <row r="405" spans="2:10" x14ac:dyDescent="0.3">
      <c r="B405" s="246">
        <v>46204</v>
      </c>
      <c r="C405" s="247" t="s">
        <v>1078</v>
      </c>
      <c r="D405" s="248" t="s">
        <v>522</v>
      </c>
      <c r="E405" s="247" t="s">
        <v>365</v>
      </c>
      <c r="F405" s="67">
        <v>271</v>
      </c>
      <c r="G405" s="249" t="s">
        <v>366</v>
      </c>
      <c r="H405" s="249" t="s">
        <v>367</v>
      </c>
      <c r="I405" s="250" t="s">
        <v>349</v>
      </c>
      <c r="J405" s="269" t="s">
        <v>1077</v>
      </c>
    </row>
    <row r="406" spans="2:10" x14ac:dyDescent="0.3">
      <c r="B406" s="246">
        <v>46204</v>
      </c>
      <c r="C406" s="251" t="s">
        <v>1079</v>
      </c>
      <c r="D406" s="252" t="s">
        <v>522</v>
      </c>
      <c r="E406" s="251" t="s">
        <v>429</v>
      </c>
      <c r="F406" s="70">
        <v>49.5</v>
      </c>
      <c r="G406" s="253" t="s">
        <v>366</v>
      </c>
      <c r="H406" s="253" t="s">
        <v>367</v>
      </c>
      <c r="I406" s="254" t="s">
        <v>349</v>
      </c>
      <c r="J406" s="269" t="s">
        <v>1077</v>
      </c>
    </row>
    <row r="407" spans="2:10" x14ac:dyDescent="0.3">
      <c r="B407" s="246">
        <v>46204</v>
      </c>
      <c r="C407" s="247" t="s">
        <v>952</v>
      </c>
      <c r="D407" s="248" t="s">
        <v>522</v>
      </c>
      <c r="E407" s="247" t="s">
        <v>429</v>
      </c>
      <c r="F407" s="67">
        <v>36</v>
      </c>
      <c r="G407" s="249" t="s">
        <v>366</v>
      </c>
      <c r="H407" s="249" t="s">
        <v>367</v>
      </c>
      <c r="I407" s="250" t="s">
        <v>349</v>
      </c>
      <c r="J407" s="269" t="s">
        <v>1077</v>
      </c>
    </row>
    <row r="408" spans="2:10" x14ac:dyDescent="0.3">
      <c r="B408" s="246">
        <v>46204</v>
      </c>
      <c r="C408" s="251" t="s">
        <v>1080</v>
      </c>
      <c r="D408" s="252" t="s">
        <v>522</v>
      </c>
      <c r="E408" s="251" t="s">
        <v>907</v>
      </c>
      <c r="F408" s="70">
        <v>150</v>
      </c>
      <c r="G408" s="253" t="s">
        <v>366</v>
      </c>
      <c r="H408" s="253" t="s">
        <v>367</v>
      </c>
      <c r="I408" s="254" t="s">
        <v>349</v>
      </c>
      <c r="J408" s="269" t="s">
        <v>1077</v>
      </c>
    </row>
    <row r="409" spans="2:10" x14ac:dyDescent="0.3">
      <c r="B409" s="246">
        <v>46205</v>
      </c>
      <c r="C409" s="247" t="s">
        <v>1081</v>
      </c>
      <c r="D409" s="248" t="s">
        <v>522</v>
      </c>
      <c r="E409" s="247" t="s">
        <v>378</v>
      </c>
      <c r="F409" s="67">
        <v>31</v>
      </c>
      <c r="G409" s="249" t="s">
        <v>366</v>
      </c>
      <c r="H409" s="249" t="s">
        <v>367</v>
      </c>
      <c r="I409" s="250" t="s">
        <v>349</v>
      </c>
      <c r="J409" s="269" t="s">
        <v>1077</v>
      </c>
    </row>
    <row r="410" spans="2:10" x14ac:dyDescent="0.3">
      <c r="B410" s="246">
        <v>46205</v>
      </c>
      <c r="C410" s="251" t="s">
        <v>1082</v>
      </c>
      <c r="D410" s="252" t="s">
        <v>522</v>
      </c>
      <c r="E410" s="251" t="s">
        <v>365</v>
      </c>
      <c r="F410" s="70">
        <v>287</v>
      </c>
      <c r="G410" s="253" t="s">
        <v>366</v>
      </c>
      <c r="H410" s="253" t="s">
        <v>367</v>
      </c>
      <c r="I410" s="254" t="s">
        <v>349</v>
      </c>
      <c r="J410" s="269" t="s">
        <v>1077</v>
      </c>
    </row>
    <row r="411" spans="2:10" x14ac:dyDescent="0.3">
      <c r="B411" s="246">
        <v>46206</v>
      </c>
      <c r="C411" s="247" t="s">
        <v>1083</v>
      </c>
      <c r="D411" s="248" t="s">
        <v>1070</v>
      </c>
      <c r="E411" s="247" t="s">
        <v>365</v>
      </c>
      <c r="F411" s="67">
        <v>190</v>
      </c>
      <c r="G411" s="249" t="s">
        <v>366</v>
      </c>
      <c r="H411" s="249" t="s">
        <v>367</v>
      </c>
      <c r="I411" s="250" t="s">
        <v>349</v>
      </c>
      <c r="J411" s="269" t="s">
        <v>1084</v>
      </c>
    </row>
    <row r="412" spans="2:10" x14ac:dyDescent="0.3">
      <c r="B412" s="246">
        <v>46206</v>
      </c>
      <c r="C412" s="251" t="s">
        <v>1085</v>
      </c>
      <c r="D412" s="252" t="s">
        <v>489</v>
      </c>
      <c r="E412" s="251" t="s">
        <v>365</v>
      </c>
      <c r="F412" s="70">
        <v>115</v>
      </c>
      <c r="G412" s="253" t="s">
        <v>366</v>
      </c>
      <c r="H412" s="253" t="s">
        <v>367</v>
      </c>
      <c r="I412" s="254" t="s">
        <v>349</v>
      </c>
      <c r="J412" s="269" t="s">
        <v>1086</v>
      </c>
    </row>
    <row r="413" spans="2:10" x14ac:dyDescent="0.3">
      <c r="B413" s="246">
        <v>46206</v>
      </c>
      <c r="C413" s="247" t="s">
        <v>1087</v>
      </c>
      <c r="D413" s="248" t="s">
        <v>432</v>
      </c>
      <c r="E413" s="247" t="s">
        <v>375</v>
      </c>
      <c r="F413" s="67">
        <v>810</v>
      </c>
      <c r="G413" s="249" t="s">
        <v>366</v>
      </c>
      <c r="H413" s="249" t="s">
        <v>426</v>
      </c>
      <c r="I413" s="250" t="s">
        <v>349</v>
      </c>
      <c r="J413" s="269" t="s">
        <v>1088</v>
      </c>
    </row>
    <row r="414" spans="2:10" x14ac:dyDescent="0.3">
      <c r="B414" s="246">
        <v>46206</v>
      </c>
      <c r="C414" s="251" t="s">
        <v>1089</v>
      </c>
      <c r="D414" s="252" t="s">
        <v>408</v>
      </c>
      <c r="E414" s="251" t="s">
        <v>384</v>
      </c>
      <c r="F414" s="70">
        <v>439.6</v>
      </c>
      <c r="G414" s="253" t="s">
        <v>366</v>
      </c>
      <c r="H414" s="253" t="s">
        <v>367</v>
      </c>
      <c r="I414" s="254" t="s">
        <v>349</v>
      </c>
      <c r="J414" s="269" t="s">
        <v>1090</v>
      </c>
    </row>
    <row r="415" spans="2:10" x14ac:dyDescent="0.3">
      <c r="B415" s="246">
        <v>46206</v>
      </c>
      <c r="C415" s="247" t="s">
        <v>1091</v>
      </c>
      <c r="D415" s="248" t="s">
        <v>522</v>
      </c>
      <c r="E415" s="247" t="s">
        <v>378</v>
      </c>
      <c r="F415" s="67">
        <v>55</v>
      </c>
      <c r="G415" s="249" t="s">
        <v>366</v>
      </c>
      <c r="H415" s="249" t="s">
        <v>367</v>
      </c>
      <c r="I415" s="250" t="s">
        <v>349</v>
      </c>
      <c r="J415" s="269" t="s">
        <v>1077</v>
      </c>
    </row>
    <row r="416" spans="2:10" x14ac:dyDescent="0.3">
      <c r="B416" s="246">
        <v>46206</v>
      </c>
      <c r="C416" s="251" t="s">
        <v>1092</v>
      </c>
      <c r="D416" s="252" t="s">
        <v>896</v>
      </c>
      <c r="E416" s="251" t="s">
        <v>418</v>
      </c>
      <c r="F416" s="70">
        <v>1200</v>
      </c>
      <c r="G416" s="253" t="s">
        <v>366</v>
      </c>
      <c r="H416" s="253" t="s">
        <v>367</v>
      </c>
      <c r="I416" s="254" t="s">
        <v>349</v>
      </c>
      <c r="J416" s="269" t="s">
        <v>1093</v>
      </c>
    </row>
    <row r="417" spans="2:10" x14ac:dyDescent="0.3">
      <c r="B417" s="246">
        <v>46207</v>
      </c>
      <c r="C417" s="247" t="s">
        <v>1094</v>
      </c>
      <c r="D417" s="248" t="s">
        <v>922</v>
      </c>
      <c r="E417" s="247" t="s">
        <v>378</v>
      </c>
      <c r="F417" s="67">
        <v>147</v>
      </c>
      <c r="G417" s="249" t="s">
        <v>366</v>
      </c>
      <c r="H417" s="249" t="s">
        <v>367</v>
      </c>
      <c r="I417" s="250" t="s">
        <v>349</v>
      </c>
      <c r="J417" s="269" t="s">
        <v>1095</v>
      </c>
    </row>
    <row r="418" spans="2:10" x14ac:dyDescent="0.3">
      <c r="B418" s="246">
        <v>46207</v>
      </c>
      <c r="C418" s="251" t="s">
        <v>1096</v>
      </c>
      <c r="D418" s="252" t="s">
        <v>809</v>
      </c>
      <c r="E418" s="251" t="s">
        <v>378</v>
      </c>
      <c r="F418" s="70">
        <v>210</v>
      </c>
      <c r="G418" s="253" t="s">
        <v>366</v>
      </c>
      <c r="H418" s="253" t="s">
        <v>367</v>
      </c>
      <c r="I418" s="254" t="s">
        <v>349</v>
      </c>
      <c r="J418" s="269" t="s">
        <v>1097</v>
      </c>
    </row>
    <row r="419" spans="2:10" x14ac:dyDescent="0.3">
      <c r="B419" s="246">
        <v>46207</v>
      </c>
      <c r="C419" s="247" t="s">
        <v>1098</v>
      </c>
      <c r="D419" s="248" t="s">
        <v>801</v>
      </c>
      <c r="E419" s="247" t="s">
        <v>378</v>
      </c>
      <c r="F419" s="67">
        <v>339</v>
      </c>
      <c r="G419" s="249" t="s">
        <v>366</v>
      </c>
      <c r="H419" s="249" t="s">
        <v>367</v>
      </c>
      <c r="I419" s="250" t="s">
        <v>349</v>
      </c>
      <c r="J419" s="269" t="s">
        <v>1099</v>
      </c>
    </row>
    <row r="420" spans="2:10" x14ac:dyDescent="0.3">
      <c r="B420" s="246">
        <v>46207</v>
      </c>
      <c r="C420" s="251" t="s">
        <v>1100</v>
      </c>
      <c r="D420" s="252" t="s">
        <v>1101</v>
      </c>
      <c r="E420" s="251" t="s">
        <v>401</v>
      </c>
      <c r="F420" s="70">
        <v>150</v>
      </c>
      <c r="G420" s="253" t="s">
        <v>366</v>
      </c>
      <c r="H420" s="253" t="s">
        <v>367</v>
      </c>
      <c r="I420" s="254" t="s">
        <v>349</v>
      </c>
      <c r="J420" s="269" t="s">
        <v>1102</v>
      </c>
    </row>
    <row r="421" spans="2:10" x14ac:dyDescent="0.3">
      <c r="B421" s="246">
        <v>46207</v>
      </c>
      <c r="C421" s="247" t="s">
        <v>662</v>
      </c>
      <c r="D421" s="248" t="s">
        <v>1103</v>
      </c>
      <c r="E421" s="247" t="s">
        <v>378</v>
      </c>
      <c r="F421" s="67">
        <v>49</v>
      </c>
      <c r="G421" s="249" t="s">
        <v>366</v>
      </c>
      <c r="H421" s="249" t="s">
        <v>367</v>
      </c>
      <c r="I421" s="250" t="s">
        <v>349</v>
      </c>
      <c r="J421" s="269" t="s">
        <v>1104</v>
      </c>
    </row>
    <row r="422" spans="2:10" x14ac:dyDescent="0.3">
      <c r="B422" s="246">
        <v>46207</v>
      </c>
      <c r="C422" s="251" t="s">
        <v>1105</v>
      </c>
      <c r="D422" s="252" t="s">
        <v>631</v>
      </c>
      <c r="E422" s="251" t="s">
        <v>939</v>
      </c>
      <c r="F422" s="70">
        <v>139.80000000000001</v>
      </c>
      <c r="G422" s="253" t="s">
        <v>366</v>
      </c>
      <c r="H422" s="253" t="s">
        <v>426</v>
      </c>
      <c r="I422" s="254" t="s">
        <v>349</v>
      </c>
      <c r="J422" s="269" t="s">
        <v>1106</v>
      </c>
    </row>
    <row r="423" spans="2:10" x14ac:dyDescent="0.3">
      <c r="B423" s="246">
        <v>46207</v>
      </c>
      <c r="C423" s="247" t="s">
        <v>1107</v>
      </c>
      <c r="D423" s="248" t="s">
        <v>1108</v>
      </c>
      <c r="E423" s="247" t="s">
        <v>401</v>
      </c>
      <c r="F423" s="67">
        <v>30</v>
      </c>
      <c r="G423" s="249" t="s">
        <v>366</v>
      </c>
      <c r="H423" s="249" t="s">
        <v>367</v>
      </c>
      <c r="I423" s="250" t="s">
        <v>349</v>
      </c>
      <c r="J423" s="269" t="s">
        <v>1109</v>
      </c>
    </row>
    <row r="424" spans="2:10" x14ac:dyDescent="0.3">
      <c r="B424" s="246">
        <v>46207</v>
      </c>
      <c r="C424" s="251" t="s">
        <v>1110</v>
      </c>
      <c r="D424" s="252" t="s">
        <v>915</v>
      </c>
      <c r="E424" s="251" t="s">
        <v>378</v>
      </c>
      <c r="F424" s="70">
        <v>20</v>
      </c>
      <c r="G424" s="253" t="s">
        <v>366</v>
      </c>
      <c r="H424" s="253" t="s">
        <v>367</v>
      </c>
      <c r="I424" s="254" t="s">
        <v>349</v>
      </c>
      <c r="J424" s="269" t="s">
        <v>1111</v>
      </c>
    </row>
    <row r="425" spans="2:10" x14ac:dyDescent="0.3">
      <c r="B425" s="246">
        <v>46207</v>
      </c>
      <c r="C425" s="247" t="s">
        <v>1112</v>
      </c>
      <c r="D425" s="248" t="s">
        <v>1113</v>
      </c>
      <c r="E425" s="247" t="s">
        <v>401</v>
      </c>
      <c r="F425" s="67">
        <v>50</v>
      </c>
      <c r="G425" s="249" t="s">
        <v>366</v>
      </c>
      <c r="H425" s="249" t="s">
        <v>367</v>
      </c>
      <c r="I425" s="250" t="s">
        <v>349</v>
      </c>
      <c r="J425" s="269" t="s">
        <v>1114</v>
      </c>
    </row>
    <row r="426" spans="2:10" x14ac:dyDescent="0.3">
      <c r="B426" s="246">
        <v>46207</v>
      </c>
      <c r="C426" s="251" t="s">
        <v>1115</v>
      </c>
      <c r="D426" s="252" t="s">
        <v>368</v>
      </c>
      <c r="E426" s="251" t="s">
        <v>375</v>
      </c>
      <c r="F426" s="70">
        <v>354.5</v>
      </c>
      <c r="G426" s="253" t="s">
        <v>366</v>
      </c>
      <c r="H426" s="253" t="s">
        <v>426</v>
      </c>
      <c r="I426" s="254" t="s">
        <v>349</v>
      </c>
      <c r="J426" s="269" t="s">
        <v>1116</v>
      </c>
    </row>
    <row r="427" spans="2:10" x14ac:dyDescent="0.3">
      <c r="B427" s="246">
        <v>46207</v>
      </c>
      <c r="C427" s="247" t="s">
        <v>1117</v>
      </c>
      <c r="D427" s="248" t="s">
        <v>489</v>
      </c>
      <c r="E427" s="247" t="s">
        <v>401</v>
      </c>
      <c r="F427" s="67">
        <v>68</v>
      </c>
      <c r="G427" s="249" t="s">
        <v>366</v>
      </c>
      <c r="H427" s="249" t="s">
        <v>367</v>
      </c>
      <c r="I427" s="250" t="s">
        <v>349</v>
      </c>
      <c r="J427" s="269" t="s">
        <v>1118</v>
      </c>
    </row>
    <row r="428" spans="2:10" x14ac:dyDescent="0.3">
      <c r="B428" s="246">
        <v>46207</v>
      </c>
      <c r="C428" s="251" t="s">
        <v>582</v>
      </c>
      <c r="D428" s="252" t="s">
        <v>489</v>
      </c>
      <c r="E428" s="251" t="s">
        <v>401</v>
      </c>
      <c r="F428" s="70">
        <v>36</v>
      </c>
      <c r="G428" s="253" t="s">
        <v>366</v>
      </c>
      <c r="H428" s="253" t="s">
        <v>367</v>
      </c>
      <c r="I428" s="254" t="s">
        <v>349</v>
      </c>
      <c r="J428" s="269" t="s">
        <v>1119</v>
      </c>
    </row>
    <row r="429" spans="2:10" x14ac:dyDescent="0.3">
      <c r="B429" s="246">
        <v>46207</v>
      </c>
      <c r="C429" s="247" t="s">
        <v>1120</v>
      </c>
      <c r="D429" s="248" t="s">
        <v>463</v>
      </c>
      <c r="E429" s="247" t="s">
        <v>375</v>
      </c>
      <c r="F429" s="67">
        <v>108.43</v>
      </c>
      <c r="G429" s="249" t="s">
        <v>366</v>
      </c>
      <c r="H429" s="249" t="s">
        <v>426</v>
      </c>
      <c r="I429" s="250" t="s">
        <v>349</v>
      </c>
      <c r="J429" s="269" t="s">
        <v>1121</v>
      </c>
    </row>
    <row r="430" spans="2:10" x14ac:dyDescent="0.3">
      <c r="B430" s="246">
        <v>46207</v>
      </c>
      <c r="C430" s="251" t="s">
        <v>1122</v>
      </c>
      <c r="D430" s="252" t="s">
        <v>929</v>
      </c>
      <c r="E430" s="251" t="s">
        <v>378</v>
      </c>
      <c r="F430" s="70">
        <v>126</v>
      </c>
      <c r="G430" s="253" t="s">
        <v>366</v>
      </c>
      <c r="H430" s="253" t="s">
        <v>367</v>
      </c>
      <c r="I430" s="254" t="s">
        <v>349</v>
      </c>
      <c r="J430" s="269" t="s">
        <v>1123</v>
      </c>
    </row>
    <row r="431" spans="2:10" x14ac:dyDescent="0.3">
      <c r="B431" s="246">
        <v>46207</v>
      </c>
      <c r="C431" s="247" t="s">
        <v>1124</v>
      </c>
      <c r="D431" s="248" t="s">
        <v>896</v>
      </c>
      <c r="E431" s="247" t="s">
        <v>418</v>
      </c>
      <c r="F431" s="67">
        <v>3800</v>
      </c>
      <c r="G431" s="249" t="s">
        <v>366</v>
      </c>
      <c r="H431" s="249" t="s">
        <v>367</v>
      </c>
      <c r="I431" s="250" t="s">
        <v>349</v>
      </c>
      <c r="J431" s="269" t="s">
        <v>1125</v>
      </c>
    </row>
    <row r="432" spans="2:10" x14ac:dyDescent="0.3">
      <c r="B432" s="246">
        <v>46207</v>
      </c>
      <c r="C432" s="251" t="s">
        <v>1126</v>
      </c>
      <c r="D432" s="252" t="s">
        <v>896</v>
      </c>
      <c r="E432" s="251" t="s">
        <v>418</v>
      </c>
      <c r="F432" s="70">
        <v>1250</v>
      </c>
      <c r="G432" s="253" t="s">
        <v>366</v>
      </c>
      <c r="H432" s="253" t="s">
        <v>367</v>
      </c>
      <c r="I432" s="254" t="s">
        <v>349</v>
      </c>
      <c r="J432" s="269" t="s">
        <v>1127</v>
      </c>
    </row>
    <row r="433" spans="2:10" x14ac:dyDescent="0.3">
      <c r="B433" s="246">
        <v>46208</v>
      </c>
      <c r="C433" s="247" t="s">
        <v>1128</v>
      </c>
      <c r="D433" s="248" t="s">
        <v>1129</v>
      </c>
      <c r="E433" s="247" t="s">
        <v>652</v>
      </c>
      <c r="F433" s="67">
        <v>20000</v>
      </c>
      <c r="G433" s="249" t="s">
        <v>1130</v>
      </c>
      <c r="H433" s="249" t="s">
        <v>871</v>
      </c>
      <c r="I433" s="250" t="s">
        <v>349</v>
      </c>
      <c r="J433" s="269" t="s">
        <v>1131</v>
      </c>
    </row>
    <row r="434" spans="2:10" x14ac:dyDescent="0.3">
      <c r="B434" s="246">
        <v>46209</v>
      </c>
      <c r="C434" s="251" t="s">
        <v>1132</v>
      </c>
      <c r="D434" s="252" t="s">
        <v>564</v>
      </c>
      <c r="E434" s="251" t="s">
        <v>365</v>
      </c>
      <c r="F434" s="70">
        <v>974</v>
      </c>
      <c r="G434" s="253" t="s">
        <v>366</v>
      </c>
      <c r="H434" s="253" t="s">
        <v>426</v>
      </c>
      <c r="I434" s="254" t="s">
        <v>349</v>
      </c>
      <c r="J434" s="269" t="s">
        <v>1133</v>
      </c>
    </row>
    <row r="435" spans="2:10" x14ac:dyDescent="0.3">
      <c r="B435" s="246">
        <v>46209</v>
      </c>
      <c r="C435" s="247" t="s">
        <v>1132</v>
      </c>
      <c r="D435" s="248" t="s">
        <v>564</v>
      </c>
      <c r="E435" s="247" t="s">
        <v>365</v>
      </c>
      <c r="F435" s="67">
        <v>289</v>
      </c>
      <c r="G435" s="249" t="s">
        <v>366</v>
      </c>
      <c r="H435" s="249" t="s">
        <v>426</v>
      </c>
      <c r="I435" s="250" t="s">
        <v>349</v>
      </c>
      <c r="J435" s="269" t="s">
        <v>1134</v>
      </c>
    </row>
    <row r="436" spans="2:10" x14ac:dyDescent="0.3">
      <c r="B436" s="246">
        <v>46209</v>
      </c>
      <c r="C436" s="251" t="s">
        <v>1135</v>
      </c>
      <c r="D436" s="252" t="s">
        <v>1136</v>
      </c>
      <c r="E436" s="251" t="s">
        <v>369</v>
      </c>
      <c r="F436" s="70">
        <v>245</v>
      </c>
      <c r="G436" s="253" t="s">
        <v>366</v>
      </c>
      <c r="H436" s="253" t="s">
        <v>426</v>
      </c>
      <c r="I436" s="254" t="s">
        <v>349</v>
      </c>
      <c r="J436" s="269" t="s">
        <v>1137</v>
      </c>
    </row>
    <row r="437" spans="2:10" x14ac:dyDescent="0.3">
      <c r="B437" s="246">
        <v>46209</v>
      </c>
      <c r="C437" s="247" t="s">
        <v>1138</v>
      </c>
      <c r="D437" s="248" t="s">
        <v>432</v>
      </c>
      <c r="E437" s="247" t="s">
        <v>375</v>
      </c>
      <c r="F437" s="67">
        <v>1420</v>
      </c>
      <c r="G437" s="249" t="s">
        <v>366</v>
      </c>
      <c r="H437" s="249" t="s">
        <v>426</v>
      </c>
      <c r="I437" s="250" t="s">
        <v>349</v>
      </c>
      <c r="J437" s="269" t="s">
        <v>1139</v>
      </c>
    </row>
    <row r="438" spans="2:10" x14ac:dyDescent="0.3">
      <c r="B438" s="246">
        <v>46209</v>
      </c>
      <c r="C438" s="251" t="s">
        <v>1140</v>
      </c>
      <c r="D438" s="252" t="s">
        <v>1141</v>
      </c>
      <c r="E438" s="251" t="s">
        <v>387</v>
      </c>
      <c r="F438" s="70">
        <v>74</v>
      </c>
      <c r="G438" s="253" t="s">
        <v>366</v>
      </c>
      <c r="H438" s="253" t="s">
        <v>426</v>
      </c>
      <c r="I438" s="254" t="s">
        <v>349</v>
      </c>
      <c r="J438" s="269" t="s">
        <v>1142</v>
      </c>
    </row>
    <row r="439" spans="2:10" x14ac:dyDescent="0.3">
      <c r="B439" s="246">
        <v>46209</v>
      </c>
      <c r="C439" s="247" t="s">
        <v>1143</v>
      </c>
      <c r="D439" s="248" t="s">
        <v>1070</v>
      </c>
      <c r="E439" s="247" t="s">
        <v>365</v>
      </c>
      <c r="F439" s="67">
        <v>1133</v>
      </c>
      <c r="G439" s="249" t="s">
        <v>366</v>
      </c>
      <c r="H439" s="249" t="s">
        <v>367</v>
      </c>
      <c r="I439" s="250" t="s">
        <v>349</v>
      </c>
      <c r="J439" s="269" t="s">
        <v>1144</v>
      </c>
    </row>
    <row r="440" spans="2:10" x14ac:dyDescent="0.3">
      <c r="B440" s="246">
        <v>46209</v>
      </c>
      <c r="C440" s="251" t="s">
        <v>581</v>
      </c>
      <c r="D440" s="252" t="s">
        <v>522</v>
      </c>
      <c r="E440" s="251" t="s">
        <v>378</v>
      </c>
      <c r="F440" s="70">
        <v>5</v>
      </c>
      <c r="G440" s="253" t="s">
        <v>366</v>
      </c>
      <c r="H440" s="253" t="s">
        <v>367</v>
      </c>
      <c r="I440" s="254" t="s">
        <v>349</v>
      </c>
      <c r="J440" s="269" t="s">
        <v>1145</v>
      </c>
    </row>
    <row r="441" spans="2:10" x14ac:dyDescent="0.3">
      <c r="B441" s="246">
        <v>46209</v>
      </c>
      <c r="C441" s="247" t="s">
        <v>952</v>
      </c>
      <c r="D441" s="248" t="s">
        <v>522</v>
      </c>
      <c r="E441" s="247" t="s">
        <v>429</v>
      </c>
      <c r="F441" s="67">
        <v>60</v>
      </c>
      <c r="G441" s="249" t="s">
        <v>366</v>
      </c>
      <c r="H441" s="249" t="s">
        <v>367</v>
      </c>
      <c r="I441" s="250" t="s">
        <v>349</v>
      </c>
      <c r="J441" s="269" t="s">
        <v>1145</v>
      </c>
    </row>
    <row r="442" spans="2:10" x14ac:dyDescent="0.3">
      <c r="B442" s="246">
        <v>46210</v>
      </c>
      <c r="C442" s="251" t="s">
        <v>381</v>
      </c>
      <c r="D442" s="252" t="s">
        <v>522</v>
      </c>
      <c r="E442" s="251" t="s">
        <v>372</v>
      </c>
      <c r="F442" s="70">
        <v>49</v>
      </c>
      <c r="G442" s="253" t="s">
        <v>366</v>
      </c>
      <c r="H442" s="253" t="s">
        <v>367</v>
      </c>
      <c r="I442" s="254" t="s">
        <v>349</v>
      </c>
      <c r="J442" s="269" t="s">
        <v>1145</v>
      </c>
    </row>
    <row r="443" spans="2:10" x14ac:dyDescent="0.3">
      <c r="B443" s="246">
        <v>46211</v>
      </c>
      <c r="C443" s="247" t="s">
        <v>1146</v>
      </c>
      <c r="D443" s="248" t="s">
        <v>475</v>
      </c>
      <c r="E443" s="247" t="s">
        <v>372</v>
      </c>
      <c r="F443" s="67">
        <v>139.43</v>
      </c>
      <c r="G443" s="249" t="s">
        <v>366</v>
      </c>
      <c r="H443" s="249" t="s">
        <v>426</v>
      </c>
      <c r="I443" s="250" t="s">
        <v>349</v>
      </c>
      <c r="J443" s="269" t="s">
        <v>1147</v>
      </c>
    </row>
    <row r="444" spans="2:10" x14ac:dyDescent="0.3">
      <c r="B444" s="246">
        <v>46211</v>
      </c>
      <c r="C444" s="251" t="s">
        <v>1148</v>
      </c>
      <c r="D444" s="252" t="s">
        <v>522</v>
      </c>
      <c r="E444" s="251" t="s">
        <v>944</v>
      </c>
      <c r="F444" s="70">
        <v>1076</v>
      </c>
      <c r="G444" s="253" t="s">
        <v>366</v>
      </c>
      <c r="H444" s="253" t="s">
        <v>367</v>
      </c>
      <c r="I444" s="254" t="s">
        <v>349</v>
      </c>
      <c r="J444" s="269" t="s">
        <v>1149</v>
      </c>
    </row>
    <row r="445" spans="2:10" x14ac:dyDescent="0.3">
      <c r="B445" s="246">
        <v>46211</v>
      </c>
      <c r="C445" s="247" t="s">
        <v>1150</v>
      </c>
      <c r="D445" s="248" t="s">
        <v>489</v>
      </c>
      <c r="E445" s="247" t="s">
        <v>365</v>
      </c>
      <c r="F445" s="67">
        <v>200</v>
      </c>
      <c r="G445" s="249" t="s">
        <v>366</v>
      </c>
      <c r="H445" s="249" t="s">
        <v>367</v>
      </c>
      <c r="I445" s="250" t="s">
        <v>349</v>
      </c>
      <c r="J445" s="269" t="s">
        <v>1151</v>
      </c>
    </row>
    <row r="446" spans="2:10" x14ac:dyDescent="0.3">
      <c r="B446" s="246">
        <v>46212</v>
      </c>
      <c r="C446" s="251" t="s">
        <v>1152</v>
      </c>
      <c r="D446" s="252" t="s">
        <v>475</v>
      </c>
      <c r="E446" s="251" t="s">
        <v>375</v>
      </c>
      <c r="F446" s="70">
        <v>191.09</v>
      </c>
      <c r="G446" s="253" t="s">
        <v>366</v>
      </c>
      <c r="H446" s="253" t="s">
        <v>426</v>
      </c>
      <c r="I446" s="254" t="s">
        <v>349</v>
      </c>
      <c r="J446" s="269" t="s">
        <v>1153</v>
      </c>
    </row>
    <row r="447" spans="2:10" x14ac:dyDescent="0.3">
      <c r="B447" s="246">
        <v>46212</v>
      </c>
      <c r="C447" s="247" t="s">
        <v>1154</v>
      </c>
      <c r="D447" s="248" t="s">
        <v>888</v>
      </c>
      <c r="E447" s="247" t="s">
        <v>369</v>
      </c>
      <c r="F447" s="67">
        <v>506</v>
      </c>
      <c r="G447" s="249" t="s">
        <v>366</v>
      </c>
      <c r="H447" s="249" t="s">
        <v>426</v>
      </c>
      <c r="I447" s="250" t="s">
        <v>349</v>
      </c>
      <c r="J447" s="269" t="s">
        <v>1155</v>
      </c>
    </row>
    <row r="448" spans="2:10" x14ac:dyDescent="0.3">
      <c r="B448" s="246">
        <v>46212</v>
      </c>
      <c r="C448" s="251" t="s">
        <v>1156</v>
      </c>
      <c r="D448" s="252" t="s">
        <v>1157</v>
      </c>
      <c r="E448" s="251" t="s">
        <v>365</v>
      </c>
      <c r="F448" s="70">
        <v>288.8</v>
      </c>
      <c r="G448" s="253" t="s">
        <v>366</v>
      </c>
      <c r="H448" s="253" t="s">
        <v>367</v>
      </c>
      <c r="I448" s="254" t="s">
        <v>349</v>
      </c>
      <c r="J448" s="269" t="s">
        <v>1158</v>
      </c>
    </row>
    <row r="449" spans="2:10" x14ac:dyDescent="0.3">
      <c r="B449" s="246">
        <v>46212</v>
      </c>
      <c r="C449" s="247" t="s">
        <v>1159</v>
      </c>
      <c r="D449" s="248" t="s">
        <v>408</v>
      </c>
      <c r="E449" s="247" t="s">
        <v>384</v>
      </c>
      <c r="F449" s="67">
        <v>288</v>
      </c>
      <c r="G449" s="249" t="s">
        <v>366</v>
      </c>
      <c r="H449" s="249" t="s">
        <v>367</v>
      </c>
      <c r="I449" s="250" t="s">
        <v>349</v>
      </c>
      <c r="J449" s="269" t="s">
        <v>1160</v>
      </c>
    </row>
    <row r="450" spans="2:10" x14ac:dyDescent="0.3">
      <c r="B450" s="246">
        <v>46212</v>
      </c>
      <c r="C450" s="251" t="s">
        <v>1081</v>
      </c>
      <c r="D450" s="252" t="s">
        <v>522</v>
      </c>
      <c r="E450" s="251" t="s">
        <v>378</v>
      </c>
      <c r="F450" s="70">
        <v>39</v>
      </c>
      <c r="G450" s="253" t="s">
        <v>366</v>
      </c>
      <c r="H450" s="253" t="s">
        <v>367</v>
      </c>
      <c r="I450" s="254" t="s">
        <v>349</v>
      </c>
      <c r="J450" s="269" t="s">
        <v>1145</v>
      </c>
    </row>
    <row r="451" spans="2:10" x14ac:dyDescent="0.3">
      <c r="B451" s="246">
        <v>46212</v>
      </c>
      <c r="C451" s="247" t="s">
        <v>385</v>
      </c>
      <c r="D451" s="248" t="s">
        <v>522</v>
      </c>
      <c r="E451" s="247" t="s">
        <v>365</v>
      </c>
      <c r="F451" s="67">
        <v>508</v>
      </c>
      <c r="G451" s="249" t="s">
        <v>366</v>
      </c>
      <c r="H451" s="249" t="s">
        <v>367</v>
      </c>
      <c r="I451" s="250" t="s">
        <v>349</v>
      </c>
      <c r="J451" s="269" t="s">
        <v>1145</v>
      </c>
    </row>
    <row r="452" spans="2:10" x14ac:dyDescent="0.3">
      <c r="B452" s="246">
        <v>46213</v>
      </c>
      <c r="C452" s="251" t="s">
        <v>380</v>
      </c>
      <c r="D452" s="252" t="s">
        <v>522</v>
      </c>
      <c r="E452" s="251" t="s">
        <v>378</v>
      </c>
      <c r="F452" s="70">
        <v>64</v>
      </c>
      <c r="G452" s="253" t="s">
        <v>366</v>
      </c>
      <c r="H452" s="253" t="s">
        <v>367</v>
      </c>
      <c r="I452" s="254" t="s">
        <v>349</v>
      </c>
      <c r="J452" s="295" t="s">
        <v>1145</v>
      </c>
    </row>
    <row r="453" spans="2:10" x14ac:dyDescent="0.3">
      <c r="B453" s="246">
        <v>46213</v>
      </c>
      <c r="C453" s="247" t="s">
        <v>502</v>
      </c>
      <c r="D453" s="248" t="s">
        <v>522</v>
      </c>
      <c r="E453" s="247" t="s">
        <v>365</v>
      </c>
      <c r="F453" s="67">
        <v>141</v>
      </c>
      <c r="G453" s="249" t="s">
        <v>366</v>
      </c>
      <c r="H453" s="249" t="s">
        <v>367</v>
      </c>
      <c r="I453" s="250" t="s">
        <v>349</v>
      </c>
      <c r="J453" s="295" t="s">
        <v>1145</v>
      </c>
    </row>
    <row r="454" spans="2:10" x14ac:dyDescent="0.3">
      <c r="B454" s="246">
        <v>46213</v>
      </c>
      <c r="C454" s="251" t="s">
        <v>1161</v>
      </c>
      <c r="D454" s="252" t="s">
        <v>522</v>
      </c>
      <c r="E454" s="251" t="s">
        <v>429</v>
      </c>
      <c r="F454" s="70">
        <v>30</v>
      </c>
      <c r="G454" s="253" t="s">
        <v>366</v>
      </c>
      <c r="H454" s="253" t="s">
        <v>367</v>
      </c>
      <c r="I454" s="254" t="s">
        <v>349</v>
      </c>
      <c r="J454" s="295" t="s">
        <v>1145</v>
      </c>
    </row>
    <row r="455" spans="2:10" x14ac:dyDescent="0.3">
      <c r="B455" s="246">
        <v>46213</v>
      </c>
      <c r="C455" s="247" t="s">
        <v>1162</v>
      </c>
      <c r="D455" s="248" t="s">
        <v>522</v>
      </c>
      <c r="E455" s="247" t="s">
        <v>365</v>
      </c>
      <c r="F455" s="67">
        <v>173</v>
      </c>
      <c r="G455" s="249" t="s">
        <v>366</v>
      </c>
      <c r="H455" s="249" t="s">
        <v>367</v>
      </c>
      <c r="I455" s="250" t="s">
        <v>349</v>
      </c>
      <c r="J455" s="295" t="s">
        <v>1145</v>
      </c>
    </row>
    <row r="456" spans="2:10" x14ac:dyDescent="0.3">
      <c r="B456" s="246">
        <v>46213</v>
      </c>
      <c r="C456" s="251" t="s">
        <v>1163</v>
      </c>
      <c r="D456" s="252" t="s">
        <v>522</v>
      </c>
      <c r="E456" s="251" t="s">
        <v>372</v>
      </c>
      <c r="F456" s="70">
        <v>121</v>
      </c>
      <c r="G456" s="253" t="s">
        <v>366</v>
      </c>
      <c r="H456" s="253" t="s">
        <v>367</v>
      </c>
      <c r="I456" s="254" t="s">
        <v>349</v>
      </c>
      <c r="J456" s="295" t="s">
        <v>1145</v>
      </c>
    </row>
    <row r="457" spans="2:10" x14ac:dyDescent="0.3">
      <c r="B457" s="246">
        <v>46213</v>
      </c>
      <c r="C457" s="247" t="s">
        <v>645</v>
      </c>
      <c r="D457" s="248" t="s">
        <v>522</v>
      </c>
      <c r="E457" s="247" t="s">
        <v>387</v>
      </c>
      <c r="F457" s="67">
        <v>274</v>
      </c>
      <c r="G457" s="249" t="s">
        <v>366</v>
      </c>
      <c r="H457" s="249" t="s">
        <v>367</v>
      </c>
      <c r="I457" s="250" t="s">
        <v>349</v>
      </c>
      <c r="J457" s="295" t="s">
        <v>1145</v>
      </c>
    </row>
    <row r="458" spans="2:10" x14ac:dyDescent="0.3">
      <c r="B458" s="246">
        <v>46213</v>
      </c>
      <c r="C458" s="251" t="s">
        <v>1164</v>
      </c>
      <c r="D458" s="252" t="s">
        <v>522</v>
      </c>
      <c r="E458" s="251" t="s">
        <v>771</v>
      </c>
      <c r="F458" s="70">
        <v>21</v>
      </c>
      <c r="G458" s="253" t="s">
        <v>366</v>
      </c>
      <c r="H458" s="253" t="s">
        <v>367</v>
      </c>
      <c r="I458" s="254" t="s">
        <v>349</v>
      </c>
      <c r="J458" s="295" t="s">
        <v>1165</v>
      </c>
    </row>
    <row r="459" spans="2:10" x14ac:dyDescent="0.3">
      <c r="B459" s="246">
        <v>46213</v>
      </c>
      <c r="C459" s="247" t="s">
        <v>1166</v>
      </c>
      <c r="D459" s="248" t="s">
        <v>522</v>
      </c>
      <c r="E459" s="247" t="s">
        <v>771</v>
      </c>
      <c r="F459" s="67">
        <v>48</v>
      </c>
      <c r="G459" s="249" t="s">
        <v>366</v>
      </c>
      <c r="H459" s="249" t="s">
        <v>367</v>
      </c>
      <c r="I459" s="250" t="s">
        <v>349</v>
      </c>
      <c r="J459" s="295" t="s">
        <v>1167</v>
      </c>
    </row>
    <row r="460" spans="2:10" x14ac:dyDescent="0.3">
      <c r="B460" s="246">
        <v>46213</v>
      </c>
      <c r="C460" s="251" t="s">
        <v>1168</v>
      </c>
      <c r="D460" s="252" t="s">
        <v>522</v>
      </c>
      <c r="E460" s="251" t="s">
        <v>771</v>
      </c>
      <c r="F460" s="70">
        <v>22</v>
      </c>
      <c r="G460" s="253" t="s">
        <v>366</v>
      </c>
      <c r="H460" s="253" t="s">
        <v>367</v>
      </c>
      <c r="I460" s="254" t="s">
        <v>349</v>
      </c>
      <c r="J460" s="295" t="s">
        <v>1169</v>
      </c>
    </row>
    <row r="461" spans="2:10" x14ac:dyDescent="0.3">
      <c r="B461" s="246">
        <v>46213</v>
      </c>
      <c r="C461" s="247" t="s">
        <v>1170</v>
      </c>
      <c r="D461" s="248" t="s">
        <v>896</v>
      </c>
      <c r="E461" s="247" t="s">
        <v>418</v>
      </c>
      <c r="F461" s="67">
        <v>1200</v>
      </c>
      <c r="G461" s="249" t="s">
        <v>366</v>
      </c>
      <c r="H461" s="249" t="s">
        <v>367</v>
      </c>
      <c r="I461" s="250" t="s">
        <v>349</v>
      </c>
      <c r="J461" s="295" t="s">
        <v>1171</v>
      </c>
    </row>
    <row r="462" spans="2:10" x14ac:dyDescent="0.3">
      <c r="B462" s="246">
        <v>46214</v>
      </c>
      <c r="C462" s="251" t="s">
        <v>1172</v>
      </c>
      <c r="D462" s="252" t="s">
        <v>432</v>
      </c>
      <c r="E462" s="251" t="s">
        <v>375</v>
      </c>
      <c r="F462" s="70">
        <v>2803</v>
      </c>
      <c r="G462" s="253" t="s">
        <v>366</v>
      </c>
      <c r="H462" s="253" t="s">
        <v>426</v>
      </c>
      <c r="I462" s="254" t="s">
        <v>349</v>
      </c>
      <c r="J462" s="295" t="s">
        <v>1173</v>
      </c>
    </row>
    <row r="463" spans="2:10" x14ac:dyDescent="0.3">
      <c r="B463" s="246">
        <v>46214</v>
      </c>
      <c r="C463" s="247" t="s">
        <v>376</v>
      </c>
      <c r="D463" s="248" t="s">
        <v>522</v>
      </c>
      <c r="E463" s="247" t="s">
        <v>378</v>
      </c>
      <c r="F463" s="67">
        <v>1437</v>
      </c>
      <c r="G463" s="249" t="s">
        <v>366</v>
      </c>
      <c r="H463" s="249" t="s">
        <v>367</v>
      </c>
      <c r="I463" s="250" t="s">
        <v>349</v>
      </c>
      <c r="J463" s="295" t="s">
        <v>1145</v>
      </c>
    </row>
    <row r="464" spans="2:10" x14ac:dyDescent="0.3">
      <c r="B464" s="246">
        <v>46214</v>
      </c>
      <c r="C464" s="251" t="s">
        <v>523</v>
      </c>
      <c r="D464" s="252" t="s">
        <v>522</v>
      </c>
      <c r="E464" s="251" t="s">
        <v>907</v>
      </c>
      <c r="F464" s="70">
        <v>100</v>
      </c>
      <c r="G464" s="253" t="s">
        <v>366</v>
      </c>
      <c r="H464" s="253" t="s">
        <v>367</v>
      </c>
      <c r="I464" s="254" t="s">
        <v>349</v>
      </c>
      <c r="J464" s="295" t="s">
        <v>1145</v>
      </c>
    </row>
    <row r="465" spans="2:10" x14ac:dyDescent="0.3">
      <c r="B465" s="246">
        <v>46214</v>
      </c>
      <c r="C465" s="247" t="s">
        <v>1174</v>
      </c>
      <c r="D465" s="248" t="s">
        <v>896</v>
      </c>
      <c r="E465" s="247" t="s">
        <v>418</v>
      </c>
      <c r="F465" s="67">
        <v>4000</v>
      </c>
      <c r="G465" s="249" t="s">
        <v>366</v>
      </c>
      <c r="H465" s="249" t="s">
        <v>367</v>
      </c>
      <c r="I465" s="250" t="s">
        <v>349</v>
      </c>
      <c r="J465" s="295" t="s">
        <v>1175</v>
      </c>
    </row>
    <row r="466" spans="2:10" x14ac:dyDescent="0.3">
      <c r="B466" s="246">
        <v>46214</v>
      </c>
      <c r="C466" s="251" t="s">
        <v>1176</v>
      </c>
      <c r="D466" s="252" t="s">
        <v>896</v>
      </c>
      <c r="E466" s="251" t="s">
        <v>418</v>
      </c>
      <c r="F466" s="70">
        <v>1000</v>
      </c>
      <c r="G466" s="253" t="s">
        <v>366</v>
      </c>
      <c r="H466" s="253" t="s">
        <v>367</v>
      </c>
      <c r="I466" s="254" t="s">
        <v>349</v>
      </c>
      <c r="J466" s="295" t="s">
        <v>1177</v>
      </c>
    </row>
    <row r="467" spans="2:10" x14ac:dyDescent="0.3">
      <c r="B467" s="246">
        <v>46216</v>
      </c>
      <c r="C467" s="247" t="s">
        <v>1178</v>
      </c>
      <c r="D467" s="248" t="s">
        <v>522</v>
      </c>
      <c r="E467" s="247" t="s">
        <v>372</v>
      </c>
      <c r="F467" s="67">
        <v>60</v>
      </c>
      <c r="G467" s="249" t="s">
        <v>366</v>
      </c>
      <c r="H467" s="249" t="s">
        <v>367</v>
      </c>
      <c r="I467" s="250" t="s">
        <v>349</v>
      </c>
      <c r="J467" s="295" t="s">
        <v>1145</v>
      </c>
    </row>
    <row r="468" spans="2:10" x14ac:dyDescent="0.3">
      <c r="B468" s="246">
        <v>46216</v>
      </c>
      <c r="C468" s="251" t="s">
        <v>385</v>
      </c>
      <c r="D468" s="252" t="s">
        <v>522</v>
      </c>
      <c r="E468" s="251" t="s">
        <v>365</v>
      </c>
      <c r="F468" s="70">
        <v>1495</v>
      </c>
      <c r="G468" s="253" t="s">
        <v>366</v>
      </c>
      <c r="H468" s="253" t="s">
        <v>367</v>
      </c>
      <c r="I468" s="254" t="s">
        <v>349</v>
      </c>
      <c r="J468" s="295" t="s">
        <v>1145</v>
      </c>
    </row>
    <row r="469" spans="2:10" x14ac:dyDescent="0.3">
      <c r="B469" s="246">
        <v>46216</v>
      </c>
      <c r="C469" s="247" t="s">
        <v>364</v>
      </c>
      <c r="D469" s="248" t="s">
        <v>522</v>
      </c>
      <c r="E469" s="247" t="s">
        <v>365</v>
      </c>
      <c r="F469" s="67">
        <v>483</v>
      </c>
      <c r="G469" s="249" t="s">
        <v>366</v>
      </c>
      <c r="H469" s="249" t="s">
        <v>367</v>
      </c>
      <c r="I469" s="250" t="s">
        <v>349</v>
      </c>
      <c r="J469" s="295" t="s">
        <v>1145</v>
      </c>
    </row>
    <row r="470" spans="2:10" x14ac:dyDescent="0.3">
      <c r="B470" s="246">
        <v>46216</v>
      </c>
      <c r="C470" s="251" t="s">
        <v>1179</v>
      </c>
      <c r="D470" s="252" t="s">
        <v>522</v>
      </c>
      <c r="E470" s="251" t="s">
        <v>387</v>
      </c>
      <c r="F470" s="70">
        <v>592</v>
      </c>
      <c r="G470" s="253" t="s">
        <v>366</v>
      </c>
      <c r="H470" s="253" t="s">
        <v>367</v>
      </c>
      <c r="I470" s="254" t="s">
        <v>349</v>
      </c>
      <c r="J470" s="295" t="s">
        <v>1145</v>
      </c>
    </row>
    <row r="471" spans="2:10" x14ac:dyDescent="0.3">
      <c r="B471" s="296">
        <v>46216</v>
      </c>
      <c r="C471" s="297" t="s">
        <v>1180</v>
      </c>
      <c r="D471" s="298" t="s">
        <v>395</v>
      </c>
      <c r="E471" s="297" t="s">
        <v>369</v>
      </c>
      <c r="F471" s="299">
        <v>112</v>
      </c>
      <c r="G471" s="300" t="s">
        <v>366</v>
      </c>
      <c r="H471" s="300" t="s">
        <v>367</v>
      </c>
      <c r="I471" s="301" t="s">
        <v>349</v>
      </c>
      <c r="J471" s="295" t="s">
        <v>1145</v>
      </c>
    </row>
    <row r="472" spans="2:10" x14ac:dyDescent="0.3">
      <c r="B472" s="296">
        <v>46216</v>
      </c>
      <c r="C472" s="297" t="s">
        <v>1181</v>
      </c>
      <c r="D472" s="298" t="s">
        <v>522</v>
      </c>
      <c r="E472" s="297" t="s">
        <v>429</v>
      </c>
      <c r="F472" s="299">
        <v>60</v>
      </c>
      <c r="G472" s="300" t="s">
        <v>598</v>
      </c>
      <c r="H472" s="300" t="s">
        <v>367</v>
      </c>
      <c r="I472" s="301" t="s">
        <v>349</v>
      </c>
      <c r="J472" s="295" t="s">
        <v>1182</v>
      </c>
    </row>
    <row r="473" spans="2:10" x14ac:dyDescent="0.3">
      <c r="B473" s="296">
        <v>46216</v>
      </c>
      <c r="C473" s="297" t="s">
        <v>1183</v>
      </c>
      <c r="D473" s="298" t="s">
        <v>522</v>
      </c>
      <c r="E473" s="297" t="s">
        <v>369</v>
      </c>
      <c r="F473" s="299">
        <v>330</v>
      </c>
      <c r="G473" s="300" t="s">
        <v>598</v>
      </c>
      <c r="H473" s="300" t="s">
        <v>367</v>
      </c>
      <c r="I473" s="301" t="s">
        <v>349</v>
      </c>
      <c r="J473" s="295" t="s">
        <v>1182</v>
      </c>
    </row>
    <row r="474" spans="2:10" x14ac:dyDescent="0.3">
      <c r="B474" s="296">
        <v>46216</v>
      </c>
      <c r="C474" s="297" t="s">
        <v>1184</v>
      </c>
      <c r="D474" s="298" t="s">
        <v>522</v>
      </c>
      <c r="E474" s="297" t="s">
        <v>907</v>
      </c>
      <c r="F474" s="299">
        <v>10</v>
      </c>
      <c r="G474" s="300" t="s">
        <v>598</v>
      </c>
      <c r="H474" s="300" t="s">
        <v>367</v>
      </c>
      <c r="I474" s="301" t="s">
        <v>349</v>
      </c>
      <c r="J474" s="295" t="s">
        <v>1182</v>
      </c>
    </row>
    <row r="475" spans="2:10" x14ac:dyDescent="0.3">
      <c r="B475" s="296">
        <v>46217</v>
      </c>
      <c r="C475" s="297" t="s">
        <v>1185</v>
      </c>
      <c r="D475" s="298" t="s">
        <v>475</v>
      </c>
      <c r="E475" s="297" t="s">
        <v>375</v>
      </c>
      <c r="F475" s="299">
        <v>224.38</v>
      </c>
      <c r="G475" s="300" t="s">
        <v>366</v>
      </c>
      <c r="H475" s="300" t="s">
        <v>426</v>
      </c>
      <c r="I475" s="301" t="s">
        <v>349</v>
      </c>
      <c r="J475" s="310" t="s">
        <v>1186</v>
      </c>
    </row>
    <row r="476" spans="2:10" x14ac:dyDescent="0.3">
      <c r="B476" s="296">
        <v>46217</v>
      </c>
      <c r="C476" s="297" t="s">
        <v>1187</v>
      </c>
      <c r="D476" s="298" t="s">
        <v>522</v>
      </c>
      <c r="E476" s="297" t="s">
        <v>384</v>
      </c>
      <c r="F476" s="299">
        <v>372</v>
      </c>
      <c r="G476" s="300" t="s">
        <v>366</v>
      </c>
      <c r="H476" s="300" t="s">
        <v>367</v>
      </c>
      <c r="I476" s="301" t="s">
        <v>349</v>
      </c>
      <c r="J476" s="310" t="s">
        <v>1145</v>
      </c>
    </row>
    <row r="477" spans="2:10" x14ac:dyDescent="0.3">
      <c r="B477" s="296">
        <v>46218</v>
      </c>
      <c r="C477" s="297" t="s">
        <v>1188</v>
      </c>
      <c r="D477" s="298" t="s">
        <v>432</v>
      </c>
      <c r="E477" s="297" t="s">
        <v>369</v>
      </c>
      <c r="F477" s="299">
        <v>195</v>
      </c>
      <c r="G477" s="300" t="s">
        <v>598</v>
      </c>
      <c r="H477" s="300" t="s">
        <v>367</v>
      </c>
      <c r="I477" s="301" t="s">
        <v>349</v>
      </c>
      <c r="J477" s="310" t="s">
        <v>1189</v>
      </c>
    </row>
    <row r="478" spans="2:10" x14ac:dyDescent="0.3">
      <c r="B478" s="296">
        <v>46218</v>
      </c>
      <c r="C478" s="297" t="s">
        <v>1190</v>
      </c>
      <c r="D478" s="298" t="s">
        <v>425</v>
      </c>
      <c r="E478" s="297" t="s">
        <v>375</v>
      </c>
      <c r="F478" s="299">
        <v>615</v>
      </c>
      <c r="G478" s="300" t="s">
        <v>366</v>
      </c>
      <c r="H478" s="300" t="s">
        <v>426</v>
      </c>
      <c r="I478" s="301" t="s">
        <v>349</v>
      </c>
      <c r="J478" s="310" t="s">
        <v>1191</v>
      </c>
    </row>
    <row r="479" spans="2:10" x14ac:dyDescent="0.3">
      <c r="B479" s="296">
        <v>46218</v>
      </c>
      <c r="C479" s="297" t="s">
        <v>1192</v>
      </c>
      <c r="D479" s="298" t="s">
        <v>463</v>
      </c>
      <c r="E479" s="297" t="s">
        <v>375</v>
      </c>
      <c r="F479" s="299">
        <v>282.86</v>
      </c>
      <c r="G479" s="300" t="s">
        <v>366</v>
      </c>
      <c r="H479" s="300" t="s">
        <v>426</v>
      </c>
      <c r="I479" s="301" t="s">
        <v>349</v>
      </c>
      <c r="J479" s="310" t="s">
        <v>1193</v>
      </c>
    </row>
    <row r="480" spans="2:10" x14ac:dyDescent="0.3">
      <c r="B480" s="296">
        <v>46218</v>
      </c>
      <c r="C480" s="297" t="s">
        <v>364</v>
      </c>
      <c r="D480" s="298" t="s">
        <v>522</v>
      </c>
      <c r="E480" s="297" t="s">
        <v>365</v>
      </c>
      <c r="F480" s="299">
        <v>581</v>
      </c>
      <c r="G480" s="300" t="s">
        <v>366</v>
      </c>
      <c r="H480" s="300" t="s">
        <v>367</v>
      </c>
      <c r="I480" s="301" t="s">
        <v>349</v>
      </c>
      <c r="J480" s="310" t="s">
        <v>1145</v>
      </c>
    </row>
    <row r="481" spans="2:10" x14ac:dyDescent="0.3">
      <c r="B481" s="296">
        <v>46218</v>
      </c>
      <c r="C481" s="297" t="s">
        <v>581</v>
      </c>
      <c r="D481" s="298" t="s">
        <v>522</v>
      </c>
      <c r="E481" s="297" t="s">
        <v>378</v>
      </c>
      <c r="F481" s="299">
        <v>5</v>
      </c>
      <c r="G481" s="300" t="s">
        <v>366</v>
      </c>
      <c r="H481" s="300" t="s">
        <v>367</v>
      </c>
      <c r="I481" s="301" t="s">
        <v>349</v>
      </c>
      <c r="J481" s="310" t="s">
        <v>1145</v>
      </c>
    </row>
    <row r="482" spans="2:10" x14ac:dyDescent="0.3">
      <c r="B482" s="296">
        <v>46218</v>
      </c>
      <c r="C482" s="297" t="s">
        <v>385</v>
      </c>
      <c r="D482" s="298" t="s">
        <v>522</v>
      </c>
      <c r="E482" s="297" t="s">
        <v>365</v>
      </c>
      <c r="F482" s="299">
        <v>579</v>
      </c>
      <c r="G482" s="300" t="s">
        <v>366</v>
      </c>
      <c r="H482" s="300" t="s">
        <v>367</v>
      </c>
      <c r="I482" s="301" t="s">
        <v>349</v>
      </c>
      <c r="J482" s="310" t="s">
        <v>1145</v>
      </c>
    </row>
    <row r="483" spans="2:10" x14ac:dyDescent="0.3">
      <c r="B483" s="296">
        <v>46218</v>
      </c>
      <c r="C483" s="297" t="s">
        <v>1194</v>
      </c>
      <c r="D483" s="298" t="s">
        <v>597</v>
      </c>
      <c r="E483" s="297" t="s">
        <v>870</v>
      </c>
      <c r="F483" s="299">
        <v>349</v>
      </c>
      <c r="G483" s="300" t="s">
        <v>366</v>
      </c>
      <c r="H483" s="300" t="s">
        <v>367</v>
      </c>
      <c r="I483" s="301" t="s">
        <v>349</v>
      </c>
      <c r="J483" s="310" t="s">
        <v>1195</v>
      </c>
    </row>
    <row r="484" spans="2:10" x14ac:dyDescent="0.3">
      <c r="B484" s="296">
        <v>46219</v>
      </c>
      <c r="C484" s="297" t="s">
        <v>1196</v>
      </c>
      <c r="D484" s="298" t="s">
        <v>631</v>
      </c>
      <c r="E484" s="297" t="s">
        <v>939</v>
      </c>
      <c r="F484" s="299">
        <v>106</v>
      </c>
      <c r="G484" s="300" t="s">
        <v>366</v>
      </c>
      <c r="H484" s="300" t="s">
        <v>367</v>
      </c>
      <c r="I484" s="301" t="s">
        <v>349</v>
      </c>
      <c r="J484" s="310" t="s">
        <v>1197</v>
      </c>
    </row>
    <row r="485" spans="2:10" x14ac:dyDescent="0.3">
      <c r="B485" s="296">
        <v>46219</v>
      </c>
      <c r="C485" s="297" t="s">
        <v>1198</v>
      </c>
      <c r="D485" s="298" t="s">
        <v>720</v>
      </c>
      <c r="E485" s="297" t="s">
        <v>429</v>
      </c>
      <c r="F485" s="299">
        <v>110</v>
      </c>
      <c r="G485" s="300" t="s">
        <v>366</v>
      </c>
      <c r="H485" s="300" t="s">
        <v>367</v>
      </c>
      <c r="I485" s="301" t="s">
        <v>349</v>
      </c>
      <c r="J485" s="310" t="s">
        <v>1199</v>
      </c>
    </row>
    <row r="486" spans="2:10" x14ac:dyDescent="0.3">
      <c r="B486" s="296">
        <v>46219</v>
      </c>
      <c r="C486" s="297" t="s">
        <v>645</v>
      </c>
      <c r="D486" s="298" t="s">
        <v>703</v>
      </c>
      <c r="E486" s="297" t="s">
        <v>387</v>
      </c>
      <c r="F486" s="299">
        <v>409</v>
      </c>
      <c r="G486" s="300" t="s">
        <v>366</v>
      </c>
      <c r="H486" s="300" t="s">
        <v>367</v>
      </c>
      <c r="I486" s="301" t="s">
        <v>349</v>
      </c>
      <c r="J486" s="310" t="s">
        <v>1200</v>
      </c>
    </row>
    <row r="487" spans="2:10" x14ac:dyDescent="0.3">
      <c r="B487" s="296">
        <v>46219</v>
      </c>
      <c r="C487" s="297" t="s">
        <v>1201</v>
      </c>
      <c r="D487" s="298" t="s">
        <v>1136</v>
      </c>
      <c r="E487" s="297" t="s">
        <v>369</v>
      </c>
      <c r="F487" s="299">
        <v>51</v>
      </c>
      <c r="G487" s="300" t="s">
        <v>366</v>
      </c>
      <c r="H487" s="300" t="s">
        <v>426</v>
      </c>
      <c r="I487" s="301" t="s">
        <v>349</v>
      </c>
      <c r="J487" s="310" t="s">
        <v>1202</v>
      </c>
    </row>
    <row r="488" spans="2:10" x14ac:dyDescent="0.3">
      <c r="B488" s="296">
        <v>46219</v>
      </c>
      <c r="C488" s="297" t="s">
        <v>364</v>
      </c>
      <c r="D488" s="298" t="s">
        <v>522</v>
      </c>
      <c r="E488" s="297" t="s">
        <v>365</v>
      </c>
      <c r="F488" s="299">
        <v>263</v>
      </c>
      <c r="G488" s="300" t="s">
        <v>366</v>
      </c>
      <c r="H488" s="300" t="s">
        <v>367</v>
      </c>
      <c r="I488" s="301" t="s">
        <v>349</v>
      </c>
      <c r="J488" s="310" t="s">
        <v>1145</v>
      </c>
    </row>
    <row r="489" spans="2:10" x14ac:dyDescent="0.3">
      <c r="B489" s="296">
        <v>46219</v>
      </c>
      <c r="C489" s="297" t="s">
        <v>1203</v>
      </c>
      <c r="D489" s="298" t="s">
        <v>522</v>
      </c>
      <c r="E489" s="297" t="s">
        <v>907</v>
      </c>
      <c r="F489" s="299">
        <v>150</v>
      </c>
      <c r="G489" s="300" t="s">
        <v>366</v>
      </c>
      <c r="H489" s="300" t="s">
        <v>367</v>
      </c>
      <c r="I489" s="301" t="s">
        <v>349</v>
      </c>
      <c r="J489" s="310" t="s">
        <v>1204</v>
      </c>
    </row>
    <row r="490" spans="2:10" x14ac:dyDescent="0.3">
      <c r="B490" s="296">
        <v>46219</v>
      </c>
      <c r="C490" s="297" t="s">
        <v>1205</v>
      </c>
      <c r="D490" s="298" t="s">
        <v>522</v>
      </c>
      <c r="E490" s="297" t="s">
        <v>907</v>
      </c>
      <c r="F490" s="299">
        <v>28</v>
      </c>
      <c r="G490" s="300" t="s">
        <v>366</v>
      </c>
      <c r="H490" s="300" t="s">
        <v>367</v>
      </c>
      <c r="I490" s="301" t="s">
        <v>349</v>
      </c>
      <c r="J490" s="310" t="s">
        <v>1206</v>
      </c>
    </row>
    <row r="491" spans="2:10" x14ac:dyDescent="0.3">
      <c r="B491" s="296">
        <v>46219</v>
      </c>
      <c r="C491" s="297" t="s">
        <v>1207</v>
      </c>
      <c r="D491" s="298" t="s">
        <v>395</v>
      </c>
      <c r="E491" s="297" t="s">
        <v>429</v>
      </c>
      <c r="F491" s="299">
        <v>40</v>
      </c>
      <c r="G491" s="300" t="s">
        <v>366</v>
      </c>
      <c r="H491" s="300" t="s">
        <v>367</v>
      </c>
      <c r="I491" s="301" t="s">
        <v>349</v>
      </c>
      <c r="J491" s="310" t="s">
        <v>1145</v>
      </c>
    </row>
    <row r="492" spans="2:10" x14ac:dyDescent="0.3">
      <c r="B492" s="296">
        <v>46214</v>
      </c>
      <c r="C492" s="297" t="s">
        <v>1208</v>
      </c>
      <c r="D492" s="298" t="s">
        <v>1209</v>
      </c>
      <c r="E492" s="297" t="s">
        <v>372</v>
      </c>
      <c r="F492" s="299">
        <v>867</v>
      </c>
      <c r="G492" s="300" t="s">
        <v>366</v>
      </c>
      <c r="H492" s="300" t="s">
        <v>367</v>
      </c>
      <c r="I492" s="301" t="s">
        <v>349</v>
      </c>
      <c r="J492" s="310" t="s">
        <v>1210</v>
      </c>
    </row>
    <row r="493" spans="2:10" x14ac:dyDescent="0.3">
      <c r="B493" s="296">
        <v>46219</v>
      </c>
      <c r="C493" s="297" t="s">
        <v>1211</v>
      </c>
      <c r="D493" s="298" t="s">
        <v>896</v>
      </c>
      <c r="E493" s="297" t="s">
        <v>418</v>
      </c>
      <c r="F493" s="299">
        <v>500</v>
      </c>
      <c r="G493" s="300" t="s">
        <v>366</v>
      </c>
      <c r="H493" s="300" t="s">
        <v>367</v>
      </c>
      <c r="I493" s="301" t="s">
        <v>349</v>
      </c>
      <c r="J493" s="310" t="s">
        <v>1212</v>
      </c>
    </row>
    <row r="494" spans="2:10" x14ac:dyDescent="0.3">
      <c r="B494" s="296">
        <v>46220</v>
      </c>
      <c r="C494" s="297" t="s">
        <v>1213</v>
      </c>
      <c r="D494" s="298" t="s">
        <v>395</v>
      </c>
      <c r="E494" s="297" t="s">
        <v>369</v>
      </c>
      <c r="F494" s="299">
        <v>52</v>
      </c>
      <c r="G494" s="300" t="s">
        <v>366</v>
      </c>
      <c r="H494" s="300" t="s">
        <v>367</v>
      </c>
      <c r="I494" s="301" t="s">
        <v>349</v>
      </c>
      <c r="J494" s="310" t="s">
        <v>1145</v>
      </c>
    </row>
    <row r="495" spans="2:10" x14ac:dyDescent="0.3">
      <c r="B495" s="296">
        <v>46220</v>
      </c>
      <c r="C495" s="297" t="s">
        <v>385</v>
      </c>
      <c r="D495" s="298" t="s">
        <v>522</v>
      </c>
      <c r="E495" s="297" t="s">
        <v>365</v>
      </c>
      <c r="F495" s="299">
        <v>300</v>
      </c>
      <c r="G495" s="300" t="s">
        <v>598</v>
      </c>
      <c r="H495" s="300" t="s">
        <v>367</v>
      </c>
      <c r="I495" s="301" t="s">
        <v>349</v>
      </c>
      <c r="J495" s="310" t="s">
        <v>1214</v>
      </c>
    </row>
    <row r="496" spans="2:10" x14ac:dyDescent="0.3">
      <c r="B496" s="296">
        <v>46220</v>
      </c>
      <c r="C496" s="297" t="s">
        <v>376</v>
      </c>
      <c r="D496" s="298" t="s">
        <v>522</v>
      </c>
      <c r="E496" s="297" t="s">
        <v>378</v>
      </c>
      <c r="F496" s="299">
        <v>51</v>
      </c>
      <c r="G496" s="300" t="s">
        <v>366</v>
      </c>
      <c r="H496" s="300" t="s">
        <v>367</v>
      </c>
      <c r="I496" s="301" t="s">
        <v>349</v>
      </c>
      <c r="J496" s="310" t="s">
        <v>1145</v>
      </c>
    </row>
    <row r="497" spans="2:10" x14ac:dyDescent="0.3">
      <c r="B497" s="296">
        <v>46220</v>
      </c>
      <c r="C497" s="297" t="s">
        <v>380</v>
      </c>
      <c r="D497" s="298" t="s">
        <v>522</v>
      </c>
      <c r="E497" s="297" t="s">
        <v>378</v>
      </c>
      <c r="F497" s="299">
        <v>88</v>
      </c>
      <c r="G497" s="300" t="s">
        <v>366</v>
      </c>
      <c r="H497" s="300" t="s">
        <v>367</v>
      </c>
      <c r="I497" s="301" t="s">
        <v>349</v>
      </c>
      <c r="J497" s="310" t="s">
        <v>1145</v>
      </c>
    </row>
    <row r="498" spans="2:10" x14ac:dyDescent="0.3">
      <c r="B498" s="296">
        <v>46220</v>
      </c>
      <c r="C498" s="297" t="s">
        <v>852</v>
      </c>
      <c r="D498" s="298" t="s">
        <v>522</v>
      </c>
      <c r="E498" s="297" t="s">
        <v>365</v>
      </c>
      <c r="F498" s="299">
        <v>96</v>
      </c>
      <c r="G498" s="300" t="s">
        <v>366</v>
      </c>
      <c r="H498" s="300" t="s">
        <v>367</v>
      </c>
      <c r="I498" s="301" t="s">
        <v>349</v>
      </c>
      <c r="J498" s="310" t="s">
        <v>1145</v>
      </c>
    </row>
    <row r="499" spans="2:10" x14ac:dyDescent="0.3">
      <c r="B499" s="296">
        <v>46220</v>
      </c>
      <c r="C499" s="297" t="s">
        <v>1215</v>
      </c>
      <c r="D499" s="298" t="s">
        <v>374</v>
      </c>
      <c r="E499" s="297" t="s">
        <v>375</v>
      </c>
      <c r="F499" s="299">
        <v>164</v>
      </c>
      <c r="G499" s="300" t="s">
        <v>366</v>
      </c>
      <c r="H499" s="300" t="s">
        <v>367</v>
      </c>
      <c r="I499" s="301" t="s">
        <v>349</v>
      </c>
      <c r="J499" s="310" t="s">
        <v>1216</v>
      </c>
    </row>
    <row r="500" spans="2:10" x14ac:dyDescent="0.3">
      <c r="B500" s="296">
        <v>46220</v>
      </c>
      <c r="C500" s="297" t="s">
        <v>1217</v>
      </c>
      <c r="D500" s="298" t="s">
        <v>896</v>
      </c>
      <c r="E500" s="297" t="s">
        <v>418</v>
      </c>
      <c r="F500" s="299">
        <v>1200</v>
      </c>
      <c r="G500" s="300" t="s">
        <v>366</v>
      </c>
      <c r="H500" s="300" t="s">
        <v>367</v>
      </c>
      <c r="I500" s="301" t="s">
        <v>349</v>
      </c>
      <c r="J500" s="310" t="s">
        <v>1218</v>
      </c>
    </row>
    <row r="501" spans="2:10" x14ac:dyDescent="0.3">
      <c r="B501" s="296">
        <v>46221</v>
      </c>
      <c r="C501" s="297" t="s">
        <v>1219</v>
      </c>
      <c r="D501" s="298" t="s">
        <v>896</v>
      </c>
      <c r="E501" s="297" t="s">
        <v>418</v>
      </c>
      <c r="F501" s="299">
        <v>3750</v>
      </c>
      <c r="G501" s="300" t="s">
        <v>366</v>
      </c>
      <c r="H501" s="300" t="s">
        <v>367</v>
      </c>
      <c r="I501" s="301" t="s">
        <v>349</v>
      </c>
      <c r="J501" s="310" t="s">
        <v>1220</v>
      </c>
    </row>
    <row r="502" spans="2:10" x14ac:dyDescent="0.3">
      <c r="B502" s="296">
        <v>46221</v>
      </c>
      <c r="C502" s="297" t="s">
        <v>1221</v>
      </c>
      <c r="D502" s="298" t="s">
        <v>896</v>
      </c>
      <c r="E502" s="297" t="s">
        <v>418</v>
      </c>
      <c r="F502" s="299">
        <v>1500</v>
      </c>
      <c r="G502" s="300" t="s">
        <v>366</v>
      </c>
      <c r="H502" s="300" t="s">
        <v>367</v>
      </c>
      <c r="I502" s="301" t="s">
        <v>349</v>
      </c>
      <c r="J502" s="310" t="s">
        <v>1222</v>
      </c>
    </row>
    <row r="503" spans="2:10" x14ac:dyDescent="0.3">
      <c r="B503" s="296">
        <v>46223</v>
      </c>
      <c r="C503" s="297" t="s">
        <v>1223</v>
      </c>
      <c r="D503" s="298" t="s">
        <v>395</v>
      </c>
      <c r="E503" s="297" t="s">
        <v>387</v>
      </c>
      <c r="F503" s="299">
        <v>36</v>
      </c>
      <c r="G503" s="300" t="s">
        <v>366</v>
      </c>
      <c r="H503" s="300" t="s">
        <v>367</v>
      </c>
      <c r="I503" s="301" t="s">
        <v>349</v>
      </c>
      <c r="J503" s="310" t="s">
        <v>1145</v>
      </c>
    </row>
    <row r="504" spans="2:10" x14ac:dyDescent="0.3">
      <c r="B504" s="296">
        <v>46223</v>
      </c>
      <c r="C504" s="297" t="s">
        <v>852</v>
      </c>
      <c r="D504" s="298" t="s">
        <v>522</v>
      </c>
      <c r="E504" s="297" t="s">
        <v>365</v>
      </c>
      <c r="F504" s="299">
        <v>290</v>
      </c>
      <c r="G504" s="300" t="s">
        <v>598</v>
      </c>
      <c r="H504" s="300" t="s">
        <v>367</v>
      </c>
      <c r="I504" s="301" t="s">
        <v>349</v>
      </c>
      <c r="J504" s="310" t="s">
        <v>1224</v>
      </c>
    </row>
    <row r="505" spans="2:10" x14ac:dyDescent="0.3">
      <c r="B505" s="296">
        <v>46223</v>
      </c>
      <c r="C505" s="297" t="s">
        <v>385</v>
      </c>
      <c r="D505" s="298" t="s">
        <v>522</v>
      </c>
      <c r="E505" s="297" t="s">
        <v>365</v>
      </c>
      <c r="F505" s="299">
        <v>89</v>
      </c>
      <c r="G505" s="300" t="s">
        <v>598</v>
      </c>
      <c r="H505" s="300" t="s">
        <v>367</v>
      </c>
      <c r="I505" s="301" t="s">
        <v>349</v>
      </c>
      <c r="J505" s="310" t="s">
        <v>1224</v>
      </c>
    </row>
    <row r="506" spans="2:10" x14ac:dyDescent="0.3">
      <c r="B506" s="296">
        <v>46223</v>
      </c>
      <c r="C506" s="297" t="s">
        <v>952</v>
      </c>
      <c r="D506" s="298" t="s">
        <v>522</v>
      </c>
      <c r="E506" s="297" t="s">
        <v>429</v>
      </c>
      <c r="F506" s="299">
        <v>30</v>
      </c>
      <c r="G506" s="300" t="s">
        <v>366</v>
      </c>
      <c r="H506" s="300" t="s">
        <v>367</v>
      </c>
      <c r="I506" s="301" t="s">
        <v>349</v>
      </c>
      <c r="J506" s="310" t="s">
        <v>1145</v>
      </c>
    </row>
    <row r="507" spans="2:10" x14ac:dyDescent="0.3">
      <c r="B507" s="296">
        <v>46223</v>
      </c>
      <c r="C507" s="297" t="s">
        <v>1225</v>
      </c>
      <c r="D507" s="298" t="s">
        <v>395</v>
      </c>
      <c r="E507" s="297" t="s">
        <v>907</v>
      </c>
      <c r="F507" s="299">
        <v>54</v>
      </c>
      <c r="G507" s="300" t="s">
        <v>598</v>
      </c>
      <c r="H507" s="300" t="s">
        <v>367</v>
      </c>
      <c r="I507" s="301" t="s">
        <v>349</v>
      </c>
      <c r="J507" s="310" t="s">
        <v>1224</v>
      </c>
    </row>
    <row r="508" spans="2:10" x14ac:dyDescent="0.3">
      <c r="B508" s="296">
        <v>46223</v>
      </c>
      <c r="C508" s="297" t="s">
        <v>1226</v>
      </c>
      <c r="D508" s="298" t="s">
        <v>522</v>
      </c>
      <c r="E508" s="297" t="s">
        <v>907</v>
      </c>
      <c r="F508" s="299">
        <v>200</v>
      </c>
      <c r="G508" s="300" t="s">
        <v>366</v>
      </c>
      <c r="H508" s="300" t="s">
        <v>367</v>
      </c>
      <c r="I508" s="301" t="s">
        <v>349</v>
      </c>
      <c r="J508" s="310" t="s">
        <v>1145</v>
      </c>
    </row>
    <row r="509" spans="2:10" x14ac:dyDescent="0.3">
      <c r="B509" s="296">
        <v>46223</v>
      </c>
      <c r="C509" s="297" t="s">
        <v>1227</v>
      </c>
      <c r="D509" s="298" t="s">
        <v>432</v>
      </c>
      <c r="E509" s="297" t="s">
        <v>375</v>
      </c>
      <c r="F509" s="299">
        <v>1760</v>
      </c>
      <c r="G509" s="300" t="s">
        <v>366</v>
      </c>
      <c r="H509" s="300" t="s">
        <v>426</v>
      </c>
      <c r="I509" s="301" t="s">
        <v>349</v>
      </c>
      <c r="J509" s="310" t="s">
        <v>1228</v>
      </c>
    </row>
    <row r="510" spans="2:10" x14ac:dyDescent="0.3">
      <c r="B510" s="296">
        <v>46221</v>
      </c>
      <c r="C510" s="297" t="s">
        <v>376</v>
      </c>
      <c r="D510" s="298" t="s">
        <v>522</v>
      </c>
      <c r="E510" s="297" t="s">
        <v>378</v>
      </c>
      <c r="F510" s="299">
        <v>1520</v>
      </c>
      <c r="G510" s="300" t="s">
        <v>366</v>
      </c>
      <c r="H510" s="300" t="s">
        <v>367</v>
      </c>
      <c r="I510" s="301" t="s">
        <v>349</v>
      </c>
      <c r="J510" s="310" t="s">
        <v>1229</v>
      </c>
    </row>
    <row r="511" spans="2:10" x14ac:dyDescent="0.3">
      <c r="B511" s="296">
        <v>46224</v>
      </c>
      <c r="C511" s="297" t="s">
        <v>1162</v>
      </c>
      <c r="D511" s="298" t="s">
        <v>522</v>
      </c>
      <c r="E511" s="297" t="s">
        <v>365</v>
      </c>
      <c r="F511" s="299">
        <v>174</v>
      </c>
      <c r="G511" s="300" t="s">
        <v>366</v>
      </c>
      <c r="H511" s="300" t="s">
        <v>367</v>
      </c>
      <c r="I511" s="301" t="s">
        <v>349</v>
      </c>
      <c r="J511" s="310" t="s">
        <v>1145</v>
      </c>
    </row>
    <row r="512" spans="2:10" x14ac:dyDescent="0.3">
      <c r="B512" s="296">
        <v>46224</v>
      </c>
      <c r="C512" s="297" t="s">
        <v>1230</v>
      </c>
      <c r="D512" s="298" t="s">
        <v>522</v>
      </c>
      <c r="E512" s="297" t="s">
        <v>365</v>
      </c>
      <c r="F512" s="299">
        <v>562</v>
      </c>
      <c r="G512" s="300" t="s">
        <v>366</v>
      </c>
      <c r="H512" s="300" t="s">
        <v>367</v>
      </c>
      <c r="I512" s="301" t="s">
        <v>349</v>
      </c>
      <c r="J512" s="310" t="s">
        <v>1145</v>
      </c>
    </row>
    <row r="513" spans="2:10" x14ac:dyDescent="0.3">
      <c r="B513" s="296">
        <v>46224</v>
      </c>
      <c r="C513" s="297" t="s">
        <v>1231</v>
      </c>
      <c r="D513" s="298" t="s">
        <v>522</v>
      </c>
      <c r="E513" s="297" t="s">
        <v>365</v>
      </c>
      <c r="F513" s="299">
        <v>380</v>
      </c>
      <c r="G513" s="300" t="s">
        <v>366</v>
      </c>
      <c r="H513" s="300" t="s">
        <v>367</v>
      </c>
      <c r="I513" s="301" t="s">
        <v>349</v>
      </c>
      <c r="J513" s="310" t="s">
        <v>1145</v>
      </c>
    </row>
    <row r="514" spans="2:10" x14ac:dyDescent="0.3">
      <c r="B514" s="296">
        <v>46224</v>
      </c>
      <c r="C514" s="297" t="s">
        <v>1213</v>
      </c>
      <c r="D514" s="298" t="s">
        <v>395</v>
      </c>
      <c r="E514" s="297" t="s">
        <v>369</v>
      </c>
      <c r="F514" s="299">
        <v>26</v>
      </c>
      <c r="G514" s="300" t="s">
        <v>366</v>
      </c>
      <c r="H514" s="300" t="s">
        <v>367</v>
      </c>
      <c r="I514" s="301" t="s">
        <v>349</v>
      </c>
      <c r="J514" s="310" t="s">
        <v>1145</v>
      </c>
    </row>
    <row r="515" spans="2:10" x14ac:dyDescent="0.3">
      <c r="B515" s="296">
        <v>46224</v>
      </c>
      <c r="C515" s="297" t="s">
        <v>1215</v>
      </c>
      <c r="D515" s="298" t="s">
        <v>374</v>
      </c>
      <c r="E515" s="297" t="s">
        <v>375</v>
      </c>
      <c r="F515" s="299">
        <v>116</v>
      </c>
      <c r="G515" s="300" t="s">
        <v>366</v>
      </c>
      <c r="H515" s="300" t="s">
        <v>367</v>
      </c>
      <c r="I515" s="301" t="s">
        <v>349</v>
      </c>
      <c r="J515" s="310" t="s">
        <v>1216</v>
      </c>
    </row>
    <row r="516" spans="2:10" x14ac:dyDescent="0.3">
      <c r="B516" s="296">
        <v>46224</v>
      </c>
      <c r="C516" s="297" t="s">
        <v>385</v>
      </c>
      <c r="D516" s="298" t="s">
        <v>522</v>
      </c>
      <c r="E516" s="297" t="s">
        <v>365</v>
      </c>
      <c r="F516" s="299">
        <v>939</v>
      </c>
      <c r="G516" s="300" t="s">
        <v>366</v>
      </c>
      <c r="H516" s="300" t="s">
        <v>367</v>
      </c>
      <c r="I516" s="301" t="s">
        <v>349</v>
      </c>
      <c r="J516" s="310" t="s">
        <v>1145</v>
      </c>
    </row>
    <row r="517" spans="2:10" x14ac:dyDescent="0.3">
      <c r="B517" s="296">
        <v>46225</v>
      </c>
      <c r="C517" s="297" t="s">
        <v>1232</v>
      </c>
      <c r="D517" s="298" t="s">
        <v>1233</v>
      </c>
      <c r="E517" s="297" t="s">
        <v>429</v>
      </c>
      <c r="F517" s="299">
        <v>300</v>
      </c>
      <c r="G517" s="300" t="s">
        <v>366</v>
      </c>
      <c r="H517" s="300" t="s">
        <v>367</v>
      </c>
      <c r="I517" s="301" t="s">
        <v>349</v>
      </c>
      <c r="J517" s="310" t="s">
        <v>1234</v>
      </c>
    </row>
    <row r="518" spans="2:10" x14ac:dyDescent="0.3">
      <c r="B518" s="296">
        <v>46225</v>
      </c>
      <c r="C518" s="297" t="s">
        <v>1230</v>
      </c>
      <c r="D518" s="298" t="s">
        <v>522</v>
      </c>
      <c r="E518" s="297" t="s">
        <v>365</v>
      </c>
      <c r="F518" s="299">
        <v>833</v>
      </c>
      <c r="G518" s="300" t="s">
        <v>366</v>
      </c>
      <c r="H518" s="300" t="s">
        <v>367</v>
      </c>
      <c r="I518" s="301" t="s">
        <v>349</v>
      </c>
      <c r="J518" s="310" t="s">
        <v>1145</v>
      </c>
    </row>
    <row r="519" spans="2:10" x14ac:dyDescent="0.3">
      <c r="B519" s="296">
        <v>46225</v>
      </c>
      <c r="C519" s="297" t="s">
        <v>1235</v>
      </c>
      <c r="D519" s="298" t="s">
        <v>395</v>
      </c>
      <c r="E519" s="297" t="s">
        <v>378</v>
      </c>
      <c r="F519" s="299">
        <v>20</v>
      </c>
      <c r="G519" s="300" t="s">
        <v>366</v>
      </c>
      <c r="H519" s="300" t="s">
        <v>367</v>
      </c>
      <c r="I519" s="301" t="s">
        <v>349</v>
      </c>
      <c r="J519" s="310" t="s">
        <v>1145</v>
      </c>
    </row>
    <row r="520" spans="2:10" x14ac:dyDescent="0.3">
      <c r="B520" s="296">
        <v>46225</v>
      </c>
      <c r="C520" s="297" t="s">
        <v>1236</v>
      </c>
      <c r="D520" s="298" t="s">
        <v>408</v>
      </c>
      <c r="E520" s="297" t="s">
        <v>384</v>
      </c>
      <c r="F520" s="299">
        <v>366</v>
      </c>
      <c r="G520" s="300" t="s">
        <v>366</v>
      </c>
      <c r="H520" s="300" t="s">
        <v>367</v>
      </c>
      <c r="I520" s="301" t="s">
        <v>349</v>
      </c>
      <c r="J520" s="310" t="s">
        <v>1237</v>
      </c>
    </row>
    <row r="521" spans="2:10" x14ac:dyDescent="0.3">
      <c r="B521" s="296">
        <v>46225</v>
      </c>
      <c r="C521" s="297" t="s">
        <v>385</v>
      </c>
      <c r="D521" s="298" t="s">
        <v>522</v>
      </c>
      <c r="E521" s="297" t="s">
        <v>365</v>
      </c>
      <c r="F521" s="299">
        <v>234</v>
      </c>
      <c r="G521" s="300" t="s">
        <v>598</v>
      </c>
      <c r="H521" s="300" t="s">
        <v>367</v>
      </c>
      <c r="I521" s="301" t="s">
        <v>349</v>
      </c>
      <c r="J521" s="310" t="s">
        <v>1224</v>
      </c>
    </row>
    <row r="522" spans="2:10" x14ac:dyDescent="0.3">
      <c r="B522" s="296">
        <v>46225</v>
      </c>
      <c r="C522" s="297" t="s">
        <v>1238</v>
      </c>
      <c r="D522" s="298" t="s">
        <v>911</v>
      </c>
      <c r="E522" s="297" t="s">
        <v>870</v>
      </c>
      <c r="F522" s="299">
        <v>810</v>
      </c>
      <c r="G522" s="300" t="s">
        <v>366</v>
      </c>
      <c r="H522" s="300" t="s">
        <v>367</v>
      </c>
      <c r="I522" s="301" t="s">
        <v>349</v>
      </c>
      <c r="J522" s="310" t="s">
        <v>1239</v>
      </c>
    </row>
    <row r="523" spans="2:10" x14ac:dyDescent="0.3">
      <c r="B523" s="296">
        <v>46225</v>
      </c>
      <c r="C523" s="297" t="s">
        <v>1240</v>
      </c>
      <c r="D523" s="298" t="s">
        <v>1136</v>
      </c>
      <c r="E523" s="297" t="s">
        <v>375</v>
      </c>
      <c r="F523" s="299">
        <v>1186</v>
      </c>
      <c r="G523" s="300" t="s">
        <v>366</v>
      </c>
      <c r="H523" s="300" t="s">
        <v>367</v>
      </c>
      <c r="I523" s="301" t="s">
        <v>349</v>
      </c>
      <c r="J523" s="310" t="s">
        <v>1241</v>
      </c>
    </row>
    <row r="524" spans="2:10" x14ac:dyDescent="0.3">
      <c r="B524" s="296">
        <v>46225</v>
      </c>
      <c r="C524" s="297" t="s">
        <v>952</v>
      </c>
      <c r="D524" s="298" t="s">
        <v>522</v>
      </c>
      <c r="E524" s="297" t="s">
        <v>429</v>
      </c>
      <c r="F524" s="299">
        <v>70</v>
      </c>
      <c r="G524" s="300" t="s">
        <v>366</v>
      </c>
      <c r="H524" s="300" t="s">
        <v>367</v>
      </c>
      <c r="I524" s="301" t="s">
        <v>349</v>
      </c>
      <c r="J524" s="310" t="s">
        <v>1145</v>
      </c>
    </row>
    <row r="525" spans="2:10" x14ac:dyDescent="0.3">
      <c r="B525" s="296">
        <v>46226</v>
      </c>
      <c r="C525" s="297" t="s">
        <v>376</v>
      </c>
      <c r="D525" s="298" t="s">
        <v>522</v>
      </c>
      <c r="E525" s="297" t="s">
        <v>378</v>
      </c>
      <c r="F525" s="299">
        <v>105</v>
      </c>
      <c r="G525" s="300" t="s">
        <v>366</v>
      </c>
      <c r="H525" s="300" t="s">
        <v>367</v>
      </c>
      <c r="I525" s="301" t="s">
        <v>349</v>
      </c>
      <c r="J525" s="310" t="s">
        <v>1145</v>
      </c>
    </row>
    <row r="526" spans="2:10" x14ac:dyDescent="0.3">
      <c r="B526" s="296">
        <v>46226</v>
      </c>
      <c r="C526" s="297" t="s">
        <v>1230</v>
      </c>
      <c r="D526" s="298" t="s">
        <v>522</v>
      </c>
      <c r="E526" s="297" t="s">
        <v>365</v>
      </c>
      <c r="F526" s="299">
        <v>600</v>
      </c>
      <c r="G526" s="300" t="s">
        <v>366</v>
      </c>
      <c r="H526" s="300" t="s">
        <v>367</v>
      </c>
      <c r="I526" s="301" t="s">
        <v>349</v>
      </c>
      <c r="J526" s="310" t="s">
        <v>1145</v>
      </c>
    </row>
    <row r="527" spans="2:10" x14ac:dyDescent="0.3">
      <c r="B527" s="296">
        <v>46226</v>
      </c>
      <c r="C527" s="297" t="s">
        <v>385</v>
      </c>
      <c r="D527" s="298" t="s">
        <v>522</v>
      </c>
      <c r="E527" s="297" t="s">
        <v>365</v>
      </c>
      <c r="F527" s="299">
        <v>220</v>
      </c>
      <c r="G527" s="300" t="s">
        <v>366</v>
      </c>
      <c r="H527" s="300" t="s">
        <v>367</v>
      </c>
      <c r="I527" s="301" t="s">
        <v>349</v>
      </c>
      <c r="J527" s="310" t="s">
        <v>1145</v>
      </c>
    </row>
    <row r="528" spans="2:10" x14ac:dyDescent="0.3">
      <c r="B528" s="296">
        <v>46226</v>
      </c>
      <c r="C528" s="297" t="s">
        <v>1242</v>
      </c>
      <c r="D528" s="298" t="s">
        <v>631</v>
      </c>
      <c r="E528" s="297" t="s">
        <v>939</v>
      </c>
      <c r="F528" s="299">
        <v>1544.98</v>
      </c>
      <c r="G528" s="300" t="s">
        <v>366</v>
      </c>
      <c r="H528" s="300" t="s">
        <v>426</v>
      </c>
      <c r="I528" s="301" t="s">
        <v>349</v>
      </c>
      <c r="J528" s="310" t="s">
        <v>1243</v>
      </c>
    </row>
    <row r="529" spans="2:10" x14ac:dyDescent="0.3">
      <c r="B529" s="296">
        <v>46226</v>
      </c>
      <c r="C529" s="297" t="s">
        <v>1244</v>
      </c>
      <c r="D529" s="298" t="s">
        <v>463</v>
      </c>
      <c r="E529" s="297" t="s">
        <v>375</v>
      </c>
      <c r="F529" s="299">
        <v>515.4</v>
      </c>
      <c r="G529" s="300" t="s">
        <v>366</v>
      </c>
      <c r="H529" s="300" t="s">
        <v>426</v>
      </c>
      <c r="I529" s="301" t="s">
        <v>349</v>
      </c>
      <c r="J529" s="310" t="s">
        <v>1245</v>
      </c>
    </row>
    <row r="530" spans="2:10" x14ac:dyDescent="0.3">
      <c r="B530" s="296">
        <v>46226</v>
      </c>
      <c r="C530" s="297" t="s">
        <v>1246</v>
      </c>
      <c r="D530" s="298" t="s">
        <v>631</v>
      </c>
      <c r="E530" s="297" t="s">
        <v>939</v>
      </c>
      <c r="F530" s="299">
        <v>1481.45</v>
      </c>
      <c r="G530" s="300" t="s">
        <v>366</v>
      </c>
      <c r="H530" s="300" t="s">
        <v>426</v>
      </c>
      <c r="I530" s="301" t="s">
        <v>349</v>
      </c>
      <c r="J530" s="310" t="s">
        <v>1247</v>
      </c>
    </row>
    <row r="531" spans="2:10" x14ac:dyDescent="0.3">
      <c r="B531" s="296">
        <v>46226</v>
      </c>
      <c r="C531" s="297" t="s">
        <v>1213</v>
      </c>
      <c r="D531" s="298" t="s">
        <v>395</v>
      </c>
      <c r="E531" s="297" t="s">
        <v>369</v>
      </c>
      <c r="F531" s="299">
        <v>35</v>
      </c>
      <c r="G531" s="300" t="s">
        <v>366</v>
      </c>
      <c r="H531" s="300" t="s">
        <v>367</v>
      </c>
      <c r="I531" s="301" t="s">
        <v>349</v>
      </c>
      <c r="J531" s="310" t="s">
        <v>1145</v>
      </c>
    </row>
    <row r="532" spans="2:10" x14ac:dyDescent="0.3">
      <c r="B532" s="296">
        <v>46226</v>
      </c>
      <c r="C532" s="297" t="s">
        <v>1208</v>
      </c>
      <c r="D532" s="298" t="s">
        <v>1209</v>
      </c>
      <c r="E532" s="297" t="s">
        <v>372</v>
      </c>
      <c r="F532" s="299">
        <v>847</v>
      </c>
      <c r="G532" s="300" t="s">
        <v>366</v>
      </c>
      <c r="H532" s="300" t="s">
        <v>367</v>
      </c>
      <c r="I532" s="301" t="s">
        <v>349</v>
      </c>
      <c r="J532" s="310" t="s">
        <v>1145</v>
      </c>
    </row>
    <row r="533" spans="2:10" x14ac:dyDescent="0.3">
      <c r="B533" s="296">
        <v>46227</v>
      </c>
      <c r="C533" s="297" t="s">
        <v>1248</v>
      </c>
      <c r="D533" s="298" t="s">
        <v>522</v>
      </c>
      <c r="E533" s="297" t="s">
        <v>372</v>
      </c>
      <c r="F533" s="299">
        <v>72</v>
      </c>
      <c r="G533" s="300" t="s">
        <v>366</v>
      </c>
      <c r="H533" s="300" t="s">
        <v>367</v>
      </c>
      <c r="I533" s="301" t="s">
        <v>349</v>
      </c>
      <c r="J533" s="310" t="s">
        <v>1249</v>
      </c>
    </row>
    <row r="534" spans="2:10" x14ac:dyDescent="0.3">
      <c r="B534" s="296">
        <v>46227</v>
      </c>
      <c r="C534" s="297" t="s">
        <v>1250</v>
      </c>
      <c r="D534" s="298" t="s">
        <v>395</v>
      </c>
      <c r="E534" s="297" t="s">
        <v>369</v>
      </c>
      <c r="F534" s="299">
        <v>24</v>
      </c>
      <c r="G534" s="300" t="s">
        <v>366</v>
      </c>
      <c r="H534" s="300" t="s">
        <v>367</v>
      </c>
      <c r="I534" s="301" t="s">
        <v>349</v>
      </c>
      <c r="J534" s="310" t="s">
        <v>1145</v>
      </c>
    </row>
    <row r="535" spans="2:10" x14ac:dyDescent="0.3">
      <c r="B535" s="296">
        <v>46227</v>
      </c>
      <c r="C535" s="297" t="s">
        <v>1179</v>
      </c>
      <c r="D535" s="298" t="s">
        <v>522</v>
      </c>
      <c r="E535" s="297" t="s">
        <v>387</v>
      </c>
      <c r="F535" s="299">
        <v>590</v>
      </c>
      <c r="G535" s="300" t="s">
        <v>366</v>
      </c>
      <c r="H535" s="300" t="s">
        <v>367</v>
      </c>
      <c r="I535" s="301" t="s">
        <v>349</v>
      </c>
      <c r="J535" s="310" t="s">
        <v>1145</v>
      </c>
    </row>
    <row r="536" spans="2:10" x14ac:dyDescent="0.3">
      <c r="B536" s="296">
        <v>46227</v>
      </c>
      <c r="C536" s="297" t="s">
        <v>1251</v>
      </c>
      <c r="D536" s="298" t="s">
        <v>896</v>
      </c>
      <c r="E536" s="297" t="s">
        <v>418</v>
      </c>
      <c r="F536" s="299">
        <v>1200</v>
      </c>
      <c r="G536" s="300" t="s">
        <v>366</v>
      </c>
      <c r="H536" s="300" t="s">
        <v>367</v>
      </c>
      <c r="I536" s="301" t="s">
        <v>349</v>
      </c>
      <c r="J536" s="310" t="s">
        <v>1252</v>
      </c>
    </row>
    <row r="537" spans="2:10" x14ac:dyDescent="0.3">
      <c r="B537" s="296">
        <v>46228</v>
      </c>
      <c r="C537" s="297" t="s">
        <v>376</v>
      </c>
      <c r="D537" s="298" t="s">
        <v>522</v>
      </c>
      <c r="E537" s="297" t="s">
        <v>378</v>
      </c>
      <c r="F537" s="299">
        <v>150</v>
      </c>
      <c r="G537" s="300" t="s">
        <v>366</v>
      </c>
      <c r="H537" s="300" t="s">
        <v>367</v>
      </c>
      <c r="I537" s="301" t="s">
        <v>349</v>
      </c>
      <c r="J537" s="310" t="s">
        <v>1145</v>
      </c>
    </row>
    <row r="538" spans="2:10" x14ac:dyDescent="0.3">
      <c r="B538" s="296">
        <v>46228</v>
      </c>
      <c r="C538" s="297" t="s">
        <v>1253</v>
      </c>
      <c r="D538" s="298" t="s">
        <v>522</v>
      </c>
      <c r="E538" s="297" t="s">
        <v>365</v>
      </c>
      <c r="F538" s="299">
        <v>284</v>
      </c>
      <c r="G538" s="300" t="s">
        <v>366</v>
      </c>
      <c r="H538" s="300" t="s">
        <v>367</v>
      </c>
      <c r="I538" s="301" t="s">
        <v>349</v>
      </c>
      <c r="J538" s="310" t="s">
        <v>1145</v>
      </c>
    </row>
    <row r="539" spans="2:10" x14ac:dyDescent="0.3">
      <c r="B539" s="296">
        <v>46228</v>
      </c>
      <c r="C539" s="297" t="s">
        <v>385</v>
      </c>
      <c r="D539" s="298" t="s">
        <v>522</v>
      </c>
      <c r="E539" s="297" t="s">
        <v>365</v>
      </c>
      <c r="F539" s="299">
        <v>905</v>
      </c>
      <c r="G539" s="300" t="s">
        <v>366</v>
      </c>
      <c r="H539" s="300" t="s">
        <v>367</v>
      </c>
      <c r="I539" s="301" t="s">
        <v>349</v>
      </c>
      <c r="J539" s="310" t="s">
        <v>1145</v>
      </c>
    </row>
    <row r="540" spans="2:10" x14ac:dyDescent="0.3">
      <c r="B540" s="296">
        <v>46228</v>
      </c>
      <c r="C540" s="297" t="s">
        <v>1250</v>
      </c>
      <c r="D540" s="298" t="s">
        <v>395</v>
      </c>
      <c r="E540" s="297" t="s">
        <v>369</v>
      </c>
      <c r="F540" s="299">
        <v>24</v>
      </c>
      <c r="G540" s="300" t="s">
        <v>366</v>
      </c>
      <c r="H540" s="300" t="s">
        <v>367</v>
      </c>
      <c r="I540" s="301" t="s">
        <v>349</v>
      </c>
      <c r="J540" s="310" t="s">
        <v>1145</v>
      </c>
    </row>
    <row r="541" spans="2:10" x14ac:dyDescent="0.3">
      <c r="B541" s="296">
        <v>46228</v>
      </c>
      <c r="C541" s="297" t="s">
        <v>1254</v>
      </c>
      <c r="D541" s="298" t="s">
        <v>896</v>
      </c>
      <c r="E541" s="297" t="s">
        <v>418</v>
      </c>
      <c r="F541" s="299">
        <v>3750</v>
      </c>
      <c r="G541" s="300" t="s">
        <v>366</v>
      </c>
      <c r="H541" s="300" t="s">
        <v>367</v>
      </c>
      <c r="I541" s="301" t="s">
        <v>349</v>
      </c>
      <c r="J541" s="310" t="s">
        <v>1255</v>
      </c>
    </row>
    <row r="542" spans="2:10" x14ac:dyDescent="0.3">
      <c r="B542" s="296">
        <v>46228</v>
      </c>
      <c r="C542" s="297" t="s">
        <v>1256</v>
      </c>
      <c r="D542" s="298" t="s">
        <v>896</v>
      </c>
      <c r="E542" s="297" t="s">
        <v>418</v>
      </c>
      <c r="F542" s="299">
        <v>1500</v>
      </c>
      <c r="G542" s="300" t="s">
        <v>366</v>
      </c>
      <c r="H542" s="300" t="s">
        <v>367</v>
      </c>
      <c r="I542" s="301" t="s">
        <v>349</v>
      </c>
      <c r="J542" s="310" t="s">
        <v>1257</v>
      </c>
    </row>
    <row r="543" spans="2:10" x14ac:dyDescent="0.3">
      <c r="B543" s="296">
        <v>46229</v>
      </c>
      <c r="C543" s="297" t="s">
        <v>1258</v>
      </c>
      <c r="D543" s="298" t="s">
        <v>793</v>
      </c>
      <c r="E543" s="297" t="s">
        <v>378</v>
      </c>
      <c r="F543" s="299">
        <v>1832</v>
      </c>
      <c r="G543" s="300" t="s">
        <v>366</v>
      </c>
      <c r="H543" s="300" t="s">
        <v>367</v>
      </c>
      <c r="I543" s="301" t="s">
        <v>349</v>
      </c>
      <c r="J543" s="310" t="s">
        <v>1259</v>
      </c>
    </row>
    <row r="544" spans="2:10" x14ac:dyDescent="0.3">
      <c r="B544" s="296">
        <v>46229</v>
      </c>
      <c r="C544" s="297" t="s">
        <v>1213</v>
      </c>
      <c r="D544" s="298" t="s">
        <v>395</v>
      </c>
      <c r="E544" s="297" t="s">
        <v>369</v>
      </c>
      <c r="F544" s="299">
        <v>78</v>
      </c>
      <c r="G544" s="300" t="s">
        <v>366</v>
      </c>
      <c r="H544" s="300" t="s">
        <v>367</v>
      </c>
      <c r="I544" s="301" t="s">
        <v>349</v>
      </c>
      <c r="J544" s="310" t="s">
        <v>1260</v>
      </c>
    </row>
    <row r="545" spans="2:10" x14ac:dyDescent="0.3">
      <c r="B545" s="296">
        <v>46229</v>
      </c>
      <c r="C545" s="297" t="s">
        <v>1227</v>
      </c>
      <c r="D545" s="298" t="s">
        <v>432</v>
      </c>
      <c r="E545" s="297" t="s">
        <v>375</v>
      </c>
      <c r="F545" s="299">
        <v>1157</v>
      </c>
      <c r="G545" s="300" t="s">
        <v>366</v>
      </c>
      <c r="H545" s="300" t="s">
        <v>426</v>
      </c>
      <c r="I545" s="301" t="s">
        <v>349</v>
      </c>
      <c r="J545" s="310" t="s">
        <v>1261</v>
      </c>
    </row>
    <row r="546" spans="2:10" x14ac:dyDescent="0.3">
      <c r="B546" s="296">
        <v>46230</v>
      </c>
      <c r="C546" s="297" t="s">
        <v>406</v>
      </c>
      <c r="D546" s="298" t="s">
        <v>522</v>
      </c>
      <c r="E546" s="297" t="s">
        <v>429</v>
      </c>
      <c r="F546" s="299">
        <v>60</v>
      </c>
      <c r="G546" s="300" t="s">
        <v>366</v>
      </c>
      <c r="H546" s="300" t="s">
        <v>367</v>
      </c>
      <c r="I546" s="301" t="s">
        <v>349</v>
      </c>
      <c r="J546" s="310" t="s">
        <v>1145</v>
      </c>
    </row>
    <row r="547" spans="2:10" x14ac:dyDescent="0.3">
      <c r="B547" s="296">
        <v>46230</v>
      </c>
      <c r="C547" s="297" t="s">
        <v>1262</v>
      </c>
      <c r="D547" s="298" t="s">
        <v>432</v>
      </c>
      <c r="E547" s="297" t="s">
        <v>375</v>
      </c>
      <c r="F547" s="299">
        <v>491</v>
      </c>
      <c r="G547" s="300" t="s">
        <v>366</v>
      </c>
      <c r="H547" s="300" t="s">
        <v>367</v>
      </c>
      <c r="I547" s="301" t="s">
        <v>349</v>
      </c>
      <c r="J547" s="310" t="s">
        <v>1145</v>
      </c>
    </row>
    <row r="548" spans="2:10" x14ac:dyDescent="0.3">
      <c r="B548" s="296">
        <v>46230</v>
      </c>
      <c r="C548" s="297" t="s">
        <v>373</v>
      </c>
      <c r="D548" s="298" t="s">
        <v>374</v>
      </c>
      <c r="E548" s="297" t="s">
        <v>375</v>
      </c>
      <c r="F548" s="299">
        <v>377</v>
      </c>
      <c r="G548" s="300" t="s">
        <v>366</v>
      </c>
      <c r="H548" s="300" t="s">
        <v>367</v>
      </c>
      <c r="I548" s="301" t="s">
        <v>349</v>
      </c>
      <c r="J548" s="310" t="s">
        <v>1145</v>
      </c>
    </row>
    <row r="549" spans="2:10" x14ac:dyDescent="0.3">
      <c r="B549" s="296">
        <v>46231</v>
      </c>
      <c r="C549" s="297" t="s">
        <v>1263</v>
      </c>
      <c r="D549" s="298" t="s">
        <v>522</v>
      </c>
      <c r="E549" s="297" t="s">
        <v>907</v>
      </c>
      <c r="F549" s="299">
        <v>521</v>
      </c>
      <c r="G549" s="300" t="s">
        <v>366</v>
      </c>
      <c r="H549" s="300" t="s">
        <v>367</v>
      </c>
      <c r="I549" s="301" t="s">
        <v>349</v>
      </c>
      <c r="J549" s="310" t="s">
        <v>1145</v>
      </c>
    </row>
    <row r="550" spans="2:10" x14ac:dyDescent="0.3">
      <c r="B550" s="296">
        <v>46231</v>
      </c>
      <c r="C550" s="297" t="s">
        <v>374</v>
      </c>
      <c r="D550" s="298" t="s">
        <v>374</v>
      </c>
      <c r="E550" s="297" t="s">
        <v>375</v>
      </c>
      <c r="F550" s="299">
        <v>82</v>
      </c>
      <c r="G550" s="300" t="s">
        <v>366</v>
      </c>
      <c r="H550" s="300" t="s">
        <v>367</v>
      </c>
      <c r="I550" s="301" t="s">
        <v>349</v>
      </c>
      <c r="J550" s="310" t="s">
        <v>1145</v>
      </c>
    </row>
    <row r="551" spans="2:10" x14ac:dyDescent="0.3">
      <c r="B551" s="296">
        <v>46231</v>
      </c>
      <c r="C551" s="297" t="s">
        <v>364</v>
      </c>
      <c r="D551" s="298" t="s">
        <v>522</v>
      </c>
      <c r="E551" s="297" t="s">
        <v>365</v>
      </c>
      <c r="F551" s="299">
        <v>505</v>
      </c>
      <c r="G551" s="300" t="s">
        <v>366</v>
      </c>
      <c r="H551" s="300" t="s">
        <v>367</v>
      </c>
      <c r="I551" s="301" t="s">
        <v>349</v>
      </c>
      <c r="J551" s="310" t="s">
        <v>1145</v>
      </c>
    </row>
    <row r="552" spans="2:10" x14ac:dyDescent="0.3">
      <c r="B552" s="296">
        <v>46231</v>
      </c>
      <c r="C552" s="297" t="s">
        <v>385</v>
      </c>
      <c r="D552" s="298" t="s">
        <v>522</v>
      </c>
      <c r="E552" s="297" t="s">
        <v>365</v>
      </c>
      <c r="F552" s="299">
        <v>396</v>
      </c>
      <c r="G552" s="300" t="s">
        <v>598</v>
      </c>
      <c r="H552" s="300" t="s">
        <v>367</v>
      </c>
      <c r="I552" s="301" t="s">
        <v>349</v>
      </c>
      <c r="J552" s="310" t="s">
        <v>1264</v>
      </c>
    </row>
    <row r="553" spans="2:10" x14ac:dyDescent="0.3">
      <c r="B553" s="296">
        <v>46232</v>
      </c>
      <c r="C553" s="297" t="s">
        <v>376</v>
      </c>
      <c r="D553" s="298" t="s">
        <v>522</v>
      </c>
      <c r="E553" s="297" t="s">
        <v>378</v>
      </c>
      <c r="F553" s="299">
        <v>101</v>
      </c>
      <c r="G553" s="300" t="s">
        <v>366</v>
      </c>
      <c r="H553" s="300" t="s">
        <v>367</v>
      </c>
      <c r="I553" s="301" t="s">
        <v>349</v>
      </c>
      <c r="J553" s="310" t="s">
        <v>1145</v>
      </c>
    </row>
    <row r="554" spans="2:10" x14ac:dyDescent="0.3">
      <c r="B554" s="296">
        <v>46232</v>
      </c>
      <c r="C554" s="297" t="s">
        <v>364</v>
      </c>
      <c r="D554" s="298" t="s">
        <v>522</v>
      </c>
      <c r="E554" s="297" t="s">
        <v>365</v>
      </c>
      <c r="F554" s="299">
        <v>312</v>
      </c>
      <c r="G554" s="300" t="s">
        <v>366</v>
      </c>
      <c r="H554" s="300" t="s">
        <v>367</v>
      </c>
      <c r="I554" s="301" t="s">
        <v>349</v>
      </c>
      <c r="J554" s="310" t="s">
        <v>1145</v>
      </c>
    </row>
    <row r="555" spans="2:10" x14ac:dyDescent="0.3">
      <c r="B555" s="296">
        <v>46232</v>
      </c>
      <c r="C555" s="297" t="s">
        <v>1265</v>
      </c>
      <c r="D555" s="298" t="s">
        <v>522</v>
      </c>
      <c r="E555" s="297" t="s">
        <v>389</v>
      </c>
      <c r="F555" s="299">
        <v>250</v>
      </c>
      <c r="G555" s="300" t="s">
        <v>366</v>
      </c>
      <c r="H555" s="300" t="s">
        <v>367</v>
      </c>
      <c r="I555" s="301" t="s">
        <v>349</v>
      </c>
      <c r="J555" s="310" t="s">
        <v>1145</v>
      </c>
    </row>
    <row r="556" spans="2:10" x14ac:dyDescent="0.3">
      <c r="B556" s="296">
        <v>46232</v>
      </c>
      <c r="C556" s="297" t="s">
        <v>1209</v>
      </c>
      <c r="D556" s="298" t="s">
        <v>1209</v>
      </c>
      <c r="E556" s="297" t="s">
        <v>372</v>
      </c>
      <c r="F556" s="299">
        <v>722</v>
      </c>
      <c r="G556" s="300" t="s">
        <v>366</v>
      </c>
      <c r="H556" s="300" t="s">
        <v>367</v>
      </c>
      <c r="I556" s="301" t="s">
        <v>349</v>
      </c>
      <c r="J556" s="310" t="s">
        <v>1145</v>
      </c>
    </row>
    <row r="557" spans="2:10" x14ac:dyDescent="0.3">
      <c r="B557" s="296">
        <v>46232</v>
      </c>
      <c r="C557" s="297" t="s">
        <v>1266</v>
      </c>
      <c r="D557" s="298" t="s">
        <v>374</v>
      </c>
      <c r="E557" s="297" t="s">
        <v>375</v>
      </c>
      <c r="F557" s="299">
        <v>50</v>
      </c>
      <c r="G557" s="300" t="s">
        <v>366</v>
      </c>
      <c r="H557" s="300" t="s">
        <v>367</v>
      </c>
      <c r="I557" s="301" t="s">
        <v>349</v>
      </c>
      <c r="J557" s="310" t="s">
        <v>1145</v>
      </c>
    </row>
    <row r="558" spans="2:10" x14ac:dyDescent="0.3">
      <c r="B558" s="296">
        <v>46232</v>
      </c>
      <c r="C558" s="297" t="s">
        <v>1267</v>
      </c>
      <c r="D558" s="298" t="s">
        <v>506</v>
      </c>
      <c r="E558" s="297" t="s">
        <v>375</v>
      </c>
      <c r="F558" s="299">
        <v>60</v>
      </c>
      <c r="G558" s="300" t="s">
        <v>598</v>
      </c>
      <c r="H558" s="300" t="s">
        <v>367</v>
      </c>
      <c r="I558" s="301" t="s">
        <v>349</v>
      </c>
      <c r="J558" s="310" t="s">
        <v>1264</v>
      </c>
    </row>
    <row r="559" spans="2:10" x14ac:dyDescent="0.3">
      <c r="B559" s="296">
        <v>46233</v>
      </c>
      <c r="C559" s="297" t="s">
        <v>385</v>
      </c>
      <c r="D559" s="298" t="s">
        <v>522</v>
      </c>
      <c r="E559" s="297" t="s">
        <v>365</v>
      </c>
      <c r="F559" s="299">
        <v>188</v>
      </c>
      <c r="G559" s="300" t="s">
        <v>598</v>
      </c>
      <c r="H559" s="300" t="s">
        <v>367</v>
      </c>
      <c r="I559" s="301" t="s">
        <v>349</v>
      </c>
      <c r="J559" s="310" t="s">
        <v>1264</v>
      </c>
    </row>
    <row r="560" spans="2:10" x14ac:dyDescent="0.3">
      <c r="B560" s="296">
        <v>46233</v>
      </c>
      <c r="C560" s="297" t="s">
        <v>374</v>
      </c>
      <c r="D560" s="298" t="s">
        <v>374</v>
      </c>
      <c r="E560" s="297" t="s">
        <v>375</v>
      </c>
      <c r="F560" s="299">
        <v>80</v>
      </c>
      <c r="G560" s="300" t="s">
        <v>598</v>
      </c>
      <c r="H560" s="300" t="s">
        <v>367</v>
      </c>
      <c r="I560" s="301" t="s">
        <v>349</v>
      </c>
      <c r="J560" s="310" t="s">
        <v>1264</v>
      </c>
    </row>
    <row r="561" spans="2:10" x14ac:dyDescent="0.3">
      <c r="B561" s="296">
        <v>46234</v>
      </c>
      <c r="C561" s="297" t="s">
        <v>1268</v>
      </c>
      <c r="D561" s="298" t="s">
        <v>522</v>
      </c>
      <c r="E561" s="297" t="s">
        <v>384</v>
      </c>
      <c r="F561" s="299">
        <v>248</v>
      </c>
      <c r="G561" s="300" t="s">
        <v>366</v>
      </c>
      <c r="H561" s="300" t="s">
        <v>367</v>
      </c>
      <c r="I561" s="301" t="s">
        <v>349</v>
      </c>
      <c r="J561" s="310" t="s">
        <v>1145</v>
      </c>
    </row>
    <row r="562" spans="2:10" x14ac:dyDescent="0.3">
      <c r="B562" s="296">
        <v>46234</v>
      </c>
      <c r="C562" s="297" t="s">
        <v>1269</v>
      </c>
      <c r="D562" s="298" t="s">
        <v>522</v>
      </c>
      <c r="E562" s="297" t="s">
        <v>378</v>
      </c>
      <c r="F562" s="299">
        <v>38</v>
      </c>
      <c r="G562" s="300" t="s">
        <v>366</v>
      </c>
      <c r="H562" s="300" t="s">
        <v>367</v>
      </c>
      <c r="I562" s="301" t="s">
        <v>349</v>
      </c>
      <c r="J562" s="310" t="s">
        <v>1145</v>
      </c>
    </row>
    <row r="563" spans="2:10" x14ac:dyDescent="0.3">
      <c r="B563" s="296">
        <v>46234</v>
      </c>
      <c r="C563" s="297" t="s">
        <v>1184</v>
      </c>
      <c r="D563" s="298" t="s">
        <v>522</v>
      </c>
      <c r="E563" s="297" t="s">
        <v>907</v>
      </c>
      <c r="F563" s="299">
        <v>68</v>
      </c>
      <c r="G563" s="300" t="s">
        <v>366</v>
      </c>
      <c r="H563" s="300" t="s">
        <v>367</v>
      </c>
      <c r="I563" s="301" t="s">
        <v>349</v>
      </c>
      <c r="J563" s="310" t="s">
        <v>1145</v>
      </c>
    </row>
    <row r="564" spans="2:10" x14ac:dyDescent="0.3">
      <c r="B564" s="296">
        <v>46234</v>
      </c>
      <c r="C564" s="297" t="s">
        <v>1270</v>
      </c>
      <c r="D564" s="298" t="s">
        <v>522</v>
      </c>
      <c r="E564" s="297" t="s">
        <v>378</v>
      </c>
      <c r="F564" s="299">
        <v>79</v>
      </c>
      <c r="G564" s="300" t="s">
        <v>366</v>
      </c>
      <c r="H564" s="300" t="s">
        <v>367</v>
      </c>
      <c r="I564" s="301" t="s">
        <v>349</v>
      </c>
      <c r="J564" s="310" t="s">
        <v>1145</v>
      </c>
    </row>
    <row r="565" spans="2:10" x14ac:dyDescent="0.3">
      <c r="B565" s="296">
        <v>46234</v>
      </c>
      <c r="C565" s="297" t="s">
        <v>523</v>
      </c>
      <c r="D565" s="298" t="s">
        <v>522</v>
      </c>
      <c r="E565" s="297" t="s">
        <v>907</v>
      </c>
      <c r="F565" s="299">
        <v>250</v>
      </c>
      <c r="G565" s="300" t="s">
        <v>366</v>
      </c>
      <c r="H565" s="300" t="s">
        <v>367</v>
      </c>
      <c r="I565" s="301" t="s">
        <v>349</v>
      </c>
      <c r="J565" s="310" t="s">
        <v>1145</v>
      </c>
    </row>
    <row r="566" spans="2:10" x14ac:dyDescent="0.3">
      <c r="B566" s="296">
        <v>46234</v>
      </c>
      <c r="C566" s="297" t="s">
        <v>1271</v>
      </c>
      <c r="D566" s="298" t="s">
        <v>522</v>
      </c>
      <c r="E566" s="297" t="s">
        <v>378</v>
      </c>
      <c r="F566" s="299">
        <v>32</v>
      </c>
      <c r="G566" s="300" t="s">
        <v>366</v>
      </c>
      <c r="H566" s="300" t="s">
        <v>367</v>
      </c>
      <c r="I566" s="301" t="s">
        <v>349</v>
      </c>
      <c r="J566" s="310" t="s">
        <v>1145</v>
      </c>
    </row>
    <row r="567" spans="2:10" x14ac:dyDescent="0.3">
      <c r="B567" s="296">
        <v>46234</v>
      </c>
      <c r="C567" s="297" t="s">
        <v>1272</v>
      </c>
      <c r="D567" s="298" t="s">
        <v>395</v>
      </c>
      <c r="E567" s="297" t="s">
        <v>369</v>
      </c>
      <c r="F567" s="299">
        <v>78</v>
      </c>
      <c r="G567" s="300" t="s">
        <v>598</v>
      </c>
      <c r="H567" s="300" t="s">
        <v>367</v>
      </c>
      <c r="I567" s="301" t="s">
        <v>349</v>
      </c>
      <c r="J567" s="310" t="s">
        <v>1264</v>
      </c>
    </row>
    <row r="568" spans="2:10" x14ac:dyDescent="0.3">
      <c r="B568" s="296">
        <v>46234</v>
      </c>
      <c r="C568" s="297" t="s">
        <v>1273</v>
      </c>
      <c r="D568" s="298" t="s">
        <v>896</v>
      </c>
      <c r="E568" s="297" t="s">
        <v>418</v>
      </c>
      <c r="F568" s="299">
        <v>1200</v>
      </c>
      <c r="G568" s="300" t="s">
        <v>366</v>
      </c>
      <c r="H568" s="300" t="s">
        <v>367</v>
      </c>
      <c r="I568" s="301" t="s">
        <v>349</v>
      </c>
      <c r="J568" s="310" t="s">
        <v>1274</v>
      </c>
    </row>
    <row r="569" spans="2:10" x14ac:dyDescent="0.3">
      <c r="B569" s="296">
        <v>46235</v>
      </c>
      <c r="C569" s="297" t="s">
        <v>1275</v>
      </c>
      <c r="D569" s="298" t="s">
        <v>522</v>
      </c>
      <c r="E569" s="297" t="s">
        <v>378</v>
      </c>
      <c r="F569" s="299">
        <v>160</v>
      </c>
      <c r="G569" s="300" t="s">
        <v>366</v>
      </c>
      <c r="H569" s="300" t="s">
        <v>367</v>
      </c>
      <c r="I569" s="301" t="s">
        <v>349</v>
      </c>
      <c r="J569" s="310" t="s">
        <v>1145</v>
      </c>
    </row>
    <row r="570" spans="2:10" x14ac:dyDescent="0.3">
      <c r="B570" s="296">
        <v>46235</v>
      </c>
      <c r="C570" s="297" t="s">
        <v>374</v>
      </c>
      <c r="D570" s="298" t="s">
        <v>374</v>
      </c>
      <c r="E570" s="297" t="s">
        <v>375</v>
      </c>
      <c r="F570" s="299">
        <v>148</v>
      </c>
      <c r="G570" s="300" t="s">
        <v>366</v>
      </c>
      <c r="H570" s="300" t="s">
        <v>367</v>
      </c>
      <c r="I570" s="301" t="s">
        <v>349</v>
      </c>
      <c r="J570" s="310" t="s">
        <v>1145</v>
      </c>
    </row>
    <row r="571" spans="2:10" x14ac:dyDescent="0.3">
      <c r="B571" s="296">
        <v>46235</v>
      </c>
      <c r="C571" s="297" t="s">
        <v>1276</v>
      </c>
      <c r="D571" s="298" t="s">
        <v>522</v>
      </c>
      <c r="E571" s="297" t="s">
        <v>977</v>
      </c>
      <c r="F571" s="299">
        <v>1500</v>
      </c>
      <c r="G571" s="300" t="s">
        <v>366</v>
      </c>
      <c r="H571" s="300" t="s">
        <v>367</v>
      </c>
      <c r="I571" s="301" t="s">
        <v>349</v>
      </c>
      <c r="J571" s="310" t="s">
        <v>1145</v>
      </c>
    </row>
    <row r="572" spans="2:10" x14ac:dyDescent="0.3">
      <c r="B572" s="296">
        <v>46235</v>
      </c>
      <c r="C572" s="297" t="s">
        <v>364</v>
      </c>
      <c r="D572" s="298" t="s">
        <v>522</v>
      </c>
      <c r="E572" s="297" t="s">
        <v>365</v>
      </c>
      <c r="F572" s="299">
        <v>150</v>
      </c>
      <c r="G572" s="300" t="s">
        <v>366</v>
      </c>
      <c r="H572" s="300" t="s">
        <v>367</v>
      </c>
      <c r="I572" s="301" t="s">
        <v>349</v>
      </c>
      <c r="J572" s="310" t="s">
        <v>1145</v>
      </c>
    </row>
    <row r="573" spans="2:10" x14ac:dyDescent="0.3">
      <c r="B573" s="296">
        <v>46235</v>
      </c>
      <c r="C573" s="297" t="s">
        <v>1277</v>
      </c>
      <c r="D573" s="298" t="s">
        <v>896</v>
      </c>
      <c r="E573" s="297" t="s">
        <v>418</v>
      </c>
      <c r="F573" s="299">
        <v>1500</v>
      </c>
      <c r="G573" s="300" t="s">
        <v>366</v>
      </c>
      <c r="H573" s="300" t="s">
        <v>367</v>
      </c>
      <c r="I573" s="301" t="s">
        <v>349</v>
      </c>
      <c r="J573" s="310" t="s">
        <v>1274</v>
      </c>
    </row>
    <row r="574" spans="2:10" x14ac:dyDescent="0.3">
      <c r="B574" s="296">
        <v>46235</v>
      </c>
      <c r="C574" s="297" t="s">
        <v>1278</v>
      </c>
      <c r="D574" s="298" t="s">
        <v>896</v>
      </c>
      <c r="E574" s="297" t="s">
        <v>418</v>
      </c>
      <c r="F574" s="299">
        <v>3750</v>
      </c>
      <c r="G574" s="300" t="s">
        <v>366</v>
      </c>
      <c r="H574" s="300" t="s">
        <v>367</v>
      </c>
      <c r="I574" s="301" t="s">
        <v>349</v>
      </c>
      <c r="J574" s="310" t="s">
        <v>1274</v>
      </c>
    </row>
    <row r="575" spans="2:10" x14ac:dyDescent="0.3">
      <c r="B575" s="296">
        <v>46236</v>
      </c>
      <c r="C575" s="297" t="s">
        <v>376</v>
      </c>
      <c r="D575" s="298" t="s">
        <v>522</v>
      </c>
      <c r="E575" s="297" t="s">
        <v>378</v>
      </c>
      <c r="F575" s="299">
        <v>1472</v>
      </c>
      <c r="G575" s="300" t="s">
        <v>366</v>
      </c>
      <c r="H575" s="300" t="s">
        <v>367</v>
      </c>
      <c r="I575" s="301" t="s">
        <v>349</v>
      </c>
      <c r="J575" s="310" t="s">
        <v>1145</v>
      </c>
    </row>
  </sheetData>
  <mergeCells count="3">
    <mergeCell ref="A2:D2"/>
    <mergeCell ref="A3:I3"/>
    <mergeCell ref="E2:I2"/>
  </mergeCells>
  <conditionalFormatting sqref="C8:C507">
    <cfRule type="expression" dxfId="11" priority="2">
      <formula>C8="Ingredients"</formula>
    </cfRule>
    <cfRule type="expression" dxfId="10" priority="3">
      <formula>C8="Staff"</formula>
    </cfRule>
    <cfRule type="expression" dxfId="9" priority="4">
      <formula>C8="Utilities"</formula>
    </cfRule>
    <cfRule type="expression" dxfId="8" priority="5">
      <formula>C8="Rent"</formula>
    </cfRule>
    <cfRule type="expression" dxfId="7" priority="6">
      <formula>C8="Supplies"</formula>
    </cfRule>
  </conditionalFormatting>
  <dataValidations count="1">
    <dataValidation type="list" showInputMessage="1" showErrorMessage="1" sqref="C9:C507" xr:uid="{00000000-0002-0000-0300-000000000000}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defaultColWidth="8.6640625" defaultRowHeight="14.4" customHeight="1" x14ac:dyDescent="0.3"/>
  <cols>
    <col min="1" max="1" width="4" customWidth="1"/>
    <col min="2" max="2" width="26" customWidth="1"/>
    <col min="3" max="3" width="16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20" customWidth="1"/>
    <col min="11" max="11" width="18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30" t="s">
        <v>1279</v>
      </c>
      <c r="B2" s="331"/>
      <c r="C2" s="331"/>
      <c r="D2" s="331"/>
      <c r="E2" s="331"/>
      <c r="F2" s="332" t="s">
        <v>1280</v>
      </c>
      <c r="G2" s="331"/>
      <c r="H2" s="331"/>
      <c r="I2" s="331"/>
      <c r="J2" s="331"/>
      <c r="K2" s="331"/>
    </row>
    <row r="3" spans="1:11" ht="3.75" customHeight="1" x14ac:dyDescent="0.3">
      <c r="A3" s="333"/>
      <c r="B3" s="331"/>
      <c r="C3" s="331"/>
      <c r="D3" s="331"/>
      <c r="E3" s="331"/>
      <c r="F3" s="331"/>
      <c r="G3" s="331"/>
      <c r="H3" s="331"/>
      <c r="I3" s="331"/>
      <c r="J3" s="331"/>
      <c r="K3" s="331"/>
    </row>
    <row r="4" spans="1:11" ht="7.5" customHeight="1" x14ac:dyDescent="0.3"/>
    <row r="5" spans="1:11" ht="18" customHeight="1" x14ac:dyDescent="0.3">
      <c r="B5" s="59" t="s">
        <v>1281</v>
      </c>
      <c r="D5" s="59" t="s">
        <v>1282</v>
      </c>
      <c r="E5" s="59" t="s">
        <v>1283</v>
      </c>
      <c r="F5" s="59" t="s">
        <v>1284</v>
      </c>
      <c r="H5" s="59" t="s">
        <v>1285</v>
      </c>
      <c r="J5" s="59" t="s">
        <v>1286</v>
      </c>
    </row>
    <row r="6" spans="1:11" ht="25.5" customHeight="1" x14ac:dyDescent="0.3">
      <c r="B6" s="79">
        <f>COUNTA(B9:B2000)</f>
        <v>65</v>
      </c>
      <c r="D6" s="80">
        <f>COUNTIF(J9:J2000,"⚠️ LOW STOCK")</f>
        <v>0</v>
      </c>
      <c r="E6" s="80">
        <f>COUNTIF(J9:J2000,"⚠️ LOW STOCK")+COUNTIF(J9:J2000,"🚫 OUT OF STOCK")</f>
        <v>0</v>
      </c>
      <c r="F6" s="81">
        <f>COUNTIF(J9:J2000,"🚫 OUT OF STOCK")</f>
        <v>0</v>
      </c>
      <c r="H6" s="81">
        <f>COUNTIF(J9:J2000,"⚠️ LOW STOCK")+COUNTIF(J9:J2000,"🚫 OUT OF STOCK")</f>
        <v>0</v>
      </c>
      <c r="J6" s="82">
        <f ca="1">TODAY()</f>
        <v>46237</v>
      </c>
    </row>
    <row r="7" spans="1:11" ht="7.5" customHeight="1" x14ac:dyDescent="0.3"/>
    <row r="8" spans="1:11" ht="19.5" customHeight="1" x14ac:dyDescent="0.3">
      <c r="B8" s="406" t="s">
        <v>1287</v>
      </c>
      <c r="C8" s="346"/>
      <c r="D8" s="346"/>
      <c r="E8" s="346"/>
      <c r="F8" s="346"/>
      <c r="G8" s="346"/>
      <c r="H8" s="346"/>
      <c r="I8" s="346"/>
      <c r="J8" s="346"/>
      <c r="K8" s="346"/>
    </row>
    <row r="9" spans="1:11" ht="27.75" customHeight="1" x14ac:dyDescent="0.3">
      <c r="B9" s="6" t="s">
        <v>1288</v>
      </c>
      <c r="C9" s="6" t="s">
        <v>365</v>
      </c>
      <c r="D9" s="6" t="s">
        <v>1289</v>
      </c>
      <c r="E9" s="6">
        <v>0</v>
      </c>
      <c r="F9" s="6"/>
      <c r="G9" s="6"/>
      <c r="H9" s="6"/>
      <c r="I9" s="6"/>
      <c r="J9" s="6" t="str">
        <f t="shared" ref="J9:J40" si="0">IF(ISBLANK(F9),"—",IF(F9=0,"🚫 OUT OF STOCK",IF(F9&lt;=E9,"⚠️ LOW STOCK","✅ OK")))</f>
        <v>—</v>
      </c>
      <c r="K9" s="6"/>
    </row>
    <row r="10" spans="1:11" ht="15.75" customHeight="1" x14ac:dyDescent="0.3">
      <c r="B10" s="83" t="s">
        <v>1290</v>
      </c>
      <c r="C10" s="15" t="s">
        <v>365</v>
      </c>
      <c r="D10" s="14" t="s">
        <v>1289</v>
      </c>
      <c r="E10" s="84">
        <v>0</v>
      </c>
      <c r="F10" s="85"/>
      <c r="G10" s="86"/>
      <c r="H10" s="85"/>
      <c r="I10" s="87"/>
      <c r="J10" s="88" t="str">
        <f t="shared" si="0"/>
        <v>—</v>
      </c>
      <c r="K10" s="89"/>
    </row>
    <row r="11" spans="1:11" ht="15.75" customHeight="1" x14ac:dyDescent="0.3">
      <c r="B11" s="90" t="s">
        <v>385</v>
      </c>
      <c r="C11" s="24" t="s">
        <v>365</v>
      </c>
      <c r="D11" s="23" t="s">
        <v>1289</v>
      </c>
      <c r="E11" s="91">
        <v>0</v>
      </c>
      <c r="F11" s="92"/>
      <c r="G11" s="93"/>
      <c r="H11" s="92"/>
      <c r="I11" s="94"/>
      <c r="J11" s="95" t="str">
        <f t="shared" si="0"/>
        <v>—</v>
      </c>
      <c r="K11" s="96"/>
    </row>
    <row r="12" spans="1:11" ht="15.75" customHeight="1" x14ac:dyDescent="0.3">
      <c r="B12" s="83" t="s">
        <v>1291</v>
      </c>
      <c r="C12" s="15" t="s">
        <v>365</v>
      </c>
      <c r="D12" s="14" t="s">
        <v>1289</v>
      </c>
      <c r="E12" s="84">
        <v>0</v>
      </c>
      <c r="F12" s="85"/>
      <c r="G12" s="86"/>
      <c r="H12" s="85"/>
      <c r="I12" s="87"/>
      <c r="J12" s="88" t="str">
        <f t="shared" si="0"/>
        <v>—</v>
      </c>
      <c r="K12" s="89"/>
    </row>
    <row r="13" spans="1:11" ht="15.75" customHeight="1" x14ac:dyDescent="0.3">
      <c r="B13" s="90" t="s">
        <v>1292</v>
      </c>
      <c r="C13" s="24" t="s">
        <v>365</v>
      </c>
      <c r="D13" s="23" t="s">
        <v>1289</v>
      </c>
      <c r="E13" s="91">
        <v>0</v>
      </c>
      <c r="F13" s="92"/>
      <c r="G13" s="93"/>
      <c r="H13" s="92"/>
      <c r="I13" s="94"/>
      <c r="J13" s="95" t="str">
        <f t="shared" si="0"/>
        <v>—</v>
      </c>
      <c r="K13" s="96"/>
    </row>
    <row r="14" spans="1:11" ht="15.75" customHeight="1" x14ac:dyDescent="0.3">
      <c r="B14" s="83" t="s">
        <v>383</v>
      </c>
      <c r="C14" s="15" t="s">
        <v>384</v>
      </c>
      <c r="D14" s="14" t="s">
        <v>1289</v>
      </c>
      <c r="E14" s="84">
        <v>0</v>
      </c>
      <c r="F14" s="85"/>
      <c r="G14" s="86"/>
      <c r="H14" s="85"/>
      <c r="I14" s="87"/>
      <c r="J14" s="88" t="str">
        <f t="shared" si="0"/>
        <v>—</v>
      </c>
      <c r="K14" s="89"/>
    </row>
    <row r="15" spans="1:11" ht="15.75" customHeight="1" x14ac:dyDescent="0.3">
      <c r="B15" s="90" t="s">
        <v>1293</v>
      </c>
      <c r="C15" s="24" t="s">
        <v>384</v>
      </c>
      <c r="D15" s="23" t="s">
        <v>1289</v>
      </c>
      <c r="E15" s="91">
        <v>0</v>
      </c>
      <c r="F15" s="92"/>
      <c r="G15" s="93"/>
      <c r="H15" s="92"/>
      <c r="I15" s="94"/>
      <c r="J15" s="95" t="str">
        <f t="shared" si="0"/>
        <v>—</v>
      </c>
      <c r="K15" s="96"/>
    </row>
    <row r="16" spans="1:11" ht="15.75" customHeight="1" x14ac:dyDescent="0.3">
      <c r="B16" s="83" t="s">
        <v>399</v>
      </c>
      <c r="C16" s="15" t="s">
        <v>378</v>
      </c>
      <c r="D16" s="14" t="s">
        <v>1289</v>
      </c>
      <c r="E16" s="84">
        <v>0</v>
      </c>
      <c r="F16" s="85"/>
      <c r="G16" s="86"/>
      <c r="H16" s="85"/>
      <c r="I16" s="87"/>
      <c r="J16" s="88" t="str">
        <f t="shared" si="0"/>
        <v>—</v>
      </c>
      <c r="K16" s="89"/>
    </row>
    <row r="17" spans="2:11" ht="15.75" customHeight="1" x14ac:dyDescent="0.3">
      <c r="B17" s="90" t="s">
        <v>380</v>
      </c>
      <c r="C17" s="24" t="s">
        <v>378</v>
      </c>
      <c r="D17" s="23" t="s">
        <v>1294</v>
      </c>
      <c r="E17" s="91">
        <v>0</v>
      </c>
      <c r="F17" s="92"/>
      <c r="G17" s="93"/>
      <c r="H17" s="92"/>
      <c r="I17" s="94"/>
      <c r="J17" s="95" t="str">
        <f t="shared" si="0"/>
        <v>—</v>
      </c>
      <c r="K17" s="96"/>
    </row>
    <row r="18" spans="2:11" ht="15.75" customHeight="1" x14ac:dyDescent="0.3">
      <c r="B18" s="83" t="s">
        <v>447</v>
      </c>
      <c r="C18" s="15" t="s">
        <v>378</v>
      </c>
      <c r="D18" s="14" t="s">
        <v>1289</v>
      </c>
      <c r="E18" s="84">
        <v>0</v>
      </c>
      <c r="F18" s="85"/>
      <c r="G18" s="86"/>
      <c r="H18" s="85"/>
      <c r="I18" s="87"/>
      <c r="J18" s="88" t="str">
        <f t="shared" si="0"/>
        <v>—</v>
      </c>
      <c r="K18" s="89"/>
    </row>
    <row r="19" spans="2:11" ht="15.75" customHeight="1" x14ac:dyDescent="0.3">
      <c r="B19" s="90" t="s">
        <v>581</v>
      </c>
      <c r="C19" s="24" t="s">
        <v>378</v>
      </c>
      <c r="D19" s="23" t="s">
        <v>1294</v>
      </c>
      <c r="E19" s="91">
        <v>0</v>
      </c>
      <c r="F19" s="92"/>
      <c r="G19" s="93"/>
      <c r="H19" s="92"/>
      <c r="I19" s="94"/>
      <c r="J19" s="95" t="str">
        <f t="shared" si="0"/>
        <v>—</v>
      </c>
      <c r="K19" s="96"/>
    </row>
    <row r="20" spans="2:11" ht="15.75" customHeight="1" x14ac:dyDescent="0.3">
      <c r="B20" s="83" t="s">
        <v>1295</v>
      </c>
      <c r="C20" s="15" t="s">
        <v>378</v>
      </c>
      <c r="D20" s="14" t="s">
        <v>1294</v>
      </c>
      <c r="E20" s="84">
        <v>0</v>
      </c>
      <c r="F20" s="85"/>
      <c r="G20" s="86"/>
      <c r="H20" s="85"/>
      <c r="I20" s="87"/>
      <c r="J20" s="88" t="str">
        <f t="shared" si="0"/>
        <v>—</v>
      </c>
      <c r="K20" s="89"/>
    </row>
    <row r="21" spans="2:11" ht="15.75" customHeight="1" x14ac:dyDescent="0.3">
      <c r="B21" s="90" t="s">
        <v>1296</v>
      </c>
      <c r="C21" s="24" t="s">
        <v>378</v>
      </c>
      <c r="D21" s="23" t="s">
        <v>1289</v>
      </c>
      <c r="E21" s="91">
        <v>0</v>
      </c>
      <c r="F21" s="92"/>
      <c r="G21" s="93"/>
      <c r="H21" s="92"/>
      <c r="I21" s="94"/>
      <c r="J21" s="95" t="str">
        <f t="shared" si="0"/>
        <v>—</v>
      </c>
      <c r="K21" s="96"/>
    </row>
    <row r="22" spans="2:11" ht="15.75" customHeight="1" x14ac:dyDescent="0.3">
      <c r="B22" s="83" t="s">
        <v>662</v>
      </c>
      <c r="C22" s="15" t="s">
        <v>378</v>
      </c>
      <c r="D22" s="14" t="s">
        <v>1294</v>
      </c>
      <c r="E22" s="84">
        <v>0</v>
      </c>
      <c r="F22" s="85"/>
      <c r="G22" s="86"/>
      <c r="H22" s="85"/>
      <c r="I22" s="87"/>
      <c r="J22" s="88" t="str">
        <f t="shared" si="0"/>
        <v>—</v>
      </c>
      <c r="K22" s="89"/>
    </row>
    <row r="23" spans="2:11" ht="15.75" customHeight="1" x14ac:dyDescent="0.3">
      <c r="B23" s="90" t="s">
        <v>1297</v>
      </c>
      <c r="C23" s="24" t="s">
        <v>378</v>
      </c>
      <c r="D23" s="23" t="s">
        <v>1289</v>
      </c>
      <c r="E23" s="91">
        <v>0</v>
      </c>
      <c r="F23" s="92"/>
      <c r="G23" s="93"/>
      <c r="H23" s="92"/>
      <c r="I23" s="94"/>
      <c r="J23" s="95" t="str">
        <f t="shared" si="0"/>
        <v>—</v>
      </c>
      <c r="K23" s="96"/>
    </row>
    <row r="24" spans="2:11" ht="15.75" customHeight="1" x14ac:dyDescent="0.3">
      <c r="B24" s="83" t="s">
        <v>453</v>
      </c>
      <c r="C24" s="15" t="s">
        <v>378</v>
      </c>
      <c r="D24" s="14" t="s">
        <v>1289</v>
      </c>
      <c r="E24" s="84">
        <v>0</v>
      </c>
      <c r="F24" s="85"/>
      <c r="G24" s="86"/>
      <c r="H24" s="85"/>
      <c r="I24" s="87"/>
      <c r="J24" s="88" t="str">
        <f t="shared" si="0"/>
        <v>—</v>
      </c>
      <c r="K24" s="89"/>
    </row>
    <row r="25" spans="2:11" ht="15.75" customHeight="1" x14ac:dyDescent="0.3">
      <c r="B25" s="90" t="s">
        <v>451</v>
      </c>
      <c r="C25" s="24" t="s">
        <v>378</v>
      </c>
      <c r="D25" s="23" t="s">
        <v>1289</v>
      </c>
      <c r="E25" s="91">
        <v>0</v>
      </c>
      <c r="F25" s="92"/>
      <c r="G25" s="93"/>
      <c r="H25" s="92"/>
      <c r="I25" s="94"/>
      <c r="J25" s="95" t="str">
        <f t="shared" si="0"/>
        <v>—</v>
      </c>
      <c r="K25" s="96"/>
    </row>
    <row r="26" spans="2:11" ht="15.75" customHeight="1" x14ac:dyDescent="0.3">
      <c r="B26" s="83" t="s">
        <v>1298</v>
      </c>
      <c r="C26" s="15" t="s">
        <v>401</v>
      </c>
      <c r="D26" s="14" t="s">
        <v>1289</v>
      </c>
      <c r="E26" s="84">
        <v>0</v>
      </c>
      <c r="F26" s="85"/>
      <c r="G26" s="86"/>
      <c r="H26" s="85"/>
      <c r="I26" s="87"/>
      <c r="J26" s="88" t="str">
        <f t="shared" si="0"/>
        <v>—</v>
      </c>
      <c r="K26" s="89"/>
    </row>
    <row r="27" spans="2:11" ht="15.75" customHeight="1" x14ac:dyDescent="0.3">
      <c r="B27" s="90" t="s">
        <v>1270</v>
      </c>
      <c r="C27" s="24" t="s">
        <v>401</v>
      </c>
      <c r="D27" s="23" t="s">
        <v>1289</v>
      </c>
      <c r="E27" s="91">
        <v>0</v>
      </c>
      <c r="F27" s="92"/>
      <c r="G27" s="93"/>
      <c r="H27" s="92"/>
      <c r="I27" s="94"/>
      <c r="J27" s="95" t="str">
        <f t="shared" si="0"/>
        <v>—</v>
      </c>
      <c r="K27" s="96"/>
    </row>
    <row r="28" spans="2:11" ht="15.75" customHeight="1" x14ac:dyDescent="0.3">
      <c r="B28" s="83" t="s">
        <v>1299</v>
      </c>
      <c r="C28" s="15" t="s">
        <v>401</v>
      </c>
      <c r="D28" s="14" t="s">
        <v>1289</v>
      </c>
      <c r="E28" s="84">
        <v>0</v>
      </c>
      <c r="F28" s="85"/>
      <c r="G28" s="86"/>
      <c r="H28" s="85"/>
      <c r="I28" s="87"/>
      <c r="J28" s="88" t="str">
        <f t="shared" si="0"/>
        <v>—</v>
      </c>
      <c r="K28" s="89"/>
    </row>
    <row r="29" spans="2:11" ht="15.75" customHeight="1" x14ac:dyDescent="0.3">
      <c r="B29" s="90" t="s">
        <v>1300</v>
      </c>
      <c r="C29" s="24" t="s">
        <v>401</v>
      </c>
      <c r="D29" s="23" t="s">
        <v>1289</v>
      </c>
      <c r="E29" s="91">
        <v>0</v>
      </c>
      <c r="F29" s="92"/>
      <c r="G29" s="93"/>
      <c r="H29" s="92"/>
      <c r="I29" s="94"/>
      <c r="J29" s="95" t="str">
        <f t="shared" si="0"/>
        <v>—</v>
      </c>
      <c r="K29" s="96"/>
    </row>
    <row r="30" spans="2:11" ht="15.75" customHeight="1" x14ac:dyDescent="0.3">
      <c r="B30" s="83" t="s">
        <v>1301</v>
      </c>
      <c r="C30" s="15" t="s">
        <v>401</v>
      </c>
      <c r="D30" s="14" t="s">
        <v>1289</v>
      </c>
      <c r="E30" s="84">
        <v>0</v>
      </c>
      <c r="F30" s="85"/>
      <c r="G30" s="86"/>
      <c r="H30" s="85"/>
      <c r="I30" s="87"/>
      <c r="J30" s="88" t="str">
        <f t="shared" si="0"/>
        <v>—</v>
      </c>
      <c r="K30" s="89"/>
    </row>
    <row r="31" spans="2:11" ht="15.75" customHeight="1" x14ac:dyDescent="0.3">
      <c r="B31" s="90" t="s">
        <v>1302</v>
      </c>
      <c r="C31" s="24" t="s">
        <v>401</v>
      </c>
      <c r="D31" s="23" t="s">
        <v>1289</v>
      </c>
      <c r="E31" s="91">
        <v>0</v>
      </c>
      <c r="F31" s="92"/>
      <c r="G31" s="93"/>
      <c r="H31" s="92"/>
      <c r="I31" s="94"/>
      <c r="J31" s="95" t="str">
        <f t="shared" si="0"/>
        <v>—</v>
      </c>
      <c r="K31" s="96"/>
    </row>
    <row r="32" spans="2:11" ht="15.75" customHeight="1" x14ac:dyDescent="0.3">
      <c r="B32" s="83" t="s">
        <v>1107</v>
      </c>
      <c r="C32" s="15" t="s">
        <v>401</v>
      </c>
      <c r="D32" s="14" t="s">
        <v>1289</v>
      </c>
      <c r="E32" s="84">
        <v>0</v>
      </c>
      <c r="F32" s="85"/>
      <c r="G32" s="86"/>
      <c r="H32" s="85"/>
      <c r="I32" s="87"/>
      <c r="J32" s="88" t="str">
        <f t="shared" si="0"/>
        <v>—</v>
      </c>
      <c r="K32" s="89"/>
    </row>
    <row r="33" spans="2:11" ht="15.75" customHeight="1" x14ac:dyDescent="0.3">
      <c r="B33" s="90" t="s">
        <v>1303</v>
      </c>
      <c r="C33" s="24" t="s">
        <v>401</v>
      </c>
      <c r="D33" s="23" t="s">
        <v>1289</v>
      </c>
      <c r="E33" s="91">
        <v>0</v>
      </c>
      <c r="F33" s="92"/>
      <c r="G33" s="93"/>
      <c r="H33" s="92"/>
      <c r="I33" s="94"/>
      <c r="J33" s="95" t="str">
        <f t="shared" si="0"/>
        <v>—</v>
      </c>
      <c r="K33" s="96"/>
    </row>
    <row r="34" spans="2:11" ht="15.75" customHeight="1" x14ac:dyDescent="0.3">
      <c r="B34" s="83" t="s">
        <v>386</v>
      </c>
      <c r="C34" s="15" t="s">
        <v>387</v>
      </c>
      <c r="D34" s="14" t="s">
        <v>1289</v>
      </c>
      <c r="E34" s="84">
        <v>0</v>
      </c>
      <c r="F34" s="85"/>
      <c r="G34" s="86"/>
      <c r="H34" s="85"/>
      <c r="I34" s="87"/>
      <c r="J34" s="88" t="str">
        <f t="shared" si="0"/>
        <v>—</v>
      </c>
      <c r="K34" s="89"/>
    </row>
    <row r="35" spans="2:11" ht="15.75" customHeight="1" x14ac:dyDescent="0.3">
      <c r="B35" s="90" t="s">
        <v>1304</v>
      </c>
      <c r="C35" s="24" t="s">
        <v>387</v>
      </c>
      <c r="D35" s="23" t="s">
        <v>1289</v>
      </c>
      <c r="E35" s="91">
        <v>0</v>
      </c>
      <c r="F35" s="92"/>
      <c r="G35" s="93"/>
      <c r="H35" s="92"/>
      <c r="I35" s="94"/>
      <c r="J35" s="95" t="str">
        <f t="shared" si="0"/>
        <v>—</v>
      </c>
      <c r="K35" s="96"/>
    </row>
    <row r="36" spans="2:11" ht="15.75" customHeight="1" x14ac:dyDescent="0.3">
      <c r="B36" s="83" t="s">
        <v>1305</v>
      </c>
      <c r="C36" s="15" t="s">
        <v>387</v>
      </c>
      <c r="D36" s="14" t="s">
        <v>1306</v>
      </c>
      <c r="E36" s="84">
        <v>0</v>
      </c>
      <c r="F36" s="85"/>
      <c r="G36" s="86"/>
      <c r="H36" s="85"/>
      <c r="I36" s="87"/>
      <c r="J36" s="88" t="str">
        <f t="shared" si="0"/>
        <v>—</v>
      </c>
      <c r="K36" s="89"/>
    </row>
    <row r="37" spans="2:11" ht="15.75" customHeight="1" x14ac:dyDescent="0.3">
      <c r="B37" s="90" t="s">
        <v>1307</v>
      </c>
      <c r="C37" s="24" t="s">
        <v>387</v>
      </c>
      <c r="D37" s="23" t="s">
        <v>1306</v>
      </c>
      <c r="E37" s="91">
        <v>0</v>
      </c>
      <c r="F37" s="92"/>
      <c r="G37" s="93"/>
      <c r="H37" s="92"/>
      <c r="I37" s="94"/>
      <c r="J37" s="95" t="str">
        <f t="shared" si="0"/>
        <v>—</v>
      </c>
      <c r="K37" s="96"/>
    </row>
    <row r="38" spans="2:11" ht="15.75" customHeight="1" x14ac:dyDescent="0.3">
      <c r="B38" s="83" t="s">
        <v>410</v>
      </c>
      <c r="C38" s="15" t="s">
        <v>387</v>
      </c>
      <c r="D38" s="14" t="s">
        <v>1306</v>
      </c>
      <c r="E38" s="84">
        <v>0</v>
      </c>
      <c r="F38" s="85"/>
      <c r="G38" s="86"/>
      <c r="H38" s="85"/>
      <c r="I38" s="87"/>
      <c r="J38" s="88" t="str">
        <f t="shared" si="0"/>
        <v>—</v>
      </c>
      <c r="K38" s="89"/>
    </row>
    <row r="39" spans="2:11" ht="15.75" customHeight="1" x14ac:dyDescent="0.3">
      <c r="B39" s="90" t="s">
        <v>379</v>
      </c>
      <c r="C39" s="24" t="s">
        <v>369</v>
      </c>
      <c r="D39" s="23" t="s">
        <v>1289</v>
      </c>
      <c r="E39" s="91">
        <v>0</v>
      </c>
      <c r="F39" s="92"/>
      <c r="G39" s="93"/>
      <c r="H39" s="92"/>
      <c r="I39" s="94"/>
      <c r="J39" s="95" t="str">
        <f t="shared" si="0"/>
        <v>—</v>
      </c>
      <c r="K39" s="96"/>
    </row>
    <row r="40" spans="2:11" ht="15.75" customHeight="1" x14ac:dyDescent="0.3">
      <c r="B40" s="83" t="s">
        <v>381</v>
      </c>
      <c r="C40" s="15" t="s">
        <v>369</v>
      </c>
      <c r="D40" s="14" t="s">
        <v>1289</v>
      </c>
      <c r="E40" s="84">
        <v>0</v>
      </c>
      <c r="F40" s="85"/>
      <c r="G40" s="86"/>
      <c r="H40" s="85"/>
      <c r="I40" s="87"/>
      <c r="J40" s="88" t="str">
        <f t="shared" si="0"/>
        <v>—</v>
      </c>
      <c r="K40" s="89"/>
    </row>
    <row r="41" spans="2:11" ht="15.75" customHeight="1" x14ac:dyDescent="0.3">
      <c r="B41" s="90" t="s">
        <v>398</v>
      </c>
      <c r="C41" s="24" t="s">
        <v>369</v>
      </c>
      <c r="D41" s="23" t="s">
        <v>1289</v>
      </c>
      <c r="E41" s="91">
        <v>0</v>
      </c>
      <c r="F41" s="92"/>
      <c r="G41" s="93"/>
      <c r="H41" s="92"/>
      <c r="I41" s="94"/>
      <c r="J41" s="95" t="str">
        <f t="shared" ref="J41:J73" si="1">IF(ISBLANK(F41),"—",IF(F41=0,"🚫 OUT OF STOCK",IF(F41&lt;=E41,"⚠️ LOW STOCK","✅ OK")))</f>
        <v>—</v>
      </c>
      <c r="K41" s="96"/>
    </row>
    <row r="42" spans="2:11" ht="15.75" customHeight="1" x14ac:dyDescent="0.3">
      <c r="B42" s="83" t="s">
        <v>409</v>
      </c>
      <c r="C42" s="15" t="s">
        <v>369</v>
      </c>
      <c r="D42" s="14" t="s">
        <v>1306</v>
      </c>
      <c r="E42" s="84">
        <v>0</v>
      </c>
      <c r="F42" s="85"/>
      <c r="G42" s="86"/>
      <c r="H42" s="85"/>
      <c r="I42" s="87"/>
      <c r="J42" s="88" t="str">
        <f t="shared" si="1"/>
        <v>—</v>
      </c>
      <c r="K42" s="89"/>
    </row>
    <row r="43" spans="2:11" ht="15.75" customHeight="1" x14ac:dyDescent="0.3">
      <c r="B43" s="90" t="s">
        <v>1308</v>
      </c>
      <c r="C43" s="24" t="s">
        <v>369</v>
      </c>
      <c r="D43" s="23" t="s">
        <v>1289</v>
      </c>
      <c r="E43" s="91">
        <v>0</v>
      </c>
      <c r="F43" s="92"/>
      <c r="G43" s="93"/>
      <c r="H43" s="92"/>
      <c r="I43" s="94"/>
      <c r="J43" s="95" t="str">
        <f t="shared" si="1"/>
        <v>—</v>
      </c>
      <c r="K43" s="96"/>
    </row>
    <row r="44" spans="2:11" ht="15.75" customHeight="1" x14ac:dyDescent="0.3">
      <c r="B44" s="83" t="s">
        <v>1309</v>
      </c>
      <c r="C44" s="15" t="s">
        <v>369</v>
      </c>
      <c r="D44" s="14" t="s">
        <v>113</v>
      </c>
      <c r="E44" s="84">
        <v>0</v>
      </c>
      <c r="F44" s="85"/>
      <c r="G44" s="86"/>
      <c r="H44" s="85"/>
      <c r="I44" s="87"/>
      <c r="J44" s="88" t="str">
        <f t="shared" si="1"/>
        <v>—</v>
      </c>
      <c r="K44" s="89"/>
    </row>
    <row r="45" spans="2:11" ht="15.75" customHeight="1" x14ac:dyDescent="0.3">
      <c r="B45" s="90" t="s">
        <v>1310</v>
      </c>
      <c r="C45" s="24" t="s">
        <v>372</v>
      </c>
      <c r="D45" s="23" t="s">
        <v>1294</v>
      </c>
      <c r="E45" s="91">
        <v>0</v>
      </c>
      <c r="F45" s="92"/>
      <c r="G45" s="93"/>
      <c r="H45" s="92"/>
      <c r="I45" s="94"/>
      <c r="J45" s="95" t="str">
        <f t="shared" si="1"/>
        <v>—</v>
      </c>
      <c r="K45" s="96"/>
    </row>
    <row r="46" spans="2:11" ht="15.75" customHeight="1" x14ac:dyDescent="0.3">
      <c r="B46" s="83" t="s">
        <v>1311</v>
      </c>
      <c r="C46" s="15" t="s">
        <v>372</v>
      </c>
      <c r="D46" s="14" t="s">
        <v>1294</v>
      </c>
      <c r="E46" s="84">
        <v>0</v>
      </c>
      <c r="F46" s="85"/>
      <c r="G46" s="86"/>
      <c r="H46" s="85"/>
      <c r="I46" s="87"/>
      <c r="J46" s="88" t="str">
        <f t="shared" si="1"/>
        <v>—</v>
      </c>
      <c r="K46" s="89"/>
    </row>
    <row r="47" spans="2:11" ht="15.75" customHeight="1" x14ac:dyDescent="0.3">
      <c r="B47" s="90" t="s">
        <v>1312</v>
      </c>
      <c r="C47" s="24" t="s">
        <v>372</v>
      </c>
      <c r="D47" s="23" t="s">
        <v>1289</v>
      </c>
      <c r="E47" s="91">
        <v>0</v>
      </c>
      <c r="F47" s="92"/>
      <c r="G47" s="93"/>
      <c r="H47" s="92"/>
      <c r="I47" s="94"/>
      <c r="J47" s="95" t="str">
        <f t="shared" si="1"/>
        <v>—</v>
      </c>
      <c r="K47" s="96"/>
    </row>
    <row r="48" spans="2:11" ht="15.75" customHeight="1" x14ac:dyDescent="0.3">
      <c r="B48" s="83" t="s">
        <v>1313</v>
      </c>
      <c r="C48" s="15" t="s">
        <v>372</v>
      </c>
      <c r="D48" s="14" t="s">
        <v>1294</v>
      </c>
      <c r="E48" s="84">
        <v>0</v>
      </c>
      <c r="F48" s="85"/>
      <c r="G48" s="86"/>
      <c r="H48" s="85"/>
      <c r="I48" s="87"/>
      <c r="J48" s="88" t="str">
        <f t="shared" si="1"/>
        <v>—</v>
      </c>
      <c r="K48" s="89"/>
    </row>
    <row r="49" spans="2:11" ht="15.75" customHeight="1" x14ac:dyDescent="0.3">
      <c r="B49" s="90" t="s">
        <v>465</v>
      </c>
      <c r="C49" s="24" t="s">
        <v>372</v>
      </c>
      <c r="D49" s="23" t="s">
        <v>1294</v>
      </c>
      <c r="E49" s="91">
        <v>0</v>
      </c>
      <c r="F49" s="92"/>
      <c r="G49" s="93"/>
      <c r="H49" s="92"/>
      <c r="I49" s="94"/>
      <c r="J49" s="95" t="str">
        <f t="shared" si="1"/>
        <v>—</v>
      </c>
      <c r="K49" s="96"/>
    </row>
    <row r="50" spans="2:11" ht="15.75" customHeight="1" x14ac:dyDescent="0.3">
      <c r="B50" s="83" t="s">
        <v>1314</v>
      </c>
      <c r="C50" s="15" t="s">
        <v>429</v>
      </c>
      <c r="D50" s="14" t="s">
        <v>1306</v>
      </c>
      <c r="E50" s="84">
        <v>0</v>
      </c>
      <c r="F50" s="85"/>
      <c r="G50" s="86"/>
      <c r="H50" s="85"/>
      <c r="I50" s="87"/>
      <c r="J50" s="88" t="str">
        <f t="shared" si="1"/>
        <v>—</v>
      </c>
      <c r="K50" s="89"/>
    </row>
    <row r="51" spans="2:11" ht="15.75" customHeight="1" x14ac:dyDescent="0.3">
      <c r="B51" s="90" t="s">
        <v>1315</v>
      </c>
      <c r="C51" s="24" t="s">
        <v>429</v>
      </c>
      <c r="D51" s="23" t="s">
        <v>1306</v>
      </c>
      <c r="E51" s="91">
        <v>0</v>
      </c>
      <c r="F51" s="92"/>
      <c r="G51" s="93"/>
      <c r="H51" s="92"/>
      <c r="I51" s="94"/>
      <c r="J51" s="95" t="str">
        <f t="shared" si="1"/>
        <v>—</v>
      </c>
      <c r="K51" s="96"/>
    </row>
    <row r="52" spans="2:11" ht="15.75" customHeight="1" x14ac:dyDescent="0.3">
      <c r="B52" s="83" t="s">
        <v>1316</v>
      </c>
      <c r="C52" s="15" t="s">
        <v>429</v>
      </c>
      <c r="D52" s="14" t="s">
        <v>1306</v>
      </c>
      <c r="E52" s="84">
        <v>0</v>
      </c>
      <c r="F52" s="85"/>
      <c r="G52" s="86"/>
      <c r="H52" s="85"/>
      <c r="I52" s="87"/>
      <c r="J52" s="88" t="str">
        <f t="shared" si="1"/>
        <v>—</v>
      </c>
      <c r="K52" s="89"/>
    </row>
    <row r="53" spans="2:11" ht="15.75" customHeight="1" x14ac:dyDescent="0.3">
      <c r="B53" s="90" t="s">
        <v>1236</v>
      </c>
      <c r="C53" s="24" t="s">
        <v>384</v>
      </c>
      <c r="D53" s="23" t="s">
        <v>1289</v>
      </c>
      <c r="E53" s="91">
        <v>0</v>
      </c>
      <c r="F53" s="92"/>
      <c r="G53" s="93"/>
      <c r="H53" s="92"/>
      <c r="I53" s="94"/>
      <c r="J53" s="95" t="str">
        <f t="shared" si="1"/>
        <v>—</v>
      </c>
      <c r="K53" s="96"/>
    </row>
    <row r="54" spans="2:11" ht="15.75" customHeight="1" x14ac:dyDescent="0.3">
      <c r="B54" s="83" t="s">
        <v>1317</v>
      </c>
      <c r="C54" s="15" t="s">
        <v>372</v>
      </c>
      <c r="D54" s="14" t="s">
        <v>1294</v>
      </c>
      <c r="E54" s="84">
        <v>0</v>
      </c>
      <c r="F54" s="85"/>
      <c r="G54" s="86"/>
      <c r="H54" s="85"/>
      <c r="I54" s="87"/>
      <c r="J54" s="88" t="str">
        <f t="shared" si="1"/>
        <v>—</v>
      </c>
      <c r="K54" s="89"/>
    </row>
    <row r="55" spans="2:11" ht="15.75" customHeight="1" x14ac:dyDescent="0.3">
      <c r="B55" s="90" t="s">
        <v>488</v>
      </c>
      <c r="C55" s="24" t="s">
        <v>365</v>
      </c>
      <c r="D55" s="23" t="s">
        <v>1289</v>
      </c>
      <c r="E55" s="91">
        <v>0</v>
      </c>
      <c r="F55" s="92"/>
      <c r="G55" s="93"/>
      <c r="H55" s="92"/>
      <c r="I55" s="94"/>
      <c r="J55" s="95" t="str">
        <f t="shared" si="1"/>
        <v>—</v>
      </c>
      <c r="K55" s="96"/>
    </row>
    <row r="56" spans="2:11" ht="15.75" customHeight="1" x14ac:dyDescent="0.3">
      <c r="B56" s="83" t="s">
        <v>1318</v>
      </c>
      <c r="C56" s="15" t="s">
        <v>369</v>
      </c>
      <c r="D56" s="14" t="s">
        <v>1289</v>
      </c>
      <c r="E56" s="84">
        <v>0</v>
      </c>
      <c r="F56" s="85"/>
      <c r="G56" s="86"/>
      <c r="H56" s="85"/>
      <c r="I56" s="87"/>
      <c r="J56" s="88" t="str">
        <f t="shared" si="1"/>
        <v>—</v>
      </c>
      <c r="K56" s="89"/>
    </row>
    <row r="57" spans="2:11" ht="15.75" customHeight="1" x14ac:dyDescent="0.3">
      <c r="B57" s="90" t="s">
        <v>1319</v>
      </c>
      <c r="C57" s="24" t="s">
        <v>429</v>
      </c>
      <c r="D57" s="23" t="s">
        <v>1294</v>
      </c>
      <c r="E57" s="91">
        <v>0</v>
      </c>
      <c r="F57" s="92"/>
      <c r="G57" s="93"/>
      <c r="H57" s="92"/>
      <c r="I57" s="94"/>
      <c r="J57" s="95" t="str">
        <f t="shared" si="1"/>
        <v>—</v>
      </c>
      <c r="K57" s="96"/>
    </row>
    <row r="58" spans="2:11" ht="15.75" customHeight="1" x14ac:dyDescent="0.3">
      <c r="B58" s="83" t="s">
        <v>1320</v>
      </c>
      <c r="C58" s="15" t="s">
        <v>387</v>
      </c>
      <c r="D58" s="14" t="s">
        <v>1306</v>
      </c>
      <c r="E58" s="84">
        <v>0</v>
      </c>
      <c r="F58" s="85"/>
      <c r="G58" s="86"/>
      <c r="H58" s="85"/>
      <c r="I58" s="87"/>
      <c r="J58" s="88" t="str">
        <f t="shared" si="1"/>
        <v>—</v>
      </c>
      <c r="K58" s="89"/>
    </row>
    <row r="59" spans="2:11" ht="15.75" customHeight="1" x14ac:dyDescent="0.3">
      <c r="B59" s="90" t="s">
        <v>435</v>
      </c>
      <c r="C59" s="24" t="s">
        <v>387</v>
      </c>
      <c r="D59" s="23" t="s">
        <v>1306</v>
      </c>
      <c r="E59" s="91">
        <v>0</v>
      </c>
      <c r="F59" s="92"/>
      <c r="G59" s="93"/>
      <c r="H59" s="92"/>
      <c r="I59" s="94"/>
      <c r="J59" s="95" t="str">
        <f t="shared" si="1"/>
        <v>—</v>
      </c>
      <c r="K59" s="96"/>
    </row>
    <row r="60" spans="2:11" ht="15.75" customHeight="1" x14ac:dyDescent="0.3">
      <c r="B60" s="83" t="s">
        <v>1321</v>
      </c>
      <c r="C60" s="15" t="s">
        <v>369</v>
      </c>
      <c r="D60" s="14" t="s">
        <v>1294</v>
      </c>
      <c r="E60" s="84">
        <v>0</v>
      </c>
      <c r="F60" s="85"/>
      <c r="G60" s="86"/>
      <c r="H60" s="85"/>
      <c r="I60" s="87"/>
      <c r="J60" s="88" t="str">
        <f t="shared" si="1"/>
        <v>—</v>
      </c>
      <c r="K60" s="89"/>
    </row>
    <row r="61" spans="2:11" ht="15.75" customHeight="1" x14ac:dyDescent="0.3">
      <c r="B61" s="90" t="s">
        <v>1322</v>
      </c>
      <c r="C61" s="24" t="s">
        <v>378</v>
      </c>
      <c r="D61" s="23" t="s">
        <v>1294</v>
      </c>
      <c r="E61" s="91">
        <v>0</v>
      </c>
      <c r="F61" s="92"/>
      <c r="G61" s="93"/>
      <c r="H61" s="92"/>
      <c r="I61" s="94"/>
      <c r="J61" s="95" t="str">
        <f t="shared" si="1"/>
        <v>—</v>
      </c>
      <c r="K61" s="96"/>
    </row>
    <row r="62" spans="2:11" ht="15.75" customHeight="1" x14ac:dyDescent="0.3">
      <c r="B62" s="83" t="s">
        <v>502</v>
      </c>
      <c r="C62" s="15" t="s">
        <v>365</v>
      </c>
      <c r="D62" s="14" t="s">
        <v>1289</v>
      </c>
      <c r="E62" s="84">
        <v>0</v>
      </c>
      <c r="F62" s="85"/>
      <c r="G62" s="86"/>
      <c r="H62" s="85"/>
      <c r="I62" s="87"/>
      <c r="J62" s="88" t="str">
        <f t="shared" si="1"/>
        <v>—</v>
      </c>
      <c r="K62" s="89"/>
    </row>
    <row r="63" spans="2:11" ht="15.75" customHeight="1" x14ac:dyDescent="0.3">
      <c r="B63" s="90" t="s">
        <v>713</v>
      </c>
      <c r="C63" s="24" t="s">
        <v>365</v>
      </c>
      <c r="D63" s="23" t="s">
        <v>1289</v>
      </c>
      <c r="E63" s="91">
        <v>0</v>
      </c>
      <c r="F63" s="92"/>
      <c r="G63" s="93"/>
      <c r="H63" s="92"/>
      <c r="I63" s="94"/>
      <c r="J63" s="95" t="str">
        <f t="shared" si="1"/>
        <v>—</v>
      </c>
      <c r="K63" s="96"/>
    </row>
    <row r="64" spans="2:11" ht="15.75" customHeight="1" x14ac:dyDescent="0.3">
      <c r="B64" s="83" t="s">
        <v>1323</v>
      </c>
      <c r="C64" s="15" t="s">
        <v>365</v>
      </c>
      <c r="D64" s="14" t="s">
        <v>1289</v>
      </c>
      <c r="E64" s="84">
        <v>0</v>
      </c>
      <c r="F64" s="85"/>
      <c r="G64" s="86"/>
      <c r="H64" s="85"/>
      <c r="I64" s="87"/>
      <c r="J64" s="88" t="str">
        <f t="shared" si="1"/>
        <v>—</v>
      </c>
      <c r="K64" s="89"/>
    </row>
    <row r="65" spans="2:11" ht="15.75" customHeight="1" x14ac:dyDescent="0.3">
      <c r="B65" s="90" t="s">
        <v>1324</v>
      </c>
      <c r="C65" s="24" t="s">
        <v>365</v>
      </c>
      <c r="D65" s="23" t="s">
        <v>1289</v>
      </c>
      <c r="E65" s="91">
        <v>0</v>
      </c>
      <c r="F65" s="92"/>
      <c r="G65" s="93"/>
      <c r="H65" s="92"/>
      <c r="I65" s="94"/>
      <c r="J65" s="95" t="str">
        <f t="shared" si="1"/>
        <v>—</v>
      </c>
      <c r="K65" s="96"/>
    </row>
    <row r="66" spans="2:11" ht="15.75" customHeight="1" x14ac:dyDescent="0.3">
      <c r="B66" s="83" t="s">
        <v>1325</v>
      </c>
      <c r="C66" s="15" t="s">
        <v>369</v>
      </c>
      <c r="D66" s="14" t="s">
        <v>1294</v>
      </c>
      <c r="E66" s="84">
        <v>0</v>
      </c>
      <c r="F66" s="85"/>
      <c r="G66" s="86"/>
      <c r="H66" s="85"/>
      <c r="I66" s="87"/>
      <c r="J66" s="88" t="str">
        <f t="shared" si="1"/>
        <v>—</v>
      </c>
      <c r="K66" s="89"/>
    </row>
    <row r="67" spans="2:11" ht="15.75" customHeight="1" thickBot="1" x14ac:dyDescent="0.35">
      <c r="B67" s="90" t="s">
        <v>1326</v>
      </c>
      <c r="C67" s="24" t="s">
        <v>378</v>
      </c>
      <c r="D67" s="23" t="s">
        <v>1289</v>
      </c>
      <c r="E67" s="91">
        <v>0</v>
      </c>
      <c r="F67" s="92"/>
      <c r="G67" s="93"/>
      <c r="H67" s="92"/>
      <c r="I67" s="94"/>
      <c r="J67" s="95" t="str">
        <f t="shared" si="1"/>
        <v>—</v>
      </c>
      <c r="K67" s="96"/>
    </row>
    <row r="68" spans="2:11" ht="15" customHeight="1" thickBot="1" x14ac:dyDescent="0.35">
      <c r="B68" s="83" t="s">
        <v>833</v>
      </c>
      <c r="C68" s="15" t="s">
        <v>387</v>
      </c>
      <c r="D68" s="14" t="s">
        <v>1289</v>
      </c>
      <c r="E68" s="84">
        <v>0</v>
      </c>
      <c r="F68" s="85"/>
      <c r="G68" s="86"/>
      <c r="H68" s="85"/>
      <c r="I68" s="87"/>
      <c r="J68" s="88" t="str">
        <f t="shared" si="1"/>
        <v>—</v>
      </c>
      <c r="K68" s="89"/>
    </row>
    <row r="69" spans="2:11" ht="15" customHeight="1" thickBot="1" x14ac:dyDescent="0.35">
      <c r="B69" s="90" t="s">
        <v>1327</v>
      </c>
      <c r="C69" s="24" t="s">
        <v>1328</v>
      </c>
      <c r="D69" s="23" t="s">
        <v>1294</v>
      </c>
      <c r="E69" s="91">
        <v>0</v>
      </c>
      <c r="F69" s="92"/>
      <c r="G69" s="93"/>
      <c r="H69" s="92"/>
      <c r="I69" s="94"/>
      <c r="J69" s="95" t="str">
        <f t="shared" si="1"/>
        <v>—</v>
      </c>
      <c r="K69" s="96"/>
    </row>
    <row r="70" spans="2:11" ht="15" customHeight="1" thickBot="1" x14ac:dyDescent="0.35">
      <c r="B70" s="83" t="s">
        <v>1329</v>
      </c>
      <c r="C70" s="15" t="s">
        <v>372</v>
      </c>
      <c r="D70" s="14" t="s">
        <v>1294</v>
      </c>
      <c r="E70" s="84">
        <v>0</v>
      </c>
      <c r="F70" s="85"/>
      <c r="G70" s="86"/>
      <c r="H70" s="85"/>
      <c r="I70" s="87"/>
      <c r="J70" s="88" t="str">
        <f t="shared" si="1"/>
        <v>—</v>
      </c>
      <c r="K70" s="89"/>
    </row>
    <row r="71" spans="2:11" ht="15" customHeight="1" thickBot="1" x14ac:dyDescent="0.35">
      <c r="B71" s="90" t="s">
        <v>530</v>
      </c>
      <c r="C71" s="24" t="s">
        <v>372</v>
      </c>
      <c r="D71" s="23" t="s">
        <v>1294</v>
      </c>
      <c r="E71" s="91">
        <v>0</v>
      </c>
      <c r="F71" s="92"/>
      <c r="G71" s="93"/>
      <c r="H71" s="92"/>
      <c r="I71" s="94"/>
      <c r="J71" s="95" t="str">
        <f t="shared" si="1"/>
        <v>—</v>
      </c>
      <c r="K71" s="96"/>
    </row>
    <row r="72" spans="2:11" ht="15" customHeight="1" thickBot="1" x14ac:dyDescent="0.35">
      <c r="B72" s="83" t="s">
        <v>1330</v>
      </c>
      <c r="C72" s="15" t="s">
        <v>369</v>
      </c>
      <c r="D72" s="14" t="s">
        <v>1294</v>
      </c>
      <c r="E72" s="84">
        <v>0</v>
      </c>
      <c r="F72" s="85"/>
      <c r="G72" s="86"/>
      <c r="H72" s="85"/>
      <c r="I72" s="87"/>
      <c r="J72" s="88" t="str">
        <f t="shared" si="1"/>
        <v>—</v>
      </c>
      <c r="K72" s="89"/>
    </row>
    <row r="73" spans="2:11" ht="15" customHeight="1" thickBot="1" x14ac:dyDescent="0.35">
      <c r="B73" s="90" t="s">
        <v>1331</v>
      </c>
      <c r="C73" s="24" t="s">
        <v>369</v>
      </c>
      <c r="D73" s="23" t="s">
        <v>1294</v>
      </c>
      <c r="E73" s="91">
        <v>0</v>
      </c>
      <c r="F73" s="92"/>
      <c r="G73" s="93"/>
      <c r="H73" s="92"/>
      <c r="I73" s="94"/>
      <c r="J73" s="95" t="str">
        <f t="shared" si="1"/>
        <v>—</v>
      </c>
      <c r="K73" s="96"/>
    </row>
    <row r="74" spans="2:11" ht="14.4" customHeight="1" thickBot="1" x14ac:dyDescent="0.35">
      <c r="B74" s="83"/>
      <c r="C74" s="15"/>
      <c r="D74" s="14"/>
      <c r="E74" s="84"/>
      <c r="F74" s="85"/>
      <c r="G74" s="86"/>
      <c r="H74" s="85"/>
      <c r="I74" s="87"/>
      <c r="J74" s="88"/>
      <c r="K74" s="89"/>
    </row>
    <row r="75" spans="2:11" ht="14.4" customHeight="1" thickBot="1" x14ac:dyDescent="0.35">
      <c r="B75" s="90"/>
      <c r="C75" s="24"/>
      <c r="D75" s="23"/>
      <c r="E75" s="91"/>
      <c r="F75" s="92"/>
      <c r="G75" s="93"/>
      <c r="H75" s="92"/>
      <c r="I75" s="94"/>
      <c r="J75" s="95"/>
      <c r="K75" s="96"/>
    </row>
    <row r="76" spans="2:11" ht="14.4" customHeight="1" thickBot="1" x14ac:dyDescent="0.35">
      <c r="B76" s="83"/>
      <c r="C76" s="15"/>
      <c r="D76" s="14"/>
      <c r="E76" s="84"/>
      <c r="F76" s="85"/>
      <c r="G76" s="86"/>
      <c r="H76" s="85"/>
      <c r="I76" s="87"/>
      <c r="J76" s="88"/>
      <c r="K76" s="89"/>
    </row>
    <row r="77" spans="2:11" ht="14.4" customHeight="1" thickBot="1" x14ac:dyDescent="0.35">
      <c r="B77" s="90"/>
      <c r="C77" s="24"/>
      <c r="D77" s="23"/>
      <c r="E77" s="91"/>
      <c r="F77" s="92"/>
      <c r="G77" s="93"/>
      <c r="H77" s="92"/>
      <c r="I77" s="94"/>
      <c r="J77" s="95"/>
      <c r="K77" s="96"/>
    </row>
    <row r="78" spans="2:11" ht="14.4" customHeight="1" thickBot="1" x14ac:dyDescent="0.35">
      <c r="B78" s="83"/>
      <c r="C78" s="15"/>
      <c r="D78" s="14"/>
      <c r="E78" s="84"/>
      <c r="F78" s="85"/>
      <c r="G78" s="86"/>
      <c r="H78" s="85"/>
      <c r="I78" s="87"/>
      <c r="J78" s="88"/>
      <c r="K78" s="89"/>
    </row>
    <row r="79" spans="2:11" ht="14.4" customHeight="1" thickBot="1" x14ac:dyDescent="0.35">
      <c r="B79" s="90"/>
      <c r="C79" s="24"/>
      <c r="D79" s="23"/>
      <c r="E79" s="91"/>
      <c r="F79" s="92"/>
      <c r="G79" s="93"/>
      <c r="H79" s="92"/>
      <c r="I79" s="94"/>
      <c r="J79" s="95"/>
      <c r="K79" s="96"/>
    </row>
    <row r="80" spans="2:11" ht="14.4" customHeight="1" thickBot="1" x14ac:dyDescent="0.35">
      <c r="B80" s="83"/>
      <c r="C80" s="15"/>
      <c r="D80" s="14"/>
      <c r="E80" s="84"/>
      <c r="F80" s="85"/>
      <c r="G80" s="86"/>
      <c r="H80" s="85"/>
      <c r="I80" s="87"/>
      <c r="J80" s="88"/>
      <c r="K80" s="89"/>
    </row>
    <row r="81" spans="2:11" ht="14.4" customHeight="1" thickBot="1" x14ac:dyDescent="0.35">
      <c r="B81" s="90"/>
      <c r="C81" s="24"/>
      <c r="D81" s="23"/>
      <c r="E81" s="91"/>
      <c r="F81" s="92"/>
      <c r="G81" s="93"/>
      <c r="H81" s="92"/>
      <c r="I81" s="94"/>
      <c r="J81" s="95"/>
      <c r="K81" s="96"/>
    </row>
    <row r="82" spans="2:11" ht="14.4" customHeight="1" thickBot="1" x14ac:dyDescent="0.35">
      <c r="B82" s="83"/>
      <c r="C82" s="15"/>
      <c r="D82" s="14"/>
      <c r="E82" s="84"/>
      <c r="F82" s="85"/>
      <c r="G82" s="86"/>
      <c r="H82" s="85"/>
      <c r="I82" s="87"/>
      <c r="J82" s="88"/>
      <c r="K82" s="89"/>
    </row>
    <row r="83" spans="2:11" ht="14.4" customHeight="1" thickBot="1" x14ac:dyDescent="0.35">
      <c r="B83" s="90"/>
      <c r="C83" s="24"/>
      <c r="D83" s="23"/>
      <c r="E83" s="91"/>
      <c r="F83" s="92"/>
      <c r="G83" s="93"/>
      <c r="H83" s="92"/>
      <c r="I83" s="94"/>
      <c r="J83" s="95"/>
      <c r="K83" s="96"/>
    </row>
    <row r="84" spans="2:11" ht="14.4" customHeight="1" thickBot="1" x14ac:dyDescent="0.35">
      <c r="B84" s="83"/>
      <c r="C84" s="15"/>
      <c r="D84" s="14"/>
      <c r="E84" s="84"/>
      <c r="F84" s="85"/>
      <c r="G84" s="86"/>
      <c r="H84" s="85"/>
      <c r="I84" s="87"/>
      <c r="J84" s="88"/>
      <c r="K84" s="89"/>
    </row>
    <row r="85" spans="2:11" ht="14.4" customHeight="1" thickBot="1" x14ac:dyDescent="0.35">
      <c r="B85" s="90"/>
      <c r="C85" s="24"/>
      <c r="D85" s="23"/>
      <c r="E85" s="91"/>
      <c r="F85" s="92"/>
      <c r="G85" s="93"/>
      <c r="H85" s="92"/>
      <c r="I85" s="94"/>
      <c r="J85" s="95"/>
      <c r="K85" s="96"/>
    </row>
    <row r="86" spans="2:11" ht="14.4" customHeight="1" thickBot="1" x14ac:dyDescent="0.35">
      <c r="B86" s="83"/>
      <c r="C86" s="15"/>
      <c r="D86" s="14"/>
      <c r="E86" s="84"/>
      <c r="F86" s="85"/>
      <c r="G86" s="86"/>
      <c r="H86" s="85"/>
      <c r="I86" s="87"/>
      <c r="J86" s="88"/>
      <c r="K86" s="89"/>
    </row>
    <row r="87" spans="2:11" ht="14.4" customHeight="1" thickBot="1" x14ac:dyDescent="0.35">
      <c r="B87" s="90"/>
      <c r="C87" s="24"/>
      <c r="D87" s="23"/>
      <c r="E87" s="91"/>
      <c r="F87" s="92"/>
      <c r="G87" s="93"/>
      <c r="H87" s="92"/>
      <c r="I87" s="94"/>
      <c r="J87" s="95"/>
      <c r="K87" s="96"/>
    </row>
    <row r="88" spans="2:11" ht="14.4" customHeight="1" thickBot="1" x14ac:dyDescent="0.35">
      <c r="B88" s="83"/>
      <c r="C88" s="15"/>
      <c r="D88" s="14"/>
      <c r="E88" s="84"/>
      <c r="F88" s="85"/>
      <c r="G88" s="86"/>
      <c r="H88" s="85"/>
      <c r="I88" s="87"/>
      <c r="J88" s="88"/>
      <c r="K88" s="89"/>
    </row>
    <row r="89" spans="2:11" ht="14.4" customHeight="1" thickBot="1" x14ac:dyDescent="0.35">
      <c r="B89" s="90"/>
      <c r="C89" s="24"/>
      <c r="D89" s="23"/>
      <c r="E89" s="91"/>
      <c r="F89" s="92"/>
      <c r="G89" s="93"/>
      <c r="H89" s="92"/>
      <c r="I89" s="94"/>
      <c r="J89" s="95"/>
      <c r="K89" s="96"/>
    </row>
    <row r="90" spans="2:11" ht="14.4" customHeight="1" thickBot="1" x14ac:dyDescent="0.35">
      <c r="B90" s="83"/>
      <c r="C90" s="15"/>
      <c r="D90" s="14"/>
      <c r="E90" s="84"/>
      <c r="F90" s="85"/>
      <c r="G90" s="86"/>
      <c r="H90" s="85"/>
      <c r="I90" s="87"/>
      <c r="J90" s="88"/>
      <c r="K90" s="89"/>
    </row>
    <row r="91" spans="2:11" ht="14.4" customHeight="1" thickBot="1" x14ac:dyDescent="0.35">
      <c r="B91" s="90"/>
      <c r="C91" s="24"/>
      <c r="D91" s="23"/>
      <c r="E91" s="91"/>
      <c r="F91" s="92"/>
      <c r="G91" s="93"/>
      <c r="H91" s="92"/>
      <c r="I91" s="94"/>
      <c r="J91" s="95"/>
      <c r="K91" s="96"/>
    </row>
    <row r="92" spans="2:11" ht="14.4" customHeight="1" thickBot="1" x14ac:dyDescent="0.35">
      <c r="B92" s="83"/>
      <c r="C92" s="15"/>
      <c r="D92" s="14"/>
      <c r="E92" s="84"/>
      <c r="F92" s="85"/>
      <c r="G92" s="86"/>
      <c r="H92" s="85"/>
      <c r="I92" s="87"/>
      <c r="J92" s="88"/>
      <c r="K92" s="89"/>
    </row>
    <row r="93" spans="2:11" ht="14.4" customHeight="1" thickBot="1" x14ac:dyDescent="0.35">
      <c r="B93" s="90"/>
      <c r="C93" s="24"/>
      <c r="D93" s="23"/>
      <c r="E93" s="91"/>
      <c r="F93" s="92"/>
      <c r="G93" s="93"/>
      <c r="H93" s="92"/>
      <c r="I93" s="94"/>
      <c r="J93" s="95"/>
      <c r="K93" s="96"/>
    </row>
    <row r="94" spans="2:11" ht="14.4" customHeight="1" thickBot="1" x14ac:dyDescent="0.35">
      <c r="B94" s="83"/>
      <c r="C94" s="15"/>
      <c r="D94" s="14"/>
      <c r="E94" s="84"/>
      <c r="F94" s="85"/>
      <c r="G94" s="86"/>
      <c r="H94" s="85"/>
      <c r="I94" s="87"/>
      <c r="J94" s="88"/>
      <c r="K94" s="89"/>
    </row>
    <row r="95" spans="2:11" ht="14.4" customHeight="1" thickBot="1" x14ac:dyDescent="0.35">
      <c r="B95" s="90"/>
      <c r="C95" s="24"/>
      <c r="D95" s="23"/>
      <c r="E95" s="91"/>
      <c r="F95" s="92"/>
      <c r="G95" s="93"/>
      <c r="H95" s="92"/>
      <c r="I95" s="94"/>
      <c r="J95" s="95"/>
      <c r="K95" s="96"/>
    </row>
    <row r="96" spans="2:11" ht="14.4" customHeight="1" thickBot="1" x14ac:dyDescent="0.35">
      <c r="B96" s="83"/>
      <c r="C96" s="15"/>
      <c r="D96" s="14"/>
      <c r="E96" s="84"/>
      <c r="F96" s="85"/>
      <c r="G96" s="86"/>
      <c r="H96" s="85"/>
      <c r="I96" s="87"/>
      <c r="J96" s="88"/>
      <c r="K96" s="89"/>
    </row>
    <row r="97" spans="2:11" ht="14.4" customHeight="1" thickBot="1" x14ac:dyDescent="0.35">
      <c r="B97" s="90"/>
      <c r="C97" s="24"/>
      <c r="D97" s="23"/>
      <c r="E97" s="91"/>
      <c r="F97" s="92"/>
      <c r="G97" s="93"/>
      <c r="H97" s="92"/>
      <c r="I97" s="94"/>
      <c r="J97" s="95"/>
      <c r="K97" s="96"/>
    </row>
    <row r="98" spans="2:11" ht="14.4" customHeight="1" thickBot="1" x14ac:dyDescent="0.35">
      <c r="B98" s="83"/>
      <c r="C98" s="15"/>
      <c r="D98" s="14"/>
      <c r="E98" s="84"/>
      <c r="F98" s="85"/>
      <c r="G98" s="86"/>
      <c r="H98" s="85"/>
      <c r="I98" s="87"/>
      <c r="J98" s="88"/>
      <c r="K98" s="89"/>
    </row>
    <row r="99" spans="2:11" ht="14.4" customHeight="1" thickBot="1" x14ac:dyDescent="0.35">
      <c r="B99" s="90"/>
      <c r="C99" s="24"/>
      <c r="D99" s="23"/>
      <c r="E99" s="91"/>
      <c r="F99" s="92"/>
      <c r="G99" s="93"/>
      <c r="H99" s="92"/>
      <c r="I99" s="94"/>
      <c r="J99" s="95"/>
      <c r="K99" s="96"/>
    </row>
    <row r="100" spans="2:11" ht="14.4" customHeight="1" thickBot="1" x14ac:dyDescent="0.35">
      <c r="B100" s="83"/>
      <c r="C100" s="15"/>
      <c r="D100" s="14"/>
      <c r="E100" s="84"/>
      <c r="F100" s="85"/>
      <c r="G100" s="86"/>
      <c r="H100" s="85"/>
      <c r="I100" s="87"/>
      <c r="J100" s="88"/>
      <c r="K100" s="89"/>
    </row>
    <row r="101" spans="2:11" ht="14.4" customHeight="1" thickBot="1" x14ac:dyDescent="0.35">
      <c r="B101" s="90"/>
      <c r="C101" s="24"/>
      <c r="D101" s="23"/>
      <c r="E101" s="91"/>
      <c r="F101" s="92"/>
      <c r="G101" s="93"/>
      <c r="H101" s="92"/>
      <c r="I101" s="94"/>
      <c r="J101" s="95"/>
      <c r="K101" s="96"/>
    </row>
    <row r="102" spans="2:11" ht="14.4" customHeight="1" thickBot="1" x14ac:dyDescent="0.35">
      <c r="B102" s="83"/>
      <c r="C102" s="15"/>
      <c r="D102" s="14"/>
      <c r="E102" s="84"/>
      <c r="F102" s="85"/>
      <c r="G102" s="86"/>
      <c r="H102" s="85"/>
      <c r="I102" s="87"/>
      <c r="J102" s="88"/>
      <c r="K102" s="89"/>
    </row>
    <row r="103" spans="2:11" ht="14.4" customHeight="1" thickBot="1" x14ac:dyDescent="0.35">
      <c r="B103" s="90"/>
      <c r="C103" s="24"/>
      <c r="D103" s="23"/>
      <c r="E103" s="91"/>
      <c r="F103" s="92"/>
      <c r="G103" s="93"/>
      <c r="H103" s="92"/>
      <c r="I103" s="94"/>
      <c r="J103" s="95"/>
      <c r="K103" s="96"/>
    </row>
    <row r="104" spans="2:11" ht="14.4" customHeight="1" thickBot="1" x14ac:dyDescent="0.35">
      <c r="B104" s="83"/>
      <c r="C104" s="15"/>
      <c r="D104" s="14"/>
      <c r="E104" s="84"/>
      <c r="F104" s="85"/>
      <c r="G104" s="86"/>
      <c r="H104" s="85"/>
      <c r="I104" s="87"/>
      <c r="J104" s="88"/>
      <c r="K104" s="89"/>
    </row>
    <row r="105" spans="2:11" ht="14.4" customHeight="1" thickBot="1" x14ac:dyDescent="0.35">
      <c r="B105" s="90"/>
      <c r="C105" s="24"/>
      <c r="D105" s="23"/>
      <c r="E105" s="91"/>
      <c r="F105" s="92"/>
      <c r="G105" s="93"/>
      <c r="H105" s="92"/>
      <c r="I105" s="94"/>
      <c r="J105" s="95"/>
      <c r="K105" s="96"/>
    </row>
    <row r="106" spans="2:11" ht="14.4" customHeight="1" thickBot="1" x14ac:dyDescent="0.35">
      <c r="B106" s="83"/>
      <c r="C106" s="15"/>
      <c r="D106" s="14"/>
      <c r="E106" s="84"/>
      <c r="F106" s="85"/>
      <c r="G106" s="86"/>
      <c r="H106" s="85"/>
      <c r="I106" s="87"/>
      <c r="J106" s="88"/>
      <c r="K106" s="89"/>
    </row>
    <row r="107" spans="2:11" ht="14.4" customHeight="1" thickBot="1" x14ac:dyDescent="0.35">
      <c r="B107" s="90"/>
      <c r="C107" s="24"/>
      <c r="D107" s="23"/>
      <c r="E107" s="91"/>
      <c r="F107" s="92"/>
      <c r="G107" s="93"/>
      <c r="H107" s="92"/>
      <c r="I107" s="94"/>
      <c r="J107" s="95"/>
      <c r="K107" s="96"/>
    </row>
    <row r="108" spans="2:11" ht="14.4" customHeight="1" thickBot="1" x14ac:dyDescent="0.35">
      <c r="B108" s="83"/>
      <c r="C108" s="15"/>
      <c r="D108" s="14"/>
      <c r="E108" s="84"/>
      <c r="F108" s="85"/>
      <c r="G108" s="86"/>
      <c r="H108" s="85"/>
      <c r="I108" s="87"/>
      <c r="J108" s="88"/>
      <c r="K108" s="89"/>
    </row>
    <row r="109" spans="2:11" ht="14.4" customHeight="1" thickBot="1" x14ac:dyDescent="0.35">
      <c r="B109" s="90"/>
      <c r="C109" s="24"/>
      <c r="D109" s="23"/>
      <c r="E109" s="91"/>
      <c r="F109" s="92"/>
      <c r="G109" s="93"/>
      <c r="H109" s="92"/>
      <c r="I109" s="94"/>
      <c r="J109" s="95"/>
      <c r="K109" s="96"/>
    </row>
    <row r="110" spans="2:11" ht="14.4" customHeight="1" thickBot="1" x14ac:dyDescent="0.35">
      <c r="B110" s="83"/>
      <c r="C110" s="15"/>
      <c r="D110" s="14"/>
      <c r="E110" s="84"/>
      <c r="F110" s="85"/>
      <c r="G110" s="86"/>
      <c r="H110" s="85"/>
      <c r="I110" s="87"/>
      <c r="J110" s="88"/>
      <c r="K110" s="89"/>
    </row>
    <row r="111" spans="2:11" ht="14.4" customHeight="1" thickBot="1" x14ac:dyDescent="0.35">
      <c r="B111" s="90"/>
      <c r="C111" s="24"/>
      <c r="D111" s="23"/>
      <c r="E111" s="91"/>
      <c r="F111" s="92"/>
      <c r="G111" s="93"/>
      <c r="H111" s="92"/>
      <c r="I111" s="94"/>
      <c r="J111" s="95"/>
      <c r="K111" s="96"/>
    </row>
    <row r="112" spans="2:11" ht="14.4" customHeight="1" thickBot="1" x14ac:dyDescent="0.35">
      <c r="B112" s="83"/>
      <c r="C112" s="15"/>
      <c r="D112" s="14"/>
      <c r="E112" s="84"/>
      <c r="F112" s="85"/>
      <c r="G112" s="86"/>
      <c r="H112" s="85"/>
      <c r="I112" s="87"/>
      <c r="J112" s="88"/>
      <c r="K112" s="89"/>
    </row>
    <row r="113" spans="2:11" ht="14.4" customHeight="1" thickBot="1" x14ac:dyDescent="0.35">
      <c r="B113" s="90"/>
      <c r="C113" s="24"/>
      <c r="D113" s="23"/>
      <c r="E113" s="91"/>
      <c r="F113" s="92"/>
      <c r="G113" s="93"/>
      <c r="H113" s="92"/>
      <c r="I113" s="94"/>
      <c r="J113" s="95"/>
      <c r="K113" s="96"/>
    </row>
    <row r="114" spans="2:11" ht="14.4" customHeight="1" thickBot="1" x14ac:dyDescent="0.35">
      <c r="B114" s="83"/>
      <c r="C114" s="15"/>
      <c r="D114" s="14"/>
      <c r="E114" s="84"/>
      <c r="F114" s="85"/>
      <c r="G114" s="86"/>
      <c r="H114" s="85"/>
      <c r="I114" s="87"/>
      <c r="J114" s="88"/>
      <c r="K114" s="89"/>
    </row>
    <row r="115" spans="2:11" ht="14.4" customHeight="1" thickBot="1" x14ac:dyDescent="0.35">
      <c r="B115" s="90"/>
      <c r="C115" s="24"/>
      <c r="D115" s="23"/>
      <c r="E115" s="91"/>
      <c r="F115" s="92"/>
      <c r="G115" s="93"/>
      <c r="H115" s="92"/>
      <c r="I115" s="94"/>
      <c r="J115" s="95"/>
      <c r="K115" s="96"/>
    </row>
    <row r="116" spans="2:11" ht="14.4" customHeight="1" thickBot="1" x14ac:dyDescent="0.35">
      <c r="B116" s="83"/>
      <c r="C116" s="15"/>
      <c r="D116" s="14"/>
      <c r="E116" s="84"/>
      <c r="F116" s="85"/>
      <c r="G116" s="86"/>
      <c r="H116" s="85"/>
      <c r="I116" s="87"/>
      <c r="J116" s="88"/>
      <c r="K116" s="89"/>
    </row>
    <row r="117" spans="2:11" ht="14.4" customHeight="1" thickBot="1" x14ac:dyDescent="0.35">
      <c r="B117" s="90"/>
      <c r="C117" s="24"/>
      <c r="D117" s="23"/>
      <c r="E117" s="91"/>
      <c r="F117" s="92"/>
      <c r="G117" s="93"/>
      <c r="H117" s="92"/>
      <c r="I117" s="94"/>
      <c r="J117" s="95"/>
      <c r="K117" s="96"/>
    </row>
    <row r="118" spans="2:11" ht="14.4" customHeight="1" thickBot="1" x14ac:dyDescent="0.35">
      <c r="B118" s="83"/>
      <c r="C118" s="15"/>
      <c r="D118" s="14"/>
      <c r="E118" s="84"/>
      <c r="F118" s="85"/>
      <c r="G118" s="86"/>
      <c r="H118" s="85"/>
      <c r="I118" s="87"/>
      <c r="J118" s="88"/>
      <c r="K118" s="89"/>
    </row>
    <row r="119" spans="2:11" ht="14.4" customHeight="1" thickBot="1" x14ac:dyDescent="0.35">
      <c r="B119" s="90"/>
      <c r="C119" s="24"/>
      <c r="D119" s="23"/>
      <c r="E119" s="91"/>
      <c r="F119" s="92"/>
      <c r="G119" s="93"/>
      <c r="H119" s="92"/>
      <c r="I119" s="94"/>
      <c r="J119" s="95"/>
      <c r="K119" s="96"/>
    </row>
    <row r="120" spans="2:11" ht="14.4" customHeight="1" thickBot="1" x14ac:dyDescent="0.35">
      <c r="B120" s="83"/>
      <c r="C120" s="15"/>
      <c r="D120" s="14"/>
      <c r="E120" s="84"/>
      <c r="F120" s="85"/>
      <c r="G120" s="86"/>
      <c r="H120" s="85"/>
      <c r="I120" s="87"/>
      <c r="J120" s="88"/>
      <c r="K120" s="89"/>
    </row>
    <row r="121" spans="2:11" ht="14.4" customHeight="1" thickBot="1" x14ac:dyDescent="0.35">
      <c r="B121" s="90"/>
      <c r="C121" s="24"/>
      <c r="D121" s="23"/>
      <c r="E121" s="91"/>
      <c r="F121" s="92"/>
      <c r="G121" s="93"/>
      <c r="H121" s="92"/>
      <c r="I121" s="94"/>
      <c r="J121" s="95"/>
      <c r="K121" s="96"/>
    </row>
    <row r="122" spans="2:11" ht="14.4" customHeight="1" thickBot="1" x14ac:dyDescent="0.35">
      <c r="B122" s="83"/>
      <c r="C122" s="15"/>
      <c r="D122" s="14"/>
      <c r="E122" s="84"/>
      <c r="F122" s="85"/>
      <c r="G122" s="86"/>
      <c r="H122" s="85"/>
      <c r="I122" s="87"/>
      <c r="J122" s="88"/>
      <c r="K122" s="89"/>
    </row>
    <row r="123" spans="2:11" ht="14.4" customHeight="1" thickBot="1" x14ac:dyDescent="0.35">
      <c r="B123" s="90"/>
      <c r="C123" s="24"/>
      <c r="D123" s="23"/>
      <c r="E123" s="91"/>
      <c r="F123" s="92"/>
      <c r="G123" s="93"/>
      <c r="H123" s="92"/>
      <c r="I123" s="94"/>
      <c r="J123" s="95"/>
      <c r="K123" s="96"/>
    </row>
    <row r="124" spans="2:11" ht="14.4" customHeight="1" thickBot="1" x14ac:dyDescent="0.35">
      <c r="B124" s="83"/>
      <c r="C124" s="15"/>
      <c r="D124" s="14"/>
      <c r="E124" s="84"/>
      <c r="F124" s="85"/>
      <c r="G124" s="86"/>
      <c r="H124" s="85"/>
      <c r="I124" s="87"/>
      <c r="J124" s="88"/>
      <c r="K124" s="89"/>
    </row>
    <row r="125" spans="2:11" ht="14.4" customHeight="1" thickBot="1" x14ac:dyDescent="0.35">
      <c r="B125" s="90"/>
      <c r="C125" s="24"/>
      <c r="D125" s="23"/>
      <c r="E125" s="91"/>
      <c r="F125" s="92"/>
      <c r="G125" s="93"/>
      <c r="H125" s="92"/>
      <c r="I125" s="94"/>
      <c r="J125" s="95"/>
      <c r="K125" s="96"/>
    </row>
    <row r="126" spans="2:11" ht="14.4" customHeight="1" thickBot="1" x14ac:dyDescent="0.35">
      <c r="B126" s="83"/>
      <c r="C126" s="15"/>
      <c r="D126" s="14"/>
      <c r="E126" s="84"/>
      <c r="F126" s="85"/>
      <c r="G126" s="86"/>
      <c r="H126" s="85"/>
      <c r="I126" s="87"/>
      <c r="J126" s="88"/>
      <c r="K126" s="89"/>
    </row>
    <row r="127" spans="2:11" ht="14.4" customHeight="1" thickBot="1" x14ac:dyDescent="0.35">
      <c r="B127" s="90"/>
      <c r="C127" s="24"/>
      <c r="D127" s="23"/>
      <c r="E127" s="91"/>
      <c r="F127" s="92"/>
      <c r="G127" s="93"/>
      <c r="H127" s="92"/>
      <c r="I127" s="94"/>
      <c r="J127" s="95"/>
      <c r="K127" s="96"/>
    </row>
    <row r="128" spans="2:11" ht="14.4" customHeight="1" thickBot="1" x14ac:dyDescent="0.35">
      <c r="B128" s="83"/>
      <c r="C128" s="15"/>
      <c r="D128" s="14"/>
      <c r="E128" s="84"/>
      <c r="F128" s="85"/>
      <c r="G128" s="86"/>
      <c r="H128" s="85"/>
      <c r="I128" s="87"/>
      <c r="J128" s="88"/>
      <c r="K128" s="89"/>
    </row>
    <row r="129" spans="2:11" ht="14.4" customHeight="1" thickBot="1" x14ac:dyDescent="0.35">
      <c r="B129" s="90"/>
      <c r="C129" s="24"/>
      <c r="D129" s="23"/>
      <c r="E129" s="91"/>
      <c r="F129" s="92"/>
      <c r="G129" s="93"/>
      <c r="H129" s="92"/>
      <c r="I129" s="94"/>
      <c r="J129" s="95"/>
      <c r="K129" s="96"/>
    </row>
    <row r="130" spans="2:11" ht="14.4" customHeight="1" thickBot="1" x14ac:dyDescent="0.35">
      <c r="B130" s="83"/>
      <c r="C130" s="15"/>
      <c r="D130" s="14"/>
      <c r="E130" s="84"/>
      <c r="F130" s="85"/>
      <c r="G130" s="86"/>
      <c r="H130" s="85"/>
      <c r="I130" s="87"/>
      <c r="J130" s="88"/>
      <c r="K130" s="89"/>
    </row>
    <row r="131" spans="2:11" ht="14.4" customHeight="1" thickBot="1" x14ac:dyDescent="0.35">
      <c r="B131" s="90"/>
      <c r="C131" s="24"/>
      <c r="D131" s="23"/>
      <c r="E131" s="91"/>
      <c r="F131" s="92"/>
      <c r="G131" s="93"/>
      <c r="H131" s="92"/>
      <c r="I131" s="94"/>
      <c r="J131" s="95"/>
      <c r="K131" s="96"/>
    </row>
    <row r="132" spans="2:11" ht="14.4" customHeight="1" thickBot="1" x14ac:dyDescent="0.35">
      <c r="B132" s="83"/>
      <c r="C132" s="15"/>
      <c r="D132" s="14"/>
      <c r="E132" s="84"/>
      <c r="F132" s="85"/>
      <c r="G132" s="86"/>
      <c r="H132" s="85"/>
      <c r="I132" s="87"/>
      <c r="J132" s="88"/>
      <c r="K132" s="89"/>
    </row>
    <row r="133" spans="2:11" ht="14.4" customHeight="1" thickBot="1" x14ac:dyDescent="0.35">
      <c r="B133" s="90"/>
      <c r="C133" s="24"/>
      <c r="D133" s="23"/>
      <c r="E133" s="91"/>
      <c r="F133" s="92"/>
      <c r="G133" s="93"/>
      <c r="H133" s="92"/>
      <c r="I133" s="94"/>
      <c r="J133" s="95"/>
      <c r="K133" s="96"/>
    </row>
    <row r="134" spans="2:11" ht="14.4" customHeight="1" thickBot="1" x14ac:dyDescent="0.35">
      <c r="B134" s="83"/>
      <c r="C134" s="15"/>
      <c r="D134" s="14"/>
      <c r="E134" s="84"/>
      <c r="F134" s="85"/>
      <c r="G134" s="86"/>
      <c r="H134" s="85"/>
      <c r="I134" s="87"/>
      <c r="J134" s="88"/>
      <c r="K134" s="89"/>
    </row>
    <row r="135" spans="2:11" ht="14.4" customHeight="1" thickBot="1" x14ac:dyDescent="0.35">
      <c r="B135" s="90"/>
      <c r="C135" s="24"/>
      <c r="D135" s="23"/>
      <c r="E135" s="91"/>
      <c r="F135" s="92"/>
      <c r="G135" s="93"/>
      <c r="H135" s="92"/>
      <c r="I135" s="94"/>
      <c r="J135" s="95"/>
      <c r="K135" s="96"/>
    </row>
    <row r="136" spans="2:11" ht="14.4" customHeight="1" thickBot="1" x14ac:dyDescent="0.35">
      <c r="B136" s="83"/>
      <c r="C136" s="15"/>
      <c r="D136" s="14"/>
      <c r="E136" s="84"/>
      <c r="F136" s="85"/>
      <c r="G136" s="86"/>
      <c r="H136" s="85"/>
      <c r="I136" s="87"/>
      <c r="J136" s="88"/>
      <c r="K136" s="89"/>
    </row>
    <row r="137" spans="2:11" ht="14.4" customHeight="1" thickBot="1" x14ac:dyDescent="0.35">
      <c r="B137" s="90"/>
      <c r="C137" s="24"/>
      <c r="D137" s="23"/>
      <c r="E137" s="91"/>
      <c r="F137" s="92"/>
      <c r="G137" s="93"/>
      <c r="H137" s="92"/>
      <c r="I137" s="94"/>
      <c r="J137" s="95"/>
      <c r="K137" s="96"/>
    </row>
    <row r="138" spans="2:11" ht="14.4" customHeight="1" thickBot="1" x14ac:dyDescent="0.35">
      <c r="B138" s="83"/>
      <c r="C138" s="15"/>
      <c r="D138" s="14"/>
      <c r="E138" s="84"/>
      <c r="F138" s="85"/>
      <c r="G138" s="86"/>
      <c r="H138" s="85"/>
      <c r="I138" s="87"/>
      <c r="J138" s="88"/>
      <c r="K138" s="89"/>
    </row>
    <row r="139" spans="2:11" ht="14.4" customHeight="1" thickBot="1" x14ac:dyDescent="0.35">
      <c r="B139" s="90"/>
      <c r="C139" s="24"/>
      <c r="D139" s="23"/>
      <c r="E139" s="91"/>
      <c r="F139" s="92"/>
      <c r="G139" s="93"/>
      <c r="H139" s="92"/>
      <c r="I139" s="94"/>
      <c r="J139" s="95"/>
      <c r="K139" s="96"/>
    </row>
    <row r="140" spans="2:11" ht="14.4" customHeight="1" thickBot="1" x14ac:dyDescent="0.35">
      <c r="B140" s="83"/>
      <c r="C140" s="15"/>
      <c r="D140" s="14"/>
      <c r="E140" s="84"/>
      <c r="F140" s="85"/>
      <c r="G140" s="86"/>
      <c r="H140" s="85"/>
      <c r="I140" s="87"/>
      <c r="J140" s="88"/>
      <c r="K140" s="89"/>
    </row>
    <row r="141" spans="2:11" ht="14.4" customHeight="1" thickBot="1" x14ac:dyDescent="0.35">
      <c r="B141" s="90"/>
      <c r="C141" s="24"/>
      <c r="D141" s="23"/>
      <c r="E141" s="91"/>
      <c r="F141" s="92"/>
      <c r="G141" s="93"/>
      <c r="H141" s="92"/>
      <c r="I141" s="94"/>
      <c r="J141" s="95"/>
      <c r="K141" s="96"/>
    </row>
    <row r="142" spans="2:11" ht="14.4" customHeight="1" thickBot="1" x14ac:dyDescent="0.35">
      <c r="B142" s="83"/>
      <c r="C142" s="15"/>
      <c r="D142" s="14"/>
      <c r="E142" s="84"/>
      <c r="F142" s="85"/>
      <c r="G142" s="86"/>
      <c r="H142" s="85"/>
      <c r="I142" s="87"/>
      <c r="J142" s="88"/>
      <c r="K142" s="89"/>
    </row>
    <row r="143" spans="2:11" ht="14.4" customHeight="1" thickBot="1" x14ac:dyDescent="0.35">
      <c r="B143" s="90"/>
      <c r="C143" s="24"/>
      <c r="D143" s="23"/>
      <c r="E143" s="91"/>
      <c r="F143" s="92"/>
      <c r="G143" s="93"/>
      <c r="H143" s="92"/>
      <c r="I143" s="94"/>
      <c r="J143" s="95"/>
      <c r="K143" s="96"/>
    </row>
    <row r="144" spans="2:11" ht="14.4" customHeight="1" thickBot="1" x14ac:dyDescent="0.35">
      <c r="B144" s="83"/>
      <c r="C144" s="15"/>
      <c r="D144" s="14"/>
      <c r="E144" s="84"/>
      <c r="F144" s="85"/>
      <c r="G144" s="86"/>
      <c r="H144" s="85"/>
      <c r="I144" s="87"/>
      <c r="J144" s="88"/>
      <c r="K144" s="89"/>
    </row>
    <row r="145" spans="2:11" ht="14.4" customHeight="1" thickBot="1" x14ac:dyDescent="0.35">
      <c r="B145" s="90"/>
      <c r="C145" s="24"/>
      <c r="D145" s="23"/>
      <c r="E145" s="91"/>
      <c r="F145" s="92"/>
      <c r="G145" s="93"/>
      <c r="H145" s="92"/>
      <c r="I145" s="94"/>
      <c r="J145" s="95"/>
      <c r="K145" s="96"/>
    </row>
    <row r="146" spans="2:11" ht="14.4" customHeight="1" thickBot="1" x14ac:dyDescent="0.35">
      <c r="B146" s="83"/>
      <c r="C146" s="15"/>
      <c r="D146" s="14"/>
      <c r="E146" s="84"/>
      <c r="F146" s="85"/>
      <c r="G146" s="86"/>
      <c r="H146" s="85"/>
      <c r="I146" s="87"/>
      <c r="J146" s="88"/>
      <c r="K146" s="89"/>
    </row>
    <row r="147" spans="2:11" ht="14.4" customHeight="1" thickBot="1" x14ac:dyDescent="0.35">
      <c r="B147" s="90"/>
      <c r="C147" s="24"/>
      <c r="D147" s="23"/>
      <c r="E147" s="91"/>
      <c r="F147" s="92"/>
      <c r="G147" s="93"/>
      <c r="H147" s="92"/>
      <c r="I147" s="94"/>
      <c r="J147" s="95"/>
      <c r="K147" s="96"/>
    </row>
    <row r="148" spans="2:11" ht="14.4" customHeight="1" thickBot="1" x14ac:dyDescent="0.35">
      <c r="B148" s="83"/>
      <c r="C148" s="15"/>
      <c r="D148" s="14"/>
      <c r="E148" s="84"/>
      <c r="F148" s="85"/>
      <c r="G148" s="86"/>
      <c r="H148" s="85"/>
      <c r="I148" s="87"/>
      <c r="J148" s="88"/>
      <c r="K148" s="89"/>
    </row>
    <row r="149" spans="2:11" ht="14.4" customHeight="1" thickBot="1" x14ac:dyDescent="0.35">
      <c r="B149" s="90"/>
      <c r="C149" s="24"/>
      <c r="D149" s="23"/>
      <c r="E149" s="91"/>
      <c r="F149" s="92"/>
      <c r="G149" s="93"/>
      <c r="H149" s="92"/>
      <c r="I149" s="94"/>
      <c r="J149" s="95"/>
      <c r="K149" s="96"/>
    </row>
    <row r="150" spans="2:11" ht="14.4" customHeight="1" thickBot="1" x14ac:dyDescent="0.35">
      <c r="B150" s="83"/>
      <c r="C150" s="15"/>
      <c r="D150" s="14"/>
      <c r="E150" s="84"/>
      <c r="F150" s="85"/>
      <c r="G150" s="86"/>
      <c r="H150" s="85"/>
      <c r="I150" s="87"/>
      <c r="J150" s="88"/>
      <c r="K150" s="89"/>
    </row>
    <row r="151" spans="2:11" ht="14.4" customHeight="1" thickBot="1" x14ac:dyDescent="0.35">
      <c r="B151" s="90"/>
      <c r="C151" s="24"/>
      <c r="D151" s="23"/>
      <c r="E151" s="91"/>
      <c r="F151" s="92"/>
      <c r="G151" s="93"/>
      <c r="H151" s="92"/>
      <c r="I151" s="94"/>
      <c r="J151" s="95"/>
      <c r="K151" s="96"/>
    </row>
    <row r="152" spans="2:11" ht="14.4" customHeight="1" thickBot="1" x14ac:dyDescent="0.35">
      <c r="B152" s="83"/>
      <c r="C152" s="15"/>
      <c r="D152" s="14"/>
      <c r="E152" s="84"/>
      <c r="F152" s="85"/>
      <c r="G152" s="86"/>
      <c r="H152" s="85"/>
      <c r="I152" s="87"/>
      <c r="J152" s="88"/>
      <c r="K152" s="89"/>
    </row>
    <row r="153" spans="2:11" ht="14.4" customHeight="1" thickBot="1" x14ac:dyDescent="0.35">
      <c r="B153" s="90"/>
      <c r="C153" s="24"/>
      <c r="D153" s="23"/>
      <c r="E153" s="91"/>
      <c r="F153" s="92"/>
      <c r="G153" s="93"/>
      <c r="H153" s="92"/>
      <c r="I153" s="94"/>
      <c r="J153" s="95"/>
      <c r="K153" s="96"/>
    </row>
    <row r="154" spans="2:11" ht="14.4" customHeight="1" thickBot="1" x14ac:dyDescent="0.35">
      <c r="B154" s="83"/>
      <c r="C154" s="15"/>
      <c r="D154" s="14"/>
      <c r="E154" s="84"/>
      <c r="F154" s="85"/>
      <c r="G154" s="86"/>
      <c r="H154" s="85"/>
      <c r="I154" s="87"/>
      <c r="J154" s="88"/>
      <c r="K154" s="89"/>
    </row>
    <row r="155" spans="2:11" ht="14.4" customHeight="1" thickBot="1" x14ac:dyDescent="0.35">
      <c r="B155" s="90"/>
      <c r="C155" s="24"/>
      <c r="D155" s="23"/>
      <c r="E155" s="91"/>
      <c r="F155" s="92"/>
      <c r="G155" s="93"/>
      <c r="H155" s="92"/>
      <c r="I155" s="94"/>
      <c r="J155" s="95"/>
      <c r="K155" s="96"/>
    </row>
    <row r="156" spans="2:11" ht="14.4" customHeight="1" thickBot="1" x14ac:dyDescent="0.35">
      <c r="B156" s="83"/>
      <c r="C156" s="15"/>
      <c r="D156" s="14"/>
      <c r="E156" s="84"/>
      <c r="F156" s="85"/>
      <c r="G156" s="86"/>
      <c r="H156" s="85"/>
      <c r="I156" s="87"/>
      <c r="J156" s="88"/>
      <c r="K156" s="89"/>
    </row>
    <row r="157" spans="2:11" ht="14.4" customHeight="1" thickBot="1" x14ac:dyDescent="0.35">
      <c r="B157" s="90"/>
      <c r="C157" s="24"/>
      <c r="D157" s="23"/>
      <c r="E157" s="91"/>
      <c r="F157" s="92"/>
      <c r="G157" s="93"/>
      <c r="H157" s="92"/>
      <c r="I157" s="94"/>
      <c r="J157" s="95"/>
      <c r="K157" s="96"/>
    </row>
    <row r="158" spans="2:11" ht="14.4" customHeight="1" thickBot="1" x14ac:dyDescent="0.35">
      <c r="B158" s="83"/>
      <c r="C158" s="15"/>
      <c r="D158" s="14"/>
      <c r="E158" s="84"/>
      <c r="F158" s="85"/>
      <c r="G158" s="86"/>
      <c r="H158" s="85"/>
      <c r="I158" s="87"/>
      <c r="J158" s="88"/>
      <c r="K158" s="89"/>
    </row>
    <row r="159" spans="2:11" ht="14.4" customHeight="1" thickBot="1" x14ac:dyDescent="0.35">
      <c r="B159" s="90"/>
      <c r="C159" s="24"/>
      <c r="D159" s="23"/>
      <c r="E159" s="91"/>
      <c r="F159" s="92"/>
      <c r="G159" s="93"/>
      <c r="H159" s="92"/>
      <c r="I159" s="94"/>
      <c r="J159" s="95"/>
      <c r="K159" s="96"/>
    </row>
    <row r="160" spans="2:11" ht="14.4" customHeight="1" thickBot="1" x14ac:dyDescent="0.35">
      <c r="B160" s="83"/>
      <c r="C160" s="15"/>
      <c r="D160" s="14"/>
      <c r="E160" s="84"/>
      <c r="F160" s="85"/>
      <c r="G160" s="86"/>
      <c r="H160" s="85"/>
      <c r="I160" s="87"/>
      <c r="J160" s="88"/>
      <c r="K160" s="89"/>
    </row>
    <row r="161" spans="2:11" ht="14.4" customHeight="1" thickBot="1" x14ac:dyDescent="0.35">
      <c r="B161" s="90"/>
      <c r="C161" s="24"/>
      <c r="D161" s="23"/>
      <c r="E161" s="91"/>
      <c r="F161" s="92"/>
      <c r="G161" s="93"/>
      <c r="H161" s="92"/>
      <c r="I161" s="94"/>
      <c r="J161" s="95"/>
      <c r="K161" s="96"/>
    </row>
    <row r="162" spans="2:11" ht="14.4" customHeight="1" thickBot="1" x14ac:dyDescent="0.35">
      <c r="B162" s="83"/>
      <c r="C162" s="15"/>
      <c r="D162" s="14"/>
      <c r="E162" s="84"/>
      <c r="F162" s="85"/>
      <c r="G162" s="86"/>
      <c r="H162" s="85"/>
      <c r="I162" s="87"/>
      <c r="J162" s="88"/>
      <c r="K162" s="89"/>
    </row>
    <row r="163" spans="2:11" ht="14.4" customHeight="1" thickBot="1" x14ac:dyDescent="0.35">
      <c r="B163" s="90"/>
      <c r="C163" s="24"/>
      <c r="D163" s="23"/>
      <c r="E163" s="91"/>
      <c r="F163" s="92"/>
      <c r="G163" s="93"/>
      <c r="H163" s="92"/>
      <c r="I163" s="94"/>
      <c r="J163" s="95"/>
      <c r="K163" s="96"/>
    </row>
    <row r="164" spans="2:11" ht="14.4" customHeight="1" thickBot="1" x14ac:dyDescent="0.35">
      <c r="B164" s="83"/>
      <c r="C164" s="15"/>
      <c r="D164" s="14"/>
      <c r="E164" s="84"/>
      <c r="F164" s="85"/>
      <c r="G164" s="86"/>
      <c r="H164" s="85"/>
      <c r="I164" s="87"/>
      <c r="J164" s="88"/>
      <c r="K164" s="89"/>
    </row>
    <row r="165" spans="2:11" ht="14.4" customHeight="1" thickBot="1" x14ac:dyDescent="0.35">
      <c r="B165" s="90"/>
      <c r="C165" s="24"/>
      <c r="D165" s="23"/>
      <c r="E165" s="91"/>
      <c r="F165" s="92"/>
      <c r="G165" s="93"/>
      <c r="H165" s="92"/>
      <c r="I165" s="94"/>
      <c r="J165" s="95"/>
      <c r="K165" s="96"/>
    </row>
    <row r="166" spans="2:11" ht="14.4" customHeight="1" thickBot="1" x14ac:dyDescent="0.35">
      <c r="B166" s="83"/>
      <c r="C166" s="15"/>
      <c r="D166" s="14"/>
      <c r="E166" s="84"/>
      <c r="F166" s="85"/>
      <c r="G166" s="86"/>
      <c r="H166" s="85"/>
      <c r="I166" s="87"/>
      <c r="J166" s="88"/>
      <c r="K166" s="89"/>
    </row>
    <row r="167" spans="2:11" ht="14.4" customHeight="1" thickBot="1" x14ac:dyDescent="0.35">
      <c r="B167" s="90"/>
      <c r="C167" s="24"/>
      <c r="D167" s="23"/>
      <c r="E167" s="91"/>
      <c r="F167" s="92"/>
      <c r="G167" s="93"/>
      <c r="H167" s="92"/>
      <c r="I167" s="94"/>
      <c r="J167" s="95"/>
      <c r="K167" s="96"/>
    </row>
    <row r="168" spans="2:11" ht="14.4" customHeight="1" thickBot="1" x14ac:dyDescent="0.35">
      <c r="B168" s="83"/>
      <c r="C168" s="15"/>
      <c r="D168" s="14"/>
      <c r="E168" s="84"/>
      <c r="F168" s="85"/>
      <c r="G168" s="86"/>
      <c r="H168" s="85"/>
      <c r="I168" s="87"/>
      <c r="J168" s="88"/>
      <c r="K168" s="89"/>
    </row>
    <row r="169" spans="2:11" ht="14.4" customHeight="1" thickBot="1" x14ac:dyDescent="0.35">
      <c r="B169" s="90"/>
      <c r="C169" s="24"/>
      <c r="D169" s="23"/>
      <c r="E169" s="91"/>
      <c r="F169" s="92"/>
      <c r="G169" s="93"/>
      <c r="H169" s="92"/>
      <c r="I169" s="94"/>
      <c r="J169" s="95"/>
      <c r="K169" s="96"/>
    </row>
    <row r="170" spans="2:11" ht="14.4" customHeight="1" thickBot="1" x14ac:dyDescent="0.35">
      <c r="B170" s="83"/>
      <c r="C170" s="15"/>
      <c r="D170" s="14"/>
      <c r="E170" s="84"/>
      <c r="F170" s="85"/>
      <c r="G170" s="86"/>
      <c r="H170" s="85"/>
      <c r="I170" s="87"/>
      <c r="J170" s="88"/>
      <c r="K170" s="89"/>
    </row>
    <row r="171" spans="2:11" ht="14.4" customHeight="1" thickBot="1" x14ac:dyDescent="0.35">
      <c r="B171" s="90"/>
      <c r="C171" s="24"/>
      <c r="D171" s="23"/>
      <c r="E171" s="91"/>
      <c r="F171" s="92"/>
      <c r="G171" s="93"/>
      <c r="H171" s="92"/>
      <c r="I171" s="94"/>
      <c r="J171" s="95"/>
      <c r="K171" s="96"/>
    </row>
    <row r="172" spans="2:11" ht="14.4" customHeight="1" thickBot="1" x14ac:dyDescent="0.35">
      <c r="B172" s="83"/>
      <c r="C172" s="15"/>
      <c r="D172" s="14"/>
      <c r="E172" s="84"/>
      <c r="F172" s="85"/>
      <c r="G172" s="86"/>
      <c r="H172" s="85"/>
      <c r="I172" s="87"/>
      <c r="J172" s="88"/>
      <c r="K172" s="89"/>
    </row>
    <row r="173" spans="2:11" ht="14.4" customHeight="1" thickBot="1" x14ac:dyDescent="0.35">
      <c r="B173" s="90"/>
      <c r="C173" s="24"/>
      <c r="D173" s="23"/>
      <c r="E173" s="91"/>
      <c r="F173" s="92"/>
      <c r="G173" s="93"/>
      <c r="H173" s="92"/>
      <c r="I173" s="94"/>
      <c r="J173" s="95"/>
      <c r="K173" s="96"/>
    </row>
    <row r="174" spans="2:11" ht="14.4" customHeight="1" thickBot="1" x14ac:dyDescent="0.35">
      <c r="B174" s="83"/>
      <c r="C174" s="15"/>
      <c r="D174" s="14"/>
      <c r="E174" s="84"/>
      <c r="F174" s="85"/>
      <c r="G174" s="86"/>
      <c r="H174" s="85"/>
      <c r="I174" s="87"/>
      <c r="J174" s="88"/>
      <c r="K174" s="89"/>
    </row>
    <row r="175" spans="2:11" ht="14.4" customHeight="1" thickBot="1" x14ac:dyDescent="0.35">
      <c r="B175" s="90"/>
      <c r="C175" s="24"/>
      <c r="D175" s="23"/>
      <c r="E175" s="91"/>
      <c r="F175" s="92"/>
      <c r="G175" s="93"/>
      <c r="H175" s="92"/>
      <c r="I175" s="94"/>
      <c r="J175" s="95"/>
      <c r="K175" s="96"/>
    </row>
    <row r="176" spans="2:11" ht="14.4" customHeight="1" thickBot="1" x14ac:dyDescent="0.35">
      <c r="B176" s="83"/>
      <c r="C176" s="15"/>
      <c r="D176" s="14"/>
      <c r="E176" s="84"/>
      <c r="F176" s="85"/>
      <c r="G176" s="86"/>
      <c r="H176" s="85"/>
      <c r="I176" s="87"/>
      <c r="J176" s="88"/>
      <c r="K176" s="89"/>
    </row>
    <row r="177" spans="2:11" ht="14.4" customHeight="1" thickBot="1" x14ac:dyDescent="0.35">
      <c r="B177" s="90"/>
      <c r="C177" s="24"/>
      <c r="D177" s="23"/>
      <c r="E177" s="91"/>
      <c r="F177" s="92"/>
      <c r="G177" s="93"/>
      <c r="H177" s="92"/>
      <c r="I177" s="94"/>
      <c r="J177" s="95"/>
      <c r="K177" s="96"/>
    </row>
    <row r="178" spans="2:11" ht="14.4" customHeight="1" thickBot="1" x14ac:dyDescent="0.35">
      <c r="B178" s="83"/>
      <c r="C178" s="15"/>
      <c r="D178" s="14"/>
      <c r="E178" s="84"/>
      <c r="F178" s="85"/>
      <c r="G178" s="86"/>
      <c r="H178" s="85"/>
      <c r="I178" s="87"/>
      <c r="J178" s="88"/>
      <c r="K178" s="89"/>
    </row>
    <row r="179" spans="2:11" ht="14.4" customHeight="1" thickBot="1" x14ac:dyDescent="0.35">
      <c r="B179" s="90"/>
      <c r="C179" s="24"/>
      <c r="D179" s="23"/>
      <c r="E179" s="91"/>
      <c r="F179" s="92"/>
      <c r="G179" s="93"/>
      <c r="H179" s="92"/>
      <c r="I179" s="94"/>
      <c r="J179" s="95"/>
      <c r="K179" s="96"/>
    </row>
    <row r="180" spans="2:11" ht="14.4" customHeight="1" thickBot="1" x14ac:dyDescent="0.35">
      <c r="B180" s="83"/>
      <c r="C180" s="15"/>
      <c r="D180" s="14"/>
      <c r="E180" s="84"/>
      <c r="F180" s="85"/>
      <c r="G180" s="86"/>
      <c r="H180" s="85"/>
      <c r="I180" s="87"/>
      <c r="J180" s="88"/>
      <c r="K180" s="89"/>
    </row>
    <row r="181" spans="2:11" ht="14.4" customHeight="1" thickBot="1" x14ac:dyDescent="0.35">
      <c r="B181" s="90"/>
      <c r="C181" s="24"/>
      <c r="D181" s="23"/>
      <c r="E181" s="91"/>
      <c r="F181" s="92"/>
      <c r="G181" s="93"/>
      <c r="H181" s="92"/>
      <c r="I181" s="94"/>
      <c r="J181" s="95"/>
      <c r="K181" s="96"/>
    </row>
    <row r="182" spans="2:11" ht="14.4" customHeight="1" thickBot="1" x14ac:dyDescent="0.35">
      <c r="B182" s="83"/>
      <c r="C182" s="15"/>
      <c r="D182" s="14"/>
      <c r="E182" s="84"/>
      <c r="F182" s="85"/>
      <c r="G182" s="86"/>
      <c r="H182" s="85"/>
      <c r="I182" s="87"/>
      <c r="J182" s="88"/>
      <c r="K182" s="89"/>
    </row>
    <row r="183" spans="2:11" ht="14.4" customHeight="1" thickBot="1" x14ac:dyDescent="0.35">
      <c r="B183" s="90"/>
      <c r="C183" s="24"/>
      <c r="D183" s="23"/>
      <c r="E183" s="91"/>
      <c r="F183" s="92"/>
      <c r="G183" s="93"/>
      <c r="H183" s="92"/>
      <c r="I183" s="94"/>
      <c r="J183" s="95"/>
      <c r="K183" s="96"/>
    </row>
    <row r="184" spans="2:11" ht="14.4" customHeight="1" thickBot="1" x14ac:dyDescent="0.35">
      <c r="B184" s="83"/>
      <c r="C184" s="15"/>
      <c r="D184" s="14"/>
      <c r="E184" s="84"/>
      <c r="F184" s="85"/>
      <c r="G184" s="86"/>
      <c r="H184" s="85"/>
      <c r="I184" s="87"/>
      <c r="J184" s="88"/>
      <c r="K184" s="89"/>
    </row>
    <row r="185" spans="2:11" ht="14.4" customHeight="1" thickBot="1" x14ac:dyDescent="0.35">
      <c r="B185" s="90"/>
      <c r="C185" s="24"/>
      <c r="D185" s="23"/>
      <c r="E185" s="91"/>
      <c r="F185" s="92"/>
      <c r="G185" s="93"/>
      <c r="H185" s="92"/>
      <c r="I185" s="94"/>
      <c r="J185" s="95"/>
      <c r="K185" s="96"/>
    </row>
    <row r="186" spans="2:11" ht="14.4" customHeight="1" thickBot="1" x14ac:dyDescent="0.35">
      <c r="B186" s="83"/>
      <c r="C186" s="15"/>
      <c r="D186" s="14"/>
      <c r="E186" s="84"/>
      <c r="F186" s="85"/>
      <c r="G186" s="86"/>
      <c r="H186" s="85"/>
      <c r="I186" s="87"/>
      <c r="J186" s="88"/>
      <c r="K186" s="89"/>
    </row>
    <row r="187" spans="2:11" ht="14.4" customHeight="1" thickBot="1" x14ac:dyDescent="0.35">
      <c r="B187" s="90"/>
      <c r="C187" s="24"/>
      <c r="D187" s="23"/>
      <c r="E187" s="91"/>
      <c r="F187" s="92"/>
      <c r="G187" s="93"/>
      <c r="H187" s="92"/>
      <c r="I187" s="94"/>
      <c r="J187" s="95"/>
      <c r="K187" s="96"/>
    </row>
    <row r="188" spans="2:11" ht="14.4" customHeight="1" thickBot="1" x14ac:dyDescent="0.35">
      <c r="B188" s="83"/>
      <c r="C188" s="15"/>
      <c r="D188" s="14"/>
      <c r="E188" s="84"/>
      <c r="F188" s="85"/>
      <c r="G188" s="86"/>
      <c r="H188" s="85"/>
      <c r="I188" s="87"/>
      <c r="J188" s="88"/>
      <c r="K188" s="89"/>
    </row>
    <row r="189" spans="2:11" ht="14.4" customHeight="1" thickBot="1" x14ac:dyDescent="0.35">
      <c r="B189" s="90"/>
      <c r="C189" s="24"/>
      <c r="D189" s="23"/>
      <c r="E189" s="91"/>
      <c r="F189" s="92"/>
      <c r="G189" s="93"/>
      <c r="H189" s="92"/>
      <c r="I189" s="94"/>
      <c r="J189" s="95"/>
      <c r="K189" s="96"/>
    </row>
    <row r="190" spans="2:11" ht="14.4" customHeight="1" thickBot="1" x14ac:dyDescent="0.35">
      <c r="B190" s="83"/>
      <c r="C190" s="15"/>
      <c r="D190" s="14"/>
      <c r="E190" s="84"/>
      <c r="F190" s="85"/>
      <c r="G190" s="86"/>
      <c r="H190" s="85"/>
      <c r="I190" s="87"/>
      <c r="J190" s="88"/>
      <c r="K190" s="89"/>
    </row>
    <row r="191" spans="2:11" ht="14.4" customHeight="1" thickBot="1" x14ac:dyDescent="0.35">
      <c r="B191" s="90"/>
      <c r="C191" s="24"/>
      <c r="D191" s="23"/>
      <c r="E191" s="91"/>
      <c r="F191" s="92"/>
      <c r="G191" s="93"/>
      <c r="H191" s="92"/>
      <c r="I191" s="94"/>
      <c r="J191" s="95"/>
      <c r="K191" s="96"/>
    </row>
    <row r="192" spans="2:11" ht="14.4" customHeight="1" thickBot="1" x14ac:dyDescent="0.35">
      <c r="B192" s="83"/>
      <c r="C192" s="15"/>
      <c r="D192" s="14"/>
      <c r="E192" s="84"/>
      <c r="F192" s="85"/>
      <c r="G192" s="86"/>
      <c r="H192" s="85"/>
      <c r="I192" s="87"/>
      <c r="J192" s="88"/>
      <c r="K192" s="89"/>
    </row>
    <row r="193" spans="2:11" ht="14.4" customHeight="1" thickBot="1" x14ac:dyDescent="0.35">
      <c r="B193" s="90"/>
      <c r="C193" s="24"/>
      <c r="D193" s="23"/>
      <c r="E193" s="91"/>
      <c r="F193" s="92"/>
      <c r="G193" s="93"/>
      <c r="H193" s="92"/>
      <c r="I193" s="94"/>
      <c r="J193" s="95"/>
      <c r="K193" s="96"/>
    </row>
    <row r="194" spans="2:11" ht="14.4" customHeight="1" thickBot="1" x14ac:dyDescent="0.35">
      <c r="B194" s="83"/>
      <c r="C194" s="15"/>
      <c r="D194" s="14"/>
      <c r="E194" s="84"/>
      <c r="F194" s="85"/>
      <c r="G194" s="86"/>
      <c r="H194" s="85"/>
      <c r="I194" s="87"/>
      <c r="J194" s="88"/>
      <c r="K194" s="89"/>
    </row>
    <row r="195" spans="2:11" ht="14.4" customHeight="1" thickBot="1" x14ac:dyDescent="0.35">
      <c r="B195" s="90"/>
      <c r="C195" s="24"/>
      <c r="D195" s="23"/>
      <c r="E195" s="91"/>
      <c r="F195" s="92"/>
      <c r="G195" s="93"/>
      <c r="H195" s="92"/>
      <c r="I195" s="94"/>
      <c r="J195" s="95"/>
      <c r="K195" s="96"/>
    </row>
    <row r="196" spans="2:11" ht="14.4" customHeight="1" thickBot="1" x14ac:dyDescent="0.35">
      <c r="B196" s="83"/>
      <c r="C196" s="15"/>
      <c r="D196" s="14"/>
      <c r="E196" s="84"/>
      <c r="F196" s="85"/>
      <c r="G196" s="86"/>
      <c r="H196" s="85"/>
      <c r="I196" s="87"/>
      <c r="J196" s="88"/>
      <c r="K196" s="89"/>
    </row>
    <row r="197" spans="2:11" ht="14.4" customHeight="1" thickBot="1" x14ac:dyDescent="0.35">
      <c r="B197" s="90"/>
      <c r="C197" s="24"/>
      <c r="D197" s="23"/>
      <c r="E197" s="91"/>
      <c r="F197" s="92"/>
      <c r="G197" s="93"/>
      <c r="H197" s="92"/>
      <c r="I197" s="94"/>
      <c r="J197" s="95"/>
      <c r="K197" s="96"/>
    </row>
    <row r="198" spans="2:11" ht="14.4" customHeight="1" thickBot="1" x14ac:dyDescent="0.35">
      <c r="B198" s="83"/>
      <c r="C198" s="15"/>
      <c r="D198" s="14"/>
      <c r="E198" s="84"/>
      <c r="F198" s="85"/>
      <c r="G198" s="86"/>
      <c r="H198" s="85"/>
      <c r="I198" s="87"/>
      <c r="J198" s="88"/>
      <c r="K198" s="89"/>
    </row>
    <row r="199" spans="2:11" ht="14.4" customHeight="1" thickBot="1" x14ac:dyDescent="0.35">
      <c r="B199" s="90"/>
      <c r="C199" s="24"/>
      <c r="D199" s="23"/>
      <c r="E199" s="91"/>
      <c r="F199" s="92"/>
      <c r="G199" s="93"/>
      <c r="H199" s="92"/>
      <c r="I199" s="94"/>
      <c r="J199" s="95"/>
      <c r="K199" s="96"/>
    </row>
    <row r="200" spans="2:11" ht="14.4" customHeight="1" thickBot="1" x14ac:dyDescent="0.35">
      <c r="B200" s="83"/>
      <c r="C200" s="15"/>
      <c r="D200" s="14"/>
      <c r="E200" s="84"/>
      <c r="F200" s="85"/>
      <c r="G200" s="86"/>
      <c r="H200" s="85"/>
      <c r="I200" s="87"/>
      <c r="J200" s="88"/>
      <c r="K200" s="89"/>
    </row>
    <row r="201" spans="2:11" ht="14.4" customHeight="1" thickBot="1" x14ac:dyDescent="0.35">
      <c r="B201" s="90"/>
      <c r="C201" s="24"/>
      <c r="D201" s="23"/>
      <c r="E201" s="91"/>
      <c r="F201" s="92"/>
      <c r="G201" s="93"/>
      <c r="H201" s="92"/>
      <c r="I201" s="94"/>
      <c r="J201" s="95"/>
      <c r="K201" s="96"/>
    </row>
    <row r="202" spans="2:11" ht="14.4" customHeight="1" thickBot="1" x14ac:dyDescent="0.35">
      <c r="B202" s="83"/>
      <c r="C202" s="15"/>
      <c r="D202" s="14"/>
      <c r="E202" s="84"/>
      <c r="F202" s="85"/>
      <c r="G202" s="86"/>
      <c r="H202" s="85"/>
      <c r="I202" s="87"/>
      <c r="J202" s="88"/>
      <c r="K202" s="89"/>
    </row>
    <row r="203" spans="2:11" ht="14.4" customHeight="1" thickBot="1" x14ac:dyDescent="0.35">
      <c r="B203" s="90"/>
      <c r="C203" s="24"/>
      <c r="D203" s="23"/>
      <c r="E203" s="91"/>
      <c r="F203" s="92"/>
      <c r="G203" s="93"/>
      <c r="H203" s="92"/>
      <c r="I203" s="94"/>
      <c r="J203" s="95"/>
      <c r="K203" s="96"/>
    </row>
    <row r="204" spans="2:11" ht="14.4" customHeight="1" thickBot="1" x14ac:dyDescent="0.35">
      <c r="B204" s="83"/>
      <c r="C204" s="15"/>
      <c r="D204" s="14"/>
      <c r="E204" s="84"/>
      <c r="F204" s="85"/>
      <c r="G204" s="86"/>
      <c r="H204" s="85"/>
      <c r="I204" s="87"/>
      <c r="J204" s="88"/>
      <c r="K204" s="89"/>
    </row>
    <row r="205" spans="2:11" ht="14.4" customHeight="1" thickBot="1" x14ac:dyDescent="0.35">
      <c r="B205" s="90"/>
      <c r="C205" s="24"/>
      <c r="D205" s="23"/>
      <c r="E205" s="91"/>
      <c r="F205" s="92"/>
      <c r="G205" s="93"/>
      <c r="H205" s="92"/>
      <c r="I205" s="94"/>
      <c r="J205" s="95"/>
      <c r="K205" s="96"/>
    </row>
    <row r="206" spans="2:11" ht="14.4" customHeight="1" thickBot="1" x14ac:dyDescent="0.35">
      <c r="B206" s="83"/>
      <c r="C206" s="15"/>
      <c r="D206" s="14"/>
      <c r="E206" s="84"/>
      <c r="F206" s="85"/>
      <c r="G206" s="86"/>
      <c r="H206" s="85"/>
      <c r="I206" s="87"/>
      <c r="J206" s="88"/>
      <c r="K206" s="89"/>
    </row>
    <row r="207" spans="2:11" ht="14.4" customHeight="1" thickBot="1" x14ac:dyDescent="0.35">
      <c r="B207" s="90"/>
      <c r="C207" s="24"/>
      <c r="D207" s="23"/>
      <c r="E207" s="91"/>
      <c r="F207" s="92"/>
      <c r="G207" s="93"/>
      <c r="H207" s="92"/>
      <c r="I207" s="94"/>
      <c r="J207" s="95"/>
      <c r="K207" s="96"/>
    </row>
    <row r="208" spans="2:11" ht="14.4" customHeight="1" thickBot="1" x14ac:dyDescent="0.35">
      <c r="B208" s="83"/>
      <c r="C208" s="15"/>
      <c r="D208" s="14"/>
      <c r="E208" s="84"/>
      <c r="F208" s="85"/>
      <c r="G208" s="86"/>
      <c r="H208" s="85"/>
      <c r="I208" s="87"/>
      <c r="J208" s="88"/>
      <c r="K208" s="89"/>
    </row>
    <row r="209" spans="2:11" ht="14.4" customHeight="1" thickBot="1" x14ac:dyDescent="0.35">
      <c r="B209" s="90"/>
      <c r="C209" s="24"/>
      <c r="D209" s="23"/>
      <c r="E209" s="91"/>
      <c r="F209" s="92"/>
      <c r="G209" s="93"/>
      <c r="H209" s="92"/>
      <c r="I209" s="94"/>
      <c r="J209" s="95"/>
      <c r="K209" s="96"/>
    </row>
    <row r="210" spans="2:11" ht="14.4" customHeight="1" thickBot="1" x14ac:dyDescent="0.35">
      <c r="B210" s="83"/>
      <c r="C210" s="15"/>
      <c r="D210" s="14"/>
      <c r="E210" s="84"/>
      <c r="F210" s="85"/>
      <c r="G210" s="86"/>
      <c r="H210" s="85"/>
      <c r="I210" s="87"/>
      <c r="J210" s="88"/>
      <c r="K210" s="89"/>
    </row>
    <row r="211" spans="2:11" ht="14.4" customHeight="1" thickBot="1" x14ac:dyDescent="0.35">
      <c r="B211" s="90"/>
      <c r="C211" s="24"/>
      <c r="D211" s="23"/>
      <c r="E211" s="91"/>
      <c r="F211" s="92"/>
      <c r="G211" s="93"/>
      <c r="H211" s="92"/>
      <c r="I211" s="94"/>
      <c r="J211" s="95"/>
      <c r="K211" s="96"/>
    </row>
    <row r="212" spans="2:11" ht="14.4" customHeight="1" thickBot="1" x14ac:dyDescent="0.35">
      <c r="B212" s="83"/>
      <c r="C212" s="15"/>
      <c r="D212" s="14"/>
      <c r="E212" s="84"/>
      <c r="F212" s="85"/>
      <c r="G212" s="86"/>
      <c r="H212" s="85"/>
      <c r="I212" s="87"/>
      <c r="J212" s="88"/>
      <c r="K212" s="89"/>
    </row>
    <row r="213" spans="2:11" ht="14.4" customHeight="1" thickBot="1" x14ac:dyDescent="0.35">
      <c r="B213" s="90"/>
      <c r="C213" s="24"/>
      <c r="D213" s="23"/>
      <c r="E213" s="91"/>
      <c r="F213" s="92"/>
      <c r="G213" s="93"/>
      <c r="H213" s="92"/>
      <c r="I213" s="94"/>
      <c r="J213" s="95"/>
      <c r="K213" s="96"/>
    </row>
    <row r="214" spans="2:11" ht="14.4" customHeight="1" thickBot="1" x14ac:dyDescent="0.35">
      <c r="B214" s="83"/>
      <c r="C214" s="15"/>
      <c r="D214" s="14"/>
      <c r="E214" s="84"/>
      <c r="F214" s="85"/>
      <c r="G214" s="86"/>
      <c r="H214" s="85"/>
      <c r="I214" s="87"/>
      <c r="J214" s="88"/>
      <c r="K214" s="89"/>
    </row>
    <row r="215" spans="2:11" ht="14.4" customHeight="1" thickBot="1" x14ac:dyDescent="0.35">
      <c r="B215" s="90"/>
      <c r="C215" s="24"/>
      <c r="D215" s="23"/>
      <c r="E215" s="91"/>
      <c r="F215" s="92"/>
      <c r="G215" s="93"/>
      <c r="H215" s="92"/>
      <c r="I215" s="94"/>
      <c r="J215" s="95"/>
      <c r="K215" s="96"/>
    </row>
    <row r="216" spans="2:11" ht="14.4" customHeight="1" thickBot="1" x14ac:dyDescent="0.35">
      <c r="B216" s="83"/>
      <c r="C216" s="15"/>
      <c r="D216" s="14"/>
      <c r="E216" s="84"/>
      <c r="F216" s="85"/>
      <c r="G216" s="86"/>
      <c r="H216" s="85"/>
      <c r="I216" s="87"/>
      <c r="J216" s="88"/>
      <c r="K216" s="89"/>
    </row>
    <row r="217" spans="2:11" ht="14.4" customHeight="1" thickBot="1" x14ac:dyDescent="0.35">
      <c r="B217" s="90"/>
      <c r="C217" s="24"/>
      <c r="D217" s="23"/>
      <c r="E217" s="91"/>
      <c r="F217" s="92"/>
      <c r="G217" s="93"/>
      <c r="H217" s="92"/>
      <c r="I217" s="94"/>
      <c r="J217" s="95"/>
      <c r="K217" s="96"/>
    </row>
    <row r="218" spans="2:11" ht="14.4" customHeight="1" thickBot="1" x14ac:dyDescent="0.35">
      <c r="B218" s="83"/>
      <c r="C218" s="15"/>
      <c r="D218" s="14"/>
      <c r="E218" s="84"/>
      <c r="F218" s="85"/>
      <c r="G218" s="86"/>
      <c r="H218" s="85"/>
      <c r="I218" s="87"/>
      <c r="J218" s="88"/>
      <c r="K218" s="89"/>
    </row>
    <row r="219" spans="2:11" ht="14.4" customHeight="1" thickBot="1" x14ac:dyDescent="0.35">
      <c r="B219" s="90"/>
      <c r="C219" s="24"/>
      <c r="D219" s="23"/>
      <c r="E219" s="91"/>
      <c r="F219" s="92"/>
      <c r="G219" s="93"/>
      <c r="H219" s="92"/>
      <c r="I219" s="94"/>
      <c r="J219" s="95"/>
      <c r="K219" s="96"/>
    </row>
    <row r="220" spans="2:11" ht="14.4" customHeight="1" thickBot="1" x14ac:dyDescent="0.35">
      <c r="B220" s="83"/>
      <c r="C220" s="15"/>
      <c r="D220" s="14"/>
      <c r="E220" s="84"/>
      <c r="F220" s="85"/>
      <c r="G220" s="86"/>
      <c r="H220" s="85"/>
      <c r="I220" s="87"/>
      <c r="J220" s="88"/>
      <c r="K220" s="89"/>
    </row>
    <row r="221" spans="2:11" ht="14.4" customHeight="1" thickBot="1" x14ac:dyDescent="0.35">
      <c r="B221" s="90"/>
      <c r="C221" s="24"/>
      <c r="D221" s="23"/>
      <c r="E221" s="91"/>
      <c r="F221" s="92"/>
      <c r="G221" s="93"/>
      <c r="H221" s="92"/>
      <c r="I221" s="94"/>
      <c r="J221" s="95"/>
      <c r="K221" s="96"/>
    </row>
    <row r="222" spans="2:11" ht="14.4" customHeight="1" thickBot="1" x14ac:dyDescent="0.35">
      <c r="B222" s="83"/>
      <c r="C222" s="15"/>
      <c r="D222" s="14"/>
      <c r="E222" s="84"/>
      <c r="F222" s="85"/>
      <c r="G222" s="86"/>
      <c r="H222" s="85"/>
      <c r="I222" s="87"/>
      <c r="J222" s="88"/>
      <c r="K222" s="89"/>
    </row>
    <row r="223" spans="2:11" ht="14.4" customHeight="1" thickBot="1" x14ac:dyDescent="0.35">
      <c r="B223" s="90"/>
      <c r="C223" s="24"/>
      <c r="D223" s="23"/>
      <c r="E223" s="91"/>
      <c r="F223" s="92"/>
      <c r="G223" s="93"/>
      <c r="H223" s="92"/>
      <c r="I223" s="94"/>
      <c r="J223" s="95"/>
      <c r="K223" s="96"/>
    </row>
    <row r="224" spans="2:11" ht="14.4" customHeight="1" thickBot="1" x14ac:dyDescent="0.35">
      <c r="B224" s="83"/>
      <c r="C224" s="15"/>
      <c r="D224" s="14"/>
      <c r="E224" s="84"/>
      <c r="F224" s="85"/>
      <c r="G224" s="86"/>
      <c r="H224" s="85"/>
      <c r="I224" s="87"/>
      <c r="J224" s="88"/>
      <c r="K224" s="89"/>
    </row>
    <row r="225" spans="2:11" ht="14.4" customHeight="1" thickBot="1" x14ac:dyDescent="0.35">
      <c r="B225" s="90"/>
      <c r="C225" s="24"/>
      <c r="D225" s="23"/>
      <c r="E225" s="91"/>
      <c r="F225" s="92"/>
      <c r="G225" s="93"/>
      <c r="H225" s="92"/>
      <c r="I225" s="94"/>
      <c r="J225" s="95"/>
      <c r="K225" s="96"/>
    </row>
    <row r="226" spans="2:11" ht="14.4" customHeight="1" thickBot="1" x14ac:dyDescent="0.35">
      <c r="B226" s="83"/>
      <c r="C226" s="15"/>
      <c r="D226" s="14"/>
      <c r="E226" s="84"/>
      <c r="F226" s="85"/>
      <c r="G226" s="86"/>
      <c r="H226" s="85"/>
      <c r="I226" s="87"/>
      <c r="J226" s="88"/>
      <c r="K226" s="89"/>
    </row>
  </sheetData>
  <mergeCells count="4">
    <mergeCell ref="A2:E2"/>
    <mergeCell ref="F2:K2"/>
    <mergeCell ref="B8:K8"/>
    <mergeCell ref="A3:K3"/>
  </mergeCells>
  <conditionalFormatting sqref="E10:E226">
    <cfRule type="expression" dxfId="6" priority="4">
      <formula>E10&lt;=F10</formula>
    </cfRule>
  </conditionalFormatting>
  <conditionalFormatting sqref="J10:J226">
    <cfRule type="expression" dxfId="5" priority="2">
      <formula>J10="🚫 OUT OF STOCK"</formula>
    </cfRule>
    <cfRule type="expression" dxfId="4" priority="3">
      <formula>J10="⚠️ LOW STOCK"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L99"/>
  <sheetViews>
    <sheetView showGridLines="0" tabSelected="1" topLeftCell="A72" zoomScaleNormal="100" workbookViewId="0">
      <selection activeCell="A84" sqref="A84:D86"/>
    </sheetView>
  </sheetViews>
  <sheetFormatPr defaultColWidth="8.6640625" defaultRowHeight="14.4" customHeight="1" x14ac:dyDescent="0.3"/>
  <cols>
    <col min="1" max="1" width="18.33203125" customWidth="1"/>
    <col min="2" max="2" width="32.5546875" customWidth="1"/>
    <col min="3" max="3" width="19.44140625" bestFit="1" customWidth="1"/>
    <col min="4" max="4" width="15.21875" customWidth="1"/>
    <col min="5" max="6" width="13.88671875" customWidth="1"/>
    <col min="7" max="7" width="12.33203125" customWidth="1"/>
    <col min="8" max="8" width="12.88671875" customWidth="1"/>
    <col min="9" max="9" width="7.33203125" bestFit="1" customWidth="1"/>
    <col min="10" max="10" width="7.21875" bestFit="1" customWidth="1"/>
    <col min="11" max="11" width="11" bestFit="1" customWidth="1"/>
    <col min="12" max="12" width="10.77734375" bestFit="1" customWidth="1"/>
  </cols>
  <sheetData>
    <row r="1" spans="1:12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7.5" customHeight="1" x14ac:dyDescent="0.3">
      <c r="A2" s="409" t="s">
        <v>1332</v>
      </c>
      <c r="B2" s="331"/>
      <c r="C2" s="331"/>
      <c r="D2" s="407" t="s">
        <v>1333</v>
      </c>
      <c r="E2" s="331"/>
      <c r="F2" s="331"/>
    </row>
    <row r="3" spans="1:12" ht="3.75" customHeight="1" x14ac:dyDescent="0.3"/>
    <row r="4" spans="1:12" ht="7.5" customHeight="1" x14ac:dyDescent="0.3"/>
    <row r="5" spans="1:12" ht="7.5" customHeight="1" thickBot="1" x14ac:dyDescent="0.35"/>
    <row r="6" spans="1:12" ht="21.75" customHeight="1" thickBot="1" x14ac:dyDescent="0.35">
      <c r="A6" s="360" t="s">
        <v>1334</v>
      </c>
      <c r="B6" s="329"/>
      <c r="C6" s="133"/>
      <c r="D6" s="192">
        <f ca="1">TODAY()-WEEKDAY(TODAY(),2)+1</f>
        <v>46237</v>
      </c>
      <c r="E6" s="136"/>
      <c r="F6" s="136"/>
      <c r="G6" s="136"/>
      <c r="H6" s="136"/>
      <c r="I6" s="136"/>
      <c r="J6" s="136"/>
      <c r="K6" s="136"/>
      <c r="L6" s="136"/>
    </row>
    <row r="7" spans="1:12" ht="27.75" customHeight="1" thickBot="1" x14ac:dyDescent="0.35">
      <c r="A7" s="6" t="s">
        <v>1335</v>
      </c>
      <c r="B7" s="6" t="s">
        <v>1336</v>
      </c>
      <c r="C7" s="6" t="s">
        <v>1337</v>
      </c>
      <c r="D7" s="6" t="s">
        <v>27</v>
      </c>
      <c r="E7" s="6" t="s">
        <v>29</v>
      </c>
      <c r="F7" s="6" t="s">
        <v>30</v>
      </c>
      <c r="G7" s="6" t="s">
        <v>31</v>
      </c>
      <c r="H7" s="6" t="s">
        <v>32</v>
      </c>
      <c r="I7" s="6" t="s">
        <v>33</v>
      </c>
      <c r="J7" s="6" t="s">
        <v>35</v>
      </c>
      <c r="K7" s="6" t="s">
        <v>1338</v>
      </c>
      <c r="L7" s="6" t="s">
        <v>1339</v>
      </c>
    </row>
    <row r="8" spans="1:12" ht="19.5" customHeight="1" thickBot="1" x14ac:dyDescent="0.35">
      <c r="A8" s="97" t="s">
        <v>1340</v>
      </c>
      <c r="B8" s="98" t="s">
        <v>1341</v>
      </c>
      <c r="C8" s="99">
        <v>625</v>
      </c>
      <c r="D8" s="100" t="s">
        <v>1342</v>
      </c>
      <c r="E8" s="100" t="s">
        <v>1342</v>
      </c>
      <c r="F8" s="100" t="s">
        <v>1342</v>
      </c>
      <c r="G8" s="100" t="s">
        <v>1342</v>
      </c>
      <c r="H8" s="100" t="s">
        <v>1342</v>
      </c>
      <c r="I8" s="100" t="s">
        <v>1342</v>
      </c>
      <c r="J8" s="100" t="s">
        <v>1343</v>
      </c>
      <c r="K8" s="101">
        <f>COUNTIF(D8:J8,"Full Day")</f>
        <v>6</v>
      </c>
      <c r="L8" s="102">
        <f>K8*C8</f>
        <v>3750</v>
      </c>
    </row>
    <row r="9" spans="1:12" ht="19.5" customHeight="1" thickBot="1" x14ac:dyDescent="0.35">
      <c r="A9" s="97" t="s">
        <v>1344</v>
      </c>
      <c r="B9" s="103" t="s">
        <v>1345</v>
      </c>
      <c r="C9" s="104">
        <v>250</v>
      </c>
      <c r="D9" s="105" t="s">
        <v>1342</v>
      </c>
      <c r="E9" s="105" t="s">
        <v>1342</v>
      </c>
      <c r="F9" s="105" t="s">
        <v>1342</v>
      </c>
      <c r="G9" s="105" t="s">
        <v>1342</v>
      </c>
      <c r="H9" s="105" t="s">
        <v>1342</v>
      </c>
      <c r="I9" s="105" t="s">
        <v>1342</v>
      </c>
      <c r="J9" s="105" t="s">
        <v>1343</v>
      </c>
      <c r="K9" s="106">
        <f>COUNTIF(D9:J9,"Full Day")</f>
        <v>6</v>
      </c>
      <c r="L9" s="107">
        <f>K9*C9</f>
        <v>1500</v>
      </c>
    </row>
    <row r="10" spans="1:12" ht="19.5" customHeight="1" thickBot="1" x14ac:dyDescent="0.35">
      <c r="A10" s="97" t="s">
        <v>1346</v>
      </c>
      <c r="B10" s="98" t="s">
        <v>1347</v>
      </c>
      <c r="C10" s="104">
        <v>0</v>
      </c>
      <c r="D10" s="100" t="s">
        <v>113</v>
      </c>
      <c r="E10" s="100" t="s">
        <v>113</v>
      </c>
      <c r="F10" s="100" t="s">
        <v>113</v>
      </c>
      <c r="G10" s="100" t="s">
        <v>113</v>
      </c>
      <c r="H10" s="100" t="s">
        <v>113</v>
      </c>
      <c r="I10" s="100" t="s">
        <v>113</v>
      </c>
      <c r="J10" s="100" t="s">
        <v>113</v>
      </c>
      <c r="K10" s="101">
        <v>0</v>
      </c>
      <c r="L10" s="102">
        <v>0</v>
      </c>
    </row>
    <row r="11" spans="1:12" ht="19.5" customHeight="1" thickBot="1" x14ac:dyDescent="0.35">
      <c r="A11" s="97" t="s">
        <v>1348</v>
      </c>
      <c r="B11" s="103" t="s">
        <v>1349</v>
      </c>
      <c r="C11" s="104">
        <v>0</v>
      </c>
      <c r="D11" s="105" t="s">
        <v>113</v>
      </c>
      <c r="E11" s="105" t="s">
        <v>113</v>
      </c>
      <c r="F11" s="105" t="s">
        <v>113</v>
      </c>
      <c r="G11" s="105" t="s">
        <v>113</v>
      </c>
      <c r="H11" s="105" t="s">
        <v>113</v>
      </c>
      <c r="I11" s="105" t="s">
        <v>113</v>
      </c>
      <c r="J11" s="105" t="s">
        <v>113</v>
      </c>
      <c r="K11" s="106">
        <v>0</v>
      </c>
      <c r="L11" s="107">
        <v>0</v>
      </c>
    </row>
    <row r="12" spans="1:12" ht="19.5" customHeight="1" thickBot="1" x14ac:dyDescent="0.35">
      <c r="A12" s="97" t="s">
        <v>1350</v>
      </c>
      <c r="B12" s="98" t="s">
        <v>1351</v>
      </c>
      <c r="C12" s="99">
        <v>0</v>
      </c>
      <c r="D12" s="100" t="s">
        <v>113</v>
      </c>
      <c r="E12" s="100" t="s">
        <v>113</v>
      </c>
      <c r="F12" s="100" t="s">
        <v>113</v>
      </c>
      <c r="G12" s="100" t="s">
        <v>113</v>
      </c>
      <c r="H12" s="100" t="s">
        <v>113</v>
      </c>
      <c r="I12" s="100" t="s">
        <v>113</v>
      </c>
      <c r="J12" s="100" t="s">
        <v>113</v>
      </c>
      <c r="K12" s="101">
        <v>0</v>
      </c>
      <c r="L12" s="102">
        <v>0</v>
      </c>
    </row>
    <row r="13" spans="1:12" ht="19.5" customHeight="1" thickBot="1" x14ac:dyDescent="0.35">
      <c r="A13" s="97" t="s">
        <v>1352</v>
      </c>
      <c r="B13" s="98" t="s">
        <v>1353</v>
      </c>
      <c r="C13" s="99">
        <v>160</v>
      </c>
      <c r="D13" s="100" t="s">
        <v>1342</v>
      </c>
      <c r="E13" s="100" t="s">
        <v>1342</v>
      </c>
      <c r="F13" s="100" t="s">
        <v>1342</v>
      </c>
      <c r="G13" s="100" t="s">
        <v>1342</v>
      </c>
      <c r="H13" s="100" t="s">
        <v>1342</v>
      </c>
      <c r="I13" s="100" t="s">
        <v>1343</v>
      </c>
      <c r="J13" s="100" t="s">
        <v>1343</v>
      </c>
      <c r="K13" s="101">
        <f>COUNTIF(D13:J13,"Full Day")</f>
        <v>5</v>
      </c>
      <c r="L13" s="102">
        <f>K13*C13</f>
        <v>800</v>
      </c>
    </row>
    <row r="14" spans="1:12" ht="19.5" customHeight="1" thickBot="1" x14ac:dyDescent="0.35">
      <c r="A14" s="97"/>
      <c r="B14" s="98"/>
      <c r="C14" s="99"/>
      <c r="D14" s="100"/>
      <c r="E14" s="100"/>
      <c r="F14" s="100"/>
      <c r="G14" s="100"/>
      <c r="H14" s="100"/>
      <c r="I14" s="100"/>
      <c r="J14" s="100"/>
      <c r="K14" s="101"/>
      <c r="L14" s="102"/>
    </row>
    <row r="15" spans="1:12" ht="19.5" customHeight="1" thickBot="1" x14ac:dyDescent="0.35">
      <c r="A15" s="97"/>
      <c r="B15" s="98"/>
      <c r="C15" s="99"/>
      <c r="D15" s="100"/>
      <c r="E15" s="100"/>
      <c r="F15" s="100"/>
      <c r="G15" s="100"/>
      <c r="H15" s="100"/>
      <c r="I15" s="100"/>
      <c r="J15" s="100"/>
      <c r="K15" s="101"/>
      <c r="L15" s="102"/>
    </row>
    <row r="16" spans="1:12" ht="21.75" customHeight="1" thickBot="1" x14ac:dyDescent="0.35">
      <c r="A16" s="97"/>
      <c r="B16" s="98"/>
      <c r="C16" s="99"/>
      <c r="D16" s="100"/>
      <c r="E16" s="100"/>
      <c r="F16" s="100"/>
      <c r="G16" s="100"/>
      <c r="H16" s="100"/>
      <c r="I16" s="100"/>
      <c r="J16" s="100"/>
      <c r="K16" s="101"/>
      <c r="L16" s="102"/>
    </row>
    <row r="17" spans="1:12" ht="17.399999999999999" customHeight="1" thickBot="1" x14ac:dyDescent="0.35">
      <c r="A17" s="97"/>
      <c r="B17" s="98"/>
      <c r="C17" s="99"/>
      <c r="D17" s="100"/>
      <c r="E17" s="100"/>
      <c r="F17" s="100"/>
      <c r="G17" s="100"/>
      <c r="H17" s="100"/>
      <c r="I17" s="100"/>
      <c r="J17" s="100"/>
      <c r="K17" s="101"/>
      <c r="L17" s="102"/>
    </row>
    <row r="18" spans="1:12" ht="7.5" customHeight="1" x14ac:dyDescent="0.3"/>
    <row r="19" spans="1:12" ht="19.5" customHeight="1" thickBot="1" x14ac:dyDescent="0.35"/>
    <row r="20" spans="1:12" ht="27.75" customHeight="1" thickBot="1" x14ac:dyDescent="0.35">
      <c r="A20" s="360" t="s">
        <v>1354</v>
      </c>
      <c r="B20" s="329"/>
      <c r="C20" s="133"/>
      <c r="D20" s="133"/>
      <c r="E20" s="133"/>
      <c r="F20" s="133"/>
      <c r="G20" s="133"/>
      <c r="H20" s="133"/>
      <c r="I20" s="133"/>
      <c r="J20" s="133"/>
      <c r="K20" s="133"/>
      <c r="L20" s="133"/>
    </row>
    <row r="21" spans="1:12" ht="18" customHeight="1" x14ac:dyDescent="0.3">
      <c r="A21" s="6" t="s">
        <v>1335</v>
      </c>
      <c r="B21" s="6" t="s">
        <v>1336</v>
      </c>
      <c r="C21" s="6" t="s">
        <v>1339</v>
      </c>
      <c r="D21" s="6" t="s">
        <v>1355</v>
      </c>
      <c r="E21" s="6" t="s">
        <v>1356</v>
      </c>
      <c r="F21" s="6" t="s">
        <v>1357</v>
      </c>
      <c r="G21" s="6" t="s">
        <v>1358</v>
      </c>
      <c r="H21" s="6" t="s">
        <v>12</v>
      </c>
    </row>
    <row r="22" spans="1:12" ht="18" customHeight="1" x14ac:dyDescent="0.3">
      <c r="A22" s="109" t="str">
        <f t="shared" ref="A22:A29" si="0">A8</f>
        <v>John</v>
      </c>
      <c r="B22" s="15" t="s">
        <v>1341</v>
      </c>
      <c r="C22" s="110">
        <f t="shared" ref="C22:C28" si="1">L8</f>
        <v>3750</v>
      </c>
      <c r="D22" s="111">
        <v>4</v>
      </c>
      <c r="E22" s="112">
        <f t="shared" ref="E22:E29" si="2">C22*D22</f>
        <v>15000</v>
      </c>
      <c r="F22" s="113">
        <v>0.08</v>
      </c>
      <c r="G22" s="114">
        <f t="shared" ref="G22:G29" si="3">E22*(1+F22)</f>
        <v>16200.000000000002</v>
      </c>
      <c r="H22" s="89"/>
    </row>
    <row r="23" spans="1:12" ht="18" customHeight="1" x14ac:dyDescent="0.3">
      <c r="A23" s="115" t="str">
        <f t="shared" si="0"/>
        <v>Debi</v>
      </c>
      <c r="B23" s="24" t="s">
        <v>1359</v>
      </c>
      <c r="C23" s="116">
        <f t="shared" si="1"/>
        <v>1500</v>
      </c>
      <c r="D23" s="117">
        <v>4</v>
      </c>
      <c r="E23" s="118">
        <f t="shared" si="2"/>
        <v>6000</v>
      </c>
      <c r="F23" s="119">
        <v>0.08</v>
      </c>
      <c r="G23" s="120">
        <f t="shared" si="3"/>
        <v>6480</v>
      </c>
      <c r="H23" s="96"/>
    </row>
    <row r="24" spans="1:12" ht="18" customHeight="1" x14ac:dyDescent="0.3">
      <c r="A24" s="109" t="str">
        <f t="shared" si="0"/>
        <v>Victor (INACTIVE)</v>
      </c>
      <c r="B24" s="15" t="s">
        <v>1360</v>
      </c>
      <c r="C24" s="110">
        <f t="shared" si="1"/>
        <v>0</v>
      </c>
      <c r="D24" s="111">
        <v>4</v>
      </c>
      <c r="E24" s="112">
        <f t="shared" si="2"/>
        <v>0</v>
      </c>
      <c r="F24" s="113">
        <v>0.08</v>
      </c>
      <c r="G24" s="114">
        <f t="shared" si="3"/>
        <v>0</v>
      </c>
      <c r="H24" s="89"/>
    </row>
    <row r="25" spans="1:12" ht="18" customHeight="1" x14ac:dyDescent="0.3">
      <c r="A25" s="115" t="str">
        <f t="shared" si="0"/>
        <v>Judith (RESIGNED)</v>
      </c>
      <c r="B25" s="24" t="s">
        <v>1361</v>
      </c>
      <c r="C25" s="116">
        <f t="shared" si="1"/>
        <v>0</v>
      </c>
      <c r="D25" s="117">
        <v>4</v>
      </c>
      <c r="E25" s="118">
        <f t="shared" si="2"/>
        <v>0</v>
      </c>
      <c r="F25" s="119">
        <v>0.08</v>
      </c>
      <c r="G25" s="120">
        <f t="shared" si="3"/>
        <v>0</v>
      </c>
      <c r="H25" s="96"/>
    </row>
    <row r="26" spans="1:12" ht="18" customHeight="1" x14ac:dyDescent="0.3">
      <c r="A26" s="109" t="str">
        <f t="shared" si="0"/>
        <v>Cesar (RESIGNED)</v>
      </c>
      <c r="B26" s="15" t="s">
        <v>1362</v>
      </c>
      <c r="C26" s="110">
        <f t="shared" si="1"/>
        <v>0</v>
      </c>
      <c r="D26" s="111">
        <v>4</v>
      </c>
      <c r="E26" s="112">
        <f t="shared" si="2"/>
        <v>0</v>
      </c>
      <c r="F26" s="113">
        <v>0.08</v>
      </c>
      <c r="G26" s="114">
        <f t="shared" si="3"/>
        <v>0</v>
      </c>
      <c r="H26" s="89"/>
    </row>
    <row r="27" spans="1:12" ht="18" customHeight="1" x14ac:dyDescent="0.3">
      <c r="A27" s="115" t="str">
        <f t="shared" si="0"/>
        <v>Samu</v>
      </c>
      <c r="B27" s="24" t="s">
        <v>1353</v>
      </c>
      <c r="C27" s="116">
        <f t="shared" si="1"/>
        <v>800</v>
      </c>
      <c r="D27" s="117">
        <v>4</v>
      </c>
      <c r="E27" s="118">
        <f t="shared" si="2"/>
        <v>3200</v>
      </c>
      <c r="F27" s="119">
        <v>0.08</v>
      </c>
      <c r="G27" s="120">
        <f t="shared" si="3"/>
        <v>3456</v>
      </c>
      <c r="H27" s="96"/>
    </row>
    <row r="28" spans="1:12" ht="18" customHeight="1" x14ac:dyDescent="0.3">
      <c r="A28" s="109">
        <f t="shared" si="0"/>
        <v>0</v>
      </c>
      <c r="B28" s="15" t="s">
        <v>1363</v>
      </c>
      <c r="C28" s="110">
        <f t="shared" si="1"/>
        <v>0</v>
      </c>
      <c r="D28" s="111">
        <v>4</v>
      </c>
      <c r="E28" s="112">
        <f t="shared" si="2"/>
        <v>0</v>
      </c>
      <c r="F28" s="113">
        <v>0.08</v>
      </c>
      <c r="G28" s="114">
        <f t="shared" si="3"/>
        <v>0</v>
      </c>
      <c r="H28" s="89"/>
    </row>
    <row r="29" spans="1:12" ht="21.75" customHeight="1" x14ac:dyDescent="0.3">
      <c r="A29" s="115">
        <f t="shared" si="0"/>
        <v>0</v>
      </c>
      <c r="B29" s="136"/>
      <c r="C29" s="136"/>
      <c r="D29" s="136"/>
      <c r="E29" s="194">
        <f t="shared" si="2"/>
        <v>0</v>
      </c>
      <c r="F29" s="135"/>
      <c r="G29" s="120">
        <f t="shared" si="3"/>
        <v>0</v>
      </c>
      <c r="H29" s="96"/>
    </row>
    <row r="30" spans="1:12" ht="17.399999999999999" customHeight="1" x14ac:dyDescent="0.3">
      <c r="A30" s="408" t="s">
        <v>1364</v>
      </c>
      <c r="B30" s="346"/>
      <c r="C30" s="136"/>
      <c r="D30" s="136"/>
      <c r="E30" s="136"/>
      <c r="F30" s="135"/>
      <c r="G30" s="108">
        <f>SUM(G21:G28)</f>
        <v>26136</v>
      </c>
    </row>
    <row r="33" spans="1:8" ht="15.6" customHeight="1" x14ac:dyDescent="0.3">
      <c r="A33" s="195" t="s">
        <v>1365</v>
      </c>
      <c r="B33" s="195"/>
      <c r="C33" s="195"/>
      <c r="D33" s="195"/>
      <c r="E33" s="195"/>
      <c r="F33" s="195"/>
      <c r="G33" s="195"/>
      <c r="H33" s="195"/>
    </row>
    <row r="34" spans="1:8" x14ac:dyDescent="0.3">
      <c r="A34" s="196" t="s">
        <v>1366</v>
      </c>
      <c r="B34" s="196" t="s">
        <v>1367</v>
      </c>
      <c r="C34" s="196" t="s">
        <v>1368</v>
      </c>
      <c r="D34" s="196" t="s">
        <v>1369</v>
      </c>
      <c r="E34" s="196"/>
      <c r="F34" s="196"/>
      <c r="G34" s="196"/>
      <c r="H34" s="196"/>
    </row>
    <row r="35" spans="1:8" x14ac:dyDescent="0.3">
      <c r="A35" s="193" t="s">
        <v>1370</v>
      </c>
      <c r="B35" s="197">
        <v>3750</v>
      </c>
      <c r="C35" s="198">
        <v>15000</v>
      </c>
      <c r="D35" s="193" t="s">
        <v>1371</v>
      </c>
    </row>
    <row r="36" spans="1:8" x14ac:dyDescent="0.3">
      <c r="A36" s="199" t="s">
        <v>1372</v>
      </c>
      <c r="B36" s="200">
        <v>1500</v>
      </c>
      <c r="C36" s="201">
        <v>6000</v>
      </c>
      <c r="D36" s="199" t="s">
        <v>1371</v>
      </c>
    </row>
    <row r="37" spans="1:8" x14ac:dyDescent="0.3">
      <c r="A37" t="s">
        <v>1373</v>
      </c>
      <c r="B37" s="199">
        <v>0</v>
      </c>
      <c r="C37" s="220">
        <v>0</v>
      </c>
      <c r="D37" s="221" t="s">
        <v>1374</v>
      </c>
      <c r="E37" s="222"/>
    </row>
    <row r="38" spans="1:8" x14ac:dyDescent="0.3">
      <c r="A38" t="s">
        <v>1375</v>
      </c>
      <c r="B38" s="193">
        <v>800</v>
      </c>
      <c r="C38" s="223">
        <v>3200</v>
      </c>
      <c r="D38" s="224" t="s">
        <v>1376</v>
      </c>
      <c r="E38" s="225"/>
    </row>
    <row r="39" spans="1:8" x14ac:dyDescent="0.3">
      <c r="A39" s="193" t="s">
        <v>1377</v>
      </c>
      <c r="B39" s="197">
        <v>5000</v>
      </c>
      <c r="C39" s="198">
        <v>20000</v>
      </c>
      <c r="D39" s="193" t="s">
        <v>1378</v>
      </c>
    </row>
    <row r="40" spans="1:8" x14ac:dyDescent="0.3">
      <c r="A40" s="199" t="s">
        <v>1379</v>
      </c>
      <c r="B40" s="200">
        <v>1000</v>
      </c>
      <c r="C40" s="201">
        <v>4000</v>
      </c>
      <c r="D40" s="199" t="s">
        <v>1380</v>
      </c>
    </row>
    <row r="41" spans="1:8" x14ac:dyDescent="0.3">
      <c r="A41" s="196" t="s">
        <v>1381</v>
      </c>
      <c r="B41" s="202">
        <f>SUM(B35:B40)</f>
        <v>12050</v>
      </c>
      <c r="C41" s="202">
        <f>SUM(C35:C40)</f>
        <v>48200</v>
      </c>
      <c r="D41" s="196" t="s">
        <v>1382</v>
      </c>
    </row>
    <row r="43" spans="1:8" x14ac:dyDescent="0.3">
      <c r="A43" s="203" t="s">
        <v>1383</v>
      </c>
      <c r="B43" s="203"/>
      <c r="C43" s="203"/>
      <c r="D43" s="203"/>
      <c r="E43" s="203"/>
      <c r="F43" s="203"/>
      <c r="G43" s="203"/>
      <c r="H43" s="203"/>
    </row>
    <row r="44" spans="1:8" x14ac:dyDescent="0.3">
      <c r="A44" s="193" t="s">
        <v>1384</v>
      </c>
      <c r="B44" s="197">
        <v>2000</v>
      </c>
      <c r="C44" s="198">
        <v>8000</v>
      </c>
      <c r="D44" s="193" t="s">
        <v>1385</v>
      </c>
    </row>
    <row r="45" spans="1:8" ht="15.6" customHeight="1" x14ac:dyDescent="0.3">
      <c r="A45" s="203" t="s">
        <v>1386</v>
      </c>
      <c r="B45" s="204">
        <v>12050</v>
      </c>
      <c r="C45" s="204">
        <v>23750</v>
      </c>
      <c r="D45" s="204">
        <v>24550</v>
      </c>
      <c r="E45" s="204">
        <v>3758</v>
      </c>
      <c r="F45" s="204" t="s">
        <v>1387</v>
      </c>
      <c r="G45" s="204" t="s">
        <v>1388</v>
      </c>
      <c r="H45" s="204"/>
    </row>
    <row r="47" spans="1:8" ht="15.6" customHeight="1" x14ac:dyDescent="0.3">
      <c r="A47" s="195" t="s">
        <v>1389</v>
      </c>
      <c r="B47" s="195"/>
      <c r="C47" s="195"/>
      <c r="D47" s="195"/>
      <c r="E47" s="195"/>
      <c r="F47" s="195"/>
      <c r="G47" s="195"/>
      <c r="H47" s="195"/>
    </row>
    <row r="48" spans="1:8" x14ac:dyDescent="0.3">
      <c r="A48" s="196" t="s">
        <v>1390</v>
      </c>
      <c r="B48" s="196" t="s">
        <v>1391</v>
      </c>
      <c r="C48" s="196" t="s">
        <v>1392</v>
      </c>
      <c r="D48" s="196" t="s">
        <v>1393</v>
      </c>
      <c r="E48" s="196" t="s">
        <v>1394</v>
      </c>
      <c r="F48" s="196" t="s">
        <v>1395</v>
      </c>
      <c r="G48" s="196" t="s">
        <v>346</v>
      </c>
      <c r="H48" s="196"/>
    </row>
    <row r="49" spans="1:8" x14ac:dyDescent="0.3">
      <c r="A49" s="204" t="s">
        <v>1396</v>
      </c>
      <c r="B49" s="205">
        <v>11250</v>
      </c>
      <c r="C49" s="206">
        <v>10500</v>
      </c>
      <c r="D49" s="207">
        <v>21750</v>
      </c>
      <c r="E49" s="208">
        <v>3625</v>
      </c>
      <c r="F49" s="204">
        <v>4011</v>
      </c>
      <c r="G49" s="204" t="s">
        <v>1397</v>
      </c>
      <c r="H49" t="s">
        <v>1398</v>
      </c>
    </row>
    <row r="50" spans="1:8" x14ac:dyDescent="0.3">
      <c r="A50" s="209" t="s">
        <v>1399</v>
      </c>
      <c r="B50" s="210">
        <v>13500</v>
      </c>
      <c r="C50" s="211">
        <v>10500</v>
      </c>
      <c r="D50" s="212">
        <v>24000</v>
      </c>
      <c r="E50" s="213">
        <v>4000</v>
      </c>
      <c r="F50" s="209">
        <v>4011</v>
      </c>
      <c r="G50" s="209" t="s">
        <v>1400</v>
      </c>
      <c r="H50" t="s">
        <v>1401</v>
      </c>
    </row>
    <row r="51" spans="1:8" x14ac:dyDescent="0.3">
      <c r="A51" s="214" t="s">
        <v>1402</v>
      </c>
      <c r="B51" s="215">
        <v>11250</v>
      </c>
      <c r="C51" s="216">
        <v>10500</v>
      </c>
      <c r="D51" s="217">
        <v>25012</v>
      </c>
      <c r="E51" s="218">
        <v>4169</v>
      </c>
      <c r="F51" s="214">
        <v>4011</v>
      </c>
      <c r="G51" s="214" t="s">
        <v>1403</v>
      </c>
    </row>
    <row r="53" spans="1:8" x14ac:dyDescent="0.3">
      <c r="A53" s="219" t="s">
        <v>1404</v>
      </c>
      <c r="B53" s="219"/>
      <c r="C53" s="219"/>
      <c r="D53" s="219"/>
      <c r="E53" s="219"/>
      <c r="F53" s="219"/>
      <c r="G53" s="219"/>
      <c r="H53" s="219"/>
    </row>
    <row r="54" spans="1:8" x14ac:dyDescent="0.3">
      <c r="A54" s="219" t="s">
        <v>1405</v>
      </c>
      <c r="B54" s="219"/>
      <c r="C54" s="219"/>
      <c r="D54" s="219"/>
      <c r="E54" s="219"/>
      <c r="F54" s="219"/>
      <c r="G54" s="219"/>
      <c r="H54" s="219"/>
    </row>
    <row r="55" spans="1:8" x14ac:dyDescent="0.3">
      <c r="A55" s="219" t="s">
        <v>1406</v>
      </c>
      <c r="B55" s="219"/>
      <c r="C55" s="219"/>
      <c r="D55" s="219"/>
      <c r="E55" s="219"/>
      <c r="F55" s="219"/>
      <c r="G55" s="219"/>
      <c r="H55" s="219"/>
    </row>
    <row r="56" spans="1:8" x14ac:dyDescent="0.3">
      <c r="A56" s="219" t="s">
        <v>1407</v>
      </c>
      <c r="B56" s="219"/>
      <c r="C56" s="219"/>
      <c r="D56" s="219"/>
      <c r="E56" s="219"/>
      <c r="F56" s="219"/>
      <c r="G56" s="219"/>
      <c r="H56" s="219"/>
    </row>
    <row r="57" spans="1:8" x14ac:dyDescent="0.3">
      <c r="A57" s="219" t="s">
        <v>1408</v>
      </c>
      <c r="B57" s="219"/>
      <c r="C57" s="219"/>
      <c r="D57" s="219"/>
      <c r="E57" s="219"/>
      <c r="F57" s="219"/>
      <c r="G57" s="219"/>
      <c r="H57" s="219"/>
    </row>
    <row r="59" spans="1:8" ht="15.6" customHeight="1" x14ac:dyDescent="0.3"/>
    <row r="61" spans="1:8" ht="15.6" customHeight="1" x14ac:dyDescent="0.3">
      <c r="A61" s="265" t="s">
        <v>1409</v>
      </c>
      <c r="B61" s="265"/>
      <c r="C61" s="265"/>
      <c r="D61" s="265"/>
    </row>
    <row r="62" spans="1:8" x14ac:dyDescent="0.3">
      <c r="A62" s="265" t="s">
        <v>3</v>
      </c>
      <c r="B62" s="265" t="s">
        <v>131</v>
      </c>
      <c r="C62" s="265"/>
      <c r="D62" s="265" t="s">
        <v>1410</v>
      </c>
    </row>
    <row r="63" spans="1:8" x14ac:dyDescent="0.3">
      <c r="A63" s="263">
        <v>46165</v>
      </c>
      <c r="B63" s="262" t="s">
        <v>1411</v>
      </c>
      <c r="C63" s="262"/>
      <c r="D63" s="264">
        <v>515</v>
      </c>
    </row>
    <row r="64" spans="1:8" x14ac:dyDescent="0.3">
      <c r="A64" s="263">
        <v>46165</v>
      </c>
      <c r="B64" s="262" t="s">
        <v>1412</v>
      </c>
      <c r="C64" s="262"/>
      <c r="D64" s="264">
        <v>515</v>
      </c>
    </row>
    <row r="65" spans="1:8" x14ac:dyDescent="0.3">
      <c r="A65" s="263">
        <v>46165</v>
      </c>
      <c r="B65" s="262" t="s">
        <v>1413</v>
      </c>
      <c r="C65" s="262"/>
      <c r="D65" s="264">
        <v>168</v>
      </c>
    </row>
    <row r="66" spans="1:8" x14ac:dyDescent="0.3">
      <c r="A66" s="263">
        <v>46174</v>
      </c>
      <c r="B66" s="262" t="s">
        <v>1414</v>
      </c>
      <c r="C66" s="262"/>
      <c r="D66" s="264">
        <v>350</v>
      </c>
    </row>
    <row r="67" spans="1:8" x14ac:dyDescent="0.3">
      <c r="A67" s="263">
        <v>46174</v>
      </c>
      <c r="B67" s="262" t="s">
        <v>1415</v>
      </c>
      <c r="C67" s="262"/>
      <c r="D67" s="264">
        <v>350</v>
      </c>
    </row>
    <row r="68" spans="1:8" x14ac:dyDescent="0.3">
      <c r="A68" s="263">
        <v>46186</v>
      </c>
      <c r="B68" s="262" t="s">
        <v>1416</v>
      </c>
      <c r="C68" s="262"/>
      <c r="D68" s="264">
        <v>200</v>
      </c>
    </row>
    <row r="69" spans="1:8" x14ac:dyDescent="0.3">
      <c r="A69" s="263">
        <v>46186</v>
      </c>
      <c r="B69" s="262" t="s">
        <v>1417</v>
      </c>
      <c r="C69" s="262"/>
      <c r="D69" s="264">
        <v>200</v>
      </c>
    </row>
    <row r="70" spans="1:8" x14ac:dyDescent="0.3">
      <c r="A70" s="263">
        <v>46186</v>
      </c>
      <c r="B70" s="262" t="s">
        <v>1418</v>
      </c>
      <c r="C70" s="262"/>
      <c r="D70" s="264">
        <v>126</v>
      </c>
    </row>
    <row r="71" spans="1:8" x14ac:dyDescent="0.3">
      <c r="A71" s="263">
        <v>46186</v>
      </c>
      <c r="B71" s="262" t="s">
        <v>1419</v>
      </c>
      <c r="C71" s="262"/>
      <c r="D71" s="264">
        <v>126</v>
      </c>
    </row>
    <row r="72" spans="1:8" x14ac:dyDescent="0.3">
      <c r="A72" s="263">
        <v>46193</v>
      </c>
      <c r="B72" s="262" t="s">
        <v>1420</v>
      </c>
      <c r="C72" s="262"/>
      <c r="D72" s="264">
        <v>120</v>
      </c>
    </row>
    <row r="73" spans="1:8" x14ac:dyDescent="0.3">
      <c r="A73" s="263">
        <v>46193</v>
      </c>
      <c r="B73" s="262" t="s">
        <v>1421</v>
      </c>
      <c r="C73" s="262"/>
      <c r="D73" s="264">
        <v>150</v>
      </c>
    </row>
    <row r="74" spans="1:8" x14ac:dyDescent="0.3">
      <c r="A74" s="263">
        <v>46193</v>
      </c>
      <c r="B74" s="262" t="s">
        <v>1422</v>
      </c>
      <c r="C74" s="262"/>
      <c r="D74" s="264">
        <v>100</v>
      </c>
      <c r="E74" s="266"/>
      <c r="F74" s="266"/>
      <c r="G74" s="266"/>
      <c r="H74" s="266"/>
    </row>
    <row r="75" spans="1:8" x14ac:dyDescent="0.3">
      <c r="A75" s="263">
        <v>46216</v>
      </c>
      <c r="B75" s="262" t="s">
        <v>1423</v>
      </c>
      <c r="C75" s="262"/>
      <c r="D75" s="264">
        <v>100</v>
      </c>
    </row>
    <row r="76" spans="1:8" x14ac:dyDescent="0.3">
      <c r="A76" s="263">
        <v>46216</v>
      </c>
      <c r="B76" s="262" t="s">
        <v>1424</v>
      </c>
      <c r="C76" s="262"/>
      <c r="D76" s="264">
        <v>80</v>
      </c>
    </row>
    <row r="77" spans="1:8" x14ac:dyDescent="0.3">
      <c r="A77" s="263">
        <v>46216</v>
      </c>
      <c r="B77" s="262" t="s">
        <v>1425</v>
      </c>
      <c r="C77" s="262"/>
      <c r="D77" s="264">
        <v>80</v>
      </c>
    </row>
    <row r="78" spans="1:8" x14ac:dyDescent="0.3">
      <c r="A78" s="263">
        <v>46225</v>
      </c>
      <c r="B78" s="262" t="s">
        <v>1426</v>
      </c>
      <c r="C78" s="262"/>
      <c r="D78" s="264">
        <v>160</v>
      </c>
    </row>
    <row r="79" spans="1:8" x14ac:dyDescent="0.3">
      <c r="A79" s="263">
        <v>46225</v>
      </c>
      <c r="B79" s="262" t="s">
        <v>1427</v>
      </c>
      <c r="C79" s="262"/>
      <c r="D79" s="264">
        <v>160</v>
      </c>
    </row>
    <row r="80" spans="1:8" x14ac:dyDescent="0.3">
      <c r="A80" s="263">
        <v>46225</v>
      </c>
      <c r="B80" s="262" t="s">
        <v>1428</v>
      </c>
      <c r="C80" s="262"/>
      <c r="D80" s="264">
        <v>160</v>
      </c>
    </row>
    <row r="81" spans="1:4" x14ac:dyDescent="0.3">
      <c r="A81" s="263">
        <v>46237</v>
      </c>
      <c r="B81" s="262" t="s">
        <v>1429</v>
      </c>
      <c r="C81" s="262"/>
      <c r="D81" s="264">
        <v>100</v>
      </c>
    </row>
    <row r="82" spans="1:4" x14ac:dyDescent="0.3">
      <c r="A82" s="263">
        <v>46237</v>
      </c>
      <c r="B82" s="262" t="s">
        <v>1430</v>
      </c>
      <c r="C82" s="262"/>
      <c r="D82" s="264">
        <v>100</v>
      </c>
    </row>
    <row r="83" spans="1:4" x14ac:dyDescent="0.3">
      <c r="A83" s="263">
        <v>46237</v>
      </c>
      <c r="B83" s="262" t="s">
        <v>1431</v>
      </c>
      <c r="C83" s="262"/>
      <c r="D83" s="264">
        <v>100</v>
      </c>
    </row>
    <row r="84" spans="1:4" x14ac:dyDescent="0.3">
      <c r="A84" s="263"/>
      <c r="B84" s="262"/>
      <c r="C84" s="262"/>
      <c r="D84" s="264"/>
    </row>
    <row r="85" spans="1:4" x14ac:dyDescent="0.3">
      <c r="A85" s="263"/>
      <c r="B85" s="262"/>
      <c r="C85" s="262"/>
      <c r="D85" s="264"/>
    </row>
    <row r="86" spans="1:4" x14ac:dyDescent="0.3">
      <c r="A86" s="263"/>
      <c r="B86" s="262"/>
      <c r="C86" s="262"/>
      <c r="D86" s="264"/>
    </row>
    <row r="87" spans="1:4" x14ac:dyDescent="0.3">
      <c r="A87" s="263"/>
      <c r="B87" s="262"/>
      <c r="C87" s="262"/>
      <c r="D87" s="264"/>
    </row>
    <row r="88" spans="1:4" x14ac:dyDescent="0.3">
      <c r="A88" s="263"/>
      <c r="B88" s="262"/>
      <c r="C88" s="262"/>
      <c r="D88" s="264"/>
    </row>
    <row r="89" spans="1:4" x14ac:dyDescent="0.3">
      <c r="A89" s="263"/>
      <c r="B89" s="262"/>
      <c r="C89" s="262"/>
      <c r="D89" s="264"/>
    </row>
    <row r="90" spans="1:4" x14ac:dyDescent="0.3">
      <c r="A90" s="263"/>
      <c r="B90" s="262"/>
      <c r="C90" s="262"/>
      <c r="D90" s="264"/>
    </row>
    <row r="91" spans="1:4" x14ac:dyDescent="0.3">
      <c r="A91" s="263"/>
      <c r="B91" s="262"/>
      <c r="C91" s="262"/>
      <c r="D91" s="264"/>
    </row>
    <row r="92" spans="1:4" x14ac:dyDescent="0.3">
      <c r="A92" s="263"/>
      <c r="B92" s="262"/>
      <c r="C92" s="262"/>
      <c r="D92" s="264"/>
    </row>
    <row r="93" spans="1:4" x14ac:dyDescent="0.3">
      <c r="A93" s="262"/>
      <c r="B93" s="262" t="s">
        <v>1432</v>
      </c>
      <c r="C93" s="262"/>
      <c r="D93" s="264">
        <f>SUM(D63:D92)</f>
        <v>3960</v>
      </c>
    </row>
    <row r="94" spans="1:4" x14ac:dyDescent="0.3">
      <c r="A94" s="262" t="s">
        <v>1433</v>
      </c>
      <c r="B94" s="262"/>
      <c r="C94" s="262"/>
      <c r="D94" s="262"/>
    </row>
    <row r="96" spans="1:4" x14ac:dyDescent="0.3">
      <c r="A96" t="s">
        <v>1434</v>
      </c>
    </row>
    <row r="97" spans="1:4" x14ac:dyDescent="0.3">
      <c r="A97" t="s">
        <v>1435</v>
      </c>
      <c r="D97" s="228">
        <v>20283</v>
      </c>
    </row>
    <row r="98" spans="1:4" x14ac:dyDescent="0.3">
      <c r="A98" t="s">
        <v>1436</v>
      </c>
      <c r="D98" s="228">
        <v>-165</v>
      </c>
    </row>
    <row r="99" spans="1:4" x14ac:dyDescent="0.3">
      <c r="A99" t="s">
        <v>1437</v>
      </c>
    </row>
  </sheetData>
  <mergeCells count="5">
    <mergeCell ref="D2:F2"/>
    <mergeCell ref="A20:B20"/>
    <mergeCell ref="A30:B30"/>
    <mergeCell ref="A6:B6"/>
    <mergeCell ref="A2:C2"/>
  </mergeCells>
  <dataValidations count="1">
    <dataValidation type="list" showInputMessage="1" showErrorMessage="1" sqref="D8:J50" xr:uid="{00000000-0002-0000-0500-000000000000}">
      <formula1>"Full Day,Morning,Afternoon,Day Off"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K30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2" customWidth="1"/>
    <col min="4" max="4" width="20" customWidth="1"/>
    <col min="5" max="5" width="12" customWidth="1"/>
    <col min="6" max="6" width="10" customWidth="1"/>
    <col min="7" max="7" width="12" customWidth="1"/>
    <col min="8" max="9" width="14" customWidth="1"/>
    <col min="10" max="10" width="18" customWidth="1"/>
    <col min="11" max="11" width="16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30" t="s">
        <v>1438</v>
      </c>
      <c r="B2" s="331"/>
      <c r="C2" s="331"/>
      <c r="D2" s="331"/>
      <c r="E2" s="331"/>
      <c r="F2" s="332" t="s">
        <v>1439</v>
      </c>
      <c r="G2" s="331"/>
      <c r="H2" s="331"/>
      <c r="I2" s="331"/>
      <c r="J2" s="331"/>
      <c r="K2" s="331"/>
    </row>
    <row r="3" spans="1:11" ht="3.75" customHeight="1" x14ac:dyDescent="0.3">
      <c r="A3" s="333"/>
      <c r="B3" s="331"/>
      <c r="C3" s="331"/>
      <c r="D3" s="331"/>
      <c r="E3" s="331"/>
      <c r="F3" s="331"/>
      <c r="G3" s="331"/>
      <c r="H3" s="331"/>
      <c r="I3" s="331"/>
      <c r="J3" s="331"/>
      <c r="K3" s="331"/>
    </row>
    <row r="4" spans="1:11" ht="7.5" customHeight="1" x14ac:dyDescent="0.3"/>
    <row r="5" spans="1:11" ht="18" customHeight="1" x14ac:dyDescent="0.3">
      <c r="B5" s="59" t="s">
        <v>1440</v>
      </c>
      <c r="C5" s="59" t="s">
        <v>1441</v>
      </c>
      <c r="D5" s="59" t="s">
        <v>1442</v>
      </c>
      <c r="E5" s="59" t="s">
        <v>1443</v>
      </c>
      <c r="F5" s="59" t="s">
        <v>1444</v>
      </c>
      <c r="G5" s="59" t="s">
        <v>1445</v>
      </c>
      <c r="H5" s="59" t="s">
        <v>1446</v>
      </c>
    </row>
    <row r="6" spans="1:11" ht="25.5" customHeight="1" x14ac:dyDescent="0.3">
      <c r="B6" s="79">
        <f>COUNTA(C9:C3000)-1</f>
        <v>-1</v>
      </c>
      <c r="C6" s="121">
        <f>COUNTIF(K9:K3000,"Pending")</f>
        <v>0</v>
      </c>
      <c r="D6" s="122">
        <f>COUNTIF(K9:K3000,"In Transit")</f>
        <v>0</v>
      </c>
      <c r="E6" s="123">
        <f>COUNTIF(K9:K3000,"Received")</f>
        <v>0</v>
      </c>
      <c r="F6" s="124">
        <f>SUMIF(K9:K3000,"Received",J9:J3000)</f>
        <v>0</v>
      </c>
      <c r="G6" s="61">
        <f>SUMIF(K9:K3000,"Pending",J9:J3000)</f>
        <v>0</v>
      </c>
      <c r="H6" s="121">
        <f>COUNTIF(K9:K3000,"Pending")+COUNTIF(K9:K3000,"In Transit")</f>
        <v>0</v>
      </c>
    </row>
    <row r="7" spans="1:11" ht="7.5" customHeight="1" x14ac:dyDescent="0.3"/>
    <row r="8" spans="1:11" ht="19.5" customHeight="1" x14ac:dyDescent="0.3">
      <c r="B8" s="406"/>
      <c r="C8" s="346"/>
      <c r="D8" s="346"/>
      <c r="E8" s="346"/>
      <c r="F8" s="346"/>
      <c r="G8" s="346"/>
      <c r="H8" s="346"/>
      <c r="I8" s="346"/>
      <c r="J8" s="346"/>
      <c r="K8" s="346"/>
    </row>
    <row r="9" spans="1:11" ht="27.75" customHeight="1" x14ac:dyDescent="0.3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5.75" customHeight="1" x14ac:dyDescent="0.3">
      <c r="B10" s="64"/>
      <c r="C10" s="66"/>
      <c r="D10" s="65"/>
      <c r="E10" s="65"/>
      <c r="F10" s="125"/>
      <c r="G10" s="14"/>
      <c r="H10" s="126"/>
      <c r="I10" s="127"/>
      <c r="J10" s="128"/>
      <c r="K10" s="88"/>
    </row>
    <row r="11" spans="1:11" ht="15.75" customHeight="1" x14ac:dyDescent="0.3">
      <c r="B11" s="64"/>
      <c r="C11" s="68"/>
      <c r="D11" s="69"/>
      <c r="E11" s="69"/>
      <c r="F11" s="129"/>
      <c r="G11" s="23"/>
      <c r="H11" s="130"/>
      <c r="I11" s="131"/>
      <c r="J11" s="132"/>
      <c r="K11" s="95"/>
    </row>
    <row r="12" spans="1:11" ht="15.75" customHeight="1" x14ac:dyDescent="0.3">
      <c r="B12" s="64"/>
      <c r="C12" s="66"/>
      <c r="D12" s="65"/>
      <c r="E12" s="65"/>
      <c r="F12" s="125"/>
      <c r="G12" s="14"/>
      <c r="H12" s="126"/>
      <c r="I12" s="127"/>
      <c r="J12" s="128"/>
      <c r="K12" s="88"/>
    </row>
    <row r="13" spans="1:11" ht="15.75" customHeight="1" x14ac:dyDescent="0.3">
      <c r="B13" s="64"/>
      <c r="C13" s="68"/>
      <c r="D13" s="69"/>
      <c r="E13" s="69"/>
      <c r="F13" s="129"/>
      <c r="G13" s="23"/>
      <c r="H13" s="130"/>
      <c r="I13" s="131"/>
      <c r="J13" s="132"/>
      <c r="K13" s="95"/>
    </row>
    <row r="14" spans="1:11" ht="15.75" customHeight="1" x14ac:dyDescent="0.3">
      <c r="B14" s="64"/>
      <c r="C14" s="66"/>
      <c r="D14" s="65"/>
      <c r="E14" s="65"/>
      <c r="F14" s="125"/>
      <c r="G14" s="14"/>
      <c r="H14" s="126"/>
      <c r="I14" s="127"/>
      <c r="J14" s="128"/>
      <c r="K14" s="88"/>
    </row>
    <row r="15" spans="1:11" ht="15.75" customHeight="1" x14ac:dyDescent="0.3">
      <c r="B15" s="64"/>
      <c r="C15" s="68"/>
      <c r="D15" s="69"/>
      <c r="E15" s="69"/>
      <c r="F15" s="129"/>
      <c r="G15" s="23"/>
      <c r="H15" s="130"/>
      <c r="I15" s="131"/>
      <c r="J15" s="132"/>
      <c r="K15" s="95"/>
    </row>
    <row r="16" spans="1:11" ht="15.75" customHeight="1" x14ac:dyDescent="0.3">
      <c r="B16" s="64"/>
      <c r="C16" s="66"/>
      <c r="D16" s="65"/>
      <c r="E16" s="65"/>
      <c r="F16" s="125"/>
      <c r="G16" s="14"/>
      <c r="H16" s="126"/>
      <c r="I16" s="127"/>
      <c r="J16" s="128"/>
      <c r="K16" s="88"/>
    </row>
    <row r="17" spans="2:11" ht="15.75" customHeight="1" x14ac:dyDescent="0.3">
      <c r="B17" s="64"/>
      <c r="C17" s="68"/>
      <c r="D17" s="69"/>
      <c r="E17" s="69"/>
      <c r="F17" s="129"/>
      <c r="G17" s="23"/>
      <c r="H17" s="130"/>
      <c r="I17" s="131"/>
      <c r="J17" s="132"/>
      <c r="K17" s="95"/>
    </row>
    <row r="18" spans="2:11" ht="15.75" customHeight="1" x14ac:dyDescent="0.3">
      <c r="B18" s="64"/>
      <c r="C18" s="66"/>
      <c r="D18" s="65"/>
      <c r="E18" s="65"/>
      <c r="F18" s="125"/>
      <c r="G18" s="14"/>
      <c r="H18" s="126"/>
      <c r="I18" s="127"/>
      <c r="J18" s="128"/>
      <c r="K18" s="88"/>
    </row>
    <row r="19" spans="2:11" ht="15.75" customHeight="1" x14ac:dyDescent="0.3">
      <c r="B19" s="64"/>
      <c r="C19" s="68"/>
      <c r="D19" s="69"/>
      <c r="E19" s="69"/>
      <c r="F19" s="129"/>
      <c r="G19" s="23"/>
      <c r="H19" s="130"/>
      <c r="I19" s="131"/>
      <c r="J19" s="132"/>
      <c r="K19" s="95"/>
    </row>
    <row r="20" spans="2:11" ht="15.75" customHeight="1" x14ac:dyDescent="0.3">
      <c r="B20" s="64"/>
      <c r="C20" s="66"/>
      <c r="D20" s="65"/>
      <c r="E20" s="65"/>
      <c r="F20" s="125"/>
      <c r="G20" s="14"/>
      <c r="H20" s="126"/>
      <c r="I20" s="127"/>
      <c r="J20" s="128"/>
      <c r="K20" s="88"/>
    </row>
    <row r="21" spans="2:11" ht="15.75" customHeight="1" x14ac:dyDescent="0.3">
      <c r="B21" s="64"/>
      <c r="C21" s="68"/>
      <c r="D21" s="69"/>
      <c r="E21" s="69"/>
      <c r="F21" s="129"/>
      <c r="G21" s="23"/>
      <c r="H21" s="130"/>
      <c r="I21" s="131"/>
      <c r="J21" s="132"/>
      <c r="K21" s="95"/>
    </row>
    <row r="22" spans="2:11" ht="15.75" customHeight="1" x14ac:dyDescent="0.3">
      <c r="B22" s="64"/>
      <c r="C22" s="66"/>
      <c r="D22" s="65"/>
      <c r="E22" s="65"/>
      <c r="F22" s="125"/>
      <c r="G22" s="14"/>
      <c r="H22" s="126"/>
      <c r="I22" s="127"/>
      <c r="J22" s="128"/>
      <c r="K22" s="88"/>
    </row>
    <row r="23" spans="2:11" ht="15.75" customHeight="1" x14ac:dyDescent="0.3">
      <c r="B23" s="64"/>
      <c r="C23" s="68"/>
      <c r="D23" s="69"/>
      <c r="E23" s="69"/>
      <c r="F23" s="129"/>
      <c r="G23" s="23"/>
      <c r="H23" s="130"/>
      <c r="I23" s="131"/>
      <c r="J23" s="132"/>
      <c r="K23" s="95"/>
    </row>
    <row r="24" spans="2:11" ht="15.75" customHeight="1" x14ac:dyDescent="0.3">
      <c r="B24" s="64"/>
      <c r="C24" s="66"/>
      <c r="D24" s="65"/>
      <c r="E24" s="65"/>
      <c r="F24" s="125"/>
      <c r="G24" s="14"/>
      <c r="H24" s="126"/>
      <c r="I24" s="127"/>
      <c r="J24" s="128"/>
      <c r="K24" s="88"/>
    </row>
    <row r="25" spans="2:11" ht="15.75" customHeight="1" x14ac:dyDescent="0.3">
      <c r="B25" s="64"/>
      <c r="C25" s="68"/>
      <c r="D25" s="69"/>
      <c r="E25" s="69"/>
      <c r="F25" s="129"/>
      <c r="G25" s="23"/>
      <c r="H25" s="130"/>
      <c r="I25" s="131"/>
      <c r="J25" s="132"/>
      <c r="K25" s="95"/>
    </row>
    <row r="26" spans="2:11" ht="15.75" customHeight="1" x14ac:dyDescent="0.3">
      <c r="B26" s="64"/>
      <c r="C26" s="66"/>
      <c r="D26" s="65"/>
      <c r="E26" s="65"/>
      <c r="F26" s="125"/>
      <c r="G26" s="14"/>
      <c r="H26" s="126"/>
      <c r="I26" s="127"/>
      <c r="J26" s="128"/>
      <c r="K26" s="88"/>
    </row>
    <row r="27" spans="2:11" ht="15.75" customHeight="1" x14ac:dyDescent="0.3">
      <c r="B27" s="64"/>
      <c r="C27" s="68"/>
      <c r="D27" s="69"/>
      <c r="E27" s="69"/>
      <c r="F27" s="129"/>
      <c r="G27" s="23"/>
      <c r="H27" s="130"/>
      <c r="I27" s="131"/>
      <c r="J27" s="132"/>
      <c r="K27" s="95"/>
    </row>
    <row r="28" spans="2:11" ht="15.75" customHeight="1" x14ac:dyDescent="0.3">
      <c r="B28" s="64"/>
      <c r="C28" s="66"/>
      <c r="D28" s="65"/>
      <c r="E28" s="65"/>
      <c r="F28" s="125"/>
      <c r="G28" s="14"/>
      <c r="H28" s="126"/>
      <c r="I28" s="127"/>
      <c r="J28" s="128"/>
      <c r="K28" s="88"/>
    </row>
    <row r="29" spans="2:11" ht="15.75" customHeight="1" x14ac:dyDescent="0.3">
      <c r="B29" s="64"/>
      <c r="C29" s="68"/>
      <c r="D29" s="69"/>
      <c r="E29" s="69"/>
      <c r="F29" s="129"/>
      <c r="G29" s="23"/>
      <c r="H29" s="130"/>
      <c r="I29" s="131"/>
      <c r="J29" s="132"/>
      <c r="K29" s="95"/>
    </row>
    <row r="30" spans="2:11" ht="15.75" customHeight="1" x14ac:dyDescent="0.3">
      <c r="B30" s="64"/>
      <c r="C30" s="66"/>
      <c r="D30" s="65"/>
      <c r="E30" s="65"/>
      <c r="F30" s="125"/>
      <c r="G30" s="14"/>
      <c r="H30" s="126"/>
      <c r="I30" s="127"/>
      <c r="J30" s="128"/>
      <c r="K30" s="88"/>
    </row>
    <row r="31" spans="2:11" ht="15.75" customHeight="1" x14ac:dyDescent="0.3">
      <c r="B31" s="64"/>
      <c r="C31" s="68"/>
      <c r="D31" s="69"/>
      <c r="E31" s="69"/>
      <c r="F31" s="129"/>
      <c r="G31" s="23"/>
      <c r="H31" s="130"/>
      <c r="I31" s="131"/>
      <c r="J31" s="132"/>
      <c r="K31" s="95"/>
    </row>
    <row r="32" spans="2:11" ht="15.75" customHeight="1" x14ac:dyDescent="0.3">
      <c r="B32" s="64"/>
      <c r="C32" s="66"/>
      <c r="D32" s="65"/>
      <c r="E32" s="65"/>
      <c r="F32" s="125"/>
      <c r="G32" s="14"/>
      <c r="H32" s="126"/>
      <c r="I32" s="127"/>
      <c r="J32" s="128"/>
      <c r="K32" s="88"/>
    </row>
    <row r="33" spans="2:11" ht="15.75" customHeight="1" x14ac:dyDescent="0.3">
      <c r="B33" s="64"/>
      <c r="C33" s="68"/>
      <c r="D33" s="69"/>
      <c r="E33" s="69"/>
      <c r="F33" s="129"/>
      <c r="G33" s="23"/>
      <c r="H33" s="130"/>
      <c r="I33" s="131"/>
      <c r="J33" s="132"/>
      <c r="K33" s="95"/>
    </row>
    <row r="34" spans="2:11" ht="15.75" customHeight="1" x14ac:dyDescent="0.3">
      <c r="B34" s="64"/>
      <c r="C34" s="66"/>
      <c r="D34" s="65"/>
      <c r="E34" s="65"/>
      <c r="F34" s="125"/>
      <c r="G34" s="14"/>
      <c r="H34" s="126"/>
      <c r="I34" s="127"/>
      <c r="J34" s="128"/>
      <c r="K34" s="88"/>
    </row>
    <row r="35" spans="2:11" ht="15.75" customHeight="1" x14ac:dyDescent="0.3">
      <c r="B35" s="64"/>
      <c r="C35" s="68"/>
      <c r="D35" s="69"/>
      <c r="E35" s="69"/>
      <c r="F35" s="129"/>
      <c r="G35" s="23"/>
      <c r="H35" s="130"/>
      <c r="I35" s="131"/>
      <c r="J35" s="132"/>
      <c r="K35" s="95"/>
    </row>
    <row r="36" spans="2:11" ht="15.75" customHeight="1" x14ac:dyDescent="0.3">
      <c r="B36" s="64"/>
      <c r="C36" s="66"/>
      <c r="D36" s="65"/>
      <c r="E36" s="65"/>
      <c r="F36" s="125"/>
      <c r="G36" s="14"/>
      <c r="H36" s="126"/>
      <c r="I36" s="127"/>
      <c r="J36" s="128"/>
      <c r="K36" s="88"/>
    </row>
    <row r="37" spans="2:11" ht="15.75" customHeight="1" x14ac:dyDescent="0.3">
      <c r="B37" s="64"/>
      <c r="C37" s="68"/>
      <c r="D37" s="69"/>
      <c r="E37" s="69"/>
      <c r="F37" s="129"/>
      <c r="G37" s="23"/>
      <c r="H37" s="130"/>
      <c r="I37" s="131"/>
      <c r="J37" s="132"/>
      <c r="K37" s="95"/>
    </row>
    <row r="38" spans="2:11" ht="15.75" customHeight="1" x14ac:dyDescent="0.3">
      <c r="B38" s="64"/>
      <c r="C38" s="66"/>
      <c r="D38" s="65"/>
      <c r="E38" s="65"/>
      <c r="F38" s="125"/>
      <c r="G38" s="14"/>
      <c r="H38" s="126"/>
      <c r="I38" s="127"/>
      <c r="J38" s="128"/>
      <c r="K38" s="88"/>
    </row>
    <row r="39" spans="2:11" ht="15.75" customHeight="1" x14ac:dyDescent="0.3">
      <c r="B39" s="64"/>
      <c r="C39" s="68"/>
      <c r="D39" s="69"/>
      <c r="E39" s="69"/>
      <c r="F39" s="129"/>
      <c r="G39" s="23"/>
      <c r="H39" s="130"/>
      <c r="I39" s="131"/>
      <c r="J39" s="132"/>
      <c r="K39" s="95"/>
    </row>
    <row r="40" spans="2:11" ht="15.75" customHeight="1" x14ac:dyDescent="0.3">
      <c r="B40" s="64"/>
      <c r="C40" s="66"/>
      <c r="D40" s="65"/>
      <c r="E40" s="65"/>
      <c r="F40" s="125"/>
      <c r="G40" s="14"/>
      <c r="H40" s="126"/>
      <c r="I40" s="127"/>
      <c r="J40" s="128"/>
      <c r="K40" s="88"/>
    </row>
    <row r="41" spans="2:11" ht="15.75" customHeight="1" x14ac:dyDescent="0.3">
      <c r="B41" s="64"/>
      <c r="C41" s="68"/>
      <c r="D41" s="69"/>
      <c r="E41" s="69"/>
      <c r="F41" s="129"/>
      <c r="G41" s="23"/>
      <c r="H41" s="130"/>
      <c r="I41" s="131"/>
      <c r="J41" s="132"/>
      <c r="K41" s="95"/>
    </row>
    <row r="42" spans="2:11" ht="15.75" customHeight="1" x14ac:dyDescent="0.3">
      <c r="B42" s="64"/>
      <c r="C42" s="66"/>
      <c r="D42" s="65"/>
      <c r="E42" s="65"/>
      <c r="F42" s="125"/>
      <c r="G42" s="14"/>
      <c r="H42" s="126"/>
      <c r="I42" s="127"/>
      <c r="J42" s="128"/>
      <c r="K42" s="88"/>
    </row>
    <row r="43" spans="2:11" ht="15.75" customHeight="1" x14ac:dyDescent="0.3">
      <c r="B43" s="64"/>
      <c r="C43" s="68"/>
      <c r="D43" s="69"/>
      <c r="E43" s="69"/>
      <c r="F43" s="129"/>
      <c r="G43" s="23"/>
      <c r="H43" s="130"/>
      <c r="I43" s="131"/>
      <c r="J43" s="132"/>
      <c r="K43" s="95"/>
    </row>
    <row r="44" spans="2:11" ht="15.75" customHeight="1" x14ac:dyDescent="0.3">
      <c r="B44" s="64"/>
      <c r="C44" s="66"/>
      <c r="D44" s="65"/>
      <c r="E44" s="65"/>
      <c r="F44" s="125"/>
      <c r="G44" s="14"/>
      <c r="H44" s="126"/>
      <c r="I44" s="127"/>
      <c r="J44" s="128"/>
      <c r="K44" s="88"/>
    </row>
    <row r="45" spans="2:11" ht="15.75" customHeight="1" x14ac:dyDescent="0.3">
      <c r="B45" s="64"/>
      <c r="C45" s="68"/>
      <c r="D45" s="69"/>
      <c r="E45" s="69"/>
      <c r="F45" s="129"/>
      <c r="G45" s="23"/>
      <c r="H45" s="130"/>
      <c r="I45" s="131"/>
      <c r="J45" s="132"/>
      <c r="K45" s="95"/>
    </row>
    <row r="46" spans="2:11" ht="15.75" customHeight="1" x14ac:dyDescent="0.3">
      <c r="B46" s="64"/>
      <c r="C46" s="66"/>
      <c r="D46" s="65"/>
      <c r="E46" s="65"/>
      <c r="F46" s="125"/>
      <c r="G46" s="14"/>
      <c r="H46" s="126"/>
      <c r="I46" s="127"/>
      <c r="J46" s="128"/>
      <c r="K46" s="88"/>
    </row>
    <row r="47" spans="2:11" ht="15.75" customHeight="1" x14ac:dyDescent="0.3">
      <c r="B47" s="64"/>
      <c r="C47" s="68"/>
      <c r="D47" s="69"/>
      <c r="E47" s="69"/>
      <c r="F47" s="129"/>
      <c r="G47" s="23"/>
      <c r="H47" s="130"/>
      <c r="I47" s="131"/>
      <c r="J47" s="132"/>
      <c r="K47" s="95"/>
    </row>
    <row r="48" spans="2:11" ht="15.75" customHeight="1" x14ac:dyDescent="0.3">
      <c r="B48" s="64"/>
      <c r="C48" s="66"/>
      <c r="D48" s="65"/>
      <c r="E48" s="65"/>
      <c r="F48" s="125"/>
      <c r="G48" s="14"/>
      <c r="H48" s="126"/>
      <c r="I48" s="127"/>
      <c r="J48" s="128"/>
      <c r="K48" s="88"/>
    </row>
    <row r="49" spans="2:11" ht="15.75" customHeight="1" x14ac:dyDescent="0.3">
      <c r="B49" s="64"/>
      <c r="C49" s="68"/>
      <c r="D49" s="69"/>
      <c r="E49" s="69"/>
      <c r="F49" s="129"/>
      <c r="G49" s="23"/>
      <c r="H49" s="130"/>
      <c r="I49" s="131"/>
      <c r="J49" s="132"/>
      <c r="K49" s="95"/>
    </row>
    <row r="50" spans="2:11" ht="15.75" customHeight="1" x14ac:dyDescent="0.3">
      <c r="B50" s="64"/>
      <c r="C50" s="66"/>
      <c r="D50" s="65"/>
      <c r="E50" s="65"/>
      <c r="F50" s="125"/>
      <c r="G50" s="14"/>
      <c r="H50" s="126"/>
      <c r="I50" s="127"/>
      <c r="J50" s="128"/>
      <c r="K50" s="88"/>
    </row>
    <row r="51" spans="2:11" ht="15.75" customHeight="1" x14ac:dyDescent="0.3">
      <c r="B51" s="64"/>
      <c r="C51" s="68"/>
      <c r="D51" s="69"/>
      <c r="E51" s="69"/>
      <c r="F51" s="129"/>
      <c r="G51" s="23"/>
      <c r="H51" s="130"/>
      <c r="I51" s="131"/>
      <c r="J51" s="132"/>
      <c r="K51" s="95"/>
    </row>
    <row r="52" spans="2:11" ht="15.75" customHeight="1" x14ac:dyDescent="0.3">
      <c r="B52" s="64"/>
      <c r="C52" s="66"/>
      <c r="D52" s="65"/>
      <c r="E52" s="65"/>
      <c r="F52" s="125"/>
      <c r="G52" s="14"/>
      <c r="H52" s="126"/>
      <c r="I52" s="127"/>
      <c r="J52" s="128"/>
      <c r="K52" s="88"/>
    </row>
    <row r="53" spans="2:11" ht="15.75" customHeight="1" x14ac:dyDescent="0.3">
      <c r="B53" s="64"/>
      <c r="C53" s="68"/>
      <c r="D53" s="69"/>
      <c r="E53" s="69"/>
      <c r="F53" s="129"/>
      <c r="G53" s="23"/>
      <c r="H53" s="130"/>
      <c r="I53" s="131"/>
      <c r="J53" s="132"/>
      <c r="K53" s="95"/>
    </row>
    <row r="54" spans="2:11" ht="15.75" customHeight="1" x14ac:dyDescent="0.3">
      <c r="B54" s="64"/>
      <c r="C54" s="66"/>
      <c r="D54" s="65"/>
      <c r="E54" s="65"/>
      <c r="F54" s="125"/>
      <c r="G54" s="14"/>
      <c r="H54" s="126"/>
      <c r="I54" s="127"/>
      <c r="J54" s="128"/>
      <c r="K54" s="88"/>
    </row>
    <row r="55" spans="2:11" ht="15.75" customHeight="1" x14ac:dyDescent="0.3">
      <c r="B55" s="64"/>
      <c r="C55" s="68"/>
      <c r="D55" s="69"/>
      <c r="E55" s="69"/>
      <c r="F55" s="129"/>
      <c r="G55" s="23"/>
      <c r="H55" s="130"/>
      <c r="I55" s="131"/>
      <c r="J55" s="132"/>
      <c r="K55" s="95"/>
    </row>
    <row r="56" spans="2:11" ht="15.75" customHeight="1" x14ac:dyDescent="0.3">
      <c r="B56" s="64"/>
      <c r="C56" s="66"/>
      <c r="D56" s="65"/>
      <c r="E56" s="65"/>
      <c r="F56" s="125"/>
      <c r="G56" s="14"/>
      <c r="H56" s="126"/>
      <c r="I56" s="127"/>
      <c r="J56" s="128"/>
      <c r="K56" s="88"/>
    </row>
    <row r="57" spans="2:11" ht="15.75" customHeight="1" x14ac:dyDescent="0.3">
      <c r="B57" s="64"/>
      <c r="C57" s="68"/>
      <c r="D57" s="69"/>
      <c r="E57" s="69"/>
      <c r="F57" s="129"/>
      <c r="G57" s="23"/>
      <c r="H57" s="130"/>
      <c r="I57" s="131"/>
      <c r="J57" s="132"/>
      <c r="K57" s="95"/>
    </row>
    <row r="58" spans="2:11" ht="15.75" customHeight="1" x14ac:dyDescent="0.3">
      <c r="B58" s="64"/>
      <c r="C58" s="66"/>
      <c r="D58" s="65"/>
      <c r="E58" s="65"/>
      <c r="F58" s="125"/>
      <c r="G58" s="14"/>
      <c r="H58" s="126"/>
      <c r="I58" s="127"/>
      <c r="J58" s="128"/>
      <c r="K58" s="88"/>
    </row>
    <row r="59" spans="2:11" ht="15.75" customHeight="1" x14ac:dyDescent="0.3">
      <c r="B59" s="64"/>
      <c r="C59" s="68"/>
      <c r="D59" s="69"/>
      <c r="E59" s="69"/>
      <c r="F59" s="129"/>
      <c r="G59" s="23"/>
      <c r="H59" s="130"/>
      <c r="I59" s="131"/>
      <c r="J59" s="132"/>
      <c r="K59" s="95"/>
    </row>
    <row r="60" spans="2:11" ht="15.75" customHeight="1" x14ac:dyDescent="0.3">
      <c r="B60" s="64"/>
      <c r="C60" s="66"/>
      <c r="D60" s="65"/>
      <c r="E60" s="65"/>
      <c r="F60" s="125"/>
      <c r="G60" s="14"/>
      <c r="H60" s="126"/>
      <c r="I60" s="127"/>
      <c r="J60" s="128"/>
      <c r="K60" s="88"/>
    </row>
    <row r="61" spans="2:11" ht="15.75" customHeight="1" x14ac:dyDescent="0.3">
      <c r="B61" s="64"/>
      <c r="C61" s="68"/>
      <c r="D61" s="69"/>
      <c r="E61" s="69"/>
      <c r="F61" s="129"/>
      <c r="G61" s="23"/>
      <c r="H61" s="130"/>
      <c r="I61" s="131"/>
      <c r="J61" s="132"/>
      <c r="K61" s="95"/>
    </row>
    <row r="62" spans="2:11" ht="15.75" customHeight="1" x14ac:dyDescent="0.3">
      <c r="B62" s="64"/>
      <c r="C62" s="66"/>
      <c r="D62" s="65"/>
      <c r="E62" s="65"/>
      <c r="F62" s="125"/>
      <c r="G62" s="14"/>
      <c r="H62" s="126"/>
      <c r="I62" s="127"/>
      <c r="J62" s="128"/>
      <c r="K62" s="88"/>
    </row>
    <row r="63" spans="2:11" ht="15.75" customHeight="1" x14ac:dyDescent="0.3">
      <c r="B63" s="64"/>
      <c r="C63" s="68"/>
      <c r="D63" s="69"/>
      <c r="E63" s="69"/>
      <c r="F63" s="129"/>
      <c r="G63" s="23"/>
      <c r="H63" s="130"/>
      <c r="I63" s="131"/>
      <c r="J63" s="132"/>
      <c r="K63" s="95"/>
    </row>
    <row r="64" spans="2:11" ht="15.75" customHeight="1" x14ac:dyDescent="0.3">
      <c r="B64" s="64"/>
      <c r="C64" s="66"/>
      <c r="D64" s="65"/>
      <c r="E64" s="65"/>
      <c r="F64" s="125"/>
      <c r="G64" s="14"/>
      <c r="H64" s="126"/>
      <c r="I64" s="127"/>
      <c r="J64" s="128"/>
      <c r="K64" s="88"/>
    </row>
    <row r="65" spans="2:11" ht="15.75" customHeight="1" x14ac:dyDescent="0.3">
      <c r="B65" s="64"/>
      <c r="C65" s="68"/>
      <c r="D65" s="69"/>
      <c r="E65" s="69"/>
      <c r="F65" s="129"/>
      <c r="G65" s="23"/>
      <c r="H65" s="130"/>
      <c r="I65" s="131"/>
      <c r="J65" s="132"/>
      <c r="K65" s="95"/>
    </row>
    <row r="66" spans="2:11" ht="15.75" customHeight="1" x14ac:dyDescent="0.3">
      <c r="B66" s="64"/>
      <c r="C66" s="66"/>
      <c r="D66" s="65"/>
      <c r="E66" s="65"/>
      <c r="F66" s="125"/>
      <c r="G66" s="14"/>
      <c r="H66" s="126"/>
      <c r="I66" s="127"/>
      <c r="J66" s="128"/>
      <c r="K66" s="88"/>
    </row>
    <row r="67" spans="2:11" ht="15.75" customHeight="1" x14ac:dyDescent="0.3">
      <c r="B67" s="64"/>
      <c r="C67" s="68"/>
      <c r="D67" s="69"/>
      <c r="E67" s="69"/>
      <c r="F67" s="129"/>
      <c r="G67" s="23"/>
      <c r="H67" s="130"/>
      <c r="I67" s="131"/>
      <c r="J67" s="132"/>
      <c r="K67" s="95"/>
    </row>
    <row r="68" spans="2:11" ht="15.75" customHeight="1" x14ac:dyDescent="0.3">
      <c r="B68" s="64"/>
      <c r="C68" s="66"/>
      <c r="D68" s="65"/>
      <c r="E68" s="65"/>
      <c r="F68" s="125"/>
      <c r="G68" s="14"/>
      <c r="H68" s="126"/>
      <c r="I68" s="127"/>
      <c r="J68" s="128"/>
      <c r="K68" s="88"/>
    </row>
    <row r="69" spans="2:11" ht="15.75" customHeight="1" x14ac:dyDescent="0.3">
      <c r="B69" s="64"/>
      <c r="C69" s="68"/>
      <c r="D69" s="69"/>
      <c r="E69" s="69"/>
      <c r="F69" s="129"/>
      <c r="G69" s="23"/>
      <c r="H69" s="130"/>
      <c r="I69" s="131"/>
      <c r="J69" s="132"/>
      <c r="K69" s="95"/>
    </row>
    <row r="70" spans="2:11" ht="15.75" customHeight="1" x14ac:dyDescent="0.3">
      <c r="B70" s="64"/>
      <c r="C70" s="66"/>
      <c r="D70" s="65"/>
      <c r="E70" s="65"/>
      <c r="F70" s="125"/>
      <c r="G70" s="14"/>
      <c r="H70" s="126"/>
      <c r="I70" s="127"/>
      <c r="J70" s="128"/>
      <c r="K70" s="88"/>
    </row>
    <row r="71" spans="2:11" ht="15.75" customHeight="1" x14ac:dyDescent="0.3">
      <c r="B71" s="64"/>
      <c r="C71" s="68"/>
      <c r="D71" s="69"/>
      <c r="E71" s="69"/>
      <c r="F71" s="129"/>
      <c r="G71" s="23"/>
      <c r="H71" s="130"/>
      <c r="I71" s="131"/>
      <c r="J71" s="132"/>
      <c r="K71" s="95"/>
    </row>
    <row r="72" spans="2:11" ht="15.75" customHeight="1" x14ac:dyDescent="0.3">
      <c r="B72" s="64"/>
      <c r="C72" s="66"/>
      <c r="D72" s="65"/>
      <c r="E72" s="65"/>
      <c r="F72" s="125"/>
      <c r="G72" s="14"/>
      <c r="H72" s="126"/>
      <c r="I72" s="127"/>
      <c r="J72" s="128"/>
      <c r="K72" s="88"/>
    </row>
    <row r="73" spans="2:11" ht="15.75" customHeight="1" x14ac:dyDescent="0.3">
      <c r="B73" s="64"/>
      <c r="C73" s="68"/>
      <c r="D73" s="69"/>
      <c r="E73" s="69"/>
      <c r="F73" s="129"/>
      <c r="G73" s="23"/>
      <c r="H73" s="130"/>
      <c r="I73" s="131"/>
      <c r="J73" s="132"/>
      <c r="K73" s="95"/>
    </row>
    <row r="74" spans="2:11" ht="15.75" customHeight="1" x14ac:dyDescent="0.3">
      <c r="B74" s="64"/>
      <c r="C74" s="66"/>
      <c r="D74" s="65"/>
      <c r="E74" s="65"/>
      <c r="F74" s="125"/>
      <c r="G74" s="14"/>
      <c r="H74" s="126"/>
      <c r="I74" s="127"/>
      <c r="J74" s="128"/>
      <c r="K74" s="88"/>
    </row>
    <row r="75" spans="2:11" ht="15.75" customHeight="1" x14ac:dyDescent="0.3">
      <c r="B75" s="64"/>
      <c r="C75" s="68"/>
      <c r="D75" s="69"/>
      <c r="E75" s="69"/>
      <c r="F75" s="129"/>
      <c r="G75" s="23"/>
      <c r="H75" s="130"/>
      <c r="I75" s="131"/>
      <c r="J75" s="132"/>
      <c r="K75" s="95"/>
    </row>
    <row r="76" spans="2:11" ht="15.75" customHeight="1" x14ac:dyDescent="0.3">
      <c r="B76" s="64"/>
      <c r="C76" s="66"/>
      <c r="D76" s="65"/>
      <c r="E76" s="65"/>
      <c r="F76" s="125"/>
      <c r="G76" s="14"/>
      <c r="H76" s="126"/>
      <c r="I76" s="127"/>
      <c r="J76" s="128"/>
      <c r="K76" s="88"/>
    </row>
    <row r="77" spans="2:11" ht="15.75" customHeight="1" x14ac:dyDescent="0.3">
      <c r="B77" s="64"/>
      <c r="C77" s="68"/>
      <c r="D77" s="69"/>
      <c r="E77" s="69"/>
      <c r="F77" s="129"/>
      <c r="G77" s="23"/>
      <c r="H77" s="130"/>
      <c r="I77" s="131"/>
      <c r="J77" s="132"/>
      <c r="K77" s="95"/>
    </row>
    <row r="78" spans="2:11" ht="15.75" customHeight="1" x14ac:dyDescent="0.3">
      <c r="B78" s="64"/>
      <c r="C78" s="66"/>
      <c r="D78" s="65"/>
      <c r="E78" s="65"/>
      <c r="F78" s="125"/>
      <c r="G78" s="14"/>
      <c r="H78" s="126"/>
      <c r="I78" s="127"/>
      <c r="J78" s="128"/>
      <c r="K78" s="88"/>
    </row>
    <row r="79" spans="2:11" ht="15.75" customHeight="1" x14ac:dyDescent="0.3">
      <c r="B79" s="64"/>
      <c r="C79" s="68"/>
      <c r="D79" s="69"/>
      <c r="E79" s="69"/>
      <c r="F79" s="129"/>
      <c r="G79" s="23"/>
      <c r="H79" s="130"/>
      <c r="I79" s="131"/>
      <c r="J79" s="132"/>
      <c r="K79" s="95"/>
    </row>
    <row r="80" spans="2:11" ht="15.75" customHeight="1" x14ac:dyDescent="0.3">
      <c r="B80" s="64"/>
      <c r="C80" s="66"/>
      <c r="D80" s="65"/>
      <c r="E80" s="65"/>
      <c r="F80" s="125"/>
      <c r="G80" s="14"/>
      <c r="H80" s="126"/>
      <c r="I80" s="127"/>
      <c r="J80" s="128"/>
      <c r="K80" s="88"/>
    </row>
    <row r="81" spans="2:11" ht="15.75" customHeight="1" x14ac:dyDescent="0.3">
      <c r="B81" s="64"/>
      <c r="C81" s="68"/>
      <c r="D81" s="69"/>
      <c r="E81" s="69"/>
      <c r="F81" s="129"/>
      <c r="G81" s="23"/>
      <c r="H81" s="130"/>
      <c r="I81" s="131"/>
      <c r="J81" s="132"/>
      <c r="K81" s="95"/>
    </row>
    <row r="82" spans="2:11" ht="15.75" customHeight="1" x14ac:dyDescent="0.3">
      <c r="B82" s="64"/>
      <c r="C82" s="66"/>
      <c r="D82" s="65"/>
      <c r="E82" s="65"/>
      <c r="F82" s="125"/>
      <c r="G82" s="14"/>
      <c r="H82" s="126"/>
      <c r="I82" s="127"/>
      <c r="J82" s="128"/>
      <c r="K82" s="88"/>
    </row>
    <row r="83" spans="2:11" ht="15.75" customHeight="1" x14ac:dyDescent="0.3">
      <c r="B83" s="64"/>
      <c r="C83" s="68"/>
      <c r="D83" s="69"/>
      <c r="E83" s="69"/>
      <c r="F83" s="129"/>
      <c r="G83" s="23"/>
      <c r="H83" s="130"/>
      <c r="I83" s="131"/>
      <c r="J83" s="132"/>
      <c r="K83" s="95"/>
    </row>
    <row r="84" spans="2:11" ht="15.75" customHeight="1" x14ac:dyDescent="0.3">
      <c r="B84" s="64"/>
      <c r="C84" s="66"/>
      <c r="D84" s="65"/>
      <c r="E84" s="65"/>
      <c r="F84" s="125"/>
      <c r="G84" s="14"/>
      <c r="H84" s="126"/>
      <c r="I84" s="127"/>
      <c r="J84" s="128"/>
      <c r="K84" s="88"/>
    </row>
    <row r="85" spans="2:11" ht="15.75" customHeight="1" x14ac:dyDescent="0.3">
      <c r="B85" s="64"/>
      <c r="C85" s="68"/>
      <c r="D85" s="69"/>
      <c r="E85" s="69"/>
      <c r="F85" s="129"/>
      <c r="G85" s="23"/>
      <c r="H85" s="130"/>
      <c r="I85" s="131"/>
      <c r="J85" s="132"/>
      <c r="K85" s="95"/>
    </row>
    <row r="86" spans="2:11" ht="15.75" customHeight="1" x14ac:dyDescent="0.3">
      <c r="B86" s="64"/>
      <c r="C86" s="66"/>
      <c r="D86" s="65"/>
      <c r="E86" s="65"/>
      <c r="F86" s="125"/>
      <c r="G86" s="14"/>
      <c r="H86" s="126"/>
      <c r="I86" s="127"/>
      <c r="J86" s="128"/>
      <c r="K86" s="88"/>
    </row>
    <row r="87" spans="2:11" ht="15.75" customHeight="1" x14ac:dyDescent="0.3">
      <c r="B87" s="64"/>
      <c r="C87" s="68"/>
      <c r="D87" s="69"/>
      <c r="E87" s="69"/>
      <c r="F87" s="129"/>
      <c r="G87" s="23"/>
      <c r="H87" s="130"/>
      <c r="I87" s="131"/>
      <c r="J87" s="132"/>
      <c r="K87" s="95"/>
    </row>
    <row r="88" spans="2:11" ht="15.75" customHeight="1" x14ac:dyDescent="0.3">
      <c r="B88" s="64"/>
      <c r="C88" s="66"/>
      <c r="D88" s="65"/>
      <c r="E88" s="65"/>
      <c r="F88" s="125"/>
      <c r="G88" s="14"/>
      <c r="H88" s="126"/>
      <c r="I88" s="127"/>
      <c r="J88" s="128"/>
      <c r="K88" s="88"/>
    </row>
    <row r="89" spans="2:11" ht="15.75" customHeight="1" x14ac:dyDescent="0.3">
      <c r="B89" s="64"/>
      <c r="C89" s="68"/>
      <c r="D89" s="69"/>
      <c r="E89" s="69"/>
      <c r="F89" s="129"/>
      <c r="G89" s="23"/>
      <c r="H89" s="130"/>
      <c r="I89" s="131"/>
      <c r="J89" s="132"/>
      <c r="K89" s="95"/>
    </row>
    <row r="90" spans="2:11" ht="15.75" customHeight="1" x14ac:dyDescent="0.3">
      <c r="B90" s="64"/>
      <c r="C90" s="66"/>
      <c r="D90" s="65"/>
      <c r="E90" s="65"/>
      <c r="F90" s="125"/>
      <c r="G90" s="14"/>
      <c r="H90" s="126"/>
      <c r="I90" s="127"/>
      <c r="J90" s="128"/>
      <c r="K90" s="88"/>
    </row>
    <row r="91" spans="2:11" ht="15.75" customHeight="1" x14ac:dyDescent="0.3">
      <c r="B91" s="64"/>
      <c r="C91" s="68"/>
      <c r="D91" s="69"/>
      <c r="E91" s="69"/>
      <c r="F91" s="129"/>
      <c r="G91" s="23"/>
      <c r="H91" s="130"/>
      <c r="I91" s="131"/>
      <c r="J91" s="132"/>
      <c r="K91" s="95"/>
    </row>
    <row r="92" spans="2:11" ht="15.75" customHeight="1" x14ac:dyDescent="0.3">
      <c r="B92" s="64"/>
      <c r="C92" s="66"/>
      <c r="D92" s="65"/>
      <c r="E92" s="65"/>
      <c r="F92" s="125"/>
      <c r="G92" s="14"/>
      <c r="H92" s="126"/>
      <c r="I92" s="127"/>
      <c r="J92" s="128"/>
      <c r="K92" s="88"/>
    </row>
    <row r="93" spans="2:11" ht="15.75" customHeight="1" x14ac:dyDescent="0.3">
      <c r="B93" s="64"/>
      <c r="C93" s="68"/>
      <c r="D93" s="69"/>
      <c r="E93" s="69"/>
      <c r="F93" s="129"/>
      <c r="G93" s="23"/>
      <c r="H93" s="130"/>
      <c r="I93" s="131"/>
      <c r="J93" s="132"/>
      <c r="K93" s="95"/>
    </row>
    <row r="94" spans="2:11" ht="15.75" customHeight="1" x14ac:dyDescent="0.3">
      <c r="B94" s="64"/>
      <c r="C94" s="66"/>
      <c r="D94" s="65"/>
      <c r="E94" s="65"/>
      <c r="F94" s="125"/>
      <c r="G94" s="14"/>
      <c r="H94" s="126"/>
      <c r="I94" s="127"/>
      <c r="J94" s="128"/>
      <c r="K94" s="88"/>
    </row>
    <row r="95" spans="2:11" ht="15.75" customHeight="1" x14ac:dyDescent="0.3">
      <c r="B95" s="64"/>
      <c r="C95" s="68"/>
      <c r="D95" s="69"/>
      <c r="E95" s="69"/>
      <c r="F95" s="129"/>
      <c r="G95" s="23"/>
      <c r="H95" s="130"/>
      <c r="I95" s="131"/>
      <c r="J95" s="132"/>
      <c r="K95" s="95"/>
    </row>
    <row r="96" spans="2:11" ht="15.75" customHeight="1" x14ac:dyDescent="0.3">
      <c r="B96" s="64"/>
      <c r="C96" s="66"/>
      <c r="D96" s="65"/>
      <c r="E96" s="65"/>
      <c r="F96" s="125"/>
      <c r="G96" s="14"/>
      <c r="H96" s="126"/>
      <c r="I96" s="127"/>
      <c r="J96" s="128"/>
      <c r="K96" s="88"/>
    </row>
    <row r="97" spans="2:11" ht="15.75" customHeight="1" x14ac:dyDescent="0.3">
      <c r="B97" s="64"/>
      <c r="C97" s="68"/>
      <c r="D97" s="69"/>
      <c r="E97" s="69"/>
      <c r="F97" s="129"/>
      <c r="G97" s="23"/>
      <c r="H97" s="130"/>
      <c r="I97" s="131"/>
      <c r="J97" s="132"/>
      <c r="K97" s="95"/>
    </row>
    <row r="98" spans="2:11" ht="15.75" customHeight="1" x14ac:dyDescent="0.3">
      <c r="B98" s="64"/>
      <c r="C98" s="66"/>
      <c r="D98" s="65"/>
      <c r="E98" s="65"/>
      <c r="F98" s="125"/>
      <c r="G98" s="14"/>
      <c r="H98" s="126"/>
      <c r="I98" s="127"/>
      <c r="J98" s="128"/>
      <c r="K98" s="88"/>
    </row>
    <row r="99" spans="2:11" ht="15.75" customHeight="1" x14ac:dyDescent="0.3">
      <c r="B99" s="64"/>
      <c r="C99" s="68"/>
      <c r="D99" s="69"/>
      <c r="E99" s="69"/>
      <c r="F99" s="129"/>
      <c r="G99" s="23"/>
      <c r="H99" s="130"/>
      <c r="I99" s="131"/>
      <c r="J99" s="132"/>
      <c r="K99" s="95"/>
    </row>
    <row r="100" spans="2:11" ht="15.75" customHeight="1" x14ac:dyDescent="0.3">
      <c r="B100" s="64"/>
      <c r="C100" s="66"/>
      <c r="D100" s="65"/>
      <c r="E100" s="65"/>
      <c r="F100" s="125"/>
      <c r="G100" s="14"/>
      <c r="H100" s="126"/>
      <c r="I100" s="127"/>
      <c r="J100" s="128"/>
      <c r="K100" s="88"/>
    </row>
    <row r="101" spans="2:11" ht="15.75" customHeight="1" x14ac:dyDescent="0.3">
      <c r="B101" s="64"/>
      <c r="C101" s="68"/>
      <c r="D101" s="69"/>
      <c r="E101" s="69"/>
      <c r="F101" s="129"/>
      <c r="G101" s="23"/>
      <c r="H101" s="130"/>
      <c r="I101" s="131"/>
      <c r="J101" s="132"/>
      <c r="K101" s="95"/>
    </row>
    <row r="102" spans="2:11" ht="15.75" customHeight="1" x14ac:dyDescent="0.3">
      <c r="B102" s="64"/>
      <c r="C102" s="66"/>
      <c r="D102" s="65"/>
      <c r="E102" s="65"/>
      <c r="F102" s="125"/>
      <c r="G102" s="14"/>
      <c r="H102" s="126"/>
      <c r="I102" s="127"/>
      <c r="J102" s="128"/>
      <c r="K102" s="88"/>
    </row>
    <row r="103" spans="2:11" ht="15.75" customHeight="1" x14ac:dyDescent="0.3">
      <c r="B103" s="64"/>
      <c r="C103" s="68"/>
      <c r="D103" s="69"/>
      <c r="E103" s="69"/>
      <c r="F103" s="129"/>
      <c r="G103" s="23"/>
      <c r="H103" s="130"/>
      <c r="I103" s="131"/>
      <c r="J103" s="132"/>
      <c r="K103" s="95"/>
    </row>
    <row r="104" spans="2:11" ht="15.75" customHeight="1" x14ac:dyDescent="0.3">
      <c r="B104" s="64"/>
      <c r="C104" s="66"/>
      <c r="D104" s="65"/>
      <c r="E104" s="65"/>
      <c r="F104" s="125"/>
      <c r="G104" s="14"/>
      <c r="H104" s="126"/>
      <c r="I104" s="127"/>
      <c r="J104" s="128"/>
      <c r="K104" s="88"/>
    </row>
    <row r="105" spans="2:11" ht="15.75" customHeight="1" x14ac:dyDescent="0.3">
      <c r="B105" s="64"/>
      <c r="C105" s="68"/>
      <c r="D105" s="69"/>
      <c r="E105" s="69"/>
      <c r="F105" s="129"/>
      <c r="G105" s="23"/>
      <c r="H105" s="130"/>
      <c r="I105" s="131"/>
      <c r="J105" s="132"/>
      <c r="K105" s="95"/>
    </row>
    <row r="106" spans="2:11" ht="15.75" customHeight="1" x14ac:dyDescent="0.3">
      <c r="B106" s="64"/>
      <c r="C106" s="66"/>
      <c r="D106" s="65"/>
      <c r="E106" s="65"/>
      <c r="F106" s="125"/>
      <c r="G106" s="14"/>
      <c r="H106" s="126"/>
      <c r="I106" s="127"/>
      <c r="J106" s="128"/>
      <c r="K106" s="88"/>
    </row>
    <row r="107" spans="2:11" ht="15.75" customHeight="1" x14ac:dyDescent="0.3">
      <c r="B107" s="64"/>
      <c r="C107" s="68"/>
      <c r="D107" s="69"/>
      <c r="E107" s="69"/>
      <c r="F107" s="129"/>
      <c r="G107" s="23"/>
      <c r="H107" s="130"/>
      <c r="I107" s="131"/>
      <c r="J107" s="132"/>
      <c r="K107" s="95"/>
    </row>
    <row r="108" spans="2:11" ht="15.75" customHeight="1" x14ac:dyDescent="0.3">
      <c r="B108" s="64"/>
      <c r="C108" s="66"/>
      <c r="D108" s="65"/>
      <c r="E108" s="65"/>
      <c r="F108" s="125"/>
      <c r="G108" s="14"/>
      <c r="H108" s="126"/>
      <c r="I108" s="127"/>
      <c r="J108" s="128"/>
      <c r="K108" s="88"/>
    </row>
    <row r="109" spans="2:11" ht="15.75" customHeight="1" x14ac:dyDescent="0.3">
      <c r="B109" s="64"/>
      <c r="C109" s="68"/>
      <c r="D109" s="69"/>
      <c r="E109" s="69"/>
      <c r="F109" s="129"/>
      <c r="G109" s="23"/>
      <c r="H109" s="130"/>
      <c r="I109" s="131"/>
      <c r="J109" s="132"/>
      <c r="K109" s="95"/>
    </row>
    <row r="110" spans="2:11" ht="15.75" customHeight="1" x14ac:dyDescent="0.3">
      <c r="B110" s="64"/>
      <c r="C110" s="66"/>
      <c r="D110" s="65"/>
      <c r="E110" s="65"/>
      <c r="F110" s="125"/>
      <c r="G110" s="14"/>
      <c r="H110" s="126"/>
      <c r="I110" s="127"/>
      <c r="J110" s="128"/>
      <c r="K110" s="88"/>
    </row>
    <row r="111" spans="2:11" ht="15.75" customHeight="1" x14ac:dyDescent="0.3">
      <c r="B111" s="64"/>
      <c r="C111" s="68"/>
      <c r="D111" s="69"/>
      <c r="E111" s="69"/>
      <c r="F111" s="129"/>
      <c r="G111" s="23"/>
      <c r="H111" s="130"/>
      <c r="I111" s="131"/>
      <c r="J111" s="132"/>
      <c r="K111" s="95"/>
    </row>
    <row r="112" spans="2:11" ht="15.75" customHeight="1" x14ac:dyDescent="0.3">
      <c r="B112" s="64"/>
      <c r="C112" s="66"/>
      <c r="D112" s="65"/>
      <c r="E112" s="65"/>
      <c r="F112" s="125"/>
      <c r="G112" s="14"/>
      <c r="H112" s="126"/>
      <c r="I112" s="127"/>
      <c r="J112" s="128"/>
      <c r="K112" s="88"/>
    </row>
    <row r="113" spans="2:11" ht="15.75" customHeight="1" x14ac:dyDescent="0.3">
      <c r="B113" s="64"/>
      <c r="C113" s="68"/>
      <c r="D113" s="69"/>
      <c r="E113" s="69"/>
      <c r="F113" s="129"/>
      <c r="G113" s="23"/>
      <c r="H113" s="130"/>
      <c r="I113" s="131"/>
      <c r="J113" s="132"/>
      <c r="K113" s="95"/>
    </row>
    <row r="114" spans="2:11" ht="15.75" customHeight="1" x14ac:dyDescent="0.3">
      <c r="B114" s="64"/>
      <c r="C114" s="66"/>
      <c r="D114" s="65"/>
      <c r="E114" s="65"/>
      <c r="F114" s="125"/>
      <c r="G114" s="14"/>
      <c r="H114" s="126"/>
      <c r="I114" s="127"/>
      <c r="J114" s="128"/>
      <c r="K114" s="88"/>
    </row>
    <row r="115" spans="2:11" ht="15.75" customHeight="1" x14ac:dyDescent="0.3">
      <c r="B115" s="64"/>
      <c r="C115" s="68"/>
      <c r="D115" s="69"/>
      <c r="E115" s="69"/>
      <c r="F115" s="129"/>
      <c r="G115" s="23"/>
      <c r="H115" s="130"/>
      <c r="I115" s="131"/>
      <c r="J115" s="132"/>
      <c r="K115" s="95"/>
    </row>
    <row r="116" spans="2:11" ht="15.75" customHeight="1" x14ac:dyDescent="0.3">
      <c r="B116" s="64"/>
      <c r="C116" s="66"/>
      <c r="D116" s="65"/>
      <c r="E116" s="65"/>
      <c r="F116" s="125"/>
      <c r="G116" s="14"/>
      <c r="H116" s="126"/>
      <c r="I116" s="127"/>
      <c r="J116" s="128"/>
      <c r="K116" s="88"/>
    </row>
    <row r="117" spans="2:11" ht="15.75" customHeight="1" x14ac:dyDescent="0.3">
      <c r="B117" s="64"/>
      <c r="C117" s="68"/>
      <c r="D117" s="69"/>
      <c r="E117" s="69"/>
      <c r="F117" s="129"/>
      <c r="G117" s="23"/>
      <c r="H117" s="130"/>
      <c r="I117" s="131"/>
      <c r="J117" s="132"/>
      <c r="K117" s="95"/>
    </row>
    <row r="118" spans="2:11" ht="15.75" customHeight="1" x14ac:dyDescent="0.3">
      <c r="B118" s="64"/>
      <c r="C118" s="66"/>
      <c r="D118" s="65"/>
      <c r="E118" s="65"/>
      <c r="F118" s="125"/>
      <c r="G118" s="14"/>
      <c r="H118" s="126"/>
      <c r="I118" s="127"/>
      <c r="J118" s="128"/>
      <c r="K118" s="88"/>
    </row>
    <row r="119" spans="2:11" ht="15.75" customHeight="1" x14ac:dyDescent="0.3">
      <c r="B119" s="64"/>
      <c r="C119" s="68"/>
      <c r="D119" s="69"/>
      <c r="E119" s="69"/>
      <c r="F119" s="129"/>
      <c r="G119" s="23"/>
      <c r="H119" s="130"/>
      <c r="I119" s="131"/>
      <c r="J119" s="132"/>
      <c r="K119" s="95"/>
    </row>
    <row r="120" spans="2:11" ht="15.75" customHeight="1" x14ac:dyDescent="0.3">
      <c r="B120" s="64"/>
      <c r="C120" s="66"/>
      <c r="D120" s="65"/>
      <c r="E120" s="65"/>
      <c r="F120" s="125"/>
      <c r="G120" s="14"/>
      <c r="H120" s="126"/>
      <c r="I120" s="127"/>
      <c r="J120" s="128"/>
      <c r="K120" s="88"/>
    </row>
    <row r="121" spans="2:11" ht="15.75" customHeight="1" x14ac:dyDescent="0.3">
      <c r="B121" s="64"/>
      <c r="C121" s="68"/>
      <c r="D121" s="69"/>
      <c r="E121" s="69"/>
      <c r="F121" s="129"/>
      <c r="G121" s="23"/>
      <c r="H121" s="130"/>
      <c r="I121" s="131"/>
      <c r="J121" s="132"/>
      <c r="K121" s="95"/>
    </row>
    <row r="122" spans="2:11" ht="15.75" customHeight="1" x14ac:dyDescent="0.3">
      <c r="B122" s="64"/>
      <c r="C122" s="66"/>
      <c r="D122" s="65"/>
      <c r="E122" s="65"/>
      <c r="F122" s="125"/>
      <c r="G122" s="14"/>
      <c r="H122" s="126"/>
      <c r="I122" s="127"/>
      <c r="J122" s="128"/>
      <c r="K122" s="88"/>
    </row>
    <row r="123" spans="2:11" ht="15.75" customHeight="1" x14ac:dyDescent="0.3">
      <c r="B123" s="64"/>
      <c r="C123" s="68"/>
      <c r="D123" s="69"/>
      <c r="E123" s="69"/>
      <c r="F123" s="129"/>
      <c r="G123" s="23"/>
      <c r="H123" s="130"/>
      <c r="I123" s="131"/>
      <c r="J123" s="132"/>
      <c r="K123" s="95"/>
    </row>
    <row r="124" spans="2:11" ht="15.75" customHeight="1" x14ac:dyDescent="0.3">
      <c r="B124" s="64"/>
      <c r="C124" s="66"/>
      <c r="D124" s="65"/>
      <c r="E124" s="65"/>
      <c r="F124" s="125"/>
      <c r="G124" s="14"/>
      <c r="H124" s="126"/>
      <c r="I124" s="127"/>
      <c r="J124" s="128"/>
      <c r="K124" s="88"/>
    </row>
    <row r="125" spans="2:11" ht="15.75" customHeight="1" x14ac:dyDescent="0.3">
      <c r="B125" s="64"/>
      <c r="C125" s="68"/>
      <c r="D125" s="69"/>
      <c r="E125" s="69"/>
      <c r="F125" s="129"/>
      <c r="G125" s="23"/>
      <c r="H125" s="130"/>
      <c r="I125" s="131"/>
      <c r="J125" s="132"/>
      <c r="K125" s="95"/>
    </row>
    <row r="126" spans="2:11" ht="15.75" customHeight="1" x14ac:dyDescent="0.3">
      <c r="B126" s="64"/>
      <c r="C126" s="66"/>
      <c r="D126" s="65"/>
      <c r="E126" s="65"/>
      <c r="F126" s="125"/>
      <c r="G126" s="14"/>
      <c r="H126" s="126"/>
      <c r="I126" s="127"/>
      <c r="J126" s="128"/>
      <c r="K126" s="88"/>
    </row>
    <row r="127" spans="2:11" ht="15.75" customHeight="1" x14ac:dyDescent="0.3">
      <c r="B127" s="64"/>
      <c r="C127" s="68"/>
      <c r="D127" s="69"/>
      <c r="E127" s="69"/>
      <c r="F127" s="129"/>
      <c r="G127" s="23"/>
      <c r="H127" s="130"/>
      <c r="I127" s="131"/>
      <c r="J127" s="132"/>
      <c r="K127" s="95"/>
    </row>
    <row r="128" spans="2:11" ht="15.75" customHeight="1" x14ac:dyDescent="0.3">
      <c r="B128" s="64"/>
      <c r="C128" s="66"/>
      <c r="D128" s="65"/>
      <c r="E128" s="65"/>
      <c r="F128" s="125"/>
      <c r="G128" s="14"/>
      <c r="H128" s="126"/>
      <c r="I128" s="127"/>
      <c r="J128" s="128"/>
      <c r="K128" s="88"/>
    </row>
    <row r="129" spans="2:11" ht="15.75" customHeight="1" x14ac:dyDescent="0.3">
      <c r="B129" s="64"/>
      <c r="C129" s="68"/>
      <c r="D129" s="69"/>
      <c r="E129" s="69"/>
      <c r="F129" s="129"/>
      <c r="G129" s="23"/>
      <c r="H129" s="130"/>
      <c r="I129" s="131"/>
      <c r="J129" s="132"/>
      <c r="K129" s="95"/>
    </row>
    <row r="130" spans="2:11" ht="15.75" customHeight="1" x14ac:dyDescent="0.3">
      <c r="B130" s="64"/>
      <c r="C130" s="66"/>
      <c r="D130" s="65"/>
      <c r="E130" s="65"/>
      <c r="F130" s="125"/>
      <c r="G130" s="14"/>
      <c r="H130" s="126"/>
      <c r="I130" s="127"/>
      <c r="J130" s="128"/>
      <c r="K130" s="88"/>
    </row>
    <row r="131" spans="2:11" ht="15.75" customHeight="1" x14ac:dyDescent="0.3">
      <c r="B131" s="64"/>
      <c r="C131" s="68"/>
      <c r="D131" s="69"/>
      <c r="E131" s="69"/>
      <c r="F131" s="129"/>
      <c r="G131" s="23"/>
      <c r="H131" s="130"/>
      <c r="I131" s="131"/>
      <c r="J131" s="132"/>
      <c r="K131" s="95"/>
    </row>
    <row r="132" spans="2:11" ht="15.75" customHeight="1" x14ac:dyDescent="0.3">
      <c r="B132" s="64"/>
      <c r="C132" s="66"/>
      <c r="D132" s="65"/>
      <c r="E132" s="65"/>
      <c r="F132" s="125"/>
      <c r="G132" s="14"/>
      <c r="H132" s="126"/>
      <c r="I132" s="127"/>
      <c r="J132" s="128"/>
      <c r="K132" s="88"/>
    </row>
    <row r="133" spans="2:11" ht="15.75" customHeight="1" x14ac:dyDescent="0.3">
      <c r="B133" s="64"/>
      <c r="C133" s="68"/>
      <c r="D133" s="69"/>
      <c r="E133" s="69"/>
      <c r="F133" s="129"/>
      <c r="G133" s="23"/>
      <c r="H133" s="130"/>
      <c r="I133" s="131"/>
      <c r="J133" s="132"/>
      <c r="K133" s="95"/>
    </row>
    <row r="134" spans="2:11" ht="15.75" customHeight="1" x14ac:dyDescent="0.3">
      <c r="B134" s="64"/>
      <c r="C134" s="66"/>
      <c r="D134" s="65"/>
      <c r="E134" s="65"/>
      <c r="F134" s="125"/>
      <c r="G134" s="14"/>
      <c r="H134" s="126"/>
      <c r="I134" s="127"/>
      <c r="J134" s="128"/>
      <c r="K134" s="88"/>
    </row>
    <row r="135" spans="2:11" ht="15.75" customHeight="1" x14ac:dyDescent="0.3">
      <c r="B135" s="64"/>
      <c r="C135" s="68"/>
      <c r="D135" s="69"/>
      <c r="E135" s="69"/>
      <c r="F135" s="129"/>
      <c r="G135" s="23"/>
      <c r="H135" s="130"/>
      <c r="I135" s="131"/>
      <c r="J135" s="132"/>
      <c r="K135" s="95"/>
    </row>
    <row r="136" spans="2:11" ht="15.75" customHeight="1" x14ac:dyDescent="0.3">
      <c r="B136" s="64"/>
      <c r="C136" s="66"/>
      <c r="D136" s="65"/>
      <c r="E136" s="65"/>
      <c r="F136" s="125"/>
      <c r="G136" s="14"/>
      <c r="H136" s="126"/>
      <c r="I136" s="127"/>
      <c r="J136" s="128"/>
      <c r="K136" s="88"/>
    </row>
    <row r="137" spans="2:11" ht="15.75" customHeight="1" x14ac:dyDescent="0.3">
      <c r="B137" s="64"/>
      <c r="C137" s="68"/>
      <c r="D137" s="69"/>
      <c r="E137" s="69"/>
      <c r="F137" s="129"/>
      <c r="G137" s="23"/>
      <c r="H137" s="130"/>
      <c r="I137" s="131"/>
      <c r="J137" s="132"/>
      <c r="K137" s="95"/>
    </row>
    <row r="138" spans="2:11" ht="15.75" customHeight="1" x14ac:dyDescent="0.3">
      <c r="B138" s="64"/>
      <c r="C138" s="66"/>
      <c r="D138" s="65"/>
      <c r="E138" s="65"/>
      <c r="F138" s="125"/>
      <c r="G138" s="14"/>
      <c r="H138" s="126"/>
      <c r="I138" s="127"/>
      <c r="J138" s="128"/>
      <c r="K138" s="88"/>
    </row>
    <row r="139" spans="2:11" ht="15.75" customHeight="1" x14ac:dyDescent="0.3">
      <c r="B139" s="64"/>
      <c r="C139" s="68"/>
      <c r="D139" s="69"/>
      <c r="E139" s="69"/>
      <c r="F139" s="129"/>
      <c r="G139" s="23"/>
      <c r="H139" s="130"/>
      <c r="I139" s="131"/>
      <c r="J139" s="132"/>
      <c r="K139" s="95"/>
    </row>
    <row r="140" spans="2:11" ht="15.75" customHeight="1" x14ac:dyDescent="0.3">
      <c r="B140" s="64"/>
      <c r="C140" s="66"/>
      <c r="D140" s="65"/>
      <c r="E140" s="65"/>
      <c r="F140" s="125"/>
      <c r="G140" s="14"/>
      <c r="H140" s="126"/>
      <c r="I140" s="127"/>
      <c r="J140" s="128"/>
      <c r="K140" s="88"/>
    </row>
    <row r="141" spans="2:11" ht="15.75" customHeight="1" x14ac:dyDescent="0.3">
      <c r="B141" s="64"/>
      <c r="C141" s="68"/>
      <c r="D141" s="69"/>
      <c r="E141" s="69"/>
      <c r="F141" s="129"/>
      <c r="G141" s="23"/>
      <c r="H141" s="130"/>
      <c r="I141" s="131"/>
      <c r="J141" s="132"/>
      <c r="K141" s="95"/>
    </row>
    <row r="142" spans="2:11" ht="15.75" customHeight="1" x14ac:dyDescent="0.3">
      <c r="B142" s="64"/>
      <c r="C142" s="66"/>
      <c r="D142" s="65"/>
      <c r="E142" s="65"/>
      <c r="F142" s="125"/>
      <c r="G142" s="14"/>
      <c r="H142" s="126"/>
      <c r="I142" s="127"/>
      <c r="J142" s="128"/>
      <c r="K142" s="88"/>
    </row>
    <row r="143" spans="2:11" ht="15.75" customHeight="1" x14ac:dyDescent="0.3">
      <c r="B143" s="64"/>
      <c r="C143" s="68"/>
      <c r="D143" s="69"/>
      <c r="E143" s="69"/>
      <c r="F143" s="129"/>
      <c r="G143" s="23"/>
      <c r="H143" s="130"/>
      <c r="I143" s="131"/>
      <c r="J143" s="132"/>
      <c r="K143" s="95"/>
    </row>
    <row r="144" spans="2:11" ht="15.75" customHeight="1" x14ac:dyDescent="0.3">
      <c r="B144" s="64"/>
      <c r="C144" s="66"/>
      <c r="D144" s="65"/>
      <c r="E144" s="65"/>
      <c r="F144" s="125"/>
      <c r="G144" s="14"/>
      <c r="H144" s="126"/>
      <c r="I144" s="127"/>
      <c r="J144" s="128"/>
      <c r="K144" s="88"/>
    </row>
    <row r="145" spans="2:11" ht="15.75" customHeight="1" x14ac:dyDescent="0.3">
      <c r="B145" s="64"/>
      <c r="C145" s="68"/>
      <c r="D145" s="69"/>
      <c r="E145" s="69"/>
      <c r="F145" s="129"/>
      <c r="G145" s="23"/>
      <c r="H145" s="130"/>
      <c r="I145" s="131"/>
      <c r="J145" s="132"/>
      <c r="K145" s="95"/>
    </row>
    <row r="146" spans="2:11" ht="15.75" customHeight="1" x14ac:dyDescent="0.3">
      <c r="B146" s="64"/>
      <c r="C146" s="66"/>
      <c r="D146" s="65"/>
      <c r="E146" s="65"/>
      <c r="F146" s="125"/>
      <c r="G146" s="14"/>
      <c r="H146" s="126"/>
      <c r="I146" s="127"/>
      <c r="J146" s="128"/>
      <c r="K146" s="88"/>
    </row>
    <row r="147" spans="2:11" ht="15.75" customHeight="1" x14ac:dyDescent="0.3">
      <c r="B147" s="64"/>
      <c r="C147" s="68"/>
      <c r="D147" s="69"/>
      <c r="E147" s="69"/>
      <c r="F147" s="129"/>
      <c r="G147" s="23"/>
      <c r="H147" s="130"/>
      <c r="I147" s="131"/>
      <c r="J147" s="132"/>
      <c r="K147" s="95"/>
    </row>
    <row r="148" spans="2:11" ht="15.75" customHeight="1" x14ac:dyDescent="0.3">
      <c r="B148" s="64"/>
      <c r="C148" s="66"/>
      <c r="D148" s="65"/>
      <c r="E148" s="65"/>
      <c r="F148" s="125"/>
      <c r="G148" s="14"/>
      <c r="H148" s="126"/>
      <c r="I148" s="127"/>
      <c r="J148" s="128"/>
      <c r="K148" s="88"/>
    </row>
    <row r="149" spans="2:11" ht="15.75" customHeight="1" x14ac:dyDescent="0.3">
      <c r="B149" s="64"/>
      <c r="C149" s="68"/>
      <c r="D149" s="69"/>
      <c r="E149" s="69"/>
      <c r="F149" s="129"/>
      <c r="G149" s="23"/>
      <c r="H149" s="130"/>
      <c r="I149" s="131"/>
      <c r="J149" s="132"/>
      <c r="K149" s="95"/>
    </row>
    <row r="150" spans="2:11" ht="15.75" customHeight="1" x14ac:dyDescent="0.3">
      <c r="B150" s="64"/>
      <c r="C150" s="66"/>
      <c r="D150" s="65"/>
      <c r="E150" s="65"/>
      <c r="F150" s="125"/>
      <c r="G150" s="14"/>
      <c r="H150" s="126"/>
      <c r="I150" s="127"/>
      <c r="J150" s="128"/>
      <c r="K150" s="88"/>
    </row>
    <row r="151" spans="2:11" ht="15.75" customHeight="1" x14ac:dyDescent="0.3">
      <c r="B151" s="64"/>
      <c r="C151" s="68"/>
      <c r="D151" s="69"/>
      <c r="E151" s="69"/>
      <c r="F151" s="129"/>
      <c r="G151" s="23"/>
      <c r="H151" s="130"/>
      <c r="I151" s="131"/>
      <c r="J151" s="132"/>
      <c r="K151" s="95"/>
    </row>
    <row r="152" spans="2:11" ht="15.75" customHeight="1" x14ac:dyDescent="0.3">
      <c r="B152" s="64"/>
      <c r="C152" s="66"/>
      <c r="D152" s="65"/>
      <c r="E152" s="65"/>
      <c r="F152" s="125"/>
      <c r="G152" s="14"/>
      <c r="H152" s="126"/>
      <c r="I152" s="127"/>
      <c r="J152" s="128"/>
      <c r="K152" s="88"/>
    </row>
    <row r="153" spans="2:11" ht="15.75" customHeight="1" x14ac:dyDescent="0.3">
      <c r="B153" s="64"/>
      <c r="C153" s="68"/>
      <c r="D153" s="69"/>
      <c r="E153" s="69"/>
      <c r="F153" s="129"/>
      <c r="G153" s="23"/>
      <c r="H153" s="130"/>
      <c r="I153" s="131"/>
      <c r="J153" s="132"/>
      <c r="K153" s="95"/>
    </row>
    <row r="154" spans="2:11" ht="15.75" customHeight="1" x14ac:dyDescent="0.3">
      <c r="B154" s="64"/>
      <c r="C154" s="66"/>
      <c r="D154" s="65"/>
      <c r="E154" s="65"/>
      <c r="F154" s="125"/>
      <c r="G154" s="14"/>
      <c r="H154" s="126"/>
      <c r="I154" s="127"/>
      <c r="J154" s="128"/>
      <c r="K154" s="88"/>
    </row>
    <row r="155" spans="2:11" ht="15.75" customHeight="1" x14ac:dyDescent="0.3">
      <c r="B155" s="64"/>
      <c r="C155" s="68"/>
      <c r="D155" s="69"/>
      <c r="E155" s="69"/>
      <c r="F155" s="129"/>
      <c r="G155" s="23"/>
      <c r="H155" s="130"/>
      <c r="I155" s="131"/>
      <c r="J155" s="132"/>
      <c r="K155" s="95"/>
    </row>
    <row r="156" spans="2:11" ht="15.75" customHeight="1" x14ac:dyDescent="0.3">
      <c r="B156" s="64"/>
      <c r="C156" s="66"/>
      <c r="D156" s="65"/>
      <c r="E156" s="65"/>
      <c r="F156" s="125"/>
      <c r="G156" s="14"/>
      <c r="H156" s="126"/>
      <c r="I156" s="127"/>
      <c r="J156" s="128"/>
      <c r="K156" s="88"/>
    </row>
    <row r="157" spans="2:11" ht="15.75" customHeight="1" x14ac:dyDescent="0.3">
      <c r="B157" s="64"/>
      <c r="C157" s="68"/>
      <c r="D157" s="69"/>
      <c r="E157" s="69"/>
      <c r="F157" s="129"/>
      <c r="G157" s="23"/>
      <c r="H157" s="130"/>
      <c r="I157" s="131"/>
      <c r="J157" s="132"/>
      <c r="K157" s="95"/>
    </row>
    <row r="158" spans="2:11" ht="15.75" customHeight="1" x14ac:dyDescent="0.3">
      <c r="B158" s="64"/>
      <c r="C158" s="66"/>
      <c r="D158" s="65"/>
      <c r="E158" s="65"/>
      <c r="F158" s="125"/>
      <c r="G158" s="14"/>
      <c r="H158" s="126"/>
      <c r="I158" s="127"/>
      <c r="J158" s="128"/>
      <c r="K158" s="88"/>
    </row>
    <row r="159" spans="2:11" ht="15.75" customHeight="1" x14ac:dyDescent="0.3">
      <c r="B159" s="64"/>
      <c r="C159" s="68"/>
      <c r="D159" s="69"/>
      <c r="E159" s="69"/>
      <c r="F159" s="129"/>
      <c r="G159" s="23"/>
      <c r="H159" s="130"/>
      <c r="I159" s="131"/>
      <c r="J159" s="132"/>
      <c r="K159" s="95"/>
    </row>
    <row r="160" spans="2:11" ht="15.75" customHeight="1" x14ac:dyDescent="0.3">
      <c r="B160" s="64"/>
      <c r="C160" s="66"/>
      <c r="D160" s="65"/>
      <c r="E160" s="65"/>
      <c r="F160" s="125"/>
      <c r="G160" s="14"/>
      <c r="H160" s="126"/>
      <c r="I160" s="127"/>
      <c r="J160" s="128"/>
      <c r="K160" s="88"/>
    </row>
    <row r="161" spans="2:11" ht="15.75" customHeight="1" x14ac:dyDescent="0.3">
      <c r="B161" s="64"/>
      <c r="C161" s="68"/>
      <c r="D161" s="69"/>
      <c r="E161" s="69"/>
      <c r="F161" s="129"/>
      <c r="G161" s="23"/>
      <c r="H161" s="130"/>
      <c r="I161" s="131"/>
      <c r="J161" s="132"/>
      <c r="K161" s="95"/>
    </row>
    <row r="162" spans="2:11" ht="15.75" customHeight="1" x14ac:dyDescent="0.3">
      <c r="B162" s="64"/>
      <c r="C162" s="66"/>
      <c r="D162" s="65"/>
      <c r="E162" s="65"/>
      <c r="F162" s="125"/>
      <c r="G162" s="14"/>
      <c r="H162" s="126"/>
      <c r="I162" s="127"/>
      <c r="J162" s="128"/>
      <c r="K162" s="88"/>
    </row>
    <row r="163" spans="2:11" ht="15.75" customHeight="1" x14ac:dyDescent="0.3">
      <c r="B163" s="64"/>
      <c r="C163" s="68"/>
      <c r="D163" s="69"/>
      <c r="E163" s="69"/>
      <c r="F163" s="129"/>
      <c r="G163" s="23"/>
      <c r="H163" s="130"/>
      <c r="I163" s="131"/>
      <c r="J163" s="132"/>
      <c r="K163" s="95"/>
    </row>
    <row r="164" spans="2:11" ht="15.75" customHeight="1" x14ac:dyDescent="0.3">
      <c r="B164" s="64"/>
      <c r="C164" s="66"/>
      <c r="D164" s="65"/>
      <c r="E164" s="65"/>
      <c r="F164" s="125"/>
      <c r="G164" s="14"/>
      <c r="H164" s="126"/>
      <c r="I164" s="127"/>
      <c r="J164" s="128"/>
      <c r="K164" s="88"/>
    </row>
    <row r="165" spans="2:11" ht="15.75" customHeight="1" x14ac:dyDescent="0.3">
      <c r="B165" s="64"/>
      <c r="C165" s="68"/>
      <c r="D165" s="69"/>
      <c r="E165" s="69"/>
      <c r="F165" s="129"/>
      <c r="G165" s="23"/>
      <c r="H165" s="130"/>
      <c r="I165" s="131"/>
      <c r="J165" s="132"/>
      <c r="K165" s="95"/>
    </row>
    <row r="166" spans="2:11" ht="15.75" customHeight="1" x14ac:dyDescent="0.3">
      <c r="B166" s="64"/>
      <c r="C166" s="66"/>
      <c r="D166" s="65"/>
      <c r="E166" s="65"/>
      <c r="F166" s="125"/>
      <c r="G166" s="14"/>
      <c r="H166" s="126"/>
      <c r="I166" s="127"/>
      <c r="J166" s="128"/>
      <c r="K166" s="88"/>
    </row>
    <row r="167" spans="2:11" ht="15.75" customHeight="1" x14ac:dyDescent="0.3">
      <c r="B167" s="64"/>
      <c r="C167" s="68"/>
      <c r="D167" s="69"/>
      <c r="E167" s="69"/>
      <c r="F167" s="129"/>
      <c r="G167" s="23"/>
      <c r="H167" s="130"/>
      <c r="I167" s="131"/>
      <c r="J167" s="132"/>
      <c r="K167" s="95"/>
    </row>
    <row r="168" spans="2:11" ht="15.75" customHeight="1" x14ac:dyDescent="0.3">
      <c r="B168" s="64"/>
      <c r="C168" s="66"/>
      <c r="D168" s="65"/>
      <c r="E168" s="65"/>
      <c r="F168" s="125"/>
      <c r="G168" s="14"/>
      <c r="H168" s="126"/>
      <c r="I168" s="127"/>
      <c r="J168" s="128"/>
      <c r="K168" s="88"/>
    </row>
    <row r="169" spans="2:11" ht="15.75" customHeight="1" x14ac:dyDescent="0.3">
      <c r="B169" s="64"/>
      <c r="C169" s="68"/>
      <c r="D169" s="69"/>
      <c r="E169" s="69"/>
      <c r="F169" s="129"/>
      <c r="G169" s="23"/>
      <c r="H169" s="130"/>
      <c r="I169" s="131"/>
      <c r="J169" s="132"/>
      <c r="K169" s="95"/>
    </row>
    <row r="170" spans="2:11" ht="15.75" customHeight="1" x14ac:dyDescent="0.3">
      <c r="B170" s="64"/>
      <c r="C170" s="66"/>
      <c r="D170" s="65"/>
      <c r="E170" s="65"/>
      <c r="F170" s="125"/>
      <c r="G170" s="14"/>
      <c r="H170" s="126"/>
      <c r="I170" s="127"/>
      <c r="J170" s="128"/>
      <c r="K170" s="88"/>
    </row>
    <row r="171" spans="2:11" ht="15.75" customHeight="1" x14ac:dyDescent="0.3">
      <c r="B171" s="64"/>
      <c r="C171" s="68"/>
      <c r="D171" s="69"/>
      <c r="E171" s="69"/>
      <c r="F171" s="129"/>
      <c r="G171" s="23"/>
      <c r="H171" s="130"/>
      <c r="I171" s="131"/>
      <c r="J171" s="132"/>
      <c r="K171" s="95"/>
    </row>
    <row r="172" spans="2:11" ht="15.75" customHeight="1" x14ac:dyDescent="0.3">
      <c r="B172" s="64"/>
      <c r="C172" s="66"/>
      <c r="D172" s="65"/>
      <c r="E172" s="65"/>
      <c r="F172" s="125"/>
      <c r="G172" s="14"/>
      <c r="H172" s="126"/>
      <c r="I172" s="127"/>
      <c r="J172" s="128"/>
      <c r="K172" s="88"/>
    </row>
    <row r="173" spans="2:11" ht="15.75" customHeight="1" x14ac:dyDescent="0.3">
      <c r="B173" s="64"/>
      <c r="C173" s="68"/>
      <c r="D173" s="69"/>
      <c r="E173" s="69"/>
      <c r="F173" s="129"/>
      <c r="G173" s="23"/>
      <c r="H173" s="130"/>
      <c r="I173" s="131"/>
      <c r="J173" s="132"/>
      <c r="K173" s="95"/>
    </row>
    <row r="174" spans="2:11" ht="15.75" customHeight="1" x14ac:dyDescent="0.3">
      <c r="B174" s="64"/>
      <c r="C174" s="66"/>
      <c r="D174" s="65"/>
      <c r="E174" s="65"/>
      <c r="F174" s="125"/>
      <c r="G174" s="14"/>
      <c r="H174" s="126"/>
      <c r="I174" s="127"/>
      <c r="J174" s="128"/>
      <c r="K174" s="88"/>
    </row>
    <row r="175" spans="2:11" ht="15.75" customHeight="1" x14ac:dyDescent="0.3">
      <c r="B175" s="64"/>
      <c r="C175" s="68"/>
      <c r="D175" s="69"/>
      <c r="E175" s="69"/>
      <c r="F175" s="129"/>
      <c r="G175" s="23"/>
      <c r="H175" s="130"/>
      <c r="I175" s="131"/>
      <c r="J175" s="132"/>
      <c r="K175" s="95"/>
    </row>
    <row r="176" spans="2:11" ht="15.75" customHeight="1" x14ac:dyDescent="0.3">
      <c r="B176" s="64"/>
      <c r="C176" s="66"/>
      <c r="D176" s="65"/>
      <c r="E176" s="65"/>
      <c r="F176" s="125"/>
      <c r="G176" s="14"/>
      <c r="H176" s="126"/>
      <c r="I176" s="127"/>
      <c r="J176" s="128"/>
      <c r="K176" s="88"/>
    </row>
    <row r="177" spans="2:11" ht="15.75" customHeight="1" x14ac:dyDescent="0.3">
      <c r="B177" s="64"/>
      <c r="C177" s="68"/>
      <c r="D177" s="69"/>
      <c r="E177" s="69"/>
      <c r="F177" s="129"/>
      <c r="G177" s="23"/>
      <c r="H177" s="130"/>
      <c r="I177" s="131"/>
      <c r="J177" s="132"/>
      <c r="K177" s="95"/>
    </row>
    <row r="178" spans="2:11" ht="15.75" customHeight="1" x14ac:dyDescent="0.3">
      <c r="B178" s="64"/>
      <c r="C178" s="66"/>
      <c r="D178" s="65"/>
      <c r="E178" s="65"/>
      <c r="F178" s="125"/>
      <c r="G178" s="14"/>
      <c r="H178" s="126"/>
      <c r="I178" s="127"/>
      <c r="J178" s="128"/>
      <c r="K178" s="88"/>
    </row>
    <row r="179" spans="2:11" ht="15.75" customHeight="1" x14ac:dyDescent="0.3">
      <c r="B179" s="64"/>
      <c r="C179" s="68"/>
      <c r="D179" s="69"/>
      <c r="E179" s="69"/>
      <c r="F179" s="129"/>
      <c r="G179" s="23"/>
      <c r="H179" s="130"/>
      <c r="I179" s="131"/>
      <c r="J179" s="132"/>
      <c r="K179" s="95"/>
    </row>
    <row r="180" spans="2:11" ht="15.75" customHeight="1" x14ac:dyDescent="0.3">
      <c r="B180" s="64"/>
      <c r="C180" s="66"/>
      <c r="D180" s="65"/>
      <c r="E180" s="65"/>
      <c r="F180" s="125"/>
      <c r="G180" s="14"/>
      <c r="H180" s="126"/>
      <c r="I180" s="127"/>
      <c r="J180" s="128"/>
      <c r="K180" s="88"/>
    </row>
    <row r="181" spans="2:11" ht="15.75" customHeight="1" x14ac:dyDescent="0.3">
      <c r="B181" s="64"/>
      <c r="C181" s="68"/>
      <c r="D181" s="69"/>
      <c r="E181" s="69"/>
      <c r="F181" s="129"/>
      <c r="G181" s="23"/>
      <c r="H181" s="130"/>
      <c r="I181" s="131"/>
      <c r="J181" s="132"/>
      <c r="K181" s="95"/>
    </row>
    <row r="182" spans="2:11" ht="15.75" customHeight="1" x14ac:dyDescent="0.3">
      <c r="B182" s="64"/>
      <c r="C182" s="66"/>
      <c r="D182" s="65"/>
      <c r="E182" s="65"/>
      <c r="F182" s="125"/>
      <c r="G182" s="14"/>
      <c r="H182" s="126"/>
      <c r="I182" s="127"/>
      <c r="J182" s="128"/>
      <c r="K182" s="88"/>
    </row>
    <row r="183" spans="2:11" ht="15.75" customHeight="1" x14ac:dyDescent="0.3">
      <c r="B183" s="64"/>
      <c r="C183" s="68"/>
      <c r="D183" s="69"/>
      <c r="E183" s="69"/>
      <c r="F183" s="129"/>
      <c r="G183" s="23"/>
      <c r="H183" s="130"/>
      <c r="I183" s="131"/>
      <c r="J183" s="132"/>
      <c r="K183" s="95"/>
    </row>
    <row r="184" spans="2:11" ht="15.75" customHeight="1" x14ac:dyDescent="0.3">
      <c r="B184" s="64"/>
      <c r="C184" s="66"/>
      <c r="D184" s="65"/>
      <c r="E184" s="65"/>
      <c r="F184" s="125"/>
      <c r="G184" s="14"/>
      <c r="H184" s="126"/>
      <c r="I184" s="127"/>
      <c r="J184" s="128"/>
      <c r="K184" s="88"/>
    </row>
    <row r="185" spans="2:11" ht="15.75" customHeight="1" x14ac:dyDescent="0.3">
      <c r="B185" s="64"/>
      <c r="C185" s="68"/>
      <c r="D185" s="69"/>
      <c r="E185" s="69"/>
      <c r="F185" s="129"/>
      <c r="G185" s="23"/>
      <c r="H185" s="130"/>
      <c r="I185" s="131"/>
      <c r="J185" s="132"/>
      <c r="K185" s="95"/>
    </row>
    <row r="186" spans="2:11" ht="15.75" customHeight="1" x14ac:dyDescent="0.3">
      <c r="B186" s="64"/>
      <c r="C186" s="66"/>
      <c r="D186" s="65"/>
      <c r="E186" s="65"/>
      <c r="F186" s="125"/>
      <c r="G186" s="14"/>
      <c r="H186" s="126"/>
      <c r="I186" s="127"/>
      <c r="J186" s="128"/>
      <c r="K186" s="88"/>
    </row>
    <row r="187" spans="2:11" ht="15.75" customHeight="1" x14ac:dyDescent="0.3">
      <c r="B187" s="64"/>
      <c r="C187" s="68"/>
      <c r="D187" s="69"/>
      <c r="E187" s="69"/>
      <c r="F187" s="129"/>
      <c r="G187" s="23"/>
      <c r="H187" s="130"/>
      <c r="I187" s="131"/>
      <c r="J187" s="132"/>
      <c r="K187" s="95"/>
    </row>
    <row r="188" spans="2:11" ht="15.75" customHeight="1" x14ac:dyDescent="0.3">
      <c r="B188" s="64"/>
      <c r="C188" s="66"/>
      <c r="D188" s="65"/>
      <c r="E188" s="65"/>
      <c r="F188" s="125"/>
      <c r="G188" s="14"/>
      <c r="H188" s="126"/>
      <c r="I188" s="127"/>
      <c r="J188" s="128"/>
      <c r="K188" s="88"/>
    </row>
    <row r="189" spans="2:11" ht="15.75" customHeight="1" x14ac:dyDescent="0.3">
      <c r="B189" s="64"/>
      <c r="C189" s="68"/>
      <c r="D189" s="69"/>
      <c r="E189" s="69"/>
      <c r="F189" s="129"/>
      <c r="G189" s="23"/>
      <c r="H189" s="130"/>
      <c r="I189" s="131"/>
      <c r="J189" s="132"/>
      <c r="K189" s="95"/>
    </row>
    <row r="190" spans="2:11" ht="15.75" customHeight="1" x14ac:dyDescent="0.3">
      <c r="B190" s="64"/>
      <c r="C190" s="66"/>
      <c r="D190" s="65"/>
      <c r="E190" s="65"/>
      <c r="F190" s="125"/>
      <c r="G190" s="14"/>
      <c r="H190" s="126"/>
      <c r="I190" s="127"/>
      <c r="J190" s="128"/>
      <c r="K190" s="88"/>
    </row>
    <row r="191" spans="2:11" ht="15.75" customHeight="1" x14ac:dyDescent="0.3">
      <c r="B191" s="64"/>
      <c r="C191" s="68"/>
      <c r="D191" s="69"/>
      <c r="E191" s="69"/>
      <c r="F191" s="129"/>
      <c r="G191" s="23"/>
      <c r="H191" s="130"/>
      <c r="I191" s="131"/>
      <c r="J191" s="132"/>
      <c r="K191" s="95"/>
    </row>
    <row r="192" spans="2:11" ht="15.75" customHeight="1" x14ac:dyDescent="0.3">
      <c r="B192" s="64"/>
      <c r="C192" s="66"/>
      <c r="D192" s="65"/>
      <c r="E192" s="65"/>
      <c r="F192" s="125"/>
      <c r="G192" s="14"/>
      <c r="H192" s="126"/>
      <c r="I192" s="127"/>
      <c r="J192" s="128"/>
      <c r="K192" s="88"/>
    </row>
    <row r="193" spans="2:11" ht="15.75" customHeight="1" x14ac:dyDescent="0.3">
      <c r="B193" s="64"/>
      <c r="C193" s="68"/>
      <c r="D193" s="69"/>
      <c r="E193" s="69"/>
      <c r="F193" s="129"/>
      <c r="G193" s="23"/>
      <c r="H193" s="130"/>
      <c r="I193" s="131"/>
      <c r="J193" s="132"/>
      <c r="K193" s="95"/>
    </row>
    <row r="194" spans="2:11" ht="15.75" customHeight="1" x14ac:dyDescent="0.3">
      <c r="B194" s="64"/>
      <c r="C194" s="66"/>
      <c r="D194" s="65"/>
      <c r="E194" s="65"/>
      <c r="F194" s="125"/>
      <c r="G194" s="14"/>
      <c r="H194" s="126"/>
      <c r="I194" s="127"/>
      <c r="J194" s="128"/>
      <c r="K194" s="88"/>
    </row>
    <row r="195" spans="2:11" ht="15.75" customHeight="1" x14ac:dyDescent="0.3">
      <c r="B195" s="64"/>
      <c r="C195" s="68"/>
      <c r="D195" s="69"/>
      <c r="E195" s="69"/>
      <c r="F195" s="129"/>
      <c r="G195" s="23"/>
      <c r="H195" s="130"/>
      <c r="I195" s="131"/>
      <c r="J195" s="132"/>
      <c r="K195" s="95"/>
    </row>
    <row r="196" spans="2:11" ht="15.75" customHeight="1" x14ac:dyDescent="0.3">
      <c r="B196" s="64"/>
      <c r="C196" s="66"/>
      <c r="D196" s="65"/>
      <c r="E196" s="65"/>
      <c r="F196" s="125"/>
      <c r="G196" s="14"/>
      <c r="H196" s="126"/>
      <c r="I196" s="127"/>
      <c r="J196" s="128"/>
      <c r="K196" s="88"/>
    </row>
    <row r="197" spans="2:11" ht="15.75" customHeight="1" x14ac:dyDescent="0.3">
      <c r="B197" s="64"/>
      <c r="C197" s="68"/>
      <c r="D197" s="69"/>
      <c r="E197" s="69"/>
      <c r="F197" s="129"/>
      <c r="G197" s="23"/>
      <c r="H197" s="130"/>
      <c r="I197" s="131"/>
      <c r="J197" s="132"/>
      <c r="K197" s="95"/>
    </row>
    <row r="198" spans="2:11" ht="15.75" customHeight="1" x14ac:dyDescent="0.3">
      <c r="B198" s="64"/>
      <c r="C198" s="66"/>
      <c r="D198" s="65"/>
      <c r="E198" s="65"/>
      <c r="F198" s="125"/>
      <c r="G198" s="14"/>
      <c r="H198" s="126"/>
      <c r="I198" s="127"/>
      <c r="J198" s="128"/>
      <c r="K198" s="88"/>
    </row>
    <row r="199" spans="2:11" ht="15.75" customHeight="1" x14ac:dyDescent="0.3">
      <c r="B199" s="64"/>
      <c r="C199" s="68"/>
      <c r="D199" s="69"/>
      <c r="E199" s="69"/>
      <c r="F199" s="129"/>
      <c r="G199" s="23"/>
      <c r="H199" s="130"/>
      <c r="I199" s="131"/>
      <c r="J199" s="132"/>
      <c r="K199" s="95"/>
    </row>
    <row r="200" spans="2:11" ht="15.75" customHeight="1" x14ac:dyDescent="0.3">
      <c r="B200" s="64"/>
      <c r="C200" s="66"/>
      <c r="D200" s="65"/>
      <c r="E200" s="65"/>
      <c r="F200" s="125"/>
      <c r="G200" s="14"/>
      <c r="H200" s="126"/>
      <c r="I200" s="127"/>
      <c r="J200" s="128"/>
      <c r="K200" s="88"/>
    </row>
    <row r="201" spans="2:11" ht="15.75" customHeight="1" x14ac:dyDescent="0.3">
      <c r="B201" s="64"/>
      <c r="C201" s="68"/>
      <c r="D201" s="69"/>
      <c r="E201" s="69"/>
      <c r="F201" s="129"/>
      <c r="G201" s="23"/>
      <c r="H201" s="130"/>
      <c r="I201" s="131"/>
      <c r="J201" s="132"/>
      <c r="K201" s="95"/>
    </row>
    <row r="202" spans="2:11" ht="15.75" customHeight="1" x14ac:dyDescent="0.3">
      <c r="B202" s="64"/>
      <c r="C202" s="66"/>
      <c r="D202" s="65"/>
      <c r="E202" s="65"/>
      <c r="F202" s="125"/>
      <c r="G202" s="14"/>
      <c r="H202" s="126"/>
      <c r="I202" s="127"/>
      <c r="J202" s="128"/>
      <c r="K202" s="88"/>
    </row>
    <row r="203" spans="2:11" ht="15.75" customHeight="1" x14ac:dyDescent="0.3">
      <c r="B203" s="64"/>
      <c r="C203" s="68"/>
      <c r="D203" s="69"/>
      <c r="E203" s="69"/>
      <c r="F203" s="129"/>
      <c r="G203" s="23"/>
      <c r="H203" s="130"/>
      <c r="I203" s="131"/>
      <c r="J203" s="132"/>
      <c r="K203" s="95"/>
    </row>
    <row r="204" spans="2:11" ht="15.75" customHeight="1" x14ac:dyDescent="0.3">
      <c r="B204" s="64"/>
      <c r="C204" s="66"/>
      <c r="D204" s="65"/>
      <c r="E204" s="65"/>
      <c r="F204" s="125"/>
      <c r="G204" s="14"/>
      <c r="H204" s="126"/>
      <c r="I204" s="127"/>
      <c r="J204" s="128"/>
      <c r="K204" s="88"/>
    </row>
    <row r="205" spans="2:11" ht="15.75" customHeight="1" x14ac:dyDescent="0.3">
      <c r="B205" s="64"/>
      <c r="C205" s="68"/>
      <c r="D205" s="69"/>
      <c r="E205" s="69"/>
      <c r="F205" s="129"/>
      <c r="G205" s="23"/>
      <c r="H205" s="130"/>
      <c r="I205" s="131"/>
      <c r="J205" s="132"/>
      <c r="K205" s="95"/>
    </row>
    <row r="206" spans="2:11" ht="15.75" customHeight="1" x14ac:dyDescent="0.3">
      <c r="B206" s="64"/>
      <c r="C206" s="66"/>
      <c r="D206" s="65"/>
      <c r="E206" s="65"/>
      <c r="F206" s="125"/>
      <c r="G206" s="14"/>
      <c r="H206" s="126"/>
      <c r="I206" s="127"/>
      <c r="J206" s="128"/>
      <c r="K206" s="88"/>
    </row>
    <row r="207" spans="2:11" ht="15.75" customHeight="1" x14ac:dyDescent="0.3">
      <c r="B207" s="64"/>
      <c r="C207" s="68"/>
      <c r="D207" s="69"/>
      <c r="E207" s="69"/>
      <c r="F207" s="129"/>
      <c r="G207" s="23"/>
      <c r="H207" s="130"/>
      <c r="I207" s="131"/>
      <c r="J207" s="132"/>
      <c r="K207" s="95"/>
    </row>
    <row r="208" spans="2:11" ht="15.75" customHeight="1" x14ac:dyDescent="0.3">
      <c r="B208" s="64"/>
      <c r="C208" s="66"/>
      <c r="D208" s="65"/>
      <c r="E208" s="65"/>
      <c r="F208" s="125"/>
      <c r="G208" s="14"/>
      <c r="H208" s="126"/>
      <c r="I208" s="127"/>
      <c r="J208" s="128"/>
      <c r="K208" s="88"/>
    </row>
    <row r="209" spans="2:11" ht="15.75" customHeight="1" x14ac:dyDescent="0.3">
      <c r="B209" s="64"/>
      <c r="C209" s="68"/>
      <c r="D209" s="69"/>
      <c r="E209" s="69"/>
      <c r="F209" s="129"/>
      <c r="G209" s="23"/>
      <c r="H209" s="130"/>
      <c r="I209" s="131"/>
      <c r="J209" s="132"/>
      <c r="K209" s="95"/>
    </row>
    <row r="210" spans="2:11" ht="15.75" customHeight="1" x14ac:dyDescent="0.3">
      <c r="B210" s="64"/>
      <c r="C210" s="66"/>
      <c r="D210" s="65"/>
      <c r="E210" s="65"/>
      <c r="F210" s="125"/>
      <c r="G210" s="14"/>
      <c r="H210" s="126"/>
      <c r="I210" s="127"/>
      <c r="J210" s="128"/>
      <c r="K210" s="88"/>
    </row>
    <row r="211" spans="2:11" ht="15.75" customHeight="1" x14ac:dyDescent="0.3">
      <c r="B211" s="64"/>
      <c r="C211" s="68"/>
      <c r="D211" s="69"/>
      <c r="E211" s="69"/>
      <c r="F211" s="129"/>
      <c r="G211" s="23"/>
      <c r="H211" s="130"/>
      <c r="I211" s="131"/>
      <c r="J211" s="132"/>
      <c r="K211" s="95"/>
    </row>
    <row r="212" spans="2:11" ht="15.75" customHeight="1" x14ac:dyDescent="0.3">
      <c r="B212" s="64"/>
      <c r="C212" s="66"/>
      <c r="D212" s="65"/>
      <c r="E212" s="65"/>
      <c r="F212" s="125"/>
      <c r="G212" s="14"/>
      <c r="H212" s="126"/>
      <c r="I212" s="127"/>
      <c r="J212" s="128"/>
      <c r="K212" s="88"/>
    </row>
    <row r="213" spans="2:11" ht="15.75" customHeight="1" x14ac:dyDescent="0.3">
      <c r="B213" s="64"/>
      <c r="C213" s="68"/>
      <c r="D213" s="69"/>
      <c r="E213" s="69"/>
      <c r="F213" s="129"/>
      <c r="G213" s="23"/>
      <c r="H213" s="130"/>
      <c r="I213" s="131"/>
      <c r="J213" s="132"/>
      <c r="K213" s="95"/>
    </row>
    <row r="214" spans="2:11" ht="15.75" customHeight="1" x14ac:dyDescent="0.3">
      <c r="B214" s="64"/>
      <c r="C214" s="66"/>
      <c r="D214" s="65"/>
      <c r="E214" s="65"/>
      <c r="F214" s="125"/>
      <c r="G214" s="14"/>
      <c r="H214" s="126"/>
      <c r="I214" s="127"/>
      <c r="J214" s="128"/>
      <c r="K214" s="88"/>
    </row>
    <row r="215" spans="2:11" ht="15.75" customHeight="1" x14ac:dyDescent="0.3">
      <c r="B215" s="64"/>
      <c r="C215" s="68"/>
      <c r="D215" s="69"/>
      <c r="E215" s="69"/>
      <c r="F215" s="129"/>
      <c r="G215" s="23"/>
      <c r="H215" s="130"/>
      <c r="I215" s="131"/>
      <c r="J215" s="132"/>
      <c r="K215" s="95"/>
    </row>
    <row r="216" spans="2:11" ht="15.75" customHeight="1" x14ac:dyDescent="0.3">
      <c r="B216" s="64"/>
      <c r="C216" s="66"/>
      <c r="D216" s="65"/>
      <c r="E216" s="65"/>
      <c r="F216" s="125"/>
      <c r="G216" s="14"/>
      <c r="H216" s="126"/>
      <c r="I216" s="127"/>
      <c r="J216" s="128"/>
      <c r="K216" s="88"/>
    </row>
    <row r="217" spans="2:11" ht="15.75" customHeight="1" x14ac:dyDescent="0.3">
      <c r="B217" s="64"/>
      <c r="C217" s="68"/>
      <c r="D217" s="69"/>
      <c r="E217" s="69"/>
      <c r="F217" s="129"/>
      <c r="G217" s="23"/>
      <c r="H217" s="130"/>
      <c r="I217" s="131"/>
      <c r="J217" s="132"/>
      <c r="K217" s="95"/>
    </row>
    <row r="218" spans="2:11" ht="15.75" customHeight="1" x14ac:dyDescent="0.3">
      <c r="B218" s="64"/>
      <c r="C218" s="66"/>
      <c r="D218" s="65"/>
      <c r="E218" s="65"/>
      <c r="F218" s="125"/>
      <c r="G218" s="14"/>
      <c r="H218" s="126"/>
      <c r="I218" s="127"/>
      <c r="J218" s="128"/>
      <c r="K218" s="88"/>
    </row>
    <row r="219" spans="2:11" ht="15.75" customHeight="1" x14ac:dyDescent="0.3">
      <c r="B219" s="64"/>
      <c r="C219" s="68"/>
      <c r="D219" s="69"/>
      <c r="E219" s="69"/>
      <c r="F219" s="129"/>
      <c r="G219" s="23"/>
      <c r="H219" s="130"/>
      <c r="I219" s="131"/>
      <c r="J219" s="132"/>
      <c r="K219" s="95"/>
    </row>
    <row r="220" spans="2:11" ht="15.75" customHeight="1" x14ac:dyDescent="0.3">
      <c r="B220" s="64"/>
      <c r="C220" s="66"/>
      <c r="D220" s="65"/>
      <c r="E220" s="65"/>
      <c r="F220" s="125"/>
      <c r="G220" s="14"/>
      <c r="H220" s="126"/>
      <c r="I220" s="127"/>
      <c r="J220" s="128"/>
      <c r="K220" s="88"/>
    </row>
    <row r="221" spans="2:11" ht="15.75" customHeight="1" x14ac:dyDescent="0.3">
      <c r="B221" s="64"/>
      <c r="C221" s="68"/>
      <c r="D221" s="69"/>
      <c r="E221" s="69"/>
      <c r="F221" s="129"/>
      <c r="G221" s="23"/>
      <c r="H221" s="130"/>
      <c r="I221" s="131"/>
      <c r="J221" s="132"/>
      <c r="K221" s="95"/>
    </row>
    <row r="222" spans="2:11" ht="15.75" customHeight="1" x14ac:dyDescent="0.3">
      <c r="B222" s="64"/>
      <c r="C222" s="66"/>
      <c r="D222" s="65"/>
      <c r="E222" s="65"/>
      <c r="F222" s="125"/>
      <c r="G222" s="14"/>
      <c r="H222" s="126"/>
      <c r="I222" s="127"/>
      <c r="J222" s="128"/>
      <c r="K222" s="88"/>
    </row>
    <row r="223" spans="2:11" ht="15.75" customHeight="1" x14ac:dyDescent="0.3">
      <c r="B223" s="64"/>
      <c r="C223" s="68"/>
      <c r="D223" s="69"/>
      <c r="E223" s="69"/>
      <c r="F223" s="129"/>
      <c r="G223" s="23"/>
      <c r="H223" s="130"/>
      <c r="I223" s="131"/>
      <c r="J223" s="132"/>
      <c r="K223" s="95"/>
    </row>
    <row r="224" spans="2:11" ht="15.75" customHeight="1" x14ac:dyDescent="0.3">
      <c r="B224" s="64"/>
      <c r="C224" s="66"/>
      <c r="D224" s="65"/>
      <c r="E224" s="65"/>
      <c r="F224" s="125"/>
      <c r="G224" s="14"/>
      <c r="H224" s="126"/>
      <c r="I224" s="127"/>
      <c r="J224" s="128"/>
      <c r="K224" s="88"/>
    </row>
    <row r="225" spans="2:11" ht="15.75" customHeight="1" x14ac:dyDescent="0.3">
      <c r="B225" s="64"/>
      <c r="C225" s="68"/>
      <c r="D225" s="69"/>
      <c r="E225" s="69"/>
      <c r="F225" s="129"/>
      <c r="G225" s="23"/>
      <c r="H225" s="130"/>
      <c r="I225" s="131"/>
      <c r="J225" s="132"/>
      <c r="K225" s="95"/>
    </row>
    <row r="226" spans="2:11" ht="15.75" customHeight="1" x14ac:dyDescent="0.3">
      <c r="B226" s="64"/>
      <c r="C226" s="66"/>
      <c r="D226" s="65"/>
      <c r="E226" s="65"/>
      <c r="F226" s="125"/>
      <c r="G226" s="14"/>
      <c r="H226" s="126"/>
      <c r="I226" s="127"/>
      <c r="J226" s="128"/>
      <c r="K226" s="88"/>
    </row>
    <row r="227" spans="2:11" ht="15.75" customHeight="1" x14ac:dyDescent="0.3">
      <c r="B227" s="64"/>
      <c r="C227" s="68"/>
      <c r="D227" s="69"/>
      <c r="E227" s="69"/>
      <c r="F227" s="129"/>
      <c r="G227" s="23"/>
      <c r="H227" s="130"/>
      <c r="I227" s="131"/>
      <c r="J227" s="132"/>
      <c r="K227" s="95"/>
    </row>
    <row r="228" spans="2:11" ht="15.75" customHeight="1" x14ac:dyDescent="0.3">
      <c r="B228" s="64"/>
      <c r="C228" s="66"/>
      <c r="D228" s="65"/>
      <c r="E228" s="65"/>
      <c r="F228" s="125"/>
      <c r="G228" s="14"/>
      <c r="H228" s="126"/>
      <c r="I228" s="127"/>
      <c r="J228" s="128"/>
      <c r="K228" s="88"/>
    </row>
    <row r="229" spans="2:11" ht="15.75" customHeight="1" x14ac:dyDescent="0.3">
      <c r="B229" s="64"/>
      <c r="C229" s="68"/>
      <c r="D229" s="69"/>
      <c r="E229" s="69"/>
      <c r="F229" s="129"/>
      <c r="G229" s="23"/>
      <c r="H229" s="130"/>
      <c r="I229" s="131"/>
      <c r="J229" s="132"/>
      <c r="K229" s="95"/>
    </row>
    <row r="230" spans="2:11" ht="15.75" customHeight="1" x14ac:dyDescent="0.3">
      <c r="B230" s="64"/>
      <c r="C230" s="66"/>
      <c r="D230" s="65"/>
      <c r="E230" s="65"/>
      <c r="F230" s="125"/>
      <c r="G230" s="14"/>
      <c r="H230" s="126"/>
      <c r="I230" s="127"/>
      <c r="J230" s="128"/>
      <c r="K230" s="88"/>
    </row>
    <row r="231" spans="2:11" ht="15.75" customHeight="1" x14ac:dyDescent="0.3">
      <c r="B231" s="64"/>
      <c r="C231" s="68"/>
      <c r="D231" s="69"/>
      <c r="E231" s="69"/>
      <c r="F231" s="129"/>
      <c r="G231" s="23"/>
      <c r="H231" s="130"/>
      <c r="I231" s="131"/>
      <c r="J231" s="132"/>
      <c r="K231" s="95"/>
    </row>
    <row r="232" spans="2:11" ht="15.75" customHeight="1" x14ac:dyDescent="0.3">
      <c r="B232" s="64"/>
      <c r="C232" s="66"/>
      <c r="D232" s="65"/>
      <c r="E232" s="65"/>
      <c r="F232" s="125"/>
      <c r="G232" s="14"/>
      <c r="H232" s="126"/>
      <c r="I232" s="127"/>
      <c r="J232" s="128"/>
      <c r="K232" s="88"/>
    </row>
    <row r="233" spans="2:11" ht="15.75" customHeight="1" x14ac:dyDescent="0.3">
      <c r="B233" s="64"/>
      <c r="C233" s="68"/>
      <c r="D233" s="69"/>
      <c r="E233" s="69"/>
      <c r="F233" s="129"/>
      <c r="G233" s="23"/>
      <c r="H233" s="130"/>
      <c r="I233" s="131"/>
      <c r="J233" s="132"/>
      <c r="K233" s="95"/>
    </row>
    <row r="234" spans="2:11" ht="15.75" customHeight="1" x14ac:dyDescent="0.3">
      <c r="B234" s="64"/>
      <c r="C234" s="66"/>
      <c r="D234" s="65"/>
      <c r="E234" s="65"/>
      <c r="F234" s="125"/>
      <c r="G234" s="14"/>
      <c r="H234" s="126"/>
      <c r="I234" s="127"/>
      <c r="J234" s="128"/>
      <c r="K234" s="88"/>
    </row>
    <row r="235" spans="2:11" ht="15.75" customHeight="1" x14ac:dyDescent="0.3">
      <c r="B235" s="64"/>
      <c r="C235" s="68"/>
      <c r="D235" s="69"/>
      <c r="E235" s="69"/>
      <c r="F235" s="129"/>
      <c r="G235" s="23"/>
      <c r="H235" s="130"/>
      <c r="I235" s="131"/>
      <c r="J235" s="132"/>
      <c r="K235" s="95"/>
    </row>
    <row r="236" spans="2:11" ht="15.75" customHeight="1" x14ac:dyDescent="0.3">
      <c r="B236" s="64"/>
      <c r="C236" s="66"/>
      <c r="D236" s="65"/>
      <c r="E236" s="65"/>
      <c r="F236" s="125"/>
      <c r="G236" s="14"/>
      <c r="H236" s="126"/>
      <c r="I236" s="127"/>
      <c r="J236" s="128"/>
      <c r="K236" s="88"/>
    </row>
    <row r="237" spans="2:11" ht="15.75" customHeight="1" x14ac:dyDescent="0.3">
      <c r="B237" s="64"/>
      <c r="C237" s="68"/>
      <c r="D237" s="69"/>
      <c r="E237" s="69"/>
      <c r="F237" s="129"/>
      <c r="G237" s="23"/>
      <c r="H237" s="130"/>
      <c r="I237" s="131"/>
      <c r="J237" s="132"/>
      <c r="K237" s="95"/>
    </row>
    <row r="238" spans="2:11" ht="15.75" customHeight="1" x14ac:dyDescent="0.3">
      <c r="B238" s="64"/>
      <c r="C238" s="66"/>
      <c r="D238" s="65"/>
      <c r="E238" s="65"/>
      <c r="F238" s="125"/>
      <c r="G238" s="14"/>
      <c r="H238" s="126"/>
      <c r="I238" s="127"/>
      <c r="J238" s="128"/>
      <c r="K238" s="88"/>
    </row>
    <row r="239" spans="2:11" ht="15.75" customHeight="1" x14ac:dyDescent="0.3">
      <c r="B239" s="64"/>
      <c r="C239" s="68"/>
      <c r="D239" s="69"/>
      <c r="E239" s="69"/>
      <c r="F239" s="129"/>
      <c r="G239" s="23"/>
      <c r="H239" s="130"/>
      <c r="I239" s="131"/>
      <c r="J239" s="132"/>
      <c r="K239" s="95"/>
    </row>
    <row r="240" spans="2:11" ht="15.75" customHeight="1" x14ac:dyDescent="0.3">
      <c r="B240" s="64"/>
      <c r="C240" s="66"/>
      <c r="D240" s="65"/>
      <c r="E240" s="65"/>
      <c r="F240" s="125"/>
      <c r="G240" s="14"/>
      <c r="H240" s="126"/>
      <c r="I240" s="127"/>
      <c r="J240" s="128"/>
      <c r="K240" s="88"/>
    </row>
    <row r="241" spans="2:11" ht="15.75" customHeight="1" x14ac:dyDescent="0.3">
      <c r="B241" s="64"/>
      <c r="C241" s="68"/>
      <c r="D241" s="69"/>
      <c r="E241" s="69"/>
      <c r="F241" s="129"/>
      <c r="G241" s="23"/>
      <c r="H241" s="130"/>
      <c r="I241" s="131"/>
      <c r="J241" s="132"/>
      <c r="K241" s="95"/>
    </row>
    <row r="242" spans="2:11" ht="15.75" customHeight="1" x14ac:dyDescent="0.3">
      <c r="B242" s="64"/>
      <c r="C242" s="66"/>
      <c r="D242" s="65"/>
      <c r="E242" s="65"/>
      <c r="F242" s="125"/>
      <c r="G242" s="14"/>
      <c r="H242" s="126"/>
      <c r="I242" s="127"/>
      <c r="J242" s="128"/>
      <c r="K242" s="88"/>
    </row>
    <row r="243" spans="2:11" ht="15.75" customHeight="1" x14ac:dyDescent="0.3">
      <c r="B243" s="64"/>
      <c r="C243" s="68"/>
      <c r="D243" s="69"/>
      <c r="E243" s="69"/>
      <c r="F243" s="129"/>
      <c r="G243" s="23"/>
      <c r="H243" s="130"/>
      <c r="I243" s="131"/>
      <c r="J243" s="132"/>
      <c r="K243" s="95"/>
    </row>
    <row r="244" spans="2:11" ht="15.75" customHeight="1" x14ac:dyDescent="0.3">
      <c r="B244" s="64"/>
      <c r="C244" s="66"/>
      <c r="D244" s="65"/>
      <c r="E244" s="65"/>
      <c r="F244" s="125"/>
      <c r="G244" s="14"/>
      <c r="H244" s="126"/>
      <c r="I244" s="127"/>
      <c r="J244" s="128"/>
      <c r="K244" s="88"/>
    </row>
    <row r="245" spans="2:11" ht="15.75" customHeight="1" x14ac:dyDescent="0.3">
      <c r="B245" s="64"/>
      <c r="C245" s="68"/>
      <c r="D245" s="69"/>
      <c r="E245" s="69"/>
      <c r="F245" s="129"/>
      <c r="G245" s="23"/>
      <c r="H245" s="130"/>
      <c r="I245" s="131"/>
      <c r="J245" s="132"/>
      <c r="K245" s="95"/>
    </row>
    <row r="246" spans="2:11" ht="15.75" customHeight="1" x14ac:dyDescent="0.3">
      <c r="B246" s="64"/>
      <c r="C246" s="66"/>
      <c r="D246" s="65"/>
      <c r="E246" s="65"/>
      <c r="F246" s="125"/>
      <c r="G246" s="14"/>
      <c r="H246" s="126"/>
      <c r="I246" s="127"/>
      <c r="J246" s="128"/>
      <c r="K246" s="88"/>
    </row>
    <row r="247" spans="2:11" ht="15.75" customHeight="1" x14ac:dyDescent="0.3">
      <c r="B247" s="64"/>
      <c r="C247" s="68"/>
      <c r="D247" s="69"/>
      <c r="E247" s="69"/>
      <c r="F247" s="129"/>
      <c r="G247" s="23"/>
      <c r="H247" s="130"/>
      <c r="I247" s="131"/>
      <c r="J247" s="132"/>
      <c r="K247" s="95"/>
    </row>
    <row r="248" spans="2:11" ht="15.75" customHeight="1" x14ac:dyDescent="0.3">
      <c r="B248" s="64"/>
      <c r="C248" s="66"/>
      <c r="D248" s="65"/>
      <c r="E248" s="65"/>
      <c r="F248" s="125"/>
      <c r="G248" s="14"/>
      <c r="H248" s="126"/>
      <c r="I248" s="127"/>
      <c r="J248" s="128"/>
      <c r="K248" s="88"/>
    </row>
    <row r="249" spans="2:11" ht="15.75" customHeight="1" x14ac:dyDescent="0.3">
      <c r="B249" s="64"/>
      <c r="C249" s="68"/>
      <c r="D249" s="69"/>
      <c r="E249" s="69"/>
      <c r="F249" s="129"/>
      <c r="G249" s="23"/>
      <c r="H249" s="130"/>
      <c r="I249" s="131"/>
      <c r="J249" s="132"/>
      <c r="K249" s="95"/>
    </row>
    <row r="250" spans="2:11" ht="15.75" customHeight="1" x14ac:dyDescent="0.3">
      <c r="B250" s="64"/>
      <c r="C250" s="66"/>
      <c r="D250" s="65"/>
      <c r="E250" s="65"/>
      <c r="F250" s="125"/>
      <c r="G250" s="14"/>
      <c r="H250" s="126"/>
      <c r="I250" s="127"/>
      <c r="J250" s="128"/>
      <c r="K250" s="88"/>
    </row>
    <row r="251" spans="2:11" ht="15.75" customHeight="1" x14ac:dyDescent="0.3">
      <c r="B251" s="64"/>
      <c r="C251" s="68"/>
      <c r="D251" s="69"/>
      <c r="E251" s="69"/>
      <c r="F251" s="129"/>
      <c r="G251" s="23"/>
      <c r="H251" s="130"/>
      <c r="I251" s="131"/>
      <c r="J251" s="132"/>
      <c r="K251" s="95"/>
    </row>
    <row r="252" spans="2:11" ht="15.75" customHeight="1" x14ac:dyDescent="0.3">
      <c r="B252" s="64"/>
      <c r="C252" s="66"/>
      <c r="D252" s="65"/>
      <c r="E252" s="65"/>
      <c r="F252" s="125"/>
      <c r="G252" s="14"/>
      <c r="H252" s="126"/>
      <c r="I252" s="127"/>
      <c r="J252" s="128"/>
      <c r="K252" s="88"/>
    </row>
    <row r="253" spans="2:11" ht="15.75" customHeight="1" x14ac:dyDescent="0.3">
      <c r="B253" s="64"/>
      <c r="C253" s="68"/>
      <c r="D253" s="69"/>
      <c r="E253" s="69"/>
      <c r="F253" s="129"/>
      <c r="G253" s="23"/>
      <c r="H253" s="130"/>
      <c r="I253" s="131"/>
      <c r="J253" s="132"/>
      <c r="K253" s="95"/>
    </row>
    <row r="254" spans="2:11" ht="15.75" customHeight="1" x14ac:dyDescent="0.3">
      <c r="B254" s="64"/>
      <c r="C254" s="66"/>
      <c r="D254" s="65"/>
      <c r="E254" s="65"/>
      <c r="F254" s="125"/>
      <c r="G254" s="14"/>
      <c r="H254" s="126"/>
      <c r="I254" s="127"/>
      <c r="J254" s="128"/>
      <c r="K254" s="88"/>
    </row>
    <row r="255" spans="2:11" ht="15.75" customHeight="1" x14ac:dyDescent="0.3">
      <c r="B255" s="64"/>
      <c r="C255" s="68"/>
      <c r="D255" s="69"/>
      <c r="E255" s="69"/>
      <c r="F255" s="129"/>
      <c r="G255" s="23"/>
      <c r="H255" s="130"/>
      <c r="I255" s="131"/>
      <c r="J255" s="132"/>
      <c r="K255" s="95"/>
    </row>
    <row r="256" spans="2:11" ht="15.75" customHeight="1" x14ac:dyDescent="0.3">
      <c r="B256" s="64"/>
      <c r="C256" s="66"/>
      <c r="D256" s="65"/>
      <c r="E256" s="65"/>
      <c r="F256" s="125"/>
      <c r="G256" s="14"/>
      <c r="H256" s="126"/>
      <c r="I256" s="127"/>
      <c r="J256" s="128"/>
      <c r="K256" s="88"/>
    </row>
    <row r="257" spans="2:11" ht="15.75" customHeight="1" x14ac:dyDescent="0.3">
      <c r="B257" s="64"/>
      <c r="C257" s="68"/>
      <c r="D257" s="69"/>
      <c r="E257" s="69"/>
      <c r="F257" s="129"/>
      <c r="G257" s="23"/>
      <c r="H257" s="130"/>
      <c r="I257" s="131"/>
      <c r="J257" s="132"/>
      <c r="K257" s="95"/>
    </row>
    <row r="258" spans="2:11" ht="15.75" customHeight="1" x14ac:dyDescent="0.3">
      <c r="B258" s="64"/>
      <c r="C258" s="66"/>
      <c r="D258" s="65"/>
      <c r="E258" s="65"/>
      <c r="F258" s="125"/>
      <c r="G258" s="14"/>
      <c r="H258" s="126"/>
      <c r="I258" s="127"/>
      <c r="J258" s="128"/>
      <c r="K258" s="88"/>
    </row>
    <row r="259" spans="2:11" ht="15.75" customHeight="1" x14ac:dyDescent="0.3">
      <c r="B259" s="64"/>
      <c r="C259" s="68"/>
      <c r="D259" s="69"/>
      <c r="E259" s="69"/>
      <c r="F259" s="129"/>
      <c r="G259" s="23"/>
      <c r="H259" s="130"/>
      <c r="I259" s="131"/>
      <c r="J259" s="132"/>
      <c r="K259" s="95"/>
    </row>
    <row r="260" spans="2:11" ht="15.75" customHeight="1" x14ac:dyDescent="0.3">
      <c r="B260" s="64"/>
      <c r="C260" s="66"/>
      <c r="D260" s="65"/>
      <c r="E260" s="65"/>
      <c r="F260" s="125"/>
      <c r="G260" s="14"/>
      <c r="H260" s="126"/>
      <c r="I260" s="127"/>
      <c r="J260" s="128"/>
      <c r="K260" s="88"/>
    </row>
    <row r="261" spans="2:11" ht="15.75" customHeight="1" x14ac:dyDescent="0.3">
      <c r="B261" s="64"/>
      <c r="C261" s="68"/>
      <c r="D261" s="69"/>
      <c r="E261" s="69"/>
      <c r="F261" s="129"/>
      <c r="G261" s="23"/>
      <c r="H261" s="130"/>
      <c r="I261" s="131"/>
      <c r="J261" s="132"/>
      <c r="K261" s="95"/>
    </row>
    <row r="262" spans="2:11" ht="15.75" customHeight="1" x14ac:dyDescent="0.3">
      <c r="B262" s="64"/>
      <c r="C262" s="66"/>
      <c r="D262" s="65"/>
      <c r="E262" s="65"/>
      <c r="F262" s="125"/>
      <c r="G262" s="14"/>
      <c r="H262" s="126"/>
      <c r="I262" s="127"/>
      <c r="J262" s="128"/>
      <c r="K262" s="88"/>
    </row>
    <row r="263" spans="2:11" ht="15.75" customHeight="1" x14ac:dyDescent="0.3">
      <c r="B263" s="64"/>
      <c r="C263" s="68"/>
      <c r="D263" s="69"/>
      <c r="E263" s="69"/>
      <c r="F263" s="129"/>
      <c r="G263" s="23"/>
      <c r="H263" s="130"/>
      <c r="I263" s="131"/>
      <c r="J263" s="132"/>
      <c r="K263" s="95"/>
    </row>
    <row r="264" spans="2:11" ht="15.75" customHeight="1" x14ac:dyDescent="0.3">
      <c r="B264" s="64"/>
      <c r="C264" s="66"/>
      <c r="D264" s="65"/>
      <c r="E264" s="65"/>
      <c r="F264" s="125"/>
      <c r="G264" s="14"/>
      <c r="H264" s="126"/>
      <c r="I264" s="127"/>
      <c r="J264" s="128"/>
      <c r="K264" s="88"/>
    </row>
    <row r="265" spans="2:11" ht="15.75" customHeight="1" x14ac:dyDescent="0.3">
      <c r="B265" s="64"/>
      <c r="C265" s="68"/>
      <c r="D265" s="69"/>
      <c r="E265" s="69"/>
      <c r="F265" s="129"/>
      <c r="G265" s="23"/>
      <c r="H265" s="130"/>
      <c r="I265" s="131"/>
      <c r="J265" s="132"/>
      <c r="K265" s="95"/>
    </row>
    <row r="266" spans="2:11" ht="15.75" customHeight="1" x14ac:dyDescent="0.3">
      <c r="B266" s="64"/>
      <c r="C266" s="66"/>
      <c r="D266" s="65"/>
      <c r="E266" s="65"/>
      <c r="F266" s="125"/>
      <c r="G266" s="14"/>
      <c r="H266" s="126"/>
      <c r="I266" s="127"/>
      <c r="J266" s="128"/>
      <c r="K266" s="88"/>
    </row>
    <row r="267" spans="2:11" ht="15.75" customHeight="1" x14ac:dyDescent="0.3">
      <c r="B267" s="64"/>
      <c r="C267" s="68"/>
      <c r="D267" s="69"/>
      <c r="E267" s="69"/>
      <c r="F267" s="129"/>
      <c r="G267" s="23"/>
      <c r="H267" s="130"/>
      <c r="I267" s="131"/>
      <c r="J267" s="132"/>
      <c r="K267" s="95"/>
    </row>
    <row r="268" spans="2:11" ht="15.75" customHeight="1" x14ac:dyDescent="0.3">
      <c r="B268" s="64"/>
      <c r="C268" s="66"/>
      <c r="D268" s="65"/>
      <c r="E268" s="65"/>
      <c r="F268" s="125"/>
      <c r="G268" s="14"/>
      <c r="H268" s="126"/>
      <c r="I268" s="127"/>
      <c r="J268" s="128"/>
      <c r="K268" s="88"/>
    </row>
    <row r="269" spans="2:11" ht="15.75" customHeight="1" x14ac:dyDescent="0.3">
      <c r="B269" s="64"/>
      <c r="C269" s="68"/>
      <c r="D269" s="69"/>
      <c r="E269" s="69"/>
      <c r="F269" s="129"/>
      <c r="G269" s="23"/>
      <c r="H269" s="130"/>
      <c r="I269" s="131"/>
      <c r="J269" s="132"/>
      <c r="K269" s="95"/>
    </row>
    <row r="270" spans="2:11" ht="15.75" customHeight="1" x14ac:dyDescent="0.3">
      <c r="B270" s="64"/>
      <c r="C270" s="66"/>
      <c r="D270" s="65"/>
      <c r="E270" s="65"/>
      <c r="F270" s="125"/>
      <c r="G270" s="14"/>
      <c r="H270" s="126"/>
      <c r="I270" s="127"/>
      <c r="J270" s="128"/>
      <c r="K270" s="88"/>
    </row>
    <row r="271" spans="2:11" ht="15.75" customHeight="1" x14ac:dyDescent="0.3">
      <c r="B271" s="64"/>
      <c r="C271" s="68"/>
      <c r="D271" s="69"/>
      <c r="E271" s="69"/>
      <c r="F271" s="129"/>
      <c r="G271" s="23"/>
      <c r="H271" s="130"/>
      <c r="I271" s="131"/>
      <c r="J271" s="132"/>
      <c r="K271" s="95"/>
    </row>
    <row r="272" spans="2:11" ht="15.75" customHeight="1" x14ac:dyDescent="0.3">
      <c r="B272" s="64"/>
      <c r="C272" s="66"/>
      <c r="D272" s="65"/>
      <c r="E272" s="65"/>
      <c r="F272" s="125"/>
      <c r="G272" s="14"/>
      <c r="H272" s="126"/>
      <c r="I272" s="127"/>
      <c r="J272" s="128"/>
      <c r="K272" s="88"/>
    </row>
    <row r="273" spans="2:11" ht="15.75" customHeight="1" x14ac:dyDescent="0.3">
      <c r="B273" s="64"/>
      <c r="C273" s="68"/>
      <c r="D273" s="69"/>
      <c r="E273" s="69"/>
      <c r="F273" s="129"/>
      <c r="G273" s="23"/>
      <c r="H273" s="130"/>
      <c r="I273" s="131"/>
      <c r="J273" s="132"/>
      <c r="K273" s="95"/>
    </row>
    <row r="274" spans="2:11" ht="15.75" customHeight="1" x14ac:dyDescent="0.3">
      <c r="B274" s="64"/>
      <c r="C274" s="66"/>
      <c r="D274" s="65"/>
      <c r="E274" s="65"/>
      <c r="F274" s="125"/>
      <c r="G274" s="14"/>
      <c r="H274" s="126"/>
      <c r="I274" s="127"/>
      <c r="J274" s="128"/>
      <c r="K274" s="88"/>
    </row>
    <row r="275" spans="2:11" ht="15.75" customHeight="1" x14ac:dyDescent="0.3">
      <c r="B275" s="64"/>
      <c r="C275" s="68"/>
      <c r="D275" s="69"/>
      <c r="E275" s="69"/>
      <c r="F275" s="129"/>
      <c r="G275" s="23"/>
      <c r="H275" s="130"/>
      <c r="I275" s="131"/>
      <c r="J275" s="132"/>
      <c r="K275" s="95"/>
    </row>
    <row r="276" spans="2:11" ht="15.75" customHeight="1" x14ac:dyDescent="0.3">
      <c r="B276" s="64"/>
      <c r="C276" s="66"/>
      <c r="D276" s="65"/>
      <c r="E276" s="65"/>
      <c r="F276" s="125"/>
      <c r="G276" s="14"/>
      <c r="H276" s="126"/>
      <c r="I276" s="127"/>
      <c r="J276" s="128"/>
      <c r="K276" s="88"/>
    </row>
    <row r="277" spans="2:11" ht="15.75" customHeight="1" x14ac:dyDescent="0.3">
      <c r="B277" s="64"/>
      <c r="C277" s="68"/>
      <c r="D277" s="69"/>
      <c r="E277" s="69"/>
      <c r="F277" s="129"/>
      <c r="G277" s="23"/>
      <c r="H277" s="130"/>
      <c r="I277" s="131"/>
      <c r="J277" s="132"/>
      <c r="K277" s="95"/>
    </row>
    <row r="278" spans="2:11" ht="15.75" customHeight="1" x14ac:dyDescent="0.3">
      <c r="B278" s="64"/>
      <c r="C278" s="66"/>
      <c r="D278" s="65"/>
      <c r="E278" s="65"/>
      <c r="F278" s="125"/>
      <c r="G278" s="14"/>
      <c r="H278" s="126"/>
      <c r="I278" s="127"/>
      <c r="J278" s="128"/>
      <c r="K278" s="88"/>
    </row>
    <row r="279" spans="2:11" ht="15.75" customHeight="1" x14ac:dyDescent="0.3">
      <c r="B279" s="64"/>
      <c r="C279" s="68"/>
      <c r="D279" s="69"/>
      <c r="E279" s="69"/>
      <c r="F279" s="129"/>
      <c r="G279" s="23"/>
      <c r="H279" s="130"/>
      <c r="I279" s="131"/>
      <c r="J279" s="132"/>
      <c r="K279" s="95"/>
    </row>
    <row r="280" spans="2:11" ht="15.75" customHeight="1" x14ac:dyDescent="0.3">
      <c r="B280" s="64"/>
      <c r="C280" s="66"/>
      <c r="D280" s="65"/>
      <c r="E280" s="65"/>
      <c r="F280" s="125"/>
      <c r="G280" s="14"/>
      <c r="H280" s="126"/>
      <c r="I280" s="127"/>
      <c r="J280" s="128"/>
      <c r="K280" s="88"/>
    </row>
    <row r="281" spans="2:11" ht="15.75" customHeight="1" x14ac:dyDescent="0.3">
      <c r="B281" s="64"/>
      <c r="C281" s="68"/>
      <c r="D281" s="69"/>
      <c r="E281" s="69"/>
      <c r="F281" s="129"/>
      <c r="G281" s="23"/>
      <c r="H281" s="130"/>
      <c r="I281" s="131"/>
      <c r="J281" s="132"/>
      <c r="K281" s="95"/>
    </row>
    <row r="282" spans="2:11" ht="15.75" customHeight="1" x14ac:dyDescent="0.3">
      <c r="B282" s="64"/>
      <c r="C282" s="66"/>
      <c r="D282" s="65"/>
      <c r="E282" s="65"/>
      <c r="F282" s="125"/>
      <c r="G282" s="14"/>
      <c r="H282" s="126"/>
      <c r="I282" s="127"/>
      <c r="J282" s="128"/>
      <c r="K282" s="88"/>
    </row>
    <row r="283" spans="2:11" ht="15.75" customHeight="1" x14ac:dyDescent="0.3">
      <c r="B283" s="64"/>
      <c r="C283" s="68"/>
      <c r="D283" s="69"/>
      <c r="E283" s="69"/>
      <c r="F283" s="129"/>
      <c r="G283" s="23"/>
      <c r="H283" s="130"/>
      <c r="I283" s="131"/>
      <c r="J283" s="132"/>
      <c r="K283" s="95"/>
    </row>
    <row r="284" spans="2:11" ht="15.75" customHeight="1" x14ac:dyDescent="0.3">
      <c r="B284" s="64"/>
      <c r="C284" s="66"/>
      <c r="D284" s="65"/>
      <c r="E284" s="65"/>
      <c r="F284" s="125"/>
      <c r="G284" s="14"/>
      <c r="H284" s="126"/>
      <c r="I284" s="127"/>
      <c r="J284" s="128"/>
      <c r="K284" s="88"/>
    </row>
    <row r="285" spans="2:11" ht="15.75" customHeight="1" x14ac:dyDescent="0.3">
      <c r="B285" s="64"/>
      <c r="C285" s="68"/>
      <c r="D285" s="69"/>
      <c r="E285" s="69"/>
      <c r="F285" s="129"/>
      <c r="G285" s="23"/>
      <c r="H285" s="130"/>
      <c r="I285" s="131"/>
      <c r="J285" s="132"/>
      <c r="K285" s="95"/>
    </row>
    <row r="286" spans="2:11" ht="15.75" customHeight="1" x14ac:dyDescent="0.3">
      <c r="B286" s="64"/>
      <c r="C286" s="66"/>
      <c r="D286" s="65"/>
      <c r="E286" s="65"/>
      <c r="F286" s="125"/>
      <c r="G286" s="14"/>
      <c r="H286" s="126"/>
      <c r="I286" s="127"/>
      <c r="J286" s="128"/>
      <c r="K286" s="88"/>
    </row>
    <row r="287" spans="2:11" ht="15.75" customHeight="1" x14ac:dyDescent="0.3">
      <c r="B287" s="64"/>
      <c r="C287" s="68"/>
      <c r="D287" s="69"/>
      <c r="E287" s="69"/>
      <c r="F287" s="129"/>
      <c r="G287" s="23"/>
      <c r="H287" s="130"/>
      <c r="I287" s="131"/>
      <c r="J287" s="132"/>
      <c r="K287" s="95"/>
    </row>
    <row r="288" spans="2:11" ht="15.75" customHeight="1" x14ac:dyDescent="0.3">
      <c r="B288" s="64"/>
      <c r="C288" s="66"/>
      <c r="D288" s="65"/>
      <c r="E288" s="65"/>
      <c r="F288" s="125"/>
      <c r="G288" s="14"/>
      <c r="H288" s="126"/>
      <c r="I288" s="127"/>
      <c r="J288" s="128"/>
      <c r="K288" s="88"/>
    </row>
    <row r="289" spans="2:11" ht="15.75" customHeight="1" x14ac:dyDescent="0.3">
      <c r="B289" s="64"/>
      <c r="C289" s="68"/>
      <c r="D289" s="69"/>
      <c r="E289" s="69"/>
      <c r="F289" s="129"/>
      <c r="G289" s="23"/>
      <c r="H289" s="130"/>
      <c r="I289" s="131"/>
      <c r="J289" s="132"/>
      <c r="K289" s="95"/>
    </row>
    <row r="290" spans="2:11" ht="15.75" customHeight="1" x14ac:dyDescent="0.3">
      <c r="B290" s="64"/>
      <c r="C290" s="66"/>
      <c r="D290" s="65"/>
      <c r="E290" s="65"/>
      <c r="F290" s="125"/>
      <c r="G290" s="14"/>
      <c r="H290" s="126"/>
      <c r="I290" s="127"/>
      <c r="J290" s="128"/>
      <c r="K290" s="88"/>
    </row>
    <row r="291" spans="2:11" ht="15.75" customHeight="1" x14ac:dyDescent="0.3">
      <c r="B291" s="64"/>
      <c r="C291" s="68"/>
      <c r="D291" s="69"/>
      <c r="E291" s="69"/>
      <c r="F291" s="129"/>
      <c r="G291" s="23"/>
      <c r="H291" s="130"/>
      <c r="I291" s="131"/>
      <c r="J291" s="132"/>
      <c r="K291" s="95"/>
    </row>
    <row r="292" spans="2:11" ht="15.75" customHeight="1" x14ac:dyDescent="0.3">
      <c r="B292" s="64"/>
      <c r="C292" s="66"/>
      <c r="D292" s="65"/>
      <c r="E292" s="65"/>
      <c r="F292" s="125"/>
      <c r="G292" s="14"/>
      <c r="H292" s="126"/>
      <c r="I292" s="127"/>
      <c r="J292" s="128"/>
      <c r="K292" s="88"/>
    </row>
    <row r="293" spans="2:11" ht="15.75" customHeight="1" x14ac:dyDescent="0.3">
      <c r="B293" s="64"/>
      <c r="C293" s="68"/>
      <c r="D293" s="69"/>
      <c r="E293" s="69"/>
      <c r="F293" s="129"/>
      <c r="G293" s="23"/>
      <c r="H293" s="130"/>
      <c r="I293" s="131"/>
      <c r="J293" s="132"/>
      <c r="K293" s="95"/>
    </row>
    <row r="294" spans="2:11" ht="15.75" customHeight="1" x14ac:dyDescent="0.3">
      <c r="B294" s="64"/>
      <c r="C294" s="66"/>
      <c r="D294" s="65"/>
      <c r="E294" s="65"/>
      <c r="F294" s="125"/>
      <c r="G294" s="14"/>
      <c r="H294" s="126"/>
      <c r="I294" s="127"/>
      <c r="J294" s="128"/>
      <c r="K294" s="88"/>
    </row>
    <row r="295" spans="2:11" ht="15.75" customHeight="1" x14ac:dyDescent="0.3">
      <c r="B295" s="64"/>
      <c r="C295" s="68"/>
      <c r="D295" s="69"/>
      <c r="E295" s="69"/>
      <c r="F295" s="129"/>
      <c r="G295" s="23"/>
      <c r="H295" s="130"/>
      <c r="I295" s="131"/>
      <c r="J295" s="132"/>
      <c r="K295" s="95"/>
    </row>
    <row r="296" spans="2:11" ht="15.75" customHeight="1" x14ac:dyDescent="0.3">
      <c r="B296" s="64"/>
      <c r="C296" s="66"/>
      <c r="D296" s="65"/>
      <c r="E296" s="65"/>
      <c r="F296" s="125"/>
      <c r="G296" s="14"/>
      <c r="H296" s="126"/>
      <c r="I296" s="127"/>
      <c r="J296" s="128"/>
      <c r="K296" s="88"/>
    </row>
    <row r="297" spans="2:11" ht="15.75" customHeight="1" x14ac:dyDescent="0.3">
      <c r="B297" s="64"/>
      <c r="C297" s="68"/>
      <c r="D297" s="69"/>
      <c r="E297" s="69"/>
      <c r="F297" s="129"/>
      <c r="G297" s="23"/>
      <c r="H297" s="130"/>
      <c r="I297" s="131"/>
      <c r="J297" s="132"/>
      <c r="K297" s="95"/>
    </row>
    <row r="298" spans="2:11" ht="15.75" customHeight="1" x14ac:dyDescent="0.3">
      <c r="B298" s="64"/>
      <c r="C298" s="66"/>
      <c r="D298" s="65"/>
      <c r="E298" s="65"/>
      <c r="F298" s="125"/>
      <c r="G298" s="14"/>
      <c r="H298" s="126"/>
      <c r="I298" s="127"/>
      <c r="J298" s="128"/>
      <c r="K298" s="88"/>
    </row>
    <row r="299" spans="2:11" ht="15.75" customHeight="1" x14ac:dyDescent="0.3">
      <c r="B299" s="64"/>
      <c r="C299" s="68"/>
      <c r="D299" s="69"/>
      <c r="E299" s="69"/>
      <c r="F299" s="129"/>
      <c r="G299" s="23"/>
      <c r="H299" s="130"/>
      <c r="I299" s="131"/>
      <c r="J299" s="132"/>
      <c r="K299" s="95"/>
    </row>
    <row r="300" spans="2:11" ht="15.75" customHeight="1" x14ac:dyDescent="0.3">
      <c r="B300" s="64"/>
      <c r="C300" s="66"/>
      <c r="D300" s="65"/>
      <c r="E300" s="65"/>
      <c r="F300" s="125"/>
      <c r="G300" s="14"/>
      <c r="H300" s="126"/>
      <c r="I300" s="127"/>
      <c r="J300" s="128"/>
      <c r="K300" s="88"/>
    </row>
    <row r="301" spans="2:11" ht="15.75" customHeight="1" x14ac:dyDescent="0.3">
      <c r="B301" s="64"/>
      <c r="C301" s="68"/>
      <c r="D301" s="69"/>
      <c r="E301" s="69"/>
      <c r="F301" s="129"/>
      <c r="G301" s="23"/>
      <c r="H301" s="130"/>
      <c r="I301" s="131"/>
      <c r="J301" s="132"/>
      <c r="K301" s="95"/>
    </row>
    <row r="302" spans="2:11" ht="15.75" customHeight="1" x14ac:dyDescent="0.3">
      <c r="B302" s="64"/>
      <c r="C302" s="66"/>
      <c r="D302" s="65"/>
      <c r="E302" s="65"/>
      <c r="F302" s="125"/>
      <c r="G302" s="14"/>
      <c r="H302" s="126"/>
      <c r="I302" s="127"/>
      <c r="J302" s="128"/>
      <c r="K302" s="88"/>
    </row>
    <row r="303" spans="2:11" ht="15.75" customHeight="1" x14ac:dyDescent="0.3">
      <c r="B303" s="64"/>
      <c r="C303" s="68"/>
      <c r="D303" s="69"/>
      <c r="E303" s="69"/>
      <c r="F303" s="129"/>
      <c r="G303" s="23"/>
      <c r="H303" s="130"/>
      <c r="I303" s="131"/>
      <c r="J303" s="132"/>
      <c r="K303" s="95"/>
    </row>
    <row r="304" spans="2:11" ht="15.75" customHeight="1" x14ac:dyDescent="0.3">
      <c r="B304" s="64"/>
      <c r="C304" s="66"/>
      <c r="D304" s="65"/>
      <c r="E304" s="65"/>
      <c r="F304" s="125"/>
      <c r="G304" s="14"/>
      <c r="H304" s="126"/>
      <c r="I304" s="127"/>
      <c r="J304" s="128"/>
      <c r="K304" s="88"/>
    </row>
    <row r="305" spans="2:11" ht="15.75" customHeight="1" x14ac:dyDescent="0.3">
      <c r="B305" s="64"/>
      <c r="C305" s="68"/>
      <c r="D305" s="69"/>
      <c r="E305" s="69"/>
      <c r="F305" s="129"/>
      <c r="G305" s="23"/>
      <c r="H305" s="130"/>
      <c r="I305" s="131"/>
      <c r="J305" s="132"/>
      <c r="K305" s="95"/>
    </row>
    <row r="306" spans="2:11" ht="15.75" customHeight="1" x14ac:dyDescent="0.3">
      <c r="B306" s="64"/>
      <c r="C306" s="66"/>
      <c r="D306" s="65"/>
      <c r="E306" s="65"/>
      <c r="F306" s="125"/>
      <c r="G306" s="14"/>
      <c r="H306" s="126"/>
      <c r="I306" s="127"/>
      <c r="J306" s="128"/>
      <c r="K306" s="88"/>
    </row>
    <row r="307" spans="2:11" ht="15.75" customHeight="1" x14ac:dyDescent="0.3">
      <c r="B307" s="64"/>
      <c r="C307" s="68"/>
      <c r="D307" s="69"/>
      <c r="E307" s="69"/>
      <c r="F307" s="129"/>
      <c r="G307" s="23"/>
      <c r="H307" s="130"/>
      <c r="I307" s="131"/>
      <c r="J307" s="132"/>
      <c r="K307" s="95"/>
    </row>
    <row r="308" spans="2:11" ht="15.75" customHeight="1" x14ac:dyDescent="0.3">
      <c r="B308" s="64"/>
      <c r="C308" s="66"/>
      <c r="D308" s="65"/>
      <c r="E308" s="65"/>
      <c r="F308" s="125"/>
      <c r="G308" s="14"/>
      <c r="H308" s="126"/>
      <c r="I308" s="127"/>
      <c r="J308" s="128"/>
      <c r="K308" s="88"/>
    </row>
    <row r="309" spans="2:11" ht="15.75" customHeight="1" x14ac:dyDescent="0.3">
      <c r="B309" s="64"/>
      <c r="C309" s="68"/>
      <c r="D309" s="69"/>
      <c r="E309" s="69"/>
      <c r="F309" s="129"/>
      <c r="G309" s="23"/>
      <c r="H309" s="130"/>
      <c r="I309" s="131"/>
      <c r="J309" s="132"/>
      <c r="K309" s="95"/>
    </row>
  </sheetData>
  <mergeCells count="4">
    <mergeCell ref="A2:E2"/>
    <mergeCell ref="F2:K2"/>
    <mergeCell ref="B8:K8"/>
    <mergeCell ref="A3:K3"/>
  </mergeCells>
  <conditionalFormatting sqref="K10:K308">
    <cfRule type="expression" dxfId="3" priority="2">
      <formula>K10="Received"</formula>
    </cfRule>
    <cfRule type="expression" dxfId="2" priority="3">
      <formula>K10="Pending"</formula>
    </cfRule>
    <cfRule type="expression" dxfId="1" priority="4">
      <formula>K10="Cancelled"</formula>
    </cfRule>
    <cfRule type="expression" dxfId="0" priority="5">
      <formula>K10="In Transit"</formula>
    </cfRule>
  </conditionalFormatting>
  <dataValidations count="2">
    <dataValidation type="list" showInputMessage="1" showErrorMessage="1" sqref="E10:E308" xr:uid="{00000000-0002-0000-0600-000000000000}">
      <formula1>"Proteins,Produce,Dairy,Grains,Bakery,Beverages,Dry Goods,Sauces,Supplies,Other"</formula1>
      <formula2>0</formula2>
    </dataValidation>
    <dataValidation type="list" showInputMessage="1" showErrorMessage="1" sqref="K10:K308" xr:uid="{00000000-0002-0000-0600-000001000000}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6"/>
  <sheetViews>
    <sheetView workbookViewId="0"/>
  </sheetViews>
  <sheetFormatPr defaultRowHeight="14.4" x14ac:dyDescent="0.3"/>
  <cols>
    <col min="2" max="2" width="35.6640625" customWidth="1"/>
    <col min="3" max="3" width="14.33203125" bestFit="1" customWidth="1"/>
    <col min="4" max="4" width="44" bestFit="1" customWidth="1"/>
    <col min="5" max="5" width="87.77734375" bestFit="1" customWidth="1"/>
  </cols>
  <sheetData>
    <row r="2" spans="2:6" x14ac:dyDescent="0.3">
      <c r="B2" t="s">
        <v>1447</v>
      </c>
    </row>
    <row r="3" spans="2:6" x14ac:dyDescent="0.3">
      <c r="B3" t="s">
        <v>1448</v>
      </c>
    </row>
    <row r="6" spans="2:6" x14ac:dyDescent="0.3">
      <c r="B6" t="s">
        <v>1449</v>
      </c>
      <c r="C6" t="s">
        <v>1450</v>
      </c>
      <c r="D6" t="s">
        <v>1451</v>
      </c>
      <c r="E6" t="s">
        <v>1452</v>
      </c>
      <c r="F6" t="s">
        <v>12</v>
      </c>
    </row>
    <row r="7" spans="2:6" x14ac:dyDescent="0.3">
      <c r="B7" t="s">
        <v>1453</v>
      </c>
      <c r="C7" t="s">
        <v>1454</v>
      </c>
      <c r="D7" t="s">
        <v>385</v>
      </c>
      <c r="E7" t="s">
        <v>1455</v>
      </c>
    </row>
    <row r="8" spans="2:6" x14ac:dyDescent="0.3">
      <c r="B8" t="s">
        <v>1456</v>
      </c>
      <c r="C8" t="s">
        <v>1457</v>
      </c>
      <c r="D8" t="s">
        <v>1458</v>
      </c>
      <c r="E8" t="s">
        <v>1459</v>
      </c>
    </row>
    <row r="9" spans="2:6" x14ac:dyDescent="0.3">
      <c r="B9" t="s">
        <v>1460</v>
      </c>
      <c r="C9" t="s">
        <v>1461</v>
      </c>
      <c r="D9" t="s">
        <v>1462</v>
      </c>
      <c r="E9" t="s">
        <v>113</v>
      </c>
      <c r="F9" t="s">
        <v>1463</v>
      </c>
    </row>
    <row r="10" spans="2:6" x14ac:dyDescent="0.3">
      <c r="B10" t="s">
        <v>1464</v>
      </c>
      <c r="C10" t="s">
        <v>113</v>
      </c>
      <c r="D10" t="s">
        <v>1465</v>
      </c>
      <c r="E10" t="s">
        <v>1466</v>
      </c>
    </row>
    <row r="11" spans="2:6" x14ac:dyDescent="0.3">
      <c r="B11" t="s">
        <v>519</v>
      </c>
      <c r="C11" t="s">
        <v>1467</v>
      </c>
      <c r="D11" t="s">
        <v>1468</v>
      </c>
      <c r="E11" t="s">
        <v>1469</v>
      </c>
    </row>
    <row r="12" spans="2:6" x14ac:dyDescent="0.3">
      <c r="B12" t="s">
        <v>1470</v>
      </c>
      <c r="C12" t="s">
        <v>1471</v>
      </c>
      <c r="D12" t="s">
        <v>1472</v>
      </c>
      <c r="E12" t="s">
        <v>1473</v>
      </c>
      <c r="F12" t="s">
        <v>1474</v>
      </c>
    </row>
    <row r="13" spans="2:6" x14ac:dyDescent="0.3">
      <c r="B13" t="s">
        <v>723</v>
      </c>
      <c r="C13" t="s">
        <v>1475</v>
      </c>
      <c r="D13" t="s">
        <v>1476</v>
      </c>
      <c r="E13" t="s">
        <v>1477</v>
      </c>
    </row>
    <row r="16" spans="2:6" x14ac:dyDescent="0.3">
      <c r="B16" t="s">
        <v>1478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1B9A"/>
  </sheetPr>
  <dimension ref="A1:L60"/>
  <sheetViews>
    <sheetView showGridLines="0" zoomScaleNormal="100" workbookViewId="0">
      <selection activeCell="H19" sqref="H19"/>
    </sheetView>
  </sheetViews>
  <sheetFormatPr defaultColWidth="8.6640625" defaultRowHeight="14.4" x14ac:dyDescent="0.3"/>
  <cols>
    <col min="1" max="1" width="34" bestFit="1" customWidth="1"/>
    <col min="2" max="2" width="15" bestFit="1" customWidth="1"/>
    <col min="3" max="5" width="15" customWidth="1"/>
    <col min="6" max="14" width="9" customWidth="1"/>
  </cols>
  <sheetData>
    <row r="1" spans="1:12" ht="25.95" customHeight="1" x14ac:dyDescent="0.35">
      <c r="A1" s="410" t="s">
        <v>1479</v>
      </c>
      <c r="B1" s="411"/>
      <c r="C1" s="411"/>
      <c r="D1" s="411"/>
      <c r="E1" s="411"/>
      <c r="F1" s="302"/>
      <c r="G1" s="302"/>
      <c r="H1" s="302"/>
      <c r="I1" s="302"/>
      <c r="J1" s="302"/>
      <c r="K1" s="302"/>
      <c r="L1" s="302"/>
    </row>
    <row r="2" spans="1:12" x14ac:dyDescent="0.3">
      <c r="A2" s="302"/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</row>
    <row r="3" spans="1:12" x14ac:dyDescent="0.3">
      <c r="A3" s="303" t="s">
        <v>1480</v>
      </c>
      <c r="B3" s="304" t="s">
        <v>1481</v>
      </c>
      <c r="C3" s="304" t="s">
        <v>1482</v>
      </c>
      <c r="D3" s="304" t="s">
        <v>1483</v>
      </c>
      <c r="E3" s="304" t="s">
        <v>1484</v>
      </c>
      <c r="F3" s="302"/>
      <c r="G3" s="302"/>
      <c r="H3" s="302"/>
      <c r="I3" s="302"/>
      <c r="J3" s="302"/>
      <c r="K3" s="302"/>
      <c r="L3" s="302"/>
    </row>
    <row r="4" spans="1:12" x14ac:dyDescent="0.3">
      <c r="A4" s="305" t="s">
        <v>1485</v>
      </c>
      <c r="B4" s="306">
        <f>SUMIFS('📅 Daily Log'!$F$8:$F$5000,'📅 Daily Log'!$B$8:$B$5000,"&gt;="&amp;DATE(2026,5,1),'📅 Daily Log'!$B$8:$B$5000,"&lt;"&amp;DATE(2026,6,1))</f>
        <v>52949</v>
      </c>
      <c r="C4" s="306">
        <f>SUMIFS('📅 Daily Log'!$F$8:$F$5000,'📅 Daily Log'!$B$8:$B$5000,"&gt;="&amp;DATE(2026,6,1),'📅 Daily Log'!$B$8:$B$5000,"&lt;"&amp;DATE(2026,7,1))</f>
        <v>99986</v>
      </c>
      <c r="D4" s="306">
        <f>SUMIFS('📅 Daily Log'!$F$8:$F$5000,'📅 Daily Log'!$B$8:$B$5000,"&gt;="&amp;DATE(2026,7,1),'📅 Daily Log'!$B$8:$B$5000,"&lt;"&amp;DATE(2026,8,1))</f>
        <v>118305</v>
      </c>
      <c r="E4" s="306">
        <f>SUMIFS('📅 Daily Log'!$F$8:$F$5000,'📅 Daily Log'!$B$8:$B$5000,"&gt;="&amp;DATE(2026,8,1),'📅 Daily Log'!$B$8:$B$5000,"&lt;"&amp;DATE(2026,9,1))</f>
        <v>3738</v>
      </c>
      <c r="F4" s="302"/>
      <c r="G4" s="302"/>
      <c r="H4" s="302"/>
      <c r="I4" s="302"/>
      <c r="J4" s="302"/>
      <c r="K4" s="302"/>
      <c r="L4" s="302"/>
    </row>
    <row r="5" spans="1:12" x14ac:dyDescent="0.3">
      <c r="A5" s="305" t="s">
        <v>1486</v>
      </c>
      <c r="B5" s="306">
        <f>SUMIFS('💸 Expenses'!$F$8:$F$5000,'💸 Expenses'!$B$8:$B$5000,"&gt;="&amp;DATE(2026,5,1),'💸 Expenses'!$B$8:$B$5000,"&lt;"&amp;DATE(2026,6,1))</f>
        <v>42919.630000000005</v>
      </c>
      <c r="C5" s="306">
        <f>SUMIFS('💸 Expenses'!$F$8:$F$5000,'💸 Expenses'!$B$8:$B$5000,"&gt;="&amp;DATE(2026,6,1),'💸 Expenses'!$B$8:$B$5000,"&lt;"&amp;DATE(2026,7,1))</f>
        <v>112676.75</v>
      </c>
      <c r="D5" s="306">
        <f>SUMIFS('💸 Expenses'!$F$8:$F$5000,'💸 Expenses'!$B$8:$B$5000,"&gt;="&amp;DATE(2026,7,1),'💸 Expenses'!$B$8:$B$5000,"&lt;"&amp;DATE(2026,8,1))</f>
        <v>100433.94999999998</v>
      </c>
      <c r="E5" s="306">
        <f>SUMIFS('💸 Expenses'!$F$8:$F$5000,'💸 Expenses'!$B$8:$B$5000,"&gt;="&amp;DATE(2026,8,1),'💸 Expenses'!$B$8:$B$5000,"&lt;"&amp;DATE(2026,9,1))</f>
        <v>8680</v>
      </c>
      <c r="F5" s="302"/>
      <c r="G5" s="302"/>
      <c r="H5" s="302"/>
      <c r="I5" s="302"/>
      <c r="J5" s="302"/>
      <c r="K5" s="302"/>
      <c r="L5" s="302"/>
    </row>
    <row r="6" spans="1:12" x14ac:dyDescent="0.3">
      <c r="A6" s="305" t="s">
        <v>1487</v>
      </c>
      <c r="B6" s="307">
        <f>B4-B5</f>
        <v>10029.369999999995</v>
      </c>
      <c r="C6" s="307">
        <f>C4-C5</f>
        <v>-12690.75</v>
      </c>
      <c r="D6" s="307">
        <f>D4-D5</f>
        <v>17871.050000000017</v>
      </c>
      <c r="E6" s="307">
        <f>E4-E5</f>
        <v>-4942</v>
      </c>
      <c r="F6" s="302"/>
      <c r="G6" s="302"/>
      <c r="H6" s="302"/>
      <c r="I6" s="302"/>
      <c r="J6" s="302"/>
      <c r="K6" s="302"/>
      <c r="L6" s="302"/>
    </row>
    <row r="7" spans="1:12" x14ac:dyDescent="0.3">
      <c r="A7" s="308" t="s">
        <v>1488</v>
      </c>
      <c r="B7" s="309">
        <f>COUNTIFS('📅 Daily Log'!$F$8:$F$5000,"&gt;0",'📅 Daily Log'!$B$8:$B$5000,"&gt;="&amp;DATE(2026,5,1),'📅 Daily Log'!$B$8:$B$5000,"&lt;"&amp;DATE(2026,6,1))</f>
        <v>14</v>
      </c>
      <c r="C7" s="309">
        <f>COUNTIFS('📅 Daily Log'!$F$8:$F$5000,"&gt;0",'📅 Daily Log'!$B$8:$B$5000,"&gt;="&amp;DATE(2026,6,1),'📅 Daily Log'!$B$8:$B$5000,"&lt;"&amp;DATE(2026,7,1))</f>
        <v>26</v>
      </c>
      <c r="D7" s="309">
        <f>COUNTIFS('📅 Daily Log'!$F$8:$F$5000,"&gt;0",'📅 Daily Log'!$B$8:$B$5000,"&gt;="&amp;DATE(2026,7,1),'📅 Daily Log'!$B$8:$B$5000,"&lt;"&amp;DATE(2026,8,1))</f>
        <v>27</v>
      </c>
      <c r="E7" s="309">
        <f>COUNTIFS('📅 Daily Log'!$F$8:$F$5000,"&gt;0",'📅 Daily Log'!$B$8:$B$5000,"&gt;="&amp;DATE(2026,8,1),'📅 Daily Log'!$B$8:$B$5000,"&lt;"&amp;DATE(2026,9,1))</f>
        <v>1</v>
      </c>
      <c r="F7" s="302"/>
      <c r="G7" s="302"/>
      <c r="H7" s="302"/>
      <c r="I7" s="302"/>
      <c r="J7" s="302"/>
      <c r="K7" s="302"/>
      <c r="L7" s="302"/>
    </row>
    <row r="8" spans="1:12" x14ac:dyDescent="0.3">
      <c r="A8" s="308" t="s">
        <v>1489</v>
      </c>
      <c r="B8" s="306">
        <f>IFERROR(B4/B7,0)</f>
        <v>3782.0714285714284</v>
      </c>
      <c r="C8" s="306">
        <f>IFERROR(C4/C7,0)</f>
        <v>3845.6153846153848</v>
      </c>
      <c r="D8" s="306">
        <f>IFERROR(D4/D7,0)</f>
        <v>4381.666666666667</v>
      </c>
      <c r="E8" s="306">
        <f>IFERROR(E4/E7,0)</f>
        <v>3738</v>
      </c>
      <c r="F8" s="302"/>
      <c r="G8" s="302"/>
      <c r="H8" s="302"/>
      <c r="I8" s="302"/>
      <c r="J8" s="302"/>
      <c r="K8" s="302"/>
      <c r="L8" s="302"/>
    </row>
    <row r="9" spans="1:12" x14ac:dyDescent="0.3">
      <c r="A9" s="302"/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</row>
    <row r="10" spans="1:12" x14ac:dyDescent="0.3">
      <c r="A10" s="303" t="s">
        <v>1490</v>
      </c>
      <c r="B10" s="304" t="s">
        <v>1481</v>
      </c>
      <c r="C10" s="304" t="s">
        <v>1482</v>
      </c>
      <c r="D10" s="304" t="s">
        <v>1483</v>
      </c>
      <c r="E10" s="304" t="s">
        <v>1484</v>
      </c>
      <c r="F10" s="302"/>
      <c r="G10" s="302"/>
      <c r="H10" s="302"/>
      <c r="I10" s="302"/>
      <c r="J10" s="302"/>
      <c r="K10" s="302"/>
      <c r="L10" s="302"/>
    </row>
    <row r="11" spans="1:12" x14ac:dyDescent="0.3">
      <c r="A11" s="308" t="s">
        <v>426</v>
      </c>
      <c r="B11" s="306">
        <f>SUMIFS('📅 Daily Log'!$D$8:$D$5000,'📅 Daily Log'!$B$8:$B$5000,"&gt;="&amp;DATE(2026,5,1),'📅 Daily Log'!$B$8:$B$5000,"&lt;"&amp;DATE(2026,6,1))</f>
        <v>26684</v>
      </c>
      <c r="C11" s="306">
        <f>SUMIFS('📅 Daily Log'!$D$8:$D$5000,'📅 Daily Log'!$B$8:$B$5000,"&gt;="&amp;DATE(2026,6,1),'📅 Daily Log'!$B$8:$B$5000,"&lt;"&amp;DATE(2026,7,1))</f>
        <v>49669</v>
      </c>
      <c r="D11" s="306">
        <f>SUMIFS('📅 Daily Log'!$D$8:$D$5000,'📅 Daily Log'!$B$8:$B$5000,"&gt;="&amp;DATE(2026,7,1),'📅 Daily Log'!$B$8:$B$5000,"&lt;"&amp;DATE(2026,8,1))</f>
        <v>35927</v>
      </c>
      <c r="E11" s="306">
        <f>SUMIFS('📅 Daily Log'!$D$8:$D$5000,'📅 Daily Log'!$B$8:$B$5000,"&gt;="&amp;DATE(2026,8,1),'📅 Daily Log'!$B$8:$B$5000,"&lt;"&amp;DATE(2026,9,1))</f>
        <v>2238</v>
      </c>
      <c r="F11" s="302"/>
      <c r="G11" s="302"/>
      <c r="H11" s="302"/>
      <c r="I11" s="302"/>
      <c r="J11" s="302"/>
      <c r="K11" s="302"/>
      <c r="L11" s="302"/>
    </row>
    <row r="12" spans="1:12" x14ac:dyDescent="0.3">
      <c r="A12" s="308" t="s">
        <v>367</v>
      </c>
      <c r="B12" s="306">
        <f>SUMIFS('📅 Daily Log'!$E$8:$E$5000,'📅 Daily Log'!$B$8:$B$5000,"&gt;="&amp;DATE(2026,5,1),'📅 Daily Log'!$B$8:$B$5000,"&lt;"&amp;DATE(2026,6,1))</f>
        <v>26265</v>
      </c>
      <c r="C12" s="306">
        <f>SUMIFS('📅 Daily Log'!$E$8:$E$5000,'📅 Daily Log'!$B$8:$B$5000,"&gt;="&amp;DATE(2026,6,1),'📅 Daily Log'!$B$8:$B$5000,"&lt;"&amp;DATE(2026,7,1))</f>
        <v>48630</v>
      </c>
      <c r="D12" s="306">
        <f>SUMIFS('📅 Daily Log'!$E$8:$E$5000,'📅 Daily Log'!$B$8:$B$5000,"&gt;="&amp;DATE(2026,7,1),'📅 Daily Log'!$B$8:$B$5000,"&lt;"&amp;DATE(2026,8,1))</f>
        <v>51208</v>
      </c>
      <c r="E12" s="306">
        <f>SUMIFS('📅 Daily Log'!$E$8:$E$5000,'📅 Daily Log'!$B$8:$B$5000,"&gt;="&amp;DATE(2026,8,1),'📅 Daily Log'!$B$8:$B$5000,"&lt;"&amp;DATE(2026,9,1))</f>
        <v>1275</v>
      </c>
      <c r="F12" s="302"/>
      <c r="G12" s="302"/>
      <c r="H12" s="302"/>
      <c r="I12" s="302"/>
      <c r="J12" s="302"/>
      <c r="K12" s="302"/>
      <c r="L12" s="302"/>
    </row>
    <row r="13" spans="1:12" x14ac:dyDescent="0.3">
      <c r="A13" s="308" t="s">
        <v>871</v>
      </c>
      <c r="B13" s="306">
        <f>SUMIFS('📅 Daily Log'!$G$8:$G$5000,'📅 Daily Log'!$B$8:$B$5000,"&gt;="&amp;DATE(2026,5,1),'📅 Daily Log'!$B$8:$B$5000,"&lt;"&amp;DATE(2026,6,1))</f>
        <v>0</v>
      </c>
      <c r="C13" s="306">
        <f>SUMIFS('📅 Daily Log'!$G$8:$G$5000,'📅 Daily Log'!$B$8:$B$5000,"&gt;="&amp;DATE(2026,6,1),'📅 Daily Log'!$B$8:$B$5000,"&lt;"&amp;DATE(2026,7,1))</f>
        <v>1687</v>
      </c>
      <c r="D13" s="306">
        <f>SUMIFS('📅 Daily Log'!$G$8:$G$5000,'📅 Daily Log'!$B$8:$B$5000,"&gt;="&amp;DATE(2026,7,1),'📅 Daily Log'!$B$8:$B$5000,"&lt;"&amp;DATE(2026,8,1))</f>
        <v>5390</v>
      </c>
      <c r="E13" s="306">
        <f>SUMIFS('📅 Daily Log'!$G$8:$G$5000,'📅 Daily Log'!$B$8:$B$5000,"&gt;="&amp;DATE(2026,8,1),'📅 Daily Log'!$B$8:$B$5000,"&lt;"&amp;DATE(2026,9,1))</f>
        <v>225</v>
      </c>
      <c r="F13" s="302"/>
      <c r="G13" s="302"/>
      <c r="H13" s="302"/>
      <c r="I13" s="302"/>
      <c r="J13" s="302"/>
      <c r="K13" s="302"/>
      <c r="L13" s="302"/>
    </row>
    <row r="14" spans="1:12" x14ac:dyDescent="0.3">
      <c r="A14" s="305" t="s">
        <v>1485</v>
      </c>
      <c r="B14" s="307">
        <f>B11+B12+B13</f>
        <v>52949</v>
      </c>
      <c r="C14" s="307">
        <f>C11+C12+C13</f>
        <v>99986</v>
      </c>
      <c r="D14" s="307">
        <f>D11+D12+D13</f>
        <v>92525</v>
      </c>
      <c r="E14" s="307">
        <f>E11+E12+E13</f>
        <v>3738</v>
      </c>
      <c r="F14" s="302"/>
      <c r="G14" s="302"/>
      <c r="H14" s="302"/>
      <c r="I14" s="302"/>
      <c r="J14" s="302"/>
      <c r="K14" s="302"/>
      <c r="L14" s="302"/>
    </row>
    <row r="15" spans="1:12" x14ac:dyDescent="0.3">
      <c r="A15" s="302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</row>
    <row r="16" spans="1:12" x14ac:dyDescent="0.3">
      <c r="A16" s="303" t="s">
        <v>1491</v>
      </c>
      <c r="B16" s="304" t="s">
        <v>1481</v>
      </c>
      <c r="C16" s="304" t="s">
        <v>1482</v>
      </c>
      <c r="D16" s="304" t="s">
        <v>1483</v>
      </c>
      <c r="E16" s="304" t="s">
        <v>1484</v>
      </c>
      <c r="F16" s="302"/>
      <c r="G16" s="302"/>
      <c r="H16" s="302"/>
      <c r="I16" s="302"/>
      <c r="J16" s="302"/>
      <c r="K16" s="302"/>
      <c r="L16" s="302"/>
    </row>
    <row r="17" spans="1:12" x14ac:dyDescent="0.3">
      <c r="A17" s="308" t="s">
        <v>418</v>
      </c>
      <c r="B17" s="306">
        <f>SUMIFS('💸 Expenses'!$F$8:$F$5000,'💸 Expenses'!$E$8:$E$5000,$A17,'💸 Expenses'!$B$8:$B$5000,"&gt;="&amp;DATE(2026,5,1),'💸 Expenses'!$B$8:$B$5000,"&lt;"&amp;DATE(2026,6,1))</f>
        <v>10666</v>
      </c>
      <c r="C17" s="306">
        <f>SUMIFS('💸 Expenses'!$F$8:$F$5000,'💸 Expenses'!$E$8:$E$5000,$A17,'💸 Expenses'!$B$8:$B$5000,"&gt;="&amp;DATE(2026,6,1),'💸 Expenses'!$B$8:$B$5000,"&lt;"&amp;DATE(2026,7,1))</f>
        <v>27856.65</v>
      </c>
      <c r="D17" s="306">
        <f>SUMIFS('💸 Expenses'!$F$8:$F$5000,'💸 Expenses'!$E$8:$E$5000,$A17,'💸 Expenses'!$B$8:$B$5000,"&gt;="&amp;DATE(2026,7,1),'💸 Expenses'!$B$8:$B$5000,"&lt;"&amp;DATE(2026,8,1))</f>
        <v>27050</v>
      </c>
      <c r="E17" s="306">
        <f>SUMIFS('💸 Expenses'!$F$8:$F$5000,'💸 Expenses'!$E$8:$E$5000,$A17,'💸 Expenses'!$B$8:$B$5000,"&gt;="&amp;DATE(2026,8,1),'💸 Expenses'!$B$8:$B$5000,"&lt;"&amp;DATE(2026,9,1))</f>
        <v>5250</v>
      </c>
      <c r="F17" s="302"/>
      <c r="G17" s="302"/>
      <c r="H17" s="302"/>
      <c r="I17" s="302"/>
      <c r="J17" s="302"/>
      <c r="K17" s="302"/>
      <c r="L17" s="302"/>
    </row>
    <row r="18" spans="1:12" x14ac:dyDescent="0.3">
      <c r="A18" s="308" t="s">
        <v>652</v>
      </c>
      <c r="B18" s="306">
        <f>SUMIFS('💸 Expenses'!$F$8:$F$5000,'💸 Expenses'!$E$8:$E$5000,$A18,'💸 Expenses'!$B$8:$B$5000,"&gt;="&amp;DATE(2026,5,1),'💸 Expenses'!$B$8:$B$5000,"&lt;"&amp;DATE(2026,6,1))</f>
        <v>10000</v>
      </c>
      <c r="C18" s="306">
        <f>SUMIFS('💸 Expenses'!$F$8:$F$5000,'💸 Expenses'!$E$8:$E$5000,$A18,'💸 Expenses'!$B$8:$B$5000,"&gt;="&amp;DATE(2026,6,1),'💸 Expenses'!$B$8:$B$5000,"&lt;"&amp;DATE(2026,7,1))</f>
        <v>15000</v>
      </c>
      <c r="D18" s="306">
        <f>SUMIFS('💸 Expenses'!$F$8:$F$5000,'💸 Expenses'!$E$8:$E$5000,$A18,'💸 Expenses'!$B$8:$B$5000,"&gt;="&amp;DATE(2026,7,1),'💸 Expenses'!$B$8:$B$5000,"&lt;"&amp;DATE(2026,8,1))</f>
        <v>20000</v>
      </c>
      <c r="E18" s="306">
        <f>SUMIFS('💸 Expenses'!$F$8:$F$5000,'💸 Expenses'!$E$8:$E$5000,$A18,'💸 Expenses'!$B$8:$B$5000,"&gt;="&amp;DATE(2026,8,1),'💸 Expenses'!$B$8:$B$5000,"&lt;"&amp;DATE(2026,9,1))</f>
        <v>0</v>
      </c>
      <c r="F18" s="302"/>
      <c r="G18" s="302"/>
      <c r="H18" s="302"/>
      <c r="I18" s="302"/>
      <c r="J18" s="302"/>
      <c r="K18" s="302"/>
      <c r="L18" s="302"/>
    </row>
    <row r="19" spans="1:12" x14ac:dyDescent="0.3">
      <c r="A19" s="308" t="s">
        <v>365</v>
      </c>
      <c r="B19" s="306">
        <f>SUMIFS('💸 Expenses'!$F$8:$F$5000,'💸 Expenses'!$E$8:$E$5000,$A19,'💸 Expenses'!$B$8:$B$5000,"&gt;="&amp;DATE(2026,5,1),'💸 Expenses'!$B$8:$B$5000,"&lt;"&amp;DATE(2026,6,1))</f>
        <v>5617.49</v>
      </c>
      <c r="C19" s="306">
        <f>SUMIFS('💸 Expenses'!$F$8:$F$5000,'💸 Expenses'!$E$8:$E$5000,$A19,'💸 Expenses'!$B$8:$B$5000,"&gt;="&amp;DATE(2026,6,1),'💸 Expenses'!$B$8:$B$5000,"&lt;"&amp;DATE(2026,7,1))</f>
        <v>20451.239999999998</v>
      </c>
      <c r="D19" s="306">
        <f>SUMIFS('💸 Expenses'!$F$8:$F$5000,'💸 Expenses'!$E$8:$E$5000,$A19,'💸 Expenses'!$B$8:$B$5000,"&gt;="&amp;DATE(2026,7,1),'💸 Expenses'!$B$8:$B$5000,"&lt;"&amp;DATE(2026,8,1))</f>
        <v>15967.8</v>
      </c>
      <c r="E19" s="306">
        <f>SUMIFS('💸 Expenses'!$F$8:$F$5000,'💸 Expenses'!$E$8:$E$5000,$A19,'💸 Expenses'!$B$8:$B$5000,"&gt;="&amp;DATE(2026,8,1),'💸 Expenses'!$B$8:$B$5000,"&lt;"&amp;DATE(2026,9,1))</f>
        <v>150</v>
      </c>
      <c r="F19" s="302"/>
      <c r="G19" s="302"/>
      <c r="H19" s="302"/>
      <c r="I19" s="302"/>
      <c r="J19" s="302"/>
      <c r="K19" s="302"/>
      <c r="L19" s="302"/>
    </row>
    <row r="20" spans="1:12" x14ac:dyDescent="0.3">
      <c r="A20" s="308" t="s">
        <v>375</v>
      </c>
      <c r="B20" s="306">
        <f>SUMIFS('💸 Expenses'!$F$8:$F$5000,'💸 Expenses'!$E$8:$E$5000,$A20,'💸 Expenses'!$B$8:$B$5000,"&gt;="&amp;DATE(2026,5,1),'💸 Expenses'!$B$8:$B$5000,"&lt;"&amp;DATE(2026,6,1))</f>
        <v>698</v>
      </c>
      <c r="C20" s="306">
        <f>SUMIFS('💸 Expenses'!$F$8:$F$5000,'💸 Expenses'!$E$8:$E$5000,$A20,'💸 Expenses'!$B$8:$B$5000,"&gt;="&amp;DATE(2026,6,1),'💸 Expenses'!$B$8:$B$5000,"&lt;"&amp;DATE(2026,7,1))</f>
        <v>4691.5300000000007</v>
      </c>
      <c r="D20" s="306">
        <f>SUMIFS('💸 Expenses'!$F$8:$F$5000,'💸 Expenses'!$E$8:$E$5000,$A20,'💸 Expenses'!$B$8:$B$5000,"&gt;="&amp;DATE(2026,7,1),'💸 Expenses'!$B$8:$B$5000,"&lt;"&amp;DATE(2026,8,1))</f>
        <v>12847.66</v>
      </c>
      <c r="E20" s="306">
        <f>SUMIFS('💸 Expenses'!$F$8:$F$5000,'💸 Expenses'!$E$8:$E$5000,$A20,'💸 Expenses'!$B$8:$B$5000,"&gt;="&amp;DATE(2026,8,1),'💸 Expenses'!$B$8:$B$5000,"&lt;"&amp;DATE(2026,9,1))</f>
        <v>148</v>
      </c>
      <c r="F20" s="302"/>
      <c r="G20" s="302"/>
      <c r="H20" s="302"/>
      <c r="I20" s="302"/>
      <c r="J20" s="302"/>
      <c r="K20" s="302"/>
      <c r="L20" s="302"/>
    </row>
    <row r="21" spans="1:12" x14ac:dyDescent="0.3">
      <c r="A21" s="308" t="s">
        <v>378</v>
      </c>
      <c r="B21" s="306">
        <f>SUMIFS('💸 Expenses'!$F$8:$F$5000,'💸 Expenses'!$E$8:$E$5000,$A21,'💸 Expenses'!$B$8:$B$5000,"&gt;="&amp;DATE(2026,5,1),'💸 Expenses'!$B$8:$B$5000,"&lt;"&amp;DATE(2026,6,1))</f>
        <v>3439.79</v>
      </c>
      <c r="C21" s="306">
        <f>SUMIFS('💸 Expenses'!$F$8:$F$5000,'💸 Expenses'!$E$8:$E$5000,$A21,'💸 Expenses'!$B$8:$B$5000,"&gt;="&amp;DATE(2026,6,1),'💸 Expenses'!$B$8:$B$5000,"&lt;"&amp;DATE(2026,7,1))</f>
        <v>6055.49</v>
      </c>
      <c r="D21" s="306">
        <f>SUMIFS('💸 Expenses'!$F$8:$F$5000,'💸 Expenses'!$E$8:$E$5000,$A21,'💸 Expenses'!$B$8:$B$5000,"&gt;="&amp;DATE(2026,7,1),'💸 Expenses'!$B$8:$B$5000,"&lt;"&amp;DATE(2026,8,1))</f>
        <v>6543</v>
      </c>
      <c r="E21" s="306">
        <f>SUMIFS('💸 Expenses'!$F$8:$F$5000,'💸 Expenses'!$E$8:$E$5000,$A21,'💸 Expenses'!$B$8:$B$5000,"&gt;="&amp;DATE(2026,8,1),'💸 Expenses'!$B$8:$B$5000,"&lt;"&amp;DATE(2026,9,1))</f>
        <v>1632</v>
      </c>
      <c r="F21" s="302"/>
      <c r="G21" s="302"/>
      <c r="H21" s="302"/>
      <c r="I21" s="302"/>
      <c r="J21" s="302"/>
      <c r="K21" s="302"/>
      <c r="L21" s="302"/>
    </row>
    <row r="22" spans="1:12" x14ac:dyDescent="0.3">
      <c r="A22" s="308" t="s">
        <v>369</v>
      </c>
      <c r="B22" s="306">
        <f>SUMIFS('💸 Expenses'!$F$8:$F$5000,'💸 Expenses'!$E$8:$E$5000,$A22,'💸 Expenses'!$B$8:$B$5000,"&gt;="&amp;DATE(2026,5,1),'💸 Expenses'!$B$8:$B$5000,"&lt;"&amp;DATE(2026,6,1))</f>
        <v>3505.54</v>
      </c>
      <c r="C22" s="306">
        <f>SUMIFS('💸 Expenses'!$F$8:$F$5000,'💸 Expenses'!$E$8:$E$5000,$A22,'💸 Expenses'!$B$8:$B$5000,"&gt;="&amp;DATE(2026,6,1),'💸 Expenses'!$B$8:$B$5000,"&lt;"&amp;DATE(2026,7,1))</f>
        <v>5658.42</v>
      </c>
      <c r="D22" s="306">
        <f>SUMIFS('💸 Expenses'!$F$8:$F$5000,'💸 Expenses'!$E$8:$E$5000,$A22,'💸 Expenses'!$B$8:$B$5000,"&gt;="&amp;DATE(2026,7,1),'💸 Expenses'!$B$8:$B$5000,"&lt;"&amp;DATE(2026,8,1))</f>
        <v>2148</v>
      </c>
      <c r="E22" s="306">
        <f>SUMIFS('💸 Expenses'!$F$8:$F$5000,'💸 Expenses'!$E$8:$E$5000,$A22,'💸 Expenses'!$B$8:$B$5000,"&gt;="&amp;DATE(2026,8,1),'💸 Expenses'!$B$8:$B$5000,"&lt;"&amp;DATE(2026,9,1))</f>
        <v>0</v>
      </c>
      <c r="F22" s="302"/>
      <c r="G22" s="302"/>
      <c r="H22" s="302"/>
      <c r="I22" s="302"/>
      <c r="J22" s="302"/>
      <c r="K22" s="302"/>
      <c r="L22" s="302"/>
    </row>
    <row r="23" spans="1:12" x14ac:dyDescent="0.3">
      <c r="A23" s="308" t="s">
        <v>429</v>
      </c>
      <c r="B23" s="306">
        <f>SUMIFS('💸 Expenses'!$F$8:$F$5000,'💸 Expenses'!$E$8:$E$5000,$A23,'💸 Expenses'!$B$8:$B$5000,"&gt;="&amp;DATE(2026,5,1),'💸 Expenses'!$B$8:$B$5000,"&lt;"&amp;DATE(2026,6,1))</f>
        <v>905.23</v>
      </c>
      <c r="C23" s="306">
        <f>SUMIFS('💸 Expenses'!$F$8:$F$5000,'💸 Expenses'!$E$8:$E$5000,$A23,'💸 Expenses'!$B$8:$B$5000,"&gt;="&amp;DATE(2026,6,1),'💸 Expenses'!$B$8:$B$5000,"&lt;"&amp;DATE(2026,7,1))</f>
        <v>6691.3899999999994</v>
      </c>
      <c r="D23" s="306">
        <f>SUMIFS('💸 Expenses'!$F$8:$F$5000,'💸 Expenses'!$E$8:$E$5000,$A23,'💸 Expenses'!$B$8:$B$5000,"&gt;="&amp;DATE(2026,7,1),'💸 Expenses'!$B$8:$B$5000,"&lt;"&amp;DATE(2026,8,1))</f>
        <v>1295.5</v>
      </c>
      <c r="E23" s="306">
        <f>SUMIFS('💸 Expenses'!$F$8:$F$5000,'💸 Expenses'!$E$8:$E$5000,$A23,'💸 Expenses'!$B$8:$B$5000,"&gt;="&amp;DATE(2026,8,1),'💸 Expenses'!$B$8:$B$5000,"&lt;"&amp;DATE(2026,9,1))</f>
        <v>0</v>
      </c>
      <c r="F23" s="302"/>
      <c r="G23" s="302"/>
      <c r="H23" s="302"/>
      <c r="I23" s="302"/>
      <c r="J23" s="302"/>
      <c r="K23" s="302"/>
      <c r="L23" s="302"/>
    </row>
    <row r="24" spans="1:12" x14ac:dyDescent="0.3">
      <c r="A24" s="308" t="s">
        <v>387</v>
      </c>
      <c r="B24" s="306">
        <f>SUMIFS('💸 Expenses'!$F$8:$F$5000,'💸 Expenses'!$E$8:$E$5000,$A24,'💸 Expenses'!$B$8:$B$5000,"&gt;="&amp;DATE(2026,5,1),'💸 Expenses'!$B$8:$B$5000,"&lt;"&amp;DATE(2026,6,1))</f>
        <v>2388.1200000000003</v>
      </c>
      <c r="C24" s="306">
        <f>SUMIFS('💸 Expenses'!$F$8:$F$5000,'💸 Expenses'!$E$8:$E$5000,$A24,'💸 Expenses'!$B$8:$B$5000,"&gt;="&amp;DATE(2026,6,1),'💸 Expenses'!$B$8:$B$5000,"&lt;"&amp;DATE(2026,7,1))</f>
        <v>4425.68</v>
      </c>
      <c r="D24" s="306">
        <f>SUMIFS('💸 Expenses'!$F$8:$F$5000,'💸 Expenses'!$E$8:$E$5000,$A24,'💸 Expenses'!$B$8:$B$5000,"&gt;="&amp;DATE(2026,7,1),'💸 Expenses'!$B$8:$B$5000,"&lt;"&amp;DATE(2026,8,1))</f>
        <v>1975</v>
      </c>
      <c r="E24" s="306">
        <f>SUMIFS('💸 Expenses'!$F$8:$F$5000,'💸 Expenses'!$E$8:$E$5000,$A24,'💸 Expenses'!$B$8:$B$5000,"&gt;="&amp;DATE(2026,8,1),'💸 Expenses'!$B$8:$B$5000,"&lt;"&amp;DATE(2026,9,1))</f>
        <v>0</v>
      </c>
      <c r="F24" s="302"/>
      <c r="G24" s="302"/>
      <c r="H24" s="302"/>
      <c r="I24" s="302"/>
      <c r="J24" s="302"/>
      <c r="K24" s="302"/>
      <c r="L24" s="302"/>
    </row>
    <row r="25" spans="1:12" x14ac:dyDescent="0.3">
      <c r="A25" s="308" t="s">
        <v>372</v>
      </c>
      <c r="B25" s="306">
        <f>SUMIFS('💸 Expenses'!$F$8:$F$5000,'💸 Expenses'!$E$8:$E$5000,$A25,'💸 Expenses'!$B$8:$B$5000,"&gt;="&amp;DATE(2026,5,1),'💸 Expenses'!$B$8:$B$5000,"&lt;"&amp;DATE(2026,6,1))</f>
        <v>1976.5</v>
      </c>
      <c r="C25" s="306">
        <f>SUMIFS('💸 Expenses'!$F$8:$F$5000,'💸 Expenses'!$E$8:$E$5000,$A25,'💸 Expenses'!$B$8:$B$5000,"&gt;="&amp;DATE(2026,6,1),'💸 Expenses'!$B$8:$B$5000,"&lt;"&amp;DATE(2026,7,1))</f>
        <v>3055.2</v>
      </c>
      <c r="D25" s="306">
        <f>SUMIFS('💸 Expenses'!$F$8:$F$5000,'💸 Expenses'!$E$8:$E$5000,$A25,'💸 Expenses'!$B$8:$B$5000,"&gt;="&amp;DATE(2026,7,1),'💸 Expenses'!$B$8:$B$5000,"&lt;"&amp;DATE(2026,8,1))</f>
        <v>2933.36</v>
      </c>
      <c r="E25" s="306">
        <f>SUMIFS('💸 Expenses'!$F$8:$F$5000,'💸 Expenses'!$E$8:$E$5000,$A25,'💸 Expenses'!$B$8:$B$5000,"&gt;="&amp;DATE(2026,8,1),'💸 Expenses'!$B$8:$B$5000,"&lt;"&amp;DATE(2026,9,1))</f>
        <v>0</v>
      </c>
      <c r="F25" s="302"/>
      <c r="G25" s="302"/>
      <c r="H25" s="302"/>
      <c r="I25" s="302"/>
      <c r="J25" s="302"/>
      <c r="K25" s="302"/>
      <c r="L25" s="302"/>
    </row>
    <row r="26" spans="1:12" x14ac:dyDescent="0.3">
      <c r="A26" s="308" t="s">
        <v>389</v>
      </c>
      <c r="B26" s="306">
        <f>SUMIFS('💸 Expenses'!$F$8:$F$5000,'💸 Expenses'!$E$8:$E$5000,$A26,'💸 Expenses'!$B$8:$B$5000,"&gt;="&amp;DATE(2026,5,1),'💸 Expenses'!$B$8:$B$5000,"&lt;"&amp;DATE(2026,6,1))</f>
        <v>628.20000000000005</v>
      </c>
      <c r="C26" s="306">
        <f>SUMIFS('💸 Expenses'!$F$8:$F$5000,'💸 Expenses'!$E$8:$E$5000,$A26,'💸 Expenses'!$B$8:$B$5000,"&gt;="&amp;DATE(2026,6,1),'💸 Expenses'!$B$8:$B$5000,"&lt;"&amp;DATE(2026,7,1))</f>
        <v>5822.5499999999993</v>
      </c>
      <c r="D26" s="306">
        <f>SUMIFS('💸 Expenses'!$F$8:$F$5000,'💸 Expenses'!$E$8:$E$5000,$A26,'💸 Expenses'!$B$8:$B$5000,"&gt;="&amp;DATE(2026,7,1),'💸 Expenses'!$B$8:$B$5000,"&lt;"&amp;DATE(2026,8,1))</f>
        <v>250</v>
      </c>
      <c r="E26" s="306">
        <f>SUMIFS('💸 Expenses'!$F$8:$F$5000,'💸 Expenses'!$E$8:$E$5000,$A26,'💸 Expenses'!$B$8:$B$5000,"&gt;="&amp;DATE(2026,8,1),'💸 Expenses'!$B$8:$B$5000,"&lt;"&amp;DATE(2026,9,1))</f>
        <v>0</v>
      </c>
      <c r="F26" s="302"/>
      <c r="G26" s="302"/>
      <c r="H26" s="302"/>
      <c r="I26" s="302"/>
      <c r="J26" s="302"/>
      <c r="K26" s="302"/>
      <c r="L26" s="302"/>
    </row>
    <row r="27" spans="1:12" x14ac:dyDescent="0.3">
      <c r="A27" s="308" t="s">
        <v>655</v>
      </c>
      <c r="B27" s="306">
        <f>SUMIFS('💸 Expenses'!$F$8:$F$5000,'💸 Expenses'!$E$8:$E$5000,$A27,'💸 Expenses'!$B$8:$B$5000,"&gt;="&amp;DATE(2026,5,1),'💸 Expenses'!$B$8:$B$5000,"&lt;"&amp;DATE(2026,6,1))</f>
        <v>0</v>
      </c>
      <c r="C27" s="306">
        <f>SUMIFS('💸 Expenses'!$F$8:$F$5000,'💸 Expenses'!$E$8:$E$5000,$A27,'💸 Expenses'!$B$8:$B$5000,"&gt;="&amp;DATE(2026,6,1),'💸 Expenses'!$B$8:$B$5000,"&lt;"&amp;DATE(2026,7,1))</f>
        <v>5000</v>
      </c>
      <c r="D27" s="306">
        <f>SUMIFS('💸 Expenses'!$F$8:$F$5000,'💸 Expenses'!$E$8:$E$5000,$A27,'💸 Expenses'!$B$8:$B$5000,"&gt;="&amp;DATE(2026,7,1),'💸 Expenses'!$B$8:$B$5000,"&lt;"&amp;DATE(2026,8,1))</f>
        <v>0</v>
      </c>
      <c r="E27" s="306">
        <f>SUMIFS('💸 Expenses'!$F$8:$F$5000,'💸 Expenses'!$E$8:$E$5000,$A27,'💸 Expenses'!$B$8:$B$5000,"&gt;="&amp;DATE(2026,8,1),'💸 Expenses'!$B$8:$B$5000,"&lt;"&amp;DATE(2026,9,1))</f>
        <v>0</v>
      </c>
      <c r="F27" s="302"/>
      <c r="G27" s="302"/>
      <c r="H27" s="302"/>
      <c r="I27" s="302"/>
      <c r="J27" s="302"/>
      <c r="K27" s="302"/>
      <c r="L27" s="302"/>
    </row>
    <row r="28" spans="1:12" x14ac:dyDescent="0.3">
      <c r="A28" s="308" t="s">
        <v>384</v>
      </c>
      <c r="B28" s="306">
        <f>SUMIFS('💸 Expenses'!$F$8:$F$5000,'💸 Expenses'!$E$8:$E$5000,$A28,'💸 Expenses'!$B$8:$B$5000,"&gt;="&amp;DATE(2026,5,1),'💸 Expenses'!$B$8:$B$5000,"&lt;"&amp;DATE(2026,6,1))</f>
        <v>1540.7</v>
      </c>
      <c r="C28" s="306">
        <f>SUMIFS('💸 Expenses'!$F$8:$F$5000,'💸 Expenses'!$E$8:$E$5000,$A28,'💸 Expenses'!$B$8:$B$5000,"&gt;="&amp;DATE(2026,6,1),'💸 Expenses'!$B$8:$B$5000,"&lt;"&amp;DATE(2026,7,1))</f>
        <v>1261.9000000000001</v>
      </c>
      <c r="D28" s="306">
        <f>SUMIFS('💸 Expenses'!$F$8:$F$5000,'💸 Expenses'!$E$8:$E$5000,$A28,'💸 Expenses'!$B$8:$B$5000,"&gt;="&amp;DATE(2026,7,1),'💸 Expenses'!$B$8:$B$5000,"&lt;"&amp;DATE(2026,8,1))</f>
        <v>1713.6</v>
      </c>
      <c r="E28" s="306">
        <f>SUMIFS('💸 Expenses'!$F$8:$F$5000,'💸 Expenses'!$E$8:$E$5000,$A28,'💸 Expenses'!$B$8:$B$5000,"&gt;="&amp;DATE(2026,8,1),'💸 Expenses'!$B$8:$B$5000,"&lt;"&amp;DATE(2026,9,1))</f>
        <v>0</v>
      </c>
      <c r="F28" s="302"/>
      <c r="G28" s="302"/>
      <c r="H28" s="302"/>
      <c r="I28" s="302"/>
      <c r="J28" s="302"/>
      <c r="K28" s="302"/>
      <c r="L28" s="302"/>
    </row>
    <row r="29" spans="1:12" x14ac:dyDescent="0.3">
      <c r="A29" s="308" t="s">
        <v>939</v>
      </c>
      <c r="B29" s="306">
        <f>SUMIFS('💸 Expenses'!$F$8:$F$5000,'💸 Expenses'!$E$8:$E$5000,$A29,'💸 Expenses'!$B$8:$B$5000,"&gt;="&amp;DATE(2026,5,1),'💸 Expenses'!$B$8:$B$5000,"&lt;"&amp;DATE(2026,6,1))</f>
        <v>0</v>
      </c>
      <c r="C29" s="306">
        <f>SUMIFS('💸 Expenses'!$F$8:$F$5000,'💸 Expenses'!$E$8:$E$5000,$A29,'💸 Expenses'!$B$8:$B$5000,"&gt;="&amp;DATE(2026,6,1),'💸 Expenses'!$B$8:$B$5000,"&lt;"&amp;DATE(2026,7,1))</f>
        <v>330.73</v>
      </c>
      <c r="D29" s="306">
        <f>SUMIFS('💸 Expenses'!$F$8:$F$5000,'💸 Expenses'!$E$8:$E$5000,$A29,'💸 Expenses'!$B$8:$B$5000,"&gt;="&amp;DATE(2026,7,1),'💸 Expenses'!$B$8:$B$5000,"&lt;"&amp;DATE(2026,8,1))</f>
        <v>3272.23</v>
      </c>
      <c r="E29" s="306">
        <f>SUMIFS('💸 Expenses'!$F$8:$F$5000,'💸 Expenses'!$E$8:$E$5000,$A29,'💸 Expenses'!$B$8:$B$5000,"&gt;="&amp;DATE(2026,8,1),'💸 Expenses'!$B$8:$B$5000,"&lt;"&amp;DATE(2026,9,1))</f>
        <v>0</v>
      </c>
      <c r="F29" s="302"/>
      <c r="G29" s="302"/>
      <c r="H29" s="302"/>
      <c r="I29" s="302"/>
      <c r="J29" s="302"/>
      <c r="K29" s="302"/>
      <c r="L29" s="302"/>
    </row>
    <row r="30" spans="1:12" x14ac:dyDescent="0.3">
      <c r="A30" s="308" t="s">
        <v>977</v>
      </c>
      <c r="B30" s="306">
        <f>SUMIFS('💸 Expenses'!$F$8:$F$5000,'💸 Expenses'!$E$8:$E$5000,$A30,'💸 Expenses'!$B$8:$B$5000,"&gt;="&amp;DATE(2026,5,1),'💸 Expenses'!$B$8:$B$5000,"&lt;"&amp;DATE(2026,6,1))</f>
        <v>0</v>
      </c>
      <c r="C30" s="306">
        <f>SUMIFS('💸 Expenses'!$F$8:$F$5000,'💸 Expenses'!$E$8:$E$5000,$A30,'💸 Expenses'!$B$8:$B$5000,"&gt;="&amp;DATE(2026,6,1),'💸 Expenses'!$B$8:$B$5000,"&lt;"&amp;DATE(2026,7,1))</f>
        <v>1499.52</v>
      </c>
      <c r="D30" s="306">
        <f>SUMIFS('💸 Expenses'!$F$8:$F$5000,'💸 Expenses'!$E$8:$E$5000,$A30,'💸 Expenses'!$B$8:$B$5000,"&gt;="&amp;DATE(2026,7,1),'💸 Expenses'!$B$8:$B$5000,"&lt;"&amp;DATE(2026,8,1))</f>
        <v>0</v>
      </c>
      <c r="E30" s="306">
        <f>SUMIFS('💸 Expenses'!$F$8:$F$5000,'💸 Expenses'!$E$8:$E$5000,$A30,'💸 Expenses'!$B$8:$B$5000,"&gt;="&amp;DATE(2026,8,1),'💸 Expenses'!$B$8:$B$5000,"&lt;"&amp;DATE(2026,9,1))</f>
        <v>1500</v>
      </c>
      <c r="F30" s="302"/>
      <c r="G30" s="302"/>
      <c r="H30" s="302"/>
      <c r="I30" s="302"/>
      <c r="J30" s="302"/>
      <c r="K30" s="302"/>
      <c r="L30" s="302"/>
    </row>
    <row r="31" spans="1:12" x14ac:dyDescent="0.3">
      <c r="A31" s="308" t="s">
        <v>401</v>
      </c>
      <c r="B31" s="306">
        <f>SUMIFS('💸 Expenses'!$F$8:$F$5000,'💸 Expenses'!$E$8:$E$5000,$A31,'💸 Expenses'!$B$8:$B$5000,"&gt;="&amp;DATE(2026,5,1),'💸 Expenses'!$B$8:$B$5000,"&lt;"&amp;DATE(2026,6,1))</f>
        <v>794.06000000000006</v>
      </c>
      <c r="C31" s="306">
        <f>SUMIFS('💸 Expenses'!$F$8:$F$5000,'💸 Expenses'!$E$8:$E$5000,$A31,'💸 Expenses'!$B$8:$B$5000,"&gt;="&amp;DATE(2026,6,1),'💸 Expenses'!$B$8:$B$5000,"&lt;"&amp;DATE(2026,7,1))</f>
        <v>1838.79</v>
      </c>
      <c r="D31" s="306">
        <f>SUMIFS('💸 Expenses'!$F$8:$F$5000,'💸 Expenses'!$E$8:$E$5000,$A31,'💸 Expenses'!$B$8:$B$5000,"&gt;="&amp;DATE(2026,7,1),'💸 Expenses'!$B$8:$B$5000,"&lt;"&amp;DATE(2026,8,1))</f>
        <v>334</v>
      </c>
      <c r="E31" s="306">
        <f>SUMIFS('💸 Expenses'!$F$8:$F$5000,'💸 Expenses'!$E$8:$E$5000,$A31,'💸 Expenses'!$B$8:$B$5000,"&gt;="&amp;DATE(2026,8,1),'💸 Expenses'!$B$8:$B$5000,"&lt;"&amp;DATE(2026,9,1))</f>
        <v>0</v>
      </c>
      <c r="F31" s="302"/>
      <c r="G31" s="302"/>
      <c r="H31" s="302"/>
      <c r="I31" s="302"/>
      <c r="J31" s="302"/>
      <c r="K31" s="302"/>
      <c r="L31" s="302"/>
    </row>
    <row r="32" spans="1:12" x14ac:dyDescent="0.3">
      <c r="A32" s="308" t="s">
        <v>907</v>
      </c>
      <c r="B32" s="306">
        <f>SUMIFS('💸 Expenses'!$F$8:$F$5000,'💸 Expenses'!$E$8:$E$5000,$A32,'💸 Expenses'!$B$8:$B$5000,"&gt;="&amp;DATE(2026,5,1),'💸 Expenses'!$B$8:$B$5000,"&lt;"&amp;DATE(2026,6,1))</f>
        <v>0</v>
      </c>
      <c r="C32" s="306">
        <f>SUMIFS('💸 Expenses'!$F$8:$F$5000,'💸 Expenses'!$E$8:$E$5000,$A32,'💸 Expenses'!$B$8:$B$5000,"&gt;="&amp;DATE(2026,6,1),'💸 Expenses'!$B$8:$B$5000,"&lt;"&amp;DATE(2026,7,1))</f>
        <v>388.5</v>
      </c>
      <c r="D32" s="306">
        <f>SUMIFS('💸 Expenses'!$F$8:$F$5000,'💸 Expenses'!$E$8:$E$5000,$A32,'💸 Expenses'!$B$8:$B$5000,"&gt;="&amp;DATE(2026,7,1),'💸 Expenses'!$B$8:$B$5000,"&lt;"&amp;DATE(2026,8,1))</f>
        <v>1531</v>
      </c>
      <c r="E32" s="306">
        <f>SUMIFS('💸 Expenses'!$F$8:$F$5000,'💸 Expenses'!$E$8:$E$5000,$A32,'💸 Expenses'!$B$8:$B$5000,"&gt;="&amp;DATE(2026,8,1),'💸 Expenses'!$B$8:$B$5000,"&lt;"&amp;DATE(2026,9,1))</f>
        <v>0</v>
      </c>
      <c r="F32" s="302"/>
      <c r="G32" s="302"/>
      <c r="H32" s="302"/>
      <c r="I32" s="302"/>
      <c r="J32" s="302"/>
      <c r="K32" s="302"/>
      <c r="L32" s="302"/>
    </row>
    <row r="33" spans="1:12" x14ac:dyDescent="0.3">
      <c r="A33" s="308" t="s">
        <v>870</v>
      </c>
      <c r="B33" s="306">
        <f>SUMIFS('💸 Expenses'!$F$8:$F$5000,'💸 Expenses'!$E$8:$E$5000,$A33,'💸 Expenses'!$B$8:$B$5000,"&gt;="&amp;DATE(2026,5,1),'💸 Expenses'!$B$8:$B$5000,"&lt;"&amp;DATE(2026,6,1))</f>
        <v>0</v>
      </c>
      <c r="C33" s="306">
        <f>SUMIFS('💸 Expenses'!$F$8:$F$5000,'💸 Expenses'!$E$8:$E$5000,$A33,'💸 Expenses'!$B$8:$B$5000,"&gt;="&amp;DATE(2026,6,1),'💸 Expenses'!$B$8:$B$5000,"&lt;"&amp;DATE(2026,7,1))</f>
        <v>349</v>
      </c>
      <c r="D33" s="306">
        <f>SUMIFS('💸 Expenses'!$F$8:$F$5000,'💸 Expenses'!$E$8:$E$5000,$A33,'💸 Expenses'!$B$8:$B$5000,"&gt;="&amp;DATE(2026,7,1),'💸 Expenses'!$B$8:$B$5000,"&lt;"&amp;DATE(2026,8,1))</f>
        <v>1159</v>
      </c>
      <c r="E33" s="306">
        <f>SUMIFS('💸 Expenses'!$F$8:$F$5000,'💸 Expenses'!$E$8:$E$5000,$A33,'💸 Expenses'!$B$8:$B$5000,"&gt;="&amp;DATE(2026,8,1),'💸 Expenses'!$B$8:$B$5000,"&lt;"&amp;DATE(2026,9,1))</f>
        <v>0</v>
      </c>
      <c r="F33" s="302"/>
      <c r="G33" s="302"/>
      <c r="H33" s="302"/>
      <c r="I33" s="302"/>
      <c r="J33" s="302"/>
      <c r="K33" s="302"/>
      <c r="L33" s="302"/>
    </row>
    <row r="34" spans="1:12" x14ac:dyDescent="0.3">
      <c r="A34" s="308" t="s">
        <v>771</v>
      </c>
      <c r="B34" s="306">
        <f>SUMIFS('💸 Expenses'!$F$8:$F$5000,'💸 Expenses'!$E$8:$E$5000,$A34,'💸 Expenses'!$B$8:$B$5000,"&gt;="&amp;DATE(2026,5,1),'💸 Expenses'!$B$8:$B$5000,"&lt;"&amp;DATE(2026,6,1))</f>
        <v>0</v>
      </c>
      <c r="C34" s="306">
        <f>SUMIFS('💸 Expenses'!$F$8:$F$5000,'💸 Expenses'!$E$8:$E$5000,$A34,'💸 Expenses'!$B$8:$B$5000,"&gt;="&amp;DATE(2026,6,1),'💸 Expenses'!$B$8:$B$5000,"&lt;"&amp;DATE(2026,7,1))</f>
        <v>1044</v>
      </c>
      <c r="D34" s="306">
        <f>SUMIFS('💸 Expenses'!$F$8:$F$5000,'💸 Expenses'!$E$8:$E$5000,$A34,'💸 Expenses'!$B$8:$B$5000,"&gt;="&amp;DATE(2026,7,1),'💸 Expenses'!$B$8:$B$5000,"&lt;"&amp;DATE(2026,8,1))</f>
        <v>337.8</v>
      </c>
      <c r="E34" s="306">
        <f>SUMIFS('💸 Expenses'!$F$8:$F$5000,'💸 Expenses'!$E$8:$E$5000,$A34,'💸 Expenses'!$B$8:$B$5000,"&gt;="&amp;DATE(2026,8,1),'💸 Expenses'!$B$8:$B$5000,"&lt;"&amp;DATE(2026,9,1))</f>
        <v>0</v>
      </c>
      <c r="F34" s="302"/>
      <c r="G34" s="302"/>
      <c r="H34" s="302"/>
      <c r="I34" s="302"/>
      <c r="J34" s="302"/>
      <c r="K34" s="302"/>
      <c r="L34" s="302"/>
    </row>
    <row r="35" spans="1:12" x14ac:dyDescent="0.3">
      <c r="A35" s="308" t="s">
        <v>944</v>
      </c>
      <c r="B35" s="306">
        <f>SUMIFS('💸 Expenses'!$F$8:$F$5000,'💸 Expenses'!$E$8:$E$5000,$A35,'💸 Expenses'!$B$8:$B$5000,"&gt;="&amp;DATE(2026,5,1),'💸 Expenses'!$B$8:$B$5000,"&lt;"&amp;DATE(2026,6,1))</f>
        <v>0</v>
      </c>
      <c r="C35" s="306">
        <f>SUMIFS('💸 Expenses'!$F$8:$F$5000,'💸 Expenses'!$E$8:$E$5000,$A35,'💸 Expenses'!$B$8:$B$5000,"&gt;="&amp;DATE(2026,6,1),'💸 Expenses'!$B$8:$B$5000,"&lt;"&amp;DATE(2026,7,1))</f>
        <v>89</v>
      </c>
      <c r="D35" s="306">
        <f>SUMIFS('💸 Expenses'!$F$8:$F$5000,'💸 Expenses'!$E$8:$E$5000,$A35,'💸 Expenses'!$B$8:$B$5000,"&gt;="&amp;DATE(2026,7,1),'💸 Expenses'!$B$8:$B$5000,"&lt;"&amp;DATE(2026,8,1))</f>
        <v>1076</v>
      </c>
      <c r="E35" s="306">
        <f>SUMIFS('💸 Expenses'!$F$8:$F$5000,'💸 Expenses'!$E$8:$E$5000,$A35,'💸 Expenses'!$B$8:$B$5000,"&gt;="&amp;DATE(2026,8,1),'💸 Expenses'!$B$8:$B$5000,"&lt;"&amp;DATE(2026,9,1))</f>
        <v>0</v>
      </c>
      <c r="F35" s="302"/>
      <c r="G35" s="302"/>
      <c r="H35" s="302"/>
      <c r="I35" s="302"/>
      <c r="J35" s="302"/>
      <c r="K35" s="302"/>
      <c r="L35" s="302"/>
    </row>
    <row r="36" spans="1:12" x14ac:dyDescent="0.3">
      <c r="A36" s="308" t="s">
        <v>912</v>
      </c>
      <c r="B36" s="306">
        <f>SUMIFS('💸 Expenses'!$F$8:$F$5000,'💸 Expenses'!$E$8:$E$5000,$A36,'💸 Expenses'!$B$8:$B$5000,"&gt;="&amp;DATE(2026,5,1),'💸 Expenses'!$B$8:$B$5000,"&lt;"&amp;DATE(2026,6,1))</f>
        <v>0</v>
      </c>
      <c r="C36" s="306">
        <f>SUMIFS('💸 Expenses'!$F$8:$F$5000,'💸 Expenses'!$E$8:$E$5000,$A36,'💸 Expenses'!$B$8:$B$5000,"&gt;="&amp;DATE(2026,6,1),'💸 Expenses'!$B$8:$B$5000,"&lt;"&amp;DATE(2026,7,1))</f>
        <v>810</v>
      </c>
      <c r="D36" s="306">
        <f>SUMIFS('💸 Expenses'!$F$8:$F$5000,'💸 Expenses'!$E$8:$E$5000,$A36,'💸 Expenses'!$B$8:$B$5000,"&gt;="&amp;DATE(2026,7,1),'💸 Expenses'!$B$8:$B$5000,"&lt;"&amp;DATE(2026,8,1))</f>
        <v>0</v>
      </c>
      <c r="E36" s="306">
        <f>SUMIFS('💸 Expenses'!$F$8:$F$5000,'💸 Expenses'!$E$8:$E$5000,$A36,'💸 Expenses'!$B$8:$B$5000,"&gt;="&amp;DATE(2026,8,1),'💸 Expenses'!$B$8:$B$5000,"&lt;"&amp;DATE(2026,9,1))</f>
        <v>0</v>
      </c>
      <c r="F36" s="302"/>
      <c r="G36" s="302"/>
      <c r="H36" s="302"/>
      <c r="I36" s="302"/>
      <c r="J36" s="302"/>
      <c r="K36" s="302"/>
      <c r="L36" s="302"/>
    </row>
    <row r="37" spans="1:12" x14ac:dyDescent="0.3">
      <c r="A37" s="308" t="s">
        <v>391</v>
      </c>
      <c r="B37" s="306">
        <f>SUMIFS('💸 Expenses'!$F$8:$F$5000,'💸 Expenses'!$E$8:$E$5000,$A37,'💸 Expenses'!$B$8:$B$5000,"&gt;="&amp;DATE(2026,5,1),'💸 Expenses'!$B$8:$B$5000,"&lt;"&amp;DATE(2026,6,1))</f>
        <v>500</v>
      </c>
      <c r="C37" s="306">
        <f>SUMIFS('💸 Expenses'!$F$8:$F$5000,'💸 Expenses'!$E$8:$E$5000,$A37,'💸 Expenses'!$B$8:$B$5000,"&gt;="&amp;DATE(2026,6,1),'💸 Expenses'!$B$8:$B$5000,"&lt;"&amp;DATE(2026,7,1))</f>
        <v>0</v>
      </c>
      <c r="D37" s="306">
        <f>SUMIFS('💸 Expenses'!$F$8:$F$5000,'💸 Expenses'!$E$8:$E$5000,$A37,'💸 Expenses'!$B$8:$B$5000,"&gt;="&amp;DATE(2026,7,1),'💸 Expenses'!$B$8:$B$5000,"&lt;"&amp;DATE(2026,8,1))</f>
        <v>0</v>
      </c>
      <c r="E37" s="306">
        <f>SUMIFS('💸 Expenses'!$F$8:$F$5000,'💸 Expenses'!$E$8:$E$5000,$A37,'💸 Expenses'!$B$8:$B$5000,"&gt;="&amp;DATE(2026,8,1),'💸 Expenses'!$B$8:$B$5000,"&lt;"&amp;DATE(2026,9,1))</f>
        <v>0</v>
      </c>
      <c r="F37" s="302"/>
      <c r="G37" s="302"/>
      <c r="H37" s="302"/>
      <c r="I37" s="302"/>
      <c r="J37" s="302"/>
      <c r="K37" s="302"/>
      <c r="L37" s="302"/>
    </row>
    <row r="38" spans="1:12" x14ac:dyDescent="0.3">
      <c r="A38" s="308" t="s">
        <v>500</v>
      </c>
      <c r="B38" s="306">
        <f>SUMIFS('💸 Expenses'!$F$8:$F$5000,'💸 Expenses'!$E$8:$E$5000,$A38,'💸 Expenses'!$B$8:$B$5000,"&gt;="&amp;DATE(2026,5,1),'💸 Expenses'!$B$8:$B$5000,"&lt;"&amp;DATE(2026,6,1))</f>
        <v>260</v>
      </c>
      <c r="C38" s="306">
        <f>SUMIFS('💸 Expenses'!$F$8:$F$5000,'💸 Expenses'!$E$8:$E$5000,$A38,'💸 Expenses'!$B$8:$B$5000,"&gt;="&amp;DATE(2026,6,1),'💸 Expenses'!$B$8:$B$5000,"&lt;"&amp;DATE(2026,7,1))</f>
        <v>0</v>
      </c>
      <c r="D38" s="306">
        <f>SUMIFS('💸 Expenses'!$F$8:$F$5000,'💸 Expenses'!$E$8:$E$5000,$A38,'💸 Expenses'!$B$8:$B$5000,"&gt;="&amp;DATE(2026,7,1),'💸 Expenses'!$B$8:$B$5000,"&lt;"&amp;DATE(2026,8,1))</f>
        <v>0</v>
      </c>
      <c r="E38" s="306">
        <f>SUMIFS('💸 Expenses'!$F$8:$F$5000,'💸 Expenses'!$E$8:$E$5000,$A38,'💸 Expenses'!$B$8:$B$5000,"&gt;="&amp;DATE(2026,8,1),'💸 Expenses'!$B$8:$B$5000,"&lt;"&amp;DATE(2026,9,1))</f>
        <v>0</v>
      </c>
      <c r="F38" s="302"/>
      <c r="G38" s="302"/>
      <c r="H38" s="302"/>
      <c r="I38" s="302"/>
      <c r="J38" s="302"/>
      <c r="K38" s="302"/>
      <c r="L38" s="302"/>
    </row>
    <row r="39" spans="1:12" x14ac:dyDescent="0.3">
      <c r="A39" s="308" t="s">
        <v>920</v>
      </c>
      <c r="B39" s="306">
        <f>SUMIFS('💸 Expenses'!$F$8:$F$5000,'💸 Expenses'!$E$8:$E$5000,$A39,'💸 Expenses'!$B$8:$B$5000,"&gt;="&amp;DATE(2026,5,1),'💸 Expenses'!$B$8:$B$5000,"&lt;"&amp;DATE(2026,6,1))</f>
        <v>0</v>
      </c>
      <c r="C39" s="306">
        <f>SUMIFS('💸 Expenses'!$F$8:$F$5000,'💸 Expenses'!$E$8:$E$5000,$A39,'💸 Expenses'!$B$8:$B$5000,"&gt;="&amp;DATE(2026,6,1),'💸 Expenses'!$B$8:$B$5000,"&lt;"&amp;DATE(2026,7,1))</f>
        <v>236.16</v>
      </c>
      <c r="D39" s="306">
        <f>SUMIFS('💸 Expenses'!$F$8:$F$5000,'💸 Expenses'!$E$8:$E$5000,$A39,'💸 Expenses'!$B$8:$B$5000,"&gt;="&amp;DATE(2026,7,1),'💸 Expenses'!$B$8:$B$5000,"&lt;"&amp;DATE(2026,8,1))</f>
        <v>0</v>
      </c>
      <c r="E39" s="306">
        <f>SUMIFS('💸 Expenses'!$F$8:$F$5000,'💸 Expenses'!$E$8:$E$5000,$A39,'💸 Expenses'!$B$8:$B$5000,"&gt;="&amp;DATE(2026,8,1),'💸 Expenses'!$B$8:$B$5000,"&lt;"&amp;DATE(2026,9,1))</f>
        <v>0</v>
      </c>
      <c r="F39" s="302"/>
      <c r="G39" s="302"/>
      <c r="H39" s="302"/>
      <c r="I39" s="302"/>
      <c r="J39" s="302"/>
      <c r="K39" s="302"/>
      <c r="L39" s="302"/>
    </row>
    <row r="40" spans="1:12" x14ac:dyDescent="0.3">
      <c r="A40" s="308" t="s">
        <v>903</v>
      </c>
      <c r="B40" s="306">
        <f>SUMIFS('💸 Expenses'!$F$8:$F$5000,'💸 Expenses'!$E$8:$E$5000,$A40,'💸 Expenses'!$B$8:$B$5000,"&gt;="&amp;DATE(2026,5,1),'💸 Expenses'!$B$8:$B$5000,"&lt;"&amp;DATE(2026,6,1))</f>
        <v>0</v>
      </c>
      <c r="C40" s="306">
        <f>SUMIFS('💸 Expenses'!$F$8:$F$5000,'💸 Expenses'!$E$8:$E$5000,$A40,'💸 Expenses'!$B$8:$B$5000,"&gt;="&amp;DATE(2026,6,1),'💸 Expenses'!$B$8:$B$5000,"&lt;"&amp;DATE(2026,7,1))</f>
        <v>121</v>
      </c>
      <c r="D40" s="306">
        <f>SUMIFS('💸 Expenses'!$F$8:$F$5000,'💸 Expenses'!$E$8:$E$5000,$A40,'💸 Expenses'!$B$8:$B$5000,"&gt;="&amp;DATE(2026,7,1),'💸 Expenses'!$B$8:$B$5000,"&lt;"&amp;DATE(2026,8,1))</f>
        <v>0</v>
      </c>
      <c r="E40" s="306">
        <f>SUMIFS('💸 Expenses'!$F$8:$F$5000,'💸 Expenses'!$E$8:$E$5000,$A40,'💸 Expenses'!$B$8:$B$5000,"&gt;="&amp;DATE(2026,8,1),'💸 Expenses'!$B$8:$B$5000,"&lt;"&amp;DATE(2026,9,1))</f>
        <v>0</v>
      </c>
      <c r="F40" s="302"/>
      <c r="G40" s="302"/>
      <c r="H40" s="302"/>
      <c r="I40" s="302"/>
      <c r="J40" s="302"/>
      <c r="K40" s="302"/>
      <c r="L40" s="302"/>
    </row>
    <row r="41" spans="1:12" x14ac:dyDescent="0.3">
      <c r="A41" s="305" t="s">
        <v>1492</v>
      </c>
      <c r="B41" s="307">
        <f>SUMIFS('💸 Expenses'!$F$8:$F$5000,'💸 Expenses'!$B$8:$B$5000,"&gt;="&amp;DATE(2026,5,1),'💸 Expenses'!$B$8:$B$5000,"&lt;"&amp;DATE(2026,6,1))</f>
        <v>42919.630000000005</v>
      </c>
      <c r="C41" s="307">
        <f>SUMIFS('💸 Expenses'!$F$8:$F$5000,'💸 Expenses'!$B$8:$B$5000,"&gt;="&amp;DATE(2026,6,1),'💸 Expenses'!$B$8:$B$5000,"&lt;"&amp;DATE(2026,7,1))</f>
        <v>112676.75</v>
      </c>
      <c r="D41" s="307">
        <f>SUMIFS('💸 Expenses'!$F$8:$F$5000,'💸 Expenses'!$B$8:$B$5000,"&gt;="&amp;DATE(2026,7,1),'💸 Expenses'!$B$8:$B$5000,"&lt;"&amp;DATE(2026,8,1))</f>
        <v>100433.94999999998</v>
      </c>
      <c r="E41" s="307">
        <f>SUMIFS('💸 Expenses'!$F$8:$F$5000,'💸 Expenses'!$B$8:$B$5000,"&gt;="&amp;DATE(2026,8,1),'💸 Expenses'!$B$8:$B$5000,"&lt;"&amp;DATE(2026,9,1))</f>
        <v>8680</v>
      </c>
      <c r="F41" s="302"/>
      <c r="G41" s="302"/>
      <c r="H41" s="302"/>
      <c r="I41" s="302"/>
      <c r="J41" s="302"/>
      <c r="K41" s="302"/>
      <c r="L41" s="302"/>
    </row>
    <row r="42" spans="1:12" x14ac:dyDescent="0.3">
      <c r="A42" s="305" t="s">
        <v>1487</v>
      </c>
      <c r="B42" s="307">
        <f>B4-B41</f>
        <v>10029.369999999995</v>
      </c>
      <c r="C42" s="307">
        <f>C4-C41</f>
        <v>-12690.75</v>
      </c>
      <c r="D42" s="307">
        <f>D4-D41</f>
        <v>17871.050000000017</v>
      </c>
      <c r="E42" s="307">
        <f>E4-E41</f>
        <v>-4942</v>
      </c>
      <c r="F42" s="302"/>
      <c r="G42" s="302"/>
      <c r="H42" s="302"/>
      <c r="I42" s="302"/>
      <c r="J42" s="302"/>
      <c r="K42" s="302"/>
      <c r="L42" s="302"/>
    </row>
    <row r="43" spans="1:12" x14ac:dyDescent="0.3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</row>
    <row r="44" spans="1:12" x14ac:dyDescent="0.3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</row>
    <row r="45" spans="1:12" x14ac:dyDescent="0.3">
      <c r="A45" s="302"/>
      <c r="B45" s="302"/>
      <c r="C45" s="302"/>
      <c r="D45" s="302"/>
      <c r="E45" s="302"/>
      <c r="F45" s="302"/>
      <c r="G45" s="302"/>
      <c r="H45" s="302"/>
      <c r="I45" s="302"/>
      <c r="J45" s="302"/>
      <c r="K45" s="302"/>
      <c r="L45" s="302"/>
    </row>
    <row r="46" spans="1:12" x14ac:dyDescent="0.3">
      <c r="A46" s="302"/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</row>
    <row r="47" spans="1:12" x14ac:dyDescent="0.3">
      <c r="A47" s="302"/>
      <c r="B47" s="302"/>
      <c r="C47" s="302"/>
      <c r="D47" s="302"/>
      <c r="E47" s="302"/>
      <c r="F47" s="302"/>
      <c r="G47" s="302"/>
      <c r="H47" s="302"/>
      <c r="I47" s="302"/>
      <c r="J47" s="302"/>
      <c r="K47" s="302"/>
      <c r="L47" s="302"/>
    </row>
    <row r="48" spans="1:12" x14ac:dyDescent="0.3">
      <c r="A48" s="302"/>
      <c r="B48" s="302"/>
      <c r="C48" s="302"/>
      <c r="D48" s="302"/>
      <c r="E48" s="302"/>
      <c r="F48" s="302"/>
      <c r="G48" s="302"/>
      <c r="H48" s="302"/>
      <c r="I48" s="302"/>
      <c r="J48" s="302"/>
      <c r="K48" s="302"/>
      <c r="L48" s="302"/>
    </row>
    <row r="49" spans="1:12" x14ac:dyDescent="0.3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</row>
    <row r="50" spans="1:12" x14ac:dyDescent="0.3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</row>
    <row r="51" spans="1:12" x14ac:dyDescent="0.3">
      <c r="A51" s="302"/>
      <c r="B51" s="302"/>
      <c r="C51" s="302"/>
      <c r="D51" s="302"/>
      <c r="E51" s="302"/>
      <c r="F51" s="302"/>
      <c r="G51" s="302"/>
      <c r="H51" s="302"/>
      <c r="I51" s="302"/>
      <c r="J51" s="302"/>
      <c r="K51" s="302"/>
      <c r="L51" s="302"/>
    </row>
    <row r="52" spans="1:12" x14ac:dyDescent="0.3">
      <c r="A52" s="302"/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</row>
    <row r="53" spans="1:12" x14ac:dyDescent="0.3">
      <c r="A53" s="302"/>
      <c r="B53" s="302"/>
      <c r="C53" s="302"/>
      <c r="D53" s="302"/>
      <c r="E53" s="302"/>
      <c r="F53" s="302"/>
      <c r="G53" s="302"/>
      <c r="H53" s="302"/>
      <c r="I53" s="302"/>
      <c r="J53" s="302"/>
      <c r="K53" s="302"/>
      <c r="L53" s="302"/>
    </row>
    <row r="54" spans="1:12" x14ac:dyDescent="0.3">
      <c r="A54" s="302"/>
      <c r="B54" s="302"/>
      <c r="C54" s="302"/>
      <c r="D54" s="302"/>
      <c r="E54" s="302"/>
      <c r="F54" s="302"/>
      <c r="G54" s="302"/>
      <c r="H54" s="302"/>
      <c r="I54" s="302"/>
      <c r="J54" s="302"/>
      <c r="K54" s="302"/>
      <c r="L54" s="302"/>
    </row>
    <row r="55" spans="1:12" x14ac:dyDescent="0.3">
      <c r="A55" s="302"/>
      <c r="B55" s="302"/>
      <c r="C55" s="302"/>
      <c r="D55" s="302"/>
      <c r="E55" s="302"/>
      <c r="F55" s="302"/>
      <c r="G55" s="302"/>
      <c r="H55" s="302"/>
      <c r="I55" s="302"/>
      <c r="J55" s="302"/>
      <c r="K55" s="302"/>
      <c r="L55" s="302"/>
    </row>
    <row r="56" spans="1:12" x14ac:dyDescent="0.3">
      <c r="A56" s="302"/>
      <c r="B56" s="302"/>
      <c r="C56" s="302"/>
      <c r="D56" s="302"/>
      <c r="E56" s="302"/>
      <c r="F56" s="302"/>
      <c r="G56" s="302"/>
      <c r="H56" s="302"/>
      <c r="I56" s="302"/>
      <c r="J56" s="302"/>
      <c r="K56" s="302"/>
      <c r="L56" s="302"/>
    </row>
    <row r="57" spans="1:12" x14ac:dyDescent="0.3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</row>
    <row r="58" spans="1:12" x14ac:dyDescent="0.3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</row>
    <row r="59" spans="1:12" x14ac:dyDescent="0.3">
      <c r="A59" s="302"/>
      <c r="B59" s="302"/>
      <c r="C59" s="302"/>
      <c r="D59" s="302"/>
      <c r="E59" s="302"/>
      <c r="F59" s="302"/>
      <c r="G59" s="302"/>
      <c r="H59" s="302"/>
      <c r="I59" s="302"/>
      <c r="J59" s="302"/>
      <c r="K59" s="302"/>
      <c r="L59" s="302"/>
    </row>
    <row r="60" spans="1:12" x14ac:dyDescent="0.3">
      <c r="A60" s="302"/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</row>
  </sheetData>
  <mergeCells count="1">
    <mergeCell ref="A1:E1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7"/>
  <sheetViews>
    <sheetView zoomScaleNormal="100" workbookViewId="0"/>
  </sheetViews>
  <sheetFormatPr defaultRowHeight="14.4" customHeight="1" x14ac:dyDescent="0.3"/>
  <sheetData>
    <row r="2" spans="2:9" x14ac:dyDescent="0.3">
      <c r="B2" t="s">
        <v>1493</v>
      </c>
      <c r="C2" t="s">
        <v>1493</v>
      </c>
      <c r="D2" t="s">
        <v>1493</v>
      </c>
      <c r="E2" t="s">
        <v>1493</v>
      </c>
      <c r="F2" t="s">
        <v>1493</v>
      </c>
      <c r="G2" t="s">
        <v>1493</v>
      </c>
      <c r="H2" t="s">
        <v>1493</v>
      </c>
      <c r="I2" t="s">
        <v>1493</v>
      </c>
    </row>
    <row r="4" spans="2:9" x14ac:dyDescent="0.3">
      <c r="B4" t="s">
        <v>1494</v>
      </c>
      <c r="C4" t="s">
        <v>1495</v>
      </c>
      <c r="D4" t="s">
        <v>79</v>
      </c>
      <c r="E4" t="s">
        <v>1496</v>
      </c>
      <c r="F4" t="s">
        <v>1497</v>
      </c>
      <c r="G4" t="s">
        <v>1498</v>
      </c>
      <c r="H4" t="s">
        <v>82</v>
      </c>
      <c r="I4" t="s">
        <v>12</v>
      </c>
    </row>
    <row r="5" spans="2:9" x14ac:dyDescent="0.3">
      <c r="B5" t="s">
        <v>1499</v>
      </c>
      <c r="C5" t="s">
        <v>1500</v>
      </c>
      <c r="D5" t="s">
        <v>1501</v>
      </c>
      <c r="E5">
        <v>25</v>
      </c>
      <c r="F5">
        <v>140</v>
      </c>
      <c r="G5">
        <v>3500</v>
      </c>
      <c r="H5" t="s">
        <v>1502</v>
      </c>
      <c r="I5" t="s">
        <v>1503</v>
      </c>
    </row>
    <row r="7" spans="2:9" x14ac:dyDescent="0.3">
      <c r="B7" t="s">
        <v>1504</v>
      </c>
      <c r="G7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6"/>
  <sheetViews>
    <sheetView workbookViewId="0">
      <pane ySplit="3" topLeftCell="A18" activePane="bottomLeft" state="frozen"/>
      <selection pane="bottomLeft" sqref="A1:H1"/>
    </sheetView>
  </sheetViews>
  <sheetFormatPr defaultRowHeight="14.4" x14ac:dyDescent="0.3"/>
  <cols>
    <col min="1" max="1" width="12" customWidth="1"/>
    <col min="2" max="2" width="46" customWidth="1"/>
    <col min="3" max="4" width="18" customWidth="1"/>
    <col min="5" max="5" width="22" customWidth="1"/>
    <col min="6" max="6" width="18" customWidth="1"/>
    <col min="7" max="7" width="22" customWidth="1"/>
    <col min="8" max="8" width="40" customWidth="1"/>
  </cols>
  <sheetData>
    <row r="1" spans="1:8" ht="25.95" customHeight="1" x14ac:dyDescent="0.3">
      <c r="A1" s="412" t="s">
        <v>1505</v>
      </c>
      <c r="B1" s="331"/>
      <c r="C1" s="331"/>
      <c r="D1" s="331"/>
      <c r="E1" s="331"/>
      <c r="F1" s="331"/>
      <c r="G1" s="331"/>
      <c r="H1" s="331"/>
    </row>
    <row r="3" spans="1:8" ht="30" customHeight="1" x14ac:dyDescent="0.3">
      <c r="A3" s="230" t="s">
        <v>3</v>
      </c>
      <c r="B3" s="230" t="s">
        <v>79</v>
      </c>
      <c r="C3" s="230" t="s">
        <v>1506</v>
      </c>
      <c r="D3" s="230" t="s">
        <v>1507</v>
      </c>
      <c r="E3" s="230" t="s">
        <v>1508</v>
      </c>
      <c r="F3" s="230" t="s">
        <v>1509</v>
      </c>
      <c r="G3" s="230" t="s">
        <v>82</v>
      </c>
      <c r="H3" s="230" t="s">
        <v>12</v>
      </c>
    </row>
    <row r="4" spans="1:8" x14ac:dyDescent="0.3">
      <c r="A4" s="231">
        <v>46174</v>
      </c>
      <c r="B4" s="232" t="s">
        <v>1510</v>
      </c>
      <c r="C4" s="232" t="s">
        <v>1511</v>
      </c>
      <c r="D4" s="233">
        <v>349</v>
      </c>
      <c r="E4" s="232"/>
      <c r="F4" s="233">
        <f>IFERROR(D4-E4,0)</f>
        <v>349</v>
      </c>
      <c r="G4" s="232" t="s">
        <v>600</v>
      </c>
      <c r="H4" s="232" t="s">
        <v>1512</v>
      </c>
    </row>
    <row r="5" spans="1:8" x14ac:dyDescent="0.3">
      <c r="A5" s="231">
        <v>46174</v>
      </c>
      <c r="B5" s="232" t="s">
        <v>1513</v>
      </c>
      <c r="C5" s="232" t="s">
        <v>1514</v>
      </c>
      <c r="D5" s="232"/>
      <c r="E5" s="233">
        <v>310</v>
      </c>
      <c r="F5" s="233">
        <f t="shared" ref="F5:F36" si="0">IFERROR(F4+D5-E5,0)</f>
        <v>39</v>
      </c>
      <c r="G5" s="232" t="s">
        <v>1515</v>
      </c>
      <c r="H5" s="232" t="s">
        <v>1516</v>
      </c>
    </row>
    <row r="6" spans="1:8" x14ac:dyDescent="0.3">
      <c r="A6" s="231">
        <v>46175</v>
      </c>
      <c r="B6" s="232" t="s">
        <v>1517</v>
      </c>
      <c r="C6" s="232" t="s">
        <v>1514</v>
      </c>
      <c r="D6" s="232"/>
      <c r="E6" s="233">
        <v>283</v>
      </c>
      <c r="F6" s="233">
        <f t="shared" si="0"/>
        <v>-244</v>
      </c>
      <c r="G6" s="232" t="s">
        <v>1515</v>
      </c>
      <c r="H6" s="232" t="s">
        <v>1516</v>
      </c>
    </row>
    <row r="7" spans="1:8" x14ac:dyDescent="0.3">
      <c r="A7" s="231">
        <v>46176</v>
      </c>
      <c r="B7" s="232" t="s">
        <v>1518</v>
      </c>
      <c r="C7" s="232" t="s">
        <v>1514</v>
      </c>
      <c r="D7" s="232"/>
      <c r="E7" s="233">
        <v>120</v>
      </c>
      <c r="F7" s="233">
        <f t="shared" si="0"/>
        <v>-364</v>
      </c>
      <c r="G7" s="232" t="s">
        <v>1515</v>
      </c>
      <c r="H7" s="232" t="s">
        <v>1516</v>
      </c>
    </row>
    <row r="8" spans="1:8" x14ac:dyDescent="0.3">
      <c r="A8" s="231">
        <v>46177</v>
      </c>
      <c r="B8" s="232" t="s">
        <v>1519</v>
      </c>
      <c r="C8" s="232" t="s">
        <v>1511</v>
      </c>
      <c r="D8" s="233">
        <v>358</v>
      </c>
      <c r="E8" s="232"/>
      <c r="F8" s="233">
        <f t="shared" si="0"/>
        <v>-6</v>
      </c>
      <c r="G8" s="232" t="s">
        <v>600</v>
      </c>
      <c r="H8" s="232" t="s">
        <v>1520</v>
      </c>
    </row>
    <row r="9" spans="1:8" x14ac:dyDescent="0.3">
      <c r="A9" s="231">
        <v>46177</v>
      </c>
      <c r="B9" s="232" t="s">
        <v>1521</v>
      </c>
      <c r="C9" s="232" t="s">
        <v>1511</v>
      </c>
      <c r="D9" s="233">
        <v>6</v>
      </c>
      <c r="E9" s="232"/>
      <c r="F9" s="233">
        <f t="shared" si="0"/>
        <v>0</v>
      </c>
      <c r="G9" s="232" t="s">
        <v>1522</v>
      </c>
      <c r="H9" s="232" t="s">
        <v>1523</v>
      </c>
    </row>
    <row r="10" spans="1:8" x14ac:dyDescent="0.3">
      <c r="A10" s="231">
        <v>46178</v>
      </c>
      <c r="B10" s="232" t="s">
        <v>1524</v>
      </c>
      <c r="C10" s="232" t="s">
        <v>1514</v>
      </c>
      <c r="D10" s="232"/>
      <c r="E10" s="233">
        <v>135</v>
      </c>
      <c r="F10" s="233">
        <f t="shared" si="0"/>
        <v>-135</v>
      </c>
      <c r="G10" s="232" t="s">
        <v>1525</v>
      </c>
      <c r="H10" s="232" t="s">
        <v>1526</v>
      </c>
    </row>
    <row r="11" spans="1:8" x14ac:dyDescent="0.3">
      <c r="A11" s="231">
        <v>46177</v>
      </c>
      <c r="B11" s="232" t="s">
        <v>1527</v>
      </c>
      <c r="C11" s="232" t="s">
        <v>1511</v>
      </c>
      <c r="D11" s="233">
        <v>20000</v>
      </c>
      <c r="E11" s="232"/>
      <c r="F11" s="233">
        <f t="shared" si="0"/>
        <v>19865</v>
      </c>
      <c r="G11" s="232" t="s">
        <v>600</v>
      </c>
      <c r="H11" s="232" t="s">
        <v>1528</v>
      </c>
    </row>
    <row r="12" spans="1:8" x14ac:dyDescent="0.3">
      <c r="A12" s="231">
        <v>46181</v>
      </c>
      <c r="B12" s="232" t="s">
        <v>1529</v>
      </c>
      <c r="C12" s="232" t="s">
        <v>1514</v>
      </c>
      <c r="D12" s="232"/>
      <c r="E12" s="233">
        <v>99</v>
      </c>
      <c r="F12" s="233">
        <f t="shared" si="0"/>
        <v>19766</v>
      </c>
      <c r="G12" s="232" t="s">
        <v>1525</v>
      </c>
      <c r="H12" s="232" t="s">
        <v>1530</v>
      </c>
    </row>
    <row r="13" spans="1:8" x14ac:dyDescent="0.3">
      <c r="A13" s="231">
        <v>46183</v>
      </c>
      <c r="B13" s="232" t="s">
        <v>1531</v>
      </c>
      <c r="C13" s="232" t="s">
        <v>1511</v>
      </c>
      <c r="D13" s="233">
        <v>236.81</v>
      </c>
      <c r="E13" s="232"/>
      <c r="F13" s="233">
        <f t="shared" si="0"/>
        <v>20002.810000000001</v>
      </c>
      <c r="G13" s="232" t="s">
        <v>600</v>
      </c>
      <c r="H13" s="232" t="s">
        <v>1532</v>
      </c>
    </row>
    <row r="14" spans="1:8" x14ac:dyDescent="0.3">
      <c r="A14" s="231">
        <v>46183</v>
      </c>
      <c r="B14" s="232" t="s">
        <v>1533</v>
      </c>
      <c r="C14" s="232" t="s">
        <v>1511</v>
      </c>
      <c r="D14" s="233">
        <v>59</v>
      </c>
      <c r="E14" s="232"/>
      <c r="F14" s="233">
        <f t="shared" si="0"/>
        <v>20061.810000000001</v>
      </c>
      <c r="G14" s="232" t="s">
        <v>600</v>
      </c>
      <c r="H14" s="232" t="s">
        <v>1534</v>
      </c>
    </row>
    <row r="15" spans="1:8" x14ac:dyDescent="0.3">
      <c r="A15" s="231">
        <v>46184</v>
      </c>
      <c r="B15" s="232" t="s">
        <v>1535</v>
      </c>
      <c r="C15" s="232" t="s">
        <v>1511</v>
      </c>
      <c r="D15" s="233">
        <v>2865</v>
      </c>
      <c r="E15" s="232"/>
      <c r="F15" s="233">
        <f t="shared" si="0"/>
        <v>22926.81</v>
      </c>
      <c r="G15" s="232" t="s">
        <v>600</v>
      </c>
      <c r="H15" s="232" t="s">
        <v>1536</v>
      </c>
    </row>
    <row r="16" spans="1:8" x14ac:dyDescent="0.3">
      <c r="A16" s="231">
        <v>46184</v>
      </c>
      <c r="B16" s="232" t="s">
        <v>1537</v>
      </c>
      <c r="C16" s="232" t="s">
        <v>1511</v>
      </c>
      <c r="D16" s="233">
        <v>235</v>
      </c>
      <c r="E16" s="232"/>
      <c r="F16" s="233">
        <f t="shared" si="0"/>
        <v>23161.81</v>
      </c>
      <c r="G16" s="232" t="s">
        <v>600</v>
      </c>
      <c r="H16" s="232" t="s">
        <v>1536</v>
      </c>
    </row>
    <row r="17" spans="1:8" x14ac:dyDescent="0.3">
      <c r="A17" s="231">
        <v>46188</v>
      </c>
      <c r="B17" s="232" t="s">
        <v>1538</v>
      </c>
      <c r="C17" s="232" t="s">
        <v>1511</v>
      </c>
      <c r="D17" s="233">
        <v>160.33000000000001</v>
      </c>
      <c r="E17" s="232"/>
      <c r="F17" s="233">
        <f t="shared" si="0"/>
        <v>23322.140000000003</v>
      </c>
      <c r="G17" s="232" t="s">
        <v>600</v>
      </c>
      <c r="H17" s="232" t="s">
        <v>1539</v>
      </c>
    </row>
    <row r="18" spans="1:8" x14ac:dyDescent="0.3">
      <c r="A18" s="231">
        <v>46188</v>
      </c>
      <c r="B18" s="232" t="s">
        <v>1540</v>
      </c>
      <c r="C18" s="232" t="s">
        <v>1511</v>
      </c>
      <c r="D18" s="233">
        <v>104</v>
      </c>
      <c r="E18" s="232"/>
      <c r="F18" s="233">
        <f t="shared" si="0"/>
        <v>23426.140000000003</v>
      </c>
      <c r="G18" s="232" t="s">
        <v>600</v>
      </c>
      <c r="H18" s="232" t="s">
        <v>1539</v>
      </c>
    </row>
    <row r="19" spans="1:8" x14ac:dyDescent="0.3">
      <c r="A19" s="231">
        <v>46188</v>
      </c>
      <c r="B19" s="232" t="s">
        <v>1541</v>
      </c>
      <c r="C19" s="232" t="s">
        <v>1511</v>
      </c>
      <c r="D19" s="233">
        <v>1015</v>
      </c>
      <c r="E19" s="232"/>
      <c r="F19" s="233">
        <f t="shared" si="0"/>
        <v>24441.140000000003</v>
      </c>
      <c r="G19" s="232" t="s">
        <v>600</v>
      </c>
      <c r="H19" s="232" t="s">
        <v>1539</v>
      </c>
    </row>
    <row r="20" spans="1:8" x14ac:dyDescent="0.3">
      <c r="A20" s="231">
        <v>46188</v>
      </c>
      <c r="B20" s="232" t="s">
        <v>1542</v>
      </c>
      <c r="C20" s="232" t="s">
        <v>1543</v>
      </c>
      <c r="D20" s="232"/>
      <c r="E20" s="233">
        <v>3162</v>
      </c>
      <c r="F20" s="233">
        <f t="shared" si="0"/>
        <v>21279.140000000003</v>
      </c>
      <c r="G20" s="232" t="s">
        <v>1525</v>
      </c>
      <c r="H20" s="232" t="s">
        <v>1544</v>
      </c>
    </row>
    <row r="21" spans="1:8" x14ac:dyDescent="0.3">
      <c r="A21" s="231">
        <v>46188</v>
      </c>
      <c r="B21" s="232" t="s">
        <v>1545</v>
      </c>
      <c r="C21" s="232" t="s">
        <v>1543</v>
      </c>
      <c r="D21" s="232"/>
      <c r="E21" s="233">
        <v>1279.33</v>
      </c>
      <c r="F21" s="233">
        <f t="shared" si="0"/>
        <v>19999.810000000005</v>
      </c>
      <c r="G21" s="232" t="s">
        <v>1525</v>
      </c>
      <c r="H21" s="232" t="s">
        <v>1546</v>
      </c>
    </row>
    <row r="22" spans="1:8" x14ac:dyDescent="0.3">
      <c r="A22" s="231">
        <v>46189</v>
      </c>
      <c r="B22" s="232" t="s">
        <v>1547</v>
      </c>
      <c r="C22" s="232" t="s">
        <v>1511</v>
      </c>
      <c r="D22" s="233">
        <v>93</v>
      </c>
      <c r="E22" s="232"/>
      <c r="F22" s="233">
        <f t="shared" si="0"/>
        <v>20092.810000000005</v>
      </c>
      <c r="G22" s="232" t="s">
        <v>600</v>
      </c>
      <c r="H22" s="232" t="s">
        <v>1548</v>
      </c>
    </row>
    <row r="23" spans="1:8" x14ac:dyDescent="0.3">
      <c r="A23" s="231">
        <v>46189</v>
      </c>
      <c r="B23" s="232" t="s">
        <v>1549</v>
      </c>
      <c r="C23" s="232" t="s">
        <v>1543</v>
      </c>
      <c r="D23" s="232"/>
      <c r="E23" s="233">
        <v>93</v>
      </c>
      <c r="F23" s="233">
        <f t="shared" si="0"/>
        <v>19999.810000000005</v>
      </c>
      <c r="G23" s="232" t="s">
        <v>1525</v>
      </c>
      <c r="H23" s="232" t="s">
        <v>1550</v>
      </c>
    </row>
    <row r="24" spans="1:8" x14ac:dyDescent="0.3">
      <c r="A24" s="243">
        <v>46191</v>
      </c>
      <c r="B24" s="244" t="s">
        <v>1551</v>
      </c>
      <c r="C24" s="244" t="s">
        <v>1514</v>
      </c>
      <c r="D24" s="244"/>
      <c r="E24" s="245">
        <v>400</v>
      </c>
      <c r="F24" s="245">
        <f t="shared" si="0"/>
        <v>19599.810000000005</v>
      </c>
      <c r="G24" s="244" t="s">
        <v>1525</v>
      </c>
      <c r="H24" s="244" t="s">
        <v>1552</v>
      </c>
    </row>
    <row r="25" spans="1:8" x14ac:dyDescent="0.3">
      <c r="A25" s="243">
        <v>46192</v>
      </c>
      <c r="B25" s="244" t="s">
        <v>1553</v>
      </c>
      <c r="C25" s="244" t="s">
        <v>1514</v>
      </c>
      <c r="D25" s="244"/>
      <c r="E25" s="245">
        <v>120</v>
      </c>
      <c r="F25" s="245">
        <f t="shared" si="0"/>
        <v>19479.810000000005</v>
      </c>
      <c r="G25" s="244" t="s">
        <v>1525</v>
      </c>
      <c r="H25" s="244" t="s">
        <v>1554</v>
      </c>
    </row>
    <row r="26" spans="1:8" x14ac:dyDescent="0.3">
      <c r="A26" s="231">
        <v>46199</v>
      </c>
      <c r="B26" s="232" t="s">
        <v>1555</v>
      </c>
      <c r="C26" s="232" t="s">
        <v>1514</v>
      </c>
      <c r="D26" s="232"/>
      <c r="E26" s="233">
        <v>165</v>
      </c>
      <c r="F26" s="233">
        <f t="shared" si="0"/>
        <v>19314.810000000005</v>
      </c>
      <c r="G26" s="232" t="s">
        <v>1525</v>
      </c>
      <c r="H26" s="232" t="s">
        <v>1556</v>
      </c>
    </row>
    <row r="27" spans="1:8" x14ac:dyDescent="0.3">
      <c r="A27" s="231">
        <v>46202</v>
      </c>
      <c r="B27" s="232" t="s">
        <v>1557</v>
      </c>
      <c r="C27" s="232" t="s">
        <v>1558</v>
      </c>
      <c r="D27" s="232"/>
      <c r="E27" s="233">
        <v>10000</v>
      </c>
      <c r="F27" s="233">
        <f t="shared" si="0"/>
        <v>9314.8100000000049</v>
      </c>
      <c r="G27" s="232" t="s">
        <v>1559</v>
      </c>
      <c r="H27" s="232" t="s">
        <v>1560</v>
      </c>
    </row>
    <row r="28" spans="1:8" x14ac:dyDescent="0.3">
      <c r="A28" s="231">
        <v>46173</v>
      </c>
      <c r="B28" s="232" t="s">
        <v>1561</v>
      </c>
      <c r="C28" s="232" t="s">
        <v>1511</v>
      </c>
      <c r="D28" s="232">
        <v>10000</v>
      </c>
      <c r="E28" s="233"/>
      <c r="F28" s="233">
        <f t="shared" si="0"/>
        <v>19314.810000000005</v>
      </c>
      <c r="G28" s="232" t="s">
        <v>600</v>
      </c>
      <c r="H28" s="232" t="s">
        <v>1562</v>
      </c>
    </row>
    <row r="29" spans="1:8" x14ac:dyDescent="0.3">
      <c r="A29" s="231">
        <v>46203</v>
      </c>
      <c r="B29" s="232" t="s">
        <v>1563</v>
      </c>
      <c r="C29" s="232" t="s">
        <v>1564</v>
      </c>
      <c r="D29" s="232"/>
      <c r="E29" s="233">
        <v>19314.810000000001</v>
      </c>
      <c r="F29" s="233">
        <f t="shared" si="0"/>
        <v>3.637978807091713E-12</v>
      </c>
      <c r="G29" s="232" t="s">
        <v>1565</v>
      </c>
      <c r="H29" s="232" t="s">
        <v>1566</v>
      </c>
    </row>
    <row r="30" spans="1:8" x14ac:dyDescent="0.3">
      <c r="A30" s="231">
        <v>46203</v>
      </c>
      <c r="B30" s="232" t="s">
        <v>1567</v>
      </c>
      <c r="C30" s="232" t="s">
        <v>1514</v>
      </c>
      <c r="D30" s="232"/>
      <c r="E30" s="233">
        <v>55</v>
      </c>
      <c r="F30" s="233">
        <f t="shared" si="0"/>
        <v>-54.999999999996362</v>
      </c>
      <c r="G30" s="232" t="s">
        <v>1525</v>
      </c>
      <c r="H30" s="232" t="s">
        <v>1568</v>
      </c>
    </row>
    <row r="31" spans="1:8" x14ac:dyDescent="0.3">
      <c r="A31" s="231">
        <v>46210</v>
      </c>
      <c r="B31" s="232" t="s">
        <v>1569</v>
      </c>
      <c r="C31" s="232" t="s">
        <v>1511</v>
      </c>
      <c r="D31" s="232">
        <v>205</v>
      </c>
      <c r="E31" s="233"/>
      <c r="F31" s="233">
        <f t="shared" si="0"/>
        <v>150.00000000000364</v>
      </c>
      <c r="G31" s="232" t="s">
        <v>1522</v>
      </c>
      <c r="H31" s="232" t="s">
        <v>1570</v>
      </c>
    </row>
    <row r="32" spans="1:8" x14ac:dyDescent="0.3">
      <c r="A32" s="231">
        <v>46210</v>
      </c>
      <c r="B32" s="232" t="s">
        <v>1571</v>
      </c>
      <c r="C32" s="232" t="s">
        <v>1543</v>
      </c>
      <c r="D32" s="232"/>
      <c r="E32" s="233">
        <v>150</v>
      </c>
      <c r="F32" s="233">
        <f t="shared" si="0"/>
        <v>3.637978807091713E-12</v>
      </c>
      <c r="G32" s="232" t="s">
        <v>1522</v>
      </c>
      <c r="H32" s="232" t="s">
        <v>1572</v>
      </c>
    </row>
    <row r="33" spans="1:8" x14ac:dyDescent="0.3">
      <c r="A33" s="231">
        <v>46211</v>
      </c>
      <c r="B33" s="232" t="s">
        <v>1573</v>
      </c>
      <c r="C33" s="232" t="s">
        <v>1511</v>
      </c>
      <c r="D33" s="232">
        <v>73.5</v>
      </c>
      <c r="E33" s="233"/>
      <c r="F33" s="233">
        <f t="shared" si="0"/>
        <v>73.500000000003638</v>
      </c>
      <c r="G33" s="232" t="s">
        <v>600</v>
      </c>
      <c r="H33" s="232" t="s">
        <v>1574</v>
      </c>
    </row>
    <row r="34" spans="1:8" x14ac:dyDescent="0.3">
      <c r="A34" s="231">
        <v>46211</v>
      </c>
      <c r="B34" s="232" t="s">
        <v>1575</v>
      </c>
      <c r="C34" s="232" t="s">
        <v>1514</v>
      </c>
      <c r="D34" s="232"/>
      <c r="E34" s="233">
        <v>195</v>
      </c>
      <c r="F34" s="233">
        <f t="shared" si="0"/>
        <v>-121.49999999999636</v>
      </c>
      <c r="G34" s="232" t="s">
        <v>1525</v>
      </c>
      <c r="H34" s="232" t="s">
        <v>1576</v>
      </c>
    </row>
    <row r="35" spans="1:8" x14ac:dyDescent="0.3">
      <c r="A35" s="231">
        <v>46212</v>
      </c>
      <c r="B35" s="232" t="s">
        <v>1577</v>
      </c>
      <c r="C35" s="232" t="s">
        <v>1514</v>
      </c>
      <c r="D35" s="232"/>
      <c r="E35" s="233">
        <v>120</v>
      </c>
      <c r="F35" s="233">
        <f t="shared" si="0"/>
        <v>-241.49999999999636</v>
      </c>
      <c r="G35" s="232" t="s">
        <v>1525</v>
      </c>
      <c r="H35" s="232" t="s">
        <v>1578</v>
      </c>
    </row>
    <row r="36" spans="1:8" x14ac:dyDescent="0.3">
      <c r="A36" s="231">
        <v>46213</v>
      </c>
      <c r="B36" s="232" t="s">
        <v>1579</v>
      </c>
      <c r="C36" s="232" t="s">
        <v>1514</v>
      </c>
      <c r="D36" s="232"/>
      <c r="E36" s="233">
        <v>70</v>
      </c>
      <c r="F36" s="233">
        <f t="shared" si="0"/>
        <v>-311.49999999999636</v>
      </c>
      <c r="G36" s="232" t="s">
        <v>1525</v>
      </c>
      <c r="H36" s="232" t="s">
        <v>1580</v>
      </c>
    </row>
    <row r="37" spans="1:8" x14ac:dyDescent="0.3">
      <c r="A37" s="231">
        <v>46216</v>
      </c>
      <c r="B37" s="232" t="s">
        <v>1581</v>
      </c>
      <c r="C37" s="232" t="s">
        <v>1514</v>
      </c>
      <c r="D37" s="232"/>
      <c r="E37" s="233">
        <v>120</v>
      </c>
      <c r="F37" s="233">
        <f t="shared" ref="F37:F68" si="1">IFERROR(F36+D37-E37,0)</f>
        <v>-431.49999999999636</v>
      </c>
      <c r="G37" s="232" t="s">
        <v>1525</v>
      </c>
      <c r="H37" s="232" t="s">
        <v>1582</v>
      </c>
    </row>
    <row r="38" spans="1:8" x14ac:dyDescent="0.3">
      <c r="A38" s="231">
        <v>46216</v>
      </c>
      <c r="B38" s="232" t="s">
        <v>1583</v>
      </c>
      <c r="C38" s="232" t="s">
        <v>1511</v>
      </c>
      <c r="D38" s="232">
        <v>400</v>
      </c>
      <c r="E38" s="233"/>
      <c r="F38" s="233">
        <f t="shared" si="1"/>
        <v>-31.499999999996362</v>
      </c>
      <c r="G38" s="232" t="s">
        <v>600</v>
      </c>
      <c r="H38" s="232" t="s">
        <v>1584</v>
      </c>
    </row>
    <row r="39" spans="1:8" x14ac:dyDescent="0.3">
      <c r="A39" s="231">
        <v>46218</v>
      </c>
      <c r="B39" s="232" t="s">
        <v>1585</v>
      </c>
      <c r="C39" s="232" t="s">
        <v>1514</v>
      </c>
      <c r="D39" s="232"/>
      <c r="E39" s="233">
        <v>130</v>
      </c>
      <c r="F39" s="233">
        <f t="shared" si="1"/>
        <v>-161.49999999999636</v>
      </c>
      <c r="G39" s="232" t="s">
        <v>1525</v>
      </c>
      <c r="H39" s="232" t="s">
        <v>1586</v>
      </c>
    </row>
    <row r="40" spans="1:8" x14ac:dyDescent="0.3">
      <c r="A40" s="231">
        <v>46218</v>
      </c>
      <c r="B40" s="232" t="s">
        <v>1587</v>
      </c>
      <c r="C40" s="232" t="s">
        <v>1511</v>
      </c>
      <c r="D40" s="232">
        <v>195</v>
      </c>
      <c r="E40" s="233"/>
      <c r="F40" s="233">
        <f t="shared" si="1"/>
        <v>33.500000000003638</v>
      </c>
      <c r="G40" s="232" t="s">
        <v>600</v>
      </c>
      <c r="H40" s="232" t="s">
        <v>1588</v>
      </c>
    </row>
    <row r="41" spans="1:8" x14ac:dyDescent="0.3">
      <c r="A41" s="231">
        <v>46220</v>
      </c>
      <c r="B41" s="232" t="s">
        <v>1589</v>
      </c>
      <c r="C41" s="232" t="s">
        <v>1514</v>
      </c>
      <c r="D41" s="232"/>
      <c r="E41" s="233">
        <v>300</v>
      </c>
      <c r="F41" s="233">
        <f t="shared" si="1"/>
        <v>-266.49999999999636</v>
      </c>
      <c r="G41" s="232" t="s">
        <v>1525</v>
      </c>
      <c r="H41" s="232" t="s">
        <v>1590</v>
      </c>
    </row>
    <row r="42" spans="1:8" x14ac:dyDescent="0.3">
      <c r="A42" s="231">
        <v>46221</v>
      </c>
      <c r="B42" s="232" t="s">
        <v>1591</v>
      </c>
      <c r="C42" s="232" t="s">
        <v>1514</v>
      </c>
      <c r="D42" s="232"/>
      <c r="E42" s="233">
        <v>290</v>
      </c>
      <c r="F42" s="233">
        <f t="shared" si="1"/>
        <v>-556.49999999999636</v>
      </c>
      <c r="G42" s="232" t="s">
        <v>1525</v>
      </c>
      <c r="H42" s="232" t="s">
        <v>1592</v>
      </c>
    </row>
    <row r="43" spans="1:8" x14ac:dyDescent="0.3">
      <c r="A43" s="231">
        <v>46220</v>
      </c>
      <c r="B43" s="232" t="s">
        <v>1593</v>
      </c>
      <c r="C43" s="232" t="s">
        <v>1511</v>
      </c>
      <c r="D43" s="232">
        <v>300</v>
      </c>
      <c r="E43" s="233"/>
      <c r="F43" s="233">
        <f t="shared" si="1"/>
        <v>-256.49999999999636</v>
      </c>
      <c r="G43" s="232" t="s">
        <v>600</v>
      </c>
      <c r="H43" s="232" t="s">
        <v>1594</v>
      </c>
    </row>
    <row r="44" spans="1:8" x14ac:dyDescent="0.3">
      <c r="A44" s="231">
        <v>46223</v>
      </c>
      <c r="B44" s="232" t="s">
        <v>1595</v>
      </c>
      <c r="C44" s="232" t="s">
        <v>1511</v>
      </c>
      <c r="D44" s="232">
        <v>433</v>
      </c>
      <c r="E44" s="233"/>
      <c r="F44" s="233">
        <f t="shared" si="1"/>
        <v>176.50000000000364</v>
      </c>
      <c r="G44" s="232" t="s">
        <v>600</v>
      </c>
      <c r="H44" s="232" t="s">
        <v>1596</v>
      </c>
    </row>
    <row r="45" spans="1:8" x14ac:dyDescent="0.3">
      <c r="A45" s="231">
        <v>46225</v>
      </c>
      <c r="B45" s="232" t="s">
        <v>1597</v>
      </c>
      <c r="C45" s="232" t="s">
        <v>1514</v>
      </c>
      <c r="D45" s="232"/>
      <c r="E45" s="233">
        <v>260</v>
      </c>
      <c r="F45" s="233">
        <f t="shared" si="1"/>
        <v>-83.499999999996362</v>
      </c>
      <c r="G45" s="232" t="s">
        <v>1525</v>
      </c>
      <c r="H45" s="232" t="s">
        <v>1598</v>
      </c>
    </row>
    <row r="46" spans="1:8" x14ac:dyDescent="0.3">
      <c r="A46" s="231">
        <v>46225</v>
      </c>
      <c r="B46" s="232" t="s">
        <v>1599</v>
      </c>
      <c r="C46" s="232" t="s">
        <v>1511</v>
      </c>
      <c r="D46" s="232">
        <v>234</v>
      </c>
      <c r="E46" s="233"/>
      <c r="F46" s="233">
        <f t="shared" si="1"/>
        <v>150.50000000000364</v>
      </c>
      <c r="G46" s="232" t="s">
        <v>600</v>
      </c>
      <c r="H46" s="232" t="s">
        <v>1600</v>
      </c>
    </row>
    <row r="47" spans="1:8" x14ac:dyDescent="0.3">
      <c r="A47" s="231">
        <v>46230</v>
      </c>
      <c r="B47" s="232" t="s">
        <v>1601</v>
      </c>
      <c r="C47" s="232" t="s">
        <v>1514</v>
      </c>
      <c r="D47" s="232"/>
      <c r="E47" s="233">
        <v>700</v>
      </c>
      <c r="F47" s="233">
        <f t="shared" si="1"/>
        <v>-549.49999999999636</v>
      </c>
      <c r="G47" s="232" t="s">
        <v>1525</v>
      </c>
      <c r="H47" s="232" t="s">
        <v>1602</v>
      </c>
    </row>
    <row r="48" spans="1:8" x14ac:dyDescent="0.3">
      <c r="A48" s="231">
        <v>46231</v>
      </c>
      <c r="B48" s="232" t="s">
        <v>1603</v>
      </c>
      <c r="C48" s="232" t="s">
        <v>1514</v>
      </c>
      <c r="D48" s="232"/>
      <c r="E48" s="233">
        <v>130</v>
      </c>
      <c r="F48" s="233">
        <f t="shared" si="1"/>
        <v>-679.49999999999636</v>
      </c>
      <c r="G48" s="232" t="s">
        <v>1525</v>
      </c>
      <c r="H48" s="232" t="s">
        <v>1602</v>
      </c>
    </row>
    <row r="49" spans="1:8" x14ac:dyDescent="0.3">
      <c r="A49" s="231">
        <v>46231</v>
      </c>
      <c r="B49" s="232" t="s">
        <v>1604</v>
      </c>
      <c r="C49" s="232" t="s">
        <v>1511</v>
      </c>
      <c r="D49" s="232">
        <v>396</v>
      </c>
      <c r="E49" s="233"/>
      <c r="F49" s="233">
        <f t="shared" si="1"/>
        <v>-283.49999999999636</v>
      </c>
      <c r="G49" s="232" t="s">
        <v>600</v>
      </c>
      <c r="H49" s="232" t="s">
        <v>1605</v>
      </c>
    </row>
    <row r="50" spans="1:8" x14ac:dyDescent="0.3">
      <c r="A50" s="231">
        <v>46232</v>
      </c>
      <c r="B50" s="232" t="s">
        <v>1606</v>
      </c>
      <c r="C50" s="232" t="s">
        <v>1514</v>
      </c>
      <c r="D50" s="232"/>
      <c r="E50" s="233">
        <v>205</v>
      </c>
      <c r="F50" s="233">
        <f t="shared" si="1"/>
        <v>-488.49999999999636</v>
      </c>
      <c r="G50" s="232" t="s">
        <v>1525</v>
      </c>
      <c r="H50" s="232" t="s">
        <v>1602</v>
      </c>
    </row>
    <row r="51" spans="1:8" x14ac:dyDescent="0.3">
      <c r="A51" s="231">
        <v>46232</v>
      </c>
      <c r="B51" s="232" t="s">
        <v>1607</v>
      </c>
      <c r="C51" s="232" t="s">
        <v>1511</v>
      </c>
      <c r="D51" s="232">
        <v>60</v>
      </c>
      <c r="E51" s="233"/>
      <c r="F51" s="233">
        <f t="shared" si="1"/>
        <v>-428.49999999999636</v>
      </c>
      <c r="G51" s="232" t="s">
        <v>600</v>
      </c>
      <c r="H51" s="232" t="s">
        <v>1605</v>
      </c>
    </row>
    <row r="52" spans="1:8" x14ac:dyDescent="0.3">
      <c r="A52" s="231">
        <v>46233</v>
      </c>
      <c r="B52" s="232" t="s">
        <v>1608</v>
      </c>
      <c r="C52" s="232" t="s">
        <v>1511</v>
      </c>
      <c r="D52" s="232">
        <v>268</v>
      </c>
      <c r="E52" s="233"/>
      <c r="F52" s="233">
        <f t="shared" si="1"/>
        <v>-160.49999999999636</v>
      </c>
      <c r="G52" s="232" t="s">
        <v>600</v>
      </c>
      <c r="H52" s="232" t="s">
        <v>1605</v>
      </c>
    </row>
    <row r="53" spans="1:8" x14ac:dyDescent="0.3">
      <c r="A53" s="231">
        <v>46234</v>
      </c>
      <c r="B53" s="232" t="s">
        <v>1609</v>
      </c>
      <c r="C53" s="232" t="s">
        <v>1514</v>
      </c>
      <c r="D53" s="232"/>
      <c r="E53" s="233">
        <v>390</v>
      </c>
      <c r="F53" s="233">
        <f t="shared" si="1"/>
        <v>-550.49999999999636</v>
      </c>
      <c r="G53" s="232" t="s">
        <v>1525</v>
      </c>
      <c r="H53" s="232" t="s">
        <v>1602</v>
      </c>
    </row>
    <row r="54" spans="1:8" x14ac:dyDescent="0.3">
      <c r="A54" s="231">
        <v>46234</v>
      </c>
      <c r="B54" s="232" t="s">
        <v>1610</v>
      </c>
      <c r="C54" s="232" t="s">
        <v>1511</v>
      </c>
      <c r="D54" s="232">
        <v>78</v>
      </c>
      <c r="E54" s="233"/>
      <c r="F54" s="233">
        <f t="shared" si="1"/>
        <v>-472.49999999999636</v>
      </c>
      <c r="G54" s="232" t="s">
        <v>600</v>
      </c>
      <c r="H54" s="232" t="s">
        <v>1605</v>
      </c>
    </row>
    <row r="55" spans="1:8" x14ac:dyDescent="0.3">
      <c r="A55" s="231">
        <v>46235</v>
      </c>
      <c r="B55" s="232" t="s">
        <v>1611</v>
      </c>
      <c r="C55" s="232" t="s">
        <v>1514</v>
      </c>
      <c r="D55" s="232"/>
      <c r="E55" s="233">
        <v>225</v>
      </c>
      <c r="F55" s="233">
        <f t="shared" si="1"/>
        <v>-697.49999999999636</v>
      </c>
      <c r="G55" s="232" t="s">
        <v>1525</v>
      </c>
      <c r="H55" s="232" t="s">
        <v>1602</v>
      </c>
    </row>
    <row r="56" spans="1:8" x14ac:dyDescent="0.3">
      <c r="A56" s="231" t="s">
        <v>1612</v>
      </c>
      <c r="B56" s="232"/>
      <c r="C56" s="232"/>
      <c r="D56" s="232">
        <f>SUM(D4:D55)</f>
        <v>38123.64</v>
      </c>
      <c r="E56" s="233">
        <f>SUM(E4:E55)</f>
        <v>38821.14</v>
      </c>
      <c r="F56" s="233">
        <f>F55</f>
        <v>-697.49999999999636</v>
      </c>
      <c r="G56" s="232" t="str">
        <f>IF(F55&gt;0,"Restaurant owes Lohith $"&amp;TEXT(F55,"#,##0"),IF(F55&lt;0,"Lohith holds $"&amp;TEXT(ABS(F55),"#,##0"),"Zero balance"))</f>
        <v>Lohith holds $697</v>
      </c>
      <c r="H56" s="232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Capital &amp; Ownership</vt:lpstr>
      <vt:lpstr>📊 Dashboard</vt:lpstr>
      <vt:lpstr>📅 Daily Log</vt:lpstr>
      <vt:lpstr>💸 Expenses</vt:lpstr>
      <vt:lpstr>📦 Inventory</vt:lpstr>
      <vt:lpstr>👥 Staff &amp; Payroll</vt:lpstr>
      <vt:lpstr>🚚 Suppliers</vt:lpstr>
      <vt:lpstr>📋 Supplier Directory</vt:lpstr>
      <vt:lpstr>📈 Monthly P&amp;L</vt:lpstr>
      <vt:lpstr>📥 Pending Income</vt:lpstr>
      <vt:lpstr>💰 Owner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LOHITH REDDY</cp:lastModifiedBy>
  <dcterms:created xsi:type="dcterms:W3CDTF">2026-05-19T05:24:03Z</dcterms:created>
  <dcterms:modified xsi:type="dcterms:W3CDTF">2026-08-03T23:12:49Z</dcterms:modified>
  <dc:language>en-US</dc:language>
</cp:coreProperties>
</file>