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17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$68,235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B26" s="149" t="n"/>
      <c r="C26" s="180" t="n"/>
      <c r="D26" s="157" t="n"/>
      <c r="E26" s="172" t="n"/>
      <c r="F26" s="172" t="n"/>
      <c r="G26" s="149" t="n"/>
    </row>
    <row r="27" ht="19.95" customHeight="1" s="278">
      <c r="B27" s="149" t="n"/>
      <c r="C27" s="180" t="n"/>
      <c r="D27" s="157" t="n"/>
      <c r="E27" s="172" t="n"/>
      <c r="F27" s="172" t="n"/>
      <c r="G27" s="149" t="n"/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$306,235 paid (Jun 3-19) − $15,530 electricity offset = $68,235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125000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($385,000 BALANCE DUE)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Advance Credited ($)</t>
        </is>
      </c>
      <c r="F105" s="170" t="inlineStr">
        <is>
          <t>Balance Owed to Prev. Owners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D14</f>
        <v/>
      </c>
      <c r="F106" s="161">
        <f>D106-E106</f>
        <v/>
      </c>
      <c r="G106" s="139" t="inlineStr">
        <is>
          <t>⏳ Pending — $134,500 balance outstanding</t>
        </is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 t="n">
        <v>0</v>
      </c>
      <c r="F107" s="163">
        <f>D107-E107</f>
        <v/>
      </c>
      <c r="G107" s="141" t="inlineStr">
        <is>
          <t>⏳ Pending — $134,500 balance outstanding</t>
        </is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 t="n">
        <v>0</v>
      </c>
      <c r="F108" s="161">
        <f>D108-E108</f>
        <v/>
      </c>
      <c r="G108" s="139" t="inlineStr">
        <is>
          <t>⏳ Pending — $134,500 balance outstanding</t>
        </is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+ Jun 19 $50,735)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8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8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8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8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8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8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8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Total handwritten - read as $899 (confirm; could be $890)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64" t="n"/>
      <c r="C322" s="69" t="n"/>
      <c r="D322" s="68" t="n"/>
      <c r="E322" s="69" t="n"/>
      <c r="F322" s="70" t="n"/>
      <c r="G322" s="23" t="n"/>
      <c r="H322" s="23" t="n"/>
      <c r="I322" s="55" t="n"/>
    </row>
    <row r="323">
      <c r="B323" s="64" t="n"/>
      <c r="C323" s="65" t="n"/>
      <c r="D323" s="66" t="n"/>
      <c r="E323" s="65" t="n"/>
      <c r="F323" s="67" t="n"/>
      <c r="G323" s="14" t="n"/>
      <c r="H323" s="14" t="n"/>
      <c r="I323" s="43" t="n"/>
    </row>
    <row r="324">
      <c r="B324" s="64" t="n"/>
      <c r="C324" s="69" t="n"/>
      <c r="D324" s="68" t="n"/>
      <c r="E324" s="69" t="n"/>
      <c r="F324" s="70" t="n"/>
      <c r="G324" s="23" t="n"/>
      <c r="H324" s="23" t="n"/>
      <c r="I324" s="55" t="n"/>
    </row>
    <row r="325">
      <c r="B325" s="64" t="n"/>
      <c r="C325" s="65" t="n"/>
      <c r="D325" s="66" t="n"/>
      <c r="E325" s="65" t="n"/>
      <c r="F325" s="67" t="n"/>
      <c r="G325" s="14" t="n"/>
      <c r="H325" s="14" t="n"/>
      <c r="I325" s="43" t="n"/>
    </row>
    <row r="326">
      <c r="B326" s="64" t="n"/>
      <c r="C326" s="69" t="n"/>
      <c r="D326" s="68" t="n"/>
      <c r="E326" s="69" t="n"/>
      <c r="F326" s="70" t="n"/>
      <c r="G326" s="23" t="n"/>
      <c r="H326" s="23" t="n"/>
      <c r="I326" s="55" t="n"/>
    </row>
    <row r="327">
      <c r="B327" s="64" t="n"/>
      <c r="C327" s="65" t="n"/>
      <c r="D327" s="66" t="n"/>
      <c r="E327" s="65" t="n"/>
      <c r="F327" s="67" t="n"/>
      <c r="G327" s="14" t="n"/>
      <c r="H327" s="14" t="n"/>
      <c r="I327" s="43" t="n"/>
    </row>
    <row r="328">
      <c r="B328" s="64" t="n"/>
      <c r="C328" s="69" t="n"/>
      <c r="D328" s="68" t="n"/>
      <c r="E328" s="69" t="n"/>
      <c r="F328" s="70" t="n"/>
      <c r="G328" s="23" t="n"/>
      <c r="H328" s="23" t="n"/>
      <c r="I328" s="55" t="n"/>
    </row>
    <row r="329">
      <c r="B329" s="64" t="n"/>
      <c r="C329" s="65" t="n"/>
      <c r="D329" s="66" t="n"/>
      <c r="E329" s="65" t="n"/>
      <c r="F329" s="67" t="n"/>
      <c r="G329" s="14" t="n"/>
      <c r="H329" s="14" t="n"/>
      <c r="I329" s="43" t="n"/>
    </row>
    <row r="330">
      <c r="B330" s="64" t="n"/>
      <c r="C330" s="69" t="n"/>
      <c r="D330" s="68" t="n"/>
      <c r="E330" s="69" t="n"/>
      <c r="F330" s="70" t="n"/>
      <c r="G330" s="23" t="n"/>
      <c r="H330" s="23" t="n"/>
      <c r="I330" s="55" t="n"/>
    </row>
    <row r="331">
      <c r="B331" s="64" t="n"/>
      <c r="C331" s="65" t="n"/>
      <c r="D331" s="66" t="n"/>
      <c r="E331" s="65" t="n"/>
      <c r="F331" s="67" t="n"/>
      <c r="G331" s="14" t="n"/>
      <c r="H331" s="14" t="n"/>
      <c r="I331" s="43" t="n"/>
    </row>
    <row r="332">
      <c r="B332" s="64" t="n"/>
      <c r="C332" s="69" t="n"/>
      <c r="D332" s="68" t="n"/>
      <c r="E332" s="69" t="n"/>
      <c r="F332" s="70" t="n"/>
      <c r="G332" s="23" t="n"/>
      <c r="H332" s="23" t="n"/>
      <c r="I332" s="55" t="n"/>
    </row>
    <row r="333">
      <c r="B333" s="64" t="n"/>
      <c r="C333" s="65" t="n"/>
      <c r="D333" s="66" t="n"/>
      <c r="E333" s="65" t="n"/>
      <c r="F333" s="67" t="n"/>
      <c r="G333" s="14" t="n"/>
      <c r="H333" s="14" t="n"/>
      <c r="I333" s="43" t="n"/>
    </row>
    <row r="334">
      <c r="B334" s="64" t="n"/>
      <c r="C334" s="69" t="n"/>
      <c r="D334" s="68" t="n"/>
      <c r="E334" s="69" t="n"/>
      <c r="F334" s="70" t="n"/>
      <c r="G334" s="23" t="n"/>
      <c r="H334" s="23" t="n"/>
      <c r="I334" s="55" t="n"/>
    </row>
    <row r="335">
      <c r="B335" s="64" t="n"/>
      <c r="C335" s="65" t="n"/>
      <c r="D335" s="66" t="n"/>
      <c r="E335" s="65" t="n"/>
      <c r="F335" s="67" t="n"/>
      <c r="G335" s="14" t="n"/>
      <c r="H335" s="14" t="n"/>
      <c r="I335" s="43" t="n"/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Beverages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Pantry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Supermarket / General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Maintenance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Supplies / Other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Software / Subscription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Ingredients - Other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Staff - Advance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Utilities / Internet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Packaging / Disposables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Ingredients - Desserts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Kitchen Supplies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Staff - Propinas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Ingredients - Produce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77" t="inlineStr">
        <is>
          <t>TOTAL EXPENSES</t>
        </is>
      </c>
      <c r="B40" s="379">
        <f>SUMIFS('💸 Expenses'!$F$8:$F$500,'💸 Expenses'!$B$8:$B$500,"&gt;="&amp;DATE(2026,5,1),'💸 Expenses'!$B$8:$B$500,"&lt;"&amp;DATE(2026,6,1))</f>
        <v/>
      </c>
      <c r="C40" s="379">
        <f>SUMIFS('💸 Expenses'!$F$8:$F$500,'💸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77" t="inlineStr">
        <is>
          <t>NET PROFIT / LOSS</t>
        </is>
      </c>
      <c r="B41" s="379">
        <f>B4-B40</f>
        <v/>
      </c>
      <c r="C41" s="379">
        <f>C4-C40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4" t="n"/>
      <c r="B42" s="374" t="n"/>
      <c r="C42" s="374" t="n"/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4" t="n"/>
      <c r="B43" s="374" t="n"/>
      <c r="C43" s="374" t="n"/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inlineStr">
        <is>
          <t>TOTALS &amp; CURRENT BALANCE</t>
        </is>
      </c>
      <c r="B26" s="232" t="n"/>
      <c r="C26" s="232" t="n"/>
      <c r="D26" s="232">
        <f>SUM(D4:D25)</f>
        <v/>
      </c>
      <c r="E26" s="233">
        <f>SUM(E4:E25)</f>
        <v/>
      </c>
      <c r="F26" s="233">
        <f>F25</f>
        <v/>
      </c>
      <c r="G26" s="232">
        <f>IF(F25&gt;0,"Restaurant owes Lohith $"&amp;TEXT(F25,"#,##0"),IF(F25&lt;0,"Lohith holds $"&amp;TEXT(ABS(F25),"#,##0"),"Zero balance"))</f>
        <v/>
      </c>
      <c r="H26" s="232" t="n"/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2026-06-22T12:40:51Z</dcterms:modified>
  <cp:lastModifiedBy>LOHITH REDDY</cp:lastModifiedBy>
</cp:coreProperties>
</file>