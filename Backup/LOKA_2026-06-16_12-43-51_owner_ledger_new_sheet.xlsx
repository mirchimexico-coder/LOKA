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  <numFmt numFmtId="175" formatCode="yyyy-mm-dd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56" t="n">
        <v>46189</v>
      </c>
      <c r="C37" s="47" t="inlineStr">
        <is>
          <t>Tue</t>
        </is>
      </c>
      <c r="D37" s="48" t="n"/>
      <c r="E37" s="49" t="n"/>
      <c r="F37" s="50">
        <f>IFERROR(D37+E37+G37,0)</f>
        <v/>
      </c>
      <c r="G37" s="51" t="n"/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Expenses logged — revenue pending</t>
        </is>
      </c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/>
      <c r="C278" s="69" t="n"/>
      <c r="D278" s="68" t="n"/>
      <c r="E278" s="69" t="n"/>
      <c r="F278" s="70" t="n"/>
      <c r="G278" s="23" t="n"/>
      <c r="H278" s="23" t="n"/>
      <c r="I278" s="55" t="n"/>
    </row>
    <row r="279">
      <c r="B279" s="64" t="n"/>
      <c r="C279" s="65" t="n"/>
      <c r="D279" s="66" t="n"/>
      <c r="E279" s="65" t="n"/>
      <c r="F279" s="67" t="n"/>
      <c r="G279" s="14" t="n"/>
      <c r="H279" s="14" t="n"/>
      <c r="I279" s="43" t="n"/>
    </row>
    <row r="280">
      <c r="B280" s="64" t="n"/>
      <c r="C280" s="69" t="n"/>
      <c r="D280" s="68" t="n"/>
      <c r="E280" s="69" t="n"/>
      <c r="F280" s="70" t="n"/>
      <c r="G280" s="23" t="n"/>
      <c r="H280" s="23" t="n"/>
      <c r="I280" s="55" t="n"/>
    </row>
    <row r="281">
      <c r="B281" s="64" t="n"/>
      <c r="C281" s="65" t="n"/>
      <c r="D281" s="66" t="n"/>
      <c r="E281" s="65" t="n"/>
      <c r="F281" s="67" t="n"/>
      <c r="G281" s="14" t="n"/>
      <c r="H281" s="14" t="n"/>
      <c r="I281" s="43" t="n"/>
    </row>
    <row r="282">
      <c r="B282" s="64" t="n"/>
      <c r="C282" s="69" t="n"/>
      <c r="D282" s="68" t="n"/>
      <c r="E282" s="69" t="n"/>
      <c r="F282" s="70" t="n"/>
      <c r="G282" s="23" t="n"/>
      <c r="H282" s="23" t="n"/>
      <c r="I282" s="55" t="n"/>
    </row>
    <row r="283">
      <c r="B283" s="64" t="n"/>
      <c r="C283" s="65" t="n"/>
      <c r="D283" s="66" t="n"/>
      <c r="E283" s="65" t="n"/>
      <c r="F283" s="67" t="n"/>
      <c r="G283" s="14" t="n"/>
      <c r="H283" s="14" t="n"/>
      <c r="I283" s="43" t="n"/>
    </row>
    <row r="284">
      <c r="B284" s="64" t="n"/>
      <c r="C284" s="69" t="n"/>
      <c r="D284" s="68" t="n"/>
      <c r="E284" s="69" t="n"/>
      <c r="F284" s="70" t="n"/>
      <c r="G284" s="23" t="n"/>
      <c r="H284" s="23" t="n"/>
      <c r="I284" s="55" t="n"/>
    </row>
    <row r="285">
      <c r="B285" s="64" t="n"/>
      <c r="C285" s="65" t="n"/>
      <c r="D285" s="66" t="n"/>
      <c r="E285" s="65" t="n"/>
      <c r="F285" s="67" t="n"/>
      <c r="G285" s="14" t="n"/>
      <c r="H285" s="14" t="n"/>
      <c r="I285" s="43" t="n"/>
    </row>
    <row r="286">
      <c r="B286" s="64" t="n"/>
      <c r="C286" s="69" t="n"/>
      <c r="D286" s="68" t="n"/>
      <c r="E286" s="69" t="n"/>
      <c r="F286" s="70" t="n"/>
      <c r="G286" s="23" t="n"/>
      <c r="H286" s="23" t="n"/>
      <c r="I286" s="55" t="n"/>
    </row>
    <row r="287">
      <c r="B287" s="64" t="n"/>
      <c r="C287" s="65" t="n"/>
      <c r="D287" s="66" t="n"/>
      <c r="E287" s="65" t="n"/>
      <c r="F287" s="67" t="n"/>
      <c r="G287" s="14" t="n"/>
      <c r="H287" s="14" t="n"/>
      <c r="I287" s="43" t="n"/>
    </row>
    <row r="288">
      <c r="B288" s="64" t="n"/>
      <c r="C288" s="69" t="n"/>
      <c r="D288" s="68" t="n"/>
      <c r="E288" s="69" t="n"/>
      <c r="F288" s="70" t="n"/>
      <c r="G288" s="23" t="n"/>
      <c r="H288" s="23" t="n"/>
      <c r="I288" s="55" t="n"/>
    </row>
    <row r="289">
      <c r="B289" s="64" t="n"/>
      <c r="C289" s="65" t="n"/>
      <c r="D289" s="66" t="n"/>
      <c r="E289" s="65" t="n"/>
      <c r="F289" s="67" t="n"/>
      <c r="G289" s="14" t="n"/>
      <c r="H289" s="14" t="n"/>
      <c r="I289" s="43" t="n"/>
    </row>
    <row r="290">
      <c r="B290" s="64" t="n"/>
      <c r="C290" s="69" t="n"/>
      <c r="D290" s="68" t="n"/>
      <c r="E290" s="69" t="n"/>
      <c r="F290" s="70" t="n"/>
      <c r="G290" s="23" t="n"/>
      <c r="H290" s="23" t="n"/>
      <c r="I290" s="55" t="n"/>
    </row>
    <row r="291">
      <c r="B291" s="64" t="n"/>
      <c r="C291" s="65" t="n"/>
      <c r="D291" s="66" t="n"/>
      <c r="E291" s="65" t="n"/>
      <c r="F291" s="67" t="n"/>
      <c r="G291" s="14" t="n"/>
      <c r="H291" s="14" t="n"/>
      <c r="I291" s="43" t="n"/>
    </row>
    <row r="292">
      <c r="B292" s="64" t="n"/>
      <c r="C292" s="69" t="n"/>
      <c r="D292" s="68" t="n"/>
      <c r="E292" s="69" t="n"/>
      <c r="F292" s="70" t="n"/>
      <c r="G292" s="23" t="n"/>
      <c r="H292" s="23" t="n"/>
      <c r="I292" s="55" t="n"/>
    </row>
    <row r="293">
      <c r="B293" s="64" t="n"/>
      <c r="C293" s="65" t="n"/>
      <c r="D293" s="66" t="n"/>
      <c r="E293" s="65" t="n"/>
      <c r="F293" s="67" t="n"/>
      <c r="G293" s="14" t="n"/>
      <c r="H293" s="14" t="n"/>
      <c r="I293" s="43" t="n"/>
    </row>
    <row r="294">
      <c r="B294" s="64" t="n"/>
      <c r="C294" s="69" t="n"/>
      <c r="D294" s="68" t="n"/>
      <c r="E294" s="69" t="n"/>
      <c r="F294" s="70" t="n"/>
      <c r="G294" s="23" t="n"/>
      <c r="H294" s="23" t="n"/>
      <c r="I294" s="55" t="n"/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07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65" t="n">
        <v>46188</v>
      </c>
      <c r="B76" s="266" t="inlineStr">
        <is>
          <t>Chedraui — Tortillas, Bolillo, Rosca de Nuez</t>
        </is>
      </c>
      <c r="C76" s="267" t="inlineStr">
        <is>
          <t>Expense - Personal</t>
        </is>
      </c>
      <c r="D76" s="268" t="n">
        <v>160.33</v>
      </c>
      <c r="F76" s="269">
        <f>IFERROR(F75+D76-E76,0)</f>
        <v/>
      </c>
      <c r="G76" s="266" t="inlineStr">
        <is>
          <t>⏳ Reimburse</t>
        </is>
      </c>
      <c r="H76" s="242" t="inlineStr">
        <is>
          <t>HSBC **5543 — paid by Lohith 15 Jun</t>
        </is>
      </c>
    </row>
    <row r="77">
      <c r="A77" s="265" t="n">
        <v>46188</v>
      </c>
      <c r="B77" s="266" t="inlineStr">
        <is>
          <t>OXXO Pathe — Aceite Vegetal (2)</t>
        </is>
      </c>
      <c r="C77" s="267" t="inlineStr">
        <is>
          <t>Expense - Personal</t>
        </is>
      </c>
      <c r="D77" s="268" t="n">
        <v>104</v>
      </c>
      <c r="F77" s="269">
        <f>IFERROR(F76+D77-E77,0)</f>
        <v/>
      </c>
      <c r="G77" s="266" t="inlineStr">
        <is>
          <t>⏳ Reimburse</t>
        </is>
      </c>
      <c r="H77" s="242" t="inlineStr">
        <is>
          <t>HSBC **5543 — paid by Lohith 15 Jun</t>
        </is>
      </c>
    </row>
    <row r="78">
      <c r="A78" s="265" t="n">
        <v>46188</v>
      </c>
      <c r="B78" s="266" t="inlineStr">
        <is>
          <t>Miscelánea LC — Ribeye, Chuleta, Bistec</t>
        </is>
      </c>
      <c r="C78" s="267" t="inlineStr">
        <is>
          <t>Expense - Personal</t>
        </is>
      </c>
      <c r="D78" s="268" t="n">
        <v>1015</v>
      </c>
      <c r="F78" s="269">
        <f>IFERROR(F77+D78-E78,0)</f>
        <v/>
      </c>
      <c r="G78" s="266" t="inlineStr">
        <is>
          <t>⏳ Reimburse</t>
        </is>
      </c>
      <c r="H78" s="242" t="inlineStr">
        <is>
          <t>HSBC **5543 — paid by Lohith 15 Jun</t>
        </is>
      </c>
    </row>
    <row r="79">
      <c r="A79" s="265" t="n">
        <v>46188</v>
      </c>
      <c r="B79" s="266" t="inlineStr">
        <is>
          <t>Transfer from Restaurant account</t>
        </is>
      </c>
      <c r="C79" s="267" t="inlineStr">
        <is>
          <t>Reimbursement</t>
        </is>
      </c>
      <c r="E79" t="n">
        <v>3162</v>
      </c>
      <c r="F79" s="269">
        <f>IFERROR(F78+D79-E79,0)</f>
        <v/>
      </c>
      <c r="G79" s="266" t="inlineStr">
        <is>
          <t>✅ Received</t>
        </is>
      </c>
      <c r="H79" s="242" t="inlineStr">
        <is>
          <t>Bank transfer to Lohith</t>
        </is>
      </c>
    </row>
    <row r="80">
      <c r="A80" s="265" t="n">
        <v>46188</v>
      </c>
      <c r="B80" s="266" t="inlineStr">
        <is>
          <t>15 Jun card expenses reimbursed (Chedraui+OXXO+Miscelánea)</t>
        </is>
      </c>
      <c r="C80" s="267" t="inlineStr">
        <is>
          <t>Reimbursement</t>
        </is>
      </c>
      <c r="E80" t="n">
        <v>1279.33</v>
      </c>
      <c r="F80" s="269">
        <f>IFERROR(F79+D80-E80,0)</f>
        <v/>
      </c>
      <c r="G80" s="266" t="inlineStr">
        <is>
          <t>✅ Received</t>
        </is>
      </c>
      <c r="H80" s="242" t="inlineStr">
        <is>
          <t>HSBC **5543 items repaid same day</t>
        </is>
      </c>
    </row>
    <row r="81">
      <c r="A81" s="265" t="n">
        <v>46189</v>
      </c>
      <c r="B81" s="266" t="inlineStr">
        <is>
          <t>OXXO Pathe — Leche Lala UHT (2)</t>
        </is>
      </c>
      <c r="C81" s="267" t="inlineStr">
        <is>
          <t>Expense - Personal</t>
        </is>
      </c>
      <c r="D81" t="n">
        <v>93</v>
      </c>
      <c r="F81" s="269">
        <f>IFERROR(F80+D81-E81,0)</f>
        <v/>
      </c>
      <c r="G81" s="266" t="inlineStr">
        <is>
          <t>⏳ Reimburse</t>
        </is>
      </c>
      <c r="H81" s="242" t="inlineStr">
        <is>
          <t>HSBC **5543 — paid by Lohith 16 Jun</t>
        </is>
      </c>
    </row>
    <row r="82">
      <c r="A82" s="265" t="n">
        <v>46189</v>
      </c>
      <c r="B82" s="266" t="inlineStr">
        <is>
          <t>16 Jun OXXO card expense reimbursed</t>
        </is>
      </c>
      <c r="C82" s="267" t="inlineStr">
        <is>
          <t>Reimbursement</t>
        </is>
      </c>
      <c r="E82" t="n">
        <v>93</v>
      </c>
      <c r="F82" s="269">
        <f>IFERROR(F81+D82-E82,0)</f>
        <v/>
      </c>
      <c r="G82" s="266" t="inlineStr">
        <is>
          <t>✅ Received</t>
        </is>
      </c>
      <c r="H82" s="242" t="inlineStr">
        <is>
          <t>HSBC **5543 item repaid same day</t>
        </is>
      </c>
    </row>
    <row r="83">
      <c r="A83" s="226" t="inlineStr">
        <is>
          <t>TOTALS &amp; CURRENT BALANCE</t>
        </is>
      </c>
      <c r="B83" s="219" t="n"/>
      <c r="C83" s="219" t="n"/>
      <c r="D83" s="256">
        <f>SUM(D63:D82)</f>
        <v/>
      </c>
      <c r="E83" s="257">
        <f>SUM(E63:E82)</f>
        <v/>
      </c>
      <c r="F83" s="258">
        <f>F82</f>
        <v/>
      </c>
      <c r="G83" s="226">
        <f>IF(F82&gt;0,"⏳ Restaurant owes Lohith $"&amp;TEXT(F82,"#,##0"),IF(F82&lt;0,"💵 Lohith holds $"&amp;TEXT(ABS(F82),"#,##0"),"✅ Zero balance"))</f>
        <v/>
      </c>
    </row>
    <row r="84"/>
    <row r="85">
      <c r="A85" s="242" t="inlineStr">
        <is>
          <t>HOW TO USE:</t>
        </is>
      </c>
      <c r="B85" s="242" t="n"/>
      <c r="C85" s="242" t="n"/>
      <c r="D85" s="242" t="n"/>
      <c r="E85" s="242" t="n"/>
      <c r="F85" s="242" t="n"/>
      <c r="G85" s="242" t="n"/>
      <c r="H85" s="242" t="n"/>
    </row>
    <row r="86">
      <c r="A86" s="242" t="inlineStr">
        <is>
          <t>Add new rows above TOTALS. Spent by Lohith = restaurant expenses he paid personally.</t>
        </is>
      </c>
      <c r="B86" s="242" t="n"/>
      <c r="C86" s="242" t="n"/>
      <c r="D86" s="242" t="n"/>
      <c r="E86" s="242" t="n"/>
      <c r="F86" s="242" t="n"/>
      <c r="G86" s="242" t="n"/>
      <c r="H86" s="242" t="n"/>
    </row>
    <row r="87">
      <c r="A87" s="242" t="inlineStr">
        <is>
          <t>Transferred to Lohith = customer bank transfers received in his personal account.</t>
        </is>
      </c>
      <c r="B87" s="242" t="n"/>
      <c r="C87" s="242" t="n"/>
      <c r="D87" s="242" t="n"/>
      <c r="E87" s="242" t="n"/>
      <c r="F87" s="242" t="n"/>
      <c r="G87" s="242" t="n"/>
      <c r="H87" s="242" t="n"/>
    </row>
    <row r="88">
      <c r="A88" s="242" t="inlineStr">
        <is>
          <t>Positive balance = restaurant owes Lohith. Negative = Lohith holds restaurant funds.</t>
        </is>
      </c>
      <c r="B88" s="242" t="n"/>
      <c r="C88" s="242" t="n"/>
      <c r="D88" s="242" t="n"/>
      <c r="E88" s="242" t="n"/>
      <c r="F88" s="242" t="n"/>
      <c r="G88" s="242" t="n"/>
      <c r="H88" s="242" t="n"/>
    </row>
    <row r="89"/>
    <row r="90"/>
    <row r="91">
      <c r="A91" t="inlineStr">
        <is>
          <t>── PROPINAS / TIPS PASS-THROUGH (NOT income, NOT expense) ──</t>
        </is>
      </c>
    </row>
    <row r="92">
      <c r="A92" t="inlineStr">
        <is>
          <t>Date</t>
        </is>
      </c>
      <c r="B92" t="inlineStr">
        <is>
          <t>Paid To</t>
        </is>
      </c>
      <c r="D92" t="inlineStr">
        <is>
          <t>Amount</t>
        </is>
      </c>
    </row>
    <row r="93">
      <c r="A93" s="355" t="n">
        <v>46165</v>
      </c>
      <c r="B93" t="inlineStr">
        <is>
          <t>John (6 dias)</t>
        </is>
      </c>
      <c r="D93" s="354" t="n">
        <v>515</v>
      </c>
    </row>
    <row r="94">
      <c r="A94" s="355" t="n">
        <v>46165</v>
      </c>
      <c r="B94" t="inlineStr">
        <is>
          <t>Debi (6 dias)</t>
        </is>
      </c>
      <c r="D94" s="354" t="n">
        <v>515</v>
      </c>
    </row>
    <row r="95">
      <c r="A95" s="355" t="n">
        <v>46165</v>
      </c>
      <c r="B95" t="inlineStr">
        <is>
          <t>Victor (2 dias)</t>
        </is>
      </c>
      <c r="D95" s="354" t="n">
        <v>168</v>
      </c>
    </row>
    <row r="96">
      <c r="A96" s="355" t="n">
        <v>46174</v>
      </c>
      <c r="B96" t="inlineStr">
        <is>
          <t>John (Week 2)</t>
        </is>
      </c>
      <c r="D96" s="354" t="n">
        <v>350</v>
      </c>
    </row>
    <row r="97">
      <c r="A97" s="355" t="n">
        <v>46174</v>
      </c>
      <c r="B97" t="inlineStr">
        <is>
          <t>Duvi/Debi (Week 2)</t>
        </is>
      </c>
      <c r="D97" s="354" t="n">
        <v>350</v>
      </c>
    </row>
    <row r="98">
      <c r="A98" s="355" t="n">
        <v>46186</v>
      </c>
      <c r="B98" t="inlineStr">
        <is>
          <t>John (Week 4)</t>
        </is>
      </c>
      <c r="D98" s="354" t="n">
        <v>200</v>
      </c>
    </row>
    <row r="99">
      <c r="A99" s="355" t="n">
        <v>46186</v>
      </c>
      <c r="B99" t="inlineStr">
        <is>
          <t>Duvi/Debi (Week 4)</t>
        </is>
      </c>
      <c r="D99" s="354" t="n">
        <v>200</v>
      </c>
    </row>
    <row r="100">
      <c r="A100" s="355" t="n">
        <v>46186</v>
      </c>
      <c r="B100" t="inlineStr">
        <is>
          <t>Cesar (Week 4)</t>
        </is>
      </c>
      <c r="D100" s="354" t="n">
        <v>126</v>
      </c>
    </row>
    <row r="101">
      <c r="A101" s="355" t="n">
        <v>46186</v>
      </c>
      <c r="B101" t="inlineStr">
        <is>
          <t>Samu (Week 4)</t>
        </is>
      </c>
      <c r="D101" s="354" t="n">
        <v>126</v>
      </c>
    </row>
    <row r="102">
      <c r="B102" t="inlineStr">
        <is>
          <t>TOTAL TIPS PASSED THROUGH</t>
        </is>
      </c>
      <c r="D102" s="354">
        <f>SUM(D91:D99)</f>
        <v/>
      </c>
    </row>
    <row r="103">
      <c r="A103" t="inlineStr">
        <is>
          <t>Customer tips collected &amp; handed to staff. Excluded from P&amp;L — nets to zero (received = paid).</t>
        </is>
      </c>
    </row>
    <row r="104">
      <c r="A104" t="inlineStr">
        <is>
          <t>── CASH RECONCILIATION (15 Jun 2026) ──</t>
        </is>
      </c>
    </row>
    <row r="105">
      <c r="A105" t="inlineStr">
        <is>
          <t>Actual restaurant cash on hand</t>
        </is>
      </c>
      <c r="D105" s="354" t="n">
        <v>20283</v>
      </c>
    </row>
    <row r="106">
      <c r="A106" t="inlineStr">
        <is>
          <t>Adjustment: restaurant cash added to tips + Mercado Pago commission (vs running estimate)</t>
        </is>
      </c>
      <c r="D106" s="354" t="n">
        <v>-165</v>
      </c>
    </row>
    <row r="107">
      <c r="A10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2026-06-16T18:40:57Z</dcterms:modified>
  <cp:lastModifiedBy>LOHITH REDDY</cp:lastModifiedBy>
</cp:coreProperties>
</file>