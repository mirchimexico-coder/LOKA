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hidden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4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  <numFmt numFmtId="177" formatCode="$#,##0.00;[Red]-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8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  <xf numFmtId="176" fontId="0" fillId="0" borderId="0" pivotButton="0" quotePrefix="0" xfId="0"/>
    <xf numFmtId="0" fontId="92" fillId="44" borderId="25" pivotButton="0" quotePrefix="0" xfId="0"/>
    <xf numFmtId="176" fontId="95" fillId="0" borderId="0" pivotButton="0" quotePrefix="0" xfId="0"/>
    <xf numFmtId="176" fontId="98" fillId="0" borderId="0" pivotButton="0" quotePrefix="0" xfId="0"/>
    <xf numFmtId="0" fontId="98" fillId="0" borderId="25" pivotButton="0" quotePrefix="0" xfId="0"/>
    <xf numFmtId="177" fontId="98" fillId="0" borderId="25" pivotButton="0" quotePrefix="0" xfId="0"/>
    <xf numFmtId="0" fontId="95" fillId="0" borderId="25" pivotButton="0" quotePrefix="0" xfId="0"/>
    <xf numFmtId="177" fontId="95" fillId="0" borderId="25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3"/>
  <sheetViews>
    <sheetView tabSelected="0"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05 Oct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D67-D56</f>
        <v/>
      </c>
      <c r="D92" s="167">
        <f>C92/C86</f>
        <v/>
      </c>
      <c r="E92" s="140" t="inlineStr">
        <is>
          <t>Notary + poliza + licences + branding (excl. $5k advance, already in Acquisition)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CAPITAL STILL TO BE PAID IN  —  OWED TO CAPITAL (company account)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to Lohith ($)</t>
        </is>
      </c>
      <c r="E99" s="170" t="inlineStr">
        <is>
          <t>Direct Expenses ($)</t>
        </is>
      </c>
      <c r="F99" s="170" t="inlineStr">
        <is>
          <t>Still Owed to Capital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>
        <f>IF(F100&lt;1,"✅ COMPLETE","⏳ Owes Capital $"&amp;TEXT(F100,"#,##0"))</f>
        <v/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>
        <f>IF(F101&lt;1,"✅ COMPLETE","⏳ Owes Capital $"&amp;TEXT(F101,"#,##0"))</f>
        <v/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UNDEPLOYED CAPITAL (with Lohith + company-account reserve)</t>
        </is>
      </c>
      <c r="D140">
        <f>D136-D137-D138-D139</f>
        <v/>
      </c>
    </row>
    <row r="141">
      <c r="B141" t="inlineStr">
        <is>
          <t xml:space="preserve">   → Physically WITH ME (excl. company-account reserve, Section M)</t>
        </is>
      </c>
      <c r="D141" s="450">
        <f>D140-C171</f>
        <v/>
      </c>
      <c r="E141" t="inlineStr">
        <is>
          <t>All remaining capital moved to company account 22-Sep-2026</t>
        </is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Daily Log: MP + cash + transfers + Soft + BBVA)</t>
        </is>
      </c>
      <c r="C143" s="283">
        <f>SUM('📅 Daily Log'!D8:D5000)+SUM('📅 Daily Log'!E8:E5000)+SUM('📅 Daily Log'!G8:G5000)+SUM('📅 Daily Log'!U8:U5000)+SUM('📅 Daily Log'!Y8:Y5000)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Card commissions (MP auto 4.06% + Soft + BBVA actual)</t>
        </is>
      </c>
      <c r="C145" s="268">
        <f>SUM('📅 Daily Log'!R8:R5000)+SUM('📅 Daily Log'!V8:V5000)+SUM('📅 Daily Log'!Z8:Z5000)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0</v>
      </c>
      <c r="E147" s="286" t="inlineStr">
        <is>
          <t>Legacy (to 22-Sep-2026). From 05-Oct-2026 capital is fixed at $125,934 in the company account; what ops owes Capital = negative Balance vs Capital (row 172). 22-Sep taxes/contador moved to Restaurant.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-84370.53</v>
      </c>
      <c r="E149" t="inlineStr">
        <is>
          <t>Cumulative repaid from operating cash (latest 18-Sep-2026 $2,778.53).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Undeployed capital (Section J: with Lohith + company-account reserve)</t>
        </is>
      </c>
      <c r="C162" s="320">
        <f>D140</f>
        <v/>
      </c>
      <c r="E162">
        <f>"With Lohith $"&amp;TEXT(D141,"#,##0")&amp;" + company-account reserve $"&amp;TEXT(C171,"#,##0")</f>
        <v/>
      </c>
    </row>
    <row r="163">
      <c r="B163" s="319" t="inlineStr">
        <is>
          <t xml:space="preserve">   Kashigoud still owes CAPITAL (to pay into company account)</t>
        </is>
      </c>
      <c r="C163" s="320">
        <f>F100</f>
        <v/>
      </c>
      <c r="E163" t="inlineStr">
        <is>
          <t>Committed $180k: $145k sent to Lohith + direct expenses paid. Balance due to Capital (company account), since 22-Sep-2026.</t>
        </is>
      </c>
    </row>
    <row r="164">
      <c r="B164" s="319" t="inlineStr">
        <is>
          <t xml:space="preserve">   Shashirekha still owes CAPITAL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Undeployed (with Lohith + company reserve)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451" t="inlineStr">
        <is>
          <t xml:space="preserve">  M.  CAPITAL RESERVE  —  HELD IN THE COMPANY ACCOUNT  (separate from operating cash)</t>
        </is>
      </c>
      <c r="C168" s="320" t="n"/>
    </row>
    <row r="169">
      <c r="B169" s="319" t="inlineStr">
        <is>
          <t xml:space="preserve">   CAPITAL held in company account (fixed, moved in 22-Sep-2026)</t>
        </is>
      </c>
      <c r="C169" s="452" t="n">
        <v>125934</v>
      </c>
      <c r="E169" t="inlineStr">
        <is>
          <t>22-Sep-2026: Lohith moved all remaining capital ($125,934) to the company account.</t>
        </is>
      </c>
    </row>
    <row r="170">
      <c r="B170" s="319" t="inlineStr">
        <is>
          <t xml:space="preserve">   Drawn from capital (retired 05-Oct-2026: all bills are normal company-account expenses)</t>
        </is>
      </c>
      <c r="C170" s="452" t="n">
        <v>0</v>
      </c>
      <c r="E170" t="inlineStr">
        <is>
          <t>22-Sep taxes/contador draw (-$18,442) reversed 05-Oct-2026 and booked as Restaurant expenses.</t>
        </is>
      </c>
    </row>
    <row r="171">
      <c r="B171" s="317" t="inlineStr">
        <is>
          <t>CAPITAL BALANCE (fixed, in company account)</t>
        </is>
      </c>
      <c r="C171" s="453">
        <f>C169+C170</f>
        <v/>
      </c>
      <c r="E171" t="inlineStr">
        <is>
          <t>The pool (company account + cash in hand) must cover this. Difference is row 172.</t>
        </is>
      </c>
    </row>
    <row r="172">
      <c r="B172" s="454" t="inlineStr">
        <is>
          <t>BALANCE vs CAPITAL  (company acct + cash in hand − capital)</t>
        </is>
      </c>
      <c r="C172" s="455" t="n">
        <v>-19118.92</v>
      </c>
      <c r="E172" s="423" t="inlineStr">
        <is>
          <t>Negative = the restaurant owes Capital this much. Positive = surplus. Auto-updated by refresh-all.</t>
        </is>
      </c>
    </row>
    <row r="173">
      <c r="B173" s="456" t="inlineStr">
        <is>
          <t xml:space="preserve">   Company account + cash in hand (books)</t>
        </is>
      </c>
      <c r="C173" s="457" t="n">
        <v>106815.08</v>
      </c>
      <c r="E173" s="423" t="inlineStr">
        <is>
          <t>Last physical count + everything since. Set by menu 13 (cash count). Auto-updated by refresh-all.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tabSelected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SUMIFS($D$8:$D$5000,$B$8:$B$5000,TODAY())+SUMIFS($E$8:$E$5000,$B$8:$B$5000,TODAY())+SUMIFS($G$8:$G$5000,$B$8:$B$5000,TODAY())+SUMIFS($U$8:$U$5000,$B$8:$B$5000,TODAY())+SUMIFS($Y$8:$Y$5000,$B$8:$B$5000,TODAY())</f>
        <v>5580.0</v>
      </c>
      <c r="G6" s="31">
        <f>SUMIFS($G$8:$G$5000,$B$8:$B$5000,TODAY())</f>
        <v>965.0</v>
      </c>
      <c r="H6" s="28">
        <f>SUMIFS($H$8:$H$5000,$B$8:$B$5000,TODAY())</f>
        <v>29005.68</v>
      </c>
      <c r="I6" s="32">
        <f>F6-H6</f>
        <v>-23425.68</v>
      </c>
      <c r="J6">
        <f>IFERROR(I6/F6,0)</f>
        <v>-4.198151</v>
      </c>
      <c r="K6" s="28" t="n"/>
      <c r="L6" s="31" t="n"/>
      <c r="M6" s="28">
        <f>SUMIFS($F$8:$F$5000,$B$8:$B$5000,"&gt;="&amp;(TODAY()-WEEKDAY(TODAY(),2)+1),$B$8:$B$5000,"&lt;"&amp;(TODAY()-WEEKDAY(TODAY(),2)+8))</f>
        <v>5580.0</v>
      </c>
      <c r="N6" s="33">
        <f>SUMIFS($F$8:$F$5000,$B$8:$B$5000,"&gt;="&amp;(TODAY()-WEEKDAY(TODAY(),2)+1),$B$8:$B$5000,"&lt;"&amp;(TODAY()-WEEKDAY(TODAY(),2)+8))</f>
        <v>5580.0</v>
      </c>
      <c r="O6" s="33">
        <f>SUMIFS($F$8:$F$5000,$B$8:$B$5000,"&gt;="&amp;DATE(YEAR(TODAY()),MONTH(TODAY()),1),$B$8:$B$5000,"&lt;"&amp;DATE(YEAR(TODAY()),MONTH(TODAY())+1,1))</f>
        <v>14335.0</v>
      </c>
      <c r="P6">
        <f>SUMIFS('💸 Expenses'!$F$8:$F$5000,'💸 Expenses'!$B$8:$B$5000,"&gt;="&amp;(TODAY()-WEEKDAY(TODAY(),2)+1),'💸 Expenses'!$B$8:$B$5000,"&lt;"&amp;(TODAY()-WEEKDAY(TODAY(),2)+8))</f>
        <v>29005.68</v>
      </c>
      <c r="Q6">
        <f>M6-P6</f>
        <v>-23425.68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IFERROR(D8+E8+G8+U8+Y8,0)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IFERROR(D9+E9+G9+U9+Y9,0)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IFERROR(D10+E10+G10+U10+Y10,0)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IFERROR(D11+E11+G11+U11+Y11,0)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IFERROR(D12+E12+G12+U12+Y12,0)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IFERROR(D13+E13+G13+U13+Y13,0)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IFERROR(D14+E14+G14+U14+Y14,0)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IFERROR(D15+E15+G15+U15+Y15,0)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IFERROR(D16+E16+G16+U16+Y16,0)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IFERROR(D17+E17+G17+U17+Y17,0)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IFERROR(D18+E18+G18+U18+Y18,0)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IFERROR(D19+E19+G19+U19+Y19,0)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IFERROR(D20+E20+G20+U20+Y20,0)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IFERROR(D21+E21+G21+U21+Y21,0)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IFERROR(D22+E22+G22+U22+Y22,0)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IFERROR(D23+E23+G23+U23+Y23,0)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IFERROR(D24+E24+G24+U24+Y24,0)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IFERROR(D25+E25+G25+U25+Y25,0)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IFERROR(D26+E26+G26+U26+Y26,0)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IFERROR(D27+E27+G27+U27+Y27,0)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IFERROR(D28+E28+G28+U28+Y28,0)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260">
        <f>IFERROR(I28/F28,0)</f>
        <v>0</v>
      </c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IFERROR(D29+E29+G29+U29+Y29,0)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IFERROR(D30+E30+G30+U30+Y30,0)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IFERROR(D31+E31+G31+U31+Y31,0)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IFERROR(D32+E32+G32+U32+Y32,0)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IFERROR(D33+E33+G33+U33+Y33,0)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IFERROR(D34+E34+G34+U34+Y34,0)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IFERROR(D35+E35+G35+U35+Y35,0)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IFERROR(D36+E36+G36+U36+Y36,0)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IFERROR(D37+E37+G37+U37+Y37,0)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IFERROR(D38+E38+G38+U38+Y38,0)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IFERROR(D39+E39+G39+U39+Y39,0)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IFERROR(D40+E40+G40+U40+Y40,0)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IFERROR(D41+E41+G41+U41+Y41,0)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IFERROR(D42+E42+G42+U42+Y42,0)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IFERROR(D43+E43+G43+U43+Y43,0)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IFERROR(D44+E44+G44+U44+Y44,0)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IFERROR(D45+E45+G45+U45+Y45,0)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IFERROR(D46+E46+G46+U46+Y46,0)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IFERROR(D47+E47+G47+U47+Y47,0)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IFERROR(D48+E48+G48+U48+Y48,0)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IFERROR(D49+E49+G49+U49+Y49,0)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IFERROR(D50+E50+G50+U50+Y50,0)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IFERROR(D51+E51+G51+U51+Y51,0)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IFERROR(D52+E52+G52+U52+Y52,0)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IFERROR(D53+E53+G53+U53+Y53,0)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IFERROR(D54+E54+G54+U54+Y54,0)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IFERROR(D55+E55+G55+U55+Y55,0)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IFERROR(D56+E56+G56+U56+Y56,0)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IFERROR(D57+E57+G57+U57+Y57,0)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IFERROR(D58+E58+G58+U58+Y58,0)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IFERROR(D59+E59+G59+U59+Y59,0)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IFERROR(D60+E60+G60+U60+Y60,0)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IFERROR(D61+E61+G61+U61+Y61,0)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427" t="n">
        <v>46268</v>
      </c>
      <c r="C107" s="255" t="inlineStr">
        <is>
          <t>Thu</t>
        </is>
      </c>
      <c r="D107" s="256" t="n">
        <v>6620</v>
      </c>
      <c r="E107" s="49" t="n">
        <v>3030</v>
      </c>
      <c r="F107" s="50">
        <f>IFERROR(D107+E107+G107+U107+Y107,0)</f>
        <v>10740.0</v>
      </c>
      <c r="G107" s="257" t="n">
        <v>0</v>
      </c>
      <c r="H107" s="258">
        <f>SUMIFS('💸 Expenses'!$F$8:$F$5000,'💸 Expenses'!$B$8:$B$5000,"&gt;="&amp;B107,'💸 Expenses'!$B$8:$B$5000,"&lt;"&amp;(B107+1))</f>
        <v>5505.0</v>
      </c>
      <c r="I107" s="259">
        <f>IFERROR(F107-H107,0)</f>
        <v>5235.0</v>
      </c>
      <c r="J107" s="260">
        <f>IFERROR(I107/F107,0)</f>
        <v>0.48743</v>
      </c>
      <c r="K107" s="254" t="n"/>
      <c r="L107" s="261" t="inlineStr">
        <is>
          <t>Cierre via loka.py</t>
        </is>
      </c>
      <c r="M107" s="291" t="n"/>
      <c r="N107" s="292" t="n"/>
      <c r="O107" s="293" t="n"/>
      <c r="P107" s="294" t="n"/>
      <c r="Q107" s="292" t="n"/>
      <c r="R107" s="443">
        <f>IFERROR(D107*$T$7,0)</f>
        <v>268.77</v>
      </c>
      <c r="S107" s="292" t="n"/>
      <c r="T107" s="292" t="n"/>
      <c r="U107" s="443" t="n">
        <v>0</v>
      </c>
      <c r="V107" s="443" t="n">
        <v>0</v>
      </c>
      <c r="W107" s="292" t="n"/>
      <c r="X107" s="292" t="n"/>
      <c r="Y107" s="443" t="n">
        <v>1090</v>
      </c>
      <c r="Z107" s="443" t="n">
        <v>20.71</v>
      </c>
      <c r="AA107" s="292" t="n"/>
      <c r="AB107" s="292" t="n"/>
    </row>
    <row r="108" ht="16.5" customHeight="1" s="331">
      <c r="B108" s="427" t="n">
        <v>46269</v>
      </c>
      <c r="C108" s="270" t="inlineStr">
        <is>
          <t>Fri</t>
        </is>
      </c>
      <c r="D108" s="271" t="n">
        <v>825</v>
      </c>
      <c r="E108" s="37" t="n">
        <v>1974</v>
      </c>
      <c r="F108" s="38">
        <f>IFERROR(D108+E108+G108+U108+Y108,0)</f>
        <v>4839.0</v>
      </c>
      <c r="G108" s="272" t="n">
        <v>0</v>
      </c>
      <c r="H108" s="273">
        <f>SUMIFS('💸 Expenses'!$F$8:$F$5000,'💸 Expenses'!$B$8:$B$5000,"&gt;="&amp;B108,'💸 Expenses'!$B$8:$B$5000,"&lt;"&amp;(B108+1))</f>
        <v>20107.68</v>
      </c>
      <c r="I108" s="274">
        <f>IFERROR(F108-H108,0)</f>
        <v>-15268.68</v>
      </c>
      <c r="J108" s="275">
        <f>IFERROR(I108/F108,0)</f>
        <v>-3.155338</v>
      </c>
      <c r="K108" s="250" t="n"/>
      <c r="L108" s="276" t="inlineStr">
        <is>
          <t>Cierre via loka.py</t>
        </is>
      </c>
      <c r="M108" s="323" t="n"/>
      <c r="N108" s="324" t="n"/>
      <c r="O108" s="325" t="n"/>
      <c r="P108" s="326" t="n"/>
      <c r="Q108" s="324" t="n"/>
      <c r="R108" s="428">
        <f>IFERROR(D108*$T$7,0)</f>
        <v>33.49</v>
      </c>
      <c r="S108" s="324" t="n"/>
      <c r="T108" s="324" t="n"/>
      <c r="U108" s="428" t="n">
        <v>0</v>
      </c>
      <c r="V108" s="428" t="n">
        <v>0</v>
      </c>
      <c r="W108" s="324" t="n"/>
      <c r="X108" s="324" t="n"/>
      <c r="Y108" s="428" t="n">
        <v>2040</v>
      </c>
      <c r="Z108" s="428" t="n">
        <v>38.76</v>
      </c>
      <c r="AA108" s="324" t="n"/>
      <c r="AB108" s="324" t="n"/>
    </row>
    <row r="109" ht="16.5" customHeight="1" s="331">
      <c r="B109" s="427" t="n">
        <v>46270</v>
      </c>
      <c r="C109" s="255" t="inlineStr">
        <is>
          <t>Sat</t>
        </is>
      </c>
      <c r="D109" s="256" t="n">
        <v>0</v>
      </c>
      <c r="E109" s="49" t="n">
        <v>1590</v>
      </c>
      <c r="F109" s="50">
        <f>IFERROR(D109+E109+G109+U109+Y109,0)</f>
        <v>2695.0</v>
      </c>
      <c r="G109" s="257" t="n">
        <v>0</v>
      </c>
      <c r="H109" s="258">
        <f>SUMIFS('💸 Expenses'!$F$8:$F$5000,'💸 Expenses'!$B$8:$B$5000,"&gt;="&amp;B109,'💸 Expenses'!$B$8:$B$5000,"&lt;"&amp;(B109+1))</f>
        <v>9182.0</v>
      </c>
      <c r="I109" s="259">
        <f>IFERROR(F109-H109,0)</f>
        <v>-6487.0</v>
      </c>
      <c r="J109" s="260">
        <f>IFERROR(I109/F109,0)</f>
        <v>-2.40705</v>
      </c>
      <c r="K109" s="254" t="n"/>
      <c r="L109" s="261" t="inlineStr">
        <is>
          <t>Cierre via loka.py</t>
        </is>
      </c>
      <c r="M109" s="291" t="n"/>
      <c r="N109" s="292" t="n"/>
      <c r="O109" s="293" t="n"/>
      <c r="P109" s="294" t="n"/>
      <c r="Q109" s="292" t="n"/>
      <c r="R109" s="443">
        <f>IFERROR(D109*$T$7,0)</f>
        <v>0.0</v>
      </c>
      <c r="S109" s="292" t="n"/>
      <c r="T109" s="292" t="n"/>
      <c r="U109" s="443" t="n">
        <v>0</v>
      </c>
      <c r="V109" s="443" t="n">
        <v>0</v>
      </c>
      <c r="W109" s="292" t="n"/>
      <c r="X109" s="292" t="n"/>
      <c r="Y109" s="443" t="n">
        <v>1105</v>
      </c>
      <c r="Z109" s="443" t="n">
        <v>21</v>
      </c>
      <c r="AA109" s="292" t="n"/>
      <c r="AB109" s="292" t="n"/>
    </row>
    <row r="110" ht="16.5" customHeight="1" s="331">
      <c r="B110" s="427" t="n">
        <v>46272</v>
      </c>
      <c r="C110" s="270" t="inlineStr">
        <is>
          <t>Mon</t>
        </is>
      </c>
      <c r="D110" s="271" t="n">
        <v>1740</v>
      </c>
      <c r="E110" s="37" t="n">
        <v>1070</v>
      </c>
      <c r="F110" s="38">
        <f>IFERROR(D110+E110+G110+U110+Y110,0)</f>
        <v>3885.0</v>
      </c>
      <c r="G110" s="272" t="n">
        <v>0</v>
      </c>
      <c r="H110" s="273">
        <f>SUMIFS('💸 Expenses'!$F$8:$F$5000,'💸 Expenses'!$B$8:$B$5000,"&gt;="&amp;B110,'💸 Expenses'!$B$8:$B$5000,"&lt;"&amp;(B110+1))</f>
        <v>6288.0</v>
      </c>
      <c r="I110" s="274">
        <f>IFERROR(F110-H110,0)</f>
        <v>-2403.0</v>
      </c>
      <c r="J110" s="275">
        <f>IFERROR(I110/F110,0)</f>
        <v>-0.618533</v>
      </c>
      <c r="K110" s="250" t="n"/>
      <c r="L110" s="276" t="inlineStr">
        <is>
          <t>Cierre via loka.py</t>
        </is>
      </c>
      <c r="M110" s="323" t="n"/>
      <c r="N110" s="324" t="n"/>
      <c r="O110" s="325" t="n"/>
      <c r="P110" s="326" t="n"/>
      <c r="Q110" s="324" t="n"/>
      <c r="R110" s="428">
        <f>IFERROR(D110*$T$7,0)</f>
        <v>70.64</v>
      </c>
      <c r="S110" s="324" t="n"/>
      <c r="T110" s="324" t="n"/>
      <c r="U110" s="428" t="n">
        <v>0</v>
      </c>
      <c r="V110" s="428" t="n">
        <v>0</v>
      </c>
      <c r="W110" s="324" t="n"/>
      <c r="X110" s="324" t="n"/>
      <c r="Y110" s="428" t="n">
        <v>1075</v>
      </c>
      <c r="Z110" s="428" t="n">
        <v>20.43</v>
      </c>
      <c r="AA110" s="324" t="n"/>
      <c r="AB110" s="324" t="n"/>
    </row>
    <row r="111" ht="16.5" customHeight="1" s="331">
      <c r="B111" s="427" t="n">
        <v>46273</v>
      </c>
      <c r="C111" s="255" t="inlineStr">
        <is>
          <t>Tue</t>
        </is>
      </c>
      <c r="D111" s="256" t="n">
        <v>0</v>
      </c>
      <c r="E111" s="49" t="n">
        <v>1745</v>
      </c>
      <c r="F111" s="50">
        <f>IFERROR(D111+E111+G111+U111+Y111,0)</f>
        <v>2935.0</v>
      </c>
      <c r="G111" s="257" t="n">
        <v>275</v>
      </c>
      <c r="H111" s="258">
        <f>SUMIFS('💸 Expenses'!$F$8:$F$5000,'💸 Expenses'!$B$8:$B$5000,"&gt;="&amp;B111,'💸 Expenses'!$B$8:$B$5000,"&lt;"&amp;(B111+1))</f>
        <v>1980.0</v>
      </c>
      <c r="I111" s="259">
        <f>IFERROR(F111-H111,0)</f>
        <v>955.0</v>
      </c>
      <c r="J111" s="260">
        <f>IFERROR(I111/F111,0)</f>
        <v>0.325383</v>
      </c>
      <c r="K111" s="254" t="n"/>
      <c r="L111" s="261" t="inlineStr">
        <is>
          <t>Cierre via loka.py | updated 18:49</t>
        </is>
      </c>
      <c r="M111" s="291" t="n"/>
      <c r="N111" s="292" t="n"/>
      <c r="O111" s="293" t="n"/>
      <c r="P111" s="294" t="n"/>
      <c r="Q111" s="292" t="n"/>
      <c r="R111" s="443">
        <f>IFERROR(D111*$T$7,0)</f>
        <v>0.0</v>
      </c>
      <c r="S111" s="292" t="n"/>
      <c r="T111" s="292" t="n"/>
      <c r="U111" s="443" t="n">
        <v>0</v>
      </c>
      <c r="V111" s="443" t="n">
        <v>0</v>
      </c>
      <c r="W111" s="292" t="n"/>
      <c r="X111" s="292" t="n"/>
      <c r="Y111" s="443" t="n">
        <v>915</v>
      </c>
      <c r="Z111" s="443" t="n">
        <v>17.39</v>
      </c>
      <c r="AA111" s="292" t="n"/>
      <c r="AB111" s="292" t="n"/>
    </row>
    <row r="112" ht="16.5" customHeight="1" s="331">
      <c r="B112" s="427" t="n">
        <v>46274</v>
      </c>
      <c r="C112" s="270" t="inlineStr">
        <is>
          <t>Wed</t>
        </is>
      </c>
      <c r="D112" s="271" t="n">
        <v>0</v>
      </c>
      <c r="E112" s="37" t="n">
        <v>1040</v>
      </c>
      <c r="F112" s="38">
        <f>IFERROR(D112+E112+G112+U112+Y112,0)</f>
        <v>3160.0</v>
      </c>
      <c r="G112" s="272" t="n">
        <v>250</v>
      </c>
      <c r="H112" s="273">
        <f>SUMIFS('💸 Expenses'!$F$8:$F$5000,'💸 Expenses'!$B$8:$B$5000,"&gt;="&amp;B112,'💸 Expenses'!$B$8:$B$5000,"&lt;"&amp;(B112+1))</f>
        <v>1106.0</v>
      </c>
      <c r="I112" s="274">
        <f>IFERROR(F112-H112,0)</f>
        <v>2054.0</v>
      </c>
      <c r="J112" s="275">
        <f>IFERROR(I112/F112,0)</f>
        <v>0.65</v>
      </c>
      <c r="K112" s="250" t="n"/>
      <c r="L112" s="276" t="inlineStr">
        <is>
          <t>Cierre via loka.py | updated 17:50 | updated 21:09</t>
        </is>
      </c>
      <c r="M112" s="323" t="n"/>
      <c r="N112" s="324" t="n"/>
      <c r="O112" s="325" t="n"/>
      <c r="P112" s="326" t="n"/>
      <c r="Q112" s="324" t="n"/>
      <c r="R112" s="428">
        <f>IFERROR(D112*$T$7,0)</f>
        <v>0.0</v>
      </c>
      <c r="S112" s="324" t="n"/>
      <c r="T112" s="324" t="n"/>
      <c r="U112" s="428" t="n">
        <v>0</v>
      </c>
      <c r="V112" s="428" t="n">
        <v>0</v>
      </c>
      <c r="W112" s="324" t="n"/>
      <c r="X112" s="324" t="n"/>
      <c r="Y112" s="428" t="n">
        <v>1870</v>
      </c>
      <c r="Z112" s="428" t="n">
        <v>35.53</v>
      </c>
      <c r="AA112" s="324" t="n"/>
      <c r="AB112" s="324" t="n"/>
    </row>
    <row r="113" ht="16.5" customHeight="1" s="331">
      <c r="B113" s="427" t="n">
        <v>46275</v>
      </c>
      <c r="C113" s="255" t="inlineStr">
        <is>
          <t>Thu</t>
        </is>
      </c>
      <c r="D113" s="256" t="n">
        <v>0</v>
      </c>
      <c r="E113" s="49" t="n">
        <v>1685</v>
      </c>
      <c r="F113" s="50">
        <f>IFERROR(D113+E113+G113+U113+Y113,0)</f>
        <v>3805.0</v>
      </c>
      <c r="G113" s="257" t="n">
        <v>120</v>
      </c>
      <c r="H113" s="258">
        <f>SUMIFS('💸 Expenses'!$F$8:$F$5000,'💸 Expenses'!$B$8:$B$5000,"&gt;="&amp;B113,'💸 Expenses'!$B$8:$B$5000,"&lt;"&amp;(B113+1))</f>
        <v>1659.0</v>
      </c>
      <c r="I113" s="259">
        <f>IFERROR(F113-H113,0)</f>
        <v>2146.0</v>
      </c>
      <c r="J113" s="260">
        <f>IFERROR(I113/F113,0)</f>
        <v>0.563995</v>
      </c>
      <c r="K113" s="254" t="n"/>
      <c r="L113" s="261" t="inlineStr">
        <is>
          <t>Cierre via loka.py | updated 17:29</t>
        </is>
      </c>
      <c r="M113" s="291" t="n"/>
      <c r="N113" s="292" t="n"/>
      <c r="O113" s="293" t="n"/>
      <c r="P113" s="294" t="n"/>
      <c r="Q113" s="292" t="n"/>
      <c r="R113" s="443">
        <f>IFERROR(D113*$T$7,0)</f>
        <v>0.0</v>
      </c>
      <c r="S113" s="292" t="n"/>
      <c r="T113" s="292" t="n"/>
      <c r="U113" s="443" t="n">
        <v>0</v>
      </c>
      <c r="V113" s="443" t="n">
        <v>0</v>
      </c>
      <c r="W113" s="292" t="n"/>
      <c r="X113" s="292" t="n"/>
      <c r="Y113" s="443" t="n">
        <v>2000</v>
      </c>
      <c r="Z113" s="443" t="n">
        <v>38</v>
      </c>
      <c r="AA113" s="292" t="n"/>
      <c r="AB113" s="292" t="n"/>
    </row>
    <row r="114" ht="16.5" customHeight="1" s="331">
      <c r="B114" s="427" t="n">
        <v>46276</v>
      </c>
      <c r="C114" s="270" t="inlineStr">
        <is>
          <t>Fri</t>
        </is>
      </c>
      <c r="D114" s="271" t="n">
        <v>0</v>
      </c>
      <c r="E114" s="37" t="n">
        <v>820</v>
      </c>
      <c r="F114" s="38">
        <f>IFERROR(D114+E114+G114+U114+Y114,0)</f>
        <v>3345.0</v>
      </c>
      <c r="G114" s="272" t="n">
        <v>1010</v>
      </c>
      <c r="H114" s="273">
        <f>SUMIFS('💸 Expenses'!$F$8:$F$5000,'💸 Expenses'!$B$8:$B$5000,"&gt;="&amp;B114,'💸 Expenses'!$B$8:$B$5000,"&lt;"&amp;(B114+1))</f>
        <v>45.0</v>
      </c>
      <c r="I114" s="274">
        <f>IFERROR(F114-H114,0)</f>
        <v>3300.0</v>
      </c>
      <c r="J114" s="275">
        <f>IFERROR(I114/F114,0)</f>
        <v>0.986547</v>
      </c>
      <c r="K114" s="250" t="n"/>
      <c r="L114" s="276" t="inlineStr">
        <is>
          <t>Cierre via loka.py</t>
        </is>
      </c>
      <c r="M114" s="323" t="n"/>
      <c r="N114" s="324" t="n"/>
      <c r="O114" s="325" t="n"/>
      <c r="P114" s="326" t="n"/>
      <c r="Q114" s="324" t="n"/>
      <c r="R114" s="428">
        <f>IFERROR(D114*$T$7,0)</f>
        <v>0.0</v>
      </c>
      <c r="S114" s="324" t="n"/>
      <c r="T114" s="324" t="n"/>
      <c r="U114" s="428" t="n">
        <v>0</v>
      </c>
      <c r="V114" s="428" t="n">
        <v>0</v>
      </c>
      <c r="W114" s="324" t="n"/>
      <c r="X114" s="324" t="n"/>
      <c r="Y114" s="428" t="n">
        <v>1515</v>
      </c>
      <c r="Z114" s="428" t="n">
        <v>28.79</v>
      </c>
      <c r="AA114" s="324" t="n"/>
      <c r="AB114" s="324" t="n"/>
    </row>
    <row r="115" ht="16.5" customHeight="1" s="331">
      <c r="B115" s="427" t="n">
        <v>46277</v>
      </c>
      <c r="C115" s="255" t="inlineStr">
        <is>
          <t>Sat</t>
        </is>
      </c>
      <c r="D115" s="256" t="n">
        <v>585</v>
      </c>
      <c r="E115" s="49" t="n">
        <v>1835</v>
      </c>
      <c r="F115" s="50">
        <f>IFERROR(D115+E115+G115+U115+Y115,0)</f>
        <v>2420.0</v>
      </c>
      <c r="G115" s="257" t="n">
        <v>0</v>
      </c>
      <c r="H115" s="258">
        <f>SUMIFS('💸 Expenses'!$F$8:$F$5000,'💸 Expenses'!$B$8:$B$5000,"&gt;="&amp;B115,'💸 Expenses'!$B$8:$B$5000,"&lt;"&amp;(B115+1))</f>
        <v>8813.0</v>
      </c>
      <c r="I115" s="259">
        <f>IFERROR(F115-H115,0)</f>
        <v>-6393.0</v>
      </c>
      <c r="J115" s="260">
        <f>IFERROR(I115/F115,0)</f>
        <v>-2.641736</v>
      </c>
      <c r="K115" s="254" t="n"/>
      <c r="L115" s="261" t="inlineStr">
        <is>
          <t>Cierre via loka.py</t>
        </is>
      </c>
      <c r="M115" s="291" t="n"/>
      <c r="N115" s="292" t="n"/>
      <c r="O115" s="293" t="n"/>
      <c r="P115" s="294" t="n"/>
      <c r="Q115" s="292" t="n"/>
      <c r="R115" s="443">
        <f>IFERROR(D115*$T$7,0)</f>
        <v>23.75</v>
      </c>
      <c r="S115" s="292" t="n"/>
      <c r="T115" s="292" t="n"/>
      <c r="U115" s="443" t="n">
        <v>0</v>
      </c>
      <c r="V115" s="443" t="n">
        <v>0</v>
      </c>
      <c r="W115" s="292" t="n"/>
      <c r="X115" s="292" t="n"/>
      <c r="Y115" s="443" t="n">
        <v>0</v>
      </c>
      <c r="Z115" s="443" t="n">
        <v>0</v>
      </c>
      <c r="AA115" s="292" t="n"/>
      <c r="AB115" s="292" t="n"/>
    </row>
    <row r="116" ht="16.5" customHeight="1" s="331">
      <c r="B116" s="427" t="n">
        <v>46279</v>
      </c>
      <c r="C116" s="270" t="inlineStr">
        <is>
          <t>Mon</t>
        </is>
      </c>
      <c r="D116" s="271" t="n">
        <v>1950</v>
      </c>
      <c r="E116" s="37" t="n">
        <v>2090</v>
      </c>
      <c r="F116" s="38">
        <f>IFERROR(D116+E116+G116+U116+Y116,0)</f>
        <v>4170.0</v>
      </c>
      <c r="G116" s="272" t="n">
        <v>130</v>
      </c>
      <c r="H116" s="273">
        <f>SUMIFS('💸 Expenses'!$F$8:$F$5000,'💸 Expenses'!$B$8:$B$5000,"&gt;="&amp;B116,'💸 Expenses'!$B$8:$B$5000,"&lt;"&amp;(B116+1))</f>
        <v>660.0</v>
      </c>
      <c r="I116" s="274">
        <f>IFERROR(F116-H116,0)</f>
        <v>3510.0</v>
      </c>
      <c r="J116" s="275">
        <f>IFERROR(I116/F116,0)</f>
        <v>0.841727</v>
      </c>
      <c r="K116" s="250" t="n"/>
      <c r="L116" s="276" t="inlineStr">
        <is>
          <t>Cierre via loka.py</t>
        </is>
      </c>
      <c r="M116" s="323" t="n"/>
      <c r="N116" s="324" t="n"/>
      <c r="O116" s="325" t="n"/>
      <c r="P116" s="326" t="n"/>
      <c r="Q116" s="324" t="n"/>
      <c r="R116" s="428">
        <f>IFERROR(D116*$T$7,0)</f>
        <v>79.17</v>
      </c>
      <c r="S116" s="324" t="n"/>
      <c r="T116" s="324" t="n"/>
      <c r="U116" s="428" t="n">
        <v>0</v>
      </c>
      <c r="V116" s="428" t="n">
        <v>0</v>
      </c>
      <c r="W116" s="324" t="n"/>
      <c r="X116" s="324" t="n"/>
      <c r="Y116" s="428" t="n">
        <v>0</v>
      </c>
      <c r="Z116" s="428" t="n">
        <v>0</v>
      </c>
      <c r="AA116" s="324" t="n"/>
      <c r="AB116" s="324" t="n"/>
    </row>
    <row r="117" ht="16.5" customHeight="1" s="331">
      <c r="B117" s="427" t="n">
        <v>46282</v>
      </c>
      <c r="C117" s="255" t="inlineStr">
        <is>
          <t>Thu</t>
        </is>
      </c>
      <c r="D117" s="256" t="n">
        <v>2875</v>
      </c>
      <c r="E117" s="49" t="n">
        <v>1000</v>
      </c>
      <c r="F117" s="50">
        <f>IFERROR(D117+E117+G117+U117+Y117,0)</f>
        <v>20031.0</v>
      </c>
      <c r="G117" s="257" t="n">
        <v>16156</v>
      </c>
      <c r="H117" s="258">
        <f>SUMIFS('💸 Expenses'!$F$8:$F$5000,'💸 Expenses'!$B$8:$B$5000,"&gt;="&amp;B117,'💸 Expenses'!$B$8:$B$5000,"&lt;"&amp;(B117+1))</f>
        <v>2794.0</v>
      </c>
      <c r="I117" s="259">
        <f>IFERROR(F117-H117,0)</f>
        <v>17237.0</v>
      </c>
      <c r="J117" s="260">
        <f>IFERROR(I117/F117,0)</f>
        <v>0.860516</v>
      </c>
      <c r="K117" s="254" t="n"/>
      <c r="L117" s="261" t="inlineStr">
        <is>
          <t>Cierre via loka.py | updated 20:08</t>
        </is>
      </c>
      <c r="M117" s="291" t="n"/>
      <c r="N117" s="292" t="n"/>
      <c r="O117" s="293" t="n"/>
      <c r="P117" s="294" t="n"/>
      <c r="Q117" s="292" t="n"/>
      <c r="R117" s="443">
        <f>IFERROR(D117*$T$7,0)</f>
        <v>116.72</v>
      </c>
      <c r="S117" s="292" t="n"/>
      <c r="T117" s="292" t="n"/>
      <c r="U117" s="443" t="n">
        <v>0</v>
      </c>
      <c r="V117" s="443" t="n">
        <v>0</v>
      </c>
      <c r="W117" s="292" t="n"/>
      <c r="X117" s="292" t="n"/>
      <c r="Y117" s="443" t="n">
        <v>0</v>
      </c>
      <c r="Z117" s="443" t="n">
        <v>0</v>
      </c>
      <c r="AA117" s="292" t="n"/>
      <c r="AB117" s="292" t="n"/>
    </row>
    <row r="118" ht="16.5" customHeight="1" s="331">
      <c r="B118" s="427" t="n">
        <v>46283</v>
      </c>
      <c r="C118" s="270" t="inlineStr">
        <is>
          <t>Fri</t>
        </is>
      </c>
      <c r="D118" s="271" t="n">
        <v>1225</v>
      </c>
      <c r="E118" s="37" t="n">
        <v>1100</v>
      </c>
      <c r="F118" s="38">
        <f>IFERROR(D118+E118+G118+U118+Y118,0)</f>
        <v>2325.0</v>
      </c>
      <c r="G118" s="272" t="n">
        <v>0</v>
      </c>
      <c r="H118" s="273">
        <f>SUMIFS('💸 Expenses'!$F$8:$F$5000,'💸 Expenses'!$B$8:$B$5000,"&gt;="&amp;B118,'💸 Expenses'!$B$8:$B$5000,"&lt;"&amp;(B118+1))</f>
        <v>1979.0</v>
      </c>
      <c r="I118" s="274">
        <f>IFERROR(F118-H118,0)</f>
        <v>346.0</v>
      </c>
      <c r="J118" s="275">
        <f>IFERROR(I118/F118,0)</f>
        <v>0.148817</v>
      </c>
      <c r="K118" s="250" t="n"/>
      <c r="L118" s="276" t="inlineStr">
        <is>
          <t>Cierre via loka.py</t>
        </is>
      </c>
      <c r="M118" s="323" t="n"/>
      <c r="N118" s="324" t="n"/>
      <c r="O118" s="325" t="n"/>
      <c r="P118" s="326" t="n"/>
      <c r="Q118" s="324" t="n"/>
      <c r="R118" s="428">
        <f>IFERROR(D118*$T$7,0)</f>
        <v>49.73</v>
      </c>
      <c r="S118" s="324" t="n"/>
      <c r="T118" s="324" t="n"/>
      <c r="U118" s="428" t="n">
        <v>0</v>
      </c>
      <c r="V118" s="428" t="n">
        <v>0</v>
      </c>
      <c r="W118" s="324" t="n"/>
      <c r="X118" s="324" t="n"/>
      <c r="Y118" s="428" t="n">
        <v>0</v>
      </c>
      <c r="Z118" s="428" t="n">
        <v>0</v>
      </c>
      <c r="AA118" s="324" t="n"/>
      <c r="AB118" s="324" t="n"/>
    </row>
    <row r="119" ht="16.5" customHeight="1" s="331">
      <c r="B119" s="427" t="n">
        <v>46284</v>
      </c>
      <c r="C119" s="255" t="inlineStr">
        <is>
          <t>Sat</t>
        </is>
      </c>
      <c r="D119" s="256" t="n">
        <v>625</v>
      </c>
      <c r="E119" s="49" t="n">
        <v>1335</v>
      </c>
      <c r="F119" s="50">
        <f>IFERROR(D119+E119+G119+U119+Y119,0)</f>
        <v>1960.0</v>
      </c>
      <c r="G119" s="257" t="n">
        <v>0</v>
      </c>
      <c r="H119" s="258">
        <f>SUMIFS('💸 Expenses'!$F$8:$F$5000,'💸 Expenses'!$B$8:$B$5000,"&gt;="&amp;B119,'💸 Expenses'!$B$8:$B$5000,"&lt;"&amp;(B119+1))</f>
        <v>4626.0</v>
      </c>
      <c r="I119" s="259">
        <f>IFERROR(F119-H119,0)</f>
        <v>-2666.0</v>
      </c>
      <c r="J119" s="260">
        <f>IFERROR(I119/F119,0)</f>
        <v>-1.360204</v>
      </c>
      <c r="K119" s="254" t="n"/>
      <c r="L119" s="261" t="inlineStr">
        <is>
          <t>Cierre via loka.py</t>
        </is>
      </c>
      <c r="M119" s="291" t="n"/>
      <c r="N119" s="292" t="n"/>
      <c r="O119" s="293" t="n"/>
      <c r="P119" s="294" t="n"/>
      <c r="Q119" s="292" t="n"/>
      <c r="R119" s="443">
        <f>IFERROR(D119*$T$7,0)</f>
        <v>25.38</v>
      </c>
      <c r="S119" s="292" t="n"/>
      <c r="T119" s="292" t="n"/>
      <c r="U119" s="443" t="n">
        <v>0</v>
      </c>
      <c r="V119" s="443" t="n">
        <v>0</v>
      </c>
      <c r="W119" s="292" t="n"/>
      <c r="X119" s="292" t="n"/>
      <c r="Y119" s="443" t="n">
        <v>0</v>
      </c>
      <c r="Z119" s="443" t="n">
        <v>0</v>
      </c>
      <c r="AA119" s="292" t="n"/>
      <c r="AB119" s="292" t="n"/>
    </row>
    <row r="120" ht="16.5" customHeight="1" s="331">
      <c r="B120" s="427" t="n">
        <v>46286</v>
      </c>
      <c r="C120" s="270" t="inlineStr">
        <is>
          <t>Mon</t>
        </is>
      </c>
      <c r="D120" s="271" t="n">
        <v>2860</v>
      </c>
      <c r="E120" s="37" t="n">
        <v>1680</v>
      </c>
      <c r="F120" s="38">
        <f>IFERROR(D120+E120+G120+U120+Y120,0)</f>
        <v>4800.0</v>
      </c>
      <c r="G120" s="272" t="n">
        <v>260</v>
      </c>
      <c r="H120" s="273">
        <f>SUMIFS('💸 Expenses'!$F$8:$F$5000,'💸 Expenses'!$B$8:$B$5000,"&gt;="&amp;B120,'💸 Expenses'!$B$8:$B$5000,"&lt;"&amp;(B120+1))</f>
        <v>3883.0</v>
      </c>
      <c r="I120" s="274">
        <f>IFERROR(F120-H120,0)</f>
        <v>917.0</v>
      </c>
      <c r="J120" s="275">
        <f>IFERROR(I120/F120,0)</f>
        <v>0.191042</v>
      </c>
      <c r="K120" s="250" t="n"/>
      <c r="L120" s="276" t="inlineStr">
        <is>
          <t>Cierre via loka.py | updated 21:05</t>
        </is>
      </c>
      <c r="M120" s="323" t="n"/>
      <c r="N120" s="324" t="n"/>
      <c r="O120" s="325" t="n"/>
      <c r="P120" s="326" t="n"/>
      <c r="Q120" s="324" t="n"/>
      <c r="R120" s="428">
        <f>IFERROR(D120*$T$7,0)</f>
        <v>116.12</v>
      </c>
      <c r="S120" s="324" t="n"/>
      <c r="T120" s="324" t="n"/>
      <c r="U120" s="428" t="n">
        <v>0</v>
      </c>
      <c r="V120" s="428" t="n">
        <v>0</v>
      </c>
      <c r="W120" s="324" t="n"/>
      <c r="X120" s="324" t="n"/>
      <c r="Y120" s="428" t="n">
        <v>0</v>
      </c>
      <c r="Z120" s="428" t="n">
        <v>0</v>
      </c>
      <c r="AA120" s="324" t="n"/>
      <c r="AB120" s="324" t="n"/>
    </row>
    <row r="121" ht="16.5" customHeight="1" s="331">
      <c r="B121" s="427" t="n">
        <v>46287</v>
      </c>
      <c r="C121" s="255" t="inlineStr">
        <is>
          <t>Tue</t>
        </is>
      </c>
      <c r="D121" s="256" t="n">
        <v>1575</v>
      </c>
      <c r="E121" s="49" t="n">
        <v>1515</v>
      </c>
      <c r="F121" s="50">
        <f>IFERROR(D121+E121+G121+U121+Y121,0)</f>
        <v>3090.0</v>
      </c>
      <c r="G121" s="257" t="n">
        <v>0</v>
      </c>
      <c r="H121" s="258">
        <f>SUMIFS('💸 Expenses'!$F$8:$F$5000,'💸 Expenses'!$B$8:$B$5000,"&gt;="&amp;B121,'💸 Expenses'!$B$8:$B$5000,"&lt;"&amp;(B121+1))</f>
        <v>18980.0</v>
      </c>
      <c r="I121" s="259">
        <f>IFERROR(F121-H121,0)</f>
        <v>-15890.0</v>
      </c>
      <c r="J121" s="260">
        <f>IFERROR(I121/F121,0)</f>
        <v>-5.142395</v>
      </c>
      <c r="K121" s="254" t="n"/>
      <c r="L121" s="261" t="inlineStr">
        <is>
          <t>Cierre via loka.py</t>
        </is>
      </c>
      <c r="M121" s="291" t="n"/>
      <c r="N121" s="292" t="n"/>
      <c r="O121" s="293" t="n"/>
      <c r="P121" s="294" t="n"/>
      <c r="Q121" s="292" t="n"/>
      <c r="R121" s="443">
        <f>IFERROR(D121*$T$7,0)</f>
        <v>63.94</v>
      </c>
      <c r="S121" s="292" t="n"/>
      <c r="T121" s="292" t="n"/>
      <c r="U121" s="443" t="n">
        <v>0</v>
      </c>
      <c r="V121" s="443" t="n">
        <v>0</v>
      </c>
      <c r="W121" s="292" t="n"/>
      <c r="X121" s="292" t="n"/>
      <c r="Y121" s="443" t="n">
        <v>0</v>
      </c>
      <c r="Z121" s="443" t="n">
        <v>0</v>
      </c>
      <c r="AA121" s="292" t="n"/>
      <c r="AB121" s="292" t="n"/>
    </row>
    <row r="122" ht="16.5" customHeight="1" s="331">
      <c r="B122" s="427" t="n">
        <v>46288</v>
      </c>
      <c r="C122" s="270" t="inlineStr">
        <is>
          <t>Wed</t>
        </is>
      </c>
      <c r="D122" s="271" t="n">
        <v>3585</v>
      </c>
      <c r="E122" s="37" t="n">
        <v>1360</v>
      </c>
      <c r="F122" s="38">
        <f>IFERROR(D122+E122+G122+U122+Y122,0)</f>
        <v>4945.0</v>
      </c>
      <c r="G122" s="272" t="n">
        <v>0</v>
      </c>
      <c r="H122" s="273">
        <f>SUMIFS('💸 Expenses'!$F$8:$F$5000,'💸 Expenses'!$B$8:$B$5000,"&gt;="&amp;B122,'💸 Expenses'!$B$8:$B$5000,"&lt;"&amp;(B122+1))</f>
        <v>5375.0</v>
      </c>
      <c r="I122" s="274">
        <f>IFERROR(F122-H122,0)</f>
        <v>-430.0</v>
      </c>
      <c r="J122" s="275">
        <f>IFERROR(I122/F122,0)</f>
        <v>-0.086957</v>
      </c>
      <c r="K122" s="250" t="n"/>
      <c r="L122" s="276" t="inlineStr">
        <is>
          <t>Cierre via loka.py</t>
        </is>
      </c>
      <c r="M122" s="323" t="n"/>
      <c r="N122" s="324" t="n"/>
      <c r="O122" s="325" t="n"/>
      <c r="P122" s="326" t="n"/>
      <c r="Q122" s="324" t="n"/>
      <c r="R122" s="428">
        <f>IFERROR(D122*$T$7,0)</f>
        <v>145.55</v>
      </c>
      <c r="S122" s="324" t="n"/>
      <c r="T122" s="324" t="n"/>
      <c r="U122" s="428" t="n">
        <v>0</v>
      </c>
      <c r="V122" s="428" t="n">
        <v>0</v>
      </c>
      <c r="W122" s="324" t="n"/>
      <c r="X122" s="324" t="n"/>
      <c r="Y122" s="428" t="n">
        <v>0</v>
      </c>
      <c r="Z122" s="428" t="n">
        <v>0</v>
      </c>
      <c r="AA122" s="324" t="n"/>
      <c r="AB122" s="324" t="n"/>
    </row>
    <row r="123" ht="16.5" customHeight="1" s="331">
      <c r="B123" s="427" t="n">
        <v>46289</v>
      </c>
      <c r="C123" s="255" t="inlineStr">
        <is>
          <t>Thu</t>
        </is>
      </c>
      <c r="D123" s="256" t="n">
        <v>2490</v>
      </c>
      <c r="E123" s="49" t="n">
        <v>850</v>
      </c>
      <c r="F123" s="50">
        <f>IFERROR(D123+E123+G123+U123+Y123,0)</f>
        <v>3340.0</v>
      </c>
      <c r="G123" s="257" t="n">
        <v>0</v>
      </c>
      <c r="H123" s="258">
        <f>SUMIFS('💸 Expenses'!$F$8:$F$5000,'💸 Expenses'!$B$8:$B$5000,"&gt;="&amp;B123,'💸 Expenses'!$B$8:$B$5000,"&lt;"&amp;(B123+1))</f>
        <v>2465.0</v>
      </c>
      <c r="I123" s="259">
        <f>IFERROR(F123-H123,0)</f>
        <v>875.0</v>
      </c>
      <c r="J123" s="260">
        <f>IFERROR(I123/F123,0)</f>
        <v>0.261976</v>
      </c>
      <c r="K123" s="254" t="n"/>
      <c r="L123" s="261" t="inlineStr">
        <is>
          <t>Cierre via loka.py</t>
        </is>
      </c>
      <c r="M123" s="291" t="n"/>
      <c r="N123" s="292" t="n"/>
      <c r="O123" s="293" t="n"/>
      <c r="P123" s="294" t="n"/>
      <c r="Q123" s="292" t="n"/>
      <c r="R123" s="443">
        <f>IFERROR(D123*$T$7,0)</f>
        <v>101.09</v>
      </c>
      <c r="S123" s="292" t="n"/>
      <c r="T123" s="292" t="n"/>
      <c r="U123" s="443" t="n">
        <v>0</v>
      </c>
      <c r="V123" s="443" t="n">
        <v>0</v>
      </c>
      <c r="W123" s="292" t="n"/>
      <c r="X123" s="292" t="n"/>
      <c r="Y123" s="443" t="n">
        <v>0</v>
      </c>
      <c r="Z123" s="443" t="n">
        <v>0</v>
      </c>
      <c r="AA123" s="292" t="n"/>
      <c r="AB123" s="292" t="n"/>
    </row>
    <row r="124" ht="16.5" customHeight="1" s="331">
      <c r="B124" s="427" t="n">
        <v>46290</v>
      </c>
      <c r="C124" s="270" t="inlineStr">
        <is>
          <t>Fri</t>
        </is>
      </c>
      <c r="D124" s="271" t="n">
        <v>1250</v>
      </c>
      <c r="E124" s="37" t="n">
        <v>2120</v>
      </c>
      <c r="F124" s="38">
        <f>IFERROR(D124+E124+G124+U124+Y124,0)</f>
        <v>3370.0</v>
      </c>
      <c r="G124" s="272" t="n">
        <v>0</v>
      </c>
      <c r="H124" s="273">
        <f>SUMIFS('💸 Expenses'!$F$8:$F$5000,'💸 Expenses'!$B$8:$B$5000,"&gt;="&amp;B124,'💸 Expenses'!$B$8:$B$5000,"&lt;"&amp;(B124+1))</f>
        <v>1240.0</v>
      </c>
      <c r="I124" s="274">
        <f>IFERROR(F124-H124,0)</f>
        <v>2130.0</v>
      </c>
      <c r="J124" s="275">
        <f>IFERROR(I124/F124,0)</f>
        <v>0.632047</v>
      </c>
      <c r="K124" s="250" t="n"/>
      <c r="L124" s="276" t="inlineStr">
        <is>
          <t>Cierre via loka.py</t>
        </is>
      </c>
      <c r="M124" s="323" t="n"/>
      <c r="N124" s="324" t="n"/>
      <c r="O124" s="325" t="n"/>
      <c r="P124" s="326" t="n"/>
      <c r="Q124" s="324" t="n"/>
      <c r="R124" s="428">
        <f>IFERROR(D124*$T$7,0)</f>
        <v>50.75</v>
      </c>
      <c r="S124" s="324" t="n"/>
      <c r="T124" s="324" t="n"/>
      <c r="U124" s="428" t="n">
        <v>0</v>
      </c>
      <c r="V124" s="428" t="n">
        <v>0</v>
      </c>
      <c r="W124" s="324" t="n"/>
      <c r="X124" s="324" t="n"/>
      <c r="Y124" s="428" t="n">
        <v>0</v>
      </c>
      <c r="Z124" s="428" t="n">
        <v>0</v>
      </c>
      <c r="AA124" s="324" t="n"/>
      <c r="AB124" s="324" t="n"/>
    </row>
    <row r="125" ht="16.5" customHeight="1" s="331">
      <c r="B125" s="427" t="n">
        <v>46291</v>
      </c>
      <c r="C125" s="255" t="inlineStr">
        <is>
          <t>Sat</t>
        </is>
      </c>
      <c r="D125" s="256" t="n">
        <v>1700</v>
      </c>
      <c r="E125" s="49" t="n">
        <v>1010</v>
      </c>
      <c r="F125" s="50">
        <f>IFERROR(D125+E125+G125+U125+Y125,0)</f>
        <v>2710.0</v>
      </c>
      <c r="G125" s="257" t="n">
        <v>0</v>
      </c>
      <c r="H125" s="258">
        <f>SUMIFS('💸 Expenses'!$F$8:$F$5000,'💸 Expenses'!$B$8:$B$5000,"&gt;="&amp;B125,'💸 Expenses'!$B$8:$B$5000,"&lt;"&amp;(B125+1))</f>
        <v>9382.0</v>
      </c>
      <c r="I125" s="259">
        <f>IFERROR(F125-H125,0)</f>
        <v>-6672.0</v>
      </c>
      <c r="J125" s="260">
        <f>IFERROR(I125/F125,0)</f>
        <v>-2.461993</v>
      </c>
      <c r="K125" s="254" t="n"/>
      <c r="L125" s="261" t="inlineStr">
        <is>
          <t>Cierre via loka.py</t>
        </is>
      </c>
      <c r="M125" s="291" t="n"/>
      <c r="N125" s="292" t="n"/>
      <c r="O125" s="293" t="n"/>
      <c r="P125" s="294" t="n"/>
      <c r="Q125" s="292" t="n"/>
      <c r="R125" s="443">
        <f>IFERROR(D125*$T$7,0)</f>
        <v>69.02</v>
      </c>
      <c r="S125" s="292" t="n"/>
      <c r="T125" s="292" t="n"/>
      <c r="U125" s="443" t="n">
        <v>0</v>
      </c>
      <c r="V125" s="443" t="n">
        <v>0</v>
      </c>
      <c r="W125" s="292" t="n"/>
      <c r="X125" s="292" t="n"/>
      <c r="Y125" s="443" t="n">
        <v>0</v>
      </c>
      <c r="Z125" s="443" t="n">
        <v>0</v>
      </c>
      <c r="AA125" s="292" t="n"/>
      <c r="AB125" s="292" t="n"/>
    </row>
    <row r="126" ht="16.5" customHeight="1" s="331">
      <c r="B126" s="427" t="n">
        <v>46293</v>
      </c>
      <c r="C126" s="270" t="inlineStr">
        <is>
          <t>Mon</t>
        </is>
      </c>
      <c r="D126" s="271" t="n">
        <v>1850</v>
      </c>
      <c r="E126" s="37" t="n">
        <v>1720</v>
      </c>
      <c r="F126" s="38">
        <f>IFERROR(D126+E126+G126+U126+Y126,0)</f>
        <v>3570.0</v>
      </c>
      <c r="G126" s="272" t="n">
        <v>0</v>
      </c>
      <c r="H126" s="273">
        <f>SUMIFS('💸 Expenses'!$F$8:$F$5000,'💸 Expenses'!$B$8:$B$5000,"&gt;="&amp;B126,'💸 Expenses'!$B$8:$B$5000,"&lt;"&amp;(B126+1))</f>
        <v>713.0</v>
      </c>
      <c r="I126" s="274">
        <f>IFERROR(F126-H126,0)</f>
        <v>2857.0</v>
      </c>
      <c r="J126" s="275">
        <f>IFERROR(I126/F126,0)</f>
        <v>0.80028</v>
      </c>
      <c r="K126" s="250" t="n"/>
      <c r="L126" s="276" t="inlineStr">
        <is>
          <t>Cierre via loka.py</t>
        </is>
      </c>
      <c r="M126" s="323" t="n"/>
      <c r="N126" s="324" t="n"/>
      <c r="O126" s="325" t="n"/>
      <c r="P126" s="326" t="n"/>
      <c r="Q126" s="324" t="n"/>
      <c r="R126" s="428">
        <f>IFERROR(D126*$T$7,0)</f>
        <v>75.11</v>
      </c>
      <c r="S126" s="324" t="n"/>
      <c r="T126" s="324" t="n"/>
      <c r="U126" s="428" t="n">
        <v>0</v>
      </c>
      <c r="V126" s="428" t="n">
        <v>0</v>
      </c>
      <c r="W126" s="324" t="n"/>
      <c r="X126" s="324" t="n"/>
      <c r="Y126" s="428" t="n">
        <v>0</v>
      </c>
      <c r="Z126" s="428" t="n">
        <v>0</v>
      </c>
      <c r="AA126" s="324" t="n"/>
      <c r="AB126" s="324" t="n"/>
    </row>
    <row r="127" ht="16.5" customHeight="1" s="331">
      <c r="B127" s="427" t="n">
        <v>46294</v>
      </c>
      <c r="C127" s="255" t="inlineStr">
        <is>
          <t>Tue</t>
        </is>
      </c>
      <c r="D127" s="256" t="n">
        <v>1715</v>
      </c>
      <c r="E127" s="49" t="n">
        <v>1605</v>
      </c>
      <c r="F127" s="50">
        <f>IFERROR(D127+E127+G127+U127+Y127,0)</f>
        <v>3752.0</v>
      </c>
      <c r="G127" s="257" t="n">
        <v>432</v>
      </c>
      <c r="H127" s="258">
        <f>SUMIFS('💸 Expenses'!$F$8:$F$5000,'💸 Expenses'!$B$8:$B$5000,"&gt;="&amp;B127,'💸 Expenses'!$B$8:$B$5000,"&lt;"&amp;(B127+1))</f>
        <v>399.0</v>
      </c>
      <c r="I127" s="259">
        <f>IFERROR(F127-H127,0)</f>
        <v>3353.0</v>
      </c>
      <c r="J127" s="260">
        <f>IFERROR(I127/F127,0)</f>
        <v>0.893657</v>
      </c>
      <c r="K127" s="254" t="n"/>
      <c r="L127" s="261" t="inlineStr">
        <is>
          <t>Cierre via loka.py | updated 18:04</t>
        </is>
      </c>
      <c r="M127" s="291" t="n"/>
      <c r="N127" s="292" t="n"/>
      <c r="O127" s="293" t="n"/>
      <c r="P127" s="294" t="n"/>
      <c r="Q127" s="292" t="n"/>
      <c r="R127" s="443">
        <f>IFERROR(D127*$T$7,0)</f>
        <v>69.63</v>
      </c>
      <c r="S127" s="292" t="n"/>
      <c r="T127" s="292" t="n"/>
      <c r="U127" s="443" t="n">
        <v>0</v>
      </c>
      <c r="V127" s="443" t="n">
        <v>0</v>
      </c>
      <c r="W127" s="292" t="n"/>
      <c r="X127" s="292" t="n"/>
      <c r="Y127" s="443" t="n">
        <v>0</v>
      </c>
      <c r="Z127" s="443" t="n">
        <v>0</v>
      </c>
      <c r="AA127" s="292" t="n"/>
      <c r="AB127" s="292" t="n"/>
    </row>
    <row r="128" ht="16.5" customHeight="1" s="331">
      <c r="B128" s="427" t="n">
        <v>46295</v>
      </c>
      <c r="C128" s="270" t="inlineStr">
        <is>
          <t>Wed</t>
        </is>
      </c>
      <c r="D128" s="271" t="n">
        <v>2215</v>
      </c>
      <c r="E128" s="37" t="n">
        <v>1075</v>
      </c>
      <c r="F128" s="38">
        <f>IFERROR(D128+E128+G128+U128+Y128,0)</f>
        <v>3820.0</v>
      </c>
      <c r="G128" s="272" t="n">
        <v>530</v>
      </c>
      <c r="H128" s="273">
        <f>SUMIFS('💸 Expenses'!$F$8:$F$5000,'💸 Expenses'!$B$8:$B$5000,"&gt;="&amp;B128,'💸 Expenses'!$B$8:$B$5000,"&lt;"&amp;(B128+1))</f>
        <v>1535.0</v>
      </c>
      <c r="I128" s="274">
        <f>IFERROR(F128-H128,0)</f>
        <v>2285.0</v>
      </c>
      <c r="J128" s="275">
        <f>IFERROR(I128/F128,0)</f>
        <v>0.598168</v>
      </c>
      <c r="K128" s="250" t="n"/>
      <c r="L128" s="276" t="inlineStr">
        <is>
          <t>Cierre via loka.py</t>
        </is>
      </c>
      <c r="M128" s="323" t="n"/>
      <c r="N128" s="324" t="n"/>
      <c r="O128" s="325" t="n"/>
      <c r="P128" s="326" t="n"/>
      <c r="Q128" s="324" t="n"/>
      <c r="R128" s="428">
        <f>IFERROR(D128*$T$7,0)</f>
        <v>89.93</v>
      </c>
      <c r="S128" s="324" t="n"/>
      <c r="T128" s="324" t="n"/>
      <c r="U128" s="428" t="n">
        <v>0</v>
      </c>
      <c r="V128" s="428" t="n">
        <v>0</v>
      </c>
      <c r="W128" s="324" t="n"/>
      <c r="X128" s="324" t="n"/>
      <c r="Y128" s="428" t="n">
        <v>0</v>
      </c>
      <c r="Z128" s="428" t="n">
        <v>0</v>
      </c>
      <c r="AA128" s="324" t="n"/>
      <c r="AB128" s="324" t="n"/>
    </row>
    <row r="129" ht="16.5" customHeight="1" s="331">
      <c r="B129" s="427" t="n">
        <v>46296</v>
      </c>
      <c r="C129" s="255" t="inlineStr">
        <is>
          <t>Thu</t>
        </is>
      </c>
      <c r="D129" s="256" t="n">
        <v>1350</v>
      </c>
      <c r="E129" s="49" t="n">
        <v>940</v>
      </c>
      <c r="F129" s="50">
        <f>IFERROR(D129+E129+G129+U129+Y129,0)</f>
        <v>2420.0</v>
      </c>
      <c r="G129" s="257" t="n">
        <v>130</v>
      </c>
      <c r="H129" s="258">
        <f>SUMIFS('💸 Expenses'!$F$8:$F$5000,'💸 Expenses'!$B$8:$B$5000,"&gt;="&amp;B129,'💸 Expenses'!$B$8:$B$5000,"&lt;"&amp;(B129+1))</f>
        <v>747.0</v>
      </c>
      <c r="I129" s="259">
        <f>IFERROR(F129-H129,0)</f>
        <v>1673.0</v>
      </c>
      <c r="J129" s="260">
        <f>IFERROR(I129/F129,0)</f>
        <v>0.691322</v>
      </c>
      <c r="K129" s="254" t="n"/>
      <c r="L129" s="261" t="inlineStr">
        <is>
          <t>Cierre via loka.py</t>
        </is>
      </c>
      <c r="M129" s="291" t="n"/>
      <c r="N129" s="292" t="n"/>
      <c r="O129" s="293" t="n"/>
      <c r="P129" s="294" t="n"/>
      <c r="Q129" s="292" t="n"/>
      <c r="R129" s="443">
        <f>IFERROR(D129*$T$7,0)</f>
        <v>54.81</v>
      </c>
      <c r="S129" s="292" t="n"/>
      <c r="T129" s="292" t="n"/>
      <c r="U129" s="443" t="n">
        <v>0</v>
      </c>
      <c r="V129" s="443" t="n">
        <v>0</v>
      </c>
      <c r="W129" s="292" t="n"/>
      <c r="X129" s="292" t="n"/>
      <c r="Y129" s="443" t="n">
        <v>0</v>
      </c>
      <c r="Z129" s="443" t="n">
        <v>0</v>
      </c>
      <c r="AA129" s="292" t="n"/>
      <c r="AB129" s="292" t="n"/>
    </row>
    <row r="130" ht="16.5" customHeight="1" s="331">
      <c r="B130" s="427" t="n">
        <v>46297</v>
      </c>
      <c r="C130" s="270" t="inlineStr">
        <is>
          <t>Fri</t>
        </is>
      </c>
      <c r="D130" s="271" t="n">
        <v>3420</v>
      </c>
      <c r="E130" s="37" t="n">
        <v>2915</v>
      </c>
      <c r="F130" s="38">
        <f>IFERROR(D130+E130+G130+U130+Y130,0)</f>
        <v>6335.0</v>
      </c>
      <c r="G130" s="272" t="n">
        <v>0</v>
      </c>
      <c r="H130" s="273">
        <f>SUMIFS('💸 Expenses'!$F$8:$F$5000,'💸 Expenses'!$B$8:$B$5000,"&gt;="&amp;B130,'💸 Expenses'!$B$8:$B$5000,"&lt;"&amp;(B130+1))</f>
        <v>5818.0</v>
      </c>
      <c r="I130" s="274">
        <f>IFERROR(F130-H130,0)</f>
        <v>517.0</v>
      </c>
      <c r="J130" s="275">
        <f>IFERROR(I130/F130,0)</f>
        <v>0.08161</v>
      </c>
      <c r="K130" s="250" t="n"/>
      <c r="L130" s="276" t="inlineStr">
        <is>
          <t>Cierre via loka.py</t>
        </is>
      </c>
      <c r="M130" s="323" t="n"/>
      <c r="N130" s="324" t="n"/>
      <c r="O130" s="325" t="n"/>
      <c r="P130" s="326" t="n"/>
      <c r="Q130" s="324" t="n"/>
      <c r="R130" s="428">
        <f>IFERROR(D130*$T$7,0)</f>
        <v>138.85</v>
      </c>
      <c r="S130" s="324" t="n"/>
      <c r="T130" s="324" t="n"/>
      <c r="U130" s="428" t="n">
        <v>0</v>
      </c>
      <c r="V130" s="428" t="n">
        <v>0</v>
      </c>
      <c r="W130" s="324" t="n"/>
      <c r="X130" s="324" t="n"/>
      <c r="Y130" s="428" t="n">
        <v>0</v>
      </c>
      <c r="Z130" s="428" t="n">
        <v>0</v>
      </c>
      <c r="AA130" s="324" t="n"/>
      <c r="AB130" s="324" t="n"/>
    </row>
    <row r="131" ht="16.5" customHeight="1" s="331">
      <c r="B131" s="427" t="n">
        <v>46300</v>
      </c>
      <c r="C131" s="255" t="inlineStr">
        <is>
          <t>Mon</t>
        </is>
      </c>
      <c r="D131" s="256" t="n">
        <v>2042</v>
      </c>
      <c r="E131" s="49" t="n">
        <v>2573</v>
      </c>
      <c r="F131" s="50">
        <f>IFERROR(D131+E131+G131+U131+Y131,0)</f>
        <v>5580.0</v>
      </c>
      <c r="G131" s="257" t="n">
        <v>965</v>
      </c>
      <c r="H131" s="258">
        <f>SUMIFS('💸 Expenses'!$F$8:$F$5000,'💸 Expenses'!$B$8:$B$5000,"&gt;="&amp;B131,'💸 Expenses'!$B$8:$B$5000,"&lt;"&amp;(B131+1))</f>
        <v>29005.68</v>
      </c>
      <c r="I131" s="259">
        <f>IFERROR(F131-H131,0)</f>
        <v>-23425.68</v>
      </c>
      <c r="J131" s="260">
        <f>IFERROR(I131/F131,0)</f>
        <v>-4.198151</v>
      </c>
      <c r="K131" s="254" t="n"/>
      <c r="L131" s="261" t="inlineStr">
        <is>
          <t>Cierre via loka.py</t>
        </is>
      </c>
      <c r="M131" s="291" t="n"/>
      <c r="N131" s="292" t="n"/>
      <c r="O131" s="293" t="n"/>
      <c r="P131" s="294" t="n"/>
      <c r="Q131" s="292" t="n"/>
      <c r="R131" s="443">
        <f>IFERROR(D131*$T$7,0)</f>
        <v>82.91</v>
      </c>
      <c r="S131" s="292" t="n"/>
      <c r="T131" s="292" t="n"/>
      <c r="U131" s="443" t="n">
        <v>0</v>
      </c>
      <c r="V131" s="443" t="n">
        <v>0</v>
      </c>
      <c r="W131" s="292" t="n"/>
      <c r="X131" s="292" t="n"/>
      <c r="Y131" s="443" t="n">
        <v>0</v>
      </c>
      <c r="Z131" s="443" t="n">
        <v>0</v>
      </c>
      <c r="AA131" s="292" t="n"/>
      <c r="AB131" s="292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832"/>
  <sheetViews>
    <sheetView showGridLines="0" tabSelected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  <row r="718">
      <c r="B718" s="429" t="n">
        <v>46268</v>
      </c>
      <c r="C718" s="297" t="inlineStr">
        <is>
          <t>Carne</t>
        </is>
      </c>
      <c r="D718" s="298" t="inlineStr">
        <is>
          <t>No bill</t>
        </is>
      </c>
      <c r="E718" s="297" t="inlineStr">
        <is>
          <t>Ingredients - Meat</t>
        </is>
      </c>
      <c r="F718" s="299" t="n">
        <v>1934</v>
      </c>
      <c r="G718" s="300" t="inlineStr">
        <is>
          <t>Restaurant</t>
        </is>
      </c>
      <c r="H718" s="300" t="inlineStr">
        <is>
          <t>Cash</t>
        </is>
      </c>
      <c r="I718" s="301" t="inlineStr">
        <is>
          <t>✅ Paid</t>
        </is>
      </c>
      <c r="J718" s="423" t="inlineStr">
        <is>
          <t>No receipt; cash</t>
        </is>
      </c>
    </row>
    <row r="719">
      <c r="B719" s="429" t="n">
        <v>46268</v>
      </c>
      <c r="C719" s="297" t="inlineStr">
        <is>
          <t>Vessels</t>
        </is>
      </c>
      <c r="D719" s="298" t="inlineStr">
        <is>
          <t>No bill</t>
        </is>
      </c>
      <c r="E719" s="297" t="inlineStr">
        <is>
          <t>Kitchen Supplies</t>
        </is>
      </c>
      <c r="F719" s="299" t="n">
        <v>1245</v>
      </c>
      <c r="G719" s="300" t="inlineStr">
        <is>
          <t>Restaurant</t>
        </is>
      </c>
      <c r="H719" s="300" t="inlineStr">
        <is>
          <t>Cash</t>
        </is>
      </c>
      <c r="I719" s="301" t="inlineStr">
        <is>
          <t>✅ Paid</t>
        </is>
      </c>
      <c r="J719" s="423" t="inlineStr">
        <is>
          <t>No receipt; cash</t>
        </is>
      </c>
    </row>
    <row r="720">
      <c r="B720" s="429" t="n">
        <v>46268</v>
      </c>
      <c r="C720" s="297" t="inlineStr">
        <is>
          <t>Pan Reales</t>
        </is>
      </c>
      <c r="D720" s="298" t="inlineStr">
        <is>
          <t>Pan Reales</t>
        </is>
      </c>
      <c r="E720" s="297" t="inlineStr">
        <is>
          <t>Ingredients - Bread</t>
        </is>
      </c>
      <c r="F720" s="299" t="n">
        <v>451</v>
      </c>
      <c r="G720" s="300" t="inlineStr">
        <is>
          <t>Restaurant</t>
        </is>
      </c>
      <c r="H720" s="300" t="inlineStr">
        <is>
          <t>Cash</t>
        </is>
      </c>
      <c r="I720" s="301" t="inlineStr">
        <is>
          <t>✅ Paid</t>
        </is>
      </c>
      <c r="J720" s="423" t="inlineStr">
        <is>
          <t>No receipt; cash</t>
        </is>
      </c>
    </row>
    <row r="721">
      <c r="B721" s="429" t="n">
        <v>46268</v>
      </c>
      <c r="C721" s="297" t="inlineStr">
        <is>
          <t>Vegetables</t>
        </is>
      </c>
      <c r="D721" s="298" t="inlineStr">
        <is>
          <t>No bill</t>
        </is>
      </c>
      <c r="E721" s="297" t="inlineStr">
        <is>
          <t>Ingredients - Vegetables</t>
        </is>
      </c>
      <c r="F721" s="299" t="n">
        <v>213</v>
      </c>
      <c r="G721" s="300" t="inlineStr">
        <is>
          <t>Restaurant</t>
        </is>
      </c>
      <c r="H721" s="300" t="inlineStr">
        <is>
          <t>Cash</t>
        </is>
      </c>
      <c r="I721" s="301" t="inlineStr">
        <is>
          <t>✅ Paid</t>
        </is>
      </c>
      <c r="J721" s="423" t="inlineStr">
        <is>
          <t>No receipt; cash</t>
        </is>
      </c>
    </row>
    <row r="722">
      <c r="B722" s="429" t="n">
        <v>46268</v>
      </c>
      <c r="C722" s="297" t="inlineStr">
        <is>
          <t>Carne</t>
        </is>
      </c>
      <c r="D722" s="298" t="inlineStr">
        <is>
          <t>No bill</t>
        </is>
      </c>
      <c r="E722" s="297" t="inlineStr">
        <is>
          <t>Ingredients - Meat</t>
        </is>
      </c>
      <c r="F722" s="299" t="n">
        <v>450</v>
      </c>
      <c r="G722" s="300" t="inlineStr">
        <is>
          <t>Restaurant</t>
        </is>
      </c>
      <c r="H722" s="300" t="inlineStr">
        <is>
          <t>Cash</t>
        </is>
      </c>
      <c r="I722" s="301" t="inlineStr">
        <is>
          <t>✅ Paid</t>
        </is>
      </c>
      <c r="J722" s="423" t="inlineStr">
        <is>
          <t>No receipt; cash</t>
        </is>
      </c>
    </row>
    <row r="723">
      <c r="B723" s="429" t="n">
        <v>46268</v>
      </c>
      <c r="C723" s="297" t="inlineStr">
        <is>
          <t>Pescado</t>
        </is>
      </c>
      <c r="D723" s="298" t="inlineStr">
        <is>
          <t>No bill</t>
        </is>
      </c>
      <c r="E723" s="297" t="inlineStr">
        <is>
          <t>Ingredients - Meat &amp; Fish</t>
        </is>
      </c>
      <c r="F723" s="299" t="n">
        <v>333</v>
      </c>
      <c r="G723" s="300" t="inlineStr">
        <is>
          <t>Restaurant</t>
        </is>
      </c>
      <c r="H723" s="300" t="inlineStr">
        <is>
          <t>Cash</t>
        </is>
      </c>
      <c r="I723" s="301" t="inlineStr">
        <is>
          <t>✅ Paid</t>
        </is>
      </c>
      <c r="J723" s="423" t="inlineStr">
        <is>
          <t>No receipt; cash</t>
        </is>
      </c>
    </row>
    <row r="724">
      <c r="B724" s="429" t="n">
        <v>46268</v>
      </c>
      <c r="C724" s="297" t="inlineStr">
        <is>
          <t>Oxxo</t>
        </is>
      </c>
      <c r="D724" s="298" t="inlineStr">
        <is>
          <t>OXXO</t>
        </is>
      </c>
      <c r="E724" s="297" t="inlineStr">
        <is>
          <t>Ingredients - Pantry</t>
        </is>
      </c>
      <c r="F724" s="299" t="n">
        <v>79</v>
      </c>
      <c r="G724" s="300" t="inlineStr">
        <is>
          <t>Restaurant</t>
        </is>
      </c>
      <c r="H724" s="300" t="inlineStr">
        <is>
          <t>Cash</t>
        </is>
      </c>
      <c r="I724" s="301" t="inlineStr">
        <is>
          <t>✅ Paid</t>
        </is>
      </c>
      <c r="J724" s="423" t="inlineStr">
        <is>
          <t>No receipt; cash</t>
        </is>
      </c>
    </row>
    <row r="725">
      <c r="B725" s="429" t="n">
        <v>46268</v>
      </c>
      <c r="C725" s="297" t="inlineStr">
        <is>
          <t>Jhon - salary</t>
        </is>
      </c>
      <c r="D725" s="298" t="inlineStr">
        <is>
          <t>Payroll</t>
        </is>
      </c>
      <c r="E725" s="297" t="inlineStr">
        <is>
          <t>Staff - Salary</t>
        </is>
      </c>
      <c r="F725" s="299" t="n">
        <v>500</v>
      </c>
      <c r="G725" s="300" t="inlineStr">
        <is>
          <t>Restaurant</t>
        </is>
      </c>
      <c r="H725" s="300" t="inlineStr">
        <is>
          <t>Cash</t>
        </is>
      </c>
      <c r="I725" s="301" t="inlineStr">
        <is>
          <t>✅ Paid</t>
        </is>
      </c>
      <c r="J725" s="423" t="inlineStr">
        <is>
          <t>Weekly salary</t>
        </is>
      </c>
    </row>
    <row r="726">
      <c r="B726" s="429" t="n">
        <v>46268</v>
      </c>
      <c r="C726" s="297" t="inlineStr">
        <is>
          <t>Armando - salary</t>
        </is>
      </c>
      <c r="D726" s="298" t="inlineStr">
        <is>
          <t>Payroll</t>
        </is>
      </c>
      <c r="E726" s="297" t="inlineStr">
        <is>
          <t>Staff - Salary</t>
        </is>
      </c>
      <c r="F726" s="299" t="n">
        <v>300</v>
      </c>
      <c r="G726" s="300" t="inlineStr">
        <is>
          <t>Restaurant</t>
        </is>
      </c>
      <c r="H726" s="300" t="inlineStr">
        <is>
          <t>Cash</t>
        </is>
      </c>
      <c r="I726" s="301" t="inlineStr">
        <is>
          <t>✅ Paid</t>
        </is>
      </c>
      <c r="J726" s="423" t="inlineStr">
        <is>
          <t>Weekly salary</t>
        </is>
      </c>
    </row>
    <row r="727">
      <c r="B727" s="429" t="n">
        <v>46269</v>
      </c>
      <c r="C727" s="297" t="inlineStr">
        <is>
          <t>Rent</t>
        </is>
      </c>
      <c r="D727" s="298" t="inlineStr">
        <is>
          <t>No Bill</t>
        </is>
      </c>
      <c r="E727" s="297" t="inlineStr">
        <is>
          <t>Rent</t>
        </is>
      </c>
      <c r="F727" s="299" t="n">
        <v>19066.68</v>
      </c>
      <c r="G727" s="300" t="inlineStr">
        <is>
          <t>Capital</t>
        </is>
      </c>
      <c r="H727" s="300" t="inlineStr">
        <is>
          <t>Transfer</t>
        </is>
      </c>
      <c r="I727" s="301" t="inlineStr">
        <is>
          <t>✅ Paid</t>
        </is>
      </c>
      <c r="J727" s="423" t="inlineStr">
        <is>
          <t>Paid from Capital</t>
        </is>
      </c>
    </row>
    <row r="728">
      <c r="B728" s="429" t="n">
        <v>46269</v>
      </c>
      <c r="C728" s="297" t="inlineStr">
        <is>
          <t>Pollo</t>
        </is>
      </c>
      <c r="D728" s="298" t="inlineStr">
        <is>
          <t>No bill</t>
        </is>
      </c>
      <c r="E728" s="297" t="inlineStr">
        <is>
          <t>Ingredients - Meat</t>
        </is>
      </c>
      <c r="F728" s="299" t="n">
        <v>117</v>
      </c>
      <c r="G728" s="300" t="inlineStr">
        <is>
          <t>Restaurant</t>
        </is>
      </c>
      <c r="H728" s="300" t="inlineStr">
        <is>
          <t>Cash</t>
        </is>
      </c>
      <c r="I728" s="301" t="inlineStr">
        <is>
          <t>✅ Paid</t>
        </is>
      </c>
      <c r="J728" s="423" t="inlineStr">
        <is>
          <t>No receipt; cash</t>
        </is>
      </c>
    </row>
    <row r="729">
      <c r="B729" s="429" t="n">
        <v>46269</v>
      </c>
      <c r="C729" s="297" t="inlineStr">
        <is>
          <t>Mayonesa</t>
        </is>
      </c>
      <c r="D729" s="298" t="inlineStr">
        <is>
          <t>No bill</t>
        </is>
      </c>
      <c r="E729" s="297" t="inlineStr">
        <is>
          <t>Ingredients - Other</t>
        </is>
      </c>
      <c r="F729" s="299" t="n">
        <v>227</v>
      </c>
      <c r="G729" s="300" t="inlineStr">
        <is>
          <t>Restaurant</t>
        </is>
      </c>
      <c r="H729" s="300" t="inlineStr">
        <is>
          <t>Cash</t>
        </is>
      </c>
      <c r="I729" s="301" t="inlineStr">
        <is>
          <t>✅ Paid</t>
        </is>
      </c>
      <c r="J729" s="423" t="inlineStr">
        <is>
          <t>No receipt; cash</t>
        </is>
      </c>
    </row>
    <row r="730">
      <c r="B730" s="429" t="n">
        <v>46269</v>
      </c>
      <c r="C730" s="297" t="inlineStr">
        <is>
          <t>Abastos</t>
        </is>
      </c>
      <c r="D730" s="298" t="inlineStr">
        <is>
          <t>Central de Abastos</t>
        </is>
      </c>
      <c r="E730" s="297" t="inlineStr">
        <is>
          <t>Ingredients - Vegetables</t>
        </is>
      </c>
      <c r="F730" s="299" t="n">
        <v>125</v>
      </c>
      <c r="G730" s="300" t="inlineStr">
        <is>
          <t>Restaurant</t>
        </is>
      </c>
      <c r="H730" s="300" t="inlineStr">
        <is>
          <t>Cash</t>
        </is>
      </c>
      <c r="I730" s="301" t="inlineStr">
        <is>
          <t>✅ Paid</t>
        </is>
      </c>
      <c r="J730" s="423" t="inlineStr">
        <is>
          <t>No receipt; cash</t>
        </is>
      </c>
    </row>
    <row r="731">
      <c r="B731" s="429" t="n">
        <v>46269</v>
      </c>
      <c r="C731" s="297" t="inlineStr">
        <is>
          <t>Basicos</t>
        </is>
      </c>
      <c r="D731" s="298" t="inlineStr">
        <is>
          <t>No bill</t>
        </is>
      </c>
      <c r="E731" s="297" t="inlineStr">
        <is>
          <t>Supermarket/General</t>
        </is>
      </c>
      <c r="F731" s="299" t="n">
        <v>346</v>
      </c>
      <c r="G731" s="300" t="inlineStr">
        <is>
          <t>Restaurant</t>
        </is>
      </c>
      <c r="H731" s="300" t="inlineStr">
        <is>
          <t>Cash</t>
        </is>
      </c>
      <c r="I731" s="301" t="inlineStr">
        <is>
          <t>✅ Paid</t>
        </is>
      </c>
      <c r="J731" s="423" t="inlineStr">
        <is>
          <t>No receipt; cash</t>
        </is>
      </c>
    </row>
    <row r="732">
      <c r="B732" s="429" t="n">
        <v>46270</v>
      </c>
      <c r="C732" s="297" t="inlineStr">
        <is>
          <t>Armando - salary</t>
        </is>
      </c>
      <c r="D732" s="298" t="inlineStr">
        <is>
          <t>Payroll</t>
        </is>
      </c>
      <c r="E732" s="297" t="inlineStr">
        <is>
          <t>Staff - Salary</t>
        </is>
      </c>
      <c r="F732" s="299" t="n">
        <v>2200</v>
      </c>
      <c r="G732" s="300" t="inlineStr">
        <is>
          <t>Restaurant</t>
        </is>
      </c>
      <c r="H732" s="300" t="inlineStr">
        <is>
          <t>Cash</t>
        </is>
      </c>
      <c r="I732" s="301" t="inlineStr">
        <is>
          <t>✅ Paid</t>
        </is>
      </c>
      <c r="J732" s="423" t="inlineStr">
        <is>
          <t>Weekly salary</t>
        </is>
      </c>
    </row>
    <row r="733">
      <c r="B733" s="429" t="n">
        <v>46270</v>
      </c>
      <c r="C733" s="297" t="inlineStr">
        <is>
          <t>Duvi - salary</t>
        </is>
      </c>
      <c r="D733" s="298" t="inlineStr">
        <is>
          <t>Payroll</t>
        </is>
      </c>
      <c r="E733" s="297" t="inlineStr">
        <is>
          <t>Staff - Salary</t>
        </is>
      </c>
      <c r="F733" s="299" t="n">
        <v>1460</v>
      </c>
      <c r="G733" s="300" t="inlineStr">
        <is>
          <t>Restaurant</t>
        </is>
      </c>
      <c r="H733" s="300" t="inlineStr">
        <is>
          <t>Cash</t>
        </is>
      </c>
      <c r="I733" s="301" t="inlineStr">
        <is>
          <t>✅ Paid</t>
        </is>
      </c>
      <c r="J733" s="423" t="inlineStr">
        <is>
          <t>Weekly salary</t>
        </is>
      </c>
    </row>
    <row r="734">
      <c r="B734" s="429" t="n">
        <v>46270</v>
      </c>
      <c r="C734" s="297" t="inlineStr">
        <is>
          <t>Jhon - salary</t>
        </is>
      </c>
      <c r="D734" s="298" t="inlineStr">
        <is>
          <t>Payroll</t>
        </is>
      </c>
      <c r="E734" s="297" t="inlineStr">
        <is>
          <t>Staff - Salary</t>
        </is>
      </c>
      <c r="F734" s="299" t="n">
        <v>3750</v>
      </c>
      <c r="G734" s="300" t="inlineStr">
        <is>
          <t>Restaurant</t>
        </is>
      </c>
      <c r="H734" s="300" t="inlineStr">
        <is>
          <t>Cash</t>
        </is>
      </c>
      <c r="I734" s="301" t="inlineStr">
        <is>
          <t>✅ Paid</t>
        </is>
      </c>
      <c r="J734" s="423" t="inlineStr">
        <is>
          <t>Weekly salary</t>
        </is>
      </c>
    </row>
    <row r="735">
      <c r="B735" s="429" t="n">
        <v>46270</v>
      </c>
      <c r="C735" s="297" t="inlineStr">
        <is>
          <t>Vegetables</t>
        </is>
      </c>
      <c r="D735" s="298" t="inlineStr">
        <is>
          <t>No bill</t>
        </is>
      </c>
      <c r="E735" s="297" t="inlineStr">
        <is>
          <t>Ingredients - Vegetables</t>
        </is>
      </c>
      <c r="F735" s="299" t="n">
        <v>1380</v>
      </c>
      <c r="G735" s="300" t="inlineStr">
        <is>
          <t>Restaurant</t>
        </is>
      </c>
      <c r="H735" s="300" t="inlineStr">
        <is>
          <t>Cash</t>
        </is>
      </c>
      <c r="I735" s="301" t="inlineStr">
        <is>
          <t>✅ Paid</t>
        </is>
      </c>
      <c r="J735" s="423" t="inlineStr">
        <is>
          <t>No receipt; cash</t>
        </is>
      </c>
    </row>
    <row r="736">
      <c r="B736" s="429" t="n">
        <v>46270</v>
      </c>
      <c r="C736" s="297" t="inlineStr">
        <is>
          <t>Chedraui</t>
        </is>
      </c>
      <c r="D736" s="298" t="inlineStr">
        <is>
          <t>Chedraui</t>
        </is>
      </c>
      <c r="E736" s="297" t="inlineStr">
        <is>
          <t>Supermarket/General</t>
        </is>
      </c>
      <c r="F736" s="299" t="n">
        <v>303</v>
      </c>
      <c r="G736" s="300" t="inlineStr">
        <is>
          <t>Restaurant</t>
        </is>
      </c>
      <c r="H736" s="300" t="inlineStr">
        <is>
          <t>Cash</t>
        </is>
      </c>
      <c r="I736" s="301" t="inlineStr">
        <is>
          <t>✅ Paid</t>
        </is>
      </c>
      <c r="J736" s="423" t="inlineStr">
        <is>
          <t>No receipt; cash</t>
        </is>
      </c>
    </row>
    <row r="737">
      <c r="B737" s="429" t="n">
        <v>46270</v>
      </c>
      <c r="C737" s="297" t="inlineStr">
        <is>
          <t>Jamon</t>
        </is>
      </c>
      <c r="D737" s="298" t="inlineStr">
        <is>
          <t>No bill</t>
        </is>
      </c>
      <c r="E737" s="297" t="inlineStr">
        <is>
          <t>Ingredients - Meat</t>
        </is>
      </c>
      <c r="F737" s="299" t="n">
        <v>89</v>
      </c>
      <c r="G737" s="300" t="inlineStr">
        <is>
          <t>Restaurant</t>
        </is>
      </c>
      <c r="H737" s="300" t="inlineStr">
        <is>
          <t>Cash</t>
        </is>
      </c>
      <c r="I737" s="301" t="inlineStr">
        <is>
          <t>✅ Paid</t>
        </is>
      </c>
      <c r="J737" s="423" t="inlineStr">
        <is>
          <t>No receipt; cash</t>
        </is>
      </c>
    </row>
    <row r="738">
      <c r="B738" s="429" t="n">
        <v>46272</v>
      </c>
      <c r="C738" s="297" t="inlineStr">
        <is>
          <t>Lechugas</t>
        </is>
      </c>
      <c r="D738" s="298" t="inlineStr">
        <is>
          <t>No bill</t>
        </is>
      </c>
      <c r="E738" s="297" t="inlineStr">
        <is>
          <t>Ingredients - Vegetables</t>
        </is>
      </c>
      <c r="F738" s="299" t="n">
        <v>60</v>
      </c>
      <c r="G738" s="300" t="inlineStr">
        <is>
          <t>Restaurant</t>
        </is>
      </c>
      <c r="H738" s="300" t="inlineStr">
        <is>
          <t>Cash</t>
        </is>
      </c>
      <c r="I738" s="301" t="inlineStr">
        <is>
          <t>✅ Paid</t>
        </is>
      </c>
      <c r="J738" s="423" t="inlineStr">
        <is>
          <t>No receipt; cash</t>
        </is>
      </c>
    </row>
    <row r="739">
      <c r="B739" s="429" t="n">
        <v>46272</v>
      </c>
      <c r="C739" s="297" t="inlineStr">
        <is>
          <t>Vegetales</t>
        </is>
      </c>
      <c r="D739" s="298" t="inlineStr">
        <is>
          <t>No bill</t>
        </is>
      </c>
      <c r="E739" s="297" t="inlineStr">
        <is>
          <t>Ingredients - Vegetables</t>
        </is>
      </c>
      <c r="F739" s="299" t="n">
        <v>200</v>
      </c>
      <c r="G739" s="300" t="inlineStr">
        <is>
          <t>Restaurant</t>
        </is>
      </c>
      <c r="H739" s="300" t="inlineStr">
        <is>
          <t>Cash</t>
        </is>
      </c>
      <c r="I739" s="301" t="inlineStr">
        <is>
          <t>✅ Paid</t>
        </is>
      </c>
      <c r="J739" s="423" t="inlineStr">
        <is>
          <t>No receipt; cash</t>
        </is>
      </c>
    </row>
    <row r="740">
      <c r="B740" s="429" t="n">
        <v>46272</v>
      </c>
      <c r="C740" s="297" t="inlineStr">
        <is>
          <t>Carne</t>
        </is>
      </c>
      <c r="D740" s="298" t="inlineStr">
        <is>
          <t>No bill</t>
        </is>
      </c>
      <c r="E740" s="297" t="inlineStr">
        <is>
          <t>Ingredients - Meat</t>
        </is>
      </c>
      <c r="F740" s="299" t="n">
        <v>3327</v>
      </c>
      <c r="G740" s="300" t="inlineStr">
        <is>
          <t>Restaurant</t>
        </is>
      </c>
      <c r="H740" s="300" t="inlineStr">
        <is>
          <t>Cash</t>
        </is>
      </c>
      <c r="I740" s="301" t="inlineStr">
        <is>
          <t>✅ Paid</t>
        </is>
      </c>
      <c r="J740" s="423" t="inlineStr">
        <is>
          <t>No receipt; cash</t>
        </is>
      </c>
    </row>
    <row r="741">
      <c r="B741" s="429" t="n">
        <v>46272</v>
      </c>
      <c r="C741" s="297" t="inlineStr">
        <is>
          <t>Caramelo</t>
        </is>
      </c>
      <c r="D741" s="298" t="inlineStr">
        <is>
          <t>No bill</t>
        </is>
      </c>
      <c r="E741" s="297" t="inlineStr">
        <is>
          <t>Ingredients - Other</t>
        </is>
      </c>
      <c r="F741" s="299" t="n">
        <v>95</v>
      </c>
      <c r="G741" s="300" t="inlineStr">
        <is>
          <t>Restaurant</t>
        </is>
      </c>
      <c r="H741" s="300" t="inlineStr">
        <is>
          <t>Cash</t>
        </is>
      </c>
      <c r="I741" s="301" t="inlineStr">
        <is>
          <t>✅ Paid</t>
        </is>
      </c>
      <c r="J741" s="423" t="inlineStr">
        <is>
          <t>No receipt; cash</t>
        </is>
      </c>
    </row>
    <row r="742">
      <c r="B742" s="429" t="n">
        <v>46272</v>
      </c>
      <c r="C742" s="297" t="inlineStr">
        <is>
          <t>Guimar</t>
        </is>
      </c>
      <c r="D742" s="298" t="inlineStr">
        <is>
          <t>Guimar Polietilenos</t>
        </is>
      </c>
      <c r="E742" s="297" t="inlineStr">
        <is>
          <t>Packaging/Disposables</t>
        </is>
      </c>
      <c r="F742" s="299" t="n">
        <v>24</v>
      </c>
      <c r="G742" s="300" t="inlineStr">
        <is>
          <t>Restaurant</t>
        </is>
      </c>
      <c r="H742" s="300" t="inlineStr">
        <is>
          <t>Cash</t>
        </is>
      </c>
      <c r="I742" s="301" t="inlineStr">
        <is>
          <t>✅ Paid</t>
        </is>
      </c>
      <c r="J742" s="423" t="inlineStr">
        <is>
          <t>No receipt; cash</t>
        </is>
      </c>
    </row>
    <row r="743">
      <c r="B743" s="429" t="n">
        <v>46272</v>
      </c>
      <c r="C743" s="297" t="inlineStr">
        <is>
          <t>Carne</t>
        </is>
      </c>
      <c r="D743" s="298" t="inlineStr">
        <is>
          <t>No bill</t>
        </is>
      </c>
      <c r="E743" s="297" t="inlineStr">
        <is>
          <t>Ingredients - Meat</t>
        </is>
      </c>
      <c r="F743" s="299" t="n">
        <v>498</v>
      </c>
      <c r="G743" s="300" t="inlineStr">
        <is>
          <t>Restaurant</t>
        </is>
      </c>
      <c r="H743" s="300" t="inlineStr">
        <is>
          <t>Cash</t>
        </is>
      </c>
      <c r="I743" s="301" t="inlineStr">
        <is>
          <t>✅ Paid</t>
        </is>
      </c>
      <c r="J743" s="423" t="inlineStr">
        <is>
          <t>No receipt; cash</t>
        </is>
      </c>
    </row>
    <row r="744">
      <c r="B744" s="429" t="n">
        <v>46272</v>
      </c>
      <c r="C744" s="297" t="inlineStr">
        <is>
          <t>Jamon</t>
        </is>
      </c>
      <c r="D744" s="298" t="inlineStr">
        <is>
          <t>No bill</t>
        </is>
      </c>
      <c r="E744" s="297" t="inlineStr">
        <is>
          <t>Ingredients - Meat</t>
        </is>
      </c>
      <c r="F744" s="299" t="n">
        <v>176</v>
      </c>
      <c r="G744" s="300" t="inlineStr">
        <is>
          <t>Restaurant</t>
        </is>
      </c>
      <c r="H744" s="300" t="inlineStr">
        <is>
          <t>Cash</t>
        </is>
      </c>
      <c r="I744" s="301" t="inlineStr">
        <is>
          <t>✅ Paid</t>
        </is>
      </c>
      <c r="J744" s="423" t="inlineStr">
        <is>
          <t>No receipt; cash</t>
        </is>
      </c>
    </row>
    <row r="745">
      <c r="B745" s="429" t="n">
        <v>46272</v>
      </c>
      <c r="C745" s="297" t="inlineStr">
        <is>
          <t>Pollo</t>
        </is>
      </c>
      <c r="D745" s="298" t="inlineStr">
        <is>
          <t>No bill</t>
        </is>
      </c>
      <c r="E745" s="297" t="inlineStr">
        <is>
          <t>Ingredients - Meat</t>
        </is>
      </c>
      <c r="F745" s="299" t="n">
        <v>925</v>
      </c>
      <c r="G745" s="300" t="inlineStr">
        <is>
          <t>Restaurant</t>
        </is>
      </c>
      <c r="H745" s="300" t="inlineStr">
        <is>
          <t>Cash</t>
        </is>
      </c>
      <c r="I745" s="301" t="inlineStr">
        <is>
          <t>✅ Paid</t>
        </is>
      </c>
      <c r="J745" s="423" t="inlineStr">
        <is>
          <t>No receipt; cash</t>
        </is>
      </c>
    </row>
    <row r="746">
      <c r="B746" s="429" t="n">
        <v>46272</v>
      </c>
      <c r="C746" s="297" t="inlineStr">
        <is>
          <t>Electric Issue</t>
        </is>
      </c>
      <c r="D746" s="298" t="inlineStr">
        <is>
          <t>No bill</t>
        </is>
      </c>
      <c r="E746" s="297" t="inlineStr">
        <is>
          <t>Maintenance</t>
        </is>
      </c>
      <c r="F746" s="299" t="n">
        <v>600</v>
      </c>
      <c r="G746" s="300" t="inlineStr">
        <is>
          <t>Restaurant</t>
        </is>
      </c>
      <c r="H746" s="300" t="inlineStr">
        <is>
          <t>Cash</t>
        </is>
      </c>
      <c r="I746" s="301" t="inlineStr">
        <is>
          <t>✅ Paid</t>
        </is>
      </c>
      <c r="J746" s="423" t="inlineStr">
        <is>
          <t>No receipt; cash. Electrical repair (confirmed 18-Sep)</t>
        </is>
      </c>
    </row>
    <row r="747">
      <c r="B747" s="429" t="n">
        <v>46272</v>
      </c>
      <c r="C747" s="297" t="inlineStr">
        <is>
          <t>Oxxo Arroz</t>
        </is>
      </c>
      <c r="D747" s="298" t="inlineStr">
        <is>
          <t>OXXO</t>
        </is>
      </c>
      <c r="E747" s="297" t="inlineStr">
        <is>
          <t>Ingredients - Pantry</t>
        </is>
      </c>
      <c r="F747" s="299" t="n">
        <v>260</v>
      </c>
      <c r="G747" s="300" t="inlineStr">
        <is>
          <t>Restaurant</t>
        </is>
      </c>
      <c r="H747" s="300" t="inlineStr">
        <is>
          <t>Cash</t>
        </is>
      </c>
      <c r="I747" s="301" t="inlineStr">
        <is>
          <t>✅ Paid</t>
        </is>
      </c>
      <c r="J747" s="423" t="inlineStr">
        <is>
          <t>No receipt; cash</t>
        </is>
      </c>
    </row>
    <row r="748">
      <c r="B748" s="429" t="n">
        <v>46272</v>
      </c>
      <c r="C748" s="297" t="inlineStr">
        <is>
          <t>Wallmart</t>
        </is>
      </c>
      <c r="D748" s="298" t="inlineStr">
        <is>
          <t>No bill</t>
        </is>
      </c>
      <c r="E748" s="297" t="inlineStr">
        <is>
          <t>Supplies/Other</t>
        </is>
      </c>
      <c r="F748" s="299" t="n">
        <v>123</v>
      </c>
      <c r="G748" s="300" t="inlineStr">
        <is>
          <t>Lohith</t>
        </is>
      </c>
      <c r="H748" s="300" t="inlineStr">
        <is>
          <t>Cash</t>
        </is>
      </c>
      <c r="I748" s="301" t="inlineStr">
        <is>
          <t>✅ Paid</t>
        </is>
      </c>
      <c r="J748" s="423" t="inlineStr">
        <is>
          <t>Pagado por Lohith (bolsillo); reembolsable via Owner Ledger</t>
        </is>
      </c>
    </row>
    <row r="749">
      <c r="B749" s="429" t="n">
        <v>46273</v>
      </c>
      <c r="C749" s="297" t="inlineStr">
        <is>
          <t>Vegetables</t>
        </is>
      </c>
      <c r="D749" s="298" t="inlineStr">
        <is>
          <t>No bill</t>
        </is>
      </c>
      <c r="E749" s="297" t="inlineStr">
        <is>
          <t>Ingredients - Vegetables</t>
        </is>
      </c>
      <c r="F749" s="299" t="n">
        <v>324</v>
      </c>
      <c r="G749" s="300" t="inlineStr">
        <is>
          <t>Restaurant</t>
        </is>
      </c>
      <c r="H749" s="300" t="inlineStr">
        <is>
          <t>Cash</t>
        </is>
      </c>
      <c r="I749" s="301" t="inlineStr">
        <is>
          <t>✅ Paid</t>
        </is>
      </c>
      <c r="J749" s="423" t="inlineStr">
        <is>
          <t>No receipt; cash</t>
        </is>
      </c>
    </row>
    <row r="750">
      <c r="B750" s="429" t="n">
        <v>46273</v>
      </c>
      <c r="C750" s="297" t="inlineStr">
        <is>
          <t>Molino Soya</t>
        </is>
      </c>
      <c r="D750" s="298" t="inlineStr">
        <is>
          <t>No bill</t>
        </is>
      </c>
      <c r="E750" s="297" t="inlineStr">
        <is>
          <t>Supermarket/General</t>
        </is>
      </c>
      <c r="F750" s="299" t="n">
        <v>55</v>
      </c>
      <c r="G750" s="300" t="inlineStr">
        <is>
          <t>Restaurant</t>
        </is>
      </c>
      <c r="H750" s="300" t="inlineStr">
        <is>
          <t>Cash</t>
        </is>
      </c>
      <c r="I750" s="301" t="inlineStr">
        <is>
          <t>✅ Paid</t>
        </is>
      </c>
      <c r="J750" s="423" t="inlineStr">
        <is>
          <t>No receipt; cash</t>
        </is>
      </c>
    </row>
    <row r="751">
      <c r="B751" s="429" t="n">
        <v>46273</v>
      </c>
      <c r="C751" s="297" t="inlineStr">
        <is>
          <t>La Comer</t>
        </is>
      </c>
      <c r="D751" s="298" t="inlineStr">
        <is>
          <t>No bill</t>
        </is>
      </c>
      <c r="E751" s="297" t="inlineStr">
        <is>
          <t>Supermarket/General</t>
        </is>
      </c>
      <c r="F751" s="299" t="n">
        <v>132</v>
      </c>
      <c r="G751" s="300" t="inlineStr">
        <is>
          <t>Restaurant</t>
        </is>
      </c>
      <c r="H751" s="300" t="inlineStr">
        <is>
          <t>Cash</t>
        </is>
      </c>
      <c r="I751" s="301" t="inlineStr">
        <is>
          <t>✅ Paid</t>
        </is>
      </c>
      <c r="J751" s="423" t="inlineStr">
        <is>
          <t>No receipt; cash</t>
        </is>
      </c>
    </row>
    <row r="752">
      <c r="B752" s="429" t="n">
        <v>46273</v>
      </c>
      <c r="C752" s="297" t="inlineStr">
        <is>
          <t>Guimar</t>
        </is>
      </c>
      <c r="D752" s="298" t="inlineStr">
        <is>
          <t>Guimar Polietilenos</t>
        </is>
      </c>
      <c r="E752" s="297" t="inlineStr">
        <is>
          <t>Packaging/Disposables</t>
        </is>
      </c>
      <c r="F752" s="299" t="n">
        <v>429</v>
      </c>
      <c r="G752" s="300" t="inlineStr">
        <is>
          <t>Restaurant</t>
        </is>
      </c>
      <c r="H752" s="300" t="inlineStr">
        <is>
          <t>Cash</t>
        </is>
      </c>
      <c r="I752" s="301" t="inlineStr">
        <is>
          <t>✅ Paid</t>
        </is>
      </c>
      <c r="J752" s="423" t="inlineStr">
        <is>
          <t>No receipt; cash</t>
        </is>
      </c>
    </row>
    <row r="753">
      <c r="B753" s="429" t="n">
        <v>46273</v>
      </c>
      <c r="C753" s="297" t="inlineStr">
        <is>
          <t>3B Jugo</t>
        </is>
      </c>
      <c r="D753" s="298" t="inlineStr">
        <is>
          <t>Tres B</t>
        </is>
      </c>
      <c r="E753" s="297" t="inlineStr">
        <is>
          <t>Supermarket/General</t>
        </is>
      </c>
      <c r="F753" s="299" t="n">
        <v>1040</v>
      </c>
      <c r="G753" s="300" t="inlineStr">
        <is>
          <t>Restaurant</t>
        </is>
      </c>
      <c r="H753" s="300" t="inlineStr">
        <is>
          <t>Cash</t>
        </is>
      </c>
      <c r="I753" s="301" t="inlineStr">
        <is>
          <t>✅ Paid</t>
        </is>
      </c>
      <c r="J753" s="423" t="inlineStr">
        <is>
          <t>No receipt; cash</t>
        </is>
      </c>
    </row>
    <row r="754">
      <c r="B754" s="429" t="n">
        <v>46274</v>
      </c>
      <c r="C754" s="297" t="inlineStr">
        <is>
          <t>Avia</t>
        </is>
      </c>
      <c r="D754" s="298" t="inlineStr">
        <is>
          <t>No bill</t>
        </is>
      </c>
      <c r="E754" s="297" t="inlineStr">
        <is>
          <t>Ingredients - Beverages</t>
        </is>
      </c>
      <c r="F754" s="299" t="n">
        <v>450</v>
      </c>
      <c r="G754" s="300" t="inlineStr">
        <is>
          <t>Restaurant</t>
        </is>
      </c>
      <c r="H754" s="300" t="inlineStr">
        <is>
          <t>Cash</t>
        </is>
      </c>
      <c r="I754" s="301" t="inlineStr">
        <is>
          <t>✅ Paid</t>
        </is>
      </c>
      <c r="J754" s="423" t="inlineStr">
        <is>
          <t>No receipt; cash</t>
        </is>
      </c>
    </row>
    <row r="755">
      <c r="B755" s="429" t="n">
        <v>46274</v>
      </c>
      <c r="C755" s="297" t="inlineStr">
        <is>
          <t>Carne</t>
        </is>
      </c>
      <c r="D755" s="298" t="inlineStr">
        <is>
          <t>No bill</t>
        </is>
      </c>
      <c r="E755" s="297" t="inlineStr">
        <is>
          <t>Ingredients - Meat</t>
        </is>
      </c>
      <c r="F755" s="299" t="n">
        <v>634</v>
      </c>
      <c r="G755" s="300" t="inlineStr">
        <is>
          <t>Restaurant</t>
        </is>
      </c>
      <c r="H755" s="300" t="inlineStr">
        <is>
          <t>Cash</t>
        </is>
      </c>
      <c r="I755" s="301" t="inlineStr">
        <is>
          <t>✅ Paid</t>
        </is>
      </c>
      <c r="J755" s="423" t="inlineStr">
        <is>
          <t>No receipt; cash</t>
        </is>
      </c>
    </row>
    <row r="756">
      <c r="B756" s="429" t="n">
        <v>46274</v>
      </c>
      <c r="C756" s="297" t="inlineStr">
        <is>
          <t>Oxxo</t>
        </is>
      </c>
      <c r="D756" s="298" t="inlineStr">
        <is>
          <t>OXXO</t>
        </is>
      </c>
      <c r="E756" s="297" t="inlineStr">
        <is>
          <t>Ingredients - Pantry</t>
        </is>
      </c>
      <c r="F756" s="299" t="n">
        <v>22</v>
      </c>
      <c r="G756" s="300" t="inlineStr">
        <is>
          <t>Restaurant</t>
        </is>
      </c>
      <c r="H756" s="300" t="inlineStr">
        <is>
          <t>Cash</t>
        </is>
      </c>
      <c r="I756" s="301" t="inlineStr">
        <is>
          <t>✅ Paid</t>
        </is>
      </c>
      <c r="J756" s="423" t="inlineStr">
        <is>
          <t>No receipt; cash</t>
        </is>
      </c>
    </row>
    <row r="757">
      <c r="B757" s="429" t="n">
        <v>46275</v>
      </c>
      <c r="C757" s="297" t="inlineStr">
        <is>
          <t>Pan Reales</t>
        </is>
      </c>
      <c r="D757" s="298" t="inlineStr">
        <is>
          <t>Pan Reales</t>
        </is>
      </c>
      <c r="E757" s="297" t="inlineStr">
        <is>
          <t>Ingredients - Bread</t>
        </is>
      </c>
      <c r="F757" s="299" t="n">
        <v>621</v>
      </c>
      <c r="G757" s="300" t="inlineStr">
        <is>
          <t>Restaurant</t>
        </is>
      </c>
      <c r="H757" s="300" t="inlineStr">
        <is>
          <t>Cash</t>
        </is>
      </c>
      <c r="I757" s="301" t="inlineStr">
        <is>
          <t>✅ Paid</t>
        </is>
      </c>
      <c r="J757" s="423" t="inlineStr">
        <is>
          <t>No receipt; cash</t>
        </is>
      </c>
    </row>
    <row r="758">
      <c r="B758" s="429" t="n">
        <v>46275</v>
      </c>
      <c r="C758" s="297" t="inlineStr">
        <is>
          <t>Oxxo</t>
        </is>
      </c>
      <c r="D758" s="298" t="inlineStr">
        <is>
          <t>OXXO</t>
        </is>
      </c>
      <c r="E758" s="297" t="inlineStr">
        <is>
          <t>Ingredients - Pantry</t>
        </is>
      </c>
      <c r="F758" s="299" t="n">
        <v>32</v>
      </c>
      <c r="G758" s="300" t="inlineStr">
        <is>
          <t>Restaurant</t>
        </is>
      </c>
      <c r="H758" s="300" t="inlineStr">
        <is>
          <t>Cash</t>
        </is>
      </c>
      <c r="I758" s="301" t="inlineStr">
        <is>
          <t>✅ Paid</t>
        </is>
      </c>
      <c r="J758" s="423" t="inlineStr">
        <is>
          <t>No receipt; cash</t>
        </is>
      </c>
    </row>
    <row r="759">
      <c r="B759" s="429" t="n">
        <v>46275</v>
      </c>
      <c r="C759" s="297" t="inlineStr">
        <is>
          <t>Pescado</t>
        </is>
      </c>
      <c r="D759" s="298" t="inlineStr">
        <is>
          <t>No bill</t>
        </is>
      </c>
      <c r="E759" s="297" t="inlineStr">
        <is>
          <t>Ingredients - Meat &amp; Fish</t>
        </is>
      </c>
      <c r="F759" s="299" t="n">
        <v>317</v>
      </c>
      <c r="G759" s="300" t="inlineStr">
        <is>
          <t>Restaurant</t>
        </is>
      </c>
      <c r="H759" s="300" t="inlineStr">
        <is>
          <t>Cash</t>
        </is>
      </c>
      <c r="I759" s="301" t="inlineStr">
        <is>
          <t>✅ Paid</t>
        </is>
      </c>
      <c r="J759" s="423" t="inlineStr">
        <is>
          <t>No receipt; cash</t>
        </is>
      </c>
    </row>
    <row r="760">
      <c r="B760" s="429" t="n">
        <v>46275</v>
      </c>
      <c r="C760" s="297" t="inlineStr">
        <is>
          <t>Carne</t>
        </is>
      </c>
      <c r="D760" s="298" t="inlineStr">
        <is>
          <t>No bill</t>
        </is>
      </c>
      <c r="E760" s="297" t="inlineStr">
        <is>
          <t>Ingredients - Meat</t>
        </is>
      </c>
      <c r="F760" s="299" t="n">
        <v>495</v>
      </c>
      <c r="G760" s="300" t="inlineStr">
        <is>
          <t>Restaurant</t>
        </is>
      </c>
      <c r="H760" s="300" t="inlineStr">
        <is>
          <t>Cash</t>
        </is>
      </c>
      <c r="I760" s="301" t="inlineStr">
        <is>
          <t>✅ Paid</t>
        </is>
      </c>
      <c r="J760" s="423" t="inlineStr">
        <is>
          <t>No receipt; cash</t>
        </is>
      </c>
    </row>
    <row r="761">
      <c r="B761" s="429" t="n">
        <v>46275</v>
      </c>
      <c r="C761" s="297" t="inlineStr">
        <is>
          <t>Tomato</t>
        </is>
      </c>
      <c r="D761" s="298" t="inlineStr">
        <is>
          <t>No bill</t>
        </is>
      </c>
      <c r="E761" s="297" t="inlineStr">
        <is>
          <t>Ingredients - Vegetables</t>
        </is>
      </c>
      <c r="F761" s="299" t="n">
        <v>60</v>
      </c>
      <c r="G761" s="300" t="inlineStr">
        <is>
          <t>Restaurant</t>
        </is>
      </c>
      <c r="H761" s="300" t="inlineStr">
        <is>
          <t>Cash</t>
        </is>
      </c>
      <c r="I761" s="301" t="inlineStr">
        <is>
          <t>✅ Paid</t>
        </is>
      </c>
      <c r="J761" s="423" t="inlineStr">
        <is>
          <t>No receipt; cash</t>
        </is>
      </c>
    </row>
    <row r="762">
      <c r="B762" s="429" t="n">
        <v>46275</v>
      </c>
      <c r="C762" s="297" t="inlineStr">
        <is>
          <t>Lechuga</t>
        </is>
      </c>
      <c r="D762" s="298" t="inlineStr">
        <is>
          <t>No bill</t>
        </is>
      </c>
      <c r="E762" s="297" t="inlineStr">
        <is>
          <t>Ingredients - Vegetables</t>
        </is>
      </c>
      <c r="F762" s="299" t="n">
        <v>50</v>
      </c>
      <c r="G762" s="300" t="inlineStr">
        <is>
          <t>Restaurant</t>
        </is>
      </c>
      <c r="H762" s="300" t="inlineStr">
        <is>
          <t>Cash</t>
        </is>
      </c>
      <c r="I762" s="301" t="inlineStr">
        <is>
          <t>✅ Paid</t>
        </is>
      </c>
      <c r="J762" s="423" t="inlineStr">
        <is>
          <t>No receipt; cash</t>
        </is>
      </c>
    </row>
    <row r="763">
      <c r="B763" s="429" t="n">
        <v>46275</v>
      </c>
      <c r="C763" s="297" t="inlineStr">
        <is>
          <t>Chedraui</t>
        </is>
      </c>
      <c r="D763" s="298" t="inlineStr">
        <is>
          <t>Chedraui</t>
        </is>
      </c>
      <c r="E763" s="297" t="inlineStr">
        <is>
          <t>Supermarket/General</t>
        </is>
      </c>
      <c r="F763" s="299" t="n">
        <v>84</v>
      </c>
      <c r="G763" s="300" t="inlineStr">
        <is>
          <t>Restaurant</t>
        </is>
      </c>
      <c r="H763" s="300" t="inlineStr">
        <is>
          <t>Cash</t>
        </is>
      </c>
      <c r="I763" s="301" t="inlineStr">
        <is>
          <t>✅ Paid</t>
        </is>
      </c>
      <c r="J763" s="423" t="inlineStr">
        <is>
          <t>No receipt; cash</t>
        </is>
      </c>
    </row>
    <row r="764">
      <c r="B764" s="429" t="n">
        <v>46276</v>
      </c>
      <c r="C764" s="297" t="inlineStr">
        <is>
          <t>Agua Natural</t>
        </is>
      </c>
      <c r="D764" s="298" t="inlineStr">
        <is>
          <t>No bill</t>
        </is>
      </c>
      <c r="E764" s="297" t="inlineStr">
        <is>
          <t>Ingredients - Beverages</t>
        </is>
      </c>
      <c r="F764" s="299" t="n">
        <v>45</v>
      </c>
      <c r="G764" s="300" t="inlineStr">
        <is>
          <t>Restaurant</t>
        </is>
      </c>
      <c r="H764" s="300" t="inlineStr">
        <is>
          <t>Cash</t>
        </is>
      </c>
      <c r="I764" s="301" t="inlineStr">
        <is>
          <t>✅ Paid</t>
        </is>
      </c>
      <c r="J764" s="423" t="inlineStr">
        <is>
          <t>No receipt; cash</t>
        </is>
      </c>
    </row>
    <row r="765">
      <c r="B765" s="429" t="n">
        <v>46277</v>
      </c>
      <c r="C765" s="297" t="inlineStr">
        <is>
          <t>Carne</t>
        </is>
      </c>
      <c r="D765" s="298" t="inlineStr">
        <is>
          <t>No bill</t>
        </is>
      </c>
      <c r="E765" s="297" t="inlineStr">
        <is>
          <t>Ingredients - Meat</t>
        </is>
      </c>
      <c r="F765" s="299" t="n">
        <v>300</v>
      </c>
      <c r="G765" s="300" t="inlineStr">
        <is>
          <t>Restaurant</t>
        </is>
      </c>
      <c r="H765" s="300" t="inlineStr">
        <is>
          <t>Cash</t>
        </is>
      </c>
      <c r="I765" s="301" t="inlineStr">
        <is>
          <t>✅ Paid</t>
        </is>
      </c>
      <c r="J765" s="423" t="inlineStr">
        <is>
          <t>No receipt; cash</t>
        </is>
      </c>
    </row>
    <row r="766">
      <c r="B766" s="429" t="n">
        <v>46277</v>
      </c>
      <c r="C766" s="297" t="inlineStr">
        <is>
          <t>Vegetales</t>
        </is>
      </c>
      <c r="D766" s="298" t="inlineStr">
        <is>
          <t>No bill</t>
        </is>
      </c>
      <c r="E766" s="297" t="inlineStr">
        <is>
          <t>Ingredients - Vegetables</t>
        </is>
      </c>
      <c r="F766" s="299" t="n">
        <v>950</v>
      </c>
      <c r="G766" s="300" t="inlineStr">
        <is>
          <t>Restaurant</t>
        </is>
      </c>
      <c r="H766" s="300" t="inlineStr">
        <is>
          <t>Cash</t>
        </is>
      </c>
      <c r="I766" s="301" t="inlineStr">
        <is>
          <t>✅ Paid</t>
        </is>
      </c>
      <c r="J766" s="423" t="inlineStr">
        <is>
          <t>No receipt; cash</t>
        </is>
      </c>
    </row>
    <row r="767">
      <c r="B767" s="429" t="n">
        <v>46277</v>
      </c>
      <c r="C767" s="297" t="inlineStr">
        <is>
          <t>Chedraui</t>
        </is>
      </c>
      <c r="D767" s="298" t="inlineStr">
        <is>
          <t>Chedraui</t>
        </is>
      </c>
      <c r="E767" s="297" t="inlineStr">
        <is>
          <t>Supermarket/General</t>
        </is>
      </c>
      <c r="F767" s="299" t="n">
        <v>153</v>
      </c>
      <c r="G767" s="300" t="inlineStr">
        <is>
          <t>Restaurant</t>
        </is>
      </c>
      <c r="H767" s="300" t="inlineStr">
        <is>
          <t>Cash</t>
        </is>
      </c>
      <c r="I767" s="301" t="inlineStr">
        <is>
          <t>✅ Paid</t>
        </is>
      </c>
      <c r="J767" s="423" t="inlineStr">
        <is>
          <t>No receipt; cash</t>
        </is>
      </c>
    </row>
    <row r="768">
      <c r="B768" s="429" t="n">
        <v>46277</v>
      </c>
      <c r="C768" s="297" t="inlineStr">
        <is>
          <t>Duvi - salary</t>
        </is>
      </c>
      <c r="D768" s="298" t="inlineStr">
        <is>
          <t>Payroll</t>
        </is>
      </c>
      <c r="E768" s="297" t="inlineStr">
        <is>
          <t>Staff - Salary</t>
        </is>
      </c>
      <c r="F768" s="299" t="n">
        <v>1460</v>
      </c>
      <c r="G768" s="300" t="inlineStr">
        <is>
          <t>Restaurant</t>
        </is>
      </c>
      <c r="H768" s="300" t="inlineStr">
        <is>
          <t>Cash</t>
        </is>
      </c>
      <c r="I768" s="301" t="inlineStr">
        <is>
          <t>✅ Paid</t>
        </is>
      </c>
      <c r="J768" s="423" t="inlineStr">
        <is>
          <t>Weekly salary</t>
        </is>
      </c>
    </row>
    <row r="769">
      <c r="B769" s="429" t="n">
        <v>46277</v>
      </c>
      <c r="C769" s="297" t="inlineStr">
        <is>
          <t>Armando - salary</t>
        </is>
      </c>
      <c r="D769" s="298" t="inlineStr">
        <is>
          <t>Payroll</t>
        </is>
      </c>
      <c r="E769" s="297" t="inlineStr">
        <is>
          <t>Staff - Salary</t>
        </is>
      </c>
      <c r="F769" s="299" t="n">
        <v>2200</v>
      </c>
      <c r="G769" s="300" t="inlineStr">
        <is>
          <t>Restaurant</t>
        </is>
      </c>
      <c r="H769" s="300" t="inlineStr">
        <is>
          <t>Cash</t>
        </is>
      </c>
      <c r="I769" s="301" t="inlineStr">
        <is>
          <t>✅ Paid</t>
        </is>
      </c>
      <c r="J769" s="423" t="inlineStr">
        <is>
          <t>Weekly salary</t>
        </is>
      </c>
    </row>
    <row r="770">
      <c r="B770" s="429" t="n">
        <v>46277</v>
      </c>
      <c r="C770" s="297" t="inlineStr">
        <is>
          <t>Jhon - salary</t>
        </is>
      </c>
      <c r="D770" s="298" t="inlineStr">
        <is>
          <t>Payroll</t>
        </is>
      </c>
      <c r="E770" s="297" t="inlineStr">
        <is>
          <t>Staff - Salary</t>
        </is>
      </c>
      <c r="F770" s="299" t="n">
        <v>3750</v>
      </c>
      <c r="G770" s="300" t="inlineStr">
        <is>
          <t>Restaurant</t>
        </is>
      </c>
      <c r="H770" s="300" t="inlineStr">
        <is>
          <t>Cash</t>
        </is>
      </c>
      <c r="I770" s="301" t="inlineStr">
        <is>
          <t>✅ Paid</t>
        </is>
      </c>
      <c r="J770" s="423" t="inlineStr">
        <is>
          <t>Weekly salary</t>
        </is>
      </c>
    </row>
    <row r="771">
      <c r="B771" s="429" t="n">
        <v>46279</v>
      </c>
      <c r="C771" s="297" t="inlineStr">
        <is>
          <t>Queso Panela</t>
        </is>
      </c>
      <c r="D771" s="298" t="inlineStr">
        <is>
          <t>No bill</t>
        </is>
      </c>
      <c r="E771" s="297" t="inlineStr">
        <is>
          <t>Ingredients - Dairy</t>
        </is>
      </c>
      <c r="F771" s="299" t="n">
        <v>590</v>
      </c>
      <c r="G771" s="300" t="inlineStr">
        <is>
          <t>Restaurant</t>
        </is>
      </c>
      <c r="H771" s="300" t="inlineStr">
        <is>
          <t>Cash</t>
        </is>
      </c>
      <c r="I771" s="301" t="inlineStr">
        <is>
          <t>✅ Paid</t>
        </is>
      </c>
      <c r="J771" s="423" t="inlineStr">
        <is>
          <t>No receipt; cash</t>
        </is>
      </c>
    </row>
    <row r="772">
      <c r="B772" s="429" t="n">
        <v>46279</v>
      </c>
      <c r="C772" s="297" t="inlineStr">
        <is>
          <t>oxxo</t>
        </is>
      </c>
      <c r="D772" s="298" t="inlineStr">
        <is>
          <t>OXXO</t>
        </is>
      </c>
      <c r="E772" s="297" t="inlineStr">
        <is>
          <t>Ingredients - Pantry</t>
        </is>
      </c>
      <c r="F772" s="299" t="n">
        <v>70</v>
      </c>
      <c r="G772" s="300" t="inlineStr">
        <is>
          <t>Restaurant</t>
        </is>
      </c>
      <c r="H772" s="300" t="inlineStr">
        <is>
          <t>Cash</t>
        </is>
      </c>
      <c r="I772" s="301" t="inlineStr">
        <is>
          <t>✅ Paid</t>
        </is>
      </c>
      <c r="J772" s="423" t="inlineStr">
        <is>
          <t>No receipt; cash</t>
        </is>
      </c>
    </row>
    <row r="773">
      <c r="B773" s="429" t="n">
        <v>46282</v>
      </c>
      <c r="C773" s="297" t="inlineStr">
        <is>
          <t>Sams Club</t>
        </is>
      </c>
      <c r="D773" s="298" t="inlineStr">
        <is>
          <t>Sam's Club</t>
        </is>
      </c>
      <c r="E773" s="297" t="inlineStr">
        <is>
          <t>Supermarket/General</t>
        </is>
      </c>
      <c r="F773" s="299" t="n">
        <v>713</v>
      </c>
      <c r="G773" s="300" t="inlineStr">
        <is>
          <t>Restaurant</t>
        </is>
      </c>
      <c r="H773" s="300" t="inlineStr">
        <is>
          <t>Cash</t>
        </is>
      </c>
      <c r="I773" s="301" t="inlineStr">
        <is>
          <t>✅ Paid</t>
        </is>
      </c>
      <c r="J773" s="423" t="inlineStr">
        <is>
          <t>No receipt; cash</t>
        </is>
      </c>
    </row>
    <row r="774">
      <c r="B774" s="429" t="n">
        <v>46282</v>
      </c>
      <c r="C774" s="297" t="inlineStr">
        <is>
          <t>Pollo</t>
        </is>
      </c>
      <c r="D774" s="298" t="inlineStr">
        <is>
          <t>No bill</t>
        </is>
      </c>
      <c r="E774" s="297" t="inlineStr">
        <is>
          <t>Ingredients - Meat</t>
        </is>
      </c>
      <c r="F774" s="299" t="n">
        <v>977</v>
      </c>
      <c r="G774" s="300" t="inlineStr">
        <is>
          <t>Lohith</t>
        </is>
      </c>
      <c r="H774" s="300" t="inlineStr">
        <is>
          <t>Cash</t>
        </is>
      </c>
      <c r="I774" s="301" t="inlineStr">
        <is>
          <t>✅ Paid</t>
        </is>
      </c>
      <c r="J774" s="423" t="inlineStr">
        <is>
          <t>Pagado por Lohith (bolsillo); reembolsable via Owner Ledger</t>
        </is>
      </c>
    </row>
    <row r="775">
      <c r="B775" s="429" t="n">
        <v>46282</v>
      </c>
      <c r="C775" s="297" t="inlineStr">
        <is>
          <t>Marker Vidrio</t>
        </is>
      </c>
      <c r="D775" s="298" t="inlineStr">
        <is>
          <t>No bill</t>
        </is>
      </c>
      <c r="E775" s="297" t="inlineStr">
        <is>
          <t>Office Supplies</t>
        </is>
      </c>
      <c r="F775" s="299" t="n">
        <v>392</v>
      </c>
      <c r="G775" s="300" t="inlineStr">
        <is>
          <t>Restaurant</t>
        </is>
      </c>
      <c r="H775" s="300" t="inlineStr">
        <is>
          <t>Cash</t>
        </is>
      </c>
      <c r="I775" s="301" t="inlineStr">
        <is>
          <t>✅ Paid</t>
        </is>
      </c>
      <c r="J775" s="423" t="inlineStr">
        <is>
          <t>No receipt; cash</t>
        </is>
      </c>
    </row>
    <row r="776">
      <c r="B776" s="429" t="n">
        <v>46282</v>
      </c>
      <c r="C776" s="297" t="inlineStr">
        <is>
          <t>3B</t>
        </is>
      </c>
      <c r="D776" s="298" t="inlineStr">
        <is>
          <t>Tres B</t>
        </is>
      </c>
      <c r="E776" s="297" t="inlineStr">
        <is>
          <t>Supermarket/General</t>
        </is>
      </c>
      <c r="F776" s="299" t="n">
        <v>529</v>
      </c>
      <c r="G776" s="300" t="inlineStr">
        <is>
          <t>Restaurant</t>
        </is>
      </c>
      <c r="H776" s="300" t="inlineStr">
        <is>
          <t>Cash</t>
        </is>
      </c>
      <c r="I776" s="301" t="inlineStr">
        <is>
          <t>✅ Paid</t>
        </is>
      </c>
      <c r="J776" s="423" t="inlineStr">
        <is>
          <t>No receipt; cash</t>
        </is>
      </c>
    </row>
    <row r="777">
      <c r="B777" s="429" t="n">
        <v>46282</v>
      </c>
      <c r="C777" s="297" t="inlineStr">
        <is>
          <t>Pollo</t>
        </is>
      </c>
      <c r="D777" s="298" t="inlineStr">
        <is>
          <t>No bill</t>
        </is>
      </c>
      <c r="E777" s="297" t="inlineStr">
        <is>
          <t>Ingredients - Meat</t>
        </is>
      </c>
      <c r="F777" s="299" t="n">
        <v>183</v>
      </c>
      <c r="G777" s="300" t="inlineStr">
        <is>
          <t>Lohith</t>
        </is>
      </c>
      <c r="H777" s="300" t="inlineStr">
        <is>
          <t>Cash</t>
        </is>
      </c>
      <c r="I777" s="301" t="inlineStr">
        <is>
          <t>✅ Paid</t>
        </is>
      </c>
      <c r="J777" s="423" t="inlineStr">
        <is>
          <t>Pagado por Lohith (bolsillo); reembolsable via Owner Ledger</t>
        </is>
      </c>
    </row>
    <row r="778">
      <c r="B778" s="429" t="n">
        <v>46283</v>
      </c>
      <c r="C778" s="297" t="inlineStr">
        <is>
          <t>Vegetables</t>
        </is>
      </c>
      <c r="D778" s="298" t="inlineStr">
        <is>
          <t>No bill</t>
        </is>
      </c>
      <c r="E778" s="297" t="inlineStr">
        <is>
          <t>Ingredients - Vegetables</t>
        </is>
      </c>
      <c r="F778" s="299" t="n">
        <v>72</v>
      </c>
      <c r="G778" s="300" t="inlineStr">
        <is>
          <t>Restaurant</t>
        </is>
      </c>
      <c r="H778" s="300" t="inlineStr">
        <is>
          <t>Cash</t>
        </is>
      </c>
      <c r="I778" s="301" t="inlineStr">
        <is>
          <t>✅ Paid</t>
        </is>
      </c>
      <c r="J778" s="423" t="inlineStr">
        <is>
          <t>No receipt; cash</t>
        </is>
      </c>
    </row>
    <row r="779">
      <c r="B779" s="429" t="n">
        <v>46283</v>
      </c>
      <c r="C779" s="297" t="inlineStr">
        <is>
          <t>Carne</t>
        </is>
      </c>
      <c r="D779" s="298" t="inlineStr">
        <is>
          <t>No bill</t>
        </is>
      </c>
      <c r="E779" s="297" t="inlineStr">
        <is>
          <t>Ingredients - Meat</t>
        </is>
      </c>
      <c r="F779" s="299" t="n">
        <v>1109</v>
      </c>
      <c r="G779" s="300" t="inlineStr">
        <is>
          <t>Restaurant</t>
        </is>
      </c>
      <c r="H779" s="300" t="inlineStr">
        <is>
          <t>Cash</t>
        </is>
      </c>
      <c r="I779" s="301" t="inlineStr">
        <is>
          <t>✅ Paid</t>
        </is>
      </c>
      <c r="J779" s="423" t="inlineStr">
        <is>
          <t>No receipt; cash</t>
        </is>
      </c>
    </row>
    <row r="780">
      <c r="B780" s="429" t="n">
        <v>46283</v>
      </c>
      <c r="C780" s="297" t="inlineStr">
        <is>
          <t>Chedraui</t>
        </is>
      </c>
      <c r="D780" s="298" t="inlineStr">
        <is>
          <t>Chedraui</t>
        </is>
      </c>
      <c r="E780" s="297" t="inlineStr">
        <is>
          <t>Supermarket/General</t>
        </is>
      </c>
      <c r="F780" s="299" t="n">
        <v>449</v>
      </c>
      <c r="G780" s="300" t="inlineStr">
        <is>
          <t>Restaurant</t>
        </is>
      </c>
      <c r="H780" s="300" t="inlineStr">
        <is>
          <t>Cash</t>
        </is>
      </c>
      <c r="I780" s="301" t="inlineStr">
        <is>
          <t>✅ Paid</t>
        </is>
      </c>
      <c r="J780" s="423" t="inlineStr">
        <is>
          <t>No receipt; cash</t>
        </is>
      </c>
    </row>
    <row r="781">
      <c r="B781" s="429" t="n">
        <v>46283</v>
      </c>
      <c r="C781" s="297" t="inlineStr">
        <is>
          <t>Internet</t>
        </is>
      </c>
      <c r="D781" s="298" t="inlineStr">
        <is>
          <t>No bill</t>
        </is>
      </c>
      <c r="E781" s="297" t="inlineStr">
        <is>
          <t>Utilities/Internet</t>
        </is>
      </c>
      <c r="F781" s="299" t="n">
        <v>349</v>
      </c>
      <c r="G781" s="300" t="inlineStr">
        <is>
          <t>Lohith</t>
        </is>
      </c>
      <c r="H781" s="300" t="inlineStr">
        <is>
          <t>Cash</t>
        </is>
      </c>
      <c r="I781" s="301" t="inlineStr">
        <is>
          <t>✅ Paid</t>
        </is>
      </c>
      <c r="J781" s="423" t="inlineStr">
        <is>
          <t>Pagado por Lohith (bolsillo); reembolsable via Owner Ledger</t>
        </is>
      </c>
    </row>
    <row r="782">
      <c r="B782" s="429" t="n">
        <v>46269</v>
      </c>
      <c r="C782" s="297" t="inlineStr">
        <is>
          <t>Guimar desechables</t>
        </is>
      </c>
      <c r="D782" s="298" t="inlineStr">
        <is>
          <t>Guimar Polietilenos</t>
        </is>
      </c>
      <c r="E782" s="297" t="inlineStr">
        <is>
          <t>Packaging/Disposables</t>
        </is>
      </c>
      <c r="F782" s="299" t="n">
        <v>226</v>
      </c>
      <c r="G782" s="300" t="inlineStr">
        <is>
          <t>Restaurant</t>
        </is>
      </c>
      <c r="H782" s="300" t="inlineStr">
        <is>
          <t>Cash</t>
        </is>
      </c>
      <c r="I782" s="301" t="inlineStr">
        <is>
          <t>✅ Paid</t>
        </is>
      </c>
      <c r="J782" s="423" t="inlineStr">
        <is>
          <t>No receipt; cash. Typed as 'Guimar 2333w' on 04-Sep and dropped by eod.py; confirmed $226 by Reddy 18-Sep</t>
        </is>
      </c>
    </row>
    <row r="783">
      <c r="B783" s="429" t="n">
        <v>46284</v>
      </c>
      <c r="C783" s="297" t="inlineStr">
        <is>
          <t>Jhon - salary</t>
        </is>
      </c>
      <c r="D783" s="298" t="inlineStr">
        <is>
          <t>Payroll</t>
        </is>
      </c>
      <c r="E783" s="297" t="inlineStr">
        <is>
          <t>Staff - Salary</t>
        </is>
      </c>
      <c r="F783" s="299" t="n">
        <v>3750</v>
      </c>
      <c r="G783" s="300" t="inlineStr">
        <is>
          <t>Restaurant</t>
        </is>
      </c>
      <c r="H783" s="300" t="inlineStr">
        <is>
          <t>Cash</t>
        </is>
      </c>
      <c r="I783" s="301" t="inlineStr">
        <is>
          <t>✅ Paid</t>
        </is>
      </c>
      <c r="J783" s="423" t="inlineStr">
        <is>
          <t>Weekly salary</t>
        </is>
      </c>
    </row>
    <row r="784">
      <c r="B784" s="429" t="n">
        <v>46284</v>
      </c>
      <c r="C784" s="297" t="inlineStr">
        <is>
          <t>Duvi - salary</t>
        </is>
      </c>
      <c r="D784" s="298" t="inlineStr">
        <is>
          <t>Payroll</t>
        </is>
      </c>
      <c r="E784" s="297" t="inlineStr">
        <is>
          <t>Staff - Salary</t>
        </is>
      </c>
      <c r="F784" s="299" t="n">
        <v>876</v>
      </c>
      <c r="G784" s="300" t="inlineStr">
        <is>
          <t>Restaurant</t>
        </is>
      </c>
      <c r="H784" s="300" t="inlineStr">
        <is>
          <t>Cash</t>
        </is>
      </c>
      <c r="I784" s="301" t="inlineStr">
        <is>
          <t>✅ Paid</t>
        </is>
      </c>
      <c r="J784" s="423" t="inlineStr">
        <is>
          <t>Weekly salary</t>
        </is>
      </c>
    </row>
    <row r="785">
      <c r="B785" s="429" t="n">
        <v>46286</v>
      </c>
      <c r="C785" s="297" t="inlineStr">
        <is>
          <t>Vegetables</t>
        </is>
      </c>
      <c r="D785" s="298" t="inlineStr">
        <is>
          <t>No bill</t>
        </is>
      </c>
      <c r="E785" s="297" t="inlineStr">
        <is>
          <t>Ingredients - Vegetables</t>
        </is>
      </c>
      <c r="F785" s="299" t="n">
        <v>1833</v>
      </c>
      <c r="G785" s="300" t="inlineStr">
        <is>
          <t>Restaurant</t>
        </is>
      </c>
      <c r="H785" s="300" t="inlineStr">
        <is>
          <t>Cash</t>
        </is>
      </c>
      <c r="I785" s="301" t="inlineStr">
        <is>
          <t>✅ Paid</t>
        </is>
      </c>
      <c r="J785" s="423" t="inlineStr">
        <is>
          <t>No receipt; cash</t>
        </is>
      </c>
    </row>
    <row r="786">
      <c r="B786" s="429" t="n">
        <v>46286</v>
      </c>
      <c r="C786" s="297" t="inlineStr">
        <is>
          <t>Jamon</t>
        </is>
      </c>
      <c r="D786" s="298" t="inlineStr">
        <is>
          <t>No bill</t>
        </is>
      </c>
      <c r="E786" s="297" t="inlineStr">
        <is>
          <t>Ingredients - Meat</t>
        </is>
      </c>
      <c r="F786" s="299" t="n">
        <v>267</v>
      </c>
      <c r="G786" s="300" t="inlineStr">
        <is>
          <t>Restaurant</t>
        </is>
      </c>
      <c r="H786" s="300" t="inlineStr">
        <is>
          <t>Cash</t>
        </is>
      </c>
      <c r="I786" s="301" t="inlineStr">
        <is>
          <t>✅ Paid</t>
        </is>
      </c>
      <c r="J786" s="423" t="inlineStr">
        <is>
          <t>No receipt; cash</t>
        </is>
      </c>
    </row>
    <row r="787">
      <c r="B787" s="429" t="n">
        <v>46286</v>
      </c>
      <c r="C787" s="297" t="inlineStr">
        <is>
          <t>Carne</t>
        </is>
      </c>
      <c r="D787" s="298" t="inlineStr">
        <is>
          <t>No bill</t>
        </is>
      </c>
      <c r="E787" s="297" t="inlineStr">
        <is>
          <t>Ingredients - Meat</t>
        </is>
      </c>
      <c r="F787" s="299" t="n">
        <v>812</v>
      </c>
      <c r="G787" s="300" t="inlineStr">
        <is>
          <t>Restaurant</t>
        </is>
      </c>
      <c r="H787" s="300" t="inlineStr">
        <is>
          <t>Cash</t>
        </is>
      </c>
      <c r="I787" s="301" t="inlineStr">
        <is>
          <t>✅ Paid</t>
        </is>
      </c>
      <c r="J787" s="423" t="inlineStr">
        <is>
          <t>No receipt; cash</t>
        </is>
      </c>
    </row>
    <row r="788">
      <c r="B788" s="429" t="n">
        <v>46286</v>
      </c>
      <c r="C788" s="297" t="inlineStr">
        <is>
          <t>Queso</t>
        </is>
      </c>
      <c r="D788" s="298" t="inlineStr">
        <is>
          <t>No bill</t>
        </is>
      </c>
      <c r="E788" s="297" t="inlineStr">
        <is>
          <t>Ingredients - Dairy</t>
        </is>
      </c>
      <c r="F788" s="299" t="n">
        <v>567</v>
      </c>
      <c r="G788" s="300" t="inlineStr">
        <is>
          <t>Restaurant</t>
        </is>
      </c>
      <c r="H788" s="300" t="inlineStr">
        <is>
          <t>Cash</t>
        </is>
      </c>
      <c r="I788" s="301" t="inlineStr">
        <is>
          <t>✅ Paid</t>
        </is>
      </c>
      <c r="J788" s="423" t="inlineStr">
        <is>
          <t>No receipt; cash</t>
        </is>
      </c>
    </row>
    <row r="789">
      <c r="B789" s="429" t="n">
        <v>46286</v>
      </c>
      <c r="C789" s="297" t="inlineStr">
        <is>
          <t>Pollo</t>
        </is>
      </c>
      <c r="D789" s="298" t="inlineStr">
        <is>
          <t>No bill</t>
        </is>
      </c>
      <c r="E789" s="297" t="inlineStr">
        <is>
          <t>Ingredients - Meat</t>
        </is>
      </c>
      <c r="F789" s="299" t="n">
        <v>404</v>
      </c>
      <c r="G789" s="300" t="inlineStr">
        <is>
          <t>Lohith</t>
        </is>
      </c>
      <c r="H789" s="300" t="inlineStr">
        <is>
          <t>Cash</t>
        </is>
      </c>
      <c r="I789" s="301" t="inlineStr">
        <is>
          <t>✅ Paid</t>
        </is>
      </c>
      <c r="J789" s="423" t="inlineStr">
        <is>
          <t>Pagado por Lohith (bolsillo); reembolsable via Owner Ledger</t>
        </is>
      </c>
    </row>
    <row r="790">
      <c r="B790" s="429" t="n">
        <v>46287</v>
      </c>
      <c r="C790" s="297" t="inlineStr">
        <is>
          <t>Chedraui</t>
        </is>
      </c>
      <c r="D790" s="298" t="inlineStr">
        <is>
          <t>Chedraui</t>
        </is>
      </c>
      <c r="E790" s="297" t="inlineStr">
        <is>
          <t>Supermarket/General</t>
        </is>
      </c>
      <c r="F790" s="299" t="n">
        <v>258</v>
      </c>
      <c r="G790" s="300" t="inlineStr">
        <is>
          <t>Restaurant</t>
        </is>
      </c>
      <c r="H790" s="300" t="inlineStr">
        <is>
          <t>Cash</t>
        </is>
      </c>
      <c r="I790" s="301" t="inlineStr">
        <is>
          <t>✅ Paid</t>
        </is>
      </c>
      <c r="J790" s="423" t="inlineStr">
        <is>
          <t>No receipt; cash</t>
        </is>
      </c>
    </row>
    <row r="791">
      <c r="B791" s="429" t="n">
        <v>46287</v>
      </c>
      <c r="C791" s="297" t="inlineStr">
        <is>
          <t>Hielo</t>
        </is>
      </c>
      <c r="D791" s="298" t="inlineStr">
        <is>
          <t>No bill</t>
        </is>
      </c>
      <c r="E791" s="297" t="inlineStr">
        <is>
          <t>Kitchen Supplies</t>
        </is>
      </c>
      <c r="F791" s="299" t="n">
        <v>200</v>
      </c>
      <c r="G791" s="300" t="inlineStr">
        <is>
          <t>Restaurant</t>
        </is>
      </c>
      <c r="H791" s="300" t="inlineStr">
        <is>
          <t>Cash</t>
        </is>
      </c>
      <c r="I791" s="301" t="inlineStr">
        <is>
          <t>✅ Paid</t>
        </is>
      </c>
      <c r="J791" s="423" t="inlineStr">
        <is>
          <t>No receipt; cash</t>
        </is>
      </c>
    </row>
    <row r="792">
      <c r="B792" s="429" t="n">
        <v>46287</v>
      </c>
      <c r="C792" s="297" t="inlineStr">
        <is>
          <t>Agua Natural</t>
        </is>
      </c>
      <c r="D792" s="298" t="inlineStr">
        <is>
          <t>No bill</t>
        </is>
      </c>
      <c r="E792" s="297" t="inlineStr">
        <is>
          <t>Ingredients - Beverages</t>
        </is>
      </c>
      <c r="F792" s="299" t="n">
        <v>80</v>
      </c>
      <c r="G792" s="300" t="inlineStr">
        <is>
          <t>Restaurant</t>
        </is>
      </c>
      <c r="H792" s="300" t="inlineStr">
        <is>
          <t>Cash</t>
        </is>
      </c>
      <c r="I792" s="301" t="inlineStr">
        <is>
          <t>✅ Paid</t>
        </is>
      </c>
      <c r="J792" s="423" t="inlineStr">
        <is>
          <t>No receipt; cash</t>
        </is>
      </c>
    </row>
    <row r="793">
      <c r="B793" s="429" t="n">
        <v>46287</v>
      </c>
      <c r="C793" s="297" t="inlineStr">
        <is>
          <t>Impuestos junio, julio y agosto 2026</t>
        </is>
      </c>
      <c r="D793" s="298" t="inlineStr">
        <is>
          <t>SAT</t>
        </is>
      </c>
      <c r="E793" s="297" t="inlineStr">
        <is>
          <t>Taxes</t>
        </is>
      </c>
      <c r="F793" s="299" t="n">
        <v>14842</v>
      </c>
      <c r="G793" s="300" t="inlineStr">
        <is>
          <t>Restaurant</t>
        </is>
      </c>
      <c r="H793" s="300" t="inlineStr">
        <is>
          <t>Transfer</t>
        </is>
      </c>
      <c r="I793" s="301" t="inlineStr">
        <is>
          <t>✅ Paid</t>
        </is>
      </c>
      <c r="J793" s="423" t="inlineStr">
        <is>
          <t>Impuestos Jun-Ago 2026 pagados desde cuenta empresa</t>
        </is>
      </c>
    </row>
    <row r="794">
      <c r="B794" s="429" t="n">
        <v>46287</v>
      </c>
      <c r="C794" s="297" t="inlineStr">
        <is>
          <t>Honorarios Julio Contador</t>
        </is>
      </c>
      <c r="D794" s="298" t="inlineStr">
        <is>
          <t>Julio Contador</t>
        </is>
      </c>
      <c r="E794" s="297" t="inlineStr">
        <is>
          <t>Professional Services</t>
        </is>
      </c>
      <c r="F794" s="299" t="n">
        <v>3600</v>
      </c>
      <c r="G794" s="300" t="inlineStr">
        <is>
          <t>Restaurant</t>
        </is>
      </c>
      <c r="H794" s="300" t="inlineStr">
        <is>
          <t>Transfer</t>
        </is>
      </c>
      <c r="I794" s="301" t="inlineStr">
        <is>
          <t>✅ Paid</t>
        </is>
      </c>
      <c r="J794" s="423" t="inlineStr">
        <is>
          <t>Honorarios contables pagados desde cuenta empresa</t>
        </is>
      </c>
    </row>
    <row r="795">
      <c r="B795" s="429" t="n">
        <v>46288</v>
      </c>
      <c r="C795" s="297" t="inlineStr">
        <is>
          <t>Avia</t>
        </is>
      </c>
      <c r="D795" s="298" t="inlineStr">
        <is>
          <t>No bill</t>
        </is>
      </c>
      <c r="E795" s="297" t="inlineStr">
        <is>
          <t>Ingredients - Beverages</t>
        </is>
      </c>
      <c r="F795" s="299" t="n">
        <v>600</v>
      </c>
      <c r="G795" s="300" t="inlineStr">
        <is>
          <t>Restaurant</t>
        </is>
      </c>
      <c r="H795" s="300" t="inlineStr">
        <is>
          <t>Cash</t>
        </is>
      </c>
      <c r="I795" s="301" t="inlineStr">
        <is>
          <t>✅ Paid</t>
        </is>
      </c>
      <c r="J795" s="423" t="inlineStr">
        <is>
          <t>No receipt; cash</t>
        </is>
      </c>
    </row>
    <row r="796">
      <c r="B796" s="429" t="n">
        <v>46288</v>
      </c>
      <c r="C796" s="297" t="inlineStr">
        <is>
          <t>Boneless</t>
        </is>
      </c>
      <c r="D796" s="298" t="inlineStr">
        <is>
          <t>No bill</t>
        </is>
      </c>
      <c r="E796" s="297" t="inlineStr">
        <is>
          <t>Ingredients - Meat</t>
        </is>
      </c>
      <c r="F796" s="299" t="n">
        <v>1200</v>
      </c>
      <c r="G796" s="300" t="inlineStr">
        <is>
          <t>Restaurant</t>
        </is>
      </c>
      <c r="H796" s="300" t="inlineStr">
        <is>
          <t>Cash</t>
        </is>
      </c>
      <c r="I796" s="301" t="inlineStr">
        <is>
          <t>✅ Paid</t>
        </is>
      </c>
      <c r="J796" s="423" t="inlineStr">
        <is>
          <t>No receipt; cash</t>
        </is>
      </c>
    </row>
    <row r="797">
      <c r="B797" s="429" t="n">
        <v>46288</v>
      </c>
      <c r="C797" s="297" t="inlineStr">
        <is>
          <t>Carne</t>
        </is>
      </c>
      <c r="D797" s="298" t="inlineStr">
        <is>
          <t>No bill</t>
        </is>
      </c>
      <c r="E797" s="297" t="inlineStr">
        <is>
          <t>Ingredients - Meat</t>
        </is>
      </c>
      <c r="F797" s="299" t="n">
        <v>644</v>
      </c>
      <c r="G797" s="300" t="inlineStr">
        <is>
          <t>Restaurant</t>
        </is>
      </c>
      <c r="H797" s="300" t="inlineStr">
        <is>
          <t>Cash</t>
        </is>
      </c>
      <c r="I797" s="301" t="inlineStr">
        <is>
          <t>✅ Paid</t>
        </is>
      </c>
      <c r="J797" s="423" t="inlineStr">
        <is>
          <t>No receipt; cash</t>
        </is>
      </c>
    </row>
    <row r="798">
      <c r="B798" s="429" t="n">
        <v>46288</v>
      </c>
      <c r="C798" s="297" t="inlineStr">
        <is>
          <t>Guimar</t>
        </is>
      </c>
      <c r="D798" s="298" t="inlineStr">
        <is>
          <t>Guimar Polietilenos</t>
        </is>
      </c>
      <c r="E798" s="297" t="inlineStr">
        <is>
          <t>Packaging/Disposables</t>
        </is>
      </c>
      <c r="F798" s="299" t="n">
        <v>216</v>
      </c>
      <c r="G798" s="300" t="inlineStr">
        <is>
          <t>Restaurant</t>
        </is>
      </c>
      <c r="H798" s="300" t="inlineStr">
        <is>
          <t>Cash</t>
        </is>
      </c>
      <c r="I798" s="301" t="inlineStr">
        <is>
          <t>✅ Paid</t>
        </is>
      </c>
      <c r="J798" s="423" t="inlineStr">
        <is>
          <t>No receipt; cash</t>
        </is>
      </c>
    </row>
    <row r="799">
      <c r="B799" s="429" t="n">
        <v>46288</v>
      </c>
      <c r="C799" s="297" t="inlineStr">
        <is>
          <t>Oxxo Arroz</t>
        </is>
      </c>
      <c r="D799" s="298" t="inlineStr">
        <is>
          <t>OXXO</t>
        </is>
      </c>
      <c r="E799" s="297" t="inlineStr">
        <is>
          <t>Ingredients - Pantry</t>
        </is>
      </c>
      <c r="F799" s="299" t="n">
        <v>130</v>
      </c>
      <c r="G799" s="300" t="inlineStr">
        <is>
          <t>Restaurant</t>
        </is>
      </c>
      <c r="H799" s="300" t="inlineStr">
        <is>
          <t>Cash</t>
        </is>
      </c>
      <c r="I799" s="301" t="inlineStr">
        <is>
          <t>✅ Paid</t>
        </is>
      </c>
      <c r="J799" s="423" t="inlineStr">
        <is>
          <t>No receipt; cash</t>
        </is>
      </c>
    </row>
    <row r="800">
      <c r="B800" s="429" t="n">
        <v>46288</v>
      </c>
      <c r="C800" s="297" t="inlineStr">
        <is>
          <t>Pan Real</t>
        </is>
      </c>
      <c r="D800" s="298" t="inlineStr">
        <is>
          <t>No bill</t>
        </is>
      </c>
      <c r="E800" s="297" t="inlineStr">
        <is>
          <t>Ingredients - Bread</t>
        </is>
      </c>
      <c r="F800" s="299" t="n">
        <v>1706</v>
      </c>
      <c r="G800" s="300" t="inlineStr">
        <is>
          <t>Restaurant</t>
        </is>
      </c>
      <c r="H800" s="300" t="inlineStr">
        <is>
          <t>Cash</t>
        </is>
      </c>
      <c r="I800" s="301" t="inlineStr">
        <is>
          <t>✅ Paid</t>
        </is>
      </c>
      <c r="J800" s="423" t="inlineStr">
        <is>
          <t>No receipt; cash</t>
        </is>
      </c>
    </row>
    <row r="801">
      <c r="B801" s="429" t="n">
        <v>46288</v>
      </c>
      <c r="C801" s="297" t="inlineStr">
        <is>
          <t>Pollo</t>
        </is>
      </c>
      <c r="D801" s="298" t="inlineStr">
        <is>
          <t>No bill</t>
        </is>
      </c>
      <c r="E801" s="297" t="inlineStr">
        <is>
          <t>Ingredients - Meat</t>
        </is>
      </c>
      <c r="F801" s="299" t="n">
        <v>879</v>
      </c>
      <c r="G801" s="300" t="inlineStr">
        <is>
          <t>Lohith</t>
        </is>
      </c>
      <c r="H801" s="300" t="inlineStr">
        <is>
          <t>Cash</t>
        </is>
      </c>
      <c r="I801" s="301" t="inlineStr">
        <is>
          <t>✅ Paid</t>
        </is>
      </c>
      <c r="J801" s="423" t="inlineStr">
        <is>
          <t>Pagado por Lohith (bolsillo); reembolsable via Owner Ledger</t>
        </is>
      </c>
    </row>
    <row r="802">
      <c r="B802" s="429" t="n">
        <v>46289</v>
      </c>
      <c r="C802" s="297" t="inlineStr">
        <is>
          <t>Sams Club</t>
        </is>
      </c>
      <c r="D802" s="298" t="inlineStr">
        <is>
          <t>Sam's Club</t>
        </is>
      </c>
      <c r="E802" s="297" t="inlineStr">
        <is>
          <t>Supermarket/General</t>
        </is>
      </c>
      <c r="F802" s="299" t="n">
        <v>2465</v>
      </c>
      <c r="G802" s="300" t="inlineStr">
        <is>
          <t>Restaurant</t>
        </is>
      </c>
      <c r="H802" s="300" t="inlineStr">
        <is>
          <t>Cash</t>
        </is>
      </c>
      <c r="I802" s="301" t="inlineStr">
        <is>
          <t>✅ Paid</t>
        </is>
      </c>
      <c r="J802" s="423" t="inlineStr">
        <is>
          <t>No receipt; cash</t>
        </is>
      </c>
    </row>
    <row r="803">
      <c r="B803" s="429" t="n">
        <v>46290</v>
      </c>
      <c r="C803" s="297" t="inlineStr">
        <is>
          <t>Vegetables</t>
        </is>
      </c>
      <c r="D803" s="298" t="inlineStr">
        <is>
          <t>No bill</t>
        </is>
      </c>
      <c r="E803" s="297" t="inlineStr">
        <is>
          <t>Ingredients - Vegetables</t>
        </is>
      </c>
      <c r="F803" s="299" t="n">
        <v>138</v>
      </c>
      <c r="G803" s="300" t="inlineStr">
        <is>
          <t>Restaurant</t>
        </is>
      </c>
      <c r="H803" s="300" t="inlineStr">
        <is>
          <t>Cash</t>
        </is>
      </c>
      <c r="I803" s="301" t="inlineStr">
        <is>
          <t>✅ Paid</t>
        </is>
      </c>
      <c r="J803" s="423" t="inlineStr">
        <is>
          <t>No receipt; cash</t>
        </is>
      </c>
    </row>
    <row r="804">
      <c r="B804" s="429" t="n">
        <v>46290</v>
      </c>
      <c r="C804" s="297" t="inlineStr">
        <is>
          <t>Brisa del mar</t>
        </is>
      </c>
      <c r="D804" s="298" t="inlineStr">
        <is>
          <t>Brisa del Mar</t>
        </is>
      </c>
      <c r="E804" s="297" t="inlineStr">
        <is>
          <t>Ingredients - Meat &amp; Fish</t>
        </is>
      </c>
      <c r="F804" s="299" t="n">
        <v>289</v>
      </c>
      <c r="G804" s="300" t="inlineStr">
        <is>
          <t>Restaurant</t>
        </is>
      </c>
      <c r="H804" s="300" t="inlineStr">
        <is>
          <t>Cash</t>
        </is>
      </c>
      <c r="I804" s="301" t="inlineStr">
        <is>
          <t>✅ Paid</t>
        </is>
      </c>
      <c r="J804" s="423" t="inlineStr">
        <is>
          <t>No receipt; cash</t>
        </is>
      </c>
    </row>
    <row r="805">
      <c r="B805" s="429" t="n">
        <v>46290</v>
      </c>
      <c r="C805" s="297" t="inlineStr">
        <is>
          <t>Carne</t>
        </is>
      </c>
      <c r="D805" s="298" t="inlineStr">
        <is>
          <t>No bill</t>
        </is>
      </c>
      <c r="E805" s="297" t="inlineStr">
        <is>
          <t>Ingredients - Meat</t>
        </is>
      </c>
      <c r="F805" s="299" t="n">
        <v>301</v>
      </c>
      <c r="G805" s="300" t="inlineStr">
        <is>
          <t>Restaurant</t>
        </is>
      </c>
      <c r="H805" s="300" t="inlineStr">
        <is>
          <t>Cash</t>
        </is>
      </c>
      <c r="I805" s="301" t="inlineStr">
        <is>
          <t>✅ Paid</t>
        </is>
      </c>
      <c r="J805" s="423" t="inlineStr">
        <is>
          <t>No receipt; cash</t>
        </is>
      </c>
    </row>
    <row r="806">
      <c r="B806" s="429" t="n">
        <v>46290</v>
      </c>
      <c r="C806" s="297" t="inlineStr">
        <is>
          <t>Molino</t>
        </is>
      </c>
      <c r="D806" s="298" t="inlineStr">
        <is>
          <t>No bill</t>
        </is>
      </c>
      <c r="E806" s="297" t="inlineStr">
        <is>
          <t>Supermarket/General</t>
        </is>
      </c>
      <c r="F806" s="299" t="n">
        <v>464</v>
      </c>
      <c r="G806" s="300" t="inlineStr">
        <is>
          <t>Restaurant</t>
        </is>
      </c>
      <c r="H806" s="300" t="inlineStr">
        <is>
          <t>Cash</t>
        </is>
      </c>
      <c r="I806" s="301" t="inlineStr">
        <is>
          <t>✅ Paid</t>
        </is>
      </c>
      <c r="J806" s="423" t="inlineStr">
        <is>
          <t>No receipt; cash</t>
        </is>
      </c>
    </row>
    <row r="807">
      <c r="B807" s="429" t="n">
        <v>46290</v>
      </c>
      <c r="C807" s="297" t="inlineStr">
        <is>
          <t>Chedraui</t>
        </is>
      </c>
      <c r="D807" s="298" t="inlineStr">
        <is>
          <t>Chedraui</t>
        </is>
      </c>
      <c r="E807" s="297" t="inlineStr">
        <is>
          <t>Supermarket/General</t>
        </is>
      </c>
      <c r="F807" s="299" t="n">
        <v>48</v>
      </c>
      <c r="G807" s="300" t="inlineStr">
        <is>
          <t>Restaurant</t>
        </is>
      </c>
      <c r="H807" s="300" t="inlineStr">
        <is>
          <t>Cash</t>
        </is>
      </c>
      <c r="I807" s="301" t="inlineStr">
        <is>
          <t>✅ Paid</t>
        </is>
      </c>
      <c r="J807" s="423" t="inlineStr">
        <is>
          <t>No receipt; cash</t>
        </is>
      </c>
    </row>
    <row r="808">
      <c r="B808" s="429" t="n">
        <v>46291</v>
      </c>
      <c r="C808" s="297" t="inlineStr">
        <is>
          <t>Vegetables</t>
        </is>
      </c>
      <c r="D808" s="298" t="inlineStr">
        <is>
          <t>No bill</t>
        </is>
      </c>
      <c r="E808" s="297" t="inlineStr">
        <is>
          <t>Ingredients - Vegetables</t>
        </is>
      </c>
      <c r="F808" s="299" t="n">
        <v>1066</v>
      </c>
      <c r="G808" s="300" t="inlineStr">
        <is>
          <t>Restaurant</t>
        </is>
      </c>
      <c r="H808" s="300" t="inlineStr">
        <is>
          <t>Cash</t>
        </is>
      </c>
      <c r="I808" s="301" t="inlineStr">
        <is>
          <t>✅ Paid</t>
        </is>
      </c>
      <c r="J808" s="423" t="inlineStr">
        <is>
          <t>No receipt; cash</t>
        </is>
      </c>
    </row>
    <row r="809">
      <c r="B809" s="429" t="n">
        <v>46291</v>
      </c>
      <c r="C809" s="297" t="inlineStr">
        <is>
          <t>Guimar</t>
        </is>
      </c>
      <c r="D809" s="298" t="inlineStr">
        <is>
          <t>Guimar Polietilenos</t>
        </is>
      </c>
      <c r="E809" s="297" t="inlineStr">
        <is>
          <t>Packaging/Disposables</t>
        </is>
      </c>
      <c r="F809" s="299" t="n">
        <v>173</v>
      </c>
      <c r="G809" s="300" t="inlineStr">
        <is>
          <t>Restaurant</t>
        </is>
      </c>
      <c r="H809" s="300" t="inlineStr">
        <is>
          <t>Cash</t>
        </is>
      </c>
      <c r="I809" s="301" t="inlineStr">
        <is>
          <t>✅ Paid</t>
        </is>
      </c>
      <c r="J809" s="423" t="inlineStr">
        <is>
          <t>No receipt; cash</t>
        </is>
      </c>
    </row>
    <row r="810">
      <c r="B810" s="429" t="n">
        <v>46291</v>
      </c>
      <c r="C810" s="297" t="inlineStr">
        <is>
          <t>Basicos</t>
        </is>
      </c>
      <c r="D810" s="298" t="inlineStr">
        <is>
          <t>No bill</t>
        </is>
      </c>
      <c r="E810" s="297" t="inlineStr">
        <is>
          <t>Supermarket/General</t>
        </is>
      </c>
      <c r="F810" s="299" t="n">
        <v>443</v>
      </c>
      <c r="G810" s="300" t="inlineStr">
        <is>
          <t>Restaurant</t>
        </is>
      </c>
      <c r="H810" s="300" t="inlineStr">
        <is>
          <t>Cash</t>
        </is>
      </c>
      <c r="I810" s="301" t="inlineStr">
        <is>
          <t>✅ Paid</t>
        </is>
      </c>
      <c r="J810" s="423" t="inlineStr">
        <is>
          <t>No receipt; cash</t>
        </is>
      </c>
    </row>
    <row r="811">
      <c r="B811" s="429" t="n">
        <v>46291</v>
      </c>
      <c r="C811" s="297" t="inlineStr">
        <is>
          <t>Jhon - salary</t>
        </is>
      </c>
      <c r="D811" s="298" t="inlineStr">
        <is>
          <t>Payroll</t>
        </is>
      </c>
      <c r="E811" s="297" t="inlineStr">
        <is>
          <t>Staff - Salary</t>
        </is>
      </c>
      <c r="F811" s="299" t="n">
        <v>3750</v>
      </c>
      <c r="G811" s="300" t="inlineStr">
        <is>
          <t>Restaurant</t>
        </is>
      </c>
      <c r="H811" s="300" t="inlineStr">
        <is>
          <t>Cash</t>
        </is>
      </c>
      <c r="I811" s="301" t="inlineStr">
        <is>
          <t>✅ Paid</t>
        </is>
      </c>
      <c r="J811" s="423" t="inlineStr">
        <is>
          <t>Weekly salary</t>
        </is>
      </c>
    </row>
    <row r="812">
      <c r="B812" s="429" t="n">
        <v>46291</v>
      </c>
      <c r="C812" s="297" t="inlineStr">
        <is>
          <t>Duvi - salary</t>
        </is>
      </c>
      <c r="D812" s="298" t="inlineStr">
        <is>
          <t>Payroll</t>
        </is>
      </c>
      <c r="E812" s="297" t="inlineStr">
        <is>
          <t>Staff - Salary</t>
        </is>
      </c>
      <c r="F812" s="299" t="n">
        <v>1750</v>
      </c>
      <c r="G812" s="300" t="inlineStr">
        <is>
          <t>Restaurant</t>
        </is>
      </c>
      <c r="H812" s="300" t="inlineStr">
        <is>
          <t>Cash</t>
        </is>
      </c>
      <c r="I812" s="301" t="inlineStr">
        <is>
          <t>✅ Paid</t>
        </is>
      </c>
      <c r="J812" s="423" t="inlineStr">
        <is>
          <t>Weekly salary</t>
        </is>
      </c>
    </row>
    <row r="813">
      <c r="B813" s="429" t="n">
        <v>46291</v>
      </c>
      <c r="C813" s="297" t="inlineStr">
        <is>
          <t>Josias - salary</t>
        </is>
      </c>
      <c r="D813" s="298" t="inlineStr">
        <is>
          <t>Payroll</t>
        </is>
      </c>
      <c r="E813" s="297" t="inlineStr">
        <is>
          <t>Staff - Salary</t>
        </is>
      </c>
      <c r="F813" s="299" t="n">
        <v>2200</v>
      </c>
      <c r="G813" s="300" t="inlineStr">
        <is>
          <t>Restaurant</t>
        </is>
      </c>
      <c r="H813" s="300" t="inlineStr">
        <is>
          <t>Cash</t>
        </is>
      </c>
      <c r="I813" s="301" t="inlineStr">
        <is>
          <t>✅ Paid</t>
        </is>
      </c>
      <c r="J813" s="423" t="inlineStr">
        <is>
          <t>Weekly salary</t>
        </is>
      </c>
    </row>
    <row r="814">
      <c r="B814" s="429" t="n">
        <v>46293</v>
      </c>
      <c r="C814" s="297" t="inlineStr">
        <is>
          <t>Carne</t>
        </is>
      </c>
      <c r="D814" s="298" t="inlineStr">
        <is>
          <t>No bill</t>
        </is>
      </c>
      <c r="E814" s="297" t="inlineStr">
        <is>
          <t>Ingredients - Meat</t>
        </is>
      </c>
      <c r="F814" s="299" t="n">
        <v>596</v>
      </c>
      <c r="G814" s="300" t="inlineStr">
        <is>
          <t>Restaurant</t>
        </is>
      </c>
      <c r="H814" s="300" t="inlineStr">
        <is>
          <t>Cash</t>
        </is>
      </c>
      <c r="I814" s="301" t="inlineStr">
        <is>
          <t>✅ Paid</t>
        </is>
      </c>
      <c r="J814" s="423" t="inlineStr">
        <is>
          <t>No receipt; cash</t>
        </is>
      </c>
    </row>
    <row r="815">
      <c r="B815" s="429" t="n">
        <v>46293</v>
      </c>
      <c r="C815" s="297" t="inlineStr">
        <is>
          <t>Chedraui</t>
        </is>
      </c>
      <c r="D815" s="298" t="inlineStr">
        <is>
          <t>Chedraui</t>
        </is>
      </c>
      <c r="E815" s="297" t="inlineStr">
        <is>
          <t>Supermarket/General</t>
        </is>
      </c>
      <c r="F815" s="299" t="n">
        <v>117</v>
      </c>
      <c r="G815" s="300" t="inlineStr">
        <is>
          <t>Restaurant</t>
        </is>
      </c>
      <c r="H815" s="300" t="inlineStr">
        <is>
          <t>Cash</t>
        </is>
      </c>
      <c r="I815" s="301" t="inlineStr">
        <is>
          <t>✅ Paid</t>
        </is>
      </c>
      <c r="J815" s="423" t="inlineStr">
        <is>
          <t>No receipt; cash</t>
        </is>
      </c>
    </row>
    <row r="816">
      <c r="B816" s="429" t="n">
        <v>46294</v>
      </c>
      <c r="C816" s="297" t="inlineStr">
        <is>
          <t>Mercado Pago machine</t>
        </is>
      </c>
      <c r="D816" s="298" t="inlineStr">
        <is>
          <t>No bill</t>
        </is>
      </c>
      <c r="E816" s="297" t="inlineStr">
        <is>
          <t>Supermarket/General</t>
        </is>
      </c>
      <c r="F816" s="299" t="n">
        <v>399</v>
      </c>
      <c r="G816" s="300" t="inlineStr">
        <is>
          <t>Restaurant</t>
        </is>
      </c>
      <c r="H816" s="300" t="inlineStr">
        <is>
          <t>Cash</t>
        </is>
      </c>
      <c r="I816" s="301" t="inlineStr">
        <is>
          <t>✅ Paid</t>
        </is>
      </c>
      <c r="J816" s="423" t="inlineStr">
        <is>
          <t>No receipt; cash</t>
        </is>
      </c>
    </row>
    <row r="817">
      <c r="B817" s="429" t="n">
        <v>46295</v>
      </c>
      <c r="C817" s="297" t="inlineStr">
        <is>
          <t>Carne</t>
        </is>
      </c>
      <c r="D817" s="298" t="inlineStr">
        <is>
          <t>No bill</t>
        </is>
      </c>
      <c r="E817" s="297" t="inlineStr">
        <is>
          <t>Ingredients - Meat</t>
        </is>
      </c>
      <c r="F817" s="299" t="n">
        <v>743</v>
      </c>
      <c r="G817" s="300" t="inlineStr">
        <is>
          <t>Restaurant</t>
        </is>
      </c>
      <c r="H817" s="300" t="inlineStr">
        <is>
          <t>Cash</t>
        </is>
      </c>
      <c r="I817" s="301" t="inlineStr">
        <is>
          <t>✅ Paid</t>
        </is>
      </c>
      <c r="J817" s="423" t="inlineStr">
        <is>
          <t>No receipt; cash</t>
        </is>
      </c>
    </row>
    <row r="818">
      <c r="B818" s="429" t="n">
        <v>46295</v>
      </c>
      <c r="C818" s="297" t="inlineStr">
        <is>
          <t>Oxxo</t>
        </is>
      </c>
      <c r="D818" s="298" t="inlineStr">
        <is>
          <t>OXXO</t>
        </is>
      </c>
      <c r="E818" s="297" t="inlineStr">
        <is>
          <t>Ingredients - Pantry</t>
        </is>
      </c>
      <c r="F818" s="299" t="n">
        <v>33</v>
      </c>
      <c r="G818" s="300" t="inlineStr">
        <is>
          <t>Restaurant</t>
        </is>
      </c>
      <c r="H818" s="300" t="inlineStr">
        <is>
          <t>Cash</t>
        </is>
      </c>
      <c r="I818" s="301" t="inlineStr">
        <is>
          <t>✅ Paid</t>
        </is>
      </c>
      <c r="J818" s="423" t="inlineStr">
        <is>
          <t>No receipt; cash</t>
        </is>
      </c>
    </row>
    <row r="819">
      <c r="B819" s="429" t="n">
        <v>46295</v>
      </c>
      <c r="C819" s="297" t="inlineStr">
        <is>
          <t>Agua Natural</t>
        </is>
      </c>
      <c r="D819" s="298" t="inlineStr">
        <is>
          <t>No bill</t>
        </is>
      </c>
      <c r="E819" s="297" t="inlineStr">
        <is>
          <t>Ingredients - Beverages</t>
        </is>
      </c>
      <c r="F819" s="299" t="n">
        <v>60</v>
      </c>
      <c r="G819" s="300" t="inlineStr">
        <is>
          <t>Restaurant</t>
        </is>
      </c>
      <c r="H819" s="300" t="inlineStr">
        <is>
          <t>Cash</t>
        </is>
      </c>
      <c r="I819" s="301" t="inlineStr">
        <is>
          <t>✅ Paid</t>
        </is>
      </c>
      <c r="J819" s="423" t="inlineStr">
        <is>
          <t>No receipt; cash</t>
        </is>
      </c>
    </row>
    <row r="820">
      <c r="B820" s="429" t="n">
        <v>46295</v>
      </c>
      <c r="C820" s="297" t="inlineStr">
        <is>
          <t>Cafetera Fiesta</t>
        </is>
      </c>
      <c r="D820" s="298" t="inlineStr">
        <is>
          <t>No bill</t>
        </is>
      </c>
      <c r="E820" s="297" t="inlineStr">
        <is>
          <t>Supplies/Other</t>
        </is>
      </c>
      <c r="F820" s="299" t="n">
        <v>699</v>
      </c>
      <c r="G820" s="300" t="inlineStr">
        <is>
          <t>Restaurant</t>
        </is>
      </c>
      <c r="H820" s="300" t="inlineStr">
        <is>
          <t>Cash</t>
        </is>
      </c>
      <c r="I820" s="301" t="inlineStr">
        <is>
          <t>✅ Paid</t>
        </is>
      </c>
      <c r="J820" s="423" t="inlineStr">
        <is>
          <t>No receipt; cash</t>
        </is>
      </c>
    </row>
    <row r="821">
      <c r="B821" s="429" t="n">
        <v>46296</v>
      </c>
      <c r="C821" s="297" t="inlineStr">
        <is>
          <t>Pollo</t>
        </is>
      </c>
      <c r="D821" s="298" t="inlineStr">
        <is>
          <t>No bill</t>
        </is>
      </c>
      <c r="E821" s="297" t="inlineStr">
        <is>
          <t>Ingredients - Meat</t>
        </is>
      </c>
      <c r="F821" s="299" t="n">
        <v>174</v>
      </c>
      <c r="G821" s="300" t="inlineStr">
        <is>
          <t>Restaurant</t>
        </is>
      </c>
      <c r="H821" s="300" t="inlineStr">
        <is>
          <t>Cash</t>
        </is>
      </c>
      <c r="I821" s="301" t="inlineStr">
        <is>
          <t>✅ Paid</t>
        </is>
      </c>
      <c r="J821" s="423" t="inlineStr">
        <is>
          <t>No receipt; cash</t>
        </is>
      </c>
    </row>
    <row r="822">
      <c r="B822" s="429" t="n">
        <v>46296</v>
      </c>
      <c r="C822" s="297" t="inlineStr">
        <is>
          <t>Oxxo Arrox</t>
        </is>
      </c>
      <c r="D822" s="298" t="inlineStr">
        <is>
          <t>OXXO</t>
        </is>
      </c>
      <c r="E822" s="297" t="inlineStr">
        <is>
          <t>Ingredients - Pantry</t>
        </is>
      </c>
      <c r="F822" s="299" t="n">
        <v>130</v>
      </c>
      <c r="G822" s="300" t="inlineStr">
        <is>
          <t>Restaurant</t>
        </is>
      </c>
      <c r="H822" s="300" t="inlineStr">
        <is>
          <t>Cash</t>
        </is>
      </c>
      <c r="I822" s="301" t="inlineStr">
        <is>
          <t>✅ Paid</t>
        </is>
      </c>
      <c r="J822" s="423" t="inlineStr">
        <is>
          <t>No receipt; cash</t>
        </is>
      </c>
    </row>
    <row r="823">
      <c r="B823" s="429" t="n">
        <v>46296</v>
      </c>
      <c r="C823" s="297" t="inlineStr">
        <is>
          <t>Chedraui</t>
        </is>
      </c>
      <c r="D823" s="298" t="inlineStr">
        <is>
          <t>Chedraui</t>
        </is>
      </c>
      <c r="E823" s="297" t="inlineStr">
        <is>
          <t>Supermarket/General</t>
        </is>
      </c>
      <c r="F823" s="299" t="n">
        <v>443</v>
      </c>
      <c r="G823" s="300" t="inlineStr">
        <is>
          <t>Restaurant</t>
        </is>
      </c>
      <c r="H823" s="300" t="inlineStr">
        <is>
          <t>Cash</t>
        </is>
      </c>
      <c r="I823" s="301" t="inlineStr">
        <is>
          <t>✅ Paid</t>
        </is>
      </c>
      <c r="J823" s="423" t="inlineStr">
        <is>
          <t>No receipt; cash</t>
        </is>
      </c>
    </row>
    <row r="824">
      <c r="B824" s="429" t="n">
        <v>46297</v>
      </c>
      <c r="C824" s="297" t="inlineStr">
        <is>
          <t>Pescado</t>
        </is>
      </c>
      <c r="D824" s="298" t="inlineStr">
        <is>
          <t>No bill</t>
        </is>
      </c>
      <c r="E824" s="297" t="inlineStr">
        <is>
          <t>Ingredients - Meat &amp; Fish</t>
        </is>
      </c>
      <c r="F824" s="299" t="n">
        <v>297</v>
      </c>
      <c r="G824" s="300" t="inlineStr">
        <is>
          <t>Restaurant</t>
        </is>
      </c>
      <c r="H824" s="300" t="inlineStr">
        <is>
          <t>Cash</t>
        </is>
      </c>
      <c r="I824" s="301" t="inlineStr">
        <is>
          <t>✅ Paid</t>
        </is>
      </c>
      <c r="J824" s="423" t="inlineStr">
        <is>
          <t>No receipt; cash</t>
        </is>
      </c>
    </row>
    <row r="825">
      <c r="B825" s="429" t="n">
        <v>46297</v>
      </c>
      <c r="C825" s="297" t="inlineStr">
        <is>
          <t>Duvi - salary</t>
        </is>
      </c>
      <c r="D825" s="298" t="inlineStr">
        <is>
          <t>Payroll</t>
        </is>
      </c>
      <c r="E825" s="297" t="inlineStr">
        <is>
          <t>Staff - Salary</t>
        </is>
      </c>
      <c r="F825" s="299" t="n">
        <v>875</v>
      </c>
      <c r="G825" s="300" t="inlineStr">
        <is>
          <t>Restaurant</t>
        </is>
      </c>
      <c r="H825" s="300" t="inlineStr">
        <is>
          <t>Cash</t>
        </is>
      </c>
      <c r="I825" s="301" t="inlineStr">
        <is>
          <t>✅ Paid</t>
        </is>
      </c>
      <c r="J825" s="423" t="inlineStr">
        <is>
          <t>Weekly salary</t>
        </is>
      </c>
    </row>
    <row r="826">
      <c r="B826" s="429" t="n">
        <v>46297</v>
      </c>
      <c r="C826" s="297" t="inlineStr">
        <is>
          <t>Josias - salary</t>
        </is>
      </c>
      <c r="D826" s="298" t="inlineStr">
        <is>
          <t>Payroll</t>
        </is>
      </c>
      <c r="E826" s="297" t="inlineStr">
        <is>
          <t>Staff - Salary</t>
        </is>
      </c>
      <c r="F826" s="299" t="n">
        <v>1096</v>
      </c>
      <c r="G826" s="300" t="inlineStr">
        <is>
          <t>Restaurant</t>
        </is>
      </c>
      <c r="H826" s="300" t="inlineStr">
        <is>
          <t>Cash</t>
        </is>
      </c>
      <c r="I826" s="301" t="inlineStr">
        <is>
          <t>✅ Paid</t>
        </is>
      </c>
      <c r="J826" s="423" t="inlineStr">
        <is>
          <t>Weekly salary</t>
        </is>
      </c>
    </row>
    <row r="827">
      <c r="B827" s="429" t="n">
        <v>46297</v>
      </c>
      <c r="C827" s="297" t="inlineStr">
        <is>
          <t>Jhon - salary</t>
        </is>
      </c>
      <c r="D827" s="298" t="inlineStr">
        <is>
          <t>Payroll</t>
        </is>
      </c>
      <c r="E827" s="297" t="inlineStr">
        <is>
          <t>Staff - Salary</t>
        </is>
      </c>
      <c r="F827" s="299" t="n">
        <v>3550</v>
      </c>
      <c r="G827" s="300" t="inlineStr">
        <is>
          <t>Restaurant</t>
        </is>
      </c>
      <c r="H827" s="300" t="inlineStr">
        <is>
          <t>Cash</t>
        </is>
      </c>
      <c r="I827" s="301" t="inlineStr">
        <is>
          <t>✅ Paid</t>
        </is>
      </c>
      <c r="J827" s="423" t="inlineStr">
        <is>
          <t>Weekly salary</t>
        </is>
      </c>
    </row>
    <row r="828">
      <c r="B828" s="429" t="n">
        <v>46300</v>
      </c>
      <c r="C828" s="297" t="inlineStr">
        <is>
          <t>Vegetables</t>
        </is>
      </c>
      <c r="D828" s="298" t="inlineStr">
        <is>
          <t>No bill</t>
        </is>
      </c>
      <c r="E828" s="297" t="inlineStr">
        <is>
          <t>Ingredients - Vegetables</t>
        </is>
      </c>
      <c r="F828" s="299" t="n">
        <v>1228</v>
      </c>
      <c r="G828" s="300" t="inlineStr">
        <is>
          <t>Restaurant</t>
        </is>
      </c>
      <c r="H828" s="300" t="inlineStr">
        <is>
          <t>Cash</t>
        </is>
      </c>
      <c r="I828" s="301" t="inlineStr">
        <is>
          <t>✅ Paid</t>
        </is>
      </c>
      <c r="J828" s="423" t="inlineStr">
        <is>
          <t>No receipt; cash</t>
        </is>
      </c>
    </row>
    <row r="829">
      <c r="B829" s="429" t="n">
        <v>46300</v>
      </c>
      <c r="C829" s="297" t="inlineStr">
        <is>
          <t>Chedraui</t>
        </is>
      </c>
      <c r="D829" s="298" t="inlineStr">
        <is>
          <t>Chedraui</t>
        </is>
      </c>
      <c r="E829" s="297" t="inlineStr">
        <is>
          <t>Supermarket/General</t>
        </is>
      </c>
      <c r="F829" s="299" t="n">
        <v>89</v>
      </c>
      <c r="G829" s="300" t="inlineStr">
        <is>
          <t>Restaurant</t>
        </is>
      </c>
      <c r="H829" s="300" t="inlineStr">
        <is>
          <t>Cash</t>
        </is>
      </c>
      <c r="I829" s="301" t="inlineStr">
        <is>
          <t>✅ Paid</t>
        </is>
      </c>
      <c r="J829" s="423" t="inlineStr">
        <is>
          <t>No receipt; cash</t>
        </is>
      </c>
    </row>
    <row r="830">
      <c r="B830" s="429" t="n">
        <v>46300</v>
      </c>
      <c r="C830" s="297" t="inlineStr">
        <is>
          <t>Electricity Bill</t>
        </is>
      </c>
      <c r="D830" s="298" t="inlineStr">
        <is>
          <t>No bill</t>
        </is>
      </c>
      <c r="E830" s="297" t="inlineStr">
        <is>
          <t>Utilities/Electricity</t>
        </is>
      </c>
      <c r="F830" s="299" t="n">
        <v>7710</v>
      </c>
      <c r="G830" s="300" t="inlineStr">
        <is>
          <t>Restaurant</t>
        </is>
      </c>
      <c r="H830" s="300" t="inlineStr">
        <is>
          <t>Cash</t>
        </is>
      </c>
      <c r="I830" s="301" t="inlineStr">
        <is>
          <t>✅ Paid</t>
        </is>
      </c>
      <c r="J830" s="423" t="inlineStr">
        <is>
          <t>No receipt; cash</t>
        </is>
      </c>
    </row>
    <row r="831">
      <c r="B831" s="429" t="n">
        <v>46300</v>
      </c>
      <c r="C831" s="297" t="inlineStr">
        <is>
          <t>Rent</t>
        </is>
      </c>
      <c r="D831" s="298" t="inlineStr">
        <is>
          <t>No bill</t>
        </is>
      </c>
      <c r="E831" s="297" t="inlineStr">
        <is>
          <t>Rent</t>
        </is>
      </c>
      <c r="F831" s="299" t="n">
        <v>19066.68</v>
      </c>
      <c r="G831" s="300" t="inlineStr">
        <is>
          <t>Restaurant</t>
        </is>
      </c>
      <c r="H831" s="300" t="inlineStr">
        <is>
          <t>Cash</t>
        </is>
      </c>
      <c r="I831" s="301" t="inlineStr">
        <is>
          <t>✅ Paid</t>
        </is>
      </c>
      <c r="J831" s="423" t="inlineStr">
        <is>
          <t>No receipt; cash</t>
        </is>
      </c>
    </row>
    <row r="832">
      <c r="B832" s="429" t="n">
        <v>46300</v>
      </c>
      <c r="C832" s="297" t="inlineStr">
        <is>
          <t>Pollo</t>
        </is>
      </c>
      <c r="D832" s="298" t="inlineStr">
        <is>
          <t>No bill</t>
        </is>
      </c>
      <c r="E832" s="297" t="inlineStr">
        <is>
          <t>Ingredients - Meat</t>
        </is>
      </c>
      <c r="F832" s="299" t="n">
        <v>912</v>
      </c>
      <c r="G832" s="300" t="inlineStr">
        <is>
          <t>Lohith</t>
        </is>
      </c>
      <c r="H832" s="300" t="inlineStr">
        <is>
          <t>Cash</t>
        </is>
      </c>
      <c r="I832" s="301" t="inlineStr">
        <is>
          <t>✅ Paid</t>
        </is>
      </c>
      <c r="J832" s="423" t="inlineStr">
        <is>
          <t>Pagado por Lohith (bolsillo); reembolsable via Owner Ledger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tabSelected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0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243.3333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440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1460</v>
      </c>
      <c r="C36" s="201" t="n">
        <v>5840</v>
      </c>
      <c r="D36" s="199" t="inlineStr">
        <is>
          <t>Confirmed 18-Sep-2026 ($1,460/wk)</t>
        </is>
      </c>
    </row>
    <row r="37">
      <c r="A37" t="inlineStr">
        <is>
          <t>Armando — Ayudante Salary</t>
        </is>
      </c>
      <c r="B37" s="199" t="n">
        <v>2200</v>
      </c>
      <c r="C37" s="220" t="n">
        <v>8800</v>
      </c>
      <c r="D37" s="221" t="inlineStr">
        <is>
          <t>Confirmed 18-Sep-2026 ($2,200/wk, Mon-Fri, $440/day)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(contractual $19,066.68/mo from Sep)</t>
        </is>
      </c>
      <c r="B39" s="197" t="n">
        <v>4766.67</v>
      </c>
      <c r="C39" s="198" t="n">
        <v>19066.68</v>
      </c>
      <c r="D39" s="193" t="inlineStr">
        <is>
          <t>Cash basis; weekly = monthly / 4</t>
        </is>
      </c>
    </row>
    <row r="40">
      <c r="A40" s="199" t="inlineStr">
        <is>
          <t>Utilities - CFE + gas + internet + Soft app</t>
        </is>
      </c>
      <c r="B40" s="200" t="n">
        <v>1763.25</v>
      </c>
      <c r="C40" s="201" t="n">
        <v>7053</v>
      </c>
      <c r="D40" s="199" t="inlineStr">
        <is>
          <t>CFE $8,789 bimonthly (~$4,395/mo) + gas $1,500 + internet $349 + Soft $810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Duvi + Armando</t>
        </is>
      </c>
      <c r="B45" s="204">
        <f>B41</f>
        <v/>
      </c>
      <c r="C45" s="204" t="n">
        <v>10500</v>
      </c>
      <c r="D45" s="204">
        <f>B45+C45</f>
        <v/>
      </c>
      <c r="E45" s="204">
        <f>D45/6</f>
        <v/>
      </c>
      <c r="F45" s="204" t="inlineStr">
        <is>
          <t>Payroll $7,410/wk as confirmed 18-Sep</t>
        </is>
      </c>
      <c r="G45" s="204" t="inlineStr">
        <is>
          <t>Break-even = (fixed + variable) / 6 trading days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Current (John + Duvi + Armando)</t>
        </is>
      </c>
      <c r="B49" s="205">
        <f>B41</f>
        <v/>
      </c>
      <c r="C49" s="206" t="n">
        <v>10500</v>
      </c>
      <c r="D49" s="207">
        <f>B49+C49</f>
        <v/>
      </c>
      <c r="E49" s="208">
        <f>D49/6</f>
        <v/>
      </c>
      <c r="F49" s="204" t="n">
        <v>3980</v>
      </c>
      <c r="G49" s="204">
        <f>IF(F49&gt;=E49,"✅ Above break-even","⚠️ Below by $"&amp;TEXT(E49-F49,"#,##0")&amp;"/day")</f>
        <v/>
      </c>
      <c r="H49" t="inlineStr">
        <is>
          <t>F = Sep avg/day to 18-Sep, excl. the one-off $15,896 payment</t>
        </is>
      </c>
    </row>
    <row r="50">
      <c r="A50" s="209" t="inlineStr">
        <is>
          <t>If a mesero is hired (+$2,000/wk)</t>
        </is>
      </c>
      <c r="B50" s="210">
        <f>B41+2000</f>
        <v/>
      </c>
      <c r="C50" s="211" t="n">
        <v>10500</v>
      </c>
      <c r="D50" s="212">
        <f>B50+C50</f>
        <v/>
      </c>
      <c r="E50" s="213">
        <f>D50/6</f>
        <v/>
      </c>
      <c r="F50" s="209">
        <f>F49</f>
        <v/>
      </c>
      <c r="G50" s="209">
        <f>IF(F50&gt;=E50,"✅ Above break-even","⚠️ Below by $"&amp;TEXT(E50-F50,"#,##0")&amp;"/day")</f>
        <v/>
      </c>
      <c r="H50" t="inlineStr">
        <is>
          <t>Scenario only</t>
        </is>
      </c>
    </row>
    <row r="51">
      <c r="A51" s="214" t="inlineStr">
        <is>
          <t>Safety buffer (+15%)</t>
        </is>
      </c>
      <c r="B51" s="215">
        <f>B49</f>
        <v/>
      </c>
      <c r="C51" s="216">
        <f>C49</f>
        <v/>
      </c>
      <c r="D51" s="217">
        <f>D49*1.15</f>
        <v/>
      </c>
      <c r="E51" s="218">
        <f>D51/6</f>
        <v/>
      </c>
      <c r="F51" s="214">
        <f>F49</f>
        <v/>
      </c>
      <c r="G51" s="214">
        <f>IF(F51&gt;=E51,"✅ Above break-even","⚠️ Below by $"&amp;TEXT(E51-F51,"#,##0")&amp;"/day")</f>
        <v/>
      </c>
      <c r="H51" t="inlineStr">
        <is>
          <t>Healthy target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food + supplies, estimated $10,500/wk (Aug actual ~ $10,750/wk).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Rent = contractual $19,066.68/mo from Sep (cash basis). Weekly figures use monthly / 4.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Utilities ~ $7,053/mo from actual bills: CFE $8,789 bimonthly + gas $1,500 + internet $349 + Soft app $810.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Payroll confirmed 18-Sep-2026: John $3,750 + Duvi $1,460 + Armando $2,200 = $7,410/wk.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tabSelected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tabSelected="0"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tabSelected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15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41" t="inlineStr">
        <is>
          <t>LOKA — MONTHLY P&amp;L   (live formulas — auto-updates from Daily Log &amp; Expenses)</t>
        </is>
      </c>
      <c r="B1" s="423" t="n"/>
      <c r="C1" s="423" t="n"/>
      <c r="D1" s="423" t="n"/>
      <c r="E1" s="423" t="n"/>
      <c r="F1" s="423" t="n"/>
      <c r="G1" s="42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5" t="inlineStr">
        <is>
          <t>Oct 2026</t>
        </is>
      </c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7">
        <f>SUMIFS('📅 Daily Log'!$F$8:$F$5000,'📅 Daily Log'!$B$8:$B$5000,"&gt;="&amp;DATE(2026,10,1),'📅 Daily Log'!$B$8:$B$5000,"&lt;"&amp;DATE(2026,11,1))</f>
        <v/>
      </c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7">
        <f>SUMIFS('💸 Expenses'!$F$8:$F$5000,'💸 Expenses'!$B$8:$B$5000,"&gt;="&amp;DATE(2026,10,1),'💸 Expenses'!$B$8:$B$5000,"&lt;"&amp;DATE(2026,11,1))</f>
        <v/>
      </c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8">
        <f>G4-G5</f>
        <v/>
      </c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40">
        <f>COUNTIFS('📅 Daily Log'!$F$8:$F$5000,"&gt;0",'📅 Daily Log'!$B$8:$B$5000,"&gt;="&amp;DATE(2026,10,1),'📅 Daily Log'!$B$8:$B$5000,"&lt;"&amp;DATE(2026,11,1))</f>
        <v/>
      </c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7">
        <f>IFERROR(G4/G7,0)</f>
        <v/>
      </c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5" t="inlineStr">
        <is>
          <t>Oct 2026</t>
        </is>
      </c>
      <c r="H10" s="433" t="n"/>
      <c r="I10" s="433" t="n"/>
      <c r="J10" s="433" t="n"/>
      <c r="K10" s="433" t="n"/>
      <c r="L10" s="433" t="n"/>
    </row>
    <row r="11">
      <c r="A11" s="439" t="inlineStr">
        <is>
          <t>Card (MP + Soft + BBVA)</t>
        </is>
      </c>
      <c r="B11" s="437">
        <f>SUMIFS('📅 Daily Log'!$D$8:$D$5000,'📅 Daily Log'!$B$8:$B$5000,"&gt;="&amp;DATE(2026,5,1),'📅 Daily Log'!$B$8:$B$5000,"&lt;"&amp;DATE(2026,6,1))+SUMIFS('📅 Daily Log'!$U$8:$U$5000,'📅 Daily Log'!$B$8:$B$5000,"&gt;="&amp;DATE(2026,5,1),'📅 Daily Log'!$B$8:$B$5000,"&lt;"&amp;DATE(2026,6,1))+SUMIFS('📅 Daily Log'!$Y$8:$Y$5000,'📅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Log'!$B$8:$B$5000,"&lt;"&amp;DATE(2026,7,1))+SUMIFS('📅 Daily Log'!$U$8:$U$5000,'📅 Daily Log'!$B$8:$B$5000,"&gt;="&amp;DATE(2026,6,1),'📅 Daily Log'!$B$8:$B$5000,"&lt;"&amp;DATE(2026,7,1))+SUMIFS('📅 Daily Log'!$Y$8:$Y$5000,'📅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Log'!$B$8:$B$5000,"&lt;"&amp;DATE(2026,8,1))+SUMIFS('📅 Daily Log'!$U$8:$U$5000,'📅 Daily Log'!$B$8:$B$5000,"&gt;="&amp;DATE(2026,7,1),'📅 Daily Log'!$B$8:$B$5000,"&lt;"&amp;DATE(2026,8,1))+SUMIFS('📅 Daily Log'!$Y$8:$Y$5000,'📅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Log'!$B$8:$B$5000,"&lt;"&amp;DATE(2026,9,1))+SUMIFS('📅 Daily Log'!$U$8:$U$5000,'📅 Daily Log'!$B$8:$B$5000,"&gt;="&amp;DATE(2026,8,1),'📅 Daily Log'!$B$8:$B$5000,"&lt;"&amp;DATE(2026,9,1))+SUMIFS('📅 Daily Log'!$Y$8:$Y$5000,'📅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Log'!$B$8:$B$5000,"&lt;"&amp;DATE(2026,10,1))+SUMIFS('📅 Daily Log'!$U$8:$U$5000,'📅 Daily Log'!$B$8:$B$5000,"&gt;="&amp;DATE(2026,9,1),'📅 Daily Log'!$B$8:$B$5000,"&lt;"&amp;DATE(2026,10,1))+SUMIFS('📅 Daily Log'!$Y$8:$Y$5000,'📅 Daily Log'!$B$8:$B$5000,"&gt;="&amp;DATE(2026,9,1),'📅 Daily Log'!$B$8:$B$5000,"&lt;"&amp;DATE(2026,10,1))</f>
        <v/>
      </c>
      <c r="G11" s="437">
        <f>SUMIFS('📅 Daily Log'!$D$8:$D$5000,'📅 Daily Log'!$B$8:$B$5000,"&gt;="&amp;DATE(2026,10,1),'📅 Daily Log'!$B$8:$B$5000,"&lt;"&amp;DATE(2026,11,1))+SUMIFS('📅 Daily Log'!$U$8:$U$5000,'📅 Daily Log'!$B$8:$B$5000,"&gt;="&amp;DATE(2026,10,1),'📅 Daily Log'!$B$8:$B$5000,"&lt;"&amp;DATE(2026,11,1))+SUMIFS('📅 Daily Log'!$Y$8:$Y$5000,'📅 Daily Log'!$B$8:$B$5000,"&gt;="&amp;DATE(2026,10,1),'📅 Daily Log'!$B$8:$B$5000,"&lt;"&amp;DATE(2026,11,1))</f>
        <v/>
      </c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7">
        <f>SUMIFS('📅 Daily Log'!$E$8:$E$5000,'📅 Daily Log'!$B$8:$B$5000,"&gt;="&amp;DATE(2026,10,1),'📅 Daily Log'!$B$8:$B$5000,"&lt;"&amp;DATE(2026,11,1))</f>
        <v/>
      </c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7">
        <f>SUMIFS('📅 Daily Log'!$G$8:$G$5000,'📅 Daily Log'!$B$8:$B$5000,"&gt;="&amp;DATE(2026,10,1),'📅 Daily Log'!$B$8:$B$5000,"&lt;"&amp;DATE(2026,11,1))</f>
        <v/>
      </c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8">
        <f>G11+G12+G13</f>
        <v/>
      </c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5" t="inlineStr">
        <is>
          <t>Oct 2026</t>
        </is>
      </c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7">
        <f>SUMIFS('💸 Expenses'!$F$8:$F$5000,'💸 Expenses'!$E$8:$E$5000,$A17,'💸 Expenses'!$B$8:$B$5000,"&gt;="&amp;DATE(2026,10,1),'💸 Expenses'!$B$8:$B$5000,"&lt;"&amp;DATE(2026,11,1))</f>
        <v/>
      </c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7">
        <f>SUMIFS('💸 Expenses'!$F$8:$F$5000,'💸 Expenses'!$E$8:$E$5000,$A18,'💸 Expenses'!$B$8:$B$5000,"&gt;="&amp;DATE(2026,10,1),'💸 Expenses'!$B$8:$B$5000,"&lt;"&amp;DATE(2026,11,1))</f>
        <v/>
      </c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7">
        <f>SUMIFS('💸 Expenses'!$F$8:$F$5000,'💸 Expenses'!$E$8:$E$5000,$A19,'💸 Expenses'!$B$8:$B$5000,"&gt;="&amp;DATE(2026,10,1),'💸 Expenses'!$B$8:$B$5000,"&lt;"&amp;DATE(2026,11,1))</f>
        <v/>
      </c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7">
        <f>SUMIFS('💸 Expenses'!$F$8:$F$5000,'💸 Expenses'!$E$8:$E$5000,$A20,'💸 Expenses'!$B$8:$B$5000,"&gt;="&amp;DATE(2026,10,1),'💸 Expenses'!$B$8:$B$5000,"&lt;"&amp;DATE(2026,11,1))</f>
        <v/>
      </c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7">
        <f>SUMIFS('💸 Expenses'!$F$8:$F$5000,'💸 Expenses'!$E$8:$E$5000,$A21,'💸 Expenses'!$B$8:$B$5000,"&gt;="&amp;DATE(2026,10,1),'💸 Expenses'!$B$8:$B$5000,"&lt;"&amp;DATE(2026,11,1))</f>
        <v/>
      </c>
      <c r="H21" s="433" t="n"/>
      <c r="I21" s="433" t="n"/>
      <c r="J21" s="433" t="n"/>
      <c r="K21" s="433" t="n"/>
      <c r="L21" s="433" t="n"/>
    </row>
    <row r="22">
      <c r="A22" s="439" t="inlineStr">
        <is>
          <t>Utilities/Electricity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7">
        <f>SUMIFS('💸 Expenses'!$F$8:$F$5000,'💸 Expenses'!$E$8:$E$5000,$A22,'💸 Expenses'!$B$8:$B$5000,"&gt;="&amp;DATE(2026,10,1),'💸 Expenses'!$B$8:$B$5000,"&lt;"&amp;DATE(2026,11,1))</f>
        <v/>
      </c>
      <c r="H22" s="433" t="n"/>
      <c r="I22" s="433" t="n"/>
      <c r="J22" s="433" t="n"/>
      <c r="K22" s="433" t="n"/>
      <c r="L22" s="433" t="n"/>
    </row>
    <row r="23">
      <c r="A23" s="439" t="inlineStr">
        <is>
          <t>Taxes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7">
        <f>SUMIFS('💸 Expenses'!$F$8:$F$5000,'💸 Expenses'!$E$8:$E$5000,$A23,'💸 Expenses'!$B$8:$B$5000,"&gt;="&amp;DATE(2026,10,1),'💸 Expenses'!$B$8:$B$5000,"&lt;"&amp;DATE(2026,11,1))</f>
        <v/>
      </c>
      <c r="H23" s="433" t="n"/>
      <c r="I23" s="433" t="n"/>
      <c r="J23" s="433" t="n"/>
      <c r="K23" s="433" t="n"/>
      <c r="L23" s="433" t="n"/>
    </row>
    <row r="24">
      <c r="A24" s="439" t="inlineStr">
        <is>
          <t>Ingredients - Pantry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7">
        <f>SUMIFS('💸 Expenses'!$F$8:$F$5000,'💸 Expenses'!$E$8:$E$5000,$A24,'💸 Expenses'!$B$8:$B$5000,"&gt;="&amp;DATE(2026,10,1),'💸 Expenses'!$B$8:$B$5000,"&lt;"&amp;DATE(2026,11,1))</f>
        <v/>
      </c>
      <c r="H24" s="433" t="n"/>
      <c r="I24" s="433" t="n"/>
      <c r="J24" s="433" t="n"/>
      <c r="K24" s="433" t="n"/>
      <c r="L24" s="433" t="n"/>
    </row>
    <row r="25">
      <c r="A25" s="439" t="inlineStr">
        <is>
          <t>Ingredients - Bread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7">
        <f>SUMIFS('💸 Expenses'!$F$8:$F$5000,'💸 Expenses'!$E$8:$E$5000,$A25,'💸 Expenses'!$B$8:$B$5000,"&gt;="&amp;DATE(2026,10,1),'💸 Expenses'!$B$8:$B$5000,"&lt;"&amp;DATE(2026,11,1))</f>
        <v/>
      </c>
      <c r="H25" s="433" t="n"/>
      <c r="I25" s="433" t="n"/>
      <c r="J25" s="433" t="n"/>
      <c r="K25" s="433" t="n"/>
      <c r="L25" s="433" t="n"/>
    </row>
    <row r="26">
      <c r="A26" s="439" t="inlineStr">
        <is>
          <t>Ingredients - Beverages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7">
        <f>SUMIFS('💸 Expenses'!$F$8:$F$5000,'💸 Expenses'!$E$8:$E$5000,$A26,'💸 Expenses'!$B$8:$B$5000,"&gt;="&amp;DATE(2026,10,1),'💸 Expenses'!$B$8:$B$5000,"&lt;"&amp;DATE(2026,11,1))</f>
        <v/>
      </c>
      <c r="H26" s="433" t="n"/>
      <c r="I26" s="433" t="n"/>
      <c r="J26" s="433" t="n"/>
      <c r="K26" s="433" t="n"/>
      <c r="L26" s="433" t="n"/>
    </row>
    <row r="27">
      <c r="A27" s="439" t="inlineStr">
        <is>
          <t>Ingredients - Dairy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7">
        <f>SUMIFS('💸 Expenses'!$F$8:$F$5000,'💸 Expenses'!$E$8:$E$5000,$A27,'💸 Expenses'!$B$8:$B$5000,"&gt;="&amp;DATE(2026,10,1),'💸 Expenses'!$B$8:$B$5000,"&lt;"&amp;DATE(2026,11,1))</f>
        <v/>
      </c>
      <c r="H27" s="433" t="n"/>
      <c r="I27" s="433" t="n"/>
      <c r="J27" s="433" t="n"/>
      <c r="K27" s="433" t="n"/>
      <c r="L27" s="433" t="n"/>
    </row>
    <row r="28">
      <c r="A28" s="439" t="inlineStr">
        <is>
          <t>Ingredients - Meat &amp; Fish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7">
        <f>SUMIFS('💸 Expenses'!$F$8:$F$5000,'💸 Expenses'!$E$8:$E$5000,$A28,'💸 Expenses'!$B$8:$B$5000,"&gt;="&amp;DATE(2026,10,1),'💸 Expenses'!$B$8:$B$5000,"&lt;"&amp;DATE(2026,11,1))</f>
        <v/>
      </c>
      <c r="H28" s="433" t="n"/>
      <c r="I28" s="433" t="n"/>
      <c r="J28" s="433" t="n"/>
      <c r="K28" s="433" t="n"/>
      <c r="L28" s="433" t="n"/>
    </row>
    <row r="29">
      <c r="A29" s="439" t="inlineStr">
        <is>
          <t>Supplies/Other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7">
        <f>SUMIFS('💸 Expenses'!$F$8:$F$5000,'💸 Expenses'!$E$8:$E$5000,$A29,'💸 Expenses'!$B$8:$B$5000,"&gt;="&amp;DATE(2026,10,1),'💸 Expenses'!$B$8:$B$5000,"&lt;"&amp;DATE(2026,11,1))</f>
        <v/>
      </c>
      <c r="H29" s="433" t="n"/>
      <c r="I29" s="433" t="n"/>
      <c r="J29" s="433" t="n"/>
      <c r="K29" s="433" t="n"/>
      <c r="L29" s="433" t="n"/>
    </row>
    <row r="30">
      <c r="A30" s="439" t="inlineStr">
        <is>
          <t>Maintenance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7">
        <f>SUMIFS('💸 Expenses'!$F$8:$F$5000,'💸 Expenses'!$E$8:$E$5000,$A30,'💸 Expenses'!$B$8:$B$5000,"&gt;="&amp;DATE(2026,10,1),'💸 Expenses'!$B$8:$B$5000,"&lt;"&amp;DATE(2026,11,1))</f>
        <v/>
      </c>
      <c r="H30" s="433" t="n"/>
      <c r="I30" s="433" t="n"/>
      <c r="J30" s="433" t="n"/>
      <c r="K30" s="433" t="n"/>
      <c r="L30" s="433" t="n"/>
    </row>
    <row r="31">
      <c r="A31" s="439" t="inlineStr">
        <is>
          <t>Packaging/Disposables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7">
        <f>SUMIFS('💸 Expenses'!$F$8:$F$5000,'💸 Expenses'!$E$8:$E$5000,$A31,'💸 Expenses'!$B$8:$B$5000,"&gt;="&amp;DATE(2026,10,1),'💸 Expenses'!$B$8:$B$5000,"&lt;"&amp;DATE(2026,11,1))</f>
        <v/>
      </c>
      <c r="H31" s="433" t="n"/>
      <c r="I31" s="433" t="n"/>
      <c r="J31" s="433" t="n"/>
      <c r="K31" s="433" t="n"/>
      <c r="L31" s="433" t="n"/>
    </row>
    <row r="32">
      <c r="A32" s="439" t="inlineStr">
        <is>
          <t>Utilities/Gas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7">
        <f>SUMIFS('💸 Expenses'!$F$8:$F$5000,'💸 Expenses'!$E$8:$E$5000,$A32,'💸 Expenses'!$B$8:$B$5000,"&gt;="&amp;DATE(2026,10,1),'💸 Expenses'!$B$8:$B$5000,"&lt;"&amp;DATE(2026,11,1))</f>
        <v/>
      </c>
      <c r="H32" s="433" t="n"/>
      <c r="I32" s="433" t="n"/>
      <c r="J32" s="433" t="n"/>
      <c r="K32" s="433" t="n"/>
      <c r="L32" s="433" t="n"/>
    </row>
    <row r="33">
      <c r="A33" s="439" t="inlineStr">
        <is>
          <t>Kitchen Supplies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7">
        <f>SUMIFS('💸 Expenses'!$F$8:$F$5000,'💸 Expenses'!$E$8:$E$5000,$A33,'💸 Expenses'!$B$8:$B$5000,"&gt;="&amp;DATE(2026,10,1),'💸 Expenses'!$B$8:$B$5000,"&lt;"&amp;DATE(2026,11,1))</f>
        <v/>
      </c>
      <c r="H33" s="433" t="n"/>
      <c r="I33" s="433" t="n"/>
      <c r="J33" s="433" t="n"/>
      <c r="K33" s="433" t="n"/>
      <c r="L33" s="433" t="n"/>
    </row>
    <row r="34">
      <c r="A34" s="439" t="inlineStr">
        <is>
          <t>Professional Services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7">
        <f>SUMIFS('💸 Expenses'!$F$8:$F$5000,'💸 Expenses'!$E$8:$E$5000,$A34,'💸 Expenses'!$B$8:$B$5000,"&gt;="&amp;DATE(2026,10,1),'💸 Expenses'!$B$8:$B$5000,"&lt;"&amp;DATE(2026,11,1))</f>
        <v/>
      </c>
      <c r="H34" s="433" t="n"/>
      <c r="I34" s="433" t="n"/>
      <c r="J34" s="433" t="n"/>
      <c r="K34" s="433" t="n"/>
      <c r="L34" s="433" t="n"/>
    </row>
    <row r="35">
      <c r="A35" s="439" t="inlineStr">
        <is>
          <t>Ingredients - Fruit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7">
        <f>SUMIFS('💸 Expenses'!$F$8:$F$5000,'💸 Expenses'!$E$8:$E$5000,$A35,'💸 Expenses'!$B$8:$B$5000,"&gt;="&amp;DATE(2026,10,1),'💸 Expenses'!$B$8:$B$5000,"&lt;"&amp;DATE(2026,11,1))</f>
        <v/>
      </c>
      <c r="H35" s="433" t="n"/>
      <c r="I35" s="433" t="n"/>
      <c r="J35" s="433" t="n"/>
      <c r="K35" s="433" t="n"/>
      <c r="L35" s="433" t="n"/>
    </row>
    <row r="36">
      <c r="A36" s="439" t="inlineStr">
        <is>
          <t>Utilities/Internet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7">
        <f>SUMIFS('💸 Expenses'!$F$8:$F$5000,'💸 Expenses'!$E$8:$E$5000,$A36,'💸 Expenses'!$B$8:$B$5000,"&gt;="&amp;DATE(2026,10,1),'💸 Expenses'!$B$8:$B$5000,"&lt;"&amp;DATE(2026,11,1))</f>
        <v/>
      </c>
      <c r="H36" s="433" t="n"/>
      <c r="I36" s="433" t="n"/>
      <c r="J36" s="433" t="n"/>
      <c r="K36" s="433" t="n"/>
      <c r="L36" s="433" t="n"/>
    </row>
    <row r="37">
      <c r="A37" s="439" t="inlineStr">
        <is>
          <t>Office Supplies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7">
        <f>SUMIFS('💸 Expenses'!$F$8:$F$5000,'💸 Expenses'!$E$8:$E$5000,$A37,'💸 Expenses'!$B$8:$B$5000,"&gt;="&amp;DATE(2026,10,1),'💸 Expenses'!$B$8:$B$5000,"&lt;"&amp;DATE(2026,11,1))</f>
        <v/>
      </c>
      <c r="H37" s="433" t="n"/>
      <c r="I37" s="433" t="n"/>
      <c r="J37" s="433" t="n"/>
      <c r="K37" s="433" t="n"/>
      <c r="L37" s="433" t="n"/>
    </row>
    <row r="38">
      <c r="A38" s="439" t="inlineStr">
        <is>
          <t>Ingredients - Other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7">
        <f>SUMIFS('💸 Expenses'!$F$8:$F$5000,'💸 Expenses'!$E$8:$E$5000,$A38,'💸 Expenses'!$B$8:$B$5000,"&gt;="&amp;DATE(2026,10,1),'💸 Expenses'!$B$8:$B$5000,"&lt;"&amp;DATE(2026,11,1))</f>
        <v/>
      </c>
      <c r="H38" s="433" t="n"/>
      <c r="I38" s="433" t="n"/>
      <c r="J38" s="433" t="n"/>
      <c r="K38" s="433" t="n"/>
      <c r="L38" s="433" t="n"/>
    </row>
    <row r="39">
      <c r="A39" s="439" t="inlineStr">
        <is>
          <t>Software/Subscription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7">
        <f>SUMIFS('💸 Expenses'!$F$8:$F$5000,'💸 Expenses'!$E$8:$E$5000,$A39,'💸 Expenses'!$B$8:$B$5000,"&gt;="&amp;DATE(2026,10,1),'💸 Expenses'!$B$8:$B$5000,"&lt;"&amp;DATE(2026,11,1))</f>
        <v/>
      </c>
      <c r="H39" s="433" t="n"/>
      <c r="I39" s="433" t="n"/>
      <c r="J39" s="433" t="n"/>
      <c r="K39" s="433" t="n"/>
      <c r="L39" s="433" t="n"/>
    </row>
    <row r="40">
      <c r="A40" s="439" t="inlineStr">
        <is>
          <t>Staff - Advance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7">
        <f>SUMIFS('💸 Expenses'!$F$8:$F$5000,'💸 Expenses'!$E$8:$E$5000,$A40,'💸 Expenses'!$B$8:$B$5000,"&gt;="&amp;DATE(2026,10,1),'💸 Expenses'!$B$8:$B$5000,"&lt;"&amp;DATE(2026,11,1))</f>
        <v/>
      </c>
      <c r="H40" s="433" t="n"/>
      <c r="I40" s="433" t="n"/>
      <c r="J40" s="433" t="n"/>
      <c r="K40" s="433" t="n"/>
      <c r="L40" s="433" t="n"/>
    </row>
    <row r="41">
      <c r="A41" s="439" t="inlineStr">
        <is>
          <t>Ingredients - Eggs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7">
        <f>SUMIFS('💸 Expenses'!$F$8:$F$5000,'💸 Expenses'!$E$8:$E$5000,$A41,'💸 Expenses'!$B$8:$B$5000,"&gt;="&amp;DATE(2026,10,1),'💸 Expenses'!$B$8:$B$5000,"&lt;"&amp;DATE(2026,11,1))</f>
        <v/>
      </c>
      <c r="H41" s="433" t="n"/>
      <c r="I41" s="433" t="n"/>
      <c r="J41" s="433" t="n"/>
      <c r="K41" s="433" t="n"/>
      <c r="L41" s="433" t="n"/>
    </row>
    <row r="42">
      <c r="A42" s="439" t="inlineStr">
        <is>
          <t>Ingredients - Desserts</t>
        </is>
      </c>
      <c r="B42" s="437">
        <f>SUMIFS('💸 Expenses'!$F$8:$F$5000,'💸 Expenses'!$E$8:$E$5000,$A42,'💸 Expenses'!$B$8:$B$5000,"&gt;="&amp;DATE(2026,5,1),'💸 Expenses'!$B$8:$B$5000,"&lt;"&amp;DATE(2026,6,1))</f>
        <v/>
      </c>
      <c r="C42" s="437">
        <f>SUMIFS('💸 Expenses'!$F$8:$F$5000,'💸 Expenses'!$E$8:$E$5000,$A42,'💸 Expenses'!$B$8:$B$5000,"&gt;="&amp;DATE(2026,6,1),'💸 Expenses'!$B$8:$B$5000,"&lt;"&amp;DATE(2026,7,1))</f>
        <v/>
      </c>
      <c r="D42" s="437">
        <f>SUMIFS('💸 Expenses'!$F$8:$F$5000,'💸 Expenses'!$E$8:$E$5000,$A42,'💸 Expenses'!$B$8:$B$5000,"&gt;="&amp;DATE(2026,7,1),'💸 Expenses'!$B$8:$B$5000,"&lt;"&amp;DATE(2026,8,1))</f>
        <v/>
      </c>
      <c r="E42" s="437">
        <f>SUMIFS('💸 Expenses'!$F$8:$F$5000,'💸 Expenses'!$E$8:$E$5000,$A42,'💸 Expenses'!$B$8:$B$5000,"&gt;="&amp;DATE(2026,8,1),'💸 Expenses'!$B$8:$B$5000,"&lt;"&amp;DATE(2026,9,1))</f>
        <v/>
      </c>
      <c r="F42" s="437">
        <f>SUMIFS('💸 Expenses'!$F$8:$F$5000,'💸 Expenses'!$E$8:$E$5000,$A42,'💸 Expenses'!$B$8:$B$5000,"&gt;="&amp;DATE(2026,9,1),'💸 Expenses'!$B$8:$B$5000,"&lt;"&amp;DATE(2026,10,1))</f>
        <v/>
      </c>
      <c r="G42" s="437">
        <f>SUMIFS('💸 Expenses'!$F$8:$F$5000,'💸 Expenses'!$E$8:$E$5000,$A42,'💸 Expenses'!$B$8:$B$5000,"&gt;="&amp;DATE(2026,10,1),'💸 Expenses'!$B$8:$B$5000,"&lt;"&amp;DATE(2026,11,1))</f>
        <v/>
      </c>
      <c r="H42" s="433" t="n"/>
      <c r="I42" s="433" t="n"/>
      <c r="J42" s="433" t="n"/>
      <c r="K42" s="433" t="n"/>
      <c r="L42" s="433" t="n"/>
    </row>
    <row r="43">
      <c r="A43" s="439" t="inlineStr">
        <is>
          <t>Staff - Propinas</t>
        </is>
      </c>
      <c r="B43" s="437">
        <f>SUMIFS('💸 Expenses'!$F$8:$F$5000,'💸 Expenses'!$E$8:$E$5000,$A43,'💸 Expenses'!$B$8:$B$5000,"&gt;="&amp;DATE(2026,5,1),'💸 Expenses'!$B$8:$B$5000,"&lt;"&amp;DATE(2026,6,1))</f>
        <v/>
      </c>
      <c r="C43" s="437">
        <f>SUMIFS('💸 Expenses'!$F$8:$F$5000,'💸 Expenses'!$E$8:$E$5000,$A43,'💸 Expenses'!$B$8:$B$5000,"&gt;="&amp;DATE(2026,6,1),'💸 Expenses'!$B$8:$B$5000,"&lt;"&amp;DATE(2026,7,1))</f>
        <v/>
      </c>
      <c r="D43" s="437">
        <f>SUMIFS('💸 Expenses'!$F$8:$F$5000,'💸 Expenses'!$E$8:$E$5000,$A43,'💸 Expenses'!$B$8:$B$5000,"&gt;="&amp;DATE(2026,7,1),'💸 Expenses'!$B$8:$B$5000,"&lt;"&amp;DATE(2026,8,1))</f>
        <v/>
      </c>
      <c r="E43" s="437">
        <f>SUMIFS('💸 Expenses'!$F$8:$F$5000,'💸 Expenses'!$E$8:$E$5000,$A43,'💸 Expenses'!$B$8:$B$5000,"&gt;="&amp;DATE(2026,8,1),'💸 Expenses'!$B$8:$B$5000,"&lt;"&amp;DATE(2026,9,1))</f>
        <v/>
      </c>
      <c r="F43" s="437">
        <f>SUMIFS('💸 Expenses'!$F$8:$F$5000,'💸 Expenses'!$E$8:$E$5000,$A43,'💸 Expenses'!$B$8:$B$5000,"&gt;="&amp;DATE(2026,9,1),'💸 Expenses'!$B$8:$B$5000,"&lt;"&amp;DATE(2026,10,1))</f>
        <v/>
      </c>
      <c r="G43" s="437">
        <f>SUMIFS('💸 Expenses'!$F$8:$F$5000,'💸 Expenses'!$E$8:$E$5000,$A43,'💸 Expenses'!$B$8:$B$5000,"&gt;="&amp;DATE(2026,10,1),'💸 Expenses'!$B$8:$B$5000,"&lt;"&amp;DATE(2026,11,1))</f>
        <v/>
      </c>
      <c r="H43" s="433" t="n"/>
      <c r="I43" s="433" t="n"/>
      <c r="J43" s="433" t="n"/>
      <c r="K43" s="433" t="n"/>
      <c r="L43" s="433" t="n"/>
    </row>
    <row r="44">
      <c r="A44" s="436" t="inlineStr">
        <is>
          <t>TOTAL EXPENSES</t>
        </is>
      </c>
      <c r="B44" s="438">
        <f>SUMIFS('💸 Expenses'!$F$8:$F$5000,'💸 Expenses'!$B$8:$B$5000,"&gt;="&amp;DATE(2026,5,1),'💸 Expenses'!$B$8:$B$5000,"&lt;"&amp;DATE(2026,6,1))</f>
        <v/>
      </c>
      <c r="C44" s="438">
        <f>SUMIFS('💸 Expenses'!$F$8:$F$5000,'💸 Expenses'!$B$8:$B$5000,"&gt;="&amp;DATE(2026,6,1),'💸 Expenses'!$B$8:$B$5000,"&lt;"&amp;DATE(2026,7,1))</f>
        <v/>
      </c>
      <c r="D44" s="438">
        <f>SUMIFS('💸 Expenses'!$F$8:$F$5000,'💸 Expenses'!$B$8:$B$5000,"&gt;="&amp;DATE(2026,7,1),'💸 Expenses'!$B$8:$B$5000,"&lt;"&amp;DATE(2026,8,1))</f>
        <v/>
      </c>
      <c r="E44" s="438">
        <f>SUMIFS('💸 Expenses'!$F$8:$F$5000,'💸 Expenses'!$B$8:$B$5000,"&gt;="&amp;DATE(2026,8,1),'💸 Expenses'!$B$8:$B$5000,"&lt;"&amp;DATE(2026,9,1))</f>
        <v/>
      </c>
      <c r="F44" s="438">
        <f>SUMIFS('💸 Expenses'!$F$8:$F$5000,'💸 Expenses'!$B$8:$B$5000,"&gt;="&amp;DATE(2026,9,1),'💸 Expenses'!$B$8:$B$5000,"&lt;"&amp;DATE(2026,10,1))</f>
        <v/>
      </c>
      <c r="G44" s="438">
        <f>SUMIFS('💸 Expenses'!$F$8:$F$5000,'💸 Expenses'!$B$8:$B$5000,"&gt;="&amp;DATE(2026,10,1),'💸 Expenses'!$B$8:$B$5000,"&lt;"&amp;DATE(2026,11,1))</f>
        <v/>
      </c>
      <c r="H44" s="433" t="n"/>
      <c r="I44" s="433" t="n"/>
      <c r="J44" s="433" t="n"/>
      <c r="K44" s="433" t="n"/>
      <c r="L44" s="433" t="n"/>
    </row>
    <row r="45">
      <c r="A45" s="436" t="inlineStr">
        <is>
          <t>NET PROFIT / LOSS</t>
        </is>
      </c>
      <c r="B45" s="438">
        <f>B4-B44</f>
        <v/>
      </c>
      <c r="C45" s="438">
        <f>C4-C44</f>
        <v/>
      </c>
      <c r="D45" s="438">
        <f>D4-D44</f>
        <v/>
      </c>
      <c r="E45" s="438">
        <f>E4-E44</f>
        <v/>
      </c>
      <c r="F45" s="438">
        <f>F4-F44</f>
        <v/>
      </c>
      <c r="G45" s="438">
        <f>G4-G44</f>
        <v/>
      </c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G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tabSelected="0"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0"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Settlement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Settled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n">
        <v>46269</v>
      </c>
      <c r="B81" s="232" t="inlineStr">
        <is>
          <t>Settlement - restaurant paid Lohith</t>
        </is>
      </c>
      <c r="C81" s="232" t="inlineStr">
        <is>
          <t>Settlement</t>
        </is>
      </c>
      <c r="D81" s="232" t="n"/>
      <c r="E81" s="233" t="n">
        <v>650.5</v>
      </c>
      <c r="F81" s="233">
        <f>IFERROR(F80+D81-E81,0)</f>
        <v/>
      </c>
      <c r="G81" s="232" t="inlineStr">
        <is>
          <t>✅ Settled</t>
        </is>
      </c>
      <c r="H81" s="232" t="inlineStr">
        <is>
          <t>Ledger settled from operating cash</t>
        </is>
      </c>
    </row>
    <row r="82">
      <c r="A82" s="430" t="n">
        <v>46272</v>
      </c>
      <c r="B82" s="232" t="inlineStr">
        <is>
          <t>Wallmart $123 (paid by Lohith)</t>
        </is>
      </c>
      <c r="C82" s="232" t="inlineStr">
        <is>
          <t>Expense - Personal</t>
        </is>
      </c>
      <c r="D82" s="232" t="n">
        <v>123</v>
      </c>
      <c r="E82" s="233" t="n"/>
      <c r="F82" s="233">
        <f>IFERROR(F81+D82-E82,0)</f>
        <v/>
      </c>
      <c r="G82" s="232" t="inlineStr">
        <is>
          <t>⏳ Reimburse</t>
        </is>
      </c>
      <c r="H82" s="232" t="inlineStr">
        <is>
          <t>Fronted from own pocket; excluded from till via cash_adjust</t>
        </is>
      </c>
    </row>
    <row r="83">
      <c r="A83" s="430" t="n">
        <v>46273</v>
      </c>
      <c r="B83" s="232" t="inlineStr">
        <is>
          <t>Transfer-to-me (customer payment 08-Sep)</t>
        </is>
      </c>
      <c r="C83" s="232" t="inlineStr">
        <is>
          <t>Transfer Received</t>
        </is>
      </c>
      <c r="D83" s="232" t="n"/>
      <c r="E83" s="233" t="n">
        <v>275</v>
      </c>
      <c r="F83" s="233">
        <f>IFERROR(F82+D83-E83,0)</f>
        <v/>
      </c>
      <c r="G83" s="232" t="inlineStr">
        <is>
          <t>✅ Received</t>
        </is>
      </c>
      <c r="H83" s="232" t="inlineStr">
        <is>
          <t>Customer paid Lohith personal acct</t>
        </is>
      </c>
    </row>
    <row r="84">
      <c r="A84" s="430" t="n">
        <v>46274</v>
      </c>
      <c r="B84" s="232" t="inlineStr">
        <is>
          <t>Transfer-to-me (customer payment 09-Sep)</t>
        </is>
      </c>
      <c r="C84" s="232" t="inlineStr">
        <is>
          <t>Transfer Received</t>
        </is>
      </c>
      <c r="D84" s="232" t="n"/>
      <c r="E84" s="233" t="n">
        <v>250</v>
      </c>
      <c r="F84" s="233">
        <f>IFERROR(F83+D84-E84,0)</f>
        <v/>
      </c>
      <c r="G84" s="232" t="inlineStr">
        <is>
          <t>✅ Received</t>
        </is>
      </c>
      <c r="H84" s="232" t="inlineStr">
        <is>
          <t>Customer paid Lohith personal acct</t>
        </is>
      </c>
    </row>
    <row r="85">
      <c r="A85" s="430" t="n">
        <v>46275</v>
      </c>
      <c r="B85" s="232" t="inlineStr">
        <is>
          <t>Transfer-to-me (customer payment 10-Sep)</t>
        </is>
      </c>
      <c r="C85" s="232" t="inlineStr">
        <is>
          <t>Transfer Received</t>
        </is>
      </c>
      <c r="D85" s="232" t="n"/>
      <c r="E85" s="233" t="n">
        <v>120</v>
      </c>
      <c r="F85" s="233">
        <f>IFERROR(F84+D85-E85,0)</f>
        <v/>
      </c>
      <c r="G85" s="232" t="inlineStr">
        <is>
          <t>✅ Received</t>
        </is>
      </c>
      <c r="H85" s="232" t="inlineStr">
        <is>
          <t>Customer paid Lohith personal acct</t>
        </is>
      </c>
    </row>
    <row r="86">
      <c r="A86" s="430" t="n">
        <v>46276</v>
      </c>
      <c r="B86" s="232" t="inlineStr">
        <is>
          <t>Transfer-to-me (customer payment 11-Sep)</t>
        </is>
      </c>
      <c r="C86" s="232" t="inlineStr">
        <is>
          <t>Transfer Received</t>
        </is>
      </c>
      <c r="D86" s="232" t="n"/>
      <c r="E86" s="233" t="n">
        <v>1010</v>
      </c>
      <c r="F86" s="233">
        <f>IFERROR(F85+D86-E86,0)</f>
        <v/>
      </c>
      <c r="G86" s="232" t="inlineStr">
        <is>
          <t>✅ Received</t>
        </is>
      </c>
      <c r="H86" s="232" t="inlineStr">
        <is>
          <t>Customer paid Lohith personal acct</t>
        </is>
      </c>
    </row>
    <row r="87">
      <c r="A87" s="430" t="n">
        <v>46279</v>
      </c>
      <c r="B87" s="232" t="inlineStr">
        <is>
          <t>Transfer-to-me (customer payment 14-Sep)</t>
        </is>
      </c>
      <c r="C87" s="232" t="inlineStr">
        <is>
          <t>Transfer Received</t>
        </is>
      </c>
      <c r="D87" s="232" t="n"/>
      <c r="E87" s="233" t="n">
        <v>130</v>
      </c>
      <c r="F87" s="233">
        <f>IFERROR(F86+D87-E87,0)</f>
        <v/>
      </c>
      <c r="G87" s="232" t="inlineStr">
        <is>
          <t>✅ Received</t>
        </is>
      </c>
      <c r="H87" s="232" t="inlineStr">
        <is>
          <t>Customer paid Lohith personal acct</t>
        </is>
      </c>
    </row>
    <row r="88">
      <c r="A88" s="430" t="n">
        <v>46282</v>
      </c>
      <c r="B88" s="232" t="inlineStr">
        <is>
          <t>Transfer-to-me (customer payment 17-Sep)</t>
        </is>
      </c>
      <c r="C88" s="232" t="inlineStr">
        <is>
          <t>Transfer Received</t>
        </is>
      </c>
      <c r="D88" s="232" t="n"/>
      <c r="E88" s="233" t="n">
        <v>260</v>
      </c>
      <c r="F88" s="233">
        <f>IFERROR(F87+D88-E88,0)</f>
        <v/>
      </c>
      <c r="G88" s="232" t="inlineStr">
        <is>
          <t>✅ Received</t>
        </is>
      </c>
      <c r="H88" s="232" t="inlineStr">
        <is>
          <t>Customer paid Lohith personal acct</t>
        </is>
      </c>
    </row>
    <row r="89">
      <c r="A89" s="430" t="n">
        <v>46282</v>
      </c>
      <c r="B89" s="232" t="inlineStr">
        <is>
          <t>Pollo $977 (paid by Lohith)</t>
        </is>
      </c>
      <c r="C89" s="232" t="inlineStr">
        <is>
          <t>Expense - Personal</t>
        </is>
      </c>
      <c r="D89" s="232" t="n">
        <v>977</v>
      </c>
      <c r="E89" s="233" t="n"/>
      <c r="F89" s="233">
        <f>IFERROR(F88+D89-E89,0)</f>
        <v/>
      </c>
      <c r="G89" s="232" t="inlineStr">
        <is>
          <t>⏳ Reimburse</t>
        </is>
      </c>
      <c r="H89" s="232" t="inlineStr">
        <is>
          <t>Fronted from own pocket; excluded from till via cash_adjust</t>
        </is>
      </c>
    </row>
    <row r="90">
      <c r="A90" s="430" t="n">
        <v>46282</v>
      </c>
      <c r="B90" s="232" t="inlineStr">
        <is>
          <t>Pollo $183 (paid by Lohith)</t>
        </is>
      </c>
      <c r="C90" s="232" t="inlineStr">
        <is>
          <t>Expense - Personal</t>
        </is>
      </c>
      <c r="D90" s="232" t="n">
        <v>183</v>
      </c>
      <c r="E90" s="233" t="n"/>
      <c r="F90" s="233">
        <f>IFERROR(F89+D90-E90,0)</f>
        <v/>
      </c>
      <c r="G90" s="232" t="inlineStr">
        <is>
          <t>⏳ Reimburse</t>
        </is>
      </c>
      <c r="H90" s="232" t="inlineStr">
        <is>
          <t>Fronted from own pocket; excluded from till via cash_adjust</t>
        </is>
      </c>
    </row>
    <row r="91">
      <c r="A91" s="430" t="n">
        <v>46282</v>
      </c>
      <c r="B91" s="232" t="inlineStr">
        <is>
          <t>Transfer-to-me (customer payment 17-Sep)</t>
        </is>
      </c>
      <c r="C91" s="232" t="inlineStr">
        <is>
          <t>Transfer Received</t>
        </is>
      </c>
      <c r="D91" s="232" t="n"/>
      <c r="E91" s="233" t="n">
        <v>15896</v>
      </c>
      <c r="F91" s="233">
        <f>IFERROR(F90+D91-E91,0)</f>
        <v/>
      </c>
      <c r="G91" s="232" t="inlineStr">
        <is>
          <t>✅ Received</t>
        </is>
      </c>
      <c r="H91" s="232" t="inlineStr">
        <is>
          <t>Customer paid Lohith personal acct</t>
        </is>
      </c>
    </row>
    <row r="92">
      <c r="A92" s="430" t="n">
        <v>46283</v>
      </c>
      <c r="B92" s="232" t="inlineStr">
        <is>
          <t>Internet $349 (paid by Lohith)</t>
        </is>
      </c>
      <c r="C92" s="232" t="inlineStr">
        <is>
          <t>Expense - Personal</t>
        </is>
      </c>
      <c r="D92" s="232" t="n">
        <v>349</v>
      </c>
      <c r="E92" s="233" t="n"/>
      <c r="F92" s="233">
        <f>IFERROR(F91+D92-E92,0)</f>
        <v/>
      </c>
      <c r="G92" s="232" t="inlineStr">
        <is>
          <t>⏳ Reimburse</t>
        </is>
      </c>
      <c r="H92" s="232" t="inlineStr">
        <is>
          <t>Fronted from own pocket; excluded from till via cash_adjust</t>
        </is>
      </c>
    </row>
    <row r="93">
      <c r="A93" s="430" t="n">
        <v>46283</v>
      </c>
      <c r="B93" s="232" t="inlineStr">
        <is>
          <t>Settlement - Lohith returned restaurant money</t>
        </is>
      </c>
      <c r="C93" s="232" t="inlineStr">
        <is>
          <t>Settlement</t>
        </is>
      </c>
      <c r="D93" s="232" t="n">
        <v>12000</v>
      </c>
      <c r="E93" s="233" t="n"/>
      <c r="F93" s="233">
        <f>IFERROR(F92+D93-E93,0)</f>
        <v/>
      </c>
      <c r="G93" s="232" t="inlineStr">
        <is>
          <t>✅ Settled</t>
        </is>
      </c>
      <c r="H93" s="232" t="inlineStr">
        <is>
          <t>Lohith handed back cash he was holding</t>
        </is>
      </c>
    </row>
    <row r="94">
      <c r="A94" s="430" t="n">
        <v>46283</v>
      </c>
      <c r="B94" s="232" t="inlineStr">
        <is>
          <t>Settlement - Lohith returned restaurant money</t>
        </is>
      </c>
      <c r="C94" s="232" t="inlineStr">
        <is>
          <t>Settlement</t>
        </is>
      </c>
      <c r="D94" s="232" t="n">
        <v>2778.53</v>
      </c>
      <c r="E94" s="233" t="n"/>
      <c r="F94" s="233">
        <f>IFERROR(F93+D94-E94,0)</f>
        <v/>
      </c>
      <c r="G94" s="232" t="inlineStr">
        <is>
          <t>✅ Settled</t>
        </is>
      </c>
      <c r="H94" s="232" t="inlineStr">
        <is>
          <t>Lohith handed back cash he was holding</t>
        </is>
      </c>
    </row>
    <row r="95">
      <c r="A95" s="430" t="n">
        <v>46286</v>
      </c>
      <c r="B95" s="232" t="inlineStr">
        <is>
          <t>Pollo $404 (paid by Lohith)</t>
        </is>
      </c>
      <c r="C95" s="232" t="inlineStr">
        <is>
          <t>Expense - Personal</t>
        </is>
      </c>
      <c r="D95" s="232" t="n">
        <v>404</v>
      </c>
      <c r="E95" s="233" t="n"/>
      <c r="F95" s="233">
        <f>IFERROR(F94+D95-E95,0)</f>
        <v/>
      </c>
      <c r="G95" s="232" t="inlineStr">
        <is>
          <t>⏳ Reimburse</t>
        </is>
      </c>
      <c r="H95" s="232" t="inlineStr">
        <is>
          <t>Fronted from own pocket; excluded from till via cash_adjust</t>
        </is>
      </c>
    </row>
    <row r="96">
      <c r="A96" s="430" t="n">
        <v>46286</v>
      </c>
      <c r="B96" s="232" t="inlineStr">
        <is>
          <t>Transfer-to-me (customer payment 21-Sep, corrected from Cash)</t>
        </is>
      </c>
      <c r="C96" s="232" t="inlineStr">
        <is>
          <t>Transfer Received</t>
        </is>
      </c>
      <c r="D96" s="232" t="n"/>
      <c r="E96" s="233" t="n">
        <v>260</v>
      </c>
      <c r="F96" s="233">
        <f>IFERROR(F95+D96-E96,0)</f>
        <v/>
      </c>
      <c r="G96" s="232" t="inlineStr">
        <is>
          <t>✅ Received</t>
        </is>
      </c>
      <c r="H96" s="232" t="inlineStr">
        <is>
          <t>Moved from Cash via tools.py move</t>
        </is>
      </c>
    </row>
    <row r="97">
      <c r="A97" s="430" t="n">
        <v>46288</v>
      </c>
      <c r="B97" s="232" t="inlineStr">
        <is>
          <t>Pollo $879 (paid by Lohith)</t>
        </is>
      </c>
      <c r="C97" s="232" t="inlineStr">
        <is>
          <t>Expense - Personal</t>
        </is>
      </c>
      <c r="D97" s="232" t="n">
        <v>879</v>
      </c>
      <c r="E97" s="233" t="n"/>
      <c r="F97" s="233">
        <f>IFERROR(F96+D97-E97,0)</f>
        <v/>
      </c>
      <c r="G97" s="232" t="inlineStr">
        <is>
          <t>⏳ Reimburse</t>
        </is>
      </c>
      <c r="H97" s="232" t="inlineStr">
        <is>
          <t>Fronted from own pocket; excluded from till via cash_adjust</t>
        </is>
      </c>
    </row>
    <row r="98">
      <c r="A98" s="430" t="n">
        <v>46294</v>
      </c>
      <c r="B98" s="232" t="inlineStr">
        <is>
          <t>Transfer-to-me (customer payment 29-Sep)</t>
        </is>
      </c>
      <c r="C98" s="232" t="inlineStr">
        <is>
          <t>Transfer Received</t>
        </is>
      </c>
      <c r="D98" s="232" t="n"/>
      <c r="E98" s="233" t="n">
        <v>432</v>
      </c>
      <c r="F98" s="233">
        <f>IFERROR(F97+D98-E98,0)</f>
        <v/>
      </c>
      <c r="G98" s="232" t="inlineStr">
        <is>
          <t>✅ Received</t>
        </is>
      </c>
      <c r="H98" s="232" t="inlineStr">
        <is>
          <t>Customer paid Lohith personal acct</t>
        </is>
      </c>
    </row>
    <row r="99">
      <c r="A99" s="430" t="n">
        <v>46295</v>
      </c>
      <c r="B99" s="232" t="inlineStr">
        <is>
          <t>Transfer-to-me (customer payment 30-Sep)</t>
        </is>
      </c>
      <c r="C99" s="232" t="inlineStr">
        <is>
          <t>Transfer Received</t>
        </is>
      </c>
      <c r="D99" s="232" t="n"/>
      <c r="E99" s="233" t="n">
        <v>530</v>
      </c>
      <c r="F99" s="233">
        <f>IFERROR(F98+D99-E99,0)</f>
        <v/>
      </c>
      <c r="G99" s="232" t="inlineStr">
        <is>
          <t>✅ Received</t>
        </is>
      </c>
      <c r="H99" s="232" t="inlineStr">
        <is>
          <t>Customer paid Lohith personal acct</t>
        </is>
      </c>
    </row>
    <row r="100">
      <c r="A100" s="430" t="n">
        <v>46296</v>
      </c>
      <c r="B100" s="232" t="inlineStr">
        <is>
          <t>Transfer-to-me (customer payment 01-Oct)</t>
        </is>
      </c>
      <c r="C100" s="232" t="inlineStr">
        <is>
          <t>Transfer Received</t>
        </is>
      </c>
      <c r="D100" s="232" t="n"/>
      <c r="E100" s="233" t="n">
        <v>130</v>
      </c>
      <c r="F100" s="233">
        <f>IFERROR(F99+D100-E100,0)</f>
        <v/>
      </c>
      <c r="G100" s="232" t="inlineStr">
        <is>
          <t>✅ Received</t>
        </is>
      </c>
      <c r="H100" s="232" t="inlineStr">
        <is>
          <t>Customer paid Lohith personal acct</t>
        </is>
      </c>
    </row>
    <row r="101">
      <c r="A101" s="430" t="n">
        <v>46297</v>
      </c>
      <c r="B101" s="232" t="inlineStr">
        <is>
          <t>Settlement - Lohith returned restaurant money</t>
        </is>
      </c>
      <c r="C101" s="232" t="inlineStr">
        <is>
          <t>Settlement</t>
        </is>
      </c>
      <c r="D101" s="232" t="n">
        <v>1599.47</v>
      </c>
      <c r="E101" s="233" t="n"/>
      <c r="F101" s="233">
        <f>IFERROR(F100+D101-E101,0)</f>
        <v/>
      </c>
      <c r="G101" s="232" t="inlineStr">
        <is>
          <t>✅ Settled</t>
        </is>
      </c>
      <c r="H101" s="232" t="inlineStr">
        <is>
          <t>Lohith handed back cash he was holding</t>
        </is>
      </c>
    </row>
    <row r="102">
      <c r="A102" s="430" t="n">
        <v>46300</v>
      </c>
      <c r="B102" s="232" t="inlineStr">
        <is>
          <t>Transfer-to-me (customer payment 05-Oct)</t>
        </is>
      </c>
      <c r="C102" s="232" t="inlineStr">
        <is>
          <t>Transfer Received</t>
        </is>
      </c>
      <c r="D102" s="232" t="n"/>
      <c r="E102" s="233" t="n">
        <v>965</v>
      </c>
      <c r="F102" s="233">
        <f>IFERROR(F101+D102-E102,0)</f>
        <v/>
      </c>
      <c r="G102" s="232" t="inlineStr">
        <is>
          <t>✅ Received</t>
        </is>
      </c>
      <c r="H102" s="232" t="inlineStr">
        <is>
          <t>Customer paid Lohith personal acct</t>
        </is>
      </c>
    </row>
    <row r="103">
      <c r="A103" s="430" t="n">
        <v>46300</v>
      </c>
      <c r="B103" s="232" t="inlineStr">
        <is>
          <t>Pollo $912 (paid by Lohith)</t>
        </is>
      </c>
      <c r="C103" s="232" t="inlineStr">
        <is>
          <t>Expense - Personal</t>
        </is>
      </c>
      <c r="D103" s="232" t="n">
        <v>912</v>
      </c>
      <c r="E103" s="233" t="n"/>
      <c r="F103" s="233">
        <f>IFERROR(F102+D103-E103,0)</f>
        <v/>
      </c>
      <c r="G103" s="232" t="inlineStr">
        <is>
          <t>⏳ Reimburse</t>
        </is>
      </c>
      <c r="H103" s="232" t="inlineStr">
        <is>
          <t>Fronted from own pocket; excluded from till via cash_adjust</t>
        </is>
      </c>
    </row>
    <row r="104">
      <c r="A104" s="430" t="inlineStr">
        <is>
          <t>TOTALS &amp; CURRENT BALANCE</t>
        </is>
      </c>
      <c r="B104" s="232" t="n"/>
      <c r="C104" s="232" t="n"/>
      <c r="D104" s="232">
        <f>SUM(D4:D103)</f>
        <v/>
      </c>
      <c r="E104" s="233">
        <f>SUM(E4:E103)</f>
        <v/>
      </c>
      <c r="F104" s="233">
        <f>F103</f>
        <v/>
      </c>
      <c r="G104" s="232">
        <f>IF(F103&gt;0,"Restaurant owes Lohith $"&amp;TEXT(F103,"#,##0"),IF(F103&lt;0,"Lohith holds $"&amp;TEXT(ABS(F103),"#,##0"),"Zero balance"))</f>
        <v/>
      </c>
      <c r="H104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2026-10-06T01:50:57Z</dcterms:modified>
  <cp:lastModifiedBy>LOHITH REDDY</cp:lastModifiedBy>
</cp:coreProperties>
</file>