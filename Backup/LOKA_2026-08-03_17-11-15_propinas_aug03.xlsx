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4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5" fontId="46" fillId="19" borderId="15" applyAlignment="1" pivotButton="0" quotePrefix="0" xfId="0">
      <alignment horizontal="center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>3738.0</v>
      </c>
      <c r="G6" s="31">
        <f>SUMIFS($G$8:$G$5000,$B$8:$B$5000,TODAY())</f>
        <v>225.0</v>
      </c>
      <c r="H6" s="28">
        <f>SUMIFS($H$8:$H$5000,$B$8:$B$5000,TODAY())</f>
        <v>7208.0</v>
      </c>
      <c r="I6" s="32">
        <f>F6-H6</f>
        <v>-3470.0</v>
      </c>
      <c r="J6">
        <f>IFERROR(I6/F6,0)</f>
        <v>-0.928304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24227.0</v>
      </c>
      <c r="N6" s="33">
        <f>SUMPRODUCT((ISNUMBER($B$8:$B$5000))*($B$8:$B$5000&gt;=TODAY()-MOD(TODAY()-2,7))*($B$8:$B$5000&lt;TODAY()-MOD(TODAY()-2,7)+7)*IF(ISNUMBER($F$8:$F$5000),$F$8:$F$5000,0))</f>
        <v>24227.0</v>
      </c>
      <c r="O6" s="33">
        <f>SUMPRODUCT((ISNUMBER($B$8:$B$5000))*(MONTH($B$8:$B$5000)=MONTH(TODAY()))*(YEAR($B$8:$B$5000)=YEAR(TODAY()))*IF(ISNUMBER($F$8:$F$5000),$F$8:$F$5000,0))</f>
        <v>3738.0</v>
      </c>
      <c r="P6">
        <f>SUMPRODUCT((ISNUMBER($B$8:$B$5000))*($B$8:$B$5000&gt;=TODAY()-MOD(TODAY()-2,7))*($B$8:$B$5000&lt;TODAY()-MOD(TODAY()-2,7)+7)*IF(ISNUMBER($H$8:$H$5000),$H$8:$H$5000,0))</f>
        <v>13396.0</v>
      </c>
      <c r="Q6">
        <f>M6-P6</f>
        <v>10831.0</v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>0.0</v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>0.0</v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>0.0</v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>0.0</v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>0.0</v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>0.0</v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>0.0</v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>93.79</v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>68.82</v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>99.67</v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>6.29</v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420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434" t="n"/>
      <c r="N74" s="435" t="n"/>
      <c r="O74" s="436" t="n"/>
      <c r="P74" s="437" t="n"/>
      <c r="Q74" s="435" t="n"/>
      <c r="R74" s="438">
        <f>IFERROR(D74*$T$7,0)</f>
        <v>44.66</v>
      </c>
      <c r="S74" s="435" t="n"/>
      <c r="T74" s="435" t="n"/>
      <c r="U74" s="438" t="n">
        <v>0</v>
      </c>
      <c r="V74" s="438" t="n">
        <v>0</v>
      </c>
      <c r="W74" s="435" t="n"/>
      <c r="X74" s="435" t="n"/>
      <c r="Y74" s="438" t="n">
        <v>0</v>
      </c>
      <c r="Z74" s="438" t="n">
        <v>0</v>
      </c>
      <c r="AA74" s="435" t="n"/>
      <c r="AB74" s="435" t="n"/>
    </row>
    <row r="75" ht="16.5" customHeight="1" s="313">
      <c r="B75" s="420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421">
        <f>IFERROR(D75*$T$7,0)</f>
        <v>130.12</v>
      </c>
      <c r="S75" s="292" t="n"/>
      <c r="T75" s="292" t="n"/>
      <c r="U75" s="421" t="n">
        <v>0</v>
      </c>
      <c r="V75" s="421" t="n">
        <v>0</v>
      </c>
      <c r="W75" s="292" t="n"/>
      <c r="X75" s="292" t="n"/>
      <c r="Y75" s="421" t="n">
        <v>350</v>
      </c>
      <c r="Z75" s="421" t="n">
        <v>6.65</v>
      </c>
      <c r="AA75" s="292" t="n"/>
      <c r="AB75" s="292" t="n"/>
    </row>
    <row r="76" ht="16.5" customHeight="1" s="313">
      <c r="B76" s="420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434" t="n"/>
      <c r="N76" s="435" t="n"/>
      <c r="O76" s="436" t="n"/>
      <c r="P76" s="437" t="n"/>
      <c r="Q76" s="435" t="n"/>
      <c r="R76" s="438">
        <f>IFERROR(D76*$T$7,0)</f>
        <v>99.67</v>
      </c>
      <c r="S76" s="435" t="n"/>
      <c r="T76" s="435" t="n"/>
      <c r="U76" s="438" t="n">
        <v>0</v>
      </c>
      <c r="V76" s="438" t="n">
        <v>0</v>
      </c>
      <c r="W76" s="435" t="n"/>
      <c r="X76" s="435" t="n"/>
      <c r="Y76" s="438" t="n">
        <v>0</v>
      </c>
      <c r="Z76" s="438" t="n">
        <v>0</v>
      </c>
      <c r="AA76" s="435" t="n"/>
      <c r="AB76" s="435" t="n"/>
    </row>
    <row r="77" ht="16.5" customHeight="1" s="313">
      <c r="B77" s="420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421">
        <f>IFERROR(D77*$T$7,0)</f>
        <v>78.93</v>
      </c>
      <c r="S77" s="292" t="n"/>
      <c r="T77" s="292" t="n"/>
      <c r="U77" s="421" t="n">
        <v>0</v>
      </c>
      <c r="V77" s="421" t="n">
        <v>0</v>
      </c>
      <c r="W77" s="292" t="n"/>
      <c r="X77" s="292" t="n"/>
      <c r="Y77" s="421" t="n">
        <v>0</v>
      </c>
      <c r="Z77" s="421" t="n">
        <v>0</v>
      </c>
      <c r="AA77" s="292" t="n"/>
      <c r="AB77" s="292" t="n"/>
    </row>
    <row r="78" ht="16.5" customHeight="1" s="313">
      <c r="B78" s="420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434" t="n"/>
      <c r="N78" s="435" t="n"/>
      <c r="O78" s="436" t="n"/>
      <c r="P78" s="437" t="n"/>
      <c r="Q78" s="435" t="n"/>
      <c r="R78" s="438">
        <f>IFERROR(D78*$T$7,0)</f>
        <v>101.5</v>
      </c>
      <c r="S78" s="435" t="n"/>
      <c r="T78" s="435" t="n"/>
      <c r="U78" s="438" t="n">
        <v>0</v>
      </c>
      <c r="V78" s="438" t="n">
        <v>0</v>
      </c>
      <c r="W78" s="435" t="n"/>
      <c r="X78" s="435" t="n"/>
      <c r="Y78" s="438" t="n">
        <v>0</v>
      </c>
      <c r="Z78" s="438" t="n">
        <v>0</v>
      </c>
      <c r="AA78" s="435" t="n"/>
      <c r="AB78" s="435" t="n"/>
    </row>
    <row r="79" ht="16.5" customHeight="1" s="313">
      <c r="B79" s="420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421">
        <f>IFERROR(D79*$T$7,0)</f>
        <v>90.86</v>
      </c>
      <c r="S79" s="292" t="n"/>
      <c r="T79" s="292" t="n"/>
      <c r="U79" s="421" t="n">
        <v>0</v>
      </c>
      <c r="V79" s="421" t="n">
        <v>0</v>
      </c>
      <c r="W79" s="292" t="n"/>
      <c r="X79" s="292" t="n"/>
      <c r="Y79" s="421" t="n">
        <v>0</v>
      </c>
      <c r="Z79" s="421" t="n">
        <v>0</v>
      </c>
      <c r="AA79" s="292" t="n"/>
      <c r="AB79" s="292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7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  <row r="546">
      <c r="B546" s="422" t="n">
        <v>46230</v>
      </c>
      <c r="C546" s="305" t="inlineStr">
        <is>
          <t>Agua Natural</t>
        </is>
      </c>
      <c r="D546" s="306" t="inlineStr">
        <is>
          <t>No bill</t>
        </is>
      </c>
      <c r="E546" s="305" t="inlineStr">
        <is>
          <t>Ingredients - Beverages</t>
        </is>
      </c>
      <c r="F546" s="307" t="n">
        <v>60</v>
      </c>
      <c r="G546" s="308" t="inlineStr">
        <is>
          <t>Restaurant</t>
        </is>
      </c>
      <c r="H546" s="308" t="inlineStr">
        <is>
          <t>Cash</t>
        </is>
      </c>
      <c r="I546" s="309" t="inlineStr">
        <is>
          <t>✅ Paid</t>
        </is>
      </c>
      <c r="J546" s="418" t="inlineStr">
        <is>
          <t>No receipt; cash</t>
        </is>
      </c>
    </row>
    <row r="547">
      <c r="B547" s="422" t="n">
        <v>46230</v>
      </c>
      <c r="C547" s="305" t="inlineStr">
        <is>
          <t>Sams Club</t>
        </is>
      </c>
      <c r="D547" s="306" t="inlineStr">
        <is>
          <t>Sam's Club</t>
        </is>
      </c>
      <c r="E547" s="305" t="inlineStr">
        <is>
          <t>Supermarket/General</t>
        </is>
      </c>
      <c r="F547" s="307" t="n">
        <v>491</v>
      </c>
      <c r="G547" s="308" t="inlineStr">
        <is>
          <t>Restaurant</t>
        </is>
      </c>
      <c r="H547" s="308" t="inlineStr">
        <is>
          <t>Cash</t>
        </is>
      </c>
      <c r="I547" s="309" t="inlineStr">
        <is>
          <t>✅ Paid</t>
        </is>
      </c>
      <c r="J547" s="418" t="inlineStr">
        <is>
          <t>No receipt; cash</t>
        </is>
      </c>
    </row>
    <row r="548">
      <c r="B548" s="422" t="n">
        <v>46230</v>
      </c>
      <c r="C548" s="305" t="inlineStr">
        <is>
          <t>Chedruai</t>
        </is>
      </c>
      <c r="D548" s="306" t="inlineStr">
        <is>
          <t>Chedraui</t>
        </is>
      </c>
      <c r="E548" s="305" t="inlineStr">
        <is>
          <t>Supermarket/General</t>
        </is>
      </c>
      <c r="F548" s="307" t="n">
        <v>377</v>
      </c>
      <c r="G548" s="308" t="inlineStr">
        <is>
          <t>Restaurant</t>
        </is>
      </c>
      <c r="H548" s="308" t="inlineStr">
        <is>
          <t>Cash</t>
        </is>
      </c>
      <c r="I548" s="309" t="inlineStr">
        <is>
          <t>✅ Paid</t>
        </is>
      </c>
      <c r="J548" s="418" t="inlineStr">
        <is>
          <t>No receipt; cash</t>
        </is>
      </c>
    </row>
    <row r="549">
      <c r="B549" s="422" t="n">
        <v>46231</v>
      </c>
      <c r="C549" s="305" t="inlineStr">
        <is>
          <t>Utensils Sushi Kit</t>
        </is>
      </c>
      <c r="D549" s="306" t="inlineStr">
        <is>
          <t>No bill</t>
        </is>
      </c>
      <c r="E549" s="305" t="inlineStr">
        <is>
          <t>Kitchen Supplies</t>
        </is>
      </c>
      <c r="F549" s="307" t="n">
        <v>521</v>
      </c>
      <c r="G549" s="308" t="inlineStr">
        <is>
          <t>Restaurant</t>
        </is>
      </c>
      <c r="H549" s="308" t="inlineStr">
        <is>
          <t>Cash</t>
        </is>
      </c>
      <c r="I549" s="309" t="inlineStr">
        <is>
          <t>✅ Paid</t>
        </is>
      </c>
      <c r="J549" s="418" t="inlineStr">
        <is>
          <t>No receipt; cash</t>
        </is>
      </c>
    </row>
    <row r="550">
      <c r="B550" s="422" t="n">
        <v>46231</v>
      </c>
      <c r="C550" s="305" t="inlineStr">
        <is>
          <t>Chedraui</t>
        </is>
      </c>
      <c r="D550" s="306" t="inlineStr">
        <is>
          <t>Chedraui</t>
        </is>
      </c>
      <c r="E550" s="305" t="inlineStr">
        <is>
          <t>Supermarket/General</t>
        </is>
      </c>
      <c r="F550" s="307" t="n">
        <v>82</v>
      </c>
      <c r="G550" s="308" t="inlineStr">
        <is>
          <t>Restaurant</t>
        </is>
      </c>
      <c r="H550" s="308" t="inlineStr">
        <is>
          <t>Cash</t>
        </is>
      </c>
      <c r="I550" s="309" t="inlineStr">
        <is>
          <t>✅ Paid</t>
        </is>
      </c>
      <c r="J550" s="418" t="inlineStr">
        <is>
          <t>No receipt; cash</t>
        </is>
      </c>
    </row>
    <row r="551">
      <c r="B551" s="422" t="n">
        <v>46231</v>
      </c>
      <c r="C551" s="305" t="inlineStr">
        <is>
          <t>Carne</t>
        </is>
      </c>
      <c r="D551" s="306" t="inlineStr">
        <is>
          <t>No bill</t>
        </is>
      </c>
      <c r="E551" s="305" t="inlineStr">
        <is>
          <t>Ingredients - Meat</t>
        </is>
      </c>
      <c r="F551" s="307" t="n">
        <v>505</v>
      </c>
      <c r="G551" s="308" t="inlineStr">
        <is>
          <t>Restaurant</t>
        </is>
      </c>
      <c r="H551" s="308" t="inlineStr">
        <is>
          <t>Cash</t>
        </is>
      </c>
      <c r="I551" s="309" t="inlineStr">
        <is>
          <t>✅ Paid</t>
        </is>
      </c>
      <c r="J551" s="418" t="inlineStr">
        <is>
          <t>No receipt; cash</t>
        </is>
      </c>
    </row>
    <row r="552">
      <c r="B552" s="422" t="n">
        <v>46231</v>
      </c>
      <c r="C552" s="305" t="inlineStr">
        <is>
          <t>Pollo</t>
        </is>
      </c>
      <c r="D552" s="306" t="inlineStr">
        <is>
          <t>No bill</t>
        </is>
      </c>
      <c r="E552" s="305" t="inlineStr">
        <is>
          <t>Ingredients - Meat</t>
        </is>
      </c>
      <c r="F552" s="307" t="n">
        <v>396</v>
      </c>
      <c r="G552" s="308" t="inlineStr">
        <is>
          <t>Lohith</t>
        </is>
      </c>
      <c r="H552" s="308" t="inlineStr">
        <is>
          <t>Cash</t>
        </is>
      </c>
      <c r="I552" s="309" t="inlineStr">
        <is>
          <t>✅ Paid</t>
        </is>
      </c>
      <c r="J552" s="418" t="inlineStr">
        <is>
          <t>Pagado por Lohith (bolsillo); reembolsable via Owner Ledger</t>
        </is>
      </c>
    </row>
    <row r="553">
      <c r="B553" s="422" t="n">
        <v>46232</v>
      </c>
      <c r="C553" s="305" t="inlineStr">
        <is>
          <t>Vegetables</t>
        </is>
      </c>
      <c r="D553" s="306" t="inlineStr">
        <is>
          <t>No bill</t>
        </is>
      </c>
      <c r="E553" s="305" t="inlineStr">
        <is>
          <t>Ingredients - Vegetables</t>
        </is>
      </c>
      <c r="F553" s="307" t="n">
        <v>101</v>
      </c>
      <c r="G553" s="308" t="inlineStr">
        <is>
          <t>Restaurant</t>
        </is>
      </c>
      <c r="H553" s="308" t="inlineStr">
        <is>
          <t>Cash</t>
        </is>
      </c>
      <c r="I553" s="309" t="inlineStr">
        <is>
          <t>✅ Paid</t>
        </is>
      </c>
      <c r="J553" s="418" t="inlineStr">
        <is>
          <t>No receipt; cash</t>
        </is>
      </c>
    </row>
    <row r="554">
      <c r="B554" s="422" t="n">
        <v>46232</v>
      </c>
      <c r="C554" s="305" t="inlineStr">
        <is>
          <t>Carne</t>
        </is>
      </c>
      <c r="D554" s="306" t="inlineStr">
        <is>
          <t>No bill</t>
        </is>
      </c>
      <c r="E554" s="305" t="inlineStr">
        <is>
          <t>Ingredients - Meat</t>
        </is>
      </c>
      <c r="F554" s="307" t="n">
        <v>312</v>
      </c>
      <c r="G554" s="308" t="inlineStr">
        <is>
          <t>Restaurant</t>
        </is>
      </c>
      <c r="H554" s="308" t="inlineStr">
        <is>
          <t>Cash</t>
        </is>
      </c>
      <c r="I554" s="309" t="inlineStr">
        <is>
          <t>✅ Paid</t>
        </is>
      </c>
      <c r="J554" s="418" t="inlineStr">
        <is>
          <t>No receipt; cash</t>
        </is>
      </c>
    </row>
    <row r="555">
      <c r="B555" s="422" t="n">
        <v>46232</v>
      </c>
      <c r="C555" s="305" t="inlineStr">
        <is>
          <t>Atun</t>
        </is>
      </c>
      <c r="D555" s="306" t="inlineStr">
        <is>
          <t>No bill</t>
        </is>
      </c>
      <c r="E555" s="305" t="inlineStr">
        <is>
          <t>Supplies/Other</t>
        </is>
      </c>
      <c r="F555" s="307" t="n">
        <v>250</v>
      </c>
      <c r="G555" s="308" t="inlineStr">
        <is>
          <t>Restaurant</t>
        </is>
      </c>
      <c r="H555" s="308" t="inlineStr">
        <is>
          <t>Cash</t>
        </is>
      </c>
      <c r="I555" s="309" t="inlineStr">
        <is>
          <t>✅ Paid</t>
        </is>
      </c>
      <c r="J555" s="418" t="inlineStr">
        <is>
          <t>No receipt; cash</t>
        </is>
      </c>
    </row>
    <row r="556">
      <c r="B556" s="422" t="n">
        <v>46232</v>
      </c>
      <c r="C556" s="305" t="inlineStr">
        <is>
          <t>Pan Reales</t>
        </is>
      </c>
      <c r="D556" s="306" t="inlineStr">
        <is>
          <t>Pan Reales</t>
        </is>
      </c>
      <c r="E556" s="305" t="inlineStr">
        <is>
          <t>Ingredients - Bread</t>
        </is>
      </c>
      <c r="F556" s="307" t="n">
        <v>722</v>
      </c>
      <c r="G556" s="308" t="inlineStr">
        <is>
          <t>Restaurant</t>
        </is>
      </c>
      <c r="H556" s="308" t="inlineStr">
        <is>
          <t>Cash</t>
        </is>
      </c>
      <c r="I556" s="309" t="inlineStr">
        <is>
          <t>✅ Paid</t>
        </is>
      </c>
      <c r="J556" s="418" t="inlineStr">
        <is>
          <t>No receipt; cash</t>
        </is>
      </c>
    </row>
    <row r="557">
      <c r="B557" s="422" t="n">
        <v>46232</v>
      </c>
      <c r="C557" s="305" t="inlineStr">
        <is>
          <t>Chedraui Mantequilla</t>
        </is>
      </c>
      <c r="D557" s="306" t="inlineStr">
        <is>
          <t>Chedraui</t>
        </is>
      </c>
      <c r="E557" s="305" t="inlineStr">
        <is>
          <t>Supermarket/General</t>
        </is>
      </c>
      <c r="F557" s="307" t="n">
        <v>50</v>
      </c>
      <c r="G557" s="308" t="inlineStr">
        <is>
          <t>Restaurant</t>
        </is>
      </c>
      <c r="H557" s="308" t="inlineStr">
        <is>
          <t>Cash</t>
        </is>
      </c>
      <c r="I557" s="309" t="inlineStr">
        <is>
          <t>✅ Paid</t>
        </is>
      </c>
      <c r="J557" s="418" t="inlineStr">
        <is>
          <t>No receipt; cash</t>
        </is>
      </c>
    </row>
    <row r="558">
      <c r="B558" s="422" t="n">
        <v>46232</v>
      </c>
      <c r="C558" s="305" t="inlineStr">
        <is>
          <t>Arroz Sushi HEB</t>
        </is>
      </c>
      <c r="D558" s="306" t="inlineStr">
        <is>
          <t>H-E-B</t>
        </is>
      </c>
      <c r="E558" s="305" t="inlineStr">
        <is>
          <t>Supermarket/General</t>
        </is>
      </c>
      <c r="F558" s="307" t="n">
        <v>60</v>
      </c>
      <c r="G558" s="308" t="inlineStr">
        <is>
          <t>Lohith</t>
        </is>
      </c>
      <c r="H558" s="308" t="inlineStr">
        <is>
          <t>Cash</t>
        </is>
      </c>
      <c r="I558" s="309" t="inlineStr">
        <is>
          <t>✅ Paid</t>
        </is>
      </c>
      <c r="J558" s="418" t="inlineStr">
        <is>
          <t>Pagado por Lohith (bolsillo); reembolsable via Owner Ledger</t>
        </is>
      </c>
    </row>
    <row r="559">
      <c r="B559" s="422" t="n">
        <v>46233</v>
      </c>
      <c r="C559" s="305" t="inlineStr">
        <is>
          <t>Pollo</t>
        </is>
      </c>
      <c r="D559" s="306" t="inlineStr">
        <is>
          <t>No bill</t>
        </is>
      </c>
      <c r="E559" s="305" t="inlineStr">
        <is>
          <t>Ingredients - Meat</t>
        </is>
      </c>
      <c r="F559" s="307" t="n">
        <v>188</v>
      </c>
      <c r="G559" s="308" t="inlineStr">
        <is>
          <t>Lohith</t>
        </is>
      </c>
      <c r="H559" s="308" t="inlineStr">
        <is>
          <t>Cash</t>
        </is>
      </c>
      <c r="I559" s="309" t="inlineStr">
        <is>
          <t>✅ Paid</t>
        </is>
      </c>
      <c r="J559" s="418" t="inlineStr">
        <is>
          <t>Pagado por Lohith (bolsillo); reembolsable via Owner Ledger</t>
        </is>
      </c>
    </row>
    <row r="560">
      <c r="B560" s="422" t="n">
        <v>46233</v>
      </c>
      <c r="C560" s="305" t="inlineStr">
        <is>
          <t>Chedraui</t>
        </is>
      </c>
      <c r="D560" s="306" t="inlineStr">
        <is>
          <t>Chedraui</t>
        </is>
      </c>
      <c r="E560" s="305" t="inlineStr">
        <is>
          <t>Supermarket/General</t>
        </is>
      </c>
      <c r="F560" s="307" t="n">
        <v>80</v>
      </c>
      <c r="G560" s="308" t="inlineStr">
        <is>
          <t>Lohith</t>
        </is>
      </c>
      <c r="H560" s="308" t="inlineStr">
        <is>
          <t>Cash</t>
        </is>
      </c>
      <c r="I560" s="309" t="inlineStr">
        <is>
          <t>✅ Paid</t>
        </is>
      </c>
      <c r="J560" s="418" t="inlineStr">
        <is>
          <t>Pagado por Lohith (bolsillo); reembolsable via Owner Ledger</t>
        </is>
      </c>
    </row>
    <row r="561">
      <c r="B561" s="422" t="n">
        <v>46234</v>
      </c>
      <c r="C561" s="305" t="inlineStr">
        <is>
          <t>Pescado</t>
        </is>
      </c>
      <c r="D561" s="306" t="inlineStr">
        <is>
          <t>No bill</t>
        </is>
      </c>
      <c r="E561" s="305" t="inlineStr">
        <is>
          <t>Ingredients - Meat &amp; Fish</t>
        </is>
      </c>
      <c r="F561" s="307" t="n">
        <v>248</v>
      </c>
      <c r="G561" s="308" t="inlineStr">
        <is>
          <t>Restaurant</t>
        </is>
      </c>
      <c r="H561" s="308" t="inlineStr">
        <is>
          <t>Cash</t>
        </is>
      </c>
      <c r="I561" s="309" t="inlineStr">
        <is>
          <t>✅ Paid</t>
        </is>
      </c>
      <c r="J561" s="418" t="inlineStr">
        <is>
          <t>No receipt; cash</t>
        </is>
      </c>
    </row>
    <row r="562">
      <c r="B562" s="422" t="n">
        <v>46234</v>
      </c>
      <c r="C562" s="305" t="inlineStr">
        <is>
          <t>Tomato</t>
        </is>
      </c>
      <c r="D562" s="306" t="inlineStr">
        <is>
          <t>No bill</t>
        </is>
      </c>
      <c r="E562" s="305" t="inlineStr">
        <is>
          <t>Ingredients - Vegetables</t>
        </is>
      </c>
      <c r="F562" s="307" t="n">
        <v>38</v>
      </c>
      <c r="G562" s="308" t="inlineStr">
        <is>
          <t>Restaurant</t>
        </is>
      </c>
      <c r="H562" s="308" t="inlineStr">
        <is>
          <t>Cash</t>
        </is>
      </c>
      <c r="I562" s="309" t="inlineStr">
        <is>
          <t>✅ Paid</t>
        </is>
      </c>
      <c r="J562" s="418" t="inlineStr">
        <is>
          <t>No receipt; cash</t>
        </is>
      </c>
    </row>
    <row r="563">
      <c r="B563" s="422" t="n">
        <v>46234</v>
      </c>
      <c r="C563" s="305" t="inlineStr">
        <is>
          <t>Clorox</t>
        </is>
      </c>
      <c r="D563" s="306" t="inlineStr">
        <is>
          <t>No bill</t>
        </is>
      </c>
      <c r="E563" s="305" t="inlineStr">
        <is>
          <t>Kitchen Supplies</t>
        </is>
      </c>
      <c r="F563" s="307" t="n">
        <v>68</v>
      </c>
      <c r="G563" s="308" t="inlineStr">
        <is>
          <t>Restaurant</t>
        </is>
      </c>
      <c r="H563" s="308" t="inlineStr">
        <is>
          <t>Cash</t>
        </is>
      </c>
      <c r="I563" s="309" t="inlineStr">
        <is>
          <t>✅ Paid</t>
        </is>
      </c>
      <c r="J563" s="418" t="inlineStr">
        <is>
          <t>No receipt; cash</t>
        </is>
      </c>
    </row>
    <row r="564">
      <c r="B564" s="422" t="n">
        <v>46234</v>
      </c>
      <c r="C564" s="305" t="inlineStr">
        <is>
          <t>Mango</t>
        </is>
      </c>
      <c r="D564" s="306" t="inlineStr">
        <is>
          <t>No bill</t>
        </is>
      </c>
      <c r="E564" s="305" t="inlineStr">
        <is>
          <t>Ingredients - Vegetables</t>
        </is>
      </c>
      <c r="F564" s="307" t="n">
        <v>79</v>
      </c>
      <c r="G564" s="308" t="inlineStr">
        <is>
          <t>Restaurant</t>
        </is>
      </c>
      <c r="H564" s="308" t="inlineStr">
        <is>
          <t>Cash</t>
        </is>
      </c>
      <c r="I564" s="309" t="inlineStr">
        <is>
          <t>✅ Paid</t>
        </is>
      </c>
      <c r="J564" s="418" t="inlineStr">
        <is>
          <t>No receipt; cash</t>
        </is>
      </c>
    </row>
    <row r="565">
      <c r="B565" s="422" t="n">
        <v>46234</v>
      </c>
      <c r="C565" s="305" t="inlineStr">
        <is>
          <t>Hielo</t>
        </is>
      </c>
      <c r="D565" s="306" t="inlineStr">
        <is>
          <t>No bill</t>
        </is>
      </c>
      <c r="E565" s="305" t="inlineStr">
        <is>
          <t>Kitchen Supplies</t>
        </is>
      </c>
      <c r="F565" s="307" t="n">
        <v>250</v>
      </c>
      <c r="G565" s="308" t="inlineStr">
        <is>
          <t>Restaurant</t>
        </is>
      </c>
      <c r="H565" s="308" t="inlineStr">
        <is>
          <t>Cash</t>
        </is>
      </c>
      <c r="I565" s="309" t="inlineStr">
        <is>
          <t>✅ Paid</t>
        </is>
      </c>
      <c r="J565" s="418" t="inlineStr">
        <is>
          <t>No receipt; cash</t>
        </is>
      </c>
    </row>
    <row r="566">
      <c r="B566" s="422" t="n">
        <v>46234</v>
      </c>
      <c r="C566" s="305" t="inlineStr">
        <is>
          <t>Lemon</t>
        </is>
      </c>
      <c r="D566" s="306" t="inlineStr">
        <is>
          <t>No bill</t>
        </is>
      </c>
      <c r="E566" s="305" t="inlineStr">
        <is>
          <t>Ingredients - Vegetables</t>
        </is>
      </c>
      <c r="F566" s="307" t="n">
        <v>32</v>
      </c>
      <c r="G566" s="308" t="inlineStr">
        <is>
          <t>Restaurant</t>
        </is>
      </c>
      <c r="H566" s="308" t="inlineStr">
        <is>
          <t>Cash</t>
        </is>
      </c>
      <c r="I566" s="309" t="inlineStr">
        <is>
          <t>✅ Paid</t>
        </is>
      </c>
      <c r="J566" s="418" t="inlineStr">
        <is>
          <t>No receipt; cash</t>
        </is>
      </c>
    </row>
    <row r="567">
      <c r="B567" s="422" t="n">
        <v>46234</v>
      </c>
      <c r="C567" s="305" t="inlineStr">
        <is>
          <t>Oxxo Arroz</t>
        </is>
      </c>
      <c r="D567" s="306" t="inlineStr">
        <is>
          <t>OXXO</t>
        </is>
      </c>
      <c r="E567" s="305" t="inlineStr">
        <is>
          <t>Ingredients - Pantry</t>
        </is>
      </c>
      <c r="F567" s="307" t="n">
        <v>78</v>
      </c>
      <c r="G567" s="308" t="inlineStr">
        <is>
          <t>Lohith</t>
        </is>
      </c>
      <c r="H567" s="308" t="inlineStr">
        <is>
          <t>Cash</t>
        </is>
      </c>
      <c r="I567" s="309" t="inlineStr">
        <is>
          <t>✅ Paid</t>
        </is>
      </c>
      <c r="J567" s="418" t="inlineStr">
        <is>
          <t>Pagado por Lohith (bolsillo); reembolsable via Owner Ledger</t>
        </is>
      </c>
    </row>
    <row r="568">
      <c r="B568" s="422" t="n">
        <v>46234</v>
      </c>
      <c r="C568" s="305" t="inlineStr">
        <is>
          <t>Samu - salary</t>
        </is>
      </c>
      <c r="D568" s="306" t="inlineStr">
        <is>
          <t>Payroll</t>
        </is>
      </c>
      <c r="E568" s="305" t="inlineStr">
        <is>
          <t>Staff - Salary</t>
        </is>
      </c>
      <c r="F568" s="307" t="n">
        <v>1200</v>
      </c>
      <c r="G568" s="308" t="inlineStr">
        <is>
          <t>Restaurant</t>
        </is>
      </c>
      <c r="H568" s="308" t="inlineStr">
        <is>
          <t>Cash</t>
        </is>
      </c>
      <c r="I568" s="309" t="inlineStr">
        <is>
          <t>✅ Paid</t>
        </is>
      </c>
      <c r="J568" s="418" t="inlineStr">
        <is>
          <t>Weekly salary</t>
        </is>
      </c>
    </row>
    <row r="569">
      <c r="B569" s="422" t="n">
        <v>46235</v>
      </c>
      <c r="C569" s="305" t="inlineStr">
        <is>
          <t>Potato</t>
        </is>
      </c>
      <c r="D569" s="306" t="inlineStr">
        <is>
          <t>No bill</t>
        </is>
      </c>
      <c r="E569" s="305" t="inlineStr">
        <is>
          <t>Ingredients - Vegetables</t>
        </is>
      </c>
      <c r="F569" s="307" t="n">
        <v>160</v>
      </c>
      <c r="G569" s="308" t="inlineStr">
        <is>
          <t>Restaurant</t>
        </is>
      </c>
      <c r="H569" s="308" t="inlineStr">
        <is>
          <t>Cash</t>
        </is>
      </c>
      <c r="I569" s="309" t="inlineStr">
        <is>
          <t>✅ Paid</t>
        </is>
      </c>
      <c r="J569" s="418" t="inlineStr">
        <is>
          <t>No receipt; cash</t>
        </is>
      </c>
    </row>
    <row r="570">
      <c r="B570" s="422" t="n">
        <v>46235</v>
      </c>
      <c r="C570" s="305" t="inlineStr">
        <is>
          <t>Chedraui</t>
        </is>
      </c>
      <c r="D570" s="306" t="inlineStr">
        <is>
          <t>Chedraui</t>
        </is>
      </c>
      <c r="E570" s="305" t="inlineStr">
        <is>
          <t>Supermarket/General</t>
        </is>
      </c>
      <c r="F570" s="307" t="n">
        <v>148</v>
      </c>
      <c r="G570" s="308" t="inlineStr">
        <is>
          <t>Restaurant</t>
        </is>
      </c>
      <c r="H570" s="308" t="inlineStr">
        <is>
          <t>Cash</t>
        </is>
      </c>
      <c r="I570" s="309" t="inlineStr">
        <is>
          <t>✅ Paid</t>
        </is>
      </c>
      <c r="J570" s="418" t="inlineStr">
        <is>
          <t>No receipt; cash</t>
        </is>
      </c>
    </row>
    <row r="571">
      <c r="B571" s="422" t="n">
        <v>46235</v>
      </c>
      <c r="C571" s="305" t="inlineStr">
        <is>
          <t>Gas</t>
        </is>
      </c>
      <c r="D571" s="306" t="inlineStr">
        <is>
          <t>No bill</t>
        </is>
      </c>
      <c r="E571" s="305" t="inlineStr">
        <is>
          <t>Utilities/Gas</t>
        </is>
      </c>
      <c r="F571" s="307" t="n">
        <v>1500</v>
      </c>
      <c r="G571" s="308" t="inlineStr">
        <is>
          <t>Restaurant</t>
        </is>
      </c>
      <c r="H571" s="308" t="inlineStr">
        <is>
          <t>Cash</t>
        </is>
      </c>
      <c r="I571" s="309" t="inlineStr">
        <is>
          <t>✅ Paid</t>
        </is>
      </c>
      <c r="J571" s="418" t="inlineStr">
        <is>
          <t>No receipt; cash</t>
        </is>
      </c>
    </row>
    <row r="572">
      <c r="B572" s="422" t="n">
        <v>46235</v>
      </c>
      <c r="C572" s="305" t="inlineStr">
        <is>
          <t>Carne</t>
        </is>
      </c>
      <c r="D572" s="306" t="inlineStr">
        <is>
          <t>No bill</t>
        </is>
      </c>
      <c r="E572" s="305" t="inlineStr">
        <is>
          <t>Ingredients - Meat</t>
        </is>
      </c>
      <c r="F572" s="307" t="n">
        <v>150</v>
      </c>
      <c r="G572" s="308" t="inlineStr">
        <is>
          <t>Restaurant</t>
        </is>
      </c>
      <c r="H572" s="308" t="inlineStr">
        <is>
          <t>Cash</t>
        </is>
      </c>
      <c r="I572" s="309" t="inlineStr">
        <is>
          <t>✅ Paid</t>
        </is>
      </c>
      <c r="J572" s="418" t="inlineStr">
        <is>
          <t>No receipt; cash</t>
        </is>
      </c>
    </row>
    <row r="573">
      <c r="B573" s="422" t="n">
        <v>46235</v>
      </c>
      <c r="C573" s="305" t="inlineStr">
        <is>
          <t>Duvi - salary</t>
        </is>
      </c>
      <c r="D573" s="306" t="inlineStr">
        <is>
          <t>Payroll</t>
        </is>
      </c>
      <c r="E573" s="305" t="inlineStr">
        <is>
          <t>Staff - Salary</t>
        </is>
      </c>
      <c r="F573" s="307" t="n">
        <v>1500</v>
      </c>
      <c r="G573" s="308" t="inlineStr">
        <is>
          <t>Restaurant</t>
        </is>
      </c>
      <c r="H573" s="308" t="inlineStr">
        <is>
          <t>Cash</t>
        </is>
      </c>
      <c r="I573" s="309" t="inlineStr">
        <is>
          <t>✅ Paid</t>
        </is>
      </c>
      <c r="J573" s="418" t="inlineStr">
        <is>
          <t>Weekly salary</t>
        </is>
      </c>
    </row>
    <row r="574">
      <c r="B574" s="422" t="n">
        <v>46235</v>
      </c>
      <c r="C574" s="305" t="inlineStr">
        <is>
          <t>Jhon - salary</t>
        </is>
      </c>
      <c r="D574" s="306" t="inlineStr">
        <is>
          <t>Payroll</t>
        </is>
      </c>
      <c r="E574" s="305" t="inlineStr">
        <is>
          <t>Staff - Salary</t>
        </is>
      </c>
      <c r="F574" s="307" t="n">
        <v>3750</v>
      </c>
      <c r="G574" s="308" t="inlineStr">
        <is>
          <t>Restaurant</t>
        </is>
      </c>
      <c r="H574" s="308" t="inlineStr">
        <is>
          <t>Cash</t>
        </is>
      </c>
      <c r="I574" s="309" t="inlineStr">
        <is>
          <t>✅ Paid</t>
        </is>
      </c>
      <c r="J574" s="418" t="inlineStr">
        <is>
          <t>Weekly salary</t>
        </is>
      </c>
    </row>
    <row r="575">
      <c r="B575" s="422" t="n">
        <v>46236</v>
      </c>
      <c r="C575" s="305" t="inlineStr">
        <is>
          <t>Vegetables</t>
        </is>
      </c>
      <c r="D575" s="306" t="inlineStr">
        <is>
          <t>No bill</t>
        </is>
      </c>
      <c r="E575" s="305" t="inlineStr">
        <is>
          <t>Ingredients - Vegetables</t>
        </is>
      </c>
      <c r="F575" s="307" t="n">
        <v>1472</v>
      </c>
      <c r="G575" s="308" t="inlineStr">
        <is>
          <t>Restaurant</t>
        </is>
      </c>
      <c r="H575" s="308" t="inlineStr">
        <is>
          <t>Cash</t>
        </is>
      </c>
      <c r="I575" s="309" t="inlineStr">
        <is>
          <t>✅ Paid</t>
        </is>
      </c>
      <c r="J575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15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8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11" t="inlineStr">
        <is>
          <t>Aug 2026</t>
        </is>
      </c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13">
        <f>SUMIFS('📅 Daily Log'!$F$8:$F$5000,'📅 Daily Log'!$B$8:$B$5000,"&gt;="&amp;DATE(2026,8,1),'📅 Daily Log'!$B$8:$B$5000,"&lt;"&amp;DATE(2026,9,1))</f>
        <v/>
      </c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13">
        <f>SUMIFS('💸 Expenses'!$F$8:$F$5000,'💸 Expenses'!$B$8:$B$5000,"&gt;="&amp;DATE(2026,8,1),'💸 Expenses'!$B$8:$B$5000,"&lt;"&amp;DATE(2026,9,1))</f>
        <v/>
      </c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14">
        <f>E4-E5</f>
        <v/>
      </c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16">
        <f>COUNTIFS('📅 Daily Log'!$F$8:$F$5000,"&gt;0",'📅 Daily Log'!$B$8:$B$5000,"&gt;="&amp;DATE(2026,8,1),'📅 Daily Log'!$B$8:$B$5000,"&lt;"&amp;DATE(2026,9,1))</f>
        <v/>
      </c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13">
        <f>IFERROR(E4/E7,0)</f>
        <v/>
      </c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11" t="inlineStr">
        <is>
          <t>Aug 2026</t>
        </is>
      </c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13">
        <f>SUMIFS('📅 Daily Log'!$D$8:$D$5000,'📅 Daily Log'!$B$8:$B$5000,"&gt;="&amp;DATE(2026,8,1),'📅 Daily Log'!$B$8:$B$5000,"&lt;"&amp;DATE(2026,9,1))</f>
        <v/>
      </c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13">
        <f>SUMIFS('📅 Daily Log'!$E$8:$E$5000,'📅 Daily Log'!$B$8:$B$5000,"&gt;="&amp;DATE(2026,8,1),'📅 Daily Log'!$B$8:$B$5000,"&lt;"&amp;DATE(2026,9,1))</f>
        <v/>
      </c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13">
        <f>SUMIFS('📅 Daily Log'!$G$8:$G$5000,'📅 Daily Log'!$B$8:$B$5000,"&gt;="&amp;DATE(2026,8,1),'📅 Daily Log'!$B$8:$B$5000,"&lt;"&amp;DATE(2026,9,1))</f>
        <v/>
      </c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14">
        <f>E11+E12+E13</f>
        <v/>
      </c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11" t="inlineStr">
        <is>
          <t>Aug 2026</t>
        </is>
      </c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13">
        <f>SUMIFS('💸 Expenses'!$F$8:$F$5000,'💸 Expenses'!$E$8:$E$5000,$A17,'💸 Expenses'!$B$8:$B$5000,"&gt;="&amp;DATE(2026,8,1),'💸 Expenses'!$B$8:$B$5000,"&lt;"&amp;DATE(2026,9,1))</f>
        <v/>
      </c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13">
        <f>SUMIFS('💸 Expenses'!$F$8:$F$5000,'💸 Expenses'!$E$8:$E$5000,$A18,'💸 Expenses'!$B$8:$B$5000,"&gt;="&amp;DATE(2026,8,1),'💸 Expenses'!$B$8:$B$5000,"&lt;"&amp;DATE(2026,9,1))</f>
        <v/>
      </c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13">
        <f>SUMIFS('💸 Expenses'!$F$8:$F$5000,'💸 Expenses'!$E$8:$E$5000,$A19,'💸 Expenses'!$B$8:$B$5000,"&gt;="&amp;DATE(2026,8,1),'💸 Expenses'!$B$8:$B$5000,"&lt;"&amp;DATE(2026,9,1))</f>
        <v/>
      </c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13">
        <f>SUMIFS('💸 Expenses'!$F$8:$F$5000,'💸 Expenses'!$E$8:$E$5000,$A20,'💸 Expenses'!$B$8:$B$5000,"&gt;="&amp;DATE(2026,8,1),'💸 Expenses'!$B$8:$B$5000,"&lt;"&amp;DATE(2026,9,1))</f>
        <v/>
      </c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13">
        <f>SUMIFS('💸 Expenses'!$F$8:$F$5000,'💸 Expenses'!$E$8:$E$5000,$A21,'💸 Expenses'!$B$8:$B$5000,"&gt;="&amp;DATE(2026,8,1),'💸 Expenses'!$B$8:$B$5000,"&lt;"&amp;DATE(2026,9,1))</f>
        <v/>
      </c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13">
        <f>SUMIFS('💸 Expenses'!$F$8:$F$5000,'💸 Expenses'!$E$8:$E$5000,$A22,'💸 Expenses'!$B$8:$B$5000,"&gt;="&amp;DATE(2026,8,1),'💸 Expenses'!$B$8:$B$5000,"&lt;"&amp;DATE(2026,9,1))</f>
        <v/>
      </c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13">
        <f>SUMIFS('💸 Expenses'!$F$8:$F$5000,'💸 Expenses'!$E$8:$E$5000,$A23,'💸 Expenses'!$B$8:$B$5000,"&gt;="&amp;DATE(2026,8,1),'💸 Expenses'!$B$8:$B$5000,"&lt;"&amp;DATE(2026,9,1))</f>
        <v/>
      </c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13">
        <f>SUMIFS('💸 Expenses'!$F$8:$F$5000,'💸 Expenses'!$E$8:$E$5000,$A24,'💸 Expenses'!$B$8:$B$5000,"&gt;="&amp;DATE(2026,8,1),'💸 Expenses'!$B$8:$B$5000,"&lt;"&amp;DATE(2026,9,1))</f>
        <v/>
      </c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13">
        <f>SUMIFS('💸 Expenses'!$F$8:$F$5000,'💸 Expenses'!$E$8:$E$5000,$A25,'💸 Expenses'!$B$8:$B$5000,"&gt;="&amp;DATE(2026,8,1),'💸 Expenses'!$B$8:$B$5000,"&lt;"&amp;DATE(2026,9,1))</f>
        <v/>
      </c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13">
        <f>SUMIFS('💸 Expenses'!$F$8:$F$5000,'💸 Expenses'!$E$8:$E$5000,$A26,'💸 Expenses'!$B$8:$B$5000,"&gt;="&amp;DATE(2026,8,1),'💸 Expenses'!$B$8:$B$5000,"&lt;"&amp;DATE(2026,9,1))</f>
        <v/>
      </c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13">
        <f>SUMIFS('💸 Expenses'!$F$8:$F$5000,'💸 Expenses'!$E$8:$E$5000,$A27,'💸 Expenses'!$B$8:$B$5000,"&gt;="&amp;DATE(2026,8,1),'💸 Expenses'!$B$8:$B$5000,"&lt;"&amp;DATE(2026,9,1))</f>
        <v/>
      </c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13">
        <f>SUMIFS('💸 Expenses'!$F$8:$F$5000,'💸 Expenses'!$E$8:$E$5000,$A28,'💸 Expenses'!$B$8:$B$5000,"&gt;="&amp;DATE(2026,8,1),'💸 Expenses'!$B$8:$B$5000,"&lt;"&amp;DATE(2026,9,1))</f>
        <v/>
      </c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13">
        <f>SUMIFS('💸 Expenses'!$F$8:$F$5000,'💸 Expenses'!$E$8:$E$5000,$A29,'💸 Expenses'!$B$8:$B$5000,"&gt;="&amp;DATE(2026,8,1),'💸 Expenses'!$B$8:$B$5000,"&lt;"&amp;DATE(2026,9,1))</f>
        <v/>
      </c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Utilities/Gas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13">
        <f>SUMIFS('💸 Expenses'!$F$8:$F$5000,'💸 Expenses'!$E$8:$E$5000,$A30,'💸 Expenses'!$B$8:$B$5000,"&gt;="&amp;DATE(2026,8,1),'💸 Expenses'!$B$8:$B$5000,"&lt;"&amp;DATE(2026,9,1))</f>
        <v/>
      </c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13">
        <f>SUMIFS('💸 Expenses'!$F$8:$F$5000,'💸 Expenses'!$E$8:$E$5000,$A31,'💸 Expenses'!$B$8:$B$5000,"&gt;="&amp;DATE(2026,8,1),'💸 Expenses'!$B$8:$B$5000,"&lt;"&amp;DATE(2026,9,1))</f>
        <v/>
      </c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Kitchen Supplies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13">
        <f>SUMIFS('💸 Expenses'!$F$8:$F$5000,'💸 Expenses'!$E$8:$E$5000,$A32,'💸 Expenses'!$B$8:$B$5000,"&gt;="&amp;DATE(2026,8,1),'💸 Expenses'!$B$8:$B$5000,"&lt;"&amp;DATE(2026,9,1))</f>
        <v/>
      </c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Utilities/Internet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13">
        <f>SUMIFS('💸 Expenses'!$F$8:$F$5000,'💸 Expenses'!$E$8:$E$5000,$A33,'💸 Expenses'!$B$8:$B$5000,"&gt;="&amp;DATE(2026,8,1),'💸 Expenses'!$B$8:$B$5000,"&lt;"&amp;DATE(2026,9,1))</f>
        <v/>
      </c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Ingredients - Other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13">
        <f>SUMIFS('💸 Expenses'!$F$8:$F$5000,'💸 Expenses'!$E$8:$E$5000,$A34,'💸 Expenses'!$B$8:$B$5000,"&gt;="&amp;DATE(2026,8,1),'💸 Expenses'!$B$8:$B$5000,"&lt;"&amp;DATE(2026,9,1))</f>
        <v/>
      </c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Office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13">
        <f>SUMIFS('💸 Expenses'!$F$8:$F$5000,'💸 Expenses'!$E$8:$E$5000,$A35,'💸 Expenses'!$B$8:$B$5000,"&gt;="&amp;DATE(2026,8,1),'💸 Expenses'!$B$8:$B$5000,"&lt;"&amp;DATE(2026,9,1))</f>
        <v/>
      </c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13">
        <f>SUMIFS('💸 Expenses'!$F$8:$F$5000,'💸 Expenses'!$E$8:$E$5000,$A36,'💸 Expenses'!$B$8:$B$5000,"&gt;="&amp;DATE(2026,8,1),'💸 Expenses'!$B$8:$B$5000,"&lt;"&amp;DATE(2026,9,1))</f>
        <v/>
      </c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13">
        <f>SUMIFS('💸 Expenses'!$F$8:$F$5000,'💸 Expenses'!$E$8:$E$5000,$A37,'💸 Expenses'!$B$8:$B$5000,"&gt;="&amp;DATE(2026,8,1),'💸 Expenses'!$B$8:$B$5000,"&lt;"&amp;DATE(2026,9,1))</f>
        <v/>
      </c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13">
        <f>SUMIFS('💸 Expenses'!$F$8:$F$5000,'💸 Expenses'!$E$8:$E$5000,$A38,'💸 Expenses'!$B$8:$B$5000,"&gt;="&amp;DATE(2026,8,1),'💸 Expenses'!$B$8:$B$5000,"&lt;"&amp;DATE(2026,9,1))</f>
        <v/>
      </c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13">
        <f>SUMIFS('💸 Expenses'!$F$8:$F$5000,'💸 Expenses'!$E$8:$E$5000,$A39,'💸 Expenses'!$B$8:$B$5000,"&gt;="&amp;DATE(2026,8,1),'💸 Expenses'!$B$8:$B$5000,"&lt;"&amp;DATE(2026,9,1))</f>
        <v/>
      </c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13">
        <f>SUMIFS('💸 Expenses'!$F$8:$F$5000,'💸 Expenses'!$E$8:$E$5000,$A40,'💸 Expenses'!$B$8:$B$5000,"&gt;="&amp;DATE(2026,8,1),'💸 Expenses'!$B$8:$B$5000,"&lt;"&amp;DATE(2026,9,1))</f>
        <v/>
      </c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14">
        <f>SUMIFS('💸 Expenses'!$F$8:$F$5000,'💸 Expenses'!$B$8:$B$5000,"&gt;="&amp;DATE(2026,8,1),'💸 Expenses'!$B$8:$B$5000,"&lt;"&amp;DATE(2026,9,1))</f>
        <v/>
      </c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14">
        <f>E4-E41</f>
        <v/>
      </c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439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439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439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439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439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439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439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439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439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9" t="inlineStr">
        <is>
          <t>TOTALS &amp; CURRENT BALANCE</t>
        </is>
      </c>
      <c r="B56" s="232" t="n"/>
      <c r="C56" s="232" t="n"/>
      <c r="D56" s="232">
        <f>SUM(D4:D55)</f>
        <v/>
      </c>
      <c r="E56" s="233">
        <f>SUM(E4:E55)</f>
        <v/>
      </c>
      <c r="F56" s="233">
        <f>F55</f>
        <v/>
      </c>
      <c r="G56" s="232">
        <f>IF(F55&gt;0,"Restaurant owes Lohith $"&amp;TEXT(F55,"#,##0"),IF(F55&lt;0,"Lohith holds $"&amp;TEXT(ABS(F55),"#,##0"),"Zero balance"))</f>
        <v/>
      </c>
      <c r="H5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2026-08-03T23:00:56Z</dcterms:modified>
  <cp:lastModifiedBy>LOHITH REDDY</cp:lastModifiedBy>
</cp:coreProperties>
</file>