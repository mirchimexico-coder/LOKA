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Expenses'!$F$8:$F$500,'💸 Expenses'!$B$8:$B$500,"&gt;="&amp;B68,'💸 Expenses'!$B$8:$B$500,"&lt;"&amp;(B68+1))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/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Supermarket/General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inlineStr">
        <is>
          <t>TOTALS &amp; CURRENT BALANCE</t>
        </is>
      </c>
      <c r="B45" s="232" t="n"/>
      <c r="C45" s="232" t="n"/>
      <c r="D45" s="232">
        <f>SUM(D4:D44)</f>
        <v/>
      </c>
      <c r="E45" s="233">
        <f>SUM(E4:E44)</f>
        <v/>
      </c>
      <c r="F45" s="233">
        <f>F44</f>
        <v/>
      </c>
      <c r="G45" s="232">
        <f>IF(F44&gt;0,"Restaurant owes Lohith $"&amp;TEXT(F44,"#,##0"),IF(F44&lt;0,"Lohith holds $"&amp;TEXT(ABS(F44),"#,##0"),"Zero balance"))</f>
        <v/>
      </c>
      <c r="H45" s="232" t="n"/>
    </row>
    <row r="46">
      <c r="A46" s="231" t="n"/>
      <c r="B46" s="232" t="n"/>
      <c r="C46" s="232" t="n"/>
      <c r="D46" s="232" t="n"/>
      <c r="E46" s="233" t="n"/>
      <c r="F46" s="233" t="n"/>
      <c r="G46" s="232" t="n"/>
      <c r="H4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2026-07-21T04:38:48Z</dcterms:modified>
  <cp:lastModifiedBy>LOHITH REDDY</cp:lastModifiedBy>
</cp:coreProperties>
</file>