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i val="1"/>
    </font>
    <font>
      <b val="1"/>
      <color rgb="00FFFFFF"/>
    </font>
    <font>
      <b val="1"/>
      <color rgb="00FFFFFF"/>
      <sz val="12"/>
    </font>
  </fonts>
  <fills count="55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000D2818"/>
      </patternFill>
    </fill>
    <fill>
      <patternFill patternType="solid">
        <fgColor rgb="001F4E2C"/>
      </patternFill>
    </fill>
    <fill>
      <patternFill patternType="solid">
        <fgColor rgb="00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0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  <xf numFmtId="0" fontId="86" fillId="52" borderId="0" applyAlignment="1" pivotButton="0" quotePrefix="0" xfId="0">
      <alignment horizontal="center" vertical="center"/>
    </xf>
    <xf numFmtId="0" fontId="87" fillId="53" borderId="19" applyAlignment="1" pivotButton="0" quotePrefix="0" xfId="0">
      <alignment horizontal="center" vertical="center" wrapText="1"/>
    </xf>
    <xf numFmtId="174" fontId="0" fillId="0" borderId="20" pivotButton="0" quotePrefix="0" xfId="0"/>
    <xf numFmtId="0" fontId="0" fillId="0" borderId="20" pivotButton="0" quotePrefix="0" xfId="0"/>
    <xf numFmtId="4" fontId="0" fillId="0" borderId="20" pivotButton="0" quotePrefix="0" xfId="0"/>
    <xf numFmtId="0" fontId="88" fillId="54" borderId="20" pivotButton="0" quotePrefix="0" xfId="0"/>
    <xf numFmtId="4" fontId="88" fillId="54" borderId="20" pivotButton="0" quotePrefix="0" xfId="0"/>
    <xf numFmtId="0" fontId="89" fillId="0" borderId="0" pivotButton="0" quotePrefix="0" xfId="0"/>
    <xf numFmtId="0" fontId="86" fillId="52" borderId="0" applyAlignment="1" pivotButton="0" quotePrefix="0" xfId="0">
      <alignment horizontal="center"/>
    </xf>
    <xf numFmtId="0" fontId="90" fillId="53" borderId="20" applyAlignment="1" pivotButton="0" quotePrefix="0" xfId="0">
      <alignment horizontal="center" vertical="center"/>
    </xf>
    <xf numFmtId="0" fontId="90" fillId="53" borderId="20" pivotButton="0" quotePrefix="0" xfId="0"/>
    <xf numFmtId="0" fontId="88" fillId="0" borderId="20" pivotButton="0" quotePrefix="0" xfId="0"/>
    <xf numFmtId="4" fontId="88" fillId="13" borderId="20" applyAlignment="1" pivotButton="0" quotePrefix="0" xfId="0">
      <alignment horizontal="right" vertical="center"/>
    </xf>
    <xf numFmtId="4" fontId="88" fillId="19" borderId="20" applyAlignment="1" pivotButton="0" quotePrefix="0" xfId="0">
      <alignment horizontal="center" vertical="center"/>
    </xf>
    <xf numFmtId="4" fontId="16" fillId="10" borderId="20" applyAlignment="1" pivotButton="0" quotePrefix="0" xfId="0">
      <alignment horizontal="center" vertical="center" wrapText="1"/>
    </xf>
    <xf numFmtId="0" fontId="90" fillId="53" borderId="20" applyAlignment="1" pivotButton="0" quotePrefix="0" xfId="0">
      <alignment horizontal="left" vertical="center"/>
    </xf>
    <xf numFmtId="166" fontId="90" fillId="53" borderId="20" applyAlignment="1" pivotButton="0" quotePrefix="0" xfId="0">
      <alignment horizontal="center" vertical="center"/>
    </xf>
    <xf numFmtId="4" fontId="9" fillId="10" borderId="20" applyAlignment="1" pivotButton="0" quotePrefix="0" xfId="0">
      <alignment horizontal="center" vertical="center"/>
    </xf>
    <xf numFmtId="4" fontId="42" fillId="20" borderId="20" applyAlignment="1" pivotButton="0" quotePrefix="0" xfId="0">
      <alignment horizontal="left" vertical="center"/>
    </xf>
    <xf numFmtId="4" fontId="37" fillId="20" borderId="20" applyAlignment="1" pivotButton="0" quotePrefix="0" xfId="0">
      <alignment horizontal="center" vertical="center"/>
    </xf>
    <xf numFmtId="4" fontId="42" fillId="19" borderId="20" applyAlignment="1" pivotButton="0" quotePrefix="0" xfId="0">
      <alignment horizontal="left" vertical="center"/>
    </xf>
    <xf numFmtId="4" fontId="37" fillId="19" borderId="20" applyAlignment="1" pivotButton="0" quotePrefix="0" xfId="0">
      <alignment horizontal="center" vertical="center"/>
    </xf>
    <xf numFmtId="4" fontId="43" fillId="18" borderId="20" applyAlignment="1" pivotButton="0" quotePrefix="0" xfId="0">
      <alignment horizontal="left" vertical="center"/>
    </xf>
    <xf numFmtId="4" fontId="67" fillId="18" borderId="20" applyAlignment="1" pivotButton="0" quotePrefix="0" xfId="0">
      <alignment horizontal="center" vertical="center"/>
    </xf>
    <xf numFmtId="4" fontId="72" fillId="17" borderId="20" applyAlignment="1" pivotButton="0" quotePrefix="0" xfId="0">
      <alignment horizontal="left" vertical="center"/>
    </xf>
    <xf numFmtId="4" fontId="68" fillId="17" borderId="20" applyAlignment="1" pivotButton="0" quotePrefix="0" xfId="0">
      <alignment horizontal="center" vertical="center"/>
    </xf>
    <xf numFmtId="4" fontId="40" fillId="16" borderId="20" applyAlignment="1" pivotButton="0" quotePrefix="0" xfId="0">
      <alignment horizontal="left" vertical="center"/>
    </xf>
    <xf numFmtId="4" fontId="51" fillId="16" borderId="20" applyAlignment="1" pivotButton="0" quotePrefix="0" xfId="0">
      <alignment horizontal="center" vertical="center"/>
    </xf>
    <xf numFmtId="4" fontId="51" fillId="16" borderId="20" applyAlignment="1" pivotButton="0" quotePrefix="0" xfId="0">
      <alignment horizontal="left" vertical="center"/>
    </xf>
    <xf numFmtId="4" fontId="37" fillId="16" borderId="20" applyAlignment="1" pivotButton="0" quotePrefix="0" xfId="0">
      <alignment horizontal="center" vertical="center"/>
    </xf>
    <xf numFmtId="4" fontId="64" fillId="14" borderId="20" applyAlignment="1" pivotButton="0" quotePrefix="0" xfId="0">
      <alignment horizontal="left" vertical="center"/>
    </xf>
    <xf numFmtId="4" fontId="43" fillId="14" borderId="20" applyAlignment="1" pivotButton="0" quotePrefix="0" xfId="0">
      <alignment horizontal="center" vertical="center"/>
    </xf>
    <xf numFmtId="4" fontId="62" fillId="19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center" vertical="center"/>
    </xf>
    <xf numFmtId="4" fontId="88" fillId="19" borderId="20" applyAlignment="1" pivotButton="0" quotePrefix="0" xfId="0">
      <alignment horizontal="left" vertical="center"/>
    </xf>
    <xf numFmtId="174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4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1" fillId="52" borderId="0" pivotButton="0" quotePrefix="0" xfId="0"/>
    <xf numFmtId="4" fontId="88" fillId="0" borderId="20" pivotButton="0" quotePrefix="0" xfId="0"/>
    <xf numFmtId="4" fontId="90" fillId="53" borderId="2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8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48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17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$118,970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D13-SUM(D14:D22)-D24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− $15,530 electricity offset = $118,970 remaining</t>
        </is>
      </c>
    </row>
    <row r="24" ht="25.95" customHeight="1" s="274">
      <c r="B24" s="212" t="inlineStr">
        <is>
          <t>Electricity Bill (Mar–May CFE) — paid by Lohith for Previous Owners</t>
        </is>
      </c>
      <c r="C24" s="393" t="n">
        <v>46190</v>
      </c>
      <c r="D24" s="214" t="n">
        <v>15530</v>
      </c>
      <c r="E24" s="213" t="inlineStr">
        <is>
          <t>Lohith Reddy</t>
        </is>
      </c>
      <c r="F24" s="213" t="inlineStr">
        <is>
          <t>✅ OFFSET vs balance</t>
        </is>
      </c>
      <c r="G24" s="212" t="inlineStr">
        <is>
          <t>Prev owners’ liability (pre-handover). Deducted from acquisition balance owed to them.</t>
        </is>
      </c>
    </row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394" t="inlineStr">
        <is>
          <t>Alejandra — License Costs</t>
        </is>
      </c>
      <c r="C50" s="393" t="n">
        <v>46190</v>
      </c>
      <c r="D50" s="214" t="n">
        <v>1400</v>
      </c>
      <c r="E50" s="213" t="inlineStr">
        <is>
          <t>Alejandra</t>
        </is>
      </c>
      <c r="F50" s="213" t="inlineStr">
        <is>
          <t>Legal / License</t>
        </is>
      </c>
      <c r="G50" s="212" t="inlineStr">
        <is>
          <t>License costs — paid by Lohith 17 Jun</t>
        </is>
      </c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394" t="inlineStr">
        <is>
          <t>Letrero 3-D Retroiluminado (illuminated sign)</t>
        </is>
      </c>
      <c r="C66" s="395" t="n">
        <v>46190</v>
      </c>
      <c r="D66" s="396" t="n">
        <v>12000</v>
      </c>
      <c r="E66" s="394" t="inlineStr">
        <is>
          <t>POPA Publicidad</t>
        </is>
      </c>
      <c r="F66" s="394" t="inlineStr">
        <is>
          <t>Branding / Signage</t>
        </is>
      </c>
      <c r="G66" s="394" t="inlineStr">
        <is>
          <t>3D backlit sign + "CAFE RESTAURANT &amp; BAR" letters — paid by Shashirekha · Cotización A0626-560</t>
        </is>
      </c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18">
      <c r="B118" s="397" t="inlineStr">
        <is>
          <t xml:space="preserve">  J.  LOHITH — CASH POSITION  (funds managed: own budget + partner transfers)</t>
        </is>
      </c>
    </row>
    <row r="119">
      <c r="B119" s="360" t="inlineStr">
        <is>
          <t>My Total Budget</t>
        </is>
      </c>
      <c r="D119" s="361">
        <f>D6</f>
        <v/>
      </c>
    </row>
    <row r="120">
      <c r="B120" s="360" t="inlineStr">
        <is>
          <t>+ Kashigoud Transferred to Me</t>
        </is>
      </c>
      <c r="D120" s="361">
        <f>D34</f>
        <v/>
      </c>
    </row>
    <row r="121">
      <c r="B121" s="360" t="inlineStr">
        <is>
          <t>+ Shashirekha Transferred to Me</t>
        </is>
      </c>
      <c r="D121" s="361">
        <f>D59</f>
        <v/>
      </c>
    </row>
    <row r="122">
      <c r="B122" s="368">
        <f> Total Funds In</f>
        <v/>
      </c>
      <c r="D122" s="398">
        <f>D119+D120+D121</f>
        <v/>
      </c>
    </row>
    <row r="123">
      <c r="B123" s="360" t="inlineStr">
        <is>
          <t>− Pre-Opening Expenses (excl. $5k advance)</t>
        </is>
      </c>
      <c r="D123" s="361">
        <f>D55-D46</f>
        <v/>
      </c>
    </row>
    <row r="124">
      <c r="B124" s="360" t="inlineStr">
        <is>
          <t>− Paid to Previous Owners (incl. $15,530 electricity)</t>
        </is>
      </c>
      <c r="D124" s="361">
        <f>SUM(D14:D22)+D24</f>
        <v/>
      </c>
    </row>
    <row r="125">
      <c r="B125" s="367">
        <f> REMAINING WITH ME</f>
        <v/>
      </c>
      <c r="D125" s="399">
        <f>D122-D123-D124</f>
        <v/>
      </c>
    </row>
    <row r="126"/>
    <row r="127"/>
    <row r="128"/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56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4">
      <c r="B38" s="356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/>
      <c r="C284" s="69" t="n"/>
      <c r="D284" s="68" t="n"/>
      <c r="E284" s="69" t="n"/>
      <c r="F284" s="70" t="n"/>
      <c r="G284" s="23" t="n"/>
      <c r="H284" s="23" t="n"/>
      <c r="I284" s="55" t="n"/>
    </row>
    <row r="285">
      <c r="B285" s="64" t="n"/>
      <c r="C285" s="65" t="n"/>
      <c r="D285" s="66" t="n"/>
      <c r="E285" s="65" t="n"/>
      <c r="F285" s="67" t="n"/>
      <c r="G285" s="14" t="n"/>
      <c r="H285" s="14" t="n"/>
      <c r="I285" s="43" t="n"/>
    </row>
    <row r="286">
      <c r="B286" s="64" t="n"/>
      <c r="C286" s="69" t="n"/>
      <c r="D286" s="68" t="n"/>
      <c r="E286" s="69" t="n"/>
      <c r="F286" s="70" t="n"/>
      <c r="G286" s="23" t="n"/>
      <c r="H286" s="23" t="n"/>
      <c r="I286" s="55" t="n"/>
    </row>
    <row r="287">
      <c r="B287" s="64" t="n"/>
      <c r="C287" s="65" t="n"/>
      <c r="D287" s="66" t="n"/>
      <c r="E287" s="65" t="n"/>
      <c r="F287" s="67" t="n"/>
      <c r="G287" s="14" t="n"/>
      <c r="H287" s="14" t="n"/>
      <c r="I287" s="43" t="n"/>
    </row>
    <row r="288">
      <c r="B288" s="64" t="n"/>
      <c r="C288" s="69" t="n"/>
      <c r="D288" s="68" t="n"/>
      <c r="E288" s="69" t="n"/>
      <c r="F288" s="70" t="n"/>
      <c r="G288" s="23" t="n"/>
      <c r="H288" s="23" t="n"/>
      <c r="I288" s="55" t="n"/>
    </row>
    <row r="289">
      <c r="B289" s="64" t="n"/>
      <c r="C289" s="65" t="n"/>
      <c r="D289" s="66" t="n"/>
      <c r="E289" s="65" t="n"/>
      <c r="F289" s="67" t="n"/>
      <c r="G289" s="14" t="n"/>
      <c r="H289" s="14" t="n"/>
      <c r="I289" s="43" t="n"/>
    </row>
    <row r="290">
      <c r="B290" s="64" t="n"/>
      <c r="C290" s="69" t="n"/>
      <c r="D290" s="68" t="n"/>
      <c r="E290" s="69" t="n"/>
      <c r="F290" s="70" t="n"/>
      <c r="G290" s="23" t="n"/>
      <c r="H290" s="23" t="n"/>
      <c r="I290" s="55" t="n"/>
    </row>
    <row r="291">
      <c r="B291" s="64" t="n"/>
      <c r="C291" s="65" t="n"/>
      <c r="D291" s="66" t="n"/>
      <c r="E291" s="65" t="n"/>
      <c r="F291" s="67" t="n"/>
      <c r="G291" s="14" t="n"/>
      <c r="H291" s="14" t="n"/>
      <c r="I291" s="43" t="n"/>
    </row>
    <row r="292">
      <c r="B292" s="64" t="n"/>
      <c r="C292" s="69" t="n"/>
      <c r="D292" s="68" t="n"/>
      <c r="E292" s="69" t="n"/>
      <c r="F292" s="70" t="n"/>
      <c r="G292" s="23" t="n"/>
      <c r="H292" s="23" t="n"/>
      <c r="I292" s="55" t="n"/>
    </row>
    <row r="293">
      <c r="B293" s="64" t="n"/>
      <c r="C293" s="65" t="n"/>
      <c r="D293" s="66" t="n"/>
      <c r="E293" s="65" t="n"/>
      <c r="F293" s="67" t="n"/>
      <c r="G293" s="14" t="n"/>
      <c r="H293" s="14" t="n"/>
      <c r="I293" s="43" t="n"/>
    </row>
    <row r="294">
      <c r="B294" s="64" t="n"/>
      <c r="C294" s="69" t="n"/>
      <c r="D294" s="68" t="n"/>
      <c r="E294" s="69" t="n"/>
      <c r="F294" s="70" t="n"/>
      <c r="G294" s="23" t="n"/>
      <c r="H294" s="23" t="n"/>
      <c r="I294" s="55" t="n"/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Current roster: John + Debi + Samu (no mesero)</t>
        </is>
      </c>
      <c r="B45" s="227" t="n">
        <v>12050</v>
      </c>
      <c r="C45" s="227" t="n">
        <v>23750</v>
      </c>
      <c r="D45" s="227" t="n">
        <v>24550</v>
      </c>
      <c r="E45" s="227" t="n">
        <v>3758</v>
      </c>
      <c r="F45" s="227" t="inlineStr">
        <is>
          <t>Cesar resigned — fixed costs down $2,000/wk</t>
        </is>
      </c>
      <c r="G45" s="227" t="inlineStr">
        <is>
          <t>Break-even ≈ $3,758/day (fixed $12,050 + variable $10,500, ÷6 days)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355" t="n">
        <v>46165</v>
      </c>
      <c r="B63" t="inlineStr">
        <is>
          <t>John (6 dias)</t>
        </is>
      </c>
      <c r="D63" s="354" t="n">
        <v>515</v>
      </c>
    </row>
    <row r="64">
      <c r="A64" s="355" t="n">
        <v>46165</v>
      </c>
      <c r="B64" t="inlineStr">
        <is>
          <t>Debi (6 dias)</t>
        </is>
      </c>
      <c r="D64" s="354" t="n">
        <v>515</v>
      </c>
    </row>
    <row r="65">
      <c r="A65" s="355" t="n">
        <v>46165</v>
      </c>
      <c r="B65" t="inlineStr">
        <is>
          <t>Victor (2 dias)</t>
        </is>
      </c>
      <c r="D65" s="354" t="n">
        <v>168</v>
      </c>
    </row>
    <row r="66">
      <c r="A66" s="355" t="n">
        <v>46174</v>
      </c>
      <c r="B66" t="inlineStr">
        <is>
          <t>John (Week 2)</t>
        </is>
      </c>
      <c r="D66" s="354" t="n">
        <v>350</v>
      </c>
    </row>
    <row r="67">
      <c r="A67" s="355" t="n">
        <v>46174</v>
      </c>
      <c r="B67" t="inlineStr">
        <is>
          <t>Duvi/Debi (Week 2)</t>
        </is>
      </c>
      <c r="D67" s="354" t="n">
        <v>350</v>
      </c>
    </row>
    <row r="68">
      <c r="A68" s="355" t="n">
        <v>46186</v>
      </c>
      <c r="B68" t="inlineStr">
        <is>
          <t>John (Week 4)</t>
        </is>
      </c>
      <c r="D68" s="354" t="n">
        <v>200</v>
      </c>
    </row>
    <row r="69">
      <c r="A69" s="355" t="n">
        <v>46186</v>
      </c>
      <c r="B69" t="inlineStr">
        <is>
          <t>Duvi/Debi (Week 4)</t>
        </is>
      </c>
      <c r="D69" s="354" t="n">
        <v>200</v>
      </c>
    </row>
    <row r="70">
      <c r="A70" s="355" t="n">
        <v>46186</v>
      </c>
      <c r="B70" t="inlineStr">
        <is>
          <t>Cesar (Week 4)</t>
        </is>
      </c>
      <c r="D70" s="354" t="n">
        <v>126</v>
      </c>
    </row>
    <row r="71">
      <c r="A71" s="355" t="n">
        <v>46186</v>
      </c>
      <c r="B71" t="inlineStr">
        <is>
          <t>Samu (Week 4)</t>
        </is>
      </c>
      <c r="D71" s="354" t="n">
        <v>126</v>
      </c>
    </row>
    <row r="72">
      <c r="B72" t="inlineStr">
        <is>
          <t>TOTAL TIPS PASSED THROUGH</t>
        </is>
      </c>
      <c r="D72" s="354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354" t="n">
        <v>20283</v>
      </c>
    </row>
    <row r="76">
      <c r="A76" t="inlineStr">
        <is>
          <t>Adjustment: restaurant cash added to tips + Mercado Pago commission (vs running estimate)</t>
        </is>
      </c>
      <c r="D76" s="354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74" min="1" max="1"/>
    <col width="15" customWidth="1" style="274" min="2" max="2"/>
    <col width="15" customWidth="1" style="274" min="3" max="8"/>
    <col width="18" customWidth="1" style="274" min="9" max="9"/>
  </cols>
  <sheetData>
    <row r="1" ht="24" customHeight="1" s="274">
      <c r="A1" s="36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74">
      <c r="A2" s="340" t="n"/>
      <c r="E2" s="313" t="n"/>
    </row>
    <row r="3" ht="3.75" customHeight="1" s="274">
      <c r="A3" s="366" t="inlineStr">
        <is>
          <t>SUMMARY</t>
        </is>
      </c>
      <c r="B3" s="367" t="inlineStr">
        <is>
          <t>May 2026</t>
        </is>
      </c>
      <c r="C3" s="367" t="inlineStr">
        <is>
          <t>Jun 2026</t>
        </is>
      </c>
    </row>
    <row r="4" ht="7.5" customHeight="1" s="274">
      <c r="A4" s="360" t="inlineStr">
        <is>
          <t>Total Income</t>
        </is>
      </c>
      <c r="B4" s="361" t="n">
        <v>52949</v>
      </c>
      <c r="C4" s="361" t="n">
        <v>58335</v>
      </c>
    </row>
    <row r="5" ht="9.75" customHeight="1" s="274">
      <c r="A5" s="360" t="inlineStr">
        <is>
          <t>Total Expenses</t>
        </is>
      </c>
      <c r="B5" s="361" t="n">
        <v>32919.63</v>
      </c>
      <c r="C5" s="361" t="n">
        <v>73970.64999999999</v>
      </c>
    </row>
    <row r="6" ht="21.75" customHeight="1" s="274">
      <c r="A6" s="368" t="inlineStr">
        <is>
          <t>NET PROFIT / LOSS</t>
        </is>
      </c>
      <c r="B6" s="369" t="n">
        <v>20029.37</v>
      </c>
      <c r="C6" s="370" t="n">
        <v>-15635.65</v>
      </c>
    </row>
    <row r="7" ht="7.5" customHeight="1" s="274">
      <c r="A7" s="360" t="inlineStr">
        <is>
          <t>Trading Days</t>
        </is>
      </c>
      <c r="B7" s="361" t="n">
        <v>14</v>
      </c>
      <c r="C7" s="361" t="n">
        <v>15</v>
      </c>
    </row>
    <row r="8" ht="27.75" customHeight="1" s="274">
      <c r="A8" s="360" t="inlineStr">
        <is>
          <t>Avg Income / Day</t>
        </is>
      </c>
      <c r="B8" s="371" t="n">
        <v>3782.07</v>
      </c>
      <c r="C8" s="371" t="n">
        <v>3889</v>
      </c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</row>
    <row r="10" ht="18" customHeight="1" s="274">
      <c r="A10" s="367" t="inlineStr">
        <is>
          <t>INCOME BY TYPE</t>
        </is>
      </c>
      <c r="B10" s="372" t="inlineStr">
        <is>
          <t>May 2026</t>
        </is>
      </c>
      <c r="C10" s="373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74">
      <c r="A11" s="360" t="inlineStr">
        <is>
          <t>Card</t>
        </is>
      </c>
      <c r="B11" s="374" t="n">
        <v>26684</v>
      </c>
      <c r="C11" s="361" t="n">
        <v>29281</v>
      </c>
    </row>
    <row r="12" ht="18" customHeight="1" s="274">
      <c r="A12" s="360" t="inlineStr">
        <is>
          <t>Cash</t>
        </is>
      </c>
      <c r="B12" s="375" t="n">
        <v>26265</v>
      </c>
      <c r="C12" s="376" t="n">
        <v>28107</v>
      </c>
      <c r="D12" s="93" t="n"/>
      <c r="E12" s="93" t="n"/>
      <c r="F12" s="93" t="n"/>
      <c r="G12" s="93" t="n"/>
      <c r="H12" s="93" t="n"/>
      <c r="I12" s="137" t="n"/>
    </row>
    <row r="13" ht="18" customHeight="1" s="274">
      <c r="A13" s="360" t="inlineStr">
        <is>
          <t>Transfer</t>
        </is>
      </c>
      <c r="B13" s="377" t="n">
        <v>0</v>
      </c>
      <c r="C13" s="378" t="n">
        <v>947</v>
      </c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A15" s="367" t="inlineStr">
        <is>
          <t>EXPENSES BY CATEGORY (high to low)</t>
        </is>
      </c>
      <c r="B15" s="372" t="inlineStr">
        <is>
          <t>May 2026</t>
        </is>
      </c>
      <c r="C15" s="373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74">
      <c r="A16" s="360" t="inlineStr">
        <is>
          <t>Staff - Salary</t>
        </is>
      </c>
      <c r="B16" s="379" t="n">
        <v>10666</v>
      </c>
      <c r="C16" s="380" t="n">
        <v>14956.65</v>
      </c>
      <c r="D16" s="143" t="n"/>
      <c r="E16" s="143" t="n"/>
      <c r="F16" s="143" t="n"/>
      <c r="G16" s="143" t="n"/>
      <c r="H16" s="143" t="n"/>
      <c r="I16" s="143" t="n"/>
    </row>
    <row r="17" ht="19.5" customHeight="1" s="274">
      <c r="A17" s="360" t="inlineStr">
        <is>
          <t>Ingredients - Meat</t>
        </is>
      </c>
      <c r="B17" s="374" t="n">
        <v>5617.49</v>
      </c>
      <c r="C17" s="361" t="n">
        <v>13232.35</v>
      </c>
    </row>
    <row r="18" ht="18" customHeight="1" s="274">
      <c r="A18" s="360" t="inlineStr">
        <is>
          <t>Rent</t>
        </is>
      </c>
      <c r="B18" s="375" t="n">
        <v>0</v>
      </c>
      <c r="C18" s="376" t="n">
        <v>15000</v>
      </c>
      <c r="D18" s="93" t="n"/>
      <c r="E18" s="93" t="n"/>
      <c r="F18" s="93" t="n"/>
      <c r="G18" s="93" t="n"/>
      <c r="H18" s="93" t="n"/>
      <c r="I18" s="137" t="n"/>
    </row>
    <row r="19" ht="18" customHeight="1" s="274">
      <c r="A19" s="360" t="inlineStr">
        <is>
          <t>Ingredients - Beverages</t>
        </is>
      </c>
      <c r="B19" s="377" t="n">
        <v>905.23</v>
      </c>
      <c r="C19" s="378" t="n">
        <v>5867.39</v>
      </c>
      <c r="D19" s="86" t="n"/>
      <c r="E19" s="86" t="n"/>
      <c r="F19" s="86" t="n"/>
      <c r="G19" s="86" t="n"/>
      <c r="H19" s="86" t="n"/>
      <c r="I19" s="139" t="n"/>
    </row>
    <row r="20" ht="18" customHeight="1" s="274">
      <c r="A20" s="360" t="inlineStr">
        <is>
          <t>Ingredients - Vegetables</t>
        </is>
      </c>
      <c r="B20" s="375" t="n">
        <v>3439.79</v>
      </c>
      <c r="C20" s="376" t="n">
        <v>3208.63</v>
      </c>
      <c r="D20" s="93" t="n"/>
      <c r="E20" s="93" t="n"/>
      <c r="F20" s="93" t="n"/>
      <c r="G20" s="93" t="n"/>
      <c r="H20" s="93" t="n"/>
      <c r="I20" s="137" t="n"/>
    </row>
    <row r="21" ht="18" customHeight="1" s="274">
      <c r="A21" s="360" t="inlineStr">
        <is>
          <t>Ingredients - Pantry</t>
        </is>
      </c>
      <c r="B21" s="377" t="n">
        <v>3505.54</v>
      </c>
      <c r="C21" s="378" t="n">
        <v>2729.76</v>
      </c>
      <c r="D21" s="86" t="n"/>
      <c r="E21" s="86" t="n"/>
      <c r="F21" s="86" t="n"/>
      <c r="G21" s="86" t="n"/>
      <c r="H21" s="86" t="n"/>
      <c r="I21" s="139" t="n"/>
    </row>
    <row r="22" ht="18" customHeight="1" s="274">
      <c r="A22" s="360" t="inlineStr">
        <is>
          <t>Ingredients - Dairy</t>
        </is>
      </c>
      <c r="B22" s="375" t="n">
        <v>2388.12</v>
      </c>
      <c r="C22" s="376" t="n">
        <v>2732.39</v>
      </c>
      <c r="D22" s="93" t="n"/>
      <c r="E22" s="93" t="n"/>
      <c r="F22" s="93" t="n"/>
      <c r="G22" s="93" t="n"/>
      <c r="H22" s="93" t="n"/>
      <c r="I22" s="137" t="n"/>
    </row>
    <row r="23" ht="18" customHeight="1" s="274">
      <c r="A23" s="360" t="inlineStr">
        <is>
          <t>Maintenance</t>
        </is>
      </c>
      <c r="B23" s="381" t="n">
        <v>0</v>
      </c>
      <c r="C23" s="382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74">
      <c r="A24" s="360" t="inlineStr">
        <is>
          <t>Supermarket / General</t>
        </is>
      </c>
      <c r="B24" s="383" t="n">
        <v>698</v>
      </c>
      <c r="C24" s="384" t="n">
        <v>4007.1</v>
      </c>
      <c r="D24" s="145" t="n"/>
      <c r="E24" s="145" t="n"/>
      <c r="F24" s="145" t="n"/>
      <c r="G24" s="145" t="n"/>
      <c r="H24" s="145" t="n"/>
      <c r="I24" s="145" t="n"/>
    </row>
    <row r="25" ht="18" customHeight="1" s="274">
      <c r="A25" s="360" t="inlineStr">
        <is>
          <t>Supplies / Other</t>
        </is>
      </c>
      <c r="B25" s="385" t="n">
        <v>628.2</v>
      </c>
      <c r="C25" s="386" t="n">
        <v>3610.65</v>
      </c>
      <c r="D25" s="147" t="n"/>
      <c r="E25" s="147" t="n"/>
      <c r="F25" s="147" t="n"/>
      <c r="G25" s="147" t="n"/>
      <c r="H25" s="147" t="n"/>
      <c r="I25" s="147" t="n"/>
    </row>
    <row r="26" ht="18" customHeight="1" s="274">
      <c r="A26" s="360" t="inlineStr">
        <is>
          <t>Ingredients - Bread</t>
        </is>
      </c>
      <c r="B26" s="375" t="n">
        <v>1976.5</v>
      </c>
      <c r="C26" s="376" t="n">
        <v>1024.54</v>
      </c>
      <c r="D26" s="93" t="n"/>
      <c r="E26" s="93" t="n"/>
      <c r="F26" s="93" t="n"/>
      <c r="G26" s="93" t="n"/>
      <c r="H26" s="93" t="n"/>
      <c r="I26" s="137" t="n"/>
    </row>
    <row r="27" ht="18" customHeight="1" s="274">
      <c r="A27" s="360" t="inlineStr">
        <is>
          <t>Ingredients - Meat &amp; Fish</t>
        </is>
      </c>
      <c r="B27" s="377" t="n">
        <v>1540.7</v>
      </c>
      <c r="C27" s="378" t="n">
        <v>901.4</v>
      </c>
      <c r="D27" s="86" t="n"/>
      <c r="E27" s="86" t="n"/>
      <c r="F27" s="86" t="n"/>
      <c r="G27" s="86" t="n"/>
      <c r="H27" s="86" t="n"/>
      <c r="I27" s="139" t="n"/>
    </row>
    <row r="28" ht="18" customHeight="1" s="274">
      <c r="A28" s="360" t="inlineStr">
        <is>
          <t>Ingredients - Fruit</t>
        </is>
      </c>
      <c r="B28" s="387" t="n">
        <v>794.0599999999999</v>
      </c>
      <c r="C28" s="388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74">
      <c r="A29" s="360" t="inlineStr">
        <is>
          <t>Ingredients - Other</t>
        </is>
      </c>
      <c r="B29" s="379" t="n">
        <v>0</v>
      </c>
      <c r="C29" s="380" t="n">
        <v>608</v>
      </c>
      <c r="D29" s="143" t="n"/>
      <c r="E29" s="143" t="n"/>
      <c r="F29" s="143" t="n"/>
      <c r="G29" s="143" t="n"/>
      <c r="H29" s="143" t="n"/>
      <c r="I29" s="143" t="n"/>
    </row>
    <row r="30" ht="19.5" customHeight="1" s="274">
      <c r="A30" s="360" t="inlineStr">
        <is>
          <t>Staff - Advance</t>
        </is>
      </c>
      <c r="B30" s="374" t="n">
        <v>500</v>
      </c>
      <c r="C30" s="361" t="n">
        <v>0</v>
      </c>
    </row>
    <row r="31" ht="18" customHeight="1" s="274">
      <c r="A31" s="360" t="inlineStr">
        <is>
          <t>Ingredients - Desserts</t>
        </is>
      </c>
      <c r="B31" s="389" t="n">
        <v>260</v>
      </c>
      <c r="C31" s="378" t="n">
        <v>0</v>
      </c>
      <c r="D31" s="111" t="n"/>
      <c r="E31" s="111" t="n"/>
      <c r="F31" s="111" t="n"/>
      <c r="G31" s="111" t="n"/>
      <c r="H31" s="111" t="n"/>
      <c r="I31" s="148" t="n"/>
    </row>
    <row r="32" ht="18" customHeight="1" s="274">
      <c r="A32" s="360" t="inlineStr">
        <is>
          <t>Ingredients - Produce</t>
        </is>
      </c>
      <c r="B32" s="390" t="n">
        <v>0</v>
      </c>
      <c r="C32" s="391" t="n">
        <v>48</v>
      </c>
      <c r="D32" s="149" t="n"/>
      <c r="E32" s="149" t="n"/>
      <c r="F32" s="149" t="n"/>
      <c r="G32" s="149" t="n"/>
      <c r="H32" s="149" t="n"/>
      <c r="I32" s="149" t="n"/>
    </row>
    <row r="33" ht="18" customHeight="1" s="274">
      <c r="A33" s="368" t="inlineStr">
        <is>
          <t>TOTAL EXPENSES</t>
        </is>
      </c>
      <c r="B33" s="392" t="n">
        <v>32919.63</v>
      </c>
      <c r="C33" s="370" t="n">
        <v>73970.64999999999</v>
      </c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74" min="1" max="1"/>
    <col width="46" customWidth="1" style="274" min="2" max="2"/>
    <col width="18" customWidth="1" style="274" min="3" max="3"/>
    <col width="18" customWidth="1" style="274" min="4" max="4"/>
    <col width="22" customWidth="1" style="274" min="5" max="5"/>
    <col width="18" customWidth="1" style="274" min="6" max="6"/>
    <col width="22" customWidth="1" style="274" min="7" max="7"/>
    <col width="40" customWidth="1" style="274" min="8" max="8"/>
  </cols>
  <sheetData>
    <row r="1" ht="26" customHeight="1" s="274">
      <c r="A1" s="357" t="inlineStr">
        <is>
          <t>LOHITH — OWNER LEDGER &amp; PERSONAL BALANCE TRACKER</t>
        </is>
      </c>
    </row>
    <row r="3" ht="30" customHeight="1" s="274">
      <c r="A3" s="358" t="inlineStr">
        <is>
          <t>Date</t>
        </is>
      </c>
      <c r="B3" s="358" t="inlineStr">
        <is>
          <t>Description</t>
        </is>
      </c>
      <c r="C3" s="358" t="inlineStr">
        <is>
          <t>Type</t>
        </is>
      </c>
      <c r="D3" s="358" t="inlineStr">
        <is>
          <t>Spent by Lohith ($)</t>
        </is>
      </c>
      <c r="E3" s="358" t="inlineStr">
        <is>
          <t>Transferred to Lohith ($)</t>
        </is>
      </c>
      <c r="F3" s="358" t="inlineStr">
        <is>
          <t>Running Balance ($)</t>
        </is>
      </c>
      <c r="G3" s="358" t="inlineStr">
        <is>
          <t>Status</t>
        </is>
      </c>
      <c r="H3" s="358" t="inlineStr">
        <is>
          <t>Notes</t>
        </is>
      </c>
    </row>
    <row r="4">
      <c r="A4" s="359" t="n">
        <v>46174</v>
      </c>
      <c r="B4" s="360" t="inlineStr">
        <is>
          <t>Telmex Internet Bill (Mayo)</t>
        </is>
      </c>
      <c r="C4" s="360" t="inlineStr">
        <is>
          <t>Expense - Personal</t>
        </is>
      </c>
      <c r="D4" s="361" t="n">
        <v>349</v>
      </c>
      <c r="E4" s="360" t="n"/>
      <c r="F4" s="361">
        <f>IFERROR(D4-E4,0)</f>
        <v/>
      </c>
      <c r="G4" s="360" t="inlineStr">
        <is>
          <t>⏳ Reimburse</t>
        </is>
      </c>
      <c r="H4" s="360" t="inlineStr">
        <is>
          <t>Paid by Lohith — ⏳ Reimburse</t>
        </is>
      </c>
    </row>
    <row r="5">
      <c r="A5" s="359" t="n">
        <v>46174</v>
      </c>
      <c r="B5" s="360" t="inlineStr">
        <is>
          <t>Customer Transfer — Jun 1</t>
        </is>
      </c>
      <c r="C5" s="360" t="inlineStr">
        <is>
          <t>Transfer Received</t>
        </is>
      </c>
      <c r="D5" s="360" t="n"/>
      <c r="E5" s="361" t="n">
        <v>310</v>
      </c>
      <c r="F5" s="361">
        <f>IFERROR(F4+D5-E5,0)</f>
        <v/>
      </c>
      <c r="G5" s="360" t="inlineStr">
        <is>
          <t>✅</t>
        </is>
      </c>
      <c r="H5" s="360" t="inlineStr">
        <is>
          <t>✅ Received in Lohith account</t>
        </is>
      </c>
    </row>
    <row r="6">
      <c r="A6" s="359" t="n">
        <v>46175</v>
      </c>
      <c r="B6" s="360" t="inlineStr">
        <is>
          <t>Customer Transfer — Jun 2</t>
        </is>
      </c>
      <c r="C6" s="360" t="inlineStr">
        <is>
          <t>Transfer Received</t>
        </is>
      </c>
      <c r="D6" s="360" t="n"/>
      <c r="E6" s="361" t="n">
        <v>283</v>
      </c>
      <c r="F6" s="361">
        <f>IFERROR(F5+D6-E6,0)</f>
        <v/>
      </c>
      <c r="G6" s="360" t="inlineStr">
        <is>
          <t>✅</t>
        </is>
      </c>
      <c r="H6" s="360" t="inlineStr">
        <is>
          <t>✅ Received in Lohith account</t>
        </is>
      </c>
    </row>
    <row r="7">
      <c r="A7" s="359" t="n">
        <v>46176</v>
      </c>
      <c r="B7" s="360" t="inlineStr">
        <is>
          <t>Customer Transfer — Jun 3</t>
        </is>
      </c>
      <c r="C7" s="360" t="inlineStr">
        <is>
          <t>Transfer Received</t>
        </is>
      </c>
      <c r="D7" s="360" t="n"/>
      <c r="E7" s="361" t="n">
        <v>120</v>
      </c>
      <c r="F7" s="361">
        <f>IFERROR(F6+D7-E7,0)</f>
        <v/>
      </c>
      <c r="G7" s="360" t="inlineStr">
        <is>
          <t>✅</t>
        </is>
      </c>
      <c r="H7" s="360" t="inlineStr">
        <is>
          <t>✅ Received in Lohith account</t>
        </is>
      </c>
    </row>
    <row r="8">
      <c r="A8" s="359" t="n">
        <v>46177</v>
      </c>
      <c r="B8" s="360" t="inlineStr">
        <is>
          <t>Personal expenses — Huevos, Ajonjoli, Verduras</t>
        </is>
      </c>
      <c r="C8" s="360" t="inlineStr">
        <is>
          <t>Expense - Personal</t>
        </is>
      </c>
      <c r="D8" s="361" t="n">
        <v>358</v>
      </c>
      <c r="E8" s="360" t="n"/>
      <c r="F8" s="361">
        <f>IFERROR(F7+D8-E8,0)</f>
        <v/>
      </c>
      <c r="G8" s="360" t="inlineStr">
        <is>
          <t>⏳ Reimburse</t>
        </is>
      </c>
      <c r="H8" s="360" t="inlineStr">
        <is>
          <t>$69 Huevos + $44 Ajonjoli Blanco + $45 Ajonjoli Negro + $200 Verduras</t>
        </is>
      </c>
    </row>
    <row r="9">
      <c r="A9" s="359" t="n">
        <v>46177</v>
      </c>
      <c r="B9" s="360" t="inlineStr">
        <is>
          <t>Cash settlement — $6 added to restaurant</t>
        </is>
      </c>
      <c r="C9" s="360" t="inlineStr">
        <is>
          <t>Expense - Personal</t>
        </is>
      </c>
      <c r="D9" s="361" t="n">
        <v>6</v>
      </c>
      <c r="E9" s="360" t="n"/>
      <c r="F9" s="361">
        <f>IFERROR(F8+D9-E9,0)</f>
        <v/>
      </c>
      <c r="G9" s="360" t="inlineStr">
        <is>
          <t>✅ Settled</t>
        </is>
      </c>
      <c r="H9" s="360" t="inlineStr">
        <is>
          <t>Lohith added $6 cash to restaurant — balance now ZERO</t>
        </is>
      </c>
    </row>
    <row r="10">
      <c r="A10" s="359" t="n">
        <v>46178</v>
      </c>
      <c r="B10" s="360" t="inlineStr">
        <is>
          <t>Customer Transfer — Jun 5</t>
        </is>
      </c>
      <c r="C10" s="360" t="inlineStr">
        <is>
          <t>Transfer Received</t>
        </is>
      </c>
      <c r="D10" s="360" t="n"/>
      <c r="E10" s="361" t="n">
        <v>135</v>
      </c>
      <c r="F10" s="361">
        <f>IFERROR(F9+D10-E10,0)</f>
        <v/>
      </c>
      <c r="G10" s="360" t="inlineStr">
        <is>
          <t>✅ Received</t>
        </is>
      </c>
      <c r="H10" s="360" t="inlineStr">
        <is>
          <t>✅ Received in Lohith account — Jun 5</t>
        </is>
      </c>
    </row>
    <row r="11">
      <c r="A11" s="359" t="n">
        <v>46177</v>
      </c>
      <c r="B11" s="360" t="inlineStr">
        <is>
          <t>Renta + Mantenimiento Junio 2026</t>
        </is>
      </c>
      <c r="C11" s="360" t="inlineStr">
        <is>
          <t>Expense - Personal</t>
        </is>
      </c>
      <c r="D11" s="361" t="n">
        <v>20000</v>
      </c>
      <c r="E11" s="360" t="n"/>
      <c r="F11" s="361">
        <f>IFERROR(F10+D11-E11,0)</f>
        <v/>
      </c>
      <c r="G11" s="360" t="inlineStr">
        <is>
          <t>⏳ Reimburse</t>
        </is>
      </c>
      <c r="H11" s="360" t="inlineStr">
        <is>
          <t>Rent $15,000 + Maintenance $5,000 — paid personally by Lohith on 4 Jun</t>
        </is>
      </c>
    </row>
    <row r="12">
      <c r="A12" s="359" t="n">
        <v>46181</v>
      </c>
      <c r="B12" s="360" t="inlineStr">
        <is>
          <t>Customer Transfer — Jun 8</t>
        </is>
      </c>
      <c r="C12" s="360" t="inlineStr">
        <is>
          <t>Transfer Received</t>
        </is>
      </c>
      <c r="D12" s="360" t="n"/>
      <c r="E12" s="361" t="n">
        <v>99</v>
      </c>
      <c r="F12" s="361">
        <f>IFERROR(F11+D12-E12,0)</f>
        <v/>
      </c>
      <c r="G12" s="360" t="inlineStr">
        <is>
          <t>✅ Received</t>
        </is>
      </c>
      <c r="H12" s="360" t="inlineStr">
        <is>
          <t>✅ Received in Lohith account — Jun 8</t>
        </is>
      </c>
    </row>
    <row r="13">
      <c r="A13" s="359" t="n">
        <v>46183</v>
      </c>
      <c r="B13" s="360" t="inlineStr">
        <is>
          <t>Chedraui Paseo — Groceries (elote, chile, tomate, tortillas, bolillo)</t>
        </is>
      </c>
      <c r="C13" s="360" t="inlineStr">
        <is>
          <t>Expense - Personal</t>
        </is>
      </c>
      <c r="D13" s="361" t="n">
        <v>236.81</v>
      </c>
      <c r="E13" s="360" t="n"/>
      <c r="F13" s="361">
        <f>IFERROR(F12+D13-E13,0)</f>
        <v/>
      </c>
      <c r="G13" s="360" t="inlineStr">
        <is>
          <t>⏳ Reimburse</t>
        </is>
      </c>
      <c r="H13" s="360" t="inlineStr">
        <is>
          <t>Paid personally by Lohith — HSBC **5543</t>
        </is>
      </c>
    </row>
    <row r="14">
      <c r="A14" s="359" t="n">
        <v>46183</v>
      </c>
      <c r="B14" s="360" t="inlineStr">
        <is>
          <t>Office Depot — Comanda Restaurante</t>
        </is>
      </c>
      <c r="C14" s="360" t="inlineStr">
        <is>
          <t>Expense - Personal</t>
        </is>
      </c>
      <c r="D14" s="361" t="n">
        <v>59</v>
      </c>
      <c r="E14" s="360" t="n"/>
      <c r="F14" s="361">
        <f>IFERROR(F13+D14-E14,0)</f>
        <v/>
      </c>
      <c r="G14" s="360" t="inlineStr">
        <is>
          <t>⏳ Reimburse</t>
        </is>
      </c>
      <c r="H14" s="360" t="inlineStr">
        <is>
          <t>Paid personally by Lohith — MC **5543</t>
        </is>
      </c>
    </row>
    <row r="15">
      <c r="A15" s="359" t="n">
        <v>46184</v>
      </c>
      <c r="B15" s="360" t="inlineStr">
        <is>
          <t>ALICO — Ala de Pollo, Papa Harvest 13.62kg, Boneless Freskecito</t>
        </is>
      </c>
      <c r="C15" s="360" t="inlineStr">
        <is>
          <t>Expense - Personal</t>
        </is>
      </c>
      <c r="D15" s="361" t="n">
        <v>2865</v>
      </c>
      <c r="E15" s="360" t="n"/>
      <c r="F15" s="361">
        <f>IFERROR(F14+D15-E15,0)</f>
        <v/>
      </c>
      <c r="G15" s="360" t="inlineStr">
        <is>
          <t>⏳ Reimburse</t>
        </is>
      </c>
      <c r="H15" s="360" t="inlineStr">
        <is>
          <t>Restaurant ingredients paid personally by Lohith (transfer) — 11 Jun</t>
        </is>
      </c>
    </row>
    <row r="16">
      <c r="A16" s="359" t="n">
        <v>46184</v>
      </c>
      <c r="B16" s="360" t="inlineStr">
        <is>
          <t>Pollería — Muslo de Pollo 4.70 kg</t>
        </is>
      </c>
      <c r="C16" s="360" t="inlineStr">
        <is>
          <t>Expense - Personal</t>
        </is>
      </c>
      <c r="D16" s="361" t="n">
        <v>235</v>
      </c>
      <c r="E16" s="360" t="n"/>
      <c r="F16" s="361">
        <f>IFERROR(F15+D16-E16,0)</f>
        <v/>
      </c>
      <c r="G16" s="360" t="inlineStr">
        <is>
          <t>⏳ Reimburse</t>
        </is>
      </c>
      <c r="H16" s="360" t="inlineStr">
        <is>
          <t>Restaurant ingredients paid personally by Lohith (transfer) — 11 Jun</t>
        </is>
      </c>
    </row>
    <row r="17">
      <c r="A17" s="359" t="n">
        <v>46188</v>
      </c>
      <c r="B17" s="360" t="inlineStr">
        <is>
          <t>Chedraui — Tortillas, Bolillo, Rosca de Nuez</t>
        </is>
      </c>
      <c r="C17" s="360" t="inlineStr">
        <is>
          <t>Expense - Personal</t>
        </is>
      </c>
      <c r="D17" s="361" t="n">
        <v>160.33</v>
      </c>
      <c r="E17" s="360" t="n"/>
      <c r="F17" s="361">
        <f>IFERROR(F16+D17-E17,0)</f>
        <v/>
      </c>
      <c r="G17" s="360" t="inlineStr">
        <is>
          <t>⏳ Reimburse</t>
        </is>
      </c>
      <c r="H17" s="360" t="inlineStr">
        <is>
          <t>HSBC **5543 — paid by Lohith 15 Jun</t>
        </is>
      </c>
    </row>
    <row r="18">
      <c r="A18" s="359" t="n">
        <v>46188</v>
      </c>
      <c r="B18" s="360" t="inlineStr">
        <is>
          <t>OXXO Pathe — Aceite Vegetal (2)</t>
        </is>
      </c>
      <c r="C18" s="360" t="inlineStr">
        <is>
          <t>Expense - Personal</t>
        </is>
      </c>
      <c r="D18" s="361" t="n">
        <v>104</v>
      </c>
      <c r="E18" s="360" t="n"/>
      <c r="F18" s="361">
        <f>IFERROR(F17+D18-E18,0)</f>
        <v/>
      </c>
      <c r="G18" s="360" t="inlineStr">
        <is>
          <t>⏳ Reimburse</t>
        </is>
      </c>
      <c r="H18" s="360" t="inlineStr">
        <is>
          <t>HSBC **5543 — paid by Lohith 15 Jun</t>
        </is>
      </c>
    </row>
    <row r="19">
      <c r="A19" s="359" t="n">
        <v>46188</v>
      </c>
      <c r="B19" s="360" t="inlineStr">
        <is>
          <t>Miscelánea LC — Ribeye, Chuleta, Bistec</t>
        </is>
      </c>
      <c r="C19" s="360" t="inlineStr">
        <is>
          <t>Expense - Personal</t>
        </is>
      </c>
      <c r="D19" s="361" t="n">
        <v>1015</v>
      </c>
      <c r="E19" s="360" t="n"/>
      <c r="F19" s="361">
        <f>IFERROR(F18+D19-E19,0)</f>
        <v/>
      </c>
      <c r="G19" s="360" t="inlineStr">
        <is>
          <t>⏳ Reimburse</t>
        </is>
      </c>
      <c r="H19" s="360" t="inlineStr">
        <is>
          <t>HSBC **5543 — paid by Lohith 15 Jun</t>
        </is>
      </c>
    </row>
    <row r="20">
      <c r="A20" s="359" t="n">
        <v>46188</v>
      </c>
      <c r="B20" s="360" t="inlineStr">
        <is>
          <t>Transfer from Restaurant account</t>
        </is>
      </c>
      <c r="C20" s="360" t="inlineStr">
        <is>
          <t>Reimbursement</t>
        </is>
      </c>
      <c r="D20" s="360" t="n"/>
      <c r="E20" s="361" t="n">
        <v>3162</v>
      </c>
      <c r="F20" s="361">
        <f>IFERROR(F19+D20-E20,0)</f>
        <v/>
      </c>
      <c r="G20" s="360" t="inlineStr">
        <is>
          <t>✅ Received</t>
        </is>
      </c>
      <c r="H20" s="360" t="inlineStr">
        <is>
          <t>Bank transfer to Lohith</t>
        </is>
      </c>
    </row>
    <row r="21">
      <c r="A21" s="359" t="n">
        <v>46188</v>
      </c>
      <c r="B21" s="360" t="inlineStr">
        <is>
          <t>15 Jun card expenses reimbursed (Chedraui+OXXO+Miscelánea)</t>
        </is>
      </c>
      <c r="C21" s="360" t="inlineStr">
        <is>
          <t>Reimbursement</t>
        </is>
      </c>
      <c r="D21" s="360" t="n"/>
      <c r="E21" s="361" t="n">
        <v>1279.33</v>
      </c>
      <c r="F21" s="361">
        <f>IFERROR(F20+D21-E21,0)</f>
        <v/>
      </c>
      <c r="G21" s="360" t="inlineStr">
        <is>
          <t>✅ Received</t>
        </is>
      </c>
      <c r="H21" s="360" t="inlineStr">
        <is>
          <t>HSBC **5543 items repaid same day</t>
        </is>
      </c>
    </row>
    <row r="22">
      <c r="A22" s="359" t="n">
        <v>46189</v>
      </c>
      <c r="B22" s="360" t="inlineStr">
        <is>
          <t>OXXO Pathe — Leche Lala UHT (2)</t>
        </is>
      </c>
      <c r="C22" s="360" t="inlineStr">
        <is>
          <t>Expense - Personal</t>
        </is>
      </c>
      <c r="D22" s="361" t="n">
        <v>93</v>
      </c>
      <c r="E22" s="360" t="n"/>
      <c r="F22" s="361">
        <f>IFERROR(F21+D22-E22,0)</f>
        <v/>
      </c>
      <c r="G22" s="360" t="inlineStr">
        <is>
          <t>⏳ Reimburse</t>
        </is>
      </c>
      <c r="H22" s="360" t="inlineStr">
        <is>
          <t>HSBC **5543 — paid by Lohith 16 Jun</t>
        </is>
      </c>
    </row>
    <row r="23">
      <c r="A23" s="359" t="n">
        <v>46189</v>
      </c>
      <c r="B23" s="360" t="inlineStr">
        <is>
          <t>16 Jun OXXO card expense reimbursed</t>
        </is>
      </c>
      <c r="C23" s="360" t="inlineStr">
        <is>
          <t>Reimbursement</t>
        </is>
      </c>
      <c r="D23" s="360" t="n"/>
      <c r="E23" s="361" t="n">
        <v>93</v>
      </c>
      <c r="F23" s="361">
        <f>IFERROR(F22+D23-E23,0)</f>
        <v/>
      </c>
      <c r="G23" s="360" t="inlineStr">
        <is>
          <t>✅ Received</t>
        </is>
      </c>
      <c r="H23" s="360" t="inlineStr">
        <is>
          <t>HSBC **5543 item repaid same day</t>
        </is>
      </c>
    </row>
    <row r="24">
      <c r="A24" s="362" t="inlineStr">
        <is>
          <t>TOTALS &amp; CURRENT BALANCE</t>
        </is>
      </c>
      <c r="B24" s="362" t="n"/>
      <c r="C24" s="362" t="n"/>
      <c r="D24" s="363">
        <f>SUM(D4:D23)</f>
        <v/>
      </c>
      <c r="E24" s="363">
        <f>SUM(E4:E23)</f>
        <v/>
      </c>
      <c r="F24" s="363">
        <f>F23</f>
        <v/>
      </c>
      <c r="G24" s="362">
        <f>IF(F23&gt;0,"Restaurant owes Lohith $"&amp;TEXT(F23,"#,##0"),IF(F23&lt;0,"Lohith holds $"&amp;TEXT(ABS(F23),"#,##0"),"Zero balance"))</f>
        <v/>
      </c>
      <c r="H24" s="362" t="n"/>
    </row>
    <row r="26">
      <c r="A26" s="364" t="inlineStr">
        <is>
          <t>HOW TO USE:</t>
        </is>
      </c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2026-06-18T13:52:14Z</dcterms:modified>
  <cp:lastModifiedBy>LOHITH REDDY</cp:lastModifiedBy>
</cp:coreProperties>
</file>