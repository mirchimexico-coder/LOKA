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  <numFmt numFmtId="177" formatCode="yyyy-mm-dd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Expenses'!$F$8:$F$5000,'💸 Expenses'!$B$8:$B$5000,"&gt;="&amp;B22,'💸 Expenses'!$B$8:$B$5000,"&lt;"&amp;(B22+1))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Expenses'!$F$8:$F$5000,'💸 Expenses'!$B$8:$B$5000,"&gt;="&amp;B23,'💸 Expenses'!$B$8:$B$5000,"&lt;"&amp;(B23+1))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Expenses'!$F$8:$F$5000,'💸 Expenses'!$B$8:$B$5000,"&gt;="&amp;B24,'💸 Expenses'!$B$8:$B$5000,"&lt;"&amp;(B24+1))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Expenses'!$F$8:$F$5000,'💸 Expenses'!$B$8:$B$5000,"&gt;="&amp;B26,'💸 Expenses'!$B$8:$B$5000,"&lt;"&amp;(B26+1))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Expenses'!$F$8:$F$5000,'💸 Expenses'!$B$8:$B$5000,"&gt;="&amp;B29,'💸 Expenses'!$B$8:$B$5000,"&lt;"&amp;(B29+1))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Expenses'!$F$8:$F$5000,'💸 Expenses'!$B$8:$B$5000,"&gt;="&amp;B32,'💸 Expenses'!$B$8:$B$5000,"&lt;"&amp;(B32+1))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Expenses'!$F$8:$F$5000,'💸 Expenses'!$B$8:$B$5000,"&gt;="&amp;B33,'💸 Expenses'!$B$8:$B$5000,"&lt;"&amp;(B33+1))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Expenses'!$F$8:$F$5000,'💸 Expenses'!$B$8:$B$5000,"&gt;="&amp;B34,'💸 Expenses'!$B$8:$B$5000,"&lt;"&amp;(B34+1))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Expenses'!$F$8:$F$5000,'💸 Expenses'!$B$8:$B$5000,"&gt;="&amp;B35,'💸 Expenses'!$B$8:$B$5000,"&lt;"&amp;(B35+1))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Expenses'!$F$8:$F$5000,'💸 Expenses'!$B$8:$B$5000,"&gt;="&amp;B36,'💸 Expenses'!$B$8:$B$5000,"&lt;"&amp;(B36+1))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Expenses'!$F$8:$F$5000,'💸 Expenses'!$B$8:$B$5000,"&gt;="&amp;B37,'💸 Expenses'!$B$8:$B$5000,"&lt;"&amp;(B37+1))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Expenses'!$F$8:$F$5000,'💸 Expenses'!$B$8:$B$5000,"&gt;="&amp;B38,'💸 Expenses'!$B$8:$B$5000,"&lt;"&amp;(B38+1))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Expenses'!$F$8:$F$5000,'💸 Expenses'!$B$8:$B$5000,"&gt;="&amp;B39,'💸 Expenses'!$B$8:$B$5000,"&lt;"&amp;(B39+1))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Expenses'!$F$8:$F$5000,'💸 Expenses'!$B$8:$B$5000,"&gt;="&amp;B40,'💸 Expenses'!$B$8:$B$5000,"&lt;"&amp;(B40+1))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Expenses'!$F$8:$F$5000,'💸 Expenses'!$B$8:$B$5000,"&gt;="&amp;B41,'💸 Expenses'!$B$8:$B$5000,"&lt;"&amp;(B41+1))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Expenses'!$F$8:$F$5000,'💸 Expenses'!$B$8:$B$5000,"&gt;="&amp;B42,'💸 Expenses'!$B$8:$B$5000,"&lt;"&amp;(B42+1))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Expenses'!$F$8:$F$5000,'💸 Expenses'!$B$8:$B$5000,"&gt;="&amp;B43,'💸 Expenses'!$B$8:$B$5000,"&lt;"&amp;(B43+1))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Expenses'!$F$8:$F$5000,'💸 Expenses'!$B$8:$B$5000,"&gt;="&amp;B44,'💸 Expenses'!$B$8:$B$5000,"&lt;"&amp;(B44+1))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Expenses'!$F$8:$F$5000,'💸 Expenses'!$B$8:$B$5000,"&gt;="&amp;B45,'💸 Expenses'!$B$8:$B$5000,"&lt;"&amp;(B45+1))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Expenses'!$F$8:$F$5000,'💸 Expenses'!$B$8:$B$5000,"&gt;="&amp;B46,'💸 Expenses'!$B$8:$B$5000,"&lt;"&amp;(B46+1))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Expenses'!$F$8:$F$5000,'💸 Expenses'!$B$8:$B$5000,"&gt;="&amp;B47,'💸 Expenses'!$B$8:$B$5000,"&lt;"&amp;(B47+1))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Expenses'!$F$8:$F$5000,'💸 Expenses'!$B$8:$B$5000,"&gt;="&amp;B48,'💸 Expenses'!$B$8:$B$5000,"&lt;"&amp;(B48+1))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Expenses'!$F$8:$F$5000,'💸 Expenses'!$B$8:$B$5000,"&gt;="&amp;B49,'💸 Expenses'!$B$8:$B$5000,"&lt;"&amp;(B49+1))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Expenses'!$F$8:$F$5000,'💸 Expenses'!$B$8:$B$5000,"&gt;="&amp;B50,'💸 Expenses'!$B$8:$B$5000,"&lt;"&amp;(B50+1))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Expenses'!$F$8:$F$5000,'💸 Expenses'!$B$8:$B$5000,"&gt;="&amp;B51,'💸 Expenses'!$B$8:$B$5000,"&lt;"&amp;(B51+1))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Expenses'!$F$8:$F$5000,'💸 Expenses'!$B$8:$B$5000,"&gt;="&amp;B52,'💸 Expenses'!$B$8:$B$5000,"&lt;"&amp;(B52+1))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Expenses'!$F$8:$F$5000,'💸 Expenses'!$B$8:$B$5000,"&gt;="&amp;B53,'💸 Expenses'!$B$8:$B$5000,"&lt;"&amp;(B53+1))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Expenses'!$F$8:$F$5000,'💸 Expenses'!$B$8:$B$5000,"&gt;="&amp;B54,'💸 Expenses'!$B$8:$B$5000,"&lt;"&amp;(B54+1))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Expenses'!$F$8:$F$5000,'💸 Expenses'!$B$8:$B$5000,"&gt;="&amp;B55,'💸 Expenses'!$B$8:$B$5000,"&lt;"&amp;(B55+1))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Expenses'!$F$8:$F$5000,'💸 Expenses'!$B$8:$B$5000,"&gt;="&amp;B56,'💸 Expenses'!$B$8:$B$5000,"&lt;"&amp;(B56+1))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Expenses'!$F$8:$F$5000,'💸 Expenses'!$B$8:$B$5000,"&gt;="&amp;B57,'💸 Expenses'!$B$8:$B$5000,"&lt;"&amp;(B57+1))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Expenses'!$F$8:$F$5000,'💸 Expenses'!$B$8:$B$5000,"&gt;="&amp;B58,'💸 Expenses'!$B$8:$B$5000,"&lt;"&amp;(B58+1))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Expenses'!$F$8:$F$5000,'💸 Expenses'!$B$8:$B$5000,"&gt;="&amp;B59,'💸 Expenses'!$B$8:$B$5000,"&lt;"&amp;(B59+1))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Expenses'!$F$8:$F$5000,'💸 Expenses'!$B$8:$B$5000,"&gt;="&amp;B60,'💸 Expenses'!$B$8:$B$5000,"&lt;"&amp;(B60+1))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Expenses'!$F$8:$F$5000,'💸 Expenses'!$B$8:$B$5000,"&gt;="&amp;B61,'💸 Expenses'!$B$8:$B$5000,"&lt;"&amp;(B61+1))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Expenses'!$F$8:$F$5000,'💸 Expenses'!$B$8:$B$5000,"&gt;="&amp;B62,'💸 Expenses'!$B$8:$B$5000,"&lt;"&amp;(B62+1))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Expenses'!$F$8:$F$5000,'💸 Expenses'!$B$8:$B$5000,"&gt;="&amp;B63,'💸 Expenses'!$B$8:$B$5000,"&lt;"&amp;(B63+1))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Expenses'!$F$8:$F$5000,'💸 Expenses'!$B$8:$B$5000,"&gt;="&amp;B64,'💸 Expenses'!$B$8:$B$5000,"&lt;"&amp;(B64+1))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Expenses'!$F$8:$F$5000,'💸 Expenses'!$B$8:$B$5000,"&gt;="&amp;B65,'💸 Expenses'!$B$8:$B$5000,"&lt;"&amp;(B65+1))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Expenses'!$F$8:$F$5000,'💸 Expenses'!$B$8:$B$5000,"&gt;="&amp;B66,'💸 Expenses'!$B$8:$B$5000,"&lt;"&amp;(B66+1))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Expenses'!$F$8:$F$5000,'💸 Expenses'!$B$8:$B$5000,"&gt;="&amp;B67,'💸 Expenses'!$B$8:$B$5000,"&lt;"&amp;(B67+1))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/>
      </c>
      <c r="G68" s="257" t="n">
        <v>0</v>
      </c>
      <c r="H68" s="258">
        <f>SUMIFS('💸 Expenses'!$F$8:$F$5000,'💸 Expenses'!$B$8:$B$5000,"&gt;="&amp;B68,'💸 Expenses'!$B$8:$B$5000,"&lt;"&amp;(B68+1))</f>
        <v/>
      </c>
      <c r="I68" s="259">
        <f>IFERROR(F68-H68,0)</f>
        <v/>
      </c>
      <c r="J68" s="260">
        <f>IFERROR(I68/F68,0)</f>
        <v/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/>
      </c>
      <c r="G69" s="257" t="n">
        <v>0</v>
      </c>
      <c r="H69" s="258">
        <f>SUMIFS('💸 Expenses'!$F$8:$F$5000,'💸 Expenses'!$B$8:$B$5000,"&gt;="&amp;B69,'💸 Expenses'!$B$8:$B$5000,"&lt;"&amp;(B69+1))</f>
        <v/>
      </c>
      <c r="I69" s="259">
        <f>IFERROR(F69-H69,0)</f>
        <v/>
      </c>
      <c r="J69" s="260">
        <f>IFERROR(I69/F69,0)</f>
        <v/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/>
      </c>
      <c r="G70" s="257" t="n">
        <v>355</v>
      </c>
      <c r="H70" s="258">
        <f>SUMIFS('💸 Expenses'!$F$8:$F$5000,'💸 Expenses'!$B$8:$B$5000,"&gt;="&amp;B70,'💸 Expenses'!$B$8:$B$5000,"&lt;"&amp;(B70+1))</f>
        <v/>
      </c>
      <c r="I70" s="259">
        <f>IFERROR(F70-H70,0)</f>
        <v/>
      </c>
      <c r="J70" s="260">
        <f>IFERROR(I70/F70,0)</f>
        <v/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/>
      </c>
      <c r="G71" s="257" t="n">
        <v>0</v>
      </c>
      <c r="H71" s="258">
        <f>SUMIFS('💸 Expenses'!$F$8:$F$5000,'💸 Expenses'!$B$8:$B$5000,"&gt;="&amp;B71,'💸 Expenses'!$B$8:$B$5000,"&lt;"&amp;(B71+1))</f>
        <v/>
      </c>
      <c r="I71" s="259">
        <f>IFERROR(F71-H71,0)</f>
        <v/>
      </c>
      <c r="J71" s="260">
        <f>IFERROR(I71/F71,0)</f>
        <v/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/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3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 / Other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Packaging/Disposables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Fruit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 / Gas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Ingredients - Other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Office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Utilities/Internet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Kitchen Supplies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Software / Subscription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Staff - Advance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Utilities / Internet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Packaging / Disposables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Ingredients - Desserts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2026-07-25T17:48:11Z</dcterms:modified>
  <cp:lastModifiedBy>LOHITH REDDY</cp:lastModifiedBy>
</cp:coreProperties>
</file>