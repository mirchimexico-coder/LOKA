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18 Sep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D67-D56</f>
        <v/>
      </c>
      <c r="D92" s="167">
        <f>C92/C86</f>
        <v/>
      </c>
      <c r="E92" s="140" t="inlineStr">
        <is>
          <t>Notary + poliza + licences + branding (excl. $5k advance, already in Acquisition)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>
        <f>IF(F100&lt;1,"✅ COMPLETE","⏳ PENDING")</f>
        <v/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>
        <f>IF(F101&lt;1,"✅ COMPLETE","⏳ PENDING")</f>
        <v/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Daily Log: MP + cash + transfers + Soft + BBVA)</t>
        </is>
      </c>
      <c r="C143" s="283">
        <f>SUM('📅 Daily Log'!D8:D5000)+SUM('📅 Daily Log'!E8:E5000)+SUM('📅 Daily Log'!G8:G5000)+SUM('📅 Daily Log'!U8:U5000)+SUM('📅 Daily Log'!Y8:Y5000)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Card commissions (MP auto 4.06% + Soft + BBVA actual)</t>
        </is>
      </c>
      <c r="C145" s="268">
        <f>SUM('📅 Daily Log'!R8:R5000)+SUM('📅 Daily Log'!V8:V5000)+SUM('📅 Daily Log'!Z8:Z5000)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0</v>
      </c>
      <c r="E147" s="286" t="inlineStr">
        <is>
          <t>Operating costs funded from partner capital, net of repayments. Latest addition 04-Sep-2026 $19,066.68. Still owed by Operations: $22,478.53.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-84370.53</v>
      </c>
      <c r="E149" t="inlineStr">
        <is>
          <t>Cumulative repaid from operating cash (latest 18-Sep-2026 $2,778.53).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SUMIFS($D$8:$D$5000,$B$8:$B$5000,TODAY())+SUMIFS($E$8:$E$5000,$B$8:$B$5000,TODAY())+SUMIFS($G$8:$G$5000,$B$8:$B$5000,TODAY())+SUMIFS($U$8:$U$5000,$B$8:$B$5000,TODAY())+SUMIFS($Y$8:$Y$5000,$B$8:$B$5000,TODAY())</f>
        <v>2325.0</v>
      </c>
      <c r="G6" s="31">
        <f>SUMIFS($G$8:$G$5000,$B$8:$B$5000,TODAY())</f>
        <v>0.0</v>
      </c>
      <c r="H6" s="28">
        <f>SUMIFS($H$8:$H$5000,$B$8:$B$5000,TODAY())</f>
        <v>1979.0</v>
      </c>
      <c r="I6" s="32">
        <f>F6-H6</f>
        <v>346.0</v>
      </c>
      <c r="J6">
        <f>IFERROR(I6/F6,0)</f>
        <v>0.148817</v>
      </c>
      <c r="K6" s="28" t="n"/>
      <c r="L6" s="31" t="n"/>
      <c r="M6" s="28">
        <f>SUMIFS($F$8:$F$5000,$B$8:$B$5000,"&gt;="&amp;(TODAY()-WEEKDAY(TODAY(),2)+1),$B$8:$B$5000,"&lt;"&amp;(TODAY()-WEEKDAY(TODAY(),2)+8))</f>
        <v>26526.0</v>
      </c>
      <c r="N6" s="33">
        <f>SUMIFS($F$8:$F$5000,$B$8:$B$5000,"&gt;="&amp;(TODAY()-WEEKDAY(TODAY(),2)+1),$B$8:$B$5000,"&lt;"&amp;(TODAY()-WEEKDAY(TODAY(),2)+8))</f>
        <v>26526.0</v>
      </c>
      <c r="O6" s="33">
        <f>SUMIFS($F$8:$F$5000,$B$8:$B$5000,"&gt;="&amp;DATE(YEAR(TODAY()),MONTH(TODAY()),1),$B$8:$B$5000,"&lt;"&amp;DATE(YEAR(TODAY()),MONTH(TODAY())+1,1))</f>
        <v>71620.0</v>
      </c>
      <c r="P6">
        <f>SUMIFS('💸 Expenses'!$F$8:$F$5000,'💸 Expenses'!$B$8:$B$5000,"&gt;="&amp;(TODAY()-WEEKDAY(TODAY(),2)+1),'💸 Expenses'!$B$8:$B$5000,"&lt;"&amp;(TODAY()-WEEKDAY(TODAY(),2)+8))</f>
        <v>5433.0</v>
      </c>
      <c r="Q6">
        <f>M6-P6</f>
        <v>21093.0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IFERROR(D8+E8+G8+U8+Y8,0)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IFERROR(D9+E9+G9+U9+Y9,0)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IFERROR(D10+E10+G10+U10+Y10,0)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IFERROR(D11+E11+G11+U11+Y11,0)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IFERROR(D12+E12+G12+U12+Y12,0)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IFERROR(D13+E13+G13+U13+Y13,0)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IFERROR(D14+E14+G14+U14+Y14,0)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IFERROR(D15+E15+G15+U15+Y15,0)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IFERROR(D16+E16+G16+U16+Y16,0)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IFERROR(D17+E17+G17+U17+Y17,0)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IFERROR(D18+E18+G18+U18+Y18,0)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IFERROR(D19+E19+G19+U19+Y19,0)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IFERROR(D20+E20+G20+U20+Y20,0)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IFERROR(D21+E21+G21+U21+Y21,0)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IFERROR(D22+E22+G22+U22+Y22,0)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IFERROR(D23+E23+G23+U23+Y23,0)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IFERROR(D24+E24+G24+U24+Y24,0)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IFERROR(D25+E25+G25+U25+Y25,0)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IFERROR(D26+E26+G26+U26+Y26,0)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IFERROR(D27+E27+G27+U27+Y27,0)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IFERROR(D28+E28+G28+U28+Y28,0)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260">
        <f>IFERROR(I28/F28,0)</f>
        <v>0</v>
      </c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IFERROR(D29+E29+G29+U29+Y29,0)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IFERROR(D30+E30+G30+U30+Y30,0)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IFERROR(D31+E31+G31+U31+Y31,0)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IFERROR(D32+E32+G32+U32+Y32,0)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IFERROR(D33+E33+G33+U33+Y33,0)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IFERROR(D34+E34+G34+U34+Y34,0)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IFERROR(D35+E35+G35+U35+Y35,0)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IFERROR(D36+E36+G36+U36+Y36,0)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IFERROR(D37+E37+G37+U37+Y37,0)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IFERROR(D38+E38+G38+U38+Y38,0)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IFERROR(D39+E39+G39+U39+Y39,0)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IFERROR(D40+E40+G40+U40+Y40,0)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IFERROR(D41+E41+G41+U41+Y41,0)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IFERROR(D42+E42+G42+U42+Y42,0)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IFERROR(D43+E43+G43+U43+Y43,0)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IFERROR(D44+E44+G44+U44+Y44,0)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IFERROR(D45+E45+G45+U45+Y45,0)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IFERROR(D46+E46+G46+U46+Y46,0)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IFERROR(D47+E47+G47+U47+Y47,0)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IFERROR(D48+E48+G48+U48+Y48,0)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IFERROR(D49+E49+G49+U49+Y49,0)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IFERROR(D50+E50+G50+U50+Y50,0)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IFERROR(D51+E51+G51+U51+Y51,0)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IFERROR(D52+E52+G52+U52+Y52,0)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IFERROR(D53+E53+G53+U53+Y53,0)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IFERROR(D54+E54+G54+U54+Y54,0)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IFERROR(D55+E55+G55+U55+Y55,0)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IFERROR(D56+E56+G56+U56+Y56,0)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IFERROR(D57+E57+G57+U57+Y57,0)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IFERROR(D58+E58+G58+U58+Y58,0)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IFERROR(D59+E59+G59+U59+Y59,0)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IFERROR(D60+E60+G60+U60+Y60,0)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IFERROR(D61+E61+G61+U61+Y61,0)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19881.68</v>
      </c>
      <c r="I108" s="274">
        <f>IFERROR(F108-H108,0)</f>
        <v>-15042.68</v>
      </c>
      <c r="J108" s="275">
        <f>IFERROR(I108/F108,0)</f>
        <v>-3.108634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427" t="n">
        <v>46277</v>
      </c>
      <c r="C115" s="255" t="inlineStr">
        <is>
          <t>Sat</t>
        </is>
      </c>
      <c r="D115" s="256" t="n">
        <v>585</v>
      </c>
      <c r="E115" s="49" t="n">
        <v>1835</v>
      </c>
      <c r="F115" s="50">
        <f>IFERROR(D115+E115+G115+U115+Y115,0)</f>
        <v>2420.0</v>
      </c>
      <c r="G115" s="257" t="n">
        <v>0</v>
      </c>
      <c r="H115" s="258">
        <f>SUMIFS('💸 Expenses'!$F$8:$F$5000,'💸 Expenses'!$B$8:$B$5000,"&gt;="&amp;B115,'💸 Expenses'!$B$8:$B$5000,"&lt;"&amp;(B115+1))</f>
        <v>8813.0</v>
      </c>
      <c r="I115" s="259">
        <f>IFERROR(F115-H115,0)</f>
        <v>-6393.0</v>
      </c>
      <c r="J115" s="260">
        <f>IFERROR(I115/F115,0)</f>
        <v>-2.641736</v>
      </c>
      <c r="K115" s="254" t="n"/>
      <c r="L115" s="261" t="inlineStr">
        <is>
          <t>Cierre via loka.py</t>
        </is>
      </c>
      <c r="M115" s="291" t="n"/>
      <c r="N115" s="292" t="n"/>
      <c r="O115" s="293" t="n"/>
      <c r="P115" s="294" t="n"/>
      <c r="Q115" s="292" t="n"/>
      <c r="R115" s="443">
        <f>IFERROR(D115*$T$7,0)</f>
        <v>23.75</v>
      </c>
      <c r="S115" s="292" t="n"/>
      <c r="T115" s="292" t="n"/>
      <c r="U115" s="443" t="n">
        <v>0</v>
      </c>
      <c r="V115" s="443" t="n">
        <v>0</v>
      </c>
      <c r="W115" s="292" t="n"/>
      <c r="X115" s="292" t="n"/>
      <c r="Y115" s="443" t="n">
        <v>0</v>
      </c>
      <c r="Z115" s="443" t="n">
        <v>0</v>
      </c>
      <c r="AA115" s="292" t="n"/>
      <c r="AB115" s="292" t="n"/>
    </row>
    <row r="116" ht="16.5" customHeight="1" s="331">
      <c r="B116" s="427" t="n">
        <v>46279</v>
      </c>
      <c r="C116" s="270" t="inlineStr">
        <is>
          <t>Mon</t>
        </is>
      </c>
      <c r="D116" s="271" t="n">
        <v>1950</v>
      </c>
      <c r="E116" s="37" t="n">
        <v>2090</v>
      </c>
      <c r="F116" s="38">
        <f>IFERROR(D116+E116+G116+U116+Y116,0)</f>
        <v>4170.0</v>
      </c>
      <c r="G116" s="272" t="n">
        <v>130</v>
      </c>
      <c r="H116" s="273">
        <f>SUMIFS('💸 Expenses'!$F$8:$F$5000,'💸 Expenses'!$B$8:$B$5000,"&gt;="&amp;B116,'💸 Expenses'!$B$8:$B$5000,"&lt;"&amp;(B116+1))</f>
        <v>660.0</v>
      </c>
      <c r="I116" s="274">
        <f>IFERROR(F116-H116,0)</f>
        <v>3510.0</v>
      </c>
      <c r="J116" s="275">
        <f>IFERROR(I116/F116,0)</f>
        <v>0.841727</v>
      </c>
      <c r="K116" s="250" t="n"/>
      <c r="L116" s="276" t="inlineStr">
        <is>
          <t>Cierre via loka.py</t>
        </is>
      </c>
      <c r="M116" s="323" t="n"/>
      <c r="N116" s="324" t="n"/>
      <c r="O116" s="325" t="n"/>
      <c r="P116" s="326" t="n"/>
      <c r="Q116" s="324" t="n"/>
      <c r="R116" s="428">
        <f>IFERROR(D116*$T$7,0)</f>
        <v>79.17</v>
      </c>
      <c r="S116" s="324" t="n"/>
      <c r="T116" s="324" t="n"/>
      <c r="U116" s="428" t="n">
        <v>0</v>
      </c>
      <c r="V116" s="428" t="n">
        <v>0</v>
      </c>
      <c r="W116" s="324" t="n"/>
      <c r="X116" s="324" t="n"/>
      <c r="Y116" s="428" t="n">
        <v>0</v>
      </c>
      <c r="Z116" s="428" t="n">
        <v>0</v>
      </c>
      <c r="AA116" s="324" t="n"/>
      <c r="AB116" s="324" t="n"/>
    </row>
    <row r="117" ht="16.5" customHeight="1" s="331">
      <c r="B117" s="427" t="n">
        <v>46282</v>
      </c>
      <c r="C117" s="255" t="inlineStr">
        <is>
          <t>Thu</t>
        </is>
      </c>
      <c r="D117" s="256" t="n">
        <v>2875</v>
      </c>
      <c r="E117" s="49" t="n">
        <v>1000</v>
      </c>
      <c r="F117" s="50">
        <f>IFERROR(D117+E117+G117+U117+Y117,0)</f>
        <v>20031.0</v>
      </c>
      <c r="G117" s="257" t="n">
        <v>16156</v>
      </c>
      <c r="H117" s="258">
        <f>SUMIFS('💸 Expenses'!$F$8:$F$5000,'💸 Expenses'!$B$8:$B$5000,"&gt;="&amp;B117,'💸 Expenses'!$B$8:$B$5000,"&lt;"&amp;(B117+1))</f>
        <v>2794.0</v>
      </c>
      <c r="I117" s="259">
        <f>IFERROR(F117-H117,0)</f>
        <v>17237.0</v>
      </c>
      <c r="J117" s="260">
        <f>IFERROR(I117/F117,0)</f>
        <v>0.860516</v>
      </c>
      <c r="K117" s="254" t="n"/>
      <c r="L117" s="261" t="inlineStr">
        <is>
          <t>Cierre via loka.py | updated 20:08</t>
        </is>
      </c>
      <c r="M117" s="291" t="n"/>
      <c r="N117" s="292" t="n"/>
      <c r="O117" s="293" t="n"/>
      <c r="P117" s="294" t="n"/>
      <c r="Q117" s="292" t="n"/>
      <c r="R117" s="443">
        <f>IFERROR(D117*$T$7,0)</f>
        <v>116.72</v>
      </c>
      <c r="S117" s="292" t="n"/>
      <c r="T117" s="292" t="n"/>
      <c r="U117" s="443" t="n">
        <v>0</v>
      </c>
      <c r="V117" s="443" t="n">
        <v>0</v>
      </c>
      <c r="W117" s="292" t="n"/>
      <c r="X117" s="292" t="n"/>
      <c r="Y117" s="443" t="n">
        <v>0</v>
      </c>
      <c r="Z117" s="443" t="n">
        <v>0</v>
      </c>
      <c r="AA117" s="292" t="n"/>
      <c r="AB117" s="292" t="n"/>
    </row>
    <row r="118" ht="16.5" customHeight="1" s="331">
      <c r="B118" s="427" t="n">
        <v>46283</v>
      </c>
      <c r="C118" s="270" t="inlineStr">
        <is>
          <t>Fri</t>
        </is>
      </c>
      <c r="D118" s="271" t="n">
        <v>1225</v>
      </c>
      <c r="E118" s="37" t="n">
        <v>1100</v>
      </c>
      <c r="F118" s="38">
        <f>IFERROR(D118+E118+G118+U118+Y118,0)</f>
        <v>2325.0</v>
      </c>
      <c r="G118" s="272" t="n">
        <v>0</v>
      </c>
      <c r="H118" s="273">
        <f>SUMIFS('💸 Expenses'!$F$8:$F$5000,'💸 Expenses'!$B$8:$B$5000,"&gt;="&amp;B118,'💸 Expenses'!$B$8:$B$5000,"&lt;"&amp;(B118+1))</f>
        <v>1979.0</v>
      </c>
      <c r="I118" s="274">
        <f>IFERROR(F118-H118,0)</f>
        <v>346.0</v>
      </c>
      <c r="J118" s="275">
        <f>IFERROR(I118/F118,0)</f>
        <v>0.148817</v>
      </c>
      <c r="K118" s="250" t="n"/>
      <c r="L118" s="276" t="inlineStr">
        <is>
          <t>Cierre via loka.py</t>
        </is>
      </c>
      <c r="M118" s="323" t="n"/>
      <c r="N118" s="324" t="n"/>
      <c r="O118" s="325" t="n"/>
      <c r="P118" s="326" t="n"/>
      <c r="Q118" s="324" t="n"/>
      <c r="R118" s="428">
        <f>IFERROR(D118*$T$7,0)</f>
        <v>49.73</v>
      </c>
      <c r="S118" s="324" t="n"/>
      <c r="T118" s="324" t="n"/>
      <c r="U118" s="428" t="n">
        <v>0</v>
      </c>
      <c r="V118" s="428" t="n">
        <v>0</v>
      </c>
      <c r="W118" s="324" t="n"/>
      <c r="X118" s="324" t="n"/>
      <c r="Y118" s="428" t="n">
        <v>0</v>
      </c>
      <c r="Z118" s="428" t="n">
        <v>0</v>
      </c>
      <c r="AA118" s="324" t="n"/>
      <c r="AB118" s="32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81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Utilities/Electricity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  <row r="765">
      <c r="B765" s="429" t="n">
        <v>46277</v>
      </c>
      <c r="C765" s="297" t="inlineStr">
        <is>
          <t>Carne</t>
        </is>
      </c>
      <c r="D765" s="298" t="inlineStr">
        <is>
          <t>No bill</t>
        </is>
      </c>
      <c r="E765" s="297" t="inlineStr">
        <is>
          <t>Ingredients - Meat</t>
        </is>
      </c>
      <c r="F765" s="299" t="n">
        <v>300</v>
      </c>
      <c r="G765" s="300" t="inlineStr">
        <is>
          <t>Restaurant</t>
        </is>
      </c>
      <c r="H765" s="300" t="inlineStr">
        <is>
          <t>Cash</t>
        </is>
      </c>
      <c r="I765" s="301" t="inlineStr">
        <is>
          <t>✅ Paid</t>
        </is>
      </c>
      <c r="J765" s="423" t="inlineStr">
        <is>
          <t>No receipt; cash</t>
        </is>
      </c>
    </row>
    <row r="766">
      <c r="B766" s="429" t="n">
        <v>46277</v>
      </c>
      <c r="C766" s="297" t="inlineStr">
        <is>
          <t>Vegetales</t>
        </is>
      </c>
      <c r="D766" s="298" t="inlineStr">
        <is>
          <t>No bill</t>
        </is>
      </c>
      <c r="E766" s="297" t="inlineStr">
        <is>
          <t>Ingredients - Vegetables</t>
        </is>
      </c>
      <c r="F766" s="299" t="n">
        <v>950</v>
      </c>
      <c r="G766" s="300" t="inlineStr">
        <is>
          <t>Restaurant</t>
        </is>
      </c>
      <c r="H766" s="300" t="inlineStr">
        <is>
          <t>Cash</t>
        </is>
      </c>
      <c r="I766" s="301" t="inlineStr">
        <is>
          <t>✅ Paid</t>
        </is>
      </c>
      <c r="J766" s="423" t="inlineStr">
        <is>
          <t>No receipt; cash</t>
        </is>
      </c>
    </row>
    <row r="767">
      <c r="B767" s="429" t="n">
        <v>46277</v>
      </c>
      <c r="C767" s="297" t="inlineStr">
        <is>
          <t>Chedraui</t>
        </is>
      </c>
      <c r="D767" s="298" t="inlineStr">
        <is>
          <t>Chedraui</t>
        </is>
      </c>
      <c r="E767" s="297" t="inlineStr">
        <is>
          <t>Supermarket/General</t>
        </is>
      </c>
      <c r="F767" s="299" t="n">
        <v>153</v>
      </c>
      <c r="G767" s="300" t="inlineStr">
        <is>
          <t>Restaurant</t>
        </is>
      </c>
      <c r="H767" s="300" t="inlineStr">
        <is>
          <t>Cash</t>
        </is>
      </c>
      <c r="I767" s="301" t="inlineStr">
        <is>
          <t>✅ Paid</t>
        </is>
      </c>
      <c r="J767" s="423" t="inlineStr">
        <is>
          <t>No receipt; cash</t>
        </is>
      </c>
    </row>
    <row r="768">
      <c r="B768" s="429" t="n">
        <v>46277</v>
      </c>
      <c r="C768" s="297" t="inlineStr">
        <is>
          <t>Duvi - salary</t>
        </is>
      </c>
      <c r="D768" s="298" t="inlineStr">
        <is>
          <t>Payroll</t>
        </is>
      </c>
      <c r="E768" s="297" t="inlineStr">
        <is>
          <t>Staff - Salary</t>
        </is>
      </c>
      <c r="F768" s="299" t="n">
        <v>1460</v>
      </c>
      <c r="G768" s="300" t="inlineStr">
        <is>
          <t>Restaurant</t>
        </is>
      </c>
      <c r="H768" s="300" t="inlineStr">
        <is>
          <t>Cash</t>
        </is>
      </c>
      <c r="I768" s="301" t="inlineStr">
        <is>
          <t>✅ Paid</t>
        </is>
      </c>
      <c r="J768" s="423" t="inlineStr">
        <is>
          <t>Weekly salary</t>
        </is>
      </c>
    </row>
    <row r="769">
      <c r="B769" s="429" t="n">
        <v>46277</v>
      </c>
      <c r="C769" s="297" t="inlineStr">
        <is>
          <t>Armando - salary</t>
        </is>
      </c>
      <c r="D769" s="298" t="inlineStr">
        <is>
          <t>Payroll</t>
        </is>
      </c>
      <c r="E769" s="297" t="inlineStr">
        <is>
          <t>Staff - Salary</t>
        </is>
      </c>
      <c r="F769" s="299" t="n">
        <v>2200</v>
      </c>
      <c r="G769" s="300" t="inlineStr">
        <is>
          <t>Restaurant</t>
        </is>
      </c>
      <c r="H769" s="300" t="inlineStr">
        <is>
          <t>Cash</t>
        </is>
      </c>
      <c r="I769" s="301" t="inlineStr">
        <is>
          <t>✅ Paid</t>
        </is>
      </c>
      <c r="J769" s="423" t="inlineStr">
        <is>
          <t>Weekly salary</t>
        </is>
      </c>
    </row>
    <row r="770">
      <c r="B770" s="429" t="n">
        <v>46277</v>
      </c>
      <c r="C770" s="297" t="inlineStr">
        <is>
          <t>Jhon - salary</t>
        </is>
      </c>
      <c r="D770" s="298" t="inlineStr">
        <is>
          <t>Payroll</t>
        </is>
      </c>
      <c r="E770" s="297" t="inlineStr">
        <is>
          <t>Staff - Salary</t>
        </is>
      </c>
      <c r="F770" s="299" t="n">
        <v>3750</v>
      </c>
      <c r="G770" s="300" t="inlineStr">
        <is>
          <t>Restaurant</t>
        </is>
      </c>
      <c r="H770" s="300" t="inlineStr">
        <is>
          <t>Cash</t>
        </is>
      </c>
      <c r="I770" s="301" t="inlineStr">
        <is>
          <t>✅ Paid</t>
        </is>
      </c>
      <c r="J770" s="423" t="inlineStr">
        <is>
          <t>Weekly salary</t>
        </is>
      </c>
    </row>
    <row r="771">
      <c r="B771" s="429" t="n">
        <v>46279</v>
      </c>
      <c r="C771" s="297" t="inlineStr">
        <is>
          <t>Queso Panela</t>
        </is>
      </c>
      <c r="D771" s="298" t="inlineStr">
        <is>
          <t>No bill</t>
        </is>
      </c>
      <c r="E771" s="297" t="inlineStr">
        <is>
          <t>Ingredients - Dairy</t>
        </is>
      </c>
      <c r="F771" s="299" t="n">
        <v>590</v>
      </c>
      <c r="G771" s="300" t="inlineStr">
        <is>
          <t>Restaurant</t>
        </is>
      </c>
      <c r="H771" s="300" t="inlineStr">
        <is>
          <t>Cash</t>
        </is>
      </c>
      <c r="I771" s="301" t="inlineStr">
        <is>
          <t>✅ Paid</t>
        </is>
      </c>
      <c r="J771" s="423" t="inlineStr">
        <is>
          <t>No receipt; cash</t>
        </is>
      </c>
    </row>
    <row r="772">
      <c r="B772" s="429" t="n">
        <v>46279</v>
      </c>
      <c r="C772" s="297" t="inlineStr">
        <is>
          <t>oxxo</t>
        </is>
      </c>
      <c r="D772" s="298" t="inlineStr">
        <is>
          <t>OXXO</t>
        </is>
      </c>
      <c r="E772" s="297" t="inlineStr">
        <is>
          <t>Ingredients - Pantry</t>
        </is>
      </c>
      <c r="F772" s="299" t="n">
        <v>70</v>
      </c>
      <c r="G772" s="300" t="inlineStr">
        <is>
          <t>Restaurant</t>
        </is>
      </c>
      <c r="H772" s="300" t="inlineStr">
        <is>
          <t>Cash</t>
        </is>
      </c>
      <c r="I772" s="301" t="inlineStr">
        <is>
          <t>✅ Paid</t>
        </is>
      </c>
      <c r="J772" s="423" t="inlineStr">
        <is>
          <t>No receipt; cash</t>
        </is>
      </c>
    </row>
    <row r="773">
      <c r="B773" s="429" t="n">
        <v>46282</v>
      </c>
      <c r="C773" s="297" t="inlineStr">
        <is>
          <t>Sams Club</t>
        </is>
      </c>
      <c r="D773" s="298" t="inlineStr">
        <is>
          <t>Sam's Club</t>
        </is>
      </c>
      <c r="E773" s="297" t="inlineStr">
        <is>
          <t>Supermarket/General</t>
        </is>
      </c>
      <c r="F773" s="299" t="n">
        <v>713</v>
      </c>
      <c r="G773" s="300" t="inlineStr">
        <is>
          <t>Restaurant</t>
        </is>
      </c>
      <c r="H773" s="300" t="inlineStr">
        <is>
          <t>Cash</t>
        </is>
      </c>
      <c r="I773" s="301" t="inlineStr">
        <is>
          <t>✅ Paid</t>
        </is>
      </c>
      <c r="J773" s="423" t="inlineStr">
        <is>
          <t>No receipt; cash</t>
        </is>
      </c>
    </row>
    <row r="774">
      <c r="B774" s="429" t="n">
        <v>46282</v>
      </c>
      <c r="C774" s="297" t="inlineStr">
        <is>
          <t>Pollo</t>
        </is>
      </c>
      <c r="D774" s="298" t="inlineStr">
        <is>
          <t>No bill</t>
        </is>
      </c>
      <c r="E774" s="297" t="inlineStr">
        <is>
          <t>Ingredients - Meat</t>
        </is>
      </c>
      <c r="F774" s="299" t="n">
        <v>977</v>
      </c>
      <c r="G774" s="300" t="inlineStr">
        <is>
          <t>Lohith</t>
        </is>
      </c>
      <c r="H774" s="300" t="inlineStr">
        <is>
          <t>Cash</t>
        </is>
      </c>
      <c r="I774" s="301" t="inlineStr">
        <is>
          <t>✅ Paid</t>
        </is>
      </c>
      <c r="J774" s="423" t="inlineStr">
        <is>
          <t>Pagado por Lohith (bolsillo); reembolsable via Owner Ledger</t>
        </is>
      </c>
    </row>
    <row r="775">
      <c r="B775" s="429" t="n">
        <v>46282</v>
      </c>
      <c r="C775" s="297" t="inlineStr">
        <is>
          <t>Marker Vidrio</t>
        </is>
      </c>
      <c r="D775" s="298" t="inlineStr">
        <is>
          <t>No bill</t>
        </is>
      </c>
      <c r="E775" s="297" t="inlineStr">
        <is>
          <t>Office Supplies</t>
        </is>
      </c>
      <c r="F775" s="299" t="n">
        <v>392</v>
      </c>
      <c r="G775" s="300" t="inlineStr">
        <is>
          <t>Restaurant</t>
        </is>
      </c>
      <c r="H775" s="300" t="inlineStr">
        <is>
          <t>Cash</t>
        </is>
      </c>
      <c r="I775" s="301" t="inlineStr">
        <is>
          <t>✅ Paid</t>
        </is>
      </c>
      <c r="J775" s="423" t="inlineStr">
        <is>
          <t>No receipt; cash</t>
        </is>
      </c>
    </row>
    <row r="776">
      <c r="B776" s="429" t="n">
        <v>46282</v>
      </c>
      <c r="C776" s="297" t="inlineStr">
        <is>
          <t>3B</t>
        </is>
      </c>
      <c r="D776" s="298" t="inlineStr">
        <is>
          <t>Tres B</t>
        </is>
      </c>
      <c r="E776" s="297" t="inlineStr">
        <is>
          <t>Supermarket/General</t>
        </is>
      </c>
      <c r="F776" s="299" t="n">
        <v>529</v>
      </c>
      <c r="G776" s="300" t="inlineStr">
        <is>
          <t>Restaurant</t>
        </is>
      </c>
      <c r="H776" s="300" t="inlineStr">
        <is>
          <t>Cash</t>
        </is>
      </c>
      <c r="I776" s="301" t="inlineStr">
        <is>
          <t>✅ Paid</t>
        </is>
      </c>
      <c r="J776" s="423" t="inlineStr">
        <is>
          <t>No receipt; cash</t>
        </is>
      </c>
    </row>
    <row r="777">
      <c r="B777" s="429" t="n">
        <v>46282</v>
      </c>
      <c r="C777" s="297" t="inlineStr">
        <is>
          <t>Pollo</t>
        </is>
      </c>
      <c r="D777" s="298" t="inlineStr">
        <is>
          <t>No bill</t>
        </is>
      </c>
      <c r="E777" s="297" t="inlineStr">
        <is>
          <t>Ingredients - Meat</t>
        </is>
      </c>
      <c r="F777" s="299" t="n">
        <v>183</v>
      </c>
      <c r="G777" s="300" t="inlineStr">
        <is>
          <t>Lohith</t>
        </is>
      </c>
      <c r="H777" s="300" t="inlineStr">
        <is>
          <t>Cash</t>
        </is>
      </c>
      <c r="I777" s="301" t="inlineStr">
        <is>
          <t>✅ Paid</t>
        </is>
      </c>
      <c r="J777" s="423" t="inlineStr">
        <is>
          <t>Pagado por Lohith (bolsillo); reembolsable via Owner Ledger</t>
        </is>
      </c>
    </row>
    <row r="778">
      <c r="B778" s="429" t="n">
        <v>46283</v>
      </c>
      <c r="C778" s="297" t="inlineStr">
        <is>
          <t>Vegetables</t>
        </is>
      </c>
      <c r="D778" s="298" t="inlineStr">
        <is>
          <t>No bill</t>
        </is>
      </c>
      <c r="E778" s="297" t="inlineStr">
        <is>
          <t>Ingredients - Vegetables</t>
        </is>
      </c>
      <c r="F778" s="299" t="n">
        <v>72</v>
      </c>
      <c r="G778" s="300" t="inlineStr">
        <is>
          <t>Restaurant</t>
        </is>
      </c>
      <c r="H778" s="300" t="inlineStr">
        <is>
          <t>Cash</t>
        </is>
      </c>
      <c r="I778" s="301" t="inlineStr">
        <is>
          <t>✅ Paid</t>
        </is>
      </c>
      <c r="J778" s="423" t="inlineStr">
        <is>
          <t>No receipt; cash</t>
        </is>
      </c>
    </row>
    <row r="779">
      <c r="B779" s="429" t="n">
        <v>46283</v>
      </c>
      <c r="C779" s="297" t="inlineStr">
        <is>
          <t>Carne</t>
        </is>
      </c>
      <c r="D779" s="298" t="inlineStr">
        <is>
          <t>No bill</t>
        </is>
      </c>
      <c r="E779" s="297" t="inlineStr">
        <is>
          <t>Ingredients - Meat</t>
        </is>
      </c>
      <c r="F779" s="299" t="n">
        <v>1109</v>
      </c>
      <c r="G779" s="300" t="inlineStr">
        <is>
          <t>Restaurant</t>
        </is>
      </c>
      <c r="H779" s="300" t="inlineStr">
        <is>
          <t>Cash</t>
        </is>
      </c>
      <c r="I779" s="301" t="inlineStr">
        <is>
          <t>✅ Paid</t>
        </is>
      </c>
      <c r="J779" s="423" t="inlineStr">
        <is>
          <t>No receipt; cash</t>
        </is>
      </c>
    </row>
    <row r="780">
      <c r="B780" s="429" t="n">
        <v>46283</v>
      </c>
      <c r="C780" s="297" t="inlineStr">
        <is>
          <t>Chedraui</t>
        </is>
      </c>
      <c r="D780" s="298" t="inlineStr">
        <is>
          <t>Chedraui</t>
        </is>
      </c>
      <c r="E780" s="297" t="inlineStr">
        <is>
          <t>Supermarket/General</t>
        </is>
      </c>
      <c r="F780" s="299" t="n">
        <v>449</v>
      </c>
      <c r="G780" s="300" t="inlineStr">
        <is>
          <t>Restaurant</t>
        </is>
      </c>
      <c r="H780" s="300" t="inlineStr">
        <is>
          <t>Cash</t>
        </is>
      </c>
      <c r="I780" s="301" t="inlineStr">
        <is>
          <t>✅ Paid</t>
        </is>
      </c>
      <c r="J780" s="423" t="inlineStr">
        <is>
          <t>No receipt; cash</t>
        </is>
      </c>
    </row>
    <row r="781">
      <c r="B781" s="429" t="n">
        <v>46283</v>
      </c>
      <c r="C781" s="297" t="inlineStr">
        <is>
          <t>Internet</t>
        </is>
      </c>
      <c r="D781" s="298" t="inlineStr">
        <is>
          <t>No bill</t>
        </is>
      </c>
      <c r="E781" s="297" t="inlineStr">
        <is>
          <t>Utilities/Internet</t>
        </is>
      </c>
      <c r="F781" s="299" t="n">
        <v>349</v>
      </c>
      <c r="G781" s="300" t="inlineStr">
        <is>
          <t>Lohith</t>
        </is>
      </c>
      <c r="H781" s="300" t="inlineStr">
        <is>
          <t>Cash</t>
        </is>
      </c>
      <c r="I781" s="301" t="inlineStr">
        <is>
          <t>✅ Paid</t>
        </is>
      </c>
      <c r="J781" s="423" t="inlineStr">
        <is>
          <t>Pagado por Lohith (bolsillo); reembolsable via Owner Ledger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 (MP + Soft + BBVA)</t>
        </is>
      </c>
      <c r="B11" s="437">
        <f>SUMIFS('📅 Daily Log'!$D$8:$D$5000,'📅 Daily Log'!$B$8:$B$5000,"&gt;="&amp;DATE(2026,5,1),'📅 Daily Log'!$B$8:$B$5000,"&lt;"&amp;DATE(2026,6,1))+SUMIFS('📅 Daily Log'!$U$8:$U$5000,'📅 Daily Log'!$B$8:$B$5000,"&gt;="&amp;DATE(2026,5,1),'📅 Daily Log'!$B$8:$B$5000,"&lt;"&amp;DATE(2026,6,1))+SUMIFS('📅 Daily Log'!$Y$8:$Y$5000,'📅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Log'!$B$8:$B$5000,"&lt;"&amp;DATE(2026,7,1))+SUMIFS('📅 Daily Log'!$U$8:$U$5000,'📅 Daily Log'!$B$8:$B$5000,"&gt;="&amp;DATE(2026,6,1),'📅 Daily Log'!$B$8:$B$5000,"&lt;"&amp;DATE(2026,7,1))+SUMIFS('📅 Daily Log'!$Y$8:$Y$5000,'📅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Log'!$B$8:$B$5000,"&lt;"&amp;DATE(2026,8,1))+SUMIFS('📅 Daily Log'!$U$8:$U$5000,'📅 Daily Log'!$B$8:$B$5000,"&gt;="&amp;DATE(2026,7,1),'📅 Daily Log'!$B$8:$B$5000,"&lt;"&amp;DATE(2026,8,1))+SUMIFS('📅 Daily Log'!$Y$8:$Y$5000,'📅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Log'!$B$8:$B$5000,"&lt;"&amp;DATE(2026,9,1))+SUMIFS('📅 Daily Log'!$U$8:$U$5000,'📅 Daily Log'!$B$8:$B$5000,"&gt;="&amp;DATE(2026,8,1),'📅 Daily Log'!$B$8:$B$5000,"&lt;"&amp;DATE(2026,9,1))+SUMIFS('📅 Daily Log'!$Y$8:$Y$5000,'📅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Log'!$B$8:$B$5000,"&lt;"&amp;DATE(2026,10,1))+SUMIFS('📅 Daily Log'!$U$8:$U$5000,'📅 Daily Log'!$B$8:$B$5000,"&gt;="&amp;DATE(2026,9,1),'📅 Daily Log'!$B$8:$B$5000,"&lt;"&amp;DATE(2026,10,1))+SUMIFS('📅 Daily Log'!$Y$8:$Y$5000,'📅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Ingredients - Meat &amp; Fish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Supplies/Other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Utilities/Gas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Kitchen Supplies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Ingredients - Fruit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Office Supplies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Ingredients - Other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Software/Subscription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8">
        <f>SUMIFS('💸 Expenses'!$F$8:$F$5000,'💸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8">
        <f>F4-F42</f>
        <v/>
      </c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Settlement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Settled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Settlement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Settled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n">
        <v>46279</v>
      </c>
      <c r="B87" s="232" t="inlineStr">
        <is>
          <t>Transfer-to-me (customer payment 14-Sep)</t>
        </is>
      </c>
      <c r="C87" s="232" t="inlineStr">
        <is>
          <t>Transfer Received</t>
        </is>
      </c>
      <c r="D87" s="232" t="n"/>
      <c r="E87" s="233" t="n">
        <v>130</v>
      </c>
      <c r="F87" s="233">
        <f>IFERROR(F86+D87-E87,0)</f>
        <v/>
      </c>
      <c r="G87" s="232" t="inlineStr">
        <is>
          <t>✅ Received</t>
        </is>
      </c>
      <c r="H87" s="232" t="inlineStr">
        <is>
          <t>Customer paid Lohith personal acct</t>
        </is>
      </c>
    </row>
    <row r="88">
      <c r="A88" s="430" t="n">
        <v>46282</v>
      </c>
      <c r="B88" s="232" t="inlineStr">
        <is>
          <t>Transfer-to-me (customer payment 17-Sep)</t>
        </is>
      </c>
      <c r="C88" s="232" t="inlineStr">
        <is>
          <t>Transfer Received</t>
        </is>
      </c>
      <c r="D88" s="232" t="n"/>
      <c r="E88" s="233" t="n">
        <v>260</v>
      </c>
      <c r="F88" s="233">
        <f>IFERROR(F87+D88-E88,0)</f>
        <v/>
      </c>
      <c r="G88" s="232" t="inlineStr">
        <is>
          <t>✅ Received</t>
        </is>
      </c>
      <c r="H88" s="232" t="inlineStr">
        <is>
          <t>Customer paid Lohith personal acct</t>
        </is>
      </c>
    </row>
    <row r="89">
      <c r="A89" s="430" t="n">
        <v>46282</v>
      </c>
      <c r="B89" s="232" t="inlineStr">
        <is>
          <t>Pollo $977 (paid by Lohith)</t>
        </is>
      </c>
      <c r="C89" s="232" t="inlineStr">
        <is>
          <t>Expense - Personal</t>
        </is>
      </c>
      <c r="D89" s="232" t="n">
        <v>977</v>
      </c>
      <c r="E89" s="233" t="n"/>
      <c r="F89" s="233">
        <f>IFERROR(F88+D89-E89,0)</f>
        <v/>
      </c>
      <c r="G89" s="232" t="inlineStr">
        <is>
          <t>⏳ Reimburse</t>
        </is>
      </c>
      <c r="H89" s="232" t="inlineStr">
        <is>
          <t>Fronted from own pocket; excluded from till via cash_adjust</t>
        </is>
      </c>
    </row>
    <row r="90">
      <c r="A90" s="430" t="n">
        <v>46282</v>
      </c>
      <c r="B90" s="232" t="inlineStr">
        <is>
          <t>Pollo $183 (paid by Lohith)</t>
        </is>
      </c>
      <c r="C90" s="232" t="inlineStr">
        <is>
          <t>Expense - Personal</t>
        </is>
      </c>
      <c r="D90" s="232" t="n">
        <v>183</v>
      </c>
      <c r="E90" s="233" t="n"/>
      <c r="F90" s="233">
        <f>IFERROR(F89+D90-E90,0)</f>
        <v/>
      </c>
      <c r="G90" s="232" t="inlineStr">
        <is>
          <t>⏳ Reimburse</t>
        </is>
      </c>
      <c r="H90" s="232" t="inlineStr">
        <is>
          <t>Fronted from own pocket; excluded from till via cash_adjust</t>
        </is>
      </c>
    </row>
    <row r="91">
      <c r="A91" s="430" t="n">
        <v>46282</v>
      </c>
      <c r="B91" s="232" t="inlineStr">
        <is>
          <t>Transfer-to-me (customer payment 17-Sep)</t>
        </is>
      </c>
      <c r="C91" s="232" t="inlineStr">
        <is>
          <t>Transfer Received</t>
        </is>
      </c>
      <c r="D91" s="232" t="n"/>
      <c r="E91" s="233" t="n">
        <v>15896</v>
      </c>
      <c r="F91" s="233">
        <f>IFERROR(F90+D91-E91,0)</f>
        <v/>
      </c>
      <c r="G91" s="232" t="inlineStr">
        <is>
          <t>✅ Received</t>
        </is>
      </c>
      <c r="H91" s="232" t="inlineStr">
        <is>
          <t>Customer paid Lohith personal acct</t>
        </is>
      </c>
    </row>
    <row r="92">
      <c r="A92" s="430" t="n">
        <v>46283</v>
      </c>
      <c r="B92" s="232" t="inlineStr">
        <is>
          <t>Internet $349 (paid by Lohith)</t>
        </is>
      </c>
      <c r="C92" s="232" t="inlineStr">
        <is>
          <t>Expense - Personal</t>
        </is>
      </c>
      <c r="D92" s="232" t="n">
        <v>349</v>
      </c>
      <c r="E92" s="233" t="n"/>
      <c r="F92" s="233">
        <f>IFERROR(F91+D92-E92,0)</f>
        <v/>
      </c>
      <c r="G92" s="232" t="inlineStr">
        <is>
          <t>⏳ Reimburse</t>
        </is>
      </c>
      <c r="H92" s="232" t="inlineStr">
        <is>
          <t>Fronted from own pocket; excluded from till via cash_adjust</t>
        </is>
      </c>
    </row>
    <row r="93">
      <c r="A93" s="430" t="n">
        <v>46283</v>
      </c>
      <c r="B93" s="232" t="inlineStr">
        <is>
          <t>Settlement - Lohith returned restaurant money</t>
        </is>
      </c>
      <c r="C93" s="232" t="inlineStr">
        <is>
          <t>Settlement</t>
        </is>
      </c>
      <c r="D93" s="232" t="n">
        <v>12000</v>
      </c>
      <c r="E93" s="233" t="n"/>
      <c r="F93" s="233">
        <f>IFERROR(F92+D93-E93,0)</f>
        <v/>
      </c>
      <c r="G93" s="232" t="inlineStr">
        <is>
          <t>✅ Settled</t>
        </is>
      </c>
      <c r="H93" s="232" t="inlineStr">
        <is>
          <t>Lohith handed back cash he was holding</t>
        </is>
      </c>
    </row>
    <row r="94">
      <c r="A94" s="430" t="n">
        <v>46283</v>
      </c>
      <c r="B94" s="232" t="inlineStr">
        <is>
          <t>Settlement - Lohith returned restaurant money</t>
        </is>
      </c>
      <c r="C94" s="232" t="inlineStr">
        <is>
          <t>Settlement</t>
        </is>
      </c>
      <c r="D94" s="232" t="n">
        <v>2778.53</v>
      </c>
      <c r="E94" s="233" t="n"/>
      <c r="F94" s="233">
        <f>IFERROR(F93+D94-E94,0)</f>
        <v/>
      </c>
      <c r="G94" s="232" t="inlineStr">
        <is>
          <t>✅ Settled</t>
        </is>
      </c>
      <c r="H94" s="232" t="inlineStr">
        <is>
          <t>Lohith handed back cash he was holding</t>
        </is>
      </c>
    </row>
    <row r="95">
      <c r="A95" s="430" t="inlineStr">
        <is>
          <t>TOTALS &amp; CURRENT BALANCE</t>
        </is>
      </c>
      <c r="B95" s="232" t="n"/>
      <c r="C95" s="232" t="n"/>
      <c r="D95" s="232">
        <f>SUM(D4:D94)</f>
        <v/>
      </c>
      <c r="E95" s="233">
        <f>SUM(E4:E94)</f>
        <v/>
      </c>
      <c r="F95" s="233">
        <f>F94</f>
        <v/>
      </c>
      <c r="G95" s="232">
        <f>IF(F94&gt;0,"Restaurant owes Lohith $"&amp;TEXT(F94,"#,##0"),IF(F94&lt;0,"Lohith holds $"&amp;TEXT(ABS(F94),"#,##0"),"Zero balance"))</f>
        <v/>
      </c>
      <c r="H95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2026-09-19T02:52:30Z</dcterms:modified>
  <cp:lastModifiedBy>LOHITH REDDY</cp:lastModifiedBy>
</cp:coreProperties>
</file>