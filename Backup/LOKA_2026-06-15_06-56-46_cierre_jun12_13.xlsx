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/>
      <c r="E33" s="49" t="n"/>
      <c r="F33" s="50">
        <f>IFERROR(D33+E33+G33,0)</f>
        <v/>
      </c>
      <c r="G33" s="51" t="n"/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Expenses logged — revenue pending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/>
      <c r="E34" s="37" t="n"/>
      <c r="F34" s="38">
        <f>IFERROR(D34+E34+G34,0)</f>
        <v/>
      </c>
      <c r="G34" s="39" t="n"/>
      <c r="H34" s="40" t="n">
        <v>778.16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Expenses logged — revenue pending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Restaurant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Restaurant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>
        <v>46186</v>
      </c>
      <c r="C251" s="69" t="inlineStr">
        <is>
          <t>Empanizador Bimbo, especias, tomate, pimiento verde, papa, mole, tortillas (14 art.)</t>
        </is>
      </c>
      <c r="D251" s="68" t="inlineStr">
        <is>
          <t>Chedraui Paseo</t>
        </is>
      </c>
      <c r="E251" s="69" t="inlineStr">
        <is>
          <t>Supermarket / General</t>
        </is>
      </c>
      <c r="F251" s="70" t="n">
        <v>468.16</v>
      </c>
      <c r="G251" s="23" t="inlineStr">
        <is>
          <t>Restaurant</t>
        </is>
      </c>
      <c r="H251" s="23" t="inlineStr">
        <is>
          <t>Card</t>
        </is>
      </c>
      <c r="I251" s="55" t="inlineStr">
        <is>
          <t>✅ Paid</t>
        </is>
      </c>
      <c r="J251" t="inlineStr">
        <is>
          <t>Debit BBVA **3982 · Aut 641502 · 09:19 · Folio 2606-1309-1901</t>
        </is>
      </c>
    </row>
    <row r="252">
      <c r="B252" s="64" t="n">
        <v>46186</v>
      </c>
      <c r="C252" s="65" t="inlineStr">
        <is>
          <t>Bistec de Cerdo 1.66 kg</t>
        </is>
      </c>
      <c r="D252" s="66" t="inlineStr">
        <is>
          <t>Carnicería (nota de remisión)</t>
        </is>
      </c>
      <c r="E252" s="65" t="inlineStr">
        <is>
          <t>Ingredients - Meat</t>
        </is>
      </c>
      <c r="F252" s="67" t="n">
        <v>310</v>
      </c>
      <c r="G252" s="14" t="inlineStr">
        <is>
          <t>Restaurant</t>
        </is>
      </c>
      <c r="H252" s="14" t="inlineStr">
        <is>
          <t>Cash</t>
        </is>
      </c>
      <c r="I252" s="43" t="inlineStr">
        <is>
          <t>✅ Paid</t>
        </is>
      </c>
      <c r="J252" t="inlineStr">
        <is>
          <t>Handwritten remisión · 1.66 kg · total $310</t>
        </is>
      </c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9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</t>
        </is>
      </c>
      <c r="B12" s="98" t="inlineStr">
        <is>
          <t>Mesero / Waiter</t>
        </is>
      </c>
      <c r="C12" s="99" t="n">
        <v>333.33</v>
      </c>
      <c r="D12" s="100" t="inlineStr">
        <is>
          <t>Full Day</t>
        </is>
      </c>
      <c r="E12" s="100" t="inlineStr">
        <is>
          <t>Full Day</t>
        </is>
      </c>
      <c r="F12" s="100" t="inlineStr">
        <is>
          <t>Full Day</t>
        </is>
      </c>
      <c r="G12" s="100" t="inlineStr">
        <is>
          <t>Full Day</t>
        </is>
      </c>
      <c r="H12" s="100" t="inlineStr">
        <is>
          <t>Full Day</t>
        </is>
      </c>
      <c r="I12" s="100" t="inlineStr">
        <is>
          <t>Full Day</t>
        </is>
      </c>
      <c r="J12" s="100" t="inlineStr">
        <is>
          <t>Day Off</t>
        </is>
      </c>
      <c r="K12" s="101">
        <f>COUNTIF(D12:J12,"Full Day")</f>
        <v/>
      </c>
      <c r="L12" s="102">
        <f>K12*C12</f>
        <v/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133.33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Full Day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</t>
        </is>
      </c>
      <c r="B37" s="222" t="n">
        <v>2000</v>
      </c>
      <c r="C37" s="259" t="n">
        <v>8000</v>
      </c>
      <c r="D37" s="260" t="inlineStr">
        <is>
          <t>Confirmed — $2,000/week | $333.33/day | Start 9 Jun 2026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$133.33/day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26" t="inlineStr">
        <is>
          <t>TOTALS &amp; CURRENT BALANCE</t>
        </is>
      </c>
      <c r="B74" s="219" t="n"/>
      <c r="C74" s="219" t="n"/>
      <c r="D74" s="256">
        <f>SUM(D63:D73)</f>
        <v/>
      </c>
      <c r="E74" s="257">
        <f>SUM(E63:E73)</f>
        <v/>
      </c>
      <c r="F74" s="258">
        <f>F73</f>
        <v/>
      </c>
      <c r="G74" s="226">
        <f>IF(F73&gt;0,"⏳ Restaurant owes Lohith $"&amp;TEXT(F73,"#,##0"),IF(F73&lt;0,"💵 Lohith holds $"&amp;TEXT(ABS(F73),"#,##0"),"✅ Zero balance"))</f>
        <v/>
      </c>
    </row>
    <row r="76">
      <c r="A76" s="242" t="inlineStr">
        <is>
          <t>HOW TO USE: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Add new rows above TOTALS. Spent by Lohith = restaurant expenses he paid personally.</t>
        </is>
      </c>
      <c r="B77" s="242" t="n"/>
      <c r="C77" s="242" t="n"/>
      <c r="D77" s="242" t="n"/>
      <c r="E77" s="242" t="n"/>
      <c r="F77" s="242" t="n"/>
      <c r="G77" s="242" t="n"/>
      <c r="H77" s="242" t="n"/>
    </row>
    <row r="78">
      <c r="A78" s="242" t="inlineStr">
        <is>
          <t>Transferred to Lohith = customer bank transfers received in his personal account.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Positive balance = restaurant owes Lohith. Negative = Lohith holds restaurant funds.</t>
        </is>
      </c>
      <c r="B79" s="242" t="n"/>
      <c r="C79" s="242" t="n"/>
      <c r="D79" s="242" t="n"/>
      <c r="E79" s="242" t="n"/>
      <c r="F79" s="242" t="n"/>
      <c r="G79" s="242" t="n"/>
      <c r="H79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2026-06-15T12:55:52Z</dcterms:modified>
  <cp:lastModifiedBy>LOHITH REDDY</cp:lastModifiedBy>
</cp:coreProperties>
</file>