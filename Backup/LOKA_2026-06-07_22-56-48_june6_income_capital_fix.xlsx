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25 May 2026  |  Blue = hardcoded inputs   Yellow = add new expenses here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D55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D42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D68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$134,500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  <c r="C17" s="266" t="n">
        <v>46177</v>
      </c>
      <c r="D17" t="n">
        <v>4500</v>
      </c>
      <c r="E17" t="inlineStr">
        <is>
          <t>Lohith Reddy</t>
        </is>
      </c>
      <c r="F17" t="inlineStr">
        <is>
          <t>✅ PAID</t>
        </is>
      </c>
      <c r="G17" t="inlineStr">
        <is>
          <t>Capital payment — from main budget — transferred to different account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t="inlineStr">
        <is>
          <t>Payment to Previous Owner — Jun 5</t>
        </is>
      </c>
      <c r="C22" s="266" t="n">
        <v>46178</v>
      </c>
      <c r="D22" t="n">
        <v>30000</v>
      </c>
      <c r="E22" t="inlineStr">
        <is>
          <t>Lohith Reddy</t>
        </is>
      </c>
      <c r="F22" t="inlineStr">
        <is>
          <t>✅ PAID</t>
        </is>
      </c>
      <c r="G22" t="inlineStr">
        <is>
          <t>Transfer — 5 Jun 2026</t>
        </is>
      </c>
    </row>
    <row r="23">
      <c r="B23" s="17" t="inlineStr">
        <is>
          <t>Balance Remaining</t>
        </is>
      </c>
      <c r="C23" s="18" t="n"/>
      <c r="D23" s="19">
        <f>D13-SUM(D14:D22)</f>
        <v/>
      </c>
      <c r="E23" s="17" t="inlineStr">
        <is>
          <t>—</t>
        </is>
      </c>
      <c r="F23" s="17" t="inlineStr">
        <is>
          <t>⏳ PENDING</t>
        </is>
      </c>
      <c r="G23" s="17" t="inlineStr">
        <is>
          <t>$390,000 − $255,500 paid = $134,500 remaining</t>
        </is>
      </c>
    </row>
    <row r="24" ht="25.95" customHeight="1" s="186"/>
    <row r="25" ht="22.05" customHeight="1" s="186">
      <c r="B25" s="183" t="inlineStr">
        <is>
          <t xml:space="preserve">  PAYMENT BREAKDOWN  —  How the $390,000 will be funded</t>
        </is>
      </c>
    </row>
    <row r="26" ht="19.95" customHeight="1" s="186">
      <c r="B26" s="229" t="inlineStr">
        <is>
          <t>Source</t>
        </is>
      </c>
      <c r="C26" s="229" t="inlineStr">
        <is>
          <t>From</t>
        </is>
      </c>
      <c r="D26" s="229" t="inlineStr">
        <is>
          <t>Amount ($)</t>
        </is>
      </c>
      <c r="E26" s="229" t="inlineStr">
        <is>
          <t>Toward %</t>
        </is>
      </c>
      <c r="F26" s="229" t="inlineStr">
        <is>
          <t>Cumulative</t>
        </is>
      </c>
      <c r="G26" s="229" t="inlineStr">
        <is>
          <t>Notes</t>
        </is>
      </c>
    </row>
    <row r="27" ht="19.95" customHeight="1" s="186">
      <c r="B27" s="2" t="inlineStr">
        <is>
          <t>Kashigoud Transfer to Lohith</t>
        </is>
      </c>
      <c r="C27" s="2" t="inlineStr">
        <is>
          <t>Kashigoud Patil</t>
        </is>
      </c>
      <c r="D27" s="4" t="n">
        <v>125000</v>
      </c>
      <c r="E27" s="3">
        <f>D27/390000</f>
        <v/>
      </c>
      <c r="F27" s="20">
        <f>D27</f>
        <v/>
      </c>
      <c r="G27" s="2" t="inlineStr">
        <is>
          <t>Full Kashi transfer</t>
        </is>
      </c>
    </row>
    <row r="28" ht="19.95" customHeight="1" s="186">
      <c r="B28" s="6" t="inlineStr">
        <is>
          <t>Shashirekha Transfer to Lohith</t>
        </is>
      </c>
      <c r="C28" s="6" t="inlineStr">
        <is>
          <t>Shashirekha B.</t>
        </is>
      </c>
      <c r="D28" s="8" t="n">
        <v>100000</v>
      </c>
      <c r="E28" s="7">
        <f>D28/390000</f>
        <v/>
      </c>
      <c r="F28" s="21">
        <f>D27+D28</f>
        <v/>
      </c>
      <c r="G28" s="6" t="inlineStr">
        <is>
          <t>Full Shashi transfer</t>
        </is>
      </c>
    </row>
    <row r="29" ht="19.95" customHeight="1" s="186">
      <c r="B29" s="2" t="inlineStr">
        <is>
          <t>Lohith Reddy (own funds)</t>
        </is>
      </c>
      <c r="C29" s="2" t="inlineStr">
        <is>
          <t>Lohith Reddy</t>
        </is>
      </c>
      <c r="D29" s="20">
        <f>390000-D27-D28</f>
        <v/>
      </c>
      <c r="E29" s="3">
        <f>D29/390000</f>
        <v/>
      </c>
      <c r="F29" s="20">
        <f>D27+D28+D29</f>
        <v/>
      </c>
      <c r="G29" s="2" t="inlineStr">
        <is>
          <t>Balance from Lohith</t>
        </is>
      </c>
    </row>
    <row r="30" ht="19.95" customHeight="1" s="186">
      <c r="B30" s="6" t="inlineStr">
        <is>
          <t>Advance Already Paid</t>
        </is>
      </c>
      <c r="C30" s="6" t="inlineStr">
        <is>
          <t>Lohith Reddy</t>
        </is>
      </c>
      <c r="D30" s="8" t="n">
        <v>5000</v>
      </c>
      <c r="E30" s="7">
        <f>D30/390000</f>
        <v/>
      </c>
      <c r="F30" s="22" t="inlineStr">
        <is>
          <t>Paid ✅</t>
        </is>
      </c>
      <c r="G30" s="6" t="inlineStr">
        <is>
          <t>Already paid</t>
        </is>
      </c>
    </row>
    <row r="31" ht="19.95" customHeight="1" s="186"/>
    <row r="32" ht="19.95" customHeight="1" s="186">
      <c r="B32" s="192" t="inlineStr">
        <is>
          <t xml:space="preserve">  C.  PRE-OPENING EXPENSES — KASHIGOUD PATIL</t>
        </is>
      </c>
    </row>
    <row r="33" ht="19.95" customHeight="1" s="186">
      <c r="B33" s="229" t="inlineStr">
        <is>
          <t>Description</t>
        </is>
      </c>
      <c r="C33" s="229" t="inlineStr">
        <is>
          <t>Date</t>
        </is>
      </c>
      <c r="D33" s="229" t="inlineStr">
        <is>
          <t>Amount ($)</t>
        </is>
      </c>
      <c r="E33" s="229" t="inlineStr">
        <is>
          <t>Paid To</t>
        </is>
      </c>
      <c r="F33" s="229" t="inlineStr">
        <is>
          <t>Category</t>
        </is>
      </c>
      <c r="G33" s="229" t="inlineStr">
        <is>
          <t>Notes</t>
        </is>
      </c>
    </row>
    <row r="34" ht="22.05" customHeight="1" s="186">
      <c r="B34" s="2" t="inlineStr">
        <is>
          <t>Transfer to Lohith Reddy (capital allocation)</t>
        </is>
      </c>
      <c r="C34" s="13" t="n"/>
      <c r="D34" s="4" t="n">
        <v>125000</v>
      </c>
      <c r="E34" s="2" t="inlineStr">
        <is>
          <t>Bank → Lohith</t>
        </is>
      </c>
      <c r="F34" s="2" t="inlineStr">
        <is>
          <t>Internal Transfer</t>
        </is>
      </c>
      <c r="G34" s="2" t="inlineStr">
        <is>
          <t>For acquisition &amp; expenses</t>
        </is>
      </c>
    </row>
    <row r="35">
      <c r="B35" s="6" t="inlineStr">
        <is>
          <t>Soft Restaurant License &amp; Tools</t>
        </is>
      </c>
      <c r="C35" s="22" t="n"/>
      <c r="D35" s="8" t="n">
        <v>15195</v>
      </c>
      <c r="E35" s="6" t="inlineStr">
        <is>
          <t>Soft App</t>
        </is>
      </c>
      <c r="F35" s="6" t="inlineStr">
        <is>
          <t>Software / License</t>
        </is>
      </c>
      <c r="G35" s="6" t="inlineStr">
        <is>
          <t>POS + mgmt tools</t>
        </is>
      </c>
    </row>
    <row r="36" ht="25.95" customHeight="1" s="186">
      <c r="B36" s="2" t="inlineStr">
        <is>
          <t>Mercado Pago Terminal</t>
        </is>
      </c>
      <c r="D36" t="n">
        <v>500</v>
      </c>
      <c r="E36" t="inlineStr">
        <is>
          <t>Soft App</t>
        </is>
      </c>
      <c r="F36" t="inlineStr">
        <is>
          <t>POS Hardware</t>
        </is>
      </c>
      <c r="G36" t="inlineStr">
        <is>
          <t>MP card terminal fee</t>
        </is>
      </c>
    </row>
    <row r="37" ht="22.05" customHeight="1" s="186">
      <c r="B37" s="23" t="n"/>
      <c r="C37" s="196" t="n"/>
      <c r="D37" s="196" t="n"/>
      <c r="E37" s="196" t="n"/>
      <c r="F37" s="196" t="n"/>
      <c r="G37" s="196" t="n"/>
      <c r="H37" s="197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23" t="n"/>
      <c r="C41" s="24" t="n"/>
      <c r="D41" s="25" t="n"/>
      <c r="E41" s="23" t="n"/>
      <c r="F41" s="23" t="n"/>
      <c r="G41" s="23" t="n"/>
    </row>
    <row r="42" ht="19.95" customHeight="1" s="186">
      <c r="B42" s="195" t="inlineStr">
        <is>
          <t>KASHIGOUD TOTAL</t>
        </is>
      </c>
      <c r="C42" s="229" t="n"/>
      <c r="D42" s="198">
        <f>SUM(D34:D41)</f>
        <v/>
      </c>
      <c r="E42" s="229" t="n"/>
      <c r="F42" s="229" t="n"/>
      <c r="G42" s="229" t="n"/>
    </row>
    <row r="43" ht="19.95" customHeight="1" s="186"/>
    <row r="44" ht="19.95" customHeight="1" s="186">
      <c r="B44" s="192" t="inlineStr">
        <is>
          <t xml:space="preserve">  D.  PRE-OPENING EXPENSES — LOHITH REDDY</t>
        </is>
      </c>
    </row>
    <row r="45" ht="19.95" customHeight="1" s="186">
      <c r="B45" s="229" t="inlineStr">
        <is>
          <t>Description</t>
        </is>
      </c>
      <c r="C45" s="229" t="inlineStr">
        <is>
          <t>Date</t>
        </is>
      </c>
      <c r="D45" s="229" t="inlineStr">
        <is>
          <t>Amount ($)</t>
        </is>
      </c>
      <c r="E45" s="229" t="inlineStr">
        <is>
          <t>Paid To</t>
        </is>
      </c>
      <c r="F45" s="229" t="inlineStr">
        <is>
          <t>Category</t>
        </is>
      </c>
      <c r="G45" s="229" t="inlineStr">
        <is>
          <t>Notes</t>
        </is>
      </c>
    </row>
    <row r="46" ht="19.95" customHeight="1" s="186">
      <c r="B46" s="2" t="inlineStr">
        <is>
          <t>Advance Payment to Previous Owners</t>
        </is>
      </c>
      <c r="C46" s="13" t="n"/>
      <c r="D46" s="4" t="n">
        <v>5000</v>
      </c>
      <c r="E46" s="2" t="inlineStr">
        <is>
          <t>Previous Owners</t>
        </is>
      </c>
      <c r="F46" s="2" t="inlineStr">
        <is>
          <t>Acquisition</t>
        </is>
      </c>
      <c r="G46" s="2" t="inlineStr">
        <is>
          <t>5k advance on 390k purchase</t>
        </is>
      </c>
    </row>
    <row r="47" ht="22.05" customHeight="1" s="186">
      <c r="B47" s="6" t="inlineStr">
        <is>
          <t>Notary Fees</t>
        </is>
      </c>
      <c r="C47" s="22" t="n"/>
      <c r="D47" s="8" t="n">
        <v>15797</v>
      </c>
      <c r="E47" s="6" t="inlineStr">
        <is>
          <t>Notary Office</t>
        </is>
      </c>
      <c r="F47" s="6" t="inlineStr">
        <is>
          <t>Legal</t>
        </is>
      </c>
      <c r="G47" s="6" t="inlineStr">
        <is>
          <t>Legal fees for restaurant acquisition</t>
        </is>
      </c>
    </row>
    <row r="48">
      <c r="B48" s="2" t="inlineStr">
        <is>
          <t>Poliza Juridica (Legal Policy)</t>
        </is>
      </c>
      <c r="C48" s="13" t="n"/>
      <c r="D48" s="4" t="n">
        <v>5150</v>
      </c>
      <c r="E48" s="2" t="inlineStr">
        <is>
          <t>Legal / Insurance</t>
        </is>
      </c>
      <c r="F48" s="2" t="inlineStr">
        <is>
          <t>Legal</t>
        </is>
      </c>
      <c r="G48" s="2" t="inlineStr">
        <is>
          <t>Poliza Juridica — legal insurance policy</t>
        </is>
      </c>
    </row>
    <row r="49" ht="25.95" customHeight="1" s="186">
      <c r="B49" s="6" t="inlineStr">
        <is>
          <t>Alejandra — Documentation Asst.</t>
        </is>
      </c>
      <c r="D49" t="n">
        <v>3000</v>
      </c>
      <c r="E49" t="inlineStr">
        <is>
          <t>Alejandra</t>
        </is>
      </c>
      <c r="F49" t="inlineStr">
        <is>
          <t>Professional Services</t>
        </is>
      </c>
      <c r="G49" t="inlineStr">
        <is>
          <t>Documentation &amp; assistance — pre-opening</t>
        </is>
      </c>
    </row>
    <row r="50" ht="22.05" customHeight="1" s="186">
      <c r="B50" s="23" t="n"/>
      <c r="C50" s="196" t="n"/>
      <c r="D50" s="196" t="n"/>
      <c r="E50" s="196" t="n"/>
      <c r="F50" s="196" t="n"/>
      <c r="G50" s="196" t="n"/>
      <c r="H50" s="197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23" t="n"/>
      <c r="C54" s="24" t="n"/>
      <c r="D54" s="25" t="n"/>
      <c r="E54" s="23" t="n"/>
      <c r="F54" s="23" t="n"/>
      <c r="G54" s="23" t="n"/>
    </row>
    <row r="55" ht="19.95" customHeight="1" s="186">
      <c r="B55" s="195" t="inlineStr">
        <is>
          <t>LOHITH TOTAL</t>
        </is>
      </c>
      <c r="C55" s="229" t="n"/>
      <c r="D55" s="198">
        <f>SUM(D46:D54)</f>
        <v/>
      </c>
      <c r="E55" s="229" t="n"/>
      <c r="F55" s="229" t="n"/>
      <c r="G55" s="229" t="n"/>
    </row>
    <row r="56" ht="19.95" customHeight="1" s="186"/>
    <row r="57" ht="19.95" customHeight="1" s="186">
      <c r="B57" s="192" t="inlineStr">
        <is>
          <t xml:space="preserve">  E.  PRE-OPENING EXPENSES — SHASHIREKHA BASAVARAJU</t>
        </is>
      </c>
    </row>
    <row r="58" ht="19.95" customHeight="1" s="186">
      <c r="B58" s="229" t="inlineStr">
        <is>
          <t>Description</t>
        </is>
      </c>
      <c r="C58" s="229" t="inlineStr">
        <is>
          <t>Date</t>
        </is>
      </c>
      <c r="D58" s="229" t="inlineStr">
        <is>
          <t>Amount ($)</t>
        </is>
      </c>
      <c r="E58" s="229" t="inlineStr">
        <is>
          <t>Paid To</t>
        </is>
      </c>
      <c r="F58" s="229" t="inlineStr">
        <is>
          <t>Category</t>
        </is>
      </c>
      <c r="G58" s="229" t="inlineStr">
        <is>
          <t>Notes</t>
        </is>
      </c>
    </row>
    <row r="59" ht="22.05" customHeight="1" s="186">
      <c r="B59" s="2" t="inlineStr">
        <is>
          <t>Transfer to Lohith Reddy (capital allocation)</t>
        </is>
      </c>
      <c r="C59" s="13" t="n"/>
      <c r="D59" s="4" t="n">
        <v>100000</v>
      </c>
      <c r="E59" s="2" t="inlineStr">
        <is>
          <t>Bank → Lohith</t>
        </is>
      </c>
      <c r="F59" s="2" t="inlineStr">
        <is>
          <t>Internal Transfer</t>
        </is>
      </c>
      <c r="G59" s="2" t="inlineStr">
        <is>
          <t>For acquisition &amp; expenses</t>
        </is>
      </c>
    </row>
    <row r="60">
      <c r="B60" s="23" t="inlineStr">
        <is>
          <t>Temu items</t>
        </is>
      </c>
      <c r="C60" s="24" t="n"/>
      <c r="D60" s="25" t="n">
        <v>2646</v>
      </c>
      <c r="E60" s="23" t="inlineStr">
        <is>
          <t>Temu</t>
        </is>
      </c>
      <c r="F60" s="23" t="inlineStr">
        <is>
          <t>Equipment / Supplies</t>
        </is>
      </c>
      <c r="G60" s="23" t="inlineStr">
        <is>
          <t>Temu items — restaurant supplies &amp; equipment</t>
        </is>
      </c>
    </row>
    <row r="61" ht="25.95" customHeight="1" s="186">
      <c r="B61" s="23" t="inlineStr">
        <is>
          <t>Board games for restaurant ambiance</t>
        </is>
      </c>
      <c r="D61" t="n">
        <v>745</v>
      </c>
      <c r="E61" t="inlineStr">
        <is>
          <t>Various</t>
        </is>
      </c>
      <c r="F61" t="inlineStr">
        <is>
          <t>Equipment / Decor</t>
        </is>
      </c>
      <c r="G61" t="inlineStr">
        <is>
          <t>Board games for restaurant ambiance</t>
        </is>
      </c>
    </row>
    <row r="62" ht="22.05" customHeight="1" s="186">
      <c r="B62" s="23" t="inlineStr">
        <is>
          <t>Special menu board</t>
        </is>
      </c>
      <c r="C62" s="196" t="n"/>
      <c r="D62" s="196" t="n">
        <v>204</v>
      </c>
      <c r="E62" s="196" t="inlineStr">
        <is>
          <t>Sign Maker</t>
        </is>
      </c>
      <c r="F62" s="196" t="inlineStr">
        <is>
          <t>Branding / Signage</t>
        </is>
      </c>
      <c r="G62" s="196" t="inlineStr">
        <is>
          <t>Special menu board</t>
        </is>
      </c>
      <c r="H62" s="197" t="n"/>
    </row>
    <row r="63" ht="19.95" customHeight="1" s="186">
      <c r="B63" s="23" t="inlineStr">
        <is>
          <t>Logo and sticker printing</t>
        </is>
      </c>
      <c r="C63" s="24" t="n"/>
      <c r="D63" s="25" t="n">
        <v>845</v>
      </c>
      <c r="E63" s="23" t="inlineStr">
        <is>
          <t>Print Shop</t>
        </is>
      </c>
      <c r="F63" s="23" t="inlineStr">
        <is>
          <t>Branding / Signage</t>
        </is>
      </c>
      <c r="G63" s="23" t="inlineStr">
        <is>
          <t>Logo and sticker printing</t>
        </is>
      </c>
    </row>
    <row r="64" ht="19.95" customHeight="1" s="186">
      <c r="B64" s="23" t="inlineStr">
        <is>
          <t>Sign boards, stationary, other decor</t>
        </is>
      </c>
      <c r="C64" s="24" t="n"/>
      <c r="D64" s="25" t="n">
        <v>1555</v>
      </c>
      <c r="E64" s="23" t="inlineStr">
        <is>
          <t>China Shop</t>
        </is>
      </c>
      <c r="F64" s="23" t="inlineStr">
        <is>
          <t>Decor / Signage</t>
        </is>
      </c>
      <c r="G64" s="23" t="inlineStr">
        <is>
          <t>Sign boards, stationary, other decor</t>
        </is>
      </c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s="23" t="n"/>
      <c r="C66" s="24" t="n"/>
      <c r="D66" s="25" t="n"/>
      <c r="E66" s="23" t="n"/>
      <c r="F66" s="23" t="n"/>
      <c r="G66" s="23" t="n"/>
    </row>
    <row r="67" ht="19.95" customHeight="1" s="186">
      <c r="B67" t="inlineStr">
        <is>
          <t>Logo Box Repair / Fix</t>
        </is>
      </c>
      <c r="C67" s="184" t="n">
        <v>46176</v>
      </c>
      <c r="D67" t="n">
        <v>900</v>
      </c>
      <c r="E67" t="inlineStr">
        <is>
          <t>Supplier</t>
        </is>
      </c>
      <c r="F67" t="inlineStr">
        <is>
          <t>Branding / Signage</t>
        </is>
      </c>
      <c r="G67" t="inlineStr">
        <is>
          <t>Logo box repair — paid by Shashirekha</t>
        </is>
      </c>
    </row>
    <row r="68" ht="19.95" customHeight="1" s="186">
      <c r="B68" s="195" t="inlineStr">
        <is>
          <t>SHASHIREKHA TOTAL</t>
        </is>
      </c>
      <c r="C68" s="196" t="n"/>
      <c r="D68" s="196">
        <f>SUM(D59:D67)</f>
        <v/>
      </c>
      <c r="E68" s="196" t="n"/>
      <c r="F68" s="196" t="n"/>
      <c r="G68" s="196" t="n"/>
      <c r="H68" s="197" t="n"/>
    </row>
    <row r="69" ht="19.95" customHeight="1" s="186"/>
    <row r="70" ht="19.95" customHeight="1" s="186">
      <c r="B70" s="192" t="inlineStr">
        <is>
          <t xml:space="preserve">  F.  GRAND SUMMARY — CAPITAL DEPLOYMENT</t>
        </is>
      </c>
    </row>
    <row r="71" ht="19.95" customHeight="1" s="186">
      <c r="B71" s="229" t="inlineStr">
        <is>
          <t>Line Item</t>
        </is>
      </c>
      <c r="C71" s="229" t="n"/>
      <c r="D71" s="229" t="n"/>
      <c r="E71" s="229" t="n"/>
      <c r="F71" s="229" t="n"/>
      <c r="G71" s="229" t="n"/>
    </row>
    <row r="72" ht="19.95" customHeight="1" s="186">
      <c r="B72" s="228" t="inlineStr">
        <is>
          <t>Total Budget (All Partners)</t>
        </is>
      </c>
      <c r="C72" s="223">
        <f>SUM(D6:D8)</f>
        <v/>
      </c>
      <c r="D72" s="215" t="inlineStr"/>
      <c r="E72" s="228" t="inlineStr">
        <is>
          <t>100% of committed capital</t>
        </is>
      </c>
    </row>
    <row r="73" ht="19.95" customHeight="1" s="186">
      <c r="B73" s="230" t="inlineStr">
        <is>
          <t>Restaurant Acquisition — Full Price</t>
        </is>
      </c>
      <c r="C73" s="246">
        <f>D13</f>
        <v/>
      </c>
      <c r="D73" s="231">
        <f>C64/$C$63</f>
        <v/>
      </c>
      <c r="E73" s="230" t="inlineStr">
        <is>
          <t>To be paid to previous owners</t>
        </is>
      </c>
    </row>
    <row r="74">
      <c r="B74" s="228" t="inlineStr">
        <is>
          <t xml:space="preserve">  → Advance Paid (by Lohith)</t>
        </is>
      </c>
      <c r="C74" s="223">
        <f>D14</f>
        <v/>
      </c>
      <c r="D74" s="215">
        <f>C65/$C$63</f>
        <v/>
      </c>
      <c r="E74" s="228" t="inlineStr">
        <is>
          <t>✅ Already paid</t>
        </is>
      </c>
    </row>
    <row r="75">
      <c r="B75" s="230" t="inlineStr">
        <is>
          <t xml:space="preserve">  → Balance Remaining</t>
        </is>
      </c>
      <c r="C75" s="246">
        <f>D23</f>
        <v/>
      </c>
      <c r="D75" s="231">
        <f>C66/$C$63</f>
        <v/>
      </c>
      <c r="E75" s="230" t="inlineStr">
        <is>
          <t>⏳ Pending — funded by transfers</t>
        </is>
      </c>
    </row>
    <row r="76">
      <c r="B76" s="228" t="inlineStr">
        <is>
          <t>Kashigoud — Ops Expenses (excl. transfer)</t>
        </is>
      </c>
      <c r="C76" s="223">
        <f>SUM(D35:D36)</f>
        <v/>
      </c>
      <c r="D76" s="215">
        <f>C67/$C$63</f>
        <v/>
      </c>
      <c r="E76" s="228" t="inlineStr">
        <is>
          <t>Soft license + terminal</t>
        </is>
      </c>
    </row>
    <row r="77">
      <c r="B77" s="230" t="inlineStr">
        <is>
          <t>Kashigoud → Lohith Transfer</t>
        </is>
      </c>
      <c r="C77" s="246">
        <f>D34</f>
        <v/>
      </c>
      <c r="D77" s="231" t="n"/>
      <c r="E77" s="230" t="n"/>
    </row>
    <row r="78">
      <c r="B78" s="228" t="inlineStr">
        <is>
          <t>Lohith — All Pre-Opening Expenses</t>
        </is>
      </c>
      <c r="C78" s="223">
        <f>D55</f>
        <v/>
      </c>
      <c r="D78" s="215">
        <f>C69/$C$63</f>
        <v/>
      </c>
      <c r="E78" s="228" t="inlineStr">
        <is>
          <t>Advance + Notary + Poliza + Alejandra</t>
        </is>
      </c>
    </row>
    <row r="79">
      <c r="B79" s="230" t="inlineStr">
        <is>
          <t>Shashirekha → Lohith Transfer</t>
        </is>
      </c>
      <c r="C79" s="246">
        <f>D59</f>
        <v/>
      </c>
      <c r="D79" s="231" t="n"/>
      <c r="E79" s="230" t="n"/>
    </row>
    <row r="80">
      <c r="B80" s="228" t="inlineStr">
        <is>
          <t>Shashirekha — Other Expenses</t>
        </is>
      </c>
      <c r="C80" s="223">
        <f>SUM(D60:D67)</f>
        <v/>
      </c>
      <c r="D80" s="215">
        <f>C71/$C$63</f>
        <v/>
      </c>
      <c r="E80" s="228" t="inlineStr">
        <is>
          <t>Yellow rows above</t>
        </is>
      </c>
    </row>
    <row r="81">
      <c r="B81" s="195" t="inlineStr">
        <is>
          <t>TOTAL CASH OUT (excl. internal transfers)</t>
        </is>
      </c>
      <c r="C81" s="198">
        <f>C73+C76+C78+C80</f>
        <v/>
      </c>
      <c r="D81" s="213">
        <f>C72/$C$63</f>
        <v/>
      </c>
      <c r="E81" s="195" t="inlineStr">
        <is>
          <t>Actual cash leaving the partnership</t>
        </is>
      </c>
    </row>
    <row r="82">
      <c r="B82" s="195" t="inlineStr">
        <is>
          <t>REMAINING UNALLOCATED BUDGET</t>
        </is>
      </c>
      <c r="C82" s="198">
        <f>C72-C81</f>
        <v/>
      </c>
      <c r="D82" s="213" t="n"/>
      <c r="E82" s="195" t="n"/>
    </row>
    <row r="84">
      <c r="B84" t="inlineStr">
        <is>
          <t xml:space="preserve">  G.  REMAINING TRANSFERS DUE TO LOHITH REDDY</t>
        </is>
      </c>
      <c r="C84" t="inlineStr">
        <is>
          <t xml:space="preserve">  G.  REMAINING TRANSFERS DUE TO LOHITH REDDY</t>
        </is>
      </c>
      <c r="D84" t="inlineStr">
        <is>
          <t xml:space="preserve">  G.  REMAINING TRANSFERS DUE TO LOHITH REDDY</t>
        </is>
      </c>
      <c r="E84" t="inlineStr">
        <is>
          <t xml:space="preserve">  G.  REMAINING TRANSFERS DUE TO LOHITH REDDY</t>
        </is>
      </c>
      <c r="F84" t="inlineStr">
        <is>
          <t xml:space="preserve">  G.  REMAINING TRANSFERS DUE TO LOHITH REDDY</t>
        </is>
      </c>
      <c r="G84" t="inlineStr">
        <is>
          <t xml:space="preserve">  G.  REMAINING TRANSFERS DUE TO LOHITH REDDY</t>
        </is>
      </c>
    </row>
    <row r="85">
      <c r="B85" t="inlineStr">
        <is>
          <t>Partner</t>
        </is>
      </c>
      <c r="C85" t="inlineStr">
        <is>
          <t>Total Budget ($)</t>
        </is>
      </c>
      <c r="D85" t="inlineStr">
        <is>
          <t>Already Transferred ($)</t>
        </is>
      </c>
      <c r="E85" t="inlineStr">
        <is>
          <t>Direct Expenses ($)</t>
        </is>
      </c>
      <c r="F85" t="inlineStr">
        <is>
          <t>Still Owed to Lohith ($)</t>
        </is>
      </c>
      <c r="G85" t="inlineStr">
        <is>
          <t>Status</t>
        </is>
      </c>
    </row>
    <row r="86">
      <c r="B86" t="inlineStr">
        <is>
          <t>Kashigoud Patil</t>
        </is>
      </c>
      <c r="C86">
        <f>D7</f>
        <v/>
      </c>
      <c r="D86">
        <f>D34</f>
        <v/>
      </c>
      <c r="E86">
        <f>SUM(D35:D36)</f>
        <v/>
      </c>
      <c r="F86">
        <f>C77-D77-E77</f>
        <v/>
      </c>
      <c r="G86" t="inlineStr">
        <is>
          <t>⏳ PENDING</t>
        </is>
      </c>
    </row>
    <row r="87">
      <c r="B87" t="inlineStr">
        <is>
          <t>Shashirekha Basavaraju</t>
        </is>
      </c>
      <c r="C87">
        <f>D8</f>
        <v/>
      </c>
      <c r="D87">
        <f>D59</f>
        <v/>
      </c>
      <c r="E87">
        <f>SUM(D60:D67)</f>
        <v/>
      </c>
      <c r="F87">
        <f>C78-D78-E78</f>
        <v/>
      </c>
      <c r="G87" t="inlineStr">
        <is>
          <t>⏳ PENDING</t>
        </is>
      </c>
    </row>
    <row r="88">
      <c r="B88" t="inlineStr">
        <is>
          <t>TOTAL</t>
        </is>
      </c>
      <c r="C88">
        <f>C86+C87</f>
        <v/>
      </c>
      <c r="D88">
        <f>D86+D87</f>
        <v/>
      </c>
      <c r="E88">
        <f>E86+E87</f>
        <v/>
      </c>
      <c r="F88">
        <f>F86+F87</f>
        <v/>
      </c>
    </row>
    <row r="90">
      <c r="B90" t="inlineStr">
        <is>
          <t xml:space="preserve">  H.  ACQUISITION PAYMENT — SPLIT BY OWNERSHIP SHARE  ($385,000 BALANCE DUE)</t>
        </is>
      </c>
      <c r="C90" t="inlineStr">
        <is>
          <t xml:space="preserve">  H.  ACQUISITION PAYMENT — SPLIT BY OWNERSHIP SHARE  ($385,000 BALANCE DUE)</t>
        </is>
      </c>
      <c r="D90" t="inlineStr">
        <is>
          <t xml:space="preserve">  H.  ACQUISITION PAYMENT — SPLIT BY OWNERSHIP SHARE  ($385,000 BALANCE DUE)</t>
        </is>
      </c>
      <c r="E90" t="inlineStr">
        <is>
          <t xml:space="preserve">  H.  ACQUISITION PAYMENT — SPLIT BY OWNERSHIP SHARE  ($385,000 BALANCE DUE)</t>
        </is>
      </c>
      <c r="F90" t="inlineStr">
        <is>
          <t xml:space="preserve">  H.  ACQUISITION PAYMENT — SPLIT BY OWNERSHIP SHARE  ($385,000 BALANCE DUE)</t>
        </is>
      </c>
      <c r="G90" t="inlineStr">
        <is>
          <t xml:space="preserve">  H.  ACQUISITION PAYMENT — SPLIT BY OWNERSHIP SHARE  ($385,000 BALANCE DUE)</t>
        </is>
      </c>
    </row>
    <row r="91">
      <c r="B91" t="inlineStr">
        <is>
          <t>Partner</t>
        </is>
      </c>
      <c r="C91" t="inlineStr">
        <is>
          <t>Share %</t>
        </is>
      </c>
      <c r="D91" t="inlineStr">
        <is>
          <t>Share of $390k Total ($)</t>
        </is>
      </c>
      <c r="E91" t="inlineStr">
        <is>
          <t>Advance Credited ($)</t>
        </is>
      </c>
      <c r="F91" t="inlineStr">
        <is>
          <t>Balance Owed to Prev. Owners ($)</t>
        </is>
      </c>
      <c r="G91" t="inlineStr">
        <is>
          <t>Status</t>
        </is>
      </c>
    </row>
    <row r="92">
      <c r="B92" t="inlineStr">
        <is>
          <t>Lohith Reddy</t>
        </is>
      </c>
      <c r="C92" t="n">
        <v>0.5</v>
      </c>
      <c r="D92">
        <f>C83*D13</f>
        <v/>
      </c>
      <c r="E92">
        <f>D14</f>
        <v/>
      </c>
      <c r="F92">
        <f>D83*D13-E83</f>
        <v/>
      </c>
      <c r="G92">
        <f>E83-F83</f>
        <v/>
      </c>
    </row>
    <row r="93">
      <c r="B93" t="inlineStr">
        <is>
          <t>Kashigoud Patil</t>
        </is>
      </c>
      <c r="C93" t="n">
        <v>0.3</v>
      </c>
      <c r="D93">
        <f>C84*D13</f>
        <v/>
      </c>
      <c r="E93" t="n">
        <v>0</v>
      </c>
      <c r="F93">
        <f>D84*D13-E84</f>
        <v/>
      </c>
      <c r="G93">
        <f>E84-F84</f>
        <v/>
      </c>
    </row>
    <row r="94">
      <c r="B94" t="inlineStr">
        <is>
          <t>Shashirekha Basavaraju</t>
        </is>
      </c>
      <c r="C94" t="n">
        <v>0.2</v>
      </c>
      <c r="D94">
        <f>C85*D13</f>
        <v/>
      </c>
      <c r="E94" t="n">
        <v>0</v>
      </c>
      <c r="F94">
        <f>D85*D13-E85</f>
        <v/>
      </c>
      <c r="G94">
        <f>E85-F85</f>
        <v/>
      </c>
    </row>
    <row r="95">
      <c r="B95" t="inlineStr">
        <is>
          <t>TOTAL</t>
        </is>
      </c>
      <c r="C95" t="n">
        <v>1</v>
      </c>
      <c r="D95">
        <f>D83+D84+D85</f>
        <v/>
      </c>
      <c r="E95">
        <f>E83+E84+E85</f>
        <v/>
      </c>
      <c r="F95">
        <f>F83+F84+F85</f>
        <v/>
      </c>
      <c r="G95">
        <f>G83+G84+G85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inlineStr">
        <is>
          <t>05-Jun-2026</t>
        </is>
      </c>
      <c r="C26" s="62" t="inlineStr">
        <is>
          <t>Fri</t>
        </is>
      </c>
      <c r="D26" s="63" t="n">
        <v>2495</v>
      </c>
      <c r="E26" s="64" t="n">
        <v>1778</v>
      </c>
      <c r="F26" s="65">
        <f>IFERROR(D26+E26+G26,0)</f>
        <v/>
      </c>
      <c r="G26" s="66" t="n">
        <v>135</v>
      </c>
      <c r="H26" s="67" t="n">
        <v>878.0599999999999</v>
      </c>
      <c r="I26" s="68">
        <f>IFERROR(F26-H26,0)</f>
        <v/>
      </c>
      <c r="J26" s="69">
        <f>IFERROR(I26/F26,0)</f>
        <v/>
      </c>
      <c r="K26" s="70" t="n"/>
      <c r="L26" s="36" t="inlineStr">
        <is>
          <t>Manual Bills</t>
        </is>
      </c>
      <c r="M26" s="39" t="n"/>
      <c r="N26" s="71" t="n"/>
      <c r="O26" s="72" t="n"/>
      <c r="P26" s="73" t="n"/>
      <c r="Q26" s="71" t="n"/>
    </row>
    <row r="27" ht="16.5" customHeight="1" s="186">
      <c r="B27" s="61" t="n"/>
      <c r="C27" s="74" t="n"/>
      <c r="D27" s="75" t="n"/>
      <c r="E27" s="76" t="n"/>
      <c r="F27" s="77" t="n"/>
      <c r="G27" s="78" t="n"/>
      <c r="H27" s="79" t="n"/>
      <c r="I27" s="80" t="n"/>
      <c r="J27" s="81" t="n"/>
      <c r="K27" s="82" t="n"/>
      <c r="L27" s="45" t="n"/>
      <c r="M27" s="48" t="n"/>
      <c r="N27" s="83" t="n"/>
      <c r="O27" s="84" t="n"/>
      <c r="P27" s="85" t="n"/>
      <c r="Q27" s="83" t="n"/>
    </row>
    <row r="28" ht="16.5" customHeight="1" s="186">
      <c r="B28" s="61" t="n"/>
      <c r="C28" s="62" t="n"/>
      <c r="D28" s="63" t="n"/>
      <c r="E28" s="64" t="n"/>
      <c r="F28" s="65" t="n"/>
      <c r="G28" s="66" t="n"/>
      <c r="H28" s="67" t="n"/>
      <c r="I28" s="68" t="n"/>
      <c r="J28" s="69" t="n"/>
      <c r="K28" s="70" t="n"/>
      <c r="L28" s="36" t="n"/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Restaurant</t>
        </is>
      </c>
      <c r="H186" s="41" t="inlineStr">
        <is>
          <t>Transfer</t>
        </is>
      </c>
      <c r="I186" s="70" t="inlineStr">
        <is>
          <t>✅ Paid</t>
        </is>
      </c>
      <c r="J186" t="inlineStr">
        <is>
          <t>Monthly rent — June 2026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Restaurant</t>
        </is>
      </c>
      <c r="H187" s="50" t="inlineStr">
        <is>
          <t>Transfer</t>
        </is>
      </c>
      <c r="I187" s="82" t="inlineStr">
        <is>
          <t>✅ Paid</t>
        </is>
      </c>
      <c r="J187" t="inlineStr">
        <is>
          <t>Monthly maintenance — June 2026</t>
        </is>
      </c>
    </row>
    <row r="188">
      <c r="B188" s="91" t="n">
        <v>46178</v>
      </c>
      <c r="C188" s="92" t="inlineStr">
        <is>
          <t>Ahumada</t>
        </is>
      </c>
      <c r="D188" s="93" t="inlineStr">
        <is>
          <t>Miscelanea LC La Cruz</t>
        </is>
      </c>
      <c r="E188" s="92" t="inlineStr">
        <is>
          <t>Ingredients - Meat</t>
        </is>
      </c>
      <c r="F188" s="94" t="n">
        <v>245</v>
      </c>
      <c r="G188" s="41" t="inlineStr">
        <is>
          <t>Restaurant</t>
        </is>
      </c>
      <c r="H188" s="41" t="inlineStr">
        <is>
          <t>Card</t>
        </is>
      </c>
      <c r="I188" s="70" t="inlineStr">
        <is>
          <t>✅ Paid</t>
        </is>
      </c>
      <c r="J188" t="inlineStr">
        <is>
          <t>Getnet 05/06/2026</t>
        </is>
      </c>
    </row>
    <row r="189">
      <c r="B189" s="91" t="n">
        <v>46178</v>
      </c>
      <c r="C189" s="96" t="inlineStr">
        <is>
          <t>Papas</t>
        </is>
      </c>
      <c r="D189" s="95" t="inlineStr">
        <is>
          <t>Miscelanea LC La Cruz</t>
        </is>
      </c>
      <c r="E189" s="96" t="inlineStr">
        <is>
          <t>Ingredients - Vegetables</t>
        </is>
      </c>
      <c r="F189" s="97" t="n">
        <v>220</v>
      </c>
      <c r="G189" s="50" t="inlineStr">
        <is>
          <t>Restaurant</t>
        </is>
      </c>
      <c r="H189" s="50" t="inlineStr">
        <is>
          <t>Card</t>
        </is>
      </c>
      <c r="I189" s="82" t="inlineStr">
        <is>
          <t>✅ Paid</t>
        </is>
      </c>
      <c r="J189" t="inlineStr">
        <is>
          <t>Getnet 05/06/2026 — same remision</t>
        </is>
      </c>
    </row>
    <row r="190">
      <c r="B190" s="91" t="n">
        <v>46178</v>
      </c>
      <c r="C190" s="92" t="inlineStr">
        <is>
          <t>Tortillas Blanca K (10.045kg)</t>
        </is>
      </c>
      <c r="D190" s="93" t="inlineStr">
        <is>
          <t>Chedraui Paseo</t>
        </is>
      </c>
      <c r="E190" s="92" t="inlineStr">
        <is>
          <t>Ingredients - Pantry</t>
        </is>
      </c>
      <c r="F190" s="94" t="n">
        <v>125.56</v>
      </c>
      <c r="G190" s="41" t="inlineStr">
        <is>
          <t>Restaurant</t>
        </is>
      </c>
      <c r="H190" s="41" t="inlineStr">
        <is>
          <t>Card</t>
        </is>
      </c>
      <c r="I190" s="70" t="inlineStr">
        <is>
          <t>✅ Paid</t>
        </is>
      </c>
      <c r="J190" t="inlineStr">
        <is>
          <t>3 batches: 4.025+4.015+2.005kg, discount -$20.08</t>
        </is>
      </c>
    </row>
    <row r="191">
      <c r="B191" s="91" t="n">
        <v>46178</v>
      </c>
      <c r="C191" s="96" t="inlineStr">
        <is>
          <t>Pepino</t>
        </is>
      </c>
      <c r="D191" s="95" t="inlineStr">
        <is>
          <t>—</t>
        </is>
      </c>
      <c r="E191" s="96" t="inlineStr">
        <is>
          <t>Ingredients - Vegetables</t>
        </is>
      </c>
      <c r="F191" s="97" t="n">
        <v>123.5</v>
      </c>
      <c r="G191" s="50" t="inlineStr">
        <is>
          <t>Restaurant</t>
        </is>
      </c>
      <c r="H191" s="50" t="inlineStr">
        <is>
          <t>Cash</t>
        </is>
      </c>
      <c r="I191" s="82" t="inlineStr">
        <is>
          <t>✅ Paid</t>
        </is>
      </c>
      <c r="J191" t="inlineStr">
        <is>
          <t>No bill</t>
        </is>
      </c>
    </row>
    <row r="192">
      <c r="B192" s="91" t="n">
        <v>46178</v>
      </c>
      <c r="C192" s="92" t="inlineStr">
        <is>
          <t>Hierbabuena</t>
        </is>
      </c>
      <c r="D192" s="93" t="inlineStr">
        <is>
          <t>—</t>
        </is>
      </c>
      <c r="E192" s="92" t="inlineStr">
        <is>
          <t>Ingredients - Vegetables</t>
        </is>
      </c>
      <c r="F192" s="94" t="n">
        <v>10</v>
      </c>
      <c r="G192" s="41" t="inlineStr">
        <is>
          <t>Restaurant</t>
        </is>
      </c>
      <c r="H192" s="41" t="inlineStr">
        <is>
          <t>Cash</t>
        </is>
      </c>
      <c r="I192" s="70" t="inlineStr">
        <is>
          <t>✅ Paid</t>
        </is>
      </c>
      <c r="J192" t="inlineStr">
        <is>
          <t>No bill</t>
        </is>
      </c>
    </row>
    <row r="193">
      <c r="B193" s="91" t="n">
        <v>46178</v>
      </c>
      <c r="C193" s="96" t="inlineStr">
        <is>
          <t>Lechuga</t>
        </is>
      </c>
      <c r="D193" s="95" t="inlineStr">
        <is>
          <t>—</t>
        </is>
      </c>
      <c r="E193" s="96" t="inlineStr">
        <is>
          <t>Ingredients - Vegetables</t>
        </is>
      </c>
      <c r="F193" s="97" t="n">
        <v>104</v>
      </c>
      <c r="G193" s="50" t="inlineStr">
        <is>
          <t>Restaurant</t>
        </is>
      </c>
      <c r="H193" s="50" t="inlineStr">
        <is>
          <t>Cash</t>
        </is>
      </c>
      <c r="I193" s="82" t="inlineStr">
        <is>
          <t>✅ Paid</t>
        </is>
      </c>
      <c r="J193" t="inlineStr">
        <is>
          <t>No bill</t>
        </is>
      </c>
    </row>
    <row r="194">
      <c r="B194" s="91" t="n">
        <v>46178</v>
      </c>
      <c r="C194" s="92" t="inlineStr">
        <is>
          <t>Hielo</t>
        </is>
      </c>
      <c r="D194" s="93" t="inlineStr">
        <is>
          <t>—</t>
        </is>
      </c>
      <c r="E194" s="92" t="inlineStr">
        <is>
          <t>Supplies / Other</t>
        </is>
      </c>
      <c r="F194" s="94" t="n">
        <v>50</v>
      </c>
      <c r="G194" s="41" t="inlineStr">
        <is>
          <t>Restaurant</t>
        </is>
      </c>
      <c r="H194" s="41" t="inlineStr">
        <is>
          <t>Cash</t>
        </is>
      </c>
      <c r="I194" s="70" t="inlineStr">
        <is>
          <t>✅ Paid</t>
        </is>
      </c>
      <c r="J194" t="inlineStr">
        <is>
          <t>No bill</t>
        </is>
      </c>
    </row>
    <row r="195">
      <c r="B195" s="91" t="n"/>
      <c r="C195" s="96" t="n"/>
      <c r="D195" s="95" t="n"/>
      <c r="E195" s="96" t="n"/>
      <c r="F195" s="97" t="n"/>
      <c r="G195" s="50" t="n"/>
      <c r="H195" s="50" t="n"/>
      <c r="I195" s="82" t="n"/>
    </row>
    <row r="196">
      <c r="B196" s="91" t="n"/>
      <c r="C196" s="92" t="n"/>
      <c r="D196" s="93" t="n"/>
      <c r="E196" s="92" t="n"/>
      <c r="F196" s="94" t="n"/>
      <c r="G196" s="41" t="n"/>
      <c r="H196" s="41" t="n"/>
      <c r="I196" s="70" t="n"/>
    </row>
    <row r="197">
      <c r="B197" s="91" t="n"/>
      <c r="C197" s="96" t="n"/>
      <c r="D197" s="95" t="n"/>
      <c r="E197" s="96" t="n"/>
      <c r="F197" s="97" t="n"/>
      <c r="G197" s="50" t="n"/>
      <c r="H197" s="50" t="n"/>
      <c r="I197" s="82" t="n"/>
    </row>
    <row r="198">
      <c r="B198" s="91" t="n"/>
      <c r="C198" s="92" t="n"/>
      <c r="D198" s="93" t="n"/>
      <c r="E198" s="92" t="n"/>
      <c r="F198" s="94" t="n"/>
      <c r="G198" s="41" t="n"/>
      <c r="H198" s="41" t="n"/>
      <c r="I198" s="70" t="n"/>
    </row>
    <row r="199">
      <c r="B199" s="91" t="n"/>
      <c r="C199" s="96" t="n"/>
      <c r="D199" s="95" t="n"/>
      <c r="E199" s="96" t="n"/>
      <c r="F199" s="97" t="n"/>
      <c r="G199" s="50" t="n"/>
      <c r="H199" s="50" t="n"/>
      <c r="I199" s="82" t="n"/>
    </row>
    <row r="200">
      <c r="B200" s="91" t="n"/>
      <c r="C200" s="92" t="n"/>
      <c r="D200" s="93" t="n"/>
      <c r="E200" s="92" t="n"/>
      <c r="F200" s="94" t="n"/>
      <c r="G200" s="41" t="n"/>
      <c r="H200" s="41" t="n"/>
      <c r="I200" s="70" t="n"/>
    </row>
    <row r="201">
      <c r="B201" s="91" t="n"/>
      <c r="C201" s="96" t="n"/>
      <c r="D201" s="95" t="n"/>
      <c r="E201" s="96" t="n"/>
      <c r="F201" s="97" t="n"/>
      <c r="G201" s="50" t="n"/>
      <c r="H201" s="50" t="n"/>
      <c r="I201" s="82" t="n"/>
    </row>
    <row r="202">
      <c r="B202" s="91" t="n"/>
      <c r="C202" s="92" t="n"/>
      <c r="D202" s="93" t="n"/>
      <c r="E202" s="92" t="n"/>
      <c r="F202" s="94" t="n"/>
      <c r="G202" s="41" t="n"/>
      <c r="H202" s="41" t="n"/>
      <c r="I202" s="70" t="n"/>
    </row>
    <row r="203">
      <c r="B203" s="91" t="n"/>
      <c r="C203" s="96" t="n"/>
      <c r="D203" s="95" t="n"/>
      <c r="E203" s="96" t="n"/>
      <c r="F203" s="97" t="n"/>
      <c r="G203" s="50" t="n"/>
      <c r="H203" s="50" t="n"/>
      <c r="I203" s="82" t="n"/>
    </row>
    <row r="204">
      <c r="B204" s="91" t="n"/>
      <c r="C204" s="92" t="n"/>
      <c r="D204" s="93" t="n"/>
      <c r="E204" s="92" t="n"/>
      <c r="F204" s="94" t="n"/>
      <c r="G204" s="41" t="n"/>
      <c r="H204" s="41" t="n"/>
      <c r="I204" s="70" t="n"/>
    </row>
    <row r="205">
      <c r="B205" s="91" t="n"/>
      <c r="C205" s="96" t="n"/>
      <c r="D205" s="95" t="n"/>
      <c r="E205" s="96" t="n"/>
      <c r="F205" s="97" t="n"/>
      <c r="G205" s="50" t="n"/>
      <c r="H205" s="50" t="n"/>
      <c r="I205" s="82" t="n"/>
    </row>
    <row r="206">
      <c r="B206" s="91" t="n"/>
      <c r="C206" s="92" t="n"/>
      <c r="D206" s="93" t="n"/>
      <c r="E206" s="92" t="n"/>
      <c r="F206" s="94" t="n"/>
      <c r="G206" s="41" t="n"/>
      <c r="H206" s="41" t="n"/>
      <c r="I206" s="70" t="n"/>
    </row>
    <row r="207">
      <c r="B207" s="91" t="n"/>
      <c r="C207" s="96" t="n"/>
      <c r="D207" s="95" t="n"/>
      <c r="E207" s="96" t="n"/>
      <c r="F207" s="97" t="n"/>
      <c r="G207" s="50" t="n"/>
      <c r="H207" s="50" t="n"/>
      <c r="I207" s="82" t="n"/>
    </row>
    <row r="208">
      <c r="B208" s="91" t="n"/>
      <c r="C208" s="92" t="n"/>
      <c r="D208" s="93" t="n"/>
      <c r="E208" s="92" t="n"/>
      <c r="F208" s="94" t="n"/>
      <c r="G208" s="41" t="n"/>
      <c r="H208" s="41" t="n"/>
      <c r="I208" s="70" t="n"/>
    </row>
    <row r="209">
      <c r="B209" s="91" t="n"/>
      <c r="C209" s="96" t="n"/>
      <c r="D209" s="95" t="n"/>
      <c r="E209" s="96" t="n"/>
      <c r="F209" s="97" t="n"/>
      <c r="G209" s="50" t="n"/>
      <c r="H209" s="50" t="n"/>
      <c r="I209" s="82" t="n"/>
    </row>
    <row r="210">
      <c r="B210" s="91" t="n"/>
      <c r="C210" s="92" t="n"/>
      <c r="D210" s="93" t="n"/>
      <c r="E210" s="92" t="n"/>
      <c r="F210" s="94" t="n"/>
      <c r="G210" s="41" t="n"/>
      <c r="H210" s="41" t="n"/>
      <c r="I210" s="70" t="n"/>
    </row>
    <row r="211">
      <c r="B211" s="91" t="n"/>
      <c r="C211" s="96" t="n"/>
      <c r="D211" s="95" t="n"/>
      <c r="E211" s="96" t="n"/>
      <c r="F211" s="97" t="n"/>
      <c r="G211" s="50" t="n"/>
      <c r="H211" s="50" t="n"/>
      <c r="I211" s="82" t="n"/>
    </row>
    <row r="212">
      <c r="B212" s="91" t="n"/>
      <c r="C212" s="92" t="n"/>
      <c r="D212" s="93" t="n"/>
      <c r="E212" s="92" t="n"/>
      <c r="F212" s="94" t="n"/>
      <c r="G212" s="41" t="n"/>
      <c r="H212" s="41" t="n"/>
      <c r="I212" s="70" t="n"/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3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2000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SUM(C34:C37)</f>
        <v/>
      </c>
      <c r="D39">
        <f>SUM(D34:D37)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IFERROR(E59-F59,0)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IFERROR(G59+E60-F60,0)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IFERROR(G60+E61-F61,0)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IFERROR(G61+E62-F62,0)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IFERROR(G62+E63-F63,0)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IFERROR(G63+E64-F64,0)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266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t="inlineStr">
        <is>
          <t>TOTALS &amp; CURRENT BALANCE</t>
        </is>
      </c>
      <c r="E68">
        <f>SUM(E59:E62)</f>
        <v/>
      </c>
      <c r="F68">
        <f>SUM(F59:F62)</f>
        <v/>
      </c>
      <c r="G68">
        <f>G67</f>
        <v/>
      </c>
      <c r="H68">
        <f>IF(G62&gt;0,"⏳ Restaurant owes Lohith",IF(G62&lt;0,"💵 Lohith holds restaurant funds","✅ Zero balance"))</f>
        <v/>
      </c>
    </row>
    <row r="70">
      <c r="B70" t="inlineStr">
        <is>
          <t>HOW TO USE:</t>
        </is>
      </c>
    </row>
    <row r="71">
      <c r="B71" t="inlineStr">
        <is>
          <t>Add new rows above TOTALS. Spent by Lohith = restaurant expenses he paid personally.</t>
        </is>
      </c>
    </row>
    <row r="72">
      <c r="B72" t="inlineStr">
        <is>
          <t>Transferred to Lohith = customer bank transfers received in his personal account.</t>
        </is>
      </c>
    </row>
    <row r="73">
      <c r="B73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2026-06-06T13:52:04Z</dcterms:modified>
  <cp:lastModifiedBy>LOHITH REDDY</cp:lastModifiedBy>
</cp:coreProperties>
</file>