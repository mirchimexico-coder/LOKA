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 t="n">
        <v>0</v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6578.98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66">
      <c r="B31" s="34" t="n"/>
      <c r="C31" s="47" t="n"/>
      <c r="D31" s="48" t="n"/>
      <c r="E31" s="49" t="n"/>
      <c r="F31" s="50" t="n"/>
      <c r="G31" s="51" t="n"/>
      <c r="H31" s="52" t="n"/>
      <c r="I31" s="53" t="n"/>
      <c r="J31" s="54" t="n"/>
      <c r="K31" s="55" t="n"/>
      <c r="L31" s="18" t="n"/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>
        <v>46182</v>
      </c>
      <c r="C219" s="69" t="inlineStr">
        <is>
          <t>Queso Gouda Menona (2.04 kg)</t>
        </is>
      </c>
      <c r="D219" s="68" t="inlineStr">
        <is>
          <t>La Bodega del Buen Queso</t>
        </is>
      </c>
      <c r="E219" s="69" t="inlineStr">
        <is>
          <t>Ingredients - Dairy</t>
        </is>
      </c>
      <c r="F219" s="70" t="n">
        <v>275.4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2.04 kg x $135 — Nota 0031847, 09/jun/2026 10:10</t>
        </is>
      </c>
    </row>
    <row r="220">
      <c r="B220" s="64" t="n">
        <v>46182</v>
      </c>
      <c r="C220" s="65" t="inlineStr">
        <is>
          <t>Muslo de Pollo (4.40 kg)</t>
        </is>
      </c>
      <c r="D220" s="66" t="inlineStr">
        <is>
          <t>Remision</t>
        </is>
      </c>
      <c r="E220" s="65" t="inlineStr">
        <is>
          <t>Ingredients - Meat</t>
        </is>
      </c>
      <c r="F220" s="67" t="n">
        <v>220</v>
      </c>
      <c r="G220" s="14" t="inlineStr">
        <is>
          <t>Restaurant</t>
        </is>
      </c>
      <c r="H220" s="14" t="inlineStr">
        <is>
          <t>Cash</t>
        </is>
      </c>
      <c r="I220" s="43" t="inlineStr">
        <is>
          <t>✅ Paid</t>
        </is>
      </c>
      <c r="J220" t="inlineStr">
        <is>
          <t>4.40 kg x $50 — Remision 09/06/26</t>
        </is>
      </c>
    </row>
    <row r="221">
      <c r="B221" s="64" t="n">
        <v>46182</v>
      </c>
      <c r="C221" s="69" t="inlineStr">
        <is>
          <t>Pechuga de Pollo (3.95 kg)</t>
        </is>
      </c>
      <c r="D221" s="68" t="inlineStr">
        <is>
          <t>Remision</t>
        </is>
      </c>
      <c r="E221" s="69" t="inlineStr">
        <is>
          <t>Ingredients - Meat</t>
        </is>
      </c>
      <c r="F221" s="70" t="n">
        <v>455</v>
      </c>
      <c r="G221" s="23" t="inlineStr">
        <is>
          <t>Restaurant</t>
        </is>
      </c>
      <c r="H221" s="23" t="inlineStr">
        <is>
          <t>Cash</t>
        </is>
      </c>
      <c r="I221" s="55" t="inlineStr">
        <is>
          <t>✅ Paid</t>
        </is>
      </c>
      <c r="J221" t="inlineStr">
        <is>
          <t>3.95 kg x $115 — Remision 09/06/26 total $675</t>
        </is>
      </c>
    </row>
    <row r="222">
      <c r="B222" s="64" t="n">
        <v>46182</v>
      </c>
      <c r="C222" s="65" t="inlineStr">
        <is>
          <t>Jamon Deli Pierna Manolina</t>
        </is>
      </c>
      <c r="D222" s="66" t="inlineStr">
        <is>
          <t>San Juan Salchichonerias</t>
        </is>
      </c>
      <c r="E222" s="65" t="inlineStr">
        <is>
          <t>Ingredients - Meat</t>
        </is>
      </c>
      <c r="F222" s="67" t="n">
        <v>172.35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After $24.56 discount — Rappi/Banregio ••••3982, 09/06/2026 10:20</t>
        </is>
      </c>
    </row>
    <row r="223">
      <c r="B223" s="64" t="n">
        <v>46182</v>
      </c>
      <c r="C223" s="69" t="inlineStr">
        <is>
          <t>Ribeye</t>
        </is>
      </c>
      <c r="D223" s="68" t="inlineStr">
        <is>
          <t>Miscelanea LC La Cruz</t>
        </is>
      </c>
      <c r="E223" s="69" t="inlineStr">
        <is>
          <t>Ingredients - Meat</t>
        </is>
      </c>
      <c r="F223" s="70" t="n">
        <v>426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Getnet $529 total — 09/06/2026 10:16</t>
        </is>
      </c>
    </row>
    <row r="224">
      <c r="B224" s="64" t="n">
        <v>46182</v>
      </c>
      <c r="C224" s="65" t="inlineStr">
        <is>
          <t>Bistec Cerdo</t>
        </is>
      </c>
      <c r="D224" s="66" t="inlineStr">
        <is>
          <t>Miscelanea LC La Cruz</t>
        </is>
      </c>
      <c r="E224" s="65" t="inlineStr">
        <is>
          <t>Ingredients - Meat</t>
        </is>
      </c>
      <c r="F224" s="67" t="n">
        <v>103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Part of same Getnet $529 remision</t>
        </is>
      </c>
    </row>
    <row r="225">
      <c r="B225" s="64" t="n">
        <v>46182</v>
      </c>
      <c r="C225" s="69" t="inlineStr">
        <is>
          <t>Aceite La Posada 800 (x4, 2x1 promo)</t>
        </is>
      </c>
      <c r="D225" s="68" t="inlineStr">
        <is>
          <t>OXXO Pathe QRF</t>
        </is>
      </c>
      <c r="E225" s="69" t="inlineStr">
        <is>
          <t>Ingredients - Pantry</t>
        </is>
      </c>
      <c r="F225" s="70" t="n">
        <v>104</v>
      </c>
      <c r="G225" s="23" t="inlineStr">
        <is>
          <t>Restaurant</t>
        </is>
      </c>
      <c r="H225" s="23" t="inlineStr">
        <is>
          <t>Card</t>
        </is>
      </c>
      <c r="I225" s="55" t="inlineStr">
        <is>
          <t>✅ Paid</t>
        </is>
      </c>
      <c r="J225" t="inlineStr">
        <is>
          <t>4 units after $23.60 promo discount — 09/06/2026 09:28</t>
        </is>
      </c>
    </row>
    <row r="226">
      <c r="B226" s="64" t="n">
        <v>46182</v>
      </c>
      <c r="C226" s="65" t="inlineStr">
        <is>
          <t>UHT Lala Entera 1.5L (x2)</t>
        </is>
      </c>
      <c r="D226" s="66" t="inlineStr">
        <is>
          <t>OXXO Pathe QRF</t>
        </is>
      </c>
      <c r="E226" s="65" t="inlineStr">
        <is>
          <t>Ingredients - Dairy</t>
        </is>
      </c>
      <c r="F226" s="67" t="n">
        <v>93</v>
      </c>
      <c r="G226" s="14" t="inlineStr">
        <is>
          <t>Restaurant</t>
        </is>
      </c>
      <c r="H226" s="14" t="inlineStr">
        <is>
          <t>Card</t>
        </is>
      </c>
      <c r="I226" s="43" t="inlineStr">
        <is>
          <t>✅ Paid</t>
        </is>
      </c>
      <c r="J226" t="inlineStr">
        <is>
          <t>2 x $56 with $9.50 discount each = $93 — 09/06/2026 09:39</t>
        </is>
      </c>
    </row>
    <row r="227">
      <c r="B227" s="64" t="n">
        <v>46182</v>
      </c>
      <c r="C227" s="69" t="inlineStr">
        <is>
          <t>Lenteja Grande Granel (2 kg)</t>
        </is>
      </c>
      <c r="D227" s="68" t="inlineStr">
        <is>
          <t>Molino y Condimentos La Cruz</t>
        </is>
      </c>
      <c r="E227" s="69" t="inlineStr">
        <is>
          <t>Ingredients - Pantry</t>
        </is>
      </c>
      <c r="F227" s="70" t="n">
        <v>48</v>
      </c>
      <c r="G227" s="23" t="inlineStr">
        <is>
          <t>Restaurant</t>
        </is>
      </c>
      <c r="H227" s="23" t="inlineStr">
        <is>
          <t>Cash</t>
        </is>
      </c>
      <c r="I227" s="55" t="inlineStr">
        <is>
          <t>✅ Paid</t>
        </is>
      </c>
      <c r="J227" t="inlineStr">
        <is>
          <t>Nota 200483 — 09/06/2026</t>
        </is>
      </c>
    </row>
    <row r="228">
      <c r="B228" s="64" t="n">
        <v>46182</v>
      </c>
      <c r="C228" s="65" t="inlineStr">
        <is>
          <t>Hielo</t>
        </is>
      </c>
      <c r="D228" s="66" t="inlineStr">
        <is>
          <t>—</t>
        </is>
      </c>
      <c r="E228" s="65" t="inlineStr">
        <is>
          <t>Supplies / Other</t>
        </is>
      </c>
      <c r="F228" s="67" t="n">
        <v>50</v>
      </c>
      <c r="G228" s="14" t="inlineStr">
        <is>
          <t>Restaurant</t>
        </is>
      </c>
      <c r="H228" s="14" t="inlineStr">
        <is>
          <t>Cash</t>
        </is>
      </c>
      <c r="I228" s="43" t="inlineStr">
        <is>
          <t>✅ Paid</t>
        </is>
      </c>
      <c r="J228" t="inlineStr">
        <is>
          <t>No bill</t>
        </is>
      </c>
    </row>
    <row r="229">
      <c r="B229" s="64" t="n">
        <v>46182</v>
      </c>
      <c r="C229" s="69" t="inlineStr">
        <is>
          <t>Tea Zone Concentrado Lichi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Folio 005C01FR44612 incl IVA</t>
        </is>
      </c>
    </row>
    <row r="230">
      <c r="B230" s="64" t="n">
        <v>46182</v>
      </c>
      <c r="C230" s="65" t="inlineStr">
        <is>
          <t>Tea Zone Concentrado Fresa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Tea Zone Concentrado Maracuya 1.9L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679.01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incl IVA 93.66</t>
        </is>
      </c>
    </row>
    <row r="232">
      <c r="B232" s="64" t="n">
        <v>46182</v>
      </c>
      <c r="C232" s="65" t="inlineStr">
        <is>
          <t>Tea Zone Concentrado Mango 1.9L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679.01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incl IVA 93.66</t>
        </is>
      </c>
    </row>
    <row r="233">
      <c r="B233" s="64" t="n">
        <v>46182</v>
      </c>
      <c r="C233" s="69" t="inlineStr">
        <is>
          <t>Chillout Mix Base Taro 2kg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592.37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Frappe base powder</t>
        </is>
      </c>
    </row>
    <row r="234">
      <c r="B234" s="64" t="n">
        <v>46182</v>
      </c>
      <c r="C234" s="65" t="inlineStr">
        <is>
          <t>Chillout Mix Base Te Matcha 2kg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792.8200000000001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Frappe base powder</t>
        </is>
      </c>
    </row>
    <row r="235">
      <c r="B235" s="64" t="n">
        <v>46182</v>
      </c>
      <c r="C235" s="69" t="inlineStr">
        <is>
          <t>Jarabe Agave Caramelo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Agave syrup</t>
        </is>
      </c>
    </row>
    <row r="236">
      <c r="B236" s="64" t="n">
        <v>46182</v>
      </c>
      <c r="C236" s="65" t="inlineStr">
        <is>
          <t>Jarabe Agave Crema Irlandesa 1L</t>
        </is>
      </c>
      <c r="D236" s="66" t="inlineStr">
        <is>
          <t>Etrusca</t>
        </is>
      </c>
      <c r="E236" s="65" t="inlineStr">
        <is>
          <t>Ingredients - Beverages</t>
        </is>
      </c>
      <c r="F236" s="67" t="n">
        <v>177</v>
      </c>
      <c r="G236" s="14" t="inlineStr">
        <is>
          <t>Restaurant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Agave syrup</t>
        </is>
      </c>
    </row>
    <row r="237">
      <c r="B237" s="64" t="n">
        <v>46182</v>
      </c>
      <c r="C237" s="69" t="inlineStr">
        <is>
          <t>Jarabe Agave Vainilla Francesa 1L</t>
        </is>
      </c>
      <c r="D237" s="68" t="inlineStr">
        <is>
          <t>Etrusca</t>
        </is>
      </c>
      <c r="E237" s="69" t="inlineStr">
        <is>
          <t>Ingredients - Beverages</t>
        </is>
      </c>
      <c r="F237" s="70" t="n">
        <v>177</v>
      </c>
      <c r="G237" s="23" t="inlineStr">
        <is>
          <t>Restaurant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Etrusca total 4632.23 MC 2684 17:00</t>
        </is>
      </c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7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</t>
        </is>
      </c>
      <c r="B11" s="103" t="inlineStr">
        <is>
          <t>Judith (RESIGNED)</t>
        </is>
      </c>
      <c r="C11" s="104" t="inlineStr">
        <is>
          <t>Mesera — Resigned Sun 7 Jun 2026</t>
        </is>
      </c>
      <c r="D11" s="105" t="n">
        <v>0</v>
      </c>
      <c r="E11" s="105" t="inlineStr">
        <is>
          <t>—</t>
        </is>
      </c>
      <c r="F11" s="105" t="inlineStr">
        <is>
          <t>❌ Resigned — Last day: Sun 7 Jun 2026</t>
        </is>
      </c>
      <c r="G11" s="105" t="inlineStr">
        <is>
          <t>Fully paid — W3 salary settled Mon 8 Jun 2026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inlineStr">
        <is>
          <t>—</t>
        </is>
      </c>
      <c r="L11" s="107" t="n">
        <v>0</v>
      </c>
      <c r="M11" t="n">
        <v>0</v>
      </c>
    </row>
    <row r="12" ht="19.5" customHeight="1" s="266" thickBot="1">
      <c r="A12" s="346" t="n"/>
      <c r="B12" s="347" t="inlineStr">
        <is>
          <t>Cesar</t>
        </is>
      </c>
      <c r="C12" s="348" t="inlineStr">
        <is>
          <t>Mesero / Waiter</t>
        </is>
      </c>
      <c r="D12" s="349" t="n">
        <v>333.33</v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Full Day</t>
        </is>
      </c>
      <c r="K12" s="351" t="inlineStr">
        <is>
          <t>Day Off</t>
        </is>
      </c>
      <c r="L12" s="352">
        <f>COUNTIF(E12:K12,"Full Day")</f>
        <v/>
      </c>
      <c r="M12" s="353">
        <f>L12*D12</f>
        <v/>
      </c>
    </row>
    <row r="13" ht="19.5" customHeight="1" s="266" thickBot="1">
      <c r="A13" s="346" t="n"/>
      <c r="B13" s="354" t="inlineStr">
        <is>
          <t>Samu</t>
        </is>
      </c>
      <c r="C13" s="355" t="inlineStr">
        <is>
          <t>Ayudante / Support</t>
        </is>
      </c>
      <c r="D13" s="356" t="n">
        <v>133.33</v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Full Day</t>
        </is>
      </c>
      <c r="K13" s="358" t="inlineStr">
        <is>
          <t>Day Off</t>
        </is>
      </c>
      <c r="L13" s="352">
        <f>COUNTIF(E13:K13,"Full Day")</f>
        <v/>
      </c>
      <c r="M13" s="353">
        <f>L13*D13</f>
        <v/>
      </c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Sous Chef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Waiter 1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Waiter 2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Barista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Cashier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B37" s="222" t="inlineStr">
        <is>
          <t>Cesar — Mesero</t>
        </is>
      </c>
      <c r="C37" s="359" t="n">
        <v>2000</v>
      </c>
      <c r="D37" s="360" t="n">
        <v>8000</v>
      </c>
      <c r="E37" s="361" t="inlineStr">
        <is>
          <t>Confirmed — $2,000/week | $333.33/day | Start 9 Jun 2026</t>
        </is>
      </c>
    </row>
    <row r="38">
      <c r="B38" s="216" t="inlineStr">
        <is>
          <t>Samu — Ayudante</t>
        </is>
      </c>
      <c r="C38" s="362" t="n">
        <v>800</v>
      </c>
      <c r="D38" s="363" t="n">
        <v>3200</v>
      </c>
      <c r="E38" s="364" t="inlineStr">
        <is>
          <t>Confirmed — $800/week | $133.33/day | Start 9 Jun 2026</t>
        </is>
      </c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SUM(B35:B38)</f>
        <v/>
      </c>
      <c r="C41" s="225">
        <f>SUM(C35:C40)</f>
        <v/>
      </c>
      <c r="D41" s="219">
        <f>SUM(D35:D40)</f>
        <v/>
      </c>
    </row>
    <row r="43">
      <c r="A43" s="226" t="inlineStr">
        <is>
          <t>── WITH MESERO / WAITER — ✅ JUDITH HIRED (1 Jun 2026) ──</t>
        </is>
      </c>
      <c r="B43" s="226" t="inlineStr">
        <is>
          <t>── MESERO STATUS — ⏳ 2 NEW STAFF JOINING TUE 9 JUN 2026 ──</t>
        </is>
      </c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Judith — Mesera (✅ ACTIVE from 1 Jun)</t>
        </is>
      </c>
      <c r="B45" s="227" t="inlineStr">
        <is>
          <t>With Cesar + Samu (✅ ACTIVE from 9 Jun)</t>
        </is>
      </c>
      <c r="C45" s="227" t="n">
        <v>14050</v>
      </c>
      <c r="D45" s="227" t="n">
        <v>23750</v>
      </c>
      <c r="E45" s="227" t="n">
        <v>24550</v>
      </c>
      <c r="F45" s="227" t="n">
        <v>4092</v>
      </c>
      <c r="G45" s="227" t="inlineStr">
        <is>
          <t>✅ NOW ACTIVE — current avg $4,011/day vs break-even $3959/day</t>
        </is>
      </c>
      <c r="H45" s="227" t="inlineStr">
        <is>
          <t>✅ Cesar $2,000 + Samu $800 — break-even $4,092/day</t>
        </is>
      </c>
    </row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66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26" t="inlineStr">
        <is>
          <t>TOTALS &amp; CURRENT BALANCE</t>
        </is>
      </c>
      <c r="B72" s="219" t="n"/>
      <c r="C72" s="219" t="n"/>
      <c r="D72" s="256">
        <f>SUM(D63:D71)</f>
        <v/>
      </c>
      <c r="E72" s="257">
        <f>SUM(E63:E71)</f>
        <v/>
      </c>
      <c r="F72" s="258">
        <f>F71</f>
        <v/>
      </c>
      <c r="G72" s="226">
        <f>IF(F71&gt;0,"⏳ Restaurant owes Lohith $"&amp;TEXT(F71,"#,##0"),IF(F71&lt;0,"💵 Lohith holds $"&amp;TEXT(ABS(F71),"#,##0"),"✅ Zero balance"))</f>
        <v/>
      </c>
    </row>
    <row r="74">
      <c r="A74" s="242" t="inlineStr">
        <is>
          <t>HOW TO USE:</t>
        </is>
      </c>
      <c r="B74" s="242" t="n"/>
      <c r="C74" s="242" t="n"/>
      <c r="D74" s="242" t="n"/>
      <c r="E74" s="242" t="n"/>
      <c r="F74" s="242" t="n"/>
      <c r="G74" s="242" t="n"/>
      <c r="H74" s="242" t="n"/>
    </row>
    <row r="75">
      <c r="A75" s="242" t="inlineStr">
        <is>
          <t>Add new rows above TOTALS. Spent by Lohith = restaurant expenses he paid personally.</t>
        </is>
      </c>
      <c r="B75" s="242" t="n"/>
      <c r="C75" s="242" t="n"/>
      <c r="D75" s="242" t="n"/>
      <c r="E75" s="242" t="n"/>
      <c r="F75" s="242" t="n"/>
      <c r="G75" s="242" t="n"/>
      <c r="H75" s="242" t="n"/>
    </row>
    <row r="76">
      <c r="A76" s="242" t="inlineStr">
        <is>
          <t>Transferred to Lohith = customer bank transfers received in his personal account.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Positive balance = restaurant owes Lohith. Negative = Lohith holds restaurant funds.</t>
        </is>
      </c>
      <c r="B77" s="242" t="n"/>
      <c r="C77" s="242" t="n"/>
      <c r="D77" s="242" t="n"/>
      <c r="E77" s="242" t="n"/>
      <c r="F77" s="242" t="n"/>
      <c r="G77" s="242" t="n"/>
      <c r="H77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2026-06-10T19:44:27Z</dcterms:modified>
  <cp:lastModifiedBy>LOHITH REDDY</cp:lastModifiedBy>
</cp:coreProperties>
</file>