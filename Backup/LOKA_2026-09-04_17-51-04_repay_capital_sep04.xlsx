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22478.53</v>
      </c>
      <c r="E147" s="286" t="inlineStr">
        <is>
          <t>Operating costs funded from partner capital, net of repayments. Latest addition 04-Sep-2026 $19,066.68. Still owed by Operations: $22,478.53.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-61892</v>
      </c>
      <c r="E149" t="inlineStr">
        <is>
          <t>Cumulative repaid from operating cash (latest 31-Aug-2026 $10,000.00).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10740.0</v>
      </c>
      <c r="G6" s="31">
        <f>SUMIFS($G$8:$G$5000,$B$8:$B$5000,TODAY())</f>
        <v>0.0</v>
      </c>
      <c r="H6" s="28">
        <f>SUMIFS($H$8:$H$5000,$B$8:$B$5000,TODAY())</f>
        <v>5505.0</v>
      </c>
      <c r="I6" s="32">
        <f>F6-H6</f>
        <v>5235.0</v>
      </c>
      <c r="J6">
        <f>IFERROR(I6/F6,0)</f>
        <v>0.48743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21765.0</v>
      </c>
      <c r="N6" s="33">
        <f>SUMPRODUCT((ISNUMBER($B$8:$B$5000))*($B$8:$B$5000&gt;=TODAY()-MOD(TODAY()-2,7))*($B$8:$B$5000&lt;TODAY()-MOD(TODAY()-2,7)+7)*IF(ISNUMBER($F$8:$F$5000),$F$8:$F$5000,0))</f>
        <v>21765.0</v>
      </c>
      <c r="O6" s="33">
        <f>SUMPRODUCT((ISNUMBER($B$8:$B$5000))*(MONTH($B$8:$B$5000)=MONTH(TODAY()))*(YEAR($B$8:$B$5000)=YEAR(TODAY()))*IF(ISNUMBER($F$8:$F$5000),$F$8:$F$5000,0))</f>
        <v>18010.0</v>
      </c>
      <c r="P6">
        <f>SUMPRODUCT((ISNUMBER($B$8:$B$5000))*($B$8:$B$5000&gt;=TODAY()-MOD(TODAY()-2,7))*($B$8:$B$5000&lt;TODAY()-MOD(TODAY()-2,7)+7)*IF(ISNUMBER($H$8:$H$5000),$H$8:$H$5000,0))</f>
        <v>15408.0</v>
      </c>
      <c r="Q6">
        <f>M6-P6</f>
        <v>6357.0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27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Utilities/Gas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Software/Subscription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Office Supplies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Ingredients - Other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Transfer Received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Received</t>
        </is>
      </c>
      <c r="H81" s="232" t="inlineStr">
        <is>
          <t>Ledger settled from operating cash</t>
        </is>
      </c>
    </row>
    <row r="82">
      <c r="A82" s="430" t="inlineStr">
        <is>
          <t>TOTALS &amp; CURRENT BALANCE</t>
        </is>
      </c>
      <c r="B82" s="232" t="n"/>
      <c r="C82" s="232" t="n"/>
      <c r="D82" s="232">
        <f>SUM(D4:D81)</f>
        <v/>
      </c>
      <c r="E82" s="233">
        <f>SUM(E4:E81)</f>
        <v/>
      </c>
      <c r="F82" s="233">
        <f>F81</f>
        <v/>
      </c>
      <c r="G82" s="232">
        <f>IF(F81&gt;0,"Restaurant owes Lohith $"&amp;TEXT(F81,"#,##0"),IF(F81&lt;0,"Lohith holds $"&amp;TEXT(ABS(F81),"#,##0"),"Zero balance"))</f>
        <v/>
      </c>
      <c r="H82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2026-09-04T18:35:40Z</dcterms:modified>
  <cp:lastModifiedBy>LOHITH REDDY</cp:lastModifiedBy>
</cp:coreProperties>
</file>