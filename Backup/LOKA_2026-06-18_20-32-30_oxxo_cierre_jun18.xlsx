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  <font>
      <b val="1"/>
      <color rgb="00FFFFFF"/>
      <sz val="12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0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  <xf numFmtId="174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4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1" fillId="52" borderId="0" pivotButton="0" quotePrefix="0" xfId="0"/>
    <xf numFmtId="4" fontId="88" fillId="0" borderId="20" pivotButton="0" quotePrefix="0" xfId="0"/>
    <xf numFmtId="4" fontId="90" fillId="53" borderId="2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5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48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17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$118,970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D13-SUM(D14:D22)-D24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− $15,530 electricity offset = $118,970 remaining</t>
        </is>
      </c>
    </row>
    <row r="24" ht="25.95" customHeight="1" s="274">
      <c r="B24" s="212" t="inlineStr">
        <is>
          <t>Electricity Bill (Mar–May CFE) — paid by Lohith for Previous Owners</t>
        </is>
      </c>
      <c r="C24" s="393" t="n">
        <v>46190</v>
      </c>
      <c r="D24" s="214" t="n">
        <v>15530</v>
      </c>
      <c r="E24" s="213" t="inlineStr">
        <is>
          <t>Lohith Reddy</t>
        </is>
      </c>
      <c r="F24" s="213" t="inlineStr">
        <is>
          <t>✅ OFFSET vs balance</t>
        </is>
      </c>
      <c r="G24" s="212" t="inlineStr">
        <is>
          <t>Prev owners’ liability (pre-handover). Deducted from acquisition balance owed to them.</t>
        </is>
      </c>
    </row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394" t="inlineStr">
        <is>
          <t>Alejandra — License Costs</t>
        </is>
      </c>
      <c r="C50" s="393" t="n">
        <v>46190</v>
      </c>
      <c r="D50" s="214" t="n">
        <v>1400</v>
      </c>
      <c r="E50" s="213" t="inlineStr">
        <is>
          <t>Alejandra</t>
        </is>
      </c>
      <c r="F50" s="213" t="inlineStr">
        <is>
          <t>Legal / License</t>
        </is>
      </c>
      <c r="G50" s="212" t="inlineStr">
        <is>
          <t>License costs — paid by Lohith 17 Jun</t>
        </is>
      </c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394" t="inlineStr">
        <is>
          <t>Letrero 3-D Retroiluminado (illuminated sign)</t>
        </is>
      </c>
      <c r="C66" s="395" t="n">
        <v>46190</v>
      </c>
      <c r="D66" s="396" t="n">
        <v>12000</v>
      </c>
      <c r="E66" s="394" t="inlineStr">
        <is>
          <t>POPA Publicidad</t>
        </is>
      </c>
      <c r="F66" s="394" t="inlineStr">
        <is>
          <t>Branding / Signage</t>
        </is>
      </c>
      <c r="G66" s="394" t="inlineStr">
        <is>
          <t>3D backlit sign + "CAFE RESTAURANT &amp; BAR" letters — paid by Shashirekha · Cotización A0626-560</t>
        </is>
      </c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18">
      <c r="B118" s="397" t="inlineStr">
        <is>
          <t xml:space="preserve">  J.  LOHITH — CASH POSITION  (funds managed: own budget + partner transfers)</t>
        </is>
      </c>
    </row>
    <row r="119">
      <c r="B119" s="360" t="inlineStr">
        <is>
          <t>My Total Budget</t>
        </is>
      </c>
      <c r="D119" s="361">
        <f>D6</f>
        <v/>
      </c>
    </row>
    <row r="120">
      <c r="B120" s="360" t="inlineStr">
        <is>
          <t>+ Kashigoud Transferred to Me</t>
        </is>
      </c>
      <c r="D120" s="361">
        <f>D34</f>
        <v/>
      </c>
    </row>
    <row r="121">
      <c r="B121" s="360" t="inlineStr">
        <is>
          <t>+ Shashirekha Transferred to Me</t>
        </is>
      </c>
      <c r="D121" s="361">
        <f>D59</f>
        <v/>
      </c>
    </row>
    <row r="122">
      <c r="B122" s="368">
        <f> Total Funds In</f>
        <v/>
      </c>
      <c r="D122" s="398">
        <f>D119+D120+D121</f>
        <v/>
      </c>
    </row>
    <row r="123">
      <c r="B123" s="360" t="inlineStr">
        <is>
          <t>− Pre-Opening Expenses (excl. $5k advance)</t>
        </is>
      </c>
      <c r="D123" s="361">
        <f>D55-D46</f>
        <v/>
      </c>
    </row>
    <row r="124">
      <c r="B124" s="360" t="inlineStr">
        <is>
          <t>− Paid to Previous Owners (incl. $15,530 electricity)</t>
        </is>
      </c>
      <c r="D124" s="361">
        <f>SUM(D14:D22)+D24</f>
        <v/>
      </c>
    </row>
    <row r="125">
      <c r="B125" s="367">
        <f> REMAINING WITH ME</f>
        <v/>
      </c>
      <c r="D125" s="399">
        <f>D122-D123-D124</f>
        <v/>
      </c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356" t="n">
        <v>46191</v>
      </c>
      <c r="C39" s="47" t="inlineStr">
        <is>
          <t>Thu</t>
        </is>
      </c>
      <c r="D39" s="48" t="n"/>
      <c r="E39" s="49" t="n"/>
      <c r="F39" s="50">
        <f>IFERROR(D39+E39+G39,0)</f>
        <v/>
      </c>
      <c r="G39" s="51" t="n"/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Expenses logged — revenue pending</t>
        </is>
      </c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58335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73970.64999999999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-15635.65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15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3889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29281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28107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947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 (high to low)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Staff - Salary</t>
        </is>
      </c>
      <c r="B16" s="379" t="n">
        <v>10666</v>
      </c>
      <c r="C16" s="380" t="n">
        <v>14956.65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Meat</t>
        </is>
      </c>
      <c r="B17" s="374" t="n">
        <v>5617.49</v>
      </c>
      <c r="C17" s="361" t="n">
        <v>13232.35</v>
      </c>
    </row>
    <row r="18" ht="18" customHeight="1" s="274">
      <c r="A18" s="360" t="inlineStr">
        <is>
          <t>Rent</t>
        </is>
      </c>
      <c r="B18" s="375" t="n">
        <v>0</v>
      </c>
      <c r="C18" s="376" t="n">
        <v>15000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Beverages</t>
        </is>
      </c>
      <c r="B19" s="377" t="n">
        <v>905.23</v>
      </c>
      <c r="C19" s="378" t="n">
        <v>5867.39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Vegetables</t>
        </is>
      </c>
      <c r="B20" s="375" t="n">
        <v>3439.79</v>
      </c>
      <c r="C20" s="376" t="n">
        <v>3208.63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Pantry</t>
        </is>
      </c>
      <c r="B21" s="377" t="n">
        <v>3505.54</v>
      </c>
      <c r="C21" s="378" t="n">
        <v>2729.76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Dairy</t>
        </is>
      </c>
      <c r="B22" s="375" t="n">
        <v>2388.12</v>
      </c>
      <c r="C22" s="376" t="n">
        <v>2732.39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Maintenance</t>
        </is>
      </c>
      <c r="B23" s="381" t="n">
        <v>0</v>
      </c>
      <c r="C23" s="382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Supermarket / General</t>
        </is>
      </c>
      <c r="B24" s="383" t="n">
        <v>698</v>
      </c>
      <c r="C24" s="384" t="n">
        <v>4007.1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Supplies / Other</t>
        </is>
      </c>
      <c r="B25" s="385" t="n">
        <v>628.2</v>
      </c>
      <c r="C25" s="386" t="n">
        <v>3610.65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Bread</t>
        </is>
      </c>
      <c r="B26" s="375" t="n">
        <v>1976.5</v>
      </c>
      <c r="C26" s="376" t="n">
        <v>1024.54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Ingredients - Meat &amp; Fish</t>
        </is>
      </c>
      <c r="B27" s="377" t="n">
        <v>1540.7</v>
      </c>
      <c r="C27" s="378" t="n">
        <v>901.4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Ingredients - Fruit</t>
        </is>
      </c>
      <c r="B28" s="387" t="n">
        <v>794.0599999999999</v>
      </c>
      <c r="C28" s="388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Ingredients - Other</t>
        </is>
      </c>
      <c r="B29" s="379" t="n">
        <v>0</v>
      </c>
      <c r="C29" s="380" t="n">
        <v>608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Advance</t>
        </is>
      </c>
      <c r="B30" s="374" t="n">
        <v>500</v>
      </c>
      <c r="C30" s="361" t="n">
        <v>0</v>
      </c>
    </row>
    <row r="31" ht="18" customHeight="1" s="274">
      <c r="A31" s="360" t="inlineStr">
        <is>
          <t>Ingredients - Desserts</t>
        </is>
      </c>
      <c r="B31" s="389" t="n">
        <v>260</v>
      </c>
      <c r="C31" s="378" t="n">
        <v>0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Ingredients - Produce</t>
        </is>
      </c>
      <c r="B32" s="390" t="n">
        <v>0</v>
      </c>
      <c r="C32" s="391" t="n">
        <v>48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TOTAL EXPENSES</t>
        </is>
      </c>
      <c r="B33" s="392" t="n">
        <v>32919.63</v>
      </c>
      <c r="C33" s="370" t="n">
        <v>73970.64999999999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362" t="inlineStr">
        <is>
          <t>TOTALS &amp; CURRENT BALANCE</t>
        </is>
      </c>
      <c r="B24" s="362" t="n"/>
      <c r="C24" s="362" t="n"/>
      <c r="D24" s="363">
        <f>SUM(D4:D23)</f>
        <v/>
      </c>
      <c r="E24" s="363">
        <f>SUM(E4:E23)</f>
        <v/>
      </c>
      <c r="F24" s="363">
        <f>F23</f>
        <v/>
      </c>
      <c r="G24" s="362">
        <f>IF(F23&gt;0,"Restaurant owes Lohith $"&amp;TEXT(F23,"#,##0"),IF(F23&lt;0,"Lohith holds $"&amp;TEXT(ABS(F23),"#,##0"),"Zero balance"))</f>
        <v/>
      </c>
      <c r="H24" s="362" t="n"/>
    </row>
    <row r="26">
      <c r="A26" s="364" t="inlineStr">
        <is>
          <t>HOW TO USE:</t>
        </is>
      </c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2026-06-18T21:02:36Z</dcterms:modified>
  <cp:lastModifiedBy>LOHITH REDDY</cp:lastModifiedBy>
</cp:coreProperties>
</file>