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5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0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1 Jul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</f>
        <v/>
      </c>
      <c r="D92" s="167">
        <f>C92/C86</f>
        <v/>
      </c>
      <c r="E92" s="140" t="inlineStr">
        <is>
          <t>Advance + Notary + Poliza + Alejandra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REMAINING TRANSFERS DUE TO LOHITH REDDY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($)</t>
        </is>
      </c>
      <c r="E99" s="170" t="inlineStr">
        <is>
          <t>Direct Expenses ($)</t>
        </is>
      </c>
      <c r="F99" s="170" t="inlineStr">
        <is>
          <t>Still Owed to Lohith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 t="inlineStr">
        <is>
          <t>⏳ PENDING</t>
        </is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 t="inlineStr">
        <is>
          <t>⏳ PENDING</t>
        </is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REMAINING WITH ME (budget left WITH Lohith)</t>
        </is>
      </c>
      <c r="D140">
        <f>D136-D137-D138-D139</f>
        <v/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from Daily Log)</t>
        </is>
      </c>
      <c r="C143" s="283">
        <f>SUM('📅 Daily Log'!D8:D5000)+SUM('📅 Daily Log'!E8:E5000)+SUM('📅 Daily Log'!G8:G5000)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MP Commission (auto: card × 4.06%)</t>
        </is>
      </c>
      <c r="C145" s="268">
        <f>SUM('📅 Daily Log'!R8:R5000)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14778.53</v>
      </c>
      <c r="E147" s="286" t="inlineStr">
        <is>
          <t>Operating costs funded from partner capital, net of repayments. Latest addition 04-Sep-2026 $19,066.68. Still owed by Operations: $22,478.53.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-69592</v>
      </c>
      <c r="E149" t="inlineStr">
        <is>
          <t>Cumulative repaid from operating cash (latest 04-Sep-2026 $7,700.00).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Cash still WITH Lohith (Section J)</t>
        </is>
      </c>
      <c r="C162" s="320">
        <f>D140</f>
        <v/>
      </c>
      <c r="E162" t="inlineStr">
        <is>
          <t>Undeployed capital physically in Lohith’s hands</t>
        </is>
      </c>
    </row>
    <row r="163">
      <c r="B163" s="319" t="inlineStr">
        <is>
          <t xml:space="preserve">   Kashigoud still to TRANSFER IN</t>
        </is>
      </c>
      <c r="C163" s="320">
        <f>F100</f>
        <v/>
      </c>
      <c r="E163" t="inlineStr">
        <is>
          <t>Committed $180k not yet fully sent</t>
        </is>
      </c>
    </row>
    <row r="164">
      <c r="B164" s="319" t="inlineStr">
        <is>
          <t xml:space="preserve">   Shashirekha still to TRANSFER IN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With Lohith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319" t="n"/>
      <c r="C168" s="320" t="n"/>
    </row>
    <row r="169">
      <c r="B169" s="319" t="n"/>
      <c r="C169" s="320" t="n"/>
    </row>
    <row r="170">
      <c r="B170" s="319" t="n"/>
      <c r="C170" s="320" t="n"/>
    </row>
    <row r="171">
      <c r="B171" s="317" t="n"/>
      <c r="C171" s="318" t="n"/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</f>
        <v>2325.0</v>
      </c>
      <c r="G6" s="31">
        <f>SUMIFS($G$8:$G$5000,$B$8:$B$5000,TODAY())</f>
        <v>0.0</v>
      </c>
      <c r="H6" s="28">
        <f>SUMIFS($H$8:$H$5000,$B$8:$B$5000,TODAY())</f>
        <v>1979.0</v>
      </c>
      <c r="I6" s="32">
        <f>F6-H6</f>
        <v>346.0</v>
      </c>
      <c r="J6">
        <f>IFERROR(I6/F6,0)</f>
        <v>0.148817</v>
      </c>
      <c r="K6" s="28" t="n"/>
      <c r="L6" s="31" t="n"/>
      <c r="M6" s="28">
        <f>SUMPRODUCT((ISNUMBER($B$8:$B$5000))*($B$8:$B$5000&gt;=TODAY()-MOD(TODAY()-2,7))*($B$8:$B$5000&lt;TODAY()-MOD(TODAY()-2,7)+7)*IF(ISNUMBER($F$8:$F$5000),$F$8:$F$5000,0))</f>
        <v>26526.0</v>
      </c>
      <c r="N6" s="33">
        <f>SUMPRODUCT((ISNUMBER($B$8:$B$5000))*($B$8:$B$5000&gt;=TODAY()-MOD(TODAY()-2,7))*($B$8:$B$5000&lt;TODAY()-MOD(TODAY()-2,7)+7)*IF(ISNUMBER($F$8:$F$5000),$F$8:$F$5000,0))</f>
        <v>26526.0</v>
      </c>
      <c r="O6" s="33">
        <f>SUMPRODUCT((ISNUMBER($B$8:$B$5000))*(MONTH($B$8:$B$5000)=MONTH(TODAY()))*(YEAR($B$8:$B$5000)=YEAR(TODAY()))*IF(ISNUMBER($F$8:$F$5000),$F$8:$F$5000,0))</f>
        <v>71620.0</v>
      </c>
      <c r="P6">
        <f>SUMPRODUCT((ISNUMBER($B$8:$B$5000))*($B$8:$B$5000&gt;=TODAY()-MOD(TODAY()-2,7))*($B$8:$B$5000&lt;TODAY()-MOD(TODAY()-2,7)+7)*IF(ISNUMBER($H$8:$H$5000),$H$8:$H$5000,0))</f>
        <v>5433.0</v>
      </c>
      <c r="Q6">
        <f>M6-P6</f>
        <v>21093.0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42" t="n"/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19881.68</v>
      </c>
      <c r="I108" s="274">
        <f>IFERROR(F108-H108,0)</f>
        <v>-15042.68</v>
      </c>
      <c r="J108" s="275">
        <f>IFERROR(I108/F108,0)</f>
        <v>-3.108634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34" t="n"/>
      <c r="C119" s="47" t="n"/>
      <c r="D119" s="48" t="n"/>
      <c r="E119" s="49" t="n"/>
      <c r="F119" s="50" t="n"/>
      <c r="G119" s="51" t="n"/>
      <c r="H119" s="52" t="n"/>
      <c r="I119" s="53" t="n"/>
      <c r="J119" s="54" t="n"/>
      <c r="K119" s="55" t="n"/>
      <c r="L119" s="18" t="n"/>
      <c r="M119" s="21" t="n"/>
      <c r="N119" s="56" t="n"/>
      <c r="O119" s="57" t="n"/>
      <c r="P119" s="58" t="n"/>
      <c r="Q119" s="56" t="n"/>
      <c r="R119" s="56" t="n"/>
      <c r="S119" s="56" t="n"/>
      <c r="T119" s="56" t="n"/>
      <c r="U119" s="56" t="n"/>
      <c r="V119" s="56" t="n"/>
      <c r="W119" s="56" t="n"/>
      <c r="X119" s="56" t="n"/>
      <c r="Y119" s="56" t="n"/>
      <c r="Z119" s="56" t="n"/>
      <c r="AA119" s="56" t="n"/>
      <c r="AB119" s="56" t="n"/>
    </row>
    <row r="120" ht="16.5" customHeight="1" s="331">
      <c r="B120" s="34" t="n"/>
      <c r="C120" s="35" t="n"/>
      <c r="D120" s="36" t="n"/>
      <c r="E120" s="37" t="n"/>
      <c r="F120" s="38" t="n"/>
      <c r="G120" s="39" t="n"/>
      <c r="H120" s="40" t="n"/>
      <c r="I120" s="41" t="n"/>
      <c r="J120" s="42" t="n"/>
      <c r="K120" s="43" t="n"/>
      <c r="L120" s="9" t="n"/>
      <c r="M120" s="12" t="n"/>
      <c r="N120" s="44" t="n"/>
      <c r="O120" s="45" t="n"/>
      <c r="P120" s="46" t="n"/>
      <c r="Q120" s="44" t="n"/>
      <c r="R120" s="44" t="n"/>
      <c r="S120" s="44" t="n"/>
      <c r="T120" s="44" t="n"/>
      <c r="U120" s="44" t="n"/>
      <c r="V120" s="44" t="n"/>
      <c r="W120" s="44" t="n"/>
      <c r="X120" s="44" t="n"/>
      <c r="Y120" s="44" t="n"/>
      <c r="Z120" s="44" t="n"/>
      <c r="AA120" s="44" t="n"/>
      <c r="AB120" s="44" t="n"/>
    </row>
    <row r="121" ht="16.5" customHeight="1" s="331">
      <c r="B121" s="34" t="n"/>
      <c r="C121" s="47" t="n"/>
      <c r="D121" s="48" t="n"/>
      <c r="E121" s="49" t="n"/>
      <c r="F121" s="50" t="n"/>
      <c r="G121" s="51" t="n"/>
      <c r="H121" s="52" t="n"/>
      <c r="I121" s="53" t="n"/>
      <c r="J121" s="54" t="n"/>
      <c r="K121" s="55" t="n"/>
      <c r="L121" s="18" t="n"/>
      <c r="M121" s="21" t="n"/>
      <c r="N121" s="56" t="n"/>
      <c r="O121" s="57" t="n"/>
      <c r="P121" s="58" t="n"/>
      <c r="Q121" s="56" t="n"/>
      <c r="R121" s="56" t="n"/>
      <c r="S121" s="56" t="n"/>
      <c r="T121" s="56" t="n"/>
      <c r="U121" s="56" t="n"/>
      <c r="V121" s="56" t="n"/>
      <c r="W121" s="56" t="n"/>
      <c r="X121" s="56" t="n"/>
      <c r="Y121" s="56" t="n"/>
      <c r="Z121" s="56" t="n"/>
      <c r="AA121" s="56" t="n"/>
      <c r="AB121" s="56" t="n"/>
    </row>
    <row r="122" ht="16.5" customHeight="1" s="331">
      <c r="B122" s="34" t="n"/>
      <c r="C122" s="35" t="n"/>
      <c r="D122" s="36" t="n"/>
      <c r="E122" s="37" t="n"/>
      <c r="F122" s="38" t="n"/>
      <c r="G122" s="39" t="n"/>
      <c r="H122" s="40" t="n"/>
      <c r="I122" s="41" t="n"/>
      <c r="J122" s="42" t="n"/>
      <c r="K122" s="43" t="n"/>
      <c r="L122" s="9" t="n"/>
      <c r="M122" s="12" t="n"/>
      <c r="N122" s="44" t="n"/>
      <c r="O122" s="45" t="n"/>
      <c r="P122" s="46" t="n"/>
      <c r="Q122" s="44" t="n"/>
      <c r="R122" s="44" t="n"/>
      <c r="S122" s="44" t="n"/>
      <c r="T122" s="44" t="n"/>
      <c r="U122" s="44" t="n"/>
      <c r="V122" s="44" t="n"/>
      <c r="W122" s="44" t="n"/>
      <c r="X122" s="44" t="n"/>
      <c r="Y122" s="44" t="n"/>
      <c r="Z122" s="44" t="n"/>
      <c r="AA122" s="44" t="n"/>
      <c r="AB122" s="44" t="n"/>
    </row>
    <row r="123" ht="16.5" customHeight="1" s="331">
      <c r="B123" s="34" t="n"/>
      <c r="C123" s="47" t="n"/>
      <c r="D123" s="48" t="n"/>
      <c r="E123" s="49" t="n"/>
      <c r="F123" s="50" t="n"/>
      <c r="G123" s="51" t="n"/>
      <c r="H123" s="52" t="n"/>
      <c r="I123" s="53" t="n"/>
      <c r="J123" s="54" t="n"/>
      <c r="K123" s="55" t="n"/>
      <c r="L123" s="18" t="n"/>
      <c r="M123" s="21" t="n"/>
      <c r="N123" s="56" t="n"/>
      <c r="O123" s="57" t="n"/>
      <c r="P123" s="58" t="n"/>
      <c r="Q123" s="56" t="n"/>
      <c r="R123" s="56" t="n"/>
      <c r="S123" s="56" t="n"/>
      <c r="T123" s="56" t="n"/>
      <c r="U123" s="56" t="n"/>
      <c r="V123" s="56" t="n"/>
      <c r="W123" s="56" t="n"/>
      <c r="X123" s="56" t="n"/>
      <c r="Y123" s="56" t="n"/>
      <c r="Z123" s="56" t="n"/>
      <c r="AA123" s="56" t="n"/>
      <c r="AB123" s="56" t="n"/>
    </row>
    <row r="124" ht="16.5" customHeight="1" s="331">
      <c r="B124" s="34" t="n"/>
      <c r="C124" s="35" t="n"/>
      <c r="D124" s="36" t="n"/>
      <c r="E124" s="37" t="n"/>
      <c r="F124" s="38" t="n"/>
      <c r="G124" s="39" t="n"/>
      <c r="H124" s="40" t="n"/>
      <c r="I124" s="41" t="n"/>
      <c r="J124" s="42" t="n"/>
      <c r="K124" s="43" t="n"/>
      <c r="L124" s="9" t="n"/>
      <c r="M124" s="12" t="n"/>
      <c r="N124" s="44" t="n"/>
      <c r="O124" s="45" t="n"/>
      <c r="P124" s="46" t="n"/>
      <c r="Q124" s="44" t="n"/>
      <c r="R124" s="44" t="n"/>
      <c r="S124" s="44" t="n"/>
      <c r="T124" s="44" t="n"/>
      <c r="U124" s="44" t="n"/>
      <c r="V124" s="44" t="n"/>
      <c r="W124" s="44" t="n"/>
      <c r="X124" s="44" t="n"/>
      <c r="Y124" s="44" t="n"/>
      <c r="Z124" s="44" t="n"/>
      <c r="AA124" s="44" t="n"/>
      <c r="AB124" s="44" t="n"/>
    </row>
    <row r="125" ht="16.5" customHeight="1" s="331">
      <c r="B125" s="34" t="n"/>
      <c r="C125" s="47" t="n"/>
      <c r="D125" s="48" t="n"/>
      <c r="E125" s="49" t="n"/>
      <c r="F125" s="50" t="n"/>
      <c r="G125" s="51" t="n"/>
      <c r="H125" s="52" t="n"/>
      <c r="I125" s="53" t="n"/>
      <c r="J125" s="54" t="n"/>
      <c r="K125" s="55" t="n"/>
      <c r="L125" s="18" t="n"/>
      <c r="M125" s="21" t="n"/>
      <c r="N125" s="56" t="n"/>
      <c r="O125" s="57" t="n"/>
      <c r="P125" s="58" t="n"/>
      <c r="Q125" s="56" t="n"/>
      <c r="R125" s="56" t="n"/>
      <c r="S125" s="56" t="n"/>
      <c r="T125" s="56" t="n"/>
      <c r="U125" s="56" t="n"/>
      <c r="V125" s="56" t="n"/>
      <c r="W125" s="56" t="n"/>
      <c r="X125" s="56" t="n"/>
      <c r="Y125" s="56" t="n"/>
      <c r="Z125" s="56" t="n"/>
      <c r="AA125" s="56" t="n"/>
      <c r="AB125" s="56" t="n"/>
    </row>
    <row r="126" ht="16.5" customHeight="1" s="331">
      <c r="B126" s="34" t="n"/>
      <c r="C126" s="35" t="n"/>
      <c r="D126" s="36" t="n"/>
      <c r="E126" s="37" t="n"/>
      <c r="F126" s="38" t="n"/>
      <c r="G126" s="39" t="n"/>
      <c r="H126" s="40" t="n"/>
      <c r="I126" s="41" t="n"/>
      <c r="J126" s="42" t="n"/>
      <c r="K126" s="43" t="n"/>
      <c r="L126" s="9" t="n"/>
      <c r="M126" s="12" t="n"/>
      <c r="N126" s="44" t="n"/>
      <c r="O126" s="45" t="n"/>
      <c r="P126" s="46" t="n"/>
      <c r="Q126" s="44" t="n"/>
      <c r="R126" s="44" t="n"/>
      <c r="S126" s="44" t="n"/>
      <c r="T126" s="44" t="n"/>
      <c r="U126" s="44" t="n"/>
      <c r="V126" s="44" t="n"/>
      <c r="W126" s="44" t="n"/>
      <c r="X126" s="44" t="n"/>
      <c r="Y126" s="44" t="n"/>
      <c r="Z126" s="44" t="n"/>
      <c r="AA126" s="44" t="n"/>
      <c r="AB126" s="44" t="n"/>
    </row>
    <row r="127" ht="16.5" customHeight="1" s="331">
      <c r="B127" s="34" t="n"/>
      <c r="C127" s="47" t="n"/>
      <c r="D127" s="48" t="n"/>
      <c r="E127" s="49" t="n"/>
      <c r="F127" s="50" t="n"/>
      <c r="G127" s="51" t="n"/>
      <c r="H127" s="52" t="n"/>
      <c r="I127" s="53" t="n"/>
      <c r="J127" s="54" t="n"/>
      <c r="K127" s="55" t="n"/>
      <c r="L127" s="18" t="n"/>
      <c r="M127" s="21" t="n"/>
      <c r="N127" s="56" t="n"/>
      <c r="O127" s="57" t="n"/>
      <c r="P127" s="58" t="n"/>
      <c r="Q127" s="56" t="n"/>
      <c r="R127" s="56" t="n"/>
      <c r="S127" s="56" t="n"/>
      <c r="T127" s="56" t="n"/>
      <c r="U127" s="56" t="n"/>
      <c r="V127" s="56" t="n"/>
      <c r="W127" s="56" t="n"/>
      <c r="X127" s="56" t="n"/>
      <c r="Y127" s="56" t="n"/>
      <c r="Z127" s="56" t="n"/>
      <c r="AA127" s="56" t="n"/>
      <c r="AB127" s="56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781"/>
  <sheetViews>
    <sheetView showGridLines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Aramando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Utilities/Electricity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1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250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370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1500</v>
      </c>
      <c r="C36" s="201" t="n">
        <v>6000</v>
      </c>
      <c r="D36" s="199" t="inlineStr">
        <is>
          <t>Confirmed weekly rate</t>
        </is>
      </c>
    </row>
    <row r="37">
      <c r="A37" t="inlineStr">
        <is>
          <t>Armando — Ayudante Salary</t>
        </is>
      </c>
      <c r="B37" s="199" t="n">
        <v>1850</v>
      </c>
      <c r="C37" s="220" t="n">
        <v>7400</v>
      </c>
      <c r="D37" s="221" t="inlineStr">
        <is>
          <t>$370/day · 5 days Mon–Fri · Sat not available · started 13 Aug 2026 (first payment $740 = 2 days on 14 Aug). Replaces Samu.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+ Maintenance (actual — $20,000/mo)</t>
        </is>
      </c>
      <c r="B39" s="197" t="n">
        <v>5000</v>
      </c>
      <c r="C39" s="198" t="n">
        <v>20000</v>
      </c>
      <c r="D39" s="193" t="inlineStr">
        <is>
          <t>Confirmed — $20,000/month actual</t>
        </is>
      </c>
    </row>
    <row r="40">
      <c r="A40" s="199" t="inlineStr">
        <is>
          <t>Utilities — Electricity + Gas (estimated)</t>
        </is>
      </c>
      <c r="B40" s="200" t="n">
        <v>1000</v>
      </c>
      <c r="C40" s="201" t="n">
        <v>4000</v>
      </c>
      <c r="D40" s="199" t="inlineStr">
        <is>
          <t>⏳ Approx — bills pending · electricity + gas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Debi + Armando</t>
        </is>
      </c>
      <c r="B45" s="204" t="n">
        <v>12050</v>
      </c>
      <c r="C45" s="204" t="n">
        <v>23750</v>
      </c>
      <c r="D45" s="204" t="n">
        <v>24550</v>
      </c>
      <c r="E45" s="204" t="n">
        <v>3758</v>
      </c>
      <c r="F45" s="204" t="inlineStr">
        <is>
          <t>Samu left Aug 2026 — replaced by Armando ($1,850/wk vs $1,200/wk)</t>
        </is>
      </c>
      <c r="G45" s="204" t="inlineStr">
        <is>
          <t>Break-even ≈ $3,758/day (fixed $12,050 + variable $10,500, ÷6 days)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Without Mesero (NOW)</t>
        </is>
      </c>
      <c r="B49" s="205" t="n">
        <v>11250</v>
      </c>
      <c r="C49" s="206" t="n">
        <v>10500</v>
      </c>
      <c r="D49" s="207" t="n">
        <v>21750</v>
      </c>
      <c r="E49" s="208" t="n">
        <v>3625</v>
      </c>
      <c r="F49" s="204" t="n">
        <v>4011</v>
      </c>
      <c r="G49" s="204" t="inlineStr">
        <is>
          <t>✅ Above break-even — revised down from $3,792 → $3,625/day</t>
        </is>
      </c>
      <c r="H49" t="inlineStr">
        <is>
          <t>✅ Current scenario — no mesero (Judith resigned 7 Jun)</t>
        </is>
      </c>
    </row>
    <row r="50">
      <c r="A50" s="209" t="inlineStr">
        <is>
          <t>With Mesero (~$2,250)</t>
        </is>
      </c>
      <c r="B50" s="210" t="n">
        <v>13500</v>
      </c>
      <c r="C50" s="211" t="n">
        <v>10500</v>
      </c>
      <c r="D50" s="212" t="n">
        <v>24000</v>
      </c>
      <c r="E50" s="213" t="n">
        <v>4000</v>
      </c>
      <c r="F50" s="209" t="n">
        <v>4011</v>
      </c>
      <c r="G50" s="209" t="inlineStr">
        <is>
          <t>⚠️ Still below — need +$-11/day when mesero hired</t>
        </is>
      </c>
      <c r="H50" t="inlineStr">
        <is>
          <t>⏳ Will update when 2 new staff details confirmed (9 Jun)</t>
        </is>
      </c>
    </row>
    <row r="51">
      <c r="A51" s="214" t="inlineStr">
        <is>
          <t>Safety buffer (+15%)</t>
        </is>
      </c>
      <c r="B51" s="215" t="n">
        <v>11250</v>
      </c>
      <c r="C51" s="216" t="n">
        <v>10500</v>
      </c>
      <c r="D51" s="217" t="n">
        <v>25012</v>
      </c>
      <c r="E51" s="218" t="n">
        <v>4169</v>
      </c>
      <c r="F51" s="214" t="n">
        <v>4011</v>
      </c>
      <c r="G51" s="214" t="inlineStr">
        <is>
          <t>Target for healthy buffer: $4,169/day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avg ingredients + supplies per week based on Weeks 1-2 actual data (~$10,500)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Break-even revised: Rent+Maintenance confirmed $20,000/mo · Utilities est. $4,000/mo → Total overhead $24,000/mo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Min daily (no mesero): $3,625 · With mesero: $4,000 · Comfortable target: $4,169+/day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Utilities (electricity+gas) ~$4,000/mo is ESTIMATED — update when bills arrive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</t>
        </is>
      </c>
      <c r="B11" s="437">
        <f>SUMIFS('📅 Daily Log'!$D$8:$D$5000,'📅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Ingredients - Pantry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Beverages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Dairy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Bread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Utilities/Electricity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Ingredients - Meat &amp; Fish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Supplies/Other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Maintenance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Utilities/Gas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Kitchen Supplies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Ingredients - Fruit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Utilities/Internet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Office Supplies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Ingredients - Other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Software/Subscription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Staff - Advance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Ingredients - Eggs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Ingredients - Desserts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Staff - Propinas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6" t="inlineStr">
        <is>
          <t>TOTAL EXPENSES</t>
        </is>
      </c>
      <c r="B42" s="438">
        <f>SUMIFS('💸 Expenses'!$F$8:$F$5000,'💸 Expenses'!$B$8:$B$5000,"&gt;="&amp;DATE(2026,5,1),'💸 Expenses'!$B$8:$B$5000,"&lt;"&amp;DATE(2026,6,1))</f>
        <v/>
      </c>
      <c r="C42" s="438">
        <f>SUMIFS('💸 Expenses'!$F$8:$F$5000,'💸 Expenses'!$B$8:$B$5000,"&gt;="&amp;DATE(2026,6,1),'💸 Expenses'!$B$8:$B$5000,"&lt;"&amp;DATE(2026,7,1))</f>
        <v/>
      </c>
      <c r="D42" s="438">
        <f>SUMIFS('💸 Expenses'!$F$8:$F$5000,'💸 Expenses'!$B$8:$B$5000,"&gt;="&amp;DATE(2026,7,1),'💸 Expenses'!$B$8:$B$5000,"&lt;"&amp;DATE(2026,8,1))</f>
        <v/>
      </c>
      <c r="E42" s="438">
        <f>SUMIFS('💸 Expenses'!$F$8:$F$5000,'💸 Expenses'!$B$8:$B$5000,"&gt;="&amp;DATE(2026,8,1),'💸 Expenses'!$B$8:$B$5000,"&lt;"&amp;DATE(2026,9,1))</f>
        <v/>
      </c>
      <c r="F42" s="438">
        <f>SUMIFS('💸 Expenses'!$F$8:$F$5000,'💸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6" t="inlineStr">
        <is>
          <t>NET PROFIT / LOSS</t>
        </is>
      </c>
      <c r="B43" s="438">
        <f>B4-B42</f>
        <v/>
      </c>
      <c r="C43" s="438">
        <f>C4-C42</f>
        <v/>
      </c>
      <c r="D43" s="438">
        <f>D4-D42</f>
        <v/>
      </c>
      <c r="E43" s="438">
        <f>E4-E42</f>
        <v/>
      </c>
      <c r="F43" s="438">
        <f>F4-F42</f>
        <v/>
      </c>
      <c r="G43" s="433" t="n"/>
      <c r="H43" s="433" t="n"/>
      <c r="I43" s="433" t="n"/>
      <c r="J43" s="433" t="n"/>
      <c r="K43" s="433" t="n"/>
      <c r="L43" s="433" t="n"/>
    </row>
    <row r="44">
      <c r="A44" s="433" t="n"/>
      <c r="B44" s="433" t="n"/>
      <c r="C44" s="433" t="n"/>
      <c r="D44" s="433" t="n"/>
      <c r="E44" s="433" t="n"/>
      <c r="F44" s="433" t="n"/>
      <c r="G44" s="433" t="n"/>
      <c r="H44" s="433" t="n"/>
      <c r="I44" s="433" t="n"/>
      <c r="J44" s="433" t="n"/>
      <c r="K44" s="433" t="n"/>
      <c r="L44" s="433" t="n"/>
    </row>
    <row r="45">
      <c r="A45" s="433" t="n"/>
      <c r="B45" s="433" t="n"/>
      <c r="C45" s="433" t="n"/>
      <c r="D45" s="433" t="n"/>
      <c r="E45" s="433" t="n"/>
      <c r="F45" s="433" t="n"/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3"/>
  <sheetViews>
    <sheetView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Transfer Received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Received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Transfer Received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Received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inlineStr">
        <is>
          <t>TOTALS &amp; CURRENT BALANCE</t>
        </is>
      </c>
      <c r="B93" s="232" t="n"/>
      <c r="C93" s="232" t="n"/>
      <c r="D93" s="232">
        <f>SUM(D4:D92)</f>
        <v/>
      </c>
      <c r="E93" s="233">
        <f>SUM(E4:E92)</f>
        <v/>
      </c>
      <c r="F93" s="233">
        <f>F92</f>
        <v/>
      </c>
      <c r="G93" s="232">
        <f>IF(F92&gt;0,"Restaurant owes Lohith $"&amp;TEXT(F92,"#,##0"),IF(F92&lt;0,"Lohith holds $"&amp;TEXT(ABS(F92),"#,##0"),"Zero balance"))</f>
        <v/>
      </c>
      <c r="H93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2026-09-19T01:10:50Z</dcterms:modified>
  <cp:lastModifiedBy>LOHITH REDDY</cp:lastModifiedBy>
</cp:coreProperties>
</file>