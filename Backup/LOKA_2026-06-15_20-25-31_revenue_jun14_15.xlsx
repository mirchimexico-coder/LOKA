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yyyy-mm-dd"/>
  </numFmts>
  <fonts count="86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</fonts>
  <fills count="52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FFCDD2"/>
      </patternFill>
    </fill>
  </fills>
  <borders count="19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</borders>
  <cellStyleXfs count="1">
    <xf numFmtId="0" fontId="0" fillId="0" borderId="0"/>
  </cellStyleXfs>
  <cellXfs count="353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59" fillId="13" borderId="9" applyAlignment="1" pivotButton="0" quotePrefix="0" xfId="0">
      <alignment horizontal="right" vertical="center"/>
    </xf>
    <xf numFmtId="0" fontId="49" fillId="19" borderId="13" applyAlignment="1" pivotButton="0" quotePrefix="0" xfId="0">
      <alignment horizontal="center" vertical="center"/>
    </xf>
    <xf numFmtId="0" fontId="67" fillId="20" borderId="9" applyAlignment="1" pivotButton="0" quotePrefix="0" xfId="0">
      <alignment horizontal="left" vertical="center"/>
    </xf>
    <xf numFmtId="0" fontId="42" fillId="20" borderId="9" applyAlignment="1" pivotButton="0" quotePrefix="0" xfId="0">
      <alignment horizontal="left" vertical="center"/>
    </xf>
    <xf numFmtId="166" fontId="42" fillId="20" borderId="9" applyAlignment="1" pivotButton="0" quotePrefix="0" xfId="0">
      <alignment horizontal="center" vertical="center"/>
    </xf>
    <xf numFmtId="0" fontId="42" fillId="19" borderId="9" applyAlignment="1" pivotButton="0" quotePrefix="0" xfId="0">
      <alignment horizontal="left" vertical="center"/>
    </xf>
    <xf numFmtId="166" fontId="42" fillId="19" borderId="9" applyAlignment="1" pivotButton="0" quotePrefix="0" xfId="0">
      <alignment horizontal="center" vertical="center"/>
    </xf>
    <xf numFmtId="0" fontId="72" fillId="17" borderId="9" applyAlignment="1" pivotButton="0" quotePrefix="0" xfId="0">
      <alignment horizontal="left" vertical="center"/>
    </xf>
    <xf numFmtId="0" fontId="64" fillId="14" borderId="9" applyAlignment="1" pivotButton="0" quotePrefix="0" xfId="0">
      <alignment horizontal="left" vertical="center"/>
    </xf>
    <xf numFmtId="0" fontId="43" fillId="18" borderId="9" applyAlignment="1" pivotButton="0" quotePrefix="0" xfId="0">
      <alignment horizontal="left" vertical="center"/>
    </xf>
    <xf numFmtId="168" fontId="67" fillId="18" borderId="9" applyAlignment="1" pivotButton="0" quotePrefix="0" xfId="0">
      <alignment horizontal="center" vertical="center"/>
    </xf>
    <xf numFmtId="0" fontId="40" fillId="16" borderId="9" applyAlignment="1" pivotButton="0" quotePrefix="0" xfId="0">
      <alignment horizontal="left" vertical="center"/>
    </xf>
    <xf numFmtId="166" fontId="51" fillId="16" borderId="9" applyAlignment="1" pivotButton="0" quotePrefix="0" xfId="0">
      <alignment horizontal="center" vertical="center"/>
    </xf>
    <xf numFmtId="0" fontId="51" fillId="16" borderId="9" applyAlignment="1" pivotButton="0" quotePrefix="0" xfId="0">
      <alignment horizontal="left" vertical="center"/>
    </xf>
    <xf numFmtId="168" fontId="37" fillId="16" borderId="9" applyAlignment="1" pivotButton="0" quotePrefix="0" xfId="0">
      <alignment horizontal="center" vertical="center"/>
    </xf>
    <xf numFmtId="167" fontId="62" fillId="19" borderId="9" applyAlignment="1" pivotButton="0" quotePrefix="0" xfId="0">
      <alignment horizontal="center" vertical="center"/>
    </xf>
    <xf numFmtId="166" fontId="62" fillId="20" borderId="9" applyAlignment="1" pivotButton="0" quotePrefix="0" xfId="0">
      <alignment horizontal="center" vertical="center"/>
    </xf>
    <xf numFmtId="166" fontId="37" fillId="17" borderId="9" applyAlignment="1" pivotButton="0" quotePrefix="0" xfId="0">
      <alignment horizontal="center" vertical="center"/>
    </xf>
    <xf numFmtId="166" fontId="37" fillId="14" borderId="9" applyAlignment="1" pivotButton="0" quotePrefix="0" xfId="0">
      <alignment horizontal="center" vertical="center"/>
    </xf>
    <xf numFmtId="0" fontId="40" fillId="20" borderId="9" applyAlignment="1" pivotButton="0" quotePrefix="0" xfId="0">
      <alignment horizontal="left" vertical="center"/>
    </xf>
    <xf numFmtId="0" fontId="67" fillId="19" borderId="9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3" fillId="39" borderId="1" applyAlignment="1" pivotButton="0" quotePrefix="0" xfId="0">
      <alignment horizontal="left" vertical="center"/>
    </xf>
    <xf numFmtId="0" fontId="73" fillId="39" borderId="0" pivotButton="0" quotePrefix="0" xfId="0"/>
    <xf numFmtId="0" fontId="73" fillId="42" borderId="1" applyAlignment="1" pivotButton="0" quotePrefix="0" xfId="0">
      <alignment horizontal="left" vertical="center"/>
    </xf>
    <xf numFmtId="0" fontId="73" fillId="42" borderId="0" pivotButton="0" quotePrefix="0" xfId="0"/>
    <xf numFmtId="0" fontId="73" fillId="42" borderId="12" pivotButton="0" quotePrefix="0" xfId="0"/>
    <xf numFmtId="0" fontId="76" fillId="44" borderId="0" applyAlignment="1" pivotButton="0" quotePrefix="0" xfId="0">
      <alignment horizontal="left" vertical="center"/>
    </xf>
    <xf numFmtId="0" fontId="76" fillId="44" borderId="0" pivotButton="0" quotePrefix="0" xfId="0"/>
    <xf numFmtId="0" fontId="75" fillId="43" borderId="1" applyAlignment="1" pivotButton="0" quotePrefix="0" xfId="0">
      <alignment horizontal="center" vertical="center"/>
    </xf>
    <xf numFmtId="164" fontId="74" fillId="39" borderId="1" applyAlignment="1" pivotButton="0" quotePrefix="0" xfId="0">
      <alignment horizontal="left" vertical="center"/>
    </xf>
    <xf numFmtId="0" fontId="75" fillId="43" borderId="1" applyAlignment="1" pivotButton="0" quotePrefix="0" xfId="0">
      <alignment horizontal="left" vertical="center"/>
    </xf>
    <xf numFmtId="0" fontId="73" fillId="40" borderId="1" applyAlignment="1" pivotButton="0" quotePrefix="0" xfId="0">
      <alignment horizontal="left" vertical="center"/>
    </xf>
    <xf numFmtId="0" fontId="73" fillId="40" borderId="0" pivotButton="0" quotePrefix="0" xfId="0"/>
    <xf numFmtId="0" fontId="73" fillId="41" borderId="1" applyAlignment="1" pivotButton="0" quotePrefix="0" xfId="0">
      <alignment horizontal="left" vertical="center"/>
    </xf>
    <xf numFmtId="0" fontId="75" fillId="45" borderId="0" applyAlignment="1" pivotButton="0" quotePrefix="0" xfId="0">
      <alignment horizontal="left" vertical="center"/>
    </xf>
    <xf numFmtId="0" fontId="75" fillId="45" borderId="0" pivotButton="0" quotePrefix="0" xfId="0"/>
    <xf numFmtId="0" fontId="75" fillId="43" borderId="12" pivotButton="0" quotePrefix="0" xfId="0"/>
    <xf numFmtId="0" fontId="75" fillId="43" borderId="0" pivotButton="0" quotePrefix="0" xfId="0"/>
    <xf numFmtId="164" fontId="75" fillId="43" borderId="1" applyAlignment="1" pivotButton="0" quotePrefix="0" xfId="0">
      <alignment horizontal="left" vertical="center"/>
    </xf>
    <xf numFmtId="164" fontId="74" fillId="40" borderId="1" applyAlignment="1" pivotButton="0" quotePrefix="0" xfId="0">
      <alignment horizontal="left" vertical="center"/>
    </xf>
    <xf numFmtId="164" fontId="74" fillId="40" borderId="0" applyAlignment="1" pivotButton="0" quotePrefix="0" xfId="0">
      <alignment horizontal="left" vertical="center"/>
    </xf>
    <xf numFmtId="164" fontId="74" fillId="41" borderId="1" applyAlignment="1" pivotButton="0" quotePrefix="0" xfId="0">
      <alignment horizontal="left" vertical="center"/>
    </xf>
    <xf numFmtId="164" fontId="74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4" fillId="39" borderId="0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4" fillId="42" borderId="0" applyAlignment="1" pivotButton="0" quotePrefix="0" xfId="0">
      <alignment horizontal="left" vertical="center"/>
    </xf>
    <xf numFmtId="164" fontId="74" fillId="42" borderId="12" applyAlignment="1" pivotButton="0" quotePrefix="0" xfId="0">
      <alignment horizontal="left" vertical="center"/>
    </xf>
    <xf numFmtId="164" fontId="75" fillId="43" borderId="12" applyAlignment="1" pivotButton="0" quotePrefix="0" xfId="0">
      <alignment horizontal="left" vertical="center"/>
    </xf>
    <xf numFmtId="170" fontId="74" fillId="39" borderId="1" applyAlignment="1" pivotButton="0" quotePrefix="0" xfId="0">
      <alignment horizontal="left" vertical="center"/>
    </xf>
    <xf numFmtId="170" fontId="74" fillId="42" borderId="1" applyAlignment="1" pivotButton="0" quotePrefix="0" xfId="0">
      <alignment horizontal="left" vertical="center"/>
    </xf>
    <xf numFmtId="170" fontId="74" fillId="41" borderId="1" applyAlignment="1" pivotButton="0" quotePrefix="0" xfId="0">
      <alignment horizontal="left" vertical="center"/>
    </xf>
    <xf numFmtId="170" fontId="75" fillId="43" borderId="1" applyAlignment="1" pivotButton="0" quotePrefix="0" xfId="0">
      <alignment horizontal="left" vertical="center"/>
    </xf>
    <xf numFmtId="0" fontId="75" fillId="43" borderId="0" applyAlignment="1" pivotButton="0" quotePrefix="0" xfId="0">
      <alignment horizontal="left" vertical="center"/>
    </xf>
    <xf numFmtId="164" fontId="75" fillId="43" borderId="0" applyAlignment="1" pivotButton="0" quotePrefix="0" xfId="0">
      <alignment horizontal="left" vertical="center"/>
    </xf>
    <xf numFmtId="0" fontId="73" fillId="40" borderId="0" applyAlignment="1" pivotButton="0" quotePrefix="0" xfId="0">
      <alignment horizontal="left" vertical="center"/>
    </xf>
    <xf numFmtId="0" fontId="73" fillId="39" borderId="0" applyAlignment="1" pivotButton="0" quotePrefix="0" xfId="0">
      <alignment horizontal="left" vertical="center"/>
    </xf>
    <xf numFmtId="0" fontId="73" fillId="42" borderId="0" applyAlignment="1" pivotButton="0" quotePrefix="0" xfId="0">
      <alignment horizontal="left" vertical="center"/>
    </xf>
    <xf numFmtId="0" fontId="73" fillId="42" borderId="12" applyAlignment="1" pivotButton="0" quotePrefix="0" xfId="0">
      <alignment horizontal="left" vertical="center"/>
    </xf>
    <xf numFmtId="0" fontId="75" fillId="43" borderId="12" applyAlignment="1" pivotButton="0" quotePrefix="0" xfId="0">
      <alignment horizontal="left" vertical="center"/>
    </xf>
    <xf numFmtId="170" fontId="74" fillId="39" borderId="0" applyAlignment="1" pivotButton="0" quotePrefix="0" xfId="0">
      <alignment horizontal="left" vertical="center"/>
    </xf>
    <xf numFmtId="170" fontId="74" fillId="42" borderId="0" applyAlignment="1" pivotButton="0" quotePrefix="0" xfId="0">
      <alignment horizontal="left" vertical="center"/>
    </xf>
    <xf numFmtId="170" fontId="75" fillId="43" borderId="0" applyAlignment="1" pivotButton="0" quotePrefix="0" xfId="0">
      <alignment horizontal="left" vertical="center"/>
    </xf>
    <xf numFmtId="171" fontId="73" fillId="40" borderId="0" applyAlignment="1" pivotButton="0" quotePrefix="0" xfId="0">
      <alignment horizontal="left" vertical="center"/>
    </xf>
    <xf numFmtId="171" fontId="73" fillId="39" borderId="12" applyAlignment="1" pivotButton="0" quotePrefix="0" xfId="0">
      <alignment horizontal="left" vertical="center"/>
    </xf>
    <xf numFmtId="172" fontId="74" fillId="39" borderId="12" applyAlignment="1" pivotButton="0" quotePrefix="0" xfId="0">
      <alignment horizontal="left" vertical="center"/>
    </xf>
    <xf numFmtId="0" fontId="73" fillId="39" borderId="12" applyAlignment="1" pivotButton="0" quotePrefix="0" xfId="0">
      <alignment horizontal="left" vertical="center"/>
    </xf>
    <xf numFmtId="0" fontId="73" fillId="39" borderId="12" pivotButton="0" quotePrefix="0" xfId="0"/>
    <xf numFmtId="171" fontId="73" fillId="42" borderId="1" applyAlignment="1" pivotButton="0" quotePrefix="0" xfId="0">
      <alignment horizontal="left" vertical="center"/>
    </xf>
    <xf numFmtId="172" fontId="74" fillId="42" borderId="1" applyAlignment="1" pivotButton="0" quotePrefix="0" xfId="0">
      <alignment horizontal="left" vertical="center"/>
    </xf>
    <xf numFmtId="171" fontId="73" fillId="39" borderId="1" applyAlignment="1" pivotButton="0" quotePrefix="0" xfId="0">
      <alignment horizontal="left" vertical="center"/>
    </xf>
    <xf numFmtId="172" fontId="74" fillId="39" borderId="1" applyAlignment="1" pivotButton="0" quotePrefix="0" xfId="0">
      <alignment horizontal="left" vertical="center"/>
    </xf>
    <xf numFmtId="0" fontId="73" fillId="0" borderId="0" pivotButton="0" quotePrefix="0" xfId="0"/>
    <xf numFmtId="0" fontId="73" fillId="0" borderId="0" applyAlignment="1" pivotButton="0" quotePrefix="0" xfId="0">
      <alignment horizontal="left" vertical="center"/>
    </xf>
    <xf numFmtId="164" fontId="74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7" fillId="42" borderId="0" pivotButton="0" quotePrefix="0" xfId="0"/>
    <xf numFmtId="166" fontId="0" fillId="0" borderId="5" pivotButton="0" quotePrefix="0" xfId="0"/>
    <xf numFmtId="0" fontId="80" fillId="47" borderId="0" pivotButton="0" quotePrefix="0" xfId="0"/>
    <xf numFmtId="0" fontId="75" fillId="47" borderId="0" pivotButton="0" quotePrefix="0" xfId="0"/>
    <xf numFmtId="167" fontId="81" fillId="42" borderId="0" pivotButton="0" quotePrefix="0" xfId="0"/>
    <xf numFmtId="167" fontId="78" fillId="42" borderId="0" pivotButton="0" quotePrefix="0" xfId="0"/>
    <xf numFmtId="0" fontId="77" fillId="48" borderId="0" pivotButton="0" quotePrefix="0" xfId="0"/>
    <xf numFmtId="167" fontId="81" fillId="48" borderId="0" pivotButton="0" quotePrefix="0" xfId="0"/>
    <xf numFmtId="167" fontId="78" fillId="48" borderId="0" pivotButton="0" quotePrefix="0" xfId="0"/>
    <xf numFmtId="167" fontId="82" fillId="47" borderId="0" pivotButton="0" quotePrefix="0" xfId="0"/>
    <xf numFmtId="0" fontId="82" fillId="47" borderId="0" pivotButton="0" quotePrefix="0" xfId="0"/>
    <xf numFmtId="0" fontId="77" fillId="46" borderId="0" pivotButton="0" quotePrefix="0" xfId="0"/>
    <xf numFmtId="167" fontId="81" fillId="46" borderId="0" pivotButton="0" quotePrefix="0" xfId="0"/>
    <xf numFmtId="167" fontId="78" fillId="46" borderId="0" pivotButton="0" quotePrefix="0" xfId="0"/>
    <xf numFmtId="167" fontId="79" fillId="46" borderId="0" pivotButton="0" quotePrefix="0" xfId="0"/>
    <xf numFmtId="167" fontId="83" fillId="46" borderId="0" pivotButton="0" quotePrefix="0" xfId="0"/>
    <xf numFmtId="0" fontId="77" fillId="49" borderId="0" pivotButton="0" quotePrefix="0" xfId="0"/>
    <xf numFmtId="167" fontId="81" fillId="49" borderId="0" pivotButton="0" quotePrefix="0" xfId="0"/>
    <xf numFmtId="167" fontId="78" fillId="49" borderId="0" pivotButton="0" quotePrefix="0" xfId="0"/>
    <xf numFmtId="167" fontId="79" fillId="49" borderId="0" pivotButton="0" quotePrefix="0" xfId="0"/>
    <xf numFmtId="167" fontId="83" fillId="49" borderId="0" pivotButton="0" quotePrefix="0" xfId="0"/>
    <xf numFmtId="0" fontId="77" fillId="50" borderId="0" pivotButton="0" quotePrefix="0" xfId="0"/>
    <xf numFmtId="167" fontId="81" fillId="50" borderId="0" pivotButton="0" quotePrefix="0" xfId="0"/>
    <xf numFmtId="167" fontId="78" fillId="50" borderId="0" pivotButton="0" quotePrefix="0" xfId="0"/>
    <xf numFmtId="167" fontId="79" fillId="50" borderId="0" pivotButton="0" quotePrefix="0" xfId="0"/>
    <xf numFmtId="167" fontId="83" fillId="50" borderId="0" pivotButton="0" quotePrefix="0" xfId="0"/>
    <xf numFmtId="0" fontId="84" fillId="0" borderId="0" pivotButton="0" quotePrefix="0" xfId="0"/>
    <xf numFmtId="171" fontId="77" fillId="51" borderId="0" pivotButton="0" quotePrefix="0" xfId="0"/>
    <xf numFmtId="0" fontId="77" fillId="51" borderId="0" pivotButton="0" quotePrefix="0" xfId="0"/>
    <xf numFmtId="0" fontId="85" fillId="51" borderId="0" pivotButton="0" quotePrefix="0" xfId="0"/>
    <xf numFmtId="167" fontId="83" fillId="51" borderId="0" pivotButton="0" quotePrefix="0" xfId="0"/>
    <xf numFmtId="167" fontId="79" fillId="51" borderId="0" pivotButton="0" quotePrefix="0" xfId="0"/>
    <xf numFmtId="167" fontId="81" fillId="51" borderId="0" pivotButton="0" quotePrefix="0" xfId="0"/>
    <xf numFmtId="0" fontId="84" fillId="51" borderId="0" pivotButton="0" quotePrefix="0" xfId="0"/>
    <xf numFmtId="171" fontId="77" fillId="46" borderId="0" pivotButton="0" quotePrefix="0" xfId="0"/>
    <xf numFmtId="0" fontId="85" fillId="46" borderId="0" pivotButton="0" quotePrefix="0" xfId="0"/>
    <xf numFmtId="0" fontId="84" fillId="46" borderId="0" pivotButton="0" quotePrefix="0" xfId="0"/>
    <xf numFmtId="171" fontId="77" fillId="49" borderId="0" pivotButton="0" quotePrefix="0" xfId="0"/>
    <xf numFmtId="0" fontId="85" fillId="49" borderId="0" pivotButton="0" quotePrefix="0" xfId="0"/>
    <xf numFmtId="0" fontId="84" fillId="49" borderId="0" pivotButton="0" quotePrefix="0" xfId="0"/>
    <xf numFmtId="167" fontId="83" fillId="47" borderId="0" pivotButton="0" quotePrefix="0" xfId="0"/>
    <xf numFmtId="167" fontId="79" fillId="47" borderId="0" pivotButton="0" quotePrefix="0" xfId="0"/>
    <xf numFmtId="167" fontId="81" fillId="47" borderId="0" pivotButton="0" quotePrefix="0" xfId="0"/>
    <xf numFmtId="173" fontId="81" fillId="48" borderId="0" pivotButton="0" quotePrefix="0" xfId="0"/>
    <xf numFmtId="173" fontId="78" fillId="48" borderId="0" pivotButton="0" quotePrefix="0" xfId="0"/>
    <xf numFmtId="0" fontId="85" fillId="48" borderId="0" pivotButton="0" quotePrefix="0" xfId="0"/>
    <xf numFmtId="173" fontId="81" fillId="42" borderId="0" pivotButton="0" quotePrefix="0" xfId="0"/>
    <xf numFmtId="173" fontId="78" fillId="42" borderId="0" pivotButton="0" quotePrefix="0" xfId="0"/>
    <xf numFmtId="0" fontId="85" fillId="42" borderId="0" pivotButton="0" quotePrefix="0" xfId="0"/>
    <xf numFmtId="171" fontId="77" fillId="0" borderId="0" pivotButton="0" quotePrefix="0" xfId="0"/>
    <xf numFmtId="0" fontId="77" fillId="0" borderId="0" pivotButton="0" quotePrefix="0" xfId="0"/>
    <xf numFmtId="0" fontId="85" fillId="0" borderId="0" pivotButton="0" quotePrefix="0" xfId="0"/>
    <xf numFmtId="167" fontId="83" fillId="0" borderId="0" pivotButton="0" quotePrefix="0" xfId="0"/>
    <xf numFmtId="167" fontId="81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76" fillId="4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9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0" fillId="0" borderId="3" pivotButton="0" quotePrefix="0" xfId="0"/>
    <xf numFmtId="0" fontId="17" fillId="20" borderId="4" applyAlignment="1" pivotButton="0" quotePrefix="0" xfId="0">
      <alignment horizontal="left" vertical="center"/>
    </xf>
    <xf numFmtId="0" fontId="25" fillId="19" borderId="9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10" borderId="0" applyAlignment="1" pivotButton="0" quotePrefix="0" xfId="0">
      <alignment horizontal="righ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9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17" fillId="19" borderId="4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16"/>
  <sheetViews>
    <sheetView topLeftCell="A68" zoomScaleNormal="100" workbookViewId="0">
      <selection activeCell="K2" sqref="K2"/>
    </sheetView>
  </sheetViews>
  <sheetFormatPr baseColWidth="8" defaultRowHeight="14.4" customHeight="1"/>
  <cols>
    <col width="3" customWidth="1" style="274" min="1" max="1"/>
    <col width="36" customWidth="1" style="274" min="2" max="2"/>
    <col width="18" customWidth="1" style="273" min="3" max="3"/>
    <col width="20" customWidth="1" style="273" min="4" max="6"/>
    <col width="24" customWidth="1" style="274" min="7" max="7"/>
    <col width="26" customWidth="1" style="274" min="8" max="8"/>
  </cols>
  <sheetData>
    <row r="1" ht="36" customHeight="1" s="274">
      <c r="B1" s="272" t="inlineStr">
        <is>
          <t>LOKA  —  CAPITAL, OWNERSHIP &amp; PRE-OPENING EXPENSES</t>
        </is>
      </c>
    </row>
    <row r="2" ht="24" customHeight="1" s="274">
      <c r="B2" s="276" t="inlineStr">
        <is>
          <t>Last updated: 10 Jun 2026  |  Capital, Acquisition, Pre-Opening &amp; Renovation CapEx</t>
        </is>
      </c>
    </row>
    <row r="4" ht="25.95" customHeight="1" s="274">
      <c r="B4" s="275" t="inlineStr">
        <is>
          <t xml:space="preserve">  A.  OWNERSHIP STRUCTURE</t>
        </is>
      </c>
    </row>
    <row r="5" ht="22.05" customHeight="1" s="274">
      <c r="B5" s="167" t="inlineStr">
        <is>
          <t>Owner</t>
        </is>
      </c>
      <c r="C5" s="169" t="inlineStr">
        <is>
          <t>Share %</t>
        </is>
      </c>
      <c r="D5" s="169" t="inlineStr">
        <is>
          <t>Capital ($)</t>
        </is>
      </c>
      <c r="E5" s="169" t="inlineStr">
        <is>
          <t>Expenses ($)</t>
        </is>
      </c>
      <c r="F5" s="169" t="inlineStr">
        <is>
          <t>Remaining ($)</t>
        </is>
      </c>
      <c r="G5" s="167" t="inlineStr">
        <is>
          <t>Role / Notes</t>
        </is>
      </c>
    </row>
    <row r="6" ht="19.95" customHeight="1" s="274">
      <c r="B6" s="160" t="inlineStr">
        <is>
          <t>Lohith Reddy</t>
        </is>
      </c>
      <c r="C6" s="160" t="n">
        <v>0.5</v>
      </c>
      <c r="D6" s="168" t="n">
        <v>300000</v>
      </c>
      <c r="E6" s="168">
        <f>D55</f>
        <v/>
      </c>
      <c r="F6" s="168">
        <f>D6-E6</f>
        <v/>
      </c>
      <c r="G6" s="160" t="inlineStr">
        <is>
          <t>50% — Managing Partner</t>
        </is>
      </c>
    </row>
    <row r="7" ht="19.95" customHeight="1" s="274">
      <c r="B7" s="160" t="inlineStr">
        <is>
          <t>Kashigoud Patil</t>
        </is>
      </c>
      <c r="C7" s="160" t="n">
        <v>0.3</v>
      </c>
      <c r="D7" s="168" t="n">
        <v>180000</v>
      </c>
      <c r="E7" s="168">
        <f>D42</f>
        <v/>
      </c>
      <c r="F7" s="168">
        <f>D7-E7</f>
        <v/>
      </c>
      <c r="G7" s="160" t="inlineStr">
        <is>
          <t>30% — Partner</t>
        </is>
      </c>
    </row>
    <row r="8" ht="19.95" customHeight="1" s="274">
      <c r="B8" s="160" t="inlineStr">
        <is>
          <t>Shashirekha Basavaraju</t>
        </is>
      </c>
      <c r="C8" s="160" t="n">
        <v>0.2</v>
      </c>
      <c r="D8" s="168" t="n">
        <v>120000</v>
      </c>
      <c r="E8" s="168">
        <f>D68</f>
        <v/>
      </c>
      <c r="F8" s="168">
        <f>D8-E8</f>
        <v/>
      </c>
      <c r="G8" s="160" t="inlineStr">
        <is>
          <t>20% — Partner</t>
        </is>
      </c>
    </row>
    <row r="9" ht="22.05" customHeight="1" s="274">
      <c r="B9" s="169" t="inlineStr">
        <is>
          <t>TOTAL</t>
        </is>
      </c>
      <c r="C9" s="177">
        <f>SUM(C6:C8)</f>
        <v/>
      </c>
      <c r="D9" s="177">
        <f>SUM(D6:D8)</f>
        <v/>
      </c>
      <c r="E9" s="177">
        <f>SUM(E6:E8)</f>
        <v/>
      </c>
      <c r="F9" s="177">
        <f>SUM(F6:F8)</f>
        <v/>
      </c>
      <c r="G9" s="167" t="n"/>
    </row>
    <row r="11" ht="25.95" customHeight="1" s="274">
      <c r="B11" s="275" t="inlineStr">
        <is>
          <t xml:space="preserve">  B.  RESTAURANT ACQUISITION  —  $390,000 TOTAL</t>
        </is>
      </c>
    </row>
    <row r="12" ht="22.05" customHeight="1" s="274">
      <c r="B12" s="167" t="inlineStr">
        <is>
          <t>Description</t>
        </is>
      </c>
      <c r="C12" s="169" t="inlineStr">
        <is>
          <t>Date</t>
        </is>
      </c>
      <c r="D12" s="169" t="inlineStr">
        <is>
          <t>Amount ($)</t>
        </is>
      </c>
      <c r="E12" s="169" t="inlineStr">
        <is>
          <t>Paid By</t>
        </is>
      </c>
      <c r="F12" s="169" t="inlineStr">
        <is>
          <t>Status</t>
        </is>
      </c>
      <c r="G12" s="167" t="inlineStr">
        <is>
          <t>Notes</t>
        </is>
      </c>
    </row>
    <row r="13" ht="19.95" customHeight="1" s="274">
      <c r="B13" s="160" t="inlineStr">
        <is>
          <t>TOTAL Purchase Price — Previous Owners</t>
        </is>
      </c>
      <c r="C13" s="160" t="n"/>
      <c r="D13" s="168" t="n">
        <v>390000</v>
      </c>
      <c r="E13" s="160" t="inlineStr">
        <is>
          <t>All Partners</t>
        </is>
      </c>
      <c r="F13" s="160" t="inlineStr">
        <is>
          <t>⚠️ PARTIALLY PAID — $134,500 remaining</t>
        </is>
      </c>
      <c r="G13" s="160" t="inlineStr">
        <is>
          <t>Full acquisition amount</t>
        </is>
      </c>
    </row>
    <row r="14" ht="19.95" customHeight="1" s="274">
      <c r="B14" s="170" t="inlineStr">
        <is>
          <t>Advance Payment (paid by Lohith)</t>
        </is>
      </c>
      <c r="C14" s="170" t="n"/>
      <c r="D14" s="178" t="n">
        <v>5000</v>
      </c>
      <c r="E14" s="170" t="inlineStr">
        <is>
          <t>Lohith Reddy</t>
        </is>
      </c>
      <c r="F14" s="170" t="inlineStr">
        <is>
          <t>✅ PAID</t>
        </is>
      </c>
      <c r="G14" s="170" t="inlineStr">
        <is>
          <t>Advance to previous owners</t>
        </is>
      </c>
    </row>
    <row r="15" ht="19.95" customHeight="1" s="274">
      <c r="B15" s="171" t="inlineStr">
        <is>
          <t>Payment to Previous Owners</t>
        </is>
      </c>
      <c r="C15" s="203" t="n">
        <v>46176</v>
      </c>
      <c r="D15" s="179" t="n">
        <v>95000</v>
      </c>
      <c r="E15" s="195" t="inlineStr">
        <is>
          <t>Lohith Reddy</t>
        </is>
      </c>
      <c r="F15" s="195" t="inlineStr">
        <is>
          <t>✅ PAID</t>
        </is>
      </c>
      <c r="G15" s="171" t="inlineStr">
        <is>
          <t>Paid from restaurant operating balance — 3 Jun 2026</t>
        </is>
      </c>
    </row>
    <row r="16">
      <c r="B16" s="171" t="inlineStr">
        <is>
          <t>Payment to Previous Owner — Account 1</t>
        </is>
      </c>
      <c r="C16" s="203" t="n">
        <v>46177</v>
      </c>
      <c r="D16" s="179" t="n">
        <v>8000</v>
      </c>
      <c r="E16" s="195" t="inlineStr">
        <is>
          <t>Lohith Reddy</t>
        </is>
      </c>
      <c r="F16" s="195" t="inlineStr">
        <is>
          <t>✅ PAID</t>
        </is>
      </c>
      <c r="G16" s="171" t="inlineStr">
        <is>
          <t>Capital payment — from main budget — transferred to different accounts</t>
        </is>
      </c>
    </row>
    <row r="17" ht="19.95" customHeight="1" s="274">
      <c r="B17" s="171" t="inlineStr">
        <is>
          <t>Payment to Previous Owner — Account 2</t>
        </is>
      </c>
      <c r="C17" s="203" t="n">
        <v>46177</v>
      </c>
      <c r="D17" s="179" t="n">
        <v>4500</v>
      </c>
      <c r="E17" s="195" t="inlineStr">
        <is>
          <t>Lohith Reddy</t>
        </is>
      </c>
      <c r="F17" s="195" t="inlineStr">
        <is>
          <t>✅ PAID</t>
        </is>
      </c>
      <c r="G17" s="171" t="inlineStr">
        <is>
          <t>Capital payment — from main budget — transferred to different account</t>
        </is>
      </c>
    </row>
    <row r="18" ht="22.05" customHeight="1" s="274">
      <c r="B18" s="171" t="inlineStr">
        <is>
          <t>Payment to Previous Owner — Account 3</t>
        </is>
      </c>
      <c r="C18" s="203" t="n">
        <v>46177</v>
      </c>
      <c r="D18" s="179" t="n">
        <v>15000</v>
      </c>
      <c r="E18" s="195" t="inlineStr">
        <is>
          <t>Lohith Reddy</t>
        </is>
      </c>
      <c r="F18" s="195" t="inlineStr">
        <is>
          <t>✅ PAID</t>
        </is>
      </c>
      <c r="G18" s="171" t="inlineStr">
        <is>
          <t>Capital payment — from main budget — transferred to different accounts</t>
        </is>
      </c>
    </row>
    <row r="19" ht="19.95" customHeight="1" s="274">
      <c r="B19" s="171" t="inlineStr">
        <is>
          <t>Payment to Previous Owner — Account 4</t>
        </is>
      </c>
      <c r="C19" s="203" t="n">
        <v>46177</v>
      </c>
      <c r="D19" s="179" t="n">
        <v>10000</v>
      </c>
      <c r="E19" s="195" t="inlineStr">
        <is>
          <t>Lohith Reddy</t>
        </is>
      </c>
      <c r="F19" s="195" t="inlineStr">
        <is>
          <t>✅ PAID</t>
        </is>
      </c>
      <c r="G19" s="171" t="inlineStr">
        <is>
          <t>Capital payment — from main budget — transferred to different accounts</t>
        </is>
      </c>
    </row>
    <row r="20" ht="19.95" customHeight="1" s="274">
      <c r="B20" s="171" t="inlineStr">
        <is>
          <t>Payment to Previous Owner — Account 5</t>
        </is>
      </c>
      <c r="C20" s="203" t="n">
        <v>46177</v>
      </c>
      <c r="D20" s="179" t="n">
        <v>44000</v>
      </c>
      <c r="E20" s="195" t="inlineStr">
        <is>
          <t>Lohith Reddy</t>
        </is>
      </c>
      <c r="F20" s="195" t="inlineStr">
        <is>
          <t>✅ PAID</t>
        </is>
      </c>
      <c r="G20" s="171" t="inlineStr">
        <is>
          <t>Capital payment — from main budget — transferred to different accounts</t>
        </is>
      </c>
    </row>
    <row r="21" ht="19.95" customHeight="1" s="274">
      <c r="B21" s="171" t="inlineStr">
        <is>
          <t>Payment to Previous Owner — Account 6</t>
        </is>
      </c>
      <c r="C21" s="203" t="n">
        <v>46177</v>
      </c>
      <c r="D21" s="179" t="n">
        <v>44000</v>
      </c>
      <c r="E21" s="195" t="inlineStr">
        <is>
          <t>Lohith Reddy</t>
        </is>
      </c>
      <c r="F21" s="195" t="inlineStr">
        <is>
          <t>✅ PAID</t>
        </is>
      </c>
      <c r="G21" s="171" t="inlineStr">
        <is>
          <t>Capital payment — from main budget — transferred to different accounts</t>
        </is>
      </c>
    </row>
    <row r="22" ht="19.95" customHeight="1" s="274">
      <c r="B22" s="171" t="inlineStr">
        <is>
          <t>Payment to Previous Owner — Jun 5</t>
        </is>
      </c>
      <c r="C22" s="203" t="n">
        <v>46178</v>
      </c>
      <c r="D22" s="179" t="n">
        <v>30000</v>
      </c>
      <c r="E22" s="195" t="inlineStr">
        <is>
          <t>Lohith Reddy</t>
        </is>
      </c>
      <c r="F22" s="195" t="inlineStr">
        <is>
          <t>✅ PAID</t>
        </is>
      </c>
      <c r="G22" s="171" t="inlineStr">
        <is>
          <t>Transfer — 5 Jun 2026</t>
        </is>
      </c>
    </row>
    <row r="23">
      <c r="B23" s="172" t="inlineStr">
        <is>
          <t>Balance Remaining</t>
        </is>
      </c>
      <c r="C23" s="172" t="n"/>
      <c r="D23" s="180">
        <f>D13-SUM(D14:D22)</f>
        <v/>
      </c>
      <c r="E23" s="172" t="inlineStr">
        <is>
          <t>—</t>
        </is>
      </c>
      <c r="F23" s="172" t="inlineStr">
        <is>
          <t>⏳ PENDING</t>
        </is>
      </c>
      <c r="G23" s="172" t="inlineStr">
        <is>
          <t>$390,000 − $255,500 paid = $134,500 remaining</t>
        </is>
      </c>
    </row>
    <row r="24" ht="25.95" customHeight="1" s="274"/>
    <row r="25" ht="22.05" customHeight="1" s="274">
      <c r="B25" s="173" t="inlineStr">
        <is>
          <t xml:space="preserve">  PAYMENT BREAKDOWN  —  How the $390,000 will be funded</t>
        </is>
      </c>
      <c r="C25" s="173" t="n"/>
      <c r="D25" s="173" t="n"/>
      <c r="E25" s="173" t="n"/>
      <c r="F25" s="173" t="n"/>
      <c r="G25" s="174" t="n"/>
      <c r="H25" s="174" t="n"/>
    </row>
    <row r="26" ht="19.95" customHeight="1" s="274">
      <c r="B26" s="167" t="inlineStr">
        <is>
          <t>Source</t>
        </is>
      </c>
      <c r="C26" s="169" t="inlineStr">
        <is>
          <t>From</t>
        </is>
      </c>
      <c r="D26" s="169" t="inlineStr">
        <is>
          <t>Amount ($)</t>
        </is>
      </c>
      <c r="E26" s="169" t="inlineStr">
        <is>
          <t>Toward %</t>
        </is>
      </c>
      <c r="F26" s="169" t="inlineStr">
        <is>
          <t>Cumulative</t>
        </is>
      </c>
      <c r="G26" s="167" t="inlineStr">
        <is>
          <t>Notes</t>
        </is>
      </c>
    </row>
    <row r="27" ht="19.95" customHeight="1" s="274">
      <c r="B27" s="160" t="inlineStr">
        <is>
          <t>Kashigoud Transfer to Lohith</t>
        </is>
      </c>
      <c r="C27" s="160" t="inlineStr">
        <is>
          <t>Kashigoud Patil</t>
        </is>
      </c>
      <c r="D27" s="168" t="n">
        <v>125000</v>
      </c>
      <c r="E27" s="189">
        <f>D27/390000</f>
        <v/>
      </c>
      <c r="F27" s="168">
        <f>D27</f>
        <v/>
      </c>
      <c r="G27" s="160" t="inlineStr">
        <is>
          <t>Full Kashi transfer</t>
        </is>
      </c>
    </row>
    <row r="28" ht="19.95" customHeight="1" s="274">
      <c r="B28" s="162" t="inlineStr">
        <is>
          <t>Shashirekha Transfer to Lohith</t>
        </is>
      </c>
      <c r="C28" s="162" t="inlineStr">
        <is>
          <t>Shashirekha B.</t>
        </is>
      </c>
      <c r="D28" s="181" t="n">
        <v>100000</v>
      </c>
      <c r="E28" s="190">
        <f>D28/390000</f>
        <v/>
      </c>
      <c r="F28" s="181">
        <f>D27+D28</f>
        <v/>
      </c>
      <c r="G28" s="162" t="inlineStr">
        <is>
          <t>Full Shashi transfer</t>
        </is>
      </c>
    </row>
    <row r="29" ht="19.95" customHeight="1" s="274">
      <c r="B29" s="160" t="inlineStr">
        <is>
          <t>Lohith Reddy (own funds)</t>
        </is>
      </c>
      <c r="C29" s="160" t="inlineStr">
        <is>
          <t>Lohith Reddy</t>
        </is>
      </c>
      <c r="D29" s="168">
        <f>390000-D27-D28</f>
        <v/>
      </c>
      <c r="E29" s="189">
        <f>D29/390000</f>
        <v/>
      </c>
      <c r="F29" s="168">
        <f>D27+D28+D29</f>
        <v/>
      </c>
      <c r="G29" s="160" t="inlineStr">
        <is>
          <t>Balance from Lohith</t>
        </is>
      </c>
    </row>
    <row r="30" ht="19.95" customHeight="1" s="274">
      <c r="B30" s="162" t="inlineStr">
        <is>
          <t>Advance Already Paid</t>
        </is>
      </c>
      <c r="C30" s="162" t="inlineStr">
        <is>
          <t>Lohith Reddy</t>
        </is>
      </c>
      <c r="D30" s="181" t="n">
        <v>5000</v>
      </c>
      <c r="E30" s="190">
        <f>D30/390000</f>
        <v/>
      </c>
      <c r="F30" s="181" t="inlineStr">
        <is>
          <t>Paid ✅</t>
        </is>
      </c>
      <c r="G30" s="162" t="inlineStr">
        <is>
          <t>Already paid</t>
        </is>
      </c>
    </row>
    <row r="31" ht="19.95" customHeight="1" s="274"/>
    <row r="32" ht="19.95" customHeight="1" s="274">
      <c r="B32" s="275" t="inlineStr">
        <is>
          <t xml:space="preserve">  C.  PRE-OPENING EXPENSES — KASHIGOUD PATIL</t>
        </is>
      </c>
      <c r="C32" s="275" t="n"/>
      <c r="D32" s="275" t="n"/>
      <c r="E32" s="275" t="n"/>
      <c r="F32" s="275" t="n"/>
      <c r="G32" s="166" t="n"/>
      <c r="H32" s="166" t="n"/>
    </row>
    <row r="33" ht="19.95" customHeight="1" s="274">
      <c r="B33" s="167" t="inlineStr">
        <is>
          <t>Description</t>
        </is>
      </c>
      <c r="C33" s="169" t="inlineStr">
        <is>
          <t>Date</t>
        </is>
      </c>
      <c r="D33" s="169" t="inlineStr">
        <is>
          <t>Amount ($)</t>
        </is>
      </c>
      <c r="E33" s="169" t="inlineStr">
        <is>
          <t>Paid To</t>
        </is>
      </c>
      <c r="F33" s="169" t="inlineStr">
        <is>
          <t>Category</t>
        </is>
      </c>
      <c r="G33" s="167" t="inlineStr">
        <is>
          <t>Notes</t>
        </is>
      </c>
    </row>
    <row r="34" ht="22.05" customHeight="1" s="274">
      <c r="B34" s="160" t="inlineStr">
        <is>
          <t>Transfer to Lohith Reddy (capital allocation)</t>
        </is>
      </c>
      <c r="C34" s="160" t="n"/>
      <c r="D34" s="168" t="n">
        <v>125000</v>
      </c>
      <c r="E34" s="160" t="inlineStr">
        <is>
          <t>Bank → Lohith</t>
        </is>
      </c>
      <c r="F34" s="160" t="inlineStr">
        <is>
          <t>Internal Transfer</t>
        </is>
      </c>
      <c r="G34" s="160" t="inlineStr">
        <is>
          <t>For acquisition &amp; expenses</t>
        </is>
      </c>
    </row>
    <row r="35">
      <c r="B35" s="162" t="inlineStr">
        <is>
          <t>Soft Restaurant License &amp; Tools</t>
        </is>
      </c>
      <c r="C35" s="162" t="n"/>
      <c r="D35" s="181" t="n">
        <v>15195</v>
      </c>
      <c r="E35" s="162" t="inlineStr">
        <is>
          <t>Soft App</t>
        </is>
      </c>
      <c r="F35" s="162" t="inlineStr">
        <is>
          <t>Software / License</t>
        </is>
      </c>
      <c r="G35" s="162" t="inlineStr">
        <is>
          <t>POS + mgmt tools</t>
        </is>
      </c>
    </row>
    <row r="36" ht="25.95" customHeight="1" s="274">
      <c r="B36" s="160" t="inlineStr">
        <is>
          <t>Mercado Pago Terminal</t>
        </is>
      </c>
      <c r="C36" s="196" t="n"/>
      <c r="D36" s="183" t="n">
        <v>500</v>
      </c>
      <c r="E36" s="196" t="inlineStr">
        <is>
          <t>Soft App / MP</t>
        </is>
      </c>
      <c r="F36" s="196" t="inlineStr">
        <is>
          <t>POS Hardware</t>
        </is>
      </c>
      <c r="G36" s="161" t="inlineStr">
        <is>
          <t>MP card reader terminal fee</t>
        </is>
      </c>
    </row>
    <row r="37" ht="22.05" customHeight="1" s="274">
      <c r="B37" s="160" t="inlineStr">
        <is>
          <t>Camera Cloud Recording — 7 Day Continuous (28 May)</t>
        </is>
      </c>
      <c r="C37" s="204" t="n">
        <v>46170</v>
      </c>
      <c r="D37" s="205" t="n">
        <v>436.12</v>
      </c>
      <c r="E37" s="206" t="inlineStr">
        <is>
          <t>Kashigoud Patil (VISA ••••9193)</t>
        </is>
      </c>
      <c r="F37" s="206" t="inlineStr">
        <is>
          <t>Technology / Security</t>
        </is>
      </c>
      <c r="G37" s="207" t="inlineStr">
        <is>
          <t>Shenzhen Tange — cloud CCTV recording 1yr — US$23.90 = MXN $436.12</t>
        </is>
      </c>
      <c r="H37" s="278" t="n"/>
    </row>
    <row r="38" ht="19.95" customHeight="1" s="274">
      <c r="B38" s="162" t="inlineStr">
        <is>
          <t>Camera Cloud Recording — 7 Day Continuous (29 May)</t>
        </is>
      </c>
      <c r="C38" s="208" t="n">
        <v>46171</v>
      </c>
      <c r="D38" s="209" t="n">
        <v>437.22</v>
      </c>
      <c r="E38" s="162" t="inlineStr">
        <is>
          <t>Kashigoud Patil (VISA ••••9193)</t>
        </is>
      </c>
      <c r="F38" s="162" t="inlineStr">
        <is>
          <t>Technology / Security</t>
        </is>
      </c>
      <c r="G38" s="162" t="inlineStr">
        <is>
          <t>Shenzhen Tange — cloud CCTV recording 1yr — US$23.90 = MXN $437.22</t>
        </is>
      </c>
    </row>
    <row r="39" ht="19.95" customHeight="1" s="274">
      <c r="B39" s="159" t="n"/>
      <c r="C39" s="159" t="n"/>
      <c r="D39" s="185" t="n"/>
      <c r="E39" s="159" t="n"/>
      <c r="F39" s="159" t="n"/>
      <c r="G39" s="159" t="n"/>
    </row>
    <row r="40" ht="19.95" customHeight="1" s="274">
      <c r="B40" s="159" t="n"/>
      <c r="C40" s="159" t="n"/>
      <c r="D40" s="185" t="n"/>
      <c r="E40" s="159" t="n"/>
      <c r="F40" s="159" t="n"/>
      <c r="G40" s="159" t="n"/>
    </row>
    <row r="41" ht="19.95" customHeight="1" s="274">
      <c r="B41" s="159" t="n"/>
      <c r="C41" s="159" t="n"/>
      <c r="D41" s="185" t="n"/>
      <c r="E41" s="159" t="n"/>
      <c r="F41" s="159" t="n"/>
      <c r="G41" s="159" t="n"/>
    </row>
    <row r="42" ht="19.95" customHeight="1" s="274">
      <c r="B42" s="169" t="inlineStr">
        <is>
          <t>KASHIGOUD TOTAL</t>
        </is>
      </c>
      <c r="C42" s="169" t="n"/>
      <c r="D42" s="177">
        <f>SUM(D34:D41)</f>
        <v/>
      </c>
      <c r="E42" s="169" t="n"/>
      <c r="F42" s="169" t="n"/>
      <c r="G42" s="167" t="n"/>
    </row>
    <row r="43" ht="19.95" customHeight="1" s="274"/>
    <row r="44" ht="19.95" customHeight="1" s="274">
      <c r="B44" s="275" t="inlineStr">
        <is>
          <t xml:space="preserve">  D.  PRE-OPENING EXPENSES — LOHITH REDDY</t>
        </is>
      </c>
      <c r="C44" s="275" t="n"/>
      <c r="D44" s="275" t="n"/>
      <c r="E44" s="275" t="n"/>
      <c r="F44" s="275" t="n"/>
      <c r="G44" s="166" t="n"/>
      <c r="H44" s="166" t="n"/>
    </row>
    <row r="45" ht="19.95" customHeight="1" s="274">
      <c r="B45" s="167" t="inlineStr">
        <is>
          <t>Description</t>
        </is>
      </c>
      <c r="C45" s="169" t="inlineStr">
        <is>
          <t>Date</t>
        </is>
      </c>
      <c r="D45" s="169" t="inlineStr">
        <is>
          <t>Amount ($)</t>
        </is>
      </c>
      <c r="E45" s="169" t="inlineStr">
        <is>
          <t>Paid To</t>
        </is>
      </c>
      <c r="F45" s="169" t="inlineStr">
        <is>
          <t>Category</t>
        </is>
      </c>
      <c r="G45" s="167" t="inlineStr">
        <is>
          <t>Notes</t>
        </is>
      </c>
    </row>
    <row r="46" ht="19.95" customHeight="1" s="274">
      <c r="B46" s="160" t="inlineStr">
        <is>
          <t>Advance Payment to Previous Owners</t>
        </is>
      </c>
      <c r="C46" s="160" t="n"/>
      <c r="D46" s="168" t="n">
        <v>5000</v>
      </c>
      <c r="E46" s="160" t="inlineStr">
        <is>
          <t>Previous Owners</t>
        </is>
      </c>
      <c r="F46" s="160" t="inlineStr">
        <is>
          <t>Acquisition</t>
        </is>
      </c>
      <c r="G46" s="160" t="inlineStr">
        <is>
          <t>5k advance on 390k purchase</t>
        </is>
      </c>
    </row>
    <row r="47" ht="22.05" customHeight="1" s="274">
      <c r="B47" s="162" t="inlineStr">
        <is>
          <t>Notary Fees</t>
        </is>
      </c>
      <c r="C47" s="162" t="n"/>
      <c r="D47" s="181" t="n">
        <v>15797</v>
      </c>
      <c r="E47" s="162" t="inlineStr">
        <is>
          <t>Notary Office</t>
        </is>
      </c>
      <c r="F47" s="162" t="inlineStr">
        <is>
          <t>Legal</t>
        </is>
      </c>
      <c r="G47" s="162" t="inlineStr">
        <is>
          <t>Legal fees for restaurant acquisition</t>
        </is>
      </c>
    </row>
    <row r="48">
      <c r="B48" s="160" t="inlineStr">
        <is>
          <t>Poliza Juridica (Legal Policy)</t>
        </is>
      </c>
      <c r="C48" s="160" t="n"/>
      <c r="D48" s="168" t="n">
        <v>5150</v>
      </c>
      <c r="E48" s="160" t="inlineStr">
        <is>
          <t>Legal / Insurance</t>
        </is>
      </c>
      <c r="F48" s="160" t="inlineStr">
        <is>
          <t>Legal</t>
        </is>
      </c>
      <c r="G48" s="160" t="inlineStr">
        <is>
          <t>Poliza Juridica — legal insurance policy</t>
        </is>
      </c>
    </row>
    <row r="49" ht="25.95" customHeight="1" s="274">
      <c r="B49" s="162" t="inlineStr">
        <is>
          <t>Alejandra — Documentation Asst.</t>
        </is>
      </c>
      <c r="C49" s="197" t="n"/>
      <c r="D49" s="186" t="n">
        <v>3000</v>
      </c>
      <c r="E49" s="197" t="inlineStr">
        <is>
          <t>Alejandra</t>
        </is>
      </c>
      <c r="F49" s="197" t="inlineStr">
        <is>
          <t>Professional Services</t>
        </is>
      </c>
      <c r="G49" s="163" t="inlineStr">
        <is>
          <t>Documentation &amp; legal assistance — pre-opening</t>
        </is>
      </c>
    </row>
    <row r="50" ht="22.05" customHeight="1" s="274">
      <c r="B50" s="159" t="n"/>
      <c r="C50" s="184" t="n"/>
      <c r="D50" s="184" t="n"/>
      <c r="E50" s="184" t="n"/>
      <c r="F50" s="184" t="n"/>
      <c r="G50" s="282" t="n"/>
      <c r="H50" s="278" t="n"/>
    </row>
    <row r="51" ht="19.95" customHeight="1" s="274">
      <c r="B51" s="159" t="n"/>
      <c r="C51" s="159" t="n"/>
      <c r="D51" s="185" t="n"/>
      <c r="E51" s="159" t="n"/>
      <c r="F51" s="159" t="n"/>
      <c r="G51" s="159" t="n"/>
    </row>
    <row r="52" ht="19.95" customHeight="1" s="274">
      <c r="B52" s="159" t="n"/>
      <c r="C52" s="159" t="n"/>
      <c r="D52" s="185" t="n"/>
      <c r="E52" s="159" t="n"/>
      <c r="F52" s="159" t="n"/>
      <c r="G52" s="159" t="n"/>
    </row>
    <row r="53" ht="19.95" customHeight="1" s="274">
      <c r="B53" s="159" t="n"/>
      <c r="C53" s="159" t="n"/>
      <c r="D53" s="185" t="n"/>
      <c r="E53" s="159" t="n"/>
      <c r="F53" s="159" t="n"/>
      <c r="G53" s="159" t="n"/>
    </row>
    <row r="54" ht="19.95" customHeight="1" s="274">
      <c r="B54" s="159" t="n"/>
      <c r="C54" s="159" t="n"/>
      <c r="D54" s="185" t="n"/>
      <c r="E54" s="159" t="n"/>
      <c r="F54" s="159" t="n"/>
      <c r="G54" s="159" t="n"/>
    </row>
    <row r="55" ht="19.95" customHeight="1" s="274">
      <c r="B55" s="169" t="inlineStr">
        <is>
          <t>LOHITH TOTAL</t>
        </is>
      </c>
      <c r="C55" s="169" t="n"/>
      <c r="D55" s="177">
        <f>SUM(D46:D54)</f>
        <v/>
      </c>
      <c r="E55" s="169" t="n"/>
      <c r="F55" s="169" t="n"/>
      <c r="G55" s="167" t="n"/>
    </row>
    <row r="56" ht="19.95" customHeight="1" s="274"/>
    <row r="57" ht="19.95" customHeight="1" s="274">
      <c r="B57" s="275" t="inlineStr">
        <is>
          <t xml:space="preserve">  E.  PRE-OPENING EXPENSES — SHASHIREKHA BASAVARAJU</t>
        </is>
      </c>
      <c r="C57" s="275" t="n"/>
      <c r="D57" s="275" t="n"/>
      <c r="E57" s="275" t="n"/>
      <c r="F57" s="275" t="n"/>
      <c r="G57" s="166" t="n"/>
      <c r="H57" s="166" t="n"/>
    </row>
    <row r="58" ht="19.95" customHeight="1" s="274">
      <c r="B58" s="167" t="inlineStr">
        <is>
          <t>Description</t>
        </is>
      </c>
      <c r="C58" s="169" t="inlineStr">
        <is>
          <t>Date</t>
        </is>
      </c>
      <c r="D58" s="169" t="inlineStr">
        <is>
          <t>Amount ($)</t>
        </is>
      </c>
      <c r="E58" s="169" t="inlineStr">
        <is>
          <t>Paid To</t>
        </is>
      </c>
      <c r="F58" s="169" t="inlineStr">
        <is>
          <t>Category</t>
        </is>
      </c>
      <c r="G58" s="167" t="inlineStr">
        <is>
          <t>Notes</t>
        </is>
      </c>
    </row>
    <row r="59" ht="22.05" customHeight="1" s="274">
      <c r="B59" s="160" t="inlineStr">
        <is>
          <t>Transfer to Lohith Reddy (capital allocation)</t>
        </is>
      </c>
      <c r="C59" s="160" t="n"/>
      <c r="D59" s="168" t="n">
        <v>100000</v>
      </c>
      <c r="E59" s="160" t="inlineStr">
        <is>
          <t>Bank → Lohith</t>
        </is>
      </c>
      <c r="F59" s="160" t="inlineStr">
        <is>
          <t>Internal Transfer</t>
        </is>
      </c>
      <c r="G59" s="160" t="inlineStr">
        <is>
          <t>For acquisition &amp; expenses</t>
        </is>
      </c>
    </row>
    <row r="60">
      <c r="B60" s="162" t="inlineStr">
        <is>
          <t>Temu items</t>
        </is>
      </c>
      <c r="C60" s="162" t="n"/>
      <c r="D60" s="181" t="n">
        <v>2646</v>
      </c>
      <c r="E60" s="162" t="inlineStr">
        <is>
          <t>Temu</t>
        </is>
      </c>
      <c r="F60" s="162" t="inlineStr">
        <is>
          <t>Equipment / Supplies</t>
        </is>
      </c>
      <c r="G60" s="162" t="inlineStr">
        <is>
          <t>Temu items — restaurant supplies &amp; equipment</t>
        </is>
      </c>
    </row>
    <row r="61" ht="25.95" customHeight="1" s="274">
      <c r="B61" s="160" t="inlineStr">
        <is>
          <t>Board games for restaurant ambiance</t>
        </is>
      </c>
      <c r="C61" s="196" t="n"/>
      <c r="D61" s="183" t="n">
        <v>745</v>
      </c>
      <c r="E61" s="196" t="inlineStr">
        <is>
          <t>Various</t>
        </is>
      </c>
      <c r="F61" s="196" t="inlineStr">
        <is>
          <t>Equipment / Decor</t>
        </is>
      </c>
      <c r="G61" s="161" t="inlineStr">
        <is>
          <t>Board games for restaurant ambiance</t>
        </is>
      </c>
    </row>
    <row r="62" ht="22.05" customHeight="1" s="274">
      <c r="B62" s="162" t="inlineStr">
        <is>
          <t>Special menu board</t>
        </is>
      </c>
      <c r="C62" s="198" t="n"/>
      <c r="D62" s="187" t="n">
        <v>204</v>
      </c>
      <c r="E62" s="198" t="inlineStr">
        <is>
          <t>Sign Maker</t>
        </is>
      </c>
      <c r="F62" s="198" t="inlineStr">
        <is>
          <t>Branding / Signage</t>
        </is>
      </c>
      <c r="G62" s="164" t="inlineStr">
        <is>
          <t>Special menu board</t>
        </is>
      </c>
      <c r="H62" s="278" t="n"/>
    </row>
    <row r="63" ht="19.95" customHeight="1" s="274">
      <c r="B63" s="160" t="inlineStr">
        <is>
          <t>Logo and sticker printing</t>
        </is>
      </c>
      <c r="C63" s="160" t="n"/>
      <c r="D63" s="168" t="n">
        <v>845</v>
      </c>
      <c r="E63" s="160" t="inlineStr">
        <is>
          <t>Print Shop</t>
        </is>
      </c>
      <c r="F63" s="160" t="inlineStr">
        <is>
          <t>Branding / Signage</t>
        </is>
      </c>
      <c r="G63" s="160" t="inlineStr">
        <is>
          <t>Logo and sticker printing</t>
        </is>
      </c>
    </row>
    <row r="64" ht="19.95" customHeight="1" s="274">
      <c r="B64" s="162" t="inlineStr">
        <is>
          <t>Sign boards, stationary, other decor</t>
        </is>
      </c>
      <c r="C64" s="162" t="n"/>
      <c r="D64" s="181" t="n">
        <v>1555</v>
      </c>
      <c r="E64" s="162" t="inlineStr">
        <is>
          <t>China Shop</t>
        </is>
      </c>
      <c r="F64" s="162" t="inlineStr">
        <is>
          <t>Decor / Signage</t>
        </is>
      </c>
      <c r="G64" s="162" t="inlineStr">
        <is>
          <t>Sign boards, stationary, other decor</t>
        </is>
      </c>
    </row>
    <row r="65" ht="19.95" customHeight="1" s="274">
      <c r="B65" s="160" t="inlineStr">
        <is>
          <t>Logo Box Repair / Fix</t>
        </is>
      </c>
      <c r="C65" s="210" t="n">
        <v>46176</v>
      </c>
      <c r="D65" s="211" t="n">
        <v>900</v>
      </c>
      <c r="E65" s="160" t="inlineStr">
        <is>
          <t>Supplier</t>
        </is>
      </c>
      <c r="F65" s="160" t="inlineStr">
        <is>
          <t>Branding / Signage</t>
        </is>
      </c>
      <c r="G65" s="160" t="inlineStr">
        <is>
          <t>Logo box repair — paid by Shashirekha</t>
        </is>
      </c>
    </row>
    <row r="66" ht="19.95" customHeight="1" s="274">
      <c r="B66" s="159" t="n"/>
      <c r="C66" s="159" t="n"/>
      <c r="D66" s="185" t="n"/>
      <c r="E66" s="159" t="n"/>
      <c r="F66" s="159" t="n"/>
      <c r="G66" s="159" t="n"/>
    </row>
    <row r="67" ht="19.95" customHeight="1" s="274">
      <c r="B67" s="212" t="n"/>
      <c r="C67" s="213" t="n"/>
      <c r="D67" s="214" t="n"/>
      <c r="E67" s="213" t="n"/>
      <c r="F67" s="213" t="n"/>
      <c r="G67" s="212" t="n"/>
    </row>
    <row r="68" ht="19.95" customHeight="1" s="274">
      <c r="B68" s="169" t="inlineStr">
        <is>
          <t>SHASHIREKHA TOTAL</t>
        </is>
      </c>
      <c r="C68" s="199" t="n"/>
      <c r="D68" s="188">
        <f>SUM(D59:D67)</f>
        <v/>
      </c>
      <c r="E68" s="199" t="n"/>
      <c r="F68" s="199" t="n"/>
      <c r="G68" s="175" t="n"/>
      <c r="H68" s="278" t="n"/>
    </row>
    <row r="69" ht="19.95" customHeight="1" s="274"/>
    <row r="70" ht="19.95" customHeight="1" s="274">
      <c r="B70" s="275" t="inlineStr">
        <is>
          <t xml:space="preserve">  F.  GRAND SUMMARY — CAPITAL DEPLOYMENT</t>
        </is>
      </c>
      <c r="C70" s="275" t="n"/>
      <c r="D70" s="275" t="n"/>
      <c r="E70" s="275" t="n"/>
      <c r="F70" s="275" t="n"/>
      <c r="G70" s="166" t="n"/>
      <c r="H70" s="166" t="n"/>
    </row>
    <row r="71" ht="19.95" customHeight="1" s="274">
      <c r="B71" s="167" t="inlineStr">
        <is>
          <t>Line Item</t>
        </is>
      </c>
      <c r="C71" s="169" t="n"/>
      <c r="D71" s="169" t="n"/>
      <c r="E71" s="169" t="n"/>
      <c r="F71" s="169" t="n"/>
      <c r="G71" s="167" t="n"/>
    </row>
    <row r="72" ht="19.95" customHeight="1" s="274">
      <c r="B72" s="160" t="inlineStr">
        <is>
          <t>Total Budget</t>
        </is>
      </c>
      <c r="C72" s="168">
        <f>SUM(D6:D8)</f>
        <v/>
      </c>
      <c r="D72" s="189" t="n"/>
      <c r="E72" s="160" t="inlineStr">
        <is>
          <t>100% of committed capital</t>
        </is>
      </c>
    </row>
    <row r="73" ht="19.95" customHeight="1" s="274">
      <c r="B73" s="162" t="inlineStr">
        <is>
          <t>Acquisition Total</t>
        </is>
      </c>
      <c r="C73" s="181">
        <f>D13</f>
        <v/>
      </c>
      <c r="D73" s="190">
        <f>C73/C72</f>
        <v/>
      </c>
      <c r="E73" s="162" t="inlineStr">
        <is>
          <t>To be paid to previous owners</t>
        </is>
      </c>
    </row>
    <row r="74">
      <c r="B74" s="160" t="inlineStr">
        <is>
          <t>Advance Paid</t>
        </is>
      </c>
      <c r="C74" s="168">
        <f>D14</f>
        <v/>
      </c>
      <c r="D74" s="189">
        <f>C74/C72</f>
        <v/>
      </c>
      <c r="E74" s="160" t="inlineStr">
        <is>
          <t>✅ Already paid</t>
        </is>
      </c>
    </row>
    <row r="75">
      <c r="B75" s="172" t="inlineStr">
        <is>
          <t>Balance Remaining</t>
        </is>
      </c>
      <c r="C75" s="180">
        <f>D23</f>
        <v/>
      </c>
      <c r="D75" s="191">
        <f>C75/C72</f>
        <v/>
      </c>
      <c r="E75" s="172" t="inlineStr">
        <is>
          <t>⏳ Pending — funded by transfers</t>
        </is>
      </c>
    </row>
    <row r="76">
      <c r="B76" s="162" t="inlineStr">
        <is>
          <t>Kashi Ops (excl tr)</t>
        </is>
      </c>
      <c r="C76" s="181">
        <f>SUM(D35:D36)</f>
        <v/>
      </c>
      <c r="D76" s="190">
        <f>C76/C72</f>
        <v/>
      </c>
      <c r="E76" s="162" t="inlineStr">
        <is>
          <t>Soft license + terminal</t>
        </is>
      </c>
    </row>
    <row r="77">
      <c r="B77" s="160" t="inlineStr">
        <is>
          <t>Kashi Transfer</t>
        </is>
      </c>
      <c r="C77" s="168">
        <f>D34</f>
        <v/>
      </c>
      <c r="D77" s="189">
        <f>C77/C72</f>
        <v/>
      </c>
      <c r="E77" s="160" t="n"/>
    </row>
    <row r="78">
      <c r="B78" s="162" t="inlineStr">
        <is>
          <t>Lohith Pre-Opening</t>
        </is>
      </c>
      <c r="C78" s="181">
        <f>D55</f>
        <v/>
      </c>
      <c r="D78" s="190">
        <f>C78/C72</f>
        <v/>
      </c>
      <c r="E78" s="162" t="inlineStr">
        <is>
          <t>Advance + Notary + Poliza + Alejandra</t>
        </is>
      </c>
    </row>
    <row r="79">
      <c r="B79" s="160" t="inlineStr">
        <is>
          <t>Shashi Transfer</t>
        </is>
      </c>
      <c r="C79" s="168">
        <f>D59</f>
        <v/>
      </c>
      <c r="D79" s="189">
        <f>C79/C72</f>
        <v/>
      </c>
      <c r="E79" s="160" t="n"/>
    </row>
    <row r="80">
      <c r="B80" s="162" t="inlineStr">
        <is>
          <t>Shashi Other Exp</t>
        </is>
      </c>
      <c r="C80" s="181">
        <f>SUM(D60:D67)</f>
        <v/>
      </c>
      <c r="D80" s="190">
        <f>C80/C72</f>
        <v/>
      </c>
      <c r="E80" s="162" t="inlineStr">
        <is>
          <t>Yellow rows above</t>
        </is>
      </c>
    </row>
    <row r="81">
      <c r="B81" s="169" t="inlineStr">
        <is>
          <t>Total Cash Out</t>
        </is>
      </c>
      <c r="C81" s="177">
        <f>C73+C76+C78+C80+C83</f>
        <v/>
      </c>
      <c r="D81" s="192">
        <f>C81/C72</f>
        <v/>
      </c>
      <c r="E81" s="169" t="inlineStr">
        <is>
          <t>Actual cash leaving the partnership</t>
        </is>
      </c>
      <c r="F81" s="193" t="n"/>
      <c r="G81" s="176" t="n"/>
    </row>
    <row r="82">
      <c r="B82" s="169" t="inlineStr">
        <is>
          <t>Remaining Budget</t>
        </is>
      </c>
      <c r="C82" s="177">
        <f>C72-C81</f>
        <v/>
      </c>
      <c r="D82" s="192">
        <f>C82/C72</f>
        <v/>
      </c>
      <c r="E82" s="169" t="n"/>
      <c r="F82" s="193" t="n"/>
      <c r="G82" s="176" t="n"/>
    </row>
    <row r="83">
      <c r="B83" s="162" t="inlineStr">
        <is>
          <t>Renovation &amp; Post-Opening CapEx</t>
        </is>
      </c>
      <c r="C83" s="181">
        <f>D115</f>
        <v/>
      </c>
      <c r="D83" s="190">
        <f>C83/C72</f>
        <v/>
      </c>
      <c r="E83" s="162" t="inlineStr">
        <is>
          <t>Section I (bottom of sheet)</t>
        </is>
      </c>
    </row>
    <row r="84" ht="15.6" customHeight="1" s="274">
      <c r="B84" s="166" t="inlineStr">
        <is>
          <t xml:space="preserve">  G.  REMAINING TRANSFERS DUE TO LOHITH REDDY</t>
        </is>
      </c>
      <c r="C84" s="275" t="n"/>
      <c r="D84" s="275" t="n"/>
      <c r="E84" s="275" t="n"/>
      <c r="F84" s="275" t="n"/>
      <c r="G84" s="166" t="n"/>
      <c r="H84" s="166" t="n"/>
    </row>
    <row r="85">
      <c r="B85" s="176" t="inlineStr">
        <is>
          <t>Partner</t>
        </is>
      </c>
      <c r="C85" s="193" t="inlineStr">
        <is>
          <t>Total Budget ($)</t>
        </is>
      </c>
      <c r="D85" s="193" t="inlineStr">
        <is>
          <t>Already Transferred ($)</t>
        </is>
      </c>
      <c r="E85" s="193" t="inlineStr">
        <is>
          <t>Direct Expenses ($)</t>
        </is>
      </c>
      <c r="F85" s="193" t="inlineStr">
        <is>
          <t>Still Owed to Lohith ($)</t>
        </is>
      </c>
      <c r="G85" s="176" t="inlineStr">
        <is>
          <t>Status</t>
        </is>
      </c>
    </row>
    <row r="86">
      <c r="B86" s="161" t="inlineStr">
        <is>
          <t>Kashigoud Patil</t>
        </is>
      </c>
      <c r="C86" s="183">
        <f>D7</f>
        <v/>
      </c>
      <c r="D86" s="183">
        <f>D34</f>
        <v/>
      </c>
      <c r="E86" s="183">
        <f>SUM(D35:D41)</f>
        <v/>
      </c>
      <c r="F86" s="183">
        <f>C86-D86-E86</f>
        <v/>
      </c>
      <c r="G86" s="161" t="inlineStr">
        <is>
          <t>⏳ PENDING</t>
        </is>
      </c>
    </row>
    <row r="87">
      <c r="B87" s="163" t="inlineStr">
        <is>
          <t>Shashirekha Basavaraju</t>
        </is>
      </c>
      <c r="C87" s="186">
        <f>D8</f>
        <v/>
      </c>
      <c r="D87" s="186">
        <f>D59</f>
        <v/>
      </c>
      <c r="E87" s="186">
        <f>SUM(D60:D67)</f>
        <v/>
      </c>
      <c r="F87" s="186">
        <f>C87-D87-E87</f>
        <v/>
      </c>
      <c r="G87" s="163" t="inlineStr">
        <is>
          <t>⏳ PENDING</t>
        </is>
      </c>
    </row>
    <row r="88">
      <c r="B88" s="176" t="inlineStr">
        <is>
          <t>TOTAL</t>
        </is>
      </c>
      <c r="C88" s="194">
        <f>C86+C87</f>
        <v/>
      </c>
      <c r="D88" s="194">
        <f>D86+D87</f>
        <v/>
      </c>
      <c r="E88" s="194">
        <f>E86+E87</f>
        <v/>
      </c>
      <c r="F88" s="194">
        <f>F86+F87</f>
        <v/>
      </c>
      <c r="G88" s="176" t="n"/>
    </row>
    <row r="90" ht="15.6" customHeight="1" s="274">
      <c r="B90" s="166" t="inlineStr">
        <is>
          <t xml:space="preserve">  H.  ACQUISITION PAYMENT — SPLIT BY OWNERSHIP SHARE  ($385,000 BALANCE DUE)</t>
        </is>
      </c>
      <c r="C90" s="275" t="n"/>
      <c r="D90" s="275" t="n"/>
      <c r="E90" s="275" t="n"/>
      <c r="F90" s="275" t="n"/>
      <c r="G90" s="166" t="n"/>
      <c r="H90" s="166" t="n"/>
    </row>
    <row r="91">
      <c r="B91" s="176" t="inlineStr">
        <is>
          <t>Partner</t>
        </is>
      </c>
      <c r="C91" s="193" t="inlineStr">
        <is>
          <t>Share %</t>
        </is>
      </c>
      <c r="D91" s="193" t="inlineStr">
        <is>
          <t>Share of $390k Total ($)</t>
        </is>
      </c>
      <c r="E91" s="193" t="inlineStr">
        <is>
          <t>Advance Credited ($)</t>
        </is>
      </c>
      <c r="F91" s="193" t="inlineStr">
        <is>
          <t>Balance Owed to Prev. Owners ($)</t>
        </is>
      </c>
      <c r="G91" s="176" t="inlineStr">
        <is>
          <t>Status</t>
        </is>
      </c>
    </row>
    <row r="92">
      <c r="B92" s="161" t="inlineStr">
        <is>
          <t>Lohith Reddy</t>
        </is>
      </c>
      <c r="C92" s="200">
        <f>C6</f>
        <v/>
      </c>
      <c r="D92" s="183">
        <f>C92*D13</f>
        <v/>
      </c>
      <c r="E92" s="183">
        <f>D14</f>
        <v/>
      </c>
      <c r="F92" s="183">
        <f>D92-E92</f>
        <v/>
      </c>
      <c r="G92" s="161" t="inlineStr">
        <is>
          <t>⏳ Pending — $134,500 balance outstanding</t>
        </is>
      </c>
    </row>
    <row r="93">
      <c r="B93" s="163" t="inlineStr">
        <is>
          <t>Kashigoud Patil</t>
        </is>
      </c>
      <c r="C93" s="201">
        <f>C7</f>
        <v/>
      </c>
      <c r="D93" s="186">
        <f>C93*D13</f>
        <v/>
      </c>
      <c r="E93" s="186" t="n">
        <v>0</v>
      </c>
      <c r="F93" s="186">
        <f>D93-E93</f>
        <v/>
      </c>
      <c r="G93" s="163" t="inlineStr">
        <is>
          <t>⏳ Pending — $134,500 balance outstanding</t>
        </is>
      </c>
    </row>
    <row r="94">
      <c r="B94" s="161" t="inlineStr">
        <is>
          <t>Shashirekha Basavaraju</t>
        </is>
      </c>
      <c r="C94" s="200">
        <f>C8</f>
        <v/>
      </c>
      <c r="D94" s="183">
        <f>C94*D13</f>
        <v/>
      </c>
      <c r="E94" s="183" t="n">
        <v>0</v>
      </c>
      <c r="F94" s="183">
        <f>D94-E94</f>
        <v/>
      </c>
      <c r="G94" s="161" t="inlineStr">
        <is>
          <t>⏳ Pending — $134,500 balance outstanding</t>
        </is>
      </c>
    </row>
    <row r="95">
      <c r="B95" s="176" t="inlineStr">
        <is>
          <t>TOTAL</t>
        </is>
      </c>
      <c r="C95" s="202" t="n">
        <v>1</v>
      </c>
      <c r="D95" s="194">
        <f>D92+D93+D94</f>
        <v/>
      </c>
      <c r="E95" s="194">
        <f>E92+E93+E94</f>
        <v/>
      </c>
      <c r="F95" s="194">
        <f>F92+F93+F94</f>
        <v/>
      </c>
      <c r="G95" s="176">
        <f>IF(F95=0,"✅ Fully Paid","⏳ Balance: $"&amp;TEXT(F95,"#,##0"))</f>
        <v/>
      </c>
    </row>
    <row r="98" ht="15.6" customHeight="1" s="274">
      <c r="B98" s="166" t="inlineStr">
        <is>
          <t xml:space="preserve">  I.  RENOVATION &amp; CAPITAL EXPENSES — POST-OPENING</t>
        </is>
      </c>
    </row>
    <row r="99">
      <c r="B99" s="176" t="inlineStr">
        <is>
          <t>Description</t>
        </is>
      </c>
      <c r="C99" s="193" t="inlineStr">
        <is>
          <t>Date</t>
        </is>
      </c>
      <c r="D99" s="193" t="inlineStr">
        <is>
          <t>Amount ($)</t>
        </is>
      </c>
      <c r="E99" s="193" t="inlineStr">
        <is>
          <t>Paid By</t>
        </is>
      </c>
      <c r="F99" s="193" t="inlineStr">
        <is>
          <t>Category</t>
        </is>
      </c>
      <c r="G99" s="176" t="inlineStr">
        <is>
          <t>Status</t>
        </is>
      </c>
      <c r="H99" t="inlineStr">
        <is>
          <t>Notes</t>
        </is>
      </c>
    </row>
    <row r="100">
      <c r="C100" s="270" t="n"/>
      <c r="D100" s="271" t="n"/>
    </row>
    <row r="101">
      <c r="C101" s="270" t="n"/>
      <c r="D101" s="271" t="n"/>
    </row>
    <row r="102">
      <c r="C102" s="270" t="n"/>
      <c r="D102" s="271" t="n"/>
    </row>
    <row r="103">
      <c r="C103" s="270" t="n"/>
      <c r="D103" s="271" t="n"/>
    </row>
    <row r="104">
      <c r="C104" s="270" t="n"/>
      <c r="D104" s="271" t="n"/>
    </row>
    <row r="105">
      <c r="C105" s="270" t="n"/>
      <c r="D105" s="271" t="n"/>
    </row>
    <row r="106">
      <c r="C106" s="270" t="n"/>
      <c r="D106" s="271" t="n"/>
    </row>
    <row r="107">
      <c r="C107" s="270" t="n"/>
      <c r="D107" s="271" t="n"/>
    </row>
    <row r="108">
      <c r="C108" s="270" t="n"/>
      <c r="D108" s="271" t="n"/>
    </row>
    <row r="109">
      <c r="C109" s="270" t="n"/>
      <c r="D109" s="271" t="n"/>
    </row>
    <row r="110">
      <c r="C110" s="270" t="n"/>
      <c r="D110" s="271" t="n"/>
    </row>
    <row r="111">
      <c r="C111" s="270" t="n"/>
      <c r="D111" s="271" t="n"/>
    </row>
    <row r="112">
      <c r="C112" s="270" t="n"/>
      <c r="D112" s="271" t="n"/>
    </row>
    <row r="113">
      <c r="C113" s="270" t="n"/>
      <c r="D113" s="271" t="n"/>
    </row>
    <row r="114">
      <c r="C114" s="270" t="n"/>
      <c r="D114" s="271" t="n"/>
    </row>
    <row r="115">
      <c r="B115" s="169" t="inlineStr">
        <is>
          <t>RENOVATION / CAPEX TOTAL</t>
        </is>
      </c>
      <c r="D115" s="177">
        <f>SUM(D100:D114)</f>
        <v/>
      </c>
    </row>
    <row r="116">
      <c r="B116" t="inlineStr">
        <is>
          <t>Log renovation/equipment here with Paid By for partner settlement. If also logged in 💸 Expenses, tag category "Capital Expense — …" so it stays OUT of Daily Log operating costs.</t>
        </is>
      </c>
    </row>
  </sheetData>
  <mergeCells count="5">
    <mergeCell ref="B1:H1"/>
    <mergeCell ref="B4:H4"/>
    <mergeCell ref="B24:H2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4" min="1" max="1"/>
    <col width="18" customWidth="1" style="274" min="2" max="2"/>
    <col width="14" customWidth="1" style="274" min="3" max="7"/>
    <col width="16" customWidth="1" style="274" min="8" max="8"/>
    <col width="14" customWidth="1" style="274" min="9" max="14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4">
      <c r="A2" s="340" t="inlineStr">
        <is>
          <t>🍽️  LOKA Cafe Restaurante</t>
        </is>
      </c>
      <c r="H2" s="313" t="inlineStr">
        <is>
          <t>Restaurant Manager — powered by Soft + Excel</t>
        </is>
      </c>
    </row>
    <row r="3" ht="3.75" customHeight="1" s="274">
      <c r="A3" s="323" t="n"/>
    </row>
    <row r="4" ht="7.5" customHeight="1" s="274"/>
    <row r="5" ht="36" customHeight="1" s="274">
      <c r="B5" s="325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99" t="n"/>
      <c r="D5" s="299" t="n"/>
      <c r="E5" s="299" t="n"/>
      <c r="F5" s="299" t="n"/>
      <c r="G5" s="299" t="n"/>
      <c r="H5" s="299" t="n"/>
      <c r="I5" s="299" t="n"/>
      <c r="J5" s="299" t="n"/>
      <c r="K5" s="299" t="n"/>
      <c r="L5" s="299" t="n"/>
      <c r="M5" s="299" t="n"/>
    </row>
    <row r="6" ht="9.75" customHeight="1" s="274"/>
    <row r="7" ht="19.5" customHeight="1" s="274">
      <c r="B7" s="298" t="inlineStr">
        <is>
          <t xml:space="preserve">  💰  REVENUE  (auto-pulled from Daily Log)</t>
        </is>
      </c>
      <c r="C7" s="299" t="n"/>
      <c r="D7" s="299" t="n"/>
      <c r="E7" s="299" t="n"/>
      <c r="F7" s="299" t="n"/>
      <c r="G7" s="299" t="n"/>
      <c r="H7" s="299" t="n"/>
      <c r="I7" s="299" t="n"/>
      <c r="J7" s="299" t="n"/>
      <c r="K7" s="299" t="n"/>
      <c r="L7" s="299" t="n"/>
      <c r="M7" s="299" t="n"/>
    </row>
    <row r="8" ht="6" customHeight="1" s="274"/>
    <row r="9" ht="18" customHeight="1" s="274">
      <c r="B9" s="286" t="inlineStr">
        <is>
          <t>TODAY'S REVENUE</t>
        </is>
      </c>
      <c r="C9" s="284" t="n"/>
      <c r="D9" s="286" t="inlineStr">
        <is>
          <t>WEEK REVENUE</t>
        </is>
      </c>
      <c r="E9" s="284" t="n"/>
      <c r="F9" s="286" t="inlineStr">
        <is>
          <t>MONTH REVENUE</t>
        </is>
      </c>
      <c r="G9" s="284" t="n"/>
      <c r="H9" s="286" t="inlineStr">
        <is>
          <t>TODAY'S EXPENSES</t>
        </is>
      </c>
      <c r="I9" s="284" t="n"/>
      <c r="J9" s="286" t="inlineStr">
        <is>
          <t>TODAY'S NET PROFIT</t>
        </is>
      </c>
      <c r="K9" s="284" t="n"/>
      <c r="L9" s="286" t="inlineStr">
        <is>
          <t>AVG TICKET</t>
        </is>
      </c>
      <c r="M9" s="284" t="n"/>
    </row>
    <row r="10" ht="19.5" customHeight="1" s="274">
      <c r="B10" s="319">
        <f>'📅 Daily Log'!F6</f>
        <v/>
      </c>
      <c r="C10" s="289" t="n"/>
      <c r="D10" s="288">
        <f>'📅 Daily Log'!N6</f>
        <v/>
      </c>
      <c r="E10" s="289" t="n"/>
      <c r="F10" s="315">
        <f>'📅 Daily Log'!O6</f>
        <v/>
      </c>
      <c r="G10" s="289" t="n"/>
      <c r="H10" s="293">
        <f>'📅 Daily Log'!H6</f>
        <v/>
      </c>
      <c r="I10" s="289" t="n"/>
      <c r="J10" s="319">
        <f>'📅 Daily Log'!I6</f>
        <v/>
      </c>
      <c r="K10" s="289" t="n"/>
      <c r="L10" s="338">
        <f>IFERROR('📅 Daily Log'!F6/'📅 Daily Log'!G6,0)</f>
        <v/>
      </c>
      <c r="M10" s="289" t="n"/>
    </row>
    <row r="11" ht="19.5" customHeight="1" s="274">
      <c r="B11" s="290" t="n"/>
      <c r="D11" s="290" t="n"/>
      <c r="F11" s="290" t="n"/>
      <c r="H11" s="290" t="n"/>
      <c r="J11" s="290" t="n"/>
      <c r="L11" s="290" t="n"/>
    </row>
    <row r="12" ht="19.5" customHeight="1" s="274">
      <c r="B12" s="290" t="n"/>
      <c r="D12" s="290" t="n"/>
      <c r="F12" s="290" t="n"/>
      <c r="H12" s="290" t="n"/>
      <c r="J12" s="290" t="n"/>
      <c r="L12" s="290" t="n"/>
    </row>
    <row r="13" ht="9.75" customHeight="1" s="274"/>
    <row r="14" ht="19.5" customHeight="1" s="274">
      <c r="B14" s="298" t="inlineStr">
        <is>
          <t xml:space="preserve">  📊  OPERATIONS</t>
        </is>
      </c>
      <c r="C14" s="299" t="n"/>
      <c r="D14" s="299" t="n"/>
      <c r="E14" s="299" t="n"/>
      <c r="F14" s="299" t="n"/>
      <c r="G14" s="299" t="n"/>
      <c r="H14" s="299" t="n"/>
      <c r="I14" s="299" t="n"/>
      <c r="J14" s="299" t="n"/>
      <c r="K14" s="299" t="n"/>
      <c r="L14" s="299" t="n"/>
      <c r="M14" s="299" t="n"/>
    </row>
    <row r="15" ht="6" customHeight="1" s="274"/>
    <row r="16" ht="18" customHeight="1" s="274">
      <c r="B16" s="286" t="inlineStr">
        <is>
          <t>TODAY'S ORDERS</t>
        </is>
      </c>
      <c r="C16" s="284" t="n"/>
      <c r="D16" s="286" t="inlineStr">
        <is>
          <t>WEEK ORDERS</t>
        </is>
      </c>
      <c r="E16" s="284" t="n"/>
      <c r="F16" s="286" t="inlineStr">
        <is>
          <t>PROFIT MARGIN %</t>
        </is>
      </c>
      <c r="G16" s="284" t="n"/>
      <c r="H16" s="286" t="inlineStr">
        <is>
          <t>LOW STOCK ITEMS</t>
        </is>
      </c>
      <c r="I16" s="284" t="n"/>
      <c r="J16" s="286" t="inlineStr">
        <is>
          <t>WEEK EXPENSES</t>
        </is>
      </c>
      <c r="K16" s="284" t="n"/>
      <c r="L16" s="286" t="inlineStr">
        <is>
          <t>PENDING ORDERS</t>
        </is>
      </c>
      <c r="M16" s="284" t="n"/>
    </row>
    <row r="17" ht="19.5" customHeight="1" s="274">
      <c r="B17" s="321">
        <f>'📅 Daily Log'!G6</f>
        <v/>
      </c>
      <c r="C17" s="289" t="n"/>
      <c r="D17" s="321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89" t="n"/>
      <c r="F17" s="327">
        <f>IFERROR('📅 Daily Log'!J6,0)</f>
        <v/>
      </c>
      <c r="G17" s="289" t="n"/>
      <c r="H17" s="328">
        <f>'📦 Inventory'!H5</f>
        <v/>
      </c>
      <c r="I17" s="289" t="n"/>
      <c r="J17" s="293">
        <f>'📅 Daily Log'!P6</f>
        <v/>
      </c>
      <c r="K17" s="289" t="n"/>
      <c r="L17" s="295">
        <f>'🚚 Suppliers'!H5</f>
        <v/>
      </c>
      <c r="M17" s="289" t="n"/>
    </row>
    <row r="18" ht="19.5" customHeight="1" s="274">
      <c r="B18" s="290" t="n"/>
      <c r="D18" s="290" t="n"/>
      <c r="F18" s="290" t="n"/>
      <c r="H18" s="290" t="n"/>
      <c r="J18" s="290" t="n"/>
      <c r="L18" s="290" t="n"/>
    </row>
    <row r="19" ht="19.5" customHeight="1" s="274">
      <c r="B19" s="290" t="n"/>
      <c r="D19" s="290" t="n"/>
      <c r="F19" s="290" t="n"/>
      <c r="H19" s="290" t="n"/>
      <c r="J19" s="290" t="n"/>
      <c r="L19" s="290" t="n"/>
    </row>
    <row r="20" ht="9.75" customHeight="1" s="274"/>
    <row r="21" ht="19.5" customHeight="1" s="274">
      <c r="B21" s="298" t="inlineStr">
        <is>
          <t xml:space="preserve">  📅  LAST 10 DAYS  (from Daily Log — updates automatically)</t>
        </is>
      </c>
      <c r="C21" s="299" t="n"/>
      <c r="D21" s="299" t="n"/>
      <c r="E21" s="299" t="n"/>
      <c r="F21" s="299" t="n"/>
      <c r="G21" s="299" t="n"/>
      <c r="H21" s="299" t="n"/>
      <c r="I21" s="299" t="n"/>
      <c r="J21" s="299" t="n"/>
      <c r="K21" s="299" t="n"/>
      <c r="L21" s="299" t="n"/>
      <c r="M21" s="299" t="n"/>
    </row>
    <row r="22" ht="27.75" customHeight="1" s="274">
      <c r="B22" s="279" t="inlineStr">
        <is>
          <t>Date</t>
        </is>
      </c>
      <c r="C22" s="279" t="inlineStr">
        <is>
          <t>Day</t>
        </is>
      </c>
      <c r="D22" s="279" t="inlineStr">
        <is>
          <t>Revenue ($)</t>
        </is>
      </c>
      <c r="E22" s="279" t="inlineStr">
        <is>
          <t>Orders</t>
        </is>
      </c>
      <c r="F22" s="279" t="inlineStr">
        <is>
          <t>Avg Ticket</t>
        </is>
      </c>
      <c r="G22" s="279" t="inlineStr">
        <is>
          <t>Expenses ($)</t>
        </is>
      </c>
      <c r="H22" s="279" t="inlineStr">
        <is>
          <t>Net Profit ($)</t>
        </is>
      </c>
      <c r="I22" s="279" t="inlineStr">
        <is>
          <t>Margin %</t>
        </is>
      </c>
      <c r="J22" s="279" t="inlineStr">
        <is>
          <t>Notes</t>
        </is>
      </c>
      <c r="K22" s="316" t="inlineStr">
        <is>
          <t>vs Prev Day</t>
        </is>
      </c>
      <c r="L22" s="284" t="n"/>
      <c r="M22" s="280" t="n"/>
    </row>
    <row r="23" ht="16.5" customHeight="1" s="274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01" t="inlineStr">
        <is>
          <t>—</t>
        </is>
      </c>
      <c r="L23" s="284" t="n"/>
      <c r="M23" s="280" t="n"/>
    </row>
    <row r="24" ht="16.5" customHeight="1" s="274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83">
        <f>IFERROR(IF(D24&gt;D23,"▲ +"&amp;TEXT(D24-D23,"$#,##0"),IF(D24&lt;D23,"▼ "&amp;TEXT(D24-D23,"$#,##0"),"— same")),"")</f>
        <v/>
      </c>
      <c r="L24" s="284" t="n"/>
      <c r="M24" s="280" t="n"/>
    </row>
    <row r="25" ht="16.5" customHeight="1" s="274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01">
        <f>IFERROR(IF(D25&gt;D24,"▲ +"&amp;TEXT(D25-D24,"$#,##0"),IF(D25&lt;D24,"▼ "&amp;TEXT(D25-D24,"$#,##0"),"— same")),"")</f>
        <v/>
      </c>
      <c r="L25" s="284" t="n"/>
      <c r="M25" s="280" t="n"/>
    </row>
    <row r="26" ht="16.5" customHeight="1" s="274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83">
        <f>IFERROR(IF(D26&gt;D25,"▲ +"&amp;TEXT(D26-D25,"$#,##0"),IF(D26&lt;D25,"▼ "&amp;TEXT(D26-D25,"$#,##0"),"— same")),"")</f>
        <v/>
      </c>
      <c r="L26" s="284" t="n"/>
      <c r="M26" s="280" t="n"/>
    </row>
    <row r="27" ht="16.5" customHeight="1" s="274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01">
        <f>IFERROR(IF(D27&gt;D26,"▲ +"&amp;TEXT(D27-D26,"$#,##0"),IF(D27&lt;D26,"▼ "&amp;TEXT(D27-D26,"$#,##0"),"— same")),"")</f>
        <v/>
      </c>
      <c r="L27" s="284" t="n"/>
      <c r="M27" s="280" t="n"/>
    </row>
    <row r="28" ht="16.5" customHeight="1" s="274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83">
        <f>IFERROR(IF(D28&gt;D27,"▲ +"&amp;TEXT(D28-D27,"$#,##0"),IF(D28&lt;D27,"▼ "&amp;TEXT(D28-D27,"$#,##0"),"— same")),"")</f>
        <v/>
      </c>
      <c r="L28" s="284" t="n"/>
      <c r="M28" s="280" t="n"/>
    </row>
    <row r="29" ht="16.5" customHeight="1" s="274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01">
        <f>IFERROR(IF(D29&gt;D28,"▲ +"&amp;TEXT(D29-D28,"$#,##0"),IF(D29&lt;D28,"▼ "&amp;TEXT(D29-D28,"$#,##0"),"— same")),"")</f>
        <v/>
      </c>
      <c r="L29" s="284" t="n"/>
      <c r="M29" s="280" t="n"/>
    </row>
    <row r="30" ht="16.5" customHeight="1" s="274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83">
        <f>IFERROR(IF(D30&gt;D29,"▲ +"&amp;TEXT(D30-D29,"$#,##0"),IF(D30&lt;D29,"▼ "&amp;TEXT(D30-D29,"$#,##0"),"— same")),"")</f>
        <v/>
      </c>
      <c r="L30" s="284" t="n"/>
      <c r="M30" s="280" t="n"/>
    </row>
    <row r="31" ht="16.5" customHeight="1" s="274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01">
        <f>IFERROR(IF(D31&gt;D30,"▲ +"&amp;TEXT(D31-D30,"$#,##0"),IF(D31&lt;D30,"▼ "&amp;TEXT(D31-D30,"$#,##0"),"— same")),"")</f>
        <v/>
      </c>
      <c r="L31" s="284" t="n"/>
      <c r="M31" s="280" t="n"/>
    </row>
    <row r="32" ht="16.5" customHeight="1" s="274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83">
        <f>IFERROR(IF(D32&gt;D31,"▲ +"&amp;TEXT(D32-D31,"$#,##0"),IF(D32&lt;D31,"▼ "&amp;TEXT(D32-D31,"$#,##0"),"— same")),"")</f>
        <v/>
      </c>
      <c r="L32" s="284" t="n"/>
      <c r="M32" s="280" t="n"/>
    </row>
    <row r="33" ht="9.75" customHeight="1" s="274"/>
    <row r="34" ht="19.5" customHeight="1" s="274">
      <c r="B34" s="298" t="inlineStr">
        <is>
          <t xml:space="preserve">  ⚠️  INVENTORY ALERTS  (from Inventory sheet)</t>
        </is>
      </c>
      <c r="C34" s="299" t="n"/>
      <c r="D34" s="299" t="n"/>
      <c r="E34" s="299" t="n"/>
      <c r="F34" s="299" t="n"/>
      <c r="G34" s="299" t="n"/>
      <c r="H34" s="299" t="n"/>
      <c r="I34" s="299" t="n"/>
      <c r="J34" s="299" t="n"/>
      <c r="K34" s="299" t="n"/>
      <c r="L34" s="299" t="n"/>
      <c r="M34" s="299" t="n"/>
    </row>
    <row r="35" ht="27.75" customHeight="1" s="274">
      <c r="B35" s="279" t="inlineStr">
        <is>
          <t>Ingredient</t>
        </is>
      </c>
      <c r="C35" s="284" t="n"/>
      <c r="D35" s="280" t="n"/>
      <c r="E35" s="279" t="n"/>
      <c r="F35" s="279" t="inlineStr">
        <is>
          <t>Min Level</t>
        </is>
      </c>
      <c r="G35" s="280" t="n"/>
      <c r="H35" s="279" t="inlineStr">
        <is>
          <t>Status</t>
        </is>
      </c>
      <c r="I35" s="280" t="n"/>
      <c r="J35" s="279" t="inlineStr">
        <is>
          <t>Action Needed</t>
        </is>
      </c>
      <c r="K35" s="284" t="n"/>
      <c r="L35" s="284" t="n"/>
      <c r="M35" s="280" t="n"/>
    </row>
    <row r="36" ht="16.5" customHeight="1" s="274">
      <c r="B36" s="324">
        <f>'📦 Inventory'!B9</f>
        <v/>
      </c>
      <c r="C36" s="284" t="n"/>
      <c r="D36" s="284" t="n"/>
      <c r="E36" s="309">
        <f>'📦 Inventory'!E9</f>
        <v/>
      </c>
      <c r="F36" s="284" t="n"/>
      <c r="G36" s="318">
        <f>'📦 Inventory'!F9</f>
        <v/>
      </c>
      <c r="H36" s="284" t="n"/>
      <c r="I36" s="291">
        <f>'📦 Inventory'!J9</f>
        <v/>
      </c>
      <c r="J36" s="284" t="n"/>
      <c r="K36" s="291">
        <f>IF('📦 Inventory'!E9=0,"🚫 Order immediately",IF('📦 Inventory'!E9&lt;='📦 Inventory'!F9,"⚠️ Reorder soon","✅ OK"))</f>
        <v/>
      </c>
      <c r="L36" s="284" t="n"/>
      <c r="M36" s="284" t="n"/>
    </row>
    <row r="37" ht="16.5" customHeight="1" s="274">
      <c r="B37" s="300">
        <f>'📦 Inventory'!B10</f>
        <v/>
      </c>
      <c r="C37" s="284" t="n"/>
      <c r="D37" s="284" t="n"/>
      <c r="E37" s="334">
        <f>'📦 Inventory'!E10</f>
        <v/>
      </c>
      <c r="F37" s="284" t="n"/>
      <c r="G37" s="335">
        <f>'📦 Inventory'!F10</f>
        <v/>
      </c>
      <c r="H37" s="284" t="n"/>
      <c r="I37" s="336">
        <f>'📦 Inventory'!J10</f>
        <v/>
      </c>
      <c r="J37" s="284" t="n"/>
      <c r="K37" s="336">
        <f>IF('📦 Inventory'!E10=0,"🚫 Order immediately",IF('📦 Inventory'!E10&lt;='📦 Inventory'!F10,"⚠️ Reorder soon","✅ OK"))</f>
        <v/>
      </c>
      <c r="L37" s="284" t="n"/>
      <c r="M37" s="284" t="n"/>
    </row>
    <row r="38" ht="16.5" customHeight="1" s="274">
      <c r="B38" s="324">
        <f>'📦 Inventory'!B11</f>
        <v/>
      </c>
      <c r="C38" s="284" t="n"/>
      <c r="D38" s="284" t="n"/>
      <c r="E38" s="309">
        <f>'📦 Inventory'!E11</f>
        <v/>
      </c>
      <c r="F38" s="284" t="n"/>
      <c r="G38" s="318">
        <f>'📦 Inventory'!F11</f>
        <v/>
      </c>
      <c r="H38" s="284" t="n"/>
      <c r="I38" s="291">
        <f>'📦 Inventory'!J11</f>
        <v/>
      </c>
      <c r="J38" s="284" t="n"/>
      <c r="K38" s="291">
        <f>IF('📦 Inventory'!E11=0,"🚫 Order immediately",IF('📦 Inventory'!E11&lt;='📦 Inventory'!F11,"⚠️ Reorder soon","✅ OK"))</f>
        <v/>
      </c>
      <c r="L38" s="284" t="n"/>
      <c r="M38" s="284" t="n"/>
    </row>
    <row r="39" ht="16.5" customHeight="1" s="274">
      <c r="B39" s="300">
        <f>'📦 Inventory'!B12</f>
        <v/>
      </c>
      <c r="C39" s="284" t="n"/>
      <c r="D39" s="284" t="n"/>
      <c r="E39" s="334">
        <f>'📦 Inventory'!E12</f>
        <v/>
      </c>
      <c r="F39" s="284" t="n"/>
      <c r="G39" s="335">
        <f>'📦 Inventory'!F12</f>
        <v/>
      </c>
      <c r="H39" s="284" t="n"/>
      <c r="I39" s="336">
        <f>'📦 Inventory'!J12</f>
        <v/>
      </c>
      <c r="J39" s="284" t="n"/>
      <c r="K39" s="336">
        <f>IF('📦 Inventory'!E12=0,"🚫 Order immediately",IF('📦 Inventory'!E12&lt;='📦 Inventory'!F12,"⚠️ Reorder soon","✅ OK"))</f>
        <v/>
      </c>
      <c r="L39" s="284" t="n"/>
      <c r="M39" s="284" t="n"/>
    </row>
    <row r="40" ht="16.5" customHeight="1" s="274">
      <c r="B40" s="324">
        <f>'📦 Inventory'!B13</f>
        <v/>
      </c>
      <c r="C40" s="284" t="n"/>
      <c r="D40" s="284" t="n"/>
      <c r="E40" s="309">
        <f>'📦 Inventory'!E13</f>
        <v/>
      </c>
      <c r="F40" s="284" t="n"/>
      <c r="G40" s="318">
        <f>'📦 Inventory'!F13</f>
        <v/>
      </c>
      <c r="H40" s="284" t="n"/>
      <c r="I40" s="291">
        <f>'📦 Inventory'!J13</f>
        <v/>
      </c>
      <c r="J40" s="284" t="n"/>
      <c r="K40" s="291">
        <f>IF('📦 Inventory'!E13=0,"🚫 Order immediately",IF('📦 Inventory'!E13&lt;='📦 Inventory'!F13,"⚠️ Reorder soon","✅ OK"))</f>
        <v/>
      </c>
      <c r="L40" s="284" t="n"/>
      <c r="M40" s="284" t="n"/>
    </row>
    <row r="41" ht="7.5" customHeight="1" s="274"/>
    <row r="42" ht="30" customHeight="1" s="274">
      <c r="B42" s="285" t="inlineStr">
        <is>
          <t>💼  CAPITAL &amp; ACQUISITION STATUS  —  live from Capital &amp; Ownership sheet</t>
        </is>
      </c>
    </row>
    <row r="43" ht="6" customHeight="1" s="274"/>
    <row r="44" ht="16.05" customHeight="1" s="274">
      <c r="B44" s="337" t="inlineStr">
        <is>
          <t>TOTAL BUDGET</t>
        </is>
      </c>
      <c r="C44" s="278" t="n"/>
      <c r="D44" s="347" t="inlineStr">
        <is>
          <t>TOTAL CASH OUT</t>
        </is>
      </c>
      <c r="E44" s="278" t="n"/>
      <c r="F44" s="348" t="inlineStr">
        <is>
          <t>REMAINING BUDGET</t>
        </is>
      </c>
      <c r="G44" s="278" t="n"/>
      <c r="H44" s="344" t="inlineStr">
        <is>
          <t>ACQUISITION PRICE</t>
        </is>
      </c>
      <c r="I44" s="278" t="n"/>
      <c r="J44" s="341" t="inlineStr">
        <is>
          <t>ADVANCE PAID</t>
        </is>
      </c>
      <c r="K44" s="278" t="n"/>
      <c r="L44" s="329" t="inlineStr">
        <is>
          <t>BALANCE PENDING</t>
        </is>
      </c>
      <c r="M44" s="278" t="n"/>
    </row>
    <row r="45" ht="22.05" customHeight="1" s="274">
      <c r="B45" s="339">
        <f>'Capital &amp; Ownership'!C63</f>
        <v/>
      </c>
      <c r="C45" s="278" t="n"/>
      <c r="D45" s="297">
        <f>'Capital &amp; Ownership'!C72</f>
        <v/>
      </c>
      <c r="E45" s="278" t="n"/>
      <c r="F45" s="320">
        <f>'Capital &amp; Ownership'!C73</f>
        <v/>
      </c>
      <c r="G45" s="278" t="n"/>
      <c r="H45" s="307">
        <f>'Capital &amp; Ownership'!C64</f>
        <v/>
      </c>
      <c r="I45" s="278" t="n"/>
      <c r="J45" s="303">
        <f>'Capital &amp; Ownership'!C65</f>
        <v/>
      </c>
      <c r="K45" s="278" t="n"/>
      <c r="L45" s="304">
        <f>'Capital &amp; Ownership'!C66</f>
        <v/>
      </c>
      <c r="M45" s="278" t="n"/>
    </row>
    <row r="46" ht="16.05" customHeight="1" s="274">
      <c r="B46" s="342" t="inlineStr">
        <is>
          <t>All 3 partners</t>
        </is>
      </c>
      <c r="C46" s="278" t="n"/>
      <c r="D46" s="343" t="inlineStr">
        <is>
          <t>Excl. internal transfers</t>
        </is>
      </c>
      <c r="E46" s="278" t="n"/>
      <c r="F46" s="326" t="inlineStr">
        <is>
          <t>Available for operations</t>
        </is>
      </c>
      <c r="G46" s="278" t="n"/>
      <c r="H46" s="345" t="inlineStr">
        <is>
          <t>To previous owners</t>
        </is>
      </c>
      <c r="I46" s="278" t="n"/>
      <c r="J46" s="330" t="inlineStr">
        <is>
          <t>✅ Paid by Lohith</t>
        </is>
      </c>
      <c r="K46" s="278" t="n"/>
      <c r="L46" s="331" t="inlineStr">
        <is>
          <t>⏳ Outstanding</t>
        </is>
      </c>
      <c r="M46" s="278" t="n"/>
    </row>
    <row r="47" ht="7.95" customHeight="1" s="274"/>
    <row r="48" ht="22.05" customHeight="1" s="274">
      <c r="B48" s="333" t="inlineStr">
        <is>
          <t xml:space="preserve">  👥  OWNER CAPITAL SUMMARY</t>
        </is>
      </c>
    </row>
    <row r="49" ht="19.95" customHeight="1" s="274">
      <c r="B49" s="311" t="inlineStr">
        <is>
          <t>OWNER</t>
        </is>
      </c>
      <c r="C49" s="278" t="n"/>
      <c r="D49" s="311" t="inlineStr">
        <is>
          <t>SHARE %</t>
        </is>
      </c>
      <c r="E49" s="278" t="n"/>
      <c r="F49" s="311" t="inlineStr">
        <is>
          <t>CAPITAL ($)</t>
        </is>
      </c>
      <c r="G49" s="311" t="inlineStr">
        <is>
          <t>ROLE</t>
        </is>
      </c>
      <c r="H49" s="311" t="inlineStr">
        <is>
          <t>EXPENSES ($)</t>
        </is>
      </c>
      <c r="I49" s="278" t="n"/>
      <c r="J49" s="311" t="inlineStr">
        <is>
          <t>REMAINING ($)</t>
        </is>
      </c>
      <c r="K49" s="278" t="n"/>
      <c r="L49" s="311" t="inlineStr">
        <is>
          <t>% SPENT</t>
        </is>
      </c>
      <c r="M49" s="278" t="n"/>
    </row>
    <row r="50" ht="19.95" customHeight="1" s="274">
      <c r="B50" s="310">
        <f>'Capital &amp; Ownership'!B6</f>
        <v/>
      </c>
      <c r="C50" s="278" t="n"/>
      <c r="D50" s="296">
        <f>'Capital &amp; Ownership'!C6</f>
        <v/>
      </c>
      <c r="E50" s="278" t="n"/>
      <c r="F50" s="305">
        <f>'Capital &amp; Ownership'!D6</f>
        <v/>
      </c>
      <c r="G50" s="287" t="inlineStr">
        <is>
          <t>50% — Managing Partner</t>
        </is>
      </c>
      <c r="H50" s="305">
        <f>'Capital &amp; Ownership'!E6</f>
        <v/>
      </c>
      <c r="I50" s="278" t="n"/>
      <c r="J50" s="305">
        <f>'Capital &amp; Ownership'!F6</f>
        <v/>
      </c>
      <c r="K50" s="278" t="n"/>
      <c r="L50" s="296">
        <f>IFERROR('Capital &amp; Ownership'!E6/'Capital &amp; Ownership'!D6,0)</f>
        <v/>
      </c>
      <c r="M50" s="278" t="n"/>
    </row>
    <row r="51" ht="19.95" customHeight="1" s="274">
      <c r="B51" s="312">
        <f>'Capital &amp; Ownership'!B7</f>
        <v/>
      </c>
      <c r="C51" s="278" t="n"/>
      <c r="D51" s="314">
        <f>'Capital &amp; Ownership'!C7</f>
        <v/>
      </c>
      <c r="E51" s="278" t="n"/>
      <c r="F51" s="332">
        <f>'Capital &amp; Ownership'!D7</f>
        <v/>
      </c>
      <c r="G51" s="26" t="inlineStr">
        <is>
          <t>30% — Partner</t>
        </is>
      </c>
      <c r="H51" s="332">
        <f>'Capital &amp; Ownership'!E7</f>
        <v/>
      </c>
      <c r="I51" s="278" t="n"/>
      <c r="J51" s="332">
        <f>'Capital &amp; Ownership'!F7</f>
        <v/>
      </c>
      <c r="K51" s="278" t="n"/>
      <c r="L51" s="314">
        <f>IFERROR('Capital &amp; Ownership'!E7/'Capital &amp; Ownership'!D7,0)</f>
        <v/>
      </c>
      <c r="M51" s="278" t="n"/>
    </row>
    <row r="52" ht="19.95" customHeight="1" s="274">
      <c r="B52" s="310">
        <f>'Capital &amp; Ownership'!B8</f>
        <v/>
      </c>
      <c r="C52" s="278" t="n"/>
      <c r="D52" s="296">
        <f>'Capital &amp; Ownership'!C8</f>
        <v/>
      </c>
      <c r="E52" s="278" t="n"/>
      <c r="F52" s="305">
        <f>'Capital &amp; Ownership'!D8</f>
        <v/>
      </c>
      <c r="G52" s="287" t="inlineStr">
        <is>
          <t>20% — Partner</t>
        </is>
      </c>
      <c r="H52" s="305">
        <f>'Capital &amp; Ownership'!E8</f>
        <v/>
      </c>
      <c r="I52" s="278" t="n"/>
      <c r="J52" s="305">
        <f>'Capital &amp; Ownership'!F8</f>
        <v/>
      </c>
      <c r="K52" s="278" t="n"/>
      <c r="L52" s="296">
        <f>IFERROR('Capital &amp; Ownership'!E8/'Capital &amp; Ownership'!D8,0)</f>
        <v/>
      </c>
      <c r="M52" s="278" t="n"/>
    </row>
    <row r="53" ht="22.05" customHeight="1" s="274">
      <c r="B53" s="322" t="inlineStr">
        <is>
          <t>TOTAL</t>
        </is>
      </c>
      <c r="C53" s="278" t="n"/>
      <c r="D53" s="294">
        <f>'Capital &amp; Ownership'!C9</f>
        <v/>
      </c>
      <c r="E53" s="278" t="n"/>
      <c r="F53" s="277">
        <f>'Capital &amp; Ownership'!D9</f>
        <v/>
      </c>
      <c r="G53" s="311" t="n"/>
      <c r="H53" s="277">
        <f>'Capital &amp; Ownership'!E9</f>
        <v/>
      </c>
      <c r="I53" s="278" t="n"/>
      <c r="J53" s="277">
        <f>'Capital &amp; Ownership'!F9</f>
        <v/>
      </c>
      <c r="K53" s="278" t="n"/>
      <c r="L53" s="294">
        <f>IFERROR('Capital &amp; Ownership'!E9/'Capital &amp; Ownership'!D9,0)</f>
        <v/>
      </c>
      <c r="M53" s="278" t="n"/>
    </row>
    <row r="54" ht="7.95" customHeight="1" s="274"/>
    <row r="55" ht="22.05" customHeight="1" s="274">
      <c r="B55" s="333" t="inlineStr">
        <is>
          <t xml:space="preserve">  🧾  PRE-OPENING EXPENSES BREAKDOWN</t>
        </is>
      </c>
    </row>
    <row r="56" ht="19.95" customHeight="1" s="274">
      <c r="B56" s="311" t="inlineStr">
        <is>
          <t>EXPENSE ITEM</t>
        </is>
      </c>
      <c r="C56" s="282" t="n"/>
      <c r="D56" s="278" t="n"/>
      <c r="E56" s="311" t="inlineStr">
        <is>
          <t>PAID BY</t>
        </is>
      </c>
      <c r="F56" s="278" t="n"/>
      <c r="G56" s="311" t="inlineStr">
        <is>
          <t>AMOUNT ($)</t>
        </is>
      </c>
      <c r="H56" s="278" t="n"/>
      <c r="I56" s="311" t="inlineStr">
        <is>
          <t>CATEGORY</t>
        </is>
      </c>
      <c r="J56" s="278" t="n"/>
      <c r="K56" s="311" t="inlineStr">
        <is>
          <t>STATUS</t>
        </is>
      </c>
      <c r="L56" s="278" t="n"/>
    </row>
    <row r="57" ht="19.95" customHeight="1" s="274">
      <c r="B57" s="292">
        <f>'Capital &amp; Ownership'!B13</f>
        <v/>
      </c>
      <c r="C57" s="282" t="n"/>
      <c r="D57" s="278" t="n"/>
      <c r="E57" s="317" t="inlineStr">
        <is>
          <t>All Partners</t>
        </is>
      </c>
      <c r="F57" s="278" t="n"/>
      <c r="G57" s="302">
        <f>'Capital &amp; Ownership'!D13</f>
        <v/>
      </c>
      <c r="H57" s="278" t="n"/>
      <c r="I57" s="317" t="inlineStr">
        <is>
          <t>Acquisition</t>
        </is>
      </c>
      <c r="J57" s="278" t="n"/>
      <c r="K57" s="317" t="inlineStr">
        <is>
          <t>⚠️ Not Fully Paid</t>
        </is>
      </c>
      <c r="L57" s="278" t="n"/>
    </row>
    <row r="58" ht="19.95" customHeight="1" s="274">
      <c r="B58" s="281">
        <f>'Capital &amp; Ownership'!B14</f>
        <v/>
      </c>
      <c r="C58" s="282" t="n"/>
      <c r="D58" s="278" t="n"/>
      <c r="E58" s="306" t="inlineStr">
        <is>
          <t>Lohith Reddy</t>
        </is>
      </c>
      <c r="F58" s="278" t="n"/>
      <c r="G58" s="308">
        <f>'Capital &amp; Ownership'!D14</f>
        <v/>
      </c>
      <c r="H58" s="278" t="n"/>
      <c r="I58" s="306" t="inlineStr">
        <is>
          <t>Acquisition Advance</t>
        </is>
      </c>
      <c r="J58" s="278" t="n"/>
      <c r="K58" s="306" t="inlineStr">
        <is>
          <t>✅ Paid</t>
        </is>
      </c>
      <c r="L58" s="278" t="n"/>
    </row>
    <row r="59" ht="19.95" customHeight="1" s="274">
      <c r="B59" s="281">
        <f>'Capital &amp; Ownership'!B27</f>
        <v/>
      </c>
      <c r="C59" s="282" t="n"/>
      <c r="D59" s="278" t="n"/>
      <c r="E59" s="306" t="inlineStr">
        <is>
          <t>Kashigoud Patil</t>
        </is>
      </c>
      <c r="F59" s="278" t="n"/>
      <c r="G59" s="308">
        <f>'Capital &amp; Ownership'!D27</f>
        <v/>
      </c>
      <c r="H59" s="278" t="n"/>
      <c r="I59" s="306" t="inlineStr">
        <is>
          <t>Software / License</t>
        </is>
      </c>
      <c r="J59" s="278" t="n"/>
      <c r="K59" s="306" t="inlineStr">
        <is>
          <t>✅ Paid</t>
        </is>
      </c>
      <c r="L59" s="278" t="n"/>
    </row>
    <row r="60" ht="19.95" customHeight="1" s="274">
      <c r="B60" s="281">
        <f>'Capital &amp; Ownership'!B28</f>
        <v/>
      </c>
      <c r="C60" s="282" t="n"/>
      <c r="D60" s="278" t="n"/>
      <c r="E60" s="306" t="inlineStr">
        <is>
          <t>Kashigoud Patil</t>
        </is>
      </c>
      <c r="F60" s="278" t="n"/>
      <c r="G60" s="308">
        <f>'Capital &amp; Ownership'!D28</f>
        <v/>
      </c>
      <c r="H60" s="278" t="n"/>
      <c r="I60" s="306" t="inlineStr">
        <is>
          <t>Equipment</t>
        </is>
      </c>
      <c r="J60" s="278" t="n"/>
      <c r="K60" s="306" t="inlineStr">
        <is>
          <t>✅ Paid</t>
        </is>
      </c>
      <c r="L60" s="278" t="n"/>
    </row>
    <row r="61" ht="19.95" customHeight="1" s="274">
      <c r="B61" s="310">
        <f>'Capital &amp; Ownership'!B39</f>
        <v/>
      </c>
      <c r="C61" s="282" t="n"/>
      <c r="D61" s="278" t="n"/>
      <c r="E61" s="287" t="inlineStr">
        <is>
          <t>Lohith Reddy</t>
        </is>
      </c>
      <c r="F61" s="278" t="n"/>
      <c r="G61" s="305">
        <f>'Capital &amp; Ownership'!D39</f>
        <v/>
      </c>
      <c r="H61" s="278" t="n"/>
      <c r="I61" s="287" t="inlineStr">
        <is>
          <t>Legal / Notary</t>
        </is>
      </c>
      <c r="J61" s="278" t="n"/>
      <c r="K61" s="287" t="inlineStr">
        <is>
          <t>✅ Paid</t>
        </is>
      </c>
      <c r="L61" s="278" t="n"/>
    </row>
    <row r="62" ht="19.95" customHeight="1" s="274">
      <c r="B62" s="310">
        <f>'Capital &amp; Ownership'!B40</f>
        <v/>
      </c>
      <c r="C62" s="282" t="n"/>
      <c r="D62" s="278" t="n"/>
      <c r="E62" s="287" t="inlineStr">
        <is>
          <t>Lohith Reddy</t>
        </is>
      </c>
      <c r="F62" s="278" t="n"/>
      <c r="G62" s="305">
        <f>'Capital &amp; Ownership'!D40</f>
        <v/>
      </c>
      <c r="H62" s="278" t="n"/>
      <c r="I62" s="287" t="inlineStr">
        <is>
          <t>Legal / Insurance</t>
        </is>
      </c>
      <c r="J62" s="278" t="n"/>
      <c r="K62" s="287" t="inlineStr">
        <is>
          <t>✅ Paid</t>
        </is>
      </c>
      <c r="L62" s="278" t="n"/>
    </row>
    <row r="63" ht="19.95" customHeight="1" s="274">
      <c r="B63" s="310">
        <f>'Capital &amp; Ownership'!B41</f>
        <v/>
      </c>
      <c r="C63" s="282" t="n"/>
      <c r="D63" s="278" t="n"/>
      <c r="E63" s="287" t="inlineStr">
        <is>
          <t>Lohith Reddy</t>
        </is>
      </c>
      <c r="F63" s="278" t="n"/>
      <c r="G63" s="305">
        <f>'Capital &amp; Ownership'!D41</f>
        <v/>
      </c>
      <c r="H63" s="278" t="n"/>
      <c r="I63" s="287" t="inlineStr">
        <is>
          <t>Professional Services</t>
        </is>
      </c>
      <c r="J63" s="278" t="n"/>
      <c r="K63" s="287" t="inlineStr">
        <is>
          <t>✅ Paid</t>
        </is>
      </c>
      <c r="L63" s="278" t="n"/>
    </row>
    <row r="64" ht="19.95" customHeight="1" s="274">
      <c r="B64" s="346" t="inlineStr">
        <is>
          <t xml:space="preserve">  ℹ️  Internal transfers:  Kashigoud → Lohith  $125,000  |  Shashirekha → Lohith  $100,000  (not counted as expenses — capital reallocation only)</t>
        </is>
      </c>
      <c r="C64" s="282" t="n"/>
      <c r="D64" s="282" t="n"/>
      <c r="E64" s="282" t="n"/>
      <c r="F64" s="282" t="n"/>
      <c r="G64" s="282" t="n"/>
      <c r="H64" s="282" t="n"/>
      <c r="I64" s="282" t="n"/>
      <c r="J64" s="282" t="n"/>
      <c r="K64" s="282" t="n"/>
      <c r="L64" s="282" t="n"/>
      <c r="M64" s="27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21" activePane="bottomLeft" state="frozen"/>
      <selection pane="bottomLeft" activeCell="J33" sqref="J33"/>
    </sheetView>
  </sheetViews>
  <sheetFormatPr baseColWidth="8" defaultColWidth="8.6640625" defaultRowHeight="14.4" customHeight="1"/>
  <cols>
    <col width="4" customWidth="1" style="274" min="1" max="1"/>
    <col width="18" customWidth="1" style="274" min="2" max="2"/>
    <col width="16" customWidth="1" style="274" min="3" max="5"/>
    <col width="12" customWidth="1" style="274" min="6" max="6"/>
    <col width="14" customWidth="1" style="274" min="7" max="7"/>
    <col width="16" customWidth="1" style="274" min="8" max="9"/>
    <col width="12" customWidth="1" style="274" min="10" max="10"/>
    <col width="30" customWidth="1" style="274" min="11" max="11"/>
    <col width="16" customWidth="1" style="274" min="12" max="17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4">
      <c r="A2" s="340" t="inlineStr">
        <is>
          <t>📅  LOKA — DAILY LOG</t>
        </is>
      </c>
      <c r="I2" s="313" t="inlineStr">
        <is>
          <t>Enter 2 values from Soft App each day → everything else calculates</t>
        </is>
      </c>
    </row>
    <row r="3" ht="3.75" customHeight="1" s="274">
      <c r="A3" s="323" t="n"/>
    </row>
    <row r="4" ht="7.5" customHeight="1" s="274"/>
    <row r="5" ht="49.5" customHeight="1" s="274">
      <c r="B5" s="325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99" t="n"/>
      <c r="D5" s="299" t="n"/>
      <c r="E5" s="299" t="n"/>
      <c r="F5" s="299" t="n"/>
      <c r="G5" s="299" t="n"/>
      <c r="H5" s="299" t="n"/>
      <c r="I5" s="299" t="n"/>
      <c r="J5" s="299" t="n"/>
      <c r="K5" s="299" t="n"/>
      <c r="L5" s="299" t="n"/>
      <c r="M5" s="299" t="n"/>
      <c r="N5" s="299" t="n"/>
      <c r="O5" s="299" t="n"/>
      <c r="P5" s="299" t="n"/>
    </row>
    <row r="6" ht="7.5" customHeight="1" s="274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4">
      <c r="B7" s="279" t="inlineStr">
        <is>
          <t>Date</t>
        </is>
      </c>
      <c r="C7" s="279" t="inlineStr">
        <is>
          <t>Day</t>
        </is>
      </c>
      <c r="D7" s="279" t="inlineStr">
        <is>
          <t>Card / Mercado Pago ($)</t>
        </is>
      </c>
      <c r="E7" s="279" t="inlineStr">
        <is>
          <t>Cash ($)</t>
        </is>
      </c>
      <c r="F7" s="279" t="inlineStr">
        <is>
          <t>Total Revenue ($)</t>
        </is>
      </c>
      <c r="G7" s="279" t="inlineStr">
        <is>
          <t>Transfer ($)</t>
        </is>
      </c>
      <c r="H7" s="279" t="inlineStr">
        <is>
          <t>Expenses $</t>
        </is>
      </c>
      <c r="I7" s="279" t="inlineStr">
        <is>
          <t>Net Profit $</t>
        </is>
      </c>
      <c r="J7" s="279" t="inlineStr">
        <is>
          <t>Margin %</t>
        </is>
      </c>
      <c r="K7" s="279" t="inlineStr">
        <is>
          <t>Notes</t>
        </is>
      </c>
      <c r="L7" s="279" t="inlineStr">
        <is>
          <t>Source</t>
        </is>
      </c>
      <c r="M7" s="279" t="inlineStr">
        <is>
          <t>WEEK PROFIT</t>
        </is>
      </c>
      <c r="N7" s="279" t="inlineStr">
        <is>
          <t>CUMUL. REVENUE</t>
        </is>
      </c>
      <c r="O7" s="279" t="inlineStr">
        <is>
          <t>MONTH REVENUE</t>
        </is>
      </c>
      <c r="P7" s="279" t="inlineStr">
        <is>
          <t>Week Expenses</t>
        </is>
      </c>
      <c r="Q7" s="279" t="inlineStr">
        <is>
          <t>Week Profit</t>
        </is>
      </c>
    </row>
    <row r="8" ht="16.5" customHeight="1" s="274">
      <c r="B8" s="34" t="inlineStr">
        <is>
          <t>18-May-2026</t>
        </is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 t="n">
        <v>2629</v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4">
      <c r="B9" s="34" t="inlineStr">
        <is>
          <t>19-May-2026</t>
        </is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 t="n">
        <v>30</v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4">
      <c r="B10" s="34" t="inlineStr">
        <is>
          <t>20-May-2026</t>
        </is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 t="n">
        <v>3777</v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4">
      <c r="B11" s="34" t="inlineStr">
        <is>
          <t>21-May-2026</t>
        </is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 t="n">
        <v>2434</v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4">
      <c r="B12" s="34" t="inlineStr">
        <is>
          <t>22-May-2026</t>
        </is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 t="n">
        <v>1457</v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4">
      <c r="B13" s="34" t="inlineStr">
        <is>
          <t>23-May-2026</t>
        </is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 t="n">
        <v>8953.43</v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4">
      <c r="B14" s="34" t="inlineStr">
        <is>
          <t>24-May-2026</t>
        </is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 t="n">
        <v>1076</v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4">
      <c r="B15" s="34" t="inlineStr">
        <is>
          <t>25-May-2026</t>
        </is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 t="n">
        <v>3021.45</v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4">
      <c r="B16" s="34" t="inlineStr">
        <is>
          <t>26-May-2026</t>
        </is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 t="n">
        <v>1191.6</v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4">
      <c r="B17" s="34" t="inlineStr">
        <is>
          <t>27-May-2026</t>
        </is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 t="n">
        <v>1073.22</v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4">
      <c r="B18" s="34" t="inlineStr">
        <is>
          <t>28-May-2026</t>
        </is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 t="n">
        <v>1931.34</v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4">
      <c r="B19" s="34" t="inlineStr">
        <is>
          <t>29-May-2026</t>
        </is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 t="n">
        <v>257.29</v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4">
      <c r="B20" s="34" t="inlineStr">
        <is>
          <t>30-May-2026</t>
        </is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 t="n">
        <v>5974.3</v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4">
      <c r="B21" s="34" t="inlineStr">
        <is>
          <t>31-May-2026</t>
        </is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 t="n">
        <v>312</v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4">
      <c r="B22" s="34" t="inlineStr">
        <is>
          <t>01-Jun-2026</t>
        </is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 t="n">
        <v>6029.64</v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4">
      <c r="B23" s="34" t="inlineStr">
        <is>
          <t>02-Jun-2026</t>
        </is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 t="n">
        <v>2379.11</v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4">
      <c r="B24" s="34" t="inlineStr">
        <is>
          <t>03-Jun-2026</t>
        </is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 t="n">
        <v>4033.86</v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4">
      <c r="B25" s="34" t="inlineStr">
        <is>
          <t>04-Jun-2026</t>
        </is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 t="n">
        <v>20959.96</v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4">
      <c r="B26" s="34" t="inlineStr">
        <is>
          <t>05-Jun-2026</t>
        </is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 t="n">
        <v>878.0599999999999</v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4">
      <c r="B27" s="34" t="inlineStr">
        <is>
          <t>06-Jun-2026</t>
        </is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 t="n">
        <v>5414</v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4">
      <c r="B28" s="34" t="inlineStr">
        <is>
          <t>07-Jun-2026</t>
        </is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 t="n">
        <v>1671</v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4">
      <c r="B29" s="34" t="inlineStr">
        <is>
          <t>08-Jun-2026</t>
        </is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 t="n">
        <v>3187.11</v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4">
      <c r="B30" s="34" t="inlineStr">
        <is>
          <t>09-Jun-2026</t>
        </is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 t="n">
        <v>6623.98</v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4">
      <c r="B31" s="34" t="inlineStr">
        <is>
          <t>10-Jun-2026</t>
        </is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 t="n">
        <v>1341.81</v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4">
      <c r="B32" s="34" t="inlineStr">
        <is>
          <t>11-Jun-2026</t>
        </is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 t="n">
        <v>4044</v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4">
      <c r="B33" s="34" t="inlineStr">
        <is>
          <t>12-Jun-2026</t>
        </is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 t="n">
        <v>901.8</v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4">
      <c r="B34" s="34" t="inlineStr">
        <is>
          <t>13-Jun-2026</t>
        </is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 t="n">
        <v>8736.16</v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74">
      <c r="B35" s="34" t="inlineStr">
        <is>
          <t>14-Jun-2026</t>
        </is>
      </c>
      <c r="C35" s="47" t="inlineStr">
        <is>
          <t>Sun</t>
        </is>
      </c>
      <c r="D35" s="48" t="n"/>
      <c r="E35" s="49" t="n"/>
      <c r="F35" s="50">
        <f>IFERROR(D35+E35+G35,0)</f>
        <v/>
      </c>
      <c r="G35" s="51" t="n"/>
      <c r="H35" s="52" t="n">
        <v>1526.18</v>
      </c>
      <c r="I35" s="53">
        <f>IFERROR(F35-H35,0)</f>
        <v/>
      </c>
      <c r="J35" s="54">
        <f>IFERROR(I35/F35,0)</f>
        <v/>
      </c>
      <c r="K35" s="55" t="n"/>
      <c r="L35" s="18" t="inlineStr">
        <is>
          <t>Sunday market run — revenue pending</t>
        </is>
      </c>
      <c r="M35" s="21" t="n"/>
      <c r="N35" s="56" t="n"/>
      <c r="O35" s="57" t="n"/>
      <c r="P35" s="58" t="n"/>
      <c r="Q35" s="56" t="n"/>
    </row>
    <row r="36" ht="16.5" customHeight="1" s="274">
      <c r="B36" s="34" t="inlineStr">
        <is>
          <t>15-Jun-2026</t>
        </is>
      </c>
      <c r="C36" s="35" t="inlineStr">
        <is>
          <t>Mon</t>
        </is>
      </c>
      <c r="D36" s="36" t="n"/>
      <c r="E36" s="37" t="n"/>
      <c r="F36" s="38">
        <f>IFERROR(D36+E36+G36,0)</f>
        <v/>
      </c>
      <c r="G36" s="39" t="n"/>
      <c r="H36" s="40" t="n">
        <v>2578.08</v>
      </c>
      <c r="I36" s="41">
        <f>IFERROR(F36-H36,0)</f>
        <v/>
      </c>
      <c r="J36" s="42">
        <f>IFERROR(I36/F36,0)</f>
        <v/>
      </c>
      <c r="K36" s="43" t="n"/>
      <c r="L36" s="9" t="inlineStr">
        <is>
          <t>Expenses logged — revenue pending</t>
        </is>
      </c>
      <c r="M36" s="12" t="n"/>
      <c r="N36" s="44" t="n"/>
      <c r="O36" s="45" t="n"/>
      <c r="P36" s="46" t="n"/>
      <c r="Q36" s="44" t="n"/>
    </row>
    <row r="37" ht="16.5" customHeight="1" s="274">
      <c r="B37" s="34" t="n"/>
      <c r="C37" s="47" t="n"/>
      <c r="D37" s="48" t="n"/>
      <c r="E37" s="49" t="n"/>
      <c r="F37" s="50" t="n"/>
      <c r="G37" s="51" t="n"/>
      <c r="H37" s="52" t="n"/>
      <c r="I37" s="53" t="n"/>
      <c r="J37" s="54" t="n"/>
      <c r="K37" s="55" t="n"/>
      <c r="L37" s="18" t="n"/>
      <c r="M37" s="21" t="n"/>
      <c r="N37" s="56" t="n"/>
      <c r="O37" s="57" t="n"/>
      <c r="P37" s="58" t="n"/>
      <c r="Q37" s="56" t="n"/>
    </row>
    <row r="38" ht="16.5" customHeight="1" s="274">
      <c r="B38" s="34" t="n"/>
      <c r="C38" s="35" t="n"/>
      <c r="D38" s="36" t="n"/>
      <c r="E38" s="37" t="n"/>
      <c r="F38" s="38" t="n"/>
      <c r="G38" s="39" t="n"/>
      <c r="H38" s="40" t="n"/>
      <c r="I38" s="41" t="n"/>
      <c r="J38" s="42" t="n"/>
      <c r="K38" s="43" t="n"/>
      <c r="L38" s="9" t="n"/>
      <c r="M38" s="12" t="n"/>
      <c r="N38" s="44" t="n"/>
      <c r="O38" s="45" t="n"/>
      <c r="P38" s="46" t="n"/>
      <c r="Q38" s="44" t="n"/>
    </row>
    <row r="39" ht="16.5" customHeight="1" s="274">
      <c r="B39" s="34" t="n"/>
      <c r="C39" s="47" t="n"/>
      <c r="D39" s="48" t="n"/>
      <c r="E39" s="49" t="n"/>
      <c r="F39" s="50" t="n"/>
      <c r="G39" s="51" t="n"/>
      <c r="H39" s="52" t="n"/>
      <c r="I39" s="53" t="n"/>
      <c r="J39" s="54" t="n"/>
      <c r="K39" s="55" t="n"/>
      <c r="L39" s="18" t="n"/>
      <c r="M39" s="21" t="n"/>
      <c r="N39" s="56" t="n"/>
      <c r="O39" s="57" t="n"/>
      <c r="P39" s="58" t="n"/>
      <c r="Q39" s="56" t="n"/>
    </row>
    <row r="40" ht="16.5" customHeight="1" s="274">
      <c r="B40" s="34" t="n"/>
      <c r="C40" s="35" t="n"/>
      <c r="D40" s="36" t="n"/>
      <c r="E40" s="37" t="n"/>
      <c r="F40" s="38" t="n"/>
      <c r="G40" s="39" t="n"/>
      <c r="H40" s="40" t="n"/>
      <c r="I40" s="41" t="n"/>
      <c r="J40" s="42" t="n"/>
      <c r="K40" s="43" t="n"/>
      <c r="L40" s="9" t="n"/>
      <c r="M40" s="12" t="n"/>
      <c r="N40" s="44" t="n"/>
      <c r="O40" s="45" t="n"/>
      <c r="P40" s="46" t="n"/>
      <c r="Q40" s="44" t="n"/>
    </row>
    <row r="41" ht="16.5" customHeight="1" s="274">
      <c r="B41" s="34" t="n"/>
      <c r="C41" s="47" t="n"/>
      <c r="D41" s="48" t="n"/>
      <c r="E41" s="49" t="n"/>
      <c r="F41" s="50" t="n"/>
      <c r="G41" s="51" t="n"/>
      <c r="H41" s="52" t="n"/>
      <c r="I41" s="53" t="n"/>
      <c r="J41" s="54" t="n"/>
      <c r="K41" s="55" t="n"/>
      <c r="L41" s="18" t="n"/>
      <c r="M41" s="21" t="n"/>
      <c r="N41" s="56" t="n"/>
      <c r="O41" s="57" t="n"/>
      <c r="P41" s="58" t="n"/>
      <c r="Q41" s="56" t="n"/>
    </row>
    <row r="42" ht="16.5" customHeight="1" s="274">
      <c r="B42" s="34" t="n"/>
      <c r="C42" s="35" t="n"/>
      <c r="D42" s="36" t="n"/>
      <c r="E42" s="37" t="n"/>
      <c r="F42" s="38" t="n"/>
      <c r="G42" s="39" t="n"/>
      <c r="H42" s="40" t="n"/>
      <c r="I42" s="41" t="n"/>
      <c r="J42" s="42" t="n"/>
      <c r="K42" s="43" t="n"/>
      <c r="L42" s="9" t="n"/>
      <c r="M42" s="12" t="n"/>
      <c r="N42" s="44" t="n"/>
      <c r="O42" s="45" t="n"/>
      <c r="P42" s="46" t="n"/>
      <c r="Q42" s="44" t="n"/>
    </row>
    <row r="43" ht="16.5" customHeight="1" s="274">
      <c r="B43" s="34" t="n"/>
      <c r="C43" s="47" t="n"/>
      <c r="D43" s="48" t="n"/>
      <c r="E43" s="49" t="n"/>
      <c r="F43" s="50" t="n"/>
      <c r="G43" s="51" t="n"/>
      <c r="H43" s="52" t="n"/>
      <c r="I43" s="53" t="n"/>
      <c r="J43" s="54" t="n"/>
      <c r="K43" s="55" t="n"/>
      <c r="L43" s="18" t="n"/>
      <c r="M43" s="21" t="n"/>
      <c r="N43" s="56" t="n"/>
      <c r="O43" s="57" t="n"/>
      <c r="P43" s="58" t="n"/>
      <c r="Q43" s="56" t="n"/>
    </row>
    <row r="44" ht="16.5" customHeight="1" s="274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274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74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74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74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74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74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74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4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4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4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4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4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4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4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4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4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4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4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4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4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4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4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4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4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4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4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4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4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4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4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4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4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4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4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4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4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4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4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4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4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4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4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4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4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4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4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4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4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4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4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4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4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4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4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4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4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4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4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4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4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4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4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4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4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4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4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4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4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4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4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4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4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4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4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4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4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4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4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4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4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4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4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4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4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4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4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4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4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4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4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4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4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4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4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4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4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4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4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4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4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4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4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4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4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4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4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4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4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4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4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4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4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4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4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4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4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4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4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4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4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4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4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4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4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4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4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4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4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4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4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4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4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4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4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4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4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4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4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4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4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4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4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4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4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4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4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4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4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4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4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4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4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4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4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4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4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4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4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4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4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4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4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4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4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4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4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4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4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4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4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4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4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4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4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4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4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4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4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4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4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4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4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4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4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4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4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4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4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4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4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4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4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4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4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4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4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4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4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4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4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4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4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4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4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4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4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4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4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4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4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4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4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4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4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4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4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4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4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4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4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4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4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4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4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4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4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4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4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4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4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4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4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4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4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4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4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4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4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4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4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4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4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4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4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4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4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4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4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4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4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4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4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4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4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4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4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4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4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4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4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4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4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4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4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4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4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4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4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4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4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4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4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4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4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4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4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4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4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4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4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4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4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4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4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4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4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4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4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4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4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4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4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4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4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4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4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4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4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4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4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4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4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4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4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4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4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4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4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4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4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4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4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4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4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4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4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4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4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4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4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4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4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4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4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4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4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4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4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9"/>
  <sheetViews>
    <sheetView showGridLines="0" zoomScaleNormal="100" workbookViewId="0">
      <pane ySplit="7" topLeftCell="A224" activePane="bottomLeft" state="frozen"/>
      <selection pane="bottomLeft" activeCell="F8" sqref="F8:F241"/>
    </sheetView>
  </sheetViews>
  <sheetFormatPr baseColWidth="8" defaultColWidth="8.6640625" defaultRowHeight="14.4" customHeight="1"/>
  <cols>
    <col width="4" customWidth="1" style="274" min="1" max="1"/>
    <col width="14" customWidth="1" style="274" min="2" max="2"/>
    <col width="24" customWidth="1" style="274" min="3" max="3"/>
    <col width="22" customWidth="1" style="274" min="4" max="4"/>
    <col width="19.77734375" customWidth="1" style="274" min="5" max="5"/>
    <col width="16" customWidth="1" style="274" min="6" max="6"/>
    <col width="14" customWidth="1" style="274" min="7" max="7"/>
    <col width="16" customWidth="1" style="274" min="8" max="8"/>
    <col width="18" customWidth="1" style="274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4">
      <c r="A2" s="340" t="inlineStr">
        <is>
          <t>💸  LOKA — EXPENSES TRACKER</t>
        </is>
      </c>
      <c r="E2" s="313" t="inlineStr">
        <is>
          <t>Log every cost: ingredients, staff, utilities, supplies…</t>
        </is>
      </c>
    </row>
    <row r="3">
      <c r="A3" s="323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4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4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4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4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4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4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4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4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4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4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5" t="inlineStr">
        <is>
          <t>Propinas - John (6 dias)</t>
        </is>
      </c>
      <c r="D50" s="66" t="inlineStr">
        <is>
          <t>Dist. propinas sem 1</t>
        </is>
      </c>
      <c r="E50" s="65" t="inlineStr">
        <is>
          <t>Staff - Tips Distribution</t>
        </is>
      </c>
      <c r="F50" s="67" t="n">
        <v>515</v>
      </c>
      <c r="G50" s="14" t="inlineStr">
        <is>
          <t>Restaurant</t>
        </is>
      </c>
      <c r="H50" s="14" t="inlineStr">
        <is>
          <t>Cash</t>
        </is>
      </c>
      <c r="I50" s="43" t="inlineStr">
        <is>
          <t>✅ Paid</t>
        </is>
      </c>
      <c r="J50" t="inlineStr">
        <is>
          <t>Tips distribution Week 1</t>
        </is>
      </c>
    </row>
    <row r="51">
      <c r="B51" s="64" t="n">
        <v>46165</v>
      </c>
      <c r="C51" s="69" t="inlineStr">
        <is>
          <t>Propinas - Debi (6 dias)</t>
        </is>
      </c>
      <c r="D51" s="68" t="inlineStr">
        <is>
          <t>Dist. propinas sem 1</t>
        </is>
      </c>
      <c r="E51" s="69" t="inlineStr">
        <is>
          <t>Staff - Tips Distribution</t>
        </is>
      </c>
      <c r="F51" s="70" t="n">
        <v>515</v>
      </c>
      <c r="G51" s="23" t="inlineStr">
        <is>
          <t>Restaurant</t>
        </is>
      </c>
      <c r="H51" s="23" t="inlineStr">
        <is>
          <t>Cash</t>
        </is>
      </c>
      <c r="I51" s="55" t="inlineStr">
        <is>
          <t>✅ Paid</t>
        </is>
      </c>
      <c r="J51" t="inlineStr">
        <is>
          <t>Tips distribution Week 1</t>
        </is>
      </c>
    </row>
    <row r="52">
      <c r="B52" s="64" t="n">
        <v>46165</v>
      </c>
      <c r="C52" s="65" t="inlineStr">
        <is>
          <t>Propinas - Victor (2 dias)</t>
        </is>
      </c>
      <c r="D52" s="66" t="inlineStr">
        <is>
          <t>Dist. propinas sem 1</t>
        </is>
      </c>
      <c r="E52" s="65" t="inlineStr">
        <is>
          <t>Staff - Tips Distribution</t>
        </is>
      </c>
      <c r="F52" s="67" t="n">
        <v>168</v>
      </c>
      <c r="G52" s="14" t="inlineStr">
        <is>
          <t>Restaurant</t>
        </is>
      </c>
      <c r="H52" s="14" t="inlineStr">
        <is>
          <t>Cash</t>
        </is>
      </c>
      <c r="I52" s="43" t="inlineStr">
        <is>
          <t>⏳ PENDING</t>
        </is>
      </c>
      <c r="J52" t="inlineStr">
        <is>
          <t>Yet to pay Victor — Week 1 tips</t>
        </is>
      </c>
    </row>
    <row r="53">
      <c r="B53" s="64" t="n">
        <v>46165</v>
      </c>
      <c r="C53" s="69" t="inlineStr">
        <is>
          <t>Sal Fina (20 x 1 kg)</t>
        </is>
      </c>
      <c r="D53" s="68" t="inlineStr">
        <is>
          <t>Costco</t>
        </is>
      </c>
      <c r="E53" s="69" t="inlineStr">
        <is>
          <t>Ingredients - Pantry</t>
        </is>
      </c>
      <c r="F53" s="70" t="n">
        <v>408.17</v>
      </c>
      <c r="G53" s="23" t="inlineStr">
        <is>
          <t>Restaurant</t>
        </is>
      </c>
      <c r="H53" s="23" t="inlineStr">
        <is>
          <t>Card</t>
        </is>
      </c>
      <c r="I53" s="55" t="inlineStr">
        <is>
          <t>✅ Paid</t>
        </is>
      </c>
      <c r="J53" t="inlineStr">
        <is>
          <t>Costco — Sal Fina 20/1KG</t>
        </is>
      </c>
    </row>
    <row r="54">
      <c r="B54" s="64" t="n">
        <v>46165</v>
      </c>
      <c r="C54" s="65" t="inlineStr">
        <is>
          <t>Coca Cola (24 x 600ml)</t>
        </is>
      </c>
      <c r="D54" s="66" t="inlineStr">
        <is>
          <t>Costco</t>
        </is>
      </c>
      <c r="E54" s="65" t="inlineStr">
        <is>
          <t>Ingredients - Beverages</t>
        </is>
      </c>
      <c r="F54" s="67" t="n">
        <v>455.23</v>
      </c>
      <c r="G54" s="14" t="inlineStr">
        <is>
          <t>Restaurant</t>
        </is>
      </c>
      <c r="H54" s="14" t="inlineStr">
        <is>
          <t>Card</t>
        </is>
      </c>
      <c r="I54" s="43" t="inlineStr">
        <is>
          <t>✅ Paid</t>
        </is>
      </c>
      <c r="J54" t="inlineStr">
        <is>
          <t>Costco — discount applied, total $844</t>
        </is>
      </c>
    </row>
    <row r="55">
      <c r="B55" s="64" t="n">
        <v>46165</v>
      </c>
      <c r="C55" s="69" t="inlineStr">
        <is>
          <t>Leche Deslactosada (12 x 1LT)</t>
        </is>
      </c>
      <c r="D55" s="68" t="inlineStr">
        <is>
          <t>Sam's Club</t>
        </is>
      </c>
      <c r="E55" s="69" t="inlineStr">
        <is>
          <t>Ingredients - Dairy</t>
        </is>
      </c>
      <c r="F55" s="70" t="n">
        <v>317.13</v>
      </c>
      <c r="G55" s="23" t="inlineStr">
        <is>
          <t>Restaurant</t>
        </is>
      </c>
      <c r="H55" s="23" t="inlineStr">
        <is>
          <t>Card</t>
        </is>
      </c>
      <c r="I55" s="55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5" t="inlineStr">
        <is>
          <t>Leche Alpura (12 x 1L)</t>
        </is>
      </c>
      <c r="D56" s="66" t="inlineStr">
        <is>
          <t>Sam's Club</t>
        </is>
      </c>
      <c r="E56" s="65" t="inlineStr">
        <is>
          <t>Ingredients - Dairy</t>
        </is>
      </c>
      <c r="F56" s="67" t="n">
        <v>317.13</v>
      </c>
      <c r="G56" s="14" t="inlineStr">
        <is>
          <t>Restaurant</t>
        </is>
      </c>
      <c r="H56" s="14" t="inlineStr">
        <is>
          <t>Card</t>
        </is>
      </c>
      <c r="I56" s="43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46165</v>
      </c>
      <c r="C57" s="69" t="inlineStr">
        <is>
          <t>Crema Ácida</t>
        </is>
      </c>
      <c r="D57" s="68" t="inlineStr">
        <is>
          <t>Sam's Club</t>
        </is>
      </c>
      <c r="E57" s="69" t="inlineStr">
        <is>
          <t>Ingredients - Dairy</t>
        </is>
      </c>
      <c r="F57" s="70" t="n">
        <v>250.63</v>
      </c>
      <c r="G57" s="23" t="inlineStr">
        <is>
          <t>Restaurant</t>
        </is>
      </c>
      <c r="H57" s="23" t="inlineStr">
        <is>
          <t>Card</t>
        </is>
      </c>
      <c r="I57" s="55" t="inlineStr">
        <is>
          <t>✅ Paid</t>
        </is>
      </c>
      <c r="J57" t="inlineStr">
        <is>
          <t>Sam's Club — reimbursed to Shashirekha, settled</t>
        </is>
      </c>
    </row>
    <row r="58">
      <c r="B58" s="64" t="n">
        <v>46165</v>
      </c>
      <c r="C58" s="65" t="inlineStr">
        <is>
          <t>Salsa / Tomate (12 x 600ml)</t>
        </is>
      </c>
      <c r="D58" s="66" t="inlineStr">
        <is>
          <t>Sam's Club</t>
        </is>
      </c>
      <c r="E58" s="65" t="inlineStr">
        <is>
          <t>Ingredients - Pantry</t>
        </is>
      </c>
      <c r="F58" s="67" t="n">
        <v>232.22</v>
      </c>
      <c r="G58" s="14" t="inlineStr">
        <is>
          <t>Restaurant</t>
        </is>
      </c>
      <c r="H58" s="14" t="inlineStr">
        <is>
          <t>Card</t>
        </is>
      </c>
      <c r="I58" s="43" t="inlineStr">
        <is>
          <t>✅ Paid</t>
        </is>
      </c>
      <c r="J58" t="inlineStr">
        <is>
          <t>Sam's Club — reimbursed to Shashirekha, settled</t>
        </is>
      </c>
    </row>
    <row r="59">
      <c r="B59" s="64" t="n">
        <v>46165</v>
      </c>
      <c r="C59" s="69" t="inlineStr">
        <is>
          <t>Champiñones (24 x 400ml)</t>
        </is>
      </c>
      <c r="D59" s="68" t="inlineStr">
        <is>
          <t>Sam's Club</t>
        </is>
      </c>
      <c r="E59" s="69" t="inlineStr">
        <is>
          <t>Ingredients - Vegetables</t>
        </is>
      </c>
      <c r="F59" s="70" t="n">
        <v>218.92</v>
      </c>
      <c r="G59" s="23" t="inlineStr">
        <is>
          <t>Restaurant</t>
        </is>
      </c>
      <c r="H59" s="23" t="inlineStr">
        <is>
          <t>Card</t>
        </is>
      </c>
      <c r="I59" s="55" t="inlineStr">
        <is>
          <t>✅ Paid</t>
        </is>
      </c>
      <c r="J59" t="inlineStr">
        <is>
          <t>Sam's Club — reimbursed to Shashirekha, settled</t>
        </is>
      </c>
    </row>
    <row r="60">
      <c r="B60" s="64" t="n">
        <v>46166</v>
      </c>
      <c r="C60" s="65" t="inlineStr">
        <is>
          <t>Guayabas Mediana</t>
        </is>
      </c>
      <c r="D60" s="66" t="inlineStr">
        <is>
          <t>Aviles Hernandez</t>
        </is>
      </c>
      <c r="E60" s="65" t="inlineStr">
        <is>
          <t>Ingredients - Fruit</t>
        </is>
      </c>
      <c r="F60" s="67" t="n">
        <v>120</v>
      </c>
      <c r="G60" s="14" t="inlineStr">
        <is>
          <t>Restaurant</t>
        </is>
      </c>
      <c r="H60" s="14" t="inlineStr">
        <is>
          <t>Cash</t>
        </is>
      </c>
      <c r="I60" s="43" t="inlineStr">
        <is>
          <t>✅ Paid</t>
        </is>
      </c>
    </row>
    <row r="61">
      <c r="B61" s="64" t="n">
        <v>46166</v>
      </c>
      <c r="C61" s="69" t="inlineStr">
        <is>
          <t>Jicamas + Pinas + Melon Chino</t>
        </is>
      </c>
      <c r="D61" s="68" t="inlineStr">
        <is>
          <t>El Matamoros</t>
        </is>
      </c>
      <c r="E61" s="69" t="inlineStr">
        <is>
          <t>Ingredients - Fruit</t>
        </is>
      </c>
      <c r="F61" s="70" t="n">
        <v>147</v>
      </c>
      <c r="G61" s="23" t="inlineStr">
        <is>
          <t>Restaurant</t>
        </is>
      </c>
      <c r="H61" s="23" t="inlineStr">
        <is>
          <t>Cash</t>
        </is>
      </c>
      <c r="I61" s="55" t="inlineStr">
        <is>
          <t>✅ Paid</t>
        </is>
      </c>
    </row>
    <row r="62">
      <c r="B62" s="64" t="n">
        <v>46166</v>
      </c>
      <c r="C62" s="65" t="inlineStr">
        <is>
          <t>Cilantro + Italiana</t>
        </is>
      </c>
      <c r="D62" s="66" t="inlineStr">
        <is>
          <t>Oscar Verduras</t>
        </is>
      </c>
      <c r="E62" s="65" t="inlineStr">
        <is>
          <t>Ingredients - Vegetables</t>
        </is>
      </c>
      <c r="F62" s="67" t="n">
        <v>100</v>
      </c>
      <c r="G62" s="14" t="inlineStr">
        <is>
          <t>Restaurant</t>
        </is>
      </c>
      <c r="H62" s="14" t="inlineStr">
        <is>
          <t>Cash</t>
        </is>
      </c>
      <c r="I62" s="43" t="inlineStr">
        <is>
          <t>✅ Paid</t>
        </is>
      </c>
    </row>
    <row r="63">
      <c r="B63" s="64" t="n">
        <v>46166</v>
      </c>
      <c r="C63" s="69" t="inlineStr">
        <is>
          <t>Habanero + Pepino</t>
        </is>
      </c>
      <c r="D63" s="68" t="inlineStr">
        <is>
          <t>Remision Formitec</t>
        </is>
      </c>
      <c r="E63" s="69" t="inlineStr">
        <is>
          <t>Ingredients - Vegetables</t>
        </is>
      </c>
      <c r="F63" s="70" t="n">
        <v>90</v>
      </c>
      <c r="G63" s="23" t="inlineStr">
        <is>
          <t>Restaurant</t>
        </is>
      </c>
      <c r="H63" s="23" t="inlineStr">
        <is>
          <t>Cash</t>
        </is>
      </c>
      <c r="I63" s="55" t="inlineStr">
        <is>
          <t>✅ Paid</t>
        </is>
      </c>
    </row>
    <row r="64">
      <c r="B64" s="64" t="n">
        <v>46166</v>
      </c>
      <c r="C64" s="65" t="inlineStr">
        <is>
          <t>Betabel (~1.9 kg)</t>
        </is>
      </c>
      <c r="D64" s="66" t="inlineStr">
        <is>
          <t>Nota Remision</t>
        </is>
      </c>
      <c r="E64" s="65" t="inlineStr">
        <is>
          <t>Ingredients - Vegetables</t>
        </is>
      </c>
      <c r="F64" s="67" t="n">
        <v>78</v>
      </c>
      <c r="G64" s="14" t="inlineStr">
        <is>
          <t>Restaurant</t>
        </is>
      </c>
      <c r="H64" s="14" t="inlineStr">
        <is>
          <t>Cash</t>
        </is>
      </c>
      <c r="I64" s="43" t="inlineStr">
        <is>
          <t>✅ Paid</t>
        </is>
      </c>
    </row>
    <row r="65">
      <c r="B65" s="64" t="n">
        <v>46166</v>
      </c>
      <c r="C65" s="69" t="inlineStr">
        <is>
          <t>Jitomate</t>
        </is>
      </c>
      <c r="D65" s="68" t="inlineStr">
        <is>
          <t>Brisia y Hermanos</t>
        </is>
      </c>
      <c r="E65" s="69" t="inlineStr">
        <is>
          <t>Ingredients - Vegetables</t>
        </is>
      </c>
      <c r="F65" s="70" t="n">
        <v>178</v>
      </c>
      <c r="G65" s="23" t="inlineStr">
        <is>
          <t>Restaurant</t>
        </is>
      </c>
      <c r="H65" s="23" t="inlineStr">
        <is>
          <t>Cash</t>
        </is>
      </c>
      <c r="I65" s="55" t="inlineStr">
        <is>
          <t>✅ Paid</t>
        </is>
      </c>
    </row>
    <row r="66">
      <c r="B66" s="64" t="n">
        <v>46166</v>
      </c>
      <c r="C66" s="65" t="inlineStr">
        <is>
          <t>Mango + Sandia</t>
        </is>
      </c>
      <c r="D66" s="66" t="inlineStr">
        <is>
          <t>Papayas Maradol</t>
        </is>
      </c>
      <c r="E66" s="65" t="inlineStr">
        <is>
          <t>Ingredients - Fruit</t>
        </is>
      </c>
      <c r="F66" s="67" t="n">
        <v>116</v>
      </c>
      <c r="G66" s="14" t="inlineStr">
        <is>
          <t>Restaurant</t>
        </is>
      </c>
      <c r="H66" s="14" t="inlineStr">
        <is>
          <t>Cash</t>
        </is>
      </c>
      <c r="I66" s="43" t="inlineStr">
        <is>
          <t>✅ Paid</t>
        </is>
      </c>
    </row>
    <row r="67">
      <c r="B67" s="64" t="n">
        <v>46166</v>
      </c>
      <c r="C67" s="69" t="inlineStr">
        <is>
          <t>Verduras variadas</t>
        </is>
      </c>
      <c r="D67" s="68" t="inlineStr">
        <is>
          <t>JP Verduras</t>
        </is>
      </c>
      <c r="E67" s="69" t="inlineStr">
        <is>
          <t>Ingredients - Vegetables</t>
        </is>
      </c>
      <c r="F67" s="70" t="n">
        <v>224</v>
      </c>
      <c r="G67" s="23" t="inlineStr">
        <is>
          <t>Restaurant</t>
        </is>
      </c>
      <c r="H67" s="23" t="inlineStr">
        <is>
          <t>Cash</t>
        </is>
      </c>
      <c r="I67" s="55" t="inlineStr">
        <is>
          <t>✅ Paid</t>
        </is>
      </c>
    </row>
    <row r="68">
      <c r="B68" s="64" t="n">
        <v>46166</v>
      </c>
      <c r="C68" s="65" t="inlineStr">
        <is>
          <t>Pimiento Morron</t>
        </is>
      </c>
      <c r="D68" s="66" t="inlineStr">
        <is>
          <t>Sin factura</t>
        </is>
      </c>
      <c r="E68" s="65" t="inlineStr">
        <is>
          <t>Ingredients - Vegetables</t>
        </is>
      </c>
      <c r="F68" s="67" t="n">
        <v>23</v>
      </c>
      <c r="G68" s="14" t="inlineStr">
        <is>
          <t>Restaurant</t>
        </is>
      </c>
      <c r="H68" s="14" t="inlineStr">
        <is>
          <t>Cash</t>
        </is>
      </c>
      <c r="I68" s="43" t="inlineStr">
        <is>
          <t>✅ Paid</t>
        </is>
      </c>
      <c r="J68" t="inlineStr">
        <is>
          <t>No receipt — Sin factura</t>
        </is>
      </c>
    </row>
    <row r="69">
      <c r="B69" s="64" t="n">
        <v>46167</v>
      </c>
      <c r="C69" s="69" t="inlineStr">
        <is>
          <t>Pan para Hamburguesa con Ajonjolí + Pan de Caja Arandano</t>
        </is>
      </c>
      <c r="D69" s="68" t="inlineStr">
        <is>
          <t>Real Abastos</t>
        </is>
      </c>
      <c r="E69" s="69" t="inlineStr">
        <is>
          <t>Ingredients - Bread</t>
        </is>
      </c>
      <c r="F69" s="70" t="n">
        <v>273</v>
      </c>
      <c r="G69" s="23" t="inlineStr">
        <is>
          <t>Restaurant</t>
        </is>
      </c>
      <c r="H69" s="23" t="inlineStr">
        <is>
          <t>Card</t>
        </is>
      </c>
      <c r="I69" s="55" t="inlineStr">
        <is>
          <t>✅ Paid</t>
        </is>
      </c>
      <c r="J69" t="inlineStr">
        <is>
          <t>Real Sucursal Central de Abastos — 12 pcs hamburger buns + 3x900g bread</t>
        </is>
      </c>
    </row>
    <row r="70">
      <c r="B70" s="64" t="n">
        <v>46167</v>
      </c>
      <c r="C70" s="65" t="inlineStr">
        <is>
          <t>Limonada / Naranjada / Tamarindo 1LT (18 pcs)</t>
        </is>
      </c>
      <c r="D70" s="66" t="inlineStr">
        <is>
          <t>Reca del Bajio</t>
        </is>
      </c>
      <c r="E70" s="65" t="inlineStr">
        <is>
          <t>Ingredients - Beverages</t>
        </is>
      </c>
      <c r="F70" s="67" t="n">
        <v>450</v>
      </c>
      <c r="G70" s="14" t="inlineStr">
        <is>
          <t>Restaurant</t>
        </is>
      </c>
      <c r="H70" s="14" t="inlineStr">
        <is>
          <t>Card</t>
        </is>
      </c>
      <c r="I70" s="43" t="inlineStr">
        <is>
          <t>✅ Paid</t>
        </is>
      </c>
      <c r="J70" t="inlineStr">
        <is>
          <t>Mercado Pago — 6 Limonada + 6 Naranjada + 6 Tamarindo</t>
        </is>
      </c>
    </row>
    <row r="71">
      <c r="B71" s="64" t="n">
        <v>46167</v>
      </c>
      <c r="C71" s="69" t="inlineStr">
        <is>
          <t>QsoCrema Lala 190g</t>
        </is>
      </c>
      <c r="D71" s="68" t="inlineStr">
        <is>
          <t>Chedraui Selecto</t>
        </is>
      </c>
      <c r="E71" s="69" t="inlineStr">
        <is>
          <t>Ingredients - Dairy</t>
        </is>
      </c>
      <c r="F71" s="70" t="n">
        <v>32</v>
      </c>
      <c r="G71" s="23" t="inlineStr">
        <is>
          <t>Restaurant</t>
        </is>
      </c>
      <c r="H71" s="23" t="inlineStr">
        <is>
          <t>Card</t>
        </is>
      </c>
      <c r="I71" s="55" t="inlineStr">
        <is>
          <t>✅ Paid</t>
        </is>
      </c>
    </row>
    <row r="72">
      <c r="B72" s="64" t="n">
        <v>46167</v>
      </c>
      <c r="C72" s="65" t="inlineStr">
        <is>
          <t>Tortillas Blanca (2.21 kg)</t>
        </is>
      </c>
      <c r="D72" s="66" t="inlineStr">
        <is>
          <t>Chedraui Selecto</t>
        </is>
      </c>
      <c r="E72" s="65" t="inlineStr">
        <is>
          <t>Ingredients - Pantry</t>
        </is>
      </c>
      <c r="F72" s="67" t="n">
        <v>28.73</v>
      </c>
      <c r="G72" s="14" t="inlineStr">
        <is>
          <t>Restaurant</t>
        </is>
      </c>
      <c r="H72" s="14" t="inlineStr">
        <is>
          <t>Card</t>
        </is>
      </c>
      <c r="I72" s="43" t="inlineStr">
        <is>
          <t>✅ Paid</t>
        </is>
      </c>
    </row>
    <row r="73">
      <c r="B73" s="64" t="n">
        <v>46167</v>
      </c>
      <c r="C73" s="69" t="inlineStr">
        <is>
          <t>Rosca de Nuez</t>
        </is>
      </c>
      <c r="D73" s="68" t="inlineStr">
        <is>
          <t>Chedraui Selecto</t>
        </is>
      </c>
      <c r="E73" s="69" t="inlineStr">
        <is>
          <t>Ingredients - Bread</t>
        </is>
      </c>
      <c r="F73" s="70" t="n">
        <v>89</v>
      </c>
      <c r="G73" s="23" t="inlineStr">
        <is>
          <t>Restaurant</t>
        </is>
      </c>
      <c r="H73" s="23" t="inlineStr">
        <is>
          <t>Card</t>
        </is>
      </c>
      <c r="I73" s="55" t="inlineStr">
        <is>
          <t>✅ Paid</t>
        </is>
      </c>
    </row>
    <row r="74">
      <c r="B74" s="64" t="n">
        <v>46167</v>
      </c>
      <c r="C74" s="65" t="inlineStr">
        <is>
          <t>Bolillo (6 pcs)</t>
        </is>
      </c>
      <c r="D74" s="66" t="inlineStr">
        <is>
          <t>Chedraui Selecto</t>
        </is>
      </c>
      <c r="E74" s="65" t="inlineStr">
        <is>
          <t>Ingredients - Bread</t>
        </is>
      </c>
      <c r="F74" s="67" t="n">
        <v>12.6</v>
      </c>
      <c r="G74" s="14" t="inlineStr">
        <is>
          <t>Restaurant</t>
        </is>
      </c>
      <c r="H74" s="14" t="inlineStr">
        <is>
          <t>Card</t>
        </is>
      </c>
      <c r="I74" s="43" t="inlineStr">
        <is>
          <t>✅ Paid</t>
        </is>
      </c>
    </row>
    <row r="75">
      <c r="B75" s="64" t="n">
        <v>46167</v>
      </c>
      <c r="C75" s="69" t="inlineStr">
        <is>
          <t>Salmon lonja (1.455 kg)</t>
        </is>
      </c>
      <c r="D75" s="68" t="inlineStr">
        <is>
          <t>Brisa del Mar</t>
        </is>
      </c>
      <c r="E75" s="69" t="inlineStr">
        <is>
          <t>Ingredients - Meat &amp; Fish</t>
        </is>
      </c>
      <c r="F75" s="70" t="n">
        <v>494.7</v>
      </c>
      <c r="G75" s="23" t="inlineStr">
        <is>
          <t>Restaurant</t>
        </is>
      </c>
      <c r="H75" s="23" t="inlineStr">
        <is>
          <t>Cash</t>
        </is>
      </c>
      <c r="I75" s="55" t="inlineStr">
        <is>
          <t>✅ Paid</t>
        </is>
      </c>
      <c r="J75" t="inlineStr">
        <is>
          <t>1.455 kg x $340/kg</t>
        </is>
      </c>
    </row>
    <row r="76">
      <c r="B76" s="64" t="n">
        <v>46167</v>
      </c>
      <c r="C76" s="65" t="inlineStr">
        <is>
          <t>Papas (4 bolsas)</t>
        </is>
      </c>
      <c r="D76" s="66" t="inlineStr">
        <is>
          <t>—</t>
        </is>
      </c>
      <c r="E76" s="65" t="inlineStr">
        <is>
          <t>Ingredients - Vegetables</t>
        </is>
      </c>
      <c r="F76" s="67" t="n">
        <v>440</v>
      </c>
      <c r="G76" s="14" t="inlineStr">
        <is>
          <t>Restaurant</t>
        </is>
      </c>
      <c r="H76" s="14" t="inlineStr">
        <is>
          <t>Cash</t>
        </is>
      </c>
      <c r="I76" s="43" t="inlineStr">
        <is>
          <t>✅ Paid</t>
        </is>
      </c>
      <c r="J76" t="inlineStr">
        <is>
          <t>Remision handwritten</t>
        </is>
      </c>
    </row>
    <row r="77">
      <c r="B77" s="64" t="n">
        <v>46167</v>
      </c>
      <c r="C77" s="69" t="inlineStr">
        <is>
          <t>Costillas cerdo</t>
        </is>
      </c>
      <c r="D77" s="68" t="inlineStr">
        <is>
          <t>—</t>
        </is>
      </c>
      <c r="E77" s="69" t="inlineStr">
        <is>
          <t>Ingredients - Meat</t>
        </is>
      </c>
      <c r="F77" s="70" t="n">
        <v>282</v>
      </c>
      <c r="G77" s="23" t="inlineStr">
        <is>
          <t>Restaurant</t>
        </is>
      </c>
      <c r="H77" s="23" t="inlineStr">
        <is>
          <t>Cash</t>
        </is>
      </c>
      <c r="I77" s="55" t="inlineStr">
        <is>
          <t>✅ Paid</t>
        </is>
      </c>
      <c r="J77" t="inlineStr">
        <is>
          <t>Remision handwritten</t>
        </is>
      </c>
    </row>
    <row r="78">
      <c r="B78" s="64" t="n">
        <v>46167</v>
      </c>
      <c r="C78" s="65" t="inlineStr">
        <is>
          <t>Azucar Est Posada 1K</t>
        </is>
      </c>
      <c r="D78" s="66" t="inlineStr">
        <is>
          <t>OXXO</t>
        </is>
      </c>
      <c r="E78" s="65" t="inlineStr">
        <is>
          <t>Ingredients - Pantry</t>
        </is>
      </c>
      <c r="F78" s="67" t="n">
        <v>25</v>
      </c>
      <c r="G78" s="14" t="inlineStr">
        <is>
          <t>Restaurant</t>
        </is>
      </c>
      <c r="H78" s="14" t="inlineStr">
        <is>
          <t>Card</t>
        </is>
      </c>
      <c r="I78" s="43" t="inlineStr">
        <is>
          <t>✅ Paid</t>
        </is>
      </c>
      <c r="J78" t="inlineStr">
        <is>
          <t>Paid via Mercado Libre</t>
        </is>
      </c>
    </row>
    <row r="79">
      <c r="B79" s="64" t="n">
        <v>46167</v>
      </c>
      <c r="C79" s="69" t="inlineStr">
        <is>
          <t>Pollo NutryEnt (4 packs, 8.29 kg)</t>
        </is>
      </c>
      <c r="D79" s="68" t="inlineStr">
        <is>
          <t>Chedraui Paseo</t>
        </is>
      </c>
      <c r="E79" s="69" t="inlineStr">
        <is>
          <t>Ingredients - Meat</t>
        </is>
      </c>
      <c r="F79" s="70" t="n">
        <v>323.36</v>
      </c>
      <c r="G79" s="23" t="inlineStr">
        <is>
          <t>Restaurant</t>
        </is>
      </c>
      <c r="H79" s="23" t="inlineStr">
        <is>
          <t>Card</t>
        </is>
      </c>
      <c r="I79" s="55" t="inlineStr">
        <is>
          <t>✅ Paid</t>
        </is>
      </c>
      <c r="J79" t="inlineStr">
        <is>
          <t>4 x PolloNutryEnt ~2kg each</t>
        </is>
      </c>
    </row>
    <row r="80">
      <c r="B80" s="64" t="n">
        <v>46167</v>
      </c>
      <c r="C80" s="65" t="inlineStr">
        <is>
          <t>Naranja de Jugo (1.265 kg)</t>
        </is>
      </c>
      <c r="D80" s="66" t="inlineStr">
        <is>
          <t>Chedraui Paseo</t>
        </is>
      </c>
      <c r="E80" s="65" t="inlineStr">
        <is>
          <t>Ingredients - Fruit</t>
        </is>
      </c>
      <c r="F80" s="67" t="n">
        <v>37.82</v>
      </c>
      <c r="G80" s="14" t="inlineStr">
        <is>
          <t>Restaurant</t>
        </is>
      </c>
      <c r="H80" s="14" t="inlineStr">
        <is>
          <t>Card</t>
        </is>
      </c>
      <c r="I80" s="43" t="inlineStr">
        <is>
          <t>✅ Paid</t>
        </is>
      </c>
    </row>
    <row r="81">
      <c r="B81" s="64" t="n">
        <v>46167</v>
      </c>
      <c r="C81" s="69" t="inlineStr">
        <is>
          <t>Mango Paraiso (1.560 kg)</t>
        </is>
      </c>
      <c r="D81" s="68" t="inlineStr">
        <is>
          <t>Chedraui Paseo</t>
        </is>
      </c>
      <c r="E81" s="69" t="inlineStr">
        <is>
          <t>Ingredients - Fruit</t>
        </is>
      </c>
      <c r="F81" s="70" t="n">
        <v>45.24</v>
      </c>
      <c r="G81" s="23" t="inlineStr">
        <is>
          <t>Restaurant</t>
        </is>
      </c>
      <c r="H81" s="23" t="inlineStr">
        <is>
          <t>Card</t>
        </is>
      </c>
      <c r="I81" s="55" t="inlineStr">
        <is>
          <t>✅ Paid</t>
        </is>
      </c>
    </row>
    <row r="82">
      <c r="B82" s="64" t="n">
        <v>46167</v>
      </c>
      <c r="C82" s="65" t="inlineStr">
        <is>
          <t>Azucar Ref 10/1K + Pastel Chocolate</t>
        </is>
      </c>
      <c r="D82" s="66" t="inlineStr">
        <is>
          <t>Costco</t>
        </is>
      </c>
      <c r="E82" s="65" t="inlineStr">
        <is>
          <t>Ingredients - Pantry</t>
        </is>
      </c>
      <c r="F82" s="67" t="n">
        <v>488</v>
      </c>
      <c r="G82" s="14" t="inlineStr">
        <is>
          <t>Restaurant</t>
        </is>
      </c>
      <c r="H82" s="14" t="inlineStr">
        <is>
          <t>Card</t>
        </is>
      </c>
      <c r="I82" s="43" t="inlineStr">
        <is>
          <t>✅ Paid</t>
        </is>
      </c>
      <c r="J82" t="inlineStr">
        <is>
          <t>Azucar $275.18 + Pastel $224.03 — discount $11.21 applied</t>
        </is>
      </c>
    </row>
    <row r="83">
      <c r="B83" s="64" t="n">
        <v>46168</v>
      </c>
      <c r="C83" s="69" t="inlineStr">
        <is>
          <t>Arroz Extra LP 500G</t>
        </is>
      </c>
      <c r="D83" s="68" t="inlineStr">
        <is>
          <t>OXXO</t>
        </is>
      </c>
      <c r="E83" s="69" t="inlineStr">
        <is>
          <t>Ingredients - Pantry</t>
        </is>
      </c>
      <c r="F83" s="70" t="n">
        <v>47.6</v>
      </c>
      <c r="G83" s="23" t="inlineStr">
        <is>
          <t>Restaurant</t>
        </is>
      </c>
      <c r="H83" s="23" t="inlineStr">
        <is>
          <t>Card</t>
        </is>
      </c>
      <c r="I83" s="55" t="inlineStr">
        <is>
          <t>✅ Paid</t>
        </is>
      </c>
      <c r="J83" t="inlineStr">
        <is>
          <t>OXXO Circunvalacion QRF</t>
        </is>
      </c>
    </row>
    <row r="84">
      <c r="B84" s="64" t="n">
        <v>46168</v>
      </c>
      <c r="C84" s="65" t="inlineStr">
        <is>
          <t>Chapata Grande Sabores Varios (24)</t>
        </is>
      </c>
      <c r="D84" s="66" t="inlineStr">
        <is>
          <t>Real Abastos</t>
        </is>
      </c>
      <c r="E84" s="65" t="inlineStr">
        <is>
          <t>Ingredients - Bread</t>
        </is>
      </c>
      <c r="F84" s="67" t="n">
        <v>288</v>
      </c>
      <c r="G84" s="14" t="inlineStr">
        <is>
          <t>Restaurant</t>
        </is>
      </c>
      <c r="H84" s="14" t="inlineStr">
        <is>
          <t>Card</t>
        </is>
      </c>
      <c r="I84" s="43" t="inlineStr">
        <is>
          <t>✅ Paid</t>
        </is>
      </c>
      <c r="J84" t="inlineStr">
        <is>
          <t>24 pcs x $12 = $288</t>
        </is>
      </c>
    </row>
    <row r="85">
      <c r="B85" s="64" t="n">
        <v>46168</v>
      </c>
      <c r="C85" s="69" t="inlineStr">
        <is>
          <t>Tilapia (~6.74 kg)</t>
        </is>
      </c>
      <c r="D85" s="68" t="inlineStr">
        <is>
          <t>Pescaderia El Faro</t>
        </is>
      </c>
      <c r="E85" s="69" t="inlineStr">
        <is>
          <t>Ingredients - Meat &amp; Fish</t>
        </is>
      </c>
      <c r="F85" s="70" t="n">
        <v>244</v>
      </c>
      <c r="G85" s="23" t="inlineStr">
        <is>
          <t>Restaurant</t>
        </is>
      </c>
      <c r="H85" s="23" t="inlineStr">
        <is>
          <t>Cash</t>
        </is>
      </c>
      <c r="I85" s="55" t="inlineStr">
        <is>
          <t>✅ Paid</t>
        </is>
      </c>
      <c r="J85" t="inlineStr">
        <is>
          <t>Nota El Faro — corrected from $944 to $244</t>
        </is>
      </c>
    </row>
    <row r="86">
      <c r="B86" s="64" t="n">
        <v>46168</v>
      </c>
      <c r="C86" s="65" t="inlineStr">
        <is>
          <t>Bistek de Puerco</t>
        </is>
      </c>
      <c r="D86" s="66" t="inlineStr">
        <is>
          <t>Remision</t>
        </is>
      </c>
      <c r="E86" s="65" t="inlineStr">
        <is>
          <t>Ingredients - Meat</t>
        </is>
      </c>
      <c r="F86" s="67" t="n">
        <v>586</v>
      </c>
      <c r="G86" s="14" t="inlineStr">
        <is>
          <t>Restaurant</t>
        </is>
      </c>
      <c r="H86" s="14" t="inlineStr">
        <is>
          <t>Card</t>
        </is>
      </c>
      <c r="I86" s="43" t="inlineStr">
        <is>
          <t>✅ Paid</t>
        </is>
      </c>
      <c r="J86" t="inlineStr">
        <is>
          <t>Remision + Getnet card terminal</t>
        </is>
      </c>
    </row>
    <row r="87">
      <c r="B87" s="64" t="n">
        <v>46168</v>
      </c>
      <c r="C87" s="69" t="inlineStr">
        <is>
          <t>Tortillas Blancos</t>
        </is>
      </c>
      <c r="D87" s="68" t="inlineStr">
        <is>
          <t>—</t>
        </is>
      </c>
      <c r="E87" s="69" t="inlineStr">
        <is>
          <t>Ingredients - Pantry</t>
        </is>
      </c>
      <c r="F87" s="70" t="n">
        <v>26</v>
      </c>
      <c r="G87" s="23" t="inlineStr">
        <is>
          <t>Restaurant</t>
        </is>
      </c>
      <c r="H87" s="23" t="inlineStr">
        <is>
          <t>Cash</t>
        </is>
      </c>
      <c r="I87" s="55" t="inlineStr">
        <is>
          <t>✅ Paid</t>
        </is>
      </c>
      <c r="J87" t="inlineStr">
        <is>
          <t>No bill — cash purchase</t>
        </is>
      </c>
    </row>
    <row r="88">
      <c r="B88" s="64" t="n">
        <v>46169</v>
      </c>
      <c r="C88" s="65" t="inlineStr">
        <is>
          <t>Jamon Delicia Pierna Mandolin (2.005 kg)</t>
        </is>
      </c>
      <c r="D88" s="66" t="inlineStr">
        <is>
          <t>San Juan Salchichonerias</t>
        </is>
      </c>
      <c r="E88" s="65" t="inlineStr">
        <is>
          <t>Ingredients - Meat</t>
        </is>
      </c>
      <c r="F88" s="67" t="n">
        <v>170.22</v>
      </c>
      <c r="G88" s="14" t="inlineStr">
        <is>
          <t>Restaurant</t>
        </is>
      </c>
      <c r="H88" s="14" t="inlineStr">
        <is>
          <t>Card</t>
        </is>
      </c>
      <c r="I88" s="43" t="inlineStr">
        <is>
          <t>✅ Paid</t>
        </is>
      </c>
      <c r="J88" t="inlineStr">
        <is>
          <t>Rappi delivery — 27 May</t>
        </is>
      </c>
    </row>
    <row r="89">
      <c r="B89" s="64" t="n">
        <v>46169</v>
      </c>
      <c r="C89" s="69" t="inlineStr">
        <is>
          <t>Arroz La Posada 900g (x3, 2x1 promo)</t>
        </is>
      </c>
      <c r="D89" s="68" t="inlineStr">
        <is>
          <t>OXXO</t>
        </is>
      </c>
      <c r="E89" s="69" t="inlineStr">
        <is>
          <t>Ingredients - Pantry</t>
        </is>
      </c>
      <c r="F89" s="70" t="n">
        <v>60</v>
      </c>
      <c r="G89" s="23" t="inlineStr">
        <is>
          <t>Restaurant</t>
        </is>
      </c>
      <c r="H89" s="23" t="inlineStr">
        <is>
          <t>Card</t>
        </is>
      </c>
      <c r="I89" s="55" t="inlineStr">
        <is>
          <t>✅ Paid</t>
        </is>
      </c>
      <c r="J89" t="inlineStr">
        <is>
          <t>OXXO Unity QRF — buy 2 get 1 promo</t>
        </is>
      </c>
    </row>
    <row r="90">
      <c r="B90" s="64" t="n">
        <v>46169</v>
      </c>
      <c r="C90" s="65" t="inlineStr">
        <is>
          <t>Tres Leches Frutos Rojos</t>
        </is>
      </c>
      <c r="D90" s="66" t="inlineStr">
        <is>
          <t>Lecaroz 1972</t>
        </is>
      </c>
      <c r="E90" s="65" t="inlineStr">
        <is>
          <t>Ingredients - Desserts</t>
        </is>
      </c>
      <c r="F90" s="67" t="n">
        <v>260</v>
      </c>
      <c r="G90" s="14" t="inlineStr">
        <is>
          <t>Restaurant</t>
        </is>
      </c>
      <c r="H90" s="14" t="inlineStr">
        <is>
          <t>Card</t>
        </is>
      </c>
      <c r="I90" s="43" t="inlineStr">
        <is>
          <t>✅ Paid</t>
        </is>
      </c>
      <c r="J90" t="inlineStr">
        <is>
          <t>Panadería Circunvalacion</t>
        </is>
      </c>
    </row>
    <row r="91">
      <c r="B91" s="64" t="n">
        <v>46169</v>
      </c>
      <c r="C91" s="69" t="inlineStr">
        <is>
          <t>Tocino</t>
        </is>
      </c>
      <c r="D91" s="68" t="inlineStr">
        <is>
          <t>Remision</t>
        </is>
      </c>
      <c r="E91" s="69" t="inlineStr">
        <is>
          <t>Ingredients - Meat</t>
        </is>
      </c>
      <c r="F91" s="70" t="n">
        <v>236</v>
      </c>
      <c r="G91" s="23" t="inlineStr">
        <is>
          <t>Restaurant</t>
        </is>
      </c>
      <c r="H91" s="23" t="inlineStr">
        <is>
          <t>Card</t>
        </is>
      </c>
      <c r="I91" s="55" t="inlineStr">
        <is>
          <t>✅ Paid</t>
        </is>
      </c>
      <c r="J91" t="inlineStr">
        <is>
          <t>Remision + Getnet card terminal</t>
        </is>
      </c>
    </row>
    <row r="92">
      <c r="B92" s="64" t="n">
        <v>46169</v>
      </c>
      <c r="C92" s="65" t="inlineStr">
        <is>
          <t>Tortillas Blancos</t>
        </is>
      </c>
      <c r="D92" s="66" t="inlineStr">
        <is>
          <t>—</t>
        </is>
      </c>
      <c r="E92" s="65" t="inlineStr">
        <is>
          <t>Ingredients - Pantry</t>
        </is>
      </c>
      <c r="F92" s="67" t="n">
        <v>52</v>
      </c>
      <c r="G92" s="14" t="inlineStr">
        <is>
          <t>Restaurant</t>
        </is>
      </c>
      <c r="H92" s="14" t="inlineStr">
        <is>
          <t>Cash</t>
        </is>
      </c>
      <c r="I92" s="43" t="inlineStr">
        <is>
          <t>✅ Paid</t>
        </is>
      </c>
      <c r="J92" t="inlineStr">
        <is>
          <t>No bill — cash purchase</t>
        </is>
      </c>
    </row>
    <row r="93">
      <c r="B93" s="64" t="n">
        <v>46169</v>
      </c>
      <c r="C93" s="69" t="inlineStr">
        <is>
          <t>Vegetables</t>
        </is>
      </c>
      <c r="D93" s="68" t="inlineStr">
        <is>
          <t>—</t>
        </is>
      </c>
      <c r="E93" s="69" t="inlineStr">
        <is>
          <t>Ingredients - Vegetables</t>
        </is>
      </c>
      <c r="F93" s="70" t="n">
        <v>295</v>
      </c>
      <c r="G93" s="23" t="inlineStr">
        <is>
          <t>Restaurant</t>
        </is>
      </c>
      <c r="H93" s="23" t="inlineStr">
        <is>
          <t>Cash</t>
        </is>
      </c>
      <c r="I93" s="55" t="inlineStr">
        <is>
          <t>✅ Paid</t>
        </is>
      </c>
      <c r="J93" t="inlineStr">
        <is>
          <t>No bill — cash purchase</t>
        </is>
      </c>
    </row>
    <row r="94">
      <c r="B94" s="64" t="n">
        <v>46170</v>
      </c>
      <c r="C94" s="65" t="inlineStr">
        <is>
          <t>Bistec Cerdo + Pierna Cerdo</t>
        </is>
      </c>
      <c r="D94" s="66" t="inlineStr">
        <is>
          <t>Remision</t>
        </is>
      </c>
      <c r="E94" s="65" t="inlineStr">
        <is>
          <t>Ingredients - Meat</t>
        </is>
      </c>
      <c r="F94" s="67" t="n">
        <v>530</v>
      </c>
      <c r="G94" s="14" t="inlineStr">
        <is>
          <t>Restaurant</t>
        </is>
      </c>
      <c r="H94" s="14" t="inlineStr">
        <is>
          <t>Card</t>
        </is>
      </c>
      <c r="I94" s="43" t="inlineStr">
        <is>
          <t>✅ Paid</t>
        </is>
      </c>
      <c r="J94" t="inlineStr">
        <is>
          <t>Getnet terminal — 28 May</t>
        </is>
      </c>
    </row>
    <row r="95">
      <c r="B95" s="64" t="n">
        <v>46170</v>
      </c>
      <c r="C95" s="69" t="inlineStr">
        <is>
          <t>Muslo c/Hueso Amarillo + Elote + Cebolla</t>
        </is>
      </c>
      <c r="D95" s="68" t="inlineStr">
        <is>
          <t>H-E-B</t>
        </is>
      </c>
      <c r="E95" s="69" t="inlineStr">
        <is>
          <t>Ingredients - Meat</t>
        </is>
      </c>
      <c r="F95" s="70" t="n">
        <v>83.91</v>
      </c>
      <c r="G95" s="23" t="inlineStr">
        <is>
          <t>Restaurant</t>
        </is>
      </c>
      <c r="H95" s="23" t="inlineStr">
        <is>
          <t>Card</t>
        </is>
      </c>
      <c r="I95" s="55" t="inlineStr">
        <is>
          <t>✅ Paid</t>
        </is>
      </c>
      <c r="J95" t="inlineStr">
        <is>
          <t>Net after return of $268.91 (chicken issue)</t>
        </is>
      </c>
    </row>
    <row r="96">
      <c r="B96" s="64" t="n">
        <v>46170</v>
      </c>
      <c r="C96" s="65" t="inlineStr">
        <is>
          <t>QsoCrema Lala + Tortilla Amarilla</t>
        </is>
      </c>
      <c r="D96" s="66" t="inlineStr">
        <is>
          <t>Chedraui Selecto</t>
        </is>
      </c>
      <c r="E96" s="65" t="inlineStr">
        <is>
          <t>Ingredients - Dairy</t>
        </is>
      </c>
      <c r="F96" s="67" t="n">
        <v>56.11</v>
      </c>
      <c r="G96" s="14" t="inlineStr">
        <is>
          <t>Restaurant</t>
        </is>
      </c>
      <c r="H96" s="14" t="inlineStr">
        <is>
          <t>Card</t>
        </is>
      </c>
      <c r="I96" s="43" t="inlineStr">
        <is>
          <t>✅ Paid</t>
        </is>
      </c>
    </row>
    <row r="97">
      <c r="B97" s="64" t="n">
        <v>46170</v>
      </c>
      <c r="C97" s="69" t="inlineStr">
        <is>
          <t>Microfibra Formula (2 pcs)</t>
        </is>
      </c>
      <c r="D97" s="68" t="inlineStr">
        <is>
          <t>Chedraui Selecto</t>
        </is>
      </c>
      <c r="E97" s="69" t="inlineStr">
        <is>
          <t>Supplies / Other</t>
        </is>
      </c>
      <c r="F97" s="70" t="n">
        <v>23.2</v>
      </c>
      <c r="G97" s="23" t="inlineStr">
        <is>
          <t>Restaurant</t>
        </is>
      </c>
      <c r="H97" s="23" t="inlineStr">
        <is>
          <t>Card</t>
        </is>
      </c>
      <c r="I97" s="55" t="inlineStr">
        <is>
          <t>✅ Paid</t>
        </is>
      </c>
      <c r="J97" t="inlineStr">
        <is>
          <t>Cleaning supplies</t>
        </is>
      </c>
    </row>
    <row r="98">
      <c r="B98" s="64" t="n">
        <v>46170</v>
      </c>
      <c r="C98" s="65" t="inlineStr">
        <is>
          <t>Nutralat Milk 1.5L (x2)</t>
        </is>
      </c>
      <c r="D98" s="66" t="inlineStr">
        <is>
          <t>OXXO</t>
        </is>
      </c>
      <c r="E98" s="65" t="inlineStr">
        <is>
          <t>Ingredients - Dairy</t>
        </is>
      </c>
      <c r="F98" s="67" t="n">
        <v>48</v>
      </c>
      <c r="G98" s="14" t="inlineStr">
        <is>
          <t>Restaurant</t>
        </is>
      </c>
      <c r="H98" s="14" t="inlineStr">
        <is>
          <t>Card</t>
        </is>
      </c>
      <c r="I98" s="43" t="inlineStr">
        <is>
          <t>✅ Paid</t>
        </is>
      </c>
      <c r="J98" t="inlineStr">
        <is>
          <t>OXXO Pathe QRF</t>
        </is>
      </c>
    </row>
    <row r="99">
      <c r="B99" s="64" t="n">
        <v>46170</v>
      </c>
      <c r="C99" s="69" t="inlineStr">
        <is>
          <t>Muslo con Hueso (4.8 kg)</t>
        </is>
      </c>
      <c r="D99" s="68" t="inlineStr">
        <is>
          <t>Merjaliz</t>
        </is>
      </c>
      <c r="E99" s="69" t="inlineStr">
        <is>
          <t>Ingredients - Meat</t>
        </is>
      </c>
      <c r="F99" s="70" t="n">
        <v>336</v>
      </c>
      <c r="G99" s="23" t="inlineStr">
        <is>
          <t>Restaurant</t>
        </is>
      </c>
      <c r="H99" s="23" t="inlineStr">
        <is>
          <t>Cash</t>
        </is>
      </c>
      <c r="I99" s="55" t="inlineStr">
        <is>
          <t>✅ Paid</t>
        </is>
      </c>
      <c r="J99" t="inlineStr">
        <is>
          <t>Mercado de Abastos — 4.8kg x $70</t>
        </is>
      </c>
    </row>
    <row r="100">
      <c r="B100" s="64" t="n">
        <v>46170</v>
      </c>
      <c r="C100" s="65" t="inlineStr">
        <is>
          <t>Queso Panela Quinta Azul Granel (2.4 kg)</t>
        </is>
      </c>
      <c r="D100" s="66" t="inlineStr">
        <is>
          <t>CAQ</t>
        </is>
      </c>
      <c r="E100" s="65" t="inlineStr">
        <is>
          <t>Ingredients - Dairy</t>
        </is>
      </c>
      <c r="F100" s="67" t="n">
        <v>296.12</v>
      </c>
      <c r="G100" s="14" t="inlineStr">
        <is>
          <t>Restaurant</t>
        </is>
      </c>
      <c r="H100" s="14" t="inlineStr">
        <is>
          <t>Card</t>
        </is>
      </c>
      <c r="I100" s="43" t="inlineStr">
        <is>
          <t>✅ Paid</t>
        </is>
      </c>
      <c r="J100" t="inlineStr">
        <is>
          <t>2.4kg x $123.38</t>
        </is>
      </c>
    </row>
    <row r="101">
      <c r="B101" s="64" t="n">
        <v>46170</v>
      </c>
      <c r="C101" s="69" t="inlineStr">
        <is>
          <t>Queso Gouda Menona (1 unit)</t>
        </is>
      </c>
      <c r="D101" s="68" t="inlineStr">
        <is>
          <t>Bodega del Queso</t>
        </is>
      </c>
      <c r="E101" s="69" t="inlineStr">
        <is>
          <t>Ingredients - Dairy</t>
        </is>
      </c>
      <c r="F101" s="70" t="n">
        <v>135</v>
      </c>
      <c r="G101" s="23" t="inlineStr">
        <is>
          <t>Restaurant</t>
        </is>
      </c>
      <c r="H101" s="23" t="inlineStr">
        <is>
          <t>Cash</t>
        </is>
      </c>
      <c r="I101" s="55" t="inlineStr">
        <is>
          <t>✅ Paid</t>
        </is>
      </c>
      <c r="J101" t="inlineStr">
        <is>
          <t>Restaurant portion only — 1 of 2 units</t>
        </is>
      </c>
    </row>
    <row r="102">
      <c r="B102" s="64" t="n">
        <v>46170</v>
      </c>
      <c r="C102" s="65" t="inlineStr">
        <is>
          <t>Lechuga Italiana</t>
        </is>
      </c>
      <c r="D102" s="66" t="inlineStr">
        <is>
          <t>—</t>
        </is>
      </c>
      <c r="E102" s="65" t="inlineStr">
        <is>
          <t>Ingredients - Vegetables</t>
        </is>
      </c>
      <c r="F102" s="67" t="n">
        <v>48</v>
      </c>
      <c r="G102" s="14" t="inlineStr">
        <is>
          <t>Restaurant</t>
        </is>
      </c>
      <c r="H102" s="14" t="inlineStr">
        <is>
          <t>Cash</t>
        </is>
      </c>
      <c r="I102" s="43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9" t="inlineStr">
        <is>
          <t>Hielo</t>
        </is>
      </c>
      <c r="D103" s="68" t="inlineStr">
        <is>
          <t>—</t>
        </is>
      </c>
      <c r="E103" s="69" t="inlineStr">
        <is>
          <t>Supplies / Other</t>
        </is>
      </c>
      <c r="F103" s="70" t="n">
        <v>100</v>
      </c>
      <c r="G103" s="23" t="inlineStr">
        <is>
          <t>Restaurant</t>
        </is>
      </c>
      <c r="H103" s="23" t="inlineStr">
        <is>
          <t>Cash</t>
        </is>
      </c>
      <c r="I103" s="55" t="inlineStr">
        <is>
          <t>✅ Paid</t>
        </is>
      </c>
      <c r="J103" t="inlineStr">
        <is>
          <t>No bill</t>
        </is>
      </c>
    </row>
    <row r="104">
      <c r="B104" s="64" t="n">
        <v>46170</v>
      </c>
      <c r="C104" s="65" t="inlineStr">
        <is>
          <t>Agua Natural</t>
        </is>
      </c>
      <c r="D104" s="66" t="inlineStr">
        <is>
          <t>—</t>
        </is>
      </c>
      <c r="E104" s="65" t="inlineStr">
        <is>
          <t>Supplies / Other</t>
        </is>
      </c>
      <c r="F104" s="67" t="n">
        <v>45</v>
      </c>
      <c r="G104" s="14" t="inlineStr">
        <is>
          <t>Restaurant</t>
        </is>
      </c>
      <c r="H104" s="14" t="inlineStr">
        <is>
          <t>Cash</t>
        </is>
      </c>
      <c r="I104" s="43" t="inlineStr">
        <is>
          <t>✅ Paid</t>
        </is>
      </c>
      <c r="J104" t="inlineStr">
        <is>
          <t>No bill</t>
        </is>
      </c>
    </row>
    <row r="105">
      <c r="B105" s="64" t="n">
        <v>46170</v>
      </c>
      <c r="C105" s="69" t="inlineStr">
        <is>
          <t>Potato (Papas)</t>
        </is>
      </c>
      <c r="D105" s="68" t="inlineStr">
        <is>
          <t>—</t>
        </is>
      </c>
      <c r="E105" s="69" t="inlineStr">
        <is>
          <t>Ingredients - Vegetables</t>
        </is>
      </c>
      <c r="F105" s="70" t="n">
        <v>200</v>
      </c>
      <c r="G105" s="23" t="inlineStr">
        <is>
          <t>Restaurant</t>
        </is>
      </c>
      <c r="H105" s="23" t="inlineStr">
        <is>
          <t>Cash</t>
        </is>
      </c>
      <c r="I105" s="55" t="inlineStr">
        <is>
          <t>✅ Paid</t>
        </is>
      </c>
      <c r="J105" t="inlineStr">
        <is>
          <t>No bill</t>
        </is>
      </c>
    </row>
    <row r="106">
      <c r="B106" s="64" t="n">
        <v>46170</v>
      </c>
      <c r="C106" s="65" t="inlineStr">
        <is>
          <t>Lechuga Italiana</t>
        </is>
      </c>
      <c r="D106" s="66" t="inlineStr">
        <is>
          <t>—</t>
        </is>
      </c>
      <c r="E106" s="65" t="inlineStr">
        <is>
          <t>Ingredients - Vegetables</t>
        </is>
      </c>
      <c r="F106" s="67" t="n">
        <v>30</v>
      </c>
      <c r="G106" s="14" t="inlineStr">
        <is>
          <t>Restaurant</t>
        </is>
      </c>
      <c r="H106" s="14" t="inlineStr">
        <is>
          <t>Cash</t>
        </is>
      </c>
      <c r="I106" s="43" t="inlineStr">
        <is>
          <t>✅ Paid</t>
        </is>
      </c>
      <c r="J106" t="inlineStr">
        <is>
          <t>No bill</t>
        </is>
      </c>
    </row>
    <row r="107">
      <c r="B107" s="64" t="n">
        <v>46171</v>
      </c>
      <c r="C107" s="69" t="inlineStr">
        <is>
          <t>Jitomate (2.030 kg)</t>
        </is>
      </c>
      <c r="D107" s="68" t="inlineStr">
        <is>
          <t>Super Fruterias Bermudez</t>
        </is>
      </c>
      <c r="E107" s="69" t="inlineStr">
        <is>
          <t>Ingredients - Vegetables</t>
        </is>
      </c>
      <c r="F107" s="70" t="n">
        <v>99.47</v>
      </c>
      <c r="G107" s="23" t="inlineStr">
        <is>
          <t>Restaurant</t>
        </is>
      </c>
      <c r="H107" s="23" t="inlineStr">
        <is>
          <t>Cash</t>
        </is>
      </c>
      <c r="I107" s="55" t="inlineStr">
        <is>
          <t>✅ Paid</t>
        </is>
      </c>
      <c r="J107" t="inlineStr">
        <is>
          <t>2.030kg x $49/kg</t>
        </is>
      </c>
    </row>
    <row r="108">
      <c r="B108" s="64" t="n">
        <v>46171</v>
      </c>
      <c r="C108" s="65" t="inlineStr">
        <is>
          <t>Tortillas Blanca (3.875 kg)</t>
        </is>
      </c>
      <c r="D108" s="66" t="inlineStr">
        <is>
          <t>Chedraui Paseo</t>
        </is>
      </c>
      <c r="E108" s="65" t="inlineStr">
        <is>
          <t>Ingredients - Pantry</t>
        </is>
      </c>
      <c r="F108" s="67" t="n">
        <v>51.92</v>
      </c>
      <c r="G108" s="14" t="inlineStr">
        <is>
          <t>Restaurant</t>
        </is>
      </c>
      <c r="H108" s="14" t="inlineStr">
        <is>
          <t>Card</t>
        </is>
      </c>
      <c r="I108" s="43" t="inlineStr">
        <is>
          <t>✅ Paid</t>
        </is>
      </c>
    </row>
    <row r="109">
      <c r="B109" s="64" t="n">
        <v>46171</v>
      </c>
      <c r="C109" s="69" t="inlineStr">
        <is>
          <t>Concha Chocolate (3 pcs)</t>
        </is>
      </c>
      <c r="D109" s="68" t="inlineStr">
        <is>
          <t>Chedraui Paseo</t>
        </is>
      </c>
      <c r="E109" s="69" t="inlineStr">
        <is>
          <t>Ingredients - Bread</t>
        </is>
      </c>
      <c r="F109" s="70" t="n">
        <v>36</v>
      </c>
      <c r="G109" s="23" t="inlineStr">
        <is>
          <t>Restaurant</t>
        </is>
      </c>
      <c r="H109" s="23" t="inlineStr">
        <is>
          <t>Card</t>
        </is>
      </c>
      <c r="I109" s="55" t="inlineStr">
        <is>
          <t>✅ Paid</t>
        </is>
      </c>
    </row>
    <row r="110">
      <c r="B110" s="64" t="n">
        <v>46171</v>
      </c>
      <c r="C110" s="65" t="inlineStr">
        <is>
          <t>Rosca Marmoleada</t>
        </is>
      </c>
      <c r="D110" s="66" t="inlineStr">
        <is>
          <t>Chedraui Paseo</t>
        </is>
      </c>
      <c r="E110" s="65" t="inlineStr">
        <is>
          <t>Ingredients - Bread</t>
        </is>
      </c>
      <c r="F110" s="67" t="n">
        <v>69.90000000000001</v>
      </c>
      <c r="G110" s="14" t="inlineStr">
        <is>
          <t>Restaurant</t>
        </is>
      </c>
      <c r="H110" s="14" t="inlineStr">
        <is>
          <t>Card</t>
        </is>
      </c>
      <c r="I110" s="43" t="inlineStr">
        <is>
          <t>✅ Paid</t>
        </is>
      </c>
    </row>
    <row r="111">
      <c r="B111" s="64" t="n">
        <v>46172</v>
      </c>
      <c r="C111" s="69" t="inlineStr">
        <is>
          <t>Arroz La Posada 900g (4 pcs, 2x1 promo)</t>
        </is>
      </c>
      <c r="D111" s="68" t="inlineStr">
        <is>
          <t>OXXO Pathe QRF</t>
        </is>
      </c>
      <c r="E111" s="69" t="inlineStr">
        <is>
          <t>Ingredients - Pantry</t>
        </is>
      </c>
      <c r="F111" s="70" t="n">
        <v>60</v>
      </c>
      <c r="G111" s="23" t="inlineStr">
        <is>
          <t>Restaurant</t>
        </is>
      </c>
      <c r="H111" s="23" t="inlineStr">
        <is>
          <t>Card</t>
        </is>
      </c>
      <c r="I111" s="55" t="inlineStr">
        <is>
          <t>✅ Paid</t>
        </is>
      </c>
      <c r="J111" t="inlineStr">
        <is>
          <t>4 packs, buy 2 get 2 promo — $11.60 saving</t>
        </is>
      </c>
    </row>
    <row r="112">
      <c r="B112" s="64" t="n">
        <v>46172</v>
      </c>
      <c r="C112" s="65" t="inlineStr">
        <is>
          <t>Frijol Bayos REF 430g</t>
        </is>
      </c>
      <c r="D112" s="66" t="inlineStr">
        <is>
          <t>OXXO Pathe QRF</t>
        </is>
      </c>
      <c r="E112" s="65" t="inlineStr">
        <is>
          <t>Ingredients - Pantry</t>
        </is>
      </c>
      <c r="F112" s="67" t="n">
        <v>17.9</v>
      </c>
      <c r="G112" s="14" t="inlineStr">
        <is>
          <t>Restaurant</t>
        </is>
      </c>
      <c r="H112" s="14" t="inlineStr">
        <is>
          <t>Card</t>
        </is>
      </c>
      <c r="I112" s="43" t="inlineStr">
        <is>
          <t>✅ Paid</t>
        </is>
      </c>
      <c r="J112" t="inlineStr">
        <is>
          <t>$1.00 discount applied</t>
        </is>
      </c>
    </row>
    <row r="113">
      <c r="B113" s="64" t="n">
        <v>46172</v>
      </c>
      <c r="C113" s="69" t="inlineStr">
        <is>
          <t>Huevo BCO Bachoco 12P</t>
        </is>
      </c>
      <c r="D113" s="68" t="inlineStr">
        <is>
          <t>OXXO Pathe QRF</t>
        </is>
      </c>
      <c r="E113" s="69" t="inlineStr">
        <is>
          <t>Ingredients - Pantry</t>
        </is>
      </c>
      <c r="F113" s="70" t="n">
        <v>36</v>
      </c>
      <c r="G113" s="23" t="inlineStr">
        <is>
          <t>Restaurant</t>
        </is>
      </c>
      <c r="H113" s="23" t="inlineStr">
        <is>
          <t>Cash</t>
        </is>
      </c>
      <c r="I113" s="55" t="inlineStr">
        <is>
          <t>✅ Paid</t>
        </is>
      </c>
      <c r="J113" t="inlineStr">
        <is>
          <t>$8.50 discount applied — paid $50 cash change $14</t>
        </is>
      </c>
    </row>
    <row r="114">
      <c r="B114" s="64" t="n">
        <v>46172</v>
      </c>
      <c r="C114" s="65" t="inlineStr">
        <is>
          <t>Frutas y Verduras variadas</t>
        </is>
      </c>
      <c r="D114" s="66" t="inlineStr">
        <is>
          <t>Fruteria Franco</t>
        </is>
      </c>
      <c r="E114" s="65" t="inlineStr">
        <is>
          <t>Ingredients - Fruit</t>
        </is>
      </c>
      <c r="F114" s="67" t="n">
        <v>220</v>
      </c>
      <c r="G114" s="14" t="inlineStr">
        <is>
          <t>Restaurant</t>
        </is>
      </c>
      <c r="H114" s="14" t="inlineStr">
        <is>
          <t>Card</t>
        </is>
      </c>
      <c r="I114" s="43" t="inlineStr">
        <is>
          <t>✅ Paid</t>
        </is>
      </c>
      <c r="J114" t="inlineStr">
        <is>
          <t>Mercado Pago — Fruteria Franco</t>
        </is>
      </c>
    </row>
    <row r="115">
      <c r="B115" s="64" t="n">
        <v>46172</v>
      </c>
      <c r="C115" s="69" t="inlineStr">
        <is>
          <t>Pollo Muslo</t>
        </is>
      </c>
      <c r="D115" s="68" t="inlineStr">
        <is>
          <t>—</t>
        </is>
      </c>
      <c r="E115" s="69" t="inlineStr">
        <is>
          <t>Ingredients - Meat</t>
        </is>
      </c>
      <c r="F115" s="70" t="n">
        <v>310</v>
      </c>
      <c r="G115" s="23" t="inlineStr">
        <is>
          <t>Restaurant</t>
        </is>
      </c>
      <c r="H115" s="23" t="inlineStr">
        <is>
          <t>Cash</t>
        </is>
      </c>
      <c r="I115" s="55" t="inlineStr">
        <is>
          <t>✅ Paid</t>
        </is>
      </c>
      <c r="J115" t="inlineStr">
        <is>
          <t>No bill — cash purchase</t>
        </is>
      </c>
    </row>
    <row r="116">
      <c r="B116" s="64" t="n">
        <v>46172</v>
      </c>
      <c r="C116" s="65" t="inlineStr">
        <is>
          <t>John — Saldo Semana (Week 2)</t>
        </is>
      </c>
      <c r="D116" s="66" t="inlineStr">
        <is>
          <t>Nomina</t>
        </is>
      </c>
      <c r="E116" s="65" t="inlineStr">
        <is>
          <t>Staff - Salary</t>
        </is>
      </c>
      <c r="F116" s="67" t="n">
        <v>3750</v>
      </c>
      <c r="G116" s="14" t="inlineStr">
        <is>
          <t>Restaurant</t>
        </is>
      </c>
      <c r="H116" s="14" t="inlineStr">
        <is>
          <t>Cash</t>
        </is>
      </c>
      <c r="I116" s="43" t="inlineStr">
        <is>
          <t>✅ Paid</t>
        </is>
      </c>
      <c r="J116" t="inlineStr">
        <is>
          <t>Head Chef — weekly salary Week 2</t>
        </is>
      </c>
    </row>
    <row r="117">
      <c r="B117" s="64" t="n">
        <v>46172</v>
      </c>
      <c r="C117" s="69" t="inlineStr">
        <is>
          <t>Duvi/Debi — Limpieza (Week 2)</t>
        </is>
      </c>
      <c r="D117" s="68" t="inlineStr">
        <is>
          <t>Nomina</t>
        </is>
      </c>
      <c r="E117" s="69" t="inlineStr">
        <is>
          <t>Staff - Salary</t>
        </is>
      </c>
      <c r="F117" s="70" t="n">
        <v>1500</v>
      </c>
      <c r="G117" s="23" t="inlineStr">
        <is>
          <t>Restaurant</t>
        </is>
      </c>
      <c r="H117" s="23" t="inlineStr">
        <is>
          <t>Cash</t>
        </is>
      </c>
      <c r="I117" s="55" t="inlineStr">
        <is>
          <t>✅ Paid</t>
        </is>
      </c>
      <c r="J117" t="inlineStr">
        <is>
          <t>Cleaning staff — weekly salary Week 2</t>
        </is>
      </c>
    </row>
    <row r="118">
      <c r="B118" s="64" t="n">
        <v>46172</v>
      </c>
      <c r="C118" s="65" t="inlineStr">
        <is>
          <t>Tomate (0.930 kg)</t>
        </is>
      </c>
      <c r="D118" s="66" t="inlineStr">
        <is>
          <t>Super Fruterias Bermudez</t>
        </is>
      </c>
      <c r="E118" s="65" t="inlineStr">
        <is>
          <t>Ingredients - Vegetables</t>
        </is>
      </c>
      <c r="F118" s="67" t="n">
        <v>18.6</v>
      </c>
      <c r="G118" s="14" t="inlineStr">
        <is>
          <t>Restaurant</t>
        </is>
      </c>
      <c r="H118" s="14" t="inlineStr">
        <is>
          <t>Cash</t>
        </is>
      </c>
      <c r="I118" s="43" t="inlineStr">
        <is>
          <t>✅ Paid</t>
        </is>
      </c>
      <c r="J118" t="inlineStr">
        <is>
          <t>0.930kg x $20/kg</t>
        </is>
      </c>
    </row>
    <row r="119">
      <c r="B119" s="64" t="n">
        <v>46172</v>
      </c>
      <c r="C119" s="69" t="inlineStr">
        <is>
          <t>Jitomate (1.180 kg)</t>
        </is>
      </c>
      <c r="D119" s="68" t="inlineStr">
        <is>
          <t>Super Fruterias Bermudez</t>
        </is>
      </c>
      <c r="E119" s="69" t="inlineStr">
        <is>
          <t>Ingredients - Vegetables</t>
        </is>
      </c>
      <c r="F119" s="70" t="n">
        <v>57.8</v>
      </c>
      <c r="G119" s="23" t="inlineStr">
        <is>
          <t>Restaurant</t>
        </is>
      </c>
      <c r="H119" s="23" t="inlineStr">
        <is>
          <t>Cash</t>
        </is>
      </c>
      <c r="I119" s="55" t="inlineStr">
        <is>
          <t>✅ Paid</t>
        </is>
      </c>
      <c r="J119" t="inlineStr">
        <is>
          <t>1.180kg x $49/kg</t>
        </is>
      </c>
    </row>
    <row r="120">
      <c r="B120" s="64" t="n">
        <v>46172</v>
      </c>
      <c r="C120" s="65" t="inlineStr">
        <is>
          <t>Cilantro (4 un)</t>
        </is>
      </c>
      <c r="D120" s="66" t="inlineStr">
        <is>
          <t>Super Fruterias Bermudez</t>
        </is>
      </c>
      <c r="E120" s="65" t="inlineStr">
        <is>
          <t>Ingredients - Vegetables</t>
        </is>
      </c>
      <c r="F120" s="67" t="n">
        <v>4</v>
      </c>
      <c r="G120" s="14" t="inlineStr">
        <is>
          <t>Restaurant</t>
        </is>
      </c>
      <c r="H120" s="14" t="inlineStr">
        <is>
          <t>Cash</t>
        </is>
      </c>
      <c r="I120" s="43" t="inlineStr">
        <is>
          <t>✅ Paid</t>
        </is>
      </c>
      <c r="J120" t="inlineStr">
        <is>
          <t>4 units x $1/un</t>
        </is>
      </c>
    </row>
    <row r="121">
      <c r="B121" s="64" t="n">
        <v>46173</v>
      </c>
      <c r="C121" s="69" t="inlineStr">
        <is>
          <t>Aceite La Posada 800 (12 units, 2x1 promo)</t>
        </is>
      </c>
      <c r="D121" s="68" t="inlineStr">
        <is>
          <t>OXXO</t>
        </is>
      </c>
      <c r="E121" s="69" t="inlineStr">
        <is>
          <t>Ingredients - Pantry</t>
        </is>
      </c>
      <c r="F121" s="70" t="n">
        <v>312</v>
      </c>
      <c r="G121" s="23" t="inlineStr">
        <is>
          <t>Restaurant</t>
        </is>
      </c>
      <c r="H121" s="23" t="inlineStr">
        <is>
          <t>Card</t>
        </is>
      </c>
      <c r="I121" s="55" t="inlineStr">
        <is>
          <t>✅ Paid</t>
        </is>
      </c>
      <c r="J121" t="inlineStr">
        <is>
          <t>$70.80 discount applied — Mercado Libre payment</t>
        </is>
      </c>
    </row>
    <row r="122">
      <c r="B122" s="64" t="n">
        <v>46174</v>
      </c>
      <c r="C122" s="65" t="inlineStr">
        <is>
          <t>Propinas - John (Week 2)</t>
        </is>
      </c>
      <c r="D122" s="66" t="inlineStr">
        <is>
          <t>Nomina</t>
        </is>
      </c>
      <c r="E122" s="65" t="inlineStr">
        <is>
          <t>Staff - Tips Distribution</t>
        </is>
      </c>
      <c r="F122" s="67" t="n">
        <v>350</v>
      </c>
      <c r="G122" s="14" t="inlineStr">
        <is>
          <t>Restaurant</t>
        </is>
      </c>
      <c r="H122" s="14" t="inlineStr">
        <is>
          <t>Cash</t>
        </is>
      </c>
      <c r="I122" s="43" t="inlineStr">
        <is>
          <t>✅ Paid</t>
        </is>
      </c>
      <c r="J122" t="inlineStr">
        <is>
          <t>Week 2 propinas — John</t>
        </is>
      </c>
    </row>
    <row r="123">
      <c r="B123" s="64" t="n">
        <v>46174</v>
      </c>
      <c r="C123" s="69" t="inlineStr">
        <is>
          <t>Propinas - Duvi/Debi (Week 2)</t>
        </is>
      </c>
      <c r="D123" s="68" t="inlineStr">
        <is>
          <t>Nomina</t>
        </is>
      </c>
      <c r="E123" s="69" t="inlineStr">
        <is>
          <t>Staff - Tips Distribution</t>
        </is>
      </c>
      <c r="F123" s="70" t="n">
        <v>350</v>
      </c>
      <c r="G123" s="23" t="inlineStr">
        <is>
          <t>Restaurant</t>
        </is>
      </c>
      <c r="H123" s="23" t="inlineStr">
        <is>
          <t>Cash</t>
        </is>
      </c>
      <c r="I123" s="55" t="inlineStr">
        <is>
          <t>✅ Paid</t>
        </is>
      </c>
      <c r="J123" t="inlineStr">
        <is>
          <t>Week 2 propinas — Duvi/Debi</t>
        </is>
      </c>
    </row>
    <row r="124">
      <c r="B124" s="64" t="n">
        <v>46174</v>
      </c>
      <c r="C124" s="65" t="inlineStr">
        <is>
          <t>Azucar Morena 10/1</t>
        </is>
      </c>
      <c r="D124" s="66" t="inlineStr">
        <is>
          <t>Costco</t>
        </is>
      </c>
      <c r="E124" s="65" t="inlineStr">
        <is>
          <t>Ingredients - Pantry</t>
        </is>
      </c>
      <c r="F124" s="67" t="n">
        <v>219.94</v>
      </c>
      <c r="G124" s="14" t="inlineStr">
        <is>
          <t>Restaurant</t>
        </is>
      </c>
      <c r="H124" s="14" t="inlineStr">
        <is>
          <t>Card</t>
        </is>
      </c>
      <c r="I124" s="43" t="inlineStr">
        <is>
          <t>✅ Paid</t>
        </is>
      </c>
    </row>
    <row r="125">
      <c r="B125" s="64" t="n">
        <v>46174</v>
      </c>
      <c r="C125" s="69" t="inlineStr">
        <is>
          <t>Atun DOL.AG 10/140</t>
        </is>
      </c>
      <c r="D125" s="68" t="inlineStr">
        <is>
          <t>Costco</t>
        </is>
      </c>
      <c r="E125" s="69" t="inlineStr">
        <is>
          <t>Ingredients - Pantry</t>
        </is>
      </c>
      <c r="F125" s="70" t="n">
        <v>193.34</v>
      </c>
      <c r="G125" s="23" t="inlineStr">
        <is>
          <t>Restaurant</t>
        </is>
      </c>
      <c r="H125" s="23" t="inlineStr">
        <is>
          <t>Card</t>
        </is>
      </c>
      <c r="I125" s="55" t="inlineStr">
        <is>
          <t>✅ Paid</t>
        </is>
      </c>
    </row>
    <row r="126">
      <c r="B126" s="64" t="n">
        <v>46174</v>
      </c>
      <c r="C126" s="65" t="inlineStr">
        <is>
          <t>Mayonesa 3.7L (x2)</t>
        </is>
      </c>
      <c r="D126" s="66" t="inlineStr">
        <is>
          <t>Costco</t>
        </is>
      </c>
      <c r="E126" s="65" t="inlineStr">
        <is>
          <t>Ingredients - Pantry</t>
        </is>
      </c>
      <c r="F126" s="67" t="n">
        <v>468.52</v>
      </c>
      <c r="G126" s="14" t="inlineStr">
        <is>
          <t>Restaurant</t>
        </is>
      </c>
      <c r="H126" s="14" t="inlineStr">
        <is>
          <t>Card</t>
        </is>
      </c>
      <c r="I126" s="43" t="inlineStr">
        <is>
          <t>✅ Paid</t>
        </is>
      </c>
      <c r="J126" t="inlineStr">
        <is>
          <t>2 packs x $234.26</t>
        </is>
      </c>
    </row>
    <row r="127">
      <c r="B127" s="64" t="n">
        <v>46174</v>
      </c>
      <c r="C127" s="69" t="inlineStr">
        <is>
          <t>Agua Mineral 12/600ml</t>
        </is>
      </c>
      <c r="D127" s="68" t="inlineStr">
        <is>
          <t>Costco</t>
        </is>
      </c>
      <c r="E127" s="69" t="inlineStr">
        <is>
          <t>Ingredients - Beverages</t>
        </is>
      </c>
      <c r="F127" s="70" t="n">
        <v>230.16</v>
      </c>
      <c r="G127" s="23" t="inlineStr">
        <is>
          <t>Restaurant</t>
        </is>
      </c>
      <c r="H127" s="23" t="inlineStr">
        <is>
          <t>Card</t>
        </is>
      </c>
      <c r="I127" s="55" t="inlineStr">
        <is>
          <t>✅ Paid</t>
        </is>
      </c>
      <c r="J127" t="inlineStr">
        <is>
          <t>Net after $30.68 discount split</t>
        </is>
      </c>
    </row>
    <row r="128">
      <c r="B128" s="64" t="n">
        <v>46174</v>
      </c>
      <c r="C128" s="65" t="inlineStr">
        <is>
          <t>Pastel Queso Guayaba</t>
        </is>
      </c>
      <c r="D128" s="66" t="inlineStr">
        <is>
          <t>Costco</t>
        </is>
      </c>
      <c r="E128" s="65" t="inlineStr">
        <is>
          <t>Ingredients - Bread</t>
        </is>
      </c>
      <c r="F128" s="67" t="n">
        <v>224.04</v>
      </c>
      <c r="G128" s="14" t="inlineStr">
        <is>
          <t>Restaurant</t>
        </is>
      </c>
      <c r="H128" s="14" t="inlineStr">
        <is>
          <t>Card</t>
        </is>
      </c>
      <c r="I128" s="43" t="inlineStr">
        <is>
          <t>✅ Paid</t>
        </is>
      </c>
      <c r="J128" t="inlineStr">
        <is>
          <t>Net after discount allocation</t>
        </is>
      </c>
    </row>
    <row r="129">
      <c r="B129" s="64" t="n">
        <v>46174</v>
      </c>
      <c r="C129" s="69" t="inlineStr">
        <is>
          <t>Arroz 10/900 (3 packs)</t>
        </is>
      </c>
      <c r="D129" s="68" t="inlineStr">
        <is>
          <t>Sam's Club</t>
        </is>
      </c>
      <c r="E129" s="69" t="inlineStr">
        <is>
          <t>Ingredients - Pantry</t>
        </is>
      </c>
      <c r="F129" s="70" t="n">
        <v>540</v>
      </c>
      <c r="G129" s="23" t="inlineStr">
        <is>
          <t>Restaurant</t>
        </is>
      </c>
      <c r="H129" s="23" t="inlineStr">
        <is>
          <t>Card</t>
        </is>
      </c>
      <c r="I129" s="55" t="inlineStr">
        <is>
          <t>✅ Paid</t>
        </is>
      </c>
      <c r="J129" t="inlineStr">
        <is>
          <t>3 x $184.14, discount -$12.42</t>
        </is>
      </c>
    </row>
    <row r="130">
      <c r="B130" s="64" t="n">
        <v>46174</v>
      </c>
      <c r="C130" s="65" t="inlineStr">
        <is>
          <t>Arrachera Clarita</t>
        </is>
      </c>
      <c r="D130" s="66" t="inlineStr">
        <is>
          <t>Miscelanea LC La Cruz</t>
        </is>
      </c>
      <c r="E130" s="65" t="inlineStr">
        <is>
          <t>Ingredients - Meat</t>
        </is>
      </c>
      <c r="F130" s="67" t="n">
        <v>303</v>
      </c>
      <c r="G130" s="14" t="inlineStr">
        <is>
          <t>Restaurant</t>
        </is>
      </c>
      <c r="H130" s="14" t="inlineStr">
        <is>
          <t>Card</t>
        </is>
      </c>
      <c r="I130" s="43" t="inlineStr">
        <is>
          <t>✅ Paid</t>
        </is>
      </c>
      <c r="J130" t="inlineStr">
        <is>
          <t>Getnet terminal</t>
        </is>
      </c>
    </row>
    <row r="131">
      <c r="B131" s="64" t="n">
        <v>46174</v>
      </c>
      <c r="C131" s="69" t="inlineStr">
        <is>
          <t>Bistec Res</t>
        </is>
      </c>
      <c r="D131" s="68" t="inlineStr">
        <is>
          <t>Miscelanea LC La Cruz</t>
        </is>
      </c>
      <c r="E131" s="69" t="inlineStr">
        <is>
          <t>Ingredients - Meat</t>
        </is>
      </c>
      <c r="F131" s="70" t="n">
        <v>260</v>
      </c>
      <c r="G131" s="23" t="inlineStr">
        <is>
          <t>Restaurant</t>
        </is>
      </c>
      <c r="H131" s="23" t="inlineStr">
        <is>
          <t>Card</t>
        </is>
      </c>
      <c r="I131" s="55" t="inlineStr">
        <is>
          <t>✅ Paid</t>
        </is>
      </c>
    </row>
    <row r="132">
      <c r="B132" s="64" t="n">
        <v>46174</v>
      </c>
      <c r="C132" s="65" t="inlineStr">
        <is>
          <t>Bistec CD</t>
        </is>
      </c>
      <c r="D132" s="66" t="inlineStr">
        <is>
          <t>Miscelanea LC La Cruz</t>
        </is>
      </c>
      <c r="E132" s="65" t="inlineStr">
        <is>
          <t>Ingredients - Meat</t>
        </is>
      </c>
      <c r="F132" s="67" t="n">
        <v>293</v>
      </c>
      <c r="G132" s="14" t="inlineStr">
        <is>
          <t>Restaurant</t>
        </is>
      </c>
      <c r="H132" s="14" t="inlineStr">
        <is>
          <t>Card</t>
        </is>
      </c>
      <c r="I132" s="43" t="inlineStr">
        <is>
          <t>✅ Paid</t>
        </is>
      </c>
    </row>
    <row r="133">
      <c r="B133" s="64" t="n">
        <v>46174</v>
      </c>
      <c r="C133" s="69" t="inlineStr">
        <is>
          <t>DeoCrema Lala 190g (x2)</t>
        </is>
      </c>
      <c r="D133" s="68" t="inlineStr">
        <is>
          <t>Chedraui Selecto</t>
        </is>
      </c>
      <c r="E133" s="69" t="inlineStr">
        <is>
          <t>Ingredients - Dairy</t>
        </is>
      </c>
      <c r="F133" s="70" t="n">
        <v>64</v>
      </c>
      <c r="G133" s="23" t="inlineStr">
        <is>
          <t>Restaurant</t>
        </is>
      </c>
      <c r="H133" s="23" t="inlineStr">
        <is>
          <t>Card</t>
        </is>
      </c>
      <c r="I133" s="55" t="inlineStr">
        <is>
          <t>✅ Paid</t>
        </is>
      </c>
    </row>
    <row r="134">
      <c r="B134" s="64" t="n">
        <v>46174</v>
      </c>
      <c r="C134" s="65" t="inlineStr">
        <is>
          <t>Tortillas Blanca K (5.4 kg)</t>
        </is>
      </c>
      <c r="D134" s="66" t="inlineStr">
        <is>
          <t>Chedraui Selecto</t>
        </is>
      </c>
      <c r="E134" s="65" t="inlineStr">
        <is>
          <t>Ingredients - Pantry</t>
        </is>
      </c>
      <c r="F134" s="67" t="n">
        <v>67.5</v>
      </c>
      <c r="G134" s="14" t="inlineStr">
        <is>
          <t>Restaurant</t>
        </is>
      </c>
      <c r="H134" s="14" t="inlineStr">
        <is>
          <t>Card</t>
        </is>
      </c>
      <c r="I134" s="43" t="inlineStr">
        <is>
          <t>✅ Paid</t>
        </is>
      </c>
      <c r="J134" t="inlineStr">
        <is>
          <t>3.446kg+1.955kg net after discount</t>
        </is>
      </c>
    </row>
    <row r="135">
      <c r="B135" s="64" t="n">
        <v>46174</v>
      </c>
      <c r="C135" s="69" t="inlineStr">
        <is>
          <t>Rosca de Nuez</t>
        </is>
      </c>
      <c r="D135" s="68" t="inlineStr">
        <is>
          <t>Chedraui Selecto</t>
        </is>
      </c>
      <c r="E135" s="69" t="inlineStr">
        <is>
          <t>Ingredients - Bread</t>
        </is>
      </c>
      <c r="F135" s="70" t="n">
        <v>79.90000000000001</v>
      </c>
      <c r="G135" s="23" t="inlineStr">
        <is>
          <t>Restaurant</t>
        </is>
      </c>
      <c r="H135" s="23" t="inlineStr">
        <is>
          <t>Card</t>
        </is>
      </c>
      <c r="I135" s="55" t="inlineStr">
        <is>
          <t>✅ Paid</t>
        </is>
      </c>
    </row>
    <row r="136">
      <c r="B136" s="64" t="n">
        <v>46174</v>
      </c>
      <c r="C136" s="65" t="inlineStr">
        <is>
          <t>Pollos Enteros (x2)</t>
        </is>
      </c>
      <c r="D136" s="66" t="inlineStr">
        <is>
          <t>Polleria Emily</t>
        </is>
      </c>
      <c r="E136" s="65" t="inlineStr">
        <is>
          <t>Ingredients - Meat</t>
        </is>
      </c>
      <c r="F136" s="67" t="n">
        <v>350</v>
      </c>
      <c r="G136" s="14" t="inlineStr">
        <is>
          <t>Restaurant</t>
        </is>
      </c>
      <c r="H136" s="14" t="inlineStr">
        <is>
          <t>Cash</t>
        </is>
      </c>
      <c r="I136" s="43" t="inlineStr">
        <is>
          <t>✅ Paid</t>
        </is>
      </c>
    </row>
    <row r="137">
      <c r="B137" s="64" t="n">
        <v>46174</v>
      </c>
      <c r="C137" s="69" t="inlineStr">
        <is>
          <t>Muslo de Pollo (18 pcs)</t>
        </is>
      </c>
      <c r="D137" s="68" t="inlineStr">
        <is>
          <t>Polleria Emily</t>
        </is>
      </c>
      <c r="E137" s="69" t="inlineStr">
        <is>
          <t>Ingredients - Meat</t>
        </is>
      </c>
      <c r="F137" s="70" t="n">
        <v>297</v>
      </c>
      <c r="G137" s="23" t="inlineStr">
        <is>
          <t>Restaurant</t>
        </is>
      </c>
      <c r="H137" s="23" t="inlineStr">
        <is>
          <t>Cash</t>
        </is>
      </c>
      <c r="I137" s="55" t="inlineStr">
        <is>
          <t>✅ Paid</t>
        </is>
      </c>
    </row>
    <row r="138">
      <c r="B138" s="64" t="n">
        <v>46174</v>
      </c>
      <c r="C138" s="65" t="inlineStr">
        <is>
          <t>Cebolla (3 pcs)</t>
        </is>
      </c>
      <c r="D138" s="66" t="inlineStr">
        <is>
          <t>El Rancho Mercado</t>
        </is>
      </c>
      <c r="E138" s="65" t="inlineStr">
        <is>
          <t>Ingredients - Vegetables</t>
        </is>
      </c>
      <c r="F138" s="67" t="n">
        <v>30</v>
      </c>
      <c r="G138" s="14" t="inlineStr">
        <is>
          <t>Restaurant</t>
        </is>
      </c>
      <c r="H138" s="14" t="inlineStr">
        <is>
          <t>Cash</t>
        </is>
      </c>
      <c r="I138" s="43" t="inlineStr">
        <is>
          <t>✅ Paid</t>
        </is>
      </c>
    </row>
    <row r="139">
      <c r="B139" s="64" t="n">
        <v>46174</v>
      </c>
      <c r="C139" s="69" t="inlineStr">
        <is>
          <t>Zanahorias (2 pcs)</t>
        </is>
      </c>
      <c r="D139" s="68" t="inlineStr">
        <is>
          <t>El Rancho Mercado</t>
        </is>
      </c>
      <c r="E139" s="69" t="inlineStr">
        <is>
          <t>Ingredients - Vegetables</t>
        </is>
      </c>
      <c r="F139" s="70" t="n">
        <v>26</v>
      </c>
      <c r="G139" s="23" t="inlineStr">
        <is>
          <t>Restaurant</t>
        </is>
      </c>
      <c r="H139" s="23" t="inlineStr">
        <is>
          <t>Cash</t>
        </is>
      </c>
      <c r="I139" s="55" t="inlineStr">
        <is>
          <t>✅ Paid</t>
        </is>
      </c>
    </row>
    <row r="140">
      <c r="B140" s="64" t="n">
        <v>46174</v>
      </c>
      <c r="C140" s="65" t="inlineStr">
        <is>
          <t>Tomate (5 pcs)</t>
        </is>
      </c>
      <c r="D140" s="66" t="inlineStr">
        <is>
          <t>El Rancho Mercado</t>
        </is>
      </c>
      <c r="E140" s="65" t="inlineStr">
        <is>
          <t>Ingredients - Vegetables</t>
        </is>
      </c>
      <c r="F140" s="67" t="n">
        <v>45</v>
      </c>
      <c r="G140" s="14" t="inlineStr">
        <is>
          <t>Restaurant</t>
        </is>
      </c>
      <c r="H140" s="14" t="inlineStr">
        <is>
          <t>Cash</t>
        </is>
      </c>
      <c r="I140" s="43" t="inlineStr">
        <is>
          <t>✅ Paid</t>
        </is>
      </c>
    </row>
    <row r="141">
      <c r="B141" s="64" t="n">
        <v>46174</v>
      </c>
      <c r="C141" s="69" t="inlineStr">
        <is>
          <t>Queso Panela Quinta Azul (4.8 kg)</t>
        </is>
      </c>
      <c r="D141" s="68" t="inlineStr">
        <is>
          <t>CAQ</t>
        </is>
      </c>
      <c r="E141" s="69" t="inlineStr">
        <is>
          <t>Ingredients - Dairy</t>
        </is>
      </c>
      <c r="F141" s="70" t="n">
        <v>592.24</v>
      </c>
      <c r="G141" s="23" t="inlineStr">
        <is>
          <t>Restaurant</t>
        </is>
      </c>
      <c r="H141" s="23" t="inlineStr">
        <is>
          <t>Cash</t>
        </is>
      </c>
      <c r="I141" s="55" t="inlineStr">
        <is>
          <t>✅ Paid</t>
        </is>
      </c>
      <c r="J141" t="inlineStr">
        <is>
          <t>4.8kg x $123.38</t>
        </is>
      </c>
    </row>
    <row r="142">
      <c r="B142" s="64" t="n">
        <v>46174</v>
      </c>
      <c r="C142" s="65" t="inlineStr">
        <is>
          <t>Papas</t>
        </is>
      </c>
      <c r="D142" s="66" t="inlineStr">
        <is>
          <t>—</t>
        </is>
      </c>
      <c r="E142" s="65" t="inlineStr">
        <is>
          <t>Ingredients - Vegetables</t>
        </is>
      </c>
      <c r="F142" s="67" t="n">
        <v>120</v>
      </c>
      <c r="G142" s="14" t="inlineStr">
        <is>
          <t>Restaurant</t>
        </is>
      </c>
      <c r="H142" s="14" t="inlineStr">
        <is>
          <t>Cash</t>
        </is>
      </c>
      <c r="I142" s="43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9" t="inlineStr">
        <is>
          <t>Nopales</t>
        </is>
      </c>
      <c r="D143" s="68" t="inlineStr">
        <is>
          <t>—</t>
        </is>
      </c>
      <c r="E143" s="69" t="inlineStr">
        <is>
          <t>Ingredients - Vegetables</t>
        </is>
      </c>
      <c r="F143" s="70" t="n">
        <v>20</v>
      </c>
      <c r="G143" s="23" t="inlineStr">
        <is>
          <t>Restaurant</t>
        </is>
      </c>
      <c r="H143" s="23" t="inlineStr">
        <is>
          <t>Cash</t>
        </is>
      </c>
      <c r="I143" s="55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5" t="inlineStr">
        <is>
          <t>Cilantro</t>
        </is>
      </c>
      <c r="D144" s="66" t="inlineStr">
        <is>
          <t>—</t>
        </is>
      </c>
      <c r="E144" s="65" t="inlineStr">
        <is>
          <t>Ingredients - Vegetables</t>
        </is>
      </c>
      <c r="F144" s="67" t="n">
        <v>70</v>
      </c>
      <c r="G144" s="14" t="inlineStr">
        <is>
          <t>Restaurant</t>
        </is>
      </c>
      <c r="H144" s="14" t="inlineStr">
        <is>
          <t>Cash</t>
        </is>
      </c>
      <c r="I144" s="43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9" t="inlineStr">
        <is>
          <t>Lechuga Italiana</t>
        </is>
      </c>
      <c r="D145" s="68" t="inlineStr">
        <is>
          <t>—</t>
        </is>
      </c>
      <c r="E145" s="69" t="inlineStr">
        <is>
          <t>Ingredients - Vegetables</t>
        </is>
      </c>
      <c r="F145" s="70" t="n">
        <v>60</v>
      </c>
      <c r="G145" s="23" t="inlineStr">
        <is>
          <t>Restaurant</t>
        </is>
      </c>
      <c r="H145" s="23" t="inlineStr">
        <is>
          <t>Cash</t>
        </is>
      </c>
      <c r="I145" s="55" t="inlineStr">
        <is>
          <t>✅ Paid</t>
        </is>
      </c>
      <c r="J145" t="inlineStr">
        <is>
          <t>No bill</t>
        </is>
      </c>
    </row>
    <row r="146">
      <c r="B146" s="64" t="n">
        <v>46174</v>
      </c>
      <c r="C146" s="65" t="inlineStr">
        <is>
          <t>Papaya</t>
        </is>
      </c>
      <c r="D146" s="66" t="inlineStr">
        <is>
          <t>—</t>
        </is>
      </c>
      <c r="E146" s="65" t="inlineStr">
        <is>
          <t>Ingredients - Fruit</t>
        </is>
      </c>
      <c r="F146" s="67" t="n">
        <v>55</v>
      </c>
      <c r="G146" s="14" t="inlineStr">
        <is>
          <t>Restaurant</t>
        </is>
      </c>
      <c r="H146" s="14" t="inlineStr">
        <is>
          <t>Cash</t>
        </is>
      </c>
      <c r="I146" s="43" t="inlineStr">
        <is>
          <t>✅ Paid</t>
        </is>
      </c>
      <c r="J146" t="inlineStr">
        <is>
          <t>No bill</t>
        </is>
      </c>
    </row>
    <row r="147">
      <c r="B147" s="64" t="n">
        <v>46174</v>
      </c>
      <c r="C147" s="69" t="inlineStr">
        <is>
          <t>Aguacate</t>
        </is>
      </c>
      <c r="D147" s="68" t="inlineStr">
        <is>
          <t>—</t>
        </is>
      </c>
      <c r="E147" s="69" t="inlineStr">
        <is>
          <t>Ingredients - Fruit</t>
        </is>
      </c>
      <c r="F147" s="70" t="n">
        <v>70</v>
      </c>
      <c r="G147" s="23" t="inlineStr">
        <is>
          <t>Restaurant</t>
        </is>
      </c>
      <c r="H147" s="23" t="inlineStr">
        <is>
          <t>Cash</t>
        </is>
      </c>
      <c r="I147" s="55" t="inlineStr">
        <is>
          <t>✅ Paid</t>
        </is>
      </c>
      <c r="J147" t="inlineStr">
        <is>
          <t>No bill</t>
        </is>
      </c>
    </row>
    <row r="148">
      <c r="B148" s="64" t="n">
        <v>46174</v>
      </c>
      <c r="C148" s="65" t="inlineStr">
        <is>
          <t>Calabaza y Manzana</t>
        </is>
      </c>
      <c r="D148" s="66" t="inlineStr">
        <is>
          <t>—</t>
        </is>
      </c>
      <c r="E148" s="65" t="inlineStr">
        <is>
          <t>Ingredients - Fruit</t>
        </is>
      </c>
      <c r="F148" s="67" t="n">
        <v>90</v>
      </c>
      <c r="G148" s="14" t="inlineStr">
        <is>
          <t>Restaurant</t>
        </is>
      </c>
      <c r="H148" s="14" t="inlineStr">
        <is>
          <t>Cash</t>
        </is>
      </c>
      <c r="I148" s="43" t="inlineStr">
        <is>
          <t>✅ Paid</t>
        </is>
      </c>
      <c r="J148" t="inlineStr">
        <is>
          <t>No bill</t>
        </is>
      </c>
    </row>
    <row r="149">
      <c r="B149" s="64" t="n">
        <v>46174</v>
      </c>
      <c r="C149" s="69" t="inlineStr">
        <is>
          <t>Tomate (no bill)</t>
        </is>
      </c>
      <c r="D149" s="68" t="inlineStr">
        <is>
          <t>—</t>
        </is>
      </c>
      <c r="E149" s="69" t="inlineStr">
        <is>
          <t>Ingredients - Vegetables</t>
        </is>
      </c>
      <c r="F149" s="70" t="n">
        <v>160</v>
      </c>
      <c r="G149" s="23" t="inlineStr">
        <is>
          <t>Restaurant</t>
        </is>
      </c>
      <c r="H149" s="23" t="inlineStr">
        <is>
          <t>Cash</t>
        </is>
      </c>
      <c r="I149" s="55" t="inlineStr">
        <is>
          <t>✅ Paid</t>
        </is>
      </c>
      <c r="J149" t="inlineStr">
        <is>
          <t>No bill</t>
        </is>
      </c>
    </row>
    <row r="150">
      <c r="B150" s="64" t="n">
        <v>46174</v>
      </c>
      <c r="C150" s="65" t="inlineStr">
        <is>
          <t>Banana</t>
        </is>
      </c>
      <c r="D150" s="66" t="inlineStr">
        <is>
          <t>—</t>
        </is>
      </c>
      <c r="E150" s="65" t="inlineStr">
        <is>
          <t>Ingredients - Fruit</t>
        </is>
      </c>
      <c r="F150" s="67" t="n">
        <v>52</v>
      </c>
      <c r="G150" s="14" t="inlineStr">
        <is>
          <t>Restaurant</t>
        </is>
      </c>
      <c r="H150" s="14" t="inlineStr">
        <is>
          <t>Cash</t>
        </is>
      </c>
      <c r="I150" s="43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9" t="inlineStr">
        <is>
          <t>Leche UHT NUTRI 1L (x2)</t>
        </is>
      </c>
      <c r="D151" s="68" t="inlineStr">
        <is>
          <t>OXXO Pathe QRF</t>
        </is>
      </c>
      <c r="E151" s="69" t="inlineStr">
        <is>
          <t>Ingredients - Dairy</t>
        </is>
      </c>
      <c r="F151" s="70" t="n">
        <v>42</v>
      </c>
      <c r="G151" s="23" t="inlineStr">
        <is>
          <t>Restaurant</t>
        </is>
      </c>
      <c r="H151" s="23" t="inlineStr">
        <is>
          <t>Card</t>
        </is>
      </c>
      <c r="I151" s="55" t="inlineStr">
        <is>
          <t>✅ Paid</t>
        </is>
      </c>
      <c r="J151" t="inlineStr">
        <is>
          <t>$14 discount applied</t>
        </is>
      </c>
    </row>
    <row r="152">
      <c r="B152" s="64" t="n">
        <v>46175</v>
      </c>
      <c r="C152" s="65" t="inlineStr">
        <is>
          <t>Gas LP Delivery</t>
        </is>
      </c>
      <c r="D152" s="66" t="inlineStr">
        <is>
          <t>Gas Tomza</t>
        </is>
      </c>
      <c r="E152" s="65" t="inlineStr">
        <is>
          <t>Supplies / Other</t>
        </is>
      </c>
      <c r="F152" s="67" t="n">
        <v>1500.8</v>
      </c>
      <c r="G152" s="14" t="inlineStr">
        <is>
          <t>Restaurant</t>
        </is>
      </c>
      <c r="H152" s="14" t="inlineStr">
        <is>
          <t>Card</t>
        </is>
      </c>
      <c r="I152" s="43" t="inlineStr">
        <is>
          <t>✅ Paid</t>
        </is>
      </c>
      <c r="J152" t="inlineStr">
        <is>
          <t>Remision #11592 — cooking gas</t>
        </is>
      </c>
    </row>
    <row r="153">
      <c r="B153" s="64" t="n">
        <v>46175</v>
      </c>
      <c r="C153" s="69" t="inlineStr">
        <is>
          <t>Pierna Suiza (2.0 kg)</t>
        </is>
      </c>
      <c r="D153" s="68" t="inlineStr">
        <is>
          <t>Miscelanea LC La Cruz</t>
        </is>
      </c>
      <c r="E153" s="69" t="inlineStr">
        <is>
          <t>Ingredients - Meat</t>
        </is>
      </c>
      <c r="F153" s="70" t="n">
        <v>191</v>
      </c>
      <c r="G153" s="23" t="inlineStr">
        <is>
          <t>Restaurant</t>
        </is>
      </c>
      <c r="H153" s="23" t="inlineStr">
        <is>
          <t>Card</t>
        </is>
      </c>
      <c r="I153" s="55" t="inlineStr">
        <is>
          <t>✅ Paid</t>
        </is>
      </c>
      <c r="J153" t="inlineStr">
        <is>
          <t>2.0kg x $95/kg — Getnet</t>
        </is>
      </c>
    </row>
    <row r="154">
      <c r="B154" s="64" t="n">
        <v>46175</v>
      </c>
      <c r="C154" s="65" t="inlineStr">
        <is>
          <t>Crema Acida (x2)</t>
        </is>
      </c>
      <c r="D154" s="66" t="inlineStr">
        <is>
          <t>Sam's Club</t>
        </is>
      </c>
      <c r="E154" s="65" t="inlineStr">
        <is>
          <t>Ingredients - Dairy</t>
        </is>
      </c>
      <c r="F154" s="67" t="n">
        <v>490</v>
      </c>
      <c r="G154" s="14" t="inlineStr">
        <is>
          <t>Restaurant</t>
        </is>
      </c>
      <c r="H154" s="14" t="inlineStr">
        <is>
          <t>Card</t>
        </is>
      </c>
      <c r="I154" s="43" t="inlineStr">
        <is>
          <t>✅ Paid</t>
        </is>
      </c>
      <c r="J154" t="inlineStr">
        <is>
          <t>2 x $250.63, discount -$11.26</t>
        </is>
      </c>
    </row>
    <row r="155">
      <c r="B155" s="64" t="n">
        <v>46175</v>
      </c>
      <c r="C155" s="69" t="inlineStr">
        <is>
          <t>Hielo</t>
        </is>
      </c>
      <c r="D155" s="68" t="inlineStr">
        <is>
          <t>—</t>
        </is>
      </c>
      <c r="E155" s="69" t="inlineStr">
        <is>
          <t>Supplies / Other</t>
        </is>
      </c>
      <c r="F155" s="70" t="n">
        <v>50</v>
      </c>
      <c r="G155" s="23" t="inlineStr">
        <is>
          <t>Restaurant</t>
        </is>
      </c>
      <c r="H155" s="23" t="inlineStr">
        <is>
          <t>Cash</t>
        </is>
      </c>
      <c r="I155" s="55" t="inlineStr">
        <is>
          <t>✅ Paid</t>
        </is>
      </c>
      <c r="J155" t="inlineStr">
        <is>
          <t>No bill</t>
        </is>
      </c>
    </row>
    <row r="156">
      <c r="B156" s="64" t="n">
        <v>46175</v>
      </c>
      <c r="C156" s="65" t="inlineStr">
        <is>
          <t>Agua Natural</t>
        </is>
      </c>
      <c r="D156" s="66" t="inlineStr">
        <is>
          <t>—</t>
        </is>
      </c>
      <c r="E156" s="65" t="inlineStr">
        <is>
          <t>Supplies / Other</t>
        </is>
      </c>
      <c r="F156" s="67" t="n">
        <v>30</v>
      </c>
      <c r="G156" s="14" t="inlineStr">
        <is>
          <t>Restaurant</t>
        </is>
      </c>
      <c r="H156" s="14" t="inlineStr">
        <is>
          <t>Cash</t>
        </is>
      </c>
      <c r="I156" s="43" t="inlineStr">
        <is>
          <t>✅ Paid</t>
        </is>
      </c>
      <c r="J156" t="inlineStr">
        <is>
          <t>No bill</t>
        </is>
      </c>
    </row>
    <row r="157">
      <c r="B157" s="64" t="n">
        <v>46174</v>
      </c>
      <c r="C157" s="69" t="inlineStr">
        <is>
          <t>Internet Telmex (Mayo bill paid 30-May)</t>
        </is>
      </c>
      <c r="D157" s="68" t="inlineStr">
        <is>
          <t>Telmex</t>
        </is>
      </c>
      <c r="E157" s="69" t="inlineStr">
        <is>
          <t>Supplies / Other</t>
        </is>
      </c>
      <c r="F157" s="70" t="n">
        <v>349</v>
      </c>
      <c r="G157" s="23" t="inlineStr">
        <is>
          <t>Lohith</t>
        </is>
      </c>
      <c r="H157" s="23" t="inlineStr">
        <is>
          <t>Personal</t>
        </is>
      </c>
      <c r="I157" s="55" t="inlineStr">
        <is>
          <t>⏳ Reimburse</t>
        </is>
      </c>
      <c r="J157" t="inlineStr">
        <is>
          <t>Internet bill — paid personally on 30 May, logged 1 June</t>
        </is>
      </c>
    </row>
    <row r="158">
      <c r="B158" s="64" t="n">
        <v>46175</v>
      </c>
      <c r="C158" s="65" t="inlineStr">
        <is>
          <t>Tortillas Blanca K (6.025 kg)</t>
        </is>
      </c>
      <c r="D158" s="66" t="inlineStr">
        <is>
          <t>Chedraui Paseo</t>
        </is>
      </c>
      <c r="E158" s="65" t="inlineStr">
        <is>
          <t>Ingredients - Pantry</t>
        </is>
      </c>
      <c r="F158" s="67" t="n">
        <v>75.31</v>
      </c>
      <c r="G158" s="14" t="inlineStr">
        <is>
          <t>Restaurant</t>
        </is>
      </c>
      <c r="H158" s="14" t="inlineStr">
        <is>
          <t>Card</t>
        </is>
      </c>
      <c r="I158" s="43" t="inlineStr">
        <is>
          <t>✅ Paid</t>
        </is>
      </c>
      <c r="J158" t="inlineStr">
        <is>
          <t>6.025kg x $14.50, discount -$12.05</t>
        </is>
      </c>
    </row>
    <row r="159">
      <c r="B159" s="64" t="n">
        <v>46176</v>
      </c>
      <c r="C159" s="69" t="inlineStr">
        <is>
          <t>Tomate Sal (1.510 kg)</t>
        </is>
      </c>
      <c r="D159" s="68" t="inlineStr">
        <is>
          <t>Chedraui Paseo</t>
        </is>
      </c>
      <c r="E159" s="69" t="inlineStr">
        <is>
          <t>Ingredients - Vegetables</t>
        </is>
      </c>
      <c r="F159" s="70" t="n">
        <v>43.63</v>
      </c>
      <c r="G159" s="23" t="inlineStr">
        <is>
          <t>Restaurant</t>
        </is>
      </c>
      <c r="H159" s="23" t="inlineStr">
        <is>
          <t>Card</t>
        </is>
      </c>
      <c r="I159" s="55" t="inlineStr">
        <is>
          <t>✅ Paid</t>
        </is>
      </c>
      <c r="J159" t="inlineStr">
        <is>
          <t>1.510kg x $28.90</t>
        </is>
      </c>
    </row>
    <row r="160">
      <c r="B160" s="64" t="n">
        <v>46176</v>
      </c>
      <c r="C160" s="65" t="inlineStr">
        <is>
          <t>Tortillas Blanca K (6.235 kg)</t>
        </is>
      </c>
      <c r="D160" s="66" t="inlineStr">
        <is>
          <t>Chedraui Paseo</t>
        </is>
      </c>
      <c r="E160" s="65" t="inlineStr">
        <is>
          <t>Ingredients - Pantry</t>
        </is>
      </c>
      <c r="F160" s="67" t="n">
        <v>77.93000000000001</v>
      </c>
      <c r="G160" s="14" t="inlineStr">
        <is>
          <t>Restaurant</t>
        </is>
      </c>
      <c r="H160" s="14" t="inlineStr">
        <is>
          <t>Card</t>
        </is>
      </c>
      <c r="I160" s="43" t="inlineStr">
        <is>
          <t>✅ Paid</t>
        </is>
      </c>
      <c r="J160" t="inlineStr">
        <is>
          <t>6.235kg net after -$12.47 discount — total Chedraui bill $138.36</t>
        </is>
      </c>
    </row>
    <row r="161">
      <c r="B161" s="64" t="n">
        <v>46176</v>
      </c>
      <c r="C161" s="69" t="inlineStr">
        <is>
          <t>Bolillo (8 pcs)</t>
        </is>
      </c>
      <c r="D161" s="68" t="inlineStr">
        <is>
          <t>Chedraui Paseo</t>
        </is>
      </c>
      <c r="E161" s="69" t="inlineStr">
        <is>
          <t>Ingredients - Bread</t>
        </is>
      </c>
      <c r="F161" s="70" t="n">
        <v>16.8</v>
      </c>
      <c r="G161" s="23" t="inlineStr">
        <is>
          <t>Restaurant</t>
        </is>
      </c>
      <c r="H161" s="23" t="inlineStr">
        <is>
          <t>Card</t>
        </is>
      </c>
      <c r="I161" s="55" t="inlineStr">
        <is>
          <t>✅ Paid</t>
        </is>
      </c>
      <c r="J161" t="inlineStr">
        <is>
          <t>8 x $2.10 — Chedraui Paseo, total receipt $138.36</t>
        </is>
      </c>
    </row>
    <row r="162">
      <c r="B162" s="64" t="n">
        <v>46176</v>
      </c>
      <c r="C162" s="65" t="inlineStr">
        <is>
          <t>Gises Comp de Colores C/12 (x2)</t>
        </is>
      </c>
      <c r="D162" s="66" t="inlineStr">
        <is>
          <t>Office Depot Queretaro</t>
        </is>
      </c>
      <c r="E162" s="65" t="inlineStr">
        <is>
          <t>Supplies / Other</t>
        </is>
      </c>
      <c r="F162" s="67" t="n">
        <v>108</v>
      </c>
      <c r="G162" s="14" t="inlineStr">
        <is>
          <t>Restaurant</t>
        </is>
      </c>
      <c r="H162" s="14" t="inlineStr">
        <is>
          <t>Card</t>
        </is>
      </c>
      <c r="I162" s="43" t="inlineStr">
        <is>
          <t>✅ Paid</t>
        </is>
      </c>
      <c r="J162" t="inlineStr">
        <is>
          <t>Chalk set x2 for menu board</t>
        </is>
      </c>
    </row>
    <row r="163">
      <c r="B163" s="64" t="n">
        <v>46176</v>
      </c>
      <c r="C163" s="69" t="inlineStr">
        <is>
          <t>Extension GE 2.7M 3 Contact</t>
        </is>
      </c>
      <c r="D163" s="68" t="inlineStr">
        <is>
          <t>Office Depot Queretaro</t>
        </is>
      </c>
      <c r="E163" s="69" t="inlineStr">
        <is>
          <t>Supplies / Other</t>
        </is>
      </c>
      <c r="F163" s="70" t="n">
        <v>239</v>
      </c>
      <c r="G163" s="23" t="inlineStr">
        <is>
          <t>Restaurant</t>
        </is>
      </c>
      <c r="H163" s="23" t="inlineStr">
        <is>
          <t>Card</t>
        </is>
      </c>
      <c r="I163" s="55" t="inlineStr">
        <is>
          <t>✅ Paid</t>
        </is>
      </c>
      <c r="J163" t="inlineStr">
        <is>
          <t>Extension cord 2.7m 3 outlets</t>
        </is>
      </c>
    </row>
    <row r="164">
      <c r="B164" s="64" t="n">
        <v>46176</v>
      </c>
      <c r="C164" s="65" t="inlineStr">
        <is>
          <t>Sobres Oficina Ecol 10.4x24 CM100</t>
        </is>
      </c>
      <c r="D164" s="66" t="inlineStr">
        <is>
          <t>Office Depot Queretaro</t>
        </is>
      </c>
      <c r="E164" s="65" t="inlineStr">
        <is>
          <t>Supplies / Other</t>
        </is>
      </c>
      <c r="F164" s="67" t="n">
        <v>109</v>
      </c>
      <c r="G164" s="14" t="inlineStr">
        <is>
          <t>Restaurant</t>
        </is>
      </c>
      <c r="H164" s="14" t="inlineStr">
        <is>
          <t>Card</t>
        </is>
      </c>
      <c r="I164" s="43" t="inlineStr">
        <is>
          <t>✅ Paid</t>
        </is>
      </c>
      <c r="J164" t="inlineStr">
        <is>
          <t>Office envelopes</t>
        </is>
      </c>
    </row>
    <row r="165">
      <c r="B165" s="64" t="n">
        <v>46176</v>
      </c>
      <c r="C165" s="69" t="inlineStr">
        <is>
          <t>Pechuga (3.11 kg)</t>
        </is>
      </c>
      <c r="D165" s="68" t="inlineStr">
        <is>
          <t>Remision</t>
        </is>
      </c>
      <c r="E165" s="69" t="inlineStr">
        <is>
          <t>Ingredients - Meat</t>
        </is>
      </c>
      <c r="F165" s="70" t="n">
        <v>358</v>
      </c>
      <c r="G165" s="23" t="inlineStr">
        <is>
          <t>Restaurant</t>
        </is>
      </c>
      <c r="H165" s="23" t="inlineStr">
        <is>
          <t>Cash</t>
        </is>
      </c>
      <c r="I165" s="55" t="inlineStr">
        <is>
          <t>✅ Paid</t>
        </is>
      </c>
      <c r="J165" t="inlineStr">
        <is>
          <t>3.11kg x $115/kg</t>
        </is>
      </c>
    </row>
    <row r="166">
      <c r="B166" s="64" t="n">
        <v>46176</v>
      </c>
      <c r="C166" s="65" t="inlineStr">
        <is>
          <t>Muslo de Pollo (4.30 kg)</t>
        </is>
      </c>
      <c r="D166" s="66" t="inlineStr">
        <is>
          <t>Remision</t>
        </is>
      </c>
      <c r="E166" s="65" t="inlineStr">
        <is>
          <t>Ingredients - Meat</t>
        </is>
      </c>
      <c r="F166" s="67" t="n">
        <v>215</v>
      </c>
      <c r="G166" s="14" t="inlineStr">
        <is>
          <t>Restaurant</t>
        </is>
      </c>
      <c r="H166" s="14" t="inlineStr">
        <is>
          <t>Cash</t>
        </is>
      </c>
      <c r="I166" s="43" t="inlineStr">
        <is>
          <t>✅ Paid</t>
        </is>
      </c>
      <c r="J166" t="inlineStr">
        <is>
          <t>4.30kg x $50/kg</t>
        </is>
      </c>
    </row>
    <row r="167">
      <c r="B167" s="64" t="n">
        <v>46176</v>
      </c>
      <c r="C167" s="69" t="inlineStr">
        <is>
          <t>Milanesa de Pollo (3.20 kg)</t>
        </is>
      </c>
      <c r="D167" s="68" t="inlineStr">
        <is>
          <t>Remision</t>
        </is>
      </c>
      <c r="E167" s="69" t="inlineStr">
        <is>
          <t>Ingredients - Meat</t>
        </is>
      </c>
      <c r="F167" s="70" t="n">
        <v>432</v>
      </c>
      <c r="G167" s="23" t="inlineStr">
        <is>
          <t>Restaurant</t>
        </is>
      </c>
      <c r="H167" s="23" t="inlineStr">
        <is>
          <t>Cash</t>
        </is>
      </c>
      <c r="I167" s="55" t="inlineStr">
        <is>
          <t>✅ Paid</t>
        </is>
      </c>
      <c r="J167" t="inlineStr">
        <is>
          <t>3.20kg x $135/kg</t>
        </is>
      </c>
    </row>
    <row r="168">
      <c r="B168" s="64" t="n">
        <v>46176</v>
      </c>
      <c r="C168" s="65" t="inlineStr">
        <is>
          <t>Filete de Mojarra (3.425 kg)</t>
        </is>
      </c>
      <c r="D168" s="66" t="inlineStr">
        <is>
          <t>EVD Bizkaia</t>
        </is>
      </c>
      <c r="E168" s="65" t="inlineStr">
        <is>
          <t>Ingredients - Meat &amp; Fish</t>
        </is>
      </c>
      <c r="F168" s="67" t="n">
        <v>479.5</v>
      </c>
      <c r="G168" s="14" t="inlineStr">
        <is>
          <t>Restaurant</t>
        </is>
      </c>
      <c r="H168" s="14" t="inlineStr">
        <is>
          <t>Cash</t>
        </is>
      </c>
      <c r="I168" s="43" t="inlineStr">
        <is>
          <t>✅ Paid</t>
        </is>
      </c>
      <c r="J168" t="inlineStr">
        <is>
          <t>3.425kg x $140/kg</t>
        </is>
      </c>
    </row>
    <row r="169">
      <c r="B169" s="64" t="n">
        <v>46176</v>
      </c>
      <c r="C169" s="69" t="inlineStr">
        <is>
          <t>Costilla de Res (3.025 kg)</t>
        </is>
      </c>
      <c r="D169" s="68" t="inlineStr">
        <is>
          <t>Miscelanea LC La Cruz</t>
        </is>
      </c>
      <c r="E169" s="69" t="inlineStr">
        <is>
          <t>Ingredients - Meat</t>
        </is>
      </c>
      <c r="F169" s="70" t="n">
        <v>311</v>
      </c>
      <c r="G169" s="23" t="inlineStr">
        <is>
          <t>Restaurant</t>
        </is>
      </c>
      <c r="H169" s="23" t="inlineStr">
        <is>
          <t>Card</t>
        </is>
      </c>
      <c r="I169" s="55" t="inlineStr">
        <is>
          <t>✅ Paid</t>
        </is>
      </c>
      <c r="J169" t="inlineStr">
        <is>
          <t>3.025kg x $103/kg — Getnet 03/06/2026</t>
        </is>
      </c>
    </row>
    <row r="170">
      <c r="B170" s="64" t="n">
        <v>46176</v>
      </c>
      <c r="C170" s="65" t="inlineStr">
        <is>
          <t>Lechuga Italiana</t>
        </is>
      </c>
      <c r="D170" s="66" t="inlineStr">
        <is>
          <t>—</t>
        </is>
      </c>
      <c r="E170" s="65" t="inlineStr">
        <is>
          <t>Ingredients - Vegetables</t>
        </is>
      </c>
      <c r="F170" s="67" t="n">
        <v>64</v>
      </c>
      <c r="G170" s="14" t="inlineStr">
        <is>
          <t>Restaurant</t>
        </is>
      </c>
      <c r="H170" s="14" t="inlineStr">
        <is>
          <t>Cash</t>
        </is>
      </c>
      <c r="I170" s="43" t="inlineStr">
        <is>
          <t>✅ Paid</t>
        </is>
      </c>
      <c r="J170" t="inlineStr">
        <is>
          <t>No bill</t>
        </is>
      </c>
    </row>
    <row r="171">
      <c r="B171" s="64" t="n">
        <v>46176</v>
      </c>
      <c r="C171" s="69" t="inlineStr">
        <is>
          <t>Chicken Boneless + Carne Hamburguesa</t>
        </is>
      </c>
      <c r="D171" s="68" t="inlineStr">
        <is>
          <t>—</t>
        </is>
      </c>
      <c r="E171" s="69" t="inlineStr">
        <is>
          <t>Ingredients - Meat</t>
        </is>
      </c>
      <c r="F171" s="70" t="n">
        <v>1580</v>
      </c>
      <c r="G171" s="23" t="inlineStr">
        <is>
          <t>Restaurant</t>
        </is>
      </c>
      <c r="H171" s="23" t="inlineStr">
        <is>
          <t>Cash</t>
        </is>
      </c>
      <c r="I171" s="55" t="inlineStr">
        <is>
          <t>✅ Paid</t>
        </is>
      </c>
      <c r="J171" t="inlineStr">
        <is>
          <t>No bill — boneless chicken + hamburger meat</t>
        </is>
      </c>
    </row>
    <row r="172">
      <c r="B172" s="64" t="n">
        <v>46177</v>
      </c>
      <c r="C172" s="65" t="inlineStr">
        <is>
          <t>Vasos DART 100Z 40/25 (4 packs)</t>
        </is>
      </c>
      <c r="D172" s="66" t="inlineStr">
        <is>
          <t>Guimar Polietilenos</t>
        </is>
      </c>
      <c r="E172" s="65" t="inlineStr">
        <is>
          <t>Supplies / Other</t>
        </is>
      </c>
      <c r="F172" s="67" t="n">
        <v>62</v>
      </c>
      <c r="G172" s="14" t="inlineStr">
        <is>
          <t>Restaurant</t>
        </is>
      </c>
      <c r="H172" s="14" t="inlineStr">
        <is>
          <t>Card</t>
        </is>
      </c>
      <c r="I172" s="43" t="inlineStr">
        <is>
          <t>✅ Paid</t>
        </is>
      </c>
      <c r="J172" t="inlineStr">
        <is>
          <t>4 packs x $15.50</t>
        </is>
      </c>
    </row>
    <row r="173">
      <c r="B173" s="64" t="n">
        <v>46177</v>
      </c>
      <c r="C173" s="69" t="inlineStr">
        <is>
          <t>Tapas DART Plastica 10SL 10/100 (100pcs)</t>
        </is>
      </c>
      <c r="D173" s="68" t="inlineStr">
        <is>
          <t>Guimar Polietilenos</t>
        </is>
      </c>
      <c r="E173" s="69" t="inlineStr">
        <is>
          <t>Supplies / Other</t>
        </is>
      </c>
      <c r="F173" s="70" t="n">
        <v>62</v>
      </c>
      <c r="G173" s="23" t="inlineStr">
        <is>
          <t>Restaurant</t>
        </is>
      </c>
      <c r="H173" s="23" t="inlineStr">
        <is>
          <t>Card</t>
        </is>
      </c>
      <c r="I173" s="55" t="inlineStr">
        <is>
          <t>✅ Paid</t>
        </is>
      </c>
      <c r="J173" t="inlineStr">
        <is>
          <t>100 x $0.62</t>
        </is>
      </c>
    </row>
    <row r="174">
      <c r="B174" s="64" t="n">
        <v>46177</v>
      </c>
      <c r="C174" s="65" t="inlineStr">
        <is>
          <t>Domo Triangular Alto RP25 250PZ (10pcs)</t>
        </is>
      </c>
      <c r="D174" s="66" t="inlineStr">
        <is>
          <t>Guimar Polietilenos</t>
        </is>
      </c>
      <c r="E174" s="65" t="inlineStr">
        <is>
          <t>Supplies / Other</t>
        </is>
      </c>
      <c r="F174" s="67" t="n">
        <v>35.96</v>
      </c>
      <c r="G174" s="14" t="inlineStr">
        <is>
          <t>Restaurant</t>
        </is>
      </c>
      <c r="H174" s="14" t="inlineStr">
        <is>
          <t>Card</t>
        </is>
      </c>
      <c r="I174" s="43" t="inlineStr">
        <is>
          <t>✅ Paid</t>
        </is>
      </c>
      <c r="J174" t="inlineStr">
        <is>
          <t>10 x $3.596</t>
        </is>
      </c>
    </row>
    <row r="175">
      <c r="B175" s="64" t="n">
        <v>46177</v>
      </c>
      <c r="C175" s="69" t="inlineStr">
        <is>
          <t>Domo Reyma RB-100 250PZ (10pcs)</t>
        </is>
      </c>
      <c r="D175" s="68" t="inlineStr">
        <is>
          <t>Guimar Polietilenos</t>
        </is>
      </c>
      <c r="E175" s="69" t="inlineStr">
        <is>
          <t>Supplies / Other</t>
        </is>
      </c>
      <c r="F175" s="70" t="n">
        <v>23</v>
      </c>
      <c r="G175" s="23" t="inlineStr">
        <is>
          <t>Restaurant</t>
        </is>
      </c>
      <c r="H175" s="23" t="inlineStr">
        <is>
          <t>Card</t>
        </is>
      </c>
      <c r="I175" s="55" t="inlineStr">
        <is>
          <t>✅ Paid</t>
        </is>
      </c>
      <c r="J175" t="inlineStr">
        <is>
          <t>10 x $2.30 — Folio XCC36390</t>
        </is>
      </c>
    </row>
    <row r="176">
      <c r="B176" s="64" t="n">
        <v>46177</v>
      </c>
      <c r="C176" s="65" t="inlineStr">
        <is>
          <t>Vasos de Plast. 4CH Reyma 20/50 (2pks)</t>
        </is>
      </c>
      <c r="D176" s="66" t="inlineStr">
        <is>
          <t>Guimar Polietilenos</t>
        </is>
      </c>
      <c r="E176" s="65" t="inlineStr">
        <is>
          <t>Supplies / Other</t>
        </is>
      </c>
      <c r="F176" s="67" t="n">
        <v>46</v>
      </c>
      <c r="G176" s="14" t="inlineStr">
        <is>
          <t>Restaurant</t>
        </is>
      </c>
      <c r="H176" s="14" t="inlineStr">
        <is>
          <t>Cash</t>
        </is>
      </c>
      <c r="I176" s="43" t="inlineStr">
        <is>
          <t>✅ Paid</t>
        </is>
      </c>
      <c r="J176" t="inlineStr">
        <is>
          <t>2 x $23.00 — Folio XCC36400</t>
        </is>
      </c>
    </row>
    <row r="177">
      <c r="B177" s="64" t="n">
        <v>46177</v>
      </c>
      <c r="C177" s="69" t="inlineStr">
        <is>
          <t>Reyma Tapas Vaso 5 1/2-4CH 20/50 (2pks)</t>
        </is>
      </c>
      <c r="D177" s="68" t="inlineStr">
        <is>
          <t>Guimar Polietilenos</t>
        </is>
      </c>
      <c r="E177" s="69" t="inlineStr">
        <is>
          <t>Supplies / Other</t>
        </is>
      </c>
      <c r="F177" s="70" t="n">
        <v>46</v>
      </c>
      <c r="G177" s="23" t="inlineStr">
        <is>
          <t>Restaurant</t>
        </is>
      </c>
      <c r="H177" s="23" t="inlineStr">
        <is>
          <t>Cash</t>
        </is>
      </c>
      <c r="I177" s="55" t="inlineStr">
        <is>
          <t>✅ Paid</t>
        </is>
      </c>
      <c r="J177" t="inlineStr">
        <is>
          <t>2 x $23.00</t>
        </is>
      </c>
    </row>
    <row r="178">
      <c r="B178" s="64" t="n">
        <v>46177</v>
      </c>
      <c r="C178" s="65" t="inlineStr">
        <is>
          <t>Bistec Corte (7.54 kg)</t>
        </is>
      </c>
      <c r="D178" s="66" t="inlineStr">
        <is>
          <t>Miscelanea LC La Cruz</t>
        </is>
      </c>
      <c r="E178" s="65" t="inlineStr">
        <is>
          <t>Ingredients - Meat</t>
        </is>
      </c>
      <c r="F178" s="67" t="n">
        <v>245</v>
      </c>
      <c r="G178" s="14" t="inlineStr">
        <is>
          <t>Restaurant</t>
        </is>
      </c>
      <c r="H178" s="14" t="inlineStr">
        <is>
          <t>Card</t>
        </is>
      </c>
      <c r="I178" s="43" t="inlineStr">
        <is>
          <t>✅ Paid</t>
        </is>
      </c>
      <c r="J178" t="inlineStr">
        <is>
          <t>Getnet 04/06/2026 09:53</t>
        </is>
      </c>
    </row>
    <row r="179">
      <c r="B179" s="64" t="n">
        <v>46177</v>
      </c>
      <c r="C179" s="69" t="inlineStr">
        <is>
          <t>Queso</t>
        </is>
      </c>
      <c r="D179" s="68" t="inlineStr">
        <is>
          <t>—</t>
        </is>
      </c>
      <c r="E179" s="69" t="inlineStr">
        <is>
          <t>Ingredients - Dairy</t>
        </is>
      </c>
      <c r="F179" s="70" t="n">
        <v>82</v>
      </c>
      <c r="G179" s="23" t="inlineStr">
        <is>
          <t>Restaurant</t>
        </is>
      </c>
      <c r="H179" s="23" t="inlineStr">
        <is>
          <t>Cash</t>
        </is>
      </c>
      <c r="I179" s="55" t="inlineStr">
        <is>
          <t>✅ Paid</t>
        </is>
      </c>
      <c r="J179" t="inlineStr">
        <is>
          <t>No bill</t>
        </is>
      </c>
    </row>
    <row r="180">
      <c r="B180" s="64" t="n">
        <v>46177</v>
      </c>
      <c r="C180" s="65" t="inlineStr">
        <is>
          <t>Huevos</t>
        </is>
      </c>
      <c r="D180" s="66" t="inlineStr">
        <is>
          <t>—</t>
        </is>
      </c>
      <c r="E180" s="65" t="inlineStr">
        <is>
          <t>Ingredients - Pantry</t>
        </is>
      </c>
      <c r="F180" s="67" t="n">
        <v>69</v>
      </c>
      <c r="G180" s="14" t="inlineStr">
        <is>
          <t>Lohith</t>
        </is>
      </c>
      <c r="H180" s="14" t="inlineStr">
        <is>
          <t>Cash</t>
        </is>
      </c>
      <c r="I180" s="43" t="inlineStr">
        <is>
          <t>✅ Paid</t>
        </is>
      </c>
      <c r="J180" t="inlineStr">
        <is>
          <t>No bill — paid by Lohith</t>
        </is>
      </c>
    </row>
    <row r="181">
      <c r="B181" s="64" t="n">
        <v>46177</v>
      </c>
      <c r="C181" s="69" t="inlineStr">
        <is>
          <t>Ajonjoli Blanco</t>
        </is>
      </c>
      <c r="D181" s="68" t="inlineStr">
        <is>
          <t>—</t>
        </is>
      </c>
      <c r="E181" s="69" t="inlineStr">
        <is>
          <t>Ingredients - Pantry</t>
        </is>
      </c>
      <c r="F181" s="70" t="n">
        <v>44</v>
      </c>
      <c r="G181" s="23" t="inlineStr">
        <is>
          <t>Lohith</t>
        </is>
      </c>
      <c r="H181" s="23" t="inlineStr">
        <is>
          <t>Cash</t>
        </is>
      </c>
      <c r="I181" s="55" t="inlineStr">
        <is>
          <t>✅ Paid</t>
        </is>
      </c>
      <c r="J181" t="inlineStr">
        <is>
          <t>No bill — paid by Lohith</t>
        </is>
      </c>
    </row>
    <row r="182">
      <c r="B182" s="64" t="n">
        <v>46177</v>
      </c>
      <c r="C182" s="65" t="inlineStr">
        <is>
          <t>Ajonjoli Negro</t>
        </is>
      </c>
      <c r="D182" s="66" t="inlineStr">
        <is>
          <t>—</t>
        </is>
      </c>
      <c r="E182" s="65" t="inlineStr">
        <is>
          <t>Ingredients - Pantry</t>
        </is>
      </c>
      <c r="F182" s="67" t="n">
        <v>45</v>
      </c>
      <c r="G182" s="14" t="inlineStr">
        <is>
          <t>Lohith</t>
        </is>
      </c>
      <c r="H182" s="14" t="inlineStr">
        <is>
          <t>Cash</t>
        </is>
      </c>
      <c r="I182" s="43" t="inlineStr">
        <is>
          <t>✅ Paid</t>
        </is>
      </c>
      <c r="J182" t="inlineStr">
        <is>
          <t>No bill — paid by Lohith</t>
        </is>
      </c>
    </row>
    <row r="183">
      <c r="B183" s="64" t="n">
        <v>46177</v>
      </c>
      <c r="C183" s="69" t="inlineStr">
        <is>
          <t>Verduras variadas</t>
        </is>
      </c>
      <c r="D183" s="68" t="inlineStr">
        <is>
          <t>—</t>
        </is>
      </c>
      <c r="E183" s="69" t="inlineStr">
        <is>
          <t>Ingredients - Vegetables</t>
        </is>
      </c>
      <c r="F183" s="70" t="n">
        <v>200</v>
      </c>
      <c r="G183" s="23" t="inlineStr">
        <is>
          <t>Lohith</t>
        </is>
      </c>
      <c r="H183" s="23" t="inlineStr">
        <is>
          <t>Cash</t>
        </is>
      </c>
      <c r="I183" s="55" t="inlineStr">
        <is>
          <t>✅ Paid</t>
        </is>
      </c>
      <c r="J183" t="inlineStr">
        <is>
          <t>No bill — paid by Lohith</t>
        </is>
      </c>
    </row>
    <row r="184">
      <c r="B184" s="64" t="n">
        <v>46177</v>
      </c>
      <c r="C184" s="65" t="inlineStr">
        <is>
          <t>Renta Mensual — Junio 2026</t>
        </is>
      </c>
      <c r="D184" s="66" t="inlineStr">
        <is>
          <t>Propietario</t>
        </is>
      </c>
      <c r="E184" s="65" t="inlineStr">
        <is>
          <t>Rent</t>
        </is>
      </c>
      <c r="F184" s="67" t="n">
        <v>15000</v>
      </c>
      <c r="G184" s="14" t="inlineStr">
        <is>
          <t>Lohith</t>
        </is>
      </c>
      <c r="H184" s="14" t="inlineStr">
        <is>
          <t>Personal</t>
        </is>
      </c>
      <c r="I184" s="43" t="inlineStr">
        <is>
          <t>⏳ Reimburse</t>
        </is>
      </c>
      <c r="J184" t="inlineStr">
        <is>
          <t>Monthly rent — June 2026 — paid personally by Lohith</t>
        </is>
      </c>
    </row>
    <row r="185">
      <c r="B185" s="64" t="n">
        <v>46177</v>
      </c>
      <c r="C185" s="69" t="inlineStr">
        <is>
          <t>Mantenimiento Mensual — Junio 2026</t>
        </is>
      </c>
      <c r="D185" s="68" t="inlineStr">
        <is>
          <t>Propietario</t>
        </is>
      </c>
      <c r="E185" s="69" t="inlineStr">
        <is>
          <t>Maintenance</t>
        </is>
      </c>
      <c r="F185" s="70" t="n">
        <v>5000</v>
      </c>
      <c r="G185" s="23" t="inlineStr">
        <is>
          <t>Lohith</t>
        </is>
      </c>
      <c r="H185" s="23" t="inlineStr">
        <is>
          <t>Personal</t>
        </is>
      </c>
      <c r="I185" s="55" t="inlineStr">
        <is>
          <t>⏳ Reimburse</t>
        </is>
      </c>
      <c r="J185" t="inlineStr">
        <is>
          <t>Monthly maintenance — June 2026 — paid personally by Lohith</t>
        </is>
      </c>
    </row>
    <row r="186">
      <c r="B186" s="64" t="n">
        <v>46178</v>
      </c>
      <c r="C186" s="65" t="inlineStr">
        <is>
          <t>Ahumada</t>
        </is>
      </c>
      <c r="D186" s="66" t="inlineStr">
        <is>
          <t>Miscelanea LC La Cruz</t>
        </is>
      </c>
      <c r="E186" s="65" t="inlineStr">
        <is>
          <t>Ingredients - Meat</t>
        </is>
      </c>
      <c r="F186" s="67" t="n">
        <v>245</v>
      </c>
      <c r="G186" s="14" t="inlineStr">
        <is>
          <t>Restaurant</t>
        </is>
      </c>
      <c r="H186" s="14" t="inlineStr">
        <is>
          <t>Card</t>
        </is>
      </c>
      <c r="I186" s="43" t="inlineStr">
        <is>
          <t>✅ Paid</t>
        </is>
      </c>
      <c r="J186" t="inlineStr">
        <is>
          <t>Getnet 05/06/2026</t>
        </is>
      </c>
    </row>
    <row r="187">
      <c r="B187" s="64" t="n">
        <v>46178</v>
      </c>
      <c r="C187" s="69" t="inlineStr">
        <is>
          <t>Papas</t>
        </is>
      </c>
      <c r="D187" s="68" t="inlineStr">
        <is>
          <t>Miscelanea LC La Cruz</t>
        </is>
      </c>
      <c r="E187" s="69" t="inlineStr">
        <is>
          <t>Ingredients - Vegetables</t>
        </is>
      </c>
      <c r="F187" s="70" t="n">
        <v>220</v>
      </c>
      <c r="G187" s="23" t="inlineStr">
        <is>
          <t>Restaurant</t>
        </is>
      </c>
      <c r="H187" s="23" t="inlineStr">
        <is>
          <t>Card</t>
        </is>
      </c>
      <c r="I187" s="55" t="inlineStr">
        <is>
          <t>✅ Paid</t>
        </is>
      </c>
      <c r="J187" t="inlineStr">
        <is>
          <t>Getnet 05/06/2026 — same remision</t>
        </is>
      </c>
    </row>
    <row r="188">
      <c r="B188" s="64" t="n">
        <v>46178</v>
      </c>
      <c r="C188" s="65" t="inlineStr">
        <is>
          <t>Tortillas Blanca K (10.045kg)</t>
        </is>
      </c>
      <c r="D188" s="66" t="inlineStr">
        <is>
          <t>Chedraui Paseo</t>
        </is>
      </c>
      <c r="E188" s="65" t="inlineStr">
        <is>
          <t>Ingredients - Pantry</t>
        </is>
      </c>
      <c r="F188" s="67" t="n">
        <v>125.56</v>
      </c>
      <c r="G188" s="14" t="inlineStr">
        <is>
          <t>Restaurant</t>
        </is>
      </c>
      <c r="H188" s="14" t="inlineStr">
        <is>
          <t>Card</t>
        </is>
      </c>
      <c r="I188" s="43" t="inlineStr">
        <is>
          <t>✅ Paid</t>
        </is>
      </c>
      <c r="J188" t="inlineStr">
        <is>
          <t>3 batches: 4.025+4.015+2.005kg, discount -$20.08</t>
        </is>
      </c>
    </row>
    <row r="189">
      <c r="B189" s="64" t="n">
        <v>46178</v>
      </c>
      <c r="C189" s="69" t="inlineStr">
        <is>
          <t>Pepino</t>
        </is>
      </c>
      <c r="D189" s="68" t="inlineStr">
        <is>
          <t>—</t>
        </is>
      </c>
      <c r="E189" s="69" t="inlineStr">
        <is>
          <t>Ingredients - Vegetables</t>
        </is>
      </c>
      <c r="F189" s="70" t="n">
        <v>123.5</v>
      </c>
      <c r="G189" s="23" t="inlineStr">
        <is>
          <t>Restaurant</t>
        </is>
      </c>
      <c r="H189" s="23" t="inlineStr">
        <is>
          <t>Cash</t>
        </is>
      </c>
      <c r="I189" s="55" t="inlineStr">
        <is>
          <t>✅ Paid</t>
        </is>
      </c>
      <c r="J189" t="inlineStr">
        <is>
          <t>No bill</t>
        </is>
      </c>
    </row>
    <row r="190">
      <c r="B190" s="64" t="n">
        <v>46178</v>
      </c>
      <c r="C190" s="65" t="inlineStr">
        <is>
          <t>Hierbabuena</t>
        </is>
      </c>
      <c r="D190" s="66" t="inlineStr">
        <is>
          <t>—</t>
        </is>
      </c>
      <c r="E190" s="65" t="inlineStr">
        <is>
          <t>Ingredients - Vegetables</t>
        </is>
      </c>
      <c r="F190" s="67" t="n">
        <v>10</v>
      </c>
      <c r="G190" s="14" t="inlineStr">
        <is>
          <t>Restaurant</t>
        </is>
      </c>
      <c r="H190" s="14" t="inlineStr">
        <is>
          <t>Cash</t>
        </is>
      </c>
      <c r="I190" s="43" t="inlineStr">
        <is>
          <t>✅ Paid</t>
        </is>
      </c>
      <c r="J190" t="inlineStr">
        <is>
          <t>No bill</t>
        </is>
      </c>
    </row>
    <row r="191">
      <c r="B191" s="64" t="n">
        <v>46178</v>
      </c>
      <c r="C191" s="69" t="inlineStr">
        <is>
          <t>Lechuga</t>
        </is>
      </c>
      <c r="D191" s="68" t="inlineStr">
        <is>
          <t>—</t>
        </is>
      </c>
      <c r="E191" s="69" t="inlineStr">
        <is>
          <t>Ingredients - Vegetables</t>
        </is>
      </c>
      <c r="F191" s="70" t="n">
        <v>104</v>
      </c>
      <c r="G191" s="23" t="inlineStr">
        <is>
          <t>Restaurant</t>
        </is>
      </c>
      <c r="H191" s="23" t="inlineStr">
        <is>
          <t>Cash</t>
        </is>
      </c>
      <c r="I191" s="55" t="inlineStr">
        <is>
          <t>✅ Paid</t>
        </is>
      </c>
      <c r="J191" t="inlineStr">
        <is>
          <t>No bill</t>
        </is>
      </c>
    </row>
    <row r="192">
      <c r="B192" s="64" t="n">
        <v>46178</v>
      </c>
      <c r="C192" s="65" t="inlineStr">
        <is>
          <t>Hielo</t>
        </is>
      </c>
      <c r="D192" s="66" t="inlineStr">
        <is>
          <t>—</t>
        </is>
      </c>
      <c r="E192" s="65" t="inlineStr">
        <is>
          <t>Supplies / Other</t>
        </is>
      </c>
      <c r="F192" s="67" t="n">
        <v>50</v>
      </c>
      <c r="G192" s="14" t="inlineStr">
        <is>
          <t>Restaurant</t>
        </is>
      </c>
      <c r="H192" s="14" t="inlineStr">
        <is>
          <t>Cash</t>
        </is>
      </c>
      <c r="I192" s="43" t="inlineStr">
        <is>
          <t>✅ Paid</t>
        </is>
      </c>
      <c r="J192" t="inlineStr">
        <is>
          <t>No bill</t>
        </is>
      </c>
    </row>
    <row r="193">
      <c r="B193" s="64" t="n">
        <v>46179</v>
      </c>
      <c r="C193" s="69" t="inlineStr">
        <is>
          <t>John — Salary Parcial Week 3 (Sat)</t>
        </is>
      </c>
      <c r="D193" s="68" t="inlineStr">
        <is>
          <t>Nomina</t>
        </is>
      </c>
      <c r="E193" s="69" t="inlineStr">
        <is>
          <t>Staff - Salary</t>
        </is>
      </c>
      <c r="F193" s="70" t="n">
        <v>2500</v>
      </c>
      <c r="G193" s="23" t="inlineStr">
        <is>
          <t>Restaurant</t>
        </is>
      </c>
      <c r="H193" s="23" t="inlineStr">
        <is>
          <t>Cash</t>
        </is>
      </c>
      <c r="I193" s="55" t="inlineStr">
        <is>
          <t>✅ Paid</t>
        </is>
      </c>
      <c r="J193" t="inlineStr">
        <is>
          <t>Week 3 partial — $1,250 balance due Mon 8 Jun</t>
        </is>
      </c>
    </row>
    <row r="194">
      <c r="B194" s="64" t="n">
        <v>46179</v>
      </c>
      <c r="C194" s="65" t="inlineStr">
        <is>
          <t>Debi — Salary Parcial Week 3 (Sat)</t>
        </is>
      </c>
      <c r="D194" s="66" t="inlineStr">
        <is>
          <t>Nomina</t>
        </is>
      </c>
      <c r="E194" s="65" t="inlineStr">
        <is>
          <t>Staff - Salary</t>
        </is>
      </c>
      <c r="F194" s="67" t="n">
        <v>1000</v>
      </c>
      <c r="G194" s="14" t="inlineStr">
        <is>
          <t>Restaurant</t>
        </is>
      </c>
      <c r="H194" s="14" t="inlineStr">
        <is>
          <t>Cash</t>
        </is>
      </c>
      <c r="I194" s="43" t="inlineStr">
        <is>
          <t>✅ Paid</t>
        </is>
      </c>
      <c r="J194" t="inlineStr">
        <is>
          <t>Week 3 partial — $500 balance due Mon 8 Jun</t>
        </is>
      </c>
    </row>
    <row r="195">
      <c r="B195" s="64" t="n">
        <v>46179</v>
      </c>
      <c r="C195" s="69" t="inlineStr">
        <is>
          <t>Judith — Salary Parcial Week 3 (Sat)</t>
        </is>
      </c>
      <c r="D195" s="68" t="inlineStr">
        <is>
          <t>Nomina</t>
        </is>
      </c>
      <c r="E195" s="69" t="inlineStr">
        <is>
          <t>Staff - Salary</t>
        </is>
      </c>
      <c r="F195" s="70" t="n">
        <v>1500</v>
      </c>
      <c r="G195" s="23" t="inlineStr">
        <is>
          <t>Restaurant</t>
        </is>
      </c>
      <c r="H195" s="23" t="inlineStr">
        <is>
          <t>Cash</t>
        </is>
      </c>
      <c r="I195" s="55" t="inlineStr">
        <is>
          <t>✅ Paid</t>
        </is>
      </c>
      <c r="J195" t="inlineStr">
        <is>
          <t>Week 3 partial — $166.65 balance due Mon 8 Jun (5 days × $333.33)</t>
        </is>
      </c>
    </row>
    <row r="196">
      <c r="B196" s="64" t="n">
        <v>46181</v>
      </c>
      <c r="C196" s="65" t="inlineStr">
        <is>
          <t>John — Salary Balance + Propinas Week 3 (Mon)</t>
        </is>
      </c>
      <c r="D196" s="66" t="inlineStr">
        <is>
          <t>Nomina</t>
        </is>
      </c>
      <c r="E196" s="65" t="inlineStr">
        <is>
          <t>Staff - Salary</t>
        </is>
      </c>
      <c r="F196" s="67" t="n">
        <v>1500</v>
      </c>
      <c r="G196" s="14" t="inlineStr">
        <is>
          <t>Restaurant</t>
        </is>
      </c>
      <c r="H196" s="14" t="inlineStr">
        <is>
          <t>Cash</t>
        </is>
      </c>
      <c r="I196" s="43" t="inlineStr">
        <is>
          <t>✅ Paid</t>
        </is>
      </c>
      <c r="J196" t="inlineStr">
        <is>
          <t>Balance $1,250 + Propinas $250 — paid Mon 8 Jun</t>
        </is>
      </c>
    </row>
    <row r="197">
      <c r="B197" s="64" t="n">
        <v>46181</v>
      </c>
      <c r="C197" s="69" t="inlineStr">
        <is>
          <t>Debi — Salary Balance + Propinas Week 3 (Mon)</t>
        </is>
      </c>
      <c r="D197" s="68" t="inlineStr">
        <is>
          <t>Nomina</t>
        </is>
      </c>
      <c r="E197" s="69" t="inlineStr">
        <is>
          <t>Staff - Salary</t>
        </is>
      </c>
      <c r="F197" s="70" t="n">
        <v>750</v>
      </c>
      <c r="G197" s="23" t="inlineStr">
        <is>
          <t>Restaurant</t>
        </is>
      </c>
      <c r="H197" s="23" t="inlineStr">
        <is>
          <t>Cash</t>
        </is>
      </c>
      <c r="I197" s="55" t="inlineStr">
        <is>
          <t>✅ Paid</t>
        </is>
      </c>
      <c r="J197" t="inlineStr">
        <is>
          <t>Balance $500 + Propinas $250 — paid Mon 8 Jun</t>
        </is>
      </c>
    </row>
    <row r="198">
      <c r="B198" s="64" t="n">
        <v>46181</v>
      </c>
      <c r="C198" s="65" t="inlineStr">
        <is>
          <t>Judith — Salary Balance + Propinas Week 3 (Mon)</t>
        </is>
      </c>
      <c r="D198" s="66" t="inlineStr">
        <is>
          <t>Nomina</t>
        </is>
      </c>
      <c r="E198" s="65" t="inlineStr">
        <is>
          <t>Staff - Salary</t>
        </is>
      </c>
      <c r="F198" s="67" t="n">
        <v>400.65</v>
      </c>
      <c r="G198" s="14" t="inlineStr">
        <is>
          <t>Restaurant</t>
        </is>
      </c>
      <c r="H198" s="14" t="inlineStr">
        <is>
          <t>Cash</t>
        </is>
      </c>
      <c r="I198" s="43" t="inlineStr">
        <is>
          <t>✅ Paid</t>
        </is>
      </c>
      <c r="J198" t="inlineStr">
        <is>
          <t>Balance $166.65 + Propinas $234 — paid Mon 8 Jun</t>
        </is>
      </c>
    </row>
    <row r="199">
      <c r="B199" s="64" t="n">
        <v>46179</v>
      </c>
      <c r="C199" s="69" t="inlineStr">
        <is>
          <t>Aceite La Posada 800 (4 units, 2x1 promo)</t>
        </is>
      </c>
      <c r="D199" s="68" t="inlineStr">
        <is>
          <t>OXXO Pathe QRF</t>
        </is>
      </c>
      <c r="E199" s="69" t="inlineStr">
        <is>
          <t>Ingredients - Pantry</t>
        </is>
      </c>
      <c r="F199" s="70" t="n">
        <v>104</v>
      </c>
      <c r="G199" s="23" t="inlineStr">
        <is>
          <t>Restaurant</t>
        </is>
      </c>
      <c r="H199" s="23" t="inlineStr">
        <is>
          <t>Cash</t>
        </is>
      </c>
      <c r="I199" s="55" t="inlineStr">
        <is>
          <t>✅ Paid</t>
        </is>
      </c>
      <c r="J199" t="inlineStr">
        <is>
          <t>4 units, -$23.60 discount — paid $120 cash, change $16</t>
        </is>
      </c>
    </row>
    <row r="200">
      <c r="B200" s="64" t="n">
        <v>46179</v>
      </c>
      <c r="C200" s="65" t="inlineStr">
        <is>
          <t>Compra Miscelanea Producto Real II</t>
        </is>
      </c>
      <c r="D200" s="66" t="inlineStr">
        <is>
          <t>Misc Producto Real II</t>
        </is>
      </c>
      <c r="E200" s="65" t="inlineStr">
        <is>
          <t>Ingredients - Pantry</t>
        </is>
      </c>
      <c r="F200" s="67" t="n">
        <v>260</v>
      </c>
      <c r="G200" s="14" t="inlineStr">
        <is>
          <t>Restaurant</t>
        </is>
      </c>
      <c r="H200" s="14" t="inlineStr">
        <is>
          <t>Card</t>
        </is>
      </c>
      <c r="I200" s="43" t="inlineStr">
        <is>
          <t>✅ Paid</t>
        </is>
      </c>
      <c r="J200" t="inlineStr">
        <is>
          <t>Mastercard Debit ••••3982 — 06/06/2026 11:47</t>
        </is>
      </c>
    </row>
    <row r="201">
      <c r="B201" s="64" t="n">
        <v>46179</v>
      </c>
      <c r="C201" s="69" t="inlineStr">
        <is>
          <t>Hielo (2 paquetes)</t>
        </is>
      </c>
      <c r="D201" s="68" t="inlineStr">
        <is>
          <t>—</t>
        </is>
      </c>
      <c r="E201" s="69" t="inlineStr">
        <is>
          <t>Supplies / Other</t>
        </is>
      </c>
      <c r="F201" s="70" t="n">
        <v>50</v>
      </c>
      <c r="G201" s="23" t="inlineStr">
        <is>
          <t>Restaurant</t>
        </is>
      </c>
      <c r="H201" s="23" t="inlineStr">
        <is>
          <t>Cash</t>
        </is>
      </c>
      <c r="I201" s="55" t="inlineStr">
        <is>
          <t>✅ Paid</t>
        </is>
      </c>
      <c r="J201" t="inlineStr">
        <is>
          <t>No bill — 2 ice packets</t>
        </is>
      </c>
    </row>
    <row r="202">
      <c r="B202" s="64" t="n">
        <v>46180</v>
      </c>
      <c r="C202" s="65" t="inlineStr">
        <is>
          <t>Frutas y Legumbres variadas (Calabaza, Zanahoria, Limon, Cebolla, Papaya)</t>
        </is>
      </c>
      <c r="D202" s="66" t="inlineStr">
        <is>
          <t>Frutas y Legumbres El Compita</t>
        </is>
      </c>
      <c r="E202" s="65" t="inlineStr">
        <is>
          <t>Ingredients - Fruit</t>
        </is>
      </c>
      <c r="F202" s="67" t="n">
        <v>312</v>
      </c>
      <c r="G202" s="14" t="inlineStr">
        <is>
          <t>Restaurant</t>
        </is>
      </c>
      <c r="H202" s="14" t="inlineStr">
        <is>
          <t>Cash</t>
        </is>
      </c>
      <c r="I202" s="43" t="inlineStr">
        <is>
          <t>✅ Paid</t>
        </is>
      </c>
      <c r="J202" t="inlineStr">
        <is>
          <t>Mercado de Abastos — various produce</t>
        </is>
      </c>
    </row>
    <row r="203">
      <c r="B203" s="64" t="n">
        <v>46180</v>
      </c>
      <c r="C203" s="69" t="inlineStr">
        <is>
          <t>Chile de Arbol Suelto (2 kg)</t>
        </is>
      </c>
      <c r="D203" s="68" t="inlineStr">
        <is>
          <t>Los Morros II</t>
        </is>
      </c>
      <c r="E203" s="69" t="inlineStr">
        <is>
          <t>Ingredients - Vegetables</t>
        </is>
      </c>
      <c r="F203" s="70" t="n">
        <v>240</v>
      </c>
      <c r="G203" s="23" t="inlineStr">
        <is>
          <t>Restaurant</t>
        </is>
      </c>
      <c r="H203" s="23" t="inlineStr">
        <is>
          <t>Cash</t>
        </is>
      </c>
      <c r="I203" s="55" t="inlineStr">
        <is>
          <t>✅ Paid</t>
        </is>
      </c>
      <c r="J203" t="inlineStr">
        <is>
          <t>2 kg × $120/kg — 07/06/2026 11:53</t>
        </is>
      </c>
    </row>
    <row r="204">
      <c r="B204" s="64" t="n">
        <v>46180</v>
      </c>
      <c r="C204" s="65" t="inlineStr">
        <is>
          <t>Papas</t>
        </is>
      </c>
      <c r="D204" s="66" t="inlineStr">
        <is>
          <t>—</t>
        </is>
      </c>
      <c r="E204" s="65" t="inlineStr">
        <is>
          <t>Ingredients - Vegetables</t>
        </is>
      </c>
      <c r="F204" s="67" t="n">
        <v>200</v>
      </c>
      <c r="G204" s="14" t="inlineStr">
        <is>
          <t>Restaurant</t>
        </is>
      </c>
      <c r="H204" s="14" t="inlineStr">
        <is>
          <t>Cash</t>
        </is>
      </c>
      <c r="I204" s="43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9" t="inlineStr">
        <is>
          <t>Sandia y Jicama</t>
        </is>
      </c>
      <c r="D205" s="68" t="inlineStr">
        <is>
          <t>—</t>
        </is>
      </c>
      <c r="E205" s="69" t="inlineStr">
        <is>
          <t>Ingredients - Fruit</t>
        </is>
      </c>
      <c r="F205" s="70" t="n">
        <v>193</v>
      </c>
      <c r="G205" s="23" t="inlineStr">
        <is>
          <t>Restaurant</t>
        </is>
      </c>
      <c r="H205" s="23" t="inlineStr">
        <is>
          <t>Cash</t>
        </is>
      </c>
      <c r="I205" s="55" t="inlineStr">
        <is>
          <t>✅ Paid</t>
        </is>
      </c>
      <c r="J205" t="inlineStr">
        <is>
          <t>No bill</t>
        </is>
      </c>
    </row>
    <row r="206">
      <c r="B206" s="64" t="n">
        <v>46180</v>
      </c>
      <c r="C206" s="65" t="inlineStr">
        <is>
          <t>Pepino</t>
        </is>
      </c>
      <c r="D206" s="66" t="inlineStr">
        <is>
          <t>—</t>
        </is>
      </c>
      <c r="E206" s="65" t="inlineStr">
        <is>
          <t>Ingredients - Vegetables</t>
        </is>
      </c>
      <c r="F206" s="67" t="n">
        <v>112</v>
      </c>
      <c r="G206" s="14" t="inlineStr">
        <is>
          <t>Restaurant</t>
        </is>
      </c>
      <c r="H206" s="14" t="inlineStr">
        <is>
          <t>Cash</t>
        </is>
      </c>
      <c r="I206" s="43" t="inlineStr">
        <is>
          <t>✅ Paid</t>
        </is>
      </c>
      <c r="J206" t="inlineStr">
        <is>
          <t>No bill</t>
        </is>
      </c>
    </row>
    <row r="207">
      <c r="B207" s="64" t="n">
        <v>46180</v>
      </c>
      <c r="C207" s="69" t="inlineStr">
        <is>
          <t>Tomate Verde</t>
        </is>
      </c>
      <c r="D207" s="68" t="inlineStr">
        <is>
          <t>—</t>
        </is>
      </c>
      <c r="E207" s="69" t="inlineStr">
        <is>
          <t>Ingredients - Vegetables</t>
        </is>
      </c>
      <c r="F207" s="70" t="n">
        <v>55</v>
      </c>
      <c r="G207" s="23" t="inlineStr">
        <is>
          <t>Restaurant</t>
        </is>
      </c>
      <c r="H207" s="23" t="inlineStr">
        <is>
          <t>Cash</t>
        </is>
      </c>
      <c r="I207" s="55" t="inlineStr">
        <is>
          <t>✅ Paid</t>
        </is>
      </c>
      <c r="J207" t="inlineStr">
        <is>
          <t>No bill</t>
        </is>
      </c>
    </row>
    <row r="208">
      <c r="B208" s="64" t="n">
        <v>46180</v>
      </c>
      <c r="C208" s="65" t="inlineStr">
        <is>
          <t>Lechuga, Espinaca, Cilantro, Jengibre, Habanero</t>
        </is>
      </c>
      <c r="D208" s="66" t="inlineStr">
        <is>
          <t>—</t>
        </is>
      </c>
      <c r="E208" s="65" t="inlineStr">
        <is>
          <t>Ingredients - Vegetables</t>
        </is>
      </c>
      <c r="F208" s="67" t="n">
        <v>328</v>
      </c>
      <c r="G208" s="14" t="inlineStr">
        <is>
          <t>Restaurant</t>
        </is>
      </c>
      <c r="H208" s="14" t="inlineStr">
        <is>
          <t>Cash</t>
        </is>
      </c>
      <c r="I208" s="43" t="inlineStr">
        <is>
          <t>✅ Paid</t>
        </is>
      </c>
      <c r="J208" t="inlineStr">
        <is>
          <t>No bill</t>
        </is>
      </c>
    </row>
    <row r="209">
      <c r="B209" s="64" t="n">
        <v>46180</v>
      </c>
      <c r="C209" s="69" t="inlineStr">
        <is>
          <t>Chile Serrano</t>
        </is>
      </c>
      <c r="D209" s="68" t="inlineStr">
        <is>
          <t>—</t>
        </is>
      </c>
      <c r="E209" s="69" t="inlineStr">
        <is>
          <t>Ingredients - Vegetables</t>
        </is>
      </c>
      <c r="F209" s="70" t="n">
        <v>22</v>
      </c>
      <c r="G209" s="23" t="inlineStr">
        <is>
          <t>Restaurant</t>
        </is>
      </c>
      <c r="H209" s="23" t="inlineStr">
        <is>
          <t>Cash</t>
        </is>
      </c>
      <c r="I209" s="55" t="inlineStr">
        <is>
          <t>✅ Paid</t>
        </is>
      </c>
      <c r="J209" t="inlineStr">
        <is>
          <t>No bill</t>
        </is>
      </c>
    </row>
    <row r="210">
      <c r="B210" s="64" t="n">
        <v>46180</v>
      </c>
      <c r="C210" s="65" t="inlineStr">
        <is>
          <t>Tomate Roja</t>
        </is>
      </c>
      <c r="D210" s="66" t="inlineStr">
        <is>
          <t>—</t>
        </is>
      </c>
      <c r="E210" s="65" t="inlineStr">
        <is>
          <t>Ingredients - Vegetables</t>
        </is>
      </c>
      <c r="F210" s="67" t="n">
        <v>209</v>
      </c>
      <c r="G210" s="14" t="inlineStr">
        <is>
          <t>Restaurant</t>
        </is>
      </c>
      <c r="H210" s="14" t="inlineStr">
        <is>
          <t>Cash</t>
        </is>
      </c>
      <c r="I210" s="43" t="inlineStr">
        <is>
          <t>✅ Paid</t>
        </is>
      </c>
      <c r="J210" t="inlineStr">
        <is>
          <t>No bill</t>
        </is>
      </c>
    </row>
    <row r="211">
      <c r="B211" s="64" t="n">
        <v>46181</v>
      </c>
      <c r="C211" s="69" t="inlineStr">
        <is>
          <t>Carne Molida (2.020 kg)</t>
        </is>
      </c>
      <c r="D211" s="68" t="inlineStr">
        <is>
          <t>Miscelanea LC La Cruz</t>
        </is>
      </c>
      <c r="E211" s="69" t="inlineStr">
        <is>
          <t>Ingredients - Meat</t>
        </is>
      </c>
      <c r="F211" s="70" t="n">
        <v>273</v>
      </c>
      <c r="G211" s="23" t="inlineStr">
        <is>
          <t>Restaurant</t>
        </is>
      </c>
      <c r="H211" s="23" t="inlineStr">
        <is>
          <t>Card</t>
        </is>
      </c>
      <c r="I211" s="55" t="inlineStr">
        <is>
          <t>✅ Paid</t>
        </is>
      </c>
      <c r="J211" t="inlineStr">
        <is>
          <t>2.020kg x $135/kg — Getnet 08/06/2026 11:01</t>
        </is>
      </c>
    </row>
    <row r="212">
      <c r="B212" s="64" t="n">
        <v>46181</v>
      </c>
      <c r="C212" s="65" t="inlineStr">
        <is>
          <t>Pure de Tomate Del (2 units)</t>
        </is>
      </c>
      <c r="D212" s="66" t="inlineStr">
        <is>
          <t>Chedraui Paseo</t>
        </is>
      </c>
      <c r="E212" s="65" t="inlineStr">
        <is>
          <t>Ingredients - Pantry</t>
        </is>
      </c>
      <c r="F212" s="67" t="n">
        <v>68</v>
      </c>
      <c r="G212" s="14" t="inlineStr">
        <is>
          <t>Restaurant</t>
        </is>
      </c>
      <c r="H212" s="14" t="inlineStr">
        <is>
          <t>Card</t>
        </is>
      </c>
      <c r="I212" s="43" t="inlineStr">
        <is>
          <t>✅ Paid</t>
        </is>
      </c>
      <c r="J212" t="inlineStr">
        <is>
          <t>2 x $34 — Folio 2606 0809 0301 8507 0068</t>
        </is>
      </c>
    </row>
    <row r="213">
      <c r="B213" s="64" t="n">
        <v>46181</v>
      </c>
      <c r="C213" s="69" t="inlineStr">
        <is>
          <t>Tortillas Blanca K (2.960 kg)</t>
        </is>
      </c>
      <c r="D213" s="68" t="inlineStr">
        <is>
          <t>Chedraui Paseo</t>
        </is>
      </c>
      <c r="E213" s="69" t="inlineStr">
        <is>
          <t>Ingredients - Pantry</t>
        </is>
      </c>
      <c r="F213" s="70" t="n">
        <v>39.66</v>
      </c>
      <c r="G213" s="23" t="inlineStr">
        <is>
          <t>Restaurant</t>
        </is>
      </c>
      <c r="H213" s="23" t="inlineStr">
        <is>
          <t>Card</t>
        </is>
      </c>
      <c r="I213" s="55" t="inlineStr">
        <is>
          <t>✅ Paid</t>
        </is>
      </c>
      <c r="J213" t="inlineStr">
        <is>
          <t>2.960kg x $13.40</t>
        </is>
      </c>
    </row>
    <row r="214">
      <c r="B214" s="64" t="n">
        <v>46181</v>
      </c>
      <c r="C214" s="65" t="inlineStr">
        <is>
          <t>Bolillo (8 pcs)</t>
        </is>
      </c>
      <c r="D214" s="66" t="inlineStr">
        <is>
          <t>Chedraui Paseo</t>
        </is>
      </c>
      <c r="E214" s="65" t="inlineStr">
        <is>
          <t>Ingredients - Bread</t>
        </is>
      </c>
      <c r="F214" s="67" t="n">
        <v>16.8</v>
      </c>
      <c r="G214" s="14" t="inlineStr">
        <is>
          <t>Restaurant</t>
        </is>
      </c>
      <c r="H214" s="14" t="inlineStr">
        <is>
          <t>Card</t>
        </is>
      </c>
      <c r="I214" s="43" t="inlineStr">
        <is>
          <t>✅ Paid</t>
        </is>
      </c>
      <c r="J214" t="inlineStr">
        <is>
          <t>8 x $2.10</t>
        </is>
      </c>
    </row>
    <row r="215">
      <c r="B215" s="64" t="n">
        <v>46181</v>
      </c>
      <c r="C215" s="69" t="inlineStr">
        <is>
          <t>Rosca Marmoleada</t>
        </is>
      </c>
      <c r="D215" s="68" t="inlineStr">
        <is>
          <t>Chedraui Paseo</t>
        </is>
      </c>
      <c r="E215" s="69" t="inlineStr">
        <is>
          <t>Ingredients - Bread</t>
        </is>
      </c>
      <c r="F215" s="70" t="n">
        <v>89</v>
      </c>
      <c r="G215" s="23" t="inlineStr">
        <is>
          <t>Restaurant</t>
        </is>
      </c>
      <c r="H215" s="23" t="inlineStr">
        <is>
          <t>Card</t>
        </is>
      </c>
      <c r="I215" s="55" t="inlineStr">
        <is>
          <t>✅ Paid</t>
        </is>
      </c>
      <c r="J215" t="inlineStr">
        <is>
          <t>Total Chedraui $213.46 — BBVA ••••3982</t>
        </is>
      </c>
    </row>
    <row r="216">
      <c r="B216" s="64" t="n">
        <v>46181</v>
      </c>
      <c r="C216" s="65" t="inlineStr">
        <is>
          <t>Hielo</t>
        </is>
      </c>
      <c r="D216" s="66" t="inlineStr">
        <is>
          <t>—</t>
        </is>
      </c>
      <c r="E216" s="65" t="inlineStr">
        <is>
          <t>Supplies / Other</t>
        </is>
      </c>
      <c r="F216" s="67" t="n">
        <v>50</v>
      </c>
      <c r="G216" s="14" t="inlineStr">
        <is>
          <t>Restaurant</t>
        </is>
      </c>
      <c r="H216" s="14" t="inlineStr">
        <is>
          <t>Cash</t>
        </is>
      </c>
      <c r="I216" s="43" t="inlineStr">
        <is>
          <t>✅ Paid</t>
        </is>
      </c>
      <c r="J216" t="inlineStr">
        <is>
          <t>No bill</t>
        </is>
      </c>
    </row>
    <row r="217">
      <c r="B217" s="64" t="n">
        <v>46182</v>
      </c>
      <c r="C217" s="69" t="inlineStr">
        <is>
          <t>Queso Gouda Menona (2.04 kg)</t>
        </is>
      </c>
      <c r="D217" s="68" t="inlineStr">
        <is>
          <t>La Bodega del Buen Queso</t>
        </is>
      </c>
      <c r="E217" s="69" t="inlineStr">
        <is>
          <t>Ingredients - Dairy</t>
        </is>
      </c>
      <c r="F217" s="70" t="n">
        <v>275.4</v>
      </c>
      <c r="G217" s="23" t="inlineStr">
        <is>
          <t>Restaurant</t>
        </is>
      </c>
      <c r="H217" s="23" t="inlineStr">
        <is>
          <t>Cash</t>
        </is>
      </c>
      <c r="I217" s="55" t="inlineStr">
        <is>
          <t>✅ Paid</t>
        </is>
      </c>
      <c r="J217" t="inlineStr">
        <is>
          <t>2.04 kg x $135 — Nota 0031847, 09/jun/2026 10:10</t>
        </is>
      </c>
    </row>
    <row r="218">
      <c r="B218" s="64" t="n">
        <v>46182</v>
      </c>
      <c r="C218" s="65" t="inlineStr">
        <is>
          <t>Muslo de Pollo (4.40 kg)</t>
        </is>
      </c>
      <c r="D218" s="66" t="inlineStr">
        <is>
          <t>Remision</t>
        </is>
      </c>
      <c r="E218" s="65" t="inlineStr">
        <is>
          <t>Ingredients - Meat</t>
        </is>
      </c>
      <c r="F218" s="67" t="n">
        <v>220</v>
      </c>
      <c r="G218" s="14" t="inlineStr">
        <is>
          <t>Restaurant</t>
        </is>
      </c>
      <c r="H218" s="14" t="inlineStr">
        <is>
          <t>Cash</t>
        </is>
      </c>
      <c r="I218" s="43" t="inlineStr">
        <is>
          <t>✅ Paid</t>
        </is>
      </c>
      <c r="J218" t="inlineStr">
        <is>
          <t>4.40 kg x $50 — Remision 09/06/26</t>
        </is>
      </c>
    </row>
    <row r="219">
      <c r="B219" s="64" t="n">
        <v>46182</v>
      </c>
      <c r="C219" s="69" t="inlineStr">
        <is>
          <t>Pechuga de Pollo (3.95 kg)</t>
        </is>
      </c>
      <c r="D219" s="68" t="inlineStr">
        <is>
          <t>Remision</t>
        </is>
      </c>
      <c r="E219" s="69" t="inlineStr">
        <is>
          <t>Ingredients - Meat</t>
        </is>
      </c>
      <c r="F219" s="70" t="n">
        <v>455</v>
      </c>
      <c r="G219" s="23" t="inlineStr">
        <is>
          <t>Restaurant</t>
        </is>
      </c>
      <c r="H219" s="23" t="inlineStr">
        <is>
          <t>Cash</t>
        </is>
      </c>
      <c r="I219" s="55" t="inlineStr">
        <is>
          <t>✅ Paid</t>
        </is>
      </c>
      <c r="J219" t="inlineStr">
        <is>
          <t>3.95 kg x $115 — Remision 09/06/26 total $675</t>
        </is>
      </c>
    </row>
    <row r="220">
      <c r="B220" s="64" t="n">
        <v>46182</v>
      </c>
      <c r="C220" s="65" t="inlineStr">
        <is>
          <t>Jamon Deli Pierna Manolina</t>
        </is>
      </c>
      <c r="D220" s="66" t="inlineStr">
        <is>
          <t>San Juan Salchichonerias</t>
        </is>
      </c>
      <c r="E220" s="65" t="inlineStr">
        <is>
          <t>Ingredients - Meat</t>
        </is>
      </c>
      <c r="F220" s="67" t="n">
        <v>172.35</v>
      </c>
      <c r="G220" s="14" t="inlineStr">
        <is>
          <t>Restaurant</t>
        </is>
      </c>
      <c r="H220" s="14" t="inlineStr">
        <is>
          <t>Card</t>
        </is>
      </c>
      <c r="I220" s="43" t="inlineStr">
        <is>
          <t>✅ Paid</t>
        </is>
      </c>
      <c r="J220" t="inlineStr">
        <is>
          <t>After $24.56 discount — Rappi/Banregio ••••3982, 09/06/2026 10:20</t>
        </is>
      </c>
    </row>
    <row r="221">
      <c r="B221" s="64" t="n">
        <v>46182</v>
      </c>
      <c r="C221" s="69" t="inlineStr">
        <is>
          <t>Ribeye</t>
        </is>
      </c>
      <c r="D221" s="68" t="inlineStr">
        <is>
          <t>Miscelanea LC La Cruz</t>
        </is>
      </c>
      <c r="E221" s="69" t="inlineStr">
        <is>
          <t>Ingredients - Meat</t>
        </is>
      </c>
      <c r="F221" s="70" t="n">
        <v>426</v>
      </c>
      <c r="G221" s="23" t="inlineStr">
        <is>
          <t>Restaurant</t>
        </is>
      </c>
      <c r="H221" s="23" t="inlineStr">
        <is>
          <t>Card</t>
        </is>
      </c>
      <c r="I221" s="55" t="inlineStr">
        <is>
          <t>✅ Paid</t>
        </is>
      </c>
      <c r="J221" t="inlineStr">
        <is>
          <t>Getnet $529 total — 09/06/2026 10:16</t>
        </is>
      </c>
    </row>
    <row r="222">
      <c r="B222" s="64" t="n">
        <v>46182</v>
      </c>
      <c r="C222" s="65" t="inlineStr">
        <is>
          <t>Bistec Cerdo</t>
        </is>
      </c>
      <c r="D222" s="66" t="inlineStr">
        <is>
          <t>Miscelanea LC La Cruz</t>
        </is>
      </c>
      <c r="E222" s="65" t="inlineStr">
        <is>
          <t>Ingredients - Meat</t>
        </is>
      </c>
      <c r="F222" s="67" t="n">
        <v>103</v>
      </c>
      <c r="G222" s="14" t="inlineStr">
        <is>
          <t>Restaurant</t>
        </is>
      </c>
      <c r="H222" s="14" t="inlineStr">
        <is>
          <t>Card</t>
        </is>
      </c>
      <c r="I222" s="43" t="inlineStr">
        <is>
          <t>✅ Paid</t>
        </is>
      </c>
      <c r="J222" t="inlineStr">
        <is>
          <t>Part of same Getnet $529 remision</t>
        </is>
      </c>
    </row>
    <row r="223">
      <c r="B223" s="64" t="n">
        <v>46182</v>
      </c>
      <c r="C223" s="69" t="inlineStr">
        <is>
          <t>Aceite La Posada 800 (x4, 2x1 promo)</t>
        </is>
      </c>
      <c r="D223" s="68" t="inlineStr">
        <is>
          <t>OXXO Pathe QRF</t>
        </is>
      </c>
      <c r="E223" s="69" t="inlineStr">
        <is>
          <t>Ingredients - Pantry</t>
        </is>
      </c>
      <c r="F223" s="70" t="n">
        <v>104</v>
      </c>
      <c r="G223" s="23" t="inlineStr">
        <is>
          <t>Restaurant</t>
        </is>
      </c>
      <c r="H223" s="23" t="inlineStr">
        <is>
          <t>Card</t>
        </is>
      </c>
      <c r="I223" s="55" t="inlineStr">
        <is>
          <t>✅ Paid</t>
        </is>
      </c>
      <c r="J223" t="inlineStr">
        <is>
          <t>4 units after $23.60 promo discount — 09/06/2026 09:28</t>
        </is>
      </c>
    </row>
    <row r="224">
      <c r="B224" s="64" t="n">
        <v>46182</v>
      </c>
      <c r="C224" s="65" t="inlineStr">
        <is>
          <t>UHT Lala Entera 1.5L (x2)</t>
        </is>
      </c>
      <c r="D224" s="66" t="inlineStr">
        <is>
          <t>OXXO Pathe QRF</t>
        </is>
      </c>
      <c r="E224" s="65" t="inlineStr">
        <is>
          <t>Ingredients - Dairy</t>
        </is>
      </c>
      <c r="F224" s="67" t="n">
        <v>93</v>
      </c>
      <c r="G224" s="14" t="inlineStr">
        <is>
          <t>Restaurant</t>
        </is>
      </c>
      <c r="H224" s="14" t="inlineStr">
        <is>
          <t>Card</t>
        </is>
      </c>
      <c r="I224" s="43" t="inlineStr">
        <is>
          <t>✅ Paid</t>
        </is>
      </c>
      <c r="J224" t="inlineStr">
        <is>
          <t>2 x $56 with $9.50 discount each = $93 — 09/06/2026 09:39</t>
        </is>
      </c>
    </row>
    <row r="225">
      <c r="B225" s="64" t="n">
        <v>46182</v>
      </c>
      <c r="C225" s="69" t="inlineStr">
        <is>
          <t>Lenteja Grande Granel (2 kg)</t>
        </is>
      </c>
      <c r="D225" s="68" t="inlineStr">
        <is>
          <t>Molino y Condimentos La Cruz</t>
        </is>
      </c>
      <c r="E225" s="69" t="inlineStr">
        <is>
          <t>Ingredients - Pantry</t>
        </is>
      </c>
      <c r="F225" s="70" t="n">
        <v>48</v>
      </c>
      <c r="G225" s="23" t="inlineStr">
        <is>
          <t>Restaurant</t>
        </is>
      </c>
      <c r="H225" s="23" t="inlineStr">
        <is>
          <t>Cash</t>
        </is>
      </c>
      <c r="I225" s="55" t="inlineStr">
        <is>
          <t>✅ Paid</t>
        </is>
      </c>
      <c r="J225" t="inlineStr">
        <is>
          <t>Nota 200483 — 09/06/2026</t>
        </is>
      </c>
    </row>
    <row r="226">
      <c r="B226" s="64" t="n">
        <v>46182</v>
      </c>
      <c r="C226" s="65" t="inlineStr">
        <is>
          <t>Hielo</t>
        </is>
      </c>
      <c r="D226" s="66" t="inlineStr">
        <is>
          <t>—</t>
        </is>
      </c>
      <c r="E226" s="65" t="inlineStr">
        <is>
          <t>Supplies / Other</t>
        </is>
      </c>
      <c r="F226" s="67" t="n">
        <v>50</v>
      </c>
      <c r="G226" s="14" t="inlineStr">
        <is>
          <t>Restaurant</t>
        </is>
      </c>
      <c r="H226" s="14" t="inlineStr">
        <is>
          <t>Cash</t>
        </is>
      </c>
      <c r="I226" s="43" t="inlineStr">
        <is>
          <t>✅ Paid</t>
        </is>
      </c>
      <c r="J226" t="inlineStr">
        <is>
          <t>No bill</t>
        </is>
      </c>
    </row>
    <row r="227">
      <c r="B227" s="64" t="n">
        <v>46182</v>
      </c>
      <c r="C227" s="69" t="inlineStr">
        <is>
          <t>Tea Zone Concentrado Lichi 1.9L</t>
        </is>
      </c>
      <c r="D227" s="68" t="inlineStr">
        <is>
          <t>Etrusca</t>
        </is>
      </c>
      <c r="E227" s="69" t="inlineStr">
        <is>
          <t>Ingredients - Beverages</t>
        </is>
      </c>
      <c r="F227" s="70" t="n">
        <v>679.01</v>
      </c>
      <c r="G227" s="23" t="inlineStr">
        <is>
          <t>Restaurant</t>
        </is>
      </c>
      <c r="H227" s="23" t="inlineStr">
        <is>
          <t>Card</t>
        </is>
      </c>
      <c r="I227" s="55" t="inlineStr">
        <is>
          <t>✅ Paid</t>
        </is>
      </c>
      <c r="J227" t="inlineStr">
        <is>
          <t>Folio 005C01FR44612 incl IVA</t>
        </is>
      </c>
    </row>
    <row r="228">
      <c r="B228" s="64" t="n">
        <v>46182</v>
      </c>
      <c r="C228" s="65" t="inlineStr">
        <is>
          <t>Tea Zone Concentrado Fresa 1.9L</t>
        </is>
      </c>
      <c r="D228" s="66" t="inlineStr">
        <is>
          <t>Etrusca</t>
        </is>
      </c>
      <c r="E228" s="65" t="inlineStr">
        <is>
          <t>Ingredients - Beverages</t>
        </is>
      </c>
      <c r="F228" s="67" t="n">
        <v>679.01</v>
      </c>
      <c r="G228" s="14" t="inlineStr">
        <is>
          <t>Restaurant</t>
        </is>
      </c>
      <c r="H228" s="14" t="inlineStr">
        <is>
          <t>Card</t>
        </is>
      </c>
      <c r="I228" s="43" t="inlineStr">
        <is>
          <t>✅ Paid</t>
        </is>
      </c>
      <c r="J228" t="inlineStr">
        <is>
          <t>incl IVA 93.66</t>
        </is>
      </c>
    </row>
    <row r="229">
      <c r="B229" s="64" t="n">
        <v>46182</v>
      </c>
      <c r="C229" s="69" t="inlineStr">
        <is>
          <t>Tea Zone Concentrado Maracuya 1.9L</t>
        </is>
      </c>
      <c r="D229" s="68" t="inlineStr">
        <is>
          <t>Etrusca</t>
        </is>
      </c>
      <c r="E229" s="69" t="inlineStr">
        <is>
          <t>Ingredients - Beverages</t>
        </is>
      </c>
      <c r="F229" s="70" t="n">
        <v>679.01</v>
      </c>
      <c r="G229" s="23" t="inlineStr">
        <is>
          <t>Restaurant</t>
        </is>
      </c>
      <c r="H229" s="23" t="inlineStr">
        <is>
          <t>Card</t>
        </is>
      </c>
      <c r="I229" s="55" t="inlineStr">
        <is>
          <t>✅ Paid</t>
        </is>
      </c>
      <c r="J229" t="inlineStr">
        <is>
          <t>incl IVA 93.66</t>
        </is>
      </c>
    </row>
    <row r="230">
      <c r="B230" s="64" t="n">
        <v>46182</v>
      </c>
      <c r="C230" s="65" t="inlineStr">
        <is>
          <t>Tea Zone Concentrado Mango 1.9L</t>
        </is>
      </c>
      <c r="D230" s="66" t="inlineStr">
        <is>
          <t>Etrusca</t>
        </is>
      </c>
      <c r="E230" s="65" t="inlineStr">
        <is>
          <t>Ingredients - Beverages</t>
        </is>
      </c>
      <c r="F230" s="67" t="n">
        <v>679.01</v>
      </c>
      <c r="G230" s="14" t="inlineStr">
        <is>
          <t>Restaurant</t>
        </is>
      </c>
      <c r="H230" s="14" t="inlineStr">
        <is>
          <t>Card</t>
        </is>
      </c>
      <c r="I230" s="43" t="inlineStr">
        <is>
          <t>✅ Paid</t>
        </is>
      </c>
      <c r="J230" t="inlineStr">
        <is>
          <t>incl IVA 93.66</t>
        </is>
      </c>
    </row>
    <row r="231">
      <c r="B231" s="64" t="n">
        <v>46182</v>
      </c>
      <c r="C231" s="69" t="inlineStr">
        <is>
          <t>Chillout Mix Base Taro 2kg</t>
        </is>
      </c>
      <c r="D231" s="68" t="inlineStr">
        <is>
          <t>Etrusca</t>
        </is>
      </c>
      <c r="E231" s="69" t="inlineStr">
        <is>
          <t>Ingredients - Beverages</t>
        </is>
      </c>
      <c r="F231" s="70" t="n">
        <v>592.37</v>
      </c>
      <c r="G231" s="23" t="inlineStr">
        <is>
          <t>Restaurant</t>
        </is>
      </c>
      <c r="H231" s="23" t="inlineStr">
        <is>
          <t>Card</t>
        </is>
      </c>
      <c r="I231" s="55" t="inlineStr">
        <is>
          <t>✅ Paid</t>
        </is>
      </c>
      <c r="J231" t="inlineStr">
        <is>
          <t>Frappe base powder</t>
        </is>
      </c>
    </row>
    <row r="232">
      <c r="B232" s="64" t="n">
        <v>46182</v>
      </c>
      <c r="C232" s="65" t="inlineStr">
        <is>
          <t>Chillout Mix Base Te Matcha 2kg</t>
        </is>
      </c>
      <c r="D232" s="66" t="inlineStr">
        <is>
          <t>Etrusca</t>
        </is>
      </c>
      <c r="E232" s="65" t="inlineStr">
        <is>
          <t>Ingredients - Beverages</t>
        </is>
      </c>
      <c r="F232" s="67" t="n">
        <v>792.8200000000001</v>
      </c>
      <c r="G232" s="14" t="inlineStr">
        <is>
          <t>Restaurant</t>
        </is>
      </c>
      <c r="H232" s="14" t="inlineStr">
        <is>
          <t>Card</t>
        </is>
      </c>
      <c r="I232" s="43" t="inlineStr">
        <is>
          <t>✅ Paid</t>
        </is>
      </c>
      <c r="J232" t="inlineStr">
        <is>
          <t>Frappe base powder</t>
        </is>
      </c>
    </row>
    <row r="233">
      <c r="B233" s="64" t="n">
        <v>46182</v>
      </c>
      <c r="C233" s="69" t="inlineStr">
        <is>
          <t>Jarabe Agave Caramelo 1L</t>
        </is>
      </c>
      <c r="D233" s="68" t="inlineStr">
        <is>
          <t>Etrusca</t>
        </is>
      </c>
      <c r="E233" s="69" t="inlineStr">
        <is>
          <t>Ingredients - Beverages</t>
        </is>
      </c>
      <c r="F233" s="70" t="n">
        <v>177</v>
      </c>
      <c r="G233" s="23" t="inlineStr">
        <is>
          <t>Restaurant</t>
        </is>
      </c>
      <c r="H233" s="23" t="inlineStr">
        <is>
          <t>Card</t>
        </is>
      </c>
      <c r="I233" s="55" t="inlineStr">
        <is>
          <t>✅ Paid</t>
        </is>
      </c>
      <c r="J233" t="inlineStr">
        <is>
          <t>Agave syrup</t>
        </is>
      </c>
    </row>
    <row r="234">
      <c r="B234" s="64" t="n">
        <v>46182</v>
      </c>
      <c r="C234" s="65" t="inlineStr">
        <is>
          <t>Jarabe Agave Crema Irlandesa 1L</t>
        </is>
      </c>
      <c r="D234" s="66" t="inlineStr">
        <is>
          <t>Etrusca</t>
        </is>
      </c>
      <c r="E234" s="65" t="inlineStr">
        <is>
          <t>Ingredients - Beverages</t>
        </is>
      </c>
      <c r="F234" s="67" t="n">
        <v>177</v>
      </c>
      <c r="G234" s="14" t="inlineStr">
        <is>
          <t>Restaurant</t>
        </is>
      </c>
      <c r="H234" s="14" t="inlineStr">
        <is>
          <t>Card</t>
        </is>
      </c>
      <c r="I234" s="43" t="inlineStr">
        <is>
          <t>✅ Paid</t>
        </is>
      </c>
      <c r="J234" t="inlineStr">
        <is>
          <t>Agave syrup</t>
        </is>
      </c>
    </row>
    <row r="235">
      <c r="B235" s="64" t="n">
        <v>46182</v>
      </c>
      <c r="C235" s="69" t="inlineStr">
        <is>
          <t>Jarabe Agave Vainilla Francesa 1L</t>
        </is>
      </c>
      <c r="D235" s="68" t="inlineStr">
        <is>
          <t>Etrusca</t>
        </is>
      </c>
      <c r="E235" s="69" t="inlineStr">
        <is>
          <t>Ingredients - Beverages</t>
        </is>
      </c>
      <c r="F235" s="70" t="n">
        <v>177</v>
      </c>
      <c r="G235" s="23" t="inlineStr">
        <is>
          <t>Restaurant</t>
        </is>
      </c>
      <c r="H235" s="23" t="inlineStr">
        <is>
          <t>Card</t>
        </is>
      </c>
      <c r="I235" s="55" t="inlineStr">
        <is>
          <t>✅ Paid</t>
        </is>
      </c>
      <c r="J235" t="inlineStr">
        <is>
          <t>Etrusca total 4632.23 MC 2684 17:00</t>
        </is>
      </c>
    </row>
    <row r="236">
      <c r="B236" s="64" t="n">
        <v>46183</v>
      </c>
      <c r="C236" s="65" t="inlineStr">
        <is>
          <t>Groceries — Elote, Chile Poblano, Tomate, Tortillas, Bolillo</t>
        </is>
      </c>
      <c r="D236" s="66" t="inlineStr">
        <is>
          <t>Chedraui Paseo</t>
        </is>
      </c>
      <c r="E236" s="65" t="inlineStr">
        <is>
          <t>Supermarket / General</t>
        </is>
      </c>
      <c r="F236" s="67" t="n">
        <v>236.81</v>
      </c>
      <c r="G236" s="14" t="inlineStr">
        <is>
          <t>Lohith (Personal)</t>
        </is>
      </c>
      <c r="H236" s="14" t="inlineStr">
        <is>
          <t>Card</t>
        </is>
      </c>
      <c r="I236" s="43" t="inlineStr">
        <is>
          <t>✅ Paid</t>
        </is>
      </c>
      <c r="J236" t="inlineStr">
        <is>
          <t>Paid personally by Lohith — reimburse · HSBC **5543 · 14 items</t>
        </is>
      </c>
    </row>
    <row r="237">
      <c r="B237" s="64" t="n">
        <v>46183</v>
      </c>
      <c r="C237" s="69" t="inlineStr">
        <is>
          <t>Comanda Restaurante (order pad)</t>
        </is>
      </c>
      <c r="D237" s="68" t="inlineStr">
        <is>
          <t>Office Depot</t>
        </is>
      </c>
      <c r="E237" s="69" t="inlineStr">
        <is>
          <t>Supplies / Other</t>
        </is>
      </c>
      <c r="F237" s="70" t="n">
        <v>59</v>
      </c>
      <c r="G237" s="23" t="inlineStr">
        <is>
          <t>Lohith (Personal)</t>
        </is>
      </c>
      <c r="H237" s="23" t="inlineStr">
        <is>
          <t>Card</t>
        </is>
      </c>
      <c r="I237" s="55" t="inlineStr">
        <is>
          <t>✅ Paid</t>
        </is>
      </c>
      <c r="J237" t="inlineStr">
        <is>
          <t>Paid personally by Lohith — reimburse · MC **5543</t>
        </is>
      </c>
    </row>
    <row r="238">
      <c r="B238" s="64" t="n">
        <v>46183</v>
      </c>
      <c r="C238" s="65" t="inlineStr">
        <is>
          <t>Aguas Frescas 1LT — Horchata/Jamaica/Naranjada/Tamarindo (24 pcs + 4 canje)</t>
        </is>
      </c>
      <c r="D238" s="66" t="inlineStr">
        <is>
          <t>Reca del Bajio</t>
        </is>
      </c>
      <c r="E238" s="65" t="inlineStr">
        <is>
          <t>Ingredients - Beverages</t>
        </is>
      </c>
      <c r="F238" s="67" t="n">
        <v>600</v>
      </c>
      <c r="G238" s="14" t="inlineStr">
        <is>
          <t>Restaurant</t>
        </is>
      </c>
      <c r="H238" s="14" t="inlineStr">
        <is>
          <t>Cash</t>
        </is>
      </c>
      <c r="I238" s="43" t="inlineStr">
        <is>
          <t>✅ Paid</t>
        </is>
      </c>
      <c r="J238" t="inlineStr">
        <is>
          <t>6 pcs each flavor @ $21.55 + IVA · 4 free pcs (canje) · payment method assumed cash</t>
        </is>
      </c>
    </row>
    <row r="239">
      <c r="B239" s="64" t="n">
        <v>46183</v>
      </c>
      <c r="C239" s="69" t="inlineStr">
        <is>
          <t>Bistec de Cerdo (pork steak)</t>
        </is>
      </c>
      <c r="D239" s="68" t="inlineStr">
        <is>
          <t>Miscelánea LC La Cruz</t>
        </is>
      </c>
      <c r="E239" s="69" t="inlineStr">
        <is>
          <t>Ingredients - Meat</t>
        </is>
      </c>
      <c r="F239" s="70" t="n">
        <v>194</v>
      </c>
      <c r="G239" s="23" t="inlineStr">
        <is>
          <t>Restaurant</t>
        </is>
      </c>
      <c r="H239" s="23" t="inlineStr">
        <is>
          <t>Card</t>
        </is>
      </c>
      <c r="I239" s="55" t="inlineStr">
        <is>
          <t>✅ Paid</t>
        </is>
      </c>
      <c r="J239" t="inlineStr">
        <is>
          <t>Getnet card slip + handwritten remision B. Cerdo - Aut 975901</t>
        </is>
      </c>
    </row>
    <row r="240">
      <c r="B240" s="64" t="n">
        <v>46184</v>
      </c>
      <c r="C240" s="65" t="inlineStr">
        <is>
          <t>Costillas de Cerdo $315 + Bistec de Cerdo $190 + Carne Molida $409</t>
        </is>
      </c>
      <c r="D240" s="66" t="inlineStr">
        <is>
          <t>Miscelánea LC La Cruz</t>
        </is>
      </c>
      <c r="E240" s="65" t="inlineStr">
        <is>
          <t>Ingredients - Meat</t>
        </is>
      </c>
      <c r="F240" s="67" t="n">
        <v>914</v>
      </c>
      <c r="G240" s="14" t="inlineStr">
        <is>
          <t>Restaurant</t>
        </is>
      </c>
      <c r="H240" s="14" t="inlineStr">
        <is>
          <t>Card</t>
        </is>
      </c>
      <c r="I240" s="43" t="inlineStr">
        <is>
          <t>✅ Paid</t>
        </is>
      </c>
      <c r="J240" t="inlineStr">
        <is>
          <t>Getnet slip $914 · ML debit MC · Aut 291606 · 08:59</t>
        </is>
      </c>
    </row>
    <row r="241">
      <c r="B241" s="64" t="n">
        <v>46184</v>
      </c>
      <c r="C241" s="69" t="inlineStr">
        <is>
          <t>Ala de Pollo $975 + Papa Harvest 13.62kg $690 + Boneless Freskecito $1,200</t>
        </is>
      </c>
      <c r="D241" s="68" t="inlineStr">
        <is>
          <t>ALICO (Cerro de las Campanas)</t>
        </is>
      </c>
      <c r="E241" s="69" t="inlineStr">
        <is>
          <t>Ingredients - Meat</t>
        </is>
      </c>
      <c r="F241" s="70" t="n">
        <v>2865</v>
      </c>
      <c r="G241" s="23" t="inlineStr">
        <is>
          <t>Lohith (Personal)</t>
        </is>
      </c>
      <c r="H241" s="23" t="inlineStr">
        <is>
          <t>Cash</t>
        </is>
      </c>
      <c r="I241" s="55" t="inlineStr">
        <is>
          <t>✅ Paid</t>
        </is>
      </c>
      <c r="J241" t="inlineStr">
        <is>
          <t>Paid cash exact $2,865 · 08:22 AM | Paid personally by Lohith (transfer) — reimburse</t>
        </is>
      </c>
    </row>
    <row r="242">
      <c r="B242" s="64" t="n">
        <v>46184</v>
      </c>
      <c r="C242" s="65" t="inlineStr">
        <is>
          <t>Muslo de Pollo 4.70 kg @ $50</t>
        </is>
      </c>
      <c r="D242" s="66" t="inlineStr">
        <is>
          <t>Pollería (nota de remisión)</t>
        </is>
      </c>
      <c r="E242" s="65" t="inlineStr">
        <is>
          <t>Ingredients - Meat</t>
        </is>
      </c>
      <c r="F242" s="67" t="n">
        <v>235</v>
      </c>
      <c r="G242" s="14" t="inlineStr">
        <is>
          <t>Lohith (Personal)</t>
        </is>
      </c>
      <c r="H242" s="14" t="inlineStr">
        <is>
          <t>Cash</t>
        </is>
      </c>
      <c r="I242" s="43" t="inlineStr">
        <is>
          <t>✅ Paid</t>
        </is>
      </c>
      <c r="J242" t="inlineStr">
        <is>
          <t>Pink nota "Oh Lele" · marked Cobrado | Paid personally by Lohith (transfer) — reimburse</t>
        </is>
      </c>
    </row>
    <row r="243">
      <c r="B243" s="64" t="n">
        <v>46182</v>
      </c>
      <c r="C243" s="69" t="inlineStr">
        <is>
          <t>Agua Natural — 3 bottles</t>
        </is>
      </c>
      <c r="D243" s="68" t="inlineStr">
        <is>
          <t>Local purchase</t>
        </is>
      </c>
      <c r="E243" s="69" t="inlineStr">
        <is>
          <t>Ingredients - Beverages</t>
        </is>
      </c>
      <c r="F243" s="70" t="n">
        <v>45</v>
      </c>
      <c r="G243" s="23" t="inlineStr">
        <is>
          <t>Restaurant</t>
        </is>
      </c>
      <c r="H243" s="23" t="inlineStr">
        <is>
          <t>Cash</t>
        </is>
      </c>
      <c r="I243" s="55" t="inlineStr">
        <is>
          <t>✅ Paid</t>
        </is>
      </c>
      <c r="J243" t="inlineStr">
        <is>
          <t>Logged retroactively (no receipt)</t>
        </is>
      </c>
    </row>
    <row r="244">
      <c r="B244" s="64" t="n">
        <v>46184</v>
      </c>
      <c r="C244" s="65" t="inlineStr">
        <is>
          <t>Agua Natural — 2 bottles</t>
        </is>
      </c>
      <c r="D244" s="66" t="inlineStr">
        <is>
          <t>Local purchase</t>
        </is>
      </c>
      <c r="E244" s="65" t="inlineStr">
        <is>
          <t>Ingredients - Beverages</t>
        </is>
      </c>
      <c r="F244" s="67" t="n">
        <v>30</v>
      </c>
      <c r="G244" s="14" t="inlineStr">
        <is>
          <t>Restaurant</t>
        </is>
      </c>
      <c r="H244" s="14" t="inlineStr">
        <is>
          <t>Cash</t>
        </is>
      </c>
      <c r="I244" s="43" t="inlineStr">
        <is>
          <t>✅ Paid</t>
        </is>
      </c>
      <c r="J244" t="inlineStr">
        <is>
          <t>Logged retroactively (no receipt)</t>
        </is>
      </c>
    </row>
    <row r="245">
      <c r="B245" s="64" t="n">
        <v>46183</v>
      </c>
      <c r="C245" s="69" t="inlineStr">
        <is>
          <t>Pasta (caracol, codo, fusilli) + Roma detergent 1kg</t>
        </is>
      </c>
      <c r="D245" s="68" t="inlineStr">
        <is>
          <t>Tiendas 3B (La Pradera)</t>
        </is>
      </c>
      <c r="E245" s="69" t="inlineStr">
        <is>
          <t>Supermarket / General</t>
        </is>
      </c>
      <c r="F245" s="70" t="n">
        <v>252</v>
      </c>
      <c r="G245" s="23" t="inlineStr">
        <is>
          <t>Restaurant</t>
        </is>
      </c>
      <c r="H245" s="23" t="inlineStr">
        <is>
          <t>Card</t>
        </is>
      </c>
      <c r="I245" s="55" t="inlineStr">
        <is>
          <t>✅ Paid</t>
        </is>
      </c>
      <c r="J245" t="inlineStr">
        <is>
          <t>Ticket 188 · 19:25 · card Banco Plata **2684 · logged 11 Jun</t>
        </is>
      </c>
    </row>
    <row r="246">
      <c r="B246" s="64" t="n">
        <v>46185</v>
      </c>
      <c r="C246" s="65" t="inlineStr">
        <is>
          <t>Leche PL UHT Nutri 1LT (2 pcs)</t>
        </is>
      </c>
      <c r="D246" s="66" t="inlineStr">
        <is>
          <t>OXXO Acueducto</t>
        </is>
      </c>
      <c r="E246" s="65" t="inlineStr">
        <is>
          <t>Ingredients - Dairy</t>
        </is>
      </c>
      <c r="F246" s="67" t="n">
        <v>42</v>
      </c>
      <c r="G246" s="14" t="inlineStr">
        <is>
          <t>Restaurant</t>
        </is>
      </c>
      <c r="H246" s="14" t="inlineStr">
        <is>
          <t>Card</t>
        </is>
      </c>
      <c r="I246" s="43" t="inlineStr">
        <is>
          <t>✅ Paid</t>
        </is>
      </c>
      <c r="J246" t="inlineStr">
        <is>
          <t>ML debit **3982 · Aut 324051 · 10:13</t>
        </is>
      </c>
    </row>
    <row r="247">
      <c r="B247" s="64" t="n">
        <v>46185</v>
      </c>
      <c r="C247" s="69" t="inlineStr">
        <is>
          <t>Pan hamburguesa ajonjolí (36) + Chapata grande (24)</t>
        </is>
      </c>
      <c r="D247" s="68" t="inlineStr">
        <is>
          <t>Productos Real (La Cruz)</t>
        </is>
      </c>
      <c r="E247" s="69" t="inlineStr">
        <is>
          <t>Ingredients - Bread</t>
        </is>
      </c>
      <c r="F247" s="70" t="n">
        <v>546</v>
      </c>
      <c r="G247" s="23" t="inlineStr">
        <is>
          <t>Restaurant</t>
        </is>
      </c>
      <c r="H247" s="23" t="inlineStr">
        <is>
          <t>Card</t>
        </is>
      </c>
      <c r="I247" s="55" t="inlineStr">
        <is>
          <t>✅ Paid</t>
        </is>
      </c>
      <c r="J247" t="inlineStr">
        <is>
          <t>Folio 4251 · debit · 09:38</t>
        </is>
      </c>
    </row>
    <row r="248">
      <c r="B248" s="64" t="n">
        <v>46185</v>
      </c>
      <c r="C248" s="65" t="inlineStr">
        <is>
          <t>Aceite Vegetal La Posada 800 (2 pcs)</t>
        </is>
      </c>
      <c r="D248" s="66" t="inlineStr">
        <is>
          <t>OXXO Pathe</t>
        </is>
      </c>
      <c r="E248" s="65" t="inlineStr">
        <is>
          <t>Ingredients - Other</t>
        </is>
      </c>
      <c r="F248" s="67" t="n">
        <v>104</v>
      </c>
      <c r="G248" s="14" t="inlineStr">
        <is>
          <t>Restaurant</t>
        </is>
      </c>
      <c r="H248" s="14" t="inlineStr">
        <is>
          <t>Card</t>
        </is>
      </c>
      <c r="I248" s="43" t="inlineStr">
        <is>
          <t>✅ Paid</t>
        </is>
      </c>
      <c r="J248" t="inlineStr">
        <is>
          <t>ML debit **3982 · Aut 468013 · 09:22</t>
        </is>
      </c>
    </row>
    <row r="249">
      <c r="B249" s="64" t="n">
        <v>46185</v>
      </c>
      <c r="C249" s="69" t="inlineStr">
        <is>
          <t>Plátano + Tortillas Blancas + Rosca Marmoleada</t>
        </is>
      </c>
      <c r="D249" s="68" t="inlineStr">
        <is>
          <t>Chedraui Paseo</t>
        </is>
      </c>
      <c r="E249" s="69" t="inlineStr">
        <is>
          <t>Supermarket / General</t>
        </is>
      </c>
      <c r="F249" s="70" t="n">
        <v>161.8</v>
      </c>
      <c r="G249" s="23" t="inlineStr">
        <is>
          <t>Restaurant</t>
        </is>
      </c>
      <c r="H249" s="23" t="inlineStr">
        <is>
          <t>Card</t>
        </is>
      </c>
      <c r="I249" s="55" t="inlineStr">
        <is>
          <t>✅ Paid</t>
        </is>
      </c>
      <c r="J249" t="inlineStr">
        <is>
          <t>Debit BBVA **3982 · Aut 200580 · 09:02</t>
        </is>
      </c>
    </row>
    <row r="250">
      <c r="B250" s="64" t="n">
        <v>46185</v>
      </c>
      <c r="C250" s="65" t="inlineStr">
        <is>
          <t>Lechugas (lettuce)</t>
        </is>
      </c>
      <c r="D250" s="66" t="inlineStr">
        <is>
          <t>Local purchase</t>
        </is>
      </c>
      <c r="E250" s="65" t="inlineStr">
        <is>
          <t>Ingredients - Produce</t>
        </is>
      </c>
      <c r="F250" s="67" t="n">
        <v>48</v>
      </c>
      <c r="G250" s="14" t="inlineStr">
        <is>
          <t>Restaurant</t>
        </is>
      </c>
      <c r="H250" s="14" t="inlineStr">
        <is>
          <t>Cash</t>
        </is>
      </c>
      <c r="I250" s="43" t="inlineStr">
        <is>
          <t>✅ Paid</t>
        </is>
      </c>
      <c r="J250" t="inlineStr">
        <is>
          <t>No receipt — logged manually</t>
        </is>
      </c>
    </row>
    <row r="251">
      <c r="B251" s="64" t="n">
        <v>46186</v>
      </c>
      <c r="C251" s="69" t="inlineStr">
        <is>
          <t>Empanizador Bimbo, especias, tomate, pimiento verde, papa, mole, tortillas (14 art.)</t>
        </is>
      </c>
      <c r="D251" s="68" t="inlineStr">
        <is>
          <t>Chedraui Paseo</t>
        </is>
      </c>
      <c r="E251" s="69" t="inlineStr">
        <is>
          <t>Supermarket / General</t>
        </is>
      </c>
      <c r="F251" s="70" t="n">
        <v>468.16</v>
      </c>
      <c r="G251" s="23" t="inlineStr">
        <is>
          <t>Restaurant</t>
        </is>
      </c>
      <c r="H251" s="23" t="inlineStr">
        <is>
          <t>Card</t>
        </is>
      </c>
      <c r="I251" s="55" t="inlineStr">
        <is>
          <t>✅ Paid</t>
        </is>
      </c>
      <c r="J251" t="inlineStr">
        <is>
          <t>Debit BBVA **3982 · Aut 641502 · 09:19 · Folio 2606-1309-1901</t>
        </is>
      </c>
    </row>
    <row r="252">
      <c r="B252" s="64" t="n">
        <v>46186</v>
      </c>
      <c r="C252" s="65" t="inlineStr">
        <is>
          <t>Bistec de Cerdo 1.66 kg</t>
        </is>
      </c>
      <c r="D252" s="66" t="inlineStr">
        <is>
          <t>Carnicería (nota de remisión)</t>
        </is>
      </c>
      <c r="E252" s="65" t="inlineStr">
        <is>
          <t>Ingredients - Meat</t>
        </is>
      </c>
      <c r="F252" s="67" t="n">
        <v>310</v>
      </c>
      <c r="G252" s="14" t="inlineStr">
        <is>
          <t>Restaurant</t>
        </is>
      </c>
      <c r="H252" s="14" t="inlineStr">
        <is>
          <t>Cash</t>
        </is>
      </c>
      <c r="I252" s="43" t="inlineStr">
        <is>
          <t>✅ Paid</t>
        </is>
      </c>
      <c r="J252" t="inlineStr">
        <is>
          <t>Handwritten remisión · 1.66 kg · total $310</t>
        </is>
      </c>
    </row>
    <row r="253">
      <c r="B253" s="64" t="n">
        <v>46186</v>
      </c>
      <c r="C253" s="69" t="inlineStr">
        <is>
          <t>John — Salary Week 4 (full week)</t>
        </is>
      </c>
      <c r="D253" s="68" t="inlineStr">
        <is>
          <t>Staff Payroll</t>
        </is>
      </c>
      <c r="E253" s="69" t="inlineStr">
        <is>
          <t>Staff - Salary</t>
        </is>
      </c>
      <c r="F253" s="70" t="n">
        <v>3750</v>
      </c>
      <c r="G253" s="23" t="inlineStr">
        <is>
          <t>Restaurant</t>
        </is>
      </c>
      <c r="H253" s="23" t="inlineStr">
        <is>
          <t>Cash</t>
        </is>
      </c>
      <c r="I253" s="55" t="inlineStr">
        <is>
          <t>✅ Paid</t>
        </is>
      </c>
      <c r="J253" t="inlineStr">
        <is>
          <t>Paid Sat 13 Jun — Week 4</t>
        </is>
      </c>
    </row>
    <row r="254">
      <c r="B254" s="64" t="n">
        <v>46186</v>
      </c>
      <c r="C254" s="65" t="inlineStr">
        <is>
          <t>Duvi/Debi — Limpieza Week 4 (5 days)</t>
        </is>
      </c>
      <c r="D254" s="66" t="inlineStr">
        <is>
          <t>Staff Payroll</t>
        </is>
      </c>
      <c r="E254" s="65" t="inlineStr">
        <is>
          <t>Staff - Salary</t>
        </is>
      </c>
      <c r="F254" s="67" t="n">
        <v>1250</v>
      </c>
      <c r="G254" s="14" t="inlineStr">
        <is>
          <t>Restaurant</t>
        </is>
      </c>
      <c r="H254" s="14" t="inlineStr">
        <is>
          <t>Cash</t>
        </is>
      </c>
      <c r="I254" s="43" t="inlineStr">
        <is>
          <t>✅ Paid</t>
        </is>
      </c>
      <c r="J254" t="inlineStr">
        <is>
          <t>Paid Sat 13 Jun — Week 4</t>
        </is>
      </c>
    </row>
    <row r="255">
      <c r="B255" s="64" t="n">
        <v>46186</v>
      </c>
      <c r="C255" s="69" t="inlineStr">
        <is>
          <t>Cesar — Mesero Week 4 (5 days)</t>
        </is>
      </c>
      <c r="D255" s="68" t="inlineStr">
        <is>
          <t>Staff Payroll</t>
        </is>
      </c>
      <c r="E255" s="69" t="inlineStr">
        <is>
          <t>Staff - Salary</t>
        </is>
      </c>
      <c r="F255" s="70" t="n">
        <v>1666</v>
      </c>
      <c r="G255" s="23" t="inlineStr">
        <is>
          <t>Restaurant</t>
        </is>
      </c>
      <c r="H255" s="23" t="inlineStr">
        <is>
          <t>Cash</t>
        </is>
      </c>
      <c r="I255" s="55" t="inlineStr">
        <is>
          <t>✅ Paid</t>
        </is>
      </c>
      <c r="J255" t="inlineStr">
        <is>
          <t>Paid Sat 13 Jun — Week 4</t>
        </is>
      </c>
    </row>
    <row r="256">
      <c r="B256" s="64" t="n">
        <v>46186</v>
      </c>
      <c r="C256" s="65" t="inlineStr">
        <is>
          <t>Samu — Ayudante Week 4 (4 days)</t>
        </is>
      </c>
      <c r="D256" s="66" t="inlineStr">
        <is>
          <t>Staff Payroll</t>
        </is>
      </c>
      <c r="E256" s="65" t="inlineStr">
        <is>
          <t>Staff - Salary</t>
        </is>
      </c>
      <c r="F256" s="67" t="n">
        <v>640</v>
      </c>
      <c r="G256" s="14" t="inlineStr">
        <is>
          <t>Restaurant</t>
        </is>
      </c>
      <c r="H256" s="14" t="inlineStr">
        <is>
          <t>Cash</t>
        </is>
      </c>
      <c r="I256" s="43" t="inlineStr">
        <is>
          <t>✅ Paid</t>
        </is>
      </c>
      <c r="J256" t="inlineStr">
        <is>
          <t>Paid Sat 13 Jun — Week 4</t>
        </is>
      </c>
    </row>
    <row r="257">
      <c r="B257" s="64" t="n">
        <v>46186</v>
      </c>
      <c r="C257" s="69" t="inlineStr">
        <is>
          <t>Propinas — John (Week 4)</t>
        </is>
      </c>
      <c r="D257" s="68" t="inlineStr">
        <is>
          <t>Staff Payroll</t>
        </is>
      </c>
      <c r="E257" s="69" t="inlineStr">
        <is>
          <t>Staff - Tips Distribution</t>
        </is>
      </c>
      <c r="F257" s="70" t="n">
        <v>200</v>
      </c>
      <c r="G257" s="23" t="inlineStr">
        <is>
          <t>Restaurant</t>
        </is>
      </c>
      <c r="H257" s="23" t="inlineStr">
        <is>
          <t>Cash</t>
        </is>
      </c>
      <c r="I257" s="55" t="inlineStr">
        <is>
          <t>✅ Paid</t>
        </is>
      </c>
      <c r="J257" t="inlineStr">
        <is>
          <t>Paid Sat 13 Jun — Week 4</t>
        </is>
      </c>
    </row>
    <row r="258">
      <c r="B258" s="64" t="n">
        <v>46186</v>
      </c>
      <c r="C258" s="65" t="inlineStr">
        <is>
          <t>Propinas — Duvi/Debi (Week 4)</t>
        </is>
      </c>
      <c r="D258" s="66" t="inlineStr">
        <is>
          <t>Staff Payroll</t>
        </is>
      </c>
      <c r="E258" s="65" t="inlineStr">
        <is>
          <t>Staff - Tips Distribution</t>
        </is>
      </c>
      <c r="F258" s="67" t="n">
        <v>200</v>
      </c>
      <c r="G258" s="14" t="inlineStr">
        <is>
          <t>Restaurant</t>
        </is>
      </c>
      <c r="H258" s="14" t="inlineStr">
        <is>
          <t>Cash</t>
        </is>
      </c>
      <c r="I258" s="43" t="inlineStr">
        <is>
          <t>✅ Paid</t>
        </is>
      </c>
      <c r="J258" t="inlineStr">
        <is>
          <t>Paid Sat 13 Jun — Week 4</t>
        </is>
      </c>
    </row>
    <row r="259">
      <c r="B259" s="64" t="n">
        <v>46186</v>
      </c>
      <c r="C259" s="69" t="inlineStr">
        <is>
          <t>Propinas — Cesar (Week 4)</t>
        </is>
      </c>
      <c r="D259" s="68" t="inlineStr">
        <is>
          <t>Staff Payroll</t>
        </is>
      </c>
      <c r="E259" s="69" t="inlineStr">
        <is>
          <t>Staff - Tips Distribution</t>
        </is>
      </c>
      <c r="F259" s="70" t="n">
        <v>126</v>
      </c>
      <c r="G259" s="23" t="inlineStr">
        <is>
          <t>Restaurant</t>
        </is>
      </c>
      <c r="H259" s="23" t="inlineStr">
        <is>
          <t>Cash</t>
        </is>
      </c>
      <c r="I259" s="55" t="inlineStr">
        <is>
          <t>✅ Paid</t>
        </is>
      </c>
      <c r="J259" t="inlineStr">
        <is>
          <t>Paid Sat 13 Jun — Week 4</t>
        </is>
      </c>
    </row>
    <row r="260">
      <c r="B260" s="64" t="n">
        <v>46186</v>
      </c>
      <c r="C260" s="65" t="inlineStr">
        <is>
          <t>Propinas — Samu (Week 4)</t>
        </is>
      </c>
      <c r="D260" s="66" t="inlineStr">
        <is>
          <t>Staff Payroll</t>
        </is>
      </c>
      <c r="E260" s="65" t="inlineStr">
        <is>
          <t>Staff - Tips Distribution</t>
        </is>
      </c>
      <c r="F260" s="67" t="n">
        <v>126</v>
      </c>
      <c r="G260" s="14" t="inlineStr">
        <is>
          <t>Restaurant</t>
        </is>
      </c>
      <c r="H260" s="14" t="inlineStr">
        <is>
          <t>Cash</t>
        </is>
      </c>
      <c r="I260" s="43" t="inlineStr">
        <is>
          <t>✅ Paid</t>
        </is>
      </c>
      <c r="J260" t="inlineStr">
        <is>
          <t>Paid Sat 13 Jun — Week 4</t>
        </is>
      </c>
    </row>
    <row r="261">
      <c r="B261" s="64" t="n">
        <v>46187</v>
      </c>
      <c r="C261" s="69" t="inlineStr">
        <is>
          <t>Sandía + Pepino</t>
        </is>
      </c>
      <c r="D261" s="68" t="inlineStr">
        <is>
          <t>Citricos Sánchez</t>
        </is>
      </c>
      <c r="E261" s="69" t="inlineStr">
        <is>
          <t>Ingredients - Fruit</t>
        </is>
      </c>
      <c r="F261" s="70" t="n">
        <v>99</v>
      </c>
      <c r="G261" s="23" t="inlineStr">
        <is>
          <t>Restaurant</t>
        </is>
      </c>
      <c r="H261" s="23" t="inlineStr">
        <is>
          <t>Cash</t>
        </is>
      </c>
      <c r="I261" s="55" t="inlineStr">
        <is>
          <t>✅ Paid</t>
        </is>
      </c>
      <c r="J261" t="inlineStr">
        <is>
          <t>Folio 7029</t>
        </is>
      </c>
    </row>
    <row r="262">
      <c r="B262" s="64" t="n">
        <v>46187</v>
      </c>
      <c r="C262" s="65" t="inlineStr">
        <is>
          <t>Aguacate Hass Tercera 1.7 kg</t>
        </is>
      </c>
      <c r="D262" s="66" t="inlineStr">
        <is>
          <t>Rey Tacamba</t>
        </is>
      </c>
      <c r="E262" s="65" t="inlineStr">
        <is>
          <t>Ingredients - Vegetables</t>
        </is>
      </c>
      <c r="F262" s="67" t="n">
        <v>94</v>
      </c>
      <c r="G262" s="14" t="inlineStr">
        <is>
          <t>Restaurant</t>
        </is>
      </c>
      <c r="H262" s="14" t="inlineStr">
        <is>
          <t>Cash</t>
        </is>
      </c>
      <c r="I262" s="43" t="inlineStr">
        <is>
          <t>✅ Paid</t>
        </is>
      </c>
      <c r="J262" t="inlineStr">
        <is>
          <t>Central de Abastos</t>
        </is>
      </c>
    </row>
    <row r="263">
      <c r="B263" s="64" t="n">
        <v>46187</v>
      </c>
      <c r="C263" s="69" t="inlineStr">
        <is>
          <t>Tomate 8 kg @ $11</t>
        </is>
      </c>
      <c r="D263" s="68" t="inlineStr">
        <is>
          <t>Nopales Guerrero</t>
        </is>
      </c>
      <c r="E263" s="69" t="inlineStr">
        <is>
          <t>Ingredients - Vegetables</t>
        </is>
      </c>
      <c r="F263" s="70" t="n">
        <v>88</v>
      </c>
      <c r="G263" s="23" t="inlineStr">
        <is>
          <t>Restaurant</t>
        </is>
      </c>
      <c r="H263" s="23" t="inlineStr">
        <is>
          <t>Cash</t>
        </is>
      </c>
      <c r="I263" s="55" t="inlineStr">
        <is>
          <t>✅ Paid</t>
        </is>
      </c>
      <c r="J263" t="inlineStr">
        <is>
          <t>Pagado</t>
        </is>
      </c>
    </row>
    <row r="264">
      <c r="B264" s="64" t="n">
        <v>46187</v>
      </c>
      <c r="C264" s="65" t="inlineStr">
        <is>
          <t>Papaya + Melón</t>
        </is>
      </c>
      <c r="D264" s="66" t="inlineStr">
        <is>
          <t>Frutas Gaby</t>
        </is>
      </c>
      <c r="E264" s="65" t="inlineStr">
        <is>
          <t>Ingredients - Fruit</t>
        </is>
      </c>
      <c r="F264" s="67" t="n">
        <v>123</v>
      </c>
      <c r="G264" s="14" t="inlineStr">
        <is>
          <t>Restaurant</t>
        </is>
      </c>
      <c r="H264" s="14" t="inlineStr">
        <is>
          <t>Cash</t>
        </is>
      </c>
      <c r="I264" s="43" t="inlineStr">
        <is>
          <t>✅ Paid</t>
        </is>
      </c>
      <c r="J264" t="inlineStr">
        <is>
          <t>Nota de venta</t>
        </is>
      </c>
    </row>
    <row r="265">
      <c r="B265" s="64" t="n">
        <v>46187</v>
      </c>
      <c r="C265" s="69" t="inlineStr">
        <is>
          <t>Cilantro, Hierbabuena, Lechugas italianas</t>
        </is>
      </c>
      <c r="D265" s="68" t="inlineStr">
        <is>
          <t>Hnos. Labra</t>
        </is>
      </c>
      <c r="E265" s="69" t="inlineStr">
        <is>
          <t>Ingredients - Vegetables</t>
        </is>
      </c>
      <c r="F265" s="70" t="n">
        <v>140</v>
      </c>
      <c r="G265" s="23" t="inlineStr">
        <is>
          <t>Restaurant</t>
        </is>
      </c>
      <c r="H265" s="23" t="inlineStr">
        <is>
          <t>Cash</t>
        </is>
      </c>
      <c r="I265" s="55" t="inlineStr">
        <is>
          <t>✅ Paid</t>
        </is>
      </c>
      <c r="J265" t="inlineStr">
        <is>
          <t>Mercado de Abastos</t>
        </is>
      </c>
    </row>
    <row r="266">
      <c r="B266" s="64" t="n">
        <v>46187</v>
      </c>
      <c r="C266" s="65" t="inlineStr">
        <is>
          <t>Jitomate Saladet 8 kg @ $15</t>
        </is>
      </c>
      <c r="D266" s="66" t="inlineStr">
        <is>
          <t>Mercado de Abastos</t>
        </is>
      </c>
      <c r="E266" s="65" t="inlineStr">
        <is>
          <t>Ingredients - Vegetables</t>
        </is>
      </c>
      <c r="F266" s="67" t="n">
        <v>120</v>
      </c>
      <c r="G266" s="14" t="inlineStr">
        <is>
          <t>Restaurant</t>
        </is>
      </c>
      <c r="H266" s="14" t="inlineStr">
        <is>
          <t>Cash</t>
        </is>
      </c>
      <c r="I266" s="43" t="inlineStr">
        <is>
          <t>✅ Paid</t>
        </is>
      </c>
      <c r="J266" t="inlineStr">
        <is>
          <t>Ticket 26070</t>
        </is>
      </c>
    </row>
    <row r="267">
      <c r="B267" s="64" t="n">
        <v>46187</v>
      </c>
      <c r="C267" s="69" t="inlineStr">
        <is>
          <t>Manzana chica 1.158 kg</t>
        </is>
      </c>
      <c r="D267" s="68" t="inlineStr">
        <is>
          <t>Zugarmex</t>
        </is>
      </c>
      <c r="E267" s="69" t="inlineStr">
        <is>
          <t>Ingredients - Fruit</t>
        </is>
      </c>
      <c r="F267" s="70" t="n">
        <v>49.79</v>
      </c>
      <c r="G267" s="23" t="inlineStr">
        <is>
          <t>Restaurant</t>
        </is>
      </c>
      <c r="H267" s="23" t="inlineStr">
        <is>
          <t>Cash</t>
        </is>
      </c>
      <c r="I267" s="55" t="inlineStr">
        <is>
          <t>✅ Paid</t>
        </is>
      </c>
      <c r="J267" t="inlineStr">
        <is>
          <t>Venta 2197</t>
        </is>
      </c>
    </row>
    <row r="268">
      <c r="B268" s="64" t="n">
        <v>46187</v>
      </c>
      <c r="C268" s="65" t="inlineStr">
        <is>
          <t>Papa 3 kg @ $35</t>
        </is>
      </c>
      <c r="D268" s="66" t="inlineStr">
        <is>
          <t>Papas San Miguel</t>
        </is>
      </c>
      <c r="E268" s="65" t="inlineStr">
        <is>
          <t>Ingredients - Vegetables</t>
        </is>
      </c>
      <c r="F268" s="67" t="n">
        <v>105</v>
      </c>
      <c r="G268" s="14" t="inlineStr">
        <is>
          <t>Restaurant</t>
        </is>
      </c>
      <c r="H268" s="14" t="inlineStr">
        <is>
          <t>Cash</t>
        </is>
      </c>
      <c r="I268" s="43" t="inlineStr">
        <is>
          <t>✅ Paid</t>
        </is>
      </c>
      <c r="J268" t="inlineStr">
        <is>
          <t>Mercado de Abastos</t>
        </is>
      </c>
    </row>
    <row r="269">
      <c r="B269" s="64" t="n">
        <v>46187</v>
      </c>
      <c r="C269" s="69" t="inlineStr">
        <is>
          <t>Huevo (eggs)</t>
        </is>
      </c>
      <c r="D269" s="68" t="inlineStr">
        <is>
          <t>Jaime (Pollos)</t>
        </is>
      </c>
      <c r="E269" s="69" t="inlineStr">
        <is>
          <t>Ingredients - Dairy</t>
        </is>
      </c>
      <c r="F269" s="70" t="n">
        <v>90</v>
      </c>
      <c r="G269" s="23" t="inlineStr">
        <is>
          <t>Restaurant</t>
        </is>
      </c>
      <c r="H269" s="23" t="inlineStr">
        <is>
          <t>Cash</t>
        </is>
      </c>
      <c r="I269" s="55" t="inlineStr">
        <is>
          <t>✅ Paid</t>
        </is>
      </c>
      <c r="J269" t="inlineStr">
        <is>
          <t>Remisión</t>
        </is>
      </c>
    </row>
    <row r="270">
      <c r="B270" s="64" t="n">
        <v>46187</v>
      </c>
      <c r="C270" s="65" t="inlineStr">
        <is>
          <t>Calabaza, Morrón surtido, Brócoli</t>
        </is>
      </c>
      <c r="D270" s="66" t="inlineStr">
        <is>
          <t>Verduras Oscar</t>
        </is>
      </c>
      <c r="E270" s="65" t="inlineStr">
        <is>
          <t>Ingredients - Vegetables</t>
        </is>
      </c>
      <c r="F270" s="67" t="n">
        <v>65</v>
      </c>
      <c r="G270" s="14" t="inlineStr">
        <is>
          <t>Restaurant</t>
        </is>
      </c>
      <c r="H270" s="14" t="inlineStr">
        <is>
          <t>Cash</t>
        </is>
      </c>
      <c r="I270" s="43" t="inlineStr">
        <is>
          <t>✅ Paid</t>
        </is>
      </c>
      <c r="J270" t="inlineStr">
        <is>
          <t>Calabaza $36 + Morrón surtido $29 = $65</t>
        </is>
      </c>
    </row>
    <row r="271">
      <c r="B271" s="64" t="n">
        <v>46187</v>
      </c>
      <c r="C271" s="69" t="inlineStr">
        <is>
          <t>Contenedor Unicel 8x8, cucharas, tenedores, cuchillos</t>
        </is>
      </c>
      <c r="D271" s="68" t="inlineStr">
        <is>
          <t>MPPD Abastos</t>
        </is>
      </c>
      <c r="E271" s="69" t="inlineStr">
        <is>
          <t>Supplies / Other</t>
        </is>
      </c>
      <c r="F271" s="70" t="n">
        <v>336.62</v>
      </c>
      <c r="G271" s="23" t="inlineStr">
        <is>
          <t>Restaurant</t>
        </is>
      </c>
      <c r="H271" s="23" t="inlineStr">
        <is>
          <t>Card</t>
        </is>
      </c>
      <c r="I271" s="55" t="inlineStr">
        <is>
          <t>✅ Paid</t>
        </is>
      </c>
      <c r="J271" t="inlineStr">
        <is>
          <t>Debit · Folio 380306</t>
        </is>
      </c>
    </row>
    <row r="272">
      <c r="B272" s="64" t="n">
        <v>46187</v>
      </c>
      <c r="C272" s="65" t="inlineStr">
        <is>
          <t>Bolsa Polietileno 27x52x45</t>
        </is>
      </c>
      <c r="D272" s="66" t="inlineStr">
        <is>
          <t>MPPD Abastos</t>
        </is>
      </c>
      <c r="E272" s="65" t="inlineStr">
        <is>
          <t>Supplies / Other</t>
        </is>
      </c>
      <c r="F272" s="67" t="n">
        <v>81.27</v>
      </c>
      <c r="G272" s="14" t="inlineStr">
        <is>
          <t>Restaurant</t>
        </is>
      </c>
      <c r="H272" s="14" t="inlineStr">
        <is>
          <t>Card</t>
        </is>
      </c>
      <c r="I272" s="43" t="inlineStr">
        <is>
          <t>✅ Paid</t>
        </is>
      </c>
      <c r="J272" t="inlineStr">
        <is>
          <t>Debit · Folio 380307</t>
        </is>
      </c>
    </row>
    <row r="273">
      <c r="B273" s="64" t="n">
        <v>46187</v>
      </c>
      <c r="C273" s="69" t="inlineStr">
        <is>
          <t>Zanahoria 2kg, Cebolla 2kg, Jalapeño 2kg, Poblano 1.3kg</t>
        </is>
      </c>
      <c r="D273" s="68" t="inlineStr">
        <is>
          <t>Mi Joven (Mercado Abastos)</t>
        </is>
      </c>
      <c r="E273" s="69" t="inlineStr">
        <is>
          <t>Ingredients - Vegetables</t>
        </is>
      </c>
      <c r="F273" s="70" t="n">
        <v>134.5</v>
      </c>
      <c r="G273" s="23" t="inlineStr">
        <is>
          <t>Restaurant</t>
        </is>
      </c>
      <c r="H273" s="23" t="inlineStr">
        <is>
          <t>Cash</t>
        </is>
      </c>
      <c r="I273" s="55" t="inlineStr">
        <is>
          <t>✅ Paid</t>
        </is>
      </c>
      <c r="J273" t="inlineStr">
        <is>
          <t>Folio 18808 · 08:31 · 4 productos</t>
        </is>
      </c>
    </row>
    <row r="274">
      <c r="B274" s="64" t="n">
        <v>46188</v>
      </c>
      <c r="C274" s="65" t="inlineStr">
        <is>
          <t>Tortillas Blancas, Bolillo, Rosca de Nuez</t>
        </is>
      </c>
      <c r="D274" s="66" t="inlineStr">
        <is>
          <t>Chedraui Paseo</t>
        </is>
      </c>
      <c r="E274" s="65" t="inlineStr">
        <is>
          <t>Supermarket / General</t>
        </is>
      </c>
      <c r="F274" s="67" t="n">
        <v>160.33</v>
      </c>
      <c r="G274" s="14" t="inlineStr">
        <is>
          <t>Lohith (Personal)</t>
        </is>
      </c>
      <c r="H274" s="14" t="inlineStr">
        <is>
          <t>Card</t>
        </is>
      </c>
      <c r="I274" s="43" t="inlineStr">
        <is>
          <t>✅ Paid</t>
        </is>
      </c>
      <c r="J274" t="inlineStr">
        <is>
          <t>HSBC **5543 · Aut 559375 · paid by Lohith (reimburse)</t>
        </is>
      </c>
    </row>
    <row r="275">
      <c r="B275" s="64" t="n">
        <v>46188</v>
      </c>
      <c r="C275" s="69" t="inlineStr">
        <is>
          <t>Aceite Vegetal La Posada 800 (2 pcs)</t>
        </is>
      </c>
      <c r="D275" s="68" t="inlineStr">
        <is>
          <t>OXXO Pathe</t>
        </is>
      </c>
      <c r="E275" s="69" t="inlineStr">
        <is>
          <t>Ingredients - Other</t>
        </is>
      </c>
      <c r="F275" s="70" t="n">
        <v>104</v>
      </c>
      <c r="G275" s="23" t="inlineStr">
        <is>
          <t>Lohith (Personal)</t>
        </is>
      </c>
      <c r="H275" s="23" t="inlineStr">
        <is>
          <t>Card</t>
        </is>
      </c>
      <c r="I275" s="55" t="inlineStr">
        <is>
          <t>✅ Paid</t>
        </is>
      </c>
      <c r="J275" t="inlineStr">
        <is>
          <t>HSBC **5543 · Aut 710124 · paid by Lohith (reimburse)</t>
        </is>
      </c>
    </row>
    <row r="276">
      <c r="B276" s="64" t="n">
        <v>46188</v>
      </c>
      <c r="C276" s="65" t="inlineStr">
        <is>
          <t>Ribeye $420 + Chuleta ahumada $403 + Bistec $192</t>
        </is>
      </c>
      <c r="D276" s="66" t="inlineStr">
        <is>
          <t>Miscelánea LC La Cruz</t>
        </is>
      </c>
      <c r="E276" s="65" t="inlineStr">
        <is>
          <t>Ingredients - Meat</t>
        </is>
      </c>
      <c r="F276" s="67" t="n">
        <v>1015</v>
      </c>
      <c r="G276" s="14" t="inlineStr">
        <is>
          <t>Lohith (Personal)</t>
        </is>
      </c>
      <c r="H276" s="14" t="inlineStr">
        <is>
          <t>Card</t>
        </is>
      </c>
      <c r="I276" s="43" t="inlineStr">
        <is>
          <t>✅ Paid</t>
        </is>
      </c>
      <c r="J276" t="inlineStr">
        <is>
          <t>HSBC **5543 · Getnet Aut 578540 · paid by Lohith (reimburse)</t>
        </is>
      </c>
    </row>
    <row r="277">
      <c r="B277" s="64" t="n">
        <v>46188</v>
      </c>
      <c r="C277" s="69" t="inlineStr">
        <is>
          <t>Queso Gouda Menona 2.05 kg @ $135</t>
        </is>
      </c>
      <c r="D277" s="68" t="inlineStr">
        <is>
          <t>La Bodega del Queso</t>
        </is>
      </c>
      <c r="E277" s="69" t="inlineStr">
        <is>
          <t>Ingredients - Dairy</t>
        </is>
      </c>
      <c r="F277" s="70" t="n">
        <v>276.75</v>
      </c>
      <c r="G277" s="23" t="inlineStr">
        <is>
          <t>Restaurant</t>
        </is>
      </c>
      <c r="H277" s="23" t="inlineStr">
        <is>
          <t>Cash</t>
        </is>
      </c>
      <c r="I277" s="55" t="inlineStr">
        <is>
          <t>✅ Paid</t>
        </is>
      </c>
      <c r="J277" t="inlineStr">
        <is>
          <t>Nota 0032122 · 16:35</t>
        </is>
      </c>
    </row>
    <row r="278">
      <c r="B278" s="64" t="n">
        <v>46188</v>
      </c>
      <c r="C278" s="65" t="inlineStr">
        <is>
          <t>Agua Natural</t>
        </is>
      </c>
      <c r="D278" s="66" t="inlineStr">
        <is>
          <t>Local purchase</t>
        </is>
      </c>
      <c r="E278" s="65" t="inlineStr">
        <is>
          <t>Ingredients - Beverages</t>
        </is>
      </c>
      <c r="F278" s="67" t="n">
        <v>30</v>
      </c>
      <c r="G278" s="14" t="inlineStr">
        <is>
          <t>Restaurant</t>
        </is>
      </c>
      <c r="H278" s="14" t="inlineStr">
        <is>
          <t>Cash</t>
        </is>
      </c>
      <c r="I278" s="43" t="inlineStr">
        <is>
          <t>✅ Paid</t>
        </is>
      </c>
      <c r="J278" t="inlineStr">
        <is>
          <t>No receipt</t>
        </is>
      </c>
    </row>
    <row r="279">
      <c r="B279" s="64" t="n">
        <v>46188</v>
      </c>
      <c r="C279" s="69" t="inlineStr">
        <is>
          <t>Queso Panela</t>
        </is>
      </c>
      <c r="D279" s="68" t="inlineStr">
        <is>
          <t>Local purchase</t>
        </is>
      </c>
      <c r="E279" s="69" t="inlineStr">
        <is>
          <t>Ingredients - Dairy</t>
        </is>
      </c>
      <c r="F279" s="70" t="n">
        <v>592</v>
      </c>
      <c r="G279" s="23" t="inlineStr">
        <is>
          <t>Restaurant</t>
        </is>
      </c>
      <c r="H279" s="23" t="inlineStr">
        <is>
          <t>Cash</t>
        </is>
      </c>
      <c r="I279" s="55" t="inlineStr">
        <is>
          <t>✅ Paid</t>
        </is>
      </c>
      <c r="J279" t="inlineStr">
        <is>
          <t>No receipt</t>
        </is>
      </c>
    </row>
    <row r="280">
      <c r="B280" s="64" t="n">
        <v>46188</v>
      </c>
      <c r="C280" s="65" t="inlineStr">
        <is>
          <t>Samosas</t>
        </is>
      </c>
      <c r="D280" s="66" t="inlineStr">
        <is>
          <t>Local purchase</t>
        </is>
      </c>
      <c r="E280" s="65" t="inlineStr">
        <is>
          <t>Ingredients - Other</t>
        </is>
      </c>
      <c r="F280" s="67" t="n">
        <v>400</v>
      </c>
      <c r="G280" s="14" t="inlineStr">
        <is>
          <t>Restaurant</t>
        </is>
      </c>
      <c r="H280" s="14" t="inlineStr">
        <is>
          <t>Cash</t>
        </is>
      </c>
      <c r="I280" s="43" t="inlineStr">
        <is>
          <t>✅ Paid</t>
        </is>
      </c>
      <c r="J280" t="inlineStr">
        <is>
          <t>No receipt</t>
        </is>
      </c>
    </row>
    <row r="281">
      <c r="B281" s="64" t="n"/>
      <c r="C281" s="69" t="n"/>
      <c r="D281" s="68" t="n"/>
      <c r="E281" s="69" t="n"/>
      <c r="F281" s="70" t="n"/>
      <c r="G281" s="23" t="n"/>
      <c r="H281" s="23" t="n"/>
      <c r="I281" s="55" t="n"/>
    </row>
    <row r="282">
      <c r="B282" s="64" t="n"/>
      <c r="C282" s="65" t="n"/>
      <c r="D282" s="66" t="n"/>
      <c r="E282" s="65" t="n"/>
      <c r="F282" s="67" t="n"/>
      <c r="G282" s="14" t="n"/>
      <c r="H282" s="14" t="n"/>
      <c r="I282" s="43" t="n"/>
    </row>
    <row r="283">
      <c r="B283" s="64" t="n"/>
      <c r="C283" s="69" t="n"/>
      <c r="D283" s="68" t="n"/>
      <c r="E283" s="69" t="n"/>
      <c r="F283" s="70" t="n"/>
      <c r="G283" s="23" t="n"/>
      <c r="H283" s="23" t="n"/>
      <c r="I283" s="55" t="n"/>
    </row>
    <row r="284">
      <c r="B284" s="64" t="n"/>
      <c r="C284" s="65" t="n"/>
      <c r="D284" s="66" t="n"/>
      <c r="E284" s="65" t="n"/>
      <c r="F284" s="67" t="n"/>
      <c r="G284" s="14" t="n"/>
      <c r="H284" s="14" t="n"/>
      <c r="I284" s="43" t="n"/>
    </row>
    <row r="285">
      <c r="B285" s="64" t="n"/>
      <c r="C285" s="69" t="n"/>
      <c r="D285" s="68" t="n"/>
      <c r="E285" s="69" t="n"/>
      <c r="F285" s="70" t="n"/>
      <c r="G285" s="23" t="n"/>
      <c r="H285" s="23" t="n"/>
      <c r="I285" s="55" t="n"/>
    </row>
    <row r="286">
      <c r="B286" s="64" t="n"/>
      <c r="C286" s="65" t="n"/>
      <c r="D286" s="66" t="n"/>
      <c r="E286" s="65" t="n"/>
      <c r="F286" s="67" t="n"/>
      <c r="G286" s="14" t="n"/>
      <c r="H286" s="14" t="n"/>
      <c r="I286" s="43" t="n"/>
    </row>
    <row r="287">
      <c r="B287" s="64" t="n"/>
      <c r="C287" s="69" t="n"/>
      <c r="D287" s="68" t="n"/>
      <c r="E287" s="69" t="n"/>
      <c r="F287" s="70" t="n"/>
      <c r="G287" s="23" t="n"/>
      <c r="H287" s="23" t="n"/>
      <c r="I287" s="55" t="n"/>
    </row>
    <row r="288">
      <c r="B288" s="64" t="n"/>
      <c r="C288" s="65" t="n"/>
      <c r="D288" s="66" t="n"/>
      <c r="E288" s="65" t="n"/>
      <c r="F288" s="67" t="n"/>
      <c r="G288" s="14" t="n"/>
      <c r="H288" s="14" t="n"/>
      <c r="I288" s="43" t="n"/>
    </row>
    <row r="289">
      <c r="B289" s="64" t="n"/>
      <c r="C289" s="69" t="n"/>
      <c r="D289" s="68" t="n"/>
      <c r="E289" s="69" t="n"/>
      <c r="F289" s="70" t="n"/>
      <c r="G289" s="23" t="n"/>
      <c r="H289" s="23" t="n"/>
      <c r="I289" s="55" t="n"/>
    </row>
    <row r="290">
      <c r="B290" s="64" t="n"/>
      <c r="C290" s="65" t="n"/>
      <c r="D290" s="66" t="n"/>
      <c r="E290" s="65" t="n"/>
      <c r="F290" s="67" t="n"/>
      <c r="G290" s="14" t="n"/>
      <c r="H290" s="14" t="n"/>
      <c r="I290" s="43" t="n"/>
    </row>
    <row r="291">
      <c r="B291" s="64" t="n"/>
      <c r="C291" s="69" t="n"/>
      <c r="D291" s="68" t="n"/>
      <c r="E291" s="69" t="n"/>
      <c r="F291" s="70" t="n"/>
      <c r="G291" s="23" t="n"/>
      <c r="H291" s="23" t="n"/>
      <c r="I291" s="55" t="n"/>
    </row>
    <row r="292">
      <c r="B292" s="64" t="n"/>
      <c r="C292" s="65" t="n"/>
      <c r="D292" s="66" t="n"/>
      <c r="E292" s="65" t="n"/>
      <c r="F292" s="67" t="n"/>
      <c r="G292" s="14" t="n"/>
      <c r="H292" s="14" t="n"/>
      <c r="I292" s="43" t="n"/>
    </row>
    <row r="293">
      <c r="B293" s="64" t="n"/>
      <c r="C293" s="69" t="n"/>
      <c r="D293" s="68" t="n"/>
      <c r="E293" s="69" t="n"/>
      <c r="F293" s="70" t="n"/>
      <c r="G293" s="23" t="n"/>
      <c r="H293" s="23" t="n"/>
      <c r="I293" s="55" t="n"/>
    </row>
    <row r="294">
      <c r="B294" s="64" t="n"/>
      <c r="C294" s="65" t="n"/>
      <c r="D294" s="66" t="n"/>
      <c r="E294" s="65" t="n"/>
      <c r="F294" s="67" t="n"/>
      <c r="G294" s="14" t="n"/>
      <c r="H294" s="14" t="n"/>
      <c r="I294" s="43" t="n"/>
    </row>
    <row r="295">
      <c r="B295" s="64" t="n"/>
      <c r="C295" s="69" t="n"/>
      <c r="D295" s="68" t="n"/>
      <c r="E295" s="69" t="n"/>
      <c r="F295" s="70" t="n"/>
      <c r="G295" s="23" t="n"/>
      <c r="H295" s="23" t="n"/>
      <c r="I295" s="55" t="n"/>
    </row>
    <row r="296">
      <c r="B296" s="64" t="n"/>
      <c r="C296" s="65" t="n"/>
      <c r="D296" s="66" t="n"/>
      <c r="E296" s="65" t="n"/>
      <c r="F296" s="67" t="n"/>
      <c r="G296" s="14" t="n"/>
      <c r="H296" s="14" t="n"/>
      <c r="I296" s="43" t="n"/>
    </row>
    <row r="297">
      <c r="B297" s="64" t="n"/>
      <c r="C297" s="69" t="n"/>
      <c r="D297" s="68" t="n"/>
      <c r="E297" s="69" t="n"/>
      <c r="F297" s="70" t="n"/>
      <c r="G297" s="23" t="n"/>
      <c r="H297" s="23" t="n"/>
      <c r="I297" s="55" t="n"/>
    </row>
    <row r="298">
      <c r="B298" s="64" t="n"/>
      <c r="C298" s="65" t="n"/>
      <c r="D298" s="66" t="n"/>
      <c r="E298" s="65" t="n"/>
      <c r="F298" s="67" t="n"/>
      <c r="G298" s="14" t="n"/>
      <c r="H298" s="14" t="n"/>
      <c r="I298" s="43" t="n"/>
    </row>
    <row r="299">
      <c r="B299" s="64" t="n"/>
      <c r="C299" s="69" t="n"/>
      <c r="D299" s="68" t="n"/>
      <c r="E299" s="69" t="n"/>
      <c r="F299" s="70" t="n"/>
      <c r="G299" s="23" t="n"/>
      <c r="H299" s="23" t="n"/>
      <c r="I299" s="55" t="n"/>
    </row>
    <row r="300">
      <c r="B300" s="64" t="n"/>
      <c r="C300" s="65" t="n"/>
      <c r="D300" s="66" t="n"/>
      <c r="E300" s="65" t="n"/>
      <c r="F300" s="67" t="n"/>
      <c r="G300" s="14" t="n"/>
      <c r="H300" s="14" t="n"/>
      <c r="I300" s="43" t="n"/>
    </row>
    <row r="301">
      <c r="B301" s="64" t="n"/>
      <c r="C301" s="69" t="n"/>
      <c r="D301" s="68" t="n"/>
      <c r="E301" s="69" t="n"/>
      <c r="F301" s="70" t="n"/>
      <c r="G301" s="23" t="n"/>
      <c r="H301" s="23" t="n"/>
      <c r="I301" s="55" t="n"/>
    </row>
    <row r="302">
      <c r="B302" s="64" t="n"/>
      <c r="C302" s="65" t="n"/>
      <c r="D302" s="66" t="n"/>
      <c r="E302" s="65" t="n"/>
      <c r="F302" s="67" t="n"/>
      <c r="G302" s="14" t="n"/>
      <c r="H302" s="14" t="n"/>
      <c r="I302" s="43" t="n"/>
    </row>
    <row r="303">
      <c r="B303" s="64" t="n"/>
      <c r="C303" s="69" t="n"/>
      <c r="D303" s="68" t="n"/>
      <c r="E303" s="69" t="n"/>
      <c r="F303" s="70" t="n"/>
      <c r="G303" s="23" t="n"/>
      <c r="H303" s="23" t="n"/>
      <c r="I303" s="55" t="n"/>
    </row>
    <row r="304">
      <c r="B304" s="64" t="n"/>
      <c r="C304" s="65" t="n"/>
      <c r="D304" s="66" t="n"/>
      <c r="E304" s="65" t="n"/>
      <c r="F304" s="67" t="n"/>
      <c r="G304" s="14" t="n"/>
      <c r="H304" s="14" t="n"/>
      <c r="I304" s="43" t="n"/>
    </row>
    <row r="305">
      <c r="B305" s="64" t="n"/>
      <c r="C305" s="69" t="n"/>
      <c r="D305" s="68" t="n"/>
      <c r="E305" s="69" t="n"/>
      <c r="F305" s="70" t="n"/>
      <c r="G305" s="23" t="n"/>
      <c r="H305" s="23" t="n"/>
      <c r="I305" s="55" t="n"/>
    </row>
    <row r="306">
      <c r="B306" s="64" t="n"/>
      <c r="C306" s="65" t="n"/>
      <c r="D306" s="66" t="n"/>
      <c r="E306" s="65" t="n"/>
      <c r="F306" s="67" t="n"/>
      <c r="G306" s="14" t="n"/>
      <c r="H306" s="14" t="n"/>
      <c r="I306" s="43" t="n"/>
    </row>
    <row r="307">
      <c r="B307" s="64" t="n"/>
      <c r="C307" s="69" t="n"/>
      <c r="D307" s="68" t="n"/>
      <c r="E307" s="69" t="n"/>
      <c r="F307" s="70" t="n"/>
      <c r="G307" s="23" t="n"/>
      <c r="H307" s="23" t="n"/>
      <c r="I307" s="55" t="n"/>
    </row>
    <row r="308">
      <c r="B308" s="64" t="n"/>
      <c r="C308" s="65" t="n"/>
      <c r="D308" s="66" t="n"/>
      <c r="E308" s="65" t="n"/>
      <c r="F308" s="67" t="n"/>
      <c r="G308" s="14" t="n"/>
      <c r="H308" s="14" t="n"/>
      <c r="I308" s="43" t="n"/>
    </row>
    <row r="309">
      <c r="B309" s="64" t="n"/>
      <c r="C309" s="69" t="n"/>
      <c r="D309" s="68" t="n"/>
      <c r="E309" s="69" t="n"/>
      <c r="F309" s="70" t="n"/>
      <c r="G309" s="23" t="n"/>
      <c r="H309" s="23" t="n"/>
      <c r="I309" s="55" t="n"/>
    </row>
    <row r="310">
      <c r="B310" s="64" t="n"/>
      <c r="C310" s="65" t="n"/>
      <c r="D310" s="66" t="n"/>
      <c r="E310" s="65" t="n"/>
      <c r="F310" s="67" t="n"/>
      <c r="G310" s="14" t="n"/>
      <c r="H310" s="14" t="n"/>
      <c r="I310" s="43" t="n"/>
    </row>
    <row r="311">
      <c r="B311" s="64" t="n"/>
      <c r="C311" s="69" t="n"/>
      <c r="D311" s="68" t="n"/>
      <c r="E311" s="69" t="n"/>
      <c r="F311" s="70" t="n"/>
      <c r="G311" s="23" t="n"/>
      <c r="H311" s="23" t="n"/>
      <c r="I311" s="55" t="n"/>
    </row>
    <row r="312">
      <c r="B312" s="64" t="n"/>
      <c r="C312" s="65" t="n"/>
      <c r="D312" s="66" t="n"/>
      <c r="E312" s="65" t="n"/>
      <c r="F312" s="67" t="n"/>
      <c r="G312" s="14" t="n"/>
      <c r="H312" s="14" t="n"/>
      <c r="I312" s="43" t="n"/>
    </row>
    <row r="313">
      <c r="B313" s="64" t="n"/>
      <c r="C313" s="69" t="n"/>
      <c r="D313" s="68" t="n"/>
      <c r="E313" s="69" t="n"/>
      <c r="F313" s="70" t="n"/>
      <c r="G313" s="23" t="n"/>
      <c r="H313" s="23" t="n"/>
      <c r="I313" s="55" t="n"/>
    </row>
    <row r="314">
      <c r="B314" s="64" t="n"/>
      <c r="C314" s="65" t="n"/>
      <c r="D314" s="66" t="n"/>
      <c r="E314" s="65" t="n"/>
      <c r="F314" s="67" t="n"/>
      <c r="G314" s="14" t="n"/>
      <c r="H314" s="14" t="n"/>
      <c r="I314" s="43" t="n"/>
    </row>
    <row r="315">
      <c r="B315" s="64" t="n"/>
      <c r="C315" s="69" t="n"/>
      <c r="D315" s="68" t="n"/>
      <c r="E315" s="69" t="n"/>
      <c r="F315" s="70" t="n"/>
      <c r="G315" s="23" t="n"/>
      <c r="H315" s="23" t="n"/>
      <c r="I315" s="55" t="n"/>
    </row>
    <row r="316">
      <c r="B316" s="64" t="n"/>
      <c r="C316" s="65" t="n"/>
      <c r="D316" s="66" t="n"/>
      <c r="E316" s="65" t="n"/>
      <c r="F316" s="67" t="n"/>
      <c r="G316" s="14" t="n"/>
      <c r="H316" s="14" t="n"/>
      <c r="I316" s="43" t="n"/>
    </row>
    <row r="317">
      <c r="B317" s="64" t="n"/>
      <c r="C317" s="69" t="n"/>
      <c r="D317" s="68" t="n"/>
      <c r="E317" s="69" t="n"/>
      <c r="F317" s="70" t="n"/>
      <c r="G317" s="23" t="n"/>
      <c r="H317" s="23" t="n"/>
      <c r="I317" s="55" t="n"/>
    </row>
    <row r="318">
      <c r="B318" s="64" t="n"/>
      <c r="C318" s="65" t="n"/>
      <c r="D318" s="66" t="n"/>
      <c r="E318" s="65" t="n"/>
      <c r="F318" s="67" t="n"/>
      <c r="G318" s="14" t="n"/>
      <c r="H318" s="14" t="n"/>
      <c r="I318" s="43" t="n"/>
    </row>
    <row r="319">
      <c r="B319" s="64" t="n"/>
      <c r="C319" s="69" t="n"/>
      <c r="D319" s="68" t="n"/>
      <c r="E319" s="69" t="n"/>
      <c r="F319" s="70" t="n"/>
      <c r="G319" s="23" t="n"/>
      <c r="H319" s="23" t="n"/>
      <c r="I319" s="55" t="n"/>
    </row>
    <row r="320">
      <c r="B320" s="64" t="n"/>
      <c r="C320" s="65" t="n"/>
      <c r="D320" s="66" t="n"/>
      <c r="E320" s="65" t="n"/>
      <c r="F320" s="67" t="n"/>
      <c r="G320" s="14" t="n"/>
      <c r="H320" s="14" t="n"/>
      <c r="I320" s="43" t="n"/>
    </row>
    <row r="321">
      <c r="B321" s="64" t="n"/>
      <c r="C321" s="69" t="n"/>
      <c r="D321" s="68" t="n"/>
      <c r="E321" s="69" t="n"/>
      <c r="F321" s="70" t="n"/>
      <c r="G321" s="23" t="n"/>
      <c r="H321" s="23" t="n"/>
      <c r="I321" s="55" t="n"/>
    </row>
    <row r="322">
      <c r="B322" s="64" t="n"/>
      <c r="C322" s="65" t="n"/>
      <c r="D322" s="66" t="n"/>
      <c r="E322" s="65" t="n"/>
      <c r="F322" s="67" t="n"/>
      <c r="G322" s="14" t="n"/>
      <c r="H322" s="14" t="n"/>
      <c r="I322" s="43" t="n"/>
    </row>
    <row r="323">
      <c r="B323" s="64" t="n"/>
      <c r="C323" s="69" t="n"/>
      <c r="D323" s="68" t="n"/>
      <c r="E323" s="69" t="n"/>
      <c r="F323" s="70" t="n"/>
      <c r="G323" s="23" t="n"/>
      <c r="H323" s="23" t="n"/>
      <c r="I323" s="55" t="n"/>
    </row>
    <row r="324">
      <c r="B324" s="64" t="n"/>
      <c r="C324" s="65" t="n"/>
      <c r="D324" s="66" t="n"/>
      <c r="E324" s="65" t="n"/>
      <c r="F324" s="67" t="n"/>
      <c r="G324" s="14" t="n"/>
      <c r="H324" s="14" t="n"/>
      <c r="I324" s="43" t="n"/>
    </row>
    <row r="325">
      <c r="B325" s="64" t="n"/>
      <c r="C325" s="69" t="n"/>
      <c r="D325" s="68" t="n"/>
      <c r="E325" s="69" t="n"/>
      <c r="F325" s="70" t="n"/>
      <c r="G325" s="23" t="n"/>
      <c r="H325" s="23" t="n"/>
      <c r="I325" s="55" t="n"/>
    </row>
    <row r="326">
      <c r="B326" s="64" t="n"/>
      <c r="C326" s="65" t="n"/>
      <c r="D326" s="66" t="n"/>
      <c r="E326" s="65" t="n"/>
      <c r="F326" s="67" t="n"/>
      <c r="G326" s="14" t="n"/>
      <c r="H326" s="14" t="n"/>
      <c r="I326" s="43" t="n"/>
    </row>
    <row r="327">
      <c r="B327" s="64" t="n"/>
      <c r="C327" s="69" t="n"/>
      <c r="D327" s="68" t="n"/>
      <c r="E327" s="69" t="n"/>
      <c r="F327" s="70" t="n"/>
      <c r="G327" s="23" t="n"/>
      <c r="H327" s="23" t="n"/>
      <c r="I327" s="55" t="n"/>
    </row>
    <row r="328">
      <c r="B328" s="64" t="n"/>
      <c r="C328" s="65" t="n"/>
      <c r="D328" s="66" t="n"/>
      <c r="E328" s="65" t="n"/>
      <c r="F328" s="67" t="n"/>
      <c r="G328" s="14" t="n"/>
      <c r="H328" s="14" t="n"/>
      <c r="I328" s="43" t="n"/>
    </row>
    <row r="329">
      <c r="B329" s="64" t="n"/>
      <c r="C329" s="69" t="n"/>
      <c r="D329" s="68" t="n"/>
      <c r="E329" s="69" t="n"/>
      <c r="F329" s="70" t="n"/>
      <c r="G329" s="23" t="n"/>
      <c r="H329" s="23" t="n"/>
      <c r="I329" s="55" t="n"/>
    </row>
    <row r="330">
      <c r="B330" s="64" t="n"/>
      <c r="C330" s="65" t="n"/>
      <c r="D330" s="66" t="n"/>
      <c r="E330" s="65" t="n"/>
      <c r="F330" s="67" t="n"/>
      <c r="G330" s="14" t="n"/>
      <c r="H330" s="14" t="n"/>
      <c r="I330" s="43" t="n"/>
    </row>
    <row r="331">
      <c r="B331" s="64" t="n"/>
      <c r="C331" s="69" t="n"/>
      <c r="D331" s="68" t="n"/>
      <c r="E331" s="69" t="n"/>
      <c r="F331" s="70" t="n"/>
      <c r="G331" s="23" t="n"/>
      <c r="H331" s="23" t="n"/>
      <c r="I331" s="55" t="n"/>
    </row>
    <row r="332">
      <c r="B332" s="64" t="n"/>
      <c r="C332" s="65" t="n"/>
      <c r="D332" s="66" t="n"/>
      <c r="E332" s="65" t="n"/>
      <c r="F332" s="67" t="n"/>
      <c r="G332" s="14" t="n"/>
      <c r="H332" s="14" t="n"/>
      <c r="I332" s="43" t="n"/>
    </row>
    <row r="333">
      <c r="B333" s="64" t="n"/>
      <c r="C333" s="69" t="n"/>
      <c r="D333" s="68" t="n"/>
      <c r="E333" s="69" t="n"/>
      <c r="F333" s="70" t="n"/>
      <c r="G333" s="23" t="n"/>
      <c r="H333" s="23" t="n"/>
      <c r="I333" s="55" t="n"/>
    </row>
    <row r="334">
      <c r="B334" s="64" t="n"/>
      <c r="C334" s="65" t="n"/>
      <c r="D334" s="66" t="n"/>
      <c r="E334" s="65" t="n"/>
      <c r="F334" s="67" t="n"/>
      <c r="G334" s="14" t="n"/>
      <c r="H334" s="14" t="n"/>
      <c r="I334" s="43" t="n"/>
    </row>
    <row r="335">
      <c r="B335" s="64" t="n"/>
      <c r="C335" s="69" t="n"/>
      <c r="D335" s="68" t="n"/>
      <c r="E335" s="69" t="n"/>
      <c r="F335" s="70" t="n"/>
      <c r="G335" s="23" t="n"/>
      <c r="H335" s="23" t="n"/>
      <c r="I335" s="55" t="n"/>
    </row>
    <row r="336">
      <c r="B336" s="64" t="n"/>
      <c r="C336" s="65" t="n"/>
      <c r="D336" s="66" t="n"/>
      <c r="E336" s="65" t="n"/>
      <c r="F336" s="67" t="n"/>
      <c r="G336" s="14" t="n"/>
      <c r="H336" s="14" t="n"/>
      <c r="I336" s="43" t="n"/>
    </row>
    <row r="337">
      <c r="B337" s="64" t="n"/>
      <c r="C337" s="69" t="n"/>
      <c r="D337" s="68" t="n"/>
      <c r="E337" s="69" t="n"/>
      <c r="F337" s="70" t="n"/>
      <c r="G337" s="23" t="n"/>
      <c r="H337" s="23" t="n"/>
      <c r="I337" s="55" t="n"/>
    </row>
    <row r="338">
      <c r="B338" s="64" t="n"/>
      <c r="C338" s="65" t="n"/>
      <c r="D338" s="66" t="n"/>
      <c r="E338" s="65" t="n"/>
      <c r="F338" s="67" t="n"/>
      <c r="G338" s="14" t="n"/>
      <c r="H338" s="14" t="n"/>
      <c r="I338" s="43" t="n"/>
    </row>
    <row r="339">
      <c r="B339" s="64" t="n"/>
      <c r="C339" s="69" t="n"/>
      <c r="D339" s="68" t="n"/>
      <c r="E339" s="69" t="n"/>
      <c r="F339" s="70" t="n"/>
      <c r="G339" s="23" t="n"/>
      <c r="H339" s="23" t="n"/>
      <c r="I339" s="55" t="n"/>
    </row>
    <row r="340">
      <c r="B340" s="64" t="n"/>
      <c r="C340" s="65" t="n"/>
      <c r="D340" s="66" t="n"/>
      <c r="E340" s="65" t="n"/>
      <c r="F340" s="67" t="n"/>
      <c r="G340" s="14" t="n"/>
      <c r="H340" s="14" t="n"/>
      <c r="I340" s="43" t="n"/>
    </row>
    <row r="341">
      <c r="B341" s="64" t="n"/>
      <c r="C341" s="69" t="n"/>
      <c r="D341" s="68" t="n"/>
      <c r="E341" s="69" t="n"/>
      <c r="F341" s="70" t="n"/>
      <c r="G341" s="23" t="n"/>
      <c r="H341" s="23" t="n"/>
      <c r="I341" s="55" t="n"/>
    </row>
    <row r="342">
      <c r="B342" s="64" t="n"/>
      <c r="C342" s="65" t="n"/>
      <c r="D342" s="66" t="n"/>
      <c r="E342" s="65" t="n"/>
      <c r="F342" s="67" t="n"/>
      <c r="G342" s="14" t="n"/>
      <c r="H342" s="14" t="n"/>
      <c r="I342" s="43" t="n"/>
    </row>
    <row r="343">
      <c r="B343" s="64" t="n"/>
      <c r="C343" s="69" t="n"/>
      <c r="D343" s="68" t="n"/>
      <c r="E343" s="69" t="n"/>
      <c r="F343" s="70" t="n"/>
      <c r="G343" s="23" t="n"/>
      <c r="H343" s="23" t="n"/>
      <c r="I343" s="55" t="n"/>
    </row>
    <row r="344">
      <c r="B344" s="64" t="n"/>
      <c r="C344" s="65" t="n"/>
      <c r="D344" s="66" t="n"/>
      <c r="E344" s="65" t="n"/>
      <c r="F344" s="67" t="n"/>
      <c r="G344" s="14" t="n"/>
      <c r="H344" s="14" t="n"/>
      <c r="I344" s="43" t="n"/>
    </row>
    <row r="345">
      <c r="B345" s="64" t="n"/>
      <c r="C345" s="69" t="n"/>
      <c r="D345" s="68" t="n"/>
      <c r="E345" s="69" t="n"/>
      <c r="F345" s="70" t="n"/>
      <c r="G345" s="23" t="n"/>
      <c r="H345" s="23" t="n"/>
      <c r="I345" s="55" t="n"/>
    </row>
    <row r="346">
      <c r="B346" s="64" t="n"/>
      <c r="C346" s="65" t="n"/>
      <c r="D346" s="66" t="n"/>
      <c r="E346" s="65" t="n"/>
      <c r="F346" s="67" t="n"/>
      <c r="G346" s="14" t="n"/>
      <c r="H346" s="14" t="n"/>
      <c r="I346" s="43" t="n"/>
    </row>
    <row r="347">
      <c r="B347" s="64" t="n"/>
      <c r="C347" s="69" t="n"/>
      <c r="D347" s="68" t="n"/>
      <c r="E347" s="69" t="n"/>
      <c r="F347" s="70" t="n"/>
      <c r="G347" s="23" t="n"/>
      <c r="H347" s="23" t="n"/>
      <c r="I347" s="55" t="n"/>
    </row>
    <row r="348">
      <c r="B348" s="64" t="n"/>
      <c r="C348" s="65" t="n"/>
      <c r="D348" s="66" t="n"/>
      <c r="E348" s="65" t="n"/>
      <c r="F348" s="67" t="n"/>
      <c r="G348" s="14" t="n"/>
      <c r="H348" s="14" t="n"/>
      <c r="I348" s="43" t="n"/>
    </row>
    <row r="349">
      <c r="B349" s="64" t="n"/>
      <c r="C349" s="69" t="n"/>
      <c r="D349" s="68" t="n"/>
      <c r="E349" s="69" t="n"/>
      <c r="F349" s="70" t="n"/>
      <c r="G349" s="23" t="n"/>
      <c r="H349" s="23" t="n"/>
      <c r="I349" s="55" t="n"/>
    </row>
    <row r="350">
      <c r="B350" s="64" t="n"/>
      <c r="C350" s="65" t="n"/>
      <c r="D350" s="66" t="n"/>
      <c r="E350" s="65" t="n"/>
      <c r="F350" s="67" t="n"/>
      <c r="G350" s="14" t="n"/>
      <c r="H350" s="14" t="n"/>
      <c r="I350" s="43" t="n"/>
    </row>
    <row r="351">
      <c r="B351" s="64" t="n"/>
      <c r="C351" s="69" t="n"/>
      <c r="D351" s="68" t="n"/>
      <c r="E351" s="69" t="n"/>
      <c r="F351" s="70" t="n"/>
      <c r="G351" s="23" t="n"/>
      <c r="H351" s="23" t="n"/>
      <c r="I351" s="55" t="n"/>
    </row>
    <row r="352">
      <c r="B352" s="64" t="n"/>
      <c r="C352" s="65" t="n"/>
      <c r="D352" s="66" t="n"/>
      <c r="E352" s="65" t="n"/>
      <c r="F352" s="67" t="n"/>
      <c r="G352" s="14" t="n"/>
      <c r="H352" s="14" t="n"/>
      <c r="I352" s="43" t="n"/>
    </row>
    <row r="353">
      <c r="B353" s="64" t="n"/>
      <c r="C353" s="69" t="n"/>
      <c r="D353" s="68" t="n"/>
      <c r="E353" s="69" t="n"/>
      <c r="F353" s="70" t="n"/>
      <c r="G353" s="23" t="n"/>
      <c r="H353" s="23" t="n"/>
      <c r="I353" s="55" t="n"/>
    </row>
    <row r="354">
      <c r="B354" s="64" t="n"/>
      <c r="C354" s="65" t="n"/>
      <c r="D354" s="66" t="n"/>
      <c r="E354" s="65" t="n"/>
      <c r="F354" s="67" t="n"/>
      <c r="G354" s="14" t="n"/>
      <c r="H354" s="14" t="n"/>
      <c r="I354" s="43" t="n"/>
    </row>
    <row r="355">
      <c r="B355" s="64" t="n"/>
      <c r="C355" s="69" t="n"/>
      <c r="D355" s="68" t="n"/>
      <c r="E355" s="69" t="n"/>
      <c r="F355" s="70" t="n"/>
      <c r="G355" s="23" t="n"/>
      <c r="H355" s="23" t="n"/>
      <c r="I355" s="55" t="n"/>
    </row>
    <row r="356">
      <c r="B356" s="64" t="n"/>
      <c r="C356" s="65" t="n"/>
      <c r="D356" s="66" t="n"/>
      <c r="E356" s="65" t="n"/>
      <c r="F356" s="67" t="n"/>
      <c r="G356" s="14" t="n"/>
      <c r="H356" s="14" t="n"/>
      <c r="I356" s="43" t="n"/>
    </row>
    <row r="357">
      <c r="B357" s="64" t="n"/>
      <c r="C357" s="69" t="n"/>
      <c r="D357" s="68" t="n"/>
      <c r="E357" s="69" t="n"/>
      <c r="F357" s="70" t="n"/>
      <c r="G357" s="23" t="n"/>
      <c r="H357" s="23" t="n"/>
      <c r="I357" s="55" t="n"/>
    </row>
    <row r="358">
      <c r="B358" s="64" t="n"/>
      <c r="C358" s="65" t="n"/>
      <c r="D358" s="66" t="n"/>
      <c r="E358" s="65" t="n"/>
      <c r="F358" s="67" t="n"/>
      <c r="G358" s="14" t="n"/>
      <c r="H358" s="14" t="n"/>
      <c r="I358" s="43" t="n"/>
    </row>
    <row r="359">
      <c r="B359" s="64" t="n"/>
      <c r="C359" s="69" t="n"/>
      <c r="D359" s="68" t="n"/>
      <c r="E359" s="69" t="n"/>
      <c r="F359" s="70" t="n"/>
      <c r="G359" s="23" t="n"/>
      <c r="H359" s="23" t="n"/>
      <c r="I359" s="55" t="n"/>
    </row>
    <row r="360">
      <c r="B360" s="64" t="n"/>
      <c r="C360" s="65" t="n"/>
      <c r="D360" s="66" t="n"/>
      <c r="E360" s="65" t="n"/>
      <c r="F360" s="67" t="n"/>
      <c r="G360" s="14" t="n"/>
      <c r="H360" s="14" t="n"/>
      <c r="I360" s="43" t="n"/>
    </row>
    <row r="361">
      <c r="B361" s="64" t="n"/>
      <c r="C361" s="69" t="n"/>
      <c r="D361" s="68" t="n"/>
      <c r="E361" s="69" t="n"/>
      <c r="F361" s="70" t="n"/>
      <c r="G361" s="23" t="n"/>
      <c r="H361" s="23" t="n"/>
      <c r="I361" s="55" t="n"/>
    </row>
    <row r="362">
      <c r="B362" s="64" t="n"/>
      <c r="C362" s="65" t="n"/>
      <c r="D362" s="66" t="n"/>
      <c r="E362" s="65" t="n"/>
      <c r="F362" s="67" t="n"/>
      <c r="G362" s="14" t="n"/>
      <c r="H362" s="14" t="n"/>
      <c r="I362" s="43" t="n"/>
    </row>
    <row r="363">
      <c r="B363" s="64" t="n"/>
      <c r="C363" s="69" t="n"/>
      <c r="D363" s="68" t="n"/>
      <c r="E363" s="69" t="n"/>
      <c r="F363" s="70" t="n"/>
      <c r="G363" s="23" t="n"/>
      <c r="H363" s="23" t="n"/>
      <c r="I363" s="55" t="n"/>
    </row>
    <row r="364">
      <c r="B364" s="64" t="n"/>
      <c r="C364" s="65" t="n"/>
      <c r="D364" s="66" t="n"/>
      <c r="E364" s="65" t="n"/>
      <c r="F364" s="67" t="n"/>
      <c r="G364" s="14" t="n"/>
      <c r="H364" s="14" t="n"/>
      <c r="I364" s="43" t="n"/>
    </row>
    <row r="365">
      <c r="B365" s="64" t="n"/>
      <c r="C365" s="69" t="n"/>
      <c r="D365" s="68" t="n"/>
      <c r="E365" s="69" t="n"/>
      <c r="F365" s="70" t="n"/>
      <c r="G365" s="23" t="n"/>
      <c r="H365" s="23" t="n"/>
      <c r="I365" s="55" t="n"/>
    </row>
    <row r="366">
      <c r="B366" s="64" t="n"/>
      <c r="C366" s="65" t="n"/>
      <c r="D366" s="66" t="n"/>
      <c r="E366" s="65" t="n"/>
      <c r="F366" s="67" t="n"/>
      <c r="G366" s="14" t="n"/>
      <c r="H366" s="14" t="n"/>
      <c r="I366" s="43" t="n"/>
    </row>
    <row r="367">
      <c r="B367" s="64" t="n"/>
      <c r="C367" s="69" t="n"/>
      <c r="D367" s="68" t="n"/>
      <c r="E367" s="69" t="n"/>
      <c r="F367" s="70" t="n"/>
      <c r="G367" s="23" t="n"/>
      <c r="H367" s="23" t="n"/>
      <c r="I367" s="55" t="n"/>
    </row>
    <row r="368">
      <c r="B368" s="64" t="n"/>
      <c r="C368" s="65" t="n"/>
      <c r="D368" s="66" t="n"/>
      <c r="E368" s="65" t="n"/>
      <c r="F368" s="67" t="n"/>
      <c r="G368" s="14" t="n"/>
      <c r="H368" s="14" t="n"/>
      <c r="I368" s="43" t="n"/>
    </row>
    <row r="369">
      <c r="B369" s="64" t="n"/>
      <c r="C369" s="69" t="n"/>
      <c r="D369" s="68" t="n"/>
      <c r="E369" s="69" t="n"/>
      <c r="F369" s="70" t="n"/>
      <c r="G369" s="23" t="n"/>
      <c r="H369" s="23" t="n"/>
      <c r="I369" s="55" t="n"/>
    </row>
    <row r="370">
      <c r="B370" s="64" t="n"/>
      <c r="C370" s="65" t="n"/>
      <c r="D370" s="66" t="n"/>
      <c r="E370" s="65" t="n"/>
      <c r="F370" s="67" t="n"/>
      <c r="G370" s="14" t="n"/>
      <c r="H370" s="14" t="n"/>
      <c r="I370" s="43" t="n"/>
    </row>
    <row r="371">
      <c r="B371" s="64" t="n"/>
      <c r="C371" s="69" t="n"/>
      <c r="D371" s="68" t="n"/>
      <c r="E371" s="69" t="n"/>
      <c r="F371" s="70" t="n"/>
      <c r="G371" s="23" t="n"/>
      <c r="H371" s="23" t="n"/>
      <c r="I371" s="55" t="n"/>
    </row>
    <row r="372">
      <c r="B372" s="64" t="n"/>
      <c r="C372" s="65" t="n"/>
      <c r="D372" s="66" t="n"/>
      <c r="E372" s="65" t="n"/>
      <c r="F372" s="67" t="n"/>
      <c r="G372" s="14" t="n"/>
      <c r="H372" s="14" t="n"/>
      <c r="I372" s="43" t="n"/>
    </row>
    <row r="373">
      <c r="B373" s="64" t="n"/>
      <c r="C373" s="69" t="n"/>
      <c r="D373" s="68" t="n"/>
      <c r="E373" s="69" t="n"/>
      <c r="F373" s="70" t="n"/>
      <c r="G373" s="23" t="n"/>
      <c r="H373" s="23" t="n"/>
      <c r="I373" s="55" t="n"/>
    </row>
    <row r="374">
      <c r="B374" s="64" t="n"/>
      <c r="C374" s="65" t="n"/>
      <c r="D374" s="66" t="n"/>
      <c r="E374" s="65" t="n"/>
      <c r="F374" s="67" t="n"/>
      <c r="G374" s="14" t="n"/>
      <c r="H374" s="14" t="n"/>
      <c r="I374" s="43" t="n"/>
    </row>
    <row r="375">
      <c r="B375" s="64" t="n"/>
      <c r="C375" s="69" t="n"/>
      <c r="D375" s="68" t="n"/>
      <c r="E375" s="69" t="n"/>
      <c r="F375" s="70" t="n"/>
      <c r="G375" s="23" t="n"/>
      <c r="H375" s="23" t="n"/>
      <c r="I375" s="55" t="n"/>
    </row>
    <row r="376">
      <c r="B376" s="64" t="n"/>
      <c r="C376" s="65" t="n"/>
      <c r="D376" s="66" t="n"/>
      <c r="E376" s="65" t="n"/>
      <c r="F376" s="67" t="n"/>
      <c r="G376" s="14" t="n"/>
      <c r="H376" s="14" t="n"/>
      <c r="I376" s="43" t="n"/>
    </row>
    <row r="377">
      <c r="B377" s="64" t="n"/>
      <c r="C377" s="69" t="n"/>
      <c r="D377" s="68" t="n"/>
      <c r="E377" s="69" t="n"/>
      <c r="F377" s="70" t="n"/>
      <c r="G377" s="23" t="n"/>
      <c r="H377" s="23" t="n"/>
      <c r="I377" s="55" t="n"/>
    </row>
    <row r="378">
      <c r="B378" s="64" t="n"/>
      <c r="C378" s="65" t="n"/>
      <c r="D378" s="66" t="n"/>
      <c r="E378" s="65" t="n"/>
      <c r="F378" s="67" t="n"/>
      <c r="G378" s="14" t="n"/>
      <c r="H378" s="14" t="n"/>
      <c r="I378" s="43" t="n"/>
    </row>
    <row r="379">
      <c r="B379" s="64" t="n"/>
      <c r="C379" s="69" t="n"/>
      <c r="D379" s="68" t="n"/>
      <c r="E379" s="69" t="n"/>
      <c r="F379" s="70" t="n"/>
      <c r="G379" s="23" t="n"/>
      <c r="H379" s="23" t="n"/>
      <c r="I379" s="55" t="n"/>
    </row>
    <row r="380">
      <c r="B380" s="64" t="n"/>
      <c r="C380" s="65" t="n"/>
      <c r="D380" s="66" t="n"/>
      <c r="E380" s="65" t="n"/>
      <c r="F380" s="67" t="n"/>
      <c r="G380" s="14" t="n"/>
      <c r="H380" s="14" t="n"/>
      <c r="I380" s="43" t="n"/>
    </row>
    <row r="381">
      <c r="B381" s="64" t="n"/>
      <c r="C381" s="69" t="n"/>
      <c r="D381" s="68" t="n"/>
      <c r="E381" s="69" t="n"/>
      <c r="F381" s="70" t="n"/>
      <c r="G381" s="23" t="n"/>
      <c r="H381" s="23" t="n"/>
      <c r="I381" s="55" t="n"/>
    </row>
    <row r="382">
      <c r="B382" s="64" t="n"/>
      <c r="C382" s="65" t="n"/>
      <c r="D382" s="66" t="n"/>
      <c r="E382" s="65" t="n"/>
      <c r="F382" s="67" t="n"/>
      <c r="G382" s="14" t="n"/>
      <c r="H382" s="14" t="n"/>
      <c r="I382" s="43" t="n"/>
    </row>
    <row r="383">
      <c r="B383" s="64" t="n"/>
      <c r="C383" s="69" t="n"/>
      <c r="D383" s="68" t="n"/>
      <c r="E383" s="69" t="n"/>
      <c r="F383" s="70" t="n"/>
      <c r="G383" s="23" t="n"/>
      <c r="H383" s="23" t="n"/>
      <c r="I383" s="55" t="n"/>
    </row>
    <row r="384">
      <c r="B384" s="64" t="n"/>
      <c r="C384" s="65" t="n"/>
      <c r="D384" s="66" t="n"/>
      <c r="E384" s="65" t="n"/>
      <c r="F384" s="67" t="n"/>
      <c r="G384" s="14" t="n"/>
      <c r="H384" s="14" t="n"/>
      <c r="I384" s="43" t="n"/>
    </row>
    <row r="385">
      <c r="B385" s="64" t="n"/>
      <c r="C385" s="69" t="n"/>
      <c r="D385" s="68" t="n"/>
      <c r="E385" s="69" t="n"/>
      <c r="F385" s="70" t="n"/>
      <c r="G385" s="23" t="n"/>
      <c r="H385" s="23" t="n"/>
      <c r="I385" s="55" t="n"/>
    </row>
    <row r="386">
      <c r="B386" s="64" t="n"/>
      <c r="C386" s="65" t="n"/>
      <c r="D386" s="66" t="n"/>
      <c r="E386" s="65" t="n"/>
      <c r="F386" s="67" t="n"/>
      <c r="G386" s="14" t="n"/>
      <c r="H386" s="14" t="n"/>
      <c r="I386" s="43" t="n"/>
    </row>
    <row r="387">
      <c r="B387" s="64" t="n"/>
      <c r="C387" s="69" t="n"/>
      <c r="D387" s="68" t="n"/>
      <c r="E387" s="69" t="n"/>
      <c r="F387" s="70" t="n"/>
      <c r="G387" s="23" t="n"/>
      <c r="H387" s="23" t="n"/>
      <c r="I387" s="55" t="n"/>
    </row>
    <row r="388">
      <c r="B388" s="64" t="n"/>
      <c r="C388" s="65" t="n"/>
      <c r="D388" s="66" t="n"/>
      <c r="E388" s="65" t="n"/>
      <c r="F388" s="67" t="n"/>
      <c r="G388" s="14" t="n"/>
      <c r="H388" s="14" t="n"/>
      <c r="I388" s="43" t="n"/>
    </row>
    <row r="389">
      <c r="B389" s="64" t="n"/>
      <c r="C389" s="69" t="n"/>
      <c r="D389" s="68" t="n"/>
      <c r="E389" s="69" t="n"/>
      <c r="F389" s="70" t="n"/>
      <c r="G389" s="23" t="n"/>
      <c r="H389" s="23" t="n"/>
      <c r="I389" s="55" t="n"/>
    </row>
    <row r="390">
      <c r="B390" s="64" t="n"/>
      <c r="C390" s="65" t="n"/>
      <c r="D390" s="66" t="n"/>
      <c r="E390" s="65" t="n"/>
      <c r="F390" s="67" t="n"/>
      <c r="G390" s="14" t="n"/>
      <c r="H390" s="14" t="n"/>
      <c r="I390" s="43" t="n"/>
    </row>
    <row r="391">
      <c r="B391" s="64" t="n"/>
      <c r="C391" s="69" t="n"/>
      <c r="D391" s="68" t="n"/>
      <c r="E391" s="69" t="n"/>
      <c r="F391" s="70" t="n"/>
      <c r="G391" s="23" t="n"/>
      <c r="H391" s="23" t="n"/>
      <c r="I391" s="55" t="n"/>
    </row>
    <row r="392">
      <c r="B392" s="64" t="n"/>
      <c r="C392" s="65" t="n"/>
      <c r="D392" s="66" t="n"/>
      <c r="E392" s="65" t="n"/>
      <c r="F392" s="67" t="n"/>
      <c r="G392" s="14" t="n"/>
      <c r="H392" s="14" t="n"/>
      <c r="I392" s="43" t="n"/>
    </row>
    <row r="393">
      <c r="B393" s="64" t="n"/>
      <c r="C393" s="69" t="n"/>
      <c r="D393" s="68" t="n"/>
      <c r="E393" s="69" t="n"/>
      <c r="F393" s="70" t="n"/>
      <c r="G393" s="23" t="n"/>
      <c r="H393" s="23" t="n"/>
      <c r="I393" s="55" t="n"/>
    </row>
    <row r="394">
      <c r="B394" s="64" t="n"/>
      <c r="C394" s="65" t="n"/>
      <c r="D394" s="66" t="n"/>
      <c r="E394" s="65" t="n"/>
      <c r="F394" s="67" t="n"/>
      <c r="G394" s="14" t="n"/>
      <c r="H394" s="14" t="n"/>
      <c r="I394" s="43" t="n"/>
    </row>
    <row r="395">
      <c r="B395" s="64" t="n"/>
      <c r="C395" s="69" t="n"/>
      <c r="D395" s="68" t="n"/>
      <c r="E395" s="69" t="n"/>
      <c r="F395" s="70" t="n"/>
      <c r="G395" s="23" t="n"/>
      <c r="H395" s="23" t="n"/>
      <c r="I395" s="55" t="n"/>
    </row>
    <row r="396">
      <c r="B396" s="64" t="n"/>
      <c r="C396" s="65" t="n"/>
      <c r="D396" s="66" t="n"/>
      <c r="E396" s="65" t="n"/>
      <c r="F396" s="67" t="n"/>
      <c r="G396" s="14" t="n"/>
      <c r="H396" s="14" t="n"/>
      <c r="I396" s="43" t="n"/>
    </row>
    <row r="397">
      <c r="B397" s="64" t="n"/>
      <c r="C397" s="69" t="n"/>
      <c r="D397" s="68" t="n"/>
      <c r="E397" s="69" t="n"/>
      <c r="F397" s="70" t="n"/>
      <c r="G397" s="23" t="n"/>
      <c r="H397" s="23" t="n"/>
      <c r="I397" s="55" t="n"/>
    </row>
    <row r="398">
      <c r="B398" s="64" t="n"/>
      <c r="C398" s="65" t="n"/>
      <c r="D398" s="66" t="n"/>
      <c r="E398" s="65" t="n"/>
      <c r="F398" s="67" t="n"/>
      <c r="G398" s="14" t="n"/>
      <c r="H398" s="14" t="n"/>
      <c r="I398" s="43" t="n"/>
    </row>
    <row r="399">
      <c r="B399" s="64" t="n"/>
      <c r="C399" s="69" t="n"/>
      <c r="D399" s="68" t="n"/>
      <c r="E399" s="69" t="n"/>
      <c r="F399" s="70" t="n"/>
      <c r="G399" s="23" t="n"/>
      <c r="H399" s="23" t="n"/>
      <c r="I399" s="55" t="n"/>
    </row>
    <row r="400">
      <c r="B400" s="64" t="n"/>
      <c r="C400" s="65" t="n"/>
      <c r="D400" s="66" t="n"/>
      <c r="E400" s="65" t="n"/>
      <c r="F400" s="67" t="n"/>
      <c r="G400" s="14" t="n"/>
      <c r="H400" s="14" t="n"/>
      <c r="I400" s="43" t="n"/>
    </row>
    <row r="401">
      <c r="B401" s="64" t="n"/>
      <c r="C401" s="69" t="n"/>
      <c r="D401" s="68" t="n"/>
      <c r="E401" s="69" t="n"/>
      <c r="F401" s="70" t="n"/>
      <c r="G401" s="23" t="n"/>
      <c r="H401" s="23" t="n"/>
      <c r="I401" s="55" t="n"/>
    </row>
    <row r="402">
      <c r="B402" s="64" t="n"/>
      <c r="C402" s="65" t="n"/>
      <c r="D402" s="66" t="n"/>
      <c r="E402" s="65" t="n"/>
      <c r="F402" s="67" t="n"/>
      <c r="G402" s="14" t="n"/>
      <c r="H402" s="14" t="n"/>
      <c r="I402" s="43" t="n"/>
    </row>
    <row r="403">
      <c r="B403" s="64" t="n"/>
      <c r="C403" s="69" t="n"/>
      <c r="D403" s="68" t="n"/>
      <c r="E403" s="69" t="n"/>
      <c r="F403" s="70" t="n"/>
      <c r="G403" s="23" t="n"/>
      <c r="H403" s="23" t="n"/>
      <c r="I403" s="55" t="n"/>
    </row>
    <row r="404">
      <c r="B404" s="64" t="n"/>
      <c r="C404" s="65" t="n"/>
      <c r="D404" s="66" t="n"/>
      <c r="E404" s="65" t="n"/>
      <c r="F404" s="67" t="n"/>
      <c r="G404" s="14" t="n"/>
      <c r="H404" s="14" t="n"/>
      <c r="I404" s="43" t="n"/>
    </row>
    <row r="405">
      <c r="B405" s="64" t="n"/>
      <c r="C405" s="69" t="n"/>
      <c r="D405" s="68" t="n"/>
      <c r="E405" s="69" t="n"/>
      <c r="F405" s="70" t="n"/>
      <c r="G405" s="23" t="n"/>
      <c r="H405" s="23" t="n"/>
      <c r="I405" s="55" t="n"/>
    </row>
    <row r="406">
      <c r="B406" s="64" t="n"/>
      <c r="C406" s="65" t="n"/>
      <c r="D406" s="66" t="n"/>
      <c r="E406" s="65" t="n"/>
      <c r="F406" s="67" t="n"/>
      <c r="G406" s="14" t="n"/>
      <c r="H406" s="14" t="n"/>
      <c r="I406" s="43" t="n"/>
    </row>
    <row r="407">
      <c r="B407" s="64" t="n"/>
      <c r="C407" s="69" t="n"/>
      <c r="D407" s="68" t="n"/>
      <c r="E407" s="69" t="n"/>
      <c r="F407" s="70" t="n"/>
      <c r="G407" s="23" t="n"/>
      <c r="H407" s="23" t="n"/>
      <c r="I407" s="55" t="n"/>
    </row>
    <row r="408">
      <c r="B408" s="64" t="n"/>
      <c r="C408" s="65" t="n"/>
      <c r="D408" s="66" t="n"/>
      <c r="E408" s="65" t="n"/>
      <c r="F408" s="67" t="n"/>
      <c r="G408" s="14" t="n"/>
      <c r="H408" s="14" t="n"/>
      <c r="I408" s="43" t="n"/>
    </row>
    <row r="409">
      <c r="B409" s="64" t="n"/>
      <c r="C409" s="69" t="n"/>
      <c r="D409" s="68" t="n"/>
      <c r="E409" s="69" t="n"/>
      <c r="F409" s="70" t="n"/>
      <c r="G409" s="23" t="n"/>
      <c r="H409" s="23" t="n"/>
      <c r="I409" s="55" t="n"/>
    </row>
    <row r="410">
      <c r="B410" s="64" t="n"/>
      <c r="C410" s="65" t="n"/>
      <c r="D410" s="66" t="n"/>
      <c r="E410" s="65" t="n"/>
      <c r="F410" s="67" t="n"/>
      <c r="G410" s="14" t="n"/>
      <c r="H410" s="14" t="n"/>
      <c r="I410" s="43" t="n"/>
    </row>
    <row r="411">
      <c r="B411" s="64" t="n"/>
      <c r="C411" s="69" t="n"/>
      <c r="D411" s="68" t="n"/>
      <c r="E411" s="69" t="n"/>
      <c r="F411" s="70" t="n"/>
      <c r="G411" s="23" t="n"/>
      <c r="H411" s="23" t="n"/>
      <c r="I411" s="55" t="n"/>
    </row>
    <row r="412">
      <c r="B412" s="64" t="n"/>
      <c r="C412" s="65" t="n"/>
      <c r="D412" s="66" t="n"/>
      <c r="E412" s="65" t="n"/>
      <c r="F412" s="67" t="n"/>
      <c r="G412" s="14" t="n"/>
      <c r="H412" s="14" t="n"/>
      <c r="I412" s="43" t="n"/>
    </row>
    <row r="413">
      <c r="B413" s="64" t="n"/>
      <c r="C413" s="69" t="n"/>
      <c r="D413" s="68" t="n"/>
      <c r="E413" s="69" t="n"/>
      <c r="F413" s="70" t="n"/>
      <c r="G413" s="23" t="n"/>
      <c r="H413" s="23" t="n"/>
      <c r="I413" s="55" t="n"/>
    </row>
    <row r="414">
      <c r="B414" s="64" t="n"/>
      <c r="C414" s="65" t="n"/>
      <c r="D414" s="66" t="n"/>
      <c r="E414" s="65" t="n"/>
      <c r="F414" s="67" t="n"/>
      <c r="G414" s="14" t="n"/>
      <c r="H414" s="14" t="n"/>
      <c r="I414" s="43" t="n"/>
    </row>
    <row r="415">
      <c r="B415" s="64" t="n"/>
      <c r="C415" s="69" t="n"/>
      <c r="D415" s="68" t="n"/>
      <c r="E415" s="69" t="n"/>
      <c r="F415" s="70" t="n"/>
      <c r="G415" s="23" t="n"/>
      <c r="H415" s="23" t="n"/>
      <c r="I415" s="55" t="n"/>
    </row>
    <row r="416">
      <c r="B416" s="64" t="n"/>
      <c r="C416" s="65" t="n"/>
      <c r="D416" s="66" t="n"/>
      <c r="E416" s="65" t="n"/>
      <c r="F416" s="67" t="n"/>
      <c r="G416" s="14" t="n"/>
      <c r="H416" s="14" t="n"/>
      <c r="I416" s="43" t="n"/>
    </row>
    <row r="417">
      <c r="B417" s="64" t="n"/>
      <c r="C417" s="69" t="n"/>
      <c r="D417" s="68" t="n"/>
      <c r="E417" s="69" t="n"/>
      <c r="F417" s="70" t="n"/>
      <c r="G417" s="23" t="n"/>
      <c r="H417" s="23" t="n"/>
      <c r="I417" s="55" t="n"/>
    </row>
    <row r="418">
      <c r="B418" s="64" t="n"/>
      <c r="C418" s="65" t="n"/>
      <c r="D418" s="66" t="n"/>
      <c r="E418" s="65" t="n"/>
      <c r="F418" s="67" t="n"/>
      <c r="G418" s="14" t="n"/>
      <c r="H418" s="14" t="n"/>
      <c r="I418" s="43" t="n"/>
    </row>
    <row r="419">
      <c r="B419" s="64" t="n"/>
      <c r="C419" s="69" t="n"/>
      <c r="D419" s="68" t="n"/>
      <c r="E419" s="69" t="n"/>
      <c r="F419" s="70" t="n"/>
      <c r="G419" s="23" t="n"/>
      <c r="H419" s="23" t="n"/>
      <c r="I419" s="55" t="n"/>
    </row>
    <row r="420">
      <c r="B420" s="64" t="n"/>
      <c r="C420" s="65" t="n"/>
      <c r="D420" s="66" t="n"/>
      <c r="E420" s="65" t="n"/>
      <c r="F420" s="67" t="n"/>
      <c r="G420" s="14" t="n"/>
      <c r="H420" s="14" t="n"/>
      <c r="I420" s="43" t="n"/>
    </row>
    <row r="421">
      <c r="B421" s="64" t="n"/>
      <c r="C421" s="69" t="n"/>
      <c r="D421" s="68" t="n"/>
      <c r="E421" s="69" t="n"/>
      <c r="F421" s="70" t="n"/>
      <c r="G421" s="23" t="n"/>
      <c r="H421" s="23" t="n"/>
      <c r="I421" s="55" t="n"/>
    </row>
    <row r="422">
      <c r="B422" s="64" t="n"/>
      <c r="C422" s="65" t="n"/>
      <c r="D422" s="66" t="n"/>
      <c r="E422" s="65" t="n"/>
      <c r="F422" s="67" t="n"/>
      <c r="G422" s="14" t="n"/>
      <c r="H422" s="14" t="n"/>
      <c r="I422" s="43" t="n"/>
    </row>
    <row r="423">
      <c r="B423" s="64" t="n"/>
      <c r="C423" s="69" t="n"/>
      <c r="D423" s="68" t="n"/>
      <c r="E423" s="69" t="n"/>
      <c r="F423" s="70" t="n"/>
      <c r="G423" s="23" t="n"/>
      <c r="H423" s="23" t="n"/>
      <c r="I423" s="55" t="n"/>
    </row>
    <row r="424">
      <c r="B424" s="64" t="n"/>
      <c r="C424" s="65" t="n"/>
      <c r="D424" s="66" t="n"/>
      <c r="E424" s="65" t="n"/>
      <c r="F424" s="67" t="n"/>
      <c r="G424" s="14" t="n"/>
      <c r="H424" s="14" t="n"/>
      <c r="I424" s="43" t="n"/>
    </row>
    <row r="425">
      <c r="B425" s="64" t="n"/>
      <c r="C425" s="69" t="n"/>
      <c r="D425" s="68" t="n"/>
      <c r="E425" s="69" t="n"/>
      <c r="F425" s="70" t="n"/>
      <c r="G425" s="23" t="n"/>
      <c r="H425" s="23" t="n"/>
      <c r="I425" s="55" t="n"/>
    </row>
    <row r="426">
      <c r="B426" s="64" t="n"/>
      <c r="C426" s="65" t="n"/>
      <c r="D426" s="66" t="n"/>
      <c r="E426" s="65" t="n"/>
      <c r="F426" s="67" t="n"/>
      <c r="G426" s="14" t="n"/>
      <c r="H426" s="14" t="n"/>
      <c r="I426" s="43" t="n"/>
    </row>
    <row r="427">
      <c r="B427" s="64" t="n"/>
      <c r="C427" s="69" t="n"/>
      <c r="D427" s="68" t="n"/>
      <c r="E427" s="69" t="n"/>
      <c r="F427" s="70" t="n"/>
      <c r="G427" s="23" t="n"/>
      <c r="H427" s="23" t="n"/>
      <c r="I427" s="55" t="n"/>
    </row>
    <row r="428">
      <c r="B428" s="64" t="n"/>
      <c r="C428" s="65" t="n"/>
      <c r="D428" s="66" t="n"/>
      <c r="E428" s="65" t="n"/>
      <c r="F428" s="67" t="n"/>
      <c r="G428" s="14" t="n"/>
      <c r="H428" s="14" t="n"/>
      <c r="I428" s="43" t="n"/>
    </row>
    <row r="429">
      <c r="B429" s="64" t="n"/>
      <c r="C429" s="69" t="n"/>
      <c r="D429" s="68" t="n"/>
      <c r="E429" s="69" t="n"/>
      <c r="F429" s="70" t="n"/>
      <c r="G429" s="23" t="n"/>
      <c r="H429" s="23" t="n"/>
      <c r="I429" s="55" t="n"/>
    </row>
    <row r="430">
      <c r="B430" s="64" t="n"/>
      <c r="C430" s="65" t="n"/>
      <c r="D430" s="66" t="n"/>
      <c r="E430" s="65" t="n"/>
      <c r="F430" s="67" t="n"/>
      <c r="G430" s="14" t="n"/>
      <c r="H430" s="14" t="n"/>
      <c r="I430" s="43" t="n"/>
    </row>
    <row r="431">
      <c r="B431" s="64" t="n"/>
      <c r="C431" s="69" t="n"/>
      <c r="D431" s="68" t="n"/>
      <c r="E431" s="69" t="n"/>
      <c r="F431" s="70" t="n"/>
      <c r="G431" s="23" t="n"/>
      <c r="H431" s="23" t="n"/>
      <c r="I431" s="55" t="n"/>
    </row>
    <row r="432">
      <c r="B432" s="64" t="n"/>
      <c r="C432" s="65" t="n"/>
      <c r="D432" s="66" t="n"/>
      <c r="E432" s="65" t="n"/>
      <c r="F432" s="67" t="n"/>
      <c r="G432" s="14" t="n"/>
      <c r="H432" s="14" t="n"/>
      <c r="I432" s="43" t="n"/>
    </row>
    <row r="433">
      <c r="B433" s="64" t="n"/>
      <c r="C433" s="69" t="n"/>
      <c r="D433" s="68" t="n"/>
      <c r="E433" s="69" t="n"/>
      <c r="F433" s="70" t="n"/>
      <c r="G433" s="23" t="n"/>
      <c r="H433" s="23" t="n"/>
      <c r="I433" s="55" t="n"/>
    </row>
    <row r="434">
      <c r="B434" s="64" t="n"/>
      <c r="C434" s="65" t="n"/>
      <c r="D434" s="66" t="n"/>
      <c r="E434" s="65" t="n"/>
      <c r="F434" s="67" t="n"/>
      <c r="G434" s="14" t="n"/>
      <c r="H434" s="14" t="n"/>
      <c r="I434" s="43" t="n"/>
    </row>
    <row r="435">
      <c r="B435" s="64" t="n"/>
      <c r="C435" s="69" t="n"/>
      <c r="D435" s="68" t="n"/>
      <c r="E435" s="69" t="n"/>
      <c r="F435" s="70" t="n"/>
      <c r="G435" s="23" t="n"/>
      <c r="H435" s="23" t="n"/>
      <c r="I435" s="55" t="n"/>
    </row>
    <row r="436">
      <c r="B436" s="64" t="n"/>
      <c r="C436" s="65" t="n"/>
      <c r="D436" s="66" t="n"/>
      <c r="E436" s="65" t="n"/>
      <c r="F436" s="67" t="n"/>
      <c r="G436" s="14" t="n"/>
      <c r="H436" s="14" t="n"/>
      <c r="I436" s="43" t="n"/>
    </row>
    <row r="437">
      <c r="B437" s="64" t="n"/>
      <c r="C437" s="69" t="n"/>
      <c r="D437" s="68" t="n"/>
      <c r="E437" s="69" t="n"/>
      <c r="F437" s="70" t="n"/>
      <c r="G437" s="23" t="n"/>
      <c r="H437" s="23" t="n"/>
      <c r="I437" s="55" t="n"/>
    </row>
    <row r="438">
      <c r="B438" s="64" t="n"/>
      <c r="C438" s="65" t="n"/>
      <c r="D438" s="66" t="n"/>
      <c r="E438" s="65" t="n"/>
      <c r="F438" s="67" t="n"/>
      <c r="G438" s="14" t="n"/>
      <c r="H438" s="14" t="n"/>
      <c r="I438" s="43" t="n"/>
    </row>
    <row r="439">
      <c r="B439" s="64" t="n"/>
      <c r="C439" s="69" t="n"/>
      <c r="D439" s="68" t="n"/>
      <c r="E439" s="69" t="n"/>
      <c r="F439" s="70" t="n"/>
      <c r="G439" s="23" t="n"/>
      <c r="H439" s="23" t="n"/>
      <c r="I439" s="55" t="n"/>
    </row>
    <row r="440">
      <c r="B440" s="64" t="n"/>
      <c r="C440" s="65" t="n"/>
      <c r="D440" s="66" t="n"/>
      <c r="E440" s="65" t="n"/>
      <c r="F440" s="67" t="n"/>
      <c r="G440" s="14" t="n"/>
      <c r="H440" s="14" t="n"/>
      <c r="I440" s="43" t="n"/>
    </row>
    <row r="441">
      <c r="B441" s="64" t="n"/>
      <c r="C441" s="69" t="n"/>
      <c r="D441" s="68" t="n"/>
      <c r="E441" s="69" t="n"/>
      <c r="F441" s="70" t="n"/>
      <c r="G441" s="23" t="n"/>
      <c r="H441" s="23" t="n"/>
      <c r="I441" s="55" t="n"/>
    </row>
    <row r="442">
      <c r="B442" s="64" t="n"/>
      <c r="C442" s="65" t="n"/>
      <c r="D442" s="66" t="n"/>
      <c r="E442" s="65" t="n"/>
      <c r="F442" s="67" t="n"/>
      <c r="G442" s="14" t="n"/>
      <c r="H442" s="14" t="n"/>
      <c r="I442" s="43" t="n"/>
    </row>
    <row r="443">
      <c r="B443" s="64" t="n"/>
      <c r="C443" s="69" t="n"/>
      <c r="D443" s="68" t="n"/>
      <c r="E443" s="69" t="n"/>
      <c r="F443" s="70" t="n"/>
      <c r="G443" s="23" t="n"/>
      <c r="H443" s="23" t="n"/>
      <c r="I443" s="55" t="n"/>
    </row>
    <row r="444">
      <c r="B444" s="64" t="n"/>
      <c r="C444" s="65" t="n"/>
      <c r="D444" s="66" t="n"/>
      <c r="E444" s="65" t="n"/>
      <c r="F444" s="67" t="n"/>
      <c r="G444" s="14" t="n"/>
      <c r="H444" s="14" t="n"/>
      <c r="I444" s="43" t="n"/>
    </row>
    <row r="445">
      <c r="B445" s="64" t="n"/>
      <c r="C445" s="69" t="n"/>
      <c r="D445" s="68" t="n"/>
      <c r="E445" s="69" t="n"/>
      <c r="F445" s="70" t="n"/>
      <c r="G445" s="23" t="n"/>
      <c r="H445" s="23" t="n"/>
      <c r="I445" s="55" t="n"/>
    </row>
    <row r="446">
      <c r="B446" s="64" t="n"/>
      <c r="C446" s="65" t="n"/>
      <c r="D446" s="66" t="n"/>
      <c r="E446" s="65" t="n"/>
      <c r="F446" s="67" t="n"/>
      <c r="G446" s="14" t="n"/>
      <c r="H446" s="14" t="n"/>
      <c r="I446" s="43" t="n"/>
    </row>
    <row r="447">
      <c r="B447" s="64" t="n"/>
      <c r="C447" s="69" t="n"/>
      <c r="D447" s="68" t="n"/>
      <c r="E447" s="69" t="n"/>
      <c r="F447" s="70" t="n"/>
      <c r="G447" s="23" t="n"/>
      <c r="H447" s="23" t="n"/>
      <c r="I447" s="55" t="n"/>
    </row>
    <row r="448">
      <c r="B448" s="64" t="n"/>
      <c r="C448" s="65" t="n"/>
      <c r="D448" s="66" t="n"/>
      <c r="E448" s="65" t="n"/>
      <c r="F448" s="67" t="n"/>
      <c r="G448" s="14" t="n"/>
      <c r="H448" s="14" t="n"/>
      <c r="I448" s="43" t="n"/>
    </row>
    <row r="449">
      <c r="B449" s="64" t="n"/>
      <c r="C449" s="69" t="n"/>
      <c r="D449" s="68" t="n"/>
      <c r="E449" s="69" t="n"/>
      <c r="F449" s="70" t="n"/>
      <c r="G449" s="23" t="n"/>
      <c r="H449" s="23" t="n"/>
      <c r="I449" s="55" t="n"/>
    </row>
    <row r="450">
      <c r="B450" s="64" t="n"/>
      <c r="C450" s="65" t="n"/>
      <c r="D450" s="66" t="n"/>
      <c r="E450" s="65" t="n"/>
      <c r="F450" s="67" t="n"/>
      <c r="G450" s="14" t="n"/>
      <c r="H450" s="14" t="n"/>
      <c r="I450" s="43" t="n"/>
    </row>
    <row r="451">
      <c r="B451" s="64" t="n"/>
      <c r="C451" s="69" t="n"/>
      <c r="D451" s="68" t="n"/>
      <c r="E451" s="69" t="n"/>
      <c r="F451" s="70" t="n"/>
      <c r="G451" s="23" t="n"/>
      <c r="H451" s="23" t="n"/>
      <c r="I451" s="55" t="n"/>
    </row>
    <row r="452">
      <c r="B452" s="64" t="n"/>
      <c r="C452" s="65" t="n"/>
      <c r="D452" s="66" t="n"/>
      <c r="E452" s="65" t="n"/>
      <c r="F452" s="67" t="n"/>
      <c r="G452" s="14" t="n"/>
      <c r="H452" s="14" t="n"/>
      <c r="I452" s="43" t="n"/>
    </row>
    <row r="453">
      <c r="B453" s="64" t="n"/>
      <c r="C453" s="69" t="n"/>
      <c r="D453" s="68" t="n"/>
      <c r="E453" s="69" t="n"/>
      <c r="F453" s="70" t="n"/>
      <c r="G453" s="23" t="n"/>
      <c r="H453" s="23" t="n"/>
      <c r="I453" s="55" t="n"/>
    </row>
    <row r="454">
      <c r="B454" s="64" t="n"/>
      <c r="C454" s="65" t="n"/>
      <c r="D454" s="66" t="n"/>
      <c r="E454" s="65" t="n"/>
      <c r="F454" s="67" t="n"/>
      <c r="G454" s="14" t="n"/>
      <c r="H454" s="14" t="n"/>
      <c r="I454" s="43" t="n"/>
    </row>
    <row r="455">
      <c r="B455" s="64" t="n"/>
      <c r="C455" s="69" t="n"/>
      <c r="D455" s="68" t="n"/>
      <c r="E455" s="69" t="n"/>
      <c r="F455" s="70" t="n"/>
      <c r="G455" s="23" t="n"/>
      <c r="H455" s="23" t="n"/>
      <c r="I455" s="55" t="n"/>
    </row>
    <row r="456">
      <c r="B456" s="64" t="n"/>
      <c r="C456" s="65" t="n"/>
      <c r="D456" s="66" t="n"/>
      <c r="E456" s="65" t="n"/>
      <c r="F456" s="67" t="n"/>
      <c r="G456" s="14" t="n"/>
      <c r="H456" s="14" t="n"/>
      <c r="I456" s="43" t="n"/>
    </row>
    <row r="457">
      <c r="B457" s="64" t="n"/>
      <c r="C457" s="69" t="n"/>
      <c r="D457" s="68" t="n"/>
      <c r="E457" s="69" t="n"/>
      <c r="F457" s="70" t="n"/>
      <c r="G457" s="23" t="n"/>
      <c r="H457" s="23" t="n"/>
      <c r="I457" s="55" t="n"/>
    </row>
    <row r="458">
      <c r="B458" s="64" t="n"/>
      <c r="C458" s="65" t="n"/>
      <c r="D458" s="66" t="n"/>
      <c r="E458" s="65" t="n"/>
      <c r="F458" s="67" t="n"/>
      <c r="G458" s="14" t="n"/>
      <c r="H458" s="14" t="n"/>
      <c r="I458" s="43" t="n"/>
    </row>
    <row r="459">
      <c r="B459" s="64" t="n"/>
      <c r="C459" s="69" t="n"/>
      <c r="D459" s="68" t="n"/>
      <c r="E459" s="69" t="n"/>
      <c r="F459" s="70" t="n"/>
      <c r="G459" s="23" t="n"/>
      <c r="H459" s="23" t="n"/>
      <c r="I459" s="55" t="n"/>
    </row>
    <row r="460">
      <c r="B460" s="64" t="n"/>
      <c r="C460" s="65" t="n"/>
      <c r="D460" s="66" t="n"/>
      <c r="E460" s="65" t="n"/>
      <c r="F460" s="67" t="n"/>
      <c r="G460" s="14" t="n"/>
      <c r="H460" s="14" t="n"/>
      <c r="I460" s="43" t="n"/>
    </row>
    <row r="461">
      <c r="B461" s="64" t="n"/>
      <c r="C461" s="69" t="n"/>
      <c r="D461" s="68" t="n"/>
      <c r="E461" s="69" t="n"/>
      <c r="F461" s="70" t="n"/>
      <c r="G461" s="23" t="n"/>
      <c r="H461" s="23" t="n"/>
      <c r="I461" s="55" t="n"/>
    </row>
    <row r="462">
      <c r="B462" s="64" t="n"/>
      <c r="C462" s="65" t="n"/>
      <c r="D462" s="66" t="n"/>
      <c r="E462" s="65" t="n"/>
      <c r="F462" s="67" t="n"/>
      <c r="G462" s="14" t="n"/>
      <c r="H462" s="14" t="n"/>
      <c r="I462" s="43" t="n"/>
    </row>
    <row r="463">
      <c r="B463" s="64" t="n"/>
      <c r="C463" s="69" t="n"/>
      <c r="D463" s="68" t="n"/>
      <c r="E463" s="69" t="n"/>
      <c r="F463" s="70" t="n"/>
      <c r="G463" s="23" t="n"/>
      <c r="H463" s="23" t="n"/>
      <c r="I463" s="55" t="n"/>
    </row>
    <row r="464">
      <c r="B464" s="64" t="n"/>
      <c r="C464" s="65" t="n"/>
      <c r="D464" s="66" t="n"/>
      <c r="E464" s="65" t="n"/>
      <c r="F464" s="67" t="n"/>
      <c r="G464" s="14" t="n"/>
      <c r="H464" s="14" t="n"/>
      <c r="I464" s="43" t="n"/>
    </row>
    <row r="465">
      <c r="B465" s="64" t="n"/>
      <c r="C465" s="69" t="n"/>
      <c r="D465" s="68" t="n"/>
      <c r="E465" s="69" t="n"/>
      <c r="F465" s="70" t="n"/>
      <c r="G465" s="23" t="n"/>
      <c r="H465" s="23" t="n"/>
      <c r="I465" s="55" t="n"/>
    </row>
    <row r="466">
      <c r="B466" s="64" t="n"/>
      <c r="C466" s="65" t="n"/>
      <c r="D466" s="66" t="n"/>
      <c r="E466" s="65" t="n"/>
      <c r="F466" s="67" t="n"/>
      <c r="G466" s="14" t="n"/>
      <c r="H466" s="14" t="n"/>
      <c r="I466" s="43" t="n"/>
    </row>
    <row r="467">
      <c r="B467" s="64" t="n"/>
      <c r="C467" s="69" t="n"/>
      <c r="D467" s="68" t="n"/>
      <c r="E467" s="69" t="n"/>
      <c r="F467" s="70" t="n"/>
      <c r="G467" s="23" t="n"/>
      <c r="H467" s="23" t="n"/>
      <c r="I467" s="55" t="n"/>
    </row>
    <row r="468">
      <c r="B468" s="64" t="n"/>
      <c r="C468" s="65" t="n"/>
      <c r="D468" s="66" t="n"/>
      <c r="E468" s="65" t="n"/>
      <c r="F468" s="67" t="n"/>
      <c r="G468" s="14" t="n"/>
      <c r="H468" s="14" t="n"/>
      <c r="I468" s="43" t="n"/>
    </row>
    <row r="469">
      <c r="B469" s="64" t="n"/>
      <c r="C469" s="69" t="n"/>
      <c r="D469" s="68" t="n"/>
      <c r="E469" s="69" t="n"/>
      <c r="F469" s="70" t="n"/>
      <c r="G469" s="23" t="n"/>
      <c r="H469" s="23" t="n"/>
      <c r="I469" s="55" t="n"/>
    </row>
    <row r="470">
      <c r="B470" s="64" t="n"/>
      <c r="C470" s="65" t="n"/>
      <c r="D470" s="66" t="n"/>
      <c r="E470" s="65" t="n"/>
      <c r="F470" s="67" t="n"/>
      <c r="G470" s="14" t="n"/>
      <c r="H470" s="14" t="n"/>
      <c r="I470" s="43" t="n"/>
    </row>
    <row r="471">
      <c r="B471" s="64" t="n"/>
      <c r="C471" s="69" t="n"/>
      <c r="D471" s="68" t="n"/>
      <c r="E471" s="69" t="n"/>
      <c r="F471" s="70" t="n"/>
      <c r="G471" s="23" t="n"/>
      <c r="H471" s="23" t="n"/>
      <c r="I471" s="55" t="n"/>
    </row>
    <row r="472">
      <c r="B472" s="64" t="n"/>
      <c r="C472" s="65" t="n"/>
      <c r="D472" s="66" t="n"/>
      <c r="E472" s="65" t="n"/>
      <c r="F472" s="67" t="n"/>
      <c r="G472" s="14" t="n"/>
      <c r="H472" s="14" t="n"/>
      <c r="I472" s="43" t="n"/>
    </row>
    <row r="473">
      <c r="B473" s="64" t="n"/>
      <c r="C473" s="69" t="n"/>
      <c r="D473" s="68" t="n"/>
      <c r="E473" s="69" t="n"/>
      <c r="F473" s="70" t="n"/>
      <c r="G473" s="23" t="n"/>
      <c r="H473" s="23" t="n"/>
      <c r="I473" s="55" t="n"/>
    </row>
    <row r="474">
      <c r="B474" s="64" t="n"/>
      <c r="C474" s="65" t="n"/>
      <c r="D474" s="66" t="n"/>
      <c r="E474" s="65" t="n"/>
      <c r="F474" s="67" t="n"/>
      <c r="G474" s="14" t="n"/>
      <c r="H474" s="14" t="n"/>
      <c r="I474" s="43" t="n"/>
    </row>
    <row r="475">
      <c r="B475" s="64" t="n"/>
      <c r="C475" s="69" t="n"/>
      <c r="D475" s="68" t="n"/>
      <c r="E475" s="69" t="n"/>
      <c r="F475" s="70" t="n"/>
      <c r="G475" s="23" t="n"/>
      <c r="H475" s="23" t="n"/>
      <c r="I475" s="55" t="n"/>
    </row>
    <row r="476">
      <c r="B476" s="64" t="n"/>
      <c r="C476" s="65" t="n"/>
      <c r="D476" s="66" t="n"/>
      <c r="E476" s="65" t="n"/>
      <c r="F476" s="67" t="n"/>
      <c r="G476" s="14" t="n"/>
      <c r="H476" s="14" t="n"/>
      <c r="I476" s="43" t="n"/>
    </row>
    <row r="477">
      <c r="B477" s="64" t="n"/>
      <c r="C477" s="69" t="n"/>
      <c r="D477" s="68" t="n"/>
      <c r="E477" s="69" t="n"/>
      <c r="F477" s="70" t="n"/>
      <c r="G477" s="23" t="n"/>
      <c r="H477" s="23" t="n"/>
      <c r="I477" s="55" t="n"/>
    </row>
    <row r="478">
      <c r="B478" s="64" t="n"/>
      <c r="C478" s="65" t="n"/>
      <c r="D478" s="66" t="n"/>
      <c r="E478" s="65" t="n"/>
      <c r="F478" s="67" t="n"/>
      <c r="G478" s="14" t="n"/>
      <c r="H478" s="14" t="n"/>
      <c r="I478" s="43" t="n"/>
    </row>
    <row r="479">
      <c r="B479" s="64" t="n"/>
      <c r="C479" s="69" t="n"/>
      <c r="D479" s="68" t="n"/>
      <c r="E479" s="69" t="n"/>
      <c r="F479" s="70" t="n"/>
      <c r="G479" s="23" t="n"/>
      <c r="H479" s="23" t="n"/>
      <c r="I479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9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4" min="1" max="1"/>
    <col width="26" customWidth="1" style="274" min="2" max="2"/>
    <col width="16" customWidth="1" style="274" min="3" max="3"/>
    <col width="10" customWidth="1" style="274" min="4" max="4"/>
    <col width="14" customWidth="1" style="274" min="5" max="5"/>
    <col width="12" customWidth="1" style="274" min="6" max="7"/>
    <col width="14" customWidth="1" style="274" min="8" max="8"/>
    <col width="16" customWidth="1" style="274" min="9" max="9"/>
    <col width="20" customWidth="1" style="274" min="10" max="10"/>
    <col width="18" customWidth="1" style="274" min="11" max="11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4">
      <c r="A2" s="340" t="inlineStr">
        <is>
          <t>📦  LOKA — INVENTORY</t>
        </is>
      </c>
      <c r="F2" s="313" t="inlineStr">
        <is>
          <t>Update stock levels when you receive deliveries or do stock checks</t>
        </is>
      </c>
    </row>
    <row r="3" ht="3.75" customHeight="1" s="274">
      <c r="A3" s="323" t="n"/>
    </row>
    <row r="4" ht="7.5" customHeight="1" s="274"/>
    <row r="5" ht="18" customHeight="1" s="274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4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4"/>
    <row r="8" ht="19.5" customHeight="1" s="274">
      <c r="B8" s="349" t="inlineStr">
        <is>
          <t>Item Name  |  Category  |  Unit  |  Min Stock  |  Current Stock  |  Last Ordered  |  Supplier  |  Status  |  Notes</t>
        </is>
      </c>
      <c r="C8" s="284" t="n"/>
      <c r="D8" s="284" t="n"/>
      <c r="E8" s="284" t="n"/>
      <c r="F8" s="284" t="n"/>
      <c r="G8" s="284" t="n"/>
      <c r="H8" s="284" t="n"/>
      <c r="I8" s="284" t="n"/>
      <c r="J8" s="284" t="n"/>
      <c r="K8" s="284" t="n"/>
    </row>
    <row r="9" ht="27.75" customHeight="1" s="274">
      <c r="B9" s="279" t="inlineStr">
        <is>
          <t>Carne de Res</t>
        </is>
      </c>
      <c r="C9" s="279" t="inlineStr">
        <is>
          <t>Ingredients - Meat</t>
        </is>
      </c>
      <c r="D9" s="279" t="inlineStr">
        <is>
          <t>kg</t>
        </is>
      </c>
      <c r="E9" s="279" t="n">
        <v>0</v>
      </c>
      <c r="F9" s="279" t="n"/>
      <c r="G9" s="279" t="n"/>
      <c r="H9" s="279" t="n"/>
      <c r="I9" s="279" t="n"/>
      <c r="J9" s="279">
        <f>IF(ISBLANK(F9),"—",IF(F9=0,"🚫 OUT OF STOCK",IF(F9&lt;=E9,"⚠️ LOW STOCK","✅ OK")))</f>
        <v/>
      </c>
      <c r="K9" s="279" t="n"/>
    </row>
    <row r="10" ht="15.75" customHeight="1" s="274">
      <c r="B10" s="83" t="inlineStr">
        <is>
          <t>Jamon Mexicano</t>
        </is>
      </c>
      <c r="C10" s="301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4">
      <c r="B11" s="90" t="inlineStr">
        <is>
          <t>Pollo</t>
        </is>
      </c>
      <c r="C11" s="283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4">
      <c r="B12" s="83" t="inlineStr">
        <is>
          <t>Chuletas de Carne</t>
        </is>
      </c>
      <c r="C12" s="301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4">
      <c r="B13" s="90" t="inlineStr">
        <is>
          <t>Costillas de Cerdo</t>
        </is>
      </c>
      <c r="C13" s="283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4">
      <c r="B14" s="83" t="inlineStr">
        <is>
          <t>Salmon</t>
        </is>
      </c>
      <c r="C14" s="301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4">
      <c r="B15" s="90" t="inlineStr">
        <is>
          <t>Filete de Mojarra</t>
        </is>
      </c>
      <c r="C15" s="283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4">
      <c r="B16" s="83" t="inlineStr">
        <is>
          <t>Papas</t>
        </is>
      </c>
      <c r="C16" s="301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4">
      <c r="B17" s="90" t="inlineStr">
        <is>
          <t>Lechuga</t>
        </is>
      </c>
      <c r="C17" s="283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4">
      <c r="B18" s="83" t="inlineStr">
        <is>
          <t>Jitomate</t>
        </is>
      </c>
      <c r="C18" s="301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4">
      <c r="B19" s="90" t="inlineStr">
        <is>
          <t>Cilantro</t>
        </is>
      </c>
      <c r="C19" s="283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4">
      <c r="B20" s="83" t="inlineStr">
        <is>
          <t>Italiana</t>
        </is>
      </c>
      <c r="C20" s="301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4">
      <c r="B21" s="90" t="inlineStr">
        <is>
          <t>Habanero</t>
        </is>
      </c>
      <c r="C21" s="283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4">
      <c r="B22" s="83" t="inlineStr">
        <is>
          <t>Pepino</t>
        </is>
      </c>
      <c r="C22" s="301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4">
      <c r="B23" s="90" t="inlineStr">
        <is>
          <t>Betabel</t>
        </is>
      </c>
      <c r="C23" s="283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4">
      <c r="B24" s="83" t="inlineStr">
        <is>
          <t>Pimiento Morron</t>
        </is>
      </c>
      <c r="C24" s="301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4">
      <c r="B25" s="90" t="inlineStr">
        <is>
          <t>Verduras variadas</t>
        </is>
      </c>
      <c r="C25" s="283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4">
      <c r="B26" s="83" t="inlineStr">
        <is>
          <t>Naranja de Jugo</t>
        </is>
      </c>
      <c r="C26" s="301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4">
      <c r="B27" s="90" t="inlineStr">
        <is>
          <t>Mango</t>
        </is>
      </c>
      <c r="C27" s="283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4">
      <c r="B28" s="83" t="inlineStr">
        <is>
          <t>Sandia</t>
        </is>
      </c>
      <c r="C28" s="301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4">
      <c r="B29" s="90" t="inlineStr">
        <is>
          <t>Guayabas</t>
        </is>
      </c>
      <c r="C29" s="283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4">
      <c r="B30" s="83" t="inlineStr">
        <is>
          <t>Jicamas</t>
        </is>
      </c>
      <c r="C30" s="301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4">
      <c r="B31" s="90" t="inlineStr">
        <is>
          <t>Pinas</t>
        </is>
      </c>
      <c r="C31" s="283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4">
      <c r="B32" s="83" t="inlineStr">
        <is>
          <t>Melon</t>
        </is>
      </c>
      <c r="C32" s="301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4">
      <c r="B33" s="90" t="inlineStr">
        <is>
          <t>Frutas variadas</t>
        </is>
      </c>
      <c r="C33" s="283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4">
      <c r="B34" s="83" t="inlineStr">
        <is>
          <t>Queso Gouda</t>
        </is>
      </c>
      <c r="C34" s="301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4">
      <c r="B35" s="90" t="inlineStr">
        <is>
          <t>Queso Crema (Lala)</t>
        </is>
      </c>
      <c r="C35" s="283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4">
      <c r="B36" s="83" t="inlineStr">
        <is>
          <t>Crema</t>
        </is>
      </c>
      <c r="C36" s="301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4">
      <c r="B37" s="90" t="inlineStr">
        <is>
          <t>Leche (Nutralat)</t>
        </is>
      </c>
      <c r="C37" s="283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4">
      <c r="B38" s="83" t="inlineStr">
        <is>
          <t>Leche Deslactosada</t>
        </is>
      </c>
      <c r="C38" s="301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4">
      <c r="B39" s="90" t="inlineStr">
        <is>
          <t>Arroz</t>
        </is>
      </c>
      <c r="C39" s="283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4">
      <c r="B40" s="83" t="inlineStr">
        <is>
          <t>Tortillas</t>
        </is>
      </c>
      <c r="C40" s="301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4">
      <c r="B41" s="90" t="inlineStr">
        <is>
          <t>Pasta</t>
        </is>
      </c>
      <c r="C41" s="283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4">
      <c r="B42" s="83" t="inlineStr">
        <is>
          <t>Aceite Vegetal</t>
        </is>
      </c>
      <c r="C42" s="301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4">
      <c r="B43" s="90" t="inlineStr">
        <is>
          <t>Azucar</t>
        </is>
      </c>
      <c r="C43" s="283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4">
      <c r="B44" s="83" t="inlineStr">
        <is>
          <t>Basicos (Varios)</t>
        </is>
      </c>
      <c r="C44" s="301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4">
      <c r="B45" s="90" t="inlineStr">
        <is>
          <t>Pan Hamburguesa</t>
        </is>
      </c>
      <c r="C45" s="283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4">
      <c r="B46" s="83" t="inlineStr">
        <is>
          <t>Pan de Caja Arandano</t>
        </is>
      </c>
      <c r="C46" s="301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4">
      <c r="B47" s="90" t="inlineStr">
        <is>
          <t>Panko</t>
        </is>
      </c>
      <c r="C47" s="283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4">
      <c r="B48" s="83" t="inlineStr">
        <is>
          <t>Bolillo</t>
        </is>
      </c>
      <c r="C48" s="301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4">
      <c r="B49" s="90" t="inlineStr">
        <is>
          <t>Rosca de Nuez</t>
        </is>
      </c>
      <c r="C49" s="283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4">
      <c r="B50" s="83" t="inlineStr">
        <is>
          <t>Limonada Concentrado</t>
        </is>
      </c>
      <c r="C50" s="301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4">
      <c r="B51" s="90" t="inlineStr">
        <is>
          <t>Naranjada Concentrado</t>
        </is>
      </c>
      <c r="C51" s="283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4">
      <c r="B52" s="83" t="inlineStr">
        <is>
          <t>Tamarindo Concentrado</t>
        </is>
      </c>
      <c r="C52" s="301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4">
      <c r="B53" s="90" t="inlineStr">
        <is>
          <t>Tilapia</t>
        </is>
      </c>
      <c r="C53" s="283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4">
      <c r="B54" s="83" t="inlineStr">
        <is>
          <t>Chapata</t>
        </is>
      </c>
      <c r="C54" s="301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4">
      <c r="B55" s="90" t="inlineStr">
        <is>
          <t>Bistek de Puerco</t>
        </is>
      </c>
      <c r="C55" s="283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4">
      <c r="B56" s="83" t="inlineStr">
        <is>
          <t>Sal Fina</t>
        </is>
      </c>
      <c r="C56" s="301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4">
      <c r="B57" s="90" t="inlineStr">
        <is>
          <t>Coca Cola</t>
        </is>
      </c>
      <c r="C57" s="283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4">
      <c r="B58" s="83" t="inlineStr">
        <is>
          <t>Leche Alpura</t>
        </is>
      </c>
      <c r="C58" s="301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4">
      <c r="B59" s="90" t="inlineStr">
        <is>
          <t>Crema Ácida</t>
        </is>
      </c>
      <c r="C59" s="283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4">
      <c r="B60" s="83" t="inlineStr">
        <is>
          <t>Salsa / Tomate Lata</t>
        </is>
      </c>
      <c r="C60" s="301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4">
      <c r="B61" s="90" t="inlineStr">
        <is>
          <t>Champiñones</t>
        </is>
      </c>
      <c r="C61" s="283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4">
      <c r="B62" s="83" t="inlineStr">
        <is>
          <t>Tocino</t>
        </is>
      </c>
      <c r="C62" s="301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4">
      <c r="B63" s="90" t="inlineStr">
        <is>
          <t>Bistec Cerdo</t>
        </is>
      </c>
      <c r="C63" s="283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4">
      <c r="B64" s="83" t="inlineStr">
        <is>
          <t>Pierna Cerdo</t>
        </is>
      </c>
      <c r="C64" s="301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4">
      <c r="B65" s="90" t="inlineStr">
        <is>
          <t>Muslo con Hueso</t>
        </is>
      </c>
      <c r="C65" s="283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4">
      <c r="B66" s="83" t="inlineStr">
        <is>
          <t>Elote en Lata</t>
        </is>
      </c>
      <c r="C66" s="301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4" thickBot="1">
      <c r="B67" s="90" t="inlineStr">
        <is>
          <t>Cebolla</t>
        </is>
      </c>
      <c r="C67" s="283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4" thickBot="1">
      <c r="B68" s="83" t="inlineStr">
        <is>
          <t>Queso Panela</t>
        </is>
      </c>
      <c r="C68" s="301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4" thickBot="1">
      <c r="B69" s="90" t="inlineStr">
        <is>
          <t>Microfibra / Limpieza</t>
        </is>
      </c>
      <c r="C69" s="283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4" thickBot="1">
      <c r="B70" s="83" t="inlineStr">
        <is>
          <t>Concha Chocolate</t>
        </is>
      </c>
      <c r="C70" s="301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4" thickBot="1">
      <c r="B71" s="90" t="inlineStr">
        <is>
          <t>Rosca Marmoleada</t>
        </is>
      </c>
      <c r="C71" s="283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4" thickBot="1">
      <c r="B72" s="83" t="inlineStr">
        <is>
          <t>Frijol Bayos</t>
        </is>
      </c>
      <c r="C72" s="301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4" thickBot="1">
      <c r="B73" s="90" t="inlineStr">
        <is>
          <t>Huevo Bachoco</t>
        </is>
      </c>
      <c r="C73" s="283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4" thickBot="1">
      <c r="B74" s="83" t="n"/>
      <c r="C74" s="301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4" thickBot="1">
      <c r="B75" s="90" t="n"/>
      <c r="C75" s="283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4" thickBot="1">
      <c r="B76" s="83" t="n"/>
      <c r="C76" s="301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4" thickBot="1">
      <c r="B77" s="90" t="n"/>
      <c r="C77" s="283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4" thickBot="1">
      <c r="B78" s="83" t="n"/>
      <c r="C78" s="301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4" thickBot="1">
      <c r="B79" s="90" t="n"/>
      <c r="C79" s="283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4" thickBot="1">
      <c r="B80" s="83" t="n"/>
      <c r="C80" s="301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4" thickBot="1">
      <c r="B81" s="90" t="n"/>
      <c r="C81" s="283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4" thickBot="1">
      <c r="B82" s="83" t="n"/>
      <c r="C82" s="301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4" thickBot="1">
      <c r="B83" s="90" t="n"/>
      <c r="C83" s="283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4" thickBot="1">
      <c r="B84" s="83" t="n"/>
      <c r="C84" s="301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4" thickBot="1">
      <c r="B85" s="90" t="n"/>
      <c r="C85" s="283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4" thickBot="1">
      <c r="B86" s="83" t="n"/>
      <c r="C86" s="301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4" thickBot="1">
      <c r="B87" s="90" t="n"/>
      <c r="C87" s="283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4" thickBot="1">
      <c r="B88" s="83" t="n"/>
      <c r="C88" s="301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4" thickBot="1">
      <c r="B89" s="90" t="n"/>
      <c r="C89" s="283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4" thickBot="1">
      <c r="B90" s="83" t="n"/>
      <c r="C90" s="301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4" thickBot="1">
      <c r="B91" s="90" t="n"/>
      <c r="C91" s="283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4" thickBot="1">
      <c r="B92" s="83" t="n"/>
      <c r="C92" s="301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4" thickBot="1">
      <c r="B93" s="90" t="n"/>
      <c r="C93" s="283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4" thickBot="1">
      <c r="B94" s="83" t="n"/>
      <c r="C94" s="301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4" thickBot="1">
      <c r="B95" s="90" t="n"/>
      <c r="C95" s="283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4" thickBot="1">
      <c r="B96" s="83" t="n"/>
      <c r="C96" s="301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4" thickBot="1">
      <c r="B97" s="90" t="n"/>
      <c r="C97" s="283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4" thickBot="1">
      <c r="B98" s="83" t="n"/>
      <c r="C98" s="301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4" thickBot="1">
      <c r="B99" s="90" t="n"/>
      <c r="C99" s="283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4" thickBot="1">
      <c r="B100" s="83" t="n"/>
      <c r="C100" s="301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4" thickBot="1">
      <c r="B101" s="90" t="n"/>
      <c r="C101" s="283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4" thickBot="1">
      <c r="B102" s="83" t="n"/>
      <c r="C102" s="301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4" thickBot="1">
      <c r="B103" s="90" t="n"/>
      <c r="C103" s="283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4" thickBot="1">
      <c r="B104" s="83" t="n"/>
      <c r="C104" s="301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4" thickBot="1">
      <c r="B105" s="90" t="n"/>
      <c r="C105" s="283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4" thickBot="1">
      <c r="B106" s="83" t="n"/>
      <c r="C106" s="301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4" thickBot="1">
      <c r="B107" s="90" t="n"/>
      <c r="C107" s="283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4" thickBot="1">
      <c r="B108" s="83" t="n"/>
      <c r="C108" s="301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4" thickBot="1">
      <c r="B109" s="90" t="n"/>
      <c r="C109" s="283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4" thickBot="1">
      <c r="B110" s="83" t="n"/>
      <c r="C110" s="301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4" thickBot="1">
      <c r="B111" s="90" t="n"/>
      <c r="C111" s="283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4" thickBot="1">
      <c r="B112" s="83" t="n"/>
      <c r="C112" s="301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4" thickBot="1">
      <c r="B113" s="90" t="n"/>
      <c r="C113" s="283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4" thickBot="1">
      <c r="B114" s="83" t="n"/>
      <c r="C114" s="301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4" thickBot="1">
      <c r="B115" s="90" t="n"/>
      <c r="C115" s="283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4" thickBot="1">
      <c r="B116" s="83" t="n"/>
      <c r="C116" s="301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4" thickBot="1">
      <c r="B117" s="90" t="n"/>
      <c r="C117" s="283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4" thickBot="1">
      <c r="B118" s="83" t="n"/>
      <c r="C118" s="301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4" thickBot="1">
      <c r="B119" s="90" t="n"/>
      <c r="C119" s="283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4" thickBot="1">
      <c r="B120" s="83" t="n"/>
      <c r="C120" s="301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4" thickBot="1">
      <c r="B121" s="90" t="n"/>
      <c r="C121" s="283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4" thickBot="1">
      <c r="B122" s="83" t="n"/>
      <c r="C122" s="301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4" thickBot="1">
      <c r="B123" s="90" t="n"/>
      <c r="C123" s="283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4" thickBot="1">
      <c r="B124" s="83" t="n"/>
      <c r="C124" s="301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4" thickBot="1">
      <c r="B125" s="90" t="n"/>
      <c r="C125" s="283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4" thickBot="1">
      <c r="B126" s="83" t="n"/>
      <c r="C126" s="301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4" thickBot="1">
      <c r="B127" s="90" t="n"/>
      <c r="C127" s="283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4" thickBot="1">
      <c r="B128" s="83" t="n"/>
      <c r="C128" s="301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4" thickBot="1">
      <c r="B129" s="90" t="n"/>
      <c r="C129" s="283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4" thickBot="1">
      <c r="B130" s="83" t="n"/>
      <c r="C130" s="301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4" thickBot="1">
      <c r="B131" s="90" t="n"/>
      <c r="C131" s="283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4" thickBot="1">
      <c r="B132" s="83" t="n"/>
      <c r="C132" s="301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4" thickBot="1">
      <c r="B133" s="90" t="n"/>
      <c r="C133" s="283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4" thickBot="1">
      <c r="B134" s="83" t="n"/>
      <c r="C134" s="301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4" thickBot="1">
      <c r="B135" s="90" t="n"/>
      <c r="C135" s="283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4" thickBot="1">
      <c r="B136" s="83" t="n"/>
      <c r="C136" s="301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4" thickBot="1">
      <c r="B137" s="90" t="n"/>
      <c r="C137" s="283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4" thickBot="1">
      <c r="B138" s="83" t="n"/>
      <c r="C138" s="301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4" thickBot="1">
      <c r="B139" s="90" t="n"/>
      <c r="C139" s="283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4" thickBot="1">
      <c r="B140" s="83" t="n"/>
      <c r="C140" s="301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4" thickBot="1">
      <c r="B141" s="90" t="n"/>
      <c r="C141" s="283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4" thickBot="1">
      <c r="B142" s="83" t="n"/>
      <c r="C142" s="301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4" thickBot="1">
      <c r="B143" s="90" t="n"/>
      <c r="C143" s="283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4" thickBot="1">
      <c r="B144" s="83" t="n"/>
      <c r="C144" s="301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4" thickBot="1">
      <c r="B145" s="90" t="n"/>
      <c r="C145" s="283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4" thickBot="1">
      <c r="B146" s="83" t="n"/>
      <c r="C146" s="301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4" thickBot="1">
      <c r="B147" s="90" t="n"/>
      <c r="C147" s="283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4" thickBot="1">
      <c r="B148" s="83" t="n"/>
      <c r="C148" s="301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4" thickBot="1">
      <c r="B149" s="90" t="n"/>
      <c r="C149" s="283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4" thickBot="1">
      <c r="B150" s="83" t="n"/>
      <c r="C150" s="301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4" thickBot="1">
      <c r="B151" s="90" t="n"/>
      <c r="C151" s="283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4" thickBot="1">
      <c r="B152" s="83" t="n"/>
      <c r="C152" s="301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4" thickBot="1">
      <c r="B153" s="90" t="n"/>
      <c r="C153" s="283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4" thickBot="1">
      <c r="B154" s="83" t="n"/>
      <c r="C154" s="301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4" thickBot="1">
      <c r="B155" s="90" t="n"/>
      <c r="C155" s="283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4" thickBot="1">
      <c r="B156" s="83" t="n"/>
      <c r="C156" s="301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4" thickBot="1">
      <c r="B157" s="90" t="n"/>
      <c r="C157" s="283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4" thickBot="1">
      <c r="B158" s="83" t="n"/>
      <c r="C158" s="301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4" thickBot="1">
      <c r="B159" s="90" t="n"/>
      <c r="C159" s="283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4" thickBot="1">
      <c r="B160" s="83" t="n"/>
      <c r="C160" s="301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4" thickBot="1">
      <c r="B161" s="90" t="n"/>
      <c r="C161" s="283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4" thickBot="1">
      <c r="B162" s="83" t="n"/>
      <c r="C162" s="301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4" thickBot="1">
      <c r="B163" s="90" t="n"/>
      <c r="C163" s="283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4" thickBot="1">
      <c r="B164" s="83" t="n"/>
      <c r="C164" s="301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4" thickBot="1">
      <c r="B165" s="90" t="n"/>
      <c r="C165" s="283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4" thickBot="1">
      <c r="B166" s="83" t="n"/>
      <c r="C166" s="301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4" thickBot="1">
      <c r="B167" s="90" t="n"/>
      <c r="C167" s="283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4" thickBot="1">
      <c r="B168" s="83" t="n"/>
      <c r="C168" s="301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4" thickBot="1">
      <c r="B169" s="90" t="n"/>
      <c r="C169" s="283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4" thickBot="1">
      <c r="B170" s="83" t="n"/>
      <c r="C170" s="301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4" thickBot="1">
      <c r="B171" s="90" t="n"/>
      <c r="C171" s="283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4" thickBot="1">
      <c r="B172" s="83" t="n"/>
      <c r="C172" s="301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4" thickBot="1">
      <c r="B173" s="90" t="n"/>
      <c r="C173" s="283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4" thickBot="1">
      <c r="B174" s="83" t="n"/>
      <c r="C174" s="301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4" thickBot="1">
      <c r="B175" s="90" t="n"/>
      <c r="C175" s="283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4" thickBot="1">
      <c r="B176" s="83" t="n"/>
      <c r="C176" s="301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4" thickBot="1">
      <c r="B177" s="90" t="n"/>
      <c r="C177" s="283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4" thickBot="1">
      <c r="B178" s="83" t="n"/>
      <c r="C178" s="301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4" thickBot="1">
      <c r="B179" s="90" t="n"/>
      <c r="C179" s="283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4" thickBot="1">
      <c r="B180" s="83" t="n"/>
      <c r="C180" s="301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4" thickBot="1">
      <c r="B181" s="90" t="n"/>
      <c r="C181" s="283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4" thickBot="1">
      <c r="B182" s="83" t="n"/>
      <c r="C182" s="301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4" thickBot="1">
      <c r="B183" s="90" t="n"/>
      <c r="C183" s="283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4" thickBot="1">
      <c r="B184" s="83" t="n"/>
      <c r="C184" s="301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4" thickBot="1">
      <c r="B185" s="90" t="n"/>
      <c r="C185" s="283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4" thickBot="1">
      <c r="B186" s="83" t="n"/>
      <c r="C186" s="301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4" thickBot="1">
      <c r="B187" s="90" t="n"/>
      <c r="C187" s="283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4" thickBot="1">
      <c r="B188" s="83" t="n"/>
      <c r="C188" s="301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4" thickBot="1">
      <c r="B189" s="90" t="n"/>
      <c r="C189" s="283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4" thickBot="1">
      <c r="B190" s="83" t="n"/>
      <c r="C190" s="301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4" thickBot="1">
      <c r="B191" s="90" t="n"/>
      <c r="C191" s="283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4" thickBot="1">
      <c r="B192" s="83" t="n"/>
      <c r="C192" s="301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4" thickBot="1">
      <c r="B193" s="90" t="n"/>
      <c r="C193" s="283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4" thickBot="1">
      <c r="B194" s="83" t="n"/>
      <c r="C194" s="301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4" thickBot="1">
      <c r="B195" s="90" t="n"/>
      <c r="C195" s="283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4" thickBot="1">
      <c r="B196" s="83" t="n"/>
      <c r="C196" s="301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4" thickBot="1">
      <c r="B197" s="90" t="n"/>
      <c r="C197" s="283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4" thickBot="1">
      <c r="B198" s="83" t="n"/>
      <c r="C198" s="301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4" thickBot="1">
      <c r="B199" s="90" t="n"/>
      <c r="C199" s="283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4" thickBot="1">
      <c r="B200" s="83" t="n"/>
      <c r="C200" s="301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4" thickBot="1">
      <c r="B201" s="90" t="n"/>
      <c r="C201" s="283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4" thickBot="1">
      <c r="B202" s="83" t="n"/>
      <c r="C202" s="301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4" thickBot="1">
      <c r="B203" s="90" t="n"/>
      <c r="C203" s="283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4" thickBot="1">
      <c r="B204" s="83" t="n"/>
      <c r="C204" s="301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4" thickBot="1">
      <c r="B205" s="90" t="n"/>
      <c r="C205" s="283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4" thickBot="1">
      <c r="B206" s="83" t="n"/>
      <c r="C206" s="301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4" thickBot="1">
      <c r="B207" s="90" t="n"/>
      <c r="C207" s="283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4" thickBot="1">
      <c r="B208" s="83" t="n"/>
      <c r="C208" s="301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4" thickBot="1">
      <c r="B209" s="90" t="n"/>
      <c r="C209" s="283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4" thickBot="1">
      <c r="B210" s="83" t="n"/>
      <c r="C210" s="301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4" thickBot="1">
      <c r="B211" s="90" t="n"/>
      <c r="C211" s="283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4" thickBot="1">
      <c r="B212" s="83" t="n"/>
      <c r="C212" s="301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4" thickBot="1">
      <c r="B213" s="90" t="n"/>
      <c r="C213" s="283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4" thickBot="1">
      <c r="B214" s="83" t="n"/>
      <c r="C214" s="301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4" thickBot="1">
      <c r="B215" s="90" t="n"/>
      <c r="C215" s="283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4" thickBot="1">
      <c r="B216" s="83" t="n"/>
      <c r="C216" s="301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4" thickBot="1">
      <c r="B217" s="90" t="n"/>
      <c r="C217" s="283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4" thickBot="1">
      <c r="B218" s="83" t="n"/>
      <c r="C218" s="301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4" thickBot="1">
      <c r="B219" s="90" t="n"/>
      <c r="C219" s="283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4" thickBot="1">
      <c r="B220" s="83" t="n"/>
      <c r="C220" s="301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4" thickBot="1">
      <c r="B221" s="90" t="n"/>
      <c r="C221" s="283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4" thickBot="1">
      <c r="B222" s="83" t="n"/>
      <c r="C222" s="301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4" thickBot="1">
      <c r="B223" s="90" t="n"/>
      <c r="C223" s="283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4" thickBot="1">
      <c r="B224" s="83" t="n"/>
      <c r="C224" s="301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4" thickBot="1">
      <c r="B225" s="90" t="n"/>
      <c r="C225" s="283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4" thickBot="1">
      <c r="B226" s="83" t="n"/>
      <c r="C226" s="301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86"/>
  <sheetViews>
    <sheetView showGridLines="0" tabSelected="1" topLeftCell="A69" zoomScaleNormal="100" workbookViewId="0">
      <selection activeCell="L14" sqref="L14"/>
    </sheetView>
  </sheetViews>
  <sheetFormatPr baseColWidth="8" defaultColWidth="8.6640625" defaultRowHeight="14.4" customHeight="1"/>
  <cols>
    <col width="18.33203125" customWidth="1" style="274" min="1" max="1"/>
    <col width="32.5546875" customWidth="1" style="274" min="2" max="2"/>
    <col width="19.44140625" bestFit="1" customWidth="1" style="274" min="3" max="3"/>
    <col width="15.21875" customWidth="1" style="274" min="4" max="4"/>
    <col width="13.88671875" customWidth="1" style="274" min="5" max="6"/>
    <col width="12.33203125" customWidth="1" style="274" min="7" max="7"/>
    <col width="12.88671875" customWidth="1" style="274" min="8" max="8"/>
    <col width="7.33203125" bestFit="1" customWidth="1" style="274" min="9" max="9"/>
    <col width="7.21875" bestFit="1" customWidth="1" style="274" min="10" max="10"/>
    <col width="11" bestFit="1" customWidth="1" style="274" min="11" max="11"/>
    <col width="10.77734375" bestFit="1" customWidth="1" style="274" min="12" max="12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4">
      <c r="A2" s="352" t="inlineStr">
        <is>
          <t>👥  LOKA — STAFF &amp; PAYROLL</t>
        </is>
      </c>
      <c r="D2" s="350" t="inlineStr">
        <is>
          <t>Weekly schedule + auto payroll calculation</t>
        </is>
      </c>
    </row>
    <row r="3" ht="3.75" customHeight="1" s="274"/>
    <row r="4" ht="7.5" customHeight="1" s="274"/>
    <row r="5" ht="7.5" customHeight="1" s="274" thickBot="1"/>
    <row r="6" ht="21.75" customHeight="1" s="274" thickBot="1">
      <c r="A6" s="298" t="inlineStr">
        <is>
          <t xml:space="preserve">  STAFF SCHEDULE  —  Week of:</t>
        </is>
      </c>
      <c r="B6" s="299" t="n"/>
      <c r="C6" s="299" t="n"/>
      <c r="D6" s="215">
        <f>TODAY()-WEEKDAY(TODAY(),2)+1</f>
        <v/>
      </c>
      <c r="E6" s="284" t="n"/>
      <c r="F6" s="284" t="n"/>
      <c r="G6" s="284" t="n"/>
      <c r="H6" s="284" t="n"/>
      <c r="I6" s="284" t="n"/>
      <c r="J6" s="284" t="n"/>
      <c r="K6" s="284" t="n"/>
      <c r="L6" s="284" t="n"/>
    </row>
    <row r="7" ht="27.75" customHeight="1" s="274" thickBot="1">
      <c r="A7" s="279" t="inlineStr">
        <is>
          <t>Staff Name</t>
        </is>
      </c>
      <c r="B7" s="279" t="inlineStr">
        <is>
          <t>Role</t>
        </is>
      </c>
      <c r="C7" s="279" t="inlineStr">
        <is>
          <t>Daily Rate ($)</t>
        </is>
      </c>
      <c r="D7" s="279" t="inlineStr">
        <is>
          <t>Mon</t>
        </is>
      </c>
      <c r="E7" s="279" t="inlineStr">
        <is>
          <t>Tue</t>
        </is>
      </c>
      <c r="F7" s="279" t="inlineStr">
        <is>
          <t>Wed</t>
        </is>
      </c>
      <c r="G7" s="279" t="inlineStr">
        <is>
          <t>Thu</t>
        </is>
      </c>
      <c r="H7" s="279" t="inlineStr">
        <is>
          <t>Fri</t>
        </is>
      </c>
      <c r="I7" s="279" t="inlineStr">
        <is>
          <t>Sat</t>
        </is>
      </c>
      <c r="J7" s="279" t="inlineStr">
        <is>
          <t>Sun</t>
        </is>
      </c>
      <c r="K7" s="279" t="inlineStr">
        <is>
          <t>Days Worked</t>
        </is>
      </c>
      <c r="L7" s="279" t="inlineStr">
        <is>
          <t>Week Pay ($)</t>
        </is>
      </c>
    </row>
    <row r="8" ht="19.5" customHeight="1" s="274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4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4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4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4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4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4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4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4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4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4"/>
    <row r="19" ht="19.5" customHeight="1" s="274" thickBot="1"/>
    <row r="20" ht="27.75" customHeight="1" s="274" thickBot="1">
      <c r="A20" s="298" t="inlineStr">
        <is>
          <t xml:space="preserve">  MONTHLY PAYROLL PROJECTION</t>
        </is>
      </c>
      <c r="B20" s="299" t="n"/>
      <c r="C20" s="299" t="n"/>
      <c r="D20" s="299" t="n"/>
      <c r="E20" s="299" t="n"/>
      <c r="F20" s="299" t="n"/>
      <c r="G20" s="299" t="n"/>
      <c r="H20" s="299" t="n"/>
      <c r="I20" s="299" t="n"/>
      <c r="J20" s="299" t="n"/>
      <c r="K20" s="299" t="n"/>
      <c r="L20" s="299" t="n"/>
    </row>
    <row r="21" ht="18" customHeight="1" s="274">
      <c r="A21" s="279" t="inlineStr">
        <is>
          <t>Staff Name</t>
        </is>
      </c>
      <c r="B21" s="279" t="inlineStr">
        <is>
          <t>Role</t>
        </is>
      </c>
      <c r="C21" s="279" t="inlineStr">
        <is>
          <t>Week Pay ($)</t>
        </is>
      </c>
      <c r="D21" s="279" t="inlineStr">
        <is>
          <t>x Weeks/Month</t>
        </is>
      </c>
      <c r="E21" s="279" t="inlineStr">
        <is>
          <t>Monthly ($)</t>
        </is>
      </c>
      <c r="F21" s="279" t="inlineStr">
        <is>
          <t>IMSS / Benefits %</t>
        </is>
      </c>
      <c r="G21" s="279" t="inlineStr">
        <is>
          <t>Total Monthly Cost ($)</t>
        </is>
      </c>
      <c r="H21" s="279" t="inlineStr">
        <is>
          <t>Notes</t>
        </is>
      </c>
    </row>
    <row r="22" ht="18" customHeight="1" s="274">
      <c r="A22" s="109">
        <f>A8</f>
        <v/>
      </c>
      <c r="B22" s="301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4">
      <c r="A23" s="115">
        <f>A9</f>
        <v/>
      </c>
      <c r="B23" s="283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4">
      <c r="A24" s="109">
        <f>A10</f>
        <v/>
      </c>
      <c r="B24" s="301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4">
      <c r="A25" s="115">
        <f>A11</f>
        <v/>
      </c>
      <c r="B25" s="283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4">
      <c r="A26" s="109">
        <f>A12</f>
        <v/>
      </c>
      <c r="B26" s="301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4">
      <c r="A27" s="115">
        <f>A13</f>
        <v/>
      </c>
      <c r="B27" s="283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4">
      <c r="A28" s="109">
        <f>A14</f>
        <v/>
      </c>
      <c r="B28" s="301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4">
      <c r="A29" s="115">
        <f>A15</f>
        <v/>
      </c>
      <c r="B29" s="284" t="n"/>
      <c r="C29" s="284" t="n"/>
      <c r="D29" s="284" t="n"/>
      <c r="E29" s="217">
        <f>C29*D29</f>
        <v/>
      </c>
      <c r="F29" s="280" t="n"/>
      <c r="G29" s="120">
        <f>E29*(1+F29)</f>
        <v/>
      </c>
      <c r="H29" s="96" t="n"/>
    </row>
    <row r="30" ht="17.4" customHeight="1" s="274">
      <c r="A30" s="351" t="inlineStr">
        <is>
          <t>TOTAL MONTHLY PAYROLL COST</t>
        </is>
      </c>
      <c r="B30" s="284" t="n"/>
      <c r="C30" s="284" t="n"/>
      <c r="D30" s="284" t="n"/>
      <c r="E30" s="284" t="n"/>
      <c r="F30" s="280" t="n"/>
      <c r="G30" s="108">
        <f>SUM(G21:G28)</f>
        <v/>
      </c>
    </row>
    <row r="33" ht="15.6" customHeight="1" s="274">
      <c r="A33" s="218" t="inlineStr">
        <is>
          <t>── WEEKLY FIXED COSTS &amp; BREAK-EVEN TARGETS ──</t>
        </is>
      </c>
      <c r="B33" s="218" t="n"/>
      <c r="C33" s="218" t="n"/>
      <c r="D33" s="218" t="n"/>
      <c r="E33" s="218" t="n"/>
      <c r="F33" s="218" t="n"/>
      <c r="G33" s="218" t="n"/>
      <c r="H33" s="218" t="n"/>
    </row>
    <row r="34">
      <c r="A34" s="219" t="inlineStr">
        <is>
          <t>COST ITEM</t>
        </is>
      </c>
      <c r="B34" s="219" t="inlineStr">
        <is>
          <t>WEEKLY ($)</t>
        </is>
      </c>
      <c r="C34" s="219" t="inlineStr">
        <is>
          <t>MONTHLY EST. ($)</t>
        </is>
      </c>
      <c r="D34" s="219" t="inlineStr">
        <is>
          <t>NOTES</t>
        </is>
      </c>
      <c r="E34" s="219" t="n"/>
      <c r="F34" s="219" t="n"/>
      <c r="G34" s="219" t="n"/>
      <c r="H34" s="219" t="n"/>
    </row>
    <row r="35">
      <c r="A35" s="216" t="inlineStr">
        <is>
          <t>John — Head Chef Salary</t>
        </is>
      </c>
      <c r="B35" s="220" t="n">
        <v>3750</v>
      </c>
      <c r="C35" s="221" t="n">
        <v>15000</v>
      </c>
      <c r="D35" s="216" t="inlineStr">
        <is>
          <t>Confirmed weekly rate</t>
        </is>
      </c>
    </row>
    <row r="36">
      <c r="A36" s="222" t="inlineStr">
        <is>
          <t>Debi — Limpieza Salary</t>
        </is>
      </c>
      <c r="B36" s="223" t="n">
        <v>1500</v>
      </c>
      <c r="C36" s="224" t="n">
        <v>6000</v>
      </c>
      <c r="D36" s="222" t="inlineStr">
        <is>
          <t>Confirmed weekly rate</t>
        </is>
      </c>
    </row>
    <row r="37">
      <c r="A37" t="inlineStr">
        <is>
          <t>Cesar — Mesero Salary (RESIGNED)</t>
        </is>
      </c>
      <c r="B37" s="222" t="n">
        <v>0</v>
      </c>
      <c r="C37" s="259" t="n">
        <v>0</v>
      </c>
      <c r="D37" s="260" t="inlineStr">
        <is>
          <t>Resigned — Week 4 paid in full · removed from forward fixed costs</t>
        </is>
      </c>
      <c r="E37" s="261" t="n"/>
    </row>
    <row r="38">
      <c r="A38" t="inlineStr">
        <is>
          <t>Samu — Ayudante Salary</t>
        </is>
      </c>
      <c r="B38" s="216" t="n">
        <v>800</v>
      </c>
      <c r="C38" s="262" t="n">
        <v>3200</v>
      </c>
      <c r="D38" s="263" t="inlineStr">
        <is>
          <t>Confirmed — $800/week | $160/day | 5 days Mon–Fri | Start 9 Jun 2026</t>
        </is>
      </c>
      <c r="E38" s="264" t="n"/>
    </row>
    <row r="39">
      <c r="A39" s="216" t="inlineStr">
        <is>
          <t>Rent + Maintenance (actual — $20,000/mo)</t>
        </is>
      </c>
      <c r="B39" s="220" t="n">
        <v>5000</v>
      </c>
      <c r="C39" s="221" t="n">
        <v>20000</v>
      </c>
      <c r="D39" s="216" t="inlineStr">
        <is>
          <t>Confirmed — $20,000/month actual</t>
        </is>
      </c>
    </row>
    <row r="40">
      <c r="A40" s="222" t="inlineStr">
        <is>
          <t>Utilities — Electricity + Gas (estimated)</t>
        </is>
      </c>
      <c r="B40" s="223" t="n">
        <v>1000</v>
      </c>
      <c r="C40" s="224" t="n">
        <v>4000</v>
      </c>
      <c r="D40" s="222" t="inlineStr">
        <is>
          <t>⏳ Approx — bills pending · electricity + gas</t>
        </is>
      </c>
    </row>
    <row r="41">
      <c r="A41" s="219" t="inlineStr">
        <is>
          <t>TOTAL FIXED COSTS (current)</t>
        </is>
      </c>
      <c r="B41" s="225">
        <f>SUM(B35:B40)</f>
        <v/>
      </c>
      <c r="C41" s="225">
        <f>SUM(C35:C40)</f>
        <v/>
      </c>
      <c r="D41" s="219" t="inlineStr">
        <is>
          <t>Incl. rent + maintenance + utilities est.</t>
        </is>
      </c>
    </row>
    <row r="43">
      <c r="A43" s="226" t="inlineStr">
        <is>
          <t>── MESERO STATUS — ✅ CESAR + SAMU ACTIVE FROM 9 JUN 2026 ──</t>
        </is>
      </c>
      <c r="B43" s="226" t="n"/>
      <c r="C43" s="226" t="n"/>
      <c r="D43" s="226" t="n"/>
      <c r="E43" s="226" t="n"/>
      <c r="F43" s="226" t="n"/>
      <c r="G43" s="226" t="n"/>
      <c r="H43" s="226" t="n"/>
    </row>
    <row r="44">
      <c r="A44" s="216" t="inlineStr">
        <is>
          <t>Judith — Mesera Salary (historical — resigned 7 Jun)</t>
        </is>
      </c>
      <c r="B44" s="220" t="n">
        <v>2000</v>
      </c>
      <c r="C44" s="221" t="n">
        <v>8000</v>
      </c>
      <c r="D44" s="216" t="inlineStr">
        <is>
          <t>Confirmed — $2,000/week · $333.33/day · absent days deducted</t>
        </is>
      </c>
    </row>
    <row r="45" ht="15.6" customHeight="1" s="274">
      <c r="A45" s="226" t="inlineStr">
        <is>
          <t>With Cesar + Samu (✅ ACTIVE from 9 Jun)</t>
        </is>
      </c>
      <c r="B45" s="227" t="n">
        <v>14050</v>
      </c>
      <c r="C45" s="227" t="n">
        <v>23750</v>
      </c>
      <c r="D45" s="227" t="n">
        <v>24550</v>
      </c>
      <c r="E45" s="227" t="n">
        <v>4092</v>
      </c>
      <c r="F45" s="227" t="inlineStr">
        <is>
          <t>✅ NOW ACTIVE — current avg $4,011/day vs break-even $3,959/day</t>
        </is>
      </c>
      <c r="G45" s="227" t="inlineStr">
        <is>
          <t>✅ Cesar $2,000 + Samu $800 — break-even $4,092/day</t>
        </is>
      </c>
      <c r="H45" s="227" t="n"/>
    </row>
    <row r="47" ht="15.6" customHeight="1" s="274">
      <c r="A47" s="218" t="inlineStr">
        <is>
          <t>── BREAK-EVEN &amp; WEEKLY REVENUE TARGETS ──</t>
        </is>
      </c>
      <c r="B47" s="218" t="n"/>
      <c r="C47" s="218" t="n"/>
      <c r="D47" s="218" t="n"/>
      <c r="E47" s="218" t="n"/>
      <c r="F47" s="218" t="n"/>
      <c r="G47" s="218" t="n"/>
      <c r="H47" s="218" t="n"/>
    </row>
    <row r="48">
      <c r="A48" s="219" t="inlineStr">
        <is>
          <t>SCENARIO</t>
        </is>
      </c>
      <c r="B48" s="219" t="inlineStr">
        <is>
          <t>Fixed Costs ($)</t>
        </is>
      </c>
      <c r="C48" s="219" t="inlineStr">
        <is>
          <t>Avg Variable Costs ($)</t>
        </is>
      </c>
      <c r="D48" s="219" t="inlineStr">
        <is>
          <t>MIN Weekly Revenue ($)</t>
        </is>
      </c>
      <c r="E48" s="219" t="inlineStr">
        <is>
          <t>MIN Daily Revenue ($)</t>
        </is>
      </c>
      <c r="F48" s="219" t="inlineStr">
        <is>
          <t>Current Avg/Day ($)</t>
        </is>
      </c>
      <c r="G48" s="219" t="inlineStr">
        <is>
          <t>STATUS</t>
        </is>
      </c>
      <c r="H48" s="219" t="n"/>
    </row>
    <row r="49">
      <c r="A49" s="227" t="inlineStr">
        <is>
          <t>Without Mesero (NOW)</t>
        </is>
      </c>
      <c r="B49" s="228" t="n">
        <v>11250</v>
      </c>
      <c r="C49" s="229" t="n">
        <v>10500</v>
      </c>
      <c r="D49" s="230" t="n">
        <v>21750</v>
      </c>
      <c r="E49" s="231" t="n">
        <v>3625</v>
      </c>
      <c r="F49" s="227" t="n">
        <v>4011</v>
      </c>
      <c r="G49" s="227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32" t="inlineStr">
        <is>
          <t>With Mesero (~$2,250)</t>
        </is>
      </c>
      <c r="B50" s="233" t="n">
        <v>13500</v>
      </c>
      <c r="C50" s="234" t="n">
        <v>10500</v>
      </c>
      <c r="D50" s="235" t="n">
        <v>24000</v>
      </c>
      <c r="E50" s="236" t="n">
        <v>4000</v>
      </c>
      <c r="F50" s="232" t="n">
        <v>4011</v>
      </c>
      <c r="G50" s="232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37" t="inlineStr">
        <is>
          <t>Safety buffer (+15%)</t>
        </is>
      </c>
      <c r="B51" s="238" t="n">
        <v>11250</v>
      </c>
      <c r="C51" s="239" t="n">
        <v>10500</v>
      </c>
      <c r="D51" s="240" t="n">
        <v>25012</v>
      </c>
      <c r="E51" s="241" t="n">
        <v>4169</v>
      </c>
      <c r="F51" s="237" t="n">
        <v>4011</v>
      </c>
      <c r="G51" s="237" t="inlineStr">
        <is>
          <t>Target for healthy buffer: $4,169/day</t>
        </is>
      </c>
    </row>
    <row r="53">
      <c r="A53" s="242" t="inlineStr">
        <is>
          <t>NOTES:</t>
        </is>
      </c>
      <c r="B53" s="242" t="n"/>
      <c r="C53" s="242" t="n"/>
      <c r="D53" s="242" t="n"/>
      <c r="E53" s="242" t="n"/>
      <c r="F53" s="242" t="n"/>
      <c r="G53" s="242" t="n"/>
      <c r="H53" s="242" t="n"/>
    </row>
    <row r="54">
      <c r="A54" s="242" t="inlineStr">
        <is>
          <t>Variable costs = avg ingredients + supplies per week based on Weeks 1-2 actual data (~$10,500)</t>
        </is>
      </c>
      <c r="B54" s="242" t="n"/>
      <c r="C54" s="242" t="n"/>
      <c r="D54" s="242" t="n"/>
      <c r="E54" s="242" t="n"/>
      <c r="F54" s="242" t="n"/>
      <c r="G54" s="242" t="n"/>
      <c r="H54" s="242" t="n"/>
    </row>
    <row r="55">
      <c r="A55" s="242" t="inlineStr">
        <is>
          <t>Break-even revised: Rent+Maintenance confirmed $20,000/mo · Utilities est. $4,000/mo → Total overhead $24,000/mo</t>
        </is>
      </c>
      <c r="B55" s="242" t="n"/>
      <c r="C55" s="242" t="n"/>
      <c r="D55" s="242" t="n"/>
      <c r="E55" s="242" t="n"/>
      <c r="F55" s="242" t="n"/>
      <c r="G55" s="242" t="n"/>
      <c r="H55" s="242" t="n"/>
    </row>
    <row r="56">
      <c r="A56" s="242" t="inlineStr">
        <is>
          <t>Min daily (no mesero): $3,625 · With mesero: $4,000 · Comfortable target: $4,169+/day</t>
        </is>
      </c>
      <c r="B56" s="242" t="n"/>
      <c r="C56" s="242" t="n"/>
      <c r="D56" s="242" t="n"/>
      <c r="E56" s="242" t="n"/>
      <c r="F56" s="242" t="n"/>
      <c r="G56" s="242" t="n"/>
      <c r="H56" s="242" t="n"/>
    </row>
    <row r="57">
      <c r="A57" s="242" t="inlineStr">
        <is>
          <t>Utilities (electricity+gas) ~$4,000/mo is ESTIMATED — update when bills arrive</t>
        </is>
      </c>
      <c r="B57" s="242" t="n"/>
      <c r="C57" s="242" t="n"/>
      <c r="D57" s="242" t="n"/>
      <c r="E57" s="242" t="n"/>
      <c r="F57" s="242" t="n"/>
      <c r="G57" s="242" t="n"/>
      <c r="H57" s="242" t="n"/>
    </row>
    <row r="59" ht="15.6" customHeight="1" s="274"/>
    <row r="61" ht="15.6" customHeight="1" s="274">
      <c r="A61" s="218" t="inlineStr">
        <is>
          <t>── LOHITH PERSONAL LEDGER — OWNER BALANCE TRACKER ──</t>
        </is>
      </c>
      <c r="B61" s="218" t="n"/>
      <c r="C61" s="218" t="n"/>
      <c r="D61" s="218" t="n"/>
      <c r="E61" s="218" t="n"/>
      <c r="F61" s="218" t="n"/>
      <c r="G61" s="218" t="n"/>
      <c r="H61" s="218" t="n"/>
    </row>
    <row r="62">
      <c r="A62" s="219" t="inlineStr">
        <is>
          <t>Date</t>
        </is>
      </c>
      <c r="B62" s="219" t="inlineStr">
        <is>
          <t>Description</t>
        </is>
      </c>
      <c r="C62" s="219" t="inlineStr">
        <is>
          <t>Type</t>
        </is>
      </c>
      <c r="D62" s="219" t="inlineStr">
        <is>
          <t>Spent by Lohith ($)</t>
        </is>
      </c>
      <c r="E62" s="219" t="inlineStr">
        <is>
          <t>Transferred to Lohith ($)</t>
        </is>
      </c>
      <c r="F62" s="219" t="inlineStr">
        <is>
          <t>Running Balance ($)</t>
        </is>
      </c>
      <c r="G62" s="219" t="inlineStr">
        <is>
          <t>Status</t>
        </is>
      </c>
      <c r="H62" s="219" t="inlineStr">
        <is>
          <t>Notes</t>
        </is>
      </c>
    </row>
    <row r="63">
      <c r="A63" s="243" t="n">
        <v>46174</v>
      </c>
      <c r="B63" s="244" t="inlineStr">
        <is>
          <t>Telmex Internet Bill (Mayo)</t>
        </is>
      </c>
      <c r="C63" s="245" t="inlineStr">
        <is>
          <t>Expense - Personal</t>
        </is>
      </c>
      <c r="D63" s="246" t="n">
        <v>349</v>
      </c>
      <c r="E63" s="247" t="n"/>
      <c r="F63" s="248">
        <f>IFERROR(D63-E63,0)</f>
        <v/>
      </c>
      <c r="G63" s="244" t="inlineStr">
        <is>
          <t>⏳ Reimburse</t>
        </is>
      </c>
      <c r="H63" s="249" t="inlineStr">
        <is>
          <t>Paid by Lohith — ⏳ Reimburse</t>
        </is>
      </c>
    </row>
    <row r="64">
      <c r="A64" s="250" t="n">
        <v>46174</v>
      </c>
      <c r="B64" s="227" t="inlineStr">
        <is>
          <t>Customer Transfer — Jun 1</t>
        </is>
      </c>
      <c r="C64" s="251" t="inlineStr">
        <is>
          <t>Transfer Received</t>
        </is>
      </c>
      <c r="D64" s="231" t="n"/>
      <c r="E64" s="230" t="n">
        <v>310</v>
      </c>
      <c r="F64" s="228">
        <f>IFERROR(F63+D64-E64,0)</f>
        <v/>
      </c>
      <c r="G64" s="227" t="inlineStr">
        <is>
          <t>✅</t>
        </is>
      </c>
      <c r="H64" s="252" t="inlineStr">
        <is>
          <t>✅ Received in Lohith account</t>
        </is>
      </c>
    </row>
    <row r="65">
      <c r="A65" s="250" t="n">
        <v>46175</v>
      </c>
      <c r="B65" s="227" t="inlineStr">
        <is>
          <t>Customer Transfer — Jun 2</t>
        </is>
      </c>
      <c r="C65" s="251" t="inlineStr">
        <is>
          <t>Transfer Received</t>
        </is>
      </c>
      <c r="D65" s="231" t="n"/>
      <c r="E65" s="230" t="n">
        <v>283</v>
      </c>
      <c r="F65" s="228">
        <f>IFERROR(F64+D65-E65,0)</f>
        <v/>
      </c>
      <c r="G65" s="227" t="inlineStr">
        <is>
          <t>✅</t>
        </is>
      </c>
      <c r="H65" s="252" t="inlineStr">
        <is>
          <t>✅ Received in Lohith account</t>
        </is>
      </c>
    </row>
    <row r="66">
      <c r="A66" s="250" t="n">
        <v>46176</v>
      </c>
      <c r="B66" s="227" t="inlineStr">
        <is>
          <t>Customer Transfer — Jun 3</t>
        </is>
      </c>
      <c r="C66" s="251" t="inlineStr">
        <is>
          <t>Transfer Received</t>
        </is>
      </c>
      <c r="D66" s="231" t="n"/>
      <c r="E66" s="230" t="n">
        <v>120</v>
      </c>
      <c r="F66" s="228">
        <f>IFERROR(F65+D66-E66,0)</f>
        <v/>
      </c>
      <c r="G66" s="227" t="inlineStr">
        <is>
          <t>✅</t>
        </is>
      </c>
      <c r="H66" s="252" t="inlineStr">
        <is>
          <t>✅ Received in Lohith account</t>
        </is>
      </c>
    </row>
    <row r="67">
      <c r="A67" s="243" t="n">
        <v>46177</v>
      </c>
      <c r="B67" s="244" t="inlineStr">
        <is>
          <t>Personal expenses — Huevos, Ajonjoli, Verduras</t>
        </is>
      </c>
      <c r="C67" s="245" t="inlineStr">
        <is>
          <t>Expense - Personal</t>
        </is>
      </c>
      <c r="D67" s="246" t="n">
        <v>358</v>
      </c>
      <c r="E67" s="247" t="n"/>
      <c r="F67" s="248">
        <f>IFERROR(F66+D67-E67,0)</f>
        <v/>
      </c>
      <c r="G67" s="244" t="inlineStr">
        <is>
          <t>⏳ Reimburse</t>
        </is>
      </c>
      <c r="H67" s="249" t="inlineStr">
        <is>
          <t>$69 Huevos + $44 Ajonjoli Blanco + $45 Ajonjoli Negro + $200 Verduras</t>
        </is>
      </c>
    </row>
    <row r="68">
      <c r="A68" s="253" t="n">
        <v>46177</v>
      </c>
      <c r="B68" s="232" t="inlineStr">
        <is>
          <t>Cash settlement — $6 added to restaurant</t>
        </is>
      </c>
      <c r="C68" s="254" t="inlineStr">
        <is>
          <t>Expense - Personal</t>
        </is>
      </c>
      <c r="D68" s="236" t="n">
        <v>6</v>
      </c>
      <c r="E68" s="235" t="n"/>
      <c r="F68" s="233">
        <f>IFERROR(F67+D68-E68,0)</f>
        <v/>
      </c>
      <c r="G68" s="232" t="inlineStr">
        <is>
          <t>✅ Settled</t>
        </is>
      </c>
      <c r="H68" s="255" t="inlineStr">
        <is>
          <t>Lohith added $6 cash to restaurant — balance now ZERO</t>
        </is>
      </c>
    </row>
    <row r="69">
      <c r="A69" s="250" t="n">
        <v>46178</v>
      </c>
      <c r="B69" s="227" t="inlineStr">
        <is>
          <t>Customer Transfer — Jun 5</t>
        </is>
      </c>
      <c r="C69" s="251" t="inlineStr">
        <is>
          <t>Transfer Received</t>
        </is>
      </c>
      <c r="D69" s="231" t="n"/>
      <c r="E69" s="230" t="n">
        <v>135</v>
      </c>
      <c r="F69" s="228">
        <f>IFERROR(F68+D69-E69,0)</f>
        <v/>
      </c>
      <c r="G69" s="227" t="inlineStr">
        <is>
          <t>✅ Received</t>
        </is>
      </c>
      <c r="H69" s="252" t="inlineStr">
        <is>
          <t>✅ Received in Lohith account — Jun 5</t>
        </is>
      </c>
    </row>
    <row r="70">
      <c r="A70" s="243" t="n">
        <v>46177</v>
      </c>
      <c r="B70" s="244" t="inlineStr">
        <is>
          <t>Renta + Mantenimiento Junio 2026</t>
        </is>
      </c>
      <c r="C70" s="245" t="inlineStr">
        <is>
          <t>Expense - Personal</t>
        </is>
      </c>
      <c r="D70" s="246" t="n">
        <v>20000</v>
      </c>
      <c r="E70" s="247" t="n"/>
      <c r="F70" s="248">
        <f>IFERROR(F69+D70-E70,0)</f>
        <v/>
      </c>
      <c r="G70" s="244" t="inlineStr">
        <is>
          <t>⏳ Reimburse</t>
        </is>
      </c>
      <c r="H70" s="249" t="inlineStr">
        <is>
          <t>Rent $15,000 + Maintenance $5,000 — paid personally by Lohith on 4 Jun</t>
        </is>
      </c>
    </row>
    <row r="71">
      <c r="A71" s="250" t="n">
        <v>46181</v>
      </c>
      <c r="B71" s="227" t="inlineStr">
        <is>
          <t>Customer Transfer — Jun 8</t>
        </is>
      </c>
      <c r="C71" s="251" t="inlineStr">
        <is>
          <t>Transfer Received</t>
        </is>
      </c>
      <c r="D71" s="231" t="n"/>
      <c r="E71" s="230" t="n">
        <v>99</v>
      </c>
      <c r="F71" s="228">
        <f>IFERROR(F70+D71-E71,0)</f>
        <v/>
      </c>
      <c r="G71" s="227" t="inlineStr">
        <is>
          <t>✅ Received</t>
        </is>
      </c>
      <c r="H71" s="252" t="inlineStr">
        <is>
          <t>✅ Received in Lohith account — Jun 8</t>
        </is>
      </c>
    </row>
    <row r="72">
      <c r="A72" s="265" t="n">
        <v>46183</v>
      </c>
      <c r="B72" s="266" t="inlineStr">
        <is>
          <t>Chedraui Paseo — Groceries (elote, chile, tomate, tortillas, bolillo)</t>
        </is>
      </c>
      <c r="C72" s="267" t="inlineStr">
        <is>
          <t>Expense - Personal</t>
        </is>
      </c>
      <c r="D72" s="268" t="n">
        <v>236.81</v>
      </c>
      <c r="F72" s="269">
        <f>IFERROR(F71+D72-E72,0)</f>
        <v/>
      </c>
      <c r="G72" s="266" t="inlineStr">
        <is>
          <t>⏳ Reimburse</t>
        </is>
      </c>
      <c r="H72" s="242" t="inlineStr">
        <is>
          <t>Paid personally by Lohith — HSBC **5543</t>
        </is>
      </c>
    </row>
    <row r="73">
      <c r="A73" s="265" t="n">
        <v>46183</v>
      </c>
      <c r="B73" s="266" t="inlineStr">
        <is>
          <t>Office Depot — Comanda Restaurante</t>
        </is>
      </c>
      <c r="C73" s="267" t="inlineStr">
        <is>
          <t>Expense - Personal</t>
        </is>
      </c>
      <c r="D73" s="268" t="n">
        <v>59</v>
      </c>
      <c r="F73" s="269">
        <f>IFERROR(F72+D73-E73,0)</f>
        <v/>
      </c>
      <c r="G73" s="266" t="inlineStr">
        <is>
          <t>⏳ Reimburse</t>
        </is>
      </c>
      <c r="H73" s="242" t="inlineStr">
        <is>
          <t>Paid personally by Lohith — MC **5543</t>
        </is>
      </c>
    </row>
    <row r="74">
      <c r="A74" s="265" t="n">
        <v>46184</v>
      </c>
      <c r="B74" s="266" t="inlineStr">
        <is>
          <t>ALICO — Ala de Pollo, Papa Harvest 13.62kg, Boneless Freskecito</t>
        </is>
      </c>
      <c r="C74" s="267" t="inlineStr">
        <is>
          <t>Expense - Personal</t>
        </is>
      </c>
      <c r="D74" s="268" t="n">
        <v>2865</v>
      </c>
      <c r="F74" s="269">
        <f>IFERROR(F73+D74-E74,0)</f>
        <v/>
      </c>
      <c r="G74" s="266" t="inlineStr">
        <is>
          <t>⏳ Reimburse</t>
        </is>
      </c>
      <c r="H74" s="242" t="inlineStr">
        <is>
          <t>Restaurant ingredients paid personally by Lohith (transfer) — 11 Jun</t>
        </is>
      </c>
    </row>
    <row r="75">
      <c r="A75" s="265" t="n">
        <v>46184</v>
      </c>
      <c r="B75" s="266" t="inlineStr">
        <is>
          <t>Pollería — Muslo de Pollo 4.70 kg</t>
        </is>
      </c>
      <c r="C75" s="267" t="inlineStr">
        <is>
          <t>Expense - Personal</t>
        </is>
      </c>
      <c r="D75" s="268" t="n">
        <v>235</v>
      </c>
      <c r="F75" s="269">
        <f>IFERROR(F74+D75-E75,0)</f>
        <v/>
      </c>
      <c r="G75" s="266" t="inlineStr">
        <is>
          <t>⏳ Reimburse</t>
        </is>
      </c>
      <c r="H75" s="242" t="inlineStr">
        <is>
          <t>Restaurant ingredients paid personally by Lohith (transfer) — 11 Jun</t>
        </is>
      </c>
    </row>
    <row r="76">
      <c r="A76" s="265" t="n">
        <v>46188</v>
      </c>
      <c r="B76" s="266" t="inlineStr">
        <is>
          <t>Chedraui — Tortillas, Bolillo, Rosca de Nuez</t>
        </is>
      </c>
      <c r="C76" s="267" t="inlineStr">
        <is>
          <t>Expense - Personal</t>
        </is>
      </c>
      <c r="D76" s="268" t="n">
        <v>160.33</v>
      </c>
      <c r="F76" s="269">
        <f>IFERROR(F75+D76-E76,0)</f>
        <v/>
      </c>
      <c r="G76" s="266" t="inlineStr">
        <is>
          <t>⏳ Reimburse</t>
        </is>
      </c>
      <c r="H76" s="242" t="inlineStr">
        <is>
          <t>HSBC **5543 — paid by Lohith 15 Jun</t>
        </is>
      </c>
    </row>
    <row r="77">
      <c r="A77" s="265" t="n">
        <v>46188</v>
      </c>
      <c r="B77" s="266" t="inlineStr">
        <is>
          <t>OXXO Pathe — Aceite Vegetal (2)</t>
        </is>
      </c>
      <c r="C77" s="267" t="inlineStr">
        <is>
          <t>Expense - Personal</t>
        </is>
      </c>
      <c r="D77" s="268" t="n">
        <v>104</v>
      </c>
      <c r="F77" s="269">
        <f>IFERROR(F76+D77-E77,0)</f>
        <v/>
      </c>
      <c r="G77" s="266" t="inlineStr">
        <is>
          <t>⏳ Reimburse</t>
        </is>
      </c>
      <c r="H77" s="242" t="inlineStr">
        <is>
          <t>HSBC **5543 — paid by Lohith 15 Jun</t>
        </is>
      </c>
    </row>
    <row r="78">
      <c r="A78" s="265" t="n">
        <v>46188</v>
      </c>
      <c r="B78" s="266" t="inlineStr">
        <is>
          <t>Miscelánea LC — Ribeye, Chuleta, Bistec</t>
        </is>
      </c>
      <c r="C78" s="267" t="inlineStr">
        <is>
          <t>Expense - Personal</t>
        </is>
      </c>
      <c r="D78" s="268" t="n">
        <v>1015</v>
      </c>
      <c r="F78" s="269">
        <f>IFERROR(F77+D78-E78,0)</f>
        <v/>
      </c>
      <c r="G78" s="266" t="inlineStr">
        <is>
          <t>⏳ Reimburse</t>
        </is>
      </c>
      <c r="H78" s="242" t="inlineStr">
        <is>
          <t>HSBC **5543 — paid by Lohith 15 Jun</t>
        </is>
      </c>
    </row>
    <row r="79">
      <c r="A79" s="265" t="n">
        <v>46188</v>
      </c>
      <c r="B79" s="266" t="inlineStr">
        <is>
          <t>Transfer from Restaurant account</t>
        </is>
      </c>
      <c r="C79" s="267" t="inlineStr">
        <is>
          <t>Reimbursement</t>
        </is>
      </c>
      <c r="E79" t="n">
        <v>3162</v>
      </c>
      <c r="F79" s="269">
        <f>IFERROR(F78+D79-E79,0)</f>
        <v/>
      </c>
      <c r="G79" s="266" t="inlineStr">
        <is>
          <t>✅ Received</t>
        </is>
      </c>
      <c r="H79" s="242" t="inlineStr">
        <is>
          <t>Bank transfer to Lohith</t>
        </is>
      </c>
    </row>
    <row r="80">
      <c r="A80" s="265" t="n">
        <v>46188</v>
      </c>
      <c r="B80" s="266" t="inlineStr">
        <is>
          <t>15 Jun card expenses reimbursed (Chedraui+OXXO+Miscelánea)</t>
        </is>
      </c>
      <c r="C80" s="267" t="inlineStr">
        <is>
          <t>Reimbursement</t>
        </is>
      </c>
      <c r="E80" t="n">
        <v>1279.33</v>
      </c>
      <c r="F80" s="269">
        <f>IFERROR(F79+D80-E80,0)</f>
        <v/>
      </c>
      <c r="G80" s="266" t="inlineStr">
        <is>
          <t>✅ Received</t>
        </is>
      </c>
      <c r="H80" s="242" t="inlineStr">
        <is>
          <t>HSBC **5543 items repaid same day</t>
        </is>
      </c>
    </row>
    <row r="81">
      <c r="A81" s="226" t="inlineStr">
        <is>
          <t>TOTALS &amp; CURRENT BALANCE</t>
        </is>
      </c>
      <c r="B81" s="219" t="n"/>
      <c r="C81" s="219" t="n"/>
      <c r="D81" s="256">
        <f>SUM(D63:D80)</f>
        <v/>
      </c>
      <c r="E81" s="257">
        <f>SUM(E63:E80)</f>
        <v/>
      </c>
      <c r="F81" s="258">
        <f>F80</f>
        <v/>
      </c>
      <c r="G81" s="226">
        <f>IF(F80&gt;0,"⏳ Restaurant owes Lohith $"&amp;TEXT(F80,"#,##0"),IF(F80&lt;0,"💵 Lohith holds $"&amp;TEXT(ABS(F80),"#,##0"),"✅ Zero balance"))</f>
        <v/>
      </c>
    </row>
    <row r="82"/>
    <row r="83">
      <c r="A83" s="242" t="inlineStr">
        <is>
          <t>HOW TO USE:</t>
        </is>
      </c>
      <c r="B83" s="242" t="n"/>
      <c r="C83" s="242" t="n"/>
      <c r="D83" s="242" t="n"/>
      <c r="E83" s="242" t="n"/>
      <c r="F83" s="242" t="n"/>
      <c r="G83" s="242" t="n"/>
      <c r="H83" s="242" t="n"/>
    </row>
    <row r="84">
      <c r="A84" s="242" t="inlineStr">
        <is>
          <t>Add new rows above TOTALS. Spent by Lohith = restaurant expenses he paid personally.</t>
        </is>
      </c>
      <c r="B84" s="242" t="n"/>
      <c r="C84" s="242" t="n"/>
      <c r="D84" s="242" t="n"/>
      <c r="E84" s="242" t="n"/>
      <c r="F84" s="242" t="n"/>
      <c r="G84" s="242" t="n"/>
      <c r="H84" s="242" t="n"/>
    </row>
    <row r="85">
      <c r="A85" s="242" t="inlineStr">
        <is>
          <t>Transferred to Lohith = customer bank transfers received in his personal account.</t>
        </is>
      </c>
      <c r="B85" s="242" t="n"/>
      <c r="C85" s="242" t="n"/>
      <c r="D85" s="242" t="n"/>
      <c r="E85" s="242" t="n"/>
      <c r="F85" s="242" t="n"/>
      <c r="G85" s="242" t="n"/>
      <c r="H85" s="242" t="n"/>
    </row>
    <row r="86">
      <c r="A86" s="242" t="inlineStr">
        <is>
          <t>Positive balance = restaurant owes Lohith. Negative = Lohith holds restaurant funds.</t>
        </is>
      </c>
      <c r="B86" s="242" t="n"/>
      <c r="C86" s="242" t="n"/>
      <c r="D86" s="242" t="n"/>
      <c r="E86" s="242" t="n"/>
      <c r="F86" s="242" t="n"/>
      <c r="G86" s="242" t="n"/>
      <c r="H86" s="242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4" min="1" max="1"/>
    <col width="14" customWidth="1" style="274" min="2" max="2"/>
    <col width="22" customWidth="1" style="274" min="3" max="3"/>
    <col width="20" customWidth="1" style="274" min="4" max="4"/>
    <col width="12" customWidth="1" style="274" min="5" max="5"/>
    <col width="10" customWidth="1" style="274" min="6" max="6"/>
    <col width="12" customWidth="1" style="274" min="7" max="7"/>
    <col width="14" customWidth="1" style="274" min="8" max="9"/>
    <col width="18" customWidth="1" style="274" min="10" max="10"/>
    <col width="16" customWidth="1" style="274" min="11" max="11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4">
      <c r="A2" s="340" t="inlineStr">
        <is>
          <t>🚚  LOKA — SUPPLIER ORDERS</t>
        </is>
      </c>
      <c r="F2" s="313" t="inlineStr">
        <is>
          <t>Track purchase orders from suppliers</t>
        </is>
      </c>
    </row>
    <row r="3" ht="3.75" customHeight="1" s="274">
      <c r="A3" s="323" t="n"/>
    </row>
    <row r="4" ht="7.5" customHeight="1" s="274"/>
    <row r="5" ht="18" customHeight="1" s="274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4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4"/>
    <row r="8" ht="19.5" customHeight="1" s="274">
      <c r="B8" s="349" t="n"/>
      <c r="C8" s="284" t="n"/>
      <c r="D8" s="284" t="n"/>
      <c r="E8" s="284" t="n"/>
      <c r="F8" s="284" t="n"/>
      <c r="G8" s="284" t="n"/>
      <c r="H8" s="284" t="n"/>
      <c r="I8" s="284" t="n"/>
      <c r="J8" s="284" t="n"/>
      <c r="K8" s="284" t="n"/>
    </row>
    <row r="9" ht="27.75" customHeight="1" s="274">
      <c r="B9" s="279" t="n"/>
      <c r="C9" s="279" t="n"/>
      <c r="D9" s="279" t="n"/>
      <c r="E9" s="279" t="n"/>
      <c r="F9" s="279" t="n"/>
      <c r="G9" s="279" t="n"/>
      <c r="H9" s="279" t="n"/>
      <c r="I9" s="279" t="n"/>
      <c r="J9" s="279" t="n"/>
      <c r="K9" s="279" t="n"/>
    </row>
    <row r="10" ht="15.75" customHeight="1" s="274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4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4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4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4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4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4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4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4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4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4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4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4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4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4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4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4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4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4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4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4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4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4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4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4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4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4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4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4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4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4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4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4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4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4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4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4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4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4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4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4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4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4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4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4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4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4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4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4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4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4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4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4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4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4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4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4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4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4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4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4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4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4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4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4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4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4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4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4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4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4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4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4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4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4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4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4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4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4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4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4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4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4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4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4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4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4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4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4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4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4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4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4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4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4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4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4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4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4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4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4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4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4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4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4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4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4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4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4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4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4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4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4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4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4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4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4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4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4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4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4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4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4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4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4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4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4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4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4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4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4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4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4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4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4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4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4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4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4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4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4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4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4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4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4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4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4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4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4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4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4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4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4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4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4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4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4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4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4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4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4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4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4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4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4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4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4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4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4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4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4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4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4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4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4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4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4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4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4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4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4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4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4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4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4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4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4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4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4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4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4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4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4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4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4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4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4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4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4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4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4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4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4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4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4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4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4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4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4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4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4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4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4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4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4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4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4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4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4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4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4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4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4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4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4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4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4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4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4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4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4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4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4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4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4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4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4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4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4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4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4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4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4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4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4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4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4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4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4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4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4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4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4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4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4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4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4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4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4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4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4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4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4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4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4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4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4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4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4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4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4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4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4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4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4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4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4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4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4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4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4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4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4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4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4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4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4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4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4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4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4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4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4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4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4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4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4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4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4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4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4" min="2" max="2"/>
    <col width="14.33203125" bestFit="1" customWidth="1" style="274" min="3" max="3"/>
    <col width="44" bestFit="1" customWidth="1" style="274" min="4" max="4"/>
    <col width="87.77734375" bestFit="1" customWidth="1" style="274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4" customWidth="1" style="274" min="1" max="1"/>
    <col width="30" customWidth="1" style="274" min="2" max="2"/>
    <col width="16" customWidth="1" style="274" min="3" max="8"/>
    <col width="18" customWidth="1" style="274" min="9" max="9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37.5" customHeight="1" s="274">
      <c r="A2" s="340" t="inlineStr">
        <is>
          <t>📈  LOKA — MONTHLY P&amp;L</t>
        </is>
      </c>
      <c r="E2" s="313" t="inlineStr">
        <is>
          <t>Revenue &amp; Expense summary — fill monthly totals from Daily Log &amp; Expenses</t>
        </is>
      </c>
    </row>
    <row r="3" ht="3.75" customHeight="1" s="274">
      <c r="A3" s="323" t="n"/>
    </row>
    <row r="4" ht="7.5" customHeight="1" s="274"/>
    <row r="5" ht="9.75" customHeight="1" s="274"/>
    <row r="6" ht="21.75" customHeight="1" s="274">
      <c r="B6" s="133" t="inlineStr">
        <is>
          <t>YEAR:</t>
        </is>
      </c>
      <c r="C6" s="134" t="n">
        <v>2025</v>
      </c>
    </row>
    <row r="7" ht="7.5" customHeight="1" s="274">
      <c r="C7" t="n">
        <v>2026</v>
      </c>
    </row>
    <row r="8" ht="27.75" customHeight="1" s="274">
      <c r="B8" s="279" t="n"/>
      <c r="C8" s="279" t="n"/>
      <c r="D8" s="279" t="n"/>
      <c r="E8" s="279" t="n"/>
      <c r="F8" s="279" t="n"/>
      <c r="G8" s="279" t="n"/>
      <c r="H8" s="279" t="n"/>
      <c r="I8" s="279" t="n"/>
    </row>
    <row r="9" ht="19.5" customHeight="1" s="274">
      <c r="B9" s="298" t="n"/>
      <c r="C9" s="299" t="n"/>
      <c r="D9" s="299" t="n"/>
      <c r="E9" s="299" t="n"/>
      <c r="F9" s="299" t="n"/>
      <c r="G9" s="299" t="n"/>
      <c r="H9" s="299" t="n"/>
      <c r="I9" s="299" t="n"/>
    </row>
    <row r="10" ht="18" customHeight="1" s="274">
      <c r="B10" s="135" t="n"/>
      <c r="C10" s="93" t="n"/>
      <c r="D10" s="93" t="n"/>
      <c r="E10" s="93" t="n"/>
      <c r="F10" s="93" t="n"/>
      <c r="G10" s="93" t="n"/>
      <c r="H10" s="93" t="n"/>
      <c r="I10" s="116" t="n"/>
    </row>
    <row r="11" ht="19.5" customHeight="1" s="274">
      <c r="B11" s="298" t="n"/>
      <c r="C11" s="299" t="n"/>
      <c r="D11" s="299" t="n"/>
      <c r="E11" s="299" t="n"/>
      <c r="F11" s="299" t="n"/>
      <c r="G11" s="299" t="n"/>
      <c r="H11" s="299" t="n"/>
      <c r="I11" s="299" t="n"/>
    </row>
    <row r="12" ht="18" customHeight="1" s="274">
      <c r="B12" s="136" t="n"/>
      <c r="C12" s="93" t="n"/>
      <c r="D12" s="93" t="n"/>
      <c r="E12" s="93" t="n"/>
      <c r="F12" s="93" t="n"/>
      <c r="G12" s="93" t="n"/>
      <c r="H12" s="93" t="n"/>
      <c r="I12" s="137" t="n"/>
    </row>
    <row r="13" ht="18" customHeight="1" s="274">
      <c r="B13" s="138" t="n"/>
      <c r="C13" s="86" t="n"/>
      <c r="D13" s="86" t="n"/>
      <c r="E13" s="86" t="n"/>
      <c r="F13" s="86" t="n"/>
      <c r="G13" s="86" t="n"/>
      <c r="H13" s="86" t="n"/>
      <c r="I13" s="139" t="n"/>
    </row>
    <row r="14" ht="18" customHeight="1" s="274">
      <c r="B14" s="140" t="n"/>
      <c r="C14" s="114" t="n"/>
      <c r="D14" s="114" t="n"/>
      <c r="E14" s="114" t="n"/>
      <c r="F14" s="114" t="n"/>
      <c r="G14" s="114" t="n"/>
      <c r="H14" s="114" t="n"/>
      <c r="I14" s="114" t="n"/>
    </row>
    <row r="15" ht="18" customHeight="1" s="274">
      <c r="B15" s="141" t="n"/>
      <c r="C15" s="112" t="n"/>
      <c r="D15" s="112" t="n"/>
      <c r="E15" s="112" t="n"/>
      <c r="F15" s="112" t="n"/>
      <c r="G15" s="112" t="n"/>
      <c r="H15" s="112" t="n"/>
      <c r="I15" s="112" t="n"/>
    </row>
    <row r="16" ht="18" customHeight="1" s="274">
      <c r="B16" s="142" t="n"/>
      <c r="C16" s="143" t="n"/>
      <c r="D16" s="143" t="n"/>
      <c r="E16" s="143" t="n"/>
      <c r="F16" s="143" t="n"/>
      <c r="G16" s="143" t="n"/>
      <c r="H16" s="143" t="n"/>
      <c r="I16" s="143" t="n"/>
    </row>
    <row r="17" ht="19.5" customHeight="1" s="274">
      <c r="B17" s="298" t="n"/>
      <c r="C17" s="299" t="n"/>
      <c r="D17" s="299" t="n"/>
      <c r="E17" s="299" t="n"/>
      <c r="F17" s="299" t="n"/>
      <c r="G17" s="299" t="n"/>
      <c r="H17" s="299" t="n"/>
      <c r="I17" s="299" t="n"/>
    </row>
    <row r="18" ht="18" customHeight="1" s="274">
      <c r="B18" s="136" t="n"/>
      <c r="C18" s="93" t="n"/>
      <c r="D18" s="93" t="n"/>
      <c r="E18" s="93" t="n"/>
      <c r="F18" s="93" t="n"/>
      <c r="G18" s="93" t="n"/>
      <c r="H18" s="93" t="n"/>
      <c r="I18" s="137" t="n"/>
    </row>
    <row r="19" ht="18" customHeight="1" s="274">
      <c r="B19" s="138" t="n"/>
      <c r="C19" s="86" t="n"/>
      <c r="D19" s="86" t="n"/>
      <c r="E19" s="86" t="n"/>
      <c r="F19" s="86" t="n"/>
      <c r="G19" s="86" t="n"/>
      <c r="H19" s="86" t="n"/>
      <c r="I19" s="139" t="n"/>
    </row>
    <row r="20" ht="18" customHeight="1" s="274">
      <c r="B20" s="136" t="n"/>
      <c r="C20" s="93" t="n"/>
      <c r="D20" s="93" t="n"/>
      <c r="E20" s="93" t="n"/>
      <c r="F20" s="93" t="n"/>
      <c r="G20" s="93" t="n"/>
      <c r="H20" s="93" t="n"/>
      <c r="I20" s="137" t="n"/>
    </row>
    <row r="21" ht="18" customHeight="1" s="274">
      <c r="B21" s="138" t="n"/>
      <c r="C21" s="86" t="n"/>
      <c r="D21" s="86" t="n"/>
      <c r="E21" s="86" t="n"/>
      <c r="F21" s="86" t="n"/>
      <c r="G21" s="86" t="n"/>
      <c r="H21" s="86" t="n"/>
      <c r="I21" s="139" t="n"/>
    </row>
    <row r="22" ht="18" customHeight="1" s="274">
      <c r="B22" s="136" t="n"/>
      <c r="C22" s="93" t="n"/>
      <c r="D22" s="93" t="n"/>
      <c r="E22" s="93" t="n"/>
      <c r="F22" s="93" t="n"/>
      <c r="G22" s="93" t="n"/>
      <c r="H22" s="93" t="n"/>
      <c r="I22" s="137" t="n"/>
    </row>
    <row r="23" ht="18" customHeight="1" s="274">
      <c r="B23" s="140" t="n"/>
      <c r="C23" s="114" t="n"/>
      <c r="D23" s="114" t="n"/>
      <c r="E23" s="114" t="n"/>
      <c r="F23" s="114" t="n"/>
      <c r="G23" s="114" t="n"/>
      <c r="H23" s="114" t="n"/>
      <c r="I23" s="114" t="n"/>
    </row>
    <row r="24" ht="18" customHeight="1" s="274">
      <c r="B24" s="144" t="n"/>
      <c r="C24" s="145" t="n"/>
      <c r="D24" s="145" t="n"/>
      <c r="E24" s="145" t="n"/>
      <c r="F24" s="145" t="n"/>
      <c r="G24" s="145" t="n"/>
      <c r="H24" s="145" t="n"/>
      <c r="I24" s="145" t="n"/>
    </row>
    <row r="25" ht="18" customHeight="1" s="274">
      <c r="B25" s="146" t="n"/>
      <c r="C25" s="147" t="n"/>
      <c r="D25" s="147" t="n"/>
      <c r="E25" s="147" t="n"/>
      <c r="F25" s="147" t="n"/>
      <c r="G25" s="147" t="n"/>
      <c r="H25" s="147" t="n"/>
      <c r="I25" s="147" t="n"/>
    </row>
    <row r="26" ht="18" customHeight="1" s="274">
      <c r="B26" s="136" t="n"/>
      <c r="C26" s="93" t="n"/>
      <c r="D26" s="93" t="n"/>
      <c r="E26" s="93" t="n"/>
      <c r="F26" s="93" t="n"/>
      <c r="G26" s="93" t="n"/>
      <c r="H26" s="93" t="n"/>
      <c r="I26" s="137" t="n"/>
    </row>
    <row r="27" ht="18" customHeight="1" s="274">
      <c r="B27" s="138" t="n"/>
      <c r="C27" s="86" t="n"/>
      <c r="D27" s="86" t="n"/>
      <c r="E27" s="86" t="n"/>
      <c r="F27" s="86" t="n"/>
      <c r="G27" s="86" t="n"/>
      <c r="H27" s="86" t="n"/>
      <c r="I27" s="139" t="n"/>
    </row>
    <row r="28" ht="18" customHeight="1" s="274">
      <c r="B28" s="141" t="n"/>
      <c r="C28" s="112" t="n"/>
      <c r="D28" s="112" t="n"/>
      <c r="E28" s="112" t="n"/>
      <c r="F28" s="112" t="n"/>
      <c r="G28" s="112" t="n"/>
      <c r="H28" s="112" t="n"/>
      <c r="I28" s="112" t="n"/>
    </row>
    <row r="29" ht="18" customHeight="1" s="274">
      <c r="B29" s="142" t="n"/>
      <c r="C29" s="143" t="n"/>
      <c r="D29" s="143" t="n"/>
      <c r="E29" s="143" t="n"/>
      <c r="F29" s="143" t="n"/>
      <c r="G29" s="143" t="n"/>
      <c r="H29" s="143" t="n"/>
      <c r="I29" s="143" t="n"/>
    </row>
    <row r="30" ht="19.5" customHeight="1" s="274">
      <c r="B30" s="298" t="n"/>
      <c r="C30" s="299" t="n"/>
      <c r="D30" s="299" t="n"/>
      <c r="E30" s="299" t="n"/>
      <c r="F30" s="299" t="n"/>
      <c r="G30" s="299" t="n"/>
      <c r="H30" s="299" t="n"/>
      <c r="I30" s="299" t="n"/>
    </row>
    <row r="31" ht="18" customHeight="1" s="274">
      <c r="B31" s="109" t="n"/>
      <c r="C31" s="111" t="n"/>
      <c r="D31" s="111" t="n"/>
      <c r="E31" s="111" t="n"/>
      <c r="F31" s="111" t="n"/>
      <c r="G31" s="111" t="n"/>
      <c r="H31" s="111" t="n"/>
      <c r="I31" s="148" t="n"/>
    </row>
    <row r="32" ht="18" customHeight="1" s="274">
      <c r="B32" s="115" t="n"/>
      <c r="C32" s="149" t="n"/>
      <c r="D32" s="149" t="n"/>
      <c r="E32" s="149" t="n"/>
      <c r="F32" s="149" t="n"/>
      <c r="G32" s="149" t="n"/>
      <c r="H32" s="149" t="n"/>
      <c r="I32" s="149" t="n"/>
    </row>
    <row r="33" ht="18" customHeight="1" s="274">
      <c r="B33" s="109" t="n"/>
      <c r="C33" s="111" t="n"/>
      <c r="D33" s="111" t="n"/>
      <c r="E33" s="111" t="n"/>
      <c r="F33" s="111" t="n"/>
      <c r="G33" s="111" t="n"/>
      <c r="H33" s="111" t="n"/>
      <c r="I33" s="148" t="n"/>
    </row>
    <row r="34" ht="18" customHeight="1" s="274">
      <c r="B34" s="115" t="n"/>
      <c r="C34" s="149" t="n"/>
      <c r="D34" s="149" t="n"/>
      <c r="E34" s="149" t="n"/>
      <c r="F34" s="149" t="n"/>
      <c r="G34" s="149" t="n"/>
      <c r="H34" s="149" t="n"/>
      <c r="I34" s="149" t="n"/>
    </row>
    <row r="35" ht="7.5" customHeight="1" s="274"/>
    <row r="36" ht="19.5" customHeight="1" s="274">
      <c r="B36" s="298" t="n"/>
      <c r="C36" s="299" t="n"/>
      <c r="D36" s="299" t="n"/>
      <c r="E36" s="299" t="n"/>
      <c r="F36" s="299" t="n"/>
      <c r="G36" s="299" t="n"/>
      <c r="H36" s="299" t="n"/>
      <c r="I36" s="299" t="n"/>
    </row>
    <row r="37" ht="27.75" customHeight="1" s="274">
      <c r="B37" s="279" t="n"/>
      <c r="C37" s="279" t="n"/>
      <c r="D37" s="279" t="n"/>
      <c r="E37" s="279" t="n"/>
      <c r="F37" s="279" t="n"/>
      <c r="G37" s="279" t="n"/>
      <c r="H37" s="279" t="n"/>
      <c r="I37" s="279" t="n"/>
    </row>
    <row r="38" ht="18" customHeight="1" s="274">
      <c r="B38" s="135" t="n"/>
      <c r="C38" s="93" t="n"/>
      <c r="D38" s="93" t="n"/>
      <c r="E38" s="93" t="n"/>
      <c r="F38" s="93" t="n"/>
      <c r="G38" s="93" t="n"/>
      <c r="H38" s="93" t="n"/>
      <c r="I38" s="93" t="n"/>
    </row>
    <row r="39" ht="18" customHeight="1" s="274">
      <c r="B39" s="136" t="n"/>
      <c r="C39" s="93" t="n"/>
      <c r="D39" s="93" t="n"/>
      <c r="E39" s="93" t="n"/>
      <c r="F39" s="93" t="n"/>
      <c r="G39" s="93" t="n"/>
      <c r="H39" s="93" t="n"/>
      <c r="I39" s="93" t="n"/>
    </row>
    <row r="40" ht="18" customHeight="1" s="274">
      <c r="B40" s="138" t="n"/>
      <c r="C40" s="86" t="n"/>
      <c r="D40" s="86" t="n"/>
      <c r="E40" s="86" t="n"/>
      <c r="F40" s="86" t="n"/>
      <c r="G40" s="86" t="n"/>
      <c r="H40" s="86" t="n"/>
      <c r="I40" s="86" t="n"/>
    </row>
    <row r="41" ht="18" customHeight="1" s="274">
      <c r="B41" s="140" t="n"/>
      <c r="C41" s="150" t="n"/>
      <c r="D41" s="150" t="n"/>
      <c r="E41" s="150" t="n"/>
      <c r="F41" s="150" t="n"/>
      <c r="G41" s="150" t="n"/>
      <c r="H41" s="150" t="n"/>
      <c r="I41" s="150" t="n"/>
    </row>
    <row r="42" ht="18" customHeight="1" s="274">
      <c r="B42" s="141" t="n"/>
      <c r="C42" s="151" t="n"/>
      <c r="D42" s="151" t="n"/>
      <c r="E42" s="151" t="n"/>
      <c r="F42" s="151" t="n"/>
      <c r="G42" s="151" t="n"/>
      <c r="H42" s="151" t="n"/>
      <c r="I42" s="151" t="n"/>
    </row>
    <row r="43" ht="18" customHeight="1" s="274">
      <c r="B43" s="135" t="n"/>
      <c r="C43" s="119" t="n"/>
      <c r="D43" s="119" t="n"/>
      <c r="E43" s="119" t="n"/>
      <c r="F43" s="119" t="n"/>
      <c r="G43" s="119" t="n"/>
      <c r="H43" s="119" t="n"/>
      <c r="I43" s="119" t="n"/>
    </row>
    <row r="44" ht="18" customHeight="1" s="274">
      <c r="B44" s="136" t="n"/>
      <c r="C44" s="93" t="n"/>
      <c r="D44" s="93" t="n"/>
      <c r="E44" s="93" t="n"/>
      <c r="F44" s="93" t="n"/>
      <c r="G44" s="93" t="n"/>
      <c r="H44" s="93" t="n"/>
      <c r="I44" s="93" t="n"/>
    </row>
    <row r="45" ht="18" customHeight="1" s="274">
      <c r="B45" s="138" t="n"/>
      <c r="C45" s="86" t="n"/>
      <c r="D45" s="86" t="n"/>
      <c r="E45" s="86" t="n"/>
      <c r="F45" s="86" t="n"/>
      <c r="G45" s="86" t="n"/>
      <c r="H45" s="86" t="n"/>
      <c r="I45" s="86" t="n"/>
    </row>
    <row r="46" ht="18" customHeight="1" s="274">
      <c r="B46" s="136" t="n"/>
      <c r="C46" s="93" t="n"/>
      <c r="D46" s="93" t="n"/>
      <c r="E46" s="93" t="n"/>
      <c r="F46" s="93" t="n"/>
      <c r="G46" s="93" t="n"/>
      <c r="H46" s="93" t="n"/>
      <c r="I46" s="93" t="n"/>
    </row>
    <row r="47" ht="18" customHeight="1" s="274">
      <c r="B47" s="138" t="n"/>
      <c r="C47" s="86" t="n"/>
      <c r="D47" s="86" t="n"/>
      <c r="E47" s="86" t="n"/>
      <c r="F47" s="86" t="n"/>
      <c r="G47" s="86" t="n"/>
      <c r="H47" s="86" t="n"/>
      <c r="I47" s="86" t="n"/>
    </row>
    <row r="48" ht="18" customHeight="1" s="274">
      <c r="B48" s="136" t="n"/>
      <c r="C48" s="93" t="n"/>
      <c r="D48" s="93" t="n"/>
      <c r="E48" s="93" t="n"/>
      <c r="F48" s="93" t="n"/>
      <c r="G48" s="93" t="n"/>
      <c r="H48" s="93" t="n"/>
      <c r="I48" s="93" t="n"/>
    </row>
    <row r="49" ht="18" customHeight="1" s="274">
      <c r="B49" s="140" t="n"/>
      <c r="C49" s="150" t="n"/>
      <c r="D49" s="150" t="n"/>
      <c r="E49" s="150" t="n"/>
      <c r="F49" s="150" t="n"/>
      <c r="G49" s="150" t="n"/>
      <c r="H49" s="150" t="n"/>
      <c r="I49" s="150" t="n"/>
    </row>
    <row r="50" ht="18" customHeight="1" s="274">
      <c r="B50" s="152" t="n"/>
      <c r="C50" s="93" t="n"/>
      <c r="D50" s="93" t="n"/>
      <c r="E50" s="93" t="n"/>
      <c r="F50" s="93" t="n"/>
      <c r="G50" s="93" t="n"/>
      <c r="H50" s="93" t="n"/>
      <c r="I50" s="93" t="n"/>
    </row>
    <row r="51" ht="18" customHeight="1" s="274">
      <c r="B51" s="66" t="n"/>
      <c r="C51" s="113" t="n"/>
      <c r="D51" s="113" t="n"/>
      <c r="E51" s="113" t="n"/>
      <c r="F51" s="113" t="n"/>
      <c r="G51" s="113" t="n"/>
      <c r="H51" s="113" t="n"/>
      <c r="I51" s="113" t="n"/>
    </row>
    <row r="52" ht="18" customHeight="1" s="274">
      <c r="B52" s="136" t="n"/>
      <c r="C52" s="93" t="n"/>
      <c r="D52" s="93" t="n"/>
      <c r="E52" s="93" t="n"/>
      <c r="F52" s="93" t="n"/>
      <c r="G52" s="93" t="n"/>
      <c r="H52" s="93" t="n"/>
      <c r="I52" s="93" t="n"/>
    </row>
    <row r="53" ht="18" customHeight="1" s="274">
      <c r="B53" s="138" t="n"/>
      <c r="C53" s="86" t="n"/>
      <c r="D53" s="86" t="n"/>
      <c r="E53" s="86" t="n"/>
      <c r="F53" s="86" t="n"/>
      <c r="G53" s="86" t="n"/>
      <c r="H53" s="86" t="n"/>
      <c r="I53" s="86" t="n"/>
    </row>
    <row r="54" ht="18" customHeight="1" s="274">
      <c r="B54" s="141" t="n"/>
      <c r="C54" s="151" t="n"/>
      <c r="D54" s="151" t="n"/>
      <c r="E54" s="151" t="n"/>
      <c r="F54" s="151" t="n"/>
      <c r="G54" s="151" t="n"/>
      <c r="H54" s="151" t="n"/>
      <c r="I54" s="151" t="n"/>
    </row>
    <row r="55" ht="18" customHeight="1" s="274">
      <c r="B55" s="153" t="n"/>
      <c r="C55" s="113" t="n"/>
      <c r="D55" s="113" t="n"/>
      <c r="E55" s="113" t="n"/>
      <c r="F55" s="113" t="n"/>
      <c r="G55" s="113" t="n"/>
      <c r="H55" s="113" t="n"/>
      <c r="I55" s="113" t="n"/>
    </row>
    <row r="56" ht="18" customHeight="1" s="274">
      <c r="B56" s="109" t="n"/>
      <c r="C56" s="111" t="n"/>
      <c r="D56" s="111" t="n"/>
      <c r="E56" s="111" t="n"/>
      <c r="F56" s="111" t="n"/>
      <c r="G56" s="111" t="n"/>
      <c r="H56" s="111" t="n"/>
      <c r="I56" s="111" t="n"/>
    </row>
    <row r="57" ht="18" customHeight="1" s="274">
      <c r="B57" s="115" t="n"/>
      <c r="C57" s="93" t="n"/>
      <c r="D57" s="93" t="n"/>
      <c r="E57" s="93" t="n"/>
      <c r="F57" s="93" t="n"/>
      <c r="G57" s="93" t="n"/>
      <c r="H57" s="93" t="n"/>
      <c r="I57" s="93" t="n"/>
    </row>
    <row r="58" ht="18" customHeight="1" s="274">
      <c r="B58" s="109" t="n"/>
      <c r="C58" s="111" t="n"/>
      <c r="D58" s="111" t="n"/>
      <c r="E58" s="111" t="n"/>
      <c r="F58" s="111" t="n"/>
      <c r="G58" s="111" t="n"/>
      <c r="H58" s="111" t="n"/>
      <c r="I58" s="111" t="n"/>
    </row>
    <row r="59" ht="18" customHeight="1" s="274">
      <c r="B59" s="115" t="n"/>
      <c r="C59" s="93" t="n"/>
      <c r="D59" s="93" t="n"/>
      <c r="E59" s="93" t="n"/>
      <c r="F59" s="93" t="n"/>
      <c r="G59" s="93" t="n"/>
      <c r="H59" s="93" t="n"/>
      <c r="I59" s="93" t="n"/>
    </row>
  </sheetData>
  <mergeCells count="8">
    <mergeCell ref="B9:I9"/>
    <mergeCell ref="B30:I30"/>
    <mergeCell ref="B11:I11"/>
    <mergeCell ref="E2:I2"/>
    <mergeCell ref="B36:I36"/>
    <mergeCell ref="A3:I3"/>
    <mergeCell ref="A2:D2"/>
    <mergeCell ref="B17:I17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2026-06-16T02:21:19Z</dcterms:modified>
  <cp:lastModifiedBy>LOHITH REDDY</cp:lastModifiedBy>
</cp:coreProperties>
</file>