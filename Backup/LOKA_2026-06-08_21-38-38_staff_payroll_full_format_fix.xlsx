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yyyy\-mm\-dd"/>
    <numFmt numFmtId="171" formatCode="0.0%"/>
    <numFmt numFmtId="172" formatCode="yyyy-mm-dd"/>
    <numFmt numFmtId="173" formatCode="DD-MMM-YYYY"/>
    <numFmt numFmtId="174" formatCode="#,##0.##;\(#,##0.##\);&quot;-&quot;"/>
  </numFmts>
  <fonts count="7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46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</borders>
  <cellStyleXfs count="1">
    <xf numFmtId="0" fontId="0" fillId="0" borderId="0"/>
  </cellStyleXfs>
  <cellXfs count="30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7" fontId="48" fillId="10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170" fontId="0" fillId="0" borderId="0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9" fillId="10" borderId="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1" fontId="74" fillId="39" borderId="1" applyAlignment="1" pivotButton="0" quotePrefix="0" xfId="0">
      <alignment horizontal="left" vertical="center"/>
    </xf>
    <xf numFmtId="171" fontId="74" fillId="42" borderId="1" applyAlignment="1" pivotButton="0" quotePrefix="0" xfId="0">
      <alignment horizontal="left" vertical="center"/>
    </xf>
    <xf numFmtId="171" fontId="74" fillId="41" borderId="1" applyAlignment="1" pivotButton="0" quotePrefix="0" xfId="0">
      <alignment horizontal="left" vertical="center"/>
    </xf>
    <xf numFmtId="171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1" fontId="74" fillId="39" borderId="0" applyAlignment="1" pivotButton="0" quotePrefix="0" xfId="0">
      <alignment horizontal="left" vertical="center"/>
    </xf>
    <xf numFmtId="171" fontId="74" fillId="42" borderId="0" applyAlignment="1" pivotButton="0" quotePrefix="0" xfId="0">
      <alignment horizontal="left" vertical="center"/>
    </xf>
    <xf numFmtId="171" fontId="75" fillId="43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11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1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1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1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2" fillId="20" borderId="9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173" fontId="73" fillId="40" borderId="0" applyAlignment="1" pivotButton="0" quotePrefix="0" xfId="0">
      <alignment horizontal="left" vertical="center"/>
    </xf>
    <xf numFmtId="173" fontId="73" fillId="39" borderId="12" applyAlignment="1" pivotButton="0" quotePrefix="0" xfId="0">
      <alignment horizontal="left" vertical="center"/>
    </xf>
    <xf numFmtId="174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3" fontId="73" fillId="42" borderId="1" applyAlignment="1" pivotButton="0" quotePrefix="0" xfId="0">
      <alignment horizontal="left" vertical="center"/>
    </xf>
    <xf numFmtId="174" fontId="74" fillId="42" borderId="1" applyAlignment="1" pivotButton="0" quotePrefix="0" xfId="0">
      <alignment horizontal="left" vertical="center"/>
    </xf>
    <xf numFmtId="173" fontId="73" fillId="39" borderId="1" applyAlignment="1" pivotButton="0" quotePrefix="0" xfId="0">
      <alignment horizontal="left" vertical="center"/>
    </xf>
    <xf numFmtId="174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zoomScaleNormal="100" workbookViewId="0">
      <selection activeCell="B66" sqref="B66"/>
    </sheetView>
  </sheetViews>
  <sheetFormatPr baseColWidth="8" defaultRowHeight="14.4" customHeight="1"/>
  <cols>
    <col width="3" customWidth="1" style="209" min="1" max="1"/>
    <col width="36" customWidth="1" style="209" min="2" max="2"/>
    <col width="18" customWidth="1" style="213" min="3" max="3"/>
    <col width="20" customWidth="1" style="213" min="4" max="6"/>
    <col width="24" customWidth="1" style="209" min="7" max="7"/>
    <col width="26" customWidth="1" style="209" min="8" max="8"/>
  </cols>
  <sheetData>
    <row r="1" ht="36" customHeight="1" s="209">
      <c r="B1" s="212" t="inlineStr">
        <is>
          <t>LOKA  —  CAPITAL, OWNERSHIP &amp; PRE-OPENING EXPENSES</t>
        </is>
      </c>
    </row>
    <row r="2" ht="24" customHeight="1" s="209">
      <c r="B2" s="215" t="inlineStr">
        <is>
          <t>Last updated: 6 Jun 2026  |  Capital, Acquisition &amp; Pre-Opening Expenses</t>
        </is>
      </c>
    </row>
    <row r="4" ht="25.95" customHeight="1" s="209">
      <c r="B4" s="214" t="inlineStr">
        <is>
          <t xml:space="preserve">  A.  OWNERSHIP STRUCTURE</t>
        </is>
      </c>
    </row>
    <row r="5" ht="22.05" customHeight="1" s="209">
      <c r="B5" s="172" t="inlineStr">
        <is>
          <t>Owner</t>
        </is>
      </c>
      <c r="C5" s="174" t="inlineStr">
        <is>
          <t>Share %</t>
        </is>
      </c>
      <c r="D5" s="174" t="inlineStr">
        <is>
          <t>Capital ($)</t>
        </is>
      </c>
      <c r="E5" s="174" t="inlineStr">
        <is>
          <t>Expenses ($)</t>
        </is>
      </c>
      <c r="F5" s="174" t="inlineStr">
        <is>
          <t>Remaining ($)</t>
        </is>
      </c>
      <c r="G5" s="172" t="inlineStr">
        <is>
          <t>Role / Notes</t>
        </is>
      </c>
    </row>
    <row r="6" ht="19.95" customHeight="1" s="209">
      <c r="B6" s="165" t="inlineStr">
        <is>
          <t>Lohith Reddy</t>
        </is>
      </c>
      <c r="C6" s="165" t="n">
        <v>0.5</v>
      </c>
      <c r="D6" s="173" t="n">
        <v>300000</v>
      </c>
      <c r="E6" s="173">
        <f>D55</f>
        <v/>
      </c>
      <c r="F6" s="173">
        <f>D6-E6</f>
        <v/>
      </c>
      <c r="G6" s="165" t="inlineStr">
        <is>
          <t>50% — Managing Partner</t>
        </is>
      </c>
    </row>
    <row r="7" ht="19.95" customHeight="1" s="209">
      <c r="B7" s="165" t="inlineStr">
        <is>
          <t>Kashigoud Patil</t>
        </is>
      </c>
      <c r="C7" s="165" t="n">
        <v>0.3</v>
      </c>
      <c r="D7" s="173" t="n">
        <v>180000</v>
      </c>
      <c r="E7" s="173">
        <f>D42</f>
        <v/>
      </c>
      <c r="F7" s="173">
        <f>D7-E7</f>
        <v/>
      </c>
      <c r="G7" s="165" t="inlineStr">
        <is>
          <t>30% — Partner</t>
        </is>
      </c>
    </row>
    <row r="8" ht="19.95" customHeight="1" s="209">
      <c r="B8" s="165" t="inlineStr">
        <is>
          <t>Shashirekha Basavaraju</t>
        </is>
      </c>
      <c r="C8" s="165" t="n">
        <v>0.2</v>
      </c>
      <c r="D8" s="173" t="n">
        <v>120000</v>
      </c>
      <c r="E8" s="173">
        <f>D68</f>
        <v/>
      </c>
      <c r="F8" s="173">
        <f>D8-E8</f>
        <v/>
      </c>
      <c r="G8" s="165" t="inlineStr">
        <is>
          <t>20% — Partner</t>
        </is>
      </c>
    </row>
    <row r="9" ht="22.05" customHeight="1" s="209">
      <c r="B9" s="174" t="inlineStr">
        <is>
          <t>TOTAL</t>
        </is>
      </c>
      <c r="C9" s="182">
        <f>SUM(C6:C8)</f>
        <v/>
      </c>
      <c r="D9" s="182">
        <f>SUM(D6:D8)</f>
        <v/>
      </c>
      <c r="E9" s="182">
        <f>SUM(E6:E8)</f>
        <v/>
      </c>
      <c r="F9" s="182">
        <f>SUM(F6:F8)</f>
        <v/>
      </c>
      <c r="G9" s="172" t="n"/>
    </row>
    <row r="11" ht="25.95" customHeight="1" s="209">
      <c r="B11" s="214" t="inlineStr">
        <is>
          <t xml:space="preserve">  B.  RESTAURANT ACQUISITION  —  $390,000 TOTAL</t>
        </is>
      </c>
    </row>
    <row r="12" ht="22.05" customHeight="1" s="209">
      <c r="B12" s="172" t="inlineStr">
        <is>
          <t>Description</t>
        </is>
      </c>
      <c r="C12" s="174" t="inlineStr">
        <is>
          <t>Date</t>
        </is>
      </c>
      <c r="D12" s="174" t="inlineStr">
        <is>
          <t>Amount ($)</t>
        </is>
      </c>
      <c r="E12" s="174" t="inlineStr">
        <is>
          <t>Paid By</t>
        </is>
      </c>
      <c r="F12" s="174" t="inlineStr">
        <is>
          <t>Status</t>
        </is>
      </c>
      <c r="G12" s="172" t="inlineStr">
        <is>
          <t>Notes</t>
        </is>
      </c>
    </row>
    <row r="13" ht="19.95" customHeight="1" s="209">
      <c r="B13" s="165" t="inlineStr">
        <is>
          <t>TOTAL Purchase Price — Previous Owners</t>
        </is>
      </c>
      <c r="C13" s="165" t="n"/>
      <c r="D13" s="173" t="n">
        <v>390000</v>
      </c>
      <c r="E13" s="165" t="inlineStr">
        <is>
          <t>All Partners</t>
        </is>
      </c>
      <c r="F13" s="165" t="inlineStr">
        <is>
          <t>⚠️ PARTIALLY PAID — $134,500 remaining</t>
        </is>
      </c>
      <c r="G13" s="165" t="inlineStr">
        <is>
          <t>Full acquisition amount</t>
        </is>
      </c>
    </row>
    <row r="14" ht="19.95" customHeight="1" s="209">
      <c r="B14" s="175" t="inlineStr">
        <is>
          <t>Advance Payment (paid by Lohith)</t>
        </is>
      </c>
      <c r="C14" s="175" t="n"/>
      <c r="D14" s="183" t="n">
        <v>5000</v>
      </c>
      <c r="E14" s="175" t="inlineStr">
        <is>
          <t>Lohith Reddy</t>
        </is>
      </c>
      <c r="F14" s="175" t="inlineStr">
        <is>
          <t>✅ PAID</t>
        </is>
      </c>
      <c r="G14" s="175" t="inlineStr">
        <is>
          <t>Advance to previous owners</t>
        </is>
      </c>
    </row>
    <row r="15" ht="19.95" customHeight="1" s="209">
      <c r="B15" s="176" t="inlineStr">
        <is>
          <t>Payment to Previous Owners</t>
        </is>
      </c>
      <c r="C15" s="291" t="n">
        <v>46176</v>
      </c>
      <c r="D15" s="184" t="n">
        <v>95000</v>
      </c>
      <c r="E15" s="200" t="inlineStr">
        <is>
          <t>Lohith Reddy</t>
        </is>
      </c>
      <c r="F15" s="200" t="inlineStr">
        <is>
          <t>✅ PAID</t>
        </is>
      </c>
      <c r="G15" s="176" t="inlineStr">
        <is>
          <t>Paid from restaurant operating balance — 3 Jun 2026</t>
        </is>
      </c>
    </row>
    <row r="16">
      <c r="B16" s="176" t="inlineStr">
        <is>
          <t>Payment to Previous Owner — Account 1</t>
        </is>
      </c>
      <c r="C16" s="291" t="n">
        <v>46177</v>
      </c>
      <c r="D16" s="184" t="n">
        <v>8000</v>
      </c>
      <c r="E16" s="200" t="inlineStr">
        <is>
          <t>Lohith Reddy</t>
        </is>
      </c>
      <c r="F16" s="200" t="inlineStr">
        <is>
          <t>✅ PAID</t>
        </is>
      </c>
      <c r="G16" s="176" t="inlineStr">
        <is>
          <t>Capital payment — from main budget — transferred to different accounts</t>
        </is>
      </c>
    </row>
    <row r="17" ht="19.95" customHeight="1" s="209">
      <c r="B17" s="176" t="inlineStr">
        <is>
          <t>Payment to Previous Owner — Account 2</t>
        </is>
      </c>
      <c r="C17" s="291" t="n">
        <v>46177</v>
      </c>
      <c r="D17" s="184" t="n">
        <v>4500</v>
      </c>
      <c r="E17" s="200" t="inlineStr">
        <is>
          <t>Lohith Reddy</t>
        </is>
      </c>
      <c r="F17" s="200" t="inlineStr">
        <is>
          <t>✅ PAID</t>
        </is>
      </c>
      <c r="G17" s="176" t="inlineStr">
        <is>
          <t>Capital payment — from main budget — transferred to different account</t>
        </is>
      </c>
    </row>
    <row r="18" ht="22.05" customHeight="1" s="209">
      <c r="B18" s="176" t="inlineStr">
        <is>
          <t>Payment to Previous Owner — Account 3</t>
        </is>
      </c>
      <c r="C18" s="291" t="n">
        <v>46177</v>
      </c>
      <c r="D18" s="184" t="n">
        <v>15000</v>
      </c>
      <c r="E18" s="200" t="inlineStr">
        <is>
          <t>Lohith Reddy</t>
        </is>
      </c>
      <c r="F18" s="200" t="inlineStr">
        <is>
          <t>✅ PAID</t>
        </is>
      </c>
      <c r="G18" s="176" t="inlineStr">
        <is>
          <t>Capital payment — from main budget — transferred to different accounts</t>
        </is>
      </c>
    </row>
    <row r="19" ht="19.95" customHeight="1" s="209">
      <c r="B19" s="176" t="inlineStr">
        <is>
          <t>Payment to Previous Owner — Account 4</t>
        </is>
      </c>
      <c r="C19" s="291" t="n">
        <v>46177</v>
      </c>
      <c r="D19" s="184" t="n">
        <v>10000</v>
      </c>
      <c r="E19" s="200" t="inlineStr">
        <is>
          <t>Lohith Reddy</t>
        </is>
      </c>
      <c r="F19" s="200" t="inlineStr">
        <is>
          <t>✅ PAID</t>
        </is>
      </c>
      <c r="G19" s="176" t="inlineStr">
        <is>
          <t>Capital payment — from main budget — transferred to different accounts</t>
        </is>
      </c>
    </row>
    <row r="20" ht="19.95" customHeight="1" s="209">
      <c r="B20" s="176" t="inlineStr">
        <is>
          <t>Payment to Previous Owner — Account 5</t>
        </is>
      </c>
      <c r="C20" s="291" t="n">
        <v>46177</v>
      </c>
      <c r="D20" s="184" t="n">
        <v>44000</v>
      </c>
      <c r="E20" s="200" t="inlineStr">
        <is>
          <t>Lohith Reddy</t>
        </is>
      </c>
      <c r="F20" s="200" t="inlineStr">
        <is>
          <t>✅ PAID</t>
        </is>
      </c>
      <c r="G20" s="176" t="inlineStr">
        <is>
          <t>Capital payment — from main budget — transferred to different accounts</t>
        </is>
      </c>
    </row>
    <row r="21" ht="19.95" customHeight="1" s="209">
      <c r="B21" s="176" t="inlineStr">
        <is>
          <t>Payment to Previous Owner — Account 6</t>
        </is>
      </c>
      <c r="C21" s="291" t="n">
        <v>46177</v>
      </c>
      <c r="D21" s="184" t="n">
        <v>44000</v>
      </c>
      <c r="E21" s="200" t="inlineStr">
        <is>
          <t>Lohith Reddy</t>
        </is>
      </c>
      <c r="F21" s="200" t="inlineStr">
        <is>
          <t>✅ PAID</t>
        </is>
      </c>
      <c r="G21" s="176" t="inlineStr">
        <is>
          <t>Capital payment — from main budget — transferred to different accounts</t>
        </is>
      </c>
    </row>
    <row r="22" ht="19.95" customHeight="1" s="209">
      <c r="B22" s="176" t="inlineStr">
        <is>
          <t>Payment to Previous Owner — Jun 5</t>
        </is>
      </c>
      <c r="C22" s="291" t="n">
        <v>46178</v>
      </c>
      <c r="D22" s="184" t="n">
        <v>30000</v>
      </c>
      <c r="E22" s="200" t="inlineStr">
        <is>
          <t>Lohith Reddy</t>
        </is>
      </c>
      <c r="F22" s="200" t="inlineStr">
        <is>
          <t>✅ PAID</t>
        </is>
      </c>
      <c r="G22" s="176" t="inlineStr">
        <is>
          <t>Transfer — 5 Jun 2026</t>
        </is>
      </c>
    </row>
    <row r="23">
      <c r="B23" s="177" t="inlineStr">
        <is>
          <t>Balance Remaining</t>
        </is>
      </c>
      <c r="C23" s="177" t="n"/>
      <c r="D23" s="185">
        <f>D13-SUM(D14:D22)</f>
        <v/>
      </c>
      <c r="E23" s="177" t="inlineStr">
        <is>
          <t>—</t>
        </is>
      </c>
      <c r="F23" s="177" t="inlineStr">
        <is>
          <t>⏳ PENDING</t>
        </is>
      </c>
      <c r="G23" s="177" t="inlineStr">
        <is>
          <t>$390,000 − $255,500 paid = $134,500 remaining</t>
        </is>
      </c>
    </row>
    <row r="24" ht="25.95" customHeight="1" s="209"/>
    <row r="25" ht="22.05" customHeight="1" s="209">
      <c r="B25" s="178" t="inlineStr">
        <is>
          <t xml:space="preserve">  PAYMENT BREAKDOWN  —  How the $390,000 will be funded</t>
        </is>
      </c>
      <c r="C25" s="178" t="n"/>
      <c r="D25" s="178" t="n"/>
      <c r="E25" s="178" t="n"/>
      <c r="F25" s="178" t="n"/>
      <c r="G25" s="179" t="n"/>
      <c r="H25" s="179" t="n"/>
    </row>
    <row r="26" ht="19.95" customHeight="1" s="209">
      <c r="B26" s="172" t="inlineStr">
        <is>
          <t>Source</t>
        </is>
      </c>
      <c r="C26" s="174" t="inlineStr">
        <is>
          <t>From</t>
        </is>
      </c>
      <c r="D26" s="174" t="inlineStr">
        <is>
          <t>Amount ($)</t>
        </is>
      </c>
      <c r="E26" s="174" t="inlineStr">
        <is>
          <t>Toward %</t>
        </is>
      </c>
      <c r="F26" s="174" t="inlineStr">
        <is>
          <t>Cumulative</t>
        </is>
      </c>
      <c r="G26" s="172" t="inlineStr">
        <is>
          <t>Notes</t>
        </is>
      </c>
    </row>
    <row r="27" ht="19.95" customHeight="1" s="209">
      <c r="B27" s="165" t="inlineStr">
        <is>
          <t>Kashigoud Transfer to Lohith</t>
        </is>
      </c>
      <c r="C27" s="165" t="inlineStr">
        <is>
          <t>Kashigoud Patil</t>
        </is>
      </c>
      <c r="D27" s="173" t="n">
        <v>125000</v>
      </c>
      <c r="E27" s="194">
        <f>D27/390000</f>
        <v/>
      </c>
      <c r="F27" s="173">
        <f>D27</f>
        <v/>
      </c>
      <c r="G27" s="165" t="inlineStr">
        <is>
          <t>Full Kashi transfer</t>
        </is>
      </c>
    </row>
    <row r="28" ht="19.95" customHeight="1" s="209">
      <c r="B28" s="167" t="inlineStr">
        <is>
          <t>Shashirekha Transfer to Lohith</t>
        </is>
      </c>
      <c r="C28" s="167" t="inlineStr">
        <is>
          <t>Shashirekha B.</t>
        </is>
      </c>
      <c r="D28" s="186" t="n">
        <v>100000</v>
      </c>
      <c r="E28" s="195">
        <f>D28/390000</f>
        <v/>
      </c>
      <c r="F28" s="186">
        <f>D27+D28</f>
        <v/>
      </c>
      <c r="G28" s="167" t="inlineStr">
        <is>
          <t>Full Shashi transfer</t>
        </is>
      </c>
    </row>
    <row r="29" ht="19.95" customHeight="1" s="209">
      <c r="B29" s="165" t="inlineStr">
        <is>
          <t>Lohith Reddy (own funds)</t>
        </is>
      </c>
      <c r="C29" s="165" t="inlineStr">
        <is>
          <t>Lohith Reddy</t>
        </is>
      </c>
      <c r="D29" s="173">
        <f>390000-D27-D28</f>
        <v/>
      </c>
      <c r="E29" s="194">
        <f>D29/390000</f>
        <v/>
      </c>
      <c r="F29" s="173">
        <f>D27+D28+D29</f>
        <v/>
      </c>
      <c r="G29" s="165" t="inlineStr">
        <is>
          <t>Balance from Lohith</t>
        </is>
      </c>
    </row>
    <row r="30" ht="19.95" customHeight="1" s="209">
      <c r="B30" s="167" t="inlineStr">
        <is>
          <t>Advance Already Paid</t>
        </is>
      </c>
      <c r="C30" s="167" t="inlineStr">
        <is>
          <t>Lohith Reddy</t>
        </is>
      </c>
      <c r="D30" s="186" t="n">
        <v>5000</v>
      </c>
      <c r="E30" s="195">
        <f>D30/390000</f>
        <v/>
      </c>
      <c r="F30" s="186" t="inlineStr">
        <is>
          <t>Paid ✅</t>
        </is>
      </c>
      <c r="G30" s="167" t="inlineStr">
        <is>
          <t>Already paid</t>
        </is>
      </c>
    </row>
    <row r="31" ht="19.95" customHeight="1" s="209"/>
    <row r="32" ht="19.95" customHeight="1" s="209">
      <c r="B32" s="214" t="inlineStr">
        <is>
          <t xml:space="preserve">  C.  PRE-OPENING EXPENSES — KASHIGOUD PATIL</t>
        </is>
      </c>
      <c r="C32" s="214" t="n"/>
      <c r="D32" s="214" t="n"/>
      <c r="E32" s="214" t="n"/>
      <c r="F32" s="214" t="n"/>
      <c r="G32" s="171" t="n"/>
      <c r="H32" s="171" t="n"/>
    </row>
    <row r="33" ht="19.95" customHeight="1" s="209">
      <c r="B33" s="172" t="inlineStr">
        <is>
          <t>Description</t>
        </is>
      </c>
      <c r="C33" s="174" t="inlineStr">
        <is>
          <t>Date</t>
        </is>
      </c>
      <c r="D33" s="174" t="inlineStr">
        <is>
          <t>Amount ($)</t>
        </is>
      </c>
      <c r="E33" s="174" t="inlineStr">
        <is>
          <t>Paid To</t>
        </is>
      </c>
      <c r="F33" s="174" t="inlineStr">
        <is>
          <t>Category</t>
        </is>
      </c>
      <c r="G33" s="172" t="inlineStr">
        <is>
          <t>Notes</t>
        </is>
      </c>
    </row>
    <row r="34" ht="22.05" customHeight="1" s="209">
      <c r="B34" s="165" t="inlineStr">
        <is>
          <t>Transfer to Lohith Reddy (capital allocation)</t>
        </is>
      </c>
      <c r="C34" s="165" t="n"/>
      <c r="D34" s="173" t="n">
        <v>125000</v>
      </c>
      <c r="E34" s="165" t="inlineStr">
        <is>
          <t>Bank → Lohith</t>
        </is>
      </c>
      <c r="F34" s="165" t="inlineStr">
        <is>
          <t>Internal Transfer</t>
        </is>
      </c>
      <c r="G34" s="165" t="inlineStr">
        <is>
          <t>For acquisition &amp; expenses</t>
        </is>
      </c>
    </row>
    <row r="35">
      <c r="B35" s="167" t="inlineStr">
        <is>
          <t>Soft Restaurant License &amp; Tools</t>
        </is>
      </c>
      <c r="C35" s="167" t="n"/>
      <c r="D35" s="186" t="n">
        <v>15195</v>
      </c>
      <c r="E35" s="167" t="inlineStr">
        <is>
          <t>Soft App</t>
        </is>
      </c>
      <c r="F35" s="167" t="inlineStr">
        <is>
          <t>Software / License</t>
        </is>
      </c>
      <c r="G35" s="167" t="inlineStr">
        <is>
          <t>POS + mgmt tools</t>
        </is>
      </c>
    </row>
    <row r="36" ht="25.95" customHeight="1" s="209">
      <c r="B36" s="165" t="inlineStr">
        <is>
          <t>Mercado Pago Terminal</t>
        </is>
      </c>
      <c r="C36" s="201" t="n"/>
      <c r="D36" s="188" t="n">
        <v>500</v>
      </c>
      <c r="E36" s="201" t="inlineStr">
        <is>
          <t>Soft App / MP</t>
        </is>
      </c>
      <c r="F36" s="201" t="inlineStr">
        <is>
          <t>POS Hardware</t>
        </is>
      </c>
      <c r="G36" s="166" t="inlineStr">
        <is>
          <t>MP card reader terminal fee</t>
        </is>
      </c>
    </row>
    <row r="37" ht="22.05" customHeight="1" s="209">
      <c r="B37" s="165" t="inlineStr">
        <is>
          <t>Camera Cloud Recording — 7 Day Continuous (28 May)</t>
        </is>
      </c>
      <c r="C37" s="292" t="n">
        <v>46170</v>
      </c>
      <c r="D37" s="293" t="n">
        <v>436.12</v>
      </c>
      <c r="E37" s="294" t="inlineStr">
        <is>
          <t>Kashigoud Patil (VISA ••••9193)</t>
        </is>
      </c>
      <c r="F37" s="294" t="inlineStr">
        <is>
          <t>Technology / Security</t>
        </is>
      </c>
      <c r="G37" s="295" t="inlineStr">
        <is>
          <t>Shenzhen Tange — cloud CCTV recording 1yr — US$23.90 = MXN $436.12</t>
        </is>
      </c>
      <c r="H37" s="217" t="n"/>
    </row>
    <row r="38" ht="19.95" customHeight="1" s="209">
      <c r="B38" s="167" t="inlineStr">
        <is>
          <t>Camera Cloud Recording — 7 Day Continuous (29 May)</t>
        </is>
      </c>
      <c r="C38" s="296" t="n">
        <v>46171</v>
      </c>
      <c r="D38" s="297" t="n">
        <v>437.22</v>
      </c>
      <c r="E38" s="167" t="inlineStr">
        <is>
          <t>Kashigoud Patil (VISA ••••9193)</t>
        </is>
      </c>
      <c r="F38" s="167" t="inlineStr">
        <is>
          <t>Technology / Security</t>
        </is>
      </c>
      <c r="G38" s="167" t="inlineStr">
        <is>
          <t>Shenzhen Tange — cloud CCTV recording 1yr — US$23.90 = MXN $437.22</t>
        </is>
      </c>
    </row>
    <row r="39" ht="19.95" customHeight="1" s="209">
      <c r="B39" s="164" t="n"/>
      <c r="C39" s="164" t="n"/>
      <c r="D39" s="190" t="n"/>
      <c r="E39" s="164" t="n"/>
      <c r="F39" s="164" t="n"/>
      <c r="G39" s="164" t="n"/>
    </row>
    <row r="40" ht="19.95" customHeight="1" s="209">
      <c r="B40" s="164" t="n"/>
      <c r="C40" s="164" t="n"/>
      <c r="D40" s="190" t="n"/>
      <c r="E40" s="164" t="n"/>
      <c r="F40" s="164" t="n"/>
      <c r="G40" s="164" t="n"/>
    </row>
    <row r="41" ht="19.95" customHeight="1" s="209">
      <c r="B41" s="164" t="n"/>
      <c r="C41" s="164" t="n"/>
      <c r="D41" s="190" t="n"/>
      <c r="E41" s="164" t="n"/>
      <c r="F41" s="164" t="n"/>
      <c r="G41" s="164" t="n"/>
    </row>
    <row r="42" ht="19.95" customHeight="1" s="209">
      <c r="B42" s="174" t="inlineStr">
        <is>
          <t>KASHIGOUD TOTAL</t>
        </is>
      </c>
      <c r="C42" s="174" t="n"/>
      <c r="D42" s="182">
        <f>SUM(D34:D41)</f>
        <v/>
      </c>
      <c r="E42" s="174" t="n"/>
      <c r="F42" s="174" t="n"/>
      <c r="G42" s="172" t="n"/>
    </row>
    <row r="43" ht="19.95" customHeight="1" s="209"/>
    <row r="44" ht="19.95" customHeight="1" s="209">
      <c r="B44" s="214" t="inlineStr">
        <is>
          <t xml:space="preserve">  D.  PRE-OPENING EXPENSES — LOHITH REDDY</t>
        </is>
      </c>
      <c r="C44" s="214" t="n"/>
      <c r="D44" s="214" t="n"/>
      <c r="E44" s="214" t="n"/>
      <c r="F44" s="214" t="n"/>
      <c r="G44" s="171" t="n"/>
      <c r="H44" s="171" t="n"/>
    </row>
    <row r="45" ht="19.95" customHeight="1" s="209">
      <c r="B45" s="172" t="inlineStr">
        <is>
          <t>Description</t>
        </is>
      </c>
      <c r="C45" s="174" t="inlineStr">
        <is>
          <t>Date</t>
        </is>
      </c>
      <c r="D45" s="174" t="inlineStr">
        <is>
          <t>Amount ($)</t>
        </is>
      </c>
      <c r="E45" s="174" t="inlineStr">
        <is>
          <t>Paid To</t>
        </is>
      </c>
      <c r="F45" s="174" t="inlineStr">
        <is>
          <t>Category</t>
        </is>
      </c>
      <c r="G45" s="172" t="inlineStr">
        <is>
          <t>Notes</t>
        </is>
      </c>
    </row>
    <row r="46" ht="19.95" customHeight="1" s="209">
      <c r="B46" s="165" t="inlineStr">
        <is>
          <t>Advance Payment to Previous Owners</t>
        </is>
      </c>
      <c r="C46" s="165" t="n"/>
      <c r="D46" s="173" t="n">
        <v>5000</v>
      </c>
      <c r="E46" s="165" t="inlineStr">
        <is>
          <t>Previous Owners</t>
        </is>
      </c>
      <c r="F46" s="165" t="inlineStr">
        <is>
          <t>Acquisition</t>
        </is>
      </c>
      <c r="G46" s="165" t="inlineStr">
        <is>
          <t>5k advance on 390k purchase</t>
        </is>
      </c>
    </row>
    <row r="47" ht="22.05" customHeight="1" s="209">
      <c r="B47" s="167" t="inlineStr">
        <is>
          <t>Notary Fees</t>
        </is>
      </c>
      <c r="C47" s="167" t="n"/>
      <c r="D47" s="186" t="n">
        <v>15797</v>
      </c>
      <c r="E47" s="167" t="inlineStr">
        <is>
          <t>Notary Office</t>
        </is>
      </c>
      <c r="F47" s="167" t="inlineStr">
        <is>
          <t>Legal</t>
        </is>
      </c>
      <c r="G47" s="167" t="inlineStr">
        <is>
          <t>Legal fees for restaurant acquisition</t>
        </is>
      </c>
    </row>
    <row r="48">
      <c r="B48" s="165" t="inlineStr">
        <is>
          <t>Poliza Juridica (Legal Policy)</t>
        </is>
      </c>
      <c r="C48" s="165" t="n"/>
      <c r="D48" s="173" t="n">
        <v>5150</v>
      </c>
      <c r="E48" s="165" t="inlineStr">
        <is>
          <t>Legal / Insurance</t>
        </is>
      </c>
      <c r="F48" s="165" t="inlineStr">
        <is>
          <t>Legal</t>
        </is>
      </c>
      <c r="G48" s="165" t="inlineStr">
        <is>
          <t>Poliza Juridica — legal insurance policy</t>
        </is>
      </c>
    </row>
    <row r="49" ht="25.95" customHeight="1" s="209">
      <c r="B49" s="167" t="inlineStr">
        <is>
          <t>Alejandra — Documentation Asst.</t>
        </is>
      </c>
      <c r="C49" s="202" t="n"/>
      <c r="D49" s="191" t="n">
        <v>3000</v>
      </c>
      <c r="E49" s="202" t="inlineStr">
        <is>
          <t>Alejandra</t>
        </is>
      </c>
      <c r="F49" s="202" t="inlineStr">
        <is>
          <t>Professional Services</t>
        </is>
      </c>
      <c r="G49" s="168" t="inlineStr">
        <is>
          <t>Documentation &amp; legal assistance — pre-opening</t>
        </is>
      </c>
    </row>
    <row r="50" ht="22.05" customHeight="1" s="209">
      <c r="B50" s="164" t="n"/>
      <c r="C50" s="189" t="n"/>
      <c r="D50" s="189" t="n"/>
      <c r="E50" s="189" t="n"/>
      <c r="F50" s="189" t="n"/>
      <c r="G50" s="221" t="n"/>
      <c r="H50" s="217" t="n"/>
    </row>
    <row r="51" ht="19.95" customHeight="1" s="209">
      <c r="B51" s="164" t="n"/>
      <c r="C51" s="164" t="n"/>
      <c r="D51" s="190" t="n"/>
      <c r="E51" s="164" t="n"/>
      <c r="F51" s="164" t="n"/>
      <c r="G51" s="164" t="n"/>
    </row>
    <row r="52" ht="19.95" customHeight="1" s="209">
      <c r="B52" s="164" t="n"/>
      <c r="C52" s="164" t="n"/>
      <c r="D52" s="190" t="n"/>
      <c r="E52" s="164" t="n"/>
      <c r="F52" s="164" t="n"/>
      <c r="G52" s="164" t="n"/>
    </row>
    <row r="53" ht="19.95" customHeight="1" s="209">
      <c r="B53" s="164" t="n"/>
      <c r="C53" s="164" t="n"/>
      <c r="D53" s="190" t="n"/>
      <c r="E53" s="164" t="n"/>
      <c r="F53" s="164" t="n"/>
      <c r="G53" s="164" t="n"/>
    </row>
    <row r="54" ht="19.95" customHeight="1" s="209">
      <c r="B54" s="164" t="n"/>
      <c r="C54" s="164" t="n"/>
      <c r="D54" s="190" t="n"/>
      <c r="E54" s="164" t="n"/>
      <c r="F54" s="164" t="n"/>
      <c r="G54" s="164" t="n"/>
    </row>
    <row r="55" ht="19.95" customHeight="1" s="209">
      <c r="B55" s="174" t="inlineStr">
        <is>
          <t>LOHITH TOTAL</t>
        </is>
      </c>
      <c r="C55" s="174" t="n"/>
      <c r="D55" s="182">
        <f>SUM(D46:D54)</f>
        <v/>
      </c>
      <c r="E55" s="174" t="n"/>
      <c r="F55" s="174" t="n"/>
      <c r="G55" s="172" t="n"/>
    </row>
    <row r="56" ht="19.95" customHeight="1" s="209"/>
    <row r="57" ht="19.95" customHeight="1" s="209">
      <c r="B57" s="214" t="inlineStr">
        <is>
          <t xml:space="preserve">  E.  PRE-OPENING EXPENSES — SHASHIREKHA BASAVARAJU</t>
        </is>
      </c>
      <c r="C57" s="214" t="n"/>
      <c r="D57" s="214" t="n"/>
      <c r="E57" s="214" t="n"/>
      <c r="F57" s="214" t="n"/>
      <c r="G57" s="171" t="n"/>
      <c r="H57" s="171" t="n"/>
    </row>
    <row r="58" ht="19.95" customHeight="1" s="209">
      <c r="B58" s="172" t="inlineStr">
        <is>
          <t>Description</t>
        </is>
      </c>
      <c r="C58" s="174" t="inlineStr">
        <is>
          <t>Date</t>
        </is>
      </c>
      <c r="D58" s="174" t="inlineStr">
        <is>
          <t>Amount ($)</t>
        </is>
      </c>
      <c r="E58" s="174" t="inlineStr">
        <is>
          <t>Paid To</t>
        </is>
      </c>
      <c r="F58" s="174" t="inlineStr">
        <is>
          <t>Category</t>
        </is>
      </c>
      <c r="G58" s="172" t="inlineStr">
        <is>
          <t>Notes</t>
        </is>
      </c>
    </row>
    <row r="59" ht="22.05" customHeight="1" s="209">
      <c r="B59" s="165" t="inlineStr">
        <is>
          <t>Transfer to Lohith Reddy (capital allocation)</t>
        </is>
      </c>
      <c r="C59" s="165" t="n"/>
      <c r="D59" s="173" t="n">
        <v>100000</v>
      </c>
      <c r="E59" s="165" t="inlineStr">
        <is>
          <t>Bank → Lohith</t>
        </is>
      </c>
      <c r="F59" s="165" t="inlineStr">
        <is>
          <t>Internal Transfer</t>
        </is>
      </c>
      <c r="G59" s="165" t="inlineStr">
        <is>
          <t>For acquisition &amp; expenses</t>
        </is>
      </c>
    </row>
    <row r="60">
      <c r="B60" s="167" t="inlineStr">
        <is>
          <t>Temu items</t>
        </is>
      </c>
      <c r="C60" s="167" t="n"/>
      <c r="D60" s="186" t="n">
        <v>2646</v>
      </c>
      <c r="E60" s="167" t="inlineStr">
        <is>
          <t>Temu</t>
        </is>
      </c>
      <c r="F60" s="167" t="inlineStr">
        <is>
          <t>Equipment / Supplies</t>
        </is>
      </c>
      <c r="G60" s="167" t="inlineStr">
        <is>
          <t>Temu items — restaurant supplies &amp; equipment</t>
        </is>
      </c>
    </row>
    <row r="61" ht="25.95" customHeight="1" s="209">
      <c r="B61" s="165" t="inlineStr">
        <is>
          <t>Board games for restaurant ambiance</t>
        </is>
      </c>
      <c r="C61" s="201" t="n"/>
      <c r="D61" s="188" t="n">
        <v>745</v>
      </c>
      <c r="E61" s="201" t="inlineStr">
        <is>
          <t>Various</t>
        </is>
      </c>
      <c r="F61" s="201" t="inlineStr">
        <is>
          <t>Equipment / Decor</t>
        </is>
      </c>
      <c r="G61" s="166" t="inlineStr">
        <is>
          <t>Board games for restaurant ambiance</t>
        </is>
      </c>
    </row>
    <row r="62" ht="22.05" customHeight="1" s="209">
      <c r="B62" s="167" t="inlineStr">
        <is>
          <t>Special menu board</t>
        </is>
      </c>
      <c r="C62" s="203" t="n"/>
      <c r="D62" s="192" t="n">
        <v>204</v>
      </c>
      <c r="E62" s="203" t="inlineStr">
        <is>
          <t>Sign Maker</t>
        </is>
      </c>
      <c r="F62" s="203" t="inlineStr">
        <is>
          <t>Branding / Signage</t>
        </is>
      </c>
      <c r="G62" s="169" t="inlineStr">
        <is>
          <t>Special menu board</t>
        </is>
      </c>
      <c r="H62" s="217" t="n"/>
    </row>
    <row r="63" ht="19.95" customHeight="1" s="209">
      <c r="B63" s="165" t="inlineStr">
        <is>
          <t>Logo and sticker printing</t>
        </is>
      </c>
      <c r="C63" s="165" t="n"/>
      <c r="D63" s="173" t="n">
        <v>845</v>
      </c>
      <c r="E63" s="165" t="inlineStr">
        <is>
          <t>Print Shop</t>
        </is>
      </c>
      <c r="F63" s="165" t="inlineStr">
        <is>
          <t>Branding / Signage</t>
        </is>
      </c>
      <c r="G63" s="165" t="inlineStr">
        <is>
          <t>Logo and sticker printing</t>
        </is>
      </c>
    </row>
    <row r="64" ht="19.95" customHeight="1" s="209">
      <c r="B64" s="167" t="inlineStr">
        <is>
          <t>Sign boards, stationary, other decor</t>
        </is>
      </c>
      <c r="C64" s="167" t="n"/>
      <c r="D64" s="186" t="n">
        <v>1555</v>
      </c>
      <c r="E64" s="167" t="inlineStr">
        <is>
          <t>China Shop</t>
        </is>
      </c>
      <c r="F64" s="167" t="inlineStr">
        <is>
          <t>Decor / Signage</t>
        </is>
      </c>
      <c r="G64" s="167" t="inlineStr">
        <is>
          <t>Sign boards, stationary, other decor</t>
        </is>
      </c>
    </row>
    <row r="65" ht="19.95" customHeight="1" s="209">
      <c r="B65" s="165" t="inlineStr">
        <is>
          <t>Logo Box Repair / Fix</t>
        </is>
      </c>
      <c r="C65" s="298" t="n">
        <v>46176</v>
      </c>
      <c r="D65" s="299" t="n">
        <v>900</v>
      </c>
      <c r="E65" s="165" t="inlineStr">
        <is>
          <t>Supplier</t>
        </is>
      </c>
      <c r="F65" s="165" t="inlineStr">
        <is>
          <t>Branding / Signage</t>
        </is>
      </c>
      <c r="G65" s="165" t="inlineStr">
        <is>
          <t>Logo box repair — paid by Shashirekha</t>
        </is>
      </c>
    </row>
    <row r="66" ht="19.95" customHeight="1" s="209">
      <c r="B66" s="164" t="n"/>
      <c r="C66" s="164" t="n"/>
      <c r="D66" s="190" t="n"/>
      <c r="E66" s="164" t="n"/>
      <c r="F66" s="164" t="n"/>
      <c r="G66" s="164" t="n"/>
    </row>
    <row r="67" ht="19.95" customHeight="1" s="209">
      <c r="B67" s="300" t="n"/>
      <c r="C67" s="301" t="n"/>
      <c r="D67" s="302" t="n"/>
      <c r="E67" s="301" t="n"/>
      <c r="F67" s="301" t="n"/>
      <c r="G67" s="300" t="n"/>
    </row>
    <row r="68" ht="19.95" customHeight="1" s="209">
      <c r="B68" s="174" t="inlineStr">
        <is>
          <t>SHASHIREKHA TOTAL</t>
        </is>
      </c>
      <c r="C68" s="204" t="n"/>
      <c r="D68" s="193">
        <f>SUM(D59:D67)</f>
        <v/>
      </c>
      <c r="E68" s="204" t="n"/>
      <c r="F68" s="204" t="n"/>
      <c r="G68" s="180" t="n"/>
      <c r="H68" s="217" t="n"/>
    </row>
    <row r="69" ht="19.95" customHeight="1" s="209"/>
    <row r="70" ht="19.95" customHeight="1" s="209">
      <c r="B70" s="214" t="inlineStr">
        <is>
          <t xml:space="preserve">  F.  GRAND SUMMARY — CAPITAL DEPLOYMENT</t>
        </is>
      </c>
      <c r="C70" s="214" t="n"/>
      <c r="D70" s="214" t="n"/>
      <c r="E70" s="214" t="n"/>
      <c r="F70" s="214" t="n"/>
      <c r="G70" s="171" t="n"/>
      <c r="H70" s="171" t="n"/>
    </row>
    <row r="71" ht="19.95" customHeight="1" s="209">
      <c r="B71" s="172" t="inlineStr">
        <is>
          <t>Line Item</t>
        </is>
      </c>
      <c r="C71" s="174" t="n"/>
      <c r="D71" s="174" t="n"/>
      <c r="E71" s="174" t="n"/>
      <c r="F71" s="174" t="n"/>
      <c r="G71" s="172" t="n"/>
    </row>
    <row r="72" ht="19.95" customHeight="1" s="209">
      <c r="B72" s="165" t="inlineStr">
        <is>
          <t>Total Budget</t>
        </is>
      </c>
      <c r="C72" s="173">
        <f>SUM(D6:D8)</f>
        <v/>
      </c>
      <c r="D72" s="194" t="n"/>
      <c r="E72" s="165" t="inlineStr">
        <is>
          <t>100% of committed capital</t>
        </is>
      </c>
    </row>
    <row r="73" ht="19.95" customHeight="1" s="209">
      <c r="B73" s="167" t="inlineStr">
        <is>
          <t>Acquisition Total</t>
        </is>
      </c>
      <c r="C73" s="186">
        <f>D13</f>
        <v/>
      </c>
      <c r="D73" s="195">
        <f>C73/C72</f>
        <v/>
      </c>
      <c r="E73" s="167" t="inlineStr">
        <is>
          <t>To be paid to previous owners</t>
        </is>
      </c>
    </row>
    <row r="74">
      <c r="B74" s="165" t="inlineStr">
        <is>
          <t>Advance Paid</t>
        </is>
      </c>
      <c r="C74" s="173">
        <f>D14</f>
        <v/>
      </c>
      <c r="D74" s="194">
        <f>C74/C72</f>
        <v/>
      </c>
      <c r="E74" s="165" t="inlineStr">
        <is>
          <t>✅ Already paid</t>
        </is>
      </c>
    </row>
    <row r="75">
      <c r="B75" s="177" t="inlineStr">
        <is>
          <t>Balance Remaining</t>
        </is>
      </c>
      <c r="C75" s="185">
        <f>D23</f>
        <v/>
      </c>
      <c r="D75" s="196">
        <f>C75/C72</f>
        <v/>
      </c>
      <c r="E75" s="177" t="inlineStr">
        <is>
          <t>⏳ Pending — funded by transfers</t>
        </is>
      </c>
    </row>
    <row r="76">
      <c r="B76" s="167" t="inlineStr">
        <is>
          <t>Kashi Ops (excl tr)</t>
        </is>
      </c>
      <c r="C76" s="186">
        <f>SUM(D35:D36)</f>
        <v/>
      </c>
      <c r="D76" s="195">
        <f>C76/C72</f>
        <v/>
      </c>
      <c r="E76" s="167" t="inlineStr">
        <is>
          <t>Soft license + terminal</t>
        </is>
      </c>
    </row>
    <row r="77">
      <c r="B77" s="165" t="inlineStr">
        <is>
          <t>Kashi Transfer</t>
        </is>
      </c>
      <c r="C77" s="173">
        <f>D34</f>
        <v/>
      </c>
      <c r="D77" s="194">
        <f>C77/C72</f>
        <v/>
      </c>
      <c r="E77" s="165" t="n"/>
    </row>
    <row r="78">
      <c r="B78" s="167" t="inlineStr">
        <is>
          <t>Lohith Pre-Opening</t>
        </is>
      </c>
      <c r="C78" s="186">
        <f>D55</f>
        <v/>
      </c>
      <c r="D78" s="195">
        <f>C78/C72</f>
        <v/>
      </c>
      <c r="E78" s="167" t="inlineStr">
        <is>
          <t>Advance + Notary + Poliza + Alejandra</t>
        </is>
      </c>
    </row>
    <row r="79">
      <c r="B79" s="165" t="inlineStr">
        <is>
          <t>Shashi Transfer</t>
        </is>
      </c>
      <c r="C79" s="173">
        <f>D59</f>
        <v/>
      </c>
      <c r="D79" s="194">
        <f>C79/C72</f>
        <v/>
      </c>
      <c r="E79" s="165" t="n"/>
    </row>
    <row r="80">
      <c r="B80" s="167" t="inlineStr">
        <is>
          <t>Shashi Other Exp</t>
        </is>
      </c>
      <c r="C80" s="186">
        <f>SUM(D60:D67)</f>
        <v/>
      </c>
      <c r="D80" s="195">
        <f>C80/C72</f>
        <v/>
      </c>
      <c r="E80" s="167" t="inlineStr">
        <is>
          <t>Yellow rows above</t>
        </is>
      </c>
    </row>
    <row r="81">
      <c r="B81" s="174" t="inlineStr">
        <is>
          <t>Total Cash Out</t>
        </is>
      </c>
      <c r="C81" s="182">
        <f>C73+C76+C78+C80</f>
        <v/>
      </c>
      <c r="D81" s="197">
        <f>C81/C72</f>
        <v/>
      </c>
      <c r="E81" s="174" t="inlineStr">
        <is>
          <t>Actual cash leaving the partnership</t>
        </is>
      </c>
      <c r="F81" s="198" t="n"/>
      <c r="G81" s="181" t="n"/>
    </row>
    <row r="82">
      <c r="B82" s="174" t="inlineStr">
        <is>
          <t>Remaining Budget</t>
        </is>
      </c>
      <c r="C82" s="182">
        <f>C72-C81</f>
        <v/>
      </c>
      <c r="D82" s="197">
        <f>C82/C72</f>
        <v/>
      </c>
      <c r="E82" s="174" t="n"/>
      <c r="F82" s="198" t="n"/>
      <c r="G82" s="181" t="n"/>
    </row>
    <row r="84" ht="15.6" customHeight="1" s="209">
      <c r="B84" s="171" t="inlineStr">
        <is>
          <t xml:space="preserve">  G.  REMAINING TRANSFERS DUE TO LOHITH REDDY</t>
        </is>
      </c>
      <c r="C84" s="214" t="n"/>
      <c r="D84" s="214" t="n"/>
      <c r="E84" s="214" t="n"/>
      <c r="F84" s="214" t="n"/>
      <c r="G84" s="171" t="n"/>
      <c r="H84" s="171" t="n"/>
    </row>
    <row r="85">
      <c r="B85" s="181" t="inlineStr">
        <is>
          <t>Partner</t>
        </is>
      </c>
      <c r="C85" s="198" t="inlineStr">
        <is>
          <t>Total Budget ($)</t>
        </is>
      </c>
      <c r="D85" s="198" t="inlineStr">
        <is>
          <t>Already Transferred ($)</t>
        </is>
      </c>
      <c r="E85" s="198" t="inlineStr">
        <is>
          <t>Direct Expenses ($)</t>
        </is>
      </c>
      <c r="F85" s="198" t="inlineStr">
        <is>
          <t>Still Owed to Lohith ($)</t>
        </is>
      </c>
      <c r="G85" s="181" t="inlineStr">
        <is>
          <t>Status</t>
        </is>
      </c>
    </row>
    <row r="86">
      <c r="B86" s="166" t="inlineStr">
        <is>
          <t>Kashigoud Patil</t>
        </is>
      </c>
      <c r="C86" s="188">
        <f>D7</f>
        <v/>
      </c>
      <c r="D86" s="188">
        <f>D34</f>
        <v/>
      </c>
      <c r="E86" s="188">
        <f>SUM(D35:D41)</f>
        <v/>
      </c>
      <c r="F86" s="188">
        <f>C86-D86-E86</f>
        <v/>
      </c>
      <c r="G86" s="166" t="inlineStr">
        <is>
          <t>⏳ PENDING</t>
        </is>
      </c>
    </row>
    <row r="87">
      <c r="B87" s="168" t="inlineStr">
        <is>
          <t>Shashirekha Basavaraju</t>
        </is>
      </c>
      <c r="C87" s="191">
        <f>D8</f>
        <v/>
      </c>
      <c r="D87" s="191">
        <f>D59</f>
        <v/>
      </c>
      <c r="E87" s="191">
        <f>SUM(D60:D67)</f>
        <v/>
      </c>
      <c r="F87" s="191">
        <f>C87-D87-E87</f>
        <v/>
      </c>
      <c r="G87" s="168" t="inlineStr">
        <is>
          <t>⏳ PENDING</t>
        </is>
      </c>
    </row>
    <row r="88">
      <c r="B88" s="181" t="inlineStr">
        <is>
          <t>TOTAL</t>
        </is>
      </c>
      <c r="C88" s="199">
        <f>C86+C87</f>
        <v/>
      </c>
      <c r="D88" s="199">
        <f>D86+D87</f>
        <v/>
      </c>
      <c r="E88" s="199">
        <f>E86+E87</f>
        <v/>
      </c>
      <c r="F88" s="199">
        <f>F86+F87</f>
        <v/>
      </c>
      <c r="G88" s="181" t="n"/>
    </row>
    <row r="90" ht="15.6" customHeight="1" s="209">
      <c r="B90" s="171" t="inlineStr">
        <is>
          <t xml:space="preserve">  H.  ACQUISITION PAYMENT — SPLIT BY OWNERSHIP SHARE  ($385,000 BALANCE DUE)</t>
        </is>
      </c>
      <c r="C90" s="214" t="n"/>
      <c r="D90" s="214" t="n"/>
      <c r="E90" s="214" t="n"/>
      <c r="F90" s="214" t="n"/>
      <c r="G90" s="171" t="n"/>
      <c r="H90" s="171" t="n"/>
    </row>
    <row r="91">
      <c r="B91" s="181" t="inlineStr">
        <is>
          <t>Partner</t>
        </is>
      </c>
      <c r="C91" s="198" t="inlineStr">
        <is>
          <t>Share %</t>
        </is>
      </c>
      <c r="D91" s="198" t="inlineStr">
        <is>
          <t>Share of $390k Total ($)</t>
        </is>
      </c>
      <c r="E91" s="198" t="inlineStr">
        <is>
          <t>Advance Credited ($)</t>
        </is>
      </c>
      <c r="F91" s="198" t="inlineStr">
        <is>
          <t>Balance Owed to Prev. Owners ($)</t>
        </is>
      </c>
      <c r="G91" s="181" t="inlineStr">
        <is>
          <t>Status</t>
        </is>
      </c>
    </row>
    <row r="92">
      <c r="B92" s="166" t="inlineStr">
        <is>
          <t>Lohith Reddy</t>
        </is>
      </c>
      <c r="C92" s="205">
        <f>C6</f>
        <v/>
      </c>
      <c r="D92" s="188">
        <f>C92*D13</f>
        <v/>
      </c>
      <c r="E92" s="188">
        <f>D14</f>
        <v/>
      </c>
      <c r="F92" s="188">
        <f>D92-E92</f>
        <v/>
      </c>
      <c r="G92" s="166" t="inlineStr">
        <is>
          <t>⏳ Pending — $134,500 balance outstanding</t>
        </is>
      </c>
    </row>
    <row r="93">
      <c r="B93" s="168" t="inlineStr">
        <is>
          <t>Kashigoud Patil</t>
        </is>
      </c>
      <c r="C93" s="206">
        <f>C7</f>
        <v/>
      </c>
      <c r="D93" s="191">
        <f>C93*D13</f>
        <v/>
      </c>
      <c r="E93" s="191" t="n">
        <v>0</v>
      </c>
      <c r="F93" s="191">
        <f>D93-E93</f>
        <v/>
      </c>
      <c r="G93" s="168" t="inlineStr">
        <is>
          <t>⏳ Pending — $134,500 balance outstanding</t>
        </is>
      </c>
    </row>
    <row r="94">
      <c r="B94" s="166" t="inlineStr">
        <is>
          <t>Shashirekha Basavaraju</t>
        </is>
      </c>
      <c r="C94" s="205">
        <f>C8</f>
        <v/>
      </c>
      <c r="D94" s="188">
        <f>C94*D13</f>
        <v/>
      </c>
      <c r="E94" s="188" t="n">
        <v>0</v>
      </c>
      <c r="F94" s="188">
        <f>D94-E94</f>
        <v/>
      </c>
      <c r="G94" s="166" t="inlineStr">
        <is>
          <t>⏳ Pending — $134,500 balance outstanding</t>
        </is>
      </c>
    </row>
    <row r="95">
      <c r="B95" s="181" t="inlineStr">
        <is>
          <t>TOTAL</t>
        </is>
      </c>
      <c r="C95" s="207" t="n">
        <v>1</v>
      </c>
      <c r="D95" s="199">
        <f>D92+D93+D94</f>
        <v/>
      </c>
      <c r="E95" s="199">
        <f>E92+E93+E94</f>
        <v/>
      </c>
      <c r="F95" s="199">
        <f>F92+F93+F94</f>
        <v/>
      </c>
      <c r="G95" s="181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09" min="1" max="1"/>
    <col width="18" customWidth="1" style="209" min="2" max="2"/>
    <col width="14" customWidth="1" style="209" min="3" max="7"/>
    <col width="16" customWidth="1" style="209" min="8" max="8"/>
    <col width="14" customWidth="1" style="209" min="9" max="14"/>
  </cols>
  <sheetData>
    <row r="1" ht="4.5" customHeight="1" s="209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09">
      <c r="A2" s="208" t="inlineStr">
        <is>
          <t>🍽️  LOKA Cafe Restaurante</t>
        </is>
      </c>
      <c r="H2" s="211" t="inlineStr">
        <is>
          <t>Restaurant Manager — powered by Soft + Excel</t>
        </is>
      </c>
    </row>
    <row r="3" ht="3.75" customHeight="1" s="209">
      <c r="A3" s="210" t="n"/>
    </row>
    <row r="4" ht="7.5" customHeight="1" s="209"/>
    <row r="5" ht="36" customHeight="1" s="209">
      <c r="B5" s="262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38" t="n"/>
      <c r="D5" s="238" t="n"/>
      <c r="E5" s="238" t="n"/>
      <c r="F5" s="238" t="n"/>
      <c r="G5" s="238" t="n"/>
      <c r="H5" s="238" t="n"/>
      <c r="I5" s="238" t="n"/>
      <c r="J5" s="238" t="n"/>
      <c r="K5" s="238" t="n"/>
      <c r="L5" s="238" t="n"/>
      <c r="M5" s="238" t="n"/>
    </row>
    <row r="6" ht="9.75" customHeight="1" s="209"/>
    <row r="7" ht="19.5" customHeight="1" s="209">
      <c r="B7" s="237" t="inlineStr">
        <is>
          <t xml:space="preserve">  💰  REVENUE  (auto-pulled from Daily Log)</t>
        </is>
      </c>
      <c r="C7" s="238" t="n"/>
      <c r="D7" s="238" t="n"/>
      <c r="E7" s="238" t="n"/>
      <c r="F7" s="238" t="n"/>
      <c r="G7" s="238" t="n"/>
      <c r="H7" s="238" t="n"/>
      <c r="I7" s="238" t="n"/>
      <c r="J7" s="238" t="n"/>
      <c r="K7" s="238" t="n"/>
      <c r="L7" s="238" t="n"/>
      <c r="M7" s="238" t="n"/>
    </row>
    <row r="8" ht="6" customHeight="1" s="209"/>
    <row r="9" ht="18" customHeight="1" s="209">
      <c r="B9" s="225" t="inlineStr">
        <is>
          <t>TODAY'S REVENUE</t>
        </is>
      </c>
      <c r="C9" s="223" t="n"/>
      <c r="D9" s="225" t="inlineStr">
        <is>
          <t>WEEK REVENUE</t>
        </is>
      </c>
      <c r="E9" s="223" t="n"/>
      <c r="F9" s="225" t="inlineStr">
        <is>
          <t>MONTH REVENUE</t>
        </is>
      </c>
      <c r="G9" s="223" t="n"/>
      <c r="H9" s="225" t="inlineStr">
        <is>
          <t>TODAY'S EXPENSES</t>
        </is>
      </c>
      <c r="I9" s="223" t="n"/>
      <c r="J9" s="225" t="inlineStr">
        <is>
          <t>TODAY'S NET PROFIT</t>
        </is>
      </c>
      <c r="K9" s="223" t="n"/>
      <c r="L9" s="225" t="inlineStr">
        <is>
          <t>AVG TICKET</t>
        </is>
      </c>
      <c r="M9" s="223" t="n"/>
    </row>
    <row r="10" ht="19.5" customHeight="1" s="209">
      <c r="B10" s="257">
        <f>'📅 Daily Log'!F6</f>
        <v/>
      </c>
      <c r="C10" s="228" t="n"/>
      <c r="D10" s="227">
        <f>'📅 Daily Log'!N6</f>
        <v/>
      </c>
      <c r="E10" s="228" t="n"/>
      <c r="F10" s="253">
        <f>'📅 Daily Log'!O6</f>
        <v/>
      </c>
      <c r="G10" s="228" t="n"/>
      <c r="H10" s="232">
        <f>'📅 Daily Log'!H6</f>
        <v/>
      </c>
      <c r="I10" s="228" t="n"/>
      <c r="J10" s="257">
        <f>'📅 Daily Log'!I6</f>
        <v/>
      </c>
      <c r="K10" s="228" t="n"/>
      <c r="L10" s="275">
        <f>IFERROR('📅 Daily Log'!F6/'📅 Daily Log'!G6,0)</f>
        <v/>
      </c>
      <c r="M10" s="228" t="n"/>
    </row>
    <row r="11" ht="19.5" customHeight="1" s="209">
      <c r="B11" s="229" t="n"/>
      <c r="D11" s="229" t="n"/>
      <c r="F11" s="229" t="n"/>
      <c r="H11" s="229" t="n"/>
      <c r="J11" s="229" t="n"/>
      <c r="L11" s="229" t="n"/>
    </row>
    <row r="12" ht="19.5" customHeight="1" s="209">
      <c r="B12" s="229" t="n"/>
      <c r="D12" s="229" t="n"/>
      <c r="F12" s="229" t="n"/>
      <c r="H12" s="229" t="n"/>
      <c r="J12" s="229" t="n"/>
      <c r="L12" s="229" t="n"/>
    </row>
    <row r="13" ht="9.75" customHeight="1" s="209"/>
    <row r="14" ht="19.5" customHeight="1" s="209">
      <c r="B14" s="237" t="inlineStr">
        <is>
          <t xml:space="preserve">  📊  OPERATIONS</t>
        </is>
      </c>
      <c r="C14" s="238" t="n"/>
      <c r="D14" s="238" t="n"/>
      <c r="E14" s="238" t="n"/>
      <c r="F14" s="238" t="n"/>
      <c r="G14" s="238" t="n"/>
      <c r="H14" s="238" t="n"/>
      <c r="I14" s="238" t="n"/>
      <c r="J14" s="238" t="n"/>
      <c r="K14" s="238" t="n"/>
      <c r="L14" s="238" t="n"/>
      <c r="M14" s="238" t="n"/>
    </row>
    <row r="15" ht="6" customHeight="1" s="209"/>
    <row r="16" ht="18" customHeight="1" s="209">
      <c r="B16" s="225" t="inlineStr">
        <is>
          <t>TODAY'S ORDERS</t>
        </is>
      </c>
      <c r="C16" s="223" t="n"/>
      <c r="D16" s="225" t="inlineStr">
        <is>
          <t>WEEK ORDERS</t>
        </is>
      </c>
      <c r="E16" s="223" t="n"/>
      <c r="F16" s="225" t="inlineStr">
        <is>
          <t>PROFIT MARGIN %</t>
        </is>
      </c>
      <c r="G16" s="223" t="n"/>
      <c r="H16" s="225" t="inlineStr">
        <is>
          <t>LOW STOCK ITEMS</t>
        </is>
      </c>
      <c r="I16" s="223" t="n"/>
      <c r="J16" s="225" t="inlineStr">
        <is>
          <t>WEEK EXPENSES</t>
        </is>
      </c>
      <c r="K16" s="223" t="n"/>
      <c r="L16" s="225" t="inlineStr">
        <is>
          <t>PENDING ORDERS</t>
        </is>
      </c>
      <c r="M16" s="223" t="n"/>
    </row>
    <row r="17" ht="19.5" customHeight="1" s="209">
      <c r="B17" s="259">
        <f>'📅 Daily Log'!G6</f>
        <v/>
      </c>
      <c r="C17" s="228" t="n"/>
      <c r="D17" s="25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28" t="n"/>
      <c r="F17" s="264">
        <f>IFERROR('📅 Daily Log'!J6,0)</f>
        <v/>
      </c>
      <c r="G17" s="228" t="n"/>
      <c r="H17" s="265">
        <f>'📦 Inventory'!H5</f>
        <v/>
      </c>
      <c r="I17" s="228" t="n"/>
      <c r="J17" s="232">
        <f>'📅 Daily Log'!P6</f>
        <v/>
      </c>
      <c r="K17" s="228" t="n"/>
      <c r="L17" s="234">
        <f>'🚚 Suppliers'!H5</f>
        <v/>
      </c>
      <c r="M17" s="228" t="n"/>
    </row>
    <row r="18" ht="19.5" customHeight="1" s="209">
      <c r="B18" s="229" t="n"/>
      <c r="D18" s="229" t="n"/>
      <c r="F18" s="229" t="n"/>
      <c r="H18" s="229" t="n"/>
      <c r="J18" s="229" t="n"/>
      <c r="L18" s="229" t="n"/>
    </row>
    <row r="19" ht="19.5" customHeight="1" s="209">
      <c r="B19" s="229" t="n"/>
      <c r="D19" s="229" t="n"/>
      <c r="F19" s="229" t="n"/>
      <c r="H19" s="229" t="n"/>
      <c r="J19" s="229" t="n"/>
      <c r="L19" s="229" t="n"/>
    </row>
    <row r="20" ht="9.75" customHeight="1" s="209"/>
    <row r="21" ht="19.5" customHeight="1" s="209">
      <c r="B21" s="237" t="inlineStr">
        <is>
          <t xml:space="preserve">  📅  LAST 10 DAYS  (from Daily Log — updates automatically)</t>
        </is>
      </c>
      <c r="C21" s="238" t="n"/>
      <c r="D21" s="238" t="n"/>
      <c r="E21" s="238" t="n"/>
      <c r="F21" s="238" t="n"/>
      <c r="G21" s="238" t="n"/>
      <c r="H21" s="238" t="n"/>
      <c r="I21" s="238" t="n"/>
      <c r="J21" s="238" t="n"/>
      <c r="K21" s="238" t="n"/>
      <c r="L21" s="238" t="n"/>
      <c r="M21" s="238" t="n"/>
    </row>
    <row r="22" ht="27.75" customHeight="1" s="209">
      <c r="B22" s="218" t="inlineStr">
        <is>
          <t>Date</t>
        </is>
      </c>
      <c r="C22" s="218" t="inlineStr">
        <is>
          <t>Day</t>
        </is>
      </c>
      <c r="D22" s="218" t="inlineStr">
        <is>
          <t>Revenue ($)</t>
        </is>
      </c>
      <c r="E22" s="218" t="inlineStr">
        <is>
          <t>Orders</t>
        </is>
      </c>
      <c r="F22" s="218" t="inlineStr">
        <is>
          <t>Avg Ticket</t>
        </is>
      </c>
      <c r="G22" s="218" t="inlineStr">
        <is>
          <t>Expenses ($)</t>
        </is>
      </c>
      <c r="H22" s="218" t="inlineStr">
        <is>
          <t>Net Profit ($)</t>
        </is>
      </c>
      <c r="I22" s="218" t="inlineStr">
        <is>
          <t>Margin %</t>
        </is>
      </c>
      <c r="J22" s="218" t="inlineStr">
        <is>
          <t>Notes</t>
        </is>
      </c>
      <c r="K22" s="254" t="inlineStr">
        <is>
          <t>vs Prev Day</t>
        </is>
      </c>
      <c r="L22" s="223" t="n"/>
      <c r="M22" s="219" t="n"/>
    </row>
    <row r="23" ht="16.5" customHeight="1" s="209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40" t="inlineStr">
        <is>
          <t>—</t>
        </is>
      </c>
      <c r="L23" s="223" t="n"/>
      <c r="M23" s="219" t="n"/>
    </row>
    <row r="24" ht="16.5" customHeight="1" s="209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22">
        <f>IFERROR(IF(D24&gt;D23,"▲ +"&amp;TEXT(D24-D23,"$#,##0"),IF(D24&lt;D23,"▼ "&amp;TEXT(D24-D23,"$#,##0"),"— same")),"")</f>
        <v/>
      </c>
      <c r="L24" s="223" t="n"/>
      <c r="M24" s="219" t="n"/>
    </row>
    <row r="25" ht="16.5" customHeight="1" s="209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40">
        <f>IFERROR(IF(D25&gt;D24,"▲ +"&amp;TEXT(D25-D24,"$#,##0"),IF(D25&lt;D24,"▼ "&amp;TEXT(D25-D24,"$#,##0"),"— same")),"")</f>
        <v/>
      </c>
      <c r="L25" s="223" t="n"/>
      <c r="M25" s="219" t="n"/>
    </row>
    <row r="26" ht="16.5" customHeight="1" s="209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22">
        <f>IFERROR(IF(D26&gt;D25,"▲ +"&amp;TEXT(D26-D25,"$#,##0"),IF(D26&lt;D25,"▼ "&amp;TEXT(D26-D25,"$#,##0"),"— same")),"")</f>
        <v/>
      </c>
      <c r="L26" s="223" t="n"/>
      <c r="M26" s="219" t="n"/>
    </row>
    <row r="27" ht="16.5" customHeight="1" s="209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40">
        <f>IFERROR(IF(D27&gt;D26,"▲ +"&amp;TEXT(D27-D26,"$#,##0"),IF(D27&lt;D26,"▼ "&amp;TEXT(D27-D26,"$#,##0"),"— same")),"")</f>
        <v/>
      </c>
      <c r="L27" s="223" t="n"/>
      <c r="M27" s="219" t="n"/>
    </row>
    <row r="28" ht="16.5" customHeight="1" s="209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22">
        <f>IFERROR(IF(D28&gt;D27,"▲ +"&amp;TEXT(D28-D27,"$#,##0"),IF(D28&lt;D27,"▼ "&amp;TEXT(D28-D27,"$#,##0"),"— same")),"")</f>
        <v/>
      </c>
      <c r="L28" s="223" t="n"/>
      <c r="M28" s="219" t="n"/>
    </row>
    <row r="29" ht="16.5" customHeight="1" s="209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40">
        <f>IFERROR(IF(D29&gt;D28,"▲ +"&amp;TEXT(D29-D28,"$#,##0"),IF(D29&lt;D28,"▼ "&amp;TEXT(D29-D28,"$#,##0"),"— same")),"")</f>
        <v/>
      </c>
      <c r="L29" s="223" t="n"/>
      <c r="M29" s="219" t="n"/>
    </row>
    <row r="30" ht="16.5" customHeight="1" s="209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22">
        <f>IFERROR(IF(D30&gt;D29,"▲ +"&amp;TEXT(D30-D29,"$#,##0"),IF(D30&lt;D29,"▼ "&amp;TEXT(D30-D29,"$#,##0"),"— same")),"")</f>
        <v/>
      </c>
      <c r="L30" s="223" t="n"/>
      <c r="M30" s="219" t="n"/>
    </row>
    <row r="31" ht="16.5" customHeight="1" s="209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40">
        <f>IFERROR(IF(D31&gt;D30,"▲ +"&amp;TEXT(D31-D30,"$#,##0"),IF(D31&lt;D30,"▼ "&amp;TEXT(D31-D30,"$#,##0"),"— same")),"")</f>
        <v/>
      </c>
      <c r="L31" s="223" t="n"/>
      <c r="M31" s="219" t="n"/>
    </row>
    <row r="32" ht="16.5" customHeight="1" s="209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22">
        <f>IFERROR(IF(D32&gt;D31,"▲ +"&amp;TEXT(D32-D31,"$#,##0"),IF(D32&lt;D31,"▼ "&amp;TEXT(D32-D31,"$#,##0"),"— same")),"")</f>
        <v/>
      </c>
      <c r="L32" s="223" t="n"/>
      <c r="M32" s="219" t="n"/>
    </row>
    <row r="33" ht="9.75" customHeight="1" s="209"/>
    <row r="34" ht="19.5" customHeight="1" s="209">
      <c r="B34" s="237" t="inlineStr">
        <is>
          <t xml:space="preserve">  ⚠️  INVENTORY ALERTS  (from Inventory sheet)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8" t="n"/>
      <c r="M34" s="238" t="n"/>
    </row>
    <row r="35" ht="27.75" customHeight="1" s="209">
      <c r="B35" s="218" t="inlineStr">
        <is>
          <t>Ingredient</t>
        </is>
      </c>
      <c r="C35" s="223" t="n"/>
      <c r="D35" s="219" t="n"/>
      <c r="E35" s="218" t="n"/>
      <c r="F35" s="218" t="inlineStr">
        <is>
          <t>Min Level</t>
        </is>
      </c>
      <c r="G35" s="219" t="n"/>
      <c r="H35" s="218" t="inlineStr">
        <is>
          <t>Status</t>
        </is>
      </c>
      <c r="I35" s="219" t="n"/>
      <c r="J35" s="218" t="inlineStr">
        <is>
          <t>Action Needed</t>
        </is>
      </c>
      <c r="K35" s="223" t="n"/>
      <c r="L35" s="223" t="n"/>
      <c r="M35" s="219" t="n"/>
    </row>
    <row r="36" ht="16.5" customHeight="1" s="209">
      <c r="B36" s="261">
        <f>'📦 Inventory'!B9</f>
        <v/>
      </c>
      <c r="C36" s="223" t="n"/>
      <c r="D36" s="223" t="n"/>
      <c r="E36" s="248">
        <f>'📦 Inventory'!E9</f>
        <v/>
      </c>
      <c r="F36" s="223" t="n"/>
      <c r="G36" s="256">
        <f>'📦 Inventory'!F9</f>
        <v/>
      </c>
      <c r="H36" s="223" t="n"/>
      <c r="I36" s="230">
        <f>'📦 Inventory'!J9</f>
        <v/>
      </c>
      <c r="J36" s="223" t="n"/>
      <c r="K36" s="230">
        <f>IF('📦 Inventory'!E9=0,"🚫 Order immediately",IF('📦 Inventory'!E9&lt;='📦 Inventory'!F9,"⚠️ Reorder soon","✅ OK"))</f>
        <v/>
      </c>
      <c r="L36" s="223" t="n"/>
      <c r="M36" s="223" t="n"/>
    </row>
    <row r="37" ht="16.5" customHeight="1" s="209">
      <c r="B37" s="239">
        <f>'📦 Inventory'!B10</f>
        <v/>
      </c>
      <c r="C37" s="223" t="n"/>
      <c r="D37" s="223" t="n"/>
      <c r="E37" s="271">
        <f>'📦 Inventory'!E10</f>
        <v/>
      </c>
      <c r="F37" s="223" t="n"/>
      <c r="G37" s="272">
        <f>'📦 Inventory'!F10</f>
        <v/>
      </c>
      <c r="H37" s="223" t="n"/>
      <c r="I37" s="273">
        <f>'📦 Inventory'!J10</f>
        <v/>
      </c>
      <c r="J37" s="223" t="n"/>
      <c r="K37" s="273">
        <f>IF('📦 Inventory'!E10=0,"🚫 Order immediately",IF('📦 Inventory'!E10&lt;='📦 Inventory'!F10,"⚠️ Reorder soon","✅ OK"))</f>
        <v/>
      </c>
      <c r="L37" s="223" t="n"/>
      <c r="M37" s="223" t="n"/>
    </row>
    <row r="38" ht="16.5" customHeight="1" s="209">
      <c r="B38" s="261">
        <f>'📦 Inventory'!B11</f>
        <v/>
      </c>
      <c r="C38" s="223" t="n"/>
      <c r="D38" s="223" t="n"/>
      <c r="E38" s="248">
        <f>'📦 Inventory'!E11</f>
        <v/>
      </c>
      <c r="F38" s="223" t="n"/>
      <c r="G38" s="256">
        <f>'📦 Inventory'!F11</f>
        <v/>
      </c>
      <c r="H38" s="223" t="n"/>
      <c r="I38" s="230">
        <f>'📦 Inventory'!J11</f>
        <v/>
      </c>
      <c r="J38" s="223" t="n"/>
      <c r="K38" s="230">
        <f>IF('📦 Inventory'!E11=0,"🚫 Order immediately",IF('📦 Inventory'!E11&lt;='📦 Inventory'!F11,"⚠️ Reorder soon","✅ OK"))</f>
        <v/>
      </c>
      <c r="L38" s="223" t="n"/>
      <c r="M38" s="223" t="n"/>
    </row>
    <row r="39" ht="16.5" customHeight="1" s="209">
      <c r="B39" s="239">
        <f>'📦 Inventory'!B12</f>
        <v/>
      </c>
      <c r="C39" s="223" t="n"/>
      <c r="D39" s="223" t="n"/>
      <c r="E39" s="271">
        <f>'📦 Inventory'!E12</f>
        <v/>
      </c>
      <c r="F39" s="223" t="n"/>
      <c r="G39" s="272">
        <f>'📦 Inventory'!F12</f>
        <v/>
      </c>
      <c r="H39" s="223" t="n"/>
      <c r="I39" s="273">
        <f>'📦 Inventory'!J12</f>
        <v/>
      </c>
      <c r="J39" s="223" t="n"/>
      <c r="K39" s="273">
        <f>IF('📦 Inventory'!E12=0,"🚫 Order immediately",IF('📦 Inventory'!E12&lt;='📦 Inventory'!F12,"⚠️ Reorder soon","✅ OK"))</f>
        <v/>
      </c>
      <c r="L39" s="223" t="n"/>
      <c r="M39" s="223" t="n"/>
    </row>
    <row r="40" ht="16.5" customHeight="1" s="209">
      <c r="B40" s="261">
        <f>'📦 Inventory'!B13</f>
        <v/>
      </c>
      <c r="C40" s="223" t="n"/>
      <c r="D40" s="223" t="n"/>
      <c r="E40" s="248">
        <f>'📦 Inventory'!E13</f>
        <v/>
      </c>
      <c r="F40" s="223" t="n"/>
      <c r="G40" s="256">
        <f>'📦 Inventory'!F13</f>
        <v/>
      </c>
      <c r="H40" s="223" t="n"/>
      <c r="I40" s="230">
        <f>'📦 Inventory'!J13</f>
        <v/>
      </c>
      <c r="J40" s="223" t="n"/>
      <c r="K40" s="230">
        <f>IF('📦 Inventory'!E13=0,"🚫 Order immediately",IF('📦 Inventory'!E13&lt;='📦 Inventory'!F13,"⚠️ Reorder soon","✅ OK"))</f>
        <v/>
      </c>
      <c r="L40" s="223" t="n"/>
      <c r="M40" s="223" t="n"/>
    </row>
    <row r="41" ht="7.5" customHeight="1" s="209"/>
    <row r="42" ht="30" customHeight="1" s="209">
      <c r="B42" s="224" t="inlineStr">
        <is>
          <t>💼  CAPITAL &amp; ACQUISITION STATUS  —  live from Capital &amp; Ownership sheet</t>
        </is>
      </c>
    </row>
    <row r="43" ht="6" customHeight="1" s="209"/>
    <row r="44" ht="16.05" customHeight="1" s="209">
      <c r="B44" s="274" t="inlineStr">
        <is>
          <t>TOTAL BUDGET</t>
        </is>
      </c>
      <c r="C44" s="217" t="n"/>
      <c r="D44" s="283" t="inlineStr">
        <is>
          <t>TOTAL CASH OUT</t>
        </is>
      </c>
      <c r="E44" s="217" t="n"/>
      <c r="F44" s="284" t="inlineStr">
        <is>
          <t>REMAINING BUDGET</t>
        </is>
      </c>
      <c r="G44" s="217" t="n"/>
      <c r="H44" s="280" t="inlineStr">
        <is>
          <t>ACQUISITION PRICE</t>
        </is>
      </c>
      <c r="I44" s="217" t="n"/>
      <c r="J44" s="277" t="inlineStr">
        <is>
          <t>ADVANCE PAID</t>
        </is>
      </c>
      <c r="K44" s="217" t="n"/>
      <c r="L44" s="266" t="inlineStr">
        <is>
          <t>BALANCE PENDING</t>
        </is>
      </c>
      <c r="M44" s="217" t="n"/>
    </row>
    <row r="45" ht="22.05" customHeight="1" s="209">
      <c r="B45" s="276">
        <f>'Capital &amp; Ownership'!C63</f>
        <v/>
      </c>
      <c r="C45" s="217" t="n"/>
      <c r="D45" s="236">
        <f>'Capital &amp; Ownership'!C72</f>
        <v/>
      </c>
      <c r="E45" s="217" t="n"/>
      <c r="F45" s="258">
        <f>'Capital &amp; Ownership'!C73</f>
        <v/>
      </c>
      <c r="G45" s="217" t="n"/>
      <c r="H45" s="246">
        <f>'Capital &amp; Ownership'!C64</f>
        <v/>
      </c>
      <c r="I45" s="217" t="n"/>
      <c r="J45" s="242">
        <f>'Capital &amp; Ownership'!C65</f>
        <v/>
      </c>
      <c r="K45" s="217" t="n"/>
      <c r="L45" s="243">
        <f>'Capital &amp; Ownership'!C66</f>
        <v/>
      </c>
      <c r="M45" s="217" t="n"/>
    </row>
    <row r="46" ht="16.05" customHeight="1" s="209">
      <c r="B46" s="278" t="inlineStr">
        <is>
          <t>All 3 partners</t>
        </is>
      </c>
      <c r="C46" s="217" t="n"/>
      <c r="D46" s="279" t="inlineStr">
        <is>
          <t>Excl. internal transfers</t>
        </is>
      </c>
      <c r="E46" s="217" t="n"/>
      <c r="F46" s="263" t="inlineStr">
        <is>
          <t>Available for operations</t>
        </is>
      </c>
      <c r="G46" s="217" t="n"/>
      <c r="H46" s="281" t="inlineStr">
        <is>
          <t>To previous owners</t>
        </is>
      </c>
      <c r="I46" s="217" t="n"/>
      <c r="J46" s="267" t="inlineStr">
        <is>
          <t>✅ Paid by Lohith</t>
        </is>
      </c>
      <c r="K46" s="217" t="n"/>
      <c r="L46" s="268" t="inlineStr">
        <is>
          <t>⏳ Outstanding</t>
        </is>
      </c>
      <c r="M46" s="217" t="n"/>
    </row>
    <row r="47" ht="7.95" customHeight="1" s="209"/>
    <row r="48" ht="22.05" customHeight="1" s="209">
      <c r="B48" s="270" t="inlineStr">
        <is>
          <t xml:space="preserve">  👥  OWNER CAPITAL SUMMARY</t>
        </is>
      </c>
    </row>
    <row r="49" ht="19.95" customHeight="1" s="209">
      <c r="B49" s="250" t="inlineStr">
        <is>
          <t>OWNER</t>
        </is>
      </c>
      <c r="C49" s="217" t="n"/>
      <c r="D49" s="250" t="inlineStr">
        <is>
          <t>SHARE %</t>
        </is>
      </c>
      <c r="E49" s="217" t="n"/>
      <c r="F49" s="250" t="inlineStr">
        <is>
          <t>CAPITAL ($)</t>
        </is>
      </c>
      <c r="G49" s="250" t="inlineStr">
        <is>
          <t>ROLE</t>
        </is>
      </c>
      <c r="H49" s="250" t="inlineStr">
        <is>
          <t>EXPENSES ($)</t>
        </is>
      </c>
      <c r="I49" s="217" t="n"/>
      <c r="J49" s="250" t="inlineStr">
        <is>
          <t>REMAINING ($)</t>
        </is>
      </c>
      <c r="K49" s="217" t="n"/>
      <c r="L49" s="250" t="inlineStr">
        <is>
          <t>% SPENT</t>
        </is>
      </c>
      <c r="M49" s="217" t="n"/>
    </row>
    <row r="50" ht="19.95" customHeight="1" s="209">
      <c r="B50" s="249">
        <f>'Capital &amp; Ownership'!B6</f>
        <v/>
      </c>
      <c r="C50" s="217" t="n"/>
      <c r="D50" s="235">
        <f>'Capital &amp; Ownership'!C6</f>
        <v/>
      </c>
      <c r="E50" s="217" t="n"/>
      <c r="F50" s="244">
        <f>'Capital &amp; Ownership'!D6</f>
        <v/>
      </c>
      <c r="G50" s="226" t="inlineStr">
        <is>
          <t>50% — Managing Partner</t>
        </is>
      </c>
      <c r="H50" s="244">
        <f>'Capital &amp; Ownership'!E6</f>
        <v/>
      </c>
      <c r="I50" s="217" t="n"/>
      <c r="J50" s="244">
        <f>'Capital &amp; Ownership'!F6</f>
        <v/>
      </c>
      <c r="K50" s="217" t="n"/>
      <c r="L50" s="235">
        <f>IFERROR('Capital &amp; Ownership'!E6/'Capital &amp; Ownership'!D6,0)</f>
        <v/>
      </c>
      <c r="M50" s="217" t="n"/>
    </row>
    <row r="51" ht="19.95" customHeight="1" s="209">
      <c r="B51" s="251">
        <f>'Capital &amp; Ownership'!B7</f>
        <v/>
      </c>
      <c r="C51" s="217" t="n"/>
      <c r="D51" s="252">
        <f>'Capital &amp; Ownership'!C7</f>
        <v/>
      </c>
      <c r="E51" s="217" t="n"/>
      <c r="F51" s="269">
        <f>'Capital &amp; Ownership'!D7</f>
        <v/>
      </c>
      <c r="G51" s="26" t="inlineStr">
        <is>
          <t>30% — Partner</t>
        </is>
      </c>
      <c r="H51" s="269">
        <f>'Capital &amp; Ownership'!E7</f>
        <v/>
      </c>
      <c r="I51" s="217" t="n"/>
      <c r="J51" s="269">
        <f>'Capital &amp; Ownership'!F7</f>
        <v/>
      </c>
      <c r="K51" s="217" t="n"/>
      <c r="L51" s="252">
        <f>IFERROR('Capital &amp; Ownership'!E7/'Capital &amp; Ownership'!D7,0)</f>
        <v/>
      </c>
      <c r="M51" s="217" t="n"/>
    </row>
    <row r="52" ht="19.95" customHeight="1" s="209">
      <c r="B52" s="249">
        <f>'Capital &amp; Ownership'!B8</f>
        <v/>
      </c>
      <c r="C52" s="217" t="n"/>
      <c r="D52" s="235">
        <f>'Capital &amp; Ownership'!C8</f>
        <v/>
      </c>
      <c r="E52" s="217" t="n"/>
      <c r="F52" s="244">
        <f>'Capital &amp; Ownership'!D8</f>
        <v/>
      </c>
      <c r="G52" s="226" t="inlineStr">
        <is>
          <t>20% — Partner</t>
        </is>
      </c>
      <c r="H52" s="244">
        <f>'Capital &amp; Ownership'!E8</f>
        <v/>
      </c>
      <c r="I52" s="217" t="n"/>
      <c r="J52" s="244">
        <f>'Capital &amp; Ownership'!F8</f>
        <v/>
      </c>
      <c r="K52" s="217" t="n"/>
      <c r="L52" s="235">
        <f>IFERROR('Capital &amp; Ownership'!E8/'Capital &amp; Ownership'!D8,0)</f>
        <v/>
      </c>
      <c r="M52" s="217" t="n"/>
    </row>
    <row r="53" ht="22.05" customHeight="1" s="209">
      <c r="B53" s="260" t="inlineStr">
        <is>
          <t>TOTAL</t>
        </is>
      </c>
      <c r="C53" s="217" t="n"/>
      <c r="D53" s="233">
        <f>'Capital &amp; Ownership'!C9</f>
        <v/>
      </c>
      <c r="E53" s="217" t="n"/>
      <c r="F53" s="216">
        <f>'Capital &amp; Ownership'!D9</f>
        <v/>
      </c>
      <c r="G53" s="250" t="n"/>
      <c r="H53" s="216">
        <f>'Capital &amp; Ownership'!E9</f>
        <v/>
      </c>
      <c r="I53" s="217" t="n"/>
      <c r="J53" s="216">
        <f>'Capital &amp; Ownership'!F9</f>
        <v/>
      </c>
      <c r="K53" s="217" t="n"/>
      <c r="L53" s="233">
        <f>IFERROR('Capital &amp; Ownership'!E9/'Capital &amp; Ownership'!D9,0)</f>
        <v/>
      </c>
      <c r="M53" s="217" t="n"/>
    </row>
    <row r="54" ht="7.95" customHeight="1" s="209"/>
    <row r="55" ht="22.05" customHeight="1" s="209">
      <c r="B55" s="270" t="inlineStr">
        <is>
          <t xml:space="preserve">  🧾  PRE-OPENING EXPENSES BREAKDOWN</t>
        </is>
      </c>
    </row>
    <row r="56" ht="19.95" customHeight="1" s="209">
      <c r="B56" s="250" t="inlineStr">
        <is>
          <t>EXPENSE ITEM</t>
        </is>
      </c>
      <c r="C56" s="221" t="n"/>
      <c r="D56" s="217" t="n"/>
      <c r="E56" s="250" t="inlineStr">
        <is>
          <t>PAID BY</t>
        </is>
      </c>
      <c r="F56" s="217" t="n"/>
      <c r="G56" s="250" t="inlineStr">
        <is>
          <t>AMOUNT ($)</t>
        </is>
      </c>
      <c r="H56" s="217" t="n"/>
      <c r="I56" s="250" t="inlineStr">
        <is>
          <t>CATEGORY</t>
        </is>
      </c>
      <c r="J56" s="217" t="n"/>
      <c r="K56" s="250" t="inlineStr">
        <is>
          <t>STATUS</t>
        </is>
      </c>
      <c r="L56" s="217" t="n"/>
    </row>
    <row r="57" ht="19.95" customHeight="1" s="209">
      <c r="B57" s="231">
        <f>'Capital &amp; Ownership'!B13</f>
        <v/>
      </c>
      <c r="C57" s="221" t="n"/>
      <c r="D57" s="217" t="n"/>
      <c r="E57" s="255" t="inlineStr">
        <is>
          <t>All Partners</t>
        </is>
      </c>
      <c r="F57" s="217" t="n"/>
      <c r="G57" s="241">
        <f>'Capital &amp; Ownership'!D13</f>
        <v/>
      </c>
      <c r="H57" s="217" t="n"/>
      <c r="I57" s="255" t="inlineStr">
        <is>
          <t>Acquisition</t>
        </is>
      </c>
      <c r="J57" s="217" t="n"/>
      <c r="K57" s="255" t="inlineStr">
        <is>
          <t>⚠️ Not Fully Paid</t>
        </is>
      </c>
      <c r="L57" s="217" t="n"/>
    </row>
    <row r="58" ht="19.95" customHeight="1" s="209">
      <c r="B58" s="220">
        <f>'Capital &amp; Ownership'!B14</f>
        <v/>
      </c>
      <c r="C58" s="221" t="n"/>
      <c r="D58" s="217" t="n"/>
      <c r="E58" s="245" t="inlineStr">
        <is>
          <t>Lohith Reddy</t>
        </is>
      </c>
      <c r="F58" s="217" t="n"/>
      <c r="G58" s="247">
        <f>'Capital &amp; Ownership'!D14</f>
        <v/>
      </c>
      <c r="H58" s="217" t="n"/>
      <c r="I58" s="245" t="inlineStr">
        <is>
          <t>Acquisition Advance</t>
        </is>
      </c>
      <c r="J58" s="217" t="n"/>
      <c r="K58" s="245" t="inlineStr">
        <is>
          <t>✅ Paid</t>
        </is>
      </c>
      <c r="L58" s="217" t="n"/>
    </row>
    <row r="59" ht="19.95" customHeight="1" s="209">
      <c r="B59" s="220">
        <f>'Capital &amp; Ownership'!B27</f>
        <v/>
      </c>
      <c r="C59" s="221" t="n"/>
      <c r="D59" s="217" t="n"/>
      <c r="E59" s="245" t="inlineStr">
        <is>
          <t>Kashigoud Patil</t>
        </is>
      </c>
      <c r="F59" s="217" t="n"/>
      <c r="G59" s="247">
        <f>'Capital &amp; Ownership'!D27</f>
        <v/>
      </c>
      <c r="H59" s="217" t="n"/>
      <c r="I59" s="245" t="inlineStr">
        <is>
          <t>Software / License</t>
        </is>
      </c>
      <c r="J59" s="217" t="n"/>
      <c r="K59" s="245" t="inlineStr">
        <is>
          <t>✅ Paid</t>
        </is>
      </c>
      <c r="L59" s="217" t="n"/>
    </row>
    <row r="60" ht="19.95" customHeight="1" s="209">
      <c r="B60" s="220">
        <f>'Capital &amp; Ownership'!B28</f>
        <v/>
      </c>
      <c r="C60" s="221" t="n"/>
      <c r="D60" s="217" t="n"/>
      <c r="E60" s="245" t="inlineStr">
        <is>
          <t>Kashigoud Patil</t>
        </is>
      </c>
      <c r="F60" s="217" t="n"/>
      <c r="G60" s="247">
        <f>'Capital &amp; Ownership'!D28</f>
        <v/>
      </c>
      <c r="H60" s="217" t="n"/>
      <c r="I60" s="245" t="inlineStr">
        <is>
          <t>Equipment</t>
        </is>
      </c>
      <c r="J60" s="217" t="n"/>
      <c r="K60" s="245" t="inlineStr">
        <is>
          <t>✅ Paid</t>
        </is>
      </c>
      <c r="L60" s="217" t="n"/>
    </row>
    <row r="61" ht="19.95" customHeight="1" s="209">
      <c r="B61" s="249">
        <f>'Capital &amp; Ownership'!B39</f>
        <v/>
      </c>
      <c r="C61" s="221" t="n"/>
      <c r="D61" s="217" t="n"/>
      <c r="E61" s="226" t="inlineStr">
        <is>
          <t>Lohith Reddy</t>
        </is>
      </c>
      <c r="F61" s="217" t="n"/>
      <c r="G61" s="244">
        <f>'Capital &amp; Ownership'!D39</f>
        <v/>
      </c>
      <c r="H61" s="217" t="n"/>
      <c r="I61" s="226" t="inlineStr">
        <is>
          <t>Legal / Notary</t>
        </is>
      </c>
      <c r="J61" s="217" t="n"/>
      <c r="K61" s="226" t="inlineStr">
        <is>
          <t>✅ Paid</t>
        </is>
      </c>
      <c r="L61" s="217" t="n"/>
    </row>
    <row r="62" ht="19.95" customHeight="1" s="209">
      <c r="B62" s="249">
        <f>'Capital &amp; Ownership'!B40</f>
        <v/>
      </c>
      <c r="C62" s="221" t="n"/>
      <c r="D62" s="217" t="n"/>
      <c r="E62" s="226" t="inlineStr">
        <is>
          <t>Lohith Reddy</t>
        </is>
      </c>
      <c r="F62" s="217" t="n"/>
      <c r="G62" s="244">
        <f>'Capital &amp; Ownership'!D40</f>
        <v/>
      </c>
      <c r="H62" s="217" t="n"/>
      <c r="I62" s="226" t="inlineStr">
        <is>
          <t>Legal / Insurance</t>
        </is>
      </c>
      <c r="J62" s="217" t="n"/>
      <c r="K62" s="226" t="inlineStr">
        <is>
          <t>✅ Paid</t>
        </is>
      </c>
      <c r="L62" s="217" t="n"/>
    </row>
    <row r="63" ht="19.95" customHeight="1" s="209">
      <c r="B63" s="249">
        <f>'Capital &amp; Ownership'!B41</f>
        <v/>
      </c>
      <c r="C63" s="221" t="n"/>
      <c r="D63" s="217" t="n"/>
      <c r="E63" s="226" t="inlineStr">
        <is>
          <t>Lohith Reddy</t>
        </is>
      </c>
      <c r="F63" s="217" t="n"/>
      <c r="G63" s="244">
        <f>'Capital &amp; Ownership'!D41</f>
        <v/>
      </c>
      <c r="H63" s="217" t="n"/>
      <c r="I63" s="226" t="inlineStr">
        <is>
          <t>Professional Services</t>
        </is>
      </c>
      <c r="J63" s="217" t="n"/>
      <c r="K63" s="226" t="inlineStr">
        <is>
          <t>✅ Paid</t>
        </is>
      </c>
      <c r="L63" s="217" t="n"/>
    </row>
    <row r="64" ht="19.95" customHeight="1" s="209">
      <c r="B64" s="282" t="inlineStr">
        <is>
          <t xml:space="preserve">  ℹ️  Internal transfers:  Kashigoud → Lohith  $125,000  |  Shashirekha → Lohith  $100,000  (not counted as expenses — capital reallocation only)</t>
        </is>
      </c>
      <c r="C64" s="221" t="n"/>
      <c r="D64" s="221" t="n"/>
      <c r="E64" s="221" t="n"/>
      <c r="F64" s="221" t="n"/>
      <c r="G64" s="221" t="n"/>
      <c r="H64" s="221" t="n"/>
      <c r="I64" s="221" t="n"/>
      <c r="J64" s="221" t="n"/>
      <c r="K64" s="221" t="n"/>
      <c r="L64" s="221" t="n"/>
      <c r="M64" s="21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09" min="1" max="1"/>
    <col width="18" customWidth="1" style="209" min="2" max="2"/>
    <col width="16" customWidth="1" style="209" min="3" max="5"/>
    <col width="12" customWidth="1" style="209" min="6" max="6"/>
    <col width="14" customWidth="1" style="209" min="7" max="7"/>
    <col width="16" customWidth="1" style="209" min="8" max="9"/>
    <col width="12" customWidth="1" style="209" min="10" max="10"/>
    <col width="30" customWidth="1" style="209" min="11" max="11"/>
    <col width="16" customWidth="1" style="209" min="12" max="17"/>
  </cols>
  <sheetData>
    <row r="1" ht="4.5" customHeight="1" s="209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09">
      <c r="A2" s="208" t="inlineStr">
        <is>
          <t>📅  LOKA — DAILY LOG</t>
        </is>
      </c>
      <c r="I2" s="211" t="inlineStr">
        <is>
          <t>Enter 2 values from Soft App each day → everything else calculates</t>
        </is>
      </c>
    </row>
    <row r="3" ht="3.75" customHeight="1" s="209">
      <c r="A3" s="210" t="n"/>
    </row>
    <row r="4" ht="7.5" customHeight="1" s="209"/>
    <row r="5" ht="49.5" customHeight="1" s="209">
      <c r="B5" s="262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38" t="n"/>
      <c r="D5" s="238" t="n"/>
      <c r="E5" s="238" t="n"/>
      <c r="F5" s="238" t="n"/>
      <c r="G5" s="238" t="n"/>
      <c r="H5" s="238" t="n"/>
      <c r="I5" s="238" t="n"/>
      <c r="J5" s="238" t="n"/>
      <c r="K5" s="238" t="n"/>
      <c r="L5" s="238" t="n"/>
      <c r="M5" s="238" t="n"/>
      <c r="N5" s="238" t="n"/>
      <c r="O5" s="238" t="n"/>
      <c r="P5" s="238" t="n"/>
    </row>
    <row r="6" ht="7.5" customHeight="1" s="209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09">
      <c r="B7" s="218" t="inlineStr">
        <is>
          <t>Date</t>
        </is>
      </c>
      <c r="C7" s="218" t="inlineStr">
        <is>
          <t>Day</t>
        </is>
      </c>
      <c r="D7" s="218" t="inlineStr">
        <is>
          <t>Card / Mercado Pago ($)</t>
        </is>
      </c>
      <c r="E7" s="218" t="inlineStr">
        <is>
          <t>Cash ($)</t>
        </is>
      </c>
      <c r="F7" s="218" t="inlineStr">
        <is>
          <t>Total Revenue ($)</t>
        </is>
      </c>
      <c r="G7" s="218" t="inlineStr">
        <is>
          <t>Transfer ($)</t>
        </is>
      </c>
      <c r="H7" s="218" t="inlineStr">
        <is>
          <t>Expenses $</t>
        </is>
      </c>
      <c r="I7" s="218" t="inlineStr">
        <is>
          <t>Net Profit $</t>
        </is>
      </c>
      <c r="J7" s="218" t="inlineStr">
        <is>
          <t>Margin %</t>
        </is>
      </c>
      <c r="K7" s="218" t="inlineStr">
        <is>
          <t>Notes</t>
        </is>
      </c>
      <c r="L7" s="218" t="inlineStr">
        <is>
          <t>Source</t>
        </is>
      </c>
      <c r="M7" s="218" t="inlineStr">
        <is>
          <t>WEEK PROFIT</t>
        </is>
      </c>
      <c r="N7" s="218" t="inlineStr">
        <is>
          <t>CUMUL. REVENUE</t>
        </is>
      </c>
      <c r="O7" s="218" t="inlineStr">
        <is>
          <t>MONTH REVENUE</t>
        </is>
      </c>
      <c r="P7" s="218" t="inlineStr">
        <is>
          <t>Week Expenses</t>
        </is>
      </c>
      <c r="Q7" s="218" t="inlineStr">
        <is>
          <t>Week Profit</t>
        </is>
      </c>
    </row>
    <row r="8" ht="16.5" customHeight="1" s="209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09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09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09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09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09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09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09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09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09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09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09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09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09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09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09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09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09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09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09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09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09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09">
      <c r="B30" s="34" t="n"/>
      <c r="C30" s="35" t="n"/>
      <c r="D30" s="36" t="n"/>
      <c r="E30" s="37" t="n"/>
      <c r="F30" s="38" t="n"/>
      <c r="G30" s="39" t="n"/>
      <c r="H30" s="40" t="n"/>
      <c r="I30" s="41" t="n"/>
      <c r="J30" s="42" t="n"/>
      <c r="K30" s="43" t="n"/>
      <c r="L30" s="9" t="n"/>
      <c r="M30" s="12" t="n"/>
      <c r="N30" s="44" t="n"/>
      <c r="O30" s="45" t="n"/>
      <c r="P30" s="46" t="n"/>
      <c r="Q30" s="44" t="n"/>
    </row>
    <row r="31" ht="16.5" customHeight="1" s="209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09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09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09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09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09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09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09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09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09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09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09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09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09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09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09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09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09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09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09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09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09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09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09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09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09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09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09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09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09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09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09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09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09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09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09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09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09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09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09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09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09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09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09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09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09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09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09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09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09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09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09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09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09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09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09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09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09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09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09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09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09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09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09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09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09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09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09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09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09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09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09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09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09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09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09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09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09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09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09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09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09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09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09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09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09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09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09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09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09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09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09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09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09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09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09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09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09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09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09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09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09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09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09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09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09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09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09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09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09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09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09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09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09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09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09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09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09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09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09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09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09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09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09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09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09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09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09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09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09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09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09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09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09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09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09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09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09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09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09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09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09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09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09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09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09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09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09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09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09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09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09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09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09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09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09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09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09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09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09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09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09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09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09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09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09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09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09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09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09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09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09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09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09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09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09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09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09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09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09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09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09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09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09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09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09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09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09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09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09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09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09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09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09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09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09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09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09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09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09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09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09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09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09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09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09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09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09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09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09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09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09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09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09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09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09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09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09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09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09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09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09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09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09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09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09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09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09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09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09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09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09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09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09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09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09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09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09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09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09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09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09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09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09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09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09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09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09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09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09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09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09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09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09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09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09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09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09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09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09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09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09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09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09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09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09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09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09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09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09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09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09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09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09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09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09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09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09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09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09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09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09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09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09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09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09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09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09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09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09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09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09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09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09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09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09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09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09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09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09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09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09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09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09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09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09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09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09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09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09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09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09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09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09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09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09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09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09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09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09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09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09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09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09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09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09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09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09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09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09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09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09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09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09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09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09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09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09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09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09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09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09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09" min="1" max="1"/>
    <col width="14" customWidth="1" style="209" min="2" max="2"/>
    <col width="24" customWidth="1" style="209" min="3" max="3"/>
    <col width="22" customWidth="1" style="209" min="4" max="4"/>
    <col width="19.77734375" customWidth="1" style="209" min="5" max="5"/>
    <col width="16" customWidth="1" style="209" min="6" max="6"/>
    <col width="14" customWidth="1" style="209" min="7" max="7"/>
    <col width="16" customWidth="1" style="209" min="8" max="8"/>
    <col width="18" customWidth="1" style="209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09">
      <c r="A2" s="208" t="inlineStr">
        <is>
          <t>💸  LOKA — EXPENSES TRACKER</t>
        </is>
      </c>
      <c r="E2" s="211" t="inlineStr">
        <is>
          <t>Log every cost: ingredients, staff, utilities, supplies…</t>
        </is>
      </c>
    </row>
    <row r="3">
      <c r="A3" s="210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09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09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09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09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09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09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09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09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09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09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Milanesa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/>
      <c r="C219" s="69" t="n"/>
      <c r="D219" s="68" t="n"/>
      <c r="E219" s="69" t="n"/>
      <c r="F219" s="70" t="n"/>
      <c r="G219" s="23" t="n"/>
      <c r="H219" s="23" t="n"/>
      <c r="I219" s="55" t="n"/>
    </row>
    <row r="220">
      <c r="B220" s="64" t="n"/>
      <c r="C220" s="65" t="n"/>
      <c r="D220" s="66" t="n"/>
      <c r="E220" s="65" t="n"/>
      <c r="F220" s="67" t="n"/>
      <c r="G220" s="14" t="n"/>
      <c r="H220" s="14" t="n"/>
      <c r="I220" s="43" t="n"/>
    </row>
    <row r="221">
      <c r="B221" s="64" t="n"/>
      <c r="C221" s="69" t="n"/>
      <c r="D221" s="68" t="n"/>
      <c r="E221" s="69" t="n"/>
      <c r="F221" s="70" t="n"/>
      <c r="G221" s="23" t="n"/>
      <c r="H221" s="23" t="n"/>
      <c r="I221" s="55" t="n"/>
    </row>
    <row r="222">
      <c r="B222" s="64" t="n"/>
      <c r="C222" s="65" t="n"/>
      <c r="D222" s="66" t="n"/>
      <c r="E222" s="65" t="n"/>
      <c r="F222" s="67" t="n"/>
      <c r="G222" s="14" t="n"/>
      <c r="H222" s="14" t="n"/>
      <c r="I222" s="43" t="n"/>
    </row>
    <row r="223">
      <c r="B223" s="64" t="n"/>
      <c r="C223" s="69" t="n"/>
      <c r="D223" s="68" t="n"/>
      <c r="E223" s="69" t="n"/>
      <c r="F223" s="70" t="n"/>
      <c r="G223" s="23" t="n"/>
      <c r="H223" s="23" t="n"/>
      <c r="I223" s="55" t="n"/>
    </row>
    <row r="224">
      <c r="B224" s="64" t="n"/>
      <c r="C224" s="65" t="n"/>
      <c r="D224" s="66" t="n"/>
      <c r="E224" s="65" t="n"/>
      <c r="F224" s="67" t="n"/>
      <c r="G224" s="14" t="n"/>
      <c r="H224" s="14" t="n"/>
      <c r="I224" s="43" t="n"/>
    </row>
    <row r="225">
      <c r="B225" s="64" t="n"/>
      <c r="C225" s="69" t="n"/>
      <c r="D225" s="68" t="n"/>
      <c r="E225" s="69" t="n"/>
      <c r="F225" s="70" t="n"/>
      <c r="G225" s="23" t="n"/>
      <c r="H225" s="23" t="n"/>
      <c r="I225" s="55" t="n"/>
    </row>
    <row r="226">
      <c r="B226" s="64" t="n"/>
      <c r="C226" s="65" t="n"/>
      <c r="D226" s="66" t="n"/>
      <c r="E226" s="65" t="n"/>
      <c r="F226" s="67" t="n"/>
      <c r="G226" s="14" t="n"/>
      <c r="H226" s="14" t="n"/>
      <c r="I226" s="43" t="n"/>
    </row>
    <row r="227">
      <c r="B227" s="64" t="n"/>
      <c r="C227" s="69" t="n"/>
      <c r="D227" s="68" t="n"/>
      <c r="E227" s="69" t="n"/>
      <c r="F227" s="70" t="n"/>
      <c r="G227" s="23" t="n"/>
      <c r="H227" s="23" t="n"/>
      <c r="I227" s="55" t="n"/>
    </row>
    <row r="228">
      <c r="B228" s="64" t="n"/>
      <c r="C228" s="65" t="n"/>
      <c r="D228" s="66" t="n"/>
      <c r="E228" s="65" t="n"/>
      <c r="F228" s="67" t="n"/>
      <c r="G228" s="14" t="n"/>
      <c r="H228" s="14" t="n"/>
      <c r="I228" s="43" t="n"/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1" zoomScaleNormal="100" workbookViewId="0">
      <pane ySplit="8" topLeftCell="A208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09" min="1" max="1"/>
    <col width="26" customWidth="1" style="209" min="2" max="2"/>
    <col width="16" customWidth="1" style="209" min="3" max="3"/>
    <col width="10" customWidth="1" style="209" min="4" max="4"/>
    <col width="14" customWidth="1" style="209" min="5" max="5"/>
    <col width="12" customWidth="1" style="209" min="6" max="7"/>
    <col width="14" customWidth="1" style="209" min="8" max="8"/>
    <col width="16" customWidth="1" style="209" min="9" max="9"/>
    <col width="20" customWidth="1" style="209" min="10" max="10"/>
    <col width="18" customWidth="1" style="209" min="11" max="11"/>
  </cols>
  <sheetData>
    <row r="1" ht="4.5" customHeight="1" s="209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09">
      <c r="A2" s="208" t="inlineStr">
        <is>
          <t>📦  LOKA — INVENTORY</t>
        </is>
      </c>
      <c r="F2" s="211" t="inlineStr">
        <is>
          <t>Update stock levels when you receive deliveries or do stock checks</t>
        </is>
      </c>
    </row>
    <row r="3" ht="3.75" customHeight="1" s="209">
      <c r="A3" s="210" t="n"/>
    </row>
    <row r="4" ht="7.5" customHeight="1" s="209"/>
    <row r="5" ht="18" customHeight="1" s="209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09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09"/>
    <row r="8" ht="19.5" customHeight="1" s="209">
      <c r="B8" s="285" t="inlineStr">
        <is>
          <t>Item Name  |  Category  |  Unit  |  Min Stock  |  Current Stock  |  Last Ordered  |  Supplier  |  Status  |  Notes</t>
        </is>
      </c>
      <c r="C8" s="223" t="n"/>
      <c r="D8" s="223" t="n"/>
      <c r="E8" s="223" t="n"/>
      <c r="F8" s="223" t="n"/>
      <c r="G8" s="223" t="n"/>
      <c r="H8" s="223" t="n"/>
      <c r="I8" s="223" t="n"/>
      <c r="J8" s="223" t="n"/>
      <c r="K8" s="223" t="n"/>
    </row>
    <row r="9" ht="27.75" customHeight="1" s="209">
      <c r="B9" s="218" t="inlineStr">
        <is>
          <t>Carne de Res</t>
        </is>
      </c>
      <c r="C9" s="218" t="inlineStr">
        <is>
          <t>Ingredients - Meat</t>
        </is>
      </c>
      <c r="D9" s="218" t="inlineStr">
        <is>
          <t>kg</t>
        </is>
      </c>
      <c r="E9" s="218" t="n">
        <v>0</v>
      </c>
      <c r="F9" s="218" t="n"/>
      <c r="G9" s="218" t="n"/>
      <c r="H9" s="218" t="n"/>
      <c r="I9" s="218" t="n"/>
      <c r="J9" s="218">
        <f>IF(ISBLANK(F9),"—",IF(F9=0,"🚫 OUT OF STOCK",IF(F9&lt;=E9,"⚠️ LOW STOCK","✅ OK")))</f>
        <v/>
      </c>
      <c r="K9" s="218" t="n"/>
    </row>
    <row r="10" ht="15.75" customHeight="1" s="209">
      <c r="B10" s="83" t="inlineStr">
        <is>
          <t>Jamon Mexicano</t>
        </is>
      </c>
      <c r="C10" s="240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09">
      <c r="B11" s="90" t="inlineStr">
        <is>
          <t>Pollo</t>
        </is>
      </c>
      <c r="C11" s="22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09">
      <c r="B12" s="83" t="inlineStr">
        <is>
          <t>Chuletas de Carne</t>
        </is>
      </c>
      <c r="C12" s="240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09">
      <c r="B13" s="90" t="inlineStr">
        <is>
          <t>Costillas de Cerdo</t>
        </is>
      </c>
      <c r="C13" s="22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09">
      <c r="B14" s="83" t="inlineStr">
        <is>
          <t>Salmon</t>
        </is>
      </c>
      <c r="C14" s="240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09">
      <c r="B15" s="90" t="inlineStr">
        <is>
          <t>Filete de Mojarra</t>
        </is>
      </c>
      <c r="C15" s="22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09">
      <c r="B16" s="83" t="inlineStr">
        <is>
          <t>Papas</t>
        </is>
      </c>
      <c r="C16" s="240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09">
      <c r="B17" s="90" t="inlineStr">
        <is>
          <t>Lechuga</t>
        </is>
      </c>
      <c r="C17" s="22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09">
      <c r="B18" s="83" t="inlineStr">
        <is>
          <t>Jitomate</t>
        </is>
      </c>
      <c r="C18" s="240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09">
      <c r="B19" s="90" t="inlineStr">
        <is>
          <t>Cilantro</t>
        </is>
      </c>
      <c r="C19" s="22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09">
      <c r="B20" s="83" t="inlineStr">
        <is>
          <t>Italiana</t>
        </is>
      </c>
      <c r="C20" s="240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09">
      <c r="B21" s="90" t="inlineStr">
        <is>
          <t>Habanero</t>
        </is>
      </c>
      <c r="C21" s="22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09">
      <c r="B22" s="83" t="inlineStr">
        <is>
          <t>Pepino</t>
        </is>
      </c>
      <c r="C22" s="240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09">
      <c r="B23" s="90" t="inlineStr">
        <is>
          <t>Betabel</t>
        </is>
      </c>
      <c r="C23" s="22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09">
      <c r="B24" s="83" t="inlineStr">
        <is>
          <t>Pimiento Morron</t>
        </is>
      </c>
      <c r="C24" s="240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09">
      <c r="B25" s="90" t="inlineStr">
        <is>
          <t>Verduras variadas</t>
        </is>
      </c>
      <c r="C25" s="22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09">
      <c r="B26" s="83" t="inlineStr">
        <is>
          <t>Naranja de Jugo</t>
        </is>
      </c>
      <c r="C26" s="240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09">
      <c r="B27" s="90" t="inlineStr">
        <is>
          <t>Mango</t>
        </is>
      </c>
      <c r="C27" s="22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09">
      <c r="B28" s="83" t="inlineStr">
        <is>
          <t>Sandia</t>
        </is>
      </c>
      <c r="C28" s="240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09">
      <c r="B29" s="90" t="inlineStr">
        <is>
          <t>Guayabas</t>
        </is>
      </c>
      <c r="C29" s="22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09">
      <c r="B30" s="83" t="inlineStr">
        <is>
          <t>Jicamas</t>
        </is>
      </c>
      <c r="C30" s="240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09">
      <c r="B31" s="90" t="inlineStr">
        <is>
          <t>Pinas</t>
        </is>
      </c>
      <c r="C31" s="22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09">
      <c r="B32" s="83" t="inlineStr">
        <is>
          <t>Melon</t>
        </is>
      </c>
      <c r="C32" s="240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09">
      <c r="B33" s="90" t="inlineStr">
        <is>
          <t>Frutas variadas</t>
        </is>
      </c>
      <c r="C33" s="22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09">
      <c r="B34" s="83" t="inlineStr">
        <is>
          <t>Queso Gouda</t>
        </is>
      </c>
      <c r="C34" s="240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09">
      <c r="B35" s="90" t="inlineStr">
        <is>
          <t>Queso Crema (Lala)</t>
        </is>
      </c>
      <c r="C35" s="22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09">
      <c r="B36" s="83" t="inlineStr">
        <is>
          <t>Crema</t>
        </is>
      </c>
      <c r="C36" s="240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09">
      <c r="B37" s="90" t="inlineStr">
        <is>
          <t>Leche (Nutralat)</t>
        </is>
      </c>
      <c r="C37" s="22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09">
      <c r="B38" s="83" t="inlineStr">
        <is>
          <t>Leche Deslactosada</t>
        </is>
      </c>
      <c r="C38" s="240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09">
      <c r="B39" s="90" t="inlineStr">
        <is>
          <t>Arroz</t>
        </is>
      </c>
      <c r="C39" s="22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09">
      <c r="B40" s="83" t="inlineStr">
        <is>
          <t>Tortillas</t>
        </is>
      </c>
      <c r="C40" s="240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09">
      <c r="B41" s="90" t="inlineStr">
        <is>
          <t>Pasta</t>
        </is>
      </c>
      <c r="C41" s="22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09">
      <c r="B42" s="83" t="inlineStr">
        <is>
          <t>Aceite Vegetal</t>
        </is>
      </c>
      <c r="C42" s="240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09">
      <c r="B43" s="90" t="inlineStr">
        <is>
          <t>Azucar</t>
        </is>
      </c>
      <c r="C43" s="22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09">
      <c r="B44" s="83" t="inlineStr">
        <is>
          <t>Basicos (Varios)</t>
        </is>
      </c>
      <c r="C44" s="240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09">
      <c r="B45" s="90" t="inlineStr">
        <is>
          <t>Pan Hamburguesa</t>
        </is>
      </c>
      <c r="C45" s="22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09">
      <c r="B46" s="83" t="inlineStr">
        <is>
          <t>Pan de Caja Arandano</t>
        </is>
      </c>
      <c r="C46" s="240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09">
      <c r="B47" s="90" t="inlineStr">
        <is>
          <t>Panko</t>
        </is>
      </c>
      <c r="C47" s="22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09">
      <c r="B48" s="83" t="inlineStr">
        <is>
          <t>Bolillo</t>
        </is>
      </c>
      <c r="C48" s="240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09">
      <c r="B49" s="90" t="inlineStr">
        <is>
          <t>Rosca de Nuez</t>
        </is>
      </c>
      <c r="C49" s="22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09">
      <c r="B50" s="83" t="inlineStr">
        <is>
          <t>Limonada Concentrado</t>
        </is>
      </c>
      <c r="C50" s="240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09">
      <c r="B51" s="90" t="inlineStr">
        <is>
          <t>Naranjada Concentrado</t>
        </is>
      </c>
      <c r="C51" s="22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09">
      <c r="B52" s="83" t="inlineStr">
        <is>
          <t>Tamarindo Concentrado</t>
        </is>
      </c>
      <c r="C52" s="240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09">
      <c r="B53" s="90" t="inlineStr">
        <is>
          <t>Tilapia</t>
        </is>
      </c>
      <c r="C53" s="22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09">
      <c r="B54" s="83" t="inlineStr">
        <is>
          <t>Chapata</t>
        </is>
      </c>
      <c r="C54" s="240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09">
      <c r="B55" s="90" t="inlineStr">
        <is>
          <t>Bistek de Puerco</t>
        </is>
      </c>
      <c r="C55" s="22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09">
      <c r="B56" s="83" t="inlineStr">
        <is>
          <t>Sal Fina</t>
        </is>
      </c>
      <c r="C56" s="240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09">
      <c r="B57" s="90" t="inlineStr">
        <is>
          <t>Coca Cola</t>
        </is>
      </c>
      <c r="C57" s="22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09">
      <c r="B58" s="83" t="inlineStr">
        <is>
          <t>Leche Alpura</t>
        </is>
      </c>
      <c r="C58" s="240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09">
      <c r="B59" s="90" t="inlineStr">
        <is>
          <t>Crema Ácida</t>
        </is>
      </c>
      <c r="C59" s="22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09">
      <c r="B60" s="83" t="inlineStr">
        <is>
          <t>Salsa / Tomate Lata</t>
        </is>
      </c>
      <c r="C60" s="240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09">
      <c r="B61" s="90" t="inlineStr">
        <is>
          <t>Champiñones</t>
        </is>
      </c>
      <c r="C61" s="22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09">
      <c r="B62" s="83" t="inlineStr">
        <is>
          <t>Tocino</t>
        </is>
      </c>
      <c r="C62" s="240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09">
      <c r="B63" s="90" t="inlineStr">
        <is>
          <t>Bistec Cerdo</t>
        </is>
      </c>
      <c r="C63" s="22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09">
      <c r="B64" s="83" t="inlineStr">
        <is>
          <t>Pierna Cerdo</t>
        </is>
      </c>
      <c r="C64" s="240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09">
      <c r="B65" s="90" t="inlineStr">
        <is>
          <t>Muslo con Hueso</t>
        </is>
      </c>
      <c r="C65" s="22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09">
      <c r="B66" s="83" t="inlineStr">
        <is>
          <t>Elote en Lata</t>
        </is>
      </c>
      <c r="C66" s="240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09" thickBot="1">
      <c r="B67" s="90" t="inlineStr">
        <is>
          <t>Cebolla</t>
        </is>
      </c>
      <c r="C67" s="22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09" thickBot="1">
      <c r="B68" s="83" t="inlineStr">
        <is>
          <t>Queso Panela</t>
        </is>
      </c>
      <c r="C68" s="240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09" thickBot="1">
      <c r="B69" s="90" t="inlineStr">
        <is>
          <t>Microfibra / Limpieza</t>
        </is>
      </c>
      <c r="C69" s="22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09" thickBot="1">
      <c r="B70" s="83" t="inlineStr">
        <is>
          <t>Concha Chocolate</t>
        </is>
      </c>
      <c r="C70" s="240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09" thickBot="1">
      <c r="B71" s="90" t="inlineStr">
        <is>
          <t>Rosca Marmoleada</t>
        </is>
      </c>
      <c r="C71" s="22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09" thickBot="1">
      <c r="B72" s="83" t="inlineStr">
        <is>
          <t>Frijol Bayos</t>
        </is>
      </c>
      <c r="C72" s="240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09" thickBot="1">
      <c r="B73" s="90" t="inlineStr">
        <is>
          <t>Huevo Bachoco</t>
        </is>
      </c>
      <c r="C73" s="22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09" thickBot="1">
      <c r="B74" s="83" t="n"/>
      <c r="C74" s="240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09" thickBot="1">
      <c r="B75" s="90" t="n"/>
      <c r="C75" s="22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09" thickBot="1">
      <c r="B76" s="83" t="n"/>
      <c r="C76" s="240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09" thickBot="1">
      <c r="B77" s="90" t="n"/>
      <c r="C77" s="22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09" thickBot="1">
      <c r="B78" s="83" t="n"/>
      <c r="C78" s="240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09" thickBot="1">
      <c r="B79" s="90" t="n"/>
      <c r="C79" s="22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09" thickBot="1">
      <c r="B80" s="83" t="n"/>
      <c r="C80" s="240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09" thickBot="1">
      <c r="B81" s="90" t="n"/>
      <c r="C81" s="22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09" thickBot="1">
      <c r="B82" s="83" t="n"/>
      <c r="C82" s="240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09" thickBot="1">
      <c r="B83" s="90" t="n"/>
      <c r="C83" s="22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09" thickBot="1">
      <c r="B84" s="83" t="n"/>
      <c r="C84" s="240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09" thickBot="1">
      <c r="B85" s="90" t="n"/>
      <c r="C85" s="22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09" thickBot="1">
      <c r="B86" s="83" t="n"/>
      <c r="C86" s="240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09" thickBot="1">
      <c r="B87" s="90" t="n"/>
      <c r="C87" s="22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09" thickBot="1">
      <c r="B88" s="83" t="n"/>
      <c r="C88" s="240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09" thickBot="1">
      <c r="B89" s="90" t="n"/>
      <c r="C89" s="22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09" thickBot="1">
      <c r="B90" s="83" t="n"/>
      <c r="C90" s="240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09" thickBot="1">
      <c r="B91" s="90" t="n"/>
      <c r="C91" s="22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09" thickBot="1">
      <c r="B92" s="83" t="n"/>
      <c r="C92" s="240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09" thickBot="1">
      <c r="B93" s="90" t="n"/>
      <c r="C93" s="22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09" thickBot="1">
      <c r="B94" s="83" t="n"/>
      <c r="C94" s="240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09" thickBot="1">
      <c r="B95" s="90" t="n"/>
      <c r="C95" s="22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09" thickBot="1">
      <c r="B96" s="83" t="n"/>
      <c r="C96" s="240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09" thickBot="1">
      <c r="B97" s="90" t="n"/>
      <c r="C97" s="22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09" thickBot="1">
      <c r="B98" s="83" t="n"/>
      <c r="C98" s="240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09" thickBot="1">
      <c r="B99" s="90" t="n"/>
      <c r="C99" s="22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09" thickBot="1">
      <c r="B100" s="83" t="n"/>
      <c r="C100" s="240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09" thickBot="1">
      <c r="B101" s="90" t="n"/>
      <c r="C101" s="22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09" thickBot="1">
      <c r="B102" s="83" t="n"/>
      <c r="C102" s="240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09" thickBot="1">
      <c r="B103" s="90" t="n"/>
      <c r="C103" s="22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09" thickBot="1">
      <c r="B104" s="83" t="n"/>
      <c r="C104" s="240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09" thickBot="1">
      <c r="B105" s="90" t="n"/>
      <c r="C105" s="22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09" thickBot="1">
      <c r="B106" s="83" t="n"/>
      <c r="C106" s="240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09" thickBot="1">
      <c r="B107" s="90" t="n"/>
      <c r="C107" s="22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09" thickBot="1">
      <c r="B108" s="83" t="n"/>
      <c r="C108" s="240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09" thickBot="1">
      <c r="B109" s="90" t="n"/>
      <c r="C109" s="22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09" thickBot="1">
      <c r="B110" s="83" t="n"/>
      <c r="C110" s="240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09" thickBot="1">
      <c r="B111" s="90" t="n"/>
      <c r="C111" s="22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09" thickBot="1">
      <c r="B112" s="83" t="n"/>
      <c r="C112" s="240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09" thickBot="1">
      <c r="B113" s="90" t="n"/>
      <c r="C113" s="22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09" thickBot="1">
      <c r="B114" s="83" t="n"/>
      <c r="C114" s="240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09" thickBot="1">
      <c r="B115" s="90" t="n"/>
      <c r="C115" s="22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09" thickBot="1">
      <c r="B116" s="83" t="n"/>
      <c r="C116" s="240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09" thickBot="1">
      <c r="B117" s="90" t="n"/>
      <c r="C117" s="22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09" thickBot="1">
      <c r="B118" s="83" t="n"/>
      <c r="C118" s="240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09" thickBot="1">
      <c r="B119" s="90" t="n"/>
      <c r="C119" s="22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09" thickBot="1">
      <c r="B120" s="83" t="n"/>
      <c r="C120" s="240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09" thickBot="1">
      <c r="B121" s="90" t="n"/>
      <c r="C121" s="22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09" thickBot="1">
      <c r="B122" s="83" t="n"/>
      <c r="C122" s="240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09" thickBot="1">
      <c r="B123" s="90" t="n"/>
      <c r="C123" s="22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09" thickBot="1">
      <c r="B124" s="83" t="n"/>
      <c r="C124" s="240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09" thickBot="1">
      <c r="B125" s="90" t="n"/>
      <c r="C125" s="22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09" thickBot="1">
      <c r="B126" s="83" t="n"/>
      <c r="C126" s="240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09" thickBot="1">
      <c r="B127" s="90" t="n"/>
      <c r="C127" s="22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09" thickBot="1">
      <c r="B128" s="83" t="n"/>
      <c r="C128" s="240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09" thickBot="1">
      <c r="B129" s="90" t="n"/>
      <c r="C129" s="22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09" thickBot="1">
      <c r="B130" s="83" t="n"/>
      <c r="C130" s="240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09" thickBot="1">
      <c r="B131" s="90" t="n"/>
      <c r="C131" s="22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09" thickBot="1">
      <c r="B132" s="83" t="n"/>
      <c r="C132" s="240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09" thickBot="1">
      <c r="B133" s="90" t="n"/>
      <c r="C133" s="22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09" thickBot="1">
      <c r="B134" s="83" t="n"/>
      <c r="C134" s="240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09" thickBot="1">
      <c r="B135" s="90" t="n"/>
      <c r="C135" s="22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09" thickBot="1">
      <c r="B136" s="83" t="n"/>
      <c r="C136" s="240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09" thickBot="1">
      <c r="B137" s="90" t="n"/>
      <c r="C137" s="22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09" thickBot="1">
      <c r="B138" s="83" t="n"/>
      <c r="C138" s="240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09" thickBot="1">
      <c r="B139" s="90" t="n"/>
      <c r="C139" s="22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09" thickBot="1">
      <c r="B140" s="83" t="n"/>
      <c r="C140" s="240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09" thickBot="1">
      <c r="B141" s="90" t="n"/>
      <c r="C141" s="22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09" thickBot="1">
      <c r="B142" s="83" t="n"/>
      <c r="C142" s="240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09" thickBot="1">
      <c r="B143" s="90" t="n"/>
      <c r="C143" s="22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09" thickBot="1">
      <c r="B144" s="83" t="n"/>
      <c r="C144" s="240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09" thickBot="1">
      <c r="B145" s="90" t="n"/>
      <c r="C145" s="22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09" thickBot="1">
      <c r="B146" s="83" t="n"/>
      <c r="C146" s="240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09" thickBot="1">
      <c r="B147" s="90" t="n"/>
      <c r="C147" s="22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09" thickBot="1">
      <c r="B148" s="83" t="n"/>
      <c r="C148" s="240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09" thickBot="1">
      <c r="B149" s="90" t="n"/>
      <c r="C149" s="22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09" thickBot="1">
      <c r="B150" s="83" t="n"/>
      <c r="C150" s="240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09" thickBot="1">
      <c r="B151" s="90" t="n"/>
      <c r="C151" s="22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09" thickBot="1">
      <c r="B152" s="83" t="n"/>
      <c r="C152" s="240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09" thickBot="1">
      <c r="B153" s="90" t="n"/>
      <c r="C153" s="22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09" thickBot="1">
      <c r="B154" s="83" t="n"/>
      <c r="C154" s="240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09" thickBot="1">
      <c r="B155" s="90" t="n"/>
      <c r="C155" s="22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09" thickBot="1">
      <c r="B156" s="83" t="n"/>
      <c r="C156" s="240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09" thickBot="1">
      <c r="B157" s="90" t="n"/>
      <c r="C157" s="22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09" thickBot="1">
      <c r="B158" s="83" t="n"/>
      <c r="C158" s="240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09" thickBot="1">
      <c r="B159" s="90" t="n"/>
      <c r="C159" s="22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09" thickBot="1">
      <c r="B160" s="83" t="n"/>
      <c r="C160" s="240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09" thickBot="1">
      <c r="B161" s="90" t="n"/>
      <c r="C161" s="22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09" thickBot="1">
      <c r="B162" s="83" t="n"/>
      <c r="C162" s="240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09" thickBot="1">
      <c r="B163" s="90" t="n"/>
      <c r="C163" s="22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09" thickBot="1">
      <c r="B164" s="83" t="n"/>
      <c r="C164" s="240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09" thickBot="1">
      <c r="B165" s="90" t="n"/>
      <c r="C165" s="22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09" thickBot="1">
      <c r="B166" s="83" t="n"/>
      <c r="C166" s="240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09" thickBot="1">
      <c r="B167" s="90" t="n"/>
      <c r="C167" s="22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09" thickBot="1">
      <c r="B168" s="83" t="n"/>
      <c r="C168" s="240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09" thickBot="1">
      <c r="B169" s="90" t="n"/>
      <c r="C169" s="22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09" thickBot="1">
      <c r="B170" s="83" t="n"/>
      <c r="C170" s="240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09" thickBot="1">
      <c r="B171" s="90" t="n"/>
      <c r="C171" s="22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09" thickBot="1">
      <c r="B172" s="83" t="n"/>
      <c r="C172" s="240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09" thickBot="1">
      <c r="B173" s="90" t="n"/>
      <c r="C173" s="22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09" thickBot="1">
      <c r="B174" s="83" t="n"/>
      <c r="C174" s="240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09" thickBot="1">
      <c r="B175" s="90" t="n"/>
      <c r="C175" s="22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09" thickBot="1">
      <c r="B176" s="83" t="n"/>
      <c r="C176" s="240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09" thickBot="1">
      <c r="B177" s="90" t="n"/>
      <c r="C177" s="22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09" thickBot="1">
      <c r="B178" s="83" t="n"/>
      <c r="C178" s="240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09" thickBot="1">
      <c r="B179" s="90" t="n"/>
      <c r="C179" s="22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09" thickBot="1">
      <c r="B180" s="83" t="n"/>
      <c r="C180" s="240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09" thickBot="1">
      <c r="B181" s="90" t="n"/>
      <c r="C181" s="22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09" thickBot="1">
      <c r="B182" s="83" t="n"/>
      <c r="C182" s="240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09" thickBot="1">
      <c r="B183" s="90" t="n"/>
      <c r="C183" s="22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09" thickBot="1">
      <c r="B184" s="83" t="n"/>
      <c r="C184" s="240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09" thickBot="1">
      <c r="B185" s="90" t="n"/>
      <c r="C185" s="22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09" thickBot="1">
      <c r="B186" s="83" t="n"/>
      <c r="C186" s="240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09" thickBot="1">
      <c r="B187" s="90" t="n"/>
      <c r="C187" s="22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09" thickBot="1">
      <c r="B188" s="83" t="n"/>
      <c r="C188" s="240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09" thickBot="1">
      <c r="B189" s="90" t="n"/>
      <c r="C189" s="22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09" thickBot="1">
      <c r="B190" s="83" t="n"/>
      <c r="C190" s="240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09" thickBot="1">
      <c r="B191" s="90" t="n"/>
      <c r="C191" s="22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09" thickBot="1">
      <c r="B192" s="83" t="n"/>
      <c r="C192" s="240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09" thickBot="1">
      <c r="B193" s="90" t="n"/>
      <c r="C193" s="22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09" thickBot="1">
      <c r="B194" s="83" t="n"/>
      <c r="C194" s="240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09" thickBot="1">
      <c r="B195" s="90" t="n"/>
      <c r="C195" s="22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09" thickBot="1">
      <c r="B196" s="83" t="n"/>
      <c r="C196" s="240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09" thickBot="1">
      <c r="B197" s="90" t="n"/>
      <c r="C197" s="22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09" thickBot="1">
      <c r="B198" s="83" t="n"/>
      <c r="C198" s="240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09" thickBot="1">
      <c r="B199" s="90" t="n"/>
      <c r="C199" s="22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09" thickBot="1">
      <c r="B200" s="83" t="n"/>
      <c r="C200" s="240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09" thickBot="1">
      <c r="B201" s="90" t="n"/>
      <c r="C201" s="22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09" thickBot="1">
      <c r="B202" s="83" t="n"/>
      <c r="C202" s="240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09" thickBot="1">
      <c r="B203" s="90" t="n"/>
      <c r="C203" s="22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09" thickBot="1">
      <c r="B204" s="83" t="n"/>
      <c r="C204" s="240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09" thickBot="1">
      <c r="B205" s="90" t="n"/>
      <c r="C205" s="22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09" thickBot="1">
      <c r="B206" s="83" t="n"/>
      <c r="C206" s="240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09" thickBot="1">
      <c r="B207" s="90" t="n"/>
      <c r="C207" s="22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09" thickBot="1">
      <c r="B208" s="83" t="n"/>
      <c r="C208" s="240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09" thickBot="1">
      <c r="B209" s="90" t="n"/>
      <c r="C209" s="22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09" thickBot="1">
      <c r="B210" s="83" t="n"/>
      <c r="C210" s="240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09" thickBot="1">
      <c r="B211" s="90" t="n"/>
      <c r="C211" s="22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09" thickBot="1">
      <c r="B212" s="83" t="n"/>
      <c r="C212" s="240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09" thickBot="1">
      <c r="B213" s="90" t="n"/>
      <c r="C213" s="22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09" thickBot="1">
      <c r="B214" s="83" t="n"/>
      <c r="C214" s="240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09" thickBot="1">
      <c r="B215" s="90" t="n"/>
      <c r="C215" s="22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09" thickBot="1">
      <c r="B216" s="83" t="n"/>
      <c r="C216" s="240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09" thickBot="1">
      <c r="B217" s="90" t="n"/>
      <c r="C217" s="22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09" thickBot="1">
      <c r="B218" s="83" t="n"/>
      <c r="C218" s="240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09" thickBot="1">
      <c r="B219" s="90" t="n"/>
      <c r="C219" s="22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09" thickBot="1">
      <c r="B220" s="83" t="n"/>
      <c r="C220" s="240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09" thickBot="1">
      <c r="B221" s="90" t="n"/>
      <c r="C221" s="22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09" thickBot="1">
      <c r="B222" s="83" t="n"/>
      <c r="C222" s="240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09" thickBot="1">
      <c r="B223" s="90" t="n"/>
      <c r="C223" s="22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09" thickBot="1">
      <c r="B224" s="83" t="n"/>
      <c r="C224" s="240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09" thickBot="1">
      <c r="B225" s="90" t="n"/>
      <c r="C225" s="22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09" thickBot="1">
      <c r="B226" s="83" t="n"/>
      <c r="C226" s="240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5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209" min="1" max="1"/>
    <col width="20" customWidth="1" style="209" min="2" max="2"/>
    <col width="14" customWidth="1" style="209" min="3" max="3"/>
    <col width="13" customWidth="1" style="209" min="4" max="4"/>
    <col width="11" customWidth="1" style="209" min="5" max="11"/>
    <col width="13" customWidth="1" style="209" min="12" max="12"/>
    <col width="16" customWidth="1" style="209" min="13" max="13"/>
  </cols>
  <sheetData>
    <row r="1" ht="4.5" customHeight="1" s="209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</row>
    <row r="2" ht="37.5" customHeight="1" s="209">
      <c r="A2" s="208" t="inlineStr">
        <is>
          <t>👥  LOKA — STAFF &amp; PAYROLL</t>
        </is>
      </c>
      <c r="G2" s="211" t="inlineStr">
        <is>
          <t>Weekly schedule + auto payroll calculation</t>
        </is>
      </c>
    </row>
    <row r="3" ht="3.75" customHeight="1" s="209">
      <c r="A3" s="210" t="n"/>
    </row>
    <row r="4" ht="7.5" customHeight="1" s="209"/>
    <row r="5" ht="7.5" customHeight="1" s="209"/>
    <row r="6" ht="21.75" customHeight="1" s="209">
      <c r="B6" s="237" t="inlineStr">
        <is>
          <t xml:space="preserve">  STAFF SCHEDULE  —  Week of:</t>
        </is>
      </c>
      <c r="C6" s="238" t="n"/>
      <c r="D6" s="238" t="n"/>
      <c r="E6" s="290">
        <f>TODAY()-WEEKDAY(TODAY(),2)+1</f>
        <v/>
      </c>
      <c r="F6" s="223" t="n"/>
      <c r="G6" s="223" t="n"/>
      <c r="H6" s="223" t="n"/>
      <c r="I6" s="223" t="n"/>
      <c r="J6" s="223" t="n"/>
      <c r="K6" s="223" t="n"/>
      <c r="L6" s="223" t="n"/>
      <c r="M6" s="223" t="n"/>
    </row>
    <row r="7" ht="27.75" customHeight="1" s="209">
      <c r="B7" s="218" t="inlineStr">
        <is>
          <t>Staff Name</t>
        </is>
      </c>
      <c r="C7" s="218" t="inlineStr">
        <is>
          <t>Role</t>
        </is>
      </c>
      <c r="D7" s="218" t="inlineStr">
        <is>
          <t>Daily Rate ($)</t>
        </is>
      </c>
      <c r="E7" s="218" t="inlineStr">
        <is>
          <t>Mon</t>
        </is>
      </c>
      <c r="F7" s="218" t="inlineStr">
        <is>
          <t>Tue</t>
        </is>
      </c>
      <c r="G7" s="218" t="inlineStr">
        <is>
          <t>Wed</t>
        </is>
      </c>
      <c r="H7" s="218" t="inlineStr">
        <is>
          <t>Thu</t>
        </is>
      </c>
      <c r="I7" s="218" t="inlineStr">
        <is>
          <t>Fri</t>
        </is>
      </c>
      <c r="J7" s="218" t="inlineStr">
        <is>
          <t>Sat</t>
        </is>
      </c>
      <c r="K7" s="218" t="inlineStr">
        <is>
          <t>Sun</t>
        </is>
      </c>
      <c r="L7" s="218" t="inlineStr">
        <is>
          <t>Days Worked</t>
        </is>
      </c>
      <c r="M7" s="218" t="inlineStr">
        <is>
          <t>Week Pay ($)</t>
        </is>
      </c>
    </row>
    <row r="8" ht="19.5" customHeight="1" s="209">
      <c r="B8" s="286" t="inlineStr">
        <is>
          <t>John</t>
        </is>
      </c>
      <c r="C8" s="98" t="inlineStr">
        <is>
          <t>Head Chef</t>
        </is>
      </c>
      <c r="D8" s="99" t="n">
        <v>625</v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Full Day</t>
        </is>
      </c>
      <c r="K8" s="100" t="inlineStr">
        <is>
          <t>Day Off</t>
        </is>
      </c>
      <c r="L8" s="101">
        <f>COUNTIF(E8:K8,"Full Day")</f>
        <v/>
      </c>
      <c r="M8" s="102">
        <f>L8*D8</f>
        <v/>
      </c>
    </row>
    <row r="9" ht="19.5" customHeight="1" s="209">
      <c r="B9" s="286" t="inlineStr">
        <is>
          <t>Debi</t>
        </is>
      </c>
      <c r="C9" s="103" t="inlineStr">
        <is>
          <t>Cleaner</t>
        </is>
      </c>
      <c r="D9" s="104" t="n">
        <v>250</v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Full Day</t>
        </is>
      </c>
      <c r="K9" s="105" t="inlineStr">
        <is>
          <t>Day Off</t>
        </is>
      </c>
      <c r="L9" s="106">
        <f>COUNTIF(E9:K9,"Full Day")</f>
        <v/>
      </c>
      <c r="M9" s="107">
        <f>L9*D9</f>
        <v/>
      </c>
    </row>
    <row r="10" ht="19.5" customHeight="1" s="209">
      <c r="B10" s="286" t="inlineStr">
        <is>
          <t>Victor (INACTIVE)</t>
        </is>
      </c>
      <c r="C10" s="98" t="inlineStr">
        <is>
          <t>Mesero — Left after Week 1</t>
        </is>
      </c>
      <c r="D10" s="104" t="n">
        <v>0</v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0" t="inlineStr">
        <is>
          <t>—</t>
        </is>
      </c>
      <c r="L10" s="101" t="n">
        <v>0</v>
      </c>
      <c r="M10" s="102" t="n">
        <v>0</v>
      </c>
    </row>
    <row r="11" ht="19.5" customHeight="1" s="209">
      <c r="B11" t="inlineStr">
        <is>
          <t>Judith</t>
        </is>
      </c>
      <c r="C11" t="inlineStr">
        <is>
          <t>Mesera / Waitress</t>
        </is>
      </c>
      <c r="D11" t="n">
        <v>333.33</v>
      </c>
      <c r="E11" s="155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209">
      <c r="B12" s="286" t="n"/>
      <c r="C12" s="103" t="n"/>
      <c r="D12" s="104" t="n"/>
      <c r="E12" s="105" t="n"/>
      <c r="F12" s="105" t="n"/>
      <c r="G12" s="105" t="n"/>
      <c r="H12" s="105" t="n"/>
      <c r="I12" s="105" t="n"/>
      <c r="J12" s="105" t="n"/>
      <c r="K12" s="105" t="n"/>
      <c r="L12" s="106" t="n"/>
      <c r="M12" s="107" t="n"/>
    </row>
    <row r="13" ht="19.5" customHeight="1" s="209">
      <c r="B13" s="286" t="n"/>
      <c r="C13" s="98" t="n"/>
      <c r="D13" s="99" t="n"/>
      <c r="E13" s="100" t="n"/>
      <c r="F13" s="100" t="n"/>
      <c r="G13" s="100" t="n"/>
      <c r="H13" s="100" t="n"/>
      <c r="I13" s="100" t="n"/>
      <c r="J13" s="100" t="n"/>
      <c r="K13" s="100" t="n"/>
      <c r="L13" s="101" t="n"/>
      <c r="M13" s="102" t="n"/>
    </row>
    <row r="14" ht="19.5" customHeight="1" s="209">
      <c r="B14" s="286" t="n"/>
      <c r="C14" s="103" t="n"/>
      <c r="D14" s="104" t="n"/>
      <c r="E14" s="105" t="n"/>
      <c r="F14" s="105" t="n"/>
      <c r="G14" s="105" t="n"/>
      <c r="H14" s="105" t="n"/>
      <c r="I14" s="105" t="n"/>
      <c r="J14" s="105" t="n"/>
      <c r="K14" s="105" t="n"/>
      <c r="L14" s="106" t="n"/>
      <c r="M14" s="107" t="n"/>
    </row>
    <row r="15" ht="19.5" customHeight="1" s="209">
      <c r="B15" s="286" t="n"/>
      <c r="C15" s="98" t="n"/>
      <c r="D15" s="99" t="n"/>
      <c r="E15" s="100" t="n"/>
      <c r="F15" s="100" t="n"/>
      <c r="G15" s="100" t="n"/>
      <c r="H15" s="100" t="n"/>
      <c r="I15" s="100" t="n"/>
      <c r="J15" s="100" t="n"/>
      <c r="K15" s="100" t="n"/>
      <c r="L15" s="101" t="n"/>
      <c r="M15" s="102" t="n"/>
    </row>
    <row r="16" ht="21.75" customHeight="1" s="209">
      <c r="B16" s="286" t="n"/>
      <c r="C16" s="287" t="n"/>
      <c r="D16" s="287" t="n"/>
      <c r="E16" s="287" t="n"/>
      <c r="F16" s="287" t="n"/>
      <c r="G16" s="287" t="n"/>
      <c r="H16" s="287" t="n"/>
      <c r="I16" s="287" t="n"/>
      <c r="J16" s="287" t="n"/>
      <c r="K16" s="288" t="n"/>
      <c r="L16" s="106" t="n"/>
      <c r="M16" s="107" t="n"/>
    </row>
    <row r="17" ht="17.4" customHeight="1" s="209">
      <c r="B17" s="162" t="n"/>
      <c r="C17" s="223" t="n"/>
      <c r="D17" s="223" t="n"/>
      <c r="E17" s="223" t="n"/>
      <c r="F17" s="223" t="n"/>
      <c r="G17" s="223" t="n"/>
      <c r="H17" s="223" t="n"/>
      <c r="I17" s="223" t="n"/>
      <c r="J17" s="223" t="n"/>
      <c r="K17" s="223" t="n"/>
      <c r="L17" s="108" t="n"/>
      <c r="M17" s="109" t="n"/>
    </row>
    <row r="18" ht="7.5" customHeight="1" s="209"/>
    <row r="19" ht="19.5" customHeight="1" s="209"/>
    <row r="20" ht="27.75" customHeight="1" s="209">
      <c r="B20" s="237" t="inlineStr">
        <is>
          <t xml:space="preserve">  MONTHLY PAYROLL PROJECTION</t>
        </is>
      </c>
      <c r="C20" s="238" t="n"/>
      <c r="D20" s="238" t="n"/>
      <c r="E20" s="238" t="n"/>
      <c r="F20" s="238" t="n"/>
      <c r="G20" s="238" t="n"/>
      <c r="H20" s="238" t="n"/>
      <c r="I20" s="238" t="n"/>
      <c r="J20" s="238" t="n"/>
      <c r="K20" s="238" t="n"/>
      <c r="L20" s="238" t="n"/>
      <c r="M20" s="238" t="n"/>
    </row>
    <row r="21" ht="18" customHeight="1" s="209">
      <c r="B21" s="218" t="inlineStr">
        <is>
          <t>Staff Name</t>
        </is>
      </c>
      <c r="C21" s="218" t="inlineStr">
        <is>
          <t>Role</t>
        </is>
      </c>
      <c r="D21" s="218" t="inlineStr">
        <is>
          <t>Week Pay ($)</t>
        </is>
      </c>
      <c r="E21" s="218" t="inlineStr">
        <is>
          <t>x Weeks/Month</t>
        </is>
      </c>
      <c r="F21" s="218" t="inlineStr">
        <is>
          <t>Monthly ($)</t>
        </is>
      </c>
      <c r="G21" s="218" t="inlineStr">
        <is>
          <t>IMSS / Benefits %</t>
        </is>
      </c>
      <c r="H21" s="218" t="inlineStr">
        <is>
          <t>Total Monthly Cost ($)</t>
        </is>
      </c>
      <c r="I21" s="218" t="inlineStr">
        <is>
          <t>Notes</t>
        </is>
      </c>
    </row>
    <row r="22" ht="18" customHeight="1" s="209">
      <c r="B22" s="110">
        <f>B8</f>
        <v/>
      </c>
      <c r="C22" s="240" t="inlineStr">
        <is>
          <t>Head Chef</t>
        </is>
      </c>
      <c r="D22" s="111">
        <f>M8</f>
        <v/>
      </c>
      <c r="E22" s="112" t="n">
        <v>4</v>
      </c>
      <c r="F22" s="113">
        <f>D21*E21</f>
        <v/>
      </c>
      <c r="G22" s="114" t="n">
        <v>0.08</v>
      </c>
      <c r="H22" s="115">
        <f>F21*(1+G21)</f>
        <v/>
      </c>
      <c r="I22" s="89" t="n"/>
    </row>
    <row r="23" ht="18" customHeight="1" s="209">
      <c r="B23" s="289">
        <f>B9</f>
        <v/>
      </c>
      <c r="C23" s="222" t="inlineStr">
        <is>
          <t>Sous Chef</t>
        </is>
      </c>
      <c r="D23" s="117">
        <f>M9</f>
        <v/>
      </c>
      <c r="E23" s="118" t="n">
        <v>4</v>
      </c>
      <c r="F23" s="119">
        <f>D22*E22</f>
        <v/>
      </c>
      <c r="G23" s="120" t="n">
        <v>0.08</v>
      </c>
      <c r="H23" s="121">
        <f>F22*(1+G22)</f>
        <v/>
      </c>
      <c r="I23" s="96" t="n"/>
    </row>
    <row r="24" ht="18" customHeight="1" s="209">
      <c r="B24" s="110">
        <f>B10</f>
        <v/>
      </c>
      <c r="C24" s="240" t="inlineStr">
        <is>
          <t>Waiter 1</t>
        </is>
      </c>
      <c r="D24" s="111">
        <f>M10</f>
        <v/>
      </c>
      <c r="E24" s="112" t="n">
        <v>4</v>
      </c>
      <c r="F24" s="113">
        <f>D23*E23</f>
        <v/>
      </c>
      <c r="G24" s="114" t="n">
        <v>0.08</v>
      </c>
      <c r="H24" s="115">
        <f>F23*(1+G23)</f>
        <v/>
      </c>
      <c r="I24" s="89" t="n"/>
    </row>
    <row r="25" ht="18" customHeight="1" s="209">
      <c r="B25" s="289">
        <f>B11</f>
        <v/>
      </c>
      <c r="C25" s="222" t="inlineStr">
        <is>
          <t>Waiter 2</t>
        </is>
      </c>
      <c r="D25" s="117">
        <f>M11</f>
        <v/>
      </c>
      <c r="E25" s="118" t="n">
        <v>4</v>
      </c>
      <c r="F25" s="119">
        <f>D24*E24</f>
        <v/>
      </c>
      <c r="G25" s="120" t="n">
        <v>0.08</v>
      </c>
      <c r="H25" s="121">
        <f>F24*(1+G24)</f>
        <v/>
      </c>
      <c r="I25" s="96" t="n"/>
    </row>
    <row r="26" ht="18" customHeight="1" s="209">
      <c r="B26" s="110">
        <f>B12</f>
        <v/>
      </c>
      <c r="C26" s="240" t="inlineStr">
        <is>
          <t>Barista</t>
        </is>
      </c>
      <c r="D26" s="111">
        <f>M12</f>
        <v/>
      </c>
      <c r="E26" s="112" t="n">
        <v>4</v>
      </c>
      <c r="F26" s="113">
        <f>D25*E25</f>
        <v/>
      </c>
      <c r="G26" s="114" t="n">
        <v>0.08</v>
      </c>
      <c r="H26" s="115">
        <f>F25*(1+G25)</f>
        <v/>
      </c>
      <c r="I26" s="89" t="n"/>
    </row>
    <row r="27" ht="18" customHeight="1" s="209">
      <c r="B27" s="289">
        <f>B13</f>
        <v/>
      </c>
      <c r="C27" s="222" t="inlineStr">
        <is>
          <t>Cashier</t>
        </is>
      </c>
      <c r="D27" s="117">
        <f>M13</f>
        <v/>
      </c>
      <c r="E27" s="118" t="n">
        <v>4</v>
      </c>
      <c r="F27" s="119">
        <f>D26*E26</f>
        <v/>
      </c>
      <c r="G27" s="120" t="n">
        <v>0.08</v>
      </c>
      <c r="H27" s="121">
        <f>F26*(1+G26)</f>
        <v/>
      </c>
      <c r="I27" s="96" t="n"/>
    </row>
    <row r="28" ht="18" customHeight="1" s="209">
      <c r="B28" s="110">
        <f>B14</f>
        <v/>
      </c>
      <c r="C28" s="240" t="inlineStr">
        <is>
          <t>Kitchen Helper</t>
        </is>
      </c>
      <c r="D28" s="111">
        <f>M14</f>
        <v/>
      </c>
      <c r="E28" s="112" t="n">
        <v>4</v>
      </c>
      <c r="F28" s="113">
        <f>D27*E27</f>
        <v/>
      </c>
      <c r="G28" s="114" t="n">
        <v>0.08</v>
      </c>
      <c r="H28" s="115">
        <f>F27*(1+G27)</f>
        <v/>
      </c>
      <c r="I28" s="89" t="n"/>
    </row>
    <row r="29" ht="21.75" customHeight="1" s="209">
      <c r="B29" s="289">
        <f>B15</f>
        <v/>
      </c>
      <c r="C29" s="223" t="n"/>
      <c r="D29" s="223" t="n"/>
      <c r="E29" s="223" t="n"/>
      <c r="F29" s="223" t="n"/>
      <c r="G29" s="219" t="n"/>
      <c r="H29" s="121">
        <f>F28*(1+G28)</f>
        <v/>
      </c>
      <c r="I29" s="96" t="n"/>
    </row>
    <row r="30" ht="17.4" customHeight="1" s="209">
      <c r="B30" s="163" t="inlineStr">
        <is>
          <t>TOTAL MONTHLY PAYROLL COST</t>
        </is>
      </c>
      <c r="C30" s="223" t="n"/>
      <c r="D30" s="223" t="n"/>
      <c r="E30" s="223" t="n"/>
      <c r="F30" s="223" t="n"/>
      <c r="G30" s="219" t="n"/>
      <c r="H30" s="109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55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55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55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55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55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155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155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155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s="155" t="n">
        <v>46181</v>
      </c>
      <c r="C69" t="inlineStr">
        <is>
          <t>Customer Transfer — Jun 8</t>
        </is>
      </c>
      <c r="D69" t="inlineStr">
        <is>
          <t>Transfer Received</t>
        </is>
      </c>
      <c r="F69" t="n">
        <v>99</v>
      </c>
      <c r="G69">
        <f>IFERROR(G68+E69-F69,0)</f>
        <v/>
      </c>
      <c r="H69" t="inlineStr">
        <is>
          <t>✅ Received</t>
        </is>
      </c>
      <c r="I69" t="inlineStr">
        <is>
          <t>✅ Received in Lohith account — Jun 8</t>
        </is>
      </c>
    </row>
    <row r="70">
      <c r="B70" t="inlineStr">
        <is>
          <t>TOTALS &amp; CURRENT BALANCE</t>
        </is>
      </c>
      <c r="E70">
        <f>SUM(E61:E68)</f>
        <v/>
      </c>
      <c r="F70">
        <f>SUM(F61:F68)</f>
        <v/>
      </c>
      <c r="G70">
        <f>G69</f>
        <v/>
      </c>
      <c r="H70">
        <f>IF(G68&gt;0,"⏳ Restaurant owes Lohith $"&amp;TEXT(G68,"#,##0"),IF(G68&lt;0,"💵 Lohith holds $"&amp;TEXT(ABS(G68),"#,##0")&amp;" of restaurant funds","✅ Zero balance"))</f>
        <v/>
      </c>
    </row>
    <row r="72">
      <c r="B72" t="inlineStr">
        <is>
          <t>HOW TO USE:</t>
        </is>
      </c>
    </row>
    <row r="73">
      <c r="B73" t="inlineStr">
        <is>
          <t>Add new rows above TOTALS. Spent by Lohith = restaurant expenses he paid personally.</t>
        </is>
      </c>
    </row>
    <row r="74">
      <c r="B74" t="inlineStr">
        <is>
          <t>Transferred to Lohith = customer bank transfers received in his personal account.</t>
        </is>
      </c>
    </row>
    <row r="75">
      <c r="B75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09" min="1" max="1"/>
    <col width="14" customWidth="1" style="209" min="2" max="2"/>
    <col width="22" customWidth="1" style="209" min="3" max="3"/>
    <col width="20" customWidth="1" style="209" min="4" max="4"/>
    <col width="12" customWidth="1" style="209" min="5" max="5"/>
    <col width="10" customWidth="1" style="209" min="6" max="6"/>
    <col width="12" customWidth="1" style="209" min="7" max="7"/>
    <col width="14" customWidth="1" style="209" min="8" max="9"/>
    <col width="18" customWidth="1" style="209" min="10" max="10"/>
    <col width="16" customWidth="1" style="209" min="11" max="11"/>
  </cols>
  <sheetData>
    <row r="1" ht="4.5" customHeight="1" s="209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09">
      <c r="A2" s="208" t="inlineStr">
        <is>
          <t>🚚  LOKA — SUPPLIER ORDERS</t>
        </is>
      </c>
      <c r="F2" s="211" t="inlineStr">
        <is>
          <t>Track purchase orders from suppliers</t>
        </is>
      </c>
    </row>
    <row r="3" ht="3.75" customHeight="1" s="209">
      <c r="A3" s="210" t="n"/>
    </row>
    <row r="4" ht="7.5" customHeight="1" s="209"/>
    <row r="5" ht="18" customHeight="1" s="209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09">
      <c r="B6" s="79">
        <f>COUNTA(C9:C308)-1</f>
        <v/>
      </c>
      <c r="C6" s="122">
        <f>COUNTIF(K9:K308,"Pending")</f>
        <v/>
      </c>
      <c r="D6" s="123">
        <f>COUNTIF(K9:K308,"In Transit")</f>
        <v/>
      </c>
      <c r="E6" s="124">
        <f>COUNTIF(K9:K308,"Received")</f>
        <v/>
      </c>
      <c r="F6" s="125">
        <f>SUMIF(K9:K308,"Received",J9:J308)</f>
        <v/>
      </c>
      <c r="G6" s="61">
        <f>SUMIF(K9:K308,"Pending",J9:J308)</f>
        <v/>
      </c>
      <c r="H6" s="122">
        <f>COUNTIF(K9:K308,"Pending")+COUNTIF(K9:K308,"In Transit")</f>
        <v/>
      </c>
    </row>
    <row r="7" ht="7.5" customHeight="1" s="209"/>
    <row r="8" ht="19.5" customHeight="1" s="209">
      <c r="B8" s="285" t="n"/>
      <c r="C8" s="223" t="n"/>
      <c r="D8" s="223" t="n"/>
      <c r="E8" s="223" t="n"/>
      <c r="F8" s="223" t="n"/>
      <c r="G8" s="223" t="n"/>
      <c r="H8" s="223" t="n"/>
      <c r="I8" s="223" t="n"/>
      <c r="J8" s="223" t="n"/>
      <c r="K8" s="223" t="n"/>
    </row>
    <row r="9" ht="27.75" customHeight="1" s="209">
      <c r="B9" s="218" t="n"/>
      <c r="C9" s="218" t="n"/>
      <c r="D9" s="218" t="n"/>
      <c r="E9" s="218" t="n"/>
      <c r="F9" s="218" t="n"/>
      <c r="G9" s="218" t="n"/>
      <c r="H9" s="218" t="n"/>
      <c r="I9" s="218" t="n"/>
      <c r="J9" s="218" t="n"/>
      <c r="K9" s="218" t="n"/>
    </row>
    <row r="10" ht="15.75" customHeight="1" s="209">
      <c r="B10" s="64" t="n"/>
      <c r="C10" s="66" t="n"/>
      <c r="D10" s="65" t="n"/>
      <c r="E10" s="65" t="n"/>
      <c r="F10" s="126" t="n"/>
      <c r="G10" s="14" t="n"/>
      <c r="H10" s="127" t="n"/>
      <c r="I10" s="128" t="n"/>
      <c r="J10" s="129" t="n"/>
      <c r="K10" s="88" t="n"/>
    </row>
    <row r="11" ht="15.75" customHeight="1" s="209">
      <c r="B11" s="64" t="n"/>
      <c r="C11" s="68" t="n"/>
      <c r="D11" s="69" t="n"/>
      <c r="E11" s="69" t="n"/>
      <c r="F11" s="130" t="n"/>
      <c r="G11" s="23" t="n"/>
      <c r="H11" s="131" t="n"/>
      <c r="I11" s="132" t="n"/>
      <c r="J11" s="133" t="n"/>
      <c r="K11" s="95" t="n"/>
    </row>
    <row r="12" ht="15.75" customHeight="1" s="209">
      <c r="B12" s="64" t="n"/>
      <c r="C12" s="66" t="n"/>
      <c r="D12" s="65" t="n"/>
      <c r="E12" s="65" t="n"/>
      <c r="F12" s="126" t="n"/>
      <c r="G12" s="14" t="n"/>
      <c r="H12" s="127" t="n"/>
      <c r="I12" s="128" t="n"/>
      <c r="J12" s="129" t="n"/>
      <c r="K12" s="88" t="n"/>
    </row>
    <row r="13" ht="15.75" customHeight="1" s="209">
      <c r="B13" s="64" t="n"/>
      <c r="C13" s="68" t="n"/>
      <c r="D13" s="69" t="n"/>
      <c r="E13" s="69" t="n"/>
      <c r="F13" s="130" t="n"/>
      <c r="G13" s="23" t="n"/>
      <c r="H13" s="131" t="n"/>
      <c r="I13" s="132" t="n"/>
      <c r="J13" s="133" t="n"/>
      <c r="K13" s="95" t="n"/>
    </row>
    <row r="14" ht="15.75" customHeight="1" s="209">
      <c r="B14" s="64" t="n"/>
      <c r="C14" s="66" t="n"/>
      <c r="D14" s="65" t="n"/>
      <c r="E14" s="65" t="n"/>
      <c r="F14" s="126" t="n"/>
      <c r="G14" s="14" t="n"/>
      <c r="H14" s="127" t="n"/>
      <c r="I14" s="128" t="n"/>
      <c r="J14" s="129" t="n"/>
      <c r="K14" s="88" t="n"/>
    </row>
    <row r="15" ht="15.75" customHeight="1" s="209">
      <c r="B15" s="64" t="n"/>
      <c r="C15" s="68" t="n"/>
      <c r="D15" s="69" t="n"/>
      <c r="E15" s="69" t="n"/>
      <c r="F15" s="130" t="n"/>
      <c r="G15" s="23" t="n"/>
      <c r="H15" s="131" t="n"/>
      <c r="I15" s="132" t="n"/>
      <c r="J15" s="133" t="n"/>
      <c r="K15" s="95" t="n"/>
    </row>
    <row r="16" ht="15.75" customHeight="1" s="209">
      <c r="B16" s="64" t="n"/>
      <c r="C16" s="66" t="n"/>
      <c r="D16" s="65" t="n"/>
      <c r="E16" s="65" t="n"/>
      <c r="F16" s="126" t="n"/>
      <c r="G16" s="14" t="n"/>
      <c r="H16" s="127" t="n"/>
      <c r="I16" s="128" t="n"/>
      <c r="J16" s="129" t="n"/>
      <c r="K16" s="88" t="n"/>
    </row>
    <row r="17" ht="15.75" customHeight="1" s="209">
      <c r="B17" s="64" t="n"/>
      <c r="C17" s="68" t="n"/>
      <c r="D17" s="69" t="n"/>
      <c r="E17" s="69" t="n"/>
      <c r="F17" s="130" t="n"/>
      <c r="G17" s="23" t="n"/>
      <c r="H17" s="131" t="n"/>
      <c r="I17" s="132" t="n"/>
      <c r="J17" s="133" t="n"/>
      <c r="K17" s="95" t="n"/>
    </row>
    <row r="18" ht="15.75" customHeight="1" s="209">
      <c r="B18" s="64" t="n"/>
      <c r="C18" s="66" t="n"/>
      <c r="D18" s="65" t="n"/>
      <c r="E18" s="65" t="n"/>
      <c r="F18" s="126" t="n"/>
      <c r="G18" s="14" t="n"/>
      <c r="H18" s="127" t="n"/>
      <c r="I18" s="128" t="n"/>
      <c r="J18" s="129" t="n"/>
      <c r="K18" s="88" t="n"/>
    </row>
    <row r="19" ht="15.75" customHeight="1" s="209">
      <c r="B19" s="64" t="n"/>
      <c r="C19" s="68" t="n"/>
      <c r="D19" s="69" t="n"/>
      <c r="E19" s="69" t="n"/>
      <c r="F19" s="130" t="n"/>
      <c r="G19" s="23" t="n"/>
      <c r="H19" s="131" t="n"/>
      <c r="I19" s="132" t="n"/>
      <c r="J19" s="133" t="n"/>
      <c r="K19" s="95" t="n"/>
    </row>
    <row r="20" ht="15.75" customHeight="1" s="209">
      <c r="B20" s="64" t="n"/>
      <c r="C20" s="66" t="n"/>
      <c r="D20" s="65" t="n"/>
      <c r="E20" s="65" t="n"/>
      <c r="F20" s="126" t="n"/>
      <c r="G20" s="14" t="n"/>
      <c r="H20" s="127" t="n"/>
      <c r="I20" s="128" t="n"/>
      <c r="J20" s="129" t="n"/>
      <c r="K20" s="88" t="n"/>
    </row>
    <row r="21" ht="15.75" customHeight="1" s="209">
      <c r="B21" s="64" t="n"/>
      <c r="C21" s="68" t="n"/>
      <c r="D21" s="69" t="n"/>
      <c r="E21" s="69" t="n"/>
      <c r="F21" s="130" t="n"/>
      <c r="G21" s="23" t="n"/>
      <c r="H21" s="131" t="n"/>
      <c r="I21" s="132" t="n"/>
      <c r="J21" s="133" t="n"/>
      <c r="K21" s="95" t="n"/>
    </row>
    <row r="22" ht="15.75" customHeight="1" s="209">
      <c r="B22" s="64" t="n"/>
      <c r="C22" s="66" t="n"/>
      <c r="D22" s="65" t="n"/>
      <c r="E22" s="65" t="n"/>
      <c r="F22" s="126" t="n"/>
      <c r="G22" s="14" t="n"/>
      <c r="H22" s="127" t="n"/>
      <c r="I22" s="128" t="n"/>
      <c r="J22" s="129" t="n"/>
      <c r="K22" s="88" t="n"/>
    </row>
    <row r="23" ht="15.75" customHeight="1" s="209">
      <c r="B23" s="64" t="n"/>
      <c r="C23" s="68" t="n"/>
      <c r="D23" s="69" t="n"/>
      <c r="E23" s="69" t="n"/>
      <c r="F23" s="130" t="n"/>
      <c r="G23" s="23" t="n"/>
      <c r="H23" s="131" t="n"/>
      <c r="I23" s="132" t="n"/>
      <c r="J23" s="133" t="n"/>
      <c r="K23" s="95" t="n"/>
    </row>
    <row r="24" ht="15.75" customHeight="1" s="209">
      <c r="B24" s="64" t="n"/>
      <c r="C24" s="66" t="n"/>
      <c r="D24" s="65" t="n"/>
      <c r="E24" s="65" t="n"/>
      <c r="F24" s="126" t="n"/>
      <c r="G24" s="14" t="n"/>
      <c r="H24" s="127" t="n"/>
      <c r="I24" s="128" t="n"/>
      <c r="J24" s="129" t="n"/>
      <c r="K24" s="88" t="n"/>
    </row>
    <row r="25" ht="15.75" customHeight="1" s="209">
      <c r="B25" s="64" t="n"/>
      <c r="C25" s="68" t="n"/>
      <c r="D25" s="69" t="n"/>
      <c r="E25" s="69" t="n"/>
      <c r="F25" s="130" t="n"/>
      <c r="G25" s="23" t="n"/>
      <c r="H25" s="131" t="n"/>
      <c r="I25" s="132" t="n"/>
      <c r="J25" s="133" t="n"/>
      <c r="K25" s="95" t="n"/>
    </row>
    <row r="26" ht="15.75" customHeight="1" s="209">
      <c r="B26" s="64" t="n"/>
      <c r="C26" s="66" t="n"/>
      <c r="D26" s="65" t="n"/>
      <c r="E26" s="65" t="n"/>
      <c r="F26" s="126" t="n"/>
      <c r="G26" s="14" t="n"/>
      <c r="H26" s="127" t="n"/>
      <c r="I26" s="128" t="n"/>
      <c r="J26" s="129" t="n"/>
      <c r="K26" s="88" t="n"/>
    </row>
    <row r="27" ht="15.75" customHeight="1" s="209">
      <c r="B27" s="64" t="n"/>
      <c r="C27" s="68" t="n"/>
      <c r="D27" s="69" t="n"/>
      <c r="E27" s="69" t="n"/>
      <c r="F27" s="130" t="n"/>
      <c r="G27" s="23" t="n"/>
      <c r="H27" s="131" t="n"/>
      <c r="I27" s="132" t="n"/>
      <c r="J27" s="133" t="n"/>
      <c r="K27" s="95" t="n"/>
    </row>
    <row r="28" ht="15.75" customHeight="1" s="209">
      <c r="B28" s="64" t="n"/>
      <c r="C28" s="66" t="n"/>
      <c r="D28" s="65" t="n"/>
      <c r="E28" s="65" t="n"/>
      <c r="F28" s="126" t="n"/>
      <c r="G28" s="14" t="n"/>
      <c r="H28" s="127" t="n"/>
      <c r="I28" s="128" t="n"/>
      <c r="J28" s="129" t="n"/>
      <c r="K28" s="88" t="n"/>
    </row>
    <row r="29" ht="15.75" customHeight="1" s="209">
      <c r="B29" s="64" t="n"/>
      <c r="C29" s="68" t="n"/>
      <c r="D29" s="69" t="n"/>
      <c r="E29" s="69" t="n"/>
      <c r="F29" s="130" t="n"/>
      <c r="G29" s="23" t="n"/>
      <c r="H29" s="131" t="n"/>
      <c r="I29" s="132" t="n"/>
      <c r="J29" s="133" t="n"/>
      <c r="K29" s="95" t="n"/>
    </row>
    <row r="30" ht="15.75" customHeight="1" s="209">
      <c r="B30" s="64" t="n"/>
      <c r="C30" s="66" t="n"/>
      <c r="D30" s="65" t="n"/>
      <c r="E30" s="65" t="n"/>
      <c r="F30" s="126" t="n"/>
      <c r="G30" s="14" t="n"/>
      <c r="H30" s="127" t="n"/>
      <c r="I30" s="128" t="n"/>
      <c r="J30" s="129" t="n"/>
      <c r="K30" s="88" t="n"/>
    </row>
    <row r="31" ht="15.75" customHeight="1" s="209">
      <c r="B31" s="64" t="n"/>
      <c r="C31" s="68" t="n"/>
      <c r="D31" s="69" t="n"/>
      <c r="E31" s="69" t="n"/>
      <c r="F31" s="130" t="n"/>
      <c r="G31" s="23" t="n"/>
      <c r="H31" s="131" t="n"/>
      <c r="I31" s="132" t="n"/>
      <c r="J31" s="133" t="n"/>
      <c r="K31" s="95" t="n"/>
    </row>
    <row r="32" ht="15.75" customHeight="1" s="209">
      <c r="B32" s="64" t="n"/>
      <c r="C32" s="66" t="n"/>
      <c r="D32" s="65" t="n"/>
      <c r="E32" s="65" t="n"/>
      <c r="F32" s="126" t="n"/>
      <c r="G32" s="14" t="n"/>
      <c r="H32" s="127" t="n"/>
      <c r="I32" s="128" t="n"/>
      <c r="J32" s="129" t="n"/>
      <c r="K32" s="88" t="n"/>
    </row>
    <row r="33" ht="15.75" customHeight="1" s="209">
      <c r="B33" s="64" t="n"/>
      <c r="C33" s="68" t="n"/>
      <c r="D33" s="69" t="n"/>
      <c r="E33" s="69" t="n"/>
      <c r="F33" s="130" t="n"/>
      <c r="G33" s="23" t="n"/>
      <c r="H33" s="131" t="n"/>
      <c r="I33" s="132" t="n"/>
      <c r="J33" s="133" t="n"/>
      <c r="K33" s="95" t="n"/>
    </row>
    <row r="34" ht="15.75" customHeight="1" s="209">
      <c r="B34" s="64" t="n"/>
      <c r="C34" s="66" t="n"/>
      <c r="D34" s="65" t="n"/>
      <c r="E34" s="65" t="n"/>
      <c r="F34" s="126" t="n"/>
      <c r="G34" s="14" t="n"/>
      <c r="H34" s="127" t="n"/>
      <c r="I34" s="128" t="n"/>
      <c r="J34" s="129" t="n"/>
      <c r="K34" s="88" t="n"/>
    </row>
    <row r="35" ht="15.75" customHeight="1" s="209">
      <c r="B35" s="64" t="n"/>
      <c r="C35" s="68" t="n"/>
      <c r="D35" s="69" t="n"/>
      <c r="E35" s="69" t="n"/>
      <c r="F35" s="130" t="n"/>
      <c r="G35" s="23" t="n"/>
      <c r="H35" s="131" t="n"/>
      <c r="I35" s="132" t="n"/>
      <c r="J35" s="133" t="n"/>
      <c r="K35" s="95" t="n"/>
    </row>
    <row r="36" ht="15.75" customHeight="1" s="209">
      <c r="B36" s="64" t="n"/>
      <c r="C36" s="66" t="n"/>
      <c r="D36" s="65" t="n"/>
      <c r="E36" s="65" t="n"/>
      <c r="F36" s="126" t="n"/>
      <c r="G36" s="14" t="n"/>
      <c r="H36" s="127" t="n"/>
      <c r="I36" s="128" t="n"/>
      <c r="J36" s="129" t="n"/>
      <c r="K36" s="88" t="n"/>
    </row>
    <row r="37" ht="15.75" customHeight="1" s="209">
      <c r="B37" s="64" t="n"/>
      <c r="C37" s="68" t="n"/>
      <c r="D37" s="69" t="n"/>
      <c r="E37" s="69" t="n"/>
      <c r="F37" s="130" t="n"/>
      <c r="G37" s="23" t="n"/>
      <c r="H37" s="131" t="n"/>
      <c r="I37" s="132" t="n"/>
      <c r="J37" s="133" t="n"/>
      <c r="K37" s="95" t="n"/>
    </row>
    <row r="38" ht="15.75" customHeight="1" s="209">
      <c r="B38" s="64" t="n"/>
      <c r="C38" s="66" t="n"/>
      <c r="D38" s="65" t="n"/>
      <c r="E38" s="65" t="n"/>
      <c r="F38" s="126" t="n"/>
      <c r="G38" s="14" t="n"/>
      <c r="H38" s="127" t="n"/>
      <c r="I38" s="128" t="n"/>
      <c r="J38" s="129" t="n"/>
      <c r="K38" s="88" t="n"/>
    </row>
    <row r="39" ht="15.75" customHeight="1" s="209">
      <c r="B39" s="64" t="n"/>
      <c r="C39" s="68" t="n"/>
      <c r="D39" s="69" t="n"/>
      <c r="E39" s="69" t="n"/>
      <c r="F39" s="130" t="n"/>
      <c r="G39" s="23" t="n"/>
      <c r="H39" s="131" t="n"/>
      <c r="I39" s="132" t="n"/>
      <c r="J39" s="133" t="n"/>
      <c r="K39" s="95" t="n"/>
    </row>
    <row r="40" ht="15.75" customHeight="1" s="209">
      <c r="B40" s="64" t="n"/>
      <c r="C40" s="66" t="n"/>
      <c r="D40" s="65" t="n"/>
      <c r="E40" s="65" t="n"/>
      <c r="F40" s="126" t="n"/>
      <c r="G40" s="14" t="n"/>
      <c r="H40" s="127" t="n"/>
      <c r="I40" s="128" t="n"/>
      <c r="J40" s="129" t="n"/>
      <c r="K40" s="88" t="n"/>
    </row>
    <row r="41" ht="15.75" customHeight="1" s="209">
      <c r="B41" s="64" t="n"/>
      <c r="C41" s="68" t="n"/>
      <c r="D41" s="69" t="n"/>
      <c r="E41" s="69" t="n"/>
      <c r="F41" s="130" t="n"/>
      <c r="G41" s="23" t="n"/>
      <c r="H41" s="131" t="n"/>
      <c r="I41" s="132" t="n"/>
      <c r="J41" s="133" t="n"/>
      <c r="K41" s="95" t="n"/>
    </row>
    <row r="42" ht="15.75" customHeight="1" s="209">
      <c r="B42" s="64" t="n"/>
      <c r="C42" s="66" t="n"/>
      <c r="D42" s="65" t="n"/>
      <c r="E42" s="65" t="n"/>
      <c r="F42" s="126" t="n"/>
      <c r="G42" s="14" t="n"/>
      <c r="H42" s="127" t="n"/>
      <c r="I42" s="128" t="n"/>
      <c r="J42" s="129" t="n"/>
      <c r="K42" s="88" t="n"/>
    </row>
    <row r="43" ht="15.75" customHeight="1" s="209">
      <c r="B43" s="64" t="n"/>
      <c r="C43" s="68" t="n"/>
      <c r="D43" s="69" t="n"/>
      <c r="E43" s="69" t="n"/>
      <c r="F43" s="130" t="n"/>
      <c r="G43" s="23" t="n"/>
      <c r="H43" s="131" t="n"/>
      <c r="I43" s="132" t="n"/>
      <c r="J43" s="133" t="n"/>
      <c r="K43" s="95" t="n"/>
    </row>
    <row r="44" ht="15.75" customHeight="1" s="209">
      <c r="B44" s="64" t="n"/>
      <c r="C44" s="66" t="n"/>
      <c r="D44" s="65" t="n"/>
      <c r="E44" s="65" t="n"/>
      <c r="F44" s="126" t="n"/>
      <c r="G44" s="14" t="n"/>
      <c r="H44" s="127" t="n"/>
      <c r="I44" s="128" t="n"/>
      <c r="J44" s="129" t="n"/>
      <c r="K44" s="88" t="n"/>
    </row>
    <row r="45" ht="15.75" customHeight="1" s="209">
      <c r="B45" s="64" t="n"/>
      <c r="C45" s="68" t="n"/>
      <c r="D45" s="69" t="n"/>
      <c r="E45" s="69" t="n"/>
      <c r="F45" s="130" t="n"/>
      <c r="G45" s="23" t="n"/>
      <c r="H45" s="131" t="n"/>
      <c r="I45" s="132" t="n"/>
      <c r="J45" s="133" t="n"/>
      <c r="K45" s="95" t="n"/>
    </row>
    <row r="46" ht="15.75" customHeight="1" s="209">
      <c r="B46" s="64" t="n"/>
      <c r="C46" s="66" t="n"/>
      <c r="D46" s="65" t="n"/>
      <c r="E46" s="65" t="n"/>
      <c r="F46" s="126" t="n"/>
      <c r="G46" s="14" t="n"/>
      <c r="H46" s="127" t="n"/>
      <c r="I46" s="128" t="n"/>
      <c r="J46" s="129" t="n"/>
      <c r="K46" s="88" t="n"/>
    </row>
    <row r="47" ht="15.75" customHeight="1" s="209">
      <c r="B47" s="64" t="n"/>
      <c r="C47" s="68" t="n"/>
      <c r="D47" s="69" t="n"/>
      <c r="E47" s="69" t="n"/>
      <c r="F47" s="130" t="n"/>
      <c r="G47" s="23" t="n"/>
      <c r="H47" s="131" t="n"/>
      <c r="I47" s="132" t="n"/>
      <c r="J47" s="133" t="n"/>
      <c r="K47" s="95" t="n"/>
    </row>
    <row r="48" ht="15.75" customHeight="1" s="209">
      <c r="B48" s="64" t="n"/>
      <c r="C48" s="66" t="n"/>
      <c r="D48" s="65" t="n"/>
      <c r="E48" s="65" t="n"/>
      <c r="F48" s="126" t="n"/>
      <c r="G48" s="14" t="n"/>
      <c r="H48" s="127" t="n"/>
      <c r="I48" s="128" t="n"/>
      <c r="J48" s="129" t="n"/>
      <c r="K48" s="88" t="n"/>
    </row>
    <row r="49" ht="15.75" customHeight="1" s="209">
      <c r="B49" s="64" t="n"/>
      <c r="C49" s="68" t="n"/>
      <c r="D49" s="69" t="n"/>
      <c r="E49" s="69" t="n"/>
      <c r="F49" s="130" t="n"/>
      <c r="G49" s="23" t="n"/>
      <c r="H49" s="131" t="n"/>
      <c r="I49" s="132" t="n"/>
      <c r="J49" s="133" t="n"/>
      <c r="K49" s="95" t="n"/>
    </row>
    <row r="50" ht="15.75" customHeight="1" s="209">
      <c r="B50" s="64" t="n"/>
      <c r="C50" s="66" t="n"/>
      <c r="D50" s="65" t="n"/>
      <c r="E50" s="65" t="n"/>
      <c r="F50" s="126" t="n"/>
      <c r="G50" s="14" t="n"/>
      <c r="H50" s="127" t="n"/>
      <c r="I50" s="128" t="n"/>
      <c r="J50" s="129" t="n"/>
      <c r="K50" s="88" t="n"/>
    </row>
    <row r="51" ht="15.75" customHeight="1" s="209">
      <c r="B51" s="64" t="n"/>
      <c r="C51" s="68" t="n"/>
      <c r="D51" s="69" t="n"/>
      <c r="E51" s="69" t="n"/>
      <c r="F51" s="130" t="n"/>
      <c r="G51" s="23" t="n"/>
      <c r="H51" s="131" t="n"/>
      <c r="I51" s="132" t="n"/>
      <c r="J51" s="133" t="n"/>
      <c r="K51" s="95" t="n"/>
    </row>
    <row r="52" ht="15.75" customHeight="1" s="209">
      <c r="B52" s="64" t="n"/>
      <c r="C52" s="66" t="n"/>
      <c r="D52" s="65" t="n"/>
      <c r="E52" s="65" t="n"/>
      <c r="F52" s="126" t="n"/>
      <c r="G52" s="14" t="n"/>
      <c r="H52" s="127" t="n"/>
      <c r="I52" s="128" t="n"/>
      <c r="J52" s="129" t="n"/>
      <c r="K52" s="88" t="n"/>
    </row>
    <row r="53" ht="15.75" customHeight="1" s="209">
      <c r="B53" s="64" t="n"/>
      <c r="C53" s="68" t="n"/>
      <c r="D53" s="69" t="n"/>
      <c r="E53" s="69" t="n"/>
      <c r="F53" s="130" t="n"/>
      <c r="G53" s="23" t="n"/>
      <c r="H53" s="131" t="n"/>
      <c r="I53" s="132" t="n"/>
      <c r="J53" s="133" t="n"/>
      <c r="K53" s="95" t="n"/>
    </row>
    <row r="54" ht="15.75" customHeight="1" s="209">
      <c r="B54" s="64" t="n"/>
      <c r="C54" s="66" t="n"/>
      <c r="D54" s="65" t="n"/>
      <c r="E54" s="65" t="n"/>
      <c r="F54" s="126" t="n"/>
      <c r="G54" s="14" t="n"/>
      <c r="H54" s="127" t="n"/>
      <c r="I54" s="128" t="n"/>
      <c r="J54" s="129" t="n"/>
      <c r="K54" s="88" t="n"/>
    </row>
    <row r="55" ht="15.75" customHeight="1" s="209">
      <c r="B55" s="64" t="n"/>
      <c r="C55" s="68" t="n"/>
      <c r="D55" s="69" t="n"/>
      <c r="E55" s="69" t="n"/>
      <c r="F55" s="130" t="n"/>
      <c r="G55" s="23" t="n"/>
      <c r="H55" s="131" t="n"/>
      <c r="I55" s="132" t="n"/>
      <c r="J55" s="133" t="n"/>
      <c r="K55" s="95" t="n"/>
    </row>
    <row r="56" ht="15.75" customHeight="1" s="209">
      <c r="B56" s="64" t="n"/>
      <c r="C56" s="66" t="n"/>
      <c r="D56" s="65" t="n"/>
      <c r="E56" s="65" t="n"/>
      <c r="F56" s="126" t="n"/>
      <c r="G56" s="14" t="n"/>
      <c r="H56" s="127" t="n"/>
      <c r="I56" s="128" t="n"/>
      <c r="J56" s="129" t="n"/>
      <c r="K56" s="88" t="n"/>
    </row>
    <row r="57" ht="15.75" customHeight="1" s="209">
      <c r="B57" s="64" t="n"/>
      <c r="C57" s="68" t="n"/>
      <c r="D57" s="69" t="n"/>
      <c r="E57" s="69" t="n"/>
      <c r="F57" s="130" t="n"/>
      <c r="G57" s="23" t="n"/>
      <c r="H57" s="131" t="n"/>
      <c r="I57" s="132" t="n"/>
      <c r="J57" s="133" t="n"/>
      <c r="K57" s="95" t="n"/>
    </row>
    <row r="58" ht="15.75" customHeight="1" s="209">
      <c r="B58" s="64" t="n"/>
      <c r="C58" s="66" t="n"/>
      <c r="D58" s="65" t="n"/>
      <c r="E58" s="65" t="n"/>
      <c r="F58" s="126" t="n"/>
      <c r="G58" s="14" t="n"/>
      <c r="H58" s="127" t="n"/>
      <c r="I58" s="128" t="n"/>
      <c r="J58" s="129" t="n"/>
      <c r="K58" s="88" t="n"/>
    </row>
    <row r="59" ht="15.75" customHeight="1" s="209">
      <c r="B59" s="64" t="n"/>
      <c r="C59" s="68" t="n"/>
      <c r="D59" s="69" t="n"/>
      <c r="E59" s="69" t="n"/>
      <c r="F59" s="130" t="n"/>
      <c r="G59" s="23" t="n"/>
      <c r="H59" s="131" t="n"/>
      <c r="I59" s="132" t="n"/>
      <c r="J59" s="133" t="n"/>
      <c r="K59" s="95" t="n"/>
    </row>
    <row r="60" ht="15.75" customHeight="1" s="209">
      <c r="B60" s="64" t="n"/>
      <c r="C60" s="66" t="n"/>
      <c r="D60" s="65" t="n"/>
      <c r="E60" s="65" t="n"/>
      <c r="F60" s="126" t="n"/>
      <c r="G60" s="14" t="n"/>
      <c r="H60" s="127" t="n"/>
      <c r="I60" s="128" t="n"/>
      <c r="J60" s="129" t="n"/>
      <c r="K60" s="88" t="n"/>
    </row>
    <row r="61" ht="15.75" customHeight="1" s="209">
      <c r="B61" s="64" t="n"/>
      <c r="C61" s="68" t="n"/>
      <c r="D61" s="69" t="n"/>
      <c r="E61" s="69" t="n"/>
      <c r="F61" s="130" t="n"/>
      <c r="G61" s="23" t="n"/>
      <c r="H61" s="131" t="n"/>
      <c r="I61" s="132" t="n"/>
      <c r="J61" s="133" t="n"/>
      <c r="K61" s="95" t="n"/>
    </row>
    <row r="62" ht="15.75" customHeight="1" s="209">
      <c r="B62" s="64" t="n"/>
      <c r="C62" s="66" t="n"/>
      <c r="D62" s="65" t="n"/>
      <c r="E62" s="65" t="n"/>
      <c r="F62" s="126" t="n"/>
      <c r="G62" s="14" t="n"/>
      <c r="H62" s="127" t="n"/>
      <c r="I62" s="128" t="n"/>
      <c r="J62" s="129" t="n"/>
      <c r="K62" s="88" t="n"/>
    </row>
    <row r="63" ht="15.75" customHeight="1" s="209">
      <c r="B63" s="64" t="n"/>
      <c r="C63" s="68" t="n"/>
      <c r="D63" s="69" t="n"/>
      <c r="E63" s="69" t="n"/>
      <c r="F63" s="130" t="n"/>
      <c r="G63" s="23" t="n"/>
      <c r="H63" s="131" t="n"/>
      <c r="I63" s="132" t="n"/>
      <c r="J63" s="133" t="n"/>
      <c r="K63" s="95" t="n"/>
    </row>
    <row r="64" ht="15.75" customHeight="1" s="209">
      <c r="B64" s="64" t="n"/>
      <c r="C64" s="66" t="n"/>
      <c r="D64" s="65" t="n"/>
      <c r="E64" s="65" t="n"/>
      <c r="F64" s="126" t="n"/>
      <c r="G64" s="14" t="n"/>
      <c r="H64" s="127" t="n"/>
      <c r="I64" s="128" t="n"/>
      <c r="J64" s="129" t="n"/>
      <c r="K64" s="88" t="n"/>
    </row>
    <row r="65" ht="15.75" customHeight="1" s="209">
      <c r="B65" s="64" t="n"/>
      <c r="C65" s="68" t="n"/>
      <c r="D65" s="69" t="n"/>
      <c r="E65" s="69" t="n"/>
      <c r="F65" s="130" t="n"/>
      <c r="G65" s="23" t="n"/>
      <c r="H65" s="131" t="n"/>
      <c r="I65" s="132" t="n"/>
      <c r="J65" s="133" t="n"/>
      <c r="K65" s="95" t="n"/>
    </row>
    <row r="66" ht="15.75" customHeight="1" s="209">
      <c r="B66" s="64" t="n"/>
      <c r="C66" s="66" t="n"/>
      <c r="D66" s="65" t="n"/>
      <c r="E66" s="65" t="n"/>
      <c r="F66" s="126" t="n"/>
      <c r="G66" s="14" t="n"/>
      <c r="H66" s="127" t="n"/>
      <c r="I66" s="128" t="n"/>
      <c r="J66" s="129" t="n"/>
      <c r="K66" s="88" t="n"/>
    </row>
    <row r="67" ht="15.75" customHeight="1" s="209">
      <c r="B67" s="64" t="n"/>
      <c r="C67" s="68" t="n"/>
      <c r="D67" s="69" t="n"/>
      <c r="E67" s="69" t="n"/>
      <c r="F67" s="130" t="n"/>
      <c r="G67" s="23" t="n"/>
      <c r="H67" s="131" t="n"/>
      <c r="I67" s="132" t="n"/>
      <c r="J67" s="133" t="n"/>
      <c r="K67" s="95" t="n"/>
    </row>
    <row r="68" ht="15.75" customHeight="1" s="209">
      <c r="B68" s="64" t="n"/>
      <c r="C68" s="66" t="n"/>
      <c r="D68" s="65" t="n"/>
      <c r="E68" s="65" t="n"/>
      <c r="F68" s="126" t="n"/>
      <c r="G68" s="14" t="n"/>
      <c r="H68" s="127" t="n"/>
      <c r="I68" s="128" t="n"/>
      <c r="J68" s="129" t="n"/>
      <c r="K68" s="88" t="n"/>
    </row>
    <row r="69" ht="15.75" customHeight="1" s="209">
      <c r="B69" s="64" t="n"/>
      <c r="C69" s="68" t="n"/>
      <c r="D69" s="69" t="n"/>
      <c r="E69" s="69" t="n"/>
      <c r="F69" s="130" t="n"/>
      <c r="G69" s="23" t="n"/>
      <c r="H69" s="131" t="n"/>
      <c r="I69" s="132" t="n"/>
      <c r="J69" s="133" t="n"/>
      <c r="K69" s="95" t="n"/>
    </row>
    <row r="70" ht="15.75" customHeight="1" s="209">
      <c r="B70" s="64" t="n"/>
      <c r="C70" s="66" t="n"/>
      <c r="D70" s="65" t="n"/>
      <c r="E70" s="65" t="n"/>
      <c r="F70" s="126" t="n"/>
      <c r="G70" s="14" t="n"/>
      <c r="H70" s="127" t="n"/>
      <c r="I70" s="128" t="n"/>
      <c r="J70" s="129" t="n"/>
      <c r="K70" s="88" t="n"/>
    </row>
    <row r="71" ht="15.75" customHeight="1" s="209">
      <c r="B71" s="64" t="n"/>
      <c r="C71" s="68" t="n"/>
      <c r="D71" s="69" t="n"/>
      <c r="E71" s="69" t="n"/>
      <c r="F71" s="130" t="n"/>
      <c r="G71" s="23" t="n"/>
      <c r="H71" s="131" t="n"/>
      <c r="I71" s="132" t="n"/>
      <c r="J71" s="133" t="n"/>
      <c r="K71" s="95" t="n"/>
    </row>
    <row r="72" ht="15.75" customHeight="1" s="209">
      <c r="B72" s="64" t="n"/>
      <c r="C72" s="66" t="n"/>
      <c r="D72" s="65" t="n"/>
      <c r="E72" s="65" t="n"/>
      <c r="F72" s="126" t="n"/>
      <c r="G72" s="14" t="n"/>
      <c r="H72" s="127" t="n"/>
      <c r="I72" s="128" t="n"/>
      <c r="J72" s="129" t="n"/>
      <c r="K72" s="88" t="n"/>
    </row>
    <row r="73" ht="15.75" customHeight="1" s="209">
      <c r="B73" s="64" t="n"/>
      <c r="C73" s="68" t="n"/>
      <c r="D73" s="69" t="n"/>
      <c r="E73" s="69" t="n"/>
      <c r="F73" s="130" t="n"/>
      <c r="G73" s="23" t="n"/>
      <c r="H73" s="131" t="n"/>
      <c r="I73" s="132" t="n"/>
      <c r="J73" s="133" t="n"/>
      <c r="K73" s="95" t="n"/>
    </row>
    <row r="74" ht="15.75" customHeight="1" s="209">
      <c r="B74" s="64" t="n"/>
      <c r="C74" s="66" t="n"/>
      <c r="D74" s="65" t="n"/>
      <c r="E74" s="65" t="n"/>
      <c r="F74" s="126" t="n"/>
      <c r="G74" s="14" t="n"/>
      <c r="H74" s="127" t="n"/>
      <c r="I74" s="128" t="n"/>
      <c r="J74" s="129" t="n"/>
      <c r="K74" s="88" t="n"/>
    </row>
    <row r="75" ht="15.75" customHeight="1" s="209">
      <c r="B75" s="64" t="n"/>
      <c r="C75" s="68" t="n"/>
      <c r="D75" s="69" t="n"/>
      <c r="E75" s="69" t="n"/>
      <c r="F75" s="130" t="n"/>
      <c r="G75" s="23" t="n"/>
      <c r="H75" s="131" t="n"/>
      <c r="I75" s="132" t="n"/>
      <c r="J75" s="133" t="n"/>
      <c r="K75" s="95" t="n"/>
    </row>
    <row r="76" ht="15.75" customHeight="1" s="209">
      <c r="B76" s="64" t="n"/>
      <c r="C76" s="66" t="n"/>
      <c r="D76" s="65" t="n"/>
      <c r="E76" s="65" t="n"/>
      <c r="F76" s="126" t="n"/>
      <c r="G76" s="14" t="n"/>
      <c r="H76" s="127" t="n"/>
      <c r="I76" s="128" t="n"/>
      <c r="J76" s="129" t="n"/>
      <c r="K76" s="88" t="n"/>
    </row>
    <row r="77" ht="15.75" customHeight="1" s="209">
      <c r="B77" s="64" t="n"/>
      <c r="C77" s="68" t="n"/>
      <c r="D77" s="69" t="n"/>
      <c r="E77" s="69" t="n"/>
      <c r="F77" s="130" t="n"/>
      <c r="G77" s="23" t="n"/>
      <c r="H77" s="131" t="n"/>
      <c r="I77" s="132" t="n"/>
      <c r="J77" s="133" t="n"/>
      <c r="K77" s="95" t="n"/>
    </row>
    <row r="78" ht="15.75" customHeight="1" s="209">
      <c r="B78" s="64" t="n"/>
      <c r="C78" s="66" t="n"/>
      <c r="D78" s="65" t="n"/>
      <c r="E78" s="65" t="n"/>
      <c r="F78" s="126" t="n"/>
      <c r="G78" s="14" t="n"/>
      <c r="H78" s="127" t="n"/>
      <c r="I78" s="128" t="n"/>
      <c r="J78" s="129" t="n"/>
      <c r="K78" s="88" t="n"/>
    </row>
    <row r="79" ht="15.75" customHeight="1" s="209">
      <c r="B79" s="64" t="n"/>
      <c r="C79" s="68" t="n"/>
      <c r="D79" s="69" t="n"/>
      <c r="E79" s="69" t="n"/>
      <c r="F79" s="130" t="n"/>
      <c r="G79" s="23" t="n"/>
      <c r="H79" s="131" t="n"/>
      <c r="I79" s="132" t="n"/>
      <c r="J79" s="133" t="n"/>
      <c r="K79" s="95" t="n"/>
    </row>
    <row r="80" ht="15.75" customHeight="1" s="209">
      <c r="B80" s="64" t="n"/>
      <c r="C80" s="66" t="n"/>
      <c r="D80" s="65" t="n"/>
      <c r="E80" s="65" t="n"/>
      <c r="F80" s="126" t="n"/>
      <c r="G80" s="14" t="n"/>
      <c r="H80" s="127" t="n"/>
      <c r="I80" s="128" t="n"/>
      <c r="J80" s="129" t="n"/>
      <c r="K80" s="88" t="n"/>
    </row>
    <row r="81" ht="15.75" customHeight="1" s="209">
      <c r="B81" s="64" t="n"/>
      <c r="C81" s="68" t="n"/>
      <c r="D81" s="69" t="n"/>
      <c r="E81" s="69" t="n"/>
      <c r="F81" s="130" t="n"/>
      <c r="G81" s="23" t="n"/>
      <c r="H81" s="131" t="n"/>
      <c r="I81" s="132" t="n"/>
      <c r="J81" s="133" t="n"/>
      <c r="K81" s="95" t="n"/>
    </row>
    <row r="82" ht="15.75" customHeight="1" s="209">
      <c r="B82" s="64" t="n"/>
      <c r="C82" s="66" t="n"/>
      <c r="D82" s="65" t="n"/>
      <c r="E82" s="65" t="n"/>
      <c r="F82" s="126" t="n"/>
      <c r="G82" s="14" t="n"/>
      <c r="H82" s="127" t="n"/>
      <c r="I82" s="128" t="n"/>
      <c r="J82" s="129" t="n"/>
      <c r="K82" s="88" t="n"/>
    </row>
    <row r="83" ht="15.75" customHeight="1" s="209">
      <c r="B83" s="64" t="n"/>
      <c r="C83" s="68" t="n"/>
      <c r="D83" s="69" t="n"/>
      <c r="E83" s="69" t="n"/>
      <c r="F83" s="130" t="n"/>
      <c r="G83" s="23" t="n"/>
      <c r="H83" s="131" t="n"/>
      <c r="I83" s="132" t="n"/>
      <c r="J83" s="133" t="n"/>
      <c r="K83" s="95" t="n"/>
    </row>
    <row r="84" ht="15.75" customHeight="1" s="209">
      <c r="B84" s="64" t="n"/>
      <c r="C84" s="66" t="n"/>
      <c r="D84" s="65" t="n"/>
      <c r="E84" s="65" t="n"/>
      <c r="F84" s="126" t="n"/>
      <c r="G84" s="14" t="n"/>
      <c r="H84" s="127" t="n"/>
      <c r="I84" s="128" t="n"/>
      <c r="J84" s="129" t="n"/>
      <c r="K84" s="88" t="n"/>
    </row>
    <row r="85" ht="15.75" customHeight="1" s="209">
      <c r="B85" s="64" t="n"/>
      <c r="C85" s="68" t="n"/>
      <c r="D85" s="69" t="n"/>
      <c r="E85" s="69" t="n"/>
      <c r="F85" s="130" t="n"/>
      <c r="G85" s="23" t="n"/>
      <c r="H85" s="131" t="n"/>
      <c r="I85" s="132" t="n"/>
      <c r="J85" s="133" t="n"/>
      <c r="K85" s="95" t="n"/>
    </row>
    <row r="86" ht="15.75" customHeight="1" s="209">
      <c r="B86" s="64" t="n"/>
      <c r="C86" s="66" t="n"/>
      <c r="D86" s="65" t="n"/>
      <c r="E86" s="65" t="n"/>
      <c r="F86" s="126" t="n"/>
      <c r="G86" s="14" t="n"/>
      <c r="H86" s="127" t="n"/>
      <c r="I86" s="128" t="n"/>
      <c r="J86" s="129" t="n"/>
      <c r="K86" s="88" t="n"/>
    </row>
    <row r="87" ht="15.75" customHeight="1" s="209">
      <c r="B87" s="64" t="n"/>
      <c r="C87" s="68" t="n"/>
      <c r="D87" s="69" t="n"/>
      <c r="E87" s="69" t="n"/>
      <c r="F87" s="130" t="n"/>
      <c r="G87" s="23" t="n"/>
      <c r="H87" s="131" t="n"/>
      <c r="I87" s="132" t="n"/>
      <c r="J87" s="133" t="n"/>
      <c r="K87" s="95" t="n"/>
    </row>
    <row r="88" ht="15.75" customHeight="1" s="209">
      <c r="B88" s="64" t="n"/>
      <c r="C88" s="66" t="n"/>
      <c r="D88" s="65" t="n"/>
      <c r="E88" s="65" t="n"/>
      <c r="F88" s="126" t="n"/>
      <c r="G88" s="14" t="n"/>
      <c r="H88" s="127" t="n"/>
      <c r="I88" s="128" t="n"/>
      <c r="J88" s="129" t="n"/>
      <c r="K88" s="88" t="n"/>
    </row>
    <row r="89" ht="15.75" customHeight="1" s="209">
      <c r="B89" s="64" t="n"/>
      <c r="C89" s="68" t="n"/>
      <c r="D89" s="69" t="n"/>
      <c r="E89" s="69" t="n"/>
      <c r="F89" s="130" t="n"/>
      <c r="G89" s="23" t="n"/>
      <c r="H89" s="131" t="n"/>
      <c r="I89" s="132" t="n"/>
      <c r="J89" s="133" t="n"/>
      <c r="K89" s="95" t="n"/>
    </row>
    <row r="90" ht="15.75" customHeight="1" s="209">
      <c r="B90" s="64" t="n"/>
      <c r="C90" s="66" t="n"/>
      <c r="D90" s="65" t="n"/>
      <c r="E90" s="65" t="n"/>
      <c r="F90" s="126" t="n"/>
      <c r="G90" s="14" t="n"/>
      <c r="H90" s="127" t="n"/>
      <c r="I90" s="128" t="n"/>
      <c r="J90" s="129" t="n"/>
      <c r="K90" s="88" t="n"/>
    </row>
    <row r="91" ht="15.75" customHeight="1" s="209">
      <c r="B91" s="64" t="n"/>
      <c r="C91" s="68" t="n"/>
      <c r="D91" s="69" t="n"/>
      <c r="E91" s="69" t="n"/>
      <c r="F91" s="130" t="n"/>
      <c r="G91" s="23" t="n"/>
      <c r="H91" s="131" t="n"/>
      <c r="I91" s="132" t="n"/>
      <c r="J91" s="133" t="n"/>
      <c r="K91" s="95" t="n"/>
    </row>
    <row r="92" ht="15.75" customHeight="1" s="209">
      <c r="B92" s="64" t="n"/>
      <c r="C92" s="66" t="n"/>
      <c r="D92" s="65" t="n"/>
      <c r="E92" s="65" t="n"/>
      <c r="F92" s="126" t="n"/>
      <c r="G92" s="14" t="n"/>
      <c r="H92" s="127" t="n"/>
      <c r="I92" s="128" t="n"/>
      <c r="J92" s="129" t="n"/>
      <c r="K92" s="88" t="n"/>
    </row>
    <row r="93" ht="15.75" customHeight="1" s="209">
      <c r="B93" s="64" t="n"/>
      <c r="C93" s="68" t="n"/>
      <c r="D93" s="69" t="n"/>
      <c r="E93" s="69" t="n"/>
      <c r="F93" s="130" t="n"/>
      <c r="G93" s="23" t="n"/>
      <c r="H93" s="131" t="n"/>
      <c r="I93" s="132" t="n"/>
      <c r="J93" s="133" t="n"/>
      <c r="K93" s="95" t="n"/>
    </row>
    <row r="94" ht="15.75" customHeight="1" s="209">
      <c r="B94" s="64" t="n"/>
      <c r="C94" s="66" t="n"/>
      <c r="D94" s="65" t="n"/>
      <c r="E94" s="65" t="n"/>
      <c r="F94" s="126" t="n"/>
      <c r="G94" s="14" t="n"/>
      <c r="H94" s="127" t="n"/>
      <c r="I94" s="128" t="n"/>
      <c r="J94" s="129" t="n"/>
      <c r="K94" s="88" t="n"/>
    </row>
    <row r="95" ht="15.75" customHeight="1" s="209">
      <c r="B95" s="64" t="n"/>
      <c r="C95" s="68" t="n"/>
      <c r="D95" s="69" t="n"/>
      <c r="E95" s="69" t="n"/>
      <c r="F95" s="130" t="n"/>
      <c r="G95" s="23" t="n"/>
      <c r="H95" s="131" t="n"/>
      <c r="I95" s="132" t="n"/>
      <c r="J95" s="133" t="n"/>
      <c r="K95" s="95" t="n"/>
    </row>
    <row r="96" ht="15.75" customHeight="1" s="209">
      <c r="B96" s="64" t="n"/>
      <c r="C96" s="66" t="n"/>
      <c r="D96" s="65" t="n"/>
      <c r="E96" s="65" t="n"/>
      <c r="F96" s="126" t="n"/>
      <c r="G96" s="14" t="n"/>
      <c r="H96" s="127" t="n"/>
      <c r="I96" s="128" t="n"/>
      <c r="J96" s="129" t="n"/>
      <c r="K96" s="88" t="n"/>
    </row>
    <row r="97" ht="15.75" customHeight="1" s="209">
      <c r="B97" s="64" t="n"/>
      <c r="C97" s="68" t="n"/>
      <c r="D97" s="69" t="n"/>
      <c r="E97" s="69" t="n"/>
      <c r="F97" s="130" t="n"/>
      <c r="G97" s="23" t="n"/>
      <c r="H97" s="131" t="n"/>
      <c r="I97" s="132" t="n"/>
      <c r="J97" s="133" t="n"/>
      <c r="K97" s="95" t="n"/>
    </row>
    <row r="98" ht="15.75" customHeight="1" s="209">
      <c r="B98" s="64" t="n"/>
      <c r="C98" s="66" t="n"/>
      <c r="D98" s="65" t="n"/>
      <c r="E98" s="65" t="n"/>
      <c r="F98" s="126" t="n"/>
      <c r="G98" s="14" t="n"/>
      <c r="H98" s="127" t="n"/>
      <c r="I98" s="128" t="n"/>
      <c r="J98" s="129" t="n"/>
      <c r="K98" s="88" t="n"/>
    </row>
    <row r="99" ht="15.75" customHeight="1" s="209">
      <c r="B99" s="64" t="n"/>
      <c r="C99" s="68" t="n"/>
      <c r="D99" s="69" t="n"/>
      <c r="E99" s="69" t="n"/>
      <c r="F99" s="130" t="n"/>
      <c r="G99" s="23" t="n"/>
      <c r="H99" s="131" t="n"/>
      <c r="I99" s="132" t="n"/>
      <c r="J99" s="133" t="n"/>
      <c r="K99" s="95" t="n"/>
    </row>
    <row r="100" ht="15.75" customHeight="1" s="209">
      <c r="B100" s="64" t="n"/>
      <c r="C100" s="66" t="n"/>
      <c r="D100" s="65" t="n"/>
      <c r="E100" s="65" t="n"/>
      <c r="F100" s="126" t="n"/>
      <c r="G100" s="14" t="n"/>
      <c r="H100" s="127" t="n"/>
      <c r="I100" s="128" t="n"/>
      <c r="J100" s="129" t="n"/>
      <c r="K100" s="88" t="n"/>
    </row>
    <row r="101" ht="15.75" customHeight="1" s="209">
      <c r="B101" s="64" t="n"/>
      <c r="C101" s="68" t="n"/>
      <c r="D101" s="69" t="n"/>
      <c r="E101" s="69" t="n"/>
      <c r="F101" s="130" t="n"/>
      <c r="G101" s="23" t="n"/>
      <c r="H101" s="131" t="n"/>
      <c r="I101" s="132" t="n"/>
      <c r="J101" s="133" t="n"/>
      <c r="K101" s="95" t="n"/>
    </row>
    <row r="102" ht="15.75" customHeight="1" s="209">
      <c r="B102" s="64" t="n"/>
      <c r="C102" s="66" t="n"/>
      <c r="D102" s="65" t="n"/>
      <c r="E102" s="65" t="n"/>
      <c r="F102" s="126" t="n"/>
      <c r="G102" s="14" t="n"/>
      <c r="H102" s="127" t="n"/>
      <c r="I102" s="128" t="n"/>
      <c r="J102" s="129" t="n"/>
      <c r="K102" s="88" t="n"/>
    </row>
    <row r="103" ht="15.75" customHeight="1" s="209">
      <c r="B103" s="64" t="n"/>
      <c r="C103" s="68" t="n"/>
      <c r="D103" s="69" t="n"/>
      <c r="E103" s="69" t="n"/>
      <c r="F103" s="130" t="n"/>
      <c r="G103" s="23" t="n"/>
      <c r="H103" s="131" t="n"/>
      <c r="I103" s="132" t="n"/>
      <c r="J103" s="133" t="n"/>
      <c r="K103" s="95" t="n"/>
    </row>
    <row r="104" ht="15.75" customHeight="1" s="209">
      <c r="B104" s="64" t="n"/>
      <c r="C104" s="66" t="n"/>
      <c r="D104" s="65" t="n"/>
      <c r="E104" s="65" t="n"/>
      <c r="F104" s="126" t="n"/>
      <c r="G104" s="14" t="n"/>
      <c r="H104" s="127" t="n"/>
      <c r="I104" s="128" t="n"/>
      <c r="J104" s="129" t="n"/>
      <c r="K104" s="88" t="n"/>
    </row>
    <row r="105" ht="15.75" customHeight="1" s="209">
      <c r="B105" s="64" t="n"/>
      <c r="C105" s="68" t="n"/>
      <c r="D105" s="69" t="n"/>
      <c r="E105" s="69" t="n"/>
      <c r="F105" s="130" t="n"/>
      <c r="G105" s="23" t="n"/>
      <c r="H105" s="131" t="n"/>
      <c r="I105" s="132" t="n"/>
      <c r="J105" s="133" t="n"/>
      <c r="K105" s="95" t="n"/>
    </row>
    <row r="106" ht="15.75" customHeight="1" s="209">
      <c r="B106" s="64" t="n"/>
      <c r="C106" s="66" t="n"/>
      <c r="D106" s="65" t="n"/>
      <c r="E106" s="65" t="n"/>
      <c r="F106" s="126" t="n"/>
      <c r="G106" s="14" t="n"/>
      <c r="H106" s="127" t="n"/>
      <c r="I106" s="128" t="n"/>
      <c r="J106" s="129" t="n"/>
      <c r="K106" s="88" t="n"/>
    </row>
    <row r="107" ht="15.75" customHeight="1" s="209">
      <c r="B107" s="64" t="n"/>
      <c r="C107" s="68" t="n"/>
      <c r="D107" s="69" t="n"/>
      <c r="E107" s="69" t="n"/>
      <c r="F107" s="130" t="n"/>
      <c r="G107" s="23" t="n"/>
      <c r="H107" s="131" t="n"/>
      <c r="I107" s="132" t="n"/>
      <c r="J107" s="133" t="n"/>
      <c r="K107" s="95" t="n"/>
    </row>
    <row r="108" ht="15.75" customHeight="1" s="209">
      <c r="B108" s="64" t="n"/>
      <c r="C108" s="66" t="n"/>
      <c r="D108" s="65" t="n"/>
      <c r="E108" s="65" t="n"/>
      <c r="F108" s="126" t="n"/>
      <c r="G108" s="14" t="n"/>
      <c r="H108" s="127" t="n"/>
      <c r="I108" s="128" t="n"/>
      <c r="J108" s="129" t="n"/>
      <c r="K108" s="88" t="n"/>
    </row>
    <row r="109" ht="15.75" customHeight="1" s="209">
      <c r="B109" s="64" t="n"/>
      <c r="C109" s="68" t="n"/>
      <c r="D109" s="69" t="n"/>
      <c r="E109" s="69" t="n"/>
      <c r="F109" s="130" t="n"/>
      <c r="G109" s="23" t="n"/>
      <c r="H109" s="131" t="n"/>
      <c r="I109" s="132" t="n"/>
      <c r="J109" s="133" t="n"/>
      <c r="K109" s="95" t="n"/>
    </row>
    <row r="110" ht="15.75" customHeight="1" s="209">
      <c r="B110" s="64" t="n"/>
      <c r="C110" s="66" t="n"/>
      <c r="D110" s="65" t="n"/>
      <c r="E110" s="65" t="n"/>
      <c r="F110" s="126" t="n"/>
      <c r="G110" s="14" t="n"/>
      <c r="H110" s="127" t="n"/>
      <c r="I110" s="128" t="n"/>
      <c r="J110" s="129" t="n"/>
      <c r="K110" s="88" t="n"/>
    </row>
    <row r="111" ht="15.75" customHeight="1" s="209">
      <c r="B111" s="64" t="n"/>
      <c r="C111" s="68" t="n"/>
      <c r="D111" s="69" t="n"/>
      <c r="E111" s="69" t="n"/>
      <c r="F111" s="130" t="n"/>
      <c r="G111" s="23" t="n"/>
      <c r="H111" s="131" t="n"/>
      <c r="I111" s="132" t="n"/>
      <c r="J111" s="133" t="n"/>
      <c r="K111" s="95" t="n"/>
    </row>
    <row r="112" ht="15.75" customHeight="1" s="209">
      <c r="B112" s="64" t="n"/>
      <c r="C112" s="66" t="n"/>
      <c r="D112" s="65" t="n"/>
      <c r="E112" s="65" t="n"/>
      <c r="F112" s="126" t="n"/>
      <c r="G112" s="14" t="n"/>
      <c r="H112" s="127" t="n"/>
      <c r="I112" s="128" t="n"/>
      <c r="J112" s="129" t="n"/>
      <c r="K112" s="88" t="n"/>
    </row>
    <row r="113" ht="15.75" customHeight="1" s="209">
      <c r="B113" s="64" t="n"/>
      <c r="C113" s="68" t="n"/>
      <c r="D113" s="69" t="n"/>
      <c r="E113" s="69" t="n"/>
      <c r="F113" s="130" t="n"/>
      <c r="G113" s="23" t="n"/>
      <c r="H113" s="131" t="n"/>
      <c r="I113" s="132" t="n"/>
      <c r="J113" s="133" t="n"/>
      <c r="K113" s="95" t="n"/>
    </row>
    <row r="114" ht="15.75" customHeight="1" s="209">
      <c r="B114" s="64" t="n"/>
      <c r="C114" s="66" t="n"/>
      <c r="D114" s="65" t="n"/>
      <c r="E114" s="65" t="n"/>
      <c r="F114" s="126" t="n"/>
      <c r="G114" s="14" t="n"/>
      <c r="H114" s="127" t="n"/>
      <c r="I114" s="128" t="n"/>
      <c r="J114" s="129" t="n"/>
      <c r="K114" s="88" t="n"/>
    </row>
    <row r="115" ht="15.75" customHeight="1" s="209">
      <c r="B115" s="64" t="n"/>
      <c r="C115" s="68" t="n"/>
      <c r="D115" s="69" t="n"/>
      <c r="E115" s="69" t="n"/>
      <c r="F115" s="130" t="n"/>
      <c r="G115" s="23" t="n"/>
      <c r="H115" s="131" t="n"/>
      <c r="I115" s="132" t="n"/>
      <c r="J115" s="133" t="n"/>
      <c r="K115" s="95" t="n"/>
    </row>
    <row r="116" ht="15.75" customHeight="1" s="209">
      <c r="B116" s="64" t="n"/>
      <c r="C116" s="66" t="n"/>
      <c r="D116" s="65" t="n"/>
      <c r="E116" s="65" t="n"/>
      <c r="F116" s="126" t="n"/>
      <c r="G116" s="14" t="n"/>
      <c r="H116" s="127" t="n"/>
      <c r="I116" s="128" t="n"/>
      <c r="J116" s="129" t="n"/>
      <c r="K116" s="88" t="n"/>
    </row>
    <row r="117" ht="15.75" customHeight="1" s="209">
      <c r="B117" s="64" t="n"/>
      <c r="C117" s="68" t="n"/>
      <c r="D117" s="69" t="n"/>
      <c r="E117" s="69" t="n"/>
      <c r="F117" s="130" t="n"/>
      <c r="G117" s="23" t="n"/>
      <c r="H117" s="131" t="n"/>
      <c r="I117" s="132" t="n"/>
      <c r="J117" s="133" t="n"/>
      <c r="K117" s="95" t="n"/>
    </row>
    <row r="118" ht="15.75" customHeight="1" s="209">
      <c r="B118" s="64" t="n"/>
      <c r="C118" s="66" t="n"/>
      <c r="D118" s="65" t="n"/>
      <c r="E118" s="65" t="n"/>
      <c r="F118" s="126" t="n"/>
      <c r="G118" s="14" t="n"/>
      <c r="H118" s="127" t="n"/>
      <c r="I118" s="128" t="n"/>
      <c r="J118" s="129" t="n"/>
      <c r="K118" s="88" t="n"/>
    </row>
    <row r="119" ht="15.75" customHeight="1" s="209">
      <c r="B119" s="64" t="n"/>
      <c r="C119" s="68" t="n"/>
      <c r="D119" s="69" t="n"/>
      <c r="E119" s="69" t="n"/>
      <c r="F119" s="130" t="n"/>
      <c r="G119" s="23" t="n"/>
      <c r="H119" s="131" t="n"/>
      <c r="I119" s="132" t="n"/>
      <c r="J119" s="133" t="n"/>
      <c r="K119" s="95" t="n"/>
    </row>
    <row r="120" ht="15.75" customHeight="1" s="209">
      <c r="B120" s="64" t="n"/>
      <c r="C120" s="66" t="n"/>
      <c r="D120" s="65" t="n"/>
      <c r="E120" s="65" t="n"/>
      <c r="F120" s="126" t="n"/>
      <c r="G120" s="14" t="n"/>
      <c r="H120" s="127" t="n"/>
      <c r="I120" s="128" t="n"/>
      <c r="J120" s="129" t="n"/>
      <c r="K120" s="88" t="n"/>
    </row>
    <row r="121" ht="15.75" customHeight="1" s="209">
      <c r="B121" s="64" t="n"/>
      <c r="C121" s="68" t="n"/>
      <c r="D121" s="69" t="n"/>
      <c r="E121" s="69" t="n"/>
      <c r="F121" s="130" t="n"/>
      <c r="G121" s="23" t="n"/>
      <c r="H121" s="131" t="n"/>
      <c r="I121" s="132" t="n"/>
      <c r="J121" s="133" t="n"/>
      <c r="K121" s="95" t="n"/>
    </row>
    <row r="122" ht="15.75" customHeight="1" s="209">
      <c r="B122" s="64" t="n"/>
      <c r="C122" s="66" t="n"/>
      <c r="D122" s="65" t="n"/>
      <c r="E122" s="65" t="n"/>
      <c r="F122" s="126" t="n"/>
      <c r="G122" s="14" t="n"/>
      <c r="H122" s="127" t="n"/>
      <c r="I122" s="128" t="n"/>
      <c r="J122" s="129" t="n"/>
      <c r="K122" s="88" t="n"/>
    </row>
    <row r="123" ht="15.75" customHeight="1" s="209">
      <c r="B123" s="64" t="n"/>
      <c r="C123" s="68" t="n"/>
      <c r="D123" s="69" t="n"/>
      <c r="E123" s="69" t="n"/>
      <c r="F123" s="130" t="n"/>
      <c r="G123" s="23" t="n"/>
      <c r="H123" s="131" t="n"/>
      <c r="I123" s="132" t="n"/>
      <c r="J123" s="133" t="n"/>
      <c r="K123" s="95" t="n"/>
    </row>
    <row r="124" ht="15.75" customHeight="1" s="209">
      <c r="B124" s="64" t="n"/>
      <c r="C124" s="66" t="n"/>
      <c r="D124" s="65" t="n"/>
      <c r="E124" s="65" t="n"/>
      <c r="F124" s="126" t="n"/>
      <c r="G124" s="14" t="n"/>
      <c r="H124" s="127" t="n"/>
      <c r="I124" s="128" t="n"/>
      <c r="J124" s="129" t="n"/>
      <c r="K124" s="88" t="n"/>
    </row>
    <row r="125" ht="15.75" customHeight="1" s="209">
      <c r="B125" s="64" t="n"/>
      <c r="C125" s="68" t="n"/>
      <c r="D125" s="69" t="n"/>
      <c r="E125" s="69" t="n"/>
      <c r="F125" s="130" t="n"/>
      <c r="G125" s="23" t="n"/>
      <c r="H125" s="131" t="n"/>
      <c r="I125" s="132" t="n"/>
      <c r="J125" s="133" t="n"/>
      <c r="K125" s="95" t="n"/>
    </row>
    <row r="126" ht="15.75" customHeight="1" s="209">
      <c r="B126" s="64" t="n"/>
      <c r="C126" s="66" t="n"/>
      <c r="D126" s="65" t="n"/>
      <c r="E126" s="65" t="n"/>
      <c r="F126" s="126" t="n"/>
      <c r="G126" s="14" t="n"/>
      <c r="H126" s="127" t="n"/>
      <c r="I126" s="128" t="n"/>
      <c r="J126" s="129" t="n"/>
      <c r="K126" s="88" t="n"/>
    </row>
    <row r="127" ht="15.75" customHeight="1" s="209">
      <c r="B127" s="64" t="n"/>
      <c r="C127" s="68" t="n"/>
      <c r="D127" s="69" t="n"/>
      <c r="E127" s="69" t="n"/>
      <c r="F127" s="130" t="n"/>
      <c r="G127" s="23" t="n"/>
      <c r="H127" s="131" t="n"/>
      <c r="I127" s="132" t="n"/>
      <c r="J127" s="133" t="n"/>
      <c r="K127" s="95" t="n"/>
    </row>
    <row r="128" ht="15.75" customHeight="1" s="209">
      <c r="B128" s="64" t="n"/>
      <c r="C128" s="66" t="n"/>
      <c r="D128" s="65" t="n"/>
      <c r="E128" s="65" t="n"/>
      <c r="F128" s="126" t="n"/>
      <c r="G128" s="14" t="n"/>
      <c r="H128" s="127" t="n"/>
      <c r="I128" s="128" t="n"/>
      <c r="J128" s="129" t="n"/>
      <c r="K128" s="88" t="n"/>
    </row>
    <row r="129" ht="15.75" customHeight="1" s="209">
      <c r="B129" s="64" t="n"/>
      <c r="C129" s="68" t="n"/>
      <c r="D129" s="69" t="n"/>
      <c r="E129" s="69" t="n"/>
      <c r="F129" s="130" t="n"/>
      <c r="G129" s="23" t="n"/>
      <c r="H129" s="131" t="n"/>
      <c r="I129" s="132" t="n"/>
      <c r="J129" s="133" t="n"/>
      <c r="K129" s="95" t="n"/>
    </row>
    <row r="130" ht="15.75" customHeight="1" s="209">
      <c r="B130" s="64" t="n"/>
      <c r="C130" s="66" t="n"/>
      <c r="D130" s="65" t="n"/>
      <c r="E130" s="65" t="n"/>
      <c r="F130" s="126" t="n"/>
      <c r="G130" s="14" t="n"/>
      <c r="H130" s="127" t="n"/>
      <c r="I130" s="128" t="n"/>
      <c r="J130" s="129" t="n"/>
      <c r="K130" s="88" t="n"/>
    </row>
    <row r="131" ht="15.75" customHeight="1" s="209">
      <c r="B131" s="64" t="n"/>
      <c r="C131" s="68" t="n"/>
      <c r="D131" s="69" t="n"/>
      <c r="E131" s="69" t="n"/>
      <c r="F131" s="130" t="n"/>
      <c r="G131" s="23" t="n"/>
      <c r="H131" s="131" t="n"/>
      <c r="I131" s="132" t="n"/>
      <c r="J131" s="133" t="n"/>
      <c r="K131" s="95" t="n"/>
    </row>
    <row r="132" ht="15.75" customHeight="1" s="209">
      <c r="B132" s="64" t="n"/>
      <c r="C132" s="66" t="n"/>
      <c r="D132" s="65" t="n"/>
      <c r="E132" s="65" t="n"/>
      <c r="F132" s="126" t="n"/>
      <c r="G132" s="14" t="n"/>
      <c r="H132" s="127" t="n"/>
      <c r="I132" s="128" t="n"/>
      <c r="J132" s="129" t="n"/>
      <c r="K132" s="88" t="n"/>
    </row>
    <row r="133" ht="15.75" customHeight="1" s="209">
      <c r="B133" s="64" t="n"/>
      <c r="C133" s="68" t="n"/>
      <c r="D133" s="69" t="n"/>
      <c r="E133" s="69" t="n"/>
      <c r="F133" s="130" t="n"/>
      <c r="G133" s="23" t="n"/>
      <c r="H133" s="131" t="n"/>
      <c r="I133" s="132" t="n"/>
      <c r="J133" s="133" t="n"/>
      <c r="K133" s="95" t="n"/>
    </row>
    <row r="134" ht="15.75" customHeight="1" s="209">
      <c r="B134" s="64" t="n"/>
      <c r="C134" s="66" t="n"/>
      <c r="D134" s="65" t="n"/>
      <c r="E134" s="65" t="n"/>
      <c r="F134" s="126" t="n"/>
      <c r="G134" s="14" t="n"/>
      <c r="H134" s="127" t="n"/>
      <c r="I134" s="128" t="n"/>
      <c r="J134" s="129" t="n"/>
      <c r="K134" s="88" t="n"/>
    </row>
    <row r="135" ht="15.75" customHeight="1" s="209">
      <c r="B135" s="64" t="n"/>
      <c r="C135" s="68" t="n"/>
      <c r="D135" s="69" t="n"/>
      <c r="E135" s="69" t="n"/>
      <c r="F135" s="130" t="n"/>
      <c r="G135" s="23" t="n"/>
      <c r="H135" s="131" t="n"/>
      <c r="I135" s="132" t="n"/>
      <c r="J135" s="133" t="n"/>
      <c r="K135" s="95" t="n"/>
    </row>
    <row r="136" ht="15.75" customHeight="1" s="209">
      <c r="B136" s="64" t="n"/>
      <c r="C136" s="66" t="n"/>
      <c r="D136" s="65" t="n"/>
      <c r="E136" s="65" t="n"/>
      <c r="F136" s="126" t="n"/>
      <c r="G136" s="14" t="n"/>
      <c r="H136" s="127" t="n"/>
      <c r="I136" s="128" t="n"/>
      <c r="J136" s="129" t="n"/>
      <c r="K136" s="88" t="n"/>
    </row>
    <row r="137" ht="15.75" customHeight="1" s="209">
      <c r="B137" s="64" t="n"/>
      <c r="C137" s="68" t="n"/>
      <c r="D137" s="69" t="n"/>
      <c r="E137" s="69" t="n"/>
      <c r="F137" s="130" t="n"/>
      <c r="G137" s="23" t="n"/>
      <c r="H137" s="131" t="n"/>
      <c r="I137" s="132" t="n"/>
      <c r="J137" s="133" t="n"/>
      <c r="K137" s="95" t="n"/>
    </row>
    <row r="138" ht="15.75" customHeight="1" s="209">
      <c r="B138" s="64" t="n"/>
      <c r="C138" s="66" t="n"/>
      <c r="D138" s="65" t="n"/>
      <c r="E138" s="65" t="n"/>
      <c r="F138" s="126" t="n"/>
      <c r="G138" s="14" t="n"/>
      <c r="H138" s="127" t="n"/>
      <c r="I138" s="128" t="n"/>
      <c r="J138" s="129" t="n"/>
      <c r="K138" s="88" t="n"/>
    </row>
    <row r="139" ht="15.75" customHeight="1" s="209">
      <c r="B139" s="64" t="n"/>
      <c r="C139" s="68" t="n"/>
      <c r="D139" s="69" t="n"/>
      <c r="E139" s="69" t="n"/>
      <c r="F139" s="130" t="n"/>
      <c r="G139" s="23" t="n"/>
      <c r="H139" s="131" t="n"/>
      <c r="I139" s="132" t="n"/>
      <c r="J139" s="133" t="n"/>
      <c r="K139" s="95" t="n"/>
    </row>
    <row r="140" ht="15.75" customHeight="1" s="209">
      <c r="B140" s="64" t="n"/>
      <c r="C140" s="66" t="n"/>
      <c r="D140" s="65" t="n"/>
      <c r="E140" s="65" t="n"/>
      <c r="F140" s="126" t="n"/>
      <c r="G140" s="14" t="n"/>
      <c r="H140" s="127" t="n"/>
      <c r="I140" s="128" t="n"/>
      <c r="J140" s="129" t="n"/>
      <c r="K140" s="88" t="n"/>
    </row>
    <row r="141" ht="15.75" customHeight="1" s="209">
      <c r="B141" s="64" t="n"/>
      <c r="C141" s="68" t="n"/>
      <c r="D141" s="69" t="n"/>
      <c r="E141" s="69" t="n"/>
      <c r="F141" s="130" t="n"/>
      <c r="G141" s="23" t="n"/>
      <c r="H141" s="131" t="n"/>
      <c r="I141" s="132" t="n"/>
      <c r="J141" s="133" t="n"/>
      <c r="K141" s="95" t="n"/>
    </row>
    <row r="142" ht="15.75" customHeight="1" s="209">
      <c r="B142" s="64" t="n"/>
      <c r="C142" s="66" t="n"/>
      <c r="D142" s="65" t="n"/>
      <c r="E142" s="65" t="n"/>
      <c r="F142" s="126" t="n"/>
      <c r="G142" s="14" t="n"/>
      <c r="H142" s="127" t="n"/>
      <c r="I142" s="128" t="n"/>
      <c r="J142" s="129" t="n"/>
      <c r="K142" s="88" t="n"/>
    </row>
    <row r="143" ht="15.75" customHeight="1" s="209">
      <c r="B143" s="64" t="n"/>
      <c r="C143" s="68" t="n"/>
      <c r="D143" s="69" t="n"/>
      <c r="E143" s="69" t="n"/>
      <c r="F143" s="130" t="n"/>
      <c r="G143" s="23" t="n"/>
      <c r="H143" s="131" t="n"/>
      <c r="I143" s="132" t="n"/>
      <c r="J143" s="133" t="n"/>
      <c r="K143" s="95" t="n"/>
    </row>
    <row r="144" ht="15.75" customHeight="1" s="209">
      <c r="B144" s="64" t="n"/>
      <c r="C144" s="66" t="n"/>
      <c r="D144" s="65" t="n"/>
      <c r="E144" s="65" t="n"/>
      <c r="F144" s="126" t="n"/>
      <c r="G144" s="14" t="n"/>
      <c r="H144" s="127" t="n"/>
      <c r="I144" s="128" t="n"/>
      <c r="J144" s="129" t="n"/>
      <c r="K144" s="88" t="n"/>
    </row>
    <row r="145" ht="15.75" customHeight="1" s="209">
      <c r="B145" s="64" t="n"/>
      <c r="C145" s="68" t="n"/>
      <c r="D145" s="69" t="n"/>
      <c r="E145" s="69" t="n"/>
      <c r="F145" s="130" t="n"/>
      <c r="G145" s="23" t="n"/>
      <c r="H145" s="131" t="n"/>
      <c r="I145" s="132" t="n"/>
      <c r="J145" s="133" t="n"/>
      <c r="K145" s="95" t="n"/>
    </row>
    <row r="146" ht="15.75" customHeight="1" s="209">
      <c r="B146" s="64" t="n"/>
      <c r="C146" s="66" t="n"/>
      <c r="D146" s="65" t="n"/>
      <c r="E146" s="65" t="n"/>
      <c r="F146" s="126" t="n"/>
      <c r="G146" s="14" t="n"/>
      <c r="H146" s="127" t="n"/>
      <c r="I146" s="128" t="n"/>
      <c r="J146" s="129" t="n"/>
      <c r="K146" s="88" t="n"/>
    </row>
    <row r="147" ht="15.75" customHeight="1" s="209">
      <c r="B147" s="64" t="n"/>
      <c r="C147" s="68" t="n"/>
      <c r="D147" s="69" t="n"/>
      <c r="E147" s="69" t="n"/>
      <c r="F147" s="130" t="n"/>
      <c r="G147" s="23" t="n"/>
      <c r="H147" s="131" t="n"/>
      <c r="I147" s="132" t="n"/>
      <c r="J147" s="133" t="n"/>
      <c r="K147" s="95" t="n"/>
    </row>
    <row r="148" ht="15.75" customHeight="1" s="209">
      <c r="B148" s="64" t="n"/>
      <c r="C148" s="66" t="n"/>
      <c r="D148" s="65" t="n"/>
      <c r="E148" s="65" t="n"/>
      <c r="F148" s="126" t="n"/>
      <c r="G148" s="14" t="n"/>
      <c r="H148" s="127" t="n"/>
      <c r="I148" s="128" t="n"/>
      <c r="J148" s="129" t="n"/>
      <c r="K148" s="88" t="n"/>
    </row>
    <row r="149" ht="15.75" customHeight="1" s="209">
      <c r="B149" s="64" t="n"/>
      <c r="C149" s="68" t="n"/>
      <c r="D149" s="69" t="n"/>
      <c r="E149" s="69" t="n"/>
      <c r="F149" s="130" t="n"/>
      <c r="G149" s="23" t="n"/>
      <c r="H149" s="131" t="n"/>
      <c r="I149" s="132" t="n"/>
      <c r="J149" s="133" t="n"/>
      <c r="K149" s="95" t="n"/>
    </row>
    <row r="150" ht="15.75" customHeight="1" s="209">
      <c r="B150" s="64" t="n"/>
      <c r="C150" s="66" t="n"/>
      <c r="D150" s="65" t="n"/>
      <c r="E150" s="65" t="n"/>
      <c r="F150" s="126" t="n"/>
      <c r="G150" s="14" t="n"/>
      <c r="H150" s="127" t="n"/>
      <c r="I150" s="128" t="n"/>
      <c r="J150" s="129" t="n"/>
      <c r="K150" s="88" t="n"/>
    </row>
    <row r="151" ht="15.75" customHeight="1" s="209">
      <c r="B151" s="64" t="n"/>
      <c r="C151" s="68" t="n"/>
      <c r="D151" s="69" t="n"/>
      <c r="E151" s="69" t="n"/>
      <c r="F151" s="130" t="n"/>
      <c r="G151" s="23" t="n"/>
      <c r="H151" s="131" t="n"/>
      <c r="I151" s="132" t="n"/>
      <c r="J151" s="133" t="n"/>
      <c r="K151" s="95" t="n"/>
    </row>
    <row r="152" ht="15.75" customHeight="1" s="209">
      <c r="B152" s="64" t="n"/>
      <c r="C152" s="66" t="n"/>
      <c r="D152" s="65" t="n"/>
      <c r="E152" s="65" t="n"/>
      <c r="F152" s="126" t="n"/>
      <c r="G152" s="14" t="n"/>
      <c r="H152" s="127" t="n"/>
      <c r="I152" s="128" t="n"/>
      <c r="J152" s="129" t="n"/>
      <c r="K152" s="88" t="n"/>
    </row>
    <row r="153" ht="15.75" customHeight="1" s="209">
      <c r="B153" s="64" t="n"/>
      <c r="C153" s="68" t="n"/>
      <c r="D153" s="69" t="n"/>
      <c r="E153" s="69" t="n"/>
      <c r="F153" s="130" t="n"/>
      <c r="G153" s="23" t="n"/>
      <c r="H153" s="131" t="n"/>
      <c r="I153" s="132" t="n"/>
      <c r="J153" s="133" t="n"/>
      <c r="K153" s="95" t="n"/>
    </row>
    <row r="154" ht="15.75" customHeight="1" s="209">
      <c r="B154" s="64" t="n"/>
      <c r="C154" s="66" t="n"/>
      <c r="D154" s="65" t="n"/>
      <c r="E154" s="65" t="n"/>
      <c r="F154" s="126" t="n"/>
      <c r="G154" s="14" t="n"/>
      <c r="H154" s="127" t="n"/>
      <c r="I154" s="128" t="n"/>
      <c r="J154" s="129" t="n"/>
      <c r="K154" s="88" t="n"/>
    </row>
    <row r="155" ht="15.75" customHeight="1" s="209">
      <c r="B155" s="64" t="n"/>
      <c r="C155" s="68" t="n"/>
      <c r="D155" s="69" t="n"/>
      <c r="E155" s="69" t="n"/>
      <c r="F155" s="130" t="n"/>
      <c r="G155" s="23" t="n"/>
      <c r="H155" s="131" t="n"/>
      <c r="I155" s="132" t="n"/>
      <c r="J155" s="133" t="n"/>
      <c r="K155" s="95" t="n"/>
    </row>
    <row r="156" ht="15.75" customHeight="1" s="209">
      <c r="B156" s="64" t="n"/>
      <c r="C156" s="66" t="n"/>
      <c r="D156" s="65" t="n"/>
      <c r="E156" s="65" t="n"/>
      <c r="F156" s="126" t="n"/>
      <c r="G156" s="14" t="n"/>
      <c r="H156" s="127" t="n"/>
      <c r="I156" s="128" t="n"/>
      <c r="J156" s="129" t="n"/>
      <c r="K156" s="88" t="n"/>
    </row>
    <row r="157" ht="15.75" customHeight="1" s="209">
      <c r="B157" s="64" t="n"/>
      <c r="C157" s="68" t="n"/>
      <c r="D157" s="69" t="n"/>
      <c r="E157" s="69" t="n"/>
      <c r="F157" s="130" t="n"/>
      <c r="G157" s="23" t="n"/>
      <c r="H157" s="131" t="n"/>
      <c r="I157" s="132" t="n"/>
      <c r="J157" s="133" t="n"/>
      <c r="K157" s="95" t="n"/>
    </row>
    <row r="158" ht="15.75" customHeight="1" s="209">
      <c r="B158" s="64" t="n"/>
      <c r="C158" s="66" t="n"/>
      <c r="D158" s="65" t="n"/>
      <c r="E158" s="65" t="n"/>
      <c r="F158" s="126" t="n"/>
      <c r="G158" s="14" t="n"/>
      <c r="H158" s="127" t="n"/>
      <c r="I158" s="128" t="n"/>
      <c r="J158" s="129" t="n"/>
      <c r="K158" s="88" t="n"/>
    </row>
    <row r="159" ht="15.75" customHeight="1" s="209">
      <c r="B159" s="64" t="n"/>
      <c r="C159" s="68" t="n"/>
      <c r="D159" s="69" t="n"/>
      <c r="E159" s="69" t="n"/>
      <c r="F159" s="130" t="n"/>
      <c r="G159" s="23" t="n"/>
      <c r="H159" s="131" t="n"/>
      <c r="I159" s="132" t="n"/>
      <c r="J159" s="133" t="n"/>
      <c r="K159" s="95" t="n"/>
    </row>
    <row r="160" ht="15.75" customHeight="1" s="209">
      <c r="B160" s="64" t="n"/>
      <c r="C160" s="66" t="n"/>
      <c r="D160" s="65" t="n"/>
      <c r="E160" s="65" t="n"/>
      <c r="F160" s="126" t="n"/>
      <c r="G160" s="14" t="n"/>
      <c r="H160" s="127" t="n"/>
      <c r="I160" s="128" t="n"/>
      <c r="J160" s="129" t="n"/>
      <c r="K160" s="88" t="n"/>
    </row>
    <row r="161" ht="15.75" customHeight="1" s="209">
      <c r="B161" s="64" t="n"/>
      <c r="C161" s="68" t="n"/>
      <c r="D161" s="69" t="n"/>
      <c r="E161" s="69" t="n"/>
      <c r="F161" s="130" t="n"/>
      <c r="G161" s="23" t="n"/>
      <c r="H161" s="131" t="n"/>
      <c r="I161" s="132" t="n"/>
      <c r="J161" s="133" t="n"/>
      <c r="K161" s="95" t="n"/>
    </row>
    <row r="162" ht="15.75" customHeight="1" s="209">
      <c r="B162" s="64" t="n"/>
      <c r="C162" s="66" t="n"/>
      <c r="D162" s="65" t="n"/>
      <c r="E162" s="65" t="n"/>
      <c r="F162" s="126" t="n"/>
      <c r="G162" s="14" t="n"/>
      <c r="H162" s="127" t="n"/>
      <c r="I162" s="128" t="n"/>
      <c r="J162" s="129" t="n"/>
      <c r="K162" s="88" t="n"/>
    </row>
    <row r="163" ht="15.75" customHeight="1" s="209">
      <c r="B163" s="64" t="n"/>
      <c r="C163" s="68" t="n"/>
      <c r="D163" s="69" t="n"/>
      <c r="E163" s="69" t="n"/>
      <c r="F163" s="130" t="n"/>
      <c r="G163" s="23" t="n"/>
      <c r="H163" s="131" t="n"/>
      <c r="I163" s="132" t="n"/>
      <c r="J163" s="133" t="n"/>
      <c r="K163" s="95" t="n"/>
    </row>
    <row r="164" ht="15.75" customHeight="1" s="209">
      <c r="B164" s="64" t="n"/>
      <c r="C164" s="66" t="n"/>
      <c r="D164" s="65" t="n"/>
      <c r="E164" s="65" t="n"/>
      <c r="F164" s="126" t="n"/>
      <c r="G164" s="14" t="n"/>
      <c r="H164" s="127" t="n"/>
      <c r="I164" s="128" t="n"/>
      <c r="J164" s="129" t="n"/>
      <c r="K164" s="88" t="n"/>
    </row>
    <row r="165" ht="15.75" customHeight="1" s="209">
      <c r="B165" s="64" t="n"/>
      <c r="C165" s="68" t="n"/>
      <c r="D165" s="69" t="n"/>
      <c r="E165" s="69" t="n"/>
      <c r="F165" s="130" t="n"/>
      <c r="G165" s="23" t="n"/>
      <c r="H165" s="131" t="n"/>
      <c r="I165" s="132" t="n"/>
      <c r="J165" s="133" t="n"/>
      <c r="K165" s="95" t="n"/>
    </row>
    <row r="166" ht="15.75" customHeight="1" s="209">
      <c r="B166" s="64" t="n"/>
      <c r="C166" s="66" t="n"/>
      <c r="D166" s="65" t="n"/>
      <c r="E166" s="65" t="n"/>
      <c r="F166" s="126" t="n"/>
      <c r="G166" s="14" t="n"/>
      <c r="H166" s="127" t="n"/>
      <c r="I166" s="128" t="n"/>
      <c r="J166" s="129" t="n"/>
      <c r="K166" s="88" t="n"/>
    </row>
    <row r="167" ht="15.75" customHeight="1" s="209">
      <c r="B167" s="64" t="n"/>
      <c r="C167" s="68" t="n"/>
      <c r="D167" s="69" t="n"/>
      <c r="E167" s="69" t="n"/>
      <c r="F167" s="130" t="n"/>
      <c r="G167" s="23" t="n"/>
      <c r="H167" s="131" t="n"/>
      <c r="I167" s="132" t="n"/>
      <c r="J167" s="133" t="n"/>
      <c r="K167" s="95" t="n"/>
    </row>
    <row r="168" ht="15.75" customHeight="1" s="209">
      <c r="B168" s="64" t="n"/>
      <c r="C168" s="66" t="n"/>
      <c r="D168" s="65" t="n"/>
      <c r="E168" s="65" t="n"/>
      <c r="F168" s="126" t="n"/>
      <c r="G168" s="14" t="n"/>
      <c r="H168" s="127" t="n"/>
      <c r="I168" s="128" t="n"/>
      <c r="J168" s="129" t="n"/>
      <c r="K168" s="88" t="n"/>
    </row>
    <row r="169" ht="15.75" customHeight="1" s="209">
      <c r="B169" s="64" t="n"/>
      <c r="C169" s="68" t="n"/>
      <c r="D169" s="69" t="n"/>
      <c r="E169" s="69" t="n"/>
      <c r="F169" s="130" t="n"/>
      <c r="G169" s="23" t="n"/>
      <c r="H169" s="131" t="n"/>
      <c r="I169" s="132" t="n"/>
      <c r="J169" s="133" t="n"/>
      <c r="K169" s="95" t="n"/>
    </row>
    <row r="170" ht="15.75" customHeight="1" s="209">
      <c r="B170" s="64" t="n"/>
      <c r="C170" s="66" t="n"/>
      <c r="D170" s="65" t="n"/>
      <c r="E170" s="65" t="n"/>
      <c r="F170" s="126" t="n"/>
      <c r="G170" s="14" t="n"/>
      <c r="H170" s="127" t="n"/>
      <c r="I170" s="128" t="n"/>
      <c r="J170" s="129" t="n"/>
      <c r="K170" s="88" t="n"/>
    </row>
    <row r="171" ht="15.75" customHeight="1" s="209">
      <c r="B171" s="64" t="n"/>
      <c r="C171" s="68" t="n"/>
      <c r="D171" s="69" t="n"/>
      <c r="E171" s="69" t="n"/>
      <c r="F171" s="130" t="n"/>
      <c r="G171" s="23" t="n"/>
      <c r="H171" s="131" t="n"/>
      <c r="I171" s="132" t="n"/>
      <c r="J171" s="133" t="n"/>
      <c r="K171" s="95" t="n"/>
    </row>
    <row r="172" ht="15.75" customHeight="1" s="209">
      <c r="B172" s="64" t="n"/>
      <c r="C172" s="66" t="n"/>
      <c r="D172" s="65" t="n"/>
      <c r="E172" s="65" t="n"/>
      <c r="F172" s="126" t="n"/>
      <c r="G172" s="14" t="n"/>
      <c r="H172" s="127" t="n"/>
      <c r="I172" s="128" t="n"/>
      <c r="J172" s="129" t="n"/>
      <c r="K172" s="88" t="n"/>
    </row>
    <row r="173" ht="15.75" customHeight="1" s="209">
      <c r="B173" s="64" t="n"/>
      <c r="C173" s="68" t="n"/>
      <c r="D173" s="69" t="n"/>
      <c r="E173" s="69" t="n"/>
      <c r="F173" s="130" t="n"/>
      <c r="G173" s="23" t="n"/>
      <c r="H173" s="131" t="n"/>
      <c r="I173" s="132" t="n"/>
      <c r="J173" s="133" t="n"/>
      <c r="K173" s="95" t="n"/>
    </row>
    <row r="174" ht="15.75" customHeight="1" s="209">
      <c r="B174" s="64" t="n"/>
      <c r="C174" s="66" t="n"/>
      <c r="D174" s="65" t="n"/>
      <c r="E174" s="65" t="n"/>
      <c r="F174" s="126" t="n"/>
      <c r="G174" s="14" t="n"/>
      <c r="H174" s="127" t="n"/>
      <c r="I174" s="128" t="n"/>
      <c r="J174" s="129" t="n"/>
      <c r="K174" s="88" t="n"/>
    </row>
    <row r="175" ht="15.75" customHeight="1" s="209">
      <c r="B175" s="64" t="n"/>
      <c r="C175" s="68" t="n"/>
      <c r="D175" s="69" t="n"/>
      <c r="E175" s="69" t="n"/>
      <c r="F175" s="130" t="n"/>
      <c r="G175" s="23" t="n"/>
      <c r="H175" s="131" t="n"/>
      <c r="I175" s="132" t="n"/>
      <c r="J175" s="133" t="n"/>
      <c r="K175" s="95" t="n"/>
    </row>
    <row r="176" ht="15.75" customHeight="1" s="209">
      <c r="B176" s="64" t="n"/>
      <c r="C176" s="66" t="n"/>
      <c r="D176" s="65" t="n"/>
      <c r="E176" s="65" t="n"/>
      <c r="F176" s="126" t="n"/>
      <c r="G176" s="14" t="n"/>
      <c r="H176" s="127" t="n"/>
      <c r="I176" s="128" t="n"/>
      <c r="J176" s="129" t="n"/>
      <c r="K176" s="88" t="n"/>
    </row>
    <row r="177" ht="15.75" customHeight="1" s="209">
      <c r="B177" s="64" t="n"/>
      <c r="C177" s="68" t="n"/>
      <c r="D177" s="69" t="n"/>
      <c r="E177" s="69" t="n"/>
      <c r="F177" s="130" t="n"/>
      <c r="G177" s="23" t="n"/>
      <c r="H177" s="131" t="n"/>
      <c r="I177" s="132" t="n"/>
      <c r="J177" s="133" t="n"/>
      <c r="K177" s="95" t="n"/>
    </row>
    <row r="178" ht="15.75" customHeight="1" s="209">
      <c r="B178" s="64" t="n"/>
      <c r="C178" s="66" t="n"/>
      <c r="D178" s="65" t="n"/>
      <c r="E178" s="65" t="n"/>
      <c r="F178" s="126" t="n"/>
      <c r="G178" s="14" t="n"/>
      <c r="H178" s="127" t="n"/>
      <c r="I178" s="128" t="n"/>
      <c r="J178" s="129" t="n"/>
      <c r="K178" s="88" t="n"/>
    </row>
    <row r="179" ht="15.75" customHeight="1" s="209">
      <c r="B179" s="64" t="n"/>
      <c r="C179" s="68" t="n"/>
      <c r="D179" s="69" t="n"/>
      <c r="E179" s="69" t="n"/>
      <c r="F179" s="130" t="n"/>
      <c r="G179" s="23" t="n"/>
      <c r="H179" s="131" t="n"/>
      <c r="I179" s="132" t="n"/>
      <c r="J179" s="133" t="n"/>
      <c r="K179" s="95" t="n"/>
    </row>
    <row r="180" ht="15.75" customHeight="1" s="209">
      <c r="B180" s="64" t="n"/>
      <c r="C180" s="66" t="n"/>
      <c r="D180" s="65" t="n"/>
      <c r="E180" s="65" t="n"/>
      <c r="F180" s="126" t="n"/>
      <c r="G180" s="14" t="n"/>
      <c r="H180" s="127" t="n"/>
      <c r="I180" s="128" t="n"/>
      <c r="J180" s="129" t="n"/>
      <c r="K180" s="88" t="n"/>
    </row>
    <row r="181" ht="15.75" customHeight="1" s="209">
      <c r="B181" s="64" t="n"/>
      <c r="C181" s="68" t="n"/>
      <c r="D181" s="69" t="n"/>
      <c r="E181" s="69" t="n"/>
      <c r="F181" s="130" t="n"/>
      <c r="G181" s="23" t="n"/>
      <c r="H181" s="131" t="n"/>
      <c r="I181" s="132" t="n"/>
      <c r="J181" s="133" t="n"/>
      <c r="K181" s="95" t="n"/>
    </row>
    <row r="182" ht="15.75" customHeight="1" s="209">
      <c r="B182" s="64" t="n"/>
      <c r="C182" s="66" t="n"/>
      <c r="D182" s="65" t="n"/>
      <c r="E182" s="65" t="n"/>
      <c r="F182" s="126" t="n"/>
      <c r="G182" s="14" t="n"/>
      <c r="H182" s="127" t="n"/>
      <c r="I182" s="128" t="n"/>
      <c r="J182" s="129" t="n"/>
      <c r="K182" s="88" t="n"/>
    </row>
    <row r="183" ht="15.75" customHeight="1" s="209">
      <c r="B183" s="64" t="n"/>
      <c r="C183" s="68" t="n"/>
      <c r="D183" s="69" t="n"/>
      <c r="E183" s="69" t="n"/>
      <c r="F183" s="130" t="n"/>
      <c r="G183" s="23" t="n"/>
      <c r="H183" s="131" t="n"/>
      <c r="I183" s="132" t="n"/>
      <c r="J183" s="133" t="n"/>
      <c r="K183" s="95" t="n"/>
    </row>
    <row r="184" ht="15.75" customHeight="1" s="209">
      <c r="B184" s="64" t="n"/>
      <c r="C184" s="66" t="n"/>
      <c r="D184" s="65" t="n"/>
      <c r="E184" s="65" t="n"/>
      <c r="F184" s="126" t="n"/>
      <c r="G184" s="14" t="n"/>
      <c r="H184" s="127" t="n"/>
      <c r="I184" s="128" t="n"/>
      <c r="J184" s="129" t="n"/>
      <c r="K184" s="88" t="n"/>
    </row>
    <row r="185" ht="15.75" customHeight="1" s="209">
      <c r="B185" s="64" t="n"/>
      <c r="C185" s="68" t="n"/>
      <c r="D185" s="69" t="n"/>
      <c r="E185" s="69" t="n"/>
      <c r="F185" s="130" t="n"/>
      <c r="G185" s="23" t="n"/>
      <c r="H185" s="131" t="n"/>
      <c r="I185" s="132" t="n"/>
      <c r="J185" s="133" t="n"/>
      <c r="K185" s="95" t="n"/>
    </row>
    <row r="186" ht="15.75" customHeight="1" s="209">
      <c r="B186" s="64" t="n"/>
      <c r="C186" s="66" t="n"/>
      <c r="D186" s="65" t="n"/>
      <c r="E186" s="65" t="n"/>
      <c r="F186" s="126" t="n"/>
      <c r="G186" s="14" t="n"/>
      <c r="H186" s="127" t="n"/>
      <c r="I186" s="128" t="n"/>
      <c r="J186" s="129" t="n"/>
      <c r="K186" s="88" t="n"/>
    </row>
    <row r="187" ht="15.75" customHeight="1" s="209">
      <c r="B187" s="64" t="n"/>
      <c r="C187" s="68" t="n"/>
      <c r="D187" s="69" t="n"/>
      <c r="E187" s="69" t="n"/>
      <c r="F187" s="130" t="n"/>
      <c r="G187" s="23" t="n"/>
      <c r="H187" s="131" t="n"/>
      <c r="I187" s="132" t="n"/>
      <c r="J187" s="133" t="n"/>
      <c r="K187" s="95" t="n"/>
    </row>
    <row r="188" ht="15.75" customHeight="1" s="209">
      <c r="B188" s="64" t="n"/>
      <c r="C188" s="66" t="n"/>
      <c r="D188" s="65" t="n"/>
      <c r="E188" s="65" t="n"/>
      <c r="F188" s="126" t="n"/>
      <c r="G188" s="14" t="n"/>
      <c r="H188" s="127" t="n"/>
      <c r="I188" s="128" t="n"/>
      <c r="J188" s="129" t="n"/>
      <c r="K188" s="88" t="n"/>
    </row>
    <row r="189" ht="15.75" customHeight="1" s="209">
      <c r="B189" s="64" t="n"/>
      <c r="C189" s="68" t="n"/>
      <c r="D189" s="69" t="n"/>
      <c r="E189" s="69" t="n"/>
      <c r="F189" s="130" t="n"/>
      <c r="G189" s="23" t="n"/>
      <c r="H189" s="131" t="n"/>
      <c r="I189" s="132" t="n"/>
      <c r="J189" s="133" t="n"/>
      <c r="K189" s="95" t="n"/>
    </row>
    <row r="190" ht="15.75" customHeight="1" s="209">
      <c r="B190" s="64" t="n"/>
      <c r="C190" s="66" t="n"/>
      <c r="D190" s="65" t="n"/>
      <c r="E190" s="65" t="n"/>
      <c r="F190" s="126" t="n"/>
      <c r="G190" s="14" t="n"/>
      <c r="H190" s="127" t="n"/>
      <c r="I190" s="128" t="n"/>
      <c r="J190" s="129" t="n"/>
      <c r="K190" s="88" t="n"/>
    </row>
    <row r="191" ht="15.75" customHeight="1" s="209">
      <c r="B191" s="64" t="n"/>
      <c r="C191" s="68" t="n"/>
      <c r="D191" s="69" t="n"/>
      <c r="E191" s="69" t="n"/>
      <c r="F191" s="130" t="n"/>
      <c r="G191" s="23" t="n"/>
      <c r="H191" s="131" t="n"/>
      <c r="I191" s="132" t="n"/>
      <c r="J191" s="133" t="n"/>
      <c r="K191" s="95" t="n"/>
    </row>
    <row r="192" ht="15.75" customHeight="1" s="209">
      <c r="B192" s="64" t="n"/>
      <c r="C192" s="66" t="n"/>
      <c r="D192" s="65" t="n"/>
      <c r="E192" s="65" t="n"/>
      <c r="F192" s="126" t="n"/>
      <c r="G192" s="14" t="n"/>
      <c r="H192" s="127" t="n"/>
      <c r="I192" s="128" t="n"/>
      <c r="J192" s="129" t="n"/>
      <c r="K192" s="88" t="n"/>
    </row>
    <row r="193" ht="15.75" customHeight="1" s="209">
      <c r="B193" s="64" t="n"/>
      <c r="C193" s="68" t="n"/>
      <c r="D193" s="69" t="n"/>
      <c r="E193" s="69" t="n"/>
      <c r="F193" s="130" t="n"/>
      <c r="G193" s="23" t="n"/>
      <c r="H193" s="131" t="n"/>
      <c r="I193" s="132" t="n"/>
      <c r="J193" s="133" t="n"/>
      <c r="K193" s="95" t="n"/>
    </row>
    <row r="194" ht="15.75" customHeight="1" s="209">
      <c r="B194" s="64" t="n"/>
      <c r="C194" s="66" t="n"/>
      <c r="D194" s="65" t="n"/>
      <c r="E194" s="65" t="n"/>
      <c r="F194" s="126" t="n"/>
      <c r="G194" s="14" t="n"/>
      <c r="H194" s="127" t="n"/>
      <c r="I194" s="128" t="n"/>
      <c r="J194" s="129" t="n"/>
      <c r="K194" s="88" t="n"/>
    </row>
    <row r="195" ht="15.75" customHeight="1" s="209">
      <c r="B195" s="64" t="n"/>
      <c r="C195" s="68" t="n"/>
      <c r="D195" s="69" t="n"/>
      <c r="E195" s="69" t="n"/>
      <c r="F195" s="130" t="n"/>
      <c r="G195" s="23" t="n"/>
      <c r="H195" s="131" t="n"/>
      <c r="I195" s="132" t="n"/>
      <c r="J195" s="133" t="n"/>
      <c r="K195" s="95" t="n"/>
    </row>
    <row r="196" ht="15.75" customHeight="1" s="209">
      <c r="B196" s="64" t="n"/>
      <c r="C196" s="66" t="n"/>
      <c r="D196" s="65" t="n"/>
      <c r="E196" s="65" t="n"/>
      <c r="F196" s="126" t="n"/>
      <c r="G196" s="14" t="n"/>
      <c r="H196" s="127" t="n"/>
      <c r="I196" s="128" t="n"/>
      <c r="J196" s="129" t="n"/>
      <c r="K196" s="88" t="n"/>
    </row>
    <row r="197" ht="15.75" customHeight="1" s="209">
      <c r="B197" s="64" t="n"/>
      <c r="C197" s="68" t="n"/>
      <c r="D197" s="69" t="n"/>
      <c r="E197" s="69" t="n"/>
      <c r="F197" s="130" t="n"/>
      <c r="G197" s="23" t="n"/>
      <c r="H197" s="131" t="n"/>
      <c r="I197" s="132" t="n"/>
      <c r="J197" s="133" t="n"/>
      <c r="K197" s="95" t="n"/>
    </row>
    <row r="198" ht="15.75" customHeight="1" s="209">
      <c r="B198" s="64" t="n"/>
      <c r="C198" s="66" t="n"/>
      <c r="D198" s="65" t="n"/>
      <c r="E198" s="65" t="n"/>
      <c r="F198" s="126" t="n"/>
      <c r="G198" s="14" t="n"/>
      <c r="H198" s="127" t="n"/>
      <c r="I198" s="128" t="n"/>
      <c r="J198" s="129" t="n"/>
      <c r="K198" s="88" t="n"/>
    </row>
    <row r="199" ht="15.75" customHeight="1" s="209">
      <c r="B199" s="64" t="n"/>
      <c r="C199" s="68" t="n"/>
      <c r="D199" s="69" t="n"/>
      <c r="E199" s="69" t="n"/>
      <c r="F199" s="130" t="n"/>
      <c r="G199" s="23" t="n"/>
      <c r="H199" s="131" t="n"/>
      <c r="I199" s="132" t="n"/>
      <c r="J199" s="133" t="n"/>
      <c r="K199" s="95" t="n"/>
    </row>
    <row r="200" ht="15.75" customHeight="1" s="209">
      <c r="B200" s="64" t="n"/>
      <c r="C200" s="66" t="n"/>
      <c r="D200" s="65" t="n"/>
      <c r="E200" s="65" t="n"/>
      <c r="F200" s="126" t="n"/>
      <c r="G200" s="14" t="n"/>
      <c r="H200" s="127" t="n"/>
      <c r="I200" s="128" t="n"/>
      <c r="J200" s="129" t="n"/>
      <c r="K200" s="88" t="n"/>
    </row>
    <row r="201" ht="15.75" customHeight="1" s="209">
      <c r="B201" s="64" t="n"/>
      <c r="C201" s="68" t="n"/>
      <c r="D201" s="69" t="n"/>
      <c r="E201" s="69" t="n"/>
      <c r="F201" s="130" t="n"/>
      <c r="G201" s="23" t="n"/>
      <c r="H201" s="131" t="n"/>
      <c r="I201" s="132" t="n"/>
      <c r="J201" s="133" t="n"/>
      <c r="K201" s="95" t="n"/>
    </row>
    <row r="202" ht="15.75" customHeight="1" s="209">
      <c r="B202" s="64" t="n"/>
      <c r="C202" s="66" t="n"/>
      <c r="D202" s="65" t="n"/>
      <c r="E202" s="65" t="n"/>
      <c r="F202" s="126" t="n"/>
      <c r="G202" s="14" t="n"/>
      <c r="H202" s="127" t="n"/>
      <c r="I202" s="128" t="n"/>
      <c r="J202" s="129" t="n"/>
      <c r="K202" s="88" t="n"/>
    </row>
    <row r="203" ht="15.75" customHeight="1" s="209">
      <c r="B203" s="64" t="n"/>
      <c r="C203" s="68" t="n"/>
      <c r="D203" s="69" t="n"/>
      <c r="E203" s="69" t="n"/>
      <c r="F203" s="130" t="n"/>
      <c r="G203" s="23" t="n"/>
      <c r="H203" s="131" t="n"/>
      <c r="I203" s="132" t="n"/>
      <c r="J203" s="133" t="n"/>
      <c r="K203" s="95" t="n"/>
    </row>
    <row r="204" ht="15.75" customHeight="1" s="209">
      <c r="B204" s="64" t="n"/>
      <c r="C204" s="66" t="n"/>
      <c r="D204" s="65" t="n"/>
      <c r="E204" s="65" t="n"/>
      <c r="F204" s="126" t="n"/>
      <c r="G204" s="14" t="n"/>
      <c r="H204" s="127" t="n"/>
      <c r="I204" s="128" t="n"/>
      <c r="J204" s="129" t="n"/>
      <c r="K204" s="88" t="n"/>
    </row>
    <row r="205" ht="15.75" customHeight="1" s="209">
      <c r="B205" s="64" t="n"/>
      <c r="C205" s="68" t="n"/>
      <c r="D205" s="69" t="n"/>
      <c r="E205" s="69" t="n"/>
      <c r="F205" s="130" t="n"/>
      <c r="G205" s="23" t="n"/>
      <c r="H205" s="131" t="n"/>
      <c r="I205" s="132" t="n"/>
      <c r="J205" s="133" t="n"/>
      <c r="K205" s="95" t="n"/>
    </row>
    <row r="206" ht="15.75" customHeight="1" s="209">
      <c r="B206" s="64" t="n"/>
      <c r="C206" s="66" t="n"/>
      <c r="D206" s="65" t="n"/>
      <c r="E206" s="65" t="n"/>
      <c r="F206" s="126" t="n"/>
      <c r="G206" s="14" t="n"/>
      <c r="H206" s="127" t="n"/>
      <c r="I206" s="128" t="n"/>
      <c r="J206" s="129" t="n"/>
      <c r="K206" s="88" t="n"/>
    </row>
    <row r="207" ht="15.75" customHeight="1" s="209">
      <c r="B207" s="64" t="n"/>
      <c r="C207" s="68" t="n"/>
      <c r="D207" s="69" t="n"/>
      <c r="E207" s="69" t="n"/>
      <c r="F207" s="130" t="n"/>
      <c r="G207" s="23" t="n"/>
      <c r="H207" s="131" t="n"/>
      <c r="I207" s="132" t="n"/>
      <c r="J207" s="133" t="n"/>
      <c r="K207" s="95" t="n"/>
    </row>
    <row r="208" ht="15.75" customHeight="1" s="209">
      <c r="B208" s="64" t="n"/>
      <c r="C208" s="66" t="n"/>
      <c r="D208" s="65" t="n"/>
      <c r="E208" s="65" t="n"/>
      <c r="F208" s="126" t="n"/>
      <c r="G208" s="14" t="n"/>
      <c r="H208" s="127" t="n"/>
      <c r="I208" s="128" t="n"/>
      <c r="J208" s="129" t="n"/>
      <c r="K208" s="88" t="n"/>
    </row>
    <row r="209" ht="15.75" customHeight="1" s="209">
      <c r="B209" s="64" t="n"/>
      <c r="C209" s="68" t="n"/>
      <c r="D209" s="69" t="n"/>
      <c r="E209" s="69" t="n"/>
      <c r="F209" s="130" t="n"/>
      <c r="G209" s="23" t="n"/>
      <c r="H209" s="131" t="n"/>
      <c r="I209" s="132" t="n"/>
      <c r="J209" s="133" t="n"/>
      <c r="K209" s="95" t="n"/>
    </row>
    <row r="210" ht="15.75" customHeight="1" s="209">
      <c r="B210" s="64" t="n"/>
      <c r="C210" s="66" t="n"/>
      <c r="D210" s="65" t="n"/>
      <c r="E210" s="65" t="n"/>
      <c r="F210" s="126" t="n"/>
      <c r="G210" s="14" t="n"/>
      <c r="H210" s="127" t="n"/>
      <c r="I210" s="128" t="n"/>
      <c r="J210" s="129" t="n"/>
      <c r="K210" s="88" t="n"/>
    </row>
    <row r="211" ht="15.75" customHeight="1" s="209">
      <c r="B211" s="64" t="n"/>
      <c r="C211" s="68" t="n"/>
      <c r="D211" s="69" t="n"/>
      <c r="E211" s="69" t="n"/>
      <c r="F211" s="130" t="n"/>
      <c r="G211" s="23" t="n"/>
      <c r="H211" s="131" t="n"/>
      <c r="I211" s="132" t="n"/>
      <c r="J211" s="133" t="n"/>
      <c r="K211" s="95" t="n"/>
    </row>
    <row r="212" ht="15.75" customHeight="1" s="209">
      <c r="B212" s="64" t="n"/>
      <c r="C212" s="66" t="n"/>
      <c r="D212" s="65" t="n"/>
      <c r="E212" s="65" t="n"/>
      <c r="F212" s="126" t="n"/>
      <c r="G212" s="14" t="n"/>
      <c r="H212" s="127" t="n"/>
      <c r="I212" s="128" t="n"/>
      <c r="J212" s="129" t="n"/>
      <c r="K212" s="88" t="n"/>
    </row>
    <row r="213" ht="15.75" customHeight="1" s="209">
      <c r="B213" s="64" t="n"/>
      <c r="C213" s="68" t="n"/>
      <c r="D213" s="69" t="n"/>
      <c r="E213" s="69" t="n"/>
      <c r="F213" s="130" t="n"/>
      <c r="G213" s="23" t="n"/>
      <c r="H213" s="131" t="n"/>
      <c r="I213" s="132" t="n"/>
      <c r="J213" s="133" t="n"/>
      <c r="K213" s="95" t="n"/>
    </row>
    <row r="214" ht="15.75" customHeight="1" s="209">
      <c r="B214" s="64" t="n"/>
      <c r="C214" s="66" t="n"/>
      <c r="D214" s="65" t="n"/>
      <c r="E214" s="65" t="n"/>
      <c r="F214" s="126" t="n"/>
      <c r="G214" s="14" t="n"/>
      <c r="H214" s="127" t="n"/>
      <c r="I214" s="128" t="n"/>
      <c r="J214" s="129" t="n"/>
      <c r="K214" s="88" t="n"/>
    </row>
    <row r="215" ht="15.75" customHeight="1" s="209">
      <c r="B215" s="64" t="n"/>
      <c r="C215" s="68" t="n"/>
      <c r="D215" s="69" t="n"/>
      <c r="E215" s="69" t="n"/>
      <c r="F215" s="130" t="n"/>
      <c r="G215" s="23" t="n"/>
      <c r="H215" s="131" t="n"/>
      <c r="I215" s="132" t="n"/>
      <c r="J215" s="133" t="n"/>
      <c r="K215" s="95" t="n"/>
    </row>
    <row r="216" ht="15.75" customHeight="1" s="209">
      <c r="B216" s="64" t="n"/>
      <c r="C216" s="66" t="n"/>
      <c r="D216" s="65" t="n"/>
      <c r="E216" s="65" t="n"/>
      <c r="F216" s="126" t="n"/>
      <c r="G216" s="14" t="n"/>
      <c r="H216" s="127" t="n"/>
      <c r="I216" s="128" t="n"/>
      <c r="J216" s="129" t="n"/>
      <c r="K216" s="88" t="n"/>
    </row>
    <row r="217" ht="15.75" customHeight="1" s="209">
      <c r="B217" s="64" t="n"/>
      <c r="C217" s="68" t="n"/>
      <c r="D217" s="69" t="n"/>
      <c r="E217" s="69" t="n"/>
      <c r="F217" s="130" t="n"/>
      <c r="G217" s="23" t="n"/>
      <c r="H217" s="131" t="n"/>
      <c r="I217" s="132" t="n"/>
      <c r="J217" s="133" t="n"/>
      <c r="K217" s="95" t="n"/>
    </row>
    <row r="218" ht="15.75" customHeight="1" s="209">
      <c r="B218" s="64" t="n"/>
      <c r="C218" s="66" t="n"/>
      <c r="D218" s="65" t="n"/>
      <c r="E218" s="65" t="n"/>
      <c r="F218" s="126" t="n"/>
      <c r="G218" s="14" t="n"/>
      <c r="H218" s="127" t="n"/>
      <c r="I218" s="128" t="n"/>
      <c r="J218" s="129" t="n"/>
      <c r="K218" s="88" t="n"/>
    </row>
    <row r="219" ht="15.75" customHeight="1" s="209">
      <c r="B219" s="64" t="n"/>
      <c r="C219" s="68" t="n"/>
      <c r="D219" s="69" t="n"/>
      <c r="E219" s="69" t="n"/>
      <c r="F219" s="130" t="n"/>
      <c r="G219" s="23" t="n"/>
      <c r="H219" s="131" t="n"/>
      <c r="I219" s="132" t="n"/>
      <c r="J219" s="133" t="n"/>
      <c r="K219" s="95" t="n"/>
    </row>
    <row r="220" ht="15.75" customHeight="1" s="209">
      <c r="B220" s="64" t="n"/>
      <c r="C220" s="66" t="n"/>
      <c r="D220" s="65" t="n"/>
      <c r="E220" s="65" t="n"/>
      <c r="F220" s="126" t="n"/>
      <c r="G220" s="14" t="n"/>
      <c r="H220" s="127" t="n"/>
      <c r="I220" s="128" t="n"/>
      <c r="J220" s="129" t="n"/>
      <c r="K220" s="88" t="n"/>
    </row>
    <row r="221" ht="15.75" customHeight="1" s="209">
      <c r="B221" s="64" t="n"/>
      <c r="C221" s="68" t="n"/>
      <c r="D221" s="69" t="n"/>
      <c r="E221" s="69" t="n"/>
      <c r="F221" s="130" t="n"/>
      <c r="G221" s="23" t="n"/>
      <c r="H221" s="131" t="n"/>
      <c r="I221" s="132" t="n"/>
      <c r="J221" s="133" t="n"/>
      <c r="K221" s="95" t="n"/>
    </row>
    <row r="222" ht="15.75" customHeight="1" s="209">
      <c r="B222" s="64" t="n"/>
      <c r="C222" s="66" t="n"/>
      <c r="D222" s="65" t="n"/>
      <c r="E222" s="65" t="n"/>
      <c r="F222" s="126" t="n"/>
      <c r="G222" s="14" t="n"/>
      <c r="H222" s="127" t="n"/>
      <c r="I222" s="128" t="n"/>
      <c r="J222" s="129" t="n"/>
      <c r="K222" s="88" t="n"/>
    </row>
    <row r="223" ht="15.75" customHeight="1" s="209">
      <c r="B223" s="64" t="n"/>
      <c r="C223" s="68" t="n"/>
      <c r="D223" s="69" t="n"/>
      <c r="E223" s="69" t="n"/>
      <c r="F223" s="130" t="n"/>
      <c r="G223" s="23" t="n"/>
      <c r="H223" s="131" t="n"/>
      <c r="I223" s="132" t="n"/>
      <c r="J223" s="133" t="n"/>
      <c r="K223" s="95" t="n"/>
    </row>
    <row r="224" ht="15.75" customHeight="1" s="209">
      <c r="B224" s="64" t="n"/>
      <c r="C224" s="66" t="n"/>
      <c r="D224" s="65" t="n"/>
      <c r="E224" s="65" t="n"/>
      <c r="F224" s="126" t="n"/>
      <c r="G224" s="14" t="n"/>
      <c r="H224" s="127" t="n"/>
      <c r="I224" s="128" t="n"/>
      <c r="J224" s="129" t="n"/>
      <c r="K224" s="88" t="n"/>
    </row>
    <row r="225" ht="15.75" customHeight="1" s="209">
      <c r="B225" s="64" t="n"/>
      <c r="C225" s="68" t="n"/>
      <c r="D225" s="69" t="n"/>
      <c r="E225" s="69" t="n"/>
      <c r="F225" s="130" t="n"/>
      <c r="G225" s="23" t="n"/>
      <c r="H225" s="131" t="n"/>
      <c r="I225" s="132" t="n"/>
      <c r="J225" s="133" t="n"/>
      <c r="K225" s="95" t="n"/>
    </row>
    <row r="226" ht="15.75" customHeight="1" s="209">
      <c r="B226" s="64" t="n"/>
      <c r="C226" s="66" t="n"/>
      <c r="D226" s="65" t="n"/>
      <c r="E226" s="65" t="n"/>
      <c r="F226" s="126" t="n"/>
      <c r="G226" s="14" t="n"/>
      <c r="H226" s="127" t="n"/>
      <c r="I226" s="128" t="n"/>
      <c r="J226" s="129" t="n"/>
      <c r="K226" s="88" t="n"/>
    </row>
    <row r="227" ht="15.75" customHeight="1" s="209">
      <c r="B227" s="64" t="n"/>
      <c r="C227" s="68" t="n"/>
      <c r="D227" s="69" t="n"/>
      <c r="E227" s="69" t="n"/>
      <c r="F227" s="130" t="n"/>
      <c r="G227" s="23" t="n"/>
      <c r="H227" s="131" t="n"/>
      <c r="I227" s="132" t="n"/>
      <c r="J227" s="133" t="n"/>
      <c r="K227" s="95" t="n"/>
    </row>
    <row r="228" ht="15.75" customHeight="1" s="209">
      <c r="B228" s="64" t="n"/>
      <c r="C228" s="66" t="n"/>
      <c r="D228" s="65" t="n"/>
      <c r="E228" s="65" t="n"/>
      <c r="F228" s="126" t="n"/>
      <c r="G228" s="14" t="n"/>
      <c r="H228" s="127" t="n"/>
      <c r="I228" s="128" t="n"/>
      <c r="J228" s="129" t="n"/>
      <c r="K228" s="88" t="n"/>
    </row>
    <row r="229" ht="15.75" customHeight="1" s="209">
      <c r="B229" s="64" t="n"/>
      <c r="C229" s="68" t="n"/>
      <c r="D229" s="69" t="n"/>
      <c r="E229" s="69" t="n"/>
      <c r="F229" s="130" t="n"/>
      <c r="G229" s="23" t="n"/>
      <c r="H229" s="131" t="n"/>
      <c r="I229" s="132" t="n"/>
      <c r="J229" s="133" t="n"/>
      <c r="K229" s="95" t="n"/>
    </row>
    <row r="230" ht="15.75" customHeight="1" s="209">
      <c r="B230" s="64" t="n"/>
      <c r="C230" s="66" t="n"/>
      <c r="D230" s="65" t="n"/>
      <c r="E230" s="65" t="n"/>
      <c r="F230" s="126" t="n"/>
      <c r="G230" s="14" t="n"/>
      <c r="H230" s="127" t="n"/>
      <c r="I230" s="128" t="n"/>
      <c r="J230" s="129" t="n"/>
      <c r="K230" s="88" t="n"/>
    </row>
    <row r="231" ht="15.75" customHeight="1" s="209">
      <c r="B231" s="64" t="n"/>
      <c r="C231" s="68" t="n"/>
      <c r="D231" s="69" t="n"/>
      <c r="E231" s="69" t="n"/>
      <c r="F231" s="130" t="n"/>
      <c r="G231" s="23" t="n"/>
      <c r="H231" s="131" t="n"/>
      <c r="I231" s="132" t="n"/>
      <c r="J231" s="133" t="n"/>
      <c r="K231" s="95" t="n"/>
    </row>
    <row r="232" ht="15.75" customHeight="1" s="209">
      <c r="B232" s="64" t="n"/>
      <c r="C232" s="66" t="n"/>
      <c r="D232" s="65" t="n"/>
      <c r="E232" s="65" t="n"/>
      <c r="F232" s="126" t="n"/>
      <c r="G232" s="14" t="n"/>
      <c r="H232" s="127" t="n"/>
      <c r="I232" s="128" t="n"/>
      <c r="J232" s="129" t="n"/>
      <c r="K232" s="88" t="n"/>
    </row>
    <row r="233" ht="15.75" customHeight="1" s="209">
      <c r="B233" s="64" t="n"/>
      <c r="C233" s="68" t="n"/>
      <c r="D233" s="69" t="n"/>
      <c r="E233" s="69" t="n"/>
      <c r="F233" s="130" t="n"/>
      <c r="G233" s="23" t="n"/>
      <c r="H233" s="131" t="n"/>
      <c r="I233" s="132" t="n"/>
      <c r="J233" s="133" t="n"/>
      <c r="K233" s="95" t="n"/>
    </row>
    <row r="234" ht="15.75" customHeight="1" s="209">
      <c r="B234" s="64" t="n"/>
      <c r="C234" s="66" t="n"/>
      <c r="D234" s="65" t="n"/>
      <c r="E234" s="65" t="n"/>
      <c r="F234" s="126" t="n"/>
      <c r="G234" s="14" t="n"/>
      <c r="H234" s="127" t="n"/>
      <c r="I234" s="128" t="n"/>
      <c r="J234" s="129" t="n"/>
      <c r="K234" s="88" t="n"/>
    </row>
    <row r="235" ht="15.75" customHeight="1" s="209">
      <c r="B235" s="64" t="n"/>
      <c r="C235" s="68" t="n"/>
      <c r="D235" s="69" t="n"/>
      <c r="E235" s="69" t="n"/>
      <c r="F235" s="130" t="n"/>
      <c r="G235" s="23" t="n"/>
      <c r="H235" s="131" t="n"/>
      <c r="I235" s="132" t="n"/>
      <c r="J235" s="133" t="n"/>
      <c r="K235" s="95" t="n"/>
    </row>
    <row r="236" ht="15.75" customHeight="1" s="209">
      <c r="B236" s="64" t="n"/>
      <c r="C236" s="66" t="n"/>
      <c r="D236" s="65" t="n"/>
      <c r="E236" s="65" t="n"/>
      <c r="F236" s="126" t="n"/>
      <c r="G236" s="14" t="n"/>
      <c r="H236" s="127" t="n"/>
      <c r="I236" s="128" t="n"/>
      <c r="J236" s="129" t="n"/>
      <c r="K236" s="88" t="n"/>
    </row>
    <row r="237" ht="15.75" customHeight="1" s="209">
      <c r="B237" s="64" t="n"/>
      <c r="C237" s="68" t="n"/>
      <c r="D237" s="69" t="n"/>
      <c r="E237" s="69" t="n"/>
      <c r="F237" s="130" t="n"/>
      <c r="G237" s="23" t="n"/>
      <c r="H237" s="131" t="n"/>
      <c r="I237" s="132" t="n"/>
      <c r="J237" s="133" t="n"/>
      <c r="K237" s="95" t="n"/>
    </row>
    <row r="238" ht="15.75" customHeight="1" s="209">
      <c r="B238" s="64" t="n"/>
      <c r="C238" s="66" t="n"/>
      <c r="D238" s="65" t="n"/>
      <c r="E238" s="65" t="n"/>
      <c r="F238" s="126" t="n"/>
      <c r="G238" s="14" t="n"/>
      <c r="H238" s="127" t="n"/>
      <c r="I238" s="128" t="n"/>
      <c r="J238" s="129" t="n"/>
      <c r="K238" s="88" t="n"/>
    </row>
    <row r="239" ht="15.75" customHeight="1" s="209">
      <c r="B239" s="64" t="n"/>
      <c r="C239" s="68" t="n"/>
      <c r="D239" s="69" t="n"/>
      <c r="E239" s="69" t="n"/>
      <c r="F239" s="130" t="n"/>
      <c r="G239" s="23" t="n"/>
      <c r="H239" s="131" t="n"/>
      <c r="I239" s="132" t="n"/>
      <c r="J239" s="133" t="n"/>
      <c r="K239" s="95" t="n"/>
    </row>
    <row r="240" ht="15.75" customHeight="1" s="209">
      <c r="B240" s="64" t="n"/>
      <c r="C240" s="66" t="n"/>
      <c r="D240" s="65" t="n"/>
      <c r="E240" s="65" t="n"/>
      <c r="F240" s="126" t="n"/>
      <c r="G240" s="14" t="n"/>
      <c r="H240" s="127" t="n"/>
      <c r="I240" s="128" t="n"/>
      <c r="J240" s="129" t="n"/>
      <c r="K240" s="88" t="n"/>
    </row>
    <row r="241" ht="15.75" customHeight="1" s="209">
      <c r="B241" s="64" t="n"/>
      <c r="C241" s="68" t="n"/>
      <c r="D241" s="69" t="n"/>
      <c r="E241" s="69" t="n"/>
      <c r="F241" s="130" t="n"/>
      <c r="G241" s="23" t="n"/>
      <c r="H241" s="131" t="n"/>
      <c r="I241" s="132" t="n"/>
      <c r="J241" s="133" t="n"/>
      <c r="K241" s="95" t="n"/>
    </row>
    <row r="242" ht="15.75" customHeight="1" s="209">
      <c r="B242" s="64" t="n"/>
      <c r="C242" s="66" t="n"/>
      <c r="D242" s="65" t="n"/>
      <c r="E242" s="65" t="n"/>
      <c r="F242" s="126" t="n"/>
      <c r="G242" s="14" t="n"/>
      <c r="H242" s="127" t="n"/>
      <c r="I242" s="128" t="n"/>
      <c r="J242" s="129" t="n"/>
      <c r="K242" s="88" t="n"/>
    </row>
    <row r="243" ht="15.75" customHeight="1" s="209">
      <c r="B243" s="64" t="n"/>
      <c r="C243" s="68" t="n"/>
      <c r="D243" s="69" t="n"/>
      <c r="E243" s="69" t="n"/>
      <c r="F243" s="130" t="n"/>
      <c r="G243" s="23" t="n"/>
      <c r="H243" s="131" t="n"/>
      <c r="I243" s="132" t="n"/>
      <c r="J243" s="133" t="n"/>
      <c r="K243" s="95" t="n"/>
    </row>
    <row r="244" ht="15.75" customHeight="1" s="209">
      <c r="B244" s="64" t="n"/>
      <c r="C244" s="66" t="n"/>
      <c r="D244" s="65" t="n"/>
      <c r="E244" s="65" t="n"/>
      <c r="F244" s="126" t="n"/>
      <c r="G244" s="14" t="n"/>
      <c r="H244" s="127" t="n"/>
      <c r="I244" s="128" t="n"/>
      <c r="J244" s="129" t="n"/>
      <c r="K244" s="88" t="n"/>
    </row>
    <row r="245" ht="15.75" customHeight="1" s="209">
      <c r="B245" s="64" t="n"/>
      <c r="C245" s="68" t="n"/>
      <c r="D245" s="69" t="n"/>
      <c r="E245" s="69" t="n"/>
      <c r="F245" s="130" t="n"/>
      <c r="G245" s="23" t="n"/>
      <c r="H245" s="131" t="n"/>
      <c r="I245" s="132" t="n"/>
      <c r="J245" s="133" t="n"/>
      <c r="K245" s="95" t="n"/>
    </row>
    <row r="246" ht="15.75" customHeight="1" s="209">
      <c r="B246" s="64" t="n"/>
      <c r="C246" s="66" t="n"/>
      <c r="D246" s="65" t="n"/>
      <c r="E246" s="65" t="n"/>
      <c r="F246" s="126" t="n"/>
      <c r="G246" s="14" t="n"/>
      <c r="H246" s="127" t="n"/>
      <c r="I246" s="128" t="n"/>
      <c r="J246" s="129" t="n"/>
      <c r="K246" s="88" t="n"/>
    </row>
    <row r="247" ht="15.75" customHeight="1" s="209">
      <c r="B247" s="64" t="n"/>
      <c r="C247" s="68" t="n"/>
      <c r="D247" s="69" t="n"/>
      <c r="E247" s="69" t="n"/>
      <c r="F247" s="130" t="n"/>
      <c r="G247" s="23" t="n"/>
      <c r="H247" s="131" t="n"/>
      <c r="I247" s="132" t="n"/>
      <c r="J247" s="133" t="n"/>
      <c r="K247" s="95" t="n"/>
    </row>
    <row r="248" ht="15.75" customHeight="1" s="209">
      <c r="B248" s="64" t="n"/>
      <c r="C248" s="66" t="n"/>
      <c r="D248" s="65" t="n"/>
      <c r="E248" s="65" t="n"/>
      <c r="F248" s="126" t="n"/>
      <c r="G248" s="14" t="n"/>
      <c r="H248" s="127" t="n"/>
      <c r="I248" s="128" t="n"/>
      <c r="J248" s="129" t="n"/>
      <c r="K248" s="88" t="n"/>
    </row>
    <row r="249" ht="15.75" customHeight="1" s="209">
      <c r="B249" s="64" t="n"/>
      <c r="C249" s="68" t="n"/>
      <c r="D249" s="69" t="n"/>
      <c r="E249" s="69" t="n"/>
      <c r="F249" s="130" t="n"/>
      <c r="G249" s="23" t="n"/>
      <c r="H249" s="131" t="n"/>
      <c r="I249" s="132" t="n"/>
      <c r="J249" s="133" t="n"/>
      <c r="K249" s="95" t="n"/>
    </row>
    <row r="250" ht="15.75" customHeight="1" s="209">
      <c r="B250" s="64" t="n"/>
      <c r="C250" s="66" t="n"/>
      <c r="D250" s="65" t="n"/>
      <c r="E250" s="65" t="n"/>
      <c r="F250" s="126" t="n"/>
      <c r="G250" s="14" t="n"/>
      <c r="H250" s="127" t="n"/>
      <c r="I250" s="128" t="n"/>
      <c r="J250" s="129" t="n"/>
      <c r="K250" s="88" t="n"/>
    </row>
    <row r="251" ht="15.75" customHeight="1" s="209">
      <c r="B251" s="64" t="n"/>
      <c r="C251" s="68" t="n"/>
      <c r="D251" s="69" t="n"/>
      <c r="E251" s="69" t="n"/>
      <c r="F251" s="130" t="n"/>
      <c r="G251" s="23" t="n"/>
      <c r="H251" s="131" t="n"/>
      <c r="I251" s="132" t="n"/>
      <c r="J251" s="133" t="n"/>
      <c r="K251" s="95" t="n"/>
    </row>
    <row r="252" ht="15.75" customHeight="1" s="209">
      <c r="B252" s="64" t="n"/>
      <c r="C252" s="66" t="n"/>
      <c r="D252" s="65" t="n"/>
      <c r="E252" s="65" t="n"/>
      <c r="F252" s="126" t="n"/>
      <c r="G252" s="14" t="n"/>
      <c r="H252" s="127" t="n"/>
      <c r="I252" s="128" t="n"/>
      <c r="J252" s="129" t="n"/>
      <c r="K252" s="88" t="n"/>
    </row>
    <row r="253" ht="15.75" customHeight="1" s="209">
      <c r="B253" s="64" t="n"/>
      <c r="C253" s="68" t="n"/>
      <c r="D253" s="69" t="n"/>
      <c r="E253" s="69" t="n"/>
      <c r="F253" s="130" t="n"/>
      <c r="G253" s="23" t="n"/>
      <c r="H253" s="131" t="n"/>
      <c r="I253" s="132" t="n"/>
      <c r="J253" s="133" t="n"/>
      <c r="K253" s="95" t="n"/>
    </row>
    <row r="254" ht="15.75" customHeight="1" s="209">
      <c r="B254" s="64" t="n"/>
      <c r="C254" s="66" t="n"/>
      <c r="D254" s="65" t="n"/>
      <c r="E254" s="65" t="n"/>
      <c r="F254" s="126" t="n"/>
      <c r="G254" s="14" t="n"/>
      <c r="H254" s="127" t="n"/>
      <c r="I254" s="128" t="n"/>
      <c r="J254" s="129" t="n"/>
      <c r="K254" s="88" t="n"/>
    </row>
    <row r="255" ht="15.75" customHeight="1" s="209">
      <c r="B255" s="64" t="n"/>
      <c r="C255" s="68" t="n"/>
      <c r="D255" s="69" t="n"/>
      <c r="E255" s="69" t="n"/>
      <c r="F255" s="130" t="n"/>
      <c r="G255" s="23" t="n"/>
      <c r="H255" s="131" t="n"/>
      <c r="I255" s="132" t="n"/>
      <c r="J255" s="133" t="n"/>
      <c r="K255" s="95" t="n"/>
    </row>
    <row r="256" ht="15.75" customHeight="1" s="209">
      <c r="B256" s="64" t="n"/>
      <c r="C256" s="66" t="n"/>
      <c r="D256" s="65" t="n"/>
      <c r="E256" s="65" t="n"/>
      <c r="F256" s="126" t="n"/>
      <c r="G256" s="14" t="n"/>
      <c r="H256" s="127" t="n"/>
      <c r="I256" s="128" t="n"/>
      <c r="J256" s="129" t="n"/>
      <c r="K256" s="88" t="n"/>
    </row>
    <row r="257" ht="15.75" customHeight="1" s="209">
      <c r="B257" s="64" t="n"/>
      <c r="C257" s="68" t="n"/>
      <c r="D257" s="69" t="n"/>
      <c r="E257" s="69" t="n"/>
      <c r="F257" s="130" t="n"/>
      <c r="G257" s="23" t="n"/>
      <c r="H257" s="131" t="n"/>
      <c r="I257" s="132" t="n"/>
      <c r="J257" s="133" t="n"/>
      <c r="K257" s="95" t="n"/>
    </row>
    <row r="258" ht="15.75" customHeight="1" s="209">
      <c r="B258" s="64" t="n"/>
      <c r="C258" s="66" t="n"/>
      <c r="D258" s="65" t="n"/>
      <c r="E258" s="65" t="n"/>
      <c r="F258" s="126" t="n"/>
      <c r="G258" s="14" t="n"/>
      <c r="H258" s="127" t="n"/>
      <c r="I258" s="128" t="n"/>
      <c r="J258" s="129" t="n"/>
      <c r="K258" s="88" t="n"/>
    </row>
    <row r="259" ht="15.75" customHeight="1" s="209">
      <c r="B259" s="64" t="n"/>
      <c r="C259" s="68" t="n"/>
      <c r="D259" s="69" t="n"/>
      <c r="E259" s="69" t="n"/>
      <c r="F259" s="130" t="n"/>
      <c r="G259" s="23" t="n"/>
      <c r="H259" s="131" t="n"/>
      <c r="I259" s="132" t="n"/>
      <c r="J259" s="133" t="n"/>
      <c r="K259" s="95" t="n"/>
    </row>
    <row r="260" ht="15.75" customHeight="1" s="209">
      <c r="B260" s="64" t="n"/>
      <c r="C260" s="66" t="n"/>
      <c r="D260" s="65" t="n"/>
      <c r="E260" s="65" t="n"/>
      <c r="F260" s="126" t="n"/>
      <c r="G260" s="14" t="n"/>
      <c r="H260" s="127" t="n"/>
      <c r="I260" s="128" t="n"/>
      <c r="J260" s="129" t="n"/>
      <c r="K260" s="88" t="n"/>
    </row>
    <row r="261" ht="15.75" customHeight="1" s="209">
      <c r="B261" s="64" t="n"/>
      <c r="C261" s="68" t="n"/>
      <c r="D261" s="69" t="n"/>
      <c r="E261" s="69" t="n"/>
      <c r="F261" s="130" t="n"/>
      <c r="G261" s="23" t="n"/>
      <c r="H261" s="131" t="n"/>
      <c r="I261" s="132" t="n"/>
      <c r="J261" s="133" t="n"/>
      <c r="K261" s="95" t="n"/>
    </row>
    <row r="262" ht="15.75" customHeight="1" s="209">
      <c r="B262" s="64" t="n"/>
      <c r="C262" s="66" t="n"/>
      <c r="D262" s="65" t="n"/>
      <c r="E262" s="65" t="n"/>
      <c r="F262" s="126" t="n"/>
      <c r="G262" s="14" t="n"/>
      <c r="H262" s="127" t="n"/>
      <c r="I262" s="128" t="n"/>
      <c r="J262" s="129" t="n"/>
      <c r="K262" s="88" t="n"/>
    </row>
    <row r="263" ht="15.75" customHeight="1" s="209">
      <c r="B263" s="64" t="n"/>
      <c r="C263" s="68" t="n"/>
      <c r="D263" s="69" t="n"/>
      <c r="E263" s="69" t="n"/>
      <c r="F263" s="130" t="n"/>
      <c r="G263" s="23" t="n"/>
      <c r="H263" s="131" t="n"/>
      <c r="I263" s="132" t="n"/>
      <c r="J263" s="133" t="n"/>
      <c r="K263" s="95" t="n"/>
    </row>
    <row r="264" ht="15.75" customHeight="1" s="209">
      <c r="B264" s="64" t="n"/>
      <c r="C264" s="66" t="n"/>
      <c r="D264" s="65" t="n"/>
      <c r="E264" s="65" t="n"/>
      <c r="F264" s="126" t="n"/>
      <c r="G264" s="14" t="n"/>
      <c r="H264" s="127" t="n"/>
      <c r="I264" s="128" t="n"/>
      <c r="J264" s="129" t="n"/>
      <c r="K264" s="88" t="n"/>
    </row>
    <row r="265" ht="15.75" customHeight="1" s="209">
      <c r="B265" s="64" t="n"/>
      <c r="C265" s="68" t="n"/>
      <c r="D265" s="69" t="n"/>
      <c r="E265" s="69" t="n"/>
      <c r="F265" s="130" t="n"/>
      <c r="G265" s="23" t="n"/>
      <c r="H265" s="131" t="n"/>
      <c r="I265" s="132" t="n"/>
      <c r="J265" s="133" t="n"/>
      <c r="K265" s="95" t="n"/>
    </row>
    <row r="266" ht="15.75" customHeight="1" s="209">
      <c r="B266" s="64" t="n"/>
      <c r="C266" s="66" t="n"/>
      <c r="D266" s="65" t="n"/>
      <c r="E266" s="65" t="n"/>
      <c r="F266" s="126" t="n"/>
      <c r="G266" s="14" t="n"/>
      <c r="H266" s="127" t="n"/>
      <c r="I266" s="128" t="n"/>
      <c r="J266" s="129" t="n"/>
      <c r="K266" s="88" t="n"/>
    </row>
    <row r="267" ht="15.75" customHeight="1" s="209">
      <c r="B267" s="64" t="n"/>
      <c r="C267" s="68" t="n"/>
      <c r="D267" s="69" t="n"/>
      <c r="E267" s="69" t="n"/>
      <c r="F267" s="130" t="n"/>
      <c r="G267" s="23" t="n"/>
      <c r="H267" s="131" t="n"/>
      <c r="I267" s="132" t="n"/>
      <c r="J267" s="133" t="n"/>
      <c r="K267" s="95" t="n"/>
    </row>
    <row r="268" ht="15.75" customHeight="1" s="209">
      <c r="B268" s="64" t="n"/>
      <c r="C268" s="66" t="n"/>
      <c r="D268" s="65" t="n"/>
      <c r="E268" s="65" t="n"/>
      <c r="F268" s="126" t="n"/>
      <c r="G268" s="14" t="n"/>
      <c r="H268" s="127" t="n"/>
      <c r="I268" s="128" t="n"/>
      <c r="J268" s="129" t="n"/>
      <c r="K268" s="88" t="n"/>
    </row>
    <row r="269" ht="15.75" customHeight="1" s="209">
      <c r="B269" s="64" t="n"/>
      <c r="C269" s="68" t="n"/>
      <c r="D269" s="69" t="n"/>
      <c r="E269" s="69" t="n"/>
      <c r="F269" s="130" t="n"/>
      <c r="G269" s="23" t="n"/>
      <c r="H269" s="131" t="n"/>
      <c r="I269" s="132" t="n"/>
      <c r="J269" s="133" t="n"/>
      <c r="K269" s="95" t="n"/>
    </row>
    <row r="270" ht="15.75" customHeight="1" s="209">
      <c r="B270" s="64" t="n"/>
      <c r="C270" s="66" t="n"/>
      <c r="D270" s="65" t="n"/>
      <c r="E270" s="65" t="n"/>
      <c r="F270" s="126" t="n"/>
      <c r="G270" s="14" t="n"/>
      <c r="H270" s="127" t="n"/>
      <c r="I270" s="128" t="n"/>
      <c r="J270" s="129" t="n"/>
      <c r="K270" s="88" t="n"/>
    </row>
    <row r="271" ht="15.75" customHeight="1" s="209">
      <c r="B271" s="64" t="n"/>
      <c r="C271" s="68" t="n"/>
      <c r="D271" s="69" t="n"/>
      <c r="E271" s="69" t="n"/>
      <c r="F271" s="130" t="n"/>
      <c r="G271" s="23" t="n"/>
      <c r="H271" s="131" t="n"/>
      <c r="I271" s="132" t="n"/>
      <c r="J271" s="133" t="n"/>
      <c r="K271" s="95" t="n"/>
    </row>
    <row r="272" ht="15.75" customHeight="1" s="209">
      <c r="B272" s="64" t="n"/>
      <c r="C272" s="66" t="n"/>
      <c r="D272" s="65" t="n"/>
      <c r="E272" s="65" t="n"/>
      <c r="F272" s="126" t="n"/>
      <c r="G272" s="14" t="n"/>
      <c r="H272" s="127" t="n"/>
      <c r="I272" s="128" t="n"/>
      <c r="J272" s="129" t="n"/>
      <c r="K272" s="88" t="n"/>
    </row>
    <row r="273" ht="15.75" customHeight="1" s="209">
      <c r="B273" s="64" t="n"/>
      <c r="C273" s="68" t="n"/>
      <c r="D273" s="69" t="n"/>
      <c r="E273" s="69" t="n"/>
      <c r="F273" s="130" t="n"/>
      <c r="G273" s="23" t="n"/>
      <c r="H273" s="131" t="n"/>
      <c r="I273" s="132" t="n"/>
      <c r="J273" s="133" t="n"/>
      <c r="K273" s="95" t="n"/>
    </row>
    <row r="274" ht="15.75" customHeight="1" s="209">
      <c r="B274" s="64" t="n"/>
      <c r="C274" s="66" t="n"/>
      <c r="D274" s="65" t="n"/>
      <c r="E274" s="65" t="n"/>
      <c r="F274" s="126" t="n"/>
      <c r="G274" s="14" t="n"/>
      <c r="H274" s="127" t="n"/>
      <c r="I274" s="128" t="n"/>
      <c r="J274" s="129" t="n"/>
      <c r="K274" s="88" t="n"/>
    </row>
    <row r="275" ht="15.75" customHeight="1" s="209">
      <c r="B275" s="64" t="n"/>
      <c r="C275" s="68" t="n"/>
      <c r="D275" s="69" t="n"/>
      <c r="E275" s="69" t="n"/>
      <c r="F275" s="130" t="n"/>
      <c r="G275" s="23" t="n"/>
      <c r="H275" s="131" t="n"/>
      <c r="I275" s="132" t="n"/>
      <c r="J275" s="133" t="n"/>
      <c r="K275" s="95" t="n"/>
    </row>
    <row r="276" ht="15.75" customHeight="1" s="209">
      <c r="B276" s="64" t="n"/>
      <c r="C276" s="66" t="n"/>
      <c r="D276" s="65" t="n"/>
      <c r="E276" s="65" t="n"/>
      <c r="F276" s="126" t="n"/>
      <c r="G276" s="14" t="n"/>
      <c r="H276" s="127" t="n"/>
      <c r="I276" s="128" t="n"/>
      <c r="J276" s="129" t="n"/>
      <c r="K276" s="88" t="n"/>
    </row>
    <row r="277" ht="15.75" customHeight="1" s="209">
      <c r="B277" s="64" t="n"/>
      <c r="C277" s="68" t="n"/>
      <c r="D277" s="69" t="n"/>
      <c r="E277" s="69" t="n"/>
      <c r="F277" s="130" t="n"/>
      <c r="G277" s="23" t="n"/>
      <c r="H277" s="131" t="n"/>
      <c r="I277" s="132" t="n"/>
      <c r="J277" s="133" t="n"/>
      <c r="K277" s="95" t="n"/>
    </row>
    <row r="278" ht="15.75" customHeight="1" s="209">
      <c r="B278" s="64" t="n"/>
      <c r="C278" s="66" t="n"/>
      <c r="D278" s="65" t="n"/>
      <c r="E278" s="65" t="n"/>
      <c r="F278" s="126" t="n"/>
      <c r="G278" s="14" t="n"/>
      <c r="H278" s="127" t="n"/>
      <c r="I278" s="128" t="n"/>
      <c r="J278" s="129" t="n"/>
      <c r="K278" s="88" t="n"/>
    </row>
    <row r="279" ht="15.75" customHeight="1" s="209">
      <c r="B279" s="64" t="n"/>
      <c r="C279" s="68" t="n"/>
      <c r="D279" s="69" t="n"/>
      <c r="E279" s="69" t="n"/>
      <c r="F279" s="130" t="n"/>
      <c r="G279" s="23" t="n"/>
      <c r="H279" s="131" t="n"/>
      <c r="I279" s="132" t="n"/>
      <c r="J279" s="133" t="n"/>
      <c r="K279" s="95" t="n"/>
    </row>
    <row r="280" ht="15.75" customHeight="1" s="209">
      <c r="B280" s="64" t="n"/>
      <c r="C280" s="66" t="n"/>
      <c r="D280" s="65" t="n"/>
      <c r="E280" s="65" t="n"/>
      <c r="F280" s="126" t="n"/>
      <c r="G280" s="14" t="n"/>
      <c r="H280" s="127" t="n"/>
      <c r="I280" s="128" t="n"/>
      <c r="J280" s="129" t="n"/>
      <c r="K280" s="88" t="n"/>
    </row>
    <row r="281" ht="15.75" customHeight="1" s="209">
      <c r="B281" s="64" t="n"/>
      <c r="C281" s="68" t="n"/>
      <c r="D281" s="69" t="n"/>
      <c r="E281" s="69" t="n"/>
      <c r="F281" s="130" t="n"/>
      <c r="G281" s="23" t="n"/>
      <c r="H281" s="131" t="n"/>
      <c r="I281" s="132" t="n"/>
      <c r="J281" s="133" t="n"/>
      <c r="K281" s="95" t="n"/>
    </row>
    <row r="282" ht="15.75" customHeight="1" s="209">
      <c r="B282" s="64" t="n"/>
      <c r="C282" s="66" t="n"/>
      <c r="D282" s="65" t="n"/>
      <c r="E282" s="65" t="n"/>
      <c r="F282" s="126" t="n"/>
      <c r="G282" s="14" t="n"/>
      <c r="H282" s="127" t="n"/>
      <c r="I282" s="128" t="n"/>
      <c r="J282" s="129" t="n"/>
      <c r="K282" s="88" t="n"/>
    </row>
    <row r="283" ht="15.75" customHeight="1" s="209">
      <c r="B283" s="64" t="n"/>
      <c r="C283" s="68" t="n"/>
      <c r="D283" s="69" t="n"/>
      <c r="E283" s="69" t="n"/>
      <c r="F283" s="130" t="n"/>
      <c r="G283" s="23" t="n"/>
      <c r="H283" s="131" t="n"/>
      <c r="I283" s="132" t="n"/>
      <c r="J283" s="133" t="n"/>
      <c r="K283" s="95" t="n"/>
    </row>
    <row r="284" ht="15.75" customHeight="1" s="209">
      <c r="B284" s="64" t="n"/>
      <c r="C284" s="66" t="n"/>
      <c r="D284" s="65" t="n"/>
      <c r="E284" s="65" t="n"/>
      <c r="F284" s="126" t="n"/>
      <c r="G284" s="14" t="n"/>
      <c r="H284" s="127" t="n"/>
      <c r="I284" s="128" t="n"/>
      <c r="J284" s="129" t="n"/>
      <c r="K284" s="88" t="n"/>
    </row>
    <row r="285" ht="15.75" customHeight="1" s="209">
      <c r="B285" s="64" t="n"/>
      <c r="C285" s="68" t="n"/>
      <c r="D285" s="69" t="n"/>
      <c r="E285" s="69" t="n"/>
      <c r="F285" s="130" t="n"/>
      <c r="G285" s="23" t="n"/>
      <c r="H285" s="131" t="n"/>
      <c r="I285" s="132" t="n"/>
      <c r="J285" s="133" t="n"/>
      <c r="K285" s="95" t="n"/>
    </row>
    <row r="286" ht="15.75" customHeight="1" s="209">
      <c r="B286" s="64" t="n"/>
      <c r="C286" s="66" t="n"/>
      <c r="D286" s="65" t="n"/>
      <c r="E286" s="65" t="n"/>
      <c r="F286" s="126" t="n"/>
      <c r="G286" s="14" t="n"/>
      <c r="H286" s="127" t="n"/>
      <c r="I286" s="128" t="n"/>
      <c r="J286" s="129" t="n"/>
      <c r="K286" s="88" t="n"/>
    </row>
    <row r="287" ht="15.75" customHeight="1" s="209">
      <c r="B287" s="64" t="n"/>
      <c r="C287" s="68" t="n"/>
      <c r="D287" s="69" t="n"/>
      <c r="E287" s="69" t="n"/>
      <c r="F287" s="130" t="n"/>
      <c r="G287" s="23" t="n"/>
      <c r="H287" s="131" t="n"/>
      <c r="I287" s="132" t="n"/>
      <c r="J287" s="133" t="n"/>
      <c r="K287" s="95" t="n"/>
    </row>
    <row r="288" ht="15.75" customHeight="1" s="209">
      <c r="B288" s="64" t="n"/>
      <c r="C288" s="66" t="n"/>
      <c r="D288" s="65" t="n"/>
      <c r="E288" s="65" t="n"/>
      <c r="F288" s="126" t="n"/>
      <c r="G288" s="14" t="n"/>
      <c r="H288" s="127" t="n"/>
      <c r="I288" s="128" t="n"/>
      <c r="J288" s="129" t="n"/>
      <c r="K288" s="88" t="n"/>
    </row>
    <row r="289" ht="15.75" customHeight="1" s="209">
      <c r="B289" s="64" t="n"/>
      <c r="C289" s="68" t="n"/>
      <c r="D289" s="69" t="n"/>
      <c r="E289" s="69" t="n"/>
      <c r="F289" s="130" t="n"/>
      <c r="G289" s="23" t="n"/>
      <c r="H289" s="131" t="n"/>
      <c r="I289" s="132" t="n"/>
      <c r="J289" s="133" t="n"/>
      <c r="K289" s="95" t="n"/>
    </row>
    <row r="290" ht="15.75" customHeight="1" s="209">
      <c r="B290" s="64" t="n"/>
      <c r="C290" s="66" t="n"/>
      <c r="D290" s="65" t="n"/>
      <c r="E290" s="65" t="n"/>
      <c r="F290" s="126" t="n"/>
      <c r="G290" s="14" t="n"/>
      <c r="H290" s="127" t="n"/>
      <c r="I290" s="128" t="n"/>
      <c r="J290" s="129" t="n"/>
      <c r="K290" s="88" t="n"/>
    </row>
    <row r="291" ht="15.75" customHeight="1" s="209">
      <c r="B291" s="64" t="n"/>
      <c r="C291" s="68" t="n"/>
      <c r="D291" s="69" t="n"/>
      <c r="E291" s="69" t="n"/>
      <c r="F291" s="130" t="n"/>
      <c r="G291" s="23" t="n"/>
      <c r="H291" s="131" t="n"/>
      <c r="I291" s="132" t="n"/>
      <c r="J291" s="133" t="n"/>
      <c r="K291" s="95" t="n"/>
    </row>
    <row r="292" ht="15.75" customHeight="1" s="209">
      <c r="B292" s="64" t="n"/>
      <c r="C292" s="66" t="n"/>
      <c r="D292" s="65" t="n"/>
      <c r="E292" s="65" t="n"/>
      <c r="F292" s="126" t="n"/>
      <c r="G292" s="14" t="n"/>
      <c r="H292" s="127" t="n"/>
      <c r="I292" s="128" t="n"/>
      <c r="J292" s="129" t="n"/>
      <c r="K292" s="88" t="n"/>
    </row>
    <row r="293" ht="15.75" customHeight="1" s="209">
      <c r="B293" s="64" t="n"/>
      <c r="C293" s="68" t="n"/>
      <c r="D293" s="69" t="n"/>
      <c r="E293" s="69" t="n"/>
      <c r="F293" s="130" t="n"/>
      <c r="G293" s="23" t="n"/>
      <c r="H293" s="131" t="n"/>
      <c r="I293" s="132" t="n"/>
      <c r="J293" s="133" t="n"/>
      <c r="K293" s="95" t="n"/>
    </row>
    <row r="294" ht="15.75" customHeight="1" s="209">
      <c r="B294" s="64" t="n"/>
      <c r="C294" s="66" t="n"/>
      <c r="D294" s="65" t="n"/>
      <c r="E294" s="65" t="n"/>
      <c r="F294" s="126" t="n"/>
      <c r="G294" s="14" t="n"/>
      <c r="H294" s="127" t="n"/>
      <c r="I294" s="128" t="n"/>
      <c r="J294" s="129" t="n"/>
      <c r="K294" s="88" t="n"/>
    </row>
    <row r="295" ht="15.75" customHeight="1" s="209">
      <c r="B295" s="64" t="n"/>
      <c r="C295" s="68" t="n"/>
      <c r="D295" s="69" t="n"/>
      <c r="E295" s="69" t="n"/>
      <c r="F295" s="130" t="n"/>
      <c r="G295" s="23" t="n"/>
      <c r="H295" s="131" t="n"/>
      <c r="I295" s="132" t="n"/>
      <c r="J295" s="133" t="n"/>
      <c r="K295" s="95" t="n"/>
    </row>
    <row r="296" ht="15.75" customHeight="1" s="209">
      <c r="B296" s="64" t="n"/>
      <c r="C296" s="66" t="n"/>
      <c r="D296" s="65" t="n"/>
      <c r="E296" s="65" t="n"/>
      <c r="F296" s="126" t="n"/>
      <c r="G296" s="14" t="n"/>
      <c r="H296" s="127" t="n"/>
      <c r="I296" s="128" t="n"/>
      <c r="J296" s="129" t="n"/>
      <c r="K296" s="88" t="n"/>
    </row>
    <row r="297" ht="15.75" customHeight="1" s="209">
      <c r="B297" s="64" t="n"/>
      <c r="C297" s="68" t="n"/>
      <c r="D297" s="69" t="n"/>
      <c r="E297" s="69" t="n"/>
      <c r="F297" s="130" t="n"/>
      <c r="G297" s="23" t="n"/>
      <c r="H297" s="131" t="n"/>
      <c r="I297" s="132" t="n"/>
      <c r="J297" s="133" t="n"/>
      <c r="K297" s="95" t="n"/>
    </row>
    <row r="298" ht="15.75" customHeight="1" s="209">
      <c r="B298" s="64" t="n"/>
      <c r="C298" s="66" t="n"/>
      <c r="D298" s="65" t="n"/>
      <c r="E298" s="65" t="n"/>
      <c r="F298" s="126" t="n"/>
      <c r="G298" s="14" t="n"/>
      <c r="H298" s="127" t="n"/>
      <c r="I298" s="128" t="n"/>
      <c r="J298" s="129" t="n"/>
      <c r="K298" s="88" t="n"/>
    </row>
    <row r="299" ht="15.75" customHeight="1" s="209">
      <c r="B299" s="64" t="n"/>
      <c r="C299" s="68" t="n"/>
      <c r="D299" s="69" t="n"/>
      <c r="E299" s="69" t="n"/>
      <c r="F299" s="130" t="n"/>
      <c r="G299" s="23" t="n"/>
      <c r="H299" s="131" t="n"/>
      <c r="I299" s="132" t="n"/>
      <c r="J299" s="133" t="n"/>
      <c r="K299" s="95" t="n"/>
    </row>
    <row r="300" ht="15.75" customHeight="1" s="209">
      <c r="B300" s="64" t="n"/>
      <c r="C300" s="66" t="n"/>
      <c r="D300" s="65" t="n"/>
      <c r="E300" s="65" t="n"/>
      <c r="F300" s="126" t="n"/>
      <c r="G300" s="14" t="n"/>
      <c r="H300" s="127" t="n"/>
      <c r="I300" s="128" t="n"/>
      <c r="J300" s="129" t="n"/>
      <c r="K300" s="88" t="n"/>
    </row>
    <row r="301" ht="15.75" customHeight="1" s="209">
      <c r="B301" s="64" t="n"/>
      <c r="C301" s="68" t="n"/>
      <c r="D301" s="69" t="n"/>
      <c r="E301" s="69" t="n"/>
      <c r="F301" s="130" t="n"/>
      <c r="G301" s="23" t="n"/>
      <c r="H301" s="131" t="n"/>
      <c r="I301" s="132" t="n"/>
      <c r="J301" s="133" t="n"/>
      <c r="K301" s="95" t="n"/>
    </row>
    <row r="302" ht="15.75" customHeight="1" s="209">
      <c r="B302" s="64" t="n"/>
      <c r="C302" s="66" t="n"/>
      <c r="D302" s="65" t="n"/>
      <c r="E302" s="65" t="n"/>
      <c r="F302" s="126" t="n"/>
      <c r="G302" s="14" t="n"/>
      <c r="H302" s="127" t="n"/>
      <c r="I302" s="128" t="n"/>
      <c r="J302" s="129" t="n"/>
      <c r="K302" s="88" t="n"/>
    </row>
    <row r="303" ht="15.75" customHeight="1" s="209">
      <c r="B303" s="64" t="n"/>
      <c r="C303" s="68" t="n"/>
      <c r="D303" s="69" t="n"/>
      <c r="E303" s="69" t="n"/>
      <c r="F303" s="130" t="n"/>
      <c r="G303" s="23" t="n"/>
      <c r="H303" s="131" t="n"/>
      <c r="I303" s="132" t="n"/>
      <c r="J303" s="133" t="n"/>
      <c r="K303" s="95" t="n"/>
    </row>
    <row r="304" ht="15.75" customHeight="1" s="209">
      <c r="B304" s="64" t="n"/>
      <c r="C304" s="66" t="n"/>
      <c r="D304" s="65" t="n"/>
      <c r="E304" s="65" t="n"/>
      <c r="F304" s="126" t="n"/>
      <c r="G304" s="14" t="n"/>
      <c r="H304" s="127" t="n"/>
      <c r="I304" s="128" t="n"/>
      <c r="J304" s="129" t="n"/>
      <c r="K304" s="88" t="n"/>
    </row>
    <row r="305" ht="15.75" customHeight="1" s="209">
      <c r="B305" s="64" t="n"/>
      <c r="C305" s="68" t="n"/>
      <c r="D305" s="69" t="n"/>
      <c r="E305" s="69" t="n"/>
      <c r="F305" s="130" t="n"/>
      <c r="G305" s="23" t="n"/>
      <c r="H305" s="131" t="n"/>
      <c r="I305" s="132" t="n"/>
      <c r="J305" s="133" t="n"/>
      <c r="K305" s="95" t="n"/>
    </row>
    <row r="306" ht="15.75" customHeight="1" s="209">
      <c r="B306" s="64" t="n"/>
      <c r="C306" s="66" t="n"/>
      <c r="D306" s="65" t="n"/>
      <c r="E306" s="65" t="n"/>
      <c r="F306" s="126" t="n"/>
      <c r="G306" s="14" t="n"/>
      <c r="H306" s="127" t="n"/>
      <c r="I306" s="128" t="n"/>
      <c r="J306" s="129" t="n"/>
      <c r="K306" s="88" t="n"/>
    </row>
    <row r="307" ht="15.75" customHeight="1" s="209">
      <c r="B307" s="64" t="n"/>
      <c r="C307" s="68" t="n"/>
      <c r="D307" s="69" t="n"/>
      <c r="E307" s="69" t="n"/>
      <c r="F307" s="130" t="n"/>
      <c r="G307" s="23" t="n"/>
      <c r="H307" s="131" t="n"/>
      <c r="I307" s="132" t="n"/>
      <c r="J307" s="133" t="n"/>
      <c r="K307" s="95" t="n"/>
    </row>
    <row r="308" ht="15.75" customHeight="1" s="209">
      <c r="B308" s="64" t="n"/>
      <c r="C308" s="66" t="n"/>
      <c r="D308" s="65" t="n"/>
      <c r="E308" s="65" t="n"/>
      <c r="F308" s="126" t="n"/>
      <c r="G308" s="14" t="n"/>
      <c r="H308" s="127" t="n"/>
      <c r="I308" s="128" t="n"/>
      <c r="J308" s="129" t="n"/>
      <c r="K308" s="88" t="n"/>
    </row>
    <row r="309" ht="15.75" customHeight="1" s="209">
      <c r="B309" s="64" t="n"/>
      <c r="C309" s="68" t="n"/>
      <c r="D309" s="69" t="n"/>
      <c r="E309" s="69" t="n"/>
      <c r="F309" s="130" t="n"/>
      <c r="G309" s="23" t="n"/>
      <c r="H309" s="131" t="n"/>
      <c r="I309" s="132" t="n"/>
      <c r="J309" s="133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09" min="2" max="2"/>
    <col width="14.33203125" bestFit="1" customWidth="1" style="209" min="3" max="3"/>
    <col width="44" bestFit="1" customWidth="1" style="209" min="4" max="4"/>
    <col width="87.77734375" bestFit="1" customWidth="1" style="209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09" min="1" max="1"/>
    <col width="30" customWidth="1" style="209" min="2" max="2"/>
    <col width="16" customWidth="1" style="209" min="3" max="8"/>
    <col width="18" customWidth="1" style="209" min="9" max="9"/>
  </cols>
  <sheetData>
    <row r="1" ht="4.5" customHeight="1" s="209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09">
      <c r="A2" s="208" t="inlineStr">
        <is>
          <t>📈  LOKA — MONTHLY P&amp;L</t>
        </is>
      </c>
      <c r="E2" s="211" t="inlineStr">
        <is>
          <t>Revenue &amp; Expense summary — fill monthly totals from Daily Log &amp; Expenses</t>
        </is>
      </c>
    </row>
    <row r="3" ht="3.75" customHeight="1" s="209">
      <c r="A3" s="210" t="n"/>
    </row>
    <row r="4" ht="7.5" customHeight="1" s="209"/>
    <row r="5" ht="9.75" customHeight="1" s="209"/>
    <row r="6" ht="21.75" customHeight="1" s="209">
      <c r="B6" s="134" t="inlineStr">
        <is>
          <t>YEAR:</t>
        </is>
      </c>
      <c r="C6" s="135" t="n">
        <v>2025</v>
      </c>
    </row>
    <row r="7" ht="7.5" customHeight="1" s="209">
      <c r="C7" t="n">
        <v>2026</v>
      </c>
    </row>
    <row r="8" ht="27.75" customHeight="1" s="209">
      <c r="B8" s="218" t="n"/>
      <c r="C8" s="218" t="n"/>
      <c r="D8" s="218" t="n"/>
      <c r="E8" s="218" t="n"/>
      <c r="F8" s="218" t="n"/>
      <c r="G8" s="218" t="n"/>
      <c r="H8" s="218" t="n"/>
      <c r="I8" s="218" t="n"/>
    </row>
    <row r="9" ht="19.5" customHeight="1" s="209">
      <c r="B9" s="237" t="n"/>
      <c r="C9" s="238" t="n"/>
      <c r="D9" s="238" t="n"/>
      <c r="E9" s="238" t="n"/>
      <c r="F9" s="238" t="n"/>
      <c r="G9" s="238" t="n"/>
      <c r="H9" s="238" t="n"/>
      <c r="I9" s="238" t="n"/>
    </row>
    <row r="10" ht="18" customHeight="1" s="209">
      <c r="B10" s="136" t="n"/>
      <c r="C10" s="93" t="n"/>
      <c r="D10" s="93" t="n"/>
      <c r="E10" s="93" t="n"/>
      <c r="F10" s="93" t="n"/>
      <c r="G10" s="93" t="n"/>
      <c r="H10" s="93" t="n"/>
      <c r="I10" s="117" t="n"/>
    </row>
    <row r="11" ht="19.5" customHeight="1" s="209">
      <c r="B11" s="237" t="n"/>
      <c r="C11" s="238" t="n"/>
      <c r="D11" s="238" t="n"/>
      <c r="E11" s="238" t="n"/>
      <c r="F11" s="238" t="n"/>
      <c r="G11" s="238" t="n"/>
      <c r="H11" s="238" t="n"/>
      <c r="I11" s="238" t="n"/>
    </row>
    <row r="12" ht="18" customHeight="1" s="209">
      <c r="B12" s="137" t="n"/>
      <c r="C12" s="93" t="n"/>
      <c r="D12" s="93" t="n"/>
      <c r="E12" s="93" t="n"/>
      <c r="F12" s="93" t="n"/>
      <c r="G12" s="93" t="n"/>
      <c r="H12" s="93" t="n"/>
      <c r="I12" s="138" t="n"/>
    </row>
    <row r="13" ht="18" customHeight="1" s="209">
      <c r="B13" s="139" t="n"/>
      <c r="C13" s="86" t="n"/>
      <c r="D13" s="86" t="n"/>
      <c r="E13" s="86" t="n"/>
      <c r="F13" s="86" t="n"/>
      <c r="G13" s="86" t="n"/>
      <c r="H13" s="86" t="n"/>
      <c r="I13" s="140" t="n"/>
    </row>
    <row r="14" ht="18" customHeight="1" s="209">
      <c r="B14" s="141" t="n"/>
      <c r="C14" s="115" t="n"/>
      <c r="D14" s="115" t="n"/>
      <c r="E14" s="115" t="n"/>
      <c r="F14" s="115" t="n"/>
      <c r="G14" s="115" t="n"/>
      <c r="H14" s="115" t="n"/>
      <c r="I14" s="115" t="n"/>
    </row>
    <row r="15" ht="18" customHeight="1" s="209">
      <c r="B15" s="142" t="n"/>
      <c r="C15" s="113" t="n"/>
      <c r="D15" s="113" t="n"/>
      <c r="E15" s="113" t="n"/>
      <c r="F15" s="113" t="n"/>
      <c r="G15" s="113" t="n"/>
      <c r="H15" s="113" t="n"/>
      <c r="I15" s="113" t="n"/>
    </row>
    <row r="16" ht="18" customHeight="1" s="209">
      <c r="B16" s="143" t="n"/>
      <c r="C16" s="144" t="n"/>
      <c r="D16" s="144" t="n"/>
      <c r="E16" s="144" t="n"/>
      <c r="F16" s="144" t="n"/>
      <c r="G16" s="144" t="n"/>
      <c r="H16" s="144" t="n"/>
      <c r="I16" s="144" t="n"/>
    </row>
    <row r="17" ht="19.5" customHeight="1" s="209">
      <c r="B17" s="237" t="n"/>
      <c r="C17" s="238" t="n"/>
      <c r="D17" s="238" t="n"/>
      <c r="E17" s="238" t="n"/>
      <c r="F17" s="238" t="n"/>
      <c r="G17" s="238" t="n"/>
      <c r="H17" s="238" t="n"/>
      <c r="I17" s="238" t="n"/>
    </row>
    <row r="18" ht="18" customHeight="1" s="209">
      <c r="B18" s="137" t="n"/>
      <c r="C18" s="93" t="n"/>
      <c r="D18" s="93" t="n"/>
      <c r="E18" s="93" t="n"/>
      <c r="F18" s="93" t="n"/>
      <c r="G18" s="93" t="n"/>
      <c r="H18" s="93" t="n"/>
      <c r="I18" s="138" t="n"/>
    </row>
    <row r="19" ht="18" customHeight="1" s="209">
      <c r="B19" s="139" t="n"/>
      <c r="C19" s="86" t="n"/>
      <c r="D19" s="86" t="n"/>
      <c r="E19" s="86" t="n"/>
      <c r="F19" s="86" t="n"/>
      <c r="G19" s="86" t="n"/>
      <c r="H19" s="86" t="n"/>
      <c r="I19" s="140" t="n"/>
    </row>
    <row r="20" ht="18" customHeight="1" s="209">
      <c r="B20" s="137" t="n"/>
      <c r="C20" s="93" t="n"/>
      <c r="D20" s="93" t="n"/>
      <c r="E20" s="93" t="n"/>
      <c r="F20" s="93" t="n"/>
      <c r="G20" s="93" t="n"/>
      <c r="H20" s="93" t="n"/>
      <c r="I20" s="138" t="n"/>
    </row>
    <row r="21" ht="18" customHeight="1" s="209">
      <c r="B21" s="139" t="n"/>
      <c r="C21" s="86" t="n"/>
      <c r="D21" s="86" t="n"/>
      <c r="E21" s="86" t="n"/>
      <c r="F21" s="86" t="n"/>
      <c r="G21" s="86" t="n"/>
      <c r="H21" s="86" t="n"/>
      <c r="I21" s="140" t="n"/>
    </row>
    <row r="22" ht="18" customHeight="1" s="209">
      <c r="B22" s="137" t="n"/>
      <c r="C22" s="93" t="n"/>
      <c r="D22" s="93" t="n"/>
      <c r="E22" s="93" t="n"/>
      <c r="F22" s="93" t="n"/>
      <c r="G22" s="93" t="n"/>
      <c r="H22" s="93" t="n"/>
      <c r="I22" s="138" t="n"/>
    </row>
    <row r="23" ht="18" customHeight="1" s="209">
      <c r="B23" s="141" t="n"/>
      <c r="C23" s="115" t="n"/>
      <c r="D23" s="115" t="n"/>
      <c r="E23" s="115" t="n"/>
      <c r="F23" s="115" t="n"/>
      <c r="G23" s="115" t="n"/>
      <c r="H23" s="115" t="n"/>
      <c r="I23" s="115" t="n"/>
    </row>
    <row r="24" ht="18" customHeight="1" s="209">
      <c r="B24" s="145" t="n"/>
      <c r="C24" s="146" t="n"/>
      <c r="D24" s="146" t="n"/>
      <c r="E24" s="146" t="n"/>
      <c r="F24" s="146" t="n"/>
      <c r="G24" s="146" t="n"/>
      <c r="H24" s="146" t="n"/>
      <c r="I24" s="146" t="n"/>
    </row>
    <row r="25" ht="18" customHeight="1" s="209">
      <c r="B25" s="147" t="n"/>
      <c r="C25" s="148" t="n"/>
      <c r="D25" s="148" t="n"/>
      <c r="E25" s="148" t="n"/>
      <c r="F25" s="148" t="n"/>
      <c r="G25" s="148" t="n"/>
      <c r="H25" s="148" t="n"/>
      <c r="I25" s="148" t="n"/>
    </row>
    <row r="26" ht="18" customHeight="1" s="209">
      <c r="B26" s="137" t="n"/>
      <c r="C26" s="93" t="n"/>
      <c r="D26" s="93" t="n"/>
      <c r="E26" s="93" t="n"/>
      <c r="F26" s="93" t="n"/>
      <c r="G26" s="93" t="n"/>
      <c r="H26" s="93" t="n"/>
      <c r="I26" s="138" t="n"/>
    </row>
    <row r="27" ht="18" customHeight="1" s="209">
      <c r="B27" s="139" t="n"/>
      <c r="C27" s="86" t="n"/>
      <c r="D27" s="86" t="n"/>
      <c r="E27" s="86" t="n"/>
      <c r="F27" s="86" t="n"/>
      <c r="G27" s="86" t="n"/>
      <c r="H27" s="86" t="n"/>
      <c r="I27" s="140" t="n"/>
    </row>
    <row r="28" ht="18" customHeight="1" s="209">
      <c r="B28" s="142" t="n"/>
      <c r="C28" s="113" t="n"/>
      <c r="D28" s="113" t="n"/>
      <c r="E28" s="113" t="n"/>
      <c r="F28" s="113" t="n"/>
      <c r="G28" s="113" t="n"/>
      <c r="H28" s="113" t="n"/>
      <c r="I28" s="113" t="n"/>
    </row>
    <row r="29" ht="18" customHeight="1" s="209">
      <c r="B29" s="143" t="n"/>
      <c r="C29" s="144" t="n"/>
      <c r="D29" s="144" t="n"/>
      <c r="E29" s="144" t="n"/>
      <c r="F29" s="144" t="n"/>
      <c r="G29" s="144" t="n"/>
      <c r="H29" s="144" t="n"/>
      <c r="I29" s="144" t="n"/>
    </row>
    <row r="30" ht="19.5" customHeight="1" s="209">
      <c r="B30" s="237" t="n"/>
      <c r="C30" s="238" t="n"/>
      <c r="D30" s="238" t="n"/>
      <c r="E30" s="238" t="n"/>
      <c r="F30" s="238" t="n"/>
      <c r="G30" s="238" t="n"/>
      <c r="H30" s="238" t="n"/>
      <c r="I30" s="238" t="n"/>
    </row>
    <row r="31" ht="18" customHeight="1" s="209">
      <c r="B31" s="110" t="n"/>
      <c r="C31" s="112" t="n"/>
      <c r="D31" s="112" t="n"/>
      <c r="E31" s="112" t="n"/>
      <c r="F31" s="112" t="n"/>
      <c r="G31" s="112" t="n"/>
      <c r="H31" s="112" t="n"/>
      <c r="I31" s="149" t="n"/>
    </row>
    <row r="32" ht="18" customHeight="1" s="209">
      <c r="B32" s="289" t="n"/>
      <c r="C32" s="150" t="n"/>
      <c r="D32" s="150" t="n"/>
      <c r="E32" s="150" t="n"/>
      <c r="F32" s="150" t="n"/>
      <c r="G32" s="150" t="n"/>
      <c r="H32" s="150" t="n"/>
      <c r="I32" s="150" t="n"/>
    </row>
    <row r="33" ht="18" customHeight="1" s="209">
      <c r="B33" s="110" t="n"/>
      <c r="C33" s="112" t="n"/>
      <c r="D33" s="112" t="n"/>
      <c r="E33" s="112" t="n"/>
      <c r="F33" s="112" t="n"/>
      <c r="G33" s="112" t="n"/>
      <c r="H33" s="112" t="n"/>
      <c r="I33" s="149" t="n"/>
    </row>
    <row r="34" ht="18" customHeight="1" s="209">
      <c r="B34" s="289" t="n"/>
      <c r="C34" s="150" t="n"/>
      <c r="D34" s="150" t="n"/>
      <c r="E34" s="150" t="n"/>
      <c r="F34" s="150" t="n"/>
      <c r="G34" s="150" t="n"/>
      <c r="H34" s="150" t="n"/>
      <c r="I34" s="150" t="n"/>
    </row>
    <row r="35" ht="7.5" customHeight="1" s="209"/>
    <row r="36" ht="19.5" customHeight="1" s="209">
      <c r="B36" s="237" t="n"/>
      <c r="C36" s="238" t="n"/>
      <c r="D36" s="238" t="n"/>
      <c r="E36" s="238" t="n"/>
      <c r="F36" s="238" t="n"/>
      <c r="G36" s="238" t="n"/>
      <c r="H36" s="238" t="n"/>
      <c r="I36" s="238" t="n"/>
    </row>
    <row r="37" ht="27.75" customHeight="1" s="209">
      <c r="B37" s="218" t="n"/>
      <c r="C37" s="218" t="n"/>
      <c r="D37" s="218" t="n"/>
      <c r="E37" s="218" t="n"/>
      <c r="F37" s="218" t="n"/>
      <c r="G37" s="218" t="n"/>
      <c r="H37" s="218" t="n"/>
      <c r="I37" s="218" t="n"/>
    </row>
    <row r="38" ht="18" customHeight="1" s="209">
      <c r="B38" s="136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09">
      <c r="B39" s="137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09">
      <c r="B40" s="139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09">
      <c r="B41" s="141" t="n"/>
      <c r="C41" s="151" t="n"/>
      <c r="D41" s="151" t="n"/>
      <c r="E41" s="151" t="n"/>
      <c r="F41" s="151" t="n"/>
      <c r="G41" s="151" t="n"/>
      <c r="H41" s="151" t="n"/>
      <c r="I41" s="151" t="n"/>
    </row>
    <row r="42" ht="18" customHeight="1" s="209">
      <c r="B42" s="142" t="n"/>
      <c r="C42" s="152" t="n"/>
      <c r="D42" s="152" t="n"/>
      <c r="E42" s="152" t="n"/>
      <c r="F42" s="152" t="n"/>
      <c r="G42" s="152" t="n"/>
      <c r="H42" s="152" t="n"/>
      <c r="I42" s="152" t="n"/>
    </row>
    <row r="43" ht="18" customHeight="1" s="209">
      <c r="B43" s="136" t="n"/>
      <c r="C43" s="120" t="n"/>
      <c r="D43" s="120" t="n"/>
      <c r="E43" s="120" t="n"/>
      <c r="F43" s="120" t="n"/>
      <c r="G43" s="120" t="n"/>
      <c r="H43" s="120" t="n"/>
      <c r="I43" s="120" t="n"/>
    </row>
    <row r="44" ht="18" customHeight="1" s="209">
      <c r="B44" s="137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09">
      <c r="B45" s="139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09">
      <c r="B46" s="137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09">
      <c r="B47" s="139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09">
      <c r="B48" s="137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09">
      <c r="B49" s="141" t="n"/>
      <c r="C49" s="151" t="n"/>
      <c r="D49" s="151" t="n"/>
      <c r="E49" s="151" t="n"/>
      <c r="F49" s="151" t="n"/>
      <c r="G49" s="151" t="n"/>
      <c r="H49" s="151" t="n"/>
      <c r="I49" s="151" t="n"/>
    </row>
    <row r="50" ht="18" customHeight="1" s="209">
      <c r="B50" s="153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09">
      <c r="B51" s="66" t="n"/>
      <c r="C51" s="114" t="n"/>
      <c r="D51" s="114" t="n"/>
      <c r="E51" s="114" t="n"/>
      <c r="F51" s="114" t="n"/>
      <c r="G51" s="114" t="n"/>
      <c r="H51" s="114" t="n"/>
      <c r="I51" s="114" t="n"/>
    </row>
    <row r="52" ht="18" customHeight="1" s="209">
      <c r="B52" s="137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09">
      <c r="B53" s="139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09">
      <c r="B54" s="142" t="n"/>
      <c r="C54" s="152" t="n"/>
      <c r="D54" s="152" t="n"/>
      <c r="E54" s="152" t="n"/>
      <c r="F54" s="152" t="n"/>
      <c r="G54" s="152" t="n"/>
      <c r="H54" s="152" t="n"/>
      <c r="I54" s="152" t="n"/>
    </row>
    <row r="55" ht="18" customHeight="1" s="209">
      <c r="B55" s="154" t="n"/>
      <c r="C55" s="114" t="n"/>
      <c r="D55" s="114" t="n"/>
      <c r="E55" s="114" t="n"/>
      <c r="F55" s="114" t="n"/>
      <c r="G55" s="114" t="n"/>
      <c r="H55" s="114" t="n"/>
      <c r="I55" s="114" t="n"/>
    </row>
    <row r="56" ht="18" customHeight="1" s="209">
      <c r="B56" s="110" t="n"/>
      <c r="C56" s="112" t="n"/>
      <c r="D56" s="112" t="n"/>
      <c r="E56" s="112" t="n"/>
      <c r="F56" s="112" t="n"/>
      <c r="G56" s="112" t="n"/>
      <c r="H56" s="112" t="n"/>
      <c r="I56" s="112" t="n"/>
    </row>
    <row r="57" ht="18" customHeight="1" s="209">
      <c r="B57" s="289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09">
      <c r="B58" s="110" t="n"/>
      <c r="C58" s="112" t="n"/>
      <c r="D58" s="112" t="n"/>
      <c r="E58" s="112" t="n"/>
      <c r="F58" s="112" t="n"/>
      <c r="G58" s="112" t="n"/>
      <c r="H58" s="112" t="n"/>
      <c r="I58" s="112" t="n"/>
    </row>
    <row r="59" ht="18" customHeight="1" s="209">
      <c r="B59" s="289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2026-06-09T03:26:25Z</dcterms:modified>
  <cp:lastModifiedBy>LOHITH REDDY</cp:lastModifiedBy>
</cp:coreProperties>
</file>