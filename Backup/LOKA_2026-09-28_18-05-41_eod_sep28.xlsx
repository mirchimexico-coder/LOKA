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hidden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4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  <xf numFmtId="176" fontId="0" fillId="0" borderId="0" pivotButton="0" quotePrefix="0" xfId="0"/>
    <xf numFmtId="0" fontId="92" fillId="44" borderId="25" pivotButton="0" quotePrefix="0" xfId="0"/>
    <xf numFmtId="176" fontId="95" fillId="0" borderId="0" pivotButton="0" quotePrefix="0" xfId="0"/>
    <xf numFmtId="176" fontId="98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tabSelected="0"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22 Sep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D67-D56</f>
        <v/>
      </c>
      <c r="D92" s="167">
        <f>C92/C86</f>
        <v/>
      </c>
      <c r="E92" s="140" t="inlineStr">
        <is>
          <t>Notary + poliza + licences + branding (excl. $5k advance, already in Acquisition)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CAPITAL STILL TO BE PAID IN  —  OWED TO CAPITAL (company account)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to Lohith ($)</t>
        </is>
      </c>
      <c r="E99" s="170" t="inlineStr">
        <is>
          <t>Direct Expenses ($)</t>
        </is>
      </c>
      <c r="F99" s="170" t="inlineStr">
        <is>
          <t>Still Owed to Capital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>
        <f>IF(F100&lt;1,"✅ COMPLETE","⏳ Owes Capital $"&amp;TEXT(F100,"#,##0"))</f>
        <v/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>
        <f>IF(F101&lt;1,"✅ COMPLETE","⏳ Owes Capital $"&amp;TEXT(F101,"#,##0"))</f>
        <v/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UNDEPLOYED CAPITAL (with Lohith + company-account reserve)</t>
        </is>
      </c>
      <c r="D140">
        <f>D136-D137-D138-D139</f>
        <v/>
      </c>
    </row>
    <row r="141">
      <c r="B141" t="inlineStr">
        <is>
          <t xml:space="preserve">   → Physically WITH ME (excl. company-account reserve, Section M)</t>
        </is>
      </c>
      <c r="D141" s="450">
        <f>D140-C171</f>
        <v/>
      </c>
      <c r="E141" t="inlineStr">
        <is>
          <t>All remaining capital moved to company account 22-Sep-2026</t>
        </is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Daily Log: MP + cash + transfers + Soft + BBVA)</t>
        </is>
      </c>
      <c r="C143" s="283">
        <f>SUM('📅 Daily Log'!D8:D5000)+SUM('📅 Daily Log'!E8:E5000)+SUM('📅 Daily Log'!G8:G5000)+SUM('📅 Daily Log'!U8:U5000)+SUM('📅 Daily Log'!Y8:Y5000)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Card commissions (MP auto 4.06% + Soft + BBVA actual)</t>
        </is>
      </c>
      <c r="C145" s="268">
        <f>SUM('📅 Daily Log'!R8:R5000)+SUM('📅 Daily Log'!V8:V5000)+SUM('📅 Daily Log'!Z8:Z5000)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18442</v>
      </c>
      <c r="E147" s="286" t="inlineStr">
        <is>
          <t>Operating costs funded from partner capital, net of repayments. Latest addition 22-Sep-2026 $18,442.00. Still owed by Operations: $18,442.00.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-84370.53</v>
      </c>
      <c r="E149" t="inlineStr">
        <is>
          <t>Cumulative repaid from operating cash (latest 18-Sep-2026 $2,778.53).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Undeployed capital (Section J: with Lohith + company-account reserve)</t>
        </is>
      </c>
      <c r="C162" s="320">
        <f>D140</f>
        <v/>
      </c>
      <c r="E162">
        <f>"With Lohith $"&amp;TEXT(D141,"#,##0")&amp;" + company-account reserve $"&amp;TEXT(C171,"#,##0")</f>
        <v/>
      </c>
    </row>
    <row r="163">
      <c r="B163" s="319" t="inlineStr">
        <is>
          <t xml:space="preserve">   Kashigoud still owes CAPITAL (to pay into company account)</t>
        </is>
      </c>
      <c r="C163" s="320">
        <f>F100</f>
        <v/>
      </c>
      <c r="E163" t="inlineStr">
        <is>
          <t>Committed $180k: $145k sent to Lohith + direct expenses paid. Balance due to Capital (company account), since 22-Sep-2026.</t>
        </is>
      </c>
    </row>
    <row r="164">
      <c r="B164" s="319" t="inlineStr">
        <is>
          <t xml:space="preserve">   Shashirekha still owes CAPITAL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Undeployed (with Lohith + company reserve)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451" t="inlineStr">
        <is>
          <t xml:space="preserve">  M.  CAPITAL RESERVE  —  HELD IN THE COMPANY ACCOUNT  (separate from operating cash)</t>
        </is>
      </c>
      <c r="C168" s="320" t="n"/>
    </row>
    <row r="169">
      <c r="B169" s="319" t="inlineStr">
        <is>
          <t xml:space="preserve">   Moved INTO company account (capital deposits + repayments kept there)</t>
        </is>
      </c>
      <c r="C169" s="452" t="n">
        <v>125934</v>
      </c>
      <c r="E169" t="inlineStr">
        <is>
          <t>22-Sep-2026: +$125,934.00 Lohith moved all remaining capital to company account.</t>
        </is>
      </c>
    </row>
    <row r="170">
      <c r="B170" s="319" t="inlineStr">
        <is>
          <t xml:space="preserve">   Drawn from reserve (bills paid with capital from company account)</t>
        </is>
      </c>
      <c r="C170" s="452" t="n">
        <v>-18442</v>
      </c>
      <c r="E170" t="inlineStr">
        <is>
          <t>Cumulative draws (menu 5). Negative number. | 22-Sep-2026: -$18,442.00 Impuestos junio, julio y agosto 2026, Honorarios Julio Contador</t>
        </is>
      </c>
    </row>
    <row r="171">
      <c r="B171" s="317" t="inlineStr">
        <is>
          <t>CAPITAL RESERVE BALANCE (in company account)</t>
        </is>
      </c>
      <c r="C171" s="453">
        <f>C169+C170</f>
        <v/>
      </c>
      <c r="E171" t="inlineStr">
        <is>
          <t>Counted in the bank at a cash count, but NOT operating cash. Recount subtracts it.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tabSelected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SUMIFS($D$8:$D$5000,$B$8:$B$5000,TODAY())+SUMIFS($E$8:$E$5000,$B$8:$B$5000,TODAY())+SUMIFS($G$8:$G$5000,$B$8:$B$5000,TODAY())+SUMIFS($U$8:$U$5000,$B$8:$B$5000,TODAY())+SUMIFS($Y$8:$Y$5000,$B$8:$B$5000,TODAY())</f>
        <v>2710.0</v>
      </c>
      <c r="G6" s="31">
        <f>SUMIFS($G$8:$G$5000,$B$8:$B$5000,TODAY())</f>
        <v>0.0</v>
      </c>
      <c r="H6" s="28">
        <f>SUMIFS($H$8:$H$5000,$B$8:$B$5000,TODAY())</f>
        <v>9382.0</v>
      </c>
      <c r="I6" s="32">
        <f>F6-H6</f>
        <v>-6672.0</v>
      </c>
      <c r="J6">
        <f>IFERROR(I6/F6,0)</f>
        <v>-2.461993</v>
      </c>
      <c r="K6" s="28" t="n"/>
      <c r="L6" s="31" t="n"/>
      <c r="M6" s="28">
        <f>SUMIFS($F$8:$F$5000,$B$8:$B$5000,"&gt;="&amp;(TODAY()-WEEKDAY(TODAY(),2)+1),$B$8:$B$5000,"&lt;"&amp;(TODAY()-WEEKDAY(TODAY(),2)+8))</f>
        <v>22255.0</v>
      </c>
      <c r="N6" s="33">
        <f>SUMIFS($F$8:$F$5000,$B$8:$B$5000,"&gt;="&amp;(TODAY()-WEEKDAY(TODAY(),2)+1),$B$8:$B$5000,"&lt;"&amp;(TODAY()-WEEKDAY(TODAY(),2)+8))</f>
        <v>22255.0</v>
      </c>
      <c r="O6" s="33">
        <f>SUMIFS($F$8:$F$5000,$B$8:$B$5000,"&gt;="&amp;DATE(YEAR(TODAY()),MONTH(TODAY()),1),$B$8:$B$5000,"&lt;"&amp;DATE(YEAR(TODAY()),MONTH(TODAY())+1,1))</f>
        <v>95835.0</v>
      </c>
      <c r="P6">
        <f>SUMIFS('💸 Expenses'!$F$8:$F$5000,'💸 Expenses'!$B$8:$B$5000,"&gt;="&amp;(TODAY()-WEEKDAY(TODAY(),2)+1),'💸 Expenses'!$B$8:$B$5000,"&lt;"&amp;(TODAY()-WEEKDAY(TODAY(),2)+8))</f>
        <v>41325.0</v>
      </c>
      <c r="Q6">
        <f>M6-P6</f>
        <v>-19070.0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IFERROR(D8+E8+G8+U8+Y8,0)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IFERROR(D9+E9+G9+U9+Y9,0)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IFERROR(D10+E10+G10+U10+Y10,0)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IFERROR(D11+E11+G11+U11+Y11,0)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IFERROR(D12+E12+G12+U12+Y12,0)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IFERROR(D13+E13+G13+U13+Y13,0)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IFERROR(D14+E14+G14+U14+Y14,0)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IFERROR(D15+E15+G15+U15+Y15,0)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IFERROR(D16+E16+G16+U16+Y16,0)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IFERROR(D17+E17+G17+U17+Y17,0)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IFERROR(D18+E18+G18+U18+Y18,0)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IFERROR(D19+E19+G19+U19+Y19,0)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IFERROR(D20+E20+G20+U20+Y20,0)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IFERROR(D21+E21+G21+U21+Y21,0)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IFERROR(D22+E22+G22+U22+Y22,0)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IFERROR(D23+E23+G23+U23+Y23,0)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IFERROR(D24+E24+G24+U24+Y24,0)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IFERROR(D25+E25+G25+U25+Y25,0)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IFERROR(D26+E26+G26+U26+Y26,0)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IFERROR(D27+E27+G27+U27+Y27,0)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IFERROR(D28+E28+G28+U28+Y28,0)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260">
        <f>IFERROR(I28/F28,0)</f>
        <v>0</v>
      </c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IFERROR(D29+E29+G29+U29+Y29,0)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IFERROR(D30+E30+G30+U30+Y30,0)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IFERROR(D31+E31+G31+U31+Y31,0)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IFERROR(D32+E32+G32+U32+Y32,0)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IFERROR(D33+E33+G33+U33+Y33,0)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IFERROR(D34+E34+G34+U34+Y34,0)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IFERROR(D35+E35+G35+U35+Y35,0)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IFERROR(D36+E36+G36+U36+Y36,0)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IFERROR(D37+E37+G37+U37+Y37,0)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IFERROR(D38+E38+G38+U38+Y38,0)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IFERROR(D39+E39+G39+U39+Y39,0)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IFERROR(D40+E40+G40+U40+Y40,0)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IFERROR(D41+E41+G41+U41+Y41,0)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IFERROR(D42+E42+G42+U42+Y42,0)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IFERROR(D43+E43+G43+U43+Y43,0)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IFERROR(D44+E44+G44+U44+Y44,0)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IFERROR(D45+E45+G45+U45+Y45,0)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IFERROR(D46+E46+G46+U46+Y46,0)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IFERROR(D47+E47+G47+U47+Y47,0)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IFERROR(D48+E48+G48+U48+Y48,0)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IFERROR(D49+E49+G49+U49+Y49,0)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IFERROR(D50+E50+G50+U50+Y50,0)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IFERROR(D51+E51+G51+U51+Y51,0)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IFERROR(D52+E52+G52+U52+Y52,0)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IFERROR(D53+E53+G53+U53+Y53,0)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IFERROR(D54+E54+G54+U54+Y54,0)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IFERROR(D55+E55+G55+U55+Y55,0)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IFERROR(D56+E56+G56+U56+Y56,0)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IFERROR(D57+E57+G57+U57+Y57,0)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IFERROR(D58+E58+G58+U58+Y58,0)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IFERROR(D59+E59+G59+U59+Y59,0)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IFERROR(D60+E60+G60+U60+Y60,0)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IFERROR(D61+E61+G61+U61+Y61,0)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20107.68</v>
      </c>
      <c r="I108" s="274">
        <f>IFERROR(F108-H108,0)</f>
        <v>-15268.68</v>
      </c>
      <c r="J108" s="275">
        <f>IFERROR(I108/F108,0)</f>
        <v>-3.155338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427" t="n">
        <v>46282</v>
      </c>
      <c r="C117" s="255" t="inlineStr">
        <is>
          <t>Thu</t>
        </is>
      </c>
      <c r="D117" s="256" t="n">
        <v>2875</v>
      </c>
      <c r="E117" s="49" t="n">
        <v>1000</v>
      </c>
      <c r="F117" s="50">
        <f>IFERROR(D117+E117+G117+U117+Y117,0)</f>
        <v>20031.0</v>
      </c>
      <c r="G117" s="257" t="n">
        <v>16156</v>
      </c>
      <c r="H117" s="258">
        <f>SUMIFS('💸 Expenses'!$F$8:$F$5000,'💸 Expenses'!$B$8:$B$5000,"&gt;="&amp;B117,'💸 Expenses'!$B$8:$B$5000,"&lt;"&amp;(B117+1))</f>
        <v>2794.0</v>
      </c>
      <c r="I117" s="259">
        <f>IFERROR(F117-H117,0)</f>
        <v>17237.0</v>
      </c>
      <c r="J117" s="260">
        <f>IFERROR(I117/F117,0)</f>
        <v>0.860516</v>
      </c>
      <c r="K117" s="254" t="n"/>
      <c r="L117" s="261" t="inlineStr">
        <is>
          <t>Cierre via loka.py | updated 20:08</t>
        </is>
      </c>
      <c r="M117" s="291" t="n"/>
      <c r="N117" s="292" t="n"/>
      <c r="O117" s="293" t="n"/>
      <c r="P117" s="294" t="n"/>
      <c r="Q117" s="292" t="n"/>
      <c r="R117" s="443">
        <f>IFERROR(D117*$T$7,0)</f>
        <v>116.72</v>
      </c>
      <c r="S117" s="292" t="n"/>
      <c r="T117" s="292" t="n"/>
      <c r="U117" s="443" t="n">
        <v>0</v>
      </c>
      <c r="V117" s="443" t="n">
        <v>0</v>
      </c>
      <c r="W117" s="292" t="n"/>
      <c r="X117" s="292" t="n"/>
      <c r="Y117" s="443" t="n">
        <v>0</v>
      </c>
      <c r="Z117" s="443" t="n">
        <v>0</v>
      </c>
      <c r="AA117" s="292" t="n"/>
      <c r="AB117" s="292" t="n"/>
    </row>
    <row r="118" ht="16.5" customHeight="1" s="331">
      <c r="B118" s="427" t="n">
        <v>46283</v>
      </c>
      <c r="C118" s="270" t="inlineStr">
        <is>
          <t>Fri</t>
        </is>
      </c>
      <c r="D118" s="271" t="n">
        <v>1225</v>
      </c>
      <c r="E118" s="37" t="n">
        <v>1100</v>
      </c>
      <c r="F118" s="38">
        <f>IFERROR(D118+E118+G118+U118+Y118,0)</f>
        <v>2325.0</v>
      </c>
      <c r="G118" s="272" t="n">
        <v>0</v>
      </c>
      <c r="H118" s="273">
        <f>SUMIFS('💸 Expenses'!$F$8:$F$5000,'💸 Expenses'!$B$8:$B$5000,"&gt;="&amp;B118,'💸 Expenses'!$B$8:$B$5000,"&lt;"&amp;(B118+1))</f>
        <v>1979.0</v>
      </c>
      <c r="I118" s="274">
        <f>IFERROR(F118-H118,0)</f>
        <v>346.0</v>
      </c>
      <c r="J118" s="275">
        <f>IFERROR(I118/F118,0)</f>
        <v>0.148817</v>
      </c>
      <c r="K118" s="250" t="n"/>
      <c r="L118" s="276" t="inlineStr">
        <is>
          <t>Cierre via loka.py</t>
        </is>
      </c>
      <c r="M118" s="323" t="n"/>
      <c r="N118" s="324" t="n"/>
      <c r="O118" s="325" t="n"/>
      <c r="P118" s="326" t="n"/>
      <c r="Q118" s="324" t="n"/>
      <c r="R118" s="428">
        <f>IFERROR(D118*$T$7,0)</f>
        <v>49.73</v>
      </c>
      <c r="S118" s="324" t="n"/>
      <c r="T118" s="324" t="n"/>
      <c r="U118" s="428" t="n">
        <v>0</v>
      </c>
      <c r="V118" s="428" t="n">
        <v>0</v>
      </c>
      <c r="W118" s="324" t="n"/>
      <c r="X118" s="324" t="n"/>
      <c r="Y118" s="428" t="n">
        <v>0</v>
      </c>
      <c r="Z118" s="428" t="n">
        <v>0</v>
      </c>
      <c r="AA118" s="324" t="n"/>
      <c r="AB118" s="324" t="n"/>
    </row>
    <row r="119" ht="16.5" customHeight="1" s="331">
      <c r="B119" s="427" t="n">
        <v>46284</v>
      </c>
      <c r="C119" s="255" t="inlineStr">
        <is>
          <t>Sat</t>
        </is>
      </c>
      <c r="D119" s="256" t="n">
        <v>625</v>
      </c>
      <c r="E119" s="49" t="n">
        <v>1335</v>
      </c>
      <c r="F119" s="50">
        <f>IFERROR(D119+E119+G119+U119+Y119,0)</f>
        <v>1960.0</v>
      </c>
      <c r="G119" s="257" t="n">
        <v>0</v>
      </c>
      <c r="H119" s="258">
        <f>SUMIFS('💸 Expenses'!$F$8:$F$5000,'💸 Expenses'!$B$8:$B$5000,"&gt;="&amp;B119,'💸 Expenses'!$B$8:$B$5000,"&lt;"&amp;(B119+1))</f>
        <v>4626.0</v>
      </c>
      <c r="I119" s="259">
        <f>IFERROR(F119-H119,0)</f>
        <v>-2666.0</v>
      </c>
      <c r="J119" s="260">
        <f>IFERROR(I119/F119,0)</f>
        <v>-1.360204</v>
      </c>
      <c r="K119" s="254" t="n"/>
      <c r="L119" s="261" t="inlineStr">
        <is>
          <t>Cierre via loka.py</t>
        </is>
      </c>
      <c r="M119" s="291" t="n"/>
      <c r="N119" s="292" t="n"/>
      <c r="O119" s="293" t="n"/>
      <c r="P119" s="294" t="n"/>
      <c r="Q119" s="292" t="n"/>
      <c r="R119" s="443">
        <f>IFERROR(D119*$T$7,0)</f>
        <v>25.38</v>
      </c>
      <c r="S119" s="292" t="n"/>
      <c r="T119" s="292" t="n"/>
      <c r="U119" s="443" t="n">
        <v>0</v>
      </c>
      <c r="V119" s="443" t="n">
        <v>0</v>
      </c>
      <c r="W119" s="292" t="n"/>
      <c r="X119" s="292" t="n"/>
      <c r="Y119" s="443" t="n">
        <v>0</v>
      </c>
      <c r="Z119" s="443" t="n">
        <v>0</v>
      </c>
      <c r="AA119" s="292" t="n"/>
      <c r="AB119" s="292" t="n"/>
    </row>
    <row r="120" ht="16.5" customHeight="1" s="331">
      <c r="B120" s="427" t="n">
        <v>46286</v>
      </c>
      <c r="C120" s="270" t="inlineStr">
        <is>
          <t>Mon</t>
        </is>
      </c>
      <c r="D120" s="271" t="n">
        <v>2860</v>
      </c>
      <c r="E120" s="37" t="n">
        <v>1680</v>
      </c>
      <c r="F120" s="38">
        <f>IFERROR(D120+E120+G120+U120+Y120,0)</f>
        <v>4800.0</v>
      </c>
      <c r="G120" s="272" t="n">
        <v>260</v>
      </c>
      <c r="H120" s="273">
        <f>SUMIFS('💸 Expenses'!$F$8:$F$5000,'💸 Expenses'!$B$8:$B$5000,"&gt;="&amp;B120,'💸 Expenses'!$B$8:$B$5000,"&lt;"&amp;(B120+1))</f>
        <v>3883.0</v>
      </c>
      <c r="I120" s="274">
        <f>IFERROR(F120-H120,0)</f>
        <v>917.0</v>
      </c>
      <c r="J120" s="275">
        <f>IFERROR(I120/F120,0)</f>
        <v>0.191042</v>
      </c>
      <c r="K120" s="250" t="n"/>
      <c r="L120" s="276" t="inlineStr">
        <is>
          <t>Cierre via loka.py | updated 21:05</t>
        </is>
      </c>
      <c r="M120" s="323" t="n"/>
      <c r="N120" s="324" t="n"/>
      <c r="O120" s="325" t="n"/>
      <c r="P120" s="326" t="n"/>
      <c r="Q120" s="324" t="n"/>
      <c r="R120" s="428">
        <f>IFERROR(D120*$T$7,0)</f>
        <v>116.12</v>
      </c>
      <c r="S120" s="324" t="n"/>
      <c r="T120" s="324" t="n"/>
      <c r="U120" s="428" t="n">
        <v>0</v>
      </c>
      <c r="V120" s="428" t="n">
        <v>0</v>
      </c>
      <c r="W120" s="324" t="n"/>
      <c r="X120" s="324" t="n"/>
      <c r="Y120" s="428" t="n">
        <v>0</v>
      </c>
      <c r="Z120" s="428" t="n">
        <v>0</v>
      </c>
      <c r="AA120" s="324" t="n"/>
      <c r="AB120" s="324" t="n"/>
    </row>
    <row r="121" ht="16.5" customHeight="1" s="331">
      <c r="B121" s="427" t="n">
        <v>46287</v>
      </c>
      <c r="C121" s="255" t="inlineStr">
        <is>
          <t>Tue</t>
        </is>
      </c>
      <c r="D121" s="256" t="n">
        <v>1575</v>
      </c>
      <c r="E121" s="49" t="n">
        <v>1515</v>
      </c>
      <c r="F121" s="50">
        <f>IFERROR(D121+E121+G121+U121+Y121,0)</f>
        <v>3090.0</v>
      </c>
      <c r="G121" s="257" t="n">
        <v>0</v>
      </c>
      <c r="H121" s="258">
        <f>SUMIFS('💸 Expenses'!$F$8:$F$5000,'💸 Expenses'!$B$8:$B$5000,"&gt;="&amp;B121,'💸 Expenses'!$B$8:$B$5000,"&lt;"&amp;(B121+1))</f>
        <v>18980.0</v>
      </c>
      <c r="I121" s="259">
        <f>IFERROR(F121-H121,0)</f>
        <v>-15890.0</v>
      </c>
      <c r="J121" s="260">
        <f>IFERROR(I121/F121,0)</f>
        <v>-5.142395</v>
      </c>
      <c r="K121" s="254" t="n"/>
      <c r="L121" s="261" t="inlineStr">
        <is>
          <t>Cierre via loka.py</t>
        </is>
      </c>
      <c r="M121" s="291" t="n"/>
      <c r="N121" s="292" t="n"/>
      <c r="O121" s="293" t="n"/>
      <c r="P121" s="294" t="n"/>
      <c r="Q121" s="292" t="n"/>
      <c r="R121" s="443">
        <f>IFERROR(D121*$T$7,0)</f>
        <v>63.94</v>
      </c>
      <c r="S121" s="292" t="n"/>
      <c r="T121" s="292" t="n"/>
      <c r="U121" s="443" t="n">
        <v>0</v>
      </c>
      <c r="V121" s="443" t="n">
        <v>0</v>
      </c>
      <c r="W121" s="292" t="n"/>
      <c r="X121" s="292" t="n"/>
      <c r="Y121" s="443" t="n">
        <v>0</v>
      </c>
      <c r="Z121" s="443" t="n">
        <v>0</v>
      </c>
      <c r="AA121" s="292" t="n"/>
      <c r="AB121" s="292" t="n"/>
    </row>
    <row r="122" ht="16.5" customHeight="1" s="331">
      <c r="B122" s="427" t="n">
        <v>46288</v>
      </c>
      <c r="C122" s="270" t="inlineStr">
        <is>
          <t>Wed</t>
        </is>
      </c>
      <c r="D122" s="271" t="n">
        <v>3585</v>
      </c>
      <c r="E122" s="37" t="n">
        <v>1360</v>
      </c>
      <c r="F122" s="38">
        <f>IFERROR(D122+E122+G122+U122+Y122,0)</f>
        <v>4945.0</v>
      </c>
      <c r="G122" s="272" t="n">
        <v>0</v>
      </c>
      <c r="H122" s="273">
        <f>SUMIFS('💸 Expenses'!$F$8:$F$5000,'💸 Expenses'!$B$8:$B$5000,"&gt;="&amp;B122,'💸 Expenses'!$B$8:$B$5000,"&lt;"&amp;(B122+1))</f>
        <v>5375.0</v>
      </c>
      <c r="I122" s="274">
        <f>IFERROR(F122-H122,0)</f>
        <v>-430.0</v>
      </c>
      <c r="J122" s="275">
        <f>IFERROR(I122/F122,0)</f>
        <v>-0.086957</v>
      </c>
      <c r="K122" s="250" t="n"/>
      <c r="L122" s="276" t="inlineStr">
        <is>
          <t>Cierre via loka.py</t>
        </is>
      </c>
      <c r="M122" s="323" t="n"/>
      <c r="N122" s="324" t="n"/>
      <c r="O122" s="325" t="n"/>
      <c r="P122" s="326" t="n"/>
      <c r="Q122" s="324" t="n"/>
      <c r="R122" s="428">
        <f>IFERROR(D122*$T$7,0)</f>
        <v>145.55</v>
      </c>
      <c r="S122" s="324" t="n"/>
      <c r="T122" s="324" t="n"/>
      <c r="U122" s="428" t="n">
        <v>0</v>
      </c>
      <c r="V122" s="428" t="n">
        <v>0</v>
      </c>
      <c r="W122" s="324" t="n"/>
      <c r="X122" s="324" t="n"/>
      <c r="Y122" s="428" t="n">
        <v>0</v>
      </c>
      <c r="Z122" s="428" t="n">
        <v>0</v>
      </c>
      <c r="AA122" s="324" t="n"/>
      <c r="AB122" s="324" t="n"/>
    </row>
    <row r="123" ht="16.5" customHeight="1" s="331">
      <c r="B123" s="427" t="n">
        <v>46289</v>
      </c>
      <c r="C123" s="255" t="inlineStr">
        <is>
          <t>Thu</t>
        </is>
      </c>
      <c r="D123" s="256" t="n">
        <v>2490</v>
      </c>
      <c r="E123" s="49" t="n">
        <v>850</v>
      </c>
      <c r="F123" s="50">
        <f>IFERROR(D123+E123+G123+U123+Y123,0)</f>
        <v>3340.0</v>
      </c>
      <c r="G123" s="257" t="n">
        <v>0</v>
      </c>
      <c r="H123" s="258">
        <f>SUMIFS('💸 Expenses'!$F$8:$F$5000,'💸 Expenses'!$B$8:$B$5000,"&gt;="&amp;B123,'💸 Expenses'!$B$8:$B$5000,"&lt;"&amp;(B123+1))</f>
        <v>2465.0</v>
      </c>
      <c r="I123" s="259">
        <f>IFERROR(F123-H123,0)</f>
        <v>875.0</v>
      </c>
      <c r="J123" s="260">
        <f>IFERROR(I123/F123,0)</f>
        <v>0.261976</v>
      </c>
      <c r="K123" s="254" t="n"/>
      <c r="L123" s="261" t="inlineStr">
        <is>
          <t>Cierre via loka.py</t>
        </is>
      </c>
      <c r="M123" s="291" t="n"/>
      <c r="N123" s="292" t="n"/>
      <c r="O123" s="293" t="n"/>
      <c r="P123" s="294" t="n"/>
      <c r="Q123" s="292" t="n"/>
      <c r="R123" s="443">
        <f>IFERROR(D123*$T$7,0)</f>
        <v>101.09</v>
      </c>
      <c r="S123" s="292" t="n"/>
      <c r="T123" s="292" t="n"/>
      <c r="U123" s="443" t="n">
        <v>0</v>
      </c>
      <c r="V123" s="443" t="n">
        <v>0</v>
      </c>
      <c r="W123" s="292" t="n"/>
      <c r="X123" s="292" t="n"/>
      <c r="Y123" s="443" t="n">
        <v>0</v>
      </c>
      <c r="Z123" s="443" t="n">
        <v>0</v>
      </c>
      <c r="AA123" s="292" t="n"/>
      <c r="AB123" s="292" t="n"/>
    </row>
    <row r="124" ht="16.5" customHeight="1" s="331">
      <c r="B124" s="427" t="n">
        <v>46290</v>
      </c>
      <c r="C124" s="270" t="inlineStr">
        <is>
          <t>Fri</t>
        </is>
      </c>
      <c r="D124" s="271" t="n">
        <v>1250</v>
      </c>
      <c r="E124" s="37" t="n">
        <v>2120</v>
      </c>
      <c r="F124" s="38">
        <f>IFERROR(D124+E124+G124+U124+Y124,0)</f>
        <v>3370.0</v>
      </c>
      <c r="G124" s="272" t="n">
        <v>0</v>
      </c>
      <c r="H124" s="273">
        <f>SUMIFS('💸 Expenses'!$F$8:$F$5000,'💸 Expenses'!$B$8:$B$5000,"&gt;="&amp;B124,'💸 Expenses'!$B$8:$B$5000,"&lt;"&amp;(B124+1))</f>
        <v>1240.0</v>
      </c>
      <c r="I124" s="274">
        <f>IFERROR(F124-H124,0)</f>
        <v>2130.0</v>
      </c>
      <c r="J124" s="275">
        <f>IFERROR(I124/F124,0)</f>
        <v>0.632047</v>
      </c>
      <c r="K124" s="250" t="n"/>
      <c r="L124" s="276" t="inlineStr">
        <is>
          <t>Cierre via loka.py</t>
        </is>
      </c>
      <c r="M124" s="323" t="n"/>
      <c r="N124" s="324" t="n"/>
      <c r="O124" s="325" t="n"/>
      <c r="P124" s="326" t="n"/>
      <c r="Q124" s="324" t="n"/>
      <c r="R124" s="428">
        <f>IFERROR(D124*$T$7,0)</f>
        <v>50.75</v>
      </c>
      <c r="S124" s="324" t="n"/>
      <c r="T124" s="324" t="n"/>
      <c r="U124" s="428" t="n">
        <v>0</v>
      </c>
      <c r="V124" s="428" t="n">
        <v>0</v>
      </c>
      <c r="W124" s="324" t="n"/>
      <c r="X124" s="324" t="n"/>
      <c r="Y124" s="428" t="n">
        <v>0</v>
      </c>
      <c r="Z124" s="428" t="n">
        <v>0</v>
      </c>
      <c r="AA124" s="324" t="n"/>
      <c r="AB124" s="324" t="n"/>
    </row>
    <row r="125" ht="16.5" customHeight="1" s="331">
      <c r="B125" s="427" t="n">
        <v>46291</v>
      </c>
      <c r="C125" s="255" t="inlineStr">
        <is>
          <t>Sat</t>
        </is>
      </c>
      <c r="D125" s="256" t="n">
        <v>1700</v>
      </c>
      <c r="E125" s="49" t="n">
        <v>1010</v>
      </c>
      <c r="F125" s="50">
        <f>IFERROR(D125+E125+G125+U125+Y125,0)</f>
        <v>2710.0</v>
      </c>
      <c r="G125" s="257" t="n">
        <v>0</v>
      </c>
      <c r="H125" s="258">
        <f>SUMIFS('💸 Expenses'!$F$8:$F$5000,'💸 Expenses'!$B$8:$B$5000,"&gt;="&amp;B125,'💸 Expenses'!$B$8:$B$5000,"&lt;"&amp;(B125+1))</f>
        <v>9382.0</v>
      </c>
      <c r="I125" s="259">
        <f>IFERROR(F125-H125,0)</f>
        <v>-6672.0</v>
      </c>
      <c r="J125" s="260">
        <f>IFERROR(I125/F125,0)</f>
        <v>-2.461993</v>
      </c>
      <c r="K125" s="254" t="n"/>
      <c r="L125" s="261" t="inlineStr">
        <is>
          <t>Cierre via loka.py</t>
        </is>
      </c>
      <c r="M125" s="291" t="n"/>
      <c r="N125" s="292" t="n"/>
      <c r="O125" s="293" t="n"/>
      <c r="P125" s="294" t="n"/>
      <c r="Q125" s="292" t="n"/>
      <c r="R125" s="443">
        <f>IFERROR(D125*$T$7,0)</f>
        <v>69.02</v>
      </c>
      <c r="S125" s="292" t="n"/>
      <c r="T125" s="292" t="n"/>
      <c r="U125" s="443" t="n">
        <v>0</v>
      </c>
      <c r="V125" s="443" t="n">
        <v>0</v>
      </c>
      <c r="W125" s="292" t="n"/>
      <c r="X125" s="292" t="n"/>
      <c r="Y125" s="443" t="n">
        <v>0</v>
      </c>
      <c r="Z125" s="443" t="n">
        <v>0</v>
      </c>
      <c r="AA125" s="292" t="n"/>
      <c r="AB125" s="292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813"/>
  <sheetViews>
    <sheetView showGridLines="0" tabSelected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Maintenance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cash. Electrical repair (confirmed 18-Sep)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  <row r="773">
      <c r="B773" s="429" t="n">
        <v>46282</v>
      </c>
      <c r="C773" s="297" t="inlineStr">
        <is>
          <t>Sams Club</t>
        </is>
      </c>
      <c r="D773" s="298" t="inlineStr">
        <is>
          <t>Sam's Club</t>
        </is>
      </c>
      <c r="E773" s="297" t="inlineStr">
        <is>
          <t>Supermarket/General</t>
        </is>
      </c>
      <c r="F773" s="299" t="n">
        <v>713</v>
      </c>
      <c r="G773" s="300" t="inlineStr">
        <is>
          <t>Restaurant</t>
        </is>
      </c>
      <c r="H773" s="300" t="inlineStr">
        <is>
          <t>Cash</t>
        </is>
      </c>
      <c r="I773" s="301" t="inlineStr">
        <is>
          <t>✅ Paid</t>
        </is>
      </c>
      <c r="J773" s="423" t="inlineStr">
        <is>
          <t>No receipt; cash</t>
        </is>
      </c>
    </row>
    <row r="774">
      <c r="B774" s="429" t="n">
        <v>46282</v>
      </c>
      <c r="C774" s="297" t="inlineStr">
        <is>
          <t>Pollo</t>
        </is>
      </c>
      <c r="D774" s="298" t="inlineStr">
        <is>
          <t>No bill</t>
        </is>
      </c>
      <c r="E774" s="297" t="inlineStr">
        <is>
          <t>Ingredients - Meat</t>
        </is>
      </c>
      <c r="F774" s="299" t="n">
        <v>977</v>
      </c>
      <c r="G774" s="300" t="inlineStr">
        <is>
          <t>Lohith</t>
        </is>
      </c>
      <c r="H774" s="300" t="inlineStr">
        <is>
          <t>Cash</t>
        </is>
      </c>
      <c r="I774" s="301" t="inlineStr">
        <is>
          <t>✅ Paid</t>
        </is>
      </c>
      <c r="J774" s="423" t="inlineStr">
        <is>
          <t>Pagado por Lohith (bolsillo); reembolsable via Owner Ledger</t>
        </is>
      </c>
    </row>
    <row r="775">
      <c r="B775" s="429" t="n">
        <v>46282</v>
      </c>
      <c r="C775" s="297" t="inlineStr">
        <is>
          <t>Marker Vidrio</t>
        </is>
      </c>
      <c r="D775" s="298" t="inlineStr">
        <is>
          <t>No bill</t>
        </is>
      </c>
      <c r="E775" s="297" t="inlineStr">
        <is>
          <t>Office Supplies</t>
        </is>
      </c>
      <c r="F775" s="299" t="n">
        <v>392</v>
      </c>
      <c r="G775" s="300" t="inlineStr">
        <is>
          <t>Restaurant</t>
        </is>
      </c>
      <c r="H775" s="300" t="inlineStr">
        <is>
          <t>Cash</t>
        </is>
      </c>
      <c r="I775" s="301" t="inlineStr">
        <is>
          <t>✅ Paid</t>
        </is>
      </c>
      <c r="J775" s="423" t="inlineStr">
        <is>
          <t>No receipt; cash</t>
        </is>
      </c>
    </row>
    <row r="776">
      <c r="B776" s="429" t="n">
        <v>46282</v>
      </c>
      <c r="C776" s="297" t="inlineStr">
        <is>
          <t>3B</t>
        </is>
      </c>
      <c r="D776" s="298" t="inlineStr">
        <is>
          <t>Tres B</t>
        </is>
      </c>
      <c r="E776" s="297" t="inlineStr">
        <is>
          <t>Supermarket/General</t>
        </is>
      </c>
      <c r="F776" s="299" t="n">
        <v>529</v>
      </c>
      <c r="G776" s="300" t="inlineStr">
        <is>
          <t>Restaurant</t>
        </is>
      </c>
      <c r="H776" s="300" t="inlineStr">
        <is>
          <t>Cash</t>
        </is>
      </c>
      <c r="I776" s="301" t="inlineStr">
        <is>
          <t>✅ Paid</t>
        </is>
      </c>
      <c r="J776" s="423" t="inlineStr">
        <is>
          <t>No receipt; cash</t>
        </is>
      </c>
    </row>
    <row r="777">
      <c r="B777" s="429" t="n">
        <v>46282</v>
      </c>
      <c r="C777" s="297" t="inlineStr">
        <is>
          <t>Pollo</t>
        </is>
      </c>
      <c r="D777" s="298" t="inlineStr">
        <is>
          <t>No bill</t>
        </is>
      </c>
      <c r="E777" s="297" t="inlineStr">
        <is>
          <t>Ingredients - Meat</t>
        </is>
      </c>
      <c r="F777" s="299" t="n">
        <v>183</v>
      </c>
      <c r="G777" s="300" t="inlineStr">
        <is>
          <t>Lohith</t>
        </is>
      </c>
      <c r="H777" s="300" t="inlineStr">
        <is>
          <t>Cash</t>
        </is>
      </c>
      <c r="I777" s="301" t="inlineStr">
        <is>
          <t>✅ Paid</t>
        </is>
      </c>
      <c r="J777" s="423" t="inlineStr">
        <is>
          <t>Pagado por Lohith (bolsillo); reembolsable via Owner Ledger</t>
        </is>
      </c>
    </row>
    <row r="778">
      <c r="B778" s="429" t="n">
        <v>46283</v>
      </c>
      <c r="C778" s="297" t="inlineStr">
        <is>
          <t>Vegetables</t>
        </is>
      </c>
      <c r="D778" s="298" t="inlineStr">
        <is>
          <t>No bill</t>
        </is>
      </c>
      <c r="E778" s="297" t="inlineStr">
        <is>
          <t>Ingredients - Vegetables</t>
        </is>
      </c>
      <c r="F778" s="299" t="n">
        <v>72</v>
      </c>
      <c r="G778" s="300" t="inlineStr">
        <is>
          <t>Restaurant</t>
        </is>
      </c>
      <c r="H778" s="300" t="inlineStr">
        <is>
          <t>Cash</t>
        </is>
      </c>
      <c r="I778" s="301" t="inlineStr">
        <is>
          <t>✅ Paid</t>
        </is>
      </c>
      <c r="J778" s="423" t="inlineStr">
        <is>
          <t>No receipt; cash</t>
        </is>
      </c>
    </row>
    <row r="779">
      <c r="B779" s="429" t="n">
        <v>46283</v>
      </c>
      <c r="C779" s="297" t="inlineStr">
        <is>
          <t>Carne</t>
        </is>
      </c>
      <c r="D779" s="298" t="inlineStr">
        <is>
          <t>No bill</t>
        </is>
      </c>
      <c r="E779" s="297" t="inlineStr">
        <is>
          <t>Ingredients - Meat</t>
        </is>
      </c>
      <c r="F779" s="299" t="n">
        <v>1109</v>
      </c>
      <c r="G779" s="300" t="inlineStr">
        <is>
          <t>Restaurant</t>
        </is>
      </c>
      <c r="H779" s="300" t="inlineStr">
        <is>
          <t>Cash</t>
        </is>
      </c>
      <c r="I779" s="301" t="inlineStr">
        <is>
          <t>✅ Paid</t>
        </is>
      </c>
      <c r="J779" s="423" t="inlineStr">
        <is>
          <t>No receipt; cash</t>
        </is>
      </c>
    </row>
    <row r="780">
      <c r="B780" s="429" t="n">
        <v>46283</v>
      </c>
      <c r="C780" s="297" t="inlineStr">
        <is>
          <t>Chedraui</t>
        </is>
      </c>
      <c r="D780" s="298" t="inlineStr">
        <is>
          <t>Chedraui</t>
        </is>
      </c>
      <c r="E780" s="297" t="inlineStr">
        <is>
          <t>Supermarket/General</t>
        </is>
      </c>
      <c r="F780" s="299" t="n">
        <v>449</v>
      </c>
      <c r="G780" s="300" t="inlineStr">
        <is>
          <t>Restaurant</t>
        </is>
      </c>
      <c r="H780" s="300" t="inlineStr">
        <is>
          <t>Cash</t>
        </is>
      </c>
      <c r="I780" s="301" t="inlineStr">
        <is>
          <t>✅ Paid</t>
        </is>
      </c>
      <c r="J780" s="423" t="inlineStr">
        <is>
          <t>No receipt; cash</t>
        </is>
      </c>
    </row>
    <row r="781">
      <c r="B781" s="429" t="n">
        <v>46283</v>
      </c>
      <c r="C781" s="297" t="inlineStr">
        <is>
          <t>Internet</t>
        </is>
      </c>
      <c r="D781" s="298" t="inlineStr">
        <is>
          <t>No bill</t>
        </is>
      </c>
      <c r="E781" s="297" t="inlineStr">
        <is>
          <t>Utilities/Internet</t>
        </is>
      </c>
      <c r="F781" s="299" t="n">
        <v>349</v>
      </c>
      <c r="G781" s="300" t="inlineStr">
        <is>
          <t>Lohith</t>
        </is>
      </c>
      <c r="H781" s="300" t="inlineStr">
        <is>
          <t>Cash</t>
        </is>
      </c>
      <c r="I781" s="301" t="inlineStr">
        <is>
          <t>✅ Paid</t>
        </is>
      </c>
      <c r="J781" s="423" t="inlineStr">
        <is>
          <t>Pagado por Lohith (bolsillo); reembolsable via Owner Ledger</t>
        </is>
      </c>
    </row>
    <row r="782">
      <c r="B782" s="429" t="n">
        <v>46269</v>
      </c>
      <c r="C782" s="297" t="inlineStr">
        <is>
          <t>Guimar desechables</t>
        </is>
      </c>
      <c r="D782" s="298" t="inlineStr">
        <is>
          <t>Guimar Polietilenos</t>
        </is>
      </c>
      <c r="E782" s="297" t="inlineStr">
        <is>
          <t>Packaging/Disposables</t>
        </is>
      </c>
      <c r="F782" s="299" t="n">
        <v>226</v>
      </c>
      <c r="G782" s="300" t="inlineStr">
        <is>
          <t>Restaurant</t>
        </is>
      </c>
      <c r="H782" s="300" t="inlineStr">
        <is>
          <t>Cash</t>
        </is>
      </c>
      <c r="I782" s="301" t="inlineStr">
        <is>
          <t>✅ Paid</t>
        </is>
      </c>
      <c r="J782" s="423" t="inlineStr">
        <is>
          <t>No receipt; cash. Typed as 'Guimar 2333w' on 04-Sep and dropped by eod.py; confirmed $226 by Reddy 18-Sep</t>
        </is>
      </c>
    </row>
    <row r="783">
      <c r="B783" s="429" t="n">
        <v>46284</v>
      </c>
      <c r="C783" s="297" t="inlineStr">
        <is>
          <t>Jhon - salary</t>
        </is>
      </c>
      <c r="D783" s="298" t="inlineStr">
        <is>
          <t>Payroll</t>
        </is>
      </c>
      <c r="E783" s="297" t="inlineStr">
        <is>
          <t>Staff - Salary</t>
        </is>
      </c>
      <c r="F783" s="299" t="n">
        <v>3750</v>
      </c>
      <c r="G783" s="300" t="inlineStr">
        <is>
          <t>Restaurant</t>
        </is>
      </c>
      <c r="H783" s="300" t="inlineStr">
        <is>
          <t>Cash</t>
        </is>
      </c>
      <c r="I783" s="301" t="inlineStr">
        <is>
          <t>✅ Paid</t>
        </is>
      </c>
      <c r="J783" s="423" t="inlineStr">
        <is>
          <t>Weekly salary</t>
        </is>
      </c>
    </row>
    <row r="784">
      <c r="B784" s="429" t="n">
        <v>46284</v>
      </c>
      <c r="C784" s="297" t="inlineStr">
        <is>
          <t>Duvi - salary</t>
        </is>
      </c>
      <c r="D784" s="298" t="inlineStr">
        <is>
          <t>Payroll</t>
        </is>
      </c>
      <c r="E784" s="297" t="inlineStr">
        <is>
          <t>Staff - Salary</t>
        </is>
      </c>
      <c r="F784" s="299" t="n">
        <v>876</v>
      </c>
      <c r="G784" s="300" t="inlineStr">
        <is>
          <t>Restaurant</t>
        </is>
      </c>
      <c r="H784" s="300" t="inlineStr">
        <is>
          <t>Cash</t>
        </is>
      </c>
      <c r="I784" s="301" t="inlineStr">
        <is>
          <t>✅ Paid</t>
        </is>
      </c>
      <c r="J784" s="423" t="inlineStr">
        <is>
          <t>Weekly salary</t>
        </is>
      </c>
    </row>
    <row r="785">
      <c r="B785" s="429" t="n">
        <v>46286</v>
      </c>
      <c r="C785" s="297" t="inlineStr">
        <is>
          <t>Vegetables</t>
        </is>
      </c>
      <c r="D785" s="298" t="inlineStr">
        <is>
          <t>No bill</t>
        </is>
      </c>
      <c r="E785" s="297" t="inlineStr">
        <is>
          <t>Ingredients - Vegetables</t>
        </is>
      </c>
      <c r="F785" s="299" t="n">
        <v>1833</v>
      </c>
      <c r="G785" s="300" t="inlineStr">
        <is>
          <t>Restaurant</t>
        </is>
      </c>
      <c r="H785" s="300" t="inlineStr">
        <is>
          <t>Cash</t>
        </is>
      </c>
      <c r="I785" s="301" t="inlineStr">
        <is>
          <t>✅ Paid</t>
        </is>
      </c>
      <c r="J785" s="423" t="inlineStr">
        <is>
          <t>No receipt; cash</t>
        </is>
      </c>
    </row>
    <row r="786">
      <c r="B786" s="429" t="n">
        <v>46286</v>
      </c>
      <c r="C786" s="297" t="inlineStr">
        <is>
          <t>Jamon</t>
        </is>
      </c>
      <c r="D786" s="298" t="inlineStr">
        <is>
          <t>No bill</t>
        </is>
      </c>
      <c r="E786" s="297" t="inlineStr">
        <is>
          <t>Ingredients - Meat</t>
        </is>
      </c>
      <c r="F786" s="299" t="n">
        <v>267</v>
      </c>
      <c r="G786" s="300" t="inlineStr">
        <is>
          <t>Restaurant</t>
        </is>
      </c>
      <c r="H786" s="300" t="inlineStr">
        <is>
          <t>Cash</t>
        </is>
      </c>
      <c r="I786" s="301" t="inlineStr">
        <is>
          <t>✅ Paid</t>
        </is>
      </c>
      <c r="J786" s="423" t="inlineStr">
        <is>
          <t>No receipt; cash</t>
        </is>
      </c>
    </row>
    <row r="787">
      <c r="B787" s="429" t="n">
        <v>46286</v>
      </c>
      <c r="C787" s="297" t="inlineStr">
        <is>
          <t>Carne</t>
        </is>
      </c>
      <c r="D787" s="298" t="inlineStr">
        <is>
          <t>No bill</t>
        </is>
      </c>
      <c r="E787" s="297" t="inlineStr">
        <is>
          <t>Ingredients - Meat</t>
        </is>
      </c>
      <c r="F787" s="299" t="n">
        <v>812</v>
      </c>
      <c r="G787" s="300" t="inlineStr">
        <is>
          <t>Restaurant</t>
        </is>
      </c>
      <c r="H787" s="300" t="inlineStr">
        <is>
          <t>Cash</t>
        </is>
      </c>
      <c r="I787" s="301" t="inlineStr">
        <is>
          <t>✅ Paid</t>
        </is>
      </c>
      <c r="J787" s="423" t="inlineStr">
        <is>
          <t>No receipt; cash</t>
        </is>
      </c>
    </row>
    <row r="788">
      <c r="B788" s="429" t="n">
        <v>46286</v>
      </c>
      <c r="C788" s="297" t="inlineStr">
        <is>
          <t>Queso</t>
        </is>
      </c>
      <c r="D788" s="298" t="inlineStr">
        <is>
          <t>No bill</t>
        </is>
      </c>
      <c r="E788" s="297" t="inlineStr">
        <is>
          <t>Ingredients - Dairy</t>
        </is>
      </c>
      <c r="F788" s="299" t="n">
        <v>567</v>
      </c>
      <c r="G788" s="300" t="inlineStr">
        <is>
          <t>Restaurant</t>
        </is>
      </c>
      <c r="H788" s="300" t="inlineStr">
        <is>
          <t>Cash</t>
        </is>
      </c>
      <c r="I788" s="301" t="inlineStr">
        <is>
          <t>✅ Paid</t>
        </is>
      </c>
      <c r="J788" s="423" t="inlineStr">
        <is>
          <t>No receipt; cash</t>
        </is>
      </c>
    </row>
    <row r="789">
      <c r="B789" s="429" t="n">
        <v>46286</v>
      </c>
      <c r="C789" s="297" t="inlineStr">
        <is>
          <t>Pollo</t>
        </is>
      </c>
      <c r="D789" s="298" t="inlineStr">
        <is>
          <t>No bill</t>
        </is>
      </c>
      <c r="E789" s="297" t="inlineStr">
        <is>
          <t>Ingredients - Meat</t>
        </is>
      </c>
      <c r="F789" s="299" t="n">
        <v>404</v>
      </c>
      <c r="G789" s="300" t="inlineStr">
        <is>
          <t>Lohith</t>
        </is>
      </c>
      <c r="H789" s="300" t="inlineStr">
        <is>
          <t>Cash</t>
        </is>
      </c>
      <c r="I789" s="301" t="inlineStr">
        <is>
          <t>✅ Paid</t>
        </is>
      </c>
      <c r="J789" s="423" t="inlineStr">
        <is>
          <t>Pagado por Lohith (bolsillo); reembolsable via Owner Ledger</t>
        </is>
      </c>
    </row>
    <row r="790">
      <c r="B790" s="429" t="n">
        <v>46287</v>
      </c>
      <c r="C790" s="297" t="inlineStr">
        <is>
          <t>Chedraui</t>
        </is>
      </c>
      <c r="D790" s="298" t="inlineStr">
        <is>
          <t>Chedraui</t>
        </is>
      </c>
      <c r="E790" s="297" t="inlineStr">
        <is>
          <t>Supermarket/General</t>
        </is>
      </c>
      <c r="F790" s="299" t="n">
        <v>258</v>
      </c>
      <c r="G790" s="300" t="inlineStr">
        <is>
          <t>Restaurant</t>
        </is>
      </c>
      <c r="H790" s="300" t="inlineStr">
        <is>
          <t>Cash</t>
        </is>
      </c>
      <c r="I790" s="301" t="inlineStr">
        <is>
          <t>✅ Paid</t>
        </is>
      </c>
      <c r="J790" s="423" t="inlineStr">
        <is>
          <t>No receipt; cash</t>
        </is>
      </c>
    </row>
    <row r="791">
      <c r="B791" s="429" t="n">
        <v>46287</v>
      </c>
      <c r="C791" s="297" t="inlineStr">
        <is>
          <t>Hielo</t>
        </is>
      </c>
      <c r="D791" s="298" t="inlineStr">
        <is>
          <t>No bill</t>
        </is>
      </c>
      <c r="E791" s="297" t="inlineStr">
        <is>
          <t>Kitchen Supplies</t>
        </is>
      </c>
      <c r="F791" s="299" t="n">
        <v>200</v>
      </c>
      <c r="G791" s="300" t="inlineStr">
        <is>
          <t>Restaurant</t>
        </is>
      </c>
      <c r="H791" s="300" t="inlineStr">
        <is>
          <t>Cash</t>
        </is>
      </c>
      <c r="I791" s="301" t="inlineStr">
        <is>
          <t>✅ Paid</t>
        </is>
      </c>
      <c r="J791" s="423" t="inlineStr">
        <is>
          <t>No receipt; cash</t>
        </is>
      </c>
    </row>
    <row r="792">
      <c r="B792" s="429" t="n">
        <v>46287</v>
      </c>
      <c r="C792" s="297" t="inlineStr">
        <is>
          <t>Agua Natural</t>
        </is>
      </c>
      <c r="D792" s="298" t="inlineStr">
        <is>
          <t>No bill</t>
        </is>
      </c>
      <c r="E792" s="297" t="inlineStr">
        <is>
          <t>Ingredients - Beverages</t>
        </is>
      </c>
      <c r="F792" s="299" t="n">
        <v>80</v>
      </c>
      <c r="G792" s="300" t="inlineStr">
        <is>
          <t>Restaurant</t>
        </is>
      </c>
      <c r="H792" s="300" t="inlineStr">
        <is>
          <t>Cash</t>
        </is>
      </c>
      <c r="I792" s="301" t="inlineStr">
        <is>
          <t>✅ Paid</t>
        </is>
      </c>
      <c r="J792" s="423" t="inlineStr">
        <is>
          <t>No receipt; cash</t>
        </is>
      </c>
    </row>
    <row r="793">
      <c r="B793" s="429" t="n">
        <v>46287</v>
      </c>
      <c r="C793" s="297" t="inlineStr">
        <is>
          <t>Impuestos junio, julio y agosto 2026</t>
        </is>
      </c>
      <c r="D793" s="298" t="inlineStr">
        <is>
          <t>SAT</t>
        </is>
      </c>
      <c r="E793" s="297" t="inlineStr">
        <is>
          <t>Taxes</t>
        </is>
      </c>
      <c r="F793" s="299" t="n">
        <v>14842</v>
      </c>
      <c r="G793" s="300" t="inlineStr">
        <is>
          <t>Capital</t>
        </is>
      </c>
      <c r="H793" s="300" t="inlineStr">
        <is>
          <t>Transfer</t>
        </is>
      </c>
      <c r="I793" s="301" t="inlineStr">
        <is>
          <t>✅ Paid</t>
        </is>
      </c>
      <c r="J793" s="423" t="inlineStr">
        <is>
          <t>Impuestos Jun-Ago 2026 pagados con capital - reserva cuenta empresa</t>
        </is>
      </c>
    </row>
    <row r="794">
      <c r="B794" s="429" t="n">
        <v>46287</v>
      </c>
      <c r="C794" s="297" t="inlineStr">
        <is>
          <t>Honorarios Julio Contador</t>
        </is>
      </c>
      <c r="D794" s="298" t="inlineStr">
        <is>
          <t>Julio Contador</t>
        </is>
      </c>
      <c r="E794" s="297" t="inlineStr">
        <is>
          <t>Professional Services</t>
        </is>
      </c>
      <c r="F794" s="299" t="n">
        <v>3600</v>
      </c>
      <c r="G794" s="300" t="inlineStr">
        <is>
          <t>Capital</t>
        </is>
      </c>
      <c r="H794" s="300" t="inlineStr">
        <is>
          <t>Transfer</t>
        </is>
      </c>
      <c r="I794" s="301" t="inlineStr">
        <is>
          <t>✅ Paid</t>
        </is>
      </c>
      <c r="J794" s="423" t="inlineStr">
        <is>
          <t>Honorarios contables pagados con capital - reserva cuenta empresa</t>
        </is>
      </c>
    </row>
    <row r="795">
      <c r="B795" s="429" t="n">
        <v>46288</v>
      </c>
      <c r="C795" s="297" t="inlineStr">
        <is>
          <t>Avia</t>
        </is>
      </c>
      <c r="D795" s="298" t="inlineStr">
        <is>
          <t>No bill</t>
        </is>
      </c>
      <c r="E795" s="297" t="inlineStr">
        <is>
          <t>Ingredients - Beverages</t>
        </is>
      </c>
      <c r="F795" s="299" t="n">
        <v>600</v>
      </c>
      <c r="G795" s="300" t="inlineStr">
        <is>
          <t>Restaurant</t>
        </is>
      </c>
      <c r="H795" s="300" t="inlineStr">
        <is>
          <t>Cash</t>
        </is>
      </c>
      <c r="I795" s="301" t="inlineStr">
        <is>
          <t>✅ Paid</t>
        </is>
      </c>
      <c r="J795" s="423" t="inlineStr">
        <is>
          <t>No receipt; cash</t>
        </is>
      </c>
    </row>
    <row r="796">
      <c r="B796" s="429" t="n">
        <v>46288</v>
      </c>
      <c r="C796" s="297" t="inlineStr">
        <is>
          <t>Boneless</t>
        </is>
      </c>
      <c r="D796" s="298" t="inlineStr">
        <is>
          <t>No bill</t>
        </is>
      </c>
      <c r="E796" s="297" t="inlineStr">
        <is>
          <t>Ingredients - Meat</t>
        </is>
      </c>
      <c r="F796" s="299" t="n">
        <v>1200</v>
      </c>
      <c r="G796" s="300" t="inlineStr">
        <is>
          <t>Restaurant</t>
        </is>
      </c>
      <c r="H796" s="300" t="inlineStr">
        <is>
          <t>Cash</t>
        </is>
      </c>
      <c r="I796" s="301" t="inlineStr">
        <is>
          <t>✅ Paid</t>
        </is>
      </c>
      <c r="J796" s="423" t="inlineStr">
        <is>
          <t>No receipt; cash</t>
        </is>
      </c>
    </row>
    <row r="797">
      <c r="B797" s="429" t="n">
        <v>46288</v>
      </c>
      <c r="C797" s="297" t="inlineStr">
        <is>
          <t>Carne</t>
        </is>
      </c>
      <c r="D797" s="298" t="inlineStr">
        <is>
          <t>No bill</t>
        </is>
      </c>
      <c r="E797" s="297" t="inlineStr">
        <is>
          <t>Ingredients - Meat</t>
        </is>
      </c>
      <c r="F797" s="299" t="n">
        <v>644</v>
      </c>
      <c r="G797" s="300" t="inlineStr">
        <is>
          <t>Restaurant</t>
        </is>
      </c>
      <c r="H797" s="300" t="inlineStr">
        <is>
          <t>Cash</t>
        </is>
      </c>
      <c r="I797" s="301" t="inlineStr">
        <is>
          <t>✅ Paid</t>
        </is>
      </c>
      <c r="J797" s="423" t="inlineStr">
        <is>
          <t>No receipt; cash</t>
        </is>
      </c>
    </row>
    <row r="798">
      <c r="B798" s="429" t="n">
        <v>46288</v>
      </c>
      <c r="C798" s="297" t="inlineStr">
        <is>
          <t>Guimar</t>
        </is>
      </c>
      <c r="D798" s="298" t="inlineStr">
        <is>
          <t>Guimar Polietilenos</t>
        </is>
      </c>
      <c r="E798" s="297" t="inlineStr">
        <is>
          <t>Packaging/Disposables</t>
        </is>
      </c>
      <c r="F798" s="299" t="n">
        <v>216</v>
      </c>
      <c r="G798" s="300" t="inlineStr">
        <is>
          <t>Restaurant</t>
        </is>
      </c>
      <c r="H798" s="300" t="inlineStr">
        <is>
          <t>Cash</t>
        </is>
      </c>
      <c r="I798" s="301" t="inlineStr">
        <is>
          <t>✅ Paid</t>
        </is>
      </c>
      <c r="J798" s="423" t="inlineStr">
        <is>
          <t>No receipt; cash</t>
        </is>
      </c>
    </row>
    <row r="799">
      <c r="B799" s="429" t="n">
        <v>46288</v>
      </c>
      <c r="C799" s="297" t="inlineStr">
        <is>
          <t>Oxxo Arroz</t>
        </is>
      </c>
      <c r="D799" s="298" t="inlineStr">
        <is>
          <t>OXXO</t>
        </is>
      </c>
      <c r="E799" s="297" t="inlineStr">
        <is>
          <t>Ingredients - Pantry</t>
        </is>
      </c>
      <c r="F799" s="299" t="n">
        <v>130</v>
      </c>
      <c r="G799" s="300" t="inlineStr">
        <is>
          <t>Restaurant</t>
        </is>
      </c>
      <c r="H799" s="300" t="inlineStr">
        <is>
          <t>Cash</t>
        </is>
      </c>
      <c r="I799" s="301" t="inlineStr">
        <is>
          <t>✅ Paid</t>
        </is>
      </c>
      <c r="J799" s="423" t="inlineStr">
        <is>
          <t>No receipt; cash</t>
        </is>
      </c>
    </row>
    <row r="800">
      <c r="B800" s="429" t="n">
        <v>46288</v>
      </c>
      <c r="C800" s="297" t="inlineStr">
        <is>
          <t>Pan Real</t>
        </is>
      </c>
      <c r="D800" s="298" t="inlineStr">
        <is>
          <t>No bill</t>
        </is>
      </c>
      <c r="E800" s="297" t="inlineStr">
        <is>
          <t>Ingredients - Bread</t>
        </is>
      </c>
      <c r="F800" s="299" t="n">
        <v>1706</v>
      </c>
      <c r="G800" s="300" t="inlineStr">
        <is>
          <t>Restaurant</t>
        </is>
      </c>
      <c r="H800" s="300" t="inlineStr">
        <is>
          <t>Cash</t>
        </is>
      </c>
      <c r="I800" s="301" t="inlineStr">
        <is>
          <t>✅ Paid</t>
        </is>
      </c>
      <c r="J800" s="423" t="inlineStr">
        <is>
          <t>No receipt; cash</t>
        </is>
      </c>
    </row>
    <row r="801">
      <c r="B801" s="429" t="n">
        <v>46288</v>
      </c>
      <c r="C801" s="297" t="inlineStr">
        <is>
          <t>Pollo</t>
        </is>
      </c>
      <c r="D801" s="298" t="inlineStr">
        <is>
          <t>No bill</t>
        </is>
      </c>
      <c r="E801" s="297" t="inlineStr">
        <is>
          <t>Ingredients - Meat</t>
        </is>
      </c>
      <c r="F801" s="299" t="n">
        <v>879</v>
      </c>
      <c r="G801" s="300" t="inlineStr">
        <is>
          <t>Lohith</t>
        </is>
      </c>
      <c r="H801" s="300" t="inlineStr">
        <is>
          <t>Cash</t>
        </is>
      </c>
      <c r="I801" s="301" t="inlineStr">
        <is>
          <t>✅ Paid</t>
        </is>
      </c>
      <c r="J801" s="423" t="inlineStr">
        <is>
          <t>Pagado por Lohith (bolsillo); reembolsable via Owner Ledger</t>
        </is>
      </c>
    </row>
    <row r="802">
      <c r="B802" s="429" t="n">
        <v>46289</v>
      </c>
      <c r="C802" s="297" t="inlineStr">
        <is>
          <t>Sams Club</t>
        </is>
      </c>
      <c r="D802" s="298" t="inlineStr">
        <is>
          <t>Sam's Club</t>
        </is>
      </c>
      <c r="E802" s="297" t="inlineStr">
        <is>
          <t>Supermarket/General</t>
        </is>
      </c>
      <c r="F802" s="299" t="n">
        <v>2465</v>
      </c>
      <c r="G802" s="300" t="inlineStr">
        <is>
          <t>Restaurant</t>
        </is>
      </c>
      <c r="H802" s="300" t="inlineStr">
        <is>
          <t>Cash</t>
        </is>
      </c>
      <c r="I802" s="301" t="inlineStr">
        <is>
          <t>✅ Paid</t>
        </is>
      </c>
      <c r="J802" s="423" t="inlineStr">
        <is>
          <t>No receipt; cash</t>
        </is>
      </c>
    </row>
    <row r="803">
      <c r="B803" s="429" t="n">
        <v>46290</v>
      </c>
      <c r="C803" s="297" t="inlineStr">
        <is>
          <t>Vegetables</t>
        </is>
      </c>
      <c r="D803" s="298" t="inlineStr">
        <is>
          <t>No bill</t>
        </is>
      </c>
      <c r="E803" s="297" t="inlineStr">
        <is>
          <t>Ingredients - Vegetables</t>
        </is>
      </c>
      <c r="F803" s="299" t="n">
        <v>138</v>
      </c>
      <c r="G803" s="300" t="inlineStr">
        <is>
          <t>Restaurant</t>
        </is>
      </c>
      <c r="H803" s="300" t="inlineStr">
        <is>
          <t>Cash</t>
        </is>
      </c>
      <c r="I803" s="301" t="inlineStr">
        <is>
          <t>✅ Paid</t>
        </is>
      </c>
      <c r="J803" s="423" t="inlineStr">
        <is>
          <t>No receipt; cash</t>
        </is>
      </c>
    </row>
    <row r="804">
      <c r="B804" s="429" t="n">
        <v>46290</v>
      </c>
      <c r="C804" s="297" t="inlineStr">
        <is>
          <t>Brisa del mar</t>
        </is>
      </c>
      <c r="D804" s="298" t="inlineStr">
        <is>
          <t>Brisa del Mar</t>
        </is>
      </c>
      <c r="E804" s="297" t="inlineStr">
        <is>
          <t>Ingredients - Meat &amp; Fish</t>
        </is>
      </c>
      <c r="F804" s="299" t="n">
        <v>289</v>
      </c>
      <c r="G804" s="300" t="inlineStr">
        <is>
          <t>Restaurant</t>
        </is>
      </c>
      <c r="H804" s="300" t="inlineStr">
        <is>
          <t>Cash</t>
        </is>
      </c>
      <c r="I804" s="301" t="inlineStr">
        <is>
          <t>✅ Paid</t>
        </is>
      </c>
      <c r="J804" s="423" t="inlineStr">
        <is>
          <t>No receipt; cash</t>
        </is>
      </c>
    </row>
    <row r="805">
      <c r="B805" s="429" t="n">
        <v>46290</v>
      </c>
      <c r="C805" s="297" t="inlineStr">
        <is>
          <t>Carne</t>
        </is>
      </c>
      <c r="D805" s="298" t="inlineStr">
        <is>
          <t>No bill</t>
        </is>
      </c>
      <c r="E805" s="297" t="inlineStr">
        <is>
          <t>Ingredients - Meat</t>
        </is>
      </c>
      <c r="F805" s="299" t="n">
        <v>301</v>
      </c>
      <c r="G805" s="300" t="inlineStr">
        <is>
          <t>Restaurant</t>
        </is>
      </c>
      <c r="H805" s="300" t="inlineStr">
        <is>
          <t>Cash</t>
        </is>
      </c>
      <c r="I805" s="301" t="inlineStr">
        <is>
          <t>✅ Paid</t>
        </is>
      </c>
      <c r="J805" s="423" t="inlineStr">
        <is>
          <t>No receipt; cash</t>
        </is>
      </c>
    </row>
    <row r="806">
      <c r="B806" s="429" t="n">
        <v>46290</v>
      </c>
      <c r="C806" s="297" t="inlineStr">
        <is>
          <t>Molino</t>
        </is>
      </c>
      <c r="D806" s="298" t="inlineStr">
        <is>
          <t>No bill</t>
        </is>
      </c>
      <c r="E806" s="297" t="inlineStr">
        <is>
          <t>Supermarket/General</t>
        </is>
      </c>
      <c r="F806" s="299" t="n">
        <v>464</v>
      </c>
      <c r="G806" s="300" t="inlineStr">
        <is>
          <t>Restaurant</t>
        </is>
      </c>
      <c r="H806" s="300" t="inlineStr">
        <is>
          <t>Cash</t>
        </is>
      </c>
      <c r="I806" s="301" t="inlineStr">
        <is>
          <t>✅ Paid</t>
        </is>
      </c>
      <c r="J806" s="423" t="inlineStr">
        <is>
          <t>No receipt; cash</t>
        </is>
      </c>
    </row>
    <row r="807">
      <c r="B807" s="429" t="n">
        <v>46290</v>
      </c>
      <c r="C807" s="297" t="inlineStr">
        <is>
          <t>Chedraui</t>
        </is>
      </c>
      <c r="D807" s="298" t="inlineStr">
        <is>
          <t>Chedraui</t>
        </is>
      </c>
      <c r="E807" s="297" t="inlineStr">
        <is>
          <t>Supermarket/General</t>
        </is>
      </c>
      <c r="F807" s="299" t="n">
        <v>48</v>
      </c>
      <c r="G807" s="300" t="inlineStr">
        <is>
          <t>Restaurant</t>
        </is>
      </c>
      <c r="H807" s="300" t="inlineStr">
        <is>
          <t>Cash</t>
        </is>
      </c>
      <c r="I807" s="301" t="inlineStr">
        <is>
          <t>✅ Paid</t>
        </is>
      </c>
      <c r="J807" s="423" t="inlineStr">
        <is>
          <t>No receipt; cash</t>
        </is>
      </c>
    </row>
    <row r="808">
      <c r="B808" s="429" t="n">
        <v>46291</v>
      </c>
      <c r="C808" s="297" t="inlineStr">
        <is>
          <t>Vegetables</t>
        </is>
      </c>
      <c r="D808" s="298" t="inlineStr">
        <is>
          <t>No bill</t>
        </is>
      </c>
      <c r="E808" s="297" t="inlineStr">
        <is>
          <t>Ingredients - Vegetables</t>
        </is>
      </c>
      <c r="F808" s="299" t="n">
        <v>1066</v>
      </c>
      <c r="G808" s="300" t="inlineStr">
        <is>
          <t>Restaurant</t>
        </is>
      </c>
      <c r="H808" s="300" t="inlineStr">
        <is>
          <t>Cash</t>
        </is>
      </c>
      <c r="I808" s="301" t="inlineStr">
        <is>
          <t>✅ Paid</t>
        </is>
      </c>
      <c r="J808" s="423" t="inlineStr">
        <is>
          <t>No receipt; cash</t>
        </is>
      </c>
    </row>
    <row r="809">
      <c r="B809" s="429" t="n">
        <v>46291</v>
      </c>
      <c r="C809" s="297" t="inlineStr">
        <is>
          <t>Guimar</t>
        </is>
      </c>
      <c r="D809" s="298" t="inlineStr">
        <is>
          <t>Guimar Polietilenos</t>
        </is>
      </c>
      <c r="E809" s="297" t="inlineStr">
        <is>
          <t>Packaging/Disposables</t>
        </is>
      </c>
      <c r="F809" s="299" t="n">
        <v>173</v>
      </c>
      <c r="G809" s="300" t="inlineStr">
        <is>
          <t>Restaurant</t>
        </is>
      </c>
      <c r="H809" s="300" t="inlineStr">
        <is>
          <t>Cash</t>
        </is>
      </c>
      <c r="I809" s="301" t="inlineStr">
        <is>
          <t>✅ Paid</t>
        </is>
      </c>
      <c r="J809" s="423" t="inlineStr">
        <is>
          <t>No receipt; cash</t>
        </is>
      </c>
    </row>
    <row r="810">
      <c r="B810" s="429" t="n">
        <v>46291</v>
      </c>
      <c r="C810" s="297" t="inlineStr">
        <is>
          <t>Basicos</t>
        </is>
      </c>
      <c r="D810" s="298" t="inlineStr">
        <is>
          <t>No bill</t>
        </is>
      </c>
      <c r="E810" s="297" t="inlineStr">
        <is>
          <t>Supermarket/General</t>
        </is>
      </c>
      <c r="F810" s="299" t="n">
        <v>443</v>
      </c>
      <c r="G810" s="300" t="inlineStr">
        <is>
          <t>Restaurant</t>
        </is>
      </c>
      <c r="H810" s="300" t="inlineStr">
        <is>
          <t>Cash</t>
        </is>
      </c>
      <c r="I810" s="301" t="inlineStr">
        <is>
          <t>✅ Paid</t>
        </is>
      </c>
      <c r="J810" s="423" t="inlineStr">
        <is>
          <t>No receipt; cash</t>
        </is>
      </c>
    </row>
    <row r="811">
      <c r="B811" s="429" t="n">
        <v>46291</v>
      </c>
      <c r="C811" s="297" t="inlineStr">
        <is>
          <t>Jhon - salary</t>
        </is>
      </c>
      <c r="D811" s="298" t="inlineStr">
        <is>
          <t>Payroll</t>
        </is>
      </c>
      <c r="E811" s="297" t="inlineStr">
        <is>
          <t>Staff - Salary</t>
        </is>
      </c>
      <c r="F811" s="299" t="n">
        <v>3750</v>
      </c>
      <c r="G811" s="300" t="inlineStr">
        <is>
          <t>Restaurant</t>
        </is>
      </c>
      <c r="H811" s="300" t="inlineStr">
        <is>
          <t>Cash</t>
        </is>
      </c>
      <c r="I811" s="301" t="inlineStr">
        <is>
          <t>✅ Paid</t>
        </is>
      </c>
      <c r="J811" s="423" t="inlineStr">
        <is>
          <t>Weekly salary</t>
        </is>
      </c>
    </row>
    <row r="812">
      <c r="B812" s="429" t="n">
        <v>46291</v>
      </c>
      <c r="C812" s="297" t="inlineStr">
        <is>
          <t>Duvi - salary</t>
        </is>
      </c>
      <c r="D812" s="298" t="inlineStr">
        <is>
          <t>Payroll</t>
        </is>
      </c>
      <c r="E812" s="297" t="inlineStr">
        <is>
          <t>Staff - Salary</t>
        </is>
      </c>
      <c r="F812" s="299" t="n">
        <v>1750</v>
      </c>
      <c r="G812" s="300" t="inlineStr">
        <is>
          <t>Restaurant</t>
        </is>
      </c>
      <c r="H812" s="300" t="inlineStr">
        <is>
          <t>Cash</t>
        </is>
      </c>
      <c r="I812" s="301" t="inlineStr">
        <is>
          <t>✅ Paid</t>
        </is>
      </c>
      <c r="J812" s="423" t="inlineStr">
        <is>
          <t>Weekly salary</t>
        </is>
      </c>
    </row>
    <row r="813">
      <c r="B813" s="429" t="n">
        <v>46291</v>
      </c>
      <c r="C813" s="297" t="inlineStr">
        <is>
          <t>Josias - salary</t>
        </is>
      </c>
      <c r="D813" s="298" t="inlineStr">
        <is>
          <t>Payroll</t>
        </is>
      </c>
      <c r="E813" s="297" t="inlineStr">
        <is>
          <t>Staff - Salary</t>
        </is>
      </c>
      <c r="F813" s="299" t="n">
        <v>2200</v>
      </c>
      <c r="G813" s="300" t="inlineStr">
        <is>
          <t>Restaurant</t>
        </is>
      </c>
      <c r="H813" s="300" t="inlineStr">
        <is>
          <t>Cash</t>
        </is>
      </c>
      <c r="I813" s="301" t="inlineStr">
        <is>
          <t>✅ Paid</t>
        </is>
      </c>
      <c r="J813" s="423" t="inlineStr">
        <is>
          <t>Weekly salary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tabSelected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0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243.3333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440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1460</v>
      </c>
      <c r="C36" s="201" t="n">
        <v>5840</v>
      </c>
      <c r="D36" s="199" t="inlineStr">
        <is>
          <t>Confirmed 18-Sep-2026 ($1,460/wk)</t>
        </is>
      </c>
    </row>
    <row r="37">
      <c r="A37" t="inlineStr">
        <is>
          <t>Armando — Ayudante Salary</t>
        </is>
      </c>
      <c r="B37" s="199" t="n">
        <v>2200</v>
      </c>
      <c r="C37" s="220" t="n">
        <v>8800</v>
      </c>
      <c r="D37" s="221" t="inlineStr">
        <is>
          <t>Confirmed 18-Sep-2026 ($2,200/wk, Mon-Fri, $440/day)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(contractual $19,066.68/mo from Sep)</t>
        </is>
      </c>
      <c r="B39" s="197" t="n">
        <v>4766.67</v>
      </c>
      <c r="C39" s="198" t="n">
        <v>19066.68</v>
      </c>
      <c r="D39" s="193" t="inlineStr">
        <is>
          <t>Cash basis; weekly = monthly / 4</t>
        </is>
      </c>
    </row>
    <row r="40">
      <c r="A40" s="199" t="inlineStr">
        <is>
          <t>Utilities - CFE + gas + internet + Soft app</t>
        </is>
      </c>
      <c r="B40" s="200" t="n">
        <v>1763.25</v>
      </c>
      <c r="C40" s="201" t="n">
        <v>7053</v>
      </c>
      <c r="D40" s="199" t="inlineStr">
        <is>
          <t>CFE $8,789 bimonthly (~$4,395/mo) + gas $1,500 + internet $349 + Soft $810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Duvi + Armando</t>
        </is>
      </c>
      <c r="B45" s="204">
        <f>B41</f>
        <v/>
      </c>
      <c r="C45" s="204" t="n">
        <v>10500</v>
      </c>
      <c r="D45" s="204">
        <f>B45+C45</f>
        <v/>
      </c>
      <c r="E45" s="204">
        <f>D45/6</f>
        <v/>
      </c>
      <c r="F45" s="204" t="inlineStr">
        <is>
          <t>Payroll $7,410/wk as confirmed 18-Sep</t>
        </is>
      </c>
      <c r="G45" s="204" t="inlineStr">
        <is>
          <t>Break-even = (fixed + variable) / 6 trading days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Current (John + Duvi + Armando)</t>
        </is>
      </c>
      <c r="B49" s="205">
        <f>B41</f>
        <v/>
      </c>
      <c r="C49" s="206" t="n">
        <v>10500</v>
      </c>
      <c r="D49" s="207">
        <f>B49+C49</f>
        <v/>
      </c>
      <c r="E49" s="208">
        <f>D49/6</f>
        <v/>
      </c>
      <c r="F49" s="204" t="n">
        <v>3980</v>
      </c>
      <c r="G49" s="204">
        <f>IF(F49&gt;=E49,"✅ Above break-even","⚠️ Below by $"&amp;TEXT(E49-F49,"#,##0")&amp;"/day")</f>
        <v/>
      </c>
      <c r="H49" t="inlineStr">
        <is>
          <t>F = Sep avg/day to 18-Sep, excl. the one-off $15,896 payment</t>
        </is>
      </c>
    </row>
    <row r="50">
      <c r="A50" s="209" t="inlineStr">
        <is>
          <t>If a mesero is hired (+$2,000/wk)</t>
        </is>
      </c>
      <c r="B50" s="210">
        <f>B41+2000</f>
        <v/>
      </c>
      <c r="C50" s="211" t="n">
        <v>10500</v>
      </c>
      <c r="D50" s="212">
        <f>B50+C50</f>
        <v/>
      </c>
      <c r="E50" s="213">
        <f>D50/6</f>
        <v/>
      </c>
      <c r="F50" s="209">
        <f>F49</f>
        <v/>
      </c>
      <c r="G50" s="209">
        <f>IF(F50&gt;=E50,"✅ Above break-even","⚠️ Below by $"&amp;TEXT(E50-F50,"#,##0")&amp;"/day")</f>
        <v/>
      </c>
      <c r="H50" t="inlineStr">
        <is>
          <t>Scenario only</t>
        </is>
      </c>
    </row>
    <row r="51">
      <c r="A51" s="214" t="inlineStr">
        <is>
          <t>Safety buffer (+15%)</t>
        </is>
      </c>
      <c r="B51" s="215">
        <f>B49</f>
        <v/>
      </c>
      <c r="C51" s="216">
        <f>C49</f>
        <v/>
      </c>
      <c r="D51" s="217">
        <f>D49*1.15</f>
        <v/>
      </c>
      <c r="E51" s="218">
        <f>D51/6</f>
        <v/>
      </c>
      <c r="F51" s="214">
        <f>F49</f>
        <v/>
      </c>
      <c r="G51" s="214">
        <f>IF(F51&gt;=E51,"✅ Above break-even","⚠️ Below by $"&amp;TEXT(E51-F51,"#,##0")&amp;"/day")</f>
        <v/>
      </c>
      <c r="H51" t="inlineStr">
        <is>
          <t>Healthy target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food + supplies, estimated $10,500/wk (Aug actual ~ $10,750/wk).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Rent = contractual $19,066.68/mo from Sep (cash basis). Weekly figures use monthly / 4.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Utilities ~ $7,053/mo from actual bills: CFE $8,789 bimonthly + gas $1,500 + internet $349 + Soft app $810.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Payroll confirmed 18-Sep-2026: John $3,750 + Duvi $1,460 + Armando $2,200 = $7,410/wk.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tabSelected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0"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tabSelected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 (MP + Soft + BBVA)</t>
        </is>
      </c>
      <c r="B11" s="437">
        <f>SUMIFS('📅 Daily Log'!$D$8:$D$5000,'📅 Daily Log'!$B$8:$B$5000,"&gt;="&amp;DATE(2026,5,1),'📅 Daily Log'!$B$8:$B$5000,"&lt;"&amp;DATE(2026,6,1))+SUMIFS('📅 Daily Log'!$U$8:$U$5000,'📅 Daily Log'!$B$8:$B$5000,"&gt;="&amp;DATE(2026,5,1),'📅 Daily Log'!$B$8:$B$5000,"&lt;"&amp;DATE(2026,6,1))+SUMIFS('📅 Daily Log'!$Y$8:$Y$5000,'📅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Log'!$B$8:$B$5000,"&lt;"&amp;DATE(2026,7,1))+SUMIFS('📅 Daily Log'!$U$8:$U$5000,'📅 Daily Log'!$B$8:$B$5000,"&gt;="&amp;DATE(2026,6,1),'📅 Daily Log'!$B$8:$B$5000,"&lt;"&amp;DATE(2026,7,1))+SUMIFS('📅 Daily Log'!$Y$8:$Y$5000,'📅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Log'!$B$8:$B$5000,"&lt;"&amp;DATE(2026,8,1))+SUMIFS('📅 Daily Log'!$U$8:$U$5000,'📅 Daily Log'!$B$8:$B$5000,"&gt;="&amp;DATE(2026,7,1),'📅 Daily Log'!$B$8:$B$5000,"&lt;"&amp;DATE(2026,8,1))+SUMIFS('📅 Daily Log'!$Y$8:$Y$5000,'📅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Log'!$B$8:$B$5000,"&lt;"&amp;DATE(2026,9,1))+SUMIFS('📅 Daily Log'!$U$8:$U$5000,'📅 Daily Log'!$B$8:$B$5000,"&gt;="&amp;DATE(2026,8,1),'📅 Daily Log'!$B$8:$B$5000,"&lt;"&amp;DATE(2026,9,1))+SUMIFS('📅 Daily Log'!$Y$8:$Y$5000,'📅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Log'!$B$8:$B$5000,"&lt;"&amp;DATE(2026,10,1))+SUMIFS('📅 Daily Log'!$U$8:$U$5000,'📅 Daily Log'!$B$8:$B$5000,"&gt;="&amp;DATE(2026,9,1),'📅 Daily Log'!$B$8:$B$5000,"&lt;"&amp;DATE(2026,10,1))+SUMIFS('📅 Daily Log'!$Y$8:$Y$5000,'📅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Taxes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Pantry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Bread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Beverages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Ingredients - Dairy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Utilities/Electricity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Supplies/Other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Maintenance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Utilities/Gas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Professional Services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Ingredients - Fruit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Utilities/Internet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Office Supplies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Ingredients - Other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Software/Subscription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Staff - Advance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Ingredients - Eggs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9" t="inlineStr">
        <is>
          <t>Ingredients - Desserts</t>
        </is>
      </c>
      <c r="B42" s="437">
        <f>SUMIFS('💸 Expenses'!$F$8:$F$5000,'💸 Expenses'!$E$8:$E$5000,$A42,'💸 Expenses'!$B$8:$B$5000,"&gt;="&amp;DATE(2026,5,1),'💸 Expenses'!$B$8:$B$5000,"&lt;"&amp;DATE(2026,6,1))</f>
        <v/>
      </c>
      <c r="C42" s="437">
        <f>SUMIFS('💸 Expenses'!$F$8:$F$5000,'💸 Expenses'!$E$8:$E$5000,$A42,'💸 Expenses'!$B$8:$B$5000,"&gt;="&amp;DATE(2026,6,1),'💸 Expenses'!$B$8:$B$5000,"&lt;"&amp;DATE(2026,7,1))</f>
        <v/>
      </c>
      <c r="D42" s="437">
        <f>SUMIFS('💸 Expenses'!$F$8:$F$5000,'💸 Expenses'!$E$8:$E$5000,$A42,'💸 Expenses'!$B$8:$B$5000,"&gt;="&amp;DATE(2026,7,1),'💸 Expenses'!$B$8:$B$5000,"&lt;"&amp;DATE(2026,8,1))</f>
        <v/>
      </c>
      <c r="E42" s="437">
        <f>SUMIFS('💸 Expenses'!$F$8:$F$5000,'💸 Expenses'!$E$8:$E$5000,$A42,'💸 Expenses'!$B$8:$B$5000,"&gt;="&amp;DATE(2026,8,1),'💸 Expenses'!$B$8:$B$5000,"&lt;"&amp;DATE(2026,9,1))</f>
        <v/>
      </c>
      <c r="F42" s="437">
        <f>SUMIFS('💸 Expenses'!$F$8:$F$5000,'💸 Expenses'!$E$8:$E$5000,$A42,'💸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9" t="inlineStr">
        <is>
          <t>Staff - Propinas</t>
        </is>
      </c>
      <c r="B43" s="437">
        <f>SUMIFS('💸 Expenses'!$F$8:$F$5000,'💸 Expenses'!$E$8:$E$5000,$A43,'💸 Expenses'!$B$8:$B$5000,"&gt;="&amp;DATE(2026,5,1),'💸 Expenses'!$B$8:$B$5000,"&lt;"&amp;DATE(2026,6,1))</f>
        <v/>
      </c>
      <c r="C43" s="437">
        <f>SUMIFS('💸 Expenses'!$F$8:$F$5000,'💸 Expenses'!$E$8:$E$5000,$A43,'💸 Expenses'!$B$8:$B$5000,"&gt;="&amp;DATE(2026,6,1),'💸 Expenses'!$B$8:$B$5000,"&lt;"&amp;DATE(2026,7,1))</f>
        <v/>
      </c>
      <c r="D43" s="437">
        <f>SUMIFS('💸 Expenses'!$F$8:$F$5000,'💸 Expenses'!$E$8:$E$5000,$A43,'💸 Expenses'!$B$8:$B$5000,"&gt;="&amp;DATE(2026,7,1),'💸 Expenses'!$B$8:$B$5000,"&lt;"&amp;DATE(2026,8,1))</f>
        <v/>
      </c>
      <c r="E43" s="437">
        <f>SUMIFS('💸 Expenses'!$F$8:$F$5000,'💸 Expenses'!$E$8:$E$5000,$A43,'💸 Expenses'!$B$8:$B$5000,"&gt;="&amp;DATE(2026,8,1),'💸 Expenses'!$B$8:$B$5000,"&lt;"&amp;DATE(2026,9,1))</f>
        <v/>
      </c>
      <c r="F43" s="437">
        <f>SUMIFS('💸 Expenses'!$F$8:$F$5000,'💸 Expenses'!$E$8:$E$5000,$A43,'💸 Expenses'!$B$8:$B$5000,"&gt;="&amp;DATE(2026,9,1),'💸 Expenses'!$B$8:$B$5000,"&lt;"&amp;DATE(2026,10,1))</f>
        <v/>
      </c>
      <c r="G43" s="433" t="n"/>
      <c r="H43" s="433" t="n"/>
      <c r="I43" s="433" t="n"/>
      <c r="J43" s="433" t="n"/>
      <c r="K43" s="433" t="n"/>
      <c r="L43" s="433" t="n"/>
    </row>
    <row r="44">
      <c r="A44" s="436" t="inlineStr">
        <is>
          <t>TOTAL EXPENSES</t>
        </is>
      </c>
      <c r="B44" s="438">
        <f>SUMIFS('💸 Expenses'!$F$8:$F$5000,'💸 Expenses'!$B$8:$B$5000,"&gt;="&amp;DATE(2026,5,1),'💸 Expenses'!$B$8:$B$5000,"&lt;"&amp;DATE(2026,6,1))</f>
        <v/>
      </c>
      <c r="C44" s="438">
        <f>SUMIFS('💸 Expenses'!$F$8:$F$5000,'💸 Expenses'!$B$8:$B$5000,"&gt;="&amp;DATE(2026,6,1),'💸 Expenses'!$B$8:$B$5000,"&lt;"&amp;DATE(2026,7,1))</f>
        <v/>
      </c>
      <c r="D44" s="438">
        <f>SUMIFS('💸 Expenses'!$F$8:$F$5000,'💸 Expenses'!$B$8:$B$5000,"&gt;="&amp;DATE(2026,7,1),'💸 Expenses'!$B$8:$B$5000,"&lt;"&amp;DATE(2026,8,1))</f>
        <v/>
      </c>
      <c r="E44" s="438">
        <f>SUMIFS('💸 Expenses'!$F$8:$F$5000,'💸 Expenses'!$B$8:$B$5000,"&gt;="&amp;DATE(2026,8,1),'💸 Expenses'!$B$8:$B$5000,"&lt;"&amp;DATE(2026,9,1))</f>
        <v/>
      </c>
      <c r="F44" s="438">
        <f>SUMIFS('💸 Expenses'!$F$8:$F$5000,'💸 Expenses'!$B$8:$B$5000,"&gt;="&amp;DATE(2026,9,1),'💸 Expenses'!$B$8:$B$5000,"&lt;"&amp;DATE(2026,10,1))</f>
        <v/>
      </c>
      <c r="G44" s="433" t="n"/>
      <c r="H44" s="433" t="n"/>
      <c r="I44" s="433" t="n"/>
      <c r="J44" s="433" t="n"/>
      <c r="K44" s="433" t="n"/>
      <c r="L44" s="433" t="n"/>
    </row>
    <row r="45">
      <c r="A45" s="436" t="inlineStr">
        <is>
          <t>NET PROFIT / LOSS</t>
        </is>
      </c>
      <c r="B45" s="438">
        <f>B4-B44</f>
        <v/>
      </c>
      <c r="C45" s="438">
        <f>C4-C44</f>
        <v/>
      </c>
      <c r="D45" s="438">
        <f>D4-D44</f>
        <v/>
      </c>
      <c r="E45" s="438">
        <f>E4-E44</f>
        <v/>
      </c>
      <c r="F45" s="438">
        <f>F4-F44</f>
        <v/>
      </c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tabSelected="0"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8"/>
  <sheetViews>
    <sheetView tabSelected="0"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Settlement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Settled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Settlement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Settled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n">
        <v>46282</v>
      </c>
      <c r="B88" s="232" t="inlineStr">
        <is>
          <t>Transfer-to-me (customer payment 17-Sep)</t>
        </is>
      </c>
      <c r="C88" s="232" t="inlineStr">
        <is>
          <t>Transfer Received</t>
        </is>
      </c>
      <c r="D88" s="232" t="n"/>
      <c r="E88" s="233" t="n">
        <v>260</v>
      </c>
      <c r="F88" s="233">
        <f>IFERROR(F87+D88-E88,0)</f>
        <v/>
      </c>
      <c r="G88" s="232" t="inlineStr">
        <is>
          <t>✅ Received</t>
        </is>
      </c>
      <c r="H88" s="232" t="inlineStr">
        <is>
          <t>Customer paid Lohith personal acct</t>
        </is>
      </c>
    </row>
    <row r="89">
      <c r="A89" s="430" t="n">
        <v>46282</v>
      </c>
      <c r="B89" s="232" t="inlineStr">
        <is>
          <t>Pollo $977 (paid by Lohith)</t>
        </is>
      </c>
      <c r="C89" s="232" t="inlineStr">
        <is>
          <t>Expense - Personal</t>
        </is>
      </c>
      <c r="D89" s="232" t="n">
        <v>977</v>
      </c>
      <c r="E89" s="233" t="n"/>
      <c r="F89" s="233">
        <f>IFERROR(F88+D89-E89,0)</f>
        <v/>
      </c>
      <c r="G89" s="232" t="inlineStr">
        <is>
          <t>⏳ Reimburse</t>
        </is>
      </c>
      <c r="H89" s="232" t="inlineStr">
        <is>
          <t>Fronted from own pocket; excluded from till via cash_adjust</t>
        </is>
      </c>
    </row>
    <row r="90">
      <c r="A90" s="430" t="n">
        <v>46282</v>
      </c>
      <c r="B90" s="232" t="inlineStr">
        <is>
          <t>Pollo $183 (paid by Lohith)</t>
        </is>
      </c>
      <c r="C90" s="232" t="inlineStr">
        <is>
          <t>Expense - Personal</t>
        </is>
      </c>
      <c r="D90" s="232" t="n">
        <v>183</v>
      </c>
      <c r="E90" s="233" t="n"/>
      <c r="F90" s="233">
        <f>IFERROR(F89+D90-E90,0)</f>
        <v/>
      </c>
      <c r="G90" s="232" t="inlineStr">
        <is>
          <t>⏳ Reimburse</t>
        </is>
      </c>
      <c r="H90" s="232" t="inlineStr">
        <is>
          <t>Fronted from own pocket; excluded from till via cash_adjust</t>
        </is>
      </c>
    </row>
    <row r="91">
      <c r="A91" s="430" t="n">
        <v>46282</v>
      </c>
      <c r="B91" s="232" t="inlineStr">
        <is>
          <t>Transfer-to-me (customer payment 17-Sep)</t>
        </is>
      </c>
      <c r="C91" s="232" t="inlineStr">
        <is>
          <t>Transfer Received</t>
        </is>
      </c>
      <c r="D91" s="232" t="n"/>
      <c r="E91" s="233" t="n">
        <v>15896</v>
      </c>
      <c r="F91" s="233">
        <f>IFERROR(F90+D91-E91,0)</f>
        <v/>
      </c>
      <c r="G91" s="232" t="inlineStr">
        <is>
          <t>✅ Received</t>
        </is>
      </c>
      <c r="H91" s="232" t="inlineStr">
        <is>
          <t>Customer paid Lohith personal acct</t>
        </is>
      </c>
    </row>
    <row r="92">
      <c r="A92" s="430" t="n">
        <v>46283</v>
      </c>
      <c r="B92" s="232" t="inlineStr">
        <is>
          <t>Internet $349 (paid by Lohith)</t>
        </is>
      </c>
      <c r="C92" s="232" t="inlineStr">
        <is>
          <t>Expense - Personal</t>
        </is>
      </c>
      <c r="D92" s="232" t="n">
        <v>349</v>
      </c>
      <c r="E92" s="233" t="n"/>
      <c r="F92" s="233">
        <f>IFERROR(F91+D92-E92,0)</f>
        <v/>
      </c>
      <c r="G92" s="232" t="inlineStr">
        <is>
          <t>⏳ Reimburse</t>
        </is>
      </c>
      <c r="H92" s="232" t="inlineStr">
        <is>
          <t>Fronted from own pocket; excluded from till via cash_adjust</t>
        </is>
      </c>
    </row>
    <row r="93">
      <c r="A93" s="430" t="n">
        <v>46283</v>
      </c>
      <c r="B93" s="232" t="inlineStr">
        <is>
          <t>Settlement - Lohith returned restaurant money</t>
        </is>
      </c>
      <c r="C93" s="232" t="inlineStr">
        <is>
          <t>Settlement</t>
        </is>
      </c>
      <c r="D93" s="232" t="n">
        <v>12000</v>
      </c>
      <c r="E93" s="233" t="n"/>
      <c r="F93" s="233">
        <f>IFERROR(F92+D93-E93,0)</f>
        <v/>
      </c>
      <c r="G93" s="232" t="inlineStr">
        <is>
          <t>✅ Settled</t>
        </is>
      </c>
      <c r="H93" s="232" t="inlineStr">
        <is>
          <t>Lohith handed back cash he was holding</t>
        </is>
      </c>
    </row>
    <row r="94">
      <c r="A94" s="430" t="n">
        <v>46283</v>
      </c>
      <c r="B94" s="232" t="inlineStr">
        <is>
          <t>Settlement - Lohith returned restaurant money</t>
        </is>
      </c>
      <c r="C94" s="232" t="inlineStr">
        <is>
          <t>Settlement</t>
        </is>
      </c>
      <c r="D94" s="232" t="n">
        <v>2778.53</v>
      </c>
      <c r="E94" s="233" t="n"/>
      <c r="F94" s="233">
        <f>IFERROR(F93+D94-E94,0)</f>
        <v/>
      </c>
      <c r="G94" s="232" t="inlineStr">
        <is>
          <t>✅ Settled</t>
        </is>
      </c>
      <c r="H94" s="232" t="inlineStr">
        <is>
          <t>Lohith handed back cash he was holding</t>
        </is>
      </c>
    </row>
    <row r="95">
      <c r="A95" s="430" t="n">
        <v>46286</v>
      </c>
      <c r="B95" s="232" t="inlineStr">
        <is>
          <t>Pollo $404 (paid by Lohith)</t>
        </is>
      </c>
      <c r="C95" s="232" t="inlineStr">
        <is>
          <t>Expense - Personal</t>
        </is>
      </c>
      <c r="D95" s="232" t="n">
        <v>404</v>
      </c>
      <c r="E95" s="233" t="n"/>
      <c r="F95" s="233">
        <f>IFERROR(F94+D95-E95,0)</f>
        <v/>
      </c>
      <c r="G95" s="232" t="inlineStr">
        <is>
          <t>⏳ Reimburse</t>
        </is>
      </c>
      <c r="H95" s="232" t="inlineStr">
        <is>
          <t>Fronted from own pocket; excluded from till via cash_adjust</t>
        </is>
      </c>
    </row>
    <row r="96">
      <c r="A96" s="430" t="n">
        <v>46286</v>
      </c>
      <c r="B96" s="232" t="inlineStr">
        <is>
          <t>Transfer-to-me (customer payment 21-Sep, corrected from Cash)</t>
        </is>
      </c>
      <c r="C96" s="232" t="inlineStr">
        <is>
          <t>Transfer Received</t>
        </is>
      </c>
      <c r="D96" s="232" t="n"/>
      <c r="E96" s="233" t="n">
        <v>260</v>
      </c>
      <c r="F96" s="233">
        <f>IFERROR(F95+D96-E96,0)</f>
        <v/>
      </c>
      <c r="G96" s="232" t="inlineStr">
        <is>
          <t>✅ Received</t>
        </is>
      </c>
      <c r="H96" s="232" t="inlineStr">
        <is>
          <t>Moved from Cash via tools.py move</t>
        </is>
      </c>
    </row>
    <row r="97">
      <c r="A97" s="430" t="n">
        <v>46288</v>
      </c>
      <c r="B97" s="232" t="inlineStr">
        <is>
          <t>Pollo $879 (paid by Lohith)</t>
        </is>
      </c>
      <c r="C97" s="232" t="inlineStr">
        <is>
          <t>Expense - Personal</t>
        </is>
      </c>
      <c r="D97" s="232" t="n">
        <v>879</v>
      </c>
      <c r="E97" s="233" t="n"/>
      <c r="F97" s="233">
        <f>IFERROR(F96+D97-E97,0)</f>
        <v/>
      </c>
      <c r="G97" s="232" t="inlineStr">
        <is>
          <t>⏳ Reimburse</t>
        </is>
      </c>
      <c r="H97" s="232" t="inlineStr">
        <is>
          <t>Fronted from own pocket; excluded from till via cash_adjust</t>
        </is>
      </c>
    </row>
    <row r="98">
      <c r="A98" s="430" t="inlineStr">
        <is>
          <t>TOTALS &amp; CURRENT BALANCE</t>
        </is>
      </c>
      <c r="B98" s="232" t="n"/>
      <c r="C98" s="232" t="n"/>
      <c r="D98" s="232">
        <f>SUM(D4:D97)</f>
        <v/>
      </c>
      <c r="E98" s="233">
        <f>SUM(E4:E97)</f>
        <v/>
      </c>
      <c r="F98" s="233">
        <f>F97</f>
        <v/>
      </c>
      <c r="G98" s="232">
        <f>IF(F97&gt;0,"Restaurant owes Lohith $"&amp;TEXT(F97,"#,##0"),IF(F97&lt;0,"Lohith holds $"&amp;TEXT(ABS(F97),"#,##0"),"Zero balance"))</f>
        <v/>
      </c>
      <c r="H98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2026-09-28T22:23:06Z</dcterms:modified>
  <cp:lastModifiedBy>LOHITH REDDY</cp:lastModifiedBy>
</cp:coreProperties>
</file>