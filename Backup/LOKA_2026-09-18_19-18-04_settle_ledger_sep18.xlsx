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-81592</v>
      </c>
      <c r="E149" t="inlineStr">
        <is>
          <t>Cumulative repaid from operating cash (latest 18-Sep-2026 $12,000.00).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26526.0</v>
      </c>
      <c r="N6" s="33">
        <f>SUMPRODUCT((ISNUMBER($B$8:$B$5000))*($B$8:$B$5000&gt;=TODAY()-MOD(TODAY()-2,7))*($B$8:$B$5000&lt;TODAY()-MOD(TODAY()-2,7)+7)*IF(ISNUMBER($F$8:$F$5000),$F$8:$F$5000,0))</f>
        <v>26526.0</v>
      </c>
      <c r="O6" s="33">
        <f>SUMPRODUCT((ISNUMBER($B$8:$B$5000))*(MONTH($B$8:$B$5000)=MONTH(TODAY()))*(YEAR($B$8:$B$5000)=YEAR(TODAY()))*IF(ISNUMBER($F$8:$F$5000),$F$8:$F$5000,0))</f>
        <v>71620.0</v>
      </c>
      <c r="P6">
        <f>SUMPRODUCT((ISNUMBER($B$8:$B$5000))*($B$8:$B$5000&gt;=TODAY()-MOD(TODAY()-2,7))*($B$8:$B$5000&lt;TODAY()-MOD(TODAY()-2,7)+7)*IF(ISNUMBER($H$8:$H$5000),$H$8:$H$5000,0))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inlineStr">
        <is>
          <t>TOTALS &amp; CURRENT BALANCE</t>
        </is>
      </c>
      <c r="B93" s="232" t="n"/>
      <c r="C93" s="232" t="n"/>
      <c r="D93" s="232">
        <f>SUM(D4:D92)</f>
        <v/>
      </c>
      <c r="E93" s="233">
        <f>SUM(E4:E92)</f>
        <v/>
      </c>
      <c r="F93" s="233">
        <f>F92</f>
        <v/>
      </c>
      <c r="G93" s="232">
        <f>IF(F92&gt;0,"Restaurant owes Lohith $"&amp;TEXT(F92,"#,##0"),IF(F92&lt;0,"Lohith holds $"&amp;TEXT(ABS(F92),"#,##0"),"Zero balance"))</f>
        <v/>
      </c>
      <c r="H9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2026-09-19T01:15:18Z</dcterms:modified>
  <cp:lastModifiedBy>LOHITH REDDY</cp:lastModifiedBy>
</cp:coreProperties>
</file>