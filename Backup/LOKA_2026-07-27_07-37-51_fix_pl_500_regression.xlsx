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/>
      </c>
      <c r="G6" s="31">
        <f>SUMIFS($G$8:$G$5000,$B$8:$B$5000,TODAY())</f>
        <v/>
      </c>
      <c r="H6" s="28">
        <f>SUMIFS($H$8:$H$5000,$B$8:$B$5000,TODAY())</f>
        <v>6613.0</v>
      </c>
      <c r="I6" s="32">
        <f>F6-H6</f>
        <v>-5388.0</v>
      </c>
      <c r="J6">
        <f>IFERROR(I6/F6,0)</f>
        <v>-4.398367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/>
      </c>
      <c r="N6" s="33">
        <f>SUMPRODUCT((ISNUMBER($B$8:$B$5000))*($B$8:$B$5000&gt;=TODAY()-MOD(TODAY()-2,7))*($B$8:$B$5000&lt;TODAY()-MOD(TODAY()-2,7)+7)*IF(ISNUMBER($F$8:$F$5000),$F$8:$F$5000,0))</f>
        <v/>
      </c>
      <c r="O6" s="33">
        <f>SUMPRODUCT((ISNUMBER($B$8:$B$5000))*(MONTH($B$8:$B$5000)=MONTH(TODAY()))*(YEAR($B$8:$B$5000)=YEAR(TODAY()))*IF(ISNUMBER($F$8:$F$5000),$F$8:$F$5000,0))</f>
        <v/>
      </c>
      <c r="P6">
        <f>SUMPRODUCT((ISNUMBER($B$8:$B$5000))*($B$8:$B$5000&gt;=TODAY()-MOD(TODAY()-2,7))*($B$8:$B$5000&lt;TODAY()-MOD(TODAY()-2,7)+7)*IF(ISNUMBER($H$8:$H$5000),$H$8:$H$5000,0))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/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/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420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421">
        <f>IFERROR(D71*$T$7,0)</f>
        <v/>
      </c>
      <c r="S71" s="292" t="n"/>
      <c r="T71" s="292" t="n"/>
      <c r="U71" s="421" t="n">
        <v>0</v>
      </c>
      <c r="V71" s="421" t="n">
        <v>0</v>
      </c>
      <c r="W71" s="292" t="n"/>
      <c r="X71" s="292" t="n"/>
      <c r="Y71" s="421" t="n">
        <v>0</v>
      </c>
      <c r="Z71" s="421" t="n">
        <v>0</v>
      </c>
      <c r="AA71" s="292" t="n"/>
      <c r="AB71" s="292" t="n"/>
    </row>
    <row r="72" ht="16.5" customHeight="1" s="313">
      <c r="B72" s="420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421">
        <f>IFERROR(D72*$T$7,0)</f>
        <v/>
      </c>
      <c r="S72" s="292" t="n"/>
      <c r="T72" s="292" t="n"/>
      <c r="U72" s="421" t="n">
        <v>0</v>
      </c>
      <c r="V72" s="421" t="n">
        <v>0</v>
      </c>
      <c r="W72" s="292" t="n"/>
      <c r="X72" s="292" t="n"/>
      <c r="Y72" s="421" t="n">
        <v>0</v>
      </c>
      <c r="Z72" s="421" t="n">
        <v>0</v>
      </c>
      <c r="AA72" s="292" t="n"/>
      <c r="AB72" s="292" t="n"/>
    </row>
    <row r="73" ht="16.5" customHeight="1" s="313">
      <c r="B73" s="420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421">
        <f>IFERROR(D73*$T$7,0)</f>
        <v/>
      </c>
      <c r="S73" s="292" t="n"/>
      <c r="T73" s="292" t="n"/>
      <c r="U73" s="421" t="n">
        <v>0</v>
      </c>
      <c r="V73" s="421" t="n">
        <v>0</v>
      </c>
      <c r="W73" s="292" t="n"/>
      <c r="X73" s="292" t="n"/>
      <c r="Y73" s="421" t="n">
        <v>0</v>
      </c>
      <c r="Z73" s="421" t="n">
        <v>0</v>
      </c>
      <c r="AA73" s="292" t="n"/>
      <c r="AB73" s="292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45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  <row r="530">
      <c r="B530" s="422" t="n">
        <v>46226</v>
      </c>
      <c r="C530" s="305" t="inlineStr">
        <is>
          <t>Contenedor termico 8x8D + papel alimenticio + bolsa poliseda + bolsa en rollo</t>
        </is>
      </c>
      <c r="D530" s="306" t="inlineStr">
        <is>
          <t>Guimar Polietilenos</t>
        </is>
      </c>
      <c r="E530" s="305" t="inlineStr">
        <is>
          <t>Packaging/Disposables</t>
        </is>
      </c>
      <c r="F530" s="307" t="n">
        <v>1481.45</v>
      </c>
      <c r="G530" s="308" t="inlineStr">
        <is>
          <t>Restaurant</t>
        </is>
      </c>
      <c r="H530" s="308" t="inlineStr">
        <is>
          <t>Card</t>
        </is>
      </c>
      <c r="I530" s="309" t="inlineStr">
        <is>
          <t>✅ Paid</t>
        </is>
      </c>
      <c r="J530" s="418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422" t="n">
        <v>46226</v>
      </c>
      <c r="C531" s="305" t="inlineStr">
        <is>
          <t>Arroz (Oxxo)</t>
        </is>
      </c>
      <c r="D531" s="306" t="inlineStr">
        <is>
          <t>OXXO</t>
        </is>
      </c>
      <c r="E531" s="305" t="inlineStr">
        <is>
          <t>Ingredients - Pantry</t>
        </is>
      </c>
      <c r="F531" s="307" t="n">
        <v>35</v>
      </c>
      <c r="G531" s="308" t="inlineStr">
        <is>
          <t>Restaurant</t>
        </is>
      </c>
      <c r="H531" s="308" t="inlineStr">
        <is>
          <t>Cash</t>
        </is>
      </c>
      <c r="I531" s="309" t="inlineStr">
        <is>
          <t>✅ Paid</t>
        </is>
      </c>
      <c r="J531" s="418" t="inlineStr">
        <is>
          <t>No receipt; cash</t>
        </is>
      </c>
    </row>
    <row r="532">
      <c r="B532" s="422" t="n">
        <v>46226</v>
      </c>
      <c r="C532" s="305" t="inlineStr">
        <is>
          <t>Pan y salsas</t>
        </is>
      </c>
      <c r="D532" s="306" t="inlineStr">
        <is>
          <t>Pan Reales</t>
        </is>
      </c>
      <c r="E532" s="305" t="inlineStr">
        <is>
          <t>Ingredients - Bread</t>
        </is>
      </c>
      <c r="F532" s="307" t="n">
        <v>847</v>
      </c>
      <c r="G532" s="308" t="inlineStr">
        <is>
          <t>Restaurant</t>
        </is>
      </c>
      <c r="H532" s="308" t="inlineStr">
        <is>
          <t>Cash</t>
        </is>
      </c>
      <c r="I532" s="309" t="inlineStr">
        <is>
          <t>✅ Paid</t>
        </is>
      </c>
      <c r="J532" s="418" t="inlineStr">
        <is>
          <t>No receipt; cash</t>
        </is>
      </c>
    </row>
    <row r="533">
      <c r="B533" s="422" t="n">
        <v>46227</v>
      </c>
      <c r="C533" s="305" t="inlineStr">
        <is>
          <t>Pan molido</t>
        </is>
      </c>
      <c r="D533" s="306" t="inlineStr">
        <is>
          <t>No bill</t>
        </is>
      </c>
      <c r="E533" s="305" t="inlineStr">
        <is>
          <t>Ingredients - Bread</t>
        </is>
      </c>
      <c r="F533" s="307" t="n">
        <v>72</v>
      </c>
      <c r="G533" s="308" t="inlineStr">
        <is>
          <t>Restaurant</t>
        </is>
      </c>
      <c r="H533" s="308" t="inlineStr">
        <is>
          <t>Cash</t>
        </is>
      </c>
      <c r="I533" s="309" t="inlineStr">
        <is>
          <t>✅ Paid</t>
        </is>
      </c>
      <c r="J533" s="418" t="inlineStr">
        <is>
          <t>No receipt; cash; breadcrumbs</t>
        </is>
      </c>
    </row>
    <row r="534">
      <c r="B534" s="422" t="n">
        <v>46227</v>
      </c>
      <c r="C534" s="305" t="inlineStr">
        <is>
          <t>Azucar (Oxxo)</t>
        </is>
      </c>
      <c r="D534" s="306" t="inlineStr">
        <is>
          <t>OXXO</t>
        </is>
      </c>
      <c r="E534" s="305" t="inlineStr">
        <is>
          <t>Ingredients - Pantry</t>
        </is>
      </c>
      <c r="F534" s="307" t="n">
        <v>24</v>
      </c>
      <c r="G534" s="308" t="inlineStr">
        <is>
          <t>Restaurant</t>
        </is>
      </c>
      <c r="H534" s="308" t="inlineStr">
        <is>
          <t>Cash</t>
        </is>
      </c>
      <c r="I534" s="309" t="inlineStr">
        <is>
          <t>✅ Paid</t>
        </is>
      </c>
      <c r="J534" s="418" t="inlineStr">
        <is>
          <t>No receipt; cash</t>
        </is>
      </c>
    </row>
    <row r="535">
      <c r="B535" s="422" t="n">
        <v>46227</v>
      </c>
      <c r="C535" s="305" t="inlineStr">
        <is>
          <t>Queso panela</t>
        </is>
      </c>
      <c r="D535" s="306" t="inlineStr">
        <is>
          <t>No bill</t>
        </is>
      </c>
      <c r="E535" s="305" t="inlineStr">
        <is>
          <t>Ingredients - Dairy</t>
        </is>
      </c>
      <c r="F535" s="307" t="n">
        <v>590</v>
      </c>
      <c r="G535" s="308" t="inlineStr">
        <is>
          <t>Restaurant</t>
        </is>
      </c>
      <c r="H535" s="308" t="inlineStr">
        <is>
          <t>Cash</t>
        </is>
      </c>
      <c r="I535" s="309" t="inlineStr">
        <is>
          <t>✅ Paid</t>
        </is>
      </c>
      <c r="J535" s="418" t="inlineStr">
        <is>
          <t>No receipt; cash</t>
        </is>
      </c>
    </row>
    <row r="536">
      <c r="B536" s="422" t="n">
        <v>46227</v>
      </c>
      <c r="C536" s="305" t="inlineStr">
        <is>
          <t>Samu — Ayudante Week 10</t>
        </is>
      </c>
      <c r="D536" s="306" t="inlineStr">
        <is>
          <t>Payroll</t>
        </is>
      </c>
      <c r="E536" s="305" t="inlineStr">
        <is>
          <t>Staff - Salary</t>
        </is>
      </c>
      <c r="F536" s="307" t="n">
        <v>1200</v>
      </c>
      <c r="G536" s="308" t="inlineStr">
        <is>
          <t>Restaurant</t>
        </is>
      </c>
      <c r="H536" s="308" t="inlineStr">
        <is>
          <t>Cash</t>
        </is>
      </c>
      <c r="I536" s="309" t="inlineStr">
        <is>
          <t>✅ Paid</t>
        </is>
      </c>
      <c r="J536" s="418" t="inlineStr">
        <is>
          <t>Week 10 salary, paid Friday 24 Jul</t>
        </is>
      </c>
    </row>
    <row r="537">
      <c r="B537" s="422" t="n">
        <v>46228</v>
      </c>
      <c r="C537" s="305" t="inlineStr">
        <is>
          <t>Vegetables</t>
        </is>
      </c>
      <c r="D537" s="306" t="inlineStr">
        <is>
          <t>No bill</t>
        </is>
      </c>
      <c r="E537" s="305" t="inlineStr">
        <is>
          <t>Ingredients - Vegetables</t>
        </is>
      </c>
      <c r="F537" s="307" t="n">
        <v>150</v>
      </c>
      <c r="G537" s="308" t="inlineStr">
        <is>
          <t>Restaurant</t>
        </is>
      </c>
      <c r="H537" s="308" t="inlineStr">
        <is>
          <t>Cash</t>
        </is>
      </c>
      <c r="I537" s="309" t="inlineStr">
        <is>
          <t>✅ Paid</t>
        </is>
      </c>
      <c r="J537" s="418" t="inlineStr">
        <is>
          <t>No receipt; cash</t>
        </is>
      </c>
    </row>
    <row r="538">
      <c r="B538" s="422" t="n">
        <v>46228</v>
      </c>
      <c r="C538" s="305" t="inlineStr">
        <is>
          <t>Carne bistec</t>
        </is>
      </c>
      <c r="D538" s="306" t="inlineStr">
        <is>
          <t>No bill</t>
        </is>
      </c>
      <c r="E538" s="305" t="inlineStr">
        <is>
          <t>Ingredients - Meat</t>
        </is>
      </c>
      <c r="F538" s="307" t="n">
        <v>284</v>
      </c>
      <c r="G538" s="308" t="inlineStr">
        <is>
          <t>Restaurant</t>
        </is>
      </c>
      <c r="H538" s="308" t="inlineStr">
        <is>
          <t>Cash</t>
        </is>
      </c>
      <c r="I538" s="309" t="inlineStr">
        <is>
          <t>✅ Paid</t>
        </is>
      </c>
      <c r="J538" s="418" t="inlineStr">
        <is>
          <t>No receipt; cash</t>
        </is>
      </c>
    </row>
    <row r="539">
      <c r="B539" s="422" t="n">
        <v>46228</v>
      </c>
      <c r="C539" s="305" t="inlineStr">
        <is>
          <t>Pollo</t>
        </is>
      </c>
      <c r="D539" s="306" t="inlineStr">
        <is>
          <t>No bill</t>
        </is>
      </c>
      <c r="E539" s="305" t="inlineStr">
        <is>
          <t>Ingredients - Meat</t>
        </is>
      </c>
      <c r="F539" s="307" t="n">
        <v>905</v>
      </c>
      <c r="G539" s="308" t="inlineStr">
        <is>
          <t>Restaurant</t>
        </is>
      </c>
      <c r="H539" s="308" t="inlineStr">
        <is>
          <t>Cash</t>
        </is>
      </c>
      <c r="I539" s="309" t="inlineStr">
        <is>
          <t>✅ Paid</t>
        </is>
      </c>
      <c r="J539" s="418" t="inlineStr">
        <is>
          <t>No receipt; cash</t>
        </is>
      </c>
    </row>
    <row r="540">
      <c r="B540" s="422" t="n">
        <v>46228</v>
      </c>
      <c r="C540" s="305" t="inlineStr">
        <is>
          <t>Azucar (Oxxo)</t>
        </is>
      </c>
      <c r="D540" s="306" t="inlineStr">
        <is>
          <t>OXXO</t>
        </is>
      </c>
      <c r="E540" s="305" t="inlineStr">
        <is>
          <t>Ingredients - Pantry</t>
        </is>
      </c>
      <c r="F540" s="307" t="n">
        <v>24</v>
      </c>
      <c r="G540" s="308" t="inlineStr">
        <is>
          <t>Restaurant</t>
        </is>
      </c>
      <c r="H540" s="308" t="inlineStr">
        <is>
          <t>Cash</t>
        </is>
      </c>
      <c r="I540" s="309" t="inlineStr">
        <is>
          <t>✅ Paid</t>
        </is>
      </c>
      <c r="J540" s="418" t="inlineStr">
        <is>
          <t>No receipt; cash</t>
        </is>
      </c>
    </row>
    <row r="541">
      <c r="B541" s="422" t="n">
        <v>46228</v>
      </c>
      <c r="C541" s="305" t="inlineStr">
        <is>
          <t>John — Head Chef Week 10</t>
        </is>
      </c>
      <c r="D541" s="306" t="inlineStr">
        <is>
          <t>Payroll</t>
        </is>
      </c>
      <c r="E541" s="305" t="inlineStr">
        <is>
          <t>Staff - Salary</t>
        </is>
      </c>
      <c r="F541" s="307" t="n">
        <v>3750</v>
      </c>
      <c r="G541" s="308" t="inlineStr">
        <is>
          <t>Restaurant</t>
        </is>
      </c>
      <c r="H541" s="308" t="inlineStr">
        <is>
          <t>Cash</t>
        </is>
      </c>
      <c r="I541" s="309" t="inlineStr">
        <is>
          <t>✅ Paid</t>
        </is>
      </c>
      <c r="J541" s="418" t="inlineStr">
        <is>
          <t>Week 10 salary, paid Saturday 25 Jul</t>
        </is>
      </c>
    </row>
    <row r="542">
      <c r="B542" s="422" t="n">
        <v>46228</v>
      </c>
      <c r="C542" s="305" t="inlineStr">
        <is>
          <t>Duvi/Debi — Limpieza Week 10</t>
        </is>
      </c>
      <c r="D542" s="306" t="inlineStr">
        <is>
          <t>Payroll</t>
        </is>
      </c>
      <c r="E542" s="305" t="inlineStr">
        <is>
          <t>Staff - Salary</t>
        </is>
      </c>
      <c r="F542" s="307" t="n">
        <v>1500</v>
      </c>
      <c r="G542" s="308" t="inlineStr">
        <is>
          <t>Restaurant</t>
        </is>
      </c>
      <c r="H542" s="308" t="inlineStr">
        <is>
          <t>Cash</t>
        </is>
      </c>
      <c r="I542" s="309" t="inlineStr">
        <is>
          <t>✅ Paid</t>
        </is>
      </c>
      <c r="J542" s="418" t="inlineStr">
        <is>
          <t>Week 10 salary, paid Saturday 25 Jul (full week)</t>
        </is>
      </c>
    </row>
    <row r="543">
      <c r="B543" s="422" t="n">
        <v>46229</v>
      </c>
      <c r="C543" s="305" t="inlineStr">
        <is>
          <t>Vegetables (Central de Abastos)</t>
        </is>
      </c>
      <c r="D543" s="306" t="inlineStr">
        <is>
          <t>Central de Abastos</t>
        </is>
      </c>
      <c r="E543" s="305" t="inlineStr">
        <is>
          <t>Ingredients - Vegetables</t>
        </is>
      </c>
      <c r="F543" s="307" t="n">
        <v>1832</v>
      </c>
      <c r="G543" s="308" t="inlineStr">
        <is>
          <t>Restaurant</t>
        </is>
      </c>
      <c r="H543" s="308" t="inlineStr">
        <is>
          <t>Cash</t>
        </is>
      </c>
      <c r="I543" s="309" t="inlineStr">
        <is>
          <t>✅ Paid</t>
        </is>
      </c>
      <c r="J543" s="418" t="inlineStr">
        <is>
          <t>No receipt; cash; compra semanal (domingo, restaurante cerrado)</t>
        </is>
      </c>
    </row>
    <row r="544">
      <c r="B544" s="422" t="n">
        <v>46229</v>
      </c>
      <c r="C544" s="305" t="inlineStr">
        <is>
          <t>Arroz (Oxxo)</t>
        </is>
      </c>
      <c r="D544" s="306" t="inlineStr">
        <is>
          <t>OXXO</t>
        </is>
      </c>
      <c r="E544" s="305" t="inlineStr">
        <is>
          <t>Ingredients - Pantry</t>
        </is>
      </c>
      <c r="F544" s="307" t="n">
        <v>78</v>
      </c>
      <c r="G544" s="308" t="inlineStr">
        <is>
          <t>Restaurant</t>
        </is>
      </c>
      <c r="H544" s="308" t="inlineStr">
        <is>
          <t>Cash</t>
        </is>
      </c>
      <c r="I544" s="309" t="inlineStr">
        <is>
          <t>✅ Paid</t>
        </is>
      </c>
      <c r="J544" s="418" t="inlineStr">
        <is>
          <t>No receipt; cash; domingo shopping</t>
        </is>
      </c>
    </row>
    <row r="545">
      <c r="B545" s="422" t="n">
        <v>46229</v>
      </c>
      <c r="C545" s="305" t="inlineStr">
        <is>
          <t>Sam's Club (varios)</t>
        </is>
      </c>
      <c r="D545" s="306" t="inlineStr">
        <is>
          <t>Sam's Club</t>
        </is>
      </c>
      <c r="E545" s="305" t="inlineStr">
        <is>
          <t>Supermarket/General</t>
        </is>
      </c>
      <c r="F545" s="307" t="n">
        <v>1157</v>
      </c>
      <c r="G545" s="308" t="inlineStr">
        <is>
          <t>Restaurant</t>
        </is>
      </c>
      <c r="H545" s="308" t="inlineStr">
        <is>
          <t>Card</t>
        </is>
      </c>
      <c r="I545" s="309" t="inlineStr">
        <is>
          <t>✅ Paid</t>
        </is>
      </c>
      <c r="J545" s="418" t="inlineStr">
        <is>
          <t>No receipt provided; restaurant-paid; domingo shopping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Supermarket/General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Pantry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Ingredients - Bread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Supplies / Other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Packaging/Disposables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Ingredients - Fruit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Utilities / Gas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Ingredients - Other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Office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Utilities/Internet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Kitchen Supplies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Software / Subscription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Staff - Advance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Utilities / Internet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Packaging / Disposables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Ingredients - Desserts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inlineStr">
        <is>
          <t>TOTALS &amp; CURRENT BALANCE</t>
        </is>
      </c>
      <c r="B47" s="232" t="n"/>
      <c r="C47" s="232" t="n"/>
      <c r="D47" s="232">
        <f>SUM(D4:D46)</f>
        <v/>
      </c>
      <c r="E47" s="233">
        <f>SUM(E4:E46)</f>
        <v/>
      </c>
      <c r="F47" s="233">
        <f>F46</f>
        <v/>
      </c>
      <c r="G47" s="232">
        <f>IF(F46&gt;0,"Restaurant owes Lohith $"&amp;TEXT(F46,"#,##0"),IF(F46&lt;0,"Lohith holds $"&amp;TEXT(ABS(F46),"#,##0"),"Zero balance"))</f>
        <v/>
      </c>
      <c r="H4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2026-07-27T13:27:47Z</dcterms:modified>
  <cp:lastModifiedBy>LOHITH REDDY</cp:lastModifiedBy>
</cp:coreProperties>
</file>