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10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$#,##0.00"/>
    <numFmt numFmtId="176" formatCode="dd-mmm-yyyy"/>
  </numFmts>
  <fonts count="101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  <font>
      <b val="1"/>
      <color rgb="00FFFFFF"/>
      <sz val="12"/>
    </font>
    <font>
      <i val="1"/>
      <color rgb="00808080"/>
      <sz val="9"/>
    </font>
    <font>
      <b val="1"/>
      <sz val="9"/>
    </font>
  </fonts>
  <fills count="59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28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19"/>
  </cellStyleXfs>
  <cellXfs count="411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86" fillId="51" borderId="0" pivotButton="0" quotePrefix="0" xfId="0"/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172" fontId="73" fillId="0" borderId="0" applyAlignment="1" pivotButton="0" quotePrefix="0" xfId="0">
      <alignment horizontal="left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0" fillId="0" borderId="19" pivotButton="0" quotePrefix="0" xfId="0"/>
    <xf numFmtId="0" fontId="92" fillId="56" borderId="20" applyAlignment="1" pivotButton="0" quotePrefix="0" xfId="0">
      <alignment horizontal="left"/>
    </xf>
    <xf numFmtId="0" fontId="92" fillId="56" borderId="20" applyAlignment="1" pivotButton="0" quotePrefix="0" xfId="0">
      <alignment horizontal="right"/>
    </xf>
    <xf numFmtId="0" fontId="93" fillId="0" borderId="20" applyAlignment="1" pivotButton="0" quotePrefix="0" xfId="0">
      <alignment horizontal="left"/>
    </xf>
    <xf numFmtId="174" fontId="90" fillId="0" borderId="20" applyAlignment="1" pivotButton="0" quotePrefix="0" xfId="0">
      <alignment horizontal="right"/>
    </xf>
    <xf numFmtId="174" fontId="93" fillId="0" borderId="20" applyAlignment="1" pivotButton="0" quotePrefix="0" xfId="0">
      <alignment horizontal="right"/>
    </xf>
    <xf numFmtId="0" fontId="90" fillId="0" borderId="20" applyAlignment="1" pivotButton="0" quotePrefix="0" xfId="0">
      <alignment horizontal="left"/>
    </xf>
    <xf numFmtId="3" fontId="90" fillId="0" borderId="20" applyAlignment="1" pivotButton="0" quotePrefix="0" xfId="0">
      <alignment horizontal="right"/>
    </xf>
    <xf numFmtId="0" fontId="7" fillId="10" borderId="17" applyAlignment="1" pivotButton="0" quotePrefix="0" xfId="0">
      <alignment horizontal="right" vertical="center"/>
    </xf>
    <xf numFmtId="0" fontId="0" fillId="0" borderId="0" pivotButton="0" quotePrefix="0" xfId="0"/>
    <xf numFmtId="0" fontId="6" fillId="10" borderId="17" applyAlignment="1" pivotButton="0" quotePrefix="0" xfId="0">
      <alignment horizontal="left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5" fillId="11" borderId="17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75" fillId="44" borderId="17" applyAlignment="1" pivotButton="0" quotePrefix="0" xfId="0">
      <alignment horizontal="left" vertical="center"/>
    </xf>
    <xf numFmtId="0" fontId="2" fillId="3" borderId="17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17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17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17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17" applyAlignment="1" pivotButton="0" quotePrefix="0" xfId="0">
      <alignment horizontal="center" vertical="center"/>
    </xf>
    <xf numFmtId="0" fontId="91" fillId="55" borderId="19" applyAlignment="1" pivotButton="0" quotePrefix="0" xfId="0">
      <alignment horizontal="center"/>
    </xf>
    <xf numFmtId="0" fontId="0" fillId="55" borderId="17" pivotButton="0" quotePrefix="0" xfId="0"/>
    <xf numFmtId="0" fontId="85" fillId="51" borderId="17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 wrapText="1"/>
    </xf>
    <xf numFmtId="0" fontId="75" fillId="4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left" vertical="center"/>
    </xf>
    <xf numFmtId="0" fontId="7" fillId="10" borderId="19" applyAlignment="1" pivotButton="0" quotePrefix="0" xfId="0">
      <alignment horizontal="right" vertical="center"/>
    </xf>
    <xf numFmtId="0" fontId="5" fillId="11" borderId="19" applyAlignment="1" pivotButton="0" quotePrefix="0" xfId="0">
      <alignment horizontal="center" vertical="center"/>
    </xf>
    <xf numFmtId="0" fontId="26" fillId="2" borderId="19" applyAlignment="1" pivotButton="0" quotePrefix="0" xfId="0">
      <alignment horizontal="left" vertical="center"/>
    </xf>
    <xf numFmtId="0" fontId="30" fillId="4" borderId="19" applyAlignment="1" pivotButton="0" quotePrefix="0" xfId="0">
      <alignment horizontal="left" vertical="center"/>
    </xf>
    <xf numFmtId="0" fontId="6" fillId="10" borderId="19" applyAlignment="1" pivotButton="0" quotePrefix="0" xfId="0">
      <alignment horizontal="center" vertical="center"/>
    </xf>
    <xf numFmtId="0" fontId="7" fillId="10" borderId="19" applyAlignment="1" pivotButton="0" quotePrefix="0" xfId="0">
      <alignment horizontal="center" vertical="center"/>
    </xf>
    <xf numFmtId="0" fontId="85" fillId="51" borderId="19" applyAlignment="1" pivotButton="0" quotePrefix="0" xfId="0">
      <alignment horizontal="center" vertical="center"/>
    </xf>
    <xf numFmtId="0" fontId="95" fillId="57" borderId="25" applyAlignment="1" pivotButton="0" quotePrefix="0" xfId="0">
      <alignment horizontal="center"/>
    </xf>
    <xf numFmtId="0" fontId="0" fillId="57" borderId="19" pivotButton="0" quotePrefix="0" xfId="0"/>
    <xf numFmtId="0" fontId="94" fillId="0" borderId="25" pivotButton="0" quotePrefix="0" xfId="0"/>
    <xf numFmtId="0" fontId="96" fillId="58" borderId="26" applyAlignment="1" pivotButton="0" quotePrefix="0" xfId="0">
      <alignment horizontal="left"/>
    </xf>
    <xf numFmtId="0" fontId="96" fillId="58" borderId="26" applyAlignment="1" pivotButton="0" quotePrefix="0" xfId="0">
      <alignment horizontal="right"/>
    </xf>
    <xf numFmtId="0" fontId="97" fillId="0" borderId="26" applyAlignment="1" pivotButton="0" quotePrefix="0" xfId="0">
      <alignment horizontal="left"/>
    </xf>
    <xf numFmtId="175" fontId="94" fillId="0" borderId="26" applyAlignment="1" pivotButton="0" quotePrefix="0" xfId="0">
      <alignment horizontal="right"/>
    </xf>
    <xf numFmtId="175" fontId="97" fillId="0" borderId="26" applyAlignment="1" pivotButton="0" quotePrefix="0" xfId="0">
      <alignment horizontal="right"/>
    </xf>
    <xf numFmtId="0" fontId="94" fillId="0" borderId="26" applyAlignment="1" pivotButton="0" quotePrefix="0" xfId="0">
      <alignment horizontal="left"/>
    </xf>
    <xf numFmtId="3" fontId="94" fillId="0" borderId="26" applyAlignment="1" pivotButton="0" quotePrefix="0" xfId="0">
      <alignment horizontal="right"/>
    </xf>
    <xf numFmtId="176" fontId="51" fillId="19" borderId="13" applyAlignment="1" pivotButton="0" quotePrefix="0" xfId="0">
      <alignment horizontal="center" vertical="center"/>
    </xf>
    <xf numFmtId="0" fontId="0" fillId="0" borderId="19" pivotButton="0" quotePrefix="0" xfId="0"/>
    <xf numFmtId="0" fontId="95" fillId="57" borderId="27" applyAlignment="1" pivotButton="0" quotePrefix="0" xfId="0">
      <alignment horizontal="center"/>
    </xf>
    <xf numFmtId="176" fontId="37" fillId="19" borderId="13" applyAlignment="1" pivotButton="0" quotePrefix="0" xfId="0">
      <alignment horizontal="center" vertical="center"/>
    </xf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176" fontId="0" fillId="0" borderId="16" pivotButton="0" quotePrefix="0" xfId="0"/>
    <xf numFmtId="0" fontId="98" fillId="57" borderId="19" applyAlignment="1" pivotButton="0" quotePrefix="0" xfId="0">
      <alignment horizontal="left"/>
    </xf>
    <xf numFmtId="0" fontId="0" fillId="57" borderId="0" pivotButton="0" quotePrefix="0" xfId="0"/>
    <xf numFmtId="0" fontId="94" fillId="0" borderId="26" pivotButton="0" quotePrefix="0" xfId="0"/>
    <xf numFmtId="175" fontId="72" fillId="0" borderId="26" applyAlignment="1" pivotButton="0" quotePrefix="0" xfId="0">
      <alignment horizontal="right"/>
    </xf>
    <xf numFmtId="0" fontId="97" fillId="0" borderId="26" pivotButton="0" quotePrefix="0" xfId="0"/>
    <xf numFmtId="0" fontId="99" fillId="0" borderId="0" applyAlignment="1" pivotButton="0" quotePrefix="0" xfId="0">
      <alignment horizontal="left"/>
    </xf>
    <xf numFmtId="0" fontId="99" fillId="0" borderId="19" applyAlignment="1" pivotButton="0" quotePrefix="0" xfId="0">
      <alignment horizontal="left"/>
    </xf>
    <xf numFmtId="0" fontId="99" fillId="0" borderId="0" pivotButton="0" quotePrefix="0" xfId="0"/>
    <xf numFmtId="0" fontId="99" fillId="0" borderId="19" pivotButton="0" quotePrefix="0" xfId="0"/>
    <xf numFmtId="0" fontId="97" fillId="0" borderId="0" pivotButton="0" quotePrefix="0" xfId="0"/>
    <xf numFmtId="0" fontId="100" fillId="0" borderId="0" pivotButton="0" quotePrefix="0" xfId="0"/>
    <xf numFmtId="10" fontId="97" fillId="0" borderId="0" pivotButton="0" quotePrefix="0" xfId="0"/>
    <xf numFmtId="175" fontId="0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278" min="1" max="1"/>
    <col width="48" customWidth="1" style="278" min="2" max="2"/>
    <col width="18" customWidth="1" style="284" min="3" max="3"/>
    <col width="20" customWidth="1" style="284" min="4" max="6"/>
    <col width="71.77734375" customWidth="1" style="278" min="7" max="7"/>
    <col width="26" customWidth="1" style="278" min="8" max="8"/>
  </cols>
  <sheetData>
    <row r="1" ht="36" customHeight="1" s="278">
      <c r="B1" s="361" t="inlineStr">
        <is>
          <t>LOKA  —  CAPITAL, OWNERSHIP &amp; PRE-OPENING EXPENSES</t>
        </is>
      </c>
    </row>
    <row r="2" ht="24" customHeight="1" s="278">
      <c r="B2" s="362" t="inlineStr">
        <is>
          <t>Last updated: 1 Jul 2026  |  Capital, Acquisition, Pre-Opening, Renovation CapEx &amp; Operations↔Capital</t>
        </is>
      </c>
    </row>
    <row r="4" ht="25.95" customHeight="1" s="278">
      <c r="B4" s="363" t="inlineStr">
        <is>
          <t xml:space="preserve">  A.  OWNERSHIP STRUCTURE</t>
        </is>
      </c>
    </row>
    <row r="5" ht="22.05" customHeight="1" s="278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278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278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278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278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278">
      <c r="B11" s="363" t="inlineStr">
        <is>
          <t xml:space="preserve">  B.  RESTAURANT ACQUISITION  —  $390,000 TOTAL</t>
        </is>
      </c>
    </row>
    <row r="12" ht="22.05" customHeight="1" s="278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278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278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278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278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278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278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278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278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278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278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278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278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278">
      <c r="A26" s="383" t="n"/>
      <c r="B26" s="393" t="inlineStr">
        <is>
          <t>Payment to Previous Owners — Jun 22</t>
        </is>
      </c>
      <c r="C26" s="394" t="n">
        <v>46195</v>
      </c>
      <c r="D26" s="395" t="n">
        <v>60000</v>
      </c>
      <c r="E26" s="396" t="inlineStr">
        <is>
          <t>Lohith Reddy</t>
        </is>
      </c>
      <c r="F26" s="396" t="inlineStr">
        <is>
          <t>✅ PAID</t>
        </is>
      </c>
      <c r="G26" s="393" t="inlineStr">
        <is>
          <t>Capital payment to previous owners — 22 Jun 2026</t>
        </is>
      </c>
    </row>
    <row r="27" ht="19.95" customHeight="1" s="278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278">
      <c r="B28" s="149" t="n"/>
      <c r="C28" s="180" t="n"/>
      <c r="D28" s="157" t="n"/>
      <c r="E28" s="172" t="n"/>
      <c r="F28" s="172" t="n"/>
      <c r="G28" s="149" t="n"/>
    </row>
    <row r="29" ht="19.95" customHeight="1" s="278">
      <c r="B29" s="149" t="n"/>
      <c r="C29" s="180" t="n"/>
      <c r="D29" s="157" t="n"/>
      <c r="E29" s="172" t="n"/>
      <c r="F29" s="172" t="n"/>
      <c r="G29" s="149" t="n"/>
    </row>
    <row r="30" ht="19.95" customHeight="1" s="278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278">
      <c r="B32" s="189" t="n"/>
      <c r="C32" s="236" t="n"/>
      <c r="D32" s="191" t="n"/>
      <c r="E32" s="190" t="n"/>
      <c r="F32" s="190" t="n"/>
      <c r="G32" s="189" t="n"/>
    </row>
    <row r="33" ht="22.05" customHeight="1" s="278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278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278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278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278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278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278"/>
    <row r="40" ht="19.95" customHeight="1" s="278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278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278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278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278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288" t="n"/>
    </row>
    <row r="46" ht="19.95" customHeight="1" s="278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278">
      <c r="B47" s="137" t="n"/>
      <c r="C47" s="137" t="n"/>
      <c r="D47" s="162" t="n"/>
      <c r="E47" s="137" t="n"/>
      <c r="F47" s="137" t="n"/>
      <c r="G47" s="137" t="n"/>
    </row>
    <row r="48" ht="19.95" customHeight="1" s="278">
      <c r="B48" s="137" t="n"/>
      <c r="C48" s="137" t="n"/>
      <c r="D48" s="162" t="n"/>
      <c r="E48" s="137" t="n"/>
      <c r="F48" s="137" t="n"/>
      <c r="G48" s="137" t="n"/>
    </row>
    <row r="49" ht="19.95" customHeight="1" s="278">
      <c r="B49" s="137" t="n"/>
      <c r="C49" s="137" t="n"/>
      <c r="D49" s="162" t="n"/>
      <c r="E49" s="137" t="n"/>
      <c r="F49" s="137" t="n"/>
      <c r="G49" s="137" t="n"/>
    </row>
    <row r="50" ht="19.95" customHeight="1" s="278">
      <c r="B50" s="137" t="n"/>
      <c r="C50" s="137" t="n"/>
      <c r="D50" s="162" t="n"/>
      <c r="E50" s="137" t="n"/>
      <c r="F50" s="137" t="n"/>
      <c r="G50" s="137" t="n"/>
    </row>
    <row r="51" ht="19.95" customHeight="1" s="278">
      <c r="B51" s="137" t="n"/>
      <c r="C51" s="137" t="n"/>
      <c r="D51" s="162" t="n"/>
      <c r="E51" s="137" t="n"/>
      <c r="F51" s="137" t="n"/>
      <c r="G51" s="137" t="n"/>
    </row>
    <row r="52" ht="19.95" customHeight="1" s="278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278"/>
    <row r="54" ht="19.95" customHeight="1" s="278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278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278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278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278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278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288" t="n"/>
    </row>
    <row r="61" ht="22.05" customHeight="1" s="278">
      <c r="B61" s="237" t="n"/>
      <c r="C61" s="236" t="n"/>
      <c r="D61" s="191" t="n"/>
      <c r="E61" s="190" t="n"/>
      <c r="F61" s="190" t="n"/>
      <c r="G61" s="189" t="n"/>
    </row>
    <row r="62" ht="22.05" customHeight="1" s="278">
      <c r="B62" s="237" t="n"/>
      <c r="C62" s="236" t="n"/>
      <c r="D62" s="191" t="n"/>
      <c r="E62" s="190" t="n"/>
      <c r="F62" s="190" t="n"/>
      <c r="G62" s="189" t="n"/>
    </row>
    <row r="63" ht="19.95" customHeight="1" s="278">
      <c r="B63" s="137" t="n"/>
      <c r="C63" s="137" t="n"/>
      <c r="D63" s="162" t="n"/>
      <c r="E63" s="137" t="n"/>
      <c r="F63" s="137" t="n"/>
      <c r="G63" s="137" t="n"/>
    </row>
    <row r="64" ht="19.95" customHeight="1" s="278">
      <c r="B64" s="137" t="n"/>
      <c r="C64" s="137" t="n"/>
      <c r="D64" s="162" t="n"/>
      <c r="E64" s="137" t="n"/>
      <c r="F64" s="137" t="n"/>
      <c r="G64" s="137" t="n"/>
    </row>
    <row r="65" ht="19.95" customHeight="1" s="278">
      <c r="B65" s="137" t="n"/>
      <c r="C65" s="137" t="n"/>
      <c r="D65" s="162" t="n"/>
      <c r="E65" s="137" t="n"/>
      <c r="F65" s="137" t="n"/>
      <c r="G65" s="137" t="n"/>
    </row>
    <row r="66" ht="19.95" customHeight="1" s="278">
      <c r="B66" s="137" t="n"/>
      <c r="C66" s="137" t="n"/>
      <c r="D66" s="162" t="n"/>
      <c r="E66" s="137" t="n"/>
      <c r="F66" s="137" t="n"/>
      <c r="G66" s="137" t="n"/>
    </row>
    <row r="67" ht="19.95" customHeight="1" s="278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278"/>
    <row r="69" ht="19.95" customHeight="1" s="278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278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278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278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278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288" t="n"/>
    </row>
    <row r="75" ht="19.95" customHeight="1" s="278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278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278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278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278">
      <c r="B79" s="190" t="n"/>
      <c r="C79" s="236" t="n"/>
      <c r="D79" s="263" t="n"/>
      <c r="E79" s="190" t="n"/>
      <c r="F79" s="190" t="n"/>
      <c r="G79" s="190" t="n"/>
    </row>
    <row r="80" ht="19.95" customHeight="1" s="278">
      <c r="B80" s="190" t="n"/>
      <c r="C80" s="236" t="n"/>
      <c r="D80" s="263" t="n"/>
      <c r="E80" s="190" t="n"/>
      <c r="F80" s="190" t="n"/>
      <c r="G80" s="190" t="n"/>
    </row>
    <row r="81" ht="19.95" customHeight="1" s="278">
      <c r="B81" s="189" t="n"/>
      <c r="C81" s="190" t="n"/>
      <c r="D81" s="191" t="n"/>
      <c r="E81" s="190" t="n"/>
      <c r="F81" s="190" t="n"/>
      <c r="G81" s="189" t="n"/>
    </row>
    <row r="82" ht="19.95" customHeight="1" s="278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288" t="n"/>
    </row>
    <row r="83" ht="19.95" customHeight="1" s="278"/>
    <row r="84" ht="19.95" customHeight="1" s="278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278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278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278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SUM(D43:D44)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278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278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278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278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>
        <f>Total Funds In</f>
        <v/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Owner ledger balance settled from budget (rent + fronted items)</t>
        </is>
      </c>
      <c r="D139" s="242" t="n">
        <v>19314.81</v>
      </c>
    </row>
    <row r="140">
      <c r="B140">
        <f>REMAINING WITH ME (budget left with Lohith)</f>
        <v/>
      </c>
      <c r="D140">
        <f>D136-D137-D138-D139</f>
        <v/>
      </c>
    </row>
    <row r="142" ht="22" customHeight="1" s="278">
      <c r="B142" s="398" t="inlineStr">
        <is>
          <t xml:space="preserve">  K.  OPERATIONS ↔ CAPITAL  —  RUNNING POSITION</t>
        </is>
      </c>
    </row>
    <row r="143">
      <c r="B143" s="400" t="inlineStr">
        <is>
          <t>Operating Income (all-time, from Daily Log)</t>
        </is>
      </c>
      <c r="C143" s="401">
        <f>SUM('📅 Daily Log'!D8:D500)+SUM('📅 Daily Log'!E8:E500)+SUM('📅 Daily Log'!G8:G500)</f>
        <v/>
      </c>
      <c r="D143" s="191" t="n"/>
      <c r="E143" s="190" t="n"/>
      <c r="F143" s="190" t="n"/>
      <c r="G143" s="189" t="n"/>
    </row>
    <row r="144">
      <c r="B144" s="400" t="inlineStr">
        <is>
          <t>Operating Expenses (all-time, from Expenses)</t>
        </is>
      </c>
      <c r="C144" s="401">
        <f>SUM('💸 Expenses'!F8:F500)</f>
        <v/>
      </c>
      <c r="D144" s="191" t="n"/>
      <c r="E144" s="190" t="n"/>
      <c r="F144" s="190" t="n"/>
      <c r="G144" s="189" t="n"/>
    </row>
    <row r="145">
      <c r="B145" s="400" t="inlineStr">
        <is>
          <t>MP Commission (auto: card × 4.06%)</t>
        </is>
      </c>
      <c r="C145" s="379">
        <f>SUM('📅 Daily Log'!R8:R500)</f>
        <v/>
      </c>
    </row>
    <row r="146">
      <c r="B146" s="402" t="inlineStr">
        <is>
          <t>OPERATING RESULT  (income − expenses − commission)</t>
        </is>
      </c>
      <c r="C146" s="379">
        <f>C143-C144-C145</f>
        <v/>
      </c>
      <c r="E146" s="403" t="n"/>
    </row>
    <row r="147">
      <c r="B147" s="377" t="inlineStr">
        <is>
          <t>ADVANCE OWED by Operations to Capital</t>
        </is>
      </c>
      <c r="C147" s="379" t="n">
        <v>19314.81</v>
      </c>
      <c r="E147" s="405" t="inlineStr">
        <is>
          <t>Rent + fronted operating items funded from capital budget (settled 30 Jun). Add future capital-funded operating costs here.</t>
        </is>
      </c>
    </row>
    <row r="148">
      <c r="B148" s="406" t="inlineStr">
        <is>
          <t>MP commission now auto-calculated per day in Daily Log (col R) at the rate in T7; feeds this result and Cash-on-Hand automatically.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278" min="1" max="1"/>
    <col width="18" customWidth="1" style="278" min="2" max="2"/>
    <col width="14" customWidth="1" style="278" min="3" max="7"/>
    <col width="16" customWidth="1" style="278" min="8" max="8"/>
    <col width="14" customWidth="1" style="278" min="9" max="14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278">
      <c r="A2" s="364" t="inlineStr">
        <is>
          <t>🍽️  LOKA Cafe Restaurante</t>
        </is>
      </c>
      <c r="H2" s="365" t="inlineStr">
        <is>
          <t>Restaurant Manager — powered by Soft + Excel</t>
        </is>
      </c>
    </row>
    <row r="3" ht="3.75" customHeight="1" s="278">
      <c r="A3" s="366" t="n"/>
    </row>
    <row r="4" ht="7.5" customHeight="1" s="278"/>
    <row r="5" ht="36" customHeight="1" s="278">
      <c r="B5" s="280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</row>
    <row r="6" ht="9.75" customHeight="1" s="278"/>
    <row r="7" ht="19.5" customHeight="1" s="278">
      <c r="B7" s="308" t="inlineStr">
        <is>
          <t xml:space="preserve">  💰  REVENUE  (auto-pulled from Daily Log)</t>
        </is>
      </c>
      <c r="C7" s="281" t="n"/>
      <c r="D7" s="281" t="n"/>
      <c r="E7" s="281" t="n"/>
      <c r="F7" s="281" t="n"/>
      <c r="G7" s="281" t="n"/>
      <c r="H7" s="281" t="n"/>
      <c r="I7" s="281" t="n"/>
      <c r="J7" s="281" t="n"/>
      <c r="K7" s="281" t="n"/>
      <c r="L7" s="281" t="n"/>
      <c r="M7" s="281" t="n"/>
    </row>
    <row r="8" ht="6" customHeight="1" s="278"/>
    <row r="9" ht="18" customHeight="1" s="278">
      <c r="B9" s="296" t="inlineStr">
        <is>
          <t>TODAY'S REVENUE</t>
        </is>
      </c>
      <c r="C9" s="294" t="n"/>
      <c r="D9" s="296" t="inlineStr">
        <is>
          <t>WEEK REVENUE</t>
        </is>
      </c>
      <c r="E9" s="294" t="n"/>
      <c r="F9" s="296" t="inlineStr">
        <is>
          <t>MONTH REVENUE</t>
        </is>
      </c>
      <c r="G9" s="294" t="n"/>
      <c r="H9" s="296" t="inlineStr">
        <is>
          <t>TODAY'S EXPENSES</t>
        </is>
      </c>
      <c r="I9" s="294" t="n"/>
      <c r="J9" s="296" t="inlineStr">
        <is>
          <t>TODAY'S NET PROFIT</t>
        </is>
      </c>
      <c r="K9" s="294" t="n"/>
      <c r="L9" s="296" t="inlineStr">
        <is>
          <t>AVG TICKET</t>
        </is>
      </c>
      <c r="M9" s="294" t="n"/>
    </row>
    <row r="10" ht="19.5" customHeight="1" s="278">
      <c r="B10" s="327">
        <f>'📅 Daily Log'!F6</f>
        <v/>
      </c>
      <c r="C10" s="299" t="n"/>
      <c r="D10" s="298">
        <f>'📅 Daily Log'!N6</f>
        <v/>
      </c>
      <c r="E10" s="299" t="n"/>
      <c r="F10" s="323">
        <f>'📅 Daily Log'!O6</f>
        <v/>
      </c>
      <c r="G10" s="299" t="n"/>
      <c r="H10" s="303">
        <f>'📅 Daily Log'!H6</f>
        <v/>
      </c>
      <c r="I10" s="299" t="n"/>
      <c r="J10" s="327">
        <f>'📅 Daily Log'!I6</f>
        <v/>
      </c>
      <c r="K10" s="299" t="n"/>
      <c r="L10" s="344">
        <f>IFERROR('📅 Daily Log'!F6/'📅 Daily Log'!G6,0)</f>
        <v/>
      </c>
      <c r="M10" s="299" t="n"/>
    </row>
    <row r="11" ht="19.5" customHeight="1" s="278">
      <c r="B11" s="300" t="n"/>
      <c r="D11" s="300" t="n"/>
      <c r="F11" s="300" t="n"/>
      <c r="H11" s="300" t="n"/>
      <c r="J11" s="300" t="n"/>
      <c r="L11" s="300" t="n"/>
    </row>
    <row r="12" ht="19.5" customHeight="1" s="278">
      <c r="B12" s="300" t="n"/>
      <c r="D12" s="300" t="n"/>
      <c r="F12" s="300" t="n"/>
      <c r="H12" s="300" t="n"/>
      <c r="J12" s="300" t="n"/>
      <c r="L12" s="300" t="n"/>
    </row>
    <row r="13" ht="9.75" customHeight="1" s="278"/>
    <row r="14" ht="19.5" customHeight="1" s="278">
      <c r="B14" s="308" t="inlineStr">
        <is>
          <t xml:space="preserve">  📊  OPERATIONS</t>
        </is>
      </c>
      <c r="C14" s="281" t="n"/>
      <c r="D14" s="281" t="n"/>
      <c r="E14" s="281" t="n"/>
      <c r="F14" s="281" t="n"/>
      <c r="G14" s="281" t="n"/>
      <c r="H14" s="281" t="n"/>
      <c r="I14" s="281" t="n"/>
      <c r="J14" s="281" t="n"/>
      <c r="K14" s="281" t="n"/>
      <c r="L14" s="281" t="n"/>
      <c r="M14" s="281" t="n"/>
    </row>
    <row r="15" ht="6" customHeight="1" s="278"/>
    <row r="16" ht="18" customHeight="1" s="278">
      <c r="B16" s="296" t="inlineStr">
        <is>
          <t>TODAY'S ORDERS</t>
        </is>
      </c>
      <c r="C16" s="294" t="n"/>
      <c r="D16" s="296" t="inlineStr">
        <is>
          <t>WEEK ORDERS</t>
        </is>
      </c>
      <c r="E16" s="294" t="n"/>
      <c r="F16" s="296" t="inlineStr">
        <is>
          <t>PROFIT MARGIN %</t>
        </is>
      </c>
      <c r="G16" s="294" t="n"/>
      <c r="H16" s="296" t="inlineStr">
        <is>
          <t>LOW STOCK ITEMS</t>
        </is>
      </c>
      <c r="I16" s="294" t="n"/>
      <c r="J16" s="296" t="inlineStr">
        <is>
          <t>WEEK EXPENSES</t>
        </is>
      </c>
      <c r="K16" s="294" t="n"/>
      <c r="L16" s="296" t="inlineStr">
        <is>
          <t>PENDING ORDERS</t>
        </is>
      </c>
      <c r="M16" s="294" t="n"/>
    </row>
    <row r="17" ht="19.5" customHeight="1" s="278">
      <c r="B17" s="329">
        <f>'📅 Daily Log'!G6</f>
        <v/>
      </c>
      <c r="C17" s="299" t="n"/>
      <c r="D17" s="329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99" t="n"/>
      <c r="F17" s="333">
        <f>IFERROR('📅 Daily Log'!J6,0)</f>
        <v/>
      </c>
      <c r="G17" s="299" t="n"/>
      <c r="H17" s="334">
        <f>'📦 Inventory'!H5</f>
        <v/>
      </c>
      <c r="I17" s="299" t="n"/>
      <c r="J17" s="303">
        <f>'📅 Daily Log'!P6</f>
        <v/>
      </c>
      <c r="K17" s="299" t="n"/>
      <c r="L17" s="305">
        <f>'🚚 Suppliers'!H5</f>
        <v/>
      </c>
      <c r="M17" s="299" t="n"/>
    </row>
    <row r="18" ht="19.5" customHeight="1" s="278">
      <c r="B18" s="300" t="n"/>
      <c r="D18" s="300" t="n"/>
      <c r="F18" s="300" t="n"/>
      <c r="H18" s="300" t="n"/>
      <c r="J18" s="300" t="n"/>
      <c r="L18" s="300" t="n"/>
    </row>
    <row r="19" ht="19.5" customHeight="1" s="278">
      <c r="B19" s="300" t="n"/>
      <c r="D19" s="300" t="n"/>
      <c r="F19" s="300" t="n"/>
      <c r="H19" s="300" t="n"/>
      <c r="J19" s="300" t="n"/>
      <c r="L19" s="300" t="n"/>
    </row>
    <row r="20" ht="9.75" customHeight="1" s="278"/>
    <row r="21" ht="19.5" customHeight="1" s="278">
      <c r="B21" s="308" t="inlineStr">
        <is>
          <t xml:space="preserve">  📅  LAST 10 DAYS  (from Daily Log — updates automatically)</t>
        </is>
      </c>
      <c r="C21" s="281" t="n"/>
      <c r="D21" s="281" t="n"/>
      <c r="E21" s="281" t="n"/>
      <c r="F21" s="281" t="n"/>
      <c r="G21" s="281" t="n"/>
      <c r="H21" s="281" t="n"/>
      <c r="I21" s="281" t="n"/>
      <c r="J21" s="281" t="n"/>
      <c r="K21" s="281" t="n"/>
      <c r="L21" s="281" t="n"/>
      <c r="M21" s="281" t="n"/>
    </row>
    <row r="22" ht="27.75" customHeight="1" s="278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24" t="inlineStr">
        <is>
          <t>vs Prev Day</t>
        </is>
      </c>
      <c r="L22" s="294" t="n"/>
      <c r="M22" s="290" t="n"/>
    </row>
    <row r="23" ht="16.5" customHeight="1" s="278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10" t="inlineStr">
        <is>
          <t>—</t>
        </is>
      </c>
      <c r="L23" s="294" t="n"/>
      <c r="M23" s="290" t="n"/>
    </row>
    <row r="24" ht="16.5" customHeight="1" s="278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293">
        <f>IFERROR(IF(D24&gt;D23,"▲ +"&amp;TEXT(D24-D23,"$#,##0"),IF(D24&lt;D23,"▼ "&amp;TEXT(D24-D23,"$#,##0"),"— same")),"")</f>
        <v/>
      </c>
      <c r="L24" s="294" t="n"/>
      <c r="M24" s="290" t="n"/>
    </row>
    <row r="25" ht="16.5" customHeight="1" s="278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10">
        <f>IFERROR(IF(D25&gt;D24,"▲ +"&amp;TEXT(D25-D24,"$#,##0"),IF(D25&lt;D24,"▼ "&amp;TEXT(D25-D24,"$#,##0"),"— same")),"")</f>
        <v/>
      </c>
      <c r="L25" s="294" t="n"/>
      <c r="M25" s="290" t="n"/>
    </row>
    <row r="26" ht="16.5" customHeight="1" s="278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293">
        <f>IFERROR(IF(D26&gt;D25,"▲ +"&amp;TEXT(D26-D25,"$#,##0"),IF(D26&lt;D25,"▼ "&amp;TEXT(D26-D25,"$#,##0"),"— same")),"")</f>
        <v/>
      </c>
      <c r="L26" s="294" t="n"/>
      <c r="M26" s="290" t="n"/>
    </row>
    <row r="27" ht="16.5" customHeight="1" s="278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10">
        <f>IFERROR(IF(D27&gt;D26,"▲ +"&amp;TEXT(D27-D26,"$#,##0"),IF(D27&lt;D26,"▼ "&amp;TEXT(D27-D26,"$#,##0"),"— same")),"")</f>
        <v/>
      </c>
      <c r="L27" s="294" t="n"/>
      <c r="M27" s="290" t="n"/>
    </row>
    <row r="28" ht="16.5" customHeight="1" s="278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293">
        <f>IFERROR(IF(D28&gt;D27,"▲ +"&amp;TEXT(D28-D27,"$#,##0"),IF(D28&lt;D27,"▼ "&amp;TEXT(D28-D27,"$#,##0"),"— same")),"")</f>
        <v/>
      </c>
      <c r="L28" s="294" t="n"/>
      <c r="M28" s="290" t="n"/>
    </row>
    <row r="29" ht="16.5" customHeight="1" s="278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10">
        <f>IFERROR(IF(D29&gt;D28,"▲ +"&amp;TEXT(D29-D28,"$#,##0"),IF(D29&lt;D28,"▼ "&amp;TEXT(D29-D28,"$#,##0"),"— same")),"")</f>
        <v/>
      </c>
      <c r="L29" s="294" t="n"/>
      <c r="M29" s="290" t="n"/>
    </row>
    <row r="30" ht="16.5" customHeight="1" s="278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293">
        <f>IFERROR(IF(D30&gt;D29,"▲ +"&amp;TEXT(D30-D29,"$#,##0"),IF(D30&lt;D29,"▼ "&amp;TEXT(D30-D29,"$#,##0"),"— same")),"")</f>
        <v/>
      </c>
      <c r="L30" s="294" t="n"/>
      <c r="M30" s="290" t="n"/>
    </row>
    <row r="31" ht="16.5" customHeight="1" s="278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10">
        <f>IFERROR(IF(D31&gt;D30,"▲ +"&amp;TEXT(D31-D30,"$#,##0"),IF(D31&lt;D30,"▼ "&amp;TEXT(D31-D30,"$#,##0"),"— same")),"")</f>
        <v/>
      </c>
      <c r="L31" s="294" t="n"/>
      <c r="M31" s="290" t="n"/>
    </row>
    <row r="32" ht="16.5" customHeight="1" s="278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293">
        <f>IFERROR(IF(D32&gt;D31,"▲ +"&amp;TEXT(D32-D31,"$#,##0"),IF(D32&lt;D31,"▼ "&amp;TEXT(D32-D31,"$#,##0"),"— same")),"")</f>
        <v/>
      </c>
      <c r="L32" s="294" t="n"/>
      <c r="M32" s="290" t="n"/>
    </row>
    <row r="33" ht="9.75" customHeight="1" s="278"/>
    <row r="34" ht="19.5" customHeight="1" s="278">
      <c r="B34" s="308" t="inlineStr">
        <is>
          <t xml:space="preserve">  ⚠️  INVENTORY ALERTS  (from Inventory sheet)</t>
        </is>
      </c>
      <c r="C34" s="281" t="n"/>
      <c r="D34" s="281" t="n"/>
      <c r="E34" s="281" t="n"/>
      <c r="F34" s="281" t="n"/>
      <c r="G34" s="281" t="n"/>
      <c r="H34" s="281" t="n"/>
      <c r="I34" s="281" t="n"/>
      <c r="J34" s="281" t="n"/>
      <c r="K34" s="281" t="n"/>
      <c r="L34" s="281" t="n"/>
      <c r="M34" s="281" t="n"/>
    </row>
    <row r="35" ht="27.75" customHeight="1" s="278">
      <c r="B35" s="289" t="inlineStr">
        <is>
          <t>Ingredient</t>
        </is>
      </c>
      <c r="C35" s="294" t="n"/>
      <c r="D35" s="290" t="n"/>
      <c r="E35" s="6" t="n"/>
      <c r="F35" s="289" t="inlineStr">
        <is>
          <t>Min Level</t>
        </is>
      </c>
      <c r="G35" s="290" t="n"/>
      <c r="H35" s="289" t="inlineStr">
        <is>
          <t>Status</t>
        </is>
      </c>
      <c r="I35" s="290" t="n"/>
      <c r="J35" s="289" t="inlineStr">
        <is>
          <t>Action Needed</t>
        </is>
      </c>
      <c r="K35" s="294" t="n"/>
      <c r="L35" s="294" t="n"/>
      <c r="M35" s="290" t="n"/>
    </row>
    <row r="36" ht="16.5" customHeight="1" s="278">
      <c r="B36" s="331">
        <f>'📦 Inventory'!B9</f>
        <v/>
      </c>
      <c r="C36" s="294" t="n"/>
      <c r="D36" s="294" t="n"/>
      <c r="E36" s="318">
        <f>'📦 Inventory'!E9</f>
        <v/>
      </c>
      <c r="F36" s="294" t="n"/>
      <c r="G36" s="326">
        <f>'📦 Inventory'!F9</f>
        <v/>
      </c>
      <c r="H36" s="294" t="n"/>
      <c r="I36" s="301">
        <f>'📦 Inventory'!J9</f>
        <v/>
      </c>
      <c r="J36" s="294" t="n"/>
      <c r="K36" s="301">
        <f>IF('📦 Inventory'!E9=0,"🚫 Order immediately",IF('📦 Inventory'!E9&lt;='📦 Inventory'!F9,"⚠️ Reorder soon","✅ OK"))</f>
        <v/>
      </c>
      <c r="L36" s="294" t="n"/>
      <c r="M36" s="294" t="n"/>
    </row>
    <row r="37" ht="16.5" customHeight="1" s="278">
      <c r="B37" s="309">
        <f>'📦 Inventory'!B10</f>
        <v/>
      </c>
      <c r="C37" s="294" t="n"/>
      <c r="D37" s="294" t="n"/>
      <c r="E37" s="340">
        <f>'📦 Inventory'!E10</f>
        <v/>
      </c>
      <c r="F37" s="294" t="n"/>
      <c r="G37" s="341">
        <f>'📦 Inventory'!F10</f>
        <v/>
      </c>
      <c r="H37" s="294" t="n"/>
      <c r="I37" s="342">
        <f>'📦 Inventory'!J10</f>
        <v/>
      </c>
      <c r="J37" s="294" t="n"/>
      <c r="K37" s="342">
        <f>IF('📦 Inventory'!E10=0,"🚫 Order immediately",IF('📦 Inventory'!E10&lt;='📦 Inventory'!F10,"⚠️ Reorder soon","✅ OK"))</f>
        <v/>
      </c>
      <c r="L37" s="294" t="n"/>
      <c r="M37" s="294" t="n"/>
    </row>
    <row r="38" ht="16.5" customHeight="1" s="278">
      <c r="B38" s="331">
        <f>'📦 Inventory'!B11</f>
        <v/>
      </c>
      <c r="C38" s="294" t="n"/>
      <c r="D38" s="294" t="n"/>
      <c r="E38" s="318">
        <f>'📦 Inventory'!E11</f>
        <v/>
      </c>
      <c r="F38" s="294" t="n"/>
      <c r="G38" s="326">
        <f>'📦 Inventory'!F11</f>
        <v/>
      </c>
      <c r="H38" s="294" t="n"/>
      <c r="I38" s="301">
        <f>'📦 Inventory'!J11</f>
        <v/>
      </c>
      <c r="J38" s="294" t="n"/>
      <c r="K38" s="301">
        <f>IF('📦 Inventory'!E11=0,"🚫 Order immediately",IF('📦 Inventory'!E11&lt;='📦 Inventory'!F11,"⚠️ Reorder soon","✅ OK"))</f>
        <v/>
      </c>
      <c r="L38" s="294" t="n"/>
      <c r="M38" s="294" t="n"/>
    </row>
    <row r="39" ht="16.5" customHeight="1" s="278">
      <c r="B39" s="309">
        <f>'📦 Inventory'!B12</f>
        <v/>
      </c>
      <c r="C39" s="294" t="n"/>
      <c r="D39" s="294" t="n"/>
      <c r="E39" s="340">
        <f>'📦 Inventory'!E12</f>
        <v/>
      </c>
      <c r="F39" s="294" t="n"/>
      <c r="G39" s="341">
        <f>'📦 Inventory'!F12</f>
        <v/>
      </c>
      <c r="H39" s="294" t="n"/>
      <c r="I39" s="342">
        <f>'📦 Inventory'!J12</f>
        <v/>
      </c>
      <c r="J39" s="294" t="n"/>
      <c r="K39" s="342">
        <f>IF('📦 Inventory'!E12=0,"🚫 Order immediately",IF('📦 Inventory'!E12&lt;='📦 Inventory'!F12,"⚠️ Reorder soon","✅ OK"))</f>
        <v/>
      </c>
      <c r="L39" s="294" t="n"/>
      <c r="M39" s="294" t="n"/>
    </row>
    <row r="40" ht="16.5" customHeight="1" s="278">
      <c r="B40" s="331">
        <f>'📦 Inventory'!B13</f>
        <v/>
      </c>
      <c r="C40" s="294" t="n"/>
      <c r="D40" s="294" t="n"/>
      <c r="E40" s="318">
        <f>'📦 Inventory'!E13</f>
        <v/>
      </c>
      <c r="F40" s="294" t="n"/>
      <c r="G40" s="326">
        <f>'📦 Inventory'!F13</f>
        <v/>
      </c>
      <c r="H40" s="294" t="n"/>
      <c r="I40" s="301">
        <f>'📦 Inventory'!J13</f>
        <v/>
      </c>
      <c r="J40" s="294" t="n"/>
      <c r="K40" s="301">
        <f>IF('📦 Inventory'!E13=0,"🚫 Order immediately",IF('📦 Inventory'!E13&lt;='📦 Inventory'!F13,"⚠️ Reorder soon","✅ OK"))</f>
        <v/>
      </c>
      <c r="L40" s="294" t="n"/>
      <c r="M40" s="294" t="n"/>
    </row>
    <row r="41" ht="7.5" customHeight="1" s="278"/>
    <row r="42" ht="30" customHeight="1" s="278">
      <c r="B42" s="367" t="inlineStr">
        <is>
          <t>💼  CAPITAL &amp; ACQUISITION STATUS  —  live from Capital &amp; Ownership sheet</t>
        </is>
      </c>
    </row>
    <row r="43" ht="6" customHeight="1" s="278"/>
    <row r="44" ht="16.05" customHeight="1" s="278">
      <c r="B44" s="343" t="inlineStr">
        <is>
          <t>TOTAL BUDGET</t>
        </is>
      </c>
      <c r="C44" s="288" t="n"/>
      <c r="D44" s="352" t="inlineStr">
        <is>
          <t>TOTAL CASH OUT</t>
        </is>
      </c>
      <c r="E44" s="288" t="n"/>
      <c r="F44" s="353" t="inlineStr">
        <is>
          <t>REMAINING BUDGET</t>
        </is>
      </c>
      <c r="G44" s="288" t="n"/>
      <c r="H44" s="349" t="inlineStr">
        <is>
          <t>ACQUISITION PRICE</t>
        </is>
      </c>
      <c r="I44" s="288" t="n"/>
      <c r="J44" s="346" t="inlineStr">
        <is>
          <t>ADVANCE PAID</t>
        </is>
      </c>
      <c r="K44" s="288" t="n"/>
      <c r="L44" s="335" t="inlineStr">
        <is>
          <t>BALANCE PENDING</t>
        </is>
      </c>
      <c r="M44" s="288" t="n"/>
    </row>
    <row r="45" ht="22.05" customHeight="1" s="278">
      <c r="B45" s="345">
        <f>'Capital &amp; Ownership'!C75</f>
        <v/>
      </c>
      <c r="C45" s="288" t="n"/>
      <c r="D45" s="307">
        <f>'Capital &amp; Ownership'!C86</f>
        <v/>
      </c>
      <c r="E45" s="288" t="n"/>
      <c r="F45" s="328">
        <f>'Capital &amp; Ownership'!C87</f>
        <v/>
      </c>
      <c r="G45" s="288" t="n"/>
      <c r="H45" s="316">
        <f>'Capital &amp; Ownership'!C76</f>
        <v/>
      </c>
      <c r="I45" s="288" t="n"/>
      <c r="J45" s="312">
        <f>'Capital &amp; Ownership'!C77</f>
        <v/>
      </c>
      <c r="K45" s="288" t="n"/>
      <c r="L45" s="313">
        <f>'Capital &amp; Ownership'!C78</f>
        <v/>
      </c>
      <c r="M45" s="288" t="n"/>
    </row>
    <row r="46" ht="16.05" customHeight="1" s="278">
      <c r="B46" s="347" t="inlineStr">
        <is>
          <t>All 3 partners</t>
        </is>
      </c>
      <c r="C46" s="288" t="n"/>
      <c r="D46" s="348" t="inlineStr">
        <is>
          <t>Excl. internal transfers</t>
        </is>
      </c>
      <c r="E46" s="288" t="n"/>
      <c r="F46" s="332" t="inlineStr">
        <is>
          <t>Available for operations</t>
        </is>
      </c>
      <c r="G46" s="288" t="n"/>
      <c r="H46" s="350" t="inlineStr">
        <is>
          <t>To previous owners</t>
        </is>
      </c>
      <c r="I46" s="288" t="n"/>
      <c r="J46" s="336" t="inlineStr">
        <is>
          <t>✅ Paid by Lohith</t>
        </is>
      </c>
      <c r="K46" s="288" t="n"/>
      <c r="L46" s="337" t="inlineStr">
        <is>
          <t>⏳ Outstanding</t>
        </is>
      </c>
      <c r="M46" s="288" t="n"/>
    </row>
    <row r="47" ht="7.95" customHeight="1" s="278"/>
    <row r="48" ht="22.05" customHeight="1" s="278">
      <c r="B48" s="368" t="inlineStr">
        <is>
          <t xml:space="preserve">  👥  OWNER CAPITAL SUMMARY</t>
        </is>
      </c>
    </row>
    <row r="49" ht="19.95" customHeight="1" s="278">
      <c r="B49" s="320" t="inlineStr">
        <is>
          <t>OWNER</t>
        </is>
      </c>
      <c r="C49" s="288" t="n"/>
      <c r="D49" s="320" t="inlineStr">
        <is>
          <t>SHARE %</t>
        </is>
      </c>
      <c r="E49" s="288" t="n"/>
      <c r="F49" s="320" t="inlineStr">
        <is>
          <t>CAPITAL ($)</t>
        </is>
      </c>
      <c r="G49" s="320" t="inlineStr">
        <is>
          <t>ROLE</t>
        </is>
      </c>
      <c r="H49" s="320" t="inlineStr">
        <is>
          <t>EXPENSES ($)</t>
        </is>
      </c>
      <c r="I49" s="288" t="n"/>
      <c r="J49" s="320" t="inlineStr">
        <is>
          <t>REMAINING ($)</t>
        </is>
      </c>
      <c r="K49" s="288" t="n"/>
      <c r="L49" s="320" t="inlineStr">
        <is>
          <t>% SPENT</t>
        </is>
      </c>
      <c r="M49" s="288" t="n"/>
    </row>
    <row r="50" ht="19.95" customHeight="1" s="278">
      <c r="B50" s="319">
        <f>'Capital &amp; Ownership'!B6</f>
        <v/>
      </c>
      <c r="C50" s="288" t="n"/>
      <c r="D50" s="306">
        <f>'Capital &amp; Ownership'!C6</f>
        <v/>
      </c>
      <c r="E50" s="288" t="n"/>
      <c r="F50" s="314">
        <f>'Capital &amp; Ownership'!D6</f>
        <v/>
      </c>
      <c r="G50" s="297" t="inlineStr">
        <is>
          <t>50% — Managing Partner</t>
        </is>
      </c>
      <c r="H50" s="314">
        <f>'Capital &amp; Ownership'!E6</f>
        <v/>
      </c>
      <c r="I50" s="288" t="n"/>
      <c r="J50" s="314">
        <f>'Capital &amp; Ownership'!F6</f>
        <v/>
      </c>
      <c r="K50" s="288" t="n"/>
      <c r="L50" s="306">
        <f>IFERROR('Capital &amp; Ownership'!E6/'Capital &amp; Ownership'!D6,0)</f>
        <v/>
      </c>
      <c r="M50" s="288" t="n"/>
    </row>
    <row r="51" ht="19.95" customHeight="1" s="278">
      <c r="B51" s="321">
        <f>'Capital &amp; Ownership'!B7</f>
        <v/>
      </c>
      <c r="C51" s="288" t="n"/>
      <c r="D51" s="322">
        <f>'Capital &amp; Ownership'!C7</f>
        <v/>
      </c>
      <c r="E51" s="288" t="n"/>
      <c r="F51" s="338">
        <f>'Capital &amp; Ownership'!D7</f>
        <v/>
      </c>
      <c r="G51" s="26" t="inlineStr">
        <is>
          <t>30% — Partner</t>
        </is>
      </c>
      <c r="H51" s="338">
        <f>'Capital &amp; Ownership'!E7</f>
        <v/>
      </c>
      <c r="I51" s="288" t="n"/>
      <c r="J51" s="338">
        <f>'Capital &amp; Ownership'!F7</f>
        <v/>
      </c>
      <c r="K51" s="288" t="n"/>
      <c r="L51" s="322">
        <f>IFERROR('Capital &amp; Ownership'!E7/'Capital &amp; Ownership'!D7,0)</f>
        <v/>
      </c>
      <c r="M51" s="288" t="n"/>
    </row>
    <row r="52" ht="19.95" customHeight="1" s="278">
      <c r="B52" s="319">
        <f>'Capital &amp; Ownership'!B8</f>
        <v/>
      </c>
      <c r="C52" s="288" t="n"/>
      <c r="D52" s="306">
        <f>'Capital &amp; Ownership'!C8</f>
        <v/>
      </c>
      <c r="E52" s="288" t="n"/>
      <c r="F52" s="314">
        <f>'Capital &amp; Ownership'!D8</f>
        <v/>
      </c>
      <c r="G52" s="297" t="inlineStr">
        <is>
          <t>20% — Partner</t>
        </is>
      </c>
      <c r="H52" s="314">
        <f>'Capital &amp; Ownership'!E8</f>
        <v/>
      </c>
      <c r="I52" s="288" t="n"/>
      <c r="J52" s="314">
        <f>'Capital &amp; Ownership'!F8</f>
        <v/>
      </c>
      <c r="K52" s="288" t="n"/>
      <c r="L52" s="306">
        <f>IFERROR('Capital &amp; Ownership'!E8/'Capital &amp; Ownership'!D8,0)</f>
        <v/>
      </c>
      <c r="M52" s="288" t="n"/>
    </row>
    <row r="53" ht="22.05" customHeight="1" s="278">
      <c r="B53" s="330" t="inlineStr">
        <is>
          <t>TOTAL</t>
        </is>
      </c>
      <c r="C53" s="288" t="n"/>
      <c r="D53" s="304">
        <f>'Capital &amp; Ownership'!C9</f>
        <v/>
      </c>
      <c r="E53" s="288" t="n"/>
      <c r="F53" s="287">
        <f>'Capital &amp; Ownership'!D9</f>
        <v/>
      </c>
      <c r="G53" s="320" t="n"/>
      <c r="H53" s="287">
        <f>'Capital &amp; Ownership'!E9</f>
        <v/>
      </c>
      <c r="I53" s="288" t="n"/>
      <c r="J53" s="287">
        <f>'Capital &amp; Ownership'!F9</f>
        <v/>
      </c>
      <c r="K53" s="288" t="n"/>
      <c r="L53" s="304">
        <f>IFERROR('Capital &amp; Ownership'!E9/'Capital &amp; Ownership'!D9,0)</f>
        <v/>
      </c>
      <c r="M53" s="288" t="n"/>
    </row>
    <row r="54" ht="7.95" customHeight="1" s="278"/>
    <row r="55" ht="22.05" customHeight="1" s="278">
      <c r="B55" s="368" t="inlineStr">
        <is>
          <t xml:space="preserve">  🧾  PRE-OPENING EXPENSES BREAKDOWN</t>
        </is>
      </c>
    </row>
    <row r="56" ht="19.95" customHeight="1" s="278">
      <c r="B56" s="320" t="inlineStr">
        <is>
          <t>EXPENSE ITEM</t>
        </is>
      </c>
      <c r="C56" s="292" t="n"/>
      <c r="D56" s="288" t="n"/>
      <c r="E56" s="320" t="inlineStr">
        <is>
          <t>PAID BY</t>
        </is>
      </c>
      <c r="F56" s="288" t="n"/>
      <c r="G56" s="320" t="inlineStr">
        <is>
          <t>AMOUNT ($)</t>
        </is>
      </c>
      <c r="H56" s="288" t="n"/>
      <c r="I56" s="320" t="inlineStr">
        <is>
          <t>CATEGORY</t>
        </is>
      </c>
      <c r="J56" s="288" t="n"/>
      <c r="K56" s="320" t="inlineStr">
        <is>
          <t>STATUS</t>
        </is>
      </c>
      <c r="L56" s="288" t="n"/>
    </row>
    <row r="57" ht="19.95" customHeight="1" s="278">
      <c r="B57" s="302">
        <f>'Capital &amp; Ownership'!B13</f>
        <v/>
      </c>
      <c r="C57" s="292" t="n"/>
      <c r="D57" s="288" t="n"/>
      <c r="E57" s="325" t="inlineStr">
        <is>
          <t>All Partners</t>
        </is>
      </c>
      <c r="F57" s="288" t="n"/>
      <c r="G57" s="311">
        <f>'Capital &amp; Ownership'!D13</f>
        <v/>
      </c>
      <c r="H57" s="288" t="n"/>
      <c r="I57" s="325" t="inlineStr">
        <is>
          <t>Acquisition</t>
        </is>
      </c>
      <c r="J57" s="288" t="n"/>
      <c r="K57" s="325" t="inlineStr">
        <is>
          <t>⚠️ Not Fully Paid</t>
        </is>
      </c>
      <c r="L57" s="288" t="n"/>
    </row>
    <row r="58" ht="19.95" customHeight="1" s="278">
      <c r="B58" s="291">
        <f>'Capital &amp; Ownership'!B14</f>
        <v/>
      </c>
      <c r="C58" s="292" t="n"/>
      <c r="D58" s="288" t="n"/>
      <c r="E58" s="315" t="inlineStr">
        <is>
          <t>Lohith Reddy</t>
        </is>
      </c>
      <c r="F58" s="288" t="n"/>
      <c r="G58" s="317">
        <f>'Capital &amp; Ownership'!D14</f>
        <v/>
      </c>
      <c r="H58" s="288" t="n"/>
      <c r="I58" s="315" t="inlineStr">
        <is>
          <t>Acquisition Advance</t>
        </is>
      </c>
      <c r="J58" s="288" t="n"/>
      <c r="K58" s="315" t="inlineStr">
        <is>
          <t>✅ Paid</t>
        </is>
      </c>
      <c r="L58" s="288" t="n"/>
    </row>
    <row r="59" ht="19.95" customHeight="1" s="278">
      <c r="B59" s="291">
        <f>'Capital &amp; Ownership'!B35</f>
        <v/>
      </c>
      <c r="C59" s="292" t="n"/>
      <c r="D59" s="288" t="n"/>
      <c r="E59" s="315" t="inlineStr">
        <is>
          <t>Kashigoud Patil</t>
        </is>
      </c>
      <c r="F59" s="288" t="n"/>
      <c r="G59" s="317">
        <f>'Capital &amp; Ownership'!D35</f>
        <v/>
      </c>
      <c r="H59" s="288" t="n"/>
      <c r="I59" s="315" t="inlineStr">
        <is>
          <t>Software / License</t>
        </is>
      </c>
      <c r="J59" s="288" t="n"/>
      <c r="K59" s="315" t="inlineStr">
        <is>
          <t>✅ Paid</t>
        </is>
      </c>
      <c r="L59" s="288" t="n"/>
    </row>
    <row r="60" ht="19.95" customHeight="1" s="278">
      <c r="B60" s="291">
        <f>'Capital &amp; Ownership'!B36</f>
        <v/>
      </c>
      <c r="C60" s="292" t="n"/>
      <c r="D60" s="288" t="n"/>
      <c r="E60" s="315" t="inlineStr">
        <is>
          <t>Kashigoud Patil</t>
        </is>
      </c>
      <c r="F60" s="288" t="n"/>
      <c r="G60" s="317">
        <f>'Capital &amp; Ownership'!D36</f>
        <v/>
      </c>
      <c r="H60" s="288" t="n"/>
      <c r="I60" s="315" t="inlineStr">
        <is>
          <t>Equipment</t>
        </is>
      </c>
      <c r="J60" s="288" t="n"/>
      <c r="K60" s="315" t="inlineStr">
        <is>
          <t>✅ Paid</t>
        </is>
      </c>
      <c r="L60" s="288" t="n"/>
    </row>
    <row r="61" ht="19.95" customHeight="1" s="278">
      <c r="B61" s="319">
        <f>'Capital &amp; Ownership'!B47</f>
        <v/>
      </c>
      <c r="C61" s="292" t="n"/>
      <c r="D61" s="288" t="n"/>
      <c r="E61" s="297" t="inlineStr">
        <is>
          <t>Lohith Reddy</t>
        </is>
      </c>
      <c r="F61" s="288" t="n"/>
      <c r="G61" s="314">
        <f>'Capital &amp; Ownership'!D47</f>
        <v/>
      </c>
      <c r="H61" s="288" t="n"/>
      <c r="I61" s="297" t="inlineStr">
        <is>
          <t>Legal / Notary</t>
        </is>
      </c>
      <c r="J61" s="288" t="n"/>
      <c r="K61" s="297" t="inlineStr">
        <is>
          <t>✅ Paid</t>
        </is>
      </c>
      <c r="L61" s="288" t="n"/>
    </row>
    <row r="62" ht="19.95" customHeight="1" s="278">
      <c r="B62" s="319">
        <f>'Capital &amp; Ownership'!B50</f>
        <v/>
      </c>
      <c r="C62" s="292" t="n"/>
      <c r="D62" s="288" t="n"/>
      <c r="E62" s="297" t="inlineStr">
        <is>
          <t>Lohith Reddy</t>
        </is>
      </c>
      <c r="F62" s="288" t="n"/>
      <c r="G62" s="314">
        <f>'Capital &amp; Ownership'!D50</f>
        <v/>
      </c>
      <c r="H62" s="288" t="n"/>
      <c r="I62" s="297" t="inlineStr">
        <is>
          <t>Legal / Insurance</t>
        </is>
      </c>
      <c r="J62" s="288" t="n"/>
      <c r="K62" s="297" t="inlineStr">
        <is>
          <t>✅ Paid</t>
        </is>
      </c>
      <c r="L62" s="288" t="n"/>
    </row>
    <row r="63" ht="19.95" customHeight="1" s="278">
      <c r="B63" s="319">
        <f>'Capital &amp; Ownership'!B51</f>
        <v/>
      </c>
      <c r="C63" s="292" t="n"/>
      <c r="D63" s="288" t="n"/>
      <c r="E63" s="297" t="inlineStr">
        <is>
          <t>Lohith Reddy</t>
        </is>
      </c>
      <c r="F63" s="288" t="n"/>
      <c r="G63" s="314">
        <f>'Capital &amp; Ownership'!D51</f>
        <v/>
      </c>
      <c r="H63" s="288" t="n"/>
      <c r="I63" s="297" t="inlineStr">
        <is>
          <t>Professional Services</t>
        </is>
      </c>
      <c r="J63" s="288" t="n"/>
      <c r="K63" s="297" t="inlineStr">
        <is>
          <t>✅ Paid</t>
        </is>
      </c>
      <c r="L63" s="288" t="n"/>
    </row>
    <row r="64" ht="19.95" customHeight="1" s="278">
      <c r="B64" s="351" t="inlineStr">
        <is>
          <t xml:space="preserve">  ℹ️  Internal transfers:  Kashigoud → Lohith  $125,000  |  Shashirekha → Lohith  $100,000  (not counted as expenses — capital reallocation only)</t>
        </is>
      </c>
      <c r="C64" s="292" t="n"/>
      <c r="D64" s="292" t="n"/>
      <c r="E64" s="292" t="n"/>
      <c r="F64" s="292" t="n"/>
      <c r="G64" s="292" t="n"/>
      <c r="H64" s="292" t="n"/>
      <c r="I64" s="292" t="n"/>
      <c r="J64" s="292" t="n"/>
      <c r="K64" s="292" t="n"/>
      <c r="L64" s="292" t="n"/>
      <c r="M64" s="288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T372"/>
  <sheetViews>
    <sheetView showGridLines="0" zoomScaleNormal="100" workbookViewId="0">
      <pane ySplit="7" topLeftCell="A32" activePane="bottomLeft" state="frozen"/>
      <selection pane="bottomLeft" activeCell="J44" sqref="J44"/>
    </sheetView>
  </sheetViews>
  <sheetFormatPr baseColWidth="8" defaultColWidth="8.6640625" defaultRowHeight="14.4" customHeight="1"/>
  <cols>
    <col width="4" customWidth="1" style="278" min="1" max="1"/>
    <col width="18" customWidth="1" style="278" min="2" max="2"/>
    <col width="16" customWidth="1" style="278" min="3" max="5"/>
    <col width="12" customWidth="1" style="278" min="6" max="6"/>
    <col width="14" customWidth="1" style="278" min="7" max="7"/>
    <col width="16" customWidth="1" style="278" min="8" max="9"/>
    <col width="12" customWidth="1" style="278" min="10" max="10"/>
    <col width="30" customWidth="1" style="278" min="11" max="11"/>
    <col width="16" customWidth="1" style="278" min="12" max="17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278">
      <c r="A2" s="364" t="inlineStr">
        <is>
          <t>📅  LOKA — DAILY LOG</t>
        </is>
      </c>
      <c r="I2" s="365" t="inlineStr">
        <is>
          <t>Enter 2 values from Soft App each day → everything else calculates</t>
        </is>
      </c>
    </row>
    <row r="3" ht="3.75" customHeight="1" s="278">
      <c r="A3" s="366" t="n"/>
    </row>
    <row r="4" ht="7.5" customHeight="1" s="278"/>
    <row r="5" ht="49.5" customHeight="1" s="278">
      <c r="B5" s="280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281" t="n"/>
      <c r="D5" s="281" t="n"/>
      <c r="E5" s="281" t="n"/>
      <c r="F5" s="281" t="n"/>
      <c r="G5" s="281" t="n"/>
      <c r="H5" s="281" t="n"/>
      <c r="I5" s="281" t="n"/>
      <c r="J5" s="281" t="n"/>
      <c r="K5" s="281" t="n"/>
      <c r="L5" s="281" t="n"/>
      <c r="M5" s="281" t="n"/>
      <c r="N5" s="281" t="n"/>
      <c r="O5" s="281" t="n"/>
      <c r="P5" s="281" t="n"/>
    </row>
    <row r="6" ht="7.5" customHeight="1" s="278">
      <c r="B6" s="27" t="n"/>
      <c r="D6" s="28" t="n"/>
      <c r="E6" s="29" t="n"/>
      <c r="F6" s="30">
        <f>SUMIFS($D$8:$D$500,$B$8:$B$500,TODAY())+SUMIFS($E$8:$E$500,$B$8:$B$500,TODAY())+SUMIFS($G$8:$G$500,$B$8:$B$500,TODAY())</f>
        <v/>
      </c>
      <c r="G6" s="31">
        <f>SUMIFS($G$8:$G$500,$B$8:$B$500,TODAY())</f>
        <v/>
      </c>
      <c r="H6" s="28">
        <f>SUMIFS($H$8:$H$500,$B$8:$B$500,TODAY())</f>
        <v/>
      </c>
      <c r="I6" s="32">
        <f>F6-H6</f>
        <v/>
      </c>
      <c r="J6">
        <f>IFERROR(I6/F6,0)</f>
        <v/>
      </c>
      <c r="K6" s="28" t="n"/>
      <c r="L6" s="31" t="n"/>
      <c r="M6" s="28">
        <f>SUMPRODUCT((ISNUMBER($B$8:$B$500))*($B$8:$B$500&gt;=TODAY()-MOD(TODAY()-2,7))*($B$8:$B$500&lt;TODAY()-MOD(TODAY()-2,7)+7)*IF(ISNUMBER($F$8:$F$500),$F$8:$F$500,0))</f>
        <v/>
      </c>
      <c r="N6" s="33">
        <f>SUMPRODUCT((ISNUMBER($B$8:$B$500))*($B$8:$B$500&gt;=TODAY()-MOD(TODAY()-2,7))*($B$8:$B$500&lt;TODAY()-MOD(TODAY()-2,7)+7)*IF(ISNUMBER($F$8:$F$500),$F$8:$F$500,0))</f>
        <v/>
      </c>
      <c r="O6" s="33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278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407" t="inlineStr">
        <is>
          <t>MP Comm $</t>
        </is>
      </c>
      <c r="S7" s="408" t="inlineStr">
        <is>
          <t>MP Rate</t>
        </is>
      </c>
      <c r="T7" s="409" t="n">
        <v>0.0406</v>
      </c>
    </row>
    <row r="8" ht="16.5" customHeight="1" s="278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/>
      </c>
      <c r="G8" s="39" t="n"/>
      <c r="H8" s="40">
        <f>SUMIFS('💸 Expenses'!$F$8:$F$500,'💸 Expenses'!$B$8:$B$500,"&gt;="&amp;B8,'💸 Expenses'!$B$8:$B$500,"&lt;"&amp;(B8+1))</f>
        <v/>
      </c>
      <c r="I8" s="41">
        <f>IFERROR(F8-H8,0)</f>
        <v/>
      </c>
      <c r="J8" s="42">
        <f>IFERROR(I8/F8,0)</f>
        <v/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10">
        <f>IFERROR(D8*$T$7,0)</f>
        <v/>
      </c>
    </row>
    <row r="9" ht="16.5" customHeight="1" s="278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/>
      </c>
      <c r="G9" s="51" t="n"/>
      <c r="H9" s="52">
        <f>SUMIFS('💸 Expenses'!$F$8:$F$500,'💸 Expenses'!$B$8:$B$500,"&gt;="&amp;B9,'💸 Expenses'!$B$8:$B$500,"&lt;"&amp;(B9+1))</f>
        <v/>
      </c>
      <c r="I9" s="53">
        <f>IFERROR(F9-H9,0)</f>
        <v/>
      </c>
      <c r="J9" s="54">
        <f>IFERROR(I9/F9,0)</f>
        <v/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410">
        <f>IFERROR(D9*$T$7,0)</f>
        <v/>
      </c>
    </row>
    <row r="10" ht="16.5" customHeight="1" s="278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/>
      </c>
      <c r="G10" s="39" t="n"/>
      <c r="H10" s="40">
        <f>SUMIFS('💸 Expenses'!$F$8:$F$500,'💸 Expenses'!$B$8:$B$500,"&gt;="&amp;B10,'💸 Expenses'!$B$8:$B$500,"&lt;"&amp;(B10+1))</f>
        <v/>
      </c>
      <c r="I10" s="41">
        <f>IFERROR(F10-H10,0)</f>
        <v/>
      </c>
      <c r="J10" s="42">
        <f>IFERROR(I10/F10,0)</f>
        <v/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10">
        <f>IFERROR(D10*$T$7,0)</f>
        <v/>
      </c>
    </row>
    <row r="11" ht="16.5" customHeight="1" s="278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/>
      </c>
      <c r="G11" s="51" t="n"/>
      <c r="H11" s="52">
        <f>SUMIFS('💸 Expenses'!$F$8:$F$500,'💸 Expenses'!$B$8:$B$500,"&gt;="&amp;B11,'💸 Expenses'!$B$8:$B$500,"&lt;"&amp;(B11+1))</f>
        <v/>
      </c>
      <c r="I11" s="53">
        <f>IFERROR(F11-H11,0)</f>
        <v/>
      </c>
      <c r="J11" s="54">
        <f>IFERROR(I11/F11,0)</f>
        <v/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410">
        <f>IFERROR(D11*$T$7,0)</f>
        <v/>
      </c>
    </row>
    <row r="12" ht="16.5" customHeight="1" s="278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/>
      </c>
      <c r="G12" s="39" t="n"/>
      <c r="H12" s="40">
        <f>SUMIFS('💸 Expenses'!$F$8:$F$500,'💸 Expenses'!$B$8:$B$500,"&gt;="&amp;B12,'💸 Expenses'!$B$8:$B$500,"&lt;"&amp;(B12+1))</f>
        <v/>
      </c>
      <c r="I12" s="41">
        <f>IFERROR(F12-H12,0)</f>
        <v/>
      </c>
      <c r="J12" s="42">
        <f>IFERROR(I12/F12,0)</f>
        <v/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10">
        <f>IFERROR(D12*$T$7,0)</f>
        <v/>
      </c>
    </row>
    <row r="13" ht="16.5" customHeight="1" s="278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/>
      </c>
      <c r="G13" s="51" t="n"/>
      <c r="H13" s="52">
        <f>SUMIFS('💸 Expenses'!$F$8:$F$500,'💸 Expenses'!$B$8:$B$500,"&gt;="&amp;B13,'💸 Expenses'!$B$8:$B$500,"&lt;"&amp;(B13+1))</f>
        <v/>
      </c>
      <c r="I13" s="53">
        <f>IFERROR(F13-H13,0)</f>
        <v/>
      </c>
      <c r="J13" s="54">
        <f>IFERROR(I13/F13,0)</f>
        <v/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410">
        <f>IFERROR(D13*$T$7,0)</f>
        <v/>
      </c>
    </row>
    <row r="14" ht="16.5" customHeight="1" s="278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/>
      </c>
      <c r="G14" s="39" t="n"/>
      <c r="H14" s="40">
        <f>SUMIFS('💸 Expenses'!$F$8:$F$500,'💸 Expenses'!$B$8:$B$500,"&gt;="&amp;B14,'💸 Expenses'!$B$8:$B$500,"&lt;"&amp;(B14+1))</f>
        <v/>
      </c>
      <c r="I14" s="41">
        <f>IFERROR(F14-H14,0)</f>
        <v/>
      </c>
      <c r="J14" s="42">
        <f>IFERROR(I14/F14,0)</f>
        <v/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10">
        <f>IFERROR(D14*$T$7,0)</f>
        <v/>
      </c>
    </row>
    <row r="15" ht="16.5" customHeight="1" s="278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/>
      </c>
      <c r="G15" s="51" t="n"/>
      <c r="H15" s="52">
        <f>SUMIFS('💸 Expenses'!$F$8:$F$500,'💸 Expenses'!$B$8:$B$500,"&gt;="&amp;B15,'💸 Expenses'!$B$8:$B$500,"&lt;"&amp;(B15+1))</f>
        <v/>
      </c>
      <c r="I15" s="53">
        <f>IFERROR(F15-H15,0)</f>
        <v/>
      </c>
      <c r="J15" s="54">
        <f>IFERROR(I15/F15,0)</f>
        <v/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410">
        <f>IFERROR(D15*$T$7,0)</f>
        <v/>
      </c>
    </row>
    <row r="16" ht="16.5" customHeight="1" s="278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/>
      </c>
      <c r="G16" s="39" t="n"/>
      <c r="H16" s="40">
        <f>SUMIFS('💸 Expenses'!$F$8:$F$500,'💸 Expenses'!$B$8:$B$500,"&gt;="&amp;B16,'💸 Expenses'!$B$8:$B$500,"&lt;"&amp;(B16+1))</f>
        <v/>
      </c>
      <c r="I16" s="41">
        <f>IFERROR(F16-H16,0)</f>
        <v/>
      </c>
      <c r="J16" s="42">
        <f>IFERROR(I16/F16,0)</f>
        <v/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10">
        <f>IFERROR(D16*$T$7,0)</f>
        <v/>
      </c>
    </row>
    <row r="17" ht="16.5" customHeight="1" s="278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/>
      </c>
      <c r="G17" s="51" t="n"/>
      <c r="H17" s="52">
        <f>SUMIFS('💸 Expenses'!$F$8:$F$500,'💸 Expenses'!$B$8:$B$500,"&gt;="&amp;B17,'💸 Expenses'!$B$8:$B$500,"&lt;"&amp;(B17+1))</f>
        <v/>
      </c>
      <c r="I17" s="53">
        <f>IFERROR(F17-H17,0)</f>
        <v/>
      </c>
      <c r="J17" s="54">
        <f>IFERROR(I17/F17,0)</f>
        <v/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410">
        <f>IFERROR(D17*$T$7,0)</f>
        <v/>
      </c>
    </row>
    <row r="18" ht="16.5" customHeight="1" s="278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/>
      </c>
      <c r="G18" s="39" t="n"/>
      <c r="H18" s="40">
        <f>SUMIFS('💸 Expenses'!$F$8:$F$500,'💸 Expenses'!$B$8:$B$500,"&gt;="&amp;B18,'💸 Expenses'!$B$8:$B$500,"&lt;"&amp;(B18+1))</f>
        <v/>
      </c>
      <c r="I18" s="41">
        <f>IFERROR(F18-H18,0)</f>
        <v/>
      </c>
      <c r="J18" s="42">
        <f>IFERROR(I18/F18,0)</f>
        <v/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10">
        <f>IFERROR(D18*$T$7,0)</f>
        <v/>
      </c>
    </row>
    <row r="19" ht="16.5" customHeight="1" s="278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/>
      </c>
      <c r="G19" s="51" t="n"/>
      <c r="H19" s="52">
        <f>SUMIFS('💸 Expenses'!$F$8:$F$500,'💸 Expenses'!$B$8:$B$500,"&gt;="&amp;B19,'💸 Expenses'!$B$8:$B$500,"&lt;"&amp;(B19+1))</f>
        <v/>
      </c>
      <c r="I19" s="53">
        <f>IFERROR(F19-H19,0)</f>
        <v/>
      </c>
      <c r="J19" s="54">
        <f>IFERROR(I19/F19,0)</f>
        <v/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410">
        <f>IFERROR(D19*$T$7,0)</f>
        <v/>
      </c>
    </row>
    <row r="20" ht="16.5" customHeight="1" s="278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/>
      </c>
      <c r="G20" s="39" t="n"/>
      <c r="H20" s="40">
        <f>SUMIFS('💸 Expenses'!$F$8:$F$500,'💸 Expenses'!$B$8:$B$500,"&gt;="&amp;B20,'💸 Expenses'!$B$8:$B$500,"&lt;"&amp;(B20+1))</f>
        <v/>
      </c>
      <c r="I20" s="41">
        <f>IFERROR(F20-H20,0)</f>
        <v/>
      </c>
      <c r="J20" s="42">
        <f>IFERROR(I20/F20,0)</f>
        <v/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10">
        <f>IFERROR(D20*$T$7,0)</f>
        <v/>
      </c>
    </row>
    <row r="21" ht="16.5" customHeight="1" s="278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/>
      </c>
      <c r="G21" s="51" t="n"/>
      <c r="H21" s="52">
        <f>SUMIFS('💸 Expenses'!$F$8:$F$500,'💸 Expenses'!$B$8:$B$500,"&gt;="&amp;B21,'💸 Expenses'!$B$8:$B$500,"&lt;"&amp;(B21+1))</f>
        <v/>
      </c>
      <c r="I21" s="53">
        <f>IFERROR(F21-H21,0)</f>
        <v/>
      </c>
      <c r="J21" s="54">
        <f>IFERROR(I21/F21,0)</f>
        <v/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410">
        <f>IFERROR(D21*$T$7,0)</f>
        <v/>
      </c>
    </row>
    <row r="22" ht="16.5" customHeight="1" s="278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/>
      </c>
      <c r="G22" s="39" t="n">
        <v>310</v>
      </c>
      <c r="H22" s="40">
        <f>SUMIFS('💸 Expenses'!$F$8:$F$500,'💸 Expenses'!$B$8:$B$500,"&gt;="&amp;B22,'💸 Expenses'!$B$8:$B$500,"&lt;"&amp;(B22+1))</f>
        <v/>
      </c>
      <c r="I22" s="41">
        <f>IFERROR(F22-H22,0)</f>
        <v/>
      </c>
      <c r="J22" s="42">
        <f>IFERROR(I22/F22,0)</f>
        <v/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10">
        <f>IFERROR(D22*$T$7,0)</f>
        <v/>
      </c>
    </row>
    <row r="23" ht="16.5" customHeight="1" s="278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/>
      </c>
      <c r="G23" s="51" t="n">
        <v>283</v>
      </c>
      <c r="H23" s="52">
        <f>SUMIFS('💸 Expenses'!$F$8:$F$500,'💸 Expenses'!$B$8:$B$500,"&gt;="&amp;B23,'💸 Expenses'!$B$8:$B$500,"&lt;"&amp;(B23+1))</f>
        <v/>
      </c>
      <c r="I23" s="53">
        <f>IFERROR(F23-H23,0)</f>
        <v/>
      </c>
      <c r="J23" s="54">
        <f>IFERROR(I23/F23,0)</f>
        <v/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410">
        <f>IFERROR(D23*$T$7,0)</f>
        <v/>
      </c>
    </row>
    <row r="24" ht="16.5" customHeight="1" s="278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/>
      </c>
      <c r="G24" s="39" t="n">
        <v>120</v>
      </c>
      <c r="H24" s="40">
        <f>SUMIFS('💸 Expenses'!$F$8:$F$500,'💸 Expenses'!$B$8:$B$500,"&gt;="&amp;B24,'💸 Expenses'!$B$8:$B$500,"&lt;"&amp;(B24+1))</f>
        <v/>
      </c>
      <c r="I24" s="41">
        <f>IFERROR(F24-H24,0)</f>
        <v/>
      </c>
      <c r="J24" s="42">
        <f>IFERROR(I24/F24,0)</f>
        <v/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10">
        <f>IFERROR(D24*$T$7,0)</f>
        <v/>
      </c>
    </row>
    <row r="25" ht="16.5" customHeight="1" s="278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/>
      </c>
      <c r="G25" s="51" t="n"/>
      <c r="H25" s="52">
        <f>SUMIFS('💸 Expenses'!$F$8:$F$500,'💸 Expenses'!$B$8:$B$500,"&gt;="&amp;B25,'💸 Expenses'!$B$8:$B$500,"&lt;"&amp;(B25+1))</f>
        <v/>
      </c>
      <c r="I25" s="53">
        <f>IFERROR(F25-H25,0)</f>
        <v/>
      </c>
      <c r="J25" s="54">
        <f>IFERROR(I25/F25,0)</f>
        <v/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410">
        <f>IFERROR(D25*$T$7,0)</f>
        <v/>
      </c>
    </row>
    <row r="26" ht="16.5" customHeight="1" s="278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/>
      </c>
      <c r="G26" s="39" t="n">
        <v>135</v>
      </c>
      <c r="H26" s="40">
        <f>SUMIFS('💸 Expenses'!$F$8:$F$500,'💸 Expenses'!$B$8:$B$500,"&gt;="&amp;B26,'💸 Expenses'!$B$8:$B$500,"&lt;"&amp;(B26+1))</f>
        <v/>
      </c>
      <c r="I26" s="41">
        <f>IFERROR(F26-H26,0)</f>
        <v/>
      </c>
      <c r="J26" s="42">
        <f>IFERROR(I26/F26,0)</f>
        <v/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10">
        <f>IFERROR(D26*$T$7,0)</f>
        <v/>
      </c>
    </row>
    <row r="27" ht="16.5" customHeight="1" s="278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/>
      </c>
      <c r="G27" s="51" t="n"/>
      <c r="H27" s="52">
        <f>SUMIFS('💸 Expenses'!$F$8:$F$500,'💸 Expenses'!$B$8:$B$500,"&gt;="&amp;B27,'💸 Expenses'!$B$8:$B$500,"&lt;"&amp;(B27+1))</f>
        <v/>
      </c>
      <c r="I27" s="53">
        <f>IFERROR(F27-H27,0)</f>
        <v/>
      </c>
      <c r="J27" s="54">
        <f>IFERROR(I27/F27,0)</f>
        <v/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410">
        <f>IFERROR(D27*$T$7,0)</f>
        <v/>
      </c>
    </row>
    <row r="28" ht="16.5" customHeight="1" s="278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/>
      </c>
      <c r="G28" s="39" t="n"/>
      <c r="H28" s="40">
        <f>SUMIFS('💸 Expenses'!$F$8:$F$500,'💸 Expenses'!$B$8:$B$500,"&gt;="&amp;B28,'💸 Expenses'!$B$8:$B$500,"&lt;"&amp;(B28+1))</f>
        <v/>
      </c>
      <c r="I28" s="41">
        <f>IFERROR(F28-H28,0)</f>
        <v/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10">
        <f>IFERROR(D28*$T$7,0)</f>
        <v/>
      </c>
    </row>
    <row r="29" ht="16.5" customHeight="1" s="278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/>
      </c>
      <c r="G29" s="51" t="n">
        <v>99</v>
      </c>
      <c r="H29" s="52">
        <f>SUMIFS('💸 Expenses'!$F$8:$F$500,'💸 Expenses'!$B$8:$B$500,"&gt;="&amp;B29,'💸 Expenses'!$B$8:$B$500,"&lt;"&amp;(B29+1))</f>
        <v/>
      </c>
      <c r="I29" s="53">
        <f>IFERROR(F29-H29,0)</f>
        <v/>
      </c>
      <c r="J29" s="54">
        <f>IFERROR(I29/F29,0)</f>
        <v/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410">
        <f>IFERROR(D29*$T$7,0)</f>
        <v/>
      </c>
    </row>
    <row r="30" ht="16.5" customHeight="1" s="278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/>
      </c>
      <c r="G30" s="39" t="n"/>
      <c r="H30" s="40">
        <f>SUMIFS('💸 Expenses'!$F$8:$F$500,'💸 Expenses'!$B$8:$B$500,"&gt;="&amp;B30,'💸 Expenses'!$B$8:$B$500,"&lt;"&amp;(B30+1))</f>
        <v/>
      </c>
      <c r="I30" s="41">
        <f>IFERROR(F30-H30,0)</f>
        <v/>
      </c>
      <c r="J30" s="42">
        <f>IFERROR(I30/F30,0)</f>
        <v/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10">
        <f>IFERROR(D30*$T$7,0)</f>
        <v/>
      </c>
    </row>
    <row r="31" ht="16.5" customHeight="1" s="278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/>
      </c>
      <c r="G31" s="51" t="n"/>
      <c r="H31" s="52">
        <f>SUMIFS('💸 Expenses'!$F$8:$F$500,'💸 Expenses'!$B$8:$B$500,"&gt;="&amp;B31,'💸 Expenses'!$B$8:$B$500,"&lt;"&amp;(B31+1))</f>
        <v/>
      </c>
      <c r="I31" s="53">
        <f>IFERROR(F31-H31,0)</f>
        <v/>
      </c>
      <c r="J31" s="54">
        <f>IFERROR(I31/F31,0)</f>
        <v/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410">
        <f>IFERROR(D31*$T$7,0)</f>
        <v/>
      </c>
    </row>
    <row r="32" ht="16.5" customHeight="1" s="278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/>
      </c>
      <c r="G32" s="39" t="n">
        <v>0</v>
      </c>
      <c r="H32" s="40">
        <f>SUMIFS('💸 Expenses'!$F$8:$F$500,'💸 Expenses'!$B$8:$B$500,"&gt;="&amp;B32,'💸 Expenses'!$B$8:$B$500,"&lt;"&amp;(B32+1))</f>
        <v/>
      </c>
      <c r="I32" s="41">
        <f>IFERROR(F32-H32,0)</f>
        <v/>
      </c>
      <c r="J32" s="42">
        <f>IFERROR(I32/F32,0)</f>
        <v/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10">
        <f>IFERROR(D32*$T$7,0)</f>
        <v/>
      </c>
    </row>
    <row r="33" ht="16.5" customHeight="1" s="278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/>
      </c>
      <c r="G33" s="51" t="n">
        <v>0</v>
      </c>
      <c r="H33" s="52">
        <f>SUMIFS('💸 Expenses'!$F$8:$F$500,'💸 Expenses'!$B$8:$B$500,"&gt;="&amp;B33,'💸 Expenses'!$B$8:$B$500,"&lt;"&amp;(B33+1))</f>
        <v/>
      </c>
      <c r="I33" s="53">
        <f>IFERROR(F33-H33,0)</f>
        <v/>
      </c>
      <c r="J33" s="54">
        <f>IFERROR(I33/F33,0)</f>
        <v/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410">
        <f>IFERROR(D33*$T$7,0)</f>
        <v/>
      </c>
    </row>
    <row r="34" ht="16.5" customHeight="1" s="278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/>
      </c>
      <c r="G34" s="39" t="n">
        <v>0</v>
      </c>
      <c r="H34" s="40">
        <f>SUMIFS('💸 Expenses'!$F$8:$F$500,'💸 Expenses'!$B$8:$B$500,"&gt;="&amp;B34,'💸 Expenses'!$B$8:$B$500,"&lt;"&amp;(B34+1))</f>
        <v/>
      </c>
      <c r="I34" s="41">
        <f>IFERROR(F34-H34,0)</f>
        <v/>
      </c>
      <c r="J34" s="42">
        <f>IFERROR(I34/F34,0)</f>
        <v/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10">
        <f>IFERROR(D34*$T$7,0)</f>
        <v/>
      </c>
    </row>
    <row r="35" ht="16.5" customHeight="1" s="278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/>
      </c>
      <c r="G35" s="51" t="n">
        <v>0</v>
      </c>
      <c r="H35" s="52">
        <f>SUMIFS('💸 Expenses'!$F$8:$F$500,'💸 Expenses'!$B$8:$B$500,"&gt;="&amp;B35,'💸 Expenses'!$B$8:$B$500,"&lt;"&amp;(B35+1))</f>
        <v/>
      </c>
      <c r="I35" s="53">
        <f>IFERROR(F35-H35,0)</f>
        <v/>
      </c>
      <c r="J35" s="54">
        <f>IFERROR(I35/F35,0)</f>
        <v/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410">
        <f>IFERROR(D35*$T$7,0)</f>
        <v/>
      </c>
    </row>
    <row r="36" ht="16.5" customHeight="1" s="278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/>
      </c>
      <c r="G36" s="39" t="n">
        <v>0</v>
      </c>
      <c r="H36" s="40">
        <f>SUMIFS('💸 Expenses'!$F$8:$F$500,'💸 Expenses'!$B$8:$B$500,"&gt;="&amp;B36,'💸 Expenses'!$B$8:$B$500,"&lt;"&amp;(B36+1))</f>
        <v/>
      </c>
      <c r="I36" s="41">
        <f>IFERROR(F36-H36,0)</f>
        <v/>
      </c>
      <c r="J36" s="42">
        <f>IFERROR(I36/F36,0)</f>
        <v/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10">
        <f>IFERROR(D36*$T$7,0)</f>
        <v/>
      </c>
    </row>
    <row r="37" ht="16.5" customHeight="1" s="278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/>
      </c>
      <c r="G37" s="51" t="n">
        <v>0</v>
      </c>
      <c r="H37" s="52">
        <f>SUMIFS('💸 Expenses'!$F$8:$F$500,'💸 Expenses'!$B$8:$B$500,"&gt;="&amp;B37,'💸 Expenses'!$B$8:$B$500,"&lt;"&amp;(B37+1))</f>
        <v/>
      </c>
      <c r="I37" s="53">
        <f>IFERROR(F37-H37,0)</f>
        <v/>
      </c>
      <c r="J37" s="54">
        <f>IFERROR(I37/F37,0)</f>
        <v/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410">
        <f>IFERROR(D37*$T$7,0)</f>
        <v/>
      </c>
    </row>
    <row r="38" ht="16.5" customHeight="1" s="278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/>
      </c>
      <c r="G38" s="39" t="n">
        <v>0</v>
      </c>
      <c r="H38" s="40">
        <f>SUMIFS('💸 Expenses'!$F$8:$F$500,'💸 Expenses'!$B$8:$B$500,"&gt;="&amp;B38,'💸 Expenses'!$B$8:$B$500,"&lt;"&amp;(B38+1))</f>
        <v/>
      </c>
      <c r="I38" s="41">
        <f>IFERROR(F38-H38,0)</f>
        <v/>
      </c>
      <c r="J38" s="42">
        <f>IFERROR(I38/F38,0)</f>
        <v/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10">
        <f>IFERROR(D38*$T$7,0)</f>
        <v/>
      </c>
    </row>
    <row r="39" ht="16.5" customHeight="1" s="278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/>
      </c>
      <c r="G39" s="51" t="n">
        <v>400</v>
      </c>
      <c r="H39" s="52">
        <f>SUMIFS('💸 Expenses'!$F$8:$F$500,'💸 Expenses'!$B$8:$B$500,"&gt;="&amp;B39,'💸 Expenses'!$B$8:$B$500,"&lt;"&amp;(B39+1))</f>
        <v/>
      </c>
      <c r="I39" s="53">
        <f>IFERROR(F39-H39,0)</f>
        <v/>
      </c>
      <c r="J39" s="54">
        <f>IFERROR(I39/F39,0)</f>
        <v/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410">
        <f>IFERROR(D39*$T$7,0)</f>
        <v/>
      </c>
    </row>
    <row r="40" ht="16.5" customHeight="1" s="278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/>
      </c>
      <c r="G40" s="39" t="n">
        <v>120</v>
      </c>
      <c r="H40" s="40">
        <f>SUMIFS('💸 Expenses'!$F$8:$F$500,'💸 Expenses'!$B$8:$B$500,"&gt;="&amp;B40,'💸 Expenses'!$B$8:$B$500,"&lt;"&amp;(B40+1))</f>
        <v/>
      </c>
      <c r="I40" s="41">
        <f>IFERROR(F40-H40,0)</f>
        <v/>
      </c>
      <c r="J40" s="42">
        <f>IFERROR(I40/F40,0)</f>
        <v/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10">
        <f>IFERROR(D40*$T$7,0)</f>
        <v/>
      </c>
    </row>
    <row r="41" ht="16.5" customHeight="1" s="278">
      <c r="B41" s="229" t="n">
        <v>46193</v>
      </c>
      <c r="C41" s="256" t="inlineStr">
        <is>
          <t>Sat</t>
        </is>
      </c>
      <c r="D41" s="257" t="n">
        <v>1172</v>
      </c>
      <c r="E41" s="49" t="n">
        <v>1079</v>
      </c>
      <c r="F41" s="50">
        <f>IFERROR(D41+E41+G41,0)</f>
        <v/>
      </c>
      <c r="G41" s="258" t="n">
        <v>0</v>
      </c>
      <c r="H41" s="259">
        <f>SUMIFS('💸 Expenses'!$F$8:$F$500,'💸 Expenses'!$B$8:$B$500,"&gt;="&amp;B41,'💸 Expenses'!$B$8:$B$500,"&lt;"&amp;(B41+1))</f>
        <v/>
      </c>
      <c r="I41" s="260">
        <f>IFERROR(F41-H41,0)</f>
        <v/>
      </c>
      <c r="J41" s="261">
        <f>IFERROR(I41/F41,0)</f>
        <v/>
      </c>
      <c r="K41" s="255" t="n"/>
      <c r="L41" s="262" t="inlineStr">
        <is>
          <t>Cierre via loka.py</t>
        </is>
      </c>
      <c r="M41" s="21" t="n"/>
      <c r="N41" s="56" t="n"/>
      <c r="O41" s="57" t="n"/>
      <c r="P41" s="58" t="n"/>
      <c r="Q41" s="56" t="n"/>
      <c r="R41" s="410">
        <f>IFERROR(D41*$T$7,0)</f>
        <v/>
      </c>
    </row>
    <row r="42" ht="16.5" customHeight="1" s="278">
      <c r="B42" s="385" t="n">
        <v>46194</v>
      </c>
      <c r="C42" s="386" t="inlineStr">
        <is>
          <t>Sun</t>
        </is>
      </c>
      <c r="D42" s="387" t="n">
        <v>0</v>
      </c>
      <c r="E42" s="37" t="n">
        <v>0</v>
      </c>
      <c r="F42" s="38">
        <f>IFERROR(D42+E42+G42,0)</f>
        <v/>
      </c>
      <c r="G42" s="388" t="n">
        <v>0</v>
      </c>
      <c r="H42" s="389">
        <f>SUMIFS('💸 Expenses'!$F$8:$F$500,'💸 Expenses'!$B$8:$B$500,"&gt;="&amp;B42,'💸 Expenses'!$B$8:$B$500,"&lt;"&amp;(B42+1))</f>
        <v/>
      </c>
      <c r="I42" s="390">
        <f>IFERROR(F42-H42,0)</f>
        <v/>
      </c>
      <c r="J42" s="391">
        <f>IFERROR(I42/F42,0)</f>
        <v/>
      </c>
      <c r="K42" s="251" t="n"/>
      <c r="L42" s="392" t="inlineStr">
        <is>
          <t>Cierre via loka.py</t>
        </is>
      </c>
      <c r="M42" s="12" t="n"/>
      <c r="N42" s="44" t="n"/>
      <c r="O42" s="45" t="n"/>
      <c r="P42" s="46" t="n"/>
      <c r="Q42" s="44" t="n"/>
      <c r="R42" s="410">
        <f>IFERROR(D42*$T$7,0)</f>
        <v/>
      </c>
    </row>
    <row r="43" ht="16.5" customHeight="1" s="278">
      <c r="B43" s="385" t="n">
        <v>46195</v>
      </c>
      <c r="C43" s="256" t="inlineStr">
        <is>
          <t>Mon</t>
        </is>
      </c>
      <c r="D43" s="257" t="n">
        <v>2459</v>
      </c>
      <c r="E43" s="49" t="n">
        <v>1800</v>
      </c>
      <c r="F43" s="50">
        <f>IFERROR(D43+E43+G43,0)</f>
        <v/>
      </c>
      <c r="G43" s="258" t="n">
        <v>0</v>
      </c>
      <c r="H43" s="259">
        <f>SUMIFS('💸 Expenses'!$F$8:$F$500,'💸 Expenses'!$B$8:$B$500,"&gt;="&amp;B43,'💸 Expenses'!$B$8:$B$500,"&lt;"&amp;(B43+1))</f>
        <v/>
      </c>
      <c r="I43" s="260">
        <f>IFERROR(F43-H43,0)</f>
        <v/>
      </c>
      <c r="J43" s="261">
        <f>IFERROR(I43/F43,0)</f>
        <v/>
      </c>
      <c r="K43" s="255" t="n"/>
      <c r="L43" s="262" t="inlineStr">
        <is>
          <t>Cierre via loka.py</t>
        </is>
      </c>
      <c r="M43" s="21" t="n"/>
      <c r="N43" s="56" t="n"/>
      <c r="O43" s="57" t="n"/>
      <c r="P43" s="58" t="n"/>
      <c r="Q43" s="56" t="n"/>
      <c r="R43" s="410">
        <f>IFERROR(D43*$T$7,0)</f>
        <v/>
      </c>
    </row>
    <row r="44" ht="16.5" customHeight="1" s="278">
      <c r="B44" s="385" t="n">
        <v>46196</v>
      </c>
      <c r="C44" s="386" t="inlineStr">
        <is>
          <t>Tue</t>
        </is>
      </c>
      <c r="D44" s="387" t="n">
        <v>1452</v>
      </c>
      <c r="E44" s="37" t="n">
        <v>1515</v>
      </c>
      <c r="F44" s="38">
        <f>IFERROR(D44+E44+G44,0)</f>
        <v/>
      </c>
      <c r="G44" s="388" t="n">
        <v>0</v>
      </c>
      <c r="H44" s="389">
        <f>SUMIFS('💸 Expenses'!$F$8:$F$500,'💸 Expenses'!$B$8:$B$500,"&gt;="&amp;B44,'💸 Expenses'!$B$8:$B$500,"&lt;"&amp;(B44+1))</f>
        <v/>
      </c>
      <c r="I44" s="390">
        <f>IFERROR(F44-H44,0)</f>
        <v/>
      </c>
      <c r="J44" s="391">
        <f>IFERROR(I44/F44,0)</f>
        <v/>
      </c>
      <c r="K44" s="251" t="n"/>
      <c r="L44" s="392" t="inlineStr">
        <is>
          <t>Cierre via loka.py</t>
        </is>
      </c>
      <c r="M44" s="12" t="n"/>
      <c r="N44" s="44" t="n"/>
      <c r="O44" s="45" t="n"/>
      <c r="P44" s="46" t="n"/>
      <c r="Q44" s="44" t="n"/>
      <c r="R44" s="410">
        <f>IFERROR(D44*$T$7,0)</f>
        <v/>
      </c>
    </row>
    <row r="45" ht="16.5" customHeight="1" s="278">
      <c r="B45" s="385" t="n">
        <v>46197</v>
      </c>
      <c r="C45" s="256" t="inlineStr">
        <is>
          <t>Wed</t>
        </is>
      </c>
      <c r="D45" s="257" t="n">
        <v>1064</v>
      </c>
      <c r="E45" s="49" t="n">
        <v>2525</v>
      </c>
      <c r="F45" s="50">
        <f>IFERROR(D45+E45+G45,0)</f>
        <v/>
      </c>
      <c r="G45" s="258" t="n">
        <v>0</v>
      </c>
      <c r="H45" s="259">
        <f>SUMIFS('💸 Expenses'!$F$8:$F$500,'💸 Expenses'!$B$8:$B$500,"&gt;="&amp;B45,'💸 Expenses'!$B$8:$B$500,"&lt;"&amp;(B45+1))</f>
        <v/>
      </c>
      <c r="I45" s="260">
        <f>IFERROR(F45-H45,0)</f>
        <v/>
      </c>
      <c r="J45" s="261">
        <f>IFERROR(I45/F45,0)</f>
        <v/>
      </c>
      <c r="K45" s="255" t="n"/>
      <c r="L45" s="262" t="inlineStr">
        <is>
          <t>Cierre via loka.py</t>
        </is>
      </c>
      <c r="M45" s="21" t="n"/>
      <c r="N45" s="56" t="n"/>
      <c r="O45" s="57" t="n"/>
      <c r="P45" s="58" t="n"/>
      <c r="Q45" s="56" t="n"/>
      <c r="R45" s="410">
        <f>IFERROR(D45*$T$7,0)</f>
        <v/>
      </c>
    </row>
    <row r="46" ht="16.5" customHeight="1" s="278">
      <c r="B46" s="385" t="n">
        <v>46198</v>
      </c>
      <c r="C46" s="386" t="inlineStr">
        <is>
          <t>Thu</t>
        </is>
      </c>
      <c r="D46" s="387" t="n">
        <v>1735</v>
      </c>
      <c r="E46" s="37" t="n">
        <v>1853</v>
      </c>
      <c r="F46" s="38">
        <f>IFERROR(D46+E46+G46,0)</f>
        <v/>
      </c>
      <c r="G46" s="388" t="n">
        <v>0</v>
      </c>
      <c r="H46" s="389">
        <f>SUMIFS('💸 Expenses'!$F$8:$F$500,'💸 Expenses'!$B$8:$B$500,"&gt;="&amp;B46,'💸 Expenses'!$B$8:$B$500,"&lt;"&amp;(B46+1))</f>
        <v/>
      </c>
      <c r="I46" s="390">
        <f>IFERROR(F46-H46,0)</f>
        <v/>
      </c>
      <c r="J46" s="391">
        <f>IFERROR(I46/F46,0)</f>
        <v/>
      </c>
      <c r="K46" s="251" t="n"/>
      <c r="L46" s="392" t="inlineStr">
        <is>
          <t>Cierre via loka.py</t>
        </is>
      </c>
      <c r="M46" s="12" t="n"/>
      <c r="N46" s="44" t="n"/>
      <c r="O46" s="45" t="n"/>
      <c r="P46" s="46" t="n"/>
      <c r="Q46" s="44" t="n"/>
      <c r="R46" s="410">
        <f>IFERROR(D46*$T$7,0)</f>
        <v/>
      </c>
    </row>
    <row r="47" ht="16.5" customHeight="1" s="278">
      <c r="B47" s="385" t="n">
        <v>46199</v>
      </c>
      <c r="C47" s="256" t="inlineStr">
        <is>
          <t>Fri</t>
        </is>
      </c>
      <c r="D47" s="257" t="n">
        <v>1719</v>
      </c>
      <c r="E47" s="49" t="n">
        <v>2593</v>
      </c>
      <c r="F47" s="50">
        <f>IFERROR(D47+E47+G47,0)</f>
        <v/>
      </c>
      <c r="G47" s="258" t="n">
        <v>165</v>
      </c>
      <c r="H47" s="259">
        <f>SUMIFS('💸 Expenses'!$F$8:$F$500,'💸 Expenses'!$B$8:$B$500,"&gt;="&amp;B47,'💸 Expenses'!$B$8:$B$500,"&lt;"&amp;(B47+1))</f>
        <v/>
      </c>
      <c r="I47" s="260">
        <f>IFERROR(F47-H47,0)</f>
        <v/>
      </c>
      <c r="J47" s="261">
        <f>IFERROR(I47/F47,0)</f>
        <v/>
      </c>
      <c r="K47" s="255" t="n"/>
      <c r="L47" s="262" t="inlineStr">
        <is>
          <t>Cierre via loka.py</t>
        </is>
      </c>
      <c r="M47" s="21" t="n"/>
      <c r="N47" s="56" t="n"/>
      <c r="O47" s="57" t="n"/>
      <c r="P47" s="58" t="n"/>
      <c r="Q47" s="56" t="n"/>
      <c r="R47" s="410">
        <f>IFERROR(D47*$T$7,0)</f>
        <v/>
      </c>
    </row>
    <row r="48" ht="16.5" customHeight="1" s="278">
      <c r="B48" s="385" t="n">
        <v>46200</v>
      </c>
      <c r="C48" s="386" t="inlineStr">
        <is>
          <t>Sat</t>
        </is>
      </c>
      <c r="D48" s="387" t="n">
        <v>175</v>
      </c>
      <c r="E48" s="37" t="n">
        <v>1854</v>
      </c>
      <c r="F48" s="38">
        <f>IFERROR(D48+E48+G48,0)</f>
        <v/>
      </c>
      <c r="G48" s="388" t="n">
        <v>0</v>
      </c>
      <c r="H48" s="389">
        <f>SUMIFS('💸 Expenses'!$F$8:$F$500,'💸 Expenses'!$B$8:$B$500,"&gt;="&amp;B48,'💸 Expenses'!$B$8:$B$500,"&lt;"&amp;(B48+1))</f>
        <v/>
      </c>
      <c r="I48" s="390">
        <f>IFERROR(F48-H48,0)</f>
        <v/>
      </c>
      <c r="J48" s="391">
        <f>IFERROR(I48/F48,0)</f>
        <v/>
      </c>
      <c r="K48" s="251" t="n"/>
      <c r="L48" s="392" t="inlineStr">
        <is>
          <t>Cierre via loka.py</t>
        </is>
      </c>
      <c r="M48" s="12" t="n"/>
      <c r="N48" s="44" t="n"/>
      <c r="O48" s="45" t="n"/>
      <c r="P48" s="46" t="n"/>
      <c r="Q48" s="44" t="n"/>
      <c r="R48" s="410">
        <f>IFERROR(D48*$T$7,0)</f>
        <v/>
      </c>
    </row>
    <row r="49" ht="16.5" customHeight="1" s="278">
      <c r="B49" s="385" t="n">
        <v>46201</v>
      </c>
      <c r="C49" s="256" t="inlineStr">
        <is>
          <t>Sun</t>
        </is>
      </c>
      <c r="D49" s="257" t="n">
        <v>0</v>
      </c>
      <c r="E49" s="49" t="n">
        <v>0</v>
      </c>
      <c r="F49" s="50">
        <f>IFERROR(D49+E49+G49,0)</f>
        <v/>
      </c>
      <c r="G49" s="258" t="n">
        <v>0</v>
      </c>
      <c r="H49" s="259">
        <f>SUMIFS('💸 Expenses'!$F$8:$F$500,'💸 Expenses'!$B$8:$B$500,"&gt;="&amp;B49,'💸 Expenses'!$B$8:$B$500,"&lt;"&amp;(B49+1))</f>
        <v/>
      </c>
      <c r="I49" s="260">
        <f>IFERROR(F49-H49,0)</f>
        <v/>
      </c>
      <c r="J49" s="261">
        <f>IFERROR(I49/F49,0)</f>
        <v/>
      </c>
      <c r="K49" s="255" t="n"/>
      <c r="L49" s="262" t="inlineStr">
        <is>
          <t>Cierre via loka.py</t>
        </is>
      </c>
      <c r="M49" s="21" t="n"/>
      <c r="N49" s="56" t="n"/>
      <c r="O49" s="57" t="n"/>
      <c r="P49" s="58" t="n"/>
      <c r="Q49" s="56" t="n"/>
      <c r="R49" s="410">
        <f>IFERROR(D49*$T$7,0)</f>
        <v/>
      </c>
    </row>
    <row r="50" ht="16.5" customHeight="1" s="278">
      <c r="B50" s="385" t="n">
        <v>46202</v>
      </c>
      <c r="C50" s="386" t="inlineStr">
        <is>
          <t>Mon</t>
        </is>
      </c>
      <c r="D50" s="387" t="n">
        <v>1814</v>
      </c>
      <c r="E50" s="37" t="n">
        <v>1575</v>
      </c>
      <c r="F50" s="38">
        <f>IFERROR(D50+E50+G50,0)</f>
        <v/>
      </c>
      <c r="G50" s="388" t="n">
        <v>0</v>
      </c>
      <c r="H50" s="389">
        <f>SUMIFS('💸 Expenses'!$F$8:$F$500,'💸 Expenses'!$B$8:$B$500,"&gt;="&amp;B50,'💸 Expenses'!$B$8:$B$500,"&lt;"&amp;(B50+1))</f>
        <v/>
      </c>
      <c r="I50" s="390">
        <f>IFERROR(F50-H50,0)</f>
        <v/>
      </c>
      <c r="J50" s="391">
        <f>IFERROR(I50/F50,0)</f>
        <v/>
      </c>
      <c r="K50" s="251" t="n"/>
      <c r="L50" s="392" t="inlineStr">
        <is>
          <t>Cierre via loka.py</t>
        </is>
      </c>
      <c r="M50" s="12" t="n"/>
      <c r="N50" s="44" t="n"/>
      <c r="O50" s="45" t="n"/>
      <c r="P50" s="46" t="n"/>
      <c r="Q50" s="44" t="n"/>
      <c r="R50" s="410">
        <f>IFERROR(D50*$T$7,0)</f>
        <v/>
      </c>
    </row>
    <row r="51" ht="16.5" customHeight="1" s="278">
      <c r="B51" s="385" t="n">
        <v>46203</v>
      </c>
      <c r="C51" s="256" t="inlineStr">
        <is>
          <t>Tue</t>
        </is>
      </c>
      <c r="D51" s="257" t="n">
        <v>2408</v>
      </c>
      <c r="E51" s="49" t="n">
        <v>1670</v>
      </c>
      <c r="F51" s="50">
        <f>IFERROR(D51+E51+G51,0)</f>
        <v/>
      </c>
      <c r="G51" s="258" t="n">
        <v>55</v>
      </c>
      <c r="H51" s="259">
        <f>SUMIFS('💸 Expenses'!$F$8:$F$500,'💸 Expenses'!$B$8:$B$500,"&gt;="&amp;B51,'💸 Expenses'!$B$8:$B$500,"&lt;"&amp;(B51+1))</f>
        <v/>
      </c>
      <c r="I51" s="260">
        <f>IFERROR(F51-H51,0)</f>
        <v/>
      </c>
      <c r="J51" s="261">
        <f>IFERROR(I51/F51,0)</f>
        <v/>
      </c>
      <c r="K51" s="255" t="n"/>
      <c r="L51" s="262" t="inlineStr">
        <is>
          <t>Cierre via loka.py</t>
        </is>
      </c>
      <c r="M51" s="21" t="n"/>
      <c r="N51" s="56" t="n"/>
      <c r="O51" s="57" t="n"/>
      <c r="P51" s="58" t="n"/>
      <c r="Q51" s="56" t="n"/>
      <c r="R51" s="410">
        <f>IFERROR(D51*$T$7,0)</f>
        <v/>
      </c>
    </row>
    <row r="52" ht="16.5" customHeight="1" s="278">
      <c r="B52" s="385" t="n">
        <v>46204</v>
      </c>
      <c r="C52" s="386" t="inlineStr">
        <is>
          <t>Wed</t>
        </is>
      </c>
      <c r="D52" s="387" t="n">
        <v>2498</v>
      </c>
      <c r="E52" s="37" t="n">
        <v>2024</v>
      </c>
      <c r="F52" s="38">
        <f>IFERROR(D52+E52+G52,0)</f>
        <v/>
      </c>
      <c r="G52" s="388" t="n">
        <v>0</v>
      </c>
      <c r="H52" s="389">
        <f>SUMIFS('💸 Expenses'!$F$8:$F$500,'💸 Expenses'!$B$8:$B$500,"&gt;="&amp;B52,'💸 Expenses'!$B$8:$B$500,"&lt;"&amp;(B52+1))</f>
        <v/>
      </c>
      <c r="I52" s="390">
        <f>IFERROR(F52-H52,0)</f>
        <v/>
      </c>
      <c r="J52" s="391">
        <f>IFERROR(I52/F52,0)</f>
        <v/>
      </c>
      <c r="K52" s="251" t="n"/>
      <c r="L52" s="392" t="inlineStr">
        <is>
          <t>Cierre via loka.py</t>
        </is>
      </c>
      <c r="M52" s="12" t="n"/>
      <c r="N52" s="44" t="n"/>
      <c r="O52" s="45" t="n"/>
      <c r="P52" s="46" t="n"/>
      <c r="Q52" s="44" t="n"/>
      <c r="R52" s="410">
        <f>IFERROR(D52*$T$7,0)</f>
        <v/>
      </c>
    </row>
    <row r="53" ht="16.5" customHeight="1" s="278">
      <c r="B53" s="385" t="n">
        <v>46205</v>
      </c>
      <c r="C53" s="256" t="inlineStr">
        <is>
          <t>Thu</t>
        </is>
      </c>
      <c r="D53" s="257" t="n">
        <v>1859</v>
      </c>
      <c r="E53" s="49" t="n">
        <v>1249</v>
      </c>
      <c r="F53" s="50">
        <f>IFERROR(D53+E53+G53,0)</f>
        <v/>
      </c>
      <c r="G53" s="258" t="n">
        <v>0</v>
      </c>
      <c r="H53" s="259">
        <f>SUMIFS('💸 Expenses'!$F$8:$F$500,'💸 Expenses'!$B$8:$B$500,"&gt;="&amp;B53,'💸 Expenses'!$B$8:$B$500,"&lt;"&amp;(B53+1))</f>
        <v/>
      </c>
      <c r="I53" s="260">
        <f>IFERROR(F53-H53,0)</f>
        <v/>
      </c>
      <c r="J53" s="261">
        <f>IFERROR(I53/F53,0)</f>
        <v/>
      </c>
      <c r="K53" s="255" t="inlineStr">
        <is>
          <t>incl +$120 additional card income (added 02-Jul)</t>
        </is>
      </c>
      <c r="L53" s="262" t="inlineStr">
        <is>
          <t>Cierre via loka.py</t>
        </is>
      </c>
      <c r="M53" s="21" t="n"/>
      <c r="N53" s="56" t="n"/>
      <c r="O53" s="57" t="n"/>
      <c r="P53" s="58" t="n"/>
      <c r="Q53" s="56" t="n"/>
      <c r="R53" s="410">
        <f>IFERROR(D53*$T$7,0)</f>
        <v/>
      </c>
    </row>
    <row r="54" ht="16.5" customHeight="1" s="278">
      <c r="B54" s="385" t="n">
        <v>46206</v>
      </c>
      <c r="C54" s="386" t="inlineStr">
        <is>
          <t>Fri</t>
        </is>
      </c>
      <c r="D54" s="387" t="n">
        <v>3702</v>
      </c>
      <c r="E54" s="37" t="n">
        <v>2375</v>
      </c>
      <c r="F54" s="38">
        <f>IFERROR(D54+E54+G54,0)</f>
        <v/>
      </c>
      <c r="G54" s="388" t="n">
        <v>0</v>
      </c>
      <c r="H54" s="389">
        <f>SUMIFS('💸 Expenses'!$F$8:$F$500,'💸 Expenses'!$B$8:$B$500,"&gt;="&amp;B54,'💸 Expenses'!$B$8:$B$500,"&lt;"&amp;(B54+1))</f>
        <v/>
      </c>
      <c r="I54" s="390">
        <f>IFERROR(F54-H54,0)</f>
        <v/>
      </c>
      <c r="J54" s="391">
        <f>IFERROR(I54/F54,0)</f>
        <v/>
      </c>
      <c r="K54" s="251" t="inlineStr">
        <is>
          <t>incl +$110 additional cash income (added 04-Jul)</t>
        </is>
      </c>
      <c r="L54" s="392" t="inlineStr">
        <is>
          <t>Cierre via loka.py</t>
        </is>
      </c>
      <c r="M54" s="12" t="n"/>
      <c r="N54" s="44" t="n"/>
      <c r="O54" s="45" t="n"/>
      <c r="P54" s="46" t="n"/>
      <c r="Q54" s="44" t="n"/>
      <c r="R54" s="410">
        <f>IFERROR(D54*$T$7,0)</f>
        <v/>
      </c>
    </row>
    <row r="55" ht="16.5" customHeight="1" s="278">
      <c r="B55" s="34" t="n"/>
      <c r="C55" s="47" t="n"/>
      <c r="D55" s="48" t="n"/>
      <c r="E55" s="49" t="n"/>
      <c r="F55" s="50" t="n"/>
      <c r="G55" s="51" t="n"/>
      <c r="H55" s="52" t="n"/>
      <c r="I55" s="53" t="n"/>
      <c r="J55" s="54" t="n"/>
      <c r="K55" s="55" t="n"/>
      <c r="L55" s="18" t="n"/>
      <c r="M55" s="21" t="n"/>
      <c r="N55" s="56" t="n"/>
      <c r="O55" s="57" t="n"/>
      <c r="P55" s="58" t="n"/>
      <c r="Q55" s="56" t="n"/>
    </row>
    <row r="56" ht="16.5" customHeight="1" s="278">
      <c r="B56" s="34" t="n"/>
      <c r="C56" s="35" t="n"/>
      <c r="D56" s="36" t="n"/>
      <c r="E56" s="37" t="n"/>
      <c r="F56" s="38" t="n"/>
      <c r="G56" s="39" t="n"/>
      <c r="H56" s="40" t="n"/>
      <c r="I56" s="41" t="n"/>
      <c r="J56" s="42" t="n"/>
      <c r="K56" s="43" t="n"/>
      <c r="L56" s="9" t="n"/>
      <c r="M56" s="12" t="n"/>
      <c r="N56" s="44" t="n"/>
      <c r="O56" s="45" t="n"/>
      <c r="P56" s="46" t="n"/>
      <c r="Q56" s="44" t="n"/>
    </row>
    <row r="57" ht="16.5" customHeight="1" s="278">
      <c r="B57" s="34" t="n"/>
      <c r="C57" s="47" t="n"/>
      <c r="D57" s="48" t="n"/>
      <c r="E57" s="49" t="n"/>
      <c r="F57" s="50" t="n"/>
      <c r="G57" s="51" t="n"/>
      <c r="H57" s="52" t="n"/>
      <c r="I57" s="53" t="n"/>
      <c r="J57" s="54" t="n"/>
      <c r="K57" s="55" t="n"/>
      <c r="L57" s="18" t="n"/>
      <c r="M57" s="21" t="n"/>
      <c r="N57" s="56" t="n"/>
      <c r="O57" s="57" t="n"/>
      <c r="P57" s="58" t="n"/>
      <c r="Q57" s="56" t="n"/>
    </row>
    <row r="58" ht="16.5" customHeight="1" s="278">
      <c r="B58" s="34" t="n"/>
      <c r="C58" s="35" t="n"/>
      <c r="D58" s="36" t="n"/>
      <c r="E58" s="37" t="n"/>
      <c r="F58" s="38" t="n"/>
      <c r="G58" s="39" t="n"/>
      <c r="H58" s="40" t="n"/>
      <c r="I58" s="41" t="n"/>
      <c r="J58" s="42" t="n"/>
      <c r="K58" s="43" t="n"/>
      <c r="L58" s="9" t="n"/>
      <c r="M58" s="12" t="n"/>
      <c r="N58" s="44" t="n"/>
      <c r="O58" s="45" t="n"/>
      <c r="P58" s="46" t="n"/>
      <c r="Q58" s="44" t="n"/>
    </row>
    <row r="59" ht="16.5" customHeight="1" s="278">
      <c r="B59" s="34" t="n"/>
      <c r="C59" s="47" t="n"/>
      <c r="D59" s="48" t="n"/>
      <c r="E59" s="49" t="n"/>
      <c r="F59" s="50" t="n"/>
      <c r="G59" s="51" t="n"/>
      <c r="H59" s="52" t="n"/>
      <c r="I59" s="53" t="n"/>
      <c r="J59" s="54" t="n"/>
      <c r="K59" s="55" t="n"/>
      <c r="L59" s="18" t="n"/>
      <c r="M59" s="21" t="n"/>
      <c r="N59" s="56" t="n"/>
      <c r="O59" s="57" t="n"/>
      <c r="P59" s="58" t="n"/>
      <c r="Q59" s="56" t="n"/>
    </row>
    <row r="60" ht="16.5" customHeight="1" s="278">
      <c r="B60" s="34" t="n"/>
      <c r="C60" s="35" t="n"/>
      <c r="D60" s="36" t="n"/>
      <c r="E60" s="37" t="n"/>
      <c r="F60" s="38" t="n"/>
      <c r="G60" s="39" t="n"/>
      <c r="H60" s="40" t="n"/>
      <c r="I60" s="41" t="n"/>
      <c r="J60" s="42" t="n"/>
      <c r="K60" s="43" t="n"/>
      <c r="L60" s="9" t="n"/>
      <c r="M60" s="12" t="n"/>
      <c r="N60" s="44" t="n"/>
      <c r="O60" s="45" t="n"/>
      <c r="P60" s="46" t="n"/>
      <c r="Q60" s="44" t="n"/>
    </row>
    <row r="61" ht="16.5" customHeight="1" s="278">
      <c r="B61" s="34" t="n"/>
      <c r="C61" s="47" t="n"/>
      <c r="D61" s="48" t="n"/>
      <c r="E61" s="49" t="n"/>
      <c r="F61" s="50" t="n"/>
      <c r="G61" s="51" t="n"/>
      <c r="H61" s="52" t="n"/>
      <c r="I61" s="53" t="n"/>
      <c r="J61" s="54" t="n"/>
      <c r="K61" s="55" t="n"/>
      <c r="L61" s="18" t="n"/>
      <c r="M61" s="21" t="n"/>
      <c r="N61" s="56" t="n"/>
      <c r="O61" s="57" t="n"/>
      <c r="P61" s="58" t="n"/>
      <c r="Q61" s="56" t="n"/>
    </row>
    <row r="62" ht="16.5" customHeight="1" s="278">
      <c r="B62" s="34" t="n"/>
      <c r="C62" s="35" t="n"/>
      <c r="D62" s="36" t="n"/>
      <c r="E62" s="37" t="n"/>
      <c r="F62" s="38" t="n"/>
      <c r="G62" s="39" t="n"/>
      <c r="H62" s="40" t="n"/>
      <c r="I62" s="41" t="n"/>
      <c r="J62" s="42" t="n"/>
      <c r="K62" s="43" t="n"/>
      <c r="L62" s="9" t="n"/>
      <c r="M62" s="12" t="n"/>
      <c r="N62" s="44" t="n"/>
      <c r="O62" s="45" t="n"/>
      <c r="P62" s="46" t="n"/>
      <c r="Q62" s="44" t="n"/>
    </row>
    <row r="63" ht="16.5" customHeight="1" s="278">
      <c r="B63" s="34" t="n"/>
      <c r="C63" s="47" t="n"/>
      <c r="D63" s="48" t="n"/>
      <c r="E63" s="49" t="n"/>
      <c r="F63" s="50" t="n"/>
      <c r="G63" s="51" t="n"/>
      <c r="H63" s="52" t="n"/>
      <c r="I63" s="53" t="n"/>
      <c r="J63" s="54" t="n"/>
      <c r="K63" s="55" t="n"/>
      <c r="L63" s="18" t="n"/>
      <c r="M63" s="21" t="n"/>
      <c r="N63" s="56" t="n"/>
      <c r="O63" s="57" t="n"/>
      <c r="P63" s="58" t="n"/>
      <c r="Q63" s="56" t="n"/>
    </row>
    <row r="64" ht="16.5" customHeight="1" s="278">
      <c r="B64" s="34" t="n"/>
      <c r="C64" s="35" t="n"/>
      <c r="D64" s="36" t="n"/>
      <c r="E64" s="37" t="n"/>
      <c r="F64" s="38" t="n"/>
      <c r="G64" s="39" t="n"/>
      <c r="H64" s="40" t="n"/>
      <c r="I64" s="41" t="n"/>
      <c r="J64" s="42" t="n"/>
      <c r="K64" s="43" t="n"/>
      <c r="L64" s="9" t="n"/>
      <c r="M64" s="12" t="n"/>
      <c r="N64" s="44" t="n"/>
      <c r="O64" s="45" t="n"/>
      <c r="P64" s="46" t="n"/>
      <c r="Q64" s="44" t="n"/>
    </row>
    <row r="65" ht="16.5" customHeight="1" s="278">
      <c r="B65" s="34" t="n"/>
      <c r="C65" s="47" t="n"/>
      <c r="D65" s="48" t="n"/>
      <c r="E65" s="49" t="n"/>
      <c r="F65" s="50" t="n"/>
      <c r="G65" s="51" t="n"/>
      <c r="H65" s="52" t="n"/>
      <c r="I65" s="53" t="n"/>
      <c r="J65" s="54" t="n"/>
      <c r="K65" s="55" t="n"/>
      <c r="L65" s="18" t="n"/>
      <c r="M65" s="21" t="n"/>
      <c r="N65" s="56" t="n"/>
      <c r="O65" s="57" t="n"/>
      <c r="P65" s="58" t="n"/>
      <c r="Q65" s="56" t="n"/>
    </row>
    <row r="66" ht="16.5" customHeight="1" s="278">
      <c r="B66" s="34" t="n"/>
      <c r="C66" s="35" t="n"/>
      <c r="D66" s="36" t="n"/>
      <c r="E66" s="37" t="n"/>
      <c r="F66" s="38" t="n"/>
      <c r="G66" s="39" t="n"/>
      <c r="H66" s="40" t="n"/>
      <c r="I66" s="41" t="n"/>
      <c r="J66" s="42" t="n"/>
      <c r="K66" s="43" t="n"/>
      <c r="L66" s="9" t="n"/>
      <c r="M66" s="12" t="n"/>
      <c r="N66" s="44" t="n"/>
      <c r="O66" s="45" t="n"/>
      <c r="P66" s="46" t="n"/>
      <c r="Q66" s="44" t="n"/>
    </row>
    <row r="67" ht="16.5" customHeight="1" s="278">
      <c r="B67" s="34" t="n"/>
      <c r="C67" s="47" t="n"/>
      <c r="D67" s="48" t="n"/>
      <c r="E67" s="49" t="n"/>
      <c r="F67" s="50" t="n"/>
      <c r="G67" s="51" t="n"/>
      <c r="H67" s="52" t="n"/>
      <c r="I67" s="53" t="n"/>
      <c r="J67" s="54" t="n"/>
      <c r="K67" s="55" t="n"/>
      <c r="L67" s="18" t="n"/>
      <c r="M67" s="21" t="n"/>
      <c r="N67" s="56" t="n"/>
      <c r="O67" s="57" t="n"/>
      <c r="P67" s="58" t="n"/>
      <c r="Q67" s="56" t="n"/>
    </row>
    <row r="68" ht="16.5" customHeight="1" s="278">
      <c r="B68" s="34" t="n"/>
      <c r="C68" s="35" t="n"/>
      <c r="D68" s="36" t="n"/>
      <c r="E68" s="37" t="n"/>
      <c r="F68" s="38" t="n"/>
      <c r="G68" s="39" t="n"/>
      <c r="H68" s="40" t="n"/>
      <c r="I68" s="41" t="n"/>
      <c r="J68" s="42" t="n"/>
      <c r="K68" s="43" t="n"/>
      <c r="L68" s="9" t="n"/>
      <c r="M68" s="12" t="n"/>
      <c r="N68" s="44" t="n"/>
      <c r="O68" s="45" t="n"/>
      <c r="P68" s="46" t="n"/>
      <c r="Q68" s="44" t="n"/>
    </row>
    <row r="69" ht="16.5" customHeight="1" s="278">
      <c r="B69" s="34" t="n"/>
      <c r="C69" s="47" t="n"/>
      <c r="D69" s="48" t="n"/>
      <c r="E69" s="49" t="n"/>
      <c r="F69" s="50" t="n"/>
      <c r="G69" s="51" t="n"/>
      <c r="H69" s="52" t="n"/>
      <c r="I69" s="53" t="n"/>
      <c r="J69" s="54" t="n"/>
      <c r="K69" s="55" t="n"/>
      <c r="L69" s="18" t="n"/>
      <c r="M69" s="21" t="n"/>
      <c r="N69" s="56" t="n"/>
      <c r="O69" s="57" t="n"/>
      <c r="P69" s="58" t="n"/>
      <c r="Q69" s="56" t="n"/>
    </row>
    <row r="70" ht="16.5" customHeight="1" s="278">
      <c r="B70" s="34" t="n"/>
      <c r="C70" s="35" t="n"/>
      <c r="D70" s="36" t="n"/>
      <c r="E70" s="37" t="n"/>
      <c r="F70" s="38" t="n"/>
      <c r="G70" s="39" t="n"/>
      <c r="H70" s="40" t="n"/>
      <c r="I70" s="41" t="n"/>
      <c r="J70" s="42" t="n"/>
      <c r="K70" s="43" t="n"/>
      <c r="L70" s="9" t="n"/>
      <c r="M70" s="12" t="n"/>
      <c r="N70" s="44" t="n"/>
      <c r="O70" s="45" t="n"/>
      <c r="P70" s="46" t="n"/>
      <c r="Q70" s="44" t="n"/>
    </row>
    <row r="71" ht="16.5" customHeight="1" s="278">
      <c r="B71" s="34" t="n"/>
      <c r="C71" s="47" t="n"/>
      <c r="D71" s="48" t="n"/>
      <c r="E71" s="49" t="n"/>
      <c r="F71" s="50" t="n"/>
      <c r="G71" s="51" t="n"/>
      <c r="H71" s="52" t="n"/>
      <c r="I71" s="53" t="n"/>
      <c r="J71" s="54" t="n"/>
      <c r="K71" s="55" t="n"/>
      <c r="L71" s="18" t="n"/>
      <c r="M71" s="21" t="n"/>
      <c r="N71" s="56" t="n"/>
      <c r="O71" s="57" t="n"/>
      <c r="P71" s="58" t="n"/>
      <c r="Q71" s="56" t="n"/>
    </row>
    <row r="72" ht="16.5" customHeight="1" s="278">
      <c r="B72" s="34" t="n"/>
      <c r="C72" s="35" t="n"/>
      <c r="D72" s="36" t="n"/>
      <c r="E72" s="37" t="n"/>
      <c r="F72" s="38" t="n"/>
      <c r="G72" s="39" t="n"/>
      <c r="H72" s="40" t="n"/>
      <c r="I72" s="41" t="n"/>
      <c r="J72" s="42" t="n"/>
      <c r="K72" s="43" t="n"/>
      <c r="L72" s="9" t="n"/>
      <c r="M72" s="12" t="n"/>
      <c r="N72" s="44" t="n"/>
      <c r="O72" s="45" t="n"/>
      <c r="P72" s="46" t="n"/>
      <c r="Q72" s="44" t="n"/>
    </row>
    <row r="73" ht="16.5" customHeight="1" s="278">
      <c r="B73" s="34" t="n"/>
      <c r="C73" s="47" t="n"/>
      <c r="D73" s="48" t="n"/>
      <c r="E73" s="49" t="n"/>
      <c r="F73" s="50" t="n"/>
      <c r="G73" s="51" t="n"/>
      <c r="H73" s="52" t="n"/>
      <c r="I73" s="53" t="n"/>
      <c r="J73" s="54" t="n"/>
      <c r="K73" s="55" t="n"/>
      <c r="L73" s="18" t="n"/>
      <c r="M73" s="21" t="n"/>
      <c r="N73" s="56" t="n"/>
      <c r="O73" s="57" t="n"/>
      <c r="P73" s="58" t="n"/>
      <c r="Q73" s="56" t="n"/>
    </row>
    <row r="74" ht="16.5" customHeight="1" s="278">
      <c r="B74" s="34" t="n"/>
      <c r="C74" s="35" t="n"/>
      <c r="D74" s="36" t="n"/>
      <c r="E74" s="37" t="n"/>
      <c r="F74" s="38" t="n"/>
      <c r="G74" s="39" t="n"/>
      <c r="H74" s="40" t="n"/>
      <c r="I74" s="41" t="n"/>
      <c r="J74" s="42" t="n"/>
      <c r="K74" s="43" t="n"/>
      <c r="L74" s="9" t="n"/>
      <c r="M74" s="12" t="n"/>
      <c r="N74" s="44" t="n"/>
      <c r="O74" s="45" t="n"/>
      <c r="P74" s="46" t="n"/>
      <c r="Q74" s="44" t="n"/>
    </row>
    <row r="75" ht="16.5" customHeight="1" s="278">
      <c r="B75" s="34" t="n"/>
      <c r="C75" s="47" t="n"/>
      <c r="D75" s="48" t="n"/>
      <c r="E75" s="49" t="n"/>
      <c r="F75" s="50" t="n"/>
      <c r="G75" s="51" t="n"/>
      <c r="H75" s="52" t="n"/>
      <c r="I75" s="53" t="n"/>
      <c r="J75" s="54" t="n"/>
      <c r="K75" s="55" t="n"/>
      <c r="L75" s="18" t="n"/>
      <c r="M75" s="21" t="n"/>
      <c r="N75" s="56" t="n"/>
      <c r="O75" s="57" t="n"/>
      <c r="P75" s="58" t="n"/>
      <c r="Q75" s="56" t="n"/>
    </row>
    <row r="76" ht="16.5" customHeight="1" s="278">
      <c r="B76" s="34" t="n"/>
      <c r="C76" s="35" t="n"/>
      <c r="D76" s="36" t="n"/>
      <c r="E76" s="37" t="n"/>
      <c r="F76" s="38" t="n"/>
      <c r="G76" s="39" t="n"/>
      <c r="H76" s="40" t="n"/>
      <c r="I76" s="41" t="n"/>
      <c r="J76" s="42" t="n"/>
      <c r="K76" s="43" t="n"/>
      <c r="L76" s="9" t="n"/>
      <c r="M76" s="12" t="n"/>
      <c r="N76" s="44" t="n"/>
      <c r="O76" s="45" t="n"/>
      <c r="P76" s="46" t="n"/>
      <c r="Q76" s="44" t="n"/>
    </row>
    <row r="77" ht="16.5" customHeight="1" s="278">
      <c r="B77" s="34" t="n"/>
      <c r="C77" s="47" t="n"/>
      <c r="D77" s="48" t="n"/>
      <c r="E77" s="49" t="n"/>
      <c r="F77" s="50" t="n"/>
      <c r="G77" s="51" t="n"/>
      <c r="H77" s="52" t="n"/>
      <c r="I77" s="53" t="n"/>
      <c r="J77" s="54" t="n"/>
      <c r="K77" s="55" t="n"/>
      <c r="L77" s="18" t="n"/>
      <c r="M77" s="21" t="n"/>
      <c r="N77" s="56" t="n"/>
      <c r="O77" s="57" t="n"/>
      <c r="P77" s="58" t="n"/>
      <c r="Q77" s="56" t="n"/>
    </row>
    <row r="78" ht="16.5" customHeight="1" s="278">
      <c r="B78" s="34" t="n"/>
      <c r="C78" s="35" t="n"/>
      <c r="D78" s="36" t="n"/>
      <c r="E78" s="37" t="n"/>
      <c r="F78" s="38" t="n"/>
      <c r="G78" s="39" t="n"/>
      <c r="H78" s="40" t="n"/>
      <c r="I78" s="41" t="n"/>
      <c r="J78" s="42" t="n"/>
      <c r="K78" s="43" t="n"/>
      <c r="L78" s="9" t="n"/>
      <c r="M78" s="12" t="n"/>
      <c r="N78" s="44" t="n"/>
      <c r="O78" s="45" t="n"/>
      <c r="P78" s="46" t="n"/>
      <c r="Q78" s="44" t="n"/>
    </row>
    <row r="79" ht="16.5" customHeight="1" s="278">
      <c r="B79" s="34" t="n"/>
      <c r="C79" s="47" t="n"/>
      <c r="D79" s="48" t="n"/>
      <c r="E79" s="49" t="n"/>
      <c r="F79" s="50" t="n"/>
      <c r="G79" s="51" t="n"/>
      <c r="H79" s="52" t="n"/>
      <c r="I79" s="53" t="n"/>
      <c r="J79" s="54" t="n"/>
      <c r="K79" s="55" t="n"/>
      <c r="L79" s="18" t="n"/>
      <c r="M79" s="21" t="n"/>
      <c r="N79" s="56" t="n"/>
      <c r="O79" s="57" t="n"/>
      <c r="P79" s="58" t="n"/>
      <c r="Q79" s="56" t="n"/>
    </row>
    <row r="80" ht="16.5" customHeight="1" s="278">
      <c r="B80" s="34" t="n"/>
      <c r="C80" s="35" t="n"/>
      <c r="D80" s="36" t="n"/>
      <c r="E80" s="37" t="n"/>
      <c r="F80" s="38" t="n"/>
      <c r="G80" s="39" t="n"/>
      <c r="H80" s="40" t="n"/>
      <c r="I80" s="41" t="n"/>
      <c r="J80" s="42" t="n"/>
      <c r="K80" s="43" t="n"/>
      <c r="L80" s="9" t="n"/>
      <c r="M80" s="12" t="n"/>
      <c r="N80" s="44" t="n"/>
      <c r="O80" s="45" t="n"/>
      <c r="P80" s="46" t="n"/>
      <c r="Q80" s="44" t="n"/>
    </row>
    <row r="81" ht="16.5" customHeight="1" s="278">
      <c r="B81" s="34" t="n"/>
      <c r="C81" s="47" t="n"/>
      <c r="D81" s="48" t="n"/>
      <c r="E81" s="49" t="n"/>
      <c r="F81" s="50" t="n"/>
      <c r="G81" s="51" t="n"/>
      <c r="H81" s="52" t="n"/>
      <c r="I81" s="53" t="n"/>
      <c r="J81" s="54" t="n"/>
      <c r="K81" s="55" t="n"/>
      <c r="L81" s="18" t="n"/>
      <c r="M81" s="21" t="n"/>
      <c r="N81" s="56" t="n"/>
      <c r="O81" s="57" t="n"/>
      <c r="P81" s="58" t="n"/>
      <c r="Q81" s="56" t="n"/>
    </row>
    <row r="82" ht="16.5" customHeight="1" s="278">
      <c r="B82" s="34" t="n"/>
      <c r="C82" s="35" t="n"/>
      <c r="D82" s="36" t="n"/>
      <c r="E82" s="37" t="n"/>
      <c r="F82" s="38" t="n"/>
      <c r="G82" s="39" t="n"/>
      <c r="H82" s="40" t="n"/>
      <c r="I82" s="41" t="n"/>
      <c r="J82" s="42" t="n"/>
      <c r="K82" s="43" t="n"/>
      <c r="L82" s="9" t="n"/>
      <c r="M82" s="12" t="n"/>
      <c r="N82" s="44" t="n"/>
      <c r="O82" s="45" t="n"/>
      <c r="P82" s="46" t="n"/>
      <c r="Q82" s="44" t="n"/>
    </row>
    <row r="83" ht="16.5" customHeight="1" s="278">
      <c r="B83" s="34" t="n"/>
      <c r="C83" s="47" t="n"/>
      <c r="D83" s="48" t="n"/>
      <c r="E83" s="49" t="n"/>
      <c r="F83" s="50" t="n"/>
      <c r="G83" s="51" t="n"/>
      <c r="H83" s="52" t="n"/>
      <c r="I83" s="53" t="n"/>
      <c r="J83" s="54" t="n"/>
      <c r="K83" s="55" t="n"/>
      <c r="L83" s="18" t="n"/>
      <c r="M83" s="21" t="n"/>
      <c r="N83" s="56" t="n"/>
      <c r="O83" s="57" t="n"/>
      <c r="P83" s="58" t="n"/>
      <c r="Q83" s="56" t="n"/>
    </row>
    <row r="84" ht="16.5" customHeight="1" s="278">
      <c r="B84" s="34" t="n"/>
      <c r="C84" s="35" t="n"/>
      <c r="D84" s="36" t="n"/>
      <c r="E84" s="37" t="n"/>
      <c r="F84" s="38" t="n"/>
      <c r="G84" s="39" t="n"/>
      <c r="H84" s="40" t="n"/>
      <c r="I84" s="41" t="n"/>
      <c r="J84" s="42" t="n"/>
      <c r="K84" s="43" t="n"/>
      <c r="L84" s="9" t="n"/>
      <c r="M84" s="12" t="n"/>
      <c r="N84" s="44" t="n"/>
      <c r="O84" s="45" t="n"/>
      <c r="P84" s="46" t="n"/>
      <c r="Q84" s="44" t="n"/>
    </row>
    <row r="85" ht="16.5" customHeight="1" s="278">
      <c r="B85" s="34" t="n"/>
      <c r="C85" s="47" t="n"/>
      <c r="D85" s="48" t="n"/>
      <c r="E85" s="49" t="n"/>
      <c r="F85" s="50" t="n"/>
      <c r="G85" s="51" t="n"/>
      <c r="H85" s="52" t="n"/>
      <c r="I85" s="53" t="n"/>
      <c r="J85" s="54" t="n"/>
      <c r="K85" s="55" t="n"/>
      <c r="L85" s="18" t="n"/>
      <c r="M85" s="21" t="n"/>
      <c r="N85" s="56" t="n"/>
      <c r="O85" s="57" t="n"/>
      <c r="P85" s="58" t="n"/>
      <c r="Q85" s="56" t="n"/>
    </row>
    <row r="86" ht="16.5" customHeight="1" s="278">
      <c r="B86" s="34" t="n"/>
      <c r="C86" s="35" t="n"/>
      <c r="D86" s="36" t="n"/>
      <c r="E86" s="37" t="n"/>
      <c r="F86" s="38" t="n"/>
      <c r="G86" s="39" t="n"/>
      <c r="H86" s="40" t="n"/>
      <c r="I86" s="41" t="n"/>
      <c r="J86" s="42" t="n"/>
      <c r="K86" s="43" t="n"/>
      <c r="L86" s="9" t="n"/>
      <c r="M86" s="12" t="n"/>
      <c r="N86" s="44" t="n"/>
      <c r="O86" s="45" t="n"/>
      <c r="P86" s="46" t="n"/>
      <c r="Q86" s="44" t="n"/>
    </row>
    <row r="87" ht="16.5" customHeight="1" s="278">
      <c r="B87" s="34" t="n"/>
      <c r="C87" s="47" t="n"/>
      <c r="D87" s="48" t="n"/>
      <c r="E87" s="49" t="n"/>
      <c r="F87" s="50" t="n"/>
      <c r="G87" s="51" t="n"/>
      <c r="H87" s="52" t="n"/>
      <c r="I87" s="53" t="n"/>
      <c r="J87" s="54" t="n"/>
      <c r="K87" s="55" t="n"/>
      <c r="L87" s="18" t="n"/>
      <c r="M87" s="21" t="n"/>
      <c r="N87" s="56" t="n"/>
      <c r="O87" s="57" t="n"/>
      <c r="P87" s="58" t="n"/>
      <c r="Q87" s="56" t="n"/>
    </row>
    <row r="88" ht="16.5" customHeight="1" s="278">
      <c r="B88" s="34" t="n"/>
      <c r="C88" s="35" t="n"/>
      <c r="D88" s="36" t="n"/>
      <c r="E88" s="37" t="n"/>
      <c r="F88" s="38" t="n"/>
      <c r="G88" s="39" t="n"/>
      <c r="H88" s="40" t="n"/>
      <c r="I88" s="41" t="n"/>
      <c r="J88" s="42" t="n"/>
      <c r="K88" s="43" t="n"/>
      <c r="L88" s="9" t="n"/>
      <c r="M88" s="12" t="n"/>
      <c r="N88" s="44" t="n"/>
      <c r="O88" s="45" t="n"/>
      <c r="P88" s="46" t="n"/>
      <c r="Q88" s="44" t="n"/>
    </row>
    <row r="89" ht="16.5" customHeight="1" s="278">
      <c r="B89" s="34" t="n"/>
      <c r="C89" s="47" t="n"/>
      <c r="D89" s="48" t="n"/>
      <c r="E89" s="49" t="n"/>
      <c r="F89" s="50" t="n"/>
      <c r="G89" s="51" t="n"/>
      <c r="H89" s="52" t="n"/>
      <c r="I89" s="53" t="n"/>
      <c r="J89" s="54" t="n"/>
      <c r="K89" s="55" t="n"/>
      <c r="L89" s="18" t="n"/>
      <c r="M89" s="21" t="n"/>
      <c r="N89" s="56" t="n"/>
      <c r="O89" s="57" t="n"/>
      <c r="P89" s="58" t="n"/>
      <c r="Q89" s="56" t="n"/>
    </row>
    <row r="90" ht="16.5" customHeight="1" s="278">
      <c r="B90" s="34" t="n"/>
      <c r="C90" s="35" t="n"/>
      <c r="D90" s="36" t="n"/>
      <c r="E90" s="37" t="n"/>
      <c r="F90" s="38" t="n"/>
      <c r="G90" s="39" t="n"/>
      <c r="H90" s="40" t="n"/>
      <c r="I90" s="41" t="n"/>
      <c r="J90" s="42" t="n"/>
      <c r="K90" s="43" t="n"/>
      <c r="L90" s="9" t="n"/>
      <c r="M90" s="12" t="n"/>
      <c r="N90" s="44" t="n"/>
      <c r="O90" s="45" t="n"/>
      <c r="P90" s="46" t="n"/>
      <c r="Q90" s="44" t="n"/>
    </row>
    <row r="91" ht="16.5" customHeight="1" s="278">
      <c r="B91" s="34" t="n"/>
      <c r="C91" s="47" t="n"/>
      <c r="D91" s="48" t="n"/>
      <c r="E91" s="49" t="n"/>
      <c r="F91" s="50" t="n"/>
      <c r="G91" s="51" t="n"/>
      <c r="H91" s="52" t="n"/>
      <c r="I91" s="53" t="n"/>
      <c r="J91" s="54" t="n"/>
      <c r="K91" s="55" t="n"/>
      <c r="L91" s="18" t="n"/>
      <c r="M91" s="21" t="n"/>
      <c r="N91" s="56" t="n"/>
      <c r="O91" s="57" t="n"/>
      <c r="P91" s="58" t="n"/>
      <c r="Q91" s="56" t="n"/>
    </row>
    <row r="92" ht="16.5" customHeight="1" s="278">
      <c r="B92" s="34" t="n"/>
      <c r="C92" s="35" t="n"/>
      <c r="D92" s="36" t="n"/>
      <c r="E92" s="37" t="n"/>
      <c r="F92" s="38" t="n"/>
      <c r="G92" s="39" t="n"/>
      <c r="H92" s="40" t="n"/>
      <c r="I92" s="41" t="n"/>
      <c r="J92" s="42" t="n"/>
      <c r="K92" s="43" t="n"/>
      <c r="L92" s="9" t="n"/>
      <c r="M92" s="12" t="n"/>
      <c r="N92" s="44" t="n"/>
      <c r="O92" s="45" t="n"/>
      <c r="P92" s="46" t="n"/>
      <c r="Q92" s="44" t="n"/>
    </row>
    <row r="93" ht="16.5" customHeight="1" s="278">
      <c r="B93" s="34" t="n"/>
      <c r="C93" s="47" t="n"/>
      <c r="D93" s="48" t="n"/>
      <c r="E93" s="49" t="n"/>
      <c r="F93" s="50" t="n"/>
      <c r="G93" s="51" t="n"/>
      <c r="H93" s="52" t="n"/>
      <c r="I93" s="53" t="n"/>
      <c r="J93" s="54" t="n"/>
      <c r="K93" s="55" t="n"/>
      <c r="L93" s="18" t="n"/>
      <c r="M93" s="21" t="n"/>
      <c r="N93" s="56" t="n"/>
      <c r="O93" s="57" t="n"/>
      <c r="P93" s="58" t="n"/>
      <c r="Q93" s="56" t="n"/>
    </row>
    <row r="94" ht="16.5" customHeight="1" s="278">
      <c r="B94" s="34" t="n"/>
      <c r="C94" s="35" t="n"/>
      <c r="D94" s="36" t="n"/>
      <c r="E94" s="37" t="n"/>
      <c r="F94" s="38" t="n"/>
      <c r="G94" s="39" t="n"/>
      <c r="H94" s="40" t="n"/>
      <c r="I94" s="41" t="n"/>
      <c r="J94" s="42" t="n"/>
      <c r="K94" s="43" t="n"/>
      <c r="L94" s="9" t="n"/>
      <c r="M94" s="12" t="n"/>
      <c r="N94" s="44" t="n"/>
      <c r="O94" s="45" t="n"/>
      <c r="P94" s="46" t="n"/>
      <c r="Q94" s="44" t="n"/>
    </row>
    <row r="95" ht="16.5" customHeight="1" s="278">
      <c r="B95" s="34" t="n"/>
      <c r="C95" s="47" t="n"/>
      <c r="D95" s="48" t="n"/>
      <c r="E95" s="49" t="n"/>
      <c r="F95" s="50" t="n"/>
      <c r="G95" s="51" t="n"/>
      <c r="H95" s="52" t="n"/>
      <c r="I95" s="53" t="n"/>
      <c r="J95" s="54" t="n"/>
      <c r="K95" s="55" t="n"/>
      <c r="L95" s="18" t="n"/>
      <c r="M95" s="21" t="n"/>
      <c r="N95" s="56" t="n"/>
      <c r="O95" s="57" t="n"/>
      <c r="P95" s="58" t="n"/>
      <c r="Q95" s="56" t="n"/>
    </row>
    <row r="96" ht="16.5" customHeight="1" s="278">
      <c r="B96" s="34" t="n"/>
      <c r="C96" s="35" t="n"/>
      <c r="D96" s="36" t="n"/>
      <c r="E96" s="37" t="n"/>
      <c r="F96" s="38" t="n"/>
      <c r="G96" s="39" t="n"/>
      <c r="H96" s="40" t="n"/>
      <c r="I96" s="41" t="n"/>
      <c r="J96" s="42" t="n"/>
      <c r="K96" s="43" t="n"/>
      <c r="L96" s="9" t="n"/>
      <c r="M96" s="12" t="n"/>
      <c r="N96" s="44" t="n"/>
      <c r="O96" s="45" t="n"/>
      <c r="P96" s="46" t="n"/>
      <c r="Q96" s="44" t="n"/>
    </row>
    <row r="97" ht="16.5" customHeight="1" s="278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</row>
    <row r="98" ht="16.5" customHeight="1" s="278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</row>
    <row r="99" ht="16.5" customHeight="1" s="278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</row>
    <row r="100" ht="16.5" customHeight="1" s="278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</row>
    <row r="101" ht="16.5" customHeight="1" s="278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</row>
    <row r="102" ht="16.5" customHeight="1" s="278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</row>
    <row r="103" ht="16.5" customHeight="1" s="278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</row>
    <row r="104" ht="16.5" customHeight="1" s="278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</row>
    <row r="105" ht="16.5" customHeight="1" s="278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</row>
    <row r="106" ht="16.5" customHeight="1" s="278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</row>
    <row r="107" ht="16.5" customHeight="1" s="278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</row>
    <row r="108" ht="16.5" customHeight="1" s="278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</row>
    <row r="109" ht="16.5" customHeight="1" s="278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</row>
    <row r="110" ht="16.5" customHeight="1" s="278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</row>
    <row r="111" ht="16.5" customHeight="1" s="278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</row>
    <row r="112" ht="16.5" customHeight="1" s="278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</row>
    <row r="113" ht="16.5" customHeight="1" s="278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</row>
    <row r="114" ht="16.5" customHeight="1" s="278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</row>
    <row r="115" ht="16.5" customHeight="1" s="278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</row>
    <row r="116" ht="16.5" customHeight="1" s="278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</row>
    <row r="117" ht="16.5" customHeight="1" s="278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</row>
    <row r="118" ht="16.5" customHeight="1" s="278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</row>
    <row r="119" ht="16.5" customHeight="1" s="278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</row>
    <row r="120" ht="16.5" customHeight="1" s="278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</row>
    <row r="121" ht="16.5" customHeight="1" s="278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</row>
    <row r="122" ht="16.5" customHeight="1" s="278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</row>
    <row r="123" ht="16.5" customHeight="1" s="278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</row>
    <row r="124" ht="16.5" customHeight="1" s="278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</row>
    <row r="125" ht="16.5" customHeight="1" s="278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</row>
    <row r="126" ht="16.5" customHeight="1" s="278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</row>
    <row r="127" ht="16.5" customHeight="1" s="278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</row>
    <row r="128" ht="16.5" customHeight="1" s="278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</row>
    <row r="129" ht="16.5" customHeight="1" s="278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</row>
    <row r="130" ht="16.5" customHeight="1" s="278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</row>
    <row r="131" ht="16.5" customHeight="1" s="278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</row>
    <row r="132" ht="16.5" customHeight="1" s="278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</row>
    <row r="133" ht="16.5" customHeight="1" s="278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</row>
    <row r="134" ht="16.5" customHeight="1" s="278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</row>
    <row r="135" ht="16.5" customHeight="1" s="278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</row>
    <row r="136" ht="16.5" customHeight="1" s="278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</row>
    <row r="137" ht="16.5" customHeight="1" s="278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</row>
    <row r="138" ht="16.5" customHeight="1" s="278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</row>
    <row r="139" ht="16.5" customHeight="1" s="278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</row>
    <row r="140" ht="16.5" customHeight="1" s="278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</row>
    <row r="141" ht="16.5" customHeight="1" s="278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</row>
    <row r="142" ht="16.5" customHeight="1" s="278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</row>
    <row r="143" ht="16.5" customHeight="1" s="278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</row>
    <row r="144" ht="16.5" customHeight="1" s="278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</row>
    <row r="145" ht="16.5" customHeight="1" s="278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</row>
    <row r="146" ht="16.5" customHeight="1" s="278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</row>
    <row r="147" ht="16.5" customHeight="1" s="278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</row>
    <row r="148" ht="16.5" customHeight="1" s="278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</row>
    <row r="149" ht="16.5" customHeight="1" s="278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</row>
    <row r="150" ht="16.5" customHeight="1" s="278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</row>
    <row r="151" ht="16.5" customHeight="1" s="278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</row>
    <row r="152" ht="16.5" customHeight="1" s="278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</row>
    <row r="153" ht="16.5" customHeight="1" s="278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</row>
    <row r="154" ht="16.5" customHeight="1" s="278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</row>
    <row r="155" ht="16.5" customHeight="1" s="278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</row>
    <row r="156" ht="16.5" customHeight="1" s="278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</row>
    <row r="157" ht="16.5" customHeight="1" s="278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</row>
    <row r="158" ht="16.5" customHeight="1" s="278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</row>
    <row r="159" ht="16.5" customHeight="1" s="278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</row>
    <row r="160" ht="16.5" customHeight="1" s="278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</row>
    <row r="161" ht="16.5" customHeight="1" s="278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</row>
    <row r="162" ht="16.5" customHeight="1" s="278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</row>
    <row r="163" ht="16.5" customHeight="1" s="278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</row>
    <row r="164" ht="16.5" customHeight="1" s="278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</row>
    <row r="165" ht="16.5" customHeight="1" s="278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</row>
    <row r="166" ht="16.5" customHeight="1" s="278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</row>
    <row r="167" ht="16.5" customHeight="1" s="278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</row>
    <row r="168" ht="16.5" customHeight="1" s="278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</row>
    <row r="169" ht="16.5" customHeight="1" s="278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</row>
    <row r="170" ht="16.5" customHeight="1" s="278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</row>
    <row r="171" ht="16.5" customHeight="1" s="278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</row>
    <row r="172" ht="16.5" customHeight="1" s="278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</row>
    <row r="173" ht="16.5" customHeight="1" s="278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</row>
    <row r="174" ht="16.5" customHeight="1" s="278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</row>
    <row r="175" ht="16.5" customHeight="1" s="278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</row>
    <row r="176" ht="16.5" customHeight="1" s="278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</row>
    <row r="177" ht="16.5" customHeight="1" s="278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</row>
    <row r="178" ht="16.5" customHeight="1" s="278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</row>
    <row r="179" ht="16.5" customHeight="1" s="278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</row>
    <row r="180" ht="16.5" customHeight="1" s="278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</row>
    <row r="181" ht="16.5" customHeight="1" s="278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</row>
    <row r="182" ht="16.5" customHeight="1" s="278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</row>
    <row r="183" ht="16.5" customHeight="1" s="278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</row>
    <row r="184" ht="16.5" customHeight="1" s="278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</row>
    <row r="185" ht="16.5" customHeight="1" s="278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</row>
    <row r="186" ht="16.5" customHeight="1" s="278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</row>
    <row r="187" ht="16.5" customHeight="1" s="278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</row>
    <row r="188" ht="16.5" customHeight="1" s="278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</row>
    <row r="189" ht="16.5" customHeight="1" s="278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</row>
    <row r="190" ht="16.5" customHeight="1" s="278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</row>
    <row r="191" ht="16.5" customHeight="1" s="278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</row>
    <row r="192" ht="16.5" customHeight="1" s="278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</row>
    <row r="193" ht="16.5" customHeight="1" s="278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</row>
    <row r="194" ht="16.5" customHeight="1" s="278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</row>
    <row r="195" ht="16.5" customHeight="1" s="278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</row>
    <row r="196" ht="16.5" customHeight="1" s="278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</row>
    <row r="197" ht="16.5" customHeight="1" s="278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</row>
    <row r="198" ht="16.5" customHeight="1" s="278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</row>
    <row r="199" ht="16.5" customHeight="1" s="278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</row>
    <row r="200" ht="16.5" customHeight="1" s="278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</row>
    <row r="201" ht="16.5" customHeight="1" s="278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</row>
    <row r="202" ht="16.5" customHeight="1" s="278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</row>
    <row r="203" ht="16.5" customHeight="1" s="278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</row>
    <row r="204" ht="16.5" customHeight="1" s="278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</row>
    <row r="205" ht="16.5" customHeight="1" s="278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</row>
    <row r="206" ht="16.5" customHeight="1" s="278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</row>
    <row r="207" ht="16.5" customHeight="1" s="278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</row>
    <row r="208" ht="16.5" customHeight="1" s="278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</row>
    <row r="209" ht="16.5" customHeight="1" s="278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</row>
    <row r="210" ht="16.5" customHeight="1" s="278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</row>
    <row r="211" ht="16.5" customHeight="1" s="278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</row>
    <row r="212" ht="16.5" customHeight="1" s="278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</row>
    <row r="213" ht="16.5" customHeight="1" s="278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</row>
    <row r="214" ht="16.5" customHeight="1" s="278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</row>
    <row r="215" ht="16.5" customHeight="1" s="278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</row>
    <row r="216" ht="16.5" customHeight="1" s="278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</row>
    <row r="217" ht="16.5" customHeight="1" s="278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</row>
    <row r="218" ht="16.5" customHeight="1" s="278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</row>
    <row r="219" ht="16.5" customHeight="1" s="278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</row>
    <row r="220" ht="16.5" customHeight="1" s="278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</row>
    <row r="221" ht="16.5" customHeight="1" s="278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</row>
    <row r="222" ht="16.5" customHeight="1" s="278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</row>
    <row r="223" ht="16.5" customHeight="1" s="278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</row>
    <row r="224" ht="16.5" customHeight="1" s="278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</row>
    <row r="225" ht="16.5" customHeight="1" s="278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</row>
    <row r="226" ht="16.5" customHeight="1" s="278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</row>
    <row r="227" ht="16.5" customHeight="1" s="278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</row>
    <row r="228" ht="16.5" customHeight="1" s="278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</row>
    <row r="229" ht="16.5" customHeight="1" s="278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</row>
    <row r="230" ht="16.5" customHeight="1" s="278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</row>
    <row r="231" ht="16.5" customHeight="1" s="278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</row>
    <row r="232" ht="16.5" customHeight="1" s="278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</row>
    <row r="233" ht="16.5" customHeight="1" s="278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</row>
    <row r="234" ht="16.5" customHeight="1" s="278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</row>
    <row r="235" ht="16.5" customHeight="1" s="278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</row>
    <row r="236" ht="16.5" customHeight="1" s="278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</row>
    <row r="237" ht="16.5" customHeight="1" s="278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</row>
    <row r="238" ht="16.5" customHeight="1" s="278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</row>
    <row r="239" ht="16.5" customHeight="1" s="278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</row>
    <row r="240" ht="16.5" customHeight="1" s="278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</row>
    <row r="241" ht="16.5" customHeight="1" s="278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</row>
    <row r="242" ht="16.5" customHeight="1" s="278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</row>
    <row r="243" ht="16.5" customHeight="1" s="278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</row>
    <row r="244" ht="16.5" customHeight="1" s="278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</row>
    <row r="245" ht="16.5" customHeight="1" s="278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</row>
    <row r="246" ht="16.5" customHeight="1" s="278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</row>
    <row r="247" ht="16.5" customHeight="1" s="278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</row>
    <row r="248" ht="16.5" customHeight="1" s="278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</row>
    <row r="249" ht="16.5" customHeight="1" s="278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</row>
    <row r="250" ht="16.5" customHeight="1" s="278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</row>
    <row r="251" ht="16.5" customHeight="1" s="278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</row>
    <row r="252" ht="16.5" customHeight="1" s="278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</row>
    <row r="253" ht="16.5" customHeight="1" s="278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</row>
    <row r="254" ht="16.5" customHeight="1" s="278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</row>
    <row r="255" ht="16.5" customHeight="1" s="278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</row>
    <row r="256" ht="16.5" customHeight="1" s="278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</row>
    <row r="257" ht="16.5" customHeight="1" s="278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</row>
    <row r="258" ht="16.5" customHeight="1" s="278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</row>
    <row r="259" ht="16.5" customHeight="1" s="278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</row>
    <row r="260" ht="16.5" customHeight="1" s="278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</row>
    <row r="261" ht="16.5" customHeight="1" s="278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</row>
    <row r="262" ht="16.5" customHeight="1" s="278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</row>
    <row r="263" ht="16.5" customHeight="1" s="278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</row>
    <row r="264" ht="16.5" customHeight="1" s="278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</row>
    <row r="265" ht="16.5" customHeight="1" s="278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</row>
    <row r="266" ht="16.5" customHeight="1" s="278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</row>
    <row r="267" ht="16.5" customHeight="1" s="278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</row>
    <row r="268" ht="16.5" customHeight="1" s="278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</row>
    <row r="269" ht="16.5" customHeight="1" s="278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</row>
    <row r="270" ht="16.5" customHeight="1" s="278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</row>
    <row r="271" ht="16.5" customHeight="1" s="278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</row>
    <row r="272" ht="16.5" customHeight="1" s="278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</row>
    <row r="273" ht="16.5" customHeight="1" s="278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</row>
    <row r="274" ht="16.5" customHeight="1" s="278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</row>
    <row r="275" ht="16.5" customHeight="1" s="278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</row>
    <row r="276" ht="16.5" customHeight="1" s="278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</row>
    <row r="277" ht="16.5" customHeight="1" s="278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</row>
    <row r="278" ht="16.5" customHeight="1" s="278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</row>
    <row r="279" ht="16.5" customHeight="1" s="278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</row>
    <row r="280" ht="16.5" customHeight="1" s="278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</row>
    <row r="281" ht="16.5" customHeight="1" s="278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</row>
    <row r="282" ht="16.5" customHeight="1" s="278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</row>
    <row r="283" ht="16.5" customHeight="1" s="278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</row>
    <row r="284" ht="16.5" customHeight="1" s="278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</row>
    <row r="285" ht="16.5" customHeight="1" s="278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</row>
    <row r="286" ht="16.5" customHeight="1" s="278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</row>
    <row r="287" ht="16.5" customHeight="1" s="278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</row>
    <row r="288" ht="16.5" customHeight="1" s="278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</row>
    <row r="289" ht="16.5" customHeight="1" s="278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</row>
    <row r="290" ht="16.5" customHeight="1" s="278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</row>
    <row r="291" ht="16.5" customHeight="1" s="278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</row>
    <row r="292" ht="16.5" customHeight="1" s="278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</row>
    <row r="293" ht="16.5" customHeight="1" s="278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</row>
    <row r="294" ht="16.5" customHeight="1" s="278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</row>
    <row r="295" ht="16.5" customHeight="1" s="278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</row>
    <row r="296" ht="16.5" customHeight="1" s="278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</row>
    <row r="297" ht="16.5" customHeight="1" s="278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</row>
    <row r="298" ht="16.5" customHeight="1" s="278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</row>
    <row r="299" ht="16.5" customHeight="1" s="278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</row>
    <row r="300" ht="16.5" customHeight="1" s="278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</row>
    <row r="301" ht="16.5" customHeight="1" s="278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</row>
    <row r="302" ht="16.5" customHeight="1" s="278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</row>
    <row r="303" ht="16.5" customHeight="1" s="278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</row>
    <row r="304" ht="16.5" customHeight="1" s="278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</row>
    <row r="305" ht="16.5" customHeight="1" s="278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</row>
    <row r="306" ht="16.5" customHeight="1" s="278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</row>
    <row r="307" ht="16.5" customHeight="1" s="278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</row>
    <row r="308" ht="16.5" customHeight="1" s="278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</row>
    <row r="309" ht="16.5" customHeight="1" s="278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</row>
    <row r="310" ht="16.5" customHeight="1" s="278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</row>
    <row r="311" ht="16.5" customHeight="1" s="278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</row>
    <row r="312" ht="16.5" customHeight="1" s="278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</row>
    <row r="313" ht="16.5" customHeight="1" s="278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</row>
    <row r="314" ht="16.5" customHeight="1" s="278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</row>
    <row r="315" ht="16.5" customHeight="1" s="278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</row>
    <row r="316" ht="16.5" customHeight="1" s="278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</row>
    <row r="317" ht="16.5" customHeight="1" s="278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</row>
    <row r="318" ht="16.5" customHeight="1" s="278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</row>
    <row r="319" ht="16.5" customHeight="1" s="278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</row>
    <row r="320" ht="16.5" customHeight="1" s="278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</row>
    <row r="321" ht="16.5" customHeight="1" s="278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</row>
    <row r="322" ht="16.5" customHeight="1" s="278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</row>
    <row r="323" ht="16.5" customHeight="1" s="278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</row>
    <row r="324" ht="16.5" customHeight="1" s="278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</row>
    <row r="325" ht="16.5" customHeight="1" s="278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</row>
    <row r="326" ht="16.5" customHeight="1" s="278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</row>
    <row r="327" ht="16.5" customHeight="1" s="278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</row>
    <row r="328" ht="16.5" customHeight="1" s="278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</row>
    <row r="329" ht="16.5" customHeight="1" s="278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</row>
    <row r="330" ht="16.5" customHeight="1" s="278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</row>
    <row r="331" ht="16.5" customHeight="1" s="278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</row>
    <row r="332" ht="16.5" customHeight="1" s="278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</row>
    <row r="333" ht="16.5" customHeight="1" s="278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</row>
    <row r="334" ht="16.5" customHeight="1" s="278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</row>
    <row r="335" ht="16.5" customHeight="1" s="278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</row>
    <row r="336" ht="16.5" customHeight="1" s="278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</row>
    <row r="337" ht="16.5" customHeight="1" s="278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</row>
    <row r="338" ht="16.5" customHeight="1" s="278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</row>
    <row r="339" ht="16.5" customHeight="1" s="278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</row>
    <row r="340" ht="16.5" customHeight="1" s="278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</row>
    <row r="341" ht="16.5" customHeight="1" s="278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</row>
    <row r="342" ht="16.5" customHeight="1" s="278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</row>
    <row r="343" ht="16.5" customHeight="1" s="278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</row>
    <row r="344" ht="16.5" customHeight="1" s="278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</row>
    <row r="345" ht="16.5" customHeight="1" s="278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</row>
    <row r="346" ht="16.5" customHeight="1" s="278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</row>
    <row r="347" ht="16.5" customHeight="1" s="278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</row>
    <row r="348" ht="16.5" customHeight="1" s="278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</row>
    <row r="349" ht="16.5" customHeight="1" s="278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</row>
    <row r="350" ht="16.5" customHeight="1" s="278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</row>
    <row r="351" ht="16.5" customHeight="1" s="278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</row>
    <row r="352" ht="16.5" customHeight="1" s="278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</row>
    <row r="353" ht="16.5" customHeight="1" s="278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</row>
    <row r="354" ht="16.5" customHeight="1" s="278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</row>
    <row r="355" ht="16.5" customHeight="1" s="278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</row>
    <row r="356" ht="16.5" customHeight="1" s="278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</row>
    <row r="357" ht="16.5" customHeight="1" s="278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</row>
    <row r="358" ht="16.5" customHeight="1" s="278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</row>
    <row r="359" ht="16.5" customHeight="1" s="278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</row>
    <row r="360" ht="16.5" customHeight="1" s="278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</row>
    <row r="361" ht="16.5" customHeight="1" s="278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</row>
    <row r="362" ht="16.5" customHeight="1" s="278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</row>
    <row r="363" ht="16.5" customHeight="1" s="278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</row>
    <row r="364" ht="16.5" customHeight="1" s="278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</row>
    <row r="365" ht="16.5" customHeight="1" s="278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</row>
    <row r="366" ht="16.5" customHeight="1" s="278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</row>
    <row r="367" ht="16.5" customHeight="1" s="278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</row>
    <row r="368" ht="16.5" customHeight="1" s="278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</row>
    <row r="369" ht="16.5" customHeight="1" s="278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</row>
    <row r="370" ht="16.5" customHeight="1" s="278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</row>
    <row r="371" ht="16.5" customHeight="1" s="278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</row>
    <row r="372" ht="16.5" customHeight="1" s="278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70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4" customWidth="1" style="278" min="3" max="3"/>
    <col width="22" customWidth="1" style="278" min="4" max="4"/>
    <col width="19.77734375" customWidth="1" style="278" min="5" max="5"/>
    <col width="16" customWidth="1" style="278" min="6" max="6"/>
    <col width="14" customWidth="1" style="278" min="7" max="7"/>
    <col width="16" customWidth="1" style="278" min="8" max="8"/>
    <col width="18" customWidth="1" style="278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278">
      <c r="A2" s="364" t="inlineStr">
        <is>
          <t>💸  LOKA — EXPENSES TRACKER</t>
        </is>
      </c>
      <c r="E2" s="365" t="inlineStr">
        <is>
          <t>Log every cost: ingredients, staff, utilities, supplies…</t>
        </is>
      </c>
    </row>
    <row r="3">
      <c r="A3" s="366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278">
      <c r="B6" s="60">
        <f>SUMIFS($F$8:$F$500,$B$8:$B$500,TODAY())</f>
        <v/>
      </c>
      <c r="C6" s="61">
        <f>SUMIFS($F$8:$F$500,$B$8:$B$500,"&gt;="&amp;(TODAY()-WEEKDAY(TODAY(),2)+1),$B$8:$B$500,"&lt;="&amp;(TODAY()-WEEKDAY(TODAY(),2)+7))</f>
        <v/>
      </c>
      <c r="D6" s="62">
        <f>SUMIFS($F$8:$F$500,$B$8:$B$500,"&gt;="&amp;DATE(YEAR(TODAY()),MONTH(TODAY()),1),$B$8:$B$500,"&lt;"&amp;DATE(YEAR(TODAY()),MONTH(TODAY())+1,1))</f>
        <v/>
      </c>
      <c r="E6" s="61">
        <f>SUMIF($E$8:$E$500,"Ingredients*",$F$8:$F$500)</f>
        <v/>
      </c>
      <c r="F6" s="63">
        <f>SUMIF($E$8:$E$500,"Staff*",$F$8:$F$500)</f>
        <v/>
      </c>
      <c r="G6" s="62">
        <f>SUMIF($E$8:$E$500,"Supplies*",$F$8:$F$500)+SUMIF($E$8:$E$500,"Utilities*",$F$8:$F$500)</f>
        <v/>
      </c>
      <c r="H6" s="60">
        <f>SUMIFS($F$8:$F$500,$B$8:$B$500,TODAY())</f>
        <v/>
      </c>
      <c r="I6" s="60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 / 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 / 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 / 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 / 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278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 / 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278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278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278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278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278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278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278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 / 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278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 / 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 / 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 / 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 / 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 / 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 / 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 / 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 / 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 / 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 / 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 / 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 / 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 / 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 / 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 / 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 / 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 / 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 / 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 / 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 / 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 / 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 / 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 / 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 / 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 / 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Produce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 / 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 / 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 / 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 / 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 / 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 / 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 / 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 / 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 / 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 / 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 / 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8" t="inlineStr">
        <is>
          <t>Aceite La Posada 800 (x2)</t>
        </is>
      </c>
      <c r="D295" s="249" t="inlineStr">
        <is>
          <t>OXXO</t>
        </is>
      </c>
      <c r="E295" s="248" t="inlineStr">
        <is>
          <t>Ingredients - Pantry</t>
        </is>
      </c>
      <c r="F295" s="67" t="n">
        <v>312</v>
      </c>
      <c r="G295" s="250" t="inlineStr">
        <is>
          <t>Restaurant</t>
        </is>
      </c>
      <c r="H295" s="250" t="inlineStr">
        <is>
          <t>Card</t>
        </is>
      </c>
      <c r="I295" s="251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2" t="inlineStr">
        <is>
          <t>Queso Gouda Menona 2.01 kg @ $135</t>
        </is>
      </c>
      <c r="D296" s="253" t="inlineStr">
        <is>
          <t>La Bodega del Buen Queso</t>
        </is>
      </c>
      <c r="E296" s="252" t="inlineStr">
        <is>
          <t>Ingredients - Dairy</t>
        </is>
      </c>
      <c r="F296" s="70" t="n">
        <v>271.35</v>
      </c>
      <c r="G296" s="254" t="inlineStr">
        <is>
          <t>Restaurant</t>
        </is>
      </c>
      <c r="H296" s="254" t="inlineStr">
        <is>
          <t>Cash</t>
        </is>
      </c>
      <c r="I296" s="255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8" t="inlineStr">
        <is>
          <t>Arrachera (beef)</t>
        </is>
      </c>
      <c r="D297" s="249" t="inlineStr">
        <is>
          <t>Miscelánea LC La Cruz</t>
        </is>
      </c>
      <c r="E297" s="248" t="inlineStr">
        <is>
          <t>Ingredients - Meat</t>
        </is>
      </c>
      <c r="F297" s="67" t="n">
        <v>474</v>
      </c>
      <c r="G297" s="250" t="inlineStr">
        <is>
          <t>Restaurant</t>
        </is>
      </c>
      <c r="H297" s="250" t="inlineStr">
        <is>
          <t>Card</t>
        </is>
      </c>
      <c r="I297" s="251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2" t="inlineStr">
        <is>
          <t>Salsa BBQ 3.8L + Pan hamburguesa x12 + Pan arándano x4</t>
        </is>
      </c>
      <c r="D298" s="253" t="inlineStr">
        <is>
          <t>REAL La Cruz</t>
        </is>
      </c>
      <c r="E298" s="252" t="inlineStr">
        <is>
          <t>Ingredients - Bread</t>
        </is>
      </c>
      <c r="F298" s="70" t="n">
        <v>544</v>
      </c>
      <c r="G298" s="254" t="inlineStr">
        <is>
          <t>Restaurant</t>
        </is>
      </c>
      <c r="H298" s="254" t="inlineStr">
        <is>
          <t>Card</t>
        </is>
      </c>
      <c r="I298" s="255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8" t="inlineStr">
        <is>
          <t>Hamburguesa Vegetal + Eggo Waffles</t>
        </is>
      </c>
      <c r="D299" s="249" t="inlineStr">
        <is>
          <t>Costco Querétaro</t>
        </is>
      </c>
      <c r="E299" s="248" t="inlineStr">
        <is>
          <t>Supermarket / General</t>
        </is>
      </c>
      <c r="F299" s="67" t="n">
        <v>566.73</v>
      </c>
      <c r="G299" s="250" t="inlineStr">
        <is>
          <t>Restaurant</t>
        </is>
      </c>
      <c r="H299" s="250" t="inlineStr">
        <is>
          <t>Card</t>
        </is>
      </c>
      <c r="I299" s="251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2" t="inlineStr">
        <is>
          <t>Tortillas Blanca 4.980 kg</t>
        </is>
      </c>
      <c r="D300" s="253" t="inlineStr">
        <is>
          <t>Chedraui Paseo</t>
        </is>
      </c>
      <c r="E300" s="252" t="inlineStr">
        <is>
          <t>Ingredients - Bread</t>
        </is>
      </c>
      <c r="F300" s="70" t="n">
        <v>66.73</v>
      </c>
      <c r="G300" s="254" t="inlineStr">
        <is>
          <t>Restaurant</t>
        </is>
      </c>
      <c r="H300" s="254" t="inlineStr">
        <is>
          <t>Card</t>
        </is>
      </c>
      <c r="I300" s="255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8" t="inlineStr">
        <is>
          <t>Vegetables</t>
        </is>
      </c>
      <c r="D301" s="249" t="inlineStr">
        <is>
          <t>Local purchase</t>
        </is>
      </c>
      <c r="E301" s="248" t="inlineStr">
        <is>
          <t>Ingredients - Vegetables</t>
        </is>
      </c>
      <c r="F301" s="67" t="n">
        <v>51</v>
      </c>
      <c r="G301" s="250" t="inlineStr">
        <is>
          <t>Restaurant</t>
        </is>
      </c>
      <c r="H301" s="250" t="inlineStr">
        <is>
          <t>Cash</t>
        </is>
      </c>
      <c r="I301" s="251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2" t="inlineStr">
        <is>
          <t>Samu — Ayudante Week 5 (incl. $400 mesero top-up)</t>
        </is>
      </c>
      <c r="D302" s="253" t="inlineStr">
        <is>
          <t>Payroll</t>
        </is>
      </c>
      <c r="E302" s="252" t="inlineStr">
        <is>
          <t>Staff - Salary</t>
        </is>
      </c>
      <c r="F302" s="70" t="n">
        <v>1200</v>
      </c>
      <c r="G302" s="254" t="inlineStr">
        <is>
          <t>Restaurant</t>
        </is>
      </c>
      <c r="H302" s="254" t="inlineStr">
        <is>
          <t>Cash</t>
        </is>
      </c>
      <c r="I302" s="255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8" t="inlineStr">
        <is>
          <t>Duvi/Debi — Limpieza Week 5</t>
        </is>
      </c>
      <c r="D303" s="249" t="inlineStr">
        <is>
          <t>Payroll</t>
        </is>
      </c>
      <c r="E303" s="248" t="inlineStr">
        <is>
          <t>Staff - Salary</t>
        </is>
      </c>
      <c r="F303" s="67" t="n">
        <v>1500</v>
      </c>
      <c r="G303" s="250" t="inlineStr">
        <is>
          <t>Restaurant</t>
        </is>
      </c>
      <c r="H303" s="250" t="inlineStr">
        <is>
          <t>Cash</t>
        </is>
      </c>
      <c r="I303" s="251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2" t="inlineStr">
        <is>
          <t>John — Head Chef Week 5 (full week)</t>
        </is>
      </c>
      <c r="D304" s="253" t="inlineStr">
        <is>
          <t>Payroll</t>
        </is>
      </c>
      <c r="E304" s="252" t="inlineStr">
        <is>
          <t>Staff - Salary</t>
        </is>
      </c>
      <c r="F304" s="70" t="n">
        <v>3750</v>
      </c>
      <c r="G304" s="254" t="inlineStr">
        <is>
          <t>Restaurant</t>
        </is>
      </c>
      <c r="H304" s="254" t="inlineStr">
        <is>
          <t>Cash</t>
        </is>
      </c>
      <c r="I304" s="255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8" t="inlineStr">
        <is>
          <t>Propinas restaurant top-up - Week 5 (370 paid to staff vs 249 card tips collected)</t>
        </is>
      </c>
      <c r="D305" s="249" t="inlineStr">
        <is>
          <t>Payroll / Tips</t>
        </is>
      </c>
      <c r="E305" s="248" t="inlineStr">
        <is>
          <t>Staff - Propinas</t>
        </is>
      </c>
      <c r="F305" s="67" t="n">
        <v>121</v>
      </c>
      <c r="G305" s="250" t="inlineStr">
        <is>
          <t>Restaurant</t>
        </is>
      </c>
      <c r="H305" s="250" t="inlineStr">
        <is>
          <t>Cash</t>
        </is>
      </c>
      <c r="I305" s="251" t="inlineStr">
        <is>
          <t>✅ Paid</t>
        </is>
      </c>
      <c r="J305" s="268" t="inlineStr">
        <is>
          <t>Card tips 249; payouts John 150 + Duvi 120 + Samu 100 = 370; restaurant covers 121</t>
        </is>
      </c>
    </row>
    <row r="306">
      <c r="B306" s="382" t="n">
        <v>46176</v>
      </c>
      <c r="C306" s="252" t="inlineStr">
        <is>
          <t>Cuchara de Moka 6pcs 10.5cm (x2)</t>
        </is>
      </c>
      <c r="D306" s="253" t="inlineStr">
        <is>
          <t>Small China</t>
        </is>
      </c>
      <c r="E306" s="252" t="inlineStr">
        <is>
          <t>Kitchen Supplies</t>
        </is>
      </c>
      <c r="F306" s="70" t="n">
        <v>178</v>
      </c>
      <c r="G306" s="254" t="inlineStr">
        <is>
          <t>Restaurant</t>
        </is>
      </c>
      <c r="H306" s="254" t="inlineStr">
        <is>
          <t>Card</t>
        </is>
      </c>
      <c r="I306" s="255" t="inlineStr">
        <is>
          <t>✅ Paid</t>
        </is>
      </c>
      <c r="J306" s="383" t="inlineStr">
        <is>
          <t>Tarjeta crédito · serial D2606031530065 (back-dated 3 Jun)</t>
        </is>
      </c>
    </row>
    <row r="307">
      <c r="B307" s="382" t="n">
        <v>46193</v>
      </c>
      <c r="C307" s="248" t="inlineStr">
        <is>
          <t>Topo Chico (2 packs)</t>
        </is>
      </c>
      <c r="D307" s="249" t="inlineStr">
        <is>
          <t>Sam's Club</t>
        </is>
      </c>
      <c r="E307" s="248" t="inlineStr">
        <is>
          <t>Ingredients - Beverages</t>
        </is>
      </c>
      <c r="F307" s="67" t="n">
        <v>464</v>
      </c>
      <c r="G307" s="250" t="inlineStr">
        <is>
          <t>Restaurant</t>
        </is>
      </c>
      <c r="H307" s="250" t="inlineStr">
        <is>
          <t>Card</t>
        </is>
      </c>
      <c r="I307" s="251" t="inlineStr">
        <is>
          <t>✅ Paid</t>
        </is>
      </c>
      <c r="J307" s="383" t="inlineStr">
        <is>
          <t>No receipt</t>
        </is>
      </c>
    </row>
    <row r="308">
      <c r="B308" s="382" t="n">
        <v>46192</v>
      </c>
      <c r="C308" s="252" t="inlineStr">
        <is>
          <t>Soft Restaurant — POS app subscription</t>
        </is>
      </c>
      <c r="D308" s="253" t="inlineStr">
        <is>
          <t>Soft Restaurant</t>
        </is>
      </c>
      <c r="E308" s="252" t="inlineStr">
        <is>
          <t>Software / Subscription</t>
        </is>
      </c>
      <c r="F308" s="70" t="n">
        <v>810</v>
      </c>
      <c r="G308" s="254" t="inlineStr">
        <is>
          <t>Restaurant</t>
        </is>
      </c>
      <c r="H308" s="254" t="inlineStr">
        <is>
          <t>Card</t>
        </is>
      </c>
      <c r="I308" s="255" t="inlineStr">
        <is>
          <t>✅ Paid</t>
        </is>
      </c>
      <c r="J308" s="383" t="inlineStr">
        <is>
          <t>No receipt · POS software subscription</t>
        </is>
      </c>
    </row>
    <row r="309">
      <c r="B309" s="382" t="n">
        <v>46194</v>
      </c>
      <c r="C309" s="248" t="inlineStr">
        <is>
          <t>Morrón surtido, espinaca, betabel</t>
        </is>
      </c>
      <c r="D309" s="249" t="inlineStr">
        <is>
          <t>Verduras Selectas Oscar</t>
        </is>
      </c>
      <c r="E309" s="248" t="inlineStr">
        <is>
          <t>Ingredients - Vegetables</t>
        </is>
      </c>
      <c r="F309" s="67" t="n">
        <v>84</v>
      </c>
      <c r="G309" s="250" t="inlineStr">
        <is>
          <t>Restaurant</t>
        </is>
      </c>
      <c r="H309" s="250" t="inlineStr">
        <is>
          <t>Cash</t>
        </is>
      </c>
      <c r="I309" s="251" t="inlineStr">
        <is>
          <t>✅ Paid</t>
        </is>
      </c>
      <c r="J309" s="383" t="inlineStr">
        <is>
          <t>Mercado de Abastos</t>
        </is>
      </c>
    </row>
    <row r="310">
      <c r="B310" s="382" t="n">
        <v>46194</v>
      </c>
      <c r="C310" s="252" t="inlineStr">
        <is>
          <t>Champiñón 1.02kg + Manzana Mexicana 1.13kg</t>
        </is>
      </c>
      <c r="D310" s="253" t="inlineStr">
        <is>
          <t>Mercado de Abastos</t>
        </is>
      </c>
      <c r="E310" s="252" t="inlineStr">
        <is>
          <t>Ingredients - Vegetables</t>
        </is>
      </c>
      <c r="F310" s="70" t="n">
        <v>153.62</v>
      </c>
      <c r="G310" s="254" t="inlineStr">
        <is>
          <t>Restaurant</t>
        </is>
      </c>
      <c r="H310" s="254" t="inlineStr">
        <is>
          <t>Cash</t>
        </is>
      </c>
      <c r="I310" s="255" t="inlineStr">
        <is>
          <t>✅ Paid</t>
        </is>
      </c>
      <c r="J310" s="383" t="inlineStr">
        <is>
          <t>Ticket 26351 (incl. apple)</t>
        </is>
      </c>
    </row>
    <row r="311">
      <c r="B311" s="382" t="n">
        <v>46194</v>
      </c>
      <c r="C311" s="248" t="inlineStr">
        <is>
          <t>Huevo (2 conos)</t>
        </is>
      </c>
      <c r="D311" s="249" t="inlineStr">
        <is>
          <t>Jaime (Mercado Abastos)</t>
        </is>
      </c>
      <c r="E311" s="248" t="inlineStr">
        <is>
          <t>Ingredients - Eggs</t>
        </is>
      </c>
      <c r="F311" s="67" t="n">
        <v>102</v>
      </c>
      <c r="G311" s="250" t="inlineStr">
        <is>
          <t>Restaurant</t>
        </is>
      </c>
      <c r="H311" s="250" t="inlineStr">
        <is>
          <t>Cash</t>
        </is>
      </c>
      <c r="I311" s="251" t="inlineStr">
        <is>
          <t>✅ Paid</t>
        </is>
      </c>
      <c r="J311" s="383" t="inlineStr"/>
    </row>
    <row r="312">
      <c r="B312" s="382" t="n">
        <v>46194</v>
      </c>
      <c r="C312" s="252" t="inlineStr">
        <is>
          <t>Zanahoria, jalapeño, serrano, cebolla</t>
        </is>
      </c>
      <c r="D312" s="253" t="inlineStr">
        <is>
          <t>Mi Joven</t>
        </is>
      </c>
      <c r="E312" s="252" t="inlineStr">
        <is>
          <t>Ingredients - Vegetables</t>
        </is>
      </c>
      <c r="F312" s="70" t="n">
        <v>131.5</v>
      </c>
      <c r="G312" s="254" t="inlineStr">
        <is>
          <t>Restaurant</t>
        </is>
      </c>
      <c r="H312" s="254" t="inlineStr">
        <is>
          <t>Cash</t>
        </is>
      </c>
      <c r="I312" s="255" t="inlineStr">
        <is>
          <t>✅ Paid</t>
        </is>
      </c>
      <c r="J312" s="383" t="inlineStr">
        <is>
          <t>Folio 19465</t>
        </is>
      </c>
    </row>
    <row r="313">
      <c r="B313" s="382" t="n">
        <v>46194</v>
      </c>
      <c r="C313" s="248" t="inlineStr">
        <is>
          <t>Calabaza 1.7kg</t>
        </is>
      </c>
      <c r="D313" s="249" t="inlineStr">
        <is>
          <t>Mi Joven</t>
        </is>
      </c>
      <c r="E313" s="248" t="inlineStr">
        <is>
          <t>Ingredients - Vegetables</t>
        </is>
      </c>
      <c r="F313" s="67" t="n">
        <v>34</v>
      </c>
      <c r="G313" s="250" t="inlineStr">
        <is>
          <t>Restaurant</t>
        </is>
      </c>
      <c r="H313" s="250" t="inlineStr">
        <is>
          <t>Cash</t>
        </is>
      </c>
      <c r="I313" s="251" t="inlineStr">
        <is>
          <t>✅ Paid</t>
        </is>
      </c>
      <c r="J313" s="383" t="inlineStr">
        <is>
          <t>Folio 19466</t>
        </is>
      </c>
    </row>
    <row r="314">
      <c r="B314" s="382" t="n">
        <v>46194</v>
      </c>
      <c r="C314" s="252" t="inlineStr">
        <is>
          <t>Tomate, limón, pepino, jícama</t>
        </is>
      </c>
      <c r="D314" s="253" t="inlineStr">
        <is>
          <t>Mercado de Abastos</t>
        </is>
      </c>
      <c r="E314" s="252" t="inlineStr">
        <is>
          <t>Ingredients - Vegetables</t>
        </is>
      </c>
      <c r="F314" s="70" t="n">
        <v>240</v>
      </c>
      <c r="G314" s="254" t="inlineStr">
        <is>
          <t>Restaurant</t>
        </is>
      </c>
      <c r="H314" s="254" t="inlineStr">
        <is>
          <t>Cash</t>
        </is>
      </c>
      <c r="I314" s="255" t="inlineStr">
        <is>
          <t>✅ Paid</t>
        </is>
      </c>
      <c r="J314" s="383" t="inlineStr">
        <is>
          <t>Handwritten note</t>
        </is>
      </c>
    </row>
    <row r="315">
      <c r="B315" s="382" t="n">
        <v>46194</v>
      </c>
      <c r="C315" s="248" t="inlineStr">
        <is>
          <t>Jitomate 7kg</t>
        </is>
      </c>
      <c r="D315" s="249" t="inlineStr">
        <is>
          <t>Frutas Finas Ana Pao</t>
        </is>
      </c>
      <c r="E315" s="248" t="inlineStr">
        <is>
          <t>Ingredients - Vegetables</t>
        </is>
      </c>
      <c r="F315" s="67" t="n">
        <v>105</v>
      </c>
      <c r="G315" s="250" t="inlineStr">
        <is>
          <t>Restaurant</t>
        </is>
      </c>
      <c r="H315" s="250" t="inlineStr">
        <is>
          <t>Cash</t>
        </is>
      </c>
      <c r="I315" s="251" t="inlineStr">
        <is>
          <t>✅ Paid</t>
        </is>
      </c>
      <c r="J315" s="383" t="inlineStr"/>
    </row>
    <row r="316">
      <c r="B316" s="382" t="n">
        <v>46194</v>
      </c>
      <c r="C316" s="252" t="inlineStr">
        <is>
          <t>Sandía, papaya, plátano, melón</t>
        </is>
      </c>
      <c r="D316" s="253" t="inlineStr">
        <is>
          <t>Mercado de Abastos</t>
        </is>
      </c>
      <c r="E316" s="252" t="inlineStr">
        <is>
          <t>Ingredients - Fruit</t>
        </is>
      </c>
      <c r="F316" s="70" t="n">
        <v>208</v>
      </c>
      <c r="G316" s="254" t="inlineStr">
        <is>
          <t>Restaurant</t>
        </is>
      </c>
      <c r="H316" s="254" t="inlineStr">
        <is>
          <t>Cash</t>
        </is>
      </c>
      <c r="I316" s="255" t="inlineStr">
        <is>
          <t>✅ Paid</t>
        </is>
      </c>
      <c r="J316" s="383" t="inlineStr">
        <is>
          <t>Handwritten note</t>
        </is>
      </c>
    </row>
    <row r="317">
      <c r="B317" s="382" t="n">
        <v>46194</v>
      </c>
      <c r="C317" s="248" t="inlineStr">
        <is>
          <t>Papa (3 x $35)</t>
        </is>
      </c>
      <c r="D317" s="249" t="inlineStr">
        <is>
          <t>Papas San Miguel</t>
        </is>
      </c>
      <c r="E317" s="248" t="inlineStr">
        <is>
          <t>Ingredients - Vegetables</t>
        </is>
      </c>
      <c r="F317" s="67" t="n">
        <v>105</v>
      </c>
      <c r="G317" s="250" t="inlineStr">
        <is>
          <t>Restaurant</t>
        </is>
      </c>
      <c r="H317" s="250" t="inlineStr">
        <is>
          <t>Cash</t>
        </is>
      </c>
      <c r="I317" s="251" t="inlineStr">
        <is>
          <t>✅ Paid</t>
        </is>
      </c>
      <c r="J317" s="383" t="inlineStr"/>
    </row>
    <row r="318">
      <c r="B318" s="382" t="n">
        <v>46194</v>
      </c>
      <c r="C318" s="252" t="inlineStr">
        <is>
          <t>Aguacate Hass + habanero</t>
        </is>
      </c>
      <c r="D318" s="253" t="inlineStr">
        <is>
          <t>Rey Tacamba</t>
        </is>
      </c>
      <c r="E318" s="252" t="inlineStr">
        <is>
          <t>Ingredients - Vegetables</t>
        </is>
      </c>
      <c r="F318" s="70" t="n">
        <v>214</v>
      </c>
      <c r="G318" s="254" t="inlineStr">
        <is>
          <t>Restaurant</t>
        </is>
      </c>
      <c r="H318" s="254" t="inlineStr">
        <is>
          <t>Cash</t>
        </is>
      </c>
      <c r="I318" s="255" t="inlineStr">
        <is>
          <t>✅ Paid</t>
        </is>
      </c>
      <c r="J318" s="383" t="inlineStr">
        <is>
          <t>Hass $94 + habanero $120</t>
        </is>
      </c>
    </row>
    <row r="319">
      <c r="B319" s="382" t="n">
        <v>46194</v>
      </c>
      <c r="C319" s="248" t="inlineStr">
        <is>
          <t>Chicharrón (1 hoja)</t>
        </is>
      </c>
      <c r="D319" s="249" t="inlineStr">
        <is>
          <t>Chicharronería San Nicolás</t>
        </is>
      </c>
      <c r="E319" s="248" t="inlineStr">
        <is>
          <t>Ingredients - Meat</t>
        </is>
      </c>
      <c r="F319" s="67" t="n">
        <v>89</v>
      </c>
      <c r="G319" s="250" t="inlineStr">
        <is>
          <t>Restaurant</t>
        </is>
      </c>
      <c r="H319" s="250" t="inlineStr">
        <is>
          <t>Cash</t>
        </is>
      </c>
      <c r="I319" s="251" t="inlineStr">
        <is>
          <t>✅ Paid</t>
        </is>
      </c>
      <c r="J319" s="383" t="inlineStr">
        <is>
          <t>Corrected to \ per Reddy (was read as 899)</t>
        </is>
      </c>
    </row>
    <row r="320">
      <c r="B320" s="382" t="n">
        <v>46194</v>
      </c>
      <c r="C320" s="252" t="inlineStr">
        <is>
          <t>Vasos, tapas, cucharas, biocup vaso papel</t>
        </is>
      </c>
      <c r="D320" s="253" t="inlineStr">
        <is>
          <t>MPPD - Materias Primas Plasticos</t>
        </is>
      </c>
      <c r="E320" s="252" t="inlineStr">
        <is>
          <t>Packaging / Disposables</t>
        </is>
      </c>
      <c r="F320" s="70" t="n">
        <v>295.73</v>
      </c>
      <c r="G320" s="254" t="inlineStr">
        <is>
          <t>Restaurant</t>
        </is>
      </c>
      <c r="H320" s="254" t="inlineStr">
        <is>
          <t>Cash</t>
        </is>
      </c>
      <c r="I320" s="255" t="inlineStr">
        <is>
          <t>✅ Paid</t>
        </is>
      </c>
      <c r="J320" s="383" t="inlineStr">
        <is>
          <t>Folio 381088</t>
        </is>
      </c>
    </row>
    <row r="321">
      <c r="B321" s="382" t="n">
        <v>46194</v>
      </c>
      <c r="C321" s="248" t="inlineStr">
        <is>
          <t>Cilantro, hierbabuena, lechuga italiana</t>
        </is>
      </c>
      <c r="D321" s="249" t="inlineStr">
        <is>
          <t>Hnos. Labra's</t>
        </is>
      </c>
      <c r="E321" s="248" t="inlineStr">
        <is>
          <t>Ingredients - Vegetables</t>
        </is>
      </c>
      <c r="F321" s="67" t="n">
        <v>215</v>
      </c>
      <c r="G321" s="250" t="inlineStr">
        <is>
          <t>Restaurant</t>
        </is>
      </c>
      <c r="H321" s="250" t="inlineStr">
        <is>
          <t>Cash</t>
        </is>
      </c>
      <c r="I321" s="251" t="inlineStr">
        <is>
          <t>✅ Paid</t>
        </is>
      </c>
      <c r="J321" s="383" t="inlineStr"/>
    </row>
    <row r="322">
      <c r="B322" s="382" t="n">
        <v>46194</v>
      </c>
      <c r="C322" s="252" t="inlineStr">
        <is>
          <t>Pens (office/stationery)</t>
        </is>
      </c>
      <c r="D322" s="253" t="inlineStr">
        <is>
          <t>Local purchase</t>
        </is>
      </c>
      <c r="E322" s="252" t="inlineStr">
        <is>
          <t>Office Supplies</t>
        </is>
      </c>
      <c r="F322" s="70" t="n">
        <v>30</v>
      </c>
      <c r="G322" s="254" t="inlineStr">
        <is>
          <t>Restaurant</t>
        </is>
      </c>
      <c r="H322" s="254" t="inlineStr">
        <is>
          <t>Cash</t>
        </is>
      </c>
      <c r="I322" s="255" t="inlineStr">
        <is>
          <t>✅ Paid</t>
        </is>
      </c>
      <c r="J322" s="383" t="inlineStr">
        <is>
          <t>No receipt</t>
        </is>
      </c>
    </row>
    <row r="323">
      <c r="B323" s="382" t="n">
        <v>46194</v>
      </c>
      <c r="C323" s="248" t="inlineStr">
        <is>
          <t>Restaurant Command booklet (comandas)</t>
        </is>
      </c>
      <c r="D323" s="249" t="inlineStr">
        <is>
          <t>Local purchase</t>
        </is>
      </c>
      <c r="E323" s="248" t="inlineStr">
        <is>
          <t>Office Supplies</t>
        </is>
      </c>
      <c r="F323" s="67" t="n">
        <v>59</v>
      </c>
      <c r="G323" s="250" t="inlineStr">
        <is>
          <t>Restaurant</t>
        </is>
      </c>
      <c r="H323" s="250" t="inlineStr">
        <is>
          <t>Cash</t>
        </is>
      </c>
      <c r="I323" s="251" t="inlineStr">
        <is>
          <t>✅ Paid</t>
        </is>
      </c>
      <c r="J323" s="383" t="inlineStr">
        <is>
          <t>No receipt — order pads</t>
        </is>
      </c>
    </row>
    <row r="324">
      <c r="B324" s="382" t="n">
        <v>46195</v>
      </c>
      <c r="C324" s="252" t="inlineStr">
        <is>
          <t>Pollo: muslo 4.95kg, pechuga 3.32kg, milanesa 1.64kg, ala 1.74kg</t>
        </is>
      </c>
      <c r="D324" s="253" t="inlineStr">
        <is>
          <t>Polleria local</t>
        </is>
      </c>
      <c r="E324" s="252" t="inlineStr">
        <is>
          <t>Ingredients - Meat</t>
        </is>
      </c>
      <c r="F324" s="70" t="n">
        <v>940</v>
      </c>
      <c r="G324" s="254" t="inlineStr">
        <is>
          <t>Restaurant</t>
        </is>
      </c>
      <c r="H324" s="254" t="inlineStr">
        <is>
          <t>Cash</t>
        </is>
      </c>
      <c r="I324" s="255" t="inlineStr">
        <is>
          <t>✅ Paid</t>
        </is>
      </c>
      <c r="J324" s="383" t="inlineStr">
        <is>
          <t>Nota remision LOKA Cafe</t>
        </is>
      </c>
    </row>
    <row r="325">
      <c r="B325" s="382" t="n">
        <v>46195</v>
      </c>
      <c r="C325" s="248" t="inlineStr">
        <is>
          <t>Carne ~3 kg</t>
        </is>
      </c>
      <c r="D325" s="249" t="inlineStr">
        <is>
          <t>Miscelanea LC La Cruz</t>
        </is>
      </c>
      <c r="E325" s="248" t="inlineStr">
        <is>
          <t>Ingredients - Meat</t>
        </is>
      </c>
      <c r="F325" s="67" t="n">
        <v>291</v>
      </c>
      <c r="G325" s="250" t="inlineStr">
        <is>
          <t>Restaurant</t>
        </is>
      </c>
      <c r="H325" s="250" t="inlineStr">
        <is>
          <t>Card</t>
        </is>
      </c>
      <c r="I325" s="251" t="inlineStr">
        <is>
          <t>✅ Paid</t>
        </is>
      </c>
      <c r="J325" s="383" t="inlineStr">
        <is>
          <t>Getnet 3982 Aut 358593</t>
        </is>
      </c>
    </row>
    <row r="326">
      <c r="B326" s="382" t="n">
        <v>46195</v>
      </c>
      <c r="C326" s="252" t="inlineStr">
        <is>
          <t>Agua natural</t>
        </is>
      </c>
      <c r="D326" s="253" t="inlineStr">
        <is>
          <t>Local purchase</t>
        </is>
      </c>
      <c r="E326" s="252" t="inlineStr">
        <is>
          <t>Ingredients - Beverages</t>
        </is>
      </c>
      <c r="F326" s="70" t="n">
        <v>60</v>
      </c>
      <c r="G326" s="254" t="inlineStr">
        <is>
          <t>Restaurant</t>
        </is>
      </c>
      <c r="H326" s="254" t="inlineStr">
        <is>
          <t>Cash</t>
        </is>
      </c>
      <c r="I326" s="255" t="inlineStr">
        <is>
          <t>✅ Paid</t>
        </is>
      </c>
      <c r="J326" s="383" t="inlineStr">
        <is>
          <t>No receipt</t>
        </is>
      </c>
    </row>
    <row r="327">
      <c r="B327" s="382" t="n">
        <v>46195</v>
      </c>
      <c r="C327" s="248" t="inlineStr">
        <is>
          <t>Tortillas</t>
        </is>
      </c>
      <c r="D327" s="249" t="inlineStr">
        <is>
          <t>Local purchase</t>
        </is>
      </c>
      <c r="E327" s="248" t="inlineStr">
        <is>
          <t>Ingredients - Bread</t>
        </is>
      </c>
      <c r="F327" s="67" t="n">
        <v>26</v>
      </c>
      <c r="G327" s="250" t="inlineStr">
        <is>
          <t>Restaurant</t>
        </is>
      </c>
      <c r="H327" s="250" t="inlineStr">
        <is>
          <t>Cash</t>
        </is>
      </c>
      <c r="I327" s="251" t="inlineStr">
        <is>
          <t>✅ Paid</t>
        </is>
      </c>
      <c r="J327" s="383" t="inlineStr">
        <is>
          <t>No receipt</t>
        </is>
      </c>
    </row>
    <row r="328">
      <c r="B328" s="382" t="n">
        <v>46195</v>
      </c>
      <c r="C328" s="252" t="inlineStr">
        <is>
          <t>Pan dulces</t>
        </is>
      </c>
      <c r="D328" s="253" t="inlineStr">
        <is>
          <t>Local purchase</t>
        </is>
      </c>
      <c r="E328" s="252" t="inlineStr">
        <is>
          <t>Ingredients - Bread</t>
        </is>
      </c>
      <c r="F328" s="70" t="n">
        <v>134</v>
      </c>
      <c r="G328" s="254" t="inlineStr">
        <is>
          <t>Restaurant</t>
        </is>
      </c>
      <c r="H328" s="254" t="inlineStr">
        <is>
          <t>Cash</t>
        </is>
      </c>
      <c r="I328" s="255" t="inlineStr">
        <is>
          <t>✅ Paid</t>
        </is>
      </c>
      <c r="J328" s="383" t="inlineStr">
        <is>
          <t>No receipt</t>
        </is>
      </c>
    </row>
    <row r="329">
      <c r="B329" s="382" t="n">
        <v>46192</v>
      </c>
      <c r="C329" s="248" t="inlineStr">
        <is>
          <t>Panko (x2)</t>
        </is>
      </c>
      <c r="D329" s="249" t="inlineStr">
        <is>
          <t>Molino y Condimentos La Cruz</t>
        </is>
      </c>
      <c r="E329" s="248" t="inlineStr">
        <is>
          <t>Ingredients - Pantry</t>
        </is>
      </c>
      <c r="F329" s="67" t="n">
        <v>196</v>
      </c>
      <c r="G329" s="250" t="inlineStr">
        <is>
          <t>Restaurant</t>
        </is>
      </c>
      <c r="H329" s="250" t="inlineStr">
        <is>
          <t>Cash</t>
        </is>
      </c>
      <c r="I329" s="251" t="inlineStr">
        <is>
          <t>✅ Paid</t>
        </is>
      </c>
      <c r="J329" s="383" t="inlineStr">
        <is>
          <t>Nota 202067 back-dated 19 Jun; paid by another person, reimbursed by Lohith 22-Jun</t>
        </is>
      </c>
    </row>
    <row r="330">
      <c r="B330" s="382" t="n">
        <v>46192</v>
      </c>
      <c r="C330" s="252" t="inlineStr">
        <is>
          <t>Papel alimenticio (food paper)</t>
        </is>
      </c>
      <c r="D330" s="253" t="inlineStr">
        <is>
          <t>Guimar Polietilenos</t>
        </is>
      </c>
      <c r="E330" s="252" t="inlineStr">
        <is>
          <t>Packaging / Disposables</t>
        </is>
      </c>
      <c r="F330" s="70" t="n">
        <v>35</v>
      </c>
      <c r="G330" s="254" t="inlineStr">
        <is>
          <t>Restaurant</t>
        </is>
      </c>
      <c r="H330" s="254" t="inlineStr">
        <is>
          <t>Cash</t>
        </is>
      </c>
      <c r="I330" s="255" t="inlineStr">
        <is>
          <t>✅ Paid</t>
        </is>
      </c>
      <c r="J330" s="383" t="inlineStr">
        <is>
          <t>Folio XCC37706 back-dated 19 Jun; paid by another person, reimbursed by Lohith 22-Jun</t>
        </is>
      </c>
    </row>
    <row r="331">
      <c r="B331" s="382" t="n">
        <v>46196</v>
      </c>
      <c r="C331" s="248" t="inlineStr">
        <is>
          <t>Sushi ingredients: arroz para sushi + alga nori</t>
        </is>
      </c>
      <c r="D331" s="249" t="inlineStr">
        <is>
          <t>H-E-B</t>
        </is>
      </c>
      <c r="E331" s="248" t="inlineStr">
        <is>
          <t>Ingredients - Pantry</t>
        </is>
      </c>
      <c r="F331" s="67" t="n">
        <v>269.5</v>
      </c>
      <c r="G331" s="250" t="inlineStr">
        <is>
          <t>Restaurant</t>
        </is>
      </c>
      <c r="H331" s="250" t="inlineStr">
        <is>
          <t>Card</t>
        </is>
      </c>
      <c r="I331" s="251" t="inlineStr">
        <is>
          <t>✅ Paid</t>
        </is>
      </c>
      <c r="J331" s="383" t="inlineStr">
        <is>
          <t>CB PROSA 3982 Aut 766296 (part of 366 ticket)</t>
        </is>
      </c>
    </row>
    <row r="332">
      <c r="B332" s="382" t="n">
        <v>46196</v>
      </c>
      <c r="C332" s="252" t="inlineStr">
        <is>
          <t>Sushi supplies: makisu mat + palillos</t>
        </is>
      </c>
      <c r="D332" s="253" t="inlineStr">
        <is>
          <t>H-E-B</t>
        </is>
      </c>
      <c r="E332" s="252" t="inlineStr">
        <is>
          <t>Kitchen Supplies</t>
        </is>
      </c>
      <c r="F332" s="70" t="n">
        <v>96.5</v>
      </c>
      <c r="G332" s="254" t="inlineStr">
        <is>
          <t>Restaurant</t>
        </is>
      </c>
      <c r="H332" s="254" t="inlineStr">
        <is>
          <t>Card</t>
        </is>
      </c>
      <c r="I332" s="255" t="inlineStr">
        <is>
          <t>✅ Paid</t>
        </is>
      </c>
      <c r="J332" s="383" t="inlineStr">
        <is>
          <t>Part of 366 H-E-B ticket</t>
        </is>
      </c>
    </row>
    <row r="333">
      <c r="B333" s="382" t="n">
        <v>46196</v>
      </c>
      <c r="C333" s="248" t="inlineStr">
        <is>
          <t>Carne / meat (handwritten remision)</t>
        </is>
      </c>
      <c r="D333" s="249" t="inlineStr">
        <is>
          <t>Miscelanea LC La Cruz</t>
        </is>
      </c>
      <c r="E333" s="248" t="inlineStr">
        <is>
          <t>Ingredients - Meat</t>
        </is>
      </c>
      <c r="F333" s="67" t="n">
        <v>151</v>
      </c>
      <c r="G333" s="250" t="inlineStr">
        <is>
          <t>Restaurant</t>
        </is>
      </c>
      <c r="H333" s="250" t="inlineStr">
        <is>
          <t>Card</t>
        </is>
      </c>
      <c r="I333" s="251" t="inlineStr">
        <is>
          <t>✅ Paid</t>
        </is>
      </c>
      <c r="J333" s="383" t="inlineStr">
        <is>
          <t>Getnet 3982 Aut 993325</t>
        </is>
      </c>
    </row>
    <row r="334">
      <c r="B334" s="382" t="n">
        <v>46196</v>
      </c>
      <c r="C334" s="252" t="inlineStr">
        <is>
          <t>Hielo (ice)</t>
        </is>
      </c>
      <c r="D334" s="253" t="inlineStr">
        <is>
          <t>Local purchase</t>
        </is>
      </c>
      <c r="E334" s="252" t="inlineStr">
        <is>
          <t>Ingredients - Beverages</t>
        </is>
      </c>
      <c r="F334" s="70" t="n">
        <v>150</v>
      </c>
      <c r="G334" s="254" t="inlineStr">
        <is>
          <t>Restaurant</t>
        </is>
      </c>
      <c r="H334" s="254" t="inlineStr">
        <is>
          <t>Cash</t>
        </is>
      </c>
      <c r="I334" s="255" t="inlineStr">
        <is>
          <t>✅ Paid</t>
        </is>
      </c>
      <c r="J334" s="383" t="inlineStr">
        <is>
          <t>No bill</t>
        </is>
      </c>
    </row>
    <row r="335">
      <c r="B335" s="382" t="n">
        <v>46196</v>
      </c>
      <c r="C335" s="248" t="inlineStr">
        <is>
          <t>Pan molido (breadcrumbs)</t>
        </is>
      </c>
      <c r="D335" s="249" t="inlineStr">
        <is>
          <t>Local purchase</t>
        </is>
      </c>
      <c r="E335" s="248" t="inlineStr">
        <is>
          <t>Ingredients - Pantry</t>
        </is>
      </c>
      <c r="F335" s="67" t="n">
        <v>46</v>
      </c>
      <c r="G335" s="250" t="inlineStr">
        <is>
          <t>Restaurant</t>
        </is>
      </c>
      <c r="H335" s="250" t="inlineStr">
        <is>
          <t>Cash</t>
        </is>
      </c>
      <c r="I335" s="251" t="inlineStr">
        <is>
          <t>✅ Paid</t>
        </is>
      </c>
      <c r="J335" s="383" t="inlineStr">
        <is>
          <t>No bill</t>
        </is>
      </c>
    </row>
    <row r="336">
      <c r="B336" s="382" t="n">
        <v>46196</v>
      </c>
      <c r="C336" s="252" t="inlineStr">
        <is>
          <t>Tortillas blanca 3.395 kg</t>
        </is>
      </c>
      <c r="D336" s="253" t="inlineStr">
        <is>
          <t>Chedraui Selecto</t>
        </is>
      </c>
      <c r="E336" s="252" t="inlineStr">
        <is>
          <t>Ingredients - Bread</t>
        </is>
      </c>
      <c r="F336" s="70" t="n">
        <v>44.13</v>
      </c>
      <c r="G336" s="254" t="inlineStr">
        <is>
          <t>Restaurant</t>
        </is>
      </c>
      <c r="H336" s="254" t="inlineStr">
        <is>
          <t>Card</t>
        </is>
      </c>
      <c r="I336" s="255" t="inlineStr">
        <is>
          <t>✅ Paid</t>
        </is>
      </c>
      <c r="J336" s="383" t="inlineStr">
        <is>
          <t>Debito BBVA 3982 Aut 651338 Folio 2606230937026818</t>
        </is>
      </c>
    </row>
    <row r="337">
      <c r="B337" s="382" t="n">
        <v>46197</v>
      </c>
      <c r="C337" s="248" t="inlineStr">
        <is>
          <t>Queso crema Lala 190g x2</t>
        </is>
      </c>
      <c r="D337" s="249" t="inlineStr">
        <is>
          <t>Chedraui Paseo</t>
        </is>
      </c>
      <c r="E337" s="248" t="inlineStr">
        <is>
          <t>Ingredients - Dairy</t>
        </is>
      </c>
      <c r="F337" s="67" t="n">
        <v>72</v>
      </c>
      <c r="G337" s="250" t="inlineStr">
        <is>
          <t>Restaurant</t>
        </is>
      </c>
      <c r="H337" s="250" t="inlineStr">
        <is>
          <t>Card</t>
        </is>
      </c>
      <c r="I337" s="251" t="inlineStr">
        <is>
          <t>✅ Paid</t>
        </is>
      </c>
      <c r="J337" s="383" t="inlineStr">
        <is>
          <t>Debito BBVA 3982; Chedraui Paseo ticket total 126.33 (crema+tortillas), dairy portion</t>
        </is>
      </c>
    </row>
    <row r="338">
      <c r="B338" s="382" t="n">
        <v>46197</v>
      </c>
      <c r="C338" s="252" t="inlineStr">
        <is>
          <t>Tortillas blancas x2</t>
        </is>
      </c>
      <c r="D338" s="253" t="inlineStr">
        <is>
          <t>Chedraui Paseo</t>
        </is>
      </c>
      <c r="E338" s="252" t="inlineStr">
        <is>
          <t>Ingredients - Bread</t>
        </is>
      </c>
      <c r="F338" s="70" t="n">
        <v>54.33</v>
      </c>
      <c r="G338" s="254" t="inlineStr">
        <is>
          <t>Restaurant</t>
        </is>
      </c>
      <c r="H338" s="254" t="inlineStr">
        <is>
          <t>Card</t>
        </is>
      </c>
      <c r="I338" s="255" t="inlineStr">
        <is>
          <t>✅ Paid</t>
        </is>
      </c>
      <c r="J338" s="383" t="inlineStr">
        <is>
          <t>Debito BBVA 3982; same Chedraui ticket, bread portion</t>
        </is>
      </c>
    </row>
    <row r="339">
      <c r="B339" s="382" t="n">
        <v>46197</v>
      </c>
      <c r="C339" s="248" t="inlineStr">
        <is>
          <t>Crema acida x2</t>
        </is>
      </c>
      <c r="D339" s="249" t="inlineStr">
        <is>
          <t>Sam's Club</t>
        </is>
      </c>
      <c r="E339" s="248" t="inlineStr">
        <is>
          <t>Ingredients - Dairy</t>
        </is>
      </c>
      <c r="F339" s="67" t="n">
        <v>479.84</v>
      </c>
      <c r="G339" s="250" t="inlineStr">
        <is>
          <t>Restaurant</t>
        </is>
      </c>
      <c r="H339" s="250" t="inlineStr">
        <is>
          <t>Card</t>
        </is>
      </c>
      <c r="I339" s="251" t="inlineStr">
        <is>
          <t>✅ Paid</t>
        </is>
      </c>
      <c r="J339" s="383" t="inlineStr">
        <is>
          <t>Debito Mastercard **82; Sam's ticket 1512.00 net of cuponera -32.73 + descuento -34.77; dairy portion of split</t>
        </is>
      </c>
    </row>
    <row r="340">
      <c r="B340" s="382" t="n">
        <v>46197</v>
      </c>
      <c r="C340" s="252" t="inlineStr">
        <is>
          <t>Condimix 3.6, Mayo Real, Arroz Morel</t>
        </is>
      </c>
      <c r="D340" s="253" t="inlineStr">
        <is>
          <t>Sam's Club</t>
        </is>
      </c>
      <c r="E340" s="252" t="inlineStr">
        <is>
          <t>Ingredients - Pantry</t>
        </is>
      </c>
      <c r="F340" s="70" t="n">
        <v>1032.16</v>
      </c>
      <c r="G340" s="254" t="inlineStr">
        <is>
          <t>Restaurant</t>
        </is>
      </c>
      <c r="H340" s="254" t="inlineStr">
        <is>
          <t>Card</t>
        </is>
      </c>
      <c r="I340" s="255" t="inlineStr">
        <is>
          <t>✅ Paid</t>
        </is>
      </c>
      <c r="J340" s="383" t="inlineStr">
        <is>
          <t>Debito Mastercard **82; pantry portion of 1512.00 Sam's ticket</t>
        </is>
      </c>
    </row>
    <row r="341">
      <c r="B341" s="382" t="n">
        <v>46197</v>
      </c>
      <c r="C341" s="248" t="inlineStr">
        <is>
          <t>Gas LP</t>
        </is>
      </c>
      <c r="D341" s="249" t="inlineStr">
        <is>
          <t>Gas Tomza de Mexico</t>
        </is>
      </c>
      <c r="E341" s="248" t="inlineStr">
        <is>
          <t>Utilities / Gas</t>
        </is>
      </c>
      <c r="F341" s="67" t="n">
        <v>1499.52</v>
      </c>
      <c r="G341" s="250" t="inlineStr">
        <is>
          <t>Restaurant</t>
        </is>
      </c>
      <c r="H341" s="250" t="inlineStr">
        <is>
          <t>Cash</t>
        </is>
      </c>
      <c r="I341" s="251" t="inlineStr">
        <is>
          <t>✅ Paid</t>
        </is>
      </c>
      <c r="J341" s="383" t="inlineStr">
        <is>
          <t>Remision 8900 @ $10.58/L IVA incl; pague antes 25/06; paid cash</t>
        </is>
      </c>
    </row>
    <row r="342">
      <c r="B342" s="382" t="n">
        <v>46197</v>
      </c>
      <c r="C342" s="252" t="inlineStr">
        <is>
          <t>Filete de salmon 1.03 kg @ 350/kg</t>
        </is>
      </c>
      <c r="D342" s="253" t="inlineStr">
        <is>
          <t>Brisa del Mar</t>
        </is>
      </c>
      <c r="E342" s="252" t="inlineStr">
        <is>
          <t>Ingredients - Meat &amp; Fish</t>
        </is>
      </c>
      <c r="F342" s="70" t="n">
        <v>360.5</v>
      </c>
      <c r="G342" s="254" t="inlineStr">
        <is>
          <t>Restaurant</t>
        </is>
      </c>
      <c r="H342" s="254" t="inlineStr">
        <is>
          <t>Cash</t>
        </is>
      </c>
      <c r="I342" s="255" t="inlineStr">
        <is>
          <t>✅ Paid</t>
        </is>
      </c>
      <c r="J342" s="383" t="inlineStr">
        <is>
          <t>Contado; NT 027672</t>
        </is>
      </c>
    </row>
    <row r="343">
      <c r="B343" s="382" t="n">
        <v>46197</v>
      </c>
      <c r="C343" s="248" t="inlineStr">
        <is>
          <t>Naranjada 1L x6</t>
        </is>
      </c>
      <c r="D343" s="249" t="inlineStr">
        <is>
          <t>Casa Reca</t>
        </is>
      </c>
      <c r="E343" s="248" t="inlineStr">
        <is>
          <t>Ingredients - Beverages</t>
        </is>
      </c>
      <c r="F343" s="67" t="n">
        <v>150</v>
      </c>
      <c r="G343" s="250" t="inlineStr">
        <is>
          <t>Restaurant</t>
        </is>
      </c>
      <c r="H343" s="250" t="inlineStr">
        <is>
          <t>Cash</t>
        </is>
      </c>
      <c r="I343" s="251" t="inlineStr">
        <is>
          <t>✅ Paid</t>
        </is>
      </c>
      <c r="J343" s="383" t="inlineStr">
        <is>
          <t>Nota QR-37; 6 pzas; canje CJ-4 (horchata/naranjada/tamarindo) $0; paid cash</t>
        </is>
      </c>
    </row>
    <row r="344">
      <c r="B344" s="382" t="n">
        <v>46197</v>
      </c>
      <c r="C344" s="252" t="inlineStr">
        <is>
          <t>Papas (potatoes)</t>
        </is>
      </c>
      <c r="D344" s="253" t="inlineStr">
        <is>
          <t>Local purchase</t>
        </is>
      </c>
      <c r="E344" s="252" t="inlineStr">
        <is>
          <t>Ingredients - Vegetables</t>
        </is>
      </c>
      <c r="F344" s="70" t="n">
        <v>133</v>
      </c>
      <c r="G344" s="254" t="inlineStr">
        <is>
          <t>Restaurant</t>
        </is>
      </c>
      <c r="H344" s="254" t="inlineStr">
        <is>
          <t>Cash</t>
        </is>
      </c>
      <c r="I344" s="255" t="inlineStr">
        <is>
          <t>✅ Paid</t>
        </is>
      </c>
      <c r="J344" s="383" t="inlineStr">
        <is>
          <t>No bill</t>
        </is>
      </c>
    </row>
    <row r="345">
      <c r="B345" s="382" t="n">
        <v>46198</v>
      </c>
      <c r="C345" s="248" t="inlineStr">
        <is>
          <t>Muslo (chicken thigh) ~12.3 kg @ $50/kg</t>
        </is>
      </c>
      <c r="D345" s="249" t="inlineStr">
        <is>
          <t>Oh lele / Local</t>
        </is>
      </c>
      <c r="E345" s="248" t="inlineStr">
        <is>
          <t>Ingredients - Meat</t>
        </is>
      </c>
      <c r="F345" s="67" t="n">
        <v>615</v>
      </c>
      <c r="G345" s="250" t="inlineStr">
        <is>
          <t>Restaurant</t>
        </is>
      </c>
      <c r="H345" s="250" t="inlineStr">
        <is>
          <t>Cash</t>
        </is>
      </c>
      <c r="I345" s="251" t="inlineStr">
        <is>
          <t>✅ Paid</t>
        </is>
      </c>
      <c r="J345" s="383" t="inlineStr">
        <is>
          <t>Nota de remision (handwritten, Loka Cafe); total $615; cash</t>
        </is>
      </c>
    </row>
    <row r="346">
      <c r="B346" s="382" t="n">
        <v>46198</v>
      </c>
      <c r="C346" s="252" t="inlineStr">
        <is>
          <t>Costilla cd (pork ribs) 3.15 kg @ ~$103/kg</t>
        </is>
      </c>
      <c r="D346" s="253" t="inlineStr">
        <is>
          <t>Miscelanea LC La Cruz</t>
        </is>
      </c>
      <c r="E346" s="252" t="inlineStr">
        <is>
          <t>Ingredients - Meat</t>
        </is>
      </c>
      <c r="F346" s="70" t="n">
        <v>318</v>
      </c>
      <c r="G346" s="254" t="inlineStr">
        <is>
          <t>Restaurant</t>
        </is>
      </c>
      <c r="H346" s="254" t="inlineStr">
        <is>
          <t>Card</t>
        </is>
      </c>
      <c r="I346" s="255" t="inlineStr">
        <is>
          <t>✅ Paid</t>
        </is>
      </c>
      <c r="J346" s="383" t="inlineStr">
        <is>
          <t>Remision ~319 handwritten; Getnet card charge 318.00; card **3982 Aut 298095; LC remision partly illegible</t>
        </is>
      </c>
    </row>
    <row r="347">
      <c r="B347" s="382" t="n">
        <v>46198</v>
      </c>
      <c r="C347" s="248" t="inlineStr">
        <is>
          <t>Papas (potatoes)</t>
        </is>
      </c>
      <c r="D347" s="249" t="inlineStr">
        <is>
          <t>Local purchase</t>
        </is>
      </c>
      <c r="E347" s="248" t="inlineStr">
        <is>
          <t>Ingredients - Vegetables</t>
        </is>
      </c>
      <c r="F347" s="67" t="n">
        <v>64</v>
      </c>
      <c r="G347" s="250" t="inlineStr">
        <is>
          <t>Restaurant</t>
        </is>
      </c>
      <c r="H347" s="250" t="inlineStr">
        <is>
          <t>Cash</t>
        </is>
      </c>
      <c r="I347" s="251" t="inlineStr">
        <is>
          <t>✅ Paid</t>
        </is>
      </c>
      <c r="J347" s="383" t="inlineStr">
        <is>
          <t>No bill</t>
        </is>
      </c>
    </row>
    <row r="348">
      <c r="B348" s="382" t="n">
        <v>46198</v>
      </c>
      <c r="C348" s="252" t="inlineStr">
        <is>
          <t>Pan dulces</t>
        </is>
      </c>
      <c r="D348" s="253" t="inlineStr">
        <is>
          <t>Local purchase</t>
        </is>
      </c>
      <c r="E348" s="252" t="inlineStr">
        <is>
          <t>Ingredients - Bread</t>
        </is>
      </c>
      <c r="F348" s="70" t="n">
        <v>96</v>
      </c>
      <c r="G348" s="254" t="inlineStr">
        <is>
          <t>Restaurant</t>
        </is>
      </c>
      <c r="H348" s="254" t="inlineStr">
        <is>
          <t>Cash</t>
        </is>
      </c>
      <c r="I348" s="255" t="inlineStr">
        <is>
          <t>✅ Paid</t>
        </is>
      </c>
      <c r="J348" s="383" t="inlineStr">
        <is>
          <t>No bill</t>
        </is>
      </c>
    </row>
    <row r="349">
      <c r="B349" s="382" t="n">
        <v>46198</v>
      </c>
      <c r="C349" s="248" t="inlineStr">
        <is>
          <t>Agua natural</t>
        </is>
      </c>
      <c r="D349" s="249" t="inlineStr">
        <is>
          <t>Local purchase</t>
        </is>
      </c>
      <c r="E349" s="248" t="inlineStr">
        <is>
          <t>Supplies / Other</t>
        </is>
      </c>
      <c r="F349" s="67" t="n">
        <v>60</v>
      </c>
      <c r="G349" s="250" t="inlineStr">
        <is>
          <t>Restaurant</t>
        </is>
      </c>
      <c r="H349" s="250" t="inlineStr">
        <is>
          <t>Cash</t>
        </is>
      </c>
      <c r="I349" s="251" t="inlineStr">
        <is>
          <t>✅ Paid</t>
        </is>
      </c>
      <c r="J349" s="383" t="inlineStr">
        <is>
          <t>No bill</t>
        </is>
      </c>
    </row>
    <row r="350">
      <c r="B350" s="382" t="n">
        <v>46198</v>
      </c>
      <c r="C350" s="252" t="inlineStr">
        <is>
          <t>Frigadora (kitchenware)</t>
        </is>
      </c>
      <c r="D350" s="253" t="inlineStr">
        <is>
          <t>Local purchase</t>
        </is>
      </c>
      <c r="E350" s="252" t="inlineStr">
        <is>
          <t>Kitchen Supplies</t>
        </is>
      </c>
      <c r="F350" s="70" t="n">
        <v>45</v>
      </c>
      <c r="G350" s="254" t="inlineStr">
        <is>
          <t>Restaurant</t>
        </is>
      </c>
      <c r="H350" s="254" t="inlineStr">
        <is>
          <t>Cash</t>
        </is>
      </c>
      <c r="I350" s="255" t="inlineStr">
        <is>
          <t>✅ Paid</t>
        </is>
      </c>
      <c r="J350" s="383" t="inlineStr">
        <is>
          <t>No bill</t>
        </is>
      </c>
    </row>
    <row r="351">
      <c r="B351" s="382" t="n">
        <v>46198</v>
      </c>
      <c r="C351" s="248" t="inlineStr">
        <is>
          <t>Gancho (hook)</t>
        </is>
      </c>
      <c r="D351" s="249" t="inlineStr">
        <is>
          <t>Local purchase</t>
        </is>
      </c>
      <c r="E351" s="248" t="inlineStr">
        <is>
          <t>Supplies / Other</t>
        </is>
      </c>
      <c r="F351" s="67" t="n">
        <v>30</v>
      </c>
      <c r="G351" s="250" t="inlineStr">
        <is>
          <t>Restaurant</t>
        </is>
      </c>
      <c r="H351" s="250" t="inlineStr">
        <is>
          <t>Cash</t>
        </is>
      </c>
      <c r="I351" s="251" t="inlineStr">
        <is>
          <t>✅ Paid</t>
        </is>
      </c>
      <c r="J351" s="383" t="inlineStr">
        <is>
          <t>No bill</t>
        </is>
      </c>
    </row>
    <row r="352">
      <c r="B352" s="382" t="n">
        <v>46199</v>
      </c>
      <c r="C352" s="252" t="inlineStr">
        <is>
          <t>Zanahoria, cilantro, tomate (granel)</t>
        </is>
      </c>
      <c r="D352" s="253" t="inlineStr">
        <is>
          <t>Chedraui Paseo</t>
        </is>
      </c>
      <c r="E352" s="252" t="inlineStr">
        <is>
          <t>Ingredients - Vegetables</t>
        </is>
      </c>
      <c r="F352" s="70" t="n">
        <v>45.74</v>
      </c>
      <c r="G352" s="254" t="inlineStr">
        <is>
          <t>Restaurant</t>
        </is>
      </c>
      <c r="H352" s="254" t="inlineStr">
        <is>
          <t>Card</t>
        </is>
      </c>
      <c r="I352" s="255" t="inlineStr">
        <is>
          <t>✅ Paid</t>
        </is>
      </c>
      <c r="J352" s="383" t="inlineStr">
        <is>
          <t>Debito BBVA 3982; Chedraui ticket total 99.53 (veg+tortillas), veg portion</t>
        </is>
      </c>
    </row>
    <row r="353">
      <c r="B353" s="382" t="n">
        <v>46199</v>
      </c>
      <c r="C353" s="248" t="inlineStr">
        <is>
          <t>Tortillas blancas x2</t>
        </is>
      </c>
      <c r="D353" s="249" t="inlineStr">
        <is>
          <t>Chedraui Paseo</t>
        </is>
      </c>
      <c r="E353" s="248" t="inlineStr">
        <is>
          <t>Ingredients - Bread</t>
        </is>
      </c>
      <c r="F353" s="67" t="n">
        <v>53.79</v>
      </c>
      <c r="G353" s="250" t="inlineStr">
        <is>
          <t>Restaurant</t>
        </is>
      </c>
      <c r="H353" s="250" t="inlineStr">
        <is>
          <t>Card</t>
        </is>
      </c>
      <c r="I353" s="251" t="inlineStr">
        <is>
          <t>✅ Paid</t>
        </is>
      </c>
      <c r="J353" s="383" t="inlineStr">
        <is>
          <t>Debito BBVA 3982; same Chedraui ticket, bread portion</t>
        </is>
      </c>
    </row>
    <row r="354">
      <c r="B354" s="382" t="n">
        <v>46199</v>
      </c>
      <c r="C354" s="252" t="inlineStr">
        <is>
          <t>Curcuma (turmeric) 70g</t>
        </is>
      </c>
      <c r="D354" s="253" t="inlineStr">
        <is>
          <t>H-E-B</t>
        </is>
      </c>
      <c r="E354" s="252" t="inlineStr">
        <is>
          <t>Ingredients - Pantry</t>
        </is>
      </c>
      <c r="F354" s="70" t="n">
        <v>14</v>
      </c>
      <c r="G354" s="254" t="inlineStr">
        <is>
          <t>Restaurant</t>
        </is>
      </c>
      <c r="H354" s="254" t="inlineStr">
        <is>
          <t>Cash</t>
        </is>
      </c>
      <c r="I354" s="255" t="inlineStr">
        <is>
          <t>✅ Paid</t>
        </is>
      </c>
      <c r="J354" s="383" t="inlineStr">
        <is>
          <t>Efectivo; ticket 215/07/02997</t>
        </is>
      </c>
    </row>
    <row r="355">
      <c r="B355" s="382" t="n">
        <v>46199</v>
      </c>
      <c r="C355" s="248" t="inlineStr">
        <is>
          <t>Lechugas (lettuce)</t>
        </is>
      </c>
      <c r="D355" s="249" t="inlineStr">
        <is>
          <t>Local purchase</t>
        </is>
      </c>
      <c r="E355" s="248" t="inlineStr">
        <is>
          <t>Ingredients - Vegetables</t>
        </is>
      </c>
      <c r="F355" s="67" t="n">
        <v>40</v>
      </c>
      <c r="G355" s="250" t="inlineStr">
        <is>
          <t>Restaurant</t>
        </is>
      </c>
      <c r="H355" s="250" t="inlineStr">
        <is>
          <t>Cash</t>
        </is>
      </c>
      <c r="I355" s="251" t="inlineStr">
        <is>
          <t>✅ Paid</t>
        </is>
      </c>
      <c r="J355" s="383" t="inlineStr">
        <is>
          <t>No bill</t>
        </is>
      </c>
    </row>
    <row r="356">
      <c r="B356" s="382" t="n">
        <v>46199</v>
      </c>
      <c r="C356" s="252" t="inlineStr">
        <is>
          <t>Queso Panela</t>
        </is>
      </c>
      <c r="D356" s="253" t="inlineStr">
        <is>
          <t>Local purchase</t>
        </is>
      </c>
      <c r="E356" s="252" t="inlineStr">
        <is>
          <t>Ingredients - Dairy</t>
        </is>
      </c>
      <c r="F356" s="70" t="n">
        <v>592</v>
      </c>
      <c r="G356" s="254" t="inlineStr">
        <is>
          <t>Restaurant</t>
        </is>
      </c>
      <c r="H356" s="254" t="inlineStr">
        <is>
          <t>Cash</t>
        </is>
      </c>
      <c r="I356" s="255" t="inlineStr">
        <is>
          <t>✅ Paid</t>
        </is>
      </c>
      <c r="J356" s="383" t="inlineStr">
        <is>
          <t>No bill</t>
        </is>
      </c>
    </row>
    <row r="357">
      <c r="B357" s="382" t="n">
        <v>46201</v>
      </c>
      <c r="C357" s="248" t="inlineStr">
        <is>
          <t>Mi Huevo Blanco (white eggs) 5.59 kg @ $24/kg</t>
        </is>
      </c>
      <c r="D357" s="249" t="inlineStr">
        <is>
          <t>Delgado Semillas y Especias</t>
        </is>
      </c>
      <c r="E357" s="248" t="inlineStr">
        <is>
          <t>Ingredients - Eggs</t>
        </is>
      </c>
      <c r="F357" s="67" t="n">
        <v>134.16</v>
      </c>
      <c r="G357" s="250" t="inlineStr">
        <is>
          <t>Restaurant</t>
        </is>
      </c>
      <c r="H357" s="250" t="inlineStr">
        <is>
          <t>Cash</t>
        </is>
      </c>
      <c r="I357" s="251" t="inlineStr">
        <is>
          <t>✅ Paid</t>
        </is>
      </c>
      <c r="J357" s="383" t="inlineStr">
        <is>
          <t>Folio 134837; efectivo</t>
        </is>
      </c>
    </row>
    <row r="358">
      <c r="B358" s="382" t="n">
        <v>46201</v>
      </c>
      <c r="C358" s="252" t="inlineStr">
        <is>
          <t>Dart lids 10oz + Dart cups 10 + aluminum foil 45cm</t>
        </is>
      </c>
      <c r="D358" s="253" t="inlineStr">
        <is>
          <t>Basicos en Alimentos</t>
        </is>
      </c>
      <c r="E358" s="252" t="inlineStr">
        <is>
          <t>Supplies / Other</t>
        </is>
      </c>
      <c r="F358" s="70" t="n">
        <v>395</v>
      </c>
      <c r="G358" s="254" t="inlineStr">
        <is>
          <t>Restaurant</t>
        </is>
      </c>
      <c r="H358" s="254" t="inlineStr">
        <is>
          <t>Card</t>
        </is>
      </c>
      <c r="I358" s="255" t="inlineStr">
        <is>
          <t>✅ Paid</t>
        </is>
      </c>
      <c r="J358" s="383" t="inlineStr">
        <is>
          <t>Ticket Sec 93; 403.72 less desc 8.72; tarjeta debito</t>
        </is>
      </c>
    </row>
    <row r="359">
      <c r="B359" s="382" t="n">
        <v>46201</v>
      </c>
      <c r="C359" s="248" t="inlineStr">
        <is>
          <t>Fajilla de papel economica 1000pz</t>
        </is>
      </c>
      <c r="D359" s="249" t="inlineStr">
        <is>
          <t>Guimar Polietilenos</t>
        </is>
      </c>
      <c r="E359" s="248" t="inlineStr">
        <is>
          <t>Supplies / Other</t>
        </is>
      </c>
      <c r="F359" s="67" t="n">
        <v>104.4</v>
      </c>
      <c r="G359" s="250" t="inlineStr">
        <is>
          <t>Restaurant</t>
        </is>
      </c>
      <c r="H359" s="250" t="inlineStr">
        <is>
          <t>Card</t>
        </is>
      </c>
      <c r="I359" s="251" t="inlineStr">
        <is>
          <t>✅ Paid</t>
        </is>
      </c>
      <c r="J359" s="383" t="inlineStr">
        <is>
          <t>Folio AK89660; tarjeta debito</t>
        </is>
      </c>
    </row>
    <row r="360">
      <c r="B360" s="382" t="n">
        <v>46201</v>
      </c>
      <c r="C360" s="252" t="inlineStr">
        <is>
          <t>Vaso plastico 4CH Reyma 20/50 + Tapa vaso 20/50</t>
        </is>
      </c>
      <c r="D360" s="253" t="inlineStr">
        <is>
          <t>Guimar Polietilenos</t>
        </is>
      </c>
      <c r="E360" s="252" t="inlineStr">
        <is>
          <t>Supplies / Other</t>
        </is>
      </c>
      <c r="F360" s="70" t="n">
        <v>828</v>
      </c>
      <c r="G360" s="254" t="inlineStr">
        <is>
          <t>Restaurant</t>
        </is>
      </c>
      <c r="H360" s="254" t="inlineStr">
        <is>
          <t>Card</t>
        </is>
      </c>
      <c r="I360" s="255" t="inlineStr">
        <is>
          <t>✅ Paid</t>
        </is>
      </c>
      <c r="J360" s="383" t="inlineStr">
        <is>
          <t>Folio AK89656; ahorro 92; tarjeta debito</t>
        </is>
      </c>
    </row>
    <row r="361">
      <c r="B361" s="382" t="n">
        <v>46201</v>
      </c>
      <c r="C361" s="248" t="inlineStr">
        <is>
          <t>Gelatina D'Gari (durazno, fresa, pina) 120g</t>
        </is>
      </c>
      <c r="D361" s="249" t="inlineStr">
        <is>
          <t>Basicos en Alimentos</t>
        </is>
      </c>
      <c r="E361" s="248" t="inlineStr">
        <is>
          <t>Ingredients - Pantry</t>
        </is>
      </c>
      <c r="F361" s="67" t="n">
        <v>96</v>
      </c>
      <c r="G361" s="250" t="inlineStr">
        <is>
          <t>Restaurant</t>
        </is>
      </c>
      <c r="H361" s="250" t="inlineStr">
        <is>
          <t>Card</t>
        </is>
      </c>
      <c r="I361" s="251" t="inlineStr">
        <is>
          <t>✅ Paid</t>
        </is>
      </c>
      <c r="J361" s="383" t="inlineStr">
        <is>
          <t>Ticket Sec 77; dessert gelatin</t>
        </is>
      </c>
    </row>
    <row r="362">
      <c r="B362" s="382" t="n">
        <v>46201</v>
      </c>
      <c r="C362" s="252" t="inlineStr">
        <is>
          <t>Clorox King 5.8L + Detergente Roma 5kg</t>
        </is>
      </c>
      <c r="D362" s="253" t="inlineStr">
        <is>
          <t>Basicos en Alimentos</t>
        </is>
      </c>
      <c r="E362" s="252" t="inlineStr">
        <is>
          <t>Supplies / Other</t>
        </is>
      </c>
      <c r="F362" s="70" t="n">
        <v>297.5</v>
      </c>
      <c r="G362" s="254" t="inlineStr">
        <is>
          <t>Restaurant</t>
        </is>
      </c>
      <c r="H362" s="254" t="inlineStr">
        <is>
          <t>Card</t>
        </is>
      </c>
      <c r="I362" s="255" t="inlineStr">
        <is>
          <t>✅ Paid</t>
        </is>
      </c>
      <c r="J362" s="383" t="inlineStr">
        <is>
          <t>Ticket Sec 77; cleaning</t>
        </is>
      </c>
    </row>
    <row r="363">
      <c r="B363" s="382" t="n">
        <v>46201</v>
      </c>
      <c r="C363" s="248" t="inlineStr">
        <is>
          <t>Servilleta Maxima cuadrada 500pz x8</t>
        </is>
      </c>
      <c r="D363" s="249" t="inlineStr">
        <is>
          <t>Basicos en Alimentos</t>
        </is>
      </c>
      <c r="E363" s="248" t="inlineStr">
        <is>
          <t>Supplies / Other</t>
        </is>
      </c>
      <c r="F363" s="67" t="n">
        <v>340</v>
      </c>
      <c r="G363" s="250" t="inlineStr">
        <is>
          <t>Restaurant</t>
        </is>
      </c>
      <c r="H363" s="250" t="inlineStr">
        <is>
          <t>Card</t>
        </is>
      </c>
      <c r="I363" s="251" t="inlineStr">
        <is>
          <t>✅ Paid</t>
        </is>
      </c>
      <c r="J363" s="383" t="inlineStr">
        <is>
          <t>Ticket Sec 77; napkins</t>
        </is>
      </c>
    </row>
    <row r="364">
      <c r="B364" s="382" t="n">
        <v>46201</v>
      </c>
      <c r="C364" s="252" t="inlineStr">
        <is>
          <t>Manzana (apple)</t>
        </is>
      </c>
      <c r="D364" s="253" t="inlineStr">
        <is>
          <t>Local purchase</t>
        </is>
      </c>
      <c r="E364" s="252" t="inlineStr">
        <is>
          <t>Ingredients - Fruit</t>
        </is>
      </c>
      <c r="F364" s="70" t="n">
        <v>89</v>
      </c>
      <c r="G364" s="254" t="inlineStr">
        <is>
          <t>Restaurant</t>
        </is>
      </c>
      <c r="H364" s="254" t="inlineStr">
        <is>
          <t>Cash</t>
        </is>
      </c>
      <c r="I364" s="255" t="inlineStr">
        <is>
          <t>✅ Paid</t>
        </is>
      </c>
      <c r="J364" s="383" t="inlineStr">
        <is>
          <t>No bill</t>
        </is>
      </c>
    </row>
    <row r="365">
      <c r="B365" s="382" t="n">
        <v>46201</v>
      </c>
      <c r="C365" s="248" t="inlineStr">
        <is>
          <t>Pepino (cucumber)</t>
        </is>
      </c>
      <c r="D365" s="249" t="inlineStr">
        <is>
          <t>Local purchase</t>
        </is>
      </c>
      <c r="E365" s="248" t="inlineStr">
        <is>
          <t>Ingredients - Vegetables</t>
        </is>
      </c>
      <c r="F365" s="67" t="n">
        <v>80</v>
      </c>
      <c r="G365" s="250" t="inlineStr">
        <is>
          <t>Restaurant</t>
        </is>
      </c>
      <c r="H365" s="250" t="inlineStr">
        <is>
          <t>Cash</t>
        </is>
      </c>
      <c r="I365" s="251" t="inlineStr">
        <is>
          <t>✅ Paid</t>
        </is>
      </c>
      <c r="J365" s="383" t="inlineStr">
        <is>
          <t>No bill</t>
        </is>
      </c>
    </row>
    <row r="366">
      <c r="B366" s="382" t="n">
        <v>46201</v>
      </c>
      <c r="C366" s="252" t="inlineStr">
        <is>
          <t>Tomate verde (tomatillo)</t>
        </is>
      </c>
      <c r="D366" s="253" t="inlineStr">
        <is>
          <t>Local purchase</t>
        </is>
      </c>
      <c r="E366" s="252" t="inlineStr">
        <is>
          <t>Ingredients - Vegetables</t>
        </is>
      </c>
      <c r="F366" s="70" t="n">
        <v>80</v>
      </c>
      <c r="G366" s="254" t="inlineStr">
        <is>
          <t>Restaurant</t>
        </is>
      </c>
      <c r="H366" s="254" t="inlineStr">
        <is>
          <t>Cash</t>
        </is>
      </c>
      <c r="I366" s="255" t="inlineStr">
        <is>
          <t>✅ Paid</t>
        </is>
      </c>
      <c r="J366" s="383" t="inlineStr">
        <is>
          <t>No bill</t>
        </is>
      </c>
    </row>
    <row r="367">
      <c r="B367" s="382" t="n">
        <v>46201</v>
      </c>
      <c r="C367" s="248" t="inlineStr">
        <is>
          <t>Papas (potatoes)</t>
        </is>
      </c>
      <c r="D367" s="249" t="inlineStr">
        <is>
          <t>Local purchase</t>
        </is>
      </c>
      <c r="E367" s="248" t="inlineStr">
        <is>
          <t>Ingredients - Vegetables</t>
        </is>
      </c>
      <c r="F367" s="67" t="n">
        <v>195</v>
      </c>
      <c r="G367" s="250" t="inlineStr">
        <is>
          <t>Restaurant</t>
        </is>
      </c>
      <c r="H367" s="250" t="inlineStr">
        <is>
          <t>Cash</t>
        </is>
      </c>
      <c r="I367" s="251" t="inlineStr">
        <is>
          <t>✅ Paid</t>
        </is>
      </c>
      <c r="J367" s="383" t="inlineStr">
        <is>
          <t>No bill</t>
        </is>
      </c>
    </row>
    <row r="368">
      <c r="B368" s="382" t="n">
        <v>46201</v>
      </c>
      <c r="C368" s="252" t="inlineStr">
        <is>
          <t>Guayaba (guava)</t>
        </is>
      </c>
      <c r="D368" s="253" t="inlineStr">
        <is>
          <t>Local purchase</t>
        </is>
      </c>
      <c r="E368" s="252" t="inlineStr">
        <is>
          <t>Ingredients - Fruit</t>
        </is>
      </c>
      <c r="F368" s="70" t="n">
        <v>100</v>
      </c>
      <c r="G368" s="254" t="inlineStr">
        <is>
          <t>Restaurant</t>
        </is>
      </c>
      <c r="H368" s="254" t="inlineStr">
        <is>
          <t>Cash</t>
        </is>
      </c>
      <c r="I368" s="255" t="inlineStr">
        <is>
          <t>✅ Paid</t>
        </is>
      </c>
      <c r="J368" s="383" t="inlineStr">
        <is>
          <t>No bill</t>
        </is>
      </c>
    </row>
    <row r="369">
      <c r="B369" s="382" t="n">
        <v>46201</v>
      </c>
      <c r="C369" s="248" t="inlineStr">
        <is>
          <t>Platano (banana)</t>
        </is>
      </c>
      <c r="D369" s="249" t="inlineStr">
        <is>
          <t>Local purchase</t>
        </is>
      </c>
      <c r="E369" s="248" t="inlineStr">
        <is>
          <t>Ingredients - Fruit</t>
        </is>
      </c>
      <c r="F369" s="67" t="n">
        <v>54</v>
      </c>
      <c r="G369" s="250" t="inlineStr">
        <is>
          <t>Restaurant</t>
        </is>
      </c>
      <c r="H369" s="250" t="inlineStr">
        <is>
          <t>Cash</t>
        </is>
      </c>
      <c r="I369" s="251" t="inlineStr">
        <is>
          <t>✅ Paid</t>
        </is>
      </c>
      <c r="J369" s="383" t="inlineStr">
        <is>
          <t>No bill</t>
        </is>
      </c>
    </row>
    <row r="370">
      <c r="B370" s="382" t="n">
        <v>46201</v>
      </c>
      <c r="C370" s="252" t="inlineStr">
        <is>
          <t>Betabel (beet)</t>
        </is>
      </c>
      <c r="D370" s="253" t="inlineStr">
        <is>
          <t>Local purchase</t>
        </is>
      </c>
      <c r="E370" s="252" t="inlineStr">
        <is>
          <t>Ingredients - Vegetables</t>
        </is>
      </c>
      <c r="F370" s="70" t="n">
        <v>80</v>
      </c>
      <c r="G370" s="254" t="inlineStr">
        <is>
          <t>Restaurant</t>
        </is>
      </c>
      <c r="H370" s="254" t="inlineStr">
        <is>
          <t>Cash</t>
        </is>
      </c>
      <c r="I370" s="255" t="inlineStr">
        <is>
          <t>✅ Paid</t>
        </is>
      </c>
      <c r="J370" s="383" t="inlineStr">
        <is>
          <t>No bill</t>
        </is>
      </c>
    </row>
    <row r="371">
      <c r="B371" s="382" t="n">
        <v>46201</v>
      </c>
      <c r="C371" s="248" t="inlineStr">
        <is>
          <t>Cilantro</t>
        </is>
      </c>
      <c r="D371" s="249" t="inlineStr">
        <is>
          <t>Local purchase</t>
        </is>
      </c>
      <c r="E371" s="248" t="inlineStr">
        <is>
          <t>Ingredients - Vegetables</t>
        </is>
      </c>
      <c r="F371" s="67" t="n">
        <v>60</v>
      </c>
      <c r="G371" s="250" t="inlineStr">
        <is>
          <t>Restaurant</t>
        </is>
      </c>
      <c r="H371" s="250" t="inlineStr">
        <is>
          <t>Cash</t>
        </is>
      </c>
      <c r="I371" s="251" t="inlineStr">
        <is>
          <t>✅ Paid</t>
        </is>
      </c>
      <c r="J371" s="383" t="inlineStr">
        <is>
          <t>No bill</t>
        </is>
      </c>
    </row>
    <row r="372">
      <c r="B372" s="382" t="n">
        <v>46201</v>
      </c>
      <c r="C372" s="252" t="inlineStr">
        <is>
          <t>Nopal (cactus)</t>
        </is>
      </c>
      <c r="D372" s="253" t="inlineStr">
        <is>
          <t>Local purchase</t>
        </is>
      </c>
      <c r="E372" s="252" t="inlineStr">
        <is>
          <t>Ingredients - Vegetables</t>
        </is>
      </c>
      <c r="F372" s="70" t="n">
        <v>50</v>
      </c>
      <c r="G372" s="254" t="inlineStr">
        <is>
          <t>Restaurant</t>
        </is>
      </c>
      <c r="H372" s="254" t="inlineStr">
        <is>
          <t>Cash</t>
        </is>
      </c>
      <c r="I372" s="255" t="inlineStr">
        <is>
          <t>✅ Paid</t>
        </is>
      </c>
      <c r="J372" s="383" t="inlineStr">
        <is>
          <t>No bill</t>
        </is>
      </c>
    </row>
    <row r="373">
      <c r="B373" s="382" t="n">
        <v>46201</v>
      </c>
      <c r="C373" s="248" t="inlineStr">
        <is>
          <t>Jitomate (tomato)</t>
        </is>
      </c>
      <c r="D373" s="249" t="inlineStr">
        <is>
          <t>Local purchase</t>
        </is>
      </c>
      <c r="E373" s="248" t="inlineStr">
        <is>
          <t>Ingredients - Vegetables</t>
        </is>
      </c>
      <c r="F373" s="67" t="n">
        <v>80</v>
      </c>
      <c r="G373" s="250" t="inlineStr">
        <is>
          <t>Restaurant</t>
        </is>
      </c>
      <c r="H373" s="250" t="inlineStr">
        <is>
          <t>Cash</t>
        </is>
      </c>
      <c r="I373" s="251" t="inlineStr">
        <is>
          <t>✅ Paid</t>
        </is>
      </c>
      <c r="J373" s="383" t="inlineStr">
        <is>
          <t>No bill</t>
        </is>
      </c>
    </row>
    <row r="374">
      <c r="B374" s="382" t="n">
        <v>46201</v>
      </c>
      <c r="C374" s="252" t="inlineStr">
        <is>
          <t>Lechuga italiana</t>
        </is>
      </c>
      <c r="D374" s="253" t="inlineStr">
        <is>
          <t>Local purchase</t>
        </is>
      </c>
      <c r="E374" s="252" t="inlineStr">
        <is>
          <t>Ingredients - Vegetables</t>
        </is>
      </c>
      <c r="F374" s="70" t="n">
        <v>148</v>
      </c>
      <c r="G374" s="254" t="inlineStr">
        <is>
          <t>Restaurant</t>
        </is>
      </c>
      <c r="H374" s="254" t="inlineStr">
        <is>
          <t>Cash</t>
        </is>
      </c>
      <c r="I374" s="255" t="inlineStr">
        <is>
          <t>✅ Paid</t>
        </is>
      </c>
      <c r="J374" s="383" t="inlineStr">
        <is>
          <t>No bill</t>
        </is>
      </c>
    </row>
    <row r="375">
      <c r="B375" s="382" t="n">
        <v>46201</v>
      </c>
      <c r="C375" s="248" t="inlineStr">
        <is>
          <t>Espinaca (spinach)</t>
        </is>
      </c>
      <c r="D375" s="249" t="inlineStr">
        <is>
          <t>Local purchase</t>
        </is>
      </c>
      <c r="E375" s="248" t="inlineStr">
        <is>
          <t>Ingredients - Vegetables</t>
        </is>
      </c>
      <c r="F375" s="67" t="n">
        <v>30</v>
      </c>
      <c r="G375" s="250" t="inlineStr">
        <is>
          <t>Restaurant</t>
        </is>
      </c>
      <c r="H375" s="250" t="inlineStr">
        <is>
          <t>Cash</t>
        </is>
      </c>
      <c r="I375" s="251" t="inlineStr">
        <is>
          <t>✅ Paid</t>
        </is>
      </c>
      <c r="J375" s="383" t="inlineStr">
        <is>
          <t>No bill</t>
        </is>
      </c>
    </row>
    <row r="376">
      <c r="B376" s="382" t="n">
        <v>46201</v>
      </c>
      <c r="C376" s="252" t="inlineStr">
        <is>
          <t>Limones (limes)</t>
        </is>
      </c>
      <c r="D376" s="253" t="inlineStr">
        <is>
          <t>Local purchase</t>
        </is>
      </c>
      <c r="E376" s="252" t="inlineStr">
        <is>
          <t>Ingredients - Fruit</t>
        </is>
      </c>
      <c r="F376" s="70" t="n">
        <v>20</v>
      </c>
      <c r="G376" s="254" t="inlineStr">
        <is>
          <t>Restaurant</t>
        </is>
      </c>
      <c r="H376" s="254" t="inlineStr">
        <is>
          <t>Cash</t>
        </is>
      </c>
      <c r="I376" s="255" t="inlineStr">
        <is>
          <t>✅ Paid</t>
        </is>
      </c>
      <c r="J376" s="383" t="inlineStr">
        <is>
          <t>No bill</t>
        </is>
      </c>
    </row>
    <row r="377">
      <c r="B377" s="382" t="n">
        <v>46201</v>
      </c>
      <c r="C377" s="248" t="inlineStr">
        <is>
          <t>Verduras variadas (vegetables)</t>
        </is>
      </c>
      <c r="D377" s="249" t="inlineStr">
        <is>
          <t>Local purchase</t>
        </is>
      </c>
      <c r="E377" s="248" t="inlineStr">
        <is>
          <t>Ingredients - Vegetables</t>
        </is>
      </c>
      <c r="F377" s="67" t="n">
        <v>211</v>
      </c>
      <c r="G377" s="250" t="inlineStr">
        <is>
          <t>Restaurant</t>
        </is>
      </c>
      <c r="H377" s="250" t="inlineStr">
        <is>
          <t>Cash</t>
        </is>
      </c>
      <c r="I377" s="251" t="inlineStr">
        <is>
          <t>✅ Paid</t>
        </is>
      </c>
      <c r="J377" s="383" t="inlineStr">
        <is>
          <t>No bill</t>
        </is>
      </c>
    </row>
    <row r="378">
      <c r="B378" s="382" t="n">
        <v>46201</v>
      </c>
      <c r="C378" s="252" t="inlineStr">
        <is>
          <t>Frutas variadas (fruit)</t>
        </is>
      </c>
      <c r="D378" s="253" t="inlineStr">
        <is>
          <t>Local purchase</t>
        </is>
      </c>
      <c r="E378" s="252" t="inlineStr">
        <is>
          <t>Ingredients - Fruit</t>
        </is>
      </c>
      <c r="F378" s="70" t="n">
        <v>324</v>
      </c>
      <c r="G378" s="254" t="inlineStr">
        <is>
          <t>Restaurant</t>
        </is>
      </c>
      <c r="H378" s="254" t="inlineStr">
        <is>
          <t>Cash</t>
        </is>
      </c>
      <c r="I378" s="255" t="inlineStr">
        <is>
          <t>✅ Paid</t>
        </is>
      </c>
      <c r="J378" s="383" t="inlineStr">
        <is>
          <t>No bill</t>
        </is>
      </c>
    </row>
    <row r="379">
      <c r="B379" s="382" t="n">
        <v>46199</v>
      </c>
      <c r="C379" s="248" t="inlineStr">
        <is>
          <t>Samu — Ayudante Week 6</t>
        </is>
      </c>
      <c r="D379" s="249" t="inlineStr">
        <is>
          <t>Payroll</t>
        </is>
      </c>
      <c r="E379" s="248" t="inlineStr">
        <is>
          <t>Staff - Salary</t>
        </is>
      </c>
      <c r="F379" s="67" t="n">
        <v>1200</v>
      </c>
      <c r="G379" s="250" t="inlineStr">
        <is>
          <t>Restaurant</t>
        </is>
      </c>
      <c r="H379" s="250" t="inlineStr">
        <is>
          <t>Cash</t>
        </is>
      </c>
      <c r="I379" s="251" t="inlineStr">
        <is>
          <t>✅ Paid</t>
        </is>
      </c>
      <c r="J379" s="383" t="inlineStr">
        <is>
          <t>Week 6 salary, paid Friday</t>
        </is>
      </c>
    </row>
    <row r="380">
      <c r="B380" s="382" t="n">
        <v>46200</v>
      </c>
      <c r="C380" s="252" t="inlineStr">
        <is>
          <t>John — Head Chef Week 6 (full week)</t>
        </is>
      </c>
      <c r="D380" s="253" t="inlineStr">
        <is>
          <t>Payroll</t>
        </is>
      </c>
      <c r="E380" s="252" t="inlineStr">
        <is>
          <t>Staff - Salary</t>
        </is>
      </c>
      <c r="F380" s="70" t="n">
        <v>3750</v>
      </c>
      <c r="G380" s="254" t="inlineStr">
        <is>
          <t>Restaurant</t>
        </is>
      </c>
      <c r="H380" s="254" t="inlineStr">
        <is>
          <t>Cash</t>
        </is>
      </c>
      <c r="I380" s="255" t="inlineStr">
        <is>
          <t>✅ Paid</t>
        </is>
      </c>
      <c r="J380" s="383" t="inlineStr">
        <is>
          <t>Week 6 salary, paid Saturday</t>
        </is>
      </c>
    </row>
    <row r="381">
      <c r="B381" s="382" t="n">
        <v>46200</v>
      </c>
      <c r="C381" s="248" t="inlineStr">
        <is>
          <t>Duvi/Debi — Limpieza Week 6</t>
        </is>
      </c>
      <c r="D381" s="249" t="inlineStr">
        <is>
          <t>Payroll</t>
        </is>
      </c>
      <c r="E381" s="248" t="inlineStr">
        <is>
          <t>Staff - Salary</t>
        </is>
      </c>
      <c r="F381" s="67" t="n">
        <v>1500</v>
      </c>
      <c r="G381" s="250" t="inlineStr">
        <is>
          <t>Restaurant</t>
        </is>
      </c>
      <c r="H381" s="250" t="inlineStr">
        <is>
          <t>Cash</t>
        </is>
      </c>
      <c r="I381" s="251" t="inlineStr">
        <is>
          <t>✅ Paid</t>
        </is>
      </c>
      <c r="J381" s="383" t="inlineStr">
        <is>
          <t>Week 6 salary, paid Saturday</t>
        </is>
      </c>
    </row>
    <row r="382">
      <c r="B382" s="382" t="n">
        <v>46201</v>
      </c>
      <c r="C382" s="252" t="inlineStr">
        <is>
          <t>Towel (kitchen)</t>
        </is>
      </c>
      <c r="D382" s="253" t="inlineStr">
        <is>
          <t>Tienda China (variety store)</t>
        </is>
      </c>
      <c r="E382" s="252" t="inlineStr">
        <is>
          <t>Kitchen Supplies</t>
        </is>
      </c>
      <c r="F382" s="70" t="n">
        <v>69</v>
      </c>
      <c r="G382" s="254" t="inlineStr">
        <is>
          <t>Restaurant</t>
        </is>
      </c>
      <c r="H382" s="254" t="inlineStr">
        <is>
          <t>Cash</t>
        </is>
      </c>
      <c r="I382" s="255" t="inlineStr">
        <is>
          <t>✅ Paid</t>
        </is>
      </c>
      <c r="J382" s="383" t="inlineStr">
        <is>
          <t>No bill; bought from small china/variety store</t>
        </is>
      </c>
    </row>
    <row r="383">
      <c r="B383" s="382" t="n">
        <v>46202</v>
      </c>
      <c r="C383" s="248" t="inlineStr">
        <is>
          <t>Tortillas blancas 3.965kg + Rosca de nuez</t>
        </is>
      </c>
      <c r="D383" s="249" t="inlineStr">
        <is>
          <t>Chedraui Paseo</t>
        </is>
      </c>
      <c r="E383" s="248" t="inlineStr">
        <is>
          <t>Ingredients - Bread</t>
        </is>
      </c>
      <c r="F383" s="67" t="n">
        <v>144.51</v>
      </c>
      <c r="G383" s="250" t="inlineStr">
        <is>
          <t>Restaurant</t>
        </is>
      </c>
      <c r="H383" s="250" t="inlineStr">
        <is>
          <t>Card</t>
        </is>
      </c>
      <c r="I383" s="251" t="inlineStr">
        <is>
          <t>✅ Paid</t>
        </is>
      </c>
      <c r="J383" s="383" t="inlineStr">
        <is>
          <t>Debito BBVA 3982; digital ticket FOLIO ...0050; IEPS 8% on rosca</t>
        </is>
      </c>
    </row>
    <row r="384">
      <c r="B384" s="382" t="n">
        <v>46202</v>
      </c>
      <c r="C384" s="252" t="inlineStr">
        <is>
          <t>Pechuga (chicken breast) ~4.29kg @ $115/kg</t>
        </is>
      </c>
      <c r="D384" s="253" t="inlineStr">
        <is>
          <t>Oh lele / Local</t>
        </is>
      </c>
      <c r="E384" s="252" t="inlineStr">
        <is>
          <t>Ingredients - Meat</t>
        </is>
      </c>
      <c r="F384" s="70" t="n">
        <v>493</v>
      </c>
      <c r="G384" s="254" t="inlineStr">
        <is>
          <t>Restaurant</t>
        </is>
      </c>
      <c r="H384" s="254" t="inlineStr">
        <is>
          <t>Cash</t>
        </is>
      </c>
      <c r="I384" s="255" t="inlineStr">
        <is>
          <t>✅ Paid</t>
        </is>
      </c>
      <c r="J384" s="383" t="inlineStr">
        <is>
          <t>Nota de remision (Loka Cafe); ticket total 967 (pechuga+milanesa)</t>
        </is>
      </c>
    </row>
    <row r="385">
      <c r="B385" s="382" t="n">
        <v>46202</v>
      </c>
      <c r="C385" s="248" t="inlineStr">
        <is>
          <t>Milanesa ~3.79kg @ $125/kg</t>
        </is>
      </c>
      <c r="D385" s="249" t="inlineStr">
        <is>
          <t>Oh lele / Local</t>
        </is>
      </c>
      <c r="E385" s="248" t="inlineStr">
        <is>
          <t>Ingredients - Meat</t>
        </is>
      </c>
      <c r="F385" s="67" t="n">
        <v>474</v>
      </c>
      <c r="G385" s="250" t="inlineStr">
        <is>
          <t>Restaurant</t>
        </is>
      </c>
      <c r="H385" s="250" t="inlineStr">
        <is>
          <t>Cash</t>
        </is>
      </c>
      <c r="I385" s="251" t="inlineStr">
        <is>
          <t>✅ Paid</t>
        </is>
      </c>
      <c r="J385" s="383" t="inlineStr">
        <is>
          <t>Nota de remision (Loka Cafe); same ticket</t>
        </is>
      </c>
    </row>
    <row r="386">
      <c r="B386" s="382" t="n">
        <v>46202</v>
      </c>
      <c r="C386" s="252" t="inlineStr">
        <is>
          <t>Frijol pinto a granel x2</t>
        </is>
      </c>
      <c r="D386" s="253" t="inlineStr">
        <is>
          <t>Molino y Condimentos La Cruz</t>
        </is>
      </c>
      <c r="E386" s="252" t="inlineStr">
        <is>
          <t>Ingredients - Pantry</t>
        </is>
      </c>
      <c r="F386" s="70" t="n">
        <v>56</v>
      </c>
      <c r="G386" s="254" t="inlineStr">
        <is>
          <t>Restaurant</t>
        </is>
      </c>
      <c r="H386" s="254" t="inlineStr">
        <is>
          <t>Cash</t>
        </is>
      </c>
      <c r="I386" s="255" t="inlineStr">
        <is>
          <t>✅ Paid</t>
        </is>
      </c>
      <c r="J386" s="383" t="inlineStr">
        <is>
          <t>Nota 203548; efectivo</t>
        </is>
      </c>
    </row>
    <row r="387">
      <c r="B387" s="382" t="n">
        <v>46202</v>
      </c>
      <c r="C387" s="248" t="inlineStr">
        <is>
          <t>Jamon Americano San Antonio 2.055kg @ $86.50/kg</t>
        </is>
      </c>
      <c r="D387" s="249" t="inlineStr">
        <is>
          <t>San Juan Salchichonerias</t>
        </is>
      </c>
      <c r="E387" s="248" t="inlineStr">
        <is>
          <t>Ingredients - Meat</t>
        </is>
      </c>
      <c r="F387" s="67" t="n">
        <v>177.76</v>
      </c>
      <c r="G387" s="250" t="inlineStr">
        <is>
          <t>Restaurant</t>
        </is>
      </c>
      <c r="H387" s="250" t="inlineStr">
        <is>
          <t>Card</t>
        </is>
      </c>
      <c r="I387" s="251" t="inlineStr">
        <is>
          <t>✅ Paid</t>
        </is>
      </c>
      <c r="J387" s="383" t="inlineStr">
        <is>
          <t>Debito Mastercard 3982; ticket 0254555; net of 17.47 desc</t>
        </is>
      </c>
    </row>
    <row r="388">
      <c r="B388" s="382" t="n">
        <v>46202</v>
      </c>
      <c r="C388" s="252" t="inlineStr">
        <is>
          <t>Arrachera 1.05kg @ $270/kg</t>
        </is>
      </c>
      <c r="D388" s="253" t="inlineStr">
        <is>
          <t>Kamy Karnes</t>
        </is>
      </c>
      <c r="E388" s="252" t="inlineStr">
        <is>
          <t>Ingredients - Meat</t>
        </is>
      </c>
      <c r="F388" s="70" t="n">
        <v>284</v>
      </c>
      <c r="G388" s="254" t="inlineStr">
        <is>
          <t>Restaurant</t>
        </is>
      </c>
      <c r="H388" s="254" t="inlineStr">
        <is>
          <t>Cash</t>
        </is>
      </c>
      <c r="I388" s="255" t="inlineStr">
        <is>
          <t>✅ Paid</t>
        </is>
      </c>
      <c r="J388" s="383" t="inlineStr">
        <is>
          <t>Nota de venta 0971; method assumed Cash -- CONFIRM if card</t>
        </is>
      </c>
    </row>
    <row r="389">
      <c r="B389" s="382" t="n">
        <v>46202</v>
      </c>
      <c r="C389" s="248" t="inlineStr">
        <is>
          <t>Bistec + tocino</t>
        </is>
      </c>
      <c r="D389" s="249" t="inlineStr">
        <is>
          <t>Miscelanea LC La Cruz</t>
        </is>
      </c>
      <c r="E389" s="248" t="inlineStr">
        <is>
          <t>Ingredients - Meat</t>
        </is>
      </c>
      <c r="F389" s="67" t="n">
        <v>415</v>
      </c>
      <c r="G389" s="250" t="inlineStr">
        <is>
          <t>Restaurant</t>
        </is>
      </c>
      <c r="H389" s="250" t="inlineStr">
        <is>
          <t>Card</t>
        </is>
      </c>
      <c r="I389" s="251" t="inlineStr">
        <is>
          <t>✅ Paid</t>
        </is>
      </c>
      <c r="J389" s="383" t="inlineStr">
        <is>
          <t>Meat portion of Getnet card charge 1054.00 (Aut 236713, **3982): bistec ~292 + tocino ~123; papas portion logged separately</t>
        </is>
      </c>
    </row>
    <row r="390">
      <c r="B390" s="382" t="n">
        <v>46202</v>
      </c>
      <c r="C390" s="252" t="inlineStr">
        <is>
          <t>Papas a la francesa (frozen French fries)</t>
        </is>
      </c>
      <c r="D390" s="253" t="inlineStr">
        <is>
          <t>Miscelanea LC La Cruz</t>
        </is>
      </c>
      <c r="E390" s="252" t="inlineStr">
        <is>
          <t>Ingredients - Pantry</t>
        </is>
      </c>
      <c r="F390" s="70" t="n">
        <v>639</v>
      </c>
      <c r="G390" s="254" t="inlineStr">
        <is>
          <t>Restaurant</t>
        </is>
      </c>
      <c r="H390" s="254" t="inlineStr">
        <is>
          <t>Card</t>
        </is>
      </c>
      <c r="I390" s="255" t="inlineStr">
        <is>
          <t>✅ Paid</t>
        </is>
      </c>
      <c r="J390" s="383" t="inlineStr">
        <is>
          <t>Frozen French fries; portion of Getnet card charge 1054.00 (Aut 236713, **3982); the ~639 item on the LC remision</t>
        </is>
      </c>
    </row>
    <row r="391">
      <c r="B391" s="382" t="n">
        <v>46173</v>
      </c>
      <c r="C391" s="248" t="inlineStr">
        <is>
          <t>Renta media mensualidad Mayo 2026 (duenos anteriores)</t>
        </is>
      </c>
      <c r="D391" s="249" t="inlineStr">
        <is>
          <t>Previous Owners (landlord)</t>
        </is>
      </c>
      <c r="E391" s="248" t="inlineStr">
        <is>
          <t>Rent</t>
        </is>
      </c>
      <c r="F391" s="67" t="n">
        <v>10000</v>
      </c>
      <c r="G391" s="250" t="inlineStr">
        <is>
          <t>Lohith</t>
        </is>
      </c>
      <c r="H391" s="250" t="inlineStr">
        <is>
          <t>Personal</t>
        </is>
      </c>
      <c r="I391" s="251" t="inlineStr">
        <is>
          <t>✅ Paid</t>
        </is>
      </c>
      <c r="J391" s="383" t="inlineStr">
        <is>
          <t>May half-month rent (partial first month); transferred by Lohith to previous owners; reimbursable</t>
        </is>
      </c>
    </row>
    <row r="392">
      <c r="B392" s="382" t="n">
        <v>46203</v>
      </c>
      <c r="C392" s="252" t="inlineStr">
        <is>
          <t>Pan Dulces (no bill receipt)</t>
        </is>
      </c>
      <c r="D392" s="253" t="inlineStr">
        <is>
          <t>No bill</t>
        </is>
      </c>
      <c r="E392" s="252" t="inlineStr">
        <is>
          <t>Ingredients - Bread</t>
        </is>
      </c>
      <c r="F392" s="70" t="n">
        <v>96</v>
      </c>
      <c r="G392" s="254" t="inlineStr">
        <is>
          <t>Restaurant</t>
        </is>
      </c>
      <c r="H392" s="254" t="inlineStr">
        <is>
          <t>Cash</t>
        </is>
      </c>
      <c r="I392" s="255" t="inlineStr">
        <is>
          <t>✅ Paid</t>
        </is>
      </c>
      <c r="J392" s="383" t="inlineStr">
        <is>
          <t>No receipt available; cash purchase</t>
        </is>
      </c>
    </row>
    <row r="393">
      <c r="B393" s="382" t="n">
        <v>46203</v>
      </c>
      <c r="C393" s="248" t="inlineStr">
        <is>
          <t>Tortillas blancas 2.055kg + Bolillo x6</t>
        </is>
      </c>
      <c r="D393" s="249" t="inlineStr">
        <is>
          <t>Chedraui Paseo</t>
        </is>
      </c>
      <c r="E393" s="248" t="inlineStr">
        <is>
          <t>Ingredients - Bread</t>
        </is>
      </c>
      <c r="F393" s="67" t="n">
        <v>43.17</v>
      </c>
      <c r="G393" s="250" t="inlineStr">
        <is>
          <t>Restaurant</t>
        </is>
      </c>
      <c r="H393" s="250" t="inlineStr">
        <is>
          <t>Card</t>
        </is>
      </c>
      <c r="I393" s="251" t="inlineStr">
        <is>
          <t>✅ Paid</t>
        </is>
      </c>
      <c r="J393" s="383" t="inlineStr">
        <is>
          <t>Debito BBVA; ticket 30-Jun 08:38</t>
        </is>
      </c>
    </row>
    <row r="394">
      <c r="B394" s="382" t="n">
        <v>46203</v>
      </c>
      <c r="C394" s="252" t="inlineStr">
        <is>
          <t>Pan hamburguesa ajonjoli x24, pan caja arandano 900g x4, chapata x24</t>
        </is>
      </c>
      <c r="D394" s="253" t="inlineStr">
        <is>
          <t>Productos Real La Cruz</t>
        </is>
      </c>
      <c r="E394" s="252" t="inlineStr">
        <is>
          <t>Ingredients - Bread</t>
        </is>
      </c>
      <c r="F394" s="70" t="n">
        <v>728</v>
      </c>
      <c r="G394" s="254" t="inlineStr">
        <is>
          <t>Restaurant</t>
        </is>
      </c>
      <c r="H394" s="254" t="inlineStr">
        <is>
          <t>Card</t>
        </is>
      </c>
      <c r="I394" s="255" t="inlineStr">
        <is>
          <t>✅ Paid</t>
        </is>
      </c>
      <c r="J394" s="383" t="inlineStr">
        <is>
          <t>Tarjeta debito; base $740 - $12 desc = $728; folio 4423</t>
        </is>
      </c>
    </row>
    <row r="395">
      <c r="B395" s="382" t="n">
        <v>46203</v>
      </c>
      <c r="C395" s="248" t="inlineStr">
        <is>
          <t>Queso Gouda Menona 2.06kg @ $135/kg</t>
        </is>
      </c>
      <c r="D395" s="249" t="inlineStr">
        <is>
          <t>La Bodega del Buen Queso</t>
        </is>
      </c>
      <c r="E395" s="248" t="inlineStr">
        <is>
          <t>Ingredients - Dairy</t>
        </is>
      </c>
      <c r="F395" s="67" t="n">
        <v>278.1</v>
      </c>
      <c r="G395" s="250" t="inlineStr">
        <is>
          <t>Restaurant</t>
        </is>
      </c>
      <c r="H395" s="250" t="inlineStr">
        <is>
          <t>Cash</t>
        </is>
      </c>
      <c r="I395" s="251" t="inlineStr">
        <is>
          <t>✅ Paid</t>
        </is>
      </c>
      <c r="J395" s="383" t="inlineStr">
        <is>
          <t>Efectivo; nota 0032709</t>
        </is>
      </c>
    </row>
    <row r="396">
      <c r="B396" s="382" t="n">
        <v>46203</v>
      </c>
      <c r="C396" s="252" t="inlineStr">
        <is>
          <t>Miscelanea LC remision (2 lineas manuscritas ilegibles)</t>
        </is>
      </c>
      <c r="D396" s="253" t="inlineStr">
        <is>
          <t>Miscelanea LC La Cruz</t>
        </is>
      </c>
      <c r="E396" s="252" t="inlineStr">
        <is>
          <t>Ingredients - Other</t>
        </is>
      </c>
      <c r="F396" s="70" t="n">
        <v>436</v>
      </c>
      <c r="G396" s="254" t="inlineStr">
        <is>
          <t>Restaurant</t>
        </is>
      </c>
      <c r="H396" s="254" t="inlineStr">
        <is>
          <t>Card</t>
        </is>
      </c>
      <c r="I396" s="255" t="inlineStr">
        <is>
          <t>✅ Paid</t>
        </is>
      </c>
      <c r="J396" s="383" t="inlineStr">
        <is>
          <t>Getnet $436 autoritativo (Aut 785588, 11:38); lineas ~$197 + 'CH Alto' ~$239 ilegibles - confirmar articulos</t>
        </is>
      </c>
    </row>
    <row r="397">
      <c r="B397" s="382" t="n">
        <v>46204</v>
      </c>
      <c r="C397" s="248" t="inlineStr">
        <is>
          <t>Aceite La Posada 800 x2</t>
        </is>
      </c>
      <c r="D397" s="249" t="inlineStr">
        <is>
          <t>OXXO</t>
        </is>
      </c>
      <c r="E397" s="248" t="inlineStr">
        <is>
          <t>Ingredients - Pantry</t>
        </is>
      </c>
      <c r="F397" s="67" t="n">
        <v>56</v>
      </c>
      <c r="G397" s="250" t="inlineStr">
        <is>
          <t>Restaurant</t>
        </is>
      </c>
      <c r="H397" s="250" t="inlineStr">
        <is>
          <t>Cash</t>
        </is>
      </c>
      <c r="I397" s="251" t="inlineStr">
        <is>
          <t>✅ Paid</t>
        </is>
      </c>
      <c r="J397" s="383" t="inlineStr">
        <is>
          <t>OXXO 09:14; cooking oil</t>
        </is>
      </c>
    </row>
    <row r="398">
      <c r="B398" s="382" t="n">
        <v>46204</v>
      </c>
      <c r="C398" s="252" t="inlineStr">
        <is>
          <t>Horchata/Jamaica/Limonada 1L x6 c/u (18 pzas)</t>
        </is>
      </c>
      <c r="D398" s="253" t="inlineStr">
        <is>
          <t>Casa Reca</t>
        </is>
      </c>
      <c r="E398" s="252" t="inlineStr">
        <is>
          <t>Ingredients - Beverages</t>
        </is>
      </c>
      <c r="F398" s="70" t="n">
        <v>450</v>
      </c>
      <c r="G398" s="254" t="inlineStr">
        <is>
          <t>Restaurant</t>
        </is>
      </c>
      <c r="H398" s="254" t="inlineStr">
        <is>
          <t>Cash</t>
        </is>
      </c>
      <c r="I398" s="255" t="inlineStr">
        <is>
          <t>✅ Paid</t>
        </is>
      </c>
      <c r="J398" s="383" t="inlineStr">
        <is>
          <t>Nota venta ruta preventa Casa Reca; facturado a 'CAFE OH LELE' = nombre anterior de LOKA (OK); efectivo confirmado</t>
        </is>
      </c>
    </row>
    <row r="399">
      <c r="B399" s="382" t="n">
        <v>46204</v>
      </c>
      <c r="C399" s="248" t="inlineStr">
        <is>
          <t>Salchicha nortena p/asar 1kg</t>
        </is>
      </c>
      <c r="D399" s="249" t="inlineStr">
        <is>
          <t>San Juan Salchichonerias</t>
        </is>
      </c>
      <c r="E399" s="248" t="inlineStr">
        <is>
          <t>Ingredients - Meat</t>
        </is>
      </c>
      <c r="F399" s="67" t="n">
        <v>73</v>
      </c>
      <c r="G399" s="250" t="inlineStr">
        <is>
          <t>Restaurant</t>
        </is>
      </c>
      <c r="H399" s="250" t="inlineStr">
        <is>
          <t>Card</t>
        </is>
      </c>
      <c r="I399" s="251" t="inlineStr">
        <is>
          <t>✅ Paid</t>
        </is>
      </c>
      <c r="J399" s="383" t="inlineStr">
        <is>
          <t>Ticket 0255365 La Cruz 14:49; tarjeta Banregio</t>
        </is>
      </c>
    </row>
    <row r="400">
      <c r="B400" s="382" t="n">
        <v>46204</v>
      </c>
      <c r="C400" s="252" t="inlineStr">
        <is>
          <t>Tortillas blancas x2</t>
        </is>
      </c>
      <c r="D400" s="253" t="inlineStr">
        <is>
          <t>Chedraui Paseo</t>
        </is>
      </c>
      <c r="E400" s="252" t="inlineStr">
        <is>
          <t>Ingredients - Bread</t>
        </is>
      </c>
      <c r="F400" s="70" t="n">
        <v>55.93</v>
      </c>
      <c r="G400" s="254" t="inlineStr">
        <is>
          <t>Restaurant</t>
        </is>
      </c>
      <c r="H400" s="254" t="inlineStr">
        <is>
          <t>Card</t>
        </is>
      </c>
      <c r="I400" s="255" t="inlineStr">
        <is>
          <t>✅ Paid</t>
        </is>
      </c>
      <c r="J400" s="383" t="inlineStr">
        <is>
          <t>Debito BBVA; 08:55</t>
        </is>
      </c>
    </row>
    <row r="401">
      <c r="B401" s="382" t="n">
        <v>46204</v>
      </c>
      <c r="C401" s="248" t="inlineStr">
        <is>
          <t>Muslo (pollo) 5.23kg @ $50/kg</t>
        </is>
      </c>
      <c r="D401" s="249" t="inlineStr">
        <is>
          <t>Remision Loka Cafe</t>
        </is>
      </c>
      <c r="E401" s="248" t="inlineStr">
        <is>
          <t>Ingredients - Meat</t>
        </is>
      </c>
      <c r="F401" s="67" t="n">
        <v>262</v>
      </c>
      <c r="G401" s="250" t="inlineStr">
        <is>
          <t>Restaurant</t>
        </is>
      </c>
      <c r="H401" s="250" t="inlineStr">
        <is>
          <t>Cash</t>
        </is>
      </c>
      <c r="I401" s="251" t="inlineStr">
        <is>
          <t>✅ Paid</t>
        </is>
      </c>
      <c r="J401" s="383" t="inlineStr">
        <is>
          <t>Nota remision manuscrita; 5.23x50=261.50, total escrito $262; metodo no confirmado</t>
        </is>
      </c>
    </row>
    <row r="402">
      <c r="B402" s="382" t="n">
        <v>46204</v>
      </c>
      <c r="C402" s="252" t="inlineStr">
        <is>
          <t>Rosca chocolate base + salchicha p/asar 800 x2</t>
        </is>
      </c>
      <c r="D402" s="253" t="inlineStr">
        <is>
          <t>H-E-B</t>
        </is>
      </c>
      <c r="E402" s="252" t="inlineStr">
        <is>
          <t>Ingredients - Other</t>
        </is>
      </c>
      <c r="F402" s="70" t="n">
        <v>246.8</v>
      </c>
      <c r="G402" s="254" t="inlineStr">
        <is>
          <t>Restaurant</t>
        </is>
      </c>
      <c r="H402" s="254" t="inlineStr">
        <is>
          <t>Card</t>
        </is>
      </c>
      <c r="I402" s="255" t="inlineStr">
        <is>
          <t>✅ Paid</t>
        </is>
      </c>
      <c r="J402" s="383" t="inlineStr">
        <is>
          <t>Cuenta tarjeta ***3982; rosca $105 + salchicha $141.80; incl IEPS</t>
        </is>
      </c>
    </row>
    <row r="403">
      <c r="B403" s="382" t="n">
        <v>46204</v>
      </c>
      <c r="C403" s="248" t="inlineStr">
        <is>
          <t>Aceite La Posada 800 x12</t>
        </is>
      </c>
      <c r="D403" s="249" t="inlineStr">
        <is>
          <t>OXXO</t>
        </is>
      </c>
      <c r="E403" s="248" t="inlineStr">
        <is>
          <t>Ingredients - Pantry</t>
        </is>
      </c>
      <c r="F403" s="67" t="n">
        <v>336</v>
      </c>
      <c r="G403" s="250" t="inlineStr">
        <is>
          <t>Restaurant</t>
        </is>
      </c>
      <c r="H403" s="250" t="inlineStr">
        <is>
          <t>Card</t>
        </is>
      </c>
      <c r="I403" s="251" t="inlineStr">
        <is>
          <t>✅ Paid</t>
        </is>
      </c>
      <c r="J403" s="383" t="inlineStr">
        <is>
          <t>BBVA debito ML ***3982 AUT 922070; 18:35; cooking oil</t>
        </is>
      </c>
    </row>
    <row r="404">
      <c r="B404" s="382" t="n">
        <v>46204</v>
      </c>
      <c r="C404" s="252" t="inlineStr">
        <is>
          <t>Pork Belly</t>
        </is>
      </c>
      <c r="D404" s="253" t="inlineStr">
        <is>
          <t>No bill</t>
        </is>
      </c>
      <c r="E404" s="252" t="inlineStr">
        <is>
          <t>Ingredients - Meat</t>
        </is>
      </c>
      <c r="F404" s="70" t="n">
        <v>355</v>
      </c>
      <c r="G404" s="254" t="inlineStr">
        <is>
          <t>Restaurant</t>
        </is>
      </c>
      <c r="H404" s="254" t="inlineStr">
        <is>
          <t>Cash</t>
        </is>
      </c>
      <c r="I404" s="255" t="inlineStr">
        <is>
          <t>✅ Paid</t>
        </is>
      </c>
      <c r="J404" s="383" t="inlineStr">
        <is>
          <t>No receipt; cash purchase</t>
        </is>
      </c>
    </row>
    <row r="405">
      <c r="B405" s="382" t="n">
        <v>46204</v>
      </c>
      <c r="C405" s="248" t="inlineStr">
        <is>
          <t>Carne molida</t>
        </is>
      </c>
      <c r="D405" s="249" t="inlineStr">
        <is>
          <t>No bill</t>
        </is>
      </c>
      <c r="E405" s="248" t="inlineStr">
        <is>
          <t>Ingredients - Meat</t>
        </is>
      </c>
      <c r="F405" s="67" t="n">
        <v>271</v>
      </c>
      <c r="G405" s="250" t="inlineStr">
        <is>
          <t>Restaurant</t>
        </is>
      </c>
      <c r="H405" s="250" t="inlineStr">
        <is>
          <t>Cash</t>
        </is>
      </c>
      <c r="I405" s="251" t="inlineStr">
        <is>
          <t>✅ Paid</t>
        </is>
      </c>
      <c r="J405" s="383" t="inlineStr">
        <is>
          <t>No receipt; cash purchase</t>
        </is>
      </c>
    </row>
    <row r="406">
      <c r="B406" s="382" t="n">
        <v>46204</v>
      </c>
      <c r="C406" s="252" t="inlineStr">
        <is>
          <t>Agua Ciel</t>
        </is>
      </c>
      <c r="D406" s="253" t="inlineStr">
        <is>
          <t>No bill</t>
        </is>
      </c>
      <c r="E406" s="252" t="inlineStr">
        <is>
          <t>Ingredients - Beverages</t>
        </is>
      </c>
      <c r="F406" s="70" t="n">
        <v>49.5</v>
      </c>
      <c r="G406" s="254" t="inlineStr">
        <is>
          <t>Restaurant</t>
        </is>
      </c>
      <c r="H406" s="254" t="inlineStr">
        <is>
          <t>Cash</t>
        </is>
      </c>
      <c r="I406" s="255" t="inlineStr">
        <is>
          <t>✅ Paid</t>
        </is>
      </c>
      <c r="J406" s="383" t="inlineStr">
        <is>
          <t>No receipt; cash purchase</t>
        </is>
      </c>
    </row>
    <row r="407">
      <c r="B407" s="382" t="n">
        <v>46204</v>
      </c>
      <c r="C407" s="248" t="inlineStr">
        <is>
          <t>Agua natural</t>
        </is>
      </c>
      <c r="D407" s="249" t="inlineStr">
        <is>
          <t>No bill</t>
        </is>
      </c>
      <c r="E407" s="248" t="inlineStr">
        <is>
          <t>Ingredients - Beverages</t>
        </is>
      </c>
      <c r="F407" s="67" t="n">
        <v>36</v>
      </c>
      <c r="G407" s="250" t="inlineStr">
        <is>
          <t>Restaurant</t>
        </is>
      </c>
      <c r="H407" s="250" t="inlineStr">
        <is>
          <t>Cash</t>
        </is>
      </c>
      <c r="I407" s="251" t="inlineStr">
        <is>
          <t>✅ Paid</t>
        </is>
      </c>
      <c r="J407" s="383" t="inlineStr">
        <is>
          <t>No receipt; cash purchase</t>
        </is>
      </c>
    </row>
    <row r="408">
      <c r="B408" s="382" t="n">
        <v>46204</v>
      </c>
      <c r="C408" s="252" t="inlineStr">
        <is>
          <t>Hielos</t>
        </is>
      </c>
      <c r="D408" s="253" t="inlineStr">
        <is>
          <t>No bill</t>
        </is>
      </c>
      <c r="E408" s="252" t="inlineStr">
        <is>
          <t>Kitchen Supplies</t>
        </is>
      </c>
      <c r="F408" s="70" t="n">
        <v>150</v>
      </c>
      <c r="G408" s="254" t="inlineStr">
        <is>
          <t>Restaurant</t>
        </is>
      </c>
      <c r="H408" s="254" t="inlineStr">
        <is>
          <t>Cash</t>
        </is>
      </c>
      <c r="I408" s="255" t="inlineStr">
        <is>
          <t>✅ Paid</t>
        </is>
      </c>
      <c r="J408" s="383" t="inlineStr">
        <is>
          <t>No receipt; cash purchase</t>
        </is>
      </c>
    </row>
    <row r="409">
      <c r="B409" s="382" t="n">
        <v>46205</v>
      </c>
      <c r="C409" s="248" t="inlineStr">
        <is>
          <t>Tomatoes</t>
        </is>
      </c>
      <c r="D409" s="249" t="inlineStr">
        <is>
          <t>No bill</t>
        </is>
      </c>
      <c r="E409" s="248" t="inlineStr">
        <is>
          <t>Ingredients - Vegetables</t>
        </is>
      </c>
      <c r="F409" s="67" t="n">
        <v>31</v>
      </c>
      <c r="G409" s="250" t="inlineStr">
        <is>
          <t>Restaurant</t>
        </is>
      </c>
      <c r="H409" s="250" t="inlineStr">
        <is>
          <t>Cash</t>
        </is>
      </c>
      <c r="I409" s="251" t="inlineStr">
        <is>
          <t>✅ Paid</t>
        </is>
      </c>
      <c r="J409" s="383" t="inlineStr">
        <is>
          <t>No receipt; cash purchase</t>
        </is>
      </c>
    </row>
    <row r="410">
      <c r="B410" s="382" t="n">
        <v>46205</v>
      </c>
      <c r="C410" s="252" t="inlineStr">
        <is>
          <t>Bistec puerco (pork steak)</t>
        </is>
      </c>
      <c r="D410" s="253" t="inlineStr">
        <is>
          <t>No bill</t>
        </is>
      </c>
      <c r="E410" s="252" t="inlineStr">
        <is>
          <t>Ingredients - Meat</t>
        </is>
      </c>
      <c r="F410" s="70" t="n">
        <v>287</v>
      </c>
      <c r="G410" s="254" t="inlineStr">
        <is>
          <t>Restaurant</t>
        </is>
      </c>
      <c r="H410" s="254" t="inlineStr">
        <is>
          <t>Cash</t>
        </is>
      </c>
      <c r="I410" s="255" t="inlineStr">
        <is>
          <t>✅ Paid</t>
        </is>
      </c>
      <c r="J410" s="383" t="inlineStr">
        <is>
          <t>No receipt; cash purchase</t>
        </is>
      </c>
    </row>
    <row r="411">
      <c r="B411" s="382" t="n">
        <v>46206</v>
      </c>
      <c r="C411" s="248" t="inlineStr">
        <is>
          <t>Muslo (pollo) 3.79kg @ $50/kg</t>
        </is>
      </c>
      <c r="D411" s="249" t="inlineStr">
        <is>
          <t>Remision Loka Cafe</t>
        </is>
      </c>
      <c r="E411" s="248" t="inlineStr">
        <is>
          <t>Ingredients - Meat</t>
        </is>
      </c>
      <c r="F411" s="67" t="n">
        <v>190</v>
      </c>
      <c r="G411" s="250" t="inlineStr">
        <is>
          <t>Restaurant</t>
        </is>
      </c>
      <c r="H411" s="250" t="inlineStr">
        <is>
          <t>Cash</t>
        </is>
      </c>
      <c r="I411" s="251" t="inlineStr">
        <is>
          <t>✅ Paid</t>
        </is>
      </c>
      <c r="J411" s="383" t="inlineStr">
        <is>
          <t>Nota remision manuscrita; 3.79x50; efectivo</t>
        </is>
      </c>
    </row>
    <row r="412">
      <c r="B412" s="382" t="n">
        <v>46206</v>
      </c>
      <c r="C412" s="252" t="inlineStr">
        <is>
          <t>Muslo (pollo) 2.30kg @ $50/kg</t>
        </is>
      </c>
      <c r="D412" s="253" t="inlineStr">
        <is>
          <t>Remision</t>
        </is>
      </c>
      <c r="E412" s="252" t="inlineStr">
        <is>
          <t>Ingredients - Meat</t>
        </is>
      </c>
      <c r="F412" s="70" t="n">
        <v>115</v>
      </c>
      <c r="G412" s="254" t="inlineStr">
        <is>
          <t>Restaurant</t>
        </is>
      </c>
      <c r="H412" s="254" t="inlineStr">
        <is>
          <t>Cash</t>
        </is>
      </c>
      <c r="I412" s="255" t="inlineStr">
        <is>
          <t>✅ Paid</t>
        </is>
      </c>
      <c r="J412" s="383" t="inlineStr">
        <is>
          <t>Nota remision manuscrita; 2.30x50=115; efectivo</t>
        </is>
      </c>
    </row>
    <row r="413">
      <c r="B413" s="382" t="n">
        <v>46206</v>
      </c>
      <c r="C413" s="248" t="inlineStr">
        <is>
          <t>Mayo Real x2 + Leche entera (Sam's Club)</t>
        </is>
      </c>
      <c r="D413" s="249" t="inlineStr">
        <is>
          <t>Sam's Club</t>
        </is>
      </c>
      <c r="E413" s="248" t="inlineStr">
        <is>
          <t>Supermarket/General</t>
        </is>
      </c>
      <c r="F413" s="67" t="n">
        <v>810</v>
      </c>
      <c r="G413" s="250" t="inlineStr">
        <is>
          <t>Restaurant</t>
        </is>
      </c>
      <c r="H413" s="250" t="inlineStr">
        <is>
          <t>Card</t>
        </is>
      </c>
      <c r="I413" s="251" t="inlineStr">
        <is>
          <t>✅ Paid</t>
        </is>
      </c>
      <c r="J413" s="383" t="inlineStr">
        <is>
          <t>Debito Mastercard Bancomer AUT 733600; mayo $544.24 + leche $284.39 - desc $18.63 = 810</t>
        </is>
      </c>
    </row>
    <row r="414">
      <c r="B414" s="382" t="n">
        <v>46206</v>
      </c>
      <c r="C414" s="252" t="inlineStr">
        <is>
          <t>Filete mojarra de mar 3.14kg @ $140/kg</t>
        </is>
      </c>
      <c r="D414" s="253" t="inlineStr">
        <is>
          <t>Brisa del Mar</t>
        </is>
      </c>
      <c r="E414" s="252" t="inlineStr">
        <is>
          <t>Ingredients - Meat &amp; Fish</t>
        </is>
      </c>
      <c r="F414" s="70" t="n">
        <v>439.6</v>
      </c>
      <c r="G414" s="254" t="inlineStr">
        <is>
          <t>Restaurant</t>
        </is>
      </c>
      <c r="H414" s="254" t="inlineStr">
        <is>
          <t>Cash</t>
        </is>
      </c>
      <c r="I414" s="255" t="inlineStr">
        <is>
          <t>✅ Paid</t>
        </is>
      </c>
      <c r="J414" s="383" t="inlineStr">
        <is>
          <t>Pescados y mariscos 08:44; metodo no impreso (asumido efectivo)</t>
        </is>
      </c>
    </row>
    <row r="415">
      <c r="B415" s="382" t="n">
        <v>46206</v>
      </c>
      <c r="C415" s="248" t="inlineStr">
        <is>
          <t>Vegetales</t>
        </is>
      </c>
      <c r="D415" s="249" t="inlineStr">
        <is>
          <t>No bill</t>
        </is>
      </c>
      <c r="E415" s="248" t="inlineStr">
        <is>
          <t>Ingredients - Vegetables</t>
        </is>
      </c>
      <c r="F415" s="67" t="n">
        <v>55</v>
      </c>
      <c r="G415" s="250" t="inlineStr">
        <is>
          <t>Restaurant</t>
        </is>
      </c>
      <c r="H415" s="250" t="inlineStr">
        <is>
          <t>Cash</t>
        </is>
      </c>
      <c r="I415" s="251" t="inlineStr">
        <is>
          <t>✅ Paid</t>
        </is>
      </c>
      <c r="J415" s="383" t="inlineStr">
        <is>
          <t>No receipt; cash purchase</t>
        </is>
      </c>
    </row>
    <row r="416">
      <c r="B416" s="382" t="n">
        <v>46206</v>
      </c>
      <c r="C416" s="252" t="inlineStr">
        <is>
          <t>Samu — Ayudante Week 7</t>
        </is>
      </c>
      <c r="D416" s="253" t="inlineStr">
        <is>
          <t>Payroll</t>
        </is>
      </c>
      <c r="E416" s="252" t="inlineStr">
        <is>
          <t>Staff - Salary</t>
        </is>
      </c>
      <c r="F416" s="70" t="n">
        <v>1200</v>
      </c>
      <c r="G416" s="254" t="inlineStr">
        <is>
          <t>Restaurant</t>
        </is>
      </c>
      <c r="H416" s="254" t="inlineStr">
        <is>
          <t>Cash</t>
        </is>
      </c>
      <c r="I416" s="255" t="inlineStr">
        <is>
          <t>✅ Paid</t>
        </is>
      </c>
      <c r="J416" s="383" t="inlineStr">
        <is>
          <t>Week 7 salary, paid Friday 03 Jul ($800 base + $400 mesero top-up)</t>
        </is>
      </c>
    </row>
    <row r="417">
      <c r="B417" s="64" t="n"/>
      <c r="C417" s="65" t="n"/>
      <c r="D417" s="66" t="n"/>
      <c r="E417" s="65" t="n"/>
      <c r="F417" s="67" t="n"/>
      <c r="G417" s="14" t="n"/>
      <c r="H417" s="14" t="n"/>
      <c r="I417" s="43" t="n"/>
    </row>
    <row r="418">
      <c r="B418" s="64" t="n"/>
      <c r="C418" s="69" t="n"/>
      <c r="D418" s="68" t="n"/>
      <c r="E418" s="69" t="n"/>
      <c r="F418" s="70" t="n"/>
      <c r="G418" s="23" t="n"/>
      <c r="H418" s="23" t="n"/>
      <c r="I418" s="55" t="n"/>
    </row>
    <row r="419">
      <c r="B419" s="64" t="n"/>
      <c r="C419" s="65" t="n"/>
      <c r="D419" s="66" t="n"/>
      <c r="E419" s="65" t="n"/>
      <c r="F419" s="67" t="n"/>
      <c r="G419" s="14" t="n"/>
      <c r="H419" s="14" t="n"/>
      <c r="I419" s="43" t="n"/>
    </row>
    <row r="420">
      <c r="B420" s="64" t="n"/>
      <c r="C420" s="69" t="n"/>
      <c r="D420" s="68" t="n"/>
      <c r="E420" s="69" t="n"/>
      <c r="F420" s="70" t="n"/>
      <c r="G420" s="23" t="n"/>
      <c r="H420" s="23" t="n"/>
      <c r="I420" s="55" t="n"/>
    </row>
    <row r="421">
      <c r="B421" s="64" t="n"/>
      <c r="C421" s="65" t="n"/>
      <c r="D421" s="66" t="n"/>
      <c r="E421" s="65" t="n"/>
      <c r="F421" s="67" t="n"/>
      <c r="G421" s="14" t="n"/>
      <c r="H421" s="14" t="n"/>
      <c r="I421" s="43" t="n"/>
    </row>
    <row r="422">
      <c r="B422" s="64" t="n"/>
      <c r="C422" s="69" t="n"/>
      <c r="D422" s="68" t="n"/>
      <c r="E422" s="69" t="n"/>
      <c r="F422" s="70" t="n"/>
      <c r="G422" s="23" t="n"/>
      <c r="H422" s="23" t="n"/>
      <c r="I422" s="55" t="n"/>
    </row>
    <row r="423">
      <c r="B423" s="64" t="n"/>
      <c r="C423" s="65" t="n"/>
      <c r="D423" s="66" t="n"/>
      <c r="E423" s="65" t="n"/>
      <c r="F423" s="67" t="n"/>
      <c r="G423" s="14" t="n"/>
      <c r="H423" s="14" t="n"/>
      <c r="I423" s="43" t="n"/>
    </row>
    <row r="424">
      <c r="B424" s="64" t="n"/>
      <c r="C424" s="69" t="n"/>
      <c r="D424" s="68" t="n"/>
      <c r="E424" s="69" t="n"/>
      <c r="F424" s="70" t="n"/>
      <c r="G424" s="23" t="n"/>
      <c r="H424" s="23" t="n"/>
      <c r="I424" s="55" t="n"/>
    </row>
    <row r="425">
      <c r="B425" s="64" t="n"/>
      <c r="C425" s="65" t="n"/>
      <c r="D425" s="66" t="n"/>
      <c r="E425" s="65" t="n"/>
      <c r="F425" s="67" t="n"/>
      <c r="G425" s="14" t="n"/>
      <c r="H425" s="14" t="n"/>
      <c r="I425" s="43" t="n"/>
    </row>
    <row r="426">
      <c r="B426" s="64" t="n"/>
      <c r="C426" s="69" t="n"/>
      <c r="D426" s="68" t="n"/>
      <c r="E426" s="69" t="n"/>
      <c r="F426" s="70" t="n"/>
      <c r="G426" s="23" t="n"/>
      <c r="H426" s="23" t="n"/>
      <c r="I426" s="55" t="n"/>
    </row>
    <row r="427">
      <c r="B427" s="64" t="n"/>
      <c r="C427" s="65" t="n"/>
      <c r="D427" s="66" t="n"/>
      <c r="E427" s="65" t="n"/>
      <c r="F427" s="67" t="n"/>
      <c r="G427" s="14" t="n"/>
      <c r="H427" s="14" t="n"/>
      <c r="I427" s="43" t="n"/>
    </row>
    <row r="428">
      <c r="B428" s="64" t="n"/>
      <c r="C428" s="69" t="n"/>
      <c r="D428" s="68" t="n"/>
      <c r="E428" s="69" t="n"/>
      <c r="F428" s="70" t="n"/>
      <c r="G428" s="23" t="n"/>
      <c r="H428" s="23" t="n"/>
      <c r="I428" s="55" t="n"/>
    </row>
    <row r="429">
      <c r="B429" s="64" t="n"/>
      <c r="C429" s="65" t="n"/>
      <c r="D429" s="66" t="n"/>
      <c r="E429" s="65" t="n"/>
      <c r="F429" s="67" t="n"/>
      <c r="G429" s="14" t="n"/>
      <c r="H429" s="14" t="n"/>
      <c r="I429" s="43" t="n"/>
    </row>
    <row r="430">
      <c r="B430" s="64" t="n"/>
      <c r="C430" s="69" t="n"/>
      <c r="D430" s="68" t="n"/>
      <c r="E430" s="69" t="n"/>
      <c r="F430" s="70" t="n"/>
      <c r="G430" s="23" t="n"/>
      <c r="H430" s="23" t="n"/>
      <c r="I430" s="55" t="n"/>
    </row>
    <row r="431">
      <c r="B431" s="64" t="n"/>
      <c r="C431" s="65" t="n"/>
      <c r="D431" s="66" t="n"/>
      <c r="E431" s="65" t="n"/>
      <c r="F431" s="67" t="n"/>
      <c r="G431" s="14" t="n"/>
      <c r="H431" s="14" t="n"/>
      <c r="I431" s="43" t="n"/>
    </row>
    <row r="432">
      <c r="B432" s="64" t="n"/>
      <c r="C432" s="69" t="n"/>
      <c r="D432" s="68" t="n"/>
      <c r="E432" s="69" t="n"/>
      <c r="F432" s="70" t="n"/>
      <c r="G432" s="23" t="n"/>
      <c r="H432" s="23" t="n"/>
      <c r="I432" s="55" t="n"/>
    </row>
    <row r="433">
      <c r="B433" s="64" t="n"/>
      <c r="C433" s="65" t="n"/>
      <c r="D433" s="66" t="n"/>
      <c r="E433" s="65" t="n"/>
      <c r="F433" s="67" t="n"/>
      <c r="G433" s="14" t="n"/>
      <c r="H433" s="14" t="n"/>
      <c r="I433" s="43" t="n"/>
    </row>
    <row r="434">
      <c r="B434" s="64" t="n"/>
      <c r="C434" s="69" t="n"/>
      <c r="D434" s="68" t="n"/>
      <c r="E434" s="69" t="n"/>
      <c r="F434" s="70" t="n"/>
      <c r="G434" s="23" t="n"/>
      <c r="H434" s="23" t="n"/>
      <c r="I434" s="55" t="n"/>
    </row>
    <row r="435">
      <c r="B435" s="64" t="n"/>
      <c r="C435" s="65" t="n"/>
      <c r="D435" s="66" t="n"/>
      <c r="E435" s="65" t="n"/>
      <c r="F435" s="67" t="n"/>
      <c r="G435" s="14" t="n"/>
      <c r="H435" s="14" t="n"/>
      <c r="I435" s="43" t="n"/>
    </row>
    <row r="436">
      <c r="B436" s="64" t="n"/>
      <c r="C436" s="69" t="n"/>
      <c r="D436" s="68" t="n"/>
      <c r="E436" s="69" t="n"/>
      <c r="F436" s="70" t="n"/>
      <c r="G436" s="23" t="n"/>
      <c r="H436" s="23" t="n"/>
      <c r="I436" s="55" t="n"/>
    </row>
    <row r="437">
      <c r="B437" s="64" t="n"/>
      <c r="C437" s="65" t="n"/>
      <c r="D437" s="66" t="n"/>
      <c r="E437" s="65" t="n"/>
      <c r="F437" s="67" t="n"/>
      <c r="G437" s="14" t="n"/>
      <c r="H437" s="14" t="n"/>
      <c r="I437" s="43" t="n"/>
    </row>
    <row r="438">
      <c r="B438" s="64" t="n"/>
      <c r="C438" s="69" t="n"/>
      <c r="D438" s="68" t="n"/>
      <c r="E438" s="69" t="n"/>
      <c r="F438" s="70" t="n"/>
      <c r="G438" s="23" t="n"/>
      <c r="H438" s="23" t="n"/>
      <c r="I438" s="55" t="n"/>
    </row>
    <row r="439">
      <c r="B439" s="64" t="n"/>
      <c r="C439" s="65" t="n"/>
      <c r="D439" s="66" t="n"/>
      <c r="E439" s="65" t="n"/>
      <c r="F439" s="67" t="n"/>
      <c r="G439" s="14" t="n"/>
      <c r="H439" s="14" t="n"/>
      <c r="I439" s="43" t="n"/>
    </row>
    <row r="440">
      <c r="B440" s="64" t="n"/>
      <c r="C440" s="69" t="n"/>
      <c r="D440" s="68" t="n"/>
      <c r="E440" s="69" t="n"/>
      <c r="F440" s="70" t="n"/>
      <c r="G440" s="23" t="n"/>
      <c r="H440" s="23" t="n"/>
      <c r="I440" s="55" t="n"/>
    </row>
    <row r="441">
      <c r="B441" s="64" t="n"/>
      <c r="C441" s="65" t="n"/>
      <c r="D441" s="66" t="n"/>
      <c r="E441" s="65" t="n"/>
      <c r="F441" s="67" t="n"/>
      <c r="G441" s="14" t="n"/>
      <c r="H441" s="14" t="n"/>
      <c r="I441" s="43" t="n"/>
    </row>
    <row r="442">
      <c r="B442" s="64" t="n"/>
      <c r="C442" s="69" t="n"/>
      <c r="D442" s="68" t="n"/>
      <c r="E442" s="69" t="n"/>
      <c r="F442" s="70" t="n"/>
      <c r="G442" s="23" t="n"/>
      <c r="H442" s="23" t="n"/>
      <c r="I442" s="55" t="n"/>
    </row>
    <row r="443">
      <c r="B443" s="64" t="n"/>
      <c r="C443" s="65" t="n"/>
      <c r="D443" s="66" t="n"/>
      <c r="E443" s="65" t="n"/>
      <c r="F443" s="67" t="n"/>
      <c r="G443" s="14" t="n"/>
      <c r="H443" s="14" t="n"/>
      <c r="I443" s="43" t="n"/>
    </row>
    <row r="444">
      <c r="B444" s="64" t="n"/>
      <c r="C444" s="69" t="n"/>
      <c r="D444" s="68" t="n"/>
      <c r="E444" s="69" t="n"/>
      <c r="F444" s="70" t="n"/>
      <c r="G444" s="23" t="n"/>
      <c r="H444" s="23" t="n"/>
      <c r="I444" s="55" t="n"/>
    </row>
    <row r="445">
      <c r="B445" s="64" t="n"/>
      <c r="C445" s="65" t="n"/>
      <c r="D445" s="66" t="n"/>
      <c r="E445" s="65" t="n"/>
      <c r="F445" s="67" t="n"/>
      <c r="G445" s="14" t="n"/>
      <c r="H445" s="14" t="n"/>
      <c r="I445" s="43" t="n"/>
    </row>
    <row r="446">
      <c r="B446" s="64" t="n"/>
      <c r="C446" s="69" t="n"/>
      <c r="D446" s="68" t="n"/>
      <c r="E446" s="69" t="n"/>
      <c r="F446" s="70" t="n"/>
      <c r="G446" s="23" t="n"/>
      <c r="H446" s="23" t="n"/>
      <c r="I446" s="55" t="n"/>
    </row>
    <row r="447">
      <c r="B447" s="64" t="n"/>
      <c r="C447" s="65" t="n"/>
      <c r="D447" s="66" t="n"/>
      <c r="E447" s="65" t="n"/>
      <c r="F447" s="67" t="n"/>
      <c r="G447" s="14" t="n"/>
      <c r="H447" s="14" t="n"/>
      <c r="I447" s="43" t="n"/>
    </row>
    <row r="448">
      <c r="B448" s="64" t="n"/>
      <c r="C448" s="69" t="n"/>
      <c r="D448" s="68" t="n"/>
      <c r="E448" s="69" t="n"/>
      <c r="F448" s="70" t="n"/>
      <c r="G448" s="23" t="n"/>
      <c r="H448" s="23" t="n"/>
      <c r="I448" s="55" t="n"/>
    </row>
    <row r="449">
      <c r="B449" s="64" t="n"/>
      <c r="C449" s="65" t="n"/>
      <c r="D449" s="66" t="n"/>
      <c r="E449" s="65" t="n"/>
      <c r="F449" s="67" t="n"/>
      <c r="G449" s="14" t="n"/>
      <c r="H449" s="14" t="n"/>
      <c r="I449" s="43" t="n"/>
    </row>
    <row r="450">
      <c r="B450" s="64" t="n"/>
      <c r="C450" s="69" t="n"/>
      <c r="D450" s="68" t="n"/>
      <c r="E450" s="69" t="n"/>
      <c r="F450" s="70" t="n"/>
      <c r="G450" s="23" t="n"/>
      <c r="H450" s="23" t="n"/>
      <c r="I450" s="55" t="n"/>
    </row>
    <row r="451">
      <c r="B451" s="64" t="n"/>
      <c r="C451" s="65" t="n"/>
      <c r="D451" s="66" t="n"/>
      <c r="E451" s="65" t="n"/>
      <c r="F451" s="67" t="n"/>
      <c r="G451" s="14" t="n"/>
      <c r="H451" s="14" t="n"/>
      <c r="I451" s="43" t="n"/>
    </row>
    <row r="452">
      <c r="B452" s="64" t="n"/>
      <c r="C452" s="69" t="n"/>
      <c r="D452" s="68" t="n"/>
      <c r="E452" s="69" t="n"/>
      <c r="F452" s="70" t="n"/>
      <c r="G452" s="23" t="n"/>
      <c r="H452" s="23" t="n"/>
      <c r="I452" s="55" t="n"/>
    </row>
    <row r="453">
      <c r="B453" s="64" t="n"/>
      <c r="C453" s="65" t="n"/>
      <c r="D453" s="66" t="n"/>
      <c r="E453" s="65" t="n"/>
      <c r="F453" s="67" t="n"/>
      <c r="G453" s="14" t="n"/>
      <c r="H453" s="14" t="n"/>
      <c r="I453" s="43" t="n"/>
    </row>
    <row r="454">
      <c r="B454" s="64" t="n"/>
      <c r="C454" s="69" t="n"/>
      <c r="D454" s="68" t="n"/>
      <c r="E454" s="69" t="n"/>
      <c r="F454" s="70" t="n"/>
      <c r="G454" s="23" t="n"/>
      <c r="H454" s="23" t="n"/>
      <c r="I454" s="55" t="n"/>
    </row>
    <row r="455">
      <c r="B455" s="64" t="n"/>
      <c r="C455" s="65" t="n"/>
      <c r="D455" s="66" t="n"/>
      <c r="E455" s="65" t="n"/>
      <c r="F455" s="67" t="n"/>
      <c r="G455" s="14" t="n"/>
      <c r="H455" s="14" t="n"/>
      <c r="I455" s="43" t="n"/>
    </row>
    <row r="456">
      <c r="B456" s="64" t="n"/>
      <c r="C456" s="69" t="n"/>
      <c r="D456" s="68" t="n"/>
      <c r="E456" s="69" t="n"/>
      <c r="F456" s="70" t="n"/>
      <c r="G456" s="23" t="n"/>
      <c r="H456" s="23" t="n"/>
      <c r="I456" s="55" t="n"/>
    </row>
    <row r="457">
      <c r="B457" s="64" t="n"/>
      <c r="C457" s="65" t="n"/>
      <c r="D457" s="66" t="n"/>
      <c r="E457" s="65" t="n"/>
      <c r="F457" s="67" t="n"/>
      <c r="G457" s="14" t="n"/>
      <c r="H457" s="14" t="n"/>
      <c r="I457" s="43" t="n"/>
    </row>
    <row r="458">
      <c r="B458" s="64" t="n"/>
      <c r="C458" s="69" t="n"/>
      <c r="D458" s="68" t="n"/>
      <c r="E458" s="69" t="n"/>
      <c r="F458" s="70" t="n"/>
      <c r="G458" s="23" t="n"/>
      <c r="H458" s="23" t="n"/>
      <c r="I458" s="55" t="n"/>
    </row>
    <row r="459">
      <c r="B459" s="64" t="n"/>
      <c r="C459" s="65" t="n"/>
      <c r="D459" s="66" t="n"/>
      <c r="E459" s="65" t="n"/>
      <c r="F459" s="67" t="n"/>
      <c r="G459" s="14" t="n"/>
      <c r="H459" s="14" t="n"/>
      <c r="I459" s="43" t="n"/>
    </row>
    <row r="460">
      <c r="B460" s="64" t="n"/>
      <c r="C460" s="69" t="n"/>
      <c r="D460" s="68" t="n"/>
      <c r="E460" s="69" t="n"/>
      <c r="F460" s="70" t="n"/>
      <c r="G460" s="23" t="n"/>
      <c r="H460" s="23" t="n"/>
      <c r="I460" s="55" t="n"/>
    </row>
    <row r="461">
      <c r="B461" s="64" t="n"/>
      <c r="C461" s="65" t="n"/>
      <c r="D461" s="66" t="n"/>
      <c r="E461" s="65" t="n"/>
      <c r="F461" s="67" t="n"/>
      <c r="G461" s="14" t="n"/>
      <c r="H461" s="14" t="n"/>
      <c r="I461" s="43" t="n"/>
    </row>
    <row r="462">
      <c r="B462" s="64" t="n"/>
      <c r="C462" s="69" t="n"/>
      <c r="D462" s="68" t="n"/>
      <c r="E462" s="69" t="n"/>
      <c r="F462" s="70" t="n"/>
      <c r="G462" s="23" t="n"/>
      <c r="H462" s="23" t="n"/>
      <c r="I462" s="55" t="n"/>
    </row>
    <row r="463">
      <c r="B463" s="64" t="n"/>
      <c r="C463" s="65" t="n"/>
      <c r="D463" s="66" t="n"/>
      <c r="E463" s="65" t="n"/>
      <c r="F463" s="67" t="n"/>
      <c r="G463" s="14" t="n"/>
      <c r="H463" s="14" t="n"/>
      <c r="I463" s="43" t="n"/>
    </row>
    <row r="464">
      <c r="B464" s="64" t="n"/>
      <c r="C464" s="69" t="n"/>
      <c r="D464" s="68" t="n"/>
      <c r="E464" s="69" t="n"/>
      <c r="F464" s="70" t="n"/>
      <c r="G464" s="23" t="n"/>
      <c r="H464" s="23" t="n"/>
      <c r="I464" s="55" t="n"/>
    </row>
    <row r="465">
      <c r="B465" s="64" t="n"/>
      <c r="C465" s="65" t="n"/>
      <c r="D465" s="66" t="n"/>
      <c r="E465" s="65" t="n"/>
      <c r="F465" s="67" t="n"/>
      <c r="G465" s="14" t="n"/>
      <c r="H465" s="14" t="n"/>
      <c r="I465" s="43" t="n"/>
    </row>
    <row r="466">
      <c r="B466" s="64" t="n"/>
      <c r="C466" s="69" t="n"/>
      <c r="D466" s="68" t="n"/>
      <c r="E466" s="69" t="n"/>
      <c r="F466" s="70" t="n"/>
      <c r="G466" s="23" t="n"/>
      <c r="H466" s="23" t="n"/>
      <c r="I466" s="55" t="n"/>
    </row>
    <row r="467">
      <c r="B467" s="64" t="n"/>
      <c r="C467" s="65" t="n"/>
      <c r="D467" s="66" t="n"/>
      <c r="E467" s="65" t="n"/>
      <c r="F467" s="67" t="n"/>
      <c r="G467" s="14" t="n"/>
      <c r="H467" s="14" t="n"/>
      <c r="I467" s="43" t="n"/>
    </row>
    <row r="468">
      <c r="B468" s="64" t="n"/>
      <c r="C468" s="69" t="n"/>
      <c r="D468" s="68" t="n"/>
      <c r="E468" s="69" t="n"/>
      <c r="F468" s="70" t="n"/>
      <c r="G468" s="23" t="n"/>
      <c r="H468" s="23" t="n"/>
      <c r="I468" s="55" t="n"/>
    </row>
    <row r="469">
      <c r="B469" s="64" t="n"/>
      <c r="C469" s="65" t="n"/>
      <c r="D469" s="66" t="n"/>
      <c r="E469" s="65" t="n"/>
      <c r="F469" s="67" t="n"/>
      <c r="G469" s="14" t="n"/>
      <c r="H469" s="14" t="n"/>
      <c r="I469" s="43" t="n"/>
    </row>
    <row r="470">
      <c r="B470" s="64" t="n"/>
      <c r="C470" s="69" t="n"/>
      <c r="D470" s="68" t="n"/>
      <c r="E470" s="69" t="n"/>
      <c r="F470" s="70" t="n"/>
      <c r="G470" s="23" t="n"/>
      <c r="H470" s="23" t="n"/>
      <c r="I470" s="55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278" min="1" max="1"/>
    <col width="26" customWidth="1" style="278" min="2" max="2"/>
    <col width="16" customWidth="1" style="278" min="3" max="3"/>
    <col width="10" customWidth="1" style="278" min="4" max="4"/>
    <col width="14" customWidth="1" style="278" min="5" max="5"/>
    <col width="12" customWidth="1" style="278" min="6" max="7"/>
    <col width="14" customWidth="1" style="278" min="8" max="8"/>
    <col width="16" customWidth="1" style="278" min="9" max="9"/>
    <col width="20" customWidth="1" style="278" min="10" max="10"/>
    <col width="18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📦  LOKA — INVENTORY</t>
        </is>
      </c>
      <c r="F2" s="365" t="inlineStr">
        <is>
          <t>Update stock levels when you receive deliveries or do stock checks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278">
      <c r="B6" s="79">
        <f>COUNTA(B9:B200)</f>
        <v/>
      </c>
      <c r="D6" s="80">
        <f>COUNTIF(J9:J200,"⚠️ LOW STOCK")</f>
        <v/>
      </c>
      <c r="E6" s="80">
        <f>COUNTIF(J9:J200,"⚠️ LOW STOCK")+COUNTIF(J9:J200,"🚫 OUT OF STOCK")</f>
        <v/>
      </c>
      <c r="F6" s="81">
        <f>COUNTIF(J9:J200,"🚫 OUT OF STOCK")</f>
        <v/>
      </c>
      <c r="H6" s="81">
        <f>COUNTIF(J9:J200,"⚠️ LOW STOCK")+COUNTIF(J9:J200,"🚫 OUT OF STOCK")</f>
        <v/>
      </c>
      <c r="J6" s="82">
        <f>TODAY()</f>
        <v/>
      </c>
    </row>
    <row r="7" ht="7.5" customHeight="1" s="278"/>
    <row r="8" ht="19.5" customHeight="1" s="278">
      <c r="B8" s="354" t="inlineStr">
        <is>
          <t>Item Name  |  Category  |  Unit  |  Min Stock  |  Current Stock  |  Last Ordered  |  Supplier  |  Status  |  Notes</t>
        </is>
      </c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278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278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278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278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278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278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278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278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278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278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278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278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278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278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278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278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278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278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278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278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278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278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278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278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278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278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278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278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278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278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278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278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278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278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278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278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278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278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278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278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278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278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278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278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278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278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278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278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278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278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278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278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278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278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278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278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278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278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278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278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278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278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278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278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278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278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278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278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278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278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278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278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278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278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278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278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278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278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278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278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278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278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278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278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278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278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278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278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278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278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278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278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278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278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278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278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278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278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278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278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278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278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278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278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278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278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278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278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278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278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278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278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278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278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278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278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278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278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278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278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278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278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278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278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278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278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278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278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278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278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278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278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278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278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278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278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278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278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278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278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278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278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278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278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278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278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278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278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278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278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278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278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278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278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278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278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278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278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278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278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278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278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278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278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278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278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278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278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278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278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278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278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278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278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278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278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278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278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278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278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278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278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278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278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278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278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278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278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278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278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278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278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278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278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278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278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278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278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278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278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278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278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278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278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278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278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278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278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278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278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278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278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278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278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278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278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278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99"/>
  <sheetViews>
    <sheetView showGridLines="0" topLeftCell="A86" zoomScaleNormal="100" workbookViewId="0">
      <selection activeCell="G64" sqref="G64"/>
    </sheetView>
  </sheetViews>
  <sheetFormatPr baseColWidth="8" defaultColWidth="8.6640625" defaultRowHeight="14.4" customHeight="1"/>
  <cols>
    <col width="18.33203125" customWidth="1" style="278" min="1" max="1"/>
    <col width="32.5546875" customWidth="1" style="278" min="2" max="2"/>
    <col width="19.44140625" bestFit="1" customWidth="1" style="278" min="3" max="3"/>
    <col width="15.21875" customWidth="1" style="278" min="4" max="4"/>
    <col width="13.88671875" customWidth="1" style="278" min="5" max="6"/>
    <col width="12.33203125" customWidth="1" style="278" min="7" max="7"/>
    <col width="12.88671875" customWidth="1" style="278" min="8" max="8"/>
    <col width="7.33203125" bestFit="1" customWidth="1" style="278" min="9" max="9"/>
    <col width="7.21875" bestFit="1" customWidth="1" style="278" min="10" max="10"/>
    <col width="11" bestFit="1" customWidth="1" style="278" min="11" max="11"/>
    <col width="10.77734375" bestFit="1" customWidth="1" style="278" min="12" max="12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278">
      <c r="A2" s="369" t="inlineStr">
        <is>
          <t>👥  LOKA — STAFF &amp; PAYROLL</t>
        </is>
      </c>
      <c r="D2" s="370" t="inlineStr">
        <is>
          <t>Weekly schedule + auto payroll calculation</t>
        </is>
      </c>
    </row>
    <row r="3" ht="3.75" customHeight="1" s="278"/>
    <row r="4" ht="7.5" customHeight="1" s="278"/>
    <row r="5" ht="7.5" customHeight="1" s="278" thickBot="1"/>
    <row r="6" ht="21.75" customHeight="1" s="278" thickBot="1">
      <c r="A6" s="308" t="inlineStr">
        <is>
          <t xml:space="preserve">  STAFF SCHEDULE  —  Week of:</t>
        </is>
      </c>
      <c r="B6" s="281" t="n"/>
      <c r="C6" s="281" t="n"/>
      <c r="D6" s="192">
        <f>TODAY()-WEEKDAY(TODAY(),2)+1</f>
        <v/>
      </c>
      <c r="E6" s="294" t="n"/>
      <c r="F6" s="294" t="n"/>
      <c r="G6" s="294" t="n"/>
      <c r="H6" s="294" t="n"/>
      <c r="I6" s="294" t="n"/>
      <c r="J6" s="294" t="n"/>
      <c r="K6" s="294" t="n"/>
      <c r="L6" s="294" t="n"/>
    </row>
    <row r="7" ht="27.75" customHeight="1" s="278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278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278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278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278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278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278" thickBot="1">
      <c r="A13" s="97" t="inlineStr">
        <is>
          <t>Samu</t>
        </is>
      </c>
      <c r="B13" s="98" t="inlineStr">
        <is>
          <t>Ayudante / Support</t>
        </is>
      </c>
      <c r="C13" s="99" t="n">
        <v>160</v>
      </c>
      <c r="D13" s="100" t="inlineStr">
        <is>
          <t>Full Day</t>
        </is>
      </c>
      <c r="E13" s="100" t="inlineStr">
        <is>
          <t>Full Day</t>
        </is>
      </c>
      <c r="F13" s="100" t="inlineStr">
        <is>
          <t>Full Day</t>
        </is>
      </c>
      <c r="G13" s="100" t="inlineStr">
        <is>
          <t>Full Day</t>
        </is>
      </c>
      <c r="H13" s="100" t="inlineStr">
        <is>
          <t>Full Day</t>
        </is>
      </c>
      <c r="I13" s="100" t="inlineStr">
        <is>
          <t>Day Off</t>
        </is>
      </c>
      <c r="J13" s="100" t="inlineStr">
        <is>
          <t>Day Off</t>
        </is>
      </c>
      <c r="K13" s="101">
        <f>COUNTIF(D13:J13,"Full Day")</f>
        <v/>
      </c>
      <c r="L13" s="102">
        <f>K13*C13</f>
        <v/>
      </c>
    </row>
    <row r="14" ht="19.5" customHeight="1" s="278" thickBot="1">
      <c r="A14" s="97" t="n"/>
      <c r="B14" s="98" t="n"/>
      <c r="C14" s="99" t="n"/>
      <c r="D14" s="100" t="n"/>
      <c r="E14" s="100" t="n"/>
      <c r="F14" s="100" t="n"/>
      <c r="G14" s="100" t="n"/>
      <c r="H14" s="100" t="n"/>
      <c r="I14" s="100" t="n"/>
      <c r="J14" s="100" t="n"/>
      <c r="K14" s="101" t="n"/>
      <c r="L14" s="102" t="n"/>
    </row>
    <row r="15" ht="19.5" customHeight="1" s="278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278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278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278"/>
    <row r="19" ht="19.5" customHeight="1" s="278" thickBot="1"/>
    <row r="20" ht="27.75" customHeight="1" s="278" thickBot="1">
      <c r="A20" s="308" t="inlineStr">
        <is>
          <t xml:space="preserve">  MONTHLY PAYROLL PROJECTION</t>
        </is>
      </c>
      <c r="B20" s="281" t="n"/>
      <c r="C20" s="281" t="n"/>
      <c r="D20" s="281" t="n"/>
      <c r="E20" s="281" t="n"/>
      <c r="F20" s="281" t="n"/>
      <c r="G20" s="281" t="n"/>
      <c r="H20" s="281" t="n"/>
      <c r="I20" s="281" t="n"/>
      <c r="J20" s="281" t="n"/>
      <c r="K20" s="281" t="n"/>
      <c r="L20" s="281" t="n"/>
    </row>
    <row r="21" ht="18" customHeight="1" s="278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278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278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278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278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278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278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278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278">
      <c r="A29" s="115">
        <f>A15</f>
        <v/>
      </c>
      <c r="B29" s="294" t="n"/>
      <c r="C29" s="294" t="n"/>
      <c r="D29" s="294" t="n"/>
      <c r="E29" s="194">
        <f>C29*D29</f>
        <v/>
      </c>
      <c r="F29" s="290" t="n"/>
      <c r="G29" s="120">
        <f>E29*(1+F29)</f>
        <v/>
      </c>
      <c r="H29" s="96" t="n"/>
    </row>
    <row r="30" ht="17.4" customHeight="1" s="278">
      <c r="A30" s="356" t="inlineStr">
        <is>
          <t>TOTAL MONTHLY PAYROLL COST</t>
        </is>
      </c>
      <c r="B30" s="294" t="n"/>
      <c r="C30" s="294" t="n"/>
      <c r="D30" s="294" t="n"/>
      <c r="E30" s="294" t="n"/>
      <c r="F30" s="290" t="n"/>
      <c r="G30" s="108">
        <f>SUM(G21:G28)</f>
        <v/>
      </c>
    </row>
    <row r="33" ht="15.6" customHeight="1" s="278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Cesar — Mesero Salary (RESIGNED)</t>
        </is>
      </c>
      <c r="B37" s="199" t="n">
        <v>0</v>
      </c>
      <c r="C37" s="220" t="n">
        <v>0</v>
      </c>
      <c r="D37" s="221" t="inlineStr">
        <is>
          <t>Resigned — Week 4 paid in full · removed from forward fixed costs</t>
        </is>
      </c>
      <c r="E37" s="222" t="n"/>
    </row>
    <row r="38">
      <c r="A38" t="inlineStr">
        <is>
          <t>Samu — Ayudante Salary</t>
        </is>
      </c>
      <c r="B38" s="193" t="n">
        <v>800</v>
      </c>
      <c r="C38" s="223" t="n">
        <v>3200</v>
      </c>
      <c r="D38" s="224" t="inlineStr">
        <is>
          <t>Confirmed — $800/week | $160/day | 5 days Mon–Fri | Start 9 Jun 2026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MESERO STATUS — ✅ CESAR + SAMU ACTIVE FROM 9 JUN 2026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278">
      <c r="A45" s="203" t="inlineStr">
        <is>
          <t>Current roster: John + Debi + Samu (no mesero)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Cesar resigned — fixed costs down $2,000/wk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278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278"/>
    <row r="61" ht="15.6" customHeight="1" s="278">
      <c r="A61" s="267" t="inlineStr">
        <is>
          <t>── PROPINAS / TIPS PASS-THROUGH (NOT income, NOT expense) ──</t>
        </is>
      </c>
      <c r="B61" s="267" t="n"/>
      <c r="C61" s="267" t="n"/>
      <c r="D61" s="267" t="n"/>
    </row>
    <row r="62">
      <c r="A62" s="267" t="inlineStr">
        <is>
          <t>Date</t>
        </is>
      </c>
      <c r="B62" s="267" t="inlineStr">
        <is>
          <t>Paid To</t>
        </is>
      </c>
      <c r="C62" s="267" t="n"/>
      <c r="D62" s="267" t="inlineStr">
        <is>
          <t>Amount</t>
        </is>
      </c>
    </row>
    <row r="63">
      <c r="A63" s="265" t="n">
        <v>46165</v>
      </c>
      <c r="B63" s="264" t="inlineStr">
        <is>
          <t>John (6 dias)</t>
        </is>
      </c>
      <c r="C63" s="264" t="n"/>
      <c r="D63" s="266" t="n">
        <v>515</v>
      </c>
    </row>
    <row r="64">
      <c r="A64" s="265" t="n">
        <v>46165</v>
      </c>
      <c r="B64" s="264" t="inlineStr">
        <is>
          <t>Debi (6 dias)</t>
        </is>
      </c>
      <c r="C64" s="264" t="n"/>
      <c r="D64" s="266" t="n">
        <v>515</v>
      </c>
    </row>
    <row r="65">
      <c r="A65" s="265" t="n">
        <v>46165</v>
      </c>
      <c r="B65" s="264" t="inlineStr">
        <is>
          <t>Victor (2 dias)</t>
        </is>
      </c>
      <c r="C65" s="264" t="n"/>
      <c r="D65" s="266" t="n">
        <v>168</v>
      </c>
    </row>
    <row r="66">
      <c r="A66" s="265" t="n">
        <v>46174</v>
      </c>
      <c r="B66" s="264" t="inlineStr">
        <is>
          <t>John (Week 2)</t>
        </is>
      </c>
      <c r="C66" s="264" t="n"/>
      <c r="D66" s="266" t="n">
        <v>350</v>
      </c>
    </row>
    <row r="67">
      <c r="A67" s="265" t="n">
        <v>46174</v>
      </c>
      <c r="B67" s="264" t="inlineStr">
        <is>
          <t>Duvi/Debi (Week 2)</t>
        </is>
      </c>
      <c r="C67" s="264" t="n"/>
      <c r="D67" s="266" t="n">
        <v>350</v>
      </c>
    </row>
    <row r="68">
      <c r="A68" s="265" t="n">
        <v>46186</v>
      </c>
      <c r="B68" s="264" t="inlineStr">
        <is>
          <t>John (Week 4)</t>
        </is>
      </c>
      <c r="C68" s="264" t="n"/>
      <c r="D68" s="266" t="n">
        <v>200</v>
      </c>
    </row>
    <row r="69">
      <c r="A69" s="265" t="n">
        <v>46186</v>
      </c>
      <c r="B69" s="264" t="inlineStr">
        <is>
          <t>Duvi/Debi (Week 4)</t>
        </is>
      </c>
      <c r="C69" s="264" t="n"/>
      <c r="D69" s="266" t="n">
        <v>200</v>
      </c>
    </row>
    <row r="70">
      <c r="A70" s="265" t="n">
        <v>46186</v>
      </c>
      <c r="B70" s="264" t="inlineStr">
        <is>
          <t>Cesar (Week 4)</t>
        </is>
      </c>
      <c r="C70" s="264" t="n"/>
      <c r="D70" s="266" t="n">
        <v>126</v>
      </c>
    </row>
    <row r="71">
      <c r="A71" s="265" t="n">
        <v>46186</v>
      </c>
      <c r="B71" s="264" t="inlineStr">
        <is>
          <t>Samu (Week 4)</t>
        </is>
      </c>
      <c r="C71" s="264" t="n"/>
      <c r="D71" s="266" t="n">
        <v>126</v>
      </c>
    </row>
    <row r="72">
      <c r="A72" s="265" t="n">
        <v>46193</v>
      </c>
      <c r="B72" s="264" t="inlineStr">
        <is>
          <t>Duvi/Debi (Week 5 partial)</t>
        </is>
      </c>
      <c r="C72" s="264" t="n"/>
      <c r="D72" s="266" t="n">
        <v>120</v>
      </c>
    </row>
    <row r="73">
      <c r="A73" s="265" t="n">
        <v>46193</v>
      </c>
      <c r="B73" s="264" t="inlineStr">
        <is>
          <t>John (Week 5 partial)</t>
        </is>
      </c>
      <c r="C73" s="264" t="n"/>
      <c r="D73" s="266" t="n">
        <v>150</v>
      </c>
    </row>
    <row r="74">
      <c r="A74" s="265" t="n">
        <v>46193</v>
      </c>
      <c r="B74" s="264" t="inlineStr">
        <is>
          <t>Samu (Week 5)</t>
        </is>
      </c>
      <c r="C74" s="264" t="n"/>
      <c r="D74" s="266" t="n">
        <v>100</v>
      </c>
      <c r="E74" s="268" t="n"/>
      <c r="F74" s="268" t="n"/>
      <c r="G74" s="268" t="n"/>
      <c r="H74" s="268" t="n"/>
    </row>
    <row r="75">
      <c r="A75" s="265" t="n"/>
      <c r="B75" s="264" t="n"/>
      <c r="C75" s="264" t="n"/>
      <c r="D75" s="266" t="n"/>
    </row>
    <row r="76">
      <c r="A76" s="265" t="n"/>
      <c r="B76" s="264" t="n"/>
      <c r="C76" s="264" t="n"/>
      <c r="D76" s="266" t="n"/>
    </row>
    <row r="77">
      <c r="A77" s="265" t="n"/>
      <c r="B77" s="264" t="n"/>
      <c r="C77" s="264" t="n"/>
      <c r="D77" s="266" t="n"/>
    </row>
    <row r="78">
      <c r="A78" s="265" t="n"/>
      <c r="B78" s="264" t="n"/>
      <c r="C78" s="264" t="n"/>
      <c r="D78" s="266" t="n"/>
    </row>
    <row r="79">
      <c r="A79" s="265" t="n"/>
      <c r="B79" s="264" t="n"/>
      <c r="C79" s="264" t="n"/>
      <c r="D79" s="266" t="n"/>
    </row>
    <row r="80">
      <c r="A80" s="265" t="n"/>
      <c r="B80" s="264" t="n"/>
      <c r="C80" s="264" t="n"/>
      <c r="D80" s="266" t="n"/>
    </row>
    <row r="81">
      <c r="A81" s="265" t="n"/>
      <c r="B81" s="264" t="n"/>
      <c r="C81" s="264" t="n"/>
      <c r="D81" s="266" t="n"/>
    </row>
    <row r="82">
      <c r="A82" s="265" t="n"/>
      <c r="B82" s="264" t="n"/>
      <c r="C82" s="264" t="n"/>
      <c r="D82" s="266" t="n"/>
    </row>
    <row r="83">
      <c r="A83" s="265" t="n"/>
      <c r="B83" s="264" t="n"/>
      <c r="C83" s="264" t="n"/>
      <c r="D83" s="266" t="n"/>
    </row>
    <row r="84">
      <c r="A84" s="265" t="n"/>
      <c r="B84" s="264" t="n"/>
      <c r="C84" s="264" t="n"/>
      <c r="D84" s="266" t="n"/>
    </row>
    <row r="85">
      <c r="A85" s="265" t="n"/>
      <c r="B85" s="264" t="n"/>
      <c r="C85" s="264" t="n"/>
      <c r="D85" s="266" t="n"/>
    </row>
    <row r="86">
      <c r="A86" s="265" t="n"/>
      <c r="B86" s="264" t="n"/>
      <c r="C86" s="264" t="n"/>
      <c r="D86" s="266" t="n"/>
    </row>
    <row r="87">
      <c r="A87" s="265" t="n"/>
      <c r="B87" s="264" t="n"/>
      <c r="C87" s="264" t="n"/>
      <c r="D87" s="266" t="n"/>
    </row>
    <row r="88">
      <c r="A88" s="265" t="n"/>
      <c r="B88" s="264" t="n"/>
      <c r="C88" s="264" t="n"/>
      <c r="D88" s="266" t="n"/>
    </row>
    <row r="89">
      <c r="A89" s="265" t="n"/>
      <c r="B89" s="264" t="n"/>
      <c r="C89" s="264" t="n"/>
      <c r="D89" s="266" t="n"/>
    </row>
    <row r="90">
      <c r="A90" s="265" t="n"/>
      <c r="B90" s="264" t="n"/>
      <c r="C90" s="264" t="n"/>
      <c r="D90" s="266" t="n"/>
    </row>
    <row r="91">
      <c r="A91" s="265" t="n"/>
      <c r="B91" s="264" t="n"/>
      <c r="C91" s="264" t="n"/>
      <c r="D91" s="266" t="n"/>
    </row>
    <row r="92">
      <c r="A92" s="265" t="n"/>
      <c r="B92" s="264" t="n"/>
      <c r="C92" s="264" t="n"/>
      <c r="D92" s="266" t="n"/>
    </row>
    <row r="93">
      <c r="A93" s="264" t="n"/>
      <c r="B93" s="264" t="inlineStr">
        <is>
          <t>TOTAL TIPS PASSED THROUGH</t>
        </is>
      </c>
      <c r="C93" s="264" t="n"/>
      <c r="D93" s="266">
        <f>SUM(D63:D92)</f>
        <v/>
      </c>
    </row>
    <row r="94">
      <c r="A94" s="264" t="inlineStr">
        <is>
          <t>Customer tips collected &amp; handed to staff. Excluded from P&amp;L — nets to zero (received = paid).</t>
        </is>
      </c>
      <c r="B94" s="264" t="n"/>
      <c r="C94" s="264" t="n"/>
      <c r="D94" s="264" t="n"/>
    </row>
    <row r="96">
      <c r="A96" t="inlineStr">
        <is>
          <t>── CASH RECONCILIATION (15 Jun 2026) ──</t>
        </is>
      </c>
    </row>
    <row r="97">
      <c r="A97" t="inlineStr">
        <is>
          <t>Actual restaurant cash on hand</t>
        </is>
      </c>
      <c r="D97" s="228" t="n">
        <v>20283</v>
      </c>
    </row>
    <row r="98">
      <c r="A98" t="inlineStr">
        <is>
          <t>Adjustment: restaurant cash added to tips + Mercado Pago commission (vs running estimate)</t>
        </is>
      </c>
      <c r="D98" s="228" t="n">
        <v>-165</v>
      </c>
    </row>
    <row r="99">
      <c r="A99" t="inlineStr">
        <is>
          <t>Reconciled to physical count provided by Reddy. $20,283 is net of MP % deductions.</t>
        </is>
      </c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278" min="1" max="1"/>
    <col width="14" customWidth="1" style="278" min="2" max="2"/>
    <col width="22" customWidth="1" style="278" min="3" max="3"/>
    <col width="20" customWidth="1" style="278" min="4" max="4"/>
    <col width="12" customWidth="1" style="278" min="5" max="5"/>
    <col width="10" customWidth="1" style="278" min="6" max="6"/>
    <col width="12" customWidth="1" style="278" min="7" max="7"/>
    <col width="14" customWidth="1" style="278" min="8" max="9"/>
    <col width="18" customWidth="1" style="278" min="10" max="10"/>
    <col width="16" customWidth="1" style="278" min="11" max="11"/>
  </cols>
  <sheetData>
    <row r="1" ht="4.5" customHeight="1" s="278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278">
      <c r="A2" s="364" t="inlineStr">
        <is>
          <t>🚚  LOKA — SUPPLIER ORDERS</t>
        </is>
      </c>
      <c r="F2" s="365" t="inlineStr">
        <is>
          <t>Track purchase orders from suppliers</t>
        </is>
      </c>
    </row>
    <row r="3" ht="3.75" customHeight="1" s="278">
      <c r="A3" s="366" t="n"/>
    </row>
    <row r="4" ht="7.5" customHeight="1" s="278"/>
    <row r="5" ht="18" customHeight="1" s="278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278">
      <c r="B6" s="79">
        <f>COUNTA(C9:C308)-1</f>
        <v/>
      </c>
      <c r="C6" s="121">
        <f>COUNTIF(K9:K308,"Pending")</f>
        <v/>
      </c>
      <c r="D6" s="122">
        <f>COUNTIF(K9:K308,"In Transit")</f>
        <v/>
      </c>
      <c r="E6" s="123">
        <f>COUNTIF(K9:K308,"Received")</f>
        <v/>
      </c>
      <c r="F6" s="124">
        <f>SUMIF(K9:K308,"Received",J9:J308)</f>
        <v/>
      </c>
      <c r="G6" s="61">
        <f>SUMIF(K9:K308,"Pending",J9:J308)</f>
        <v/>
      </c>
      <c r="H6" s="121">
        <f>COUNTIF(K9:K308,"Pending")+COUNTIF(K9:K308,"In Transit")</f>
        <v/>
      </c>
    </row>
    <row r="7" ht="7.5" customHeight="1" s="278"/>
    <row r="8" ht="19.5" customHeight="1" s="278">
      <c r="B8" s="35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</row>
    <row r="9" ht="27.75" customHeight="1" s="278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278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278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278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278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278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278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278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278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278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278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278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278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278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278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278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278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278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278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278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278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278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278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278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278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278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278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278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278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278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278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278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278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278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278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278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278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278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278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278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278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278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278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278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278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278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278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278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278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278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278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278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278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278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278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278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278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278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278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278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278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278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278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278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278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278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278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278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278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278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278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278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278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278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278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278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278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278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278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278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278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278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278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278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278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278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278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278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278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278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278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278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278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278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278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278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278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278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278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278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278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278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278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278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278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278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278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278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278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278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278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278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278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278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278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278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278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278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278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278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278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278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278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278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278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278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278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278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278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278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278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278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278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278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278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278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278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278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278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278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278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278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278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278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278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278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278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278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278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278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278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278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278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278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278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278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278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278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278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278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278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278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278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278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278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278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278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278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278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278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278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278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278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278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278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278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278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278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278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278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278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278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278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278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278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278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278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278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278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278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278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278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278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278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278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278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278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278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278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278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278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278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278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278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278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278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278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278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278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278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278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278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278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278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278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278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278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278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278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278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278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278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278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278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278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278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278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278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278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278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278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278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278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278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278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278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278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278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278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278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278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278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278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278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278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278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278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278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278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278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278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278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278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278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278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278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278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278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278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278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278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278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278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278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278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278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278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278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278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278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278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278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278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278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278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278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278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278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278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278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278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278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278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278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278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278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278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278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278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278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278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278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278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278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278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278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278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278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278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278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278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278" min="2" max="2"/>
    <col width="14.33203125" bestFit="1" customWidth="1" style="278" min="3" max="3"/>
    <col width="44" bestFit="1" customWidth="1" style="278" min="4" max="4"/>
    <col width="87.77734375" bestFit="1" customWidth="1" style="278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278" min="1" max="1"/>
    <col width="15" bestFit="1" customWidth="1" style="278" min="2" max="3"/>
    <col width="15" customWidth="1" style="278" min="3" max="3"/>
    <col width="15" customWidth="1" style="278" min="4" max="14"/>
    <col width="9" customWidth="1" style="278" min="5" max="5"/>
    <col width="9" customWidth="1" style="278" min="6" max="6"/>
    <col width="9" customWidth="1" style="278" min="7" max="7"/>
    <col width="9" customWidth="1" style="278" min="8" max="8"/>
    <col width="9" customWidth="1" style="278" min="9" max="9"/>
    <col width="9" customWidth="1" style="278" min="10" max="10"/>
    <col width="9" customWidth="1" style="278" min="11" max="11"/>
    <col width="9" customWidth="1" style="278" min="12" max="12"/>
    <col width="9" customWidth="1" style="278" min="13" max="13"/>
    <col width="9" customWidth="1" style="278" min="14" max="14"/>
  </cols>
  <sheetData>
    <row r="1" ht="26" customHeight="1" s="278">
      <c r="A1" s="384" t="inlineStr">
        <is>
          <t>LOKA — MONTHLY P&amp;L   (live formulas — auto-updates from Daily Log &amp; Expenses)</t>
        </is>
      </c>
      <c r="B1" s="383" t="n"/>
      <c r="C1" s="383" t="n"/>
      <c r="D1" s="383" t="n"/>
      <c r="E1" s="374" t="n"/>
      <c r="F1" s="374" t="n"/>
      <c r="G1" s="374" t="n"/>
      <c r="H1" s="374" t="n"/>
      <c r="I1" s="374" t="n"/>
      <c r="J1" s="374" t="n"/>
      <c r="K1" s="374" t="n"/>
      <c r="L1" s="374" t="n"/>
    </row>
    <row r="2">
      <c r="A2" s="374" t="n"/>
      <c r="B2" s="374" t="n"/>
      <c r="C2" s="374" t="n"/>
      <c r="D2" s="374" t="n"/>
      <c r="E2" s="374" t="n"/>
      <c r="F2" s="374" t="n"/>
      <c r="G2" s="374" t="n"/>
      <c r="H2" s="374" t="n"/>
      <c r="I2" s="374" t="n"/>
      <c r="J2" s="374" t="n"/>
      <c r="K2" s="374" t="n"/>
      <c r="L2" s="374" t="n"/>
    </row>
    <row r="3">
      <c r="A3" s="375" t="inlineStr">
        <is>
          <t>SUMMARY</t>
        </is>
      </c>
      <c r="B3" s="376" t="inlineStr">
        <is>
          <t>May 2026</t>
        </is>
      </c>
      <c r="C3" s="376" t="inlineStr">
        <is>
          <t>Jun 2026</t>
        </is>
      </c>
      <c r="D3" s="376" t="inlineStr">
        <is>
          <t>Jul 2026</t>
        </is>
      </c>
      <c r="E3" s="374" t="n"/>
      <c r="F3" s="374" t="n"/>
      <c r="G3" s="374" t="n"/>
      <c r="H3" s="374" t="n"/>
      <c r="I3" s="374" t="n"/>
      <c r="J3" s="374" t="n"/>
      <c r="K3" s="374" t="n"/>
      <c r="L3" s="374" t="n"/>
    </row>
    <row r="4">
      <c r="A4" s="377" t="inlineStr">
        <is>
          <t>Total Income</t>
        </is>
      </c>
      <c r="B4" s="378">
        <f>SUMIFS('📅 Daily Log'!$F$8:$F$500,'📅 Daily Log'!$B$8:$B$500,"&gt;="&amp;DATE(2026,5,1),'📅 Daily Log'!$B$8:$B$500,"&lt;"&amp;DATE(2026,6,1))</f>
        <v/>
      </c>
      <c r="C4" s="378">
        <f>SUMIFS('📅 Daily Log'!$F$8:$F$500,'📅 Daily Log'!$B$8:$B$500,"&gt;="&amp;DATE(2026,6,1),'📅 Daily Log'!$B$8:$B$500,"&lt;"&amp;DATE(2026,7,1))</f>
        <v/>
      </c>
      <c r="D4" s="378">
        <f>SUMIFS('📅 Daily Log'!$F$8:$F$500,'📅 Daily Log'!$B$8:$B$500,"&gt;="&amp;DATE(2026,7,1),'📅 Daily Log'!$B$8:$B$500,"&lt;"&amp;DATE(2026,8,1))</f>
        <v/>
      </c>
      <c r="E4" s="374" t="n"/>
      <c r="F4" s="374" t="n"/>
      <c r="G4" s="374" t="n"/>
      <c r="H4" s="374" t="n"/>
      <c r="I4" s="374" t="n"/>
      <c r="J4" s="374" t="n"/>
      <c r="K4" s="374" t="n"/>
      <c r="L4" s="374" t="n"/>
    </row>
    <row r="5">
      <c r="A5" s="377" t="inlineStr">
        <is>
          <t>Total Expenses</t>
        </is>
      </c>
      <c r="B5" s="378">
        <f>SUMIFS('💸 Expenses'!$F$8:$F$500,'💸 Expenses'!$B$8:$B$500,"&gt;="&amp;DATE(2026,5,1),'💸 Expenses'!$B$8:$B$500,"&lt;"&amp;DATE(2026,6,1))</f>
        <v/>
      </c>
      <c r="C5" s="378">
        <f>SUMIFS('💸 Expenses'!$F$8:$F$500,'💸 Expenses'!$B$8:$B$500,"&gt;="&amp;DATE(2026,6,1),'💸 Expenses'!$B$8:$B$500,"&lt;"&amp;DATE(2026,7,1))</f>
        <v/>
      </c>
      <c r="D5" s="378">
        <f>SUMIFS('💸 Expenses'!$F$8:$F$500,'💸 Expenses'!$B$8:$B$500,"&gt;="&amp;DATE(2026,7,1),'💸 Expenses'!$B$8:$B$500,"&lt;"&amp;DATE(2026,8,1))</f>
        <v/>
      </c>
      <c r="E5" s="374" t="n"/>
      <c r="F5" s="374" t="n"/>
      <c r="G5" s="374" t="n"/>
      <c r="H5" s="374" t="n"/>
      <c r="I5" s="374" t="n"/>
      <c r="J5" s="374" t="n"/>
      <c r="K5" s="374" t="n"/>
      <c r="L5" s="374" t="n"/>
    </row>
    <row r="6">
      <c r="A6" s="377" t="inlineStr">
        <is>
          <t>NET PROFIT / LOSS</t>
        </is>
      </c>
      <c r="B6" s="379">
        <f>B4-B5</f>
        <v/>
      </c>
      <c r="C6" s="379">
        <f>C4-C5</f>
        <v/>
      </c>
      <c r="D6" s="379">
        <f>D4-D5</f>
        <v/>
      </c>
      <c r="E6" s="374" t="n"/>
      <c r="F6" s="374" t="n"/>
      <c r="G6" s="374" t="n"/>
      <c r="H6" s="374" t="n"/>
      <c r="I6" s="374" t="n"/>
      <c r="J6" s="374" t="n"/>
      <c r="K6" s="374" t="n"/>
      <c r="L6" s="374" t="n"/>
    </row>
    <row r="7">
      <c r="A7" s="380" t="inlineStr">
        <is>
          <t>Trading Days</t>
        </is>
      </c>
      <c r="B7" s="381">
        <f>COUNTIFS('📅 Daily Log'!$F$8:$F$500,"&gt;0",'📅 Daily Log'!$B$8:$B$500,"&gt;="&amp;DATE(2026,5,1),'📅 Daily Log'!$B$8:$B$500,"&lt;"&amp;DATE(2026,6,1))</f>
        <v/>
      </c>
      <c r="C7" s="381">
        <f>COUNTIFS('📅 Daily Log'!$F$8:$F$500,"&gt;0",'📅 Daily Log'!$B$8:$B$500,"&gt;="&amp;DATE(2026,6,1),'📅 Daily Log'!$B$8:$B$500,"&lt;"&amp;DATE(2026,7,1))</f>
        <v/>
      </c>
      <c r="D7" s="381">
        <f>COUNTIFS('📅 Daily Log'!$F$8:$F$500,"&gt;0",'📅 Daily Log'!$B$8:$B$500,"&gt;="&amp;DATE(2026,7,1),'📅 Daily Log'!$B$8:$B$500,"&lt;"&amp;DATE(2026,8,1))</f>
        <v/>
      </c>
      <c r="E7" s="374" t="n"/>
      <c r="F7" s="374" t="n"/>
      <c r="G7" s="374" t="n"/>
      <c r="H7" s="374" t="n"/>
      <c r="I7" s="374" t="n"/>
      <c r="J7" s="374" t="n"/>
      <c r="K7" s="374" t="n"/>
      <c r="L7" s="374" t="n"/>
    </row>
    <row r="8">
      <c r="A8" s="380" t="inlineStr">
        <is>
          <t>Avg Income / Day</t>
        </is>
      </c>
      <c r="B8" s="378">
        <f>IFERROR(B4/B7,0)</f>
        <v/>
      </c>
      <c r="C8" s="378">
        <f>IFERROR(C4/C7,0)</f>
        <v/>
      </c>
      <c r="D8" s="378">
        <f>IFERROR(D4/D7,0)</f>
        <v/>
      </c>
      <c r="E8" s="374" t="n"/>
      <c r="F8" s="374" t="n"/>
      <c r="G8" s="374" t="n"/>
      <c r="H8" s="374" t="n"/>
      <c r="I8" s="374" t="n"/>
      <c r="J8" s="374" t="n"/>
      <c r="K8" s="374" t="n"/>
      <c r="L8" s="374" t="n"/>
    </row>
    <row r="9">
      <c r="A9" s="374" t="n"/>
      <c r="B9" s="374" t="n"/>
      <c r="C9" s="374" t="n"/>
      <c r="D9" s="374" t="n"/>
      <c r="E9" s="374" t="n"/>
      <c r="F9" s="374" t="n"/>
      <c r="G9" s="374" t="n"/>
      <c r="H9" s="374" t="n"/>
      <c r="I9" s="374" t="n"/>
      <c r="J9" s="374" t="n"/>
      <c r="K9" s="374" t="n"/>
      <c r="L9" s="374" t="n"/>
    </row>
    <row r="10">
      <c r="A10" s="375" t="inlineStr">
        <is>
          <t>INCOME BY TYPE</t>
        </is>
      </c>
      <c r="B10" s="376" t="inlineStr">
        <is>
          <t>May 2026</t>
        </is>
      </c>
      <c r="C10" s="376" t="inlineStr">
        <is>
          <t>Jun 2026</t>
        </is>
      </c>
      <c r="D10" s="376" t="inlineStr">
        <is>
          <t>Jul 2026</t>
        </is>
      </c>
      <c r="E10" s="374" t="n"/>
      <c r="F10" s="374" t="n"/>
      <c r="G10" s="374" t="n"/>
      <c r="H10" s="374" t="n"/>
      <c r="I10" s="374" t="n"/>
      <c r="J10" s="374" t="n"/>
      <c r="K10" s="374" t="n"/>
      <c r="L10" s="374" t="n"/>
    </row>
    <row r="11">
      <c r="A11" s="380" t="inlineStr">
        <is>
          <t>Card</t>
        </is>
      </c>
      <c r="B11" s="378">
        <f>SUMIFS('📅 Daily Log'!$D$8:$D$500,'📅 Daily Log'!$B$8:$B$500,"&gt;="&amp;DATE(2026,5,1),'📅 Daily Log'!$B$8:$B$500,"&lt;"&amp;DATE(2026,6,1))</f>
        <v/>
      </c>
      <c r="C11" s="378">
        <f>SUMIFS('📅 Daily Log'!$D$8:$D$500,'📅 Daily Log'!$B$8:$B$500,"&gt;="&amp;DATE(2026,6,1),'📅 Daily Log'!$B$8:$B$500,"&lt;"&amp;DATE(2026,7,1))</f>
        <v/>
      </c>
      <c r="D11" s="378">
        <f>SUMIFS('📅 Daily Log'!$D$8:$D$500,'📅 Daily Log'!$B$8:$B$500,"&gt;="&amp;DATE(2026,7,1),'📅 Daily Log'!$B$8:$B$500,"&lt;"&amp;DATE(2026,8,1))</f>
        <v/>
      </c>
      <c r="E11" s="374" t="n"/>
      <c r="F11" s="374" t="n"/>
      <c r="G11" s="374" t="n"/>
      <c r="H11" s="374" t="n"/>
      <c r="I11" s="374" t="n"/>
      <c r="J11" s="374" t="n"/>
      <c r="K11" s="374" t="n"/>
      <c r="L11" s="374" t="n"/>
    </row>
    <row r="12">
      <c r="A12" s="380" t="inlineStr">
        <is>
          <t>Cash</t>
        </is>
      </c>
      <c r="B12" s="378">
        <f>SUMIFS('📅 Daily Log'!$E$8:$E$500,'📅 Daily Log'!$B$8:$B$500,"&gt;="&amp;DATE(2026,5,1),'📅 Daily Log'!$B$8:$B$500,"&lt;"&amp;DATE(2026,6,1))</f>
        <v/>
      </c>
      <c r="C12" s="378">
        <f>SUMIFS('📅 Daily Log'!$E$8:$E$500,'📅 Daily Log'!$B$8:$B$500,"&gt;="&amp;DATE(2026,6,1),'📅 Daily Log'!$B$8:$B$500,"&lt;"&amp;DATE(2026,7,1))</f>
        <v/>
      </c>
      <c r="D12" s="378">
        <f>SUMIFS('📅 Daily Log'!$E$8:$E$500,'📅 Daily Log'!$B$8:$B$500,"&gt;="&amp;DATE(2026,7,1),'📅 Daily Log'!$B$8:$B$500,"&lt;"&amp;DATE(2026,8,1))</f>
        <v/>
      </c>
      <c r="E12" s="374" t="n"/>
      <c r="F12" s="374" t="n"/>
      <c r="G12" s="374" t="n"/>
      <c r="H12" s="374" t="n"/>
      <c r="I12" s="374" t="n"/>
      <c r="J12" s="374" t="n"/>
      <c r="K12" s="374" t="n"/>
      <c r="L12" s="374" t="n"/>
    </row>
    <row r="13">
      <c r="A13" s="380" t="inlineStr">
        <is>
          <t>Transfer</t>
        </is>
      </c>
      <c r="B13" s="378">
        <f>SUMIFS('📅 Daily Log'!$G$8:$G$500,'📅 Daily Log'!$B$8:$B$500,"&gt;="&amp;DATE(2026,5,1),'📅 Daily Log'!$B$8:$B$500,"&lt;"&amp;DATE(2026,6,1))</f>
        <v/>
      </c>
      <c r="C13" s="378">
        <f>SUMIFS('📅 Daily Log'!$G$8:$G$500,'📅 Daily Log'!$B$8:$B$500,"&gt;="&amp;DATE(2026,6,1),'📅 Daily Log'!$B$8:$B$500,"&lt;"&amp;DATE(2026,7,1))</f>
        <v/>
      </c>
      <c r="D13" s="378">
        <f>SUMIFS('📅 Daily Log'!$G$8:$G$500,'📅 Daily Log'!$B$8:$B$500,"&gt;="&amp;DATE(2026,7,1),'📅 Daily Log'!$B$8:$B$500,"&lt;"&amp;DATE(2026,8,1))</f>
        <v/>
      </c>
      <c r="E13" s="374" t="n"/>
      <c r="F13" s="374" t="n"/>
      <c r="G13" s="374" t="n"/>
      <c r="H13" s="374" t="n"/>
      <c r="I13" s="374" t="n"/>
      <c r="J13" s="374" t="n"/>
      <c r="K13" s="374" t="n"/>
      <c r="L13" s="374" t="n"/>
    </row>
    <row r="14">
      <c r="A14" s="377" t="inlineStr">
        <is>
          <t>Total Income</t>
        </is>
      </c>
      <c r="B14" s="379">
        <f>B11+B12+B13</f>
        <v/>
      </c>
      <c r="C14" s="379">
        <f>C11+C12+C13</f>
        <v/>
      </c>
      <c r="D14" s="379">
        <f>D11+D12+D13</f>
        <v/>
      </c>
      <c r="E14" s="374" t="n"/>
      <c r="F14" s="374" t="n"/>
      <c r="G14" s="374" t="n"/>
      <c r="H14" s="374" t="n"/>
      <c r="I14" s="374" t="n"/>
      <c r="J14" s="374" t="n"/>
      <c r="K14" s="374" t="n"/>
      <c r="L14" s="374" t="n"/>
    </row>
    <row r="15">
      <c r="A15" s="374" t="n"/>
      <c r="B15" s="374" t="n"/>
      <c r="C15" s="374" t="n"/>
      <c r="D15" s="374" t="n"/>
      <c r="E15" s="374" t="n"/>
      <c r="F15" s="374" t="n"/>
      <c r="G15" s="374" t="n"/>
      <c r="H15" s="374" t="n"/>
      <c r="I15" s="374" t="n"/>
      <c r="J15" s="374" t="n"/>
      <c r="K15" s="374" t="n"/>
      <c r="L15" s="374" t="n"/>
    </row>
    <row r="16">
      <c r="A16" s="375" t="inlineStr">
        <is>
          <t>EXPENSES BY CATEGORY (high → low)</t>
        </is>
      </c>
      <c r="B16" s="376" t="inlineStr">
        <is>
          <t>May 2026</t>
        </is>
      </c>
      <c r="C16" s="376" t="inlineStr">
        <is>
          <t>Jun 2026</t>
        </is>
      </c>
      <c r="D16" s="376" t="inlineStr">
        <is>
          <t>Jul 2026</t>
        </is>
      </c>
      <c r="E16" s="374" t="n"/>
      <c r="F16" s="374" t="n"/>
      <c r="G16" s="374" t="n"/>
      <c r="H16" s="374" t="n"/>
      <c r="I16" s="374" t="n"/>
      <c r="J16" s="374" t="n"/>
      <c r="K16" s="374" t="n"/>
      <c r="L16" s="374" t="n"/>
    </row>
    <row r="17">
      <c r="A17" s="380" t="inlineStr">
        <is>
          <t>Staff - Salary</t>
        </is>
      </c>
      <c r="B17" s="378">
        <f>SUMIFS('💸 Expenses'!$F$8:$F$500,'💸 Expenses'!$E$8:$E$500,$A17,'💸 Expenses'!$B$8:$B$500,"&gt;="&amp;DATE(2026,5,1),'💸 Expenses'!$B$8:$B$500,"&lt;"&amp;DATE(2026,6,1))</f>
        <v/>
      </c>
      <c r="C17" s="378">
        <f>SUMIFS('💸 Expenses'!$F$8:$F$500,'💸 Expenses'!$E$8:$E$500,$A17,'💸 Expenses'!$B$8:$B$500,"&gt;="&amp;DATE(2026,6,1),'💸 Expenses'!$B$8:$B$500,"&lt;"&amp;DATE(2026,7,1))</f>
        <v/>
      </c>
      <c r="D17" s="378">
        <f>SUMIFS('💸 Expenses'!$F$8:$F$500,'💸 Expenses'!$E$8:$E$500,$A17,'💸 Expenses'!$B$8:$B$500,"&gt;="&amp;DATE(2026,7,1),'💸 Expenses'!$B$8:$B$500,"&lt;"&amp;DATE(2026,8,1))</f>
        <v/>
      </c>
      <c r="E17" s="374" t="n"/>
      <c r="F17" s="374" t="n"/>
      <c r="G17" s="374" t="n"/>
      <c r="H17" s="374" t="n"/>
      <c r="I17" s="374" t="n"/>
      <c r="J17" s="374" t="n"/>
      <c r="K17" s="374" t="n"/>
      <c r="L17" s="374" t="n"/>
    </row>
    <row r="18">
      <c r="A18" s="380" t="inlineStr">
        <is>
          <t>Ingredients - Meat</t>
        </is>
      </c>
      <c r="B18" s="378">
        <f>SUMIFS('💸 Expenses'!$F$8:$F$500,'💸 Expenses'!$E$8:$E$500,$A18,'💸 Expenses'!$B$8:$B$500,"&gt;="&amp;DATE(2026,5,1),'💸 Expenses'!$B$8:$B$500,"&lt;"&amp;DATE(2026,6,1))</f>
        <v/>
      </c>
      <c r="C18" s="378">
        <f>SUMIFS('💸 Expenses'!$F$8:$F$500,'💸 Expenses'!$E$8:$E$500,$A18,'💸 Expenses'!$B$8:$B$500,"&gt;="&amp;DATE(2026,6,1),'💸 Expenses'!$B$8:$B$500,"&lt;"&amp;DATE(2026,7,1))</f>
        <v/>
      </c>
      <c r="D18" s="378">
        <f>SUMIFS('💸 Expenses'!$F$8:$F$500,'💸 Expenses'!$E$8:$E$500,$A18,'💸 Expenses'!$B$8:$B$500,"&gt;="&amp;DATE(2026,7,1),'💸 Expenses'!$B$8:$B$500,"&lt;"&amp;DATE(2026,8,1))</f>
        <v/>
      </c>
      <c r="E18" s="374" t="n"/>
      <c r="F18" s="374" t="n"/>
      <c r="G18" s="374" t="n"/>
      <c r="H18" s="374" t="n"/>
      <c r="I18" s="374" t="n"/>
      <c r="J18" s="374" t="n"/>
      <c r="K18" s="374" t="n"/>
      <c r="L18" s="374" t="n"/>
    </row>
    <row r="19">
      <c r="A19" s="380" t="inlineStr">
        <is>
          <t>Rent</t>
        </is>
      </c>
      <c r="B19" s="378">
        <f>SUMIFS('💸 Expenses'!$F$8:$F$500,'💸 Expenses'!$E$8:$E$500,$A19,'💸 Expenses'!$B$8:$B$500,"&gt;="&amp;DATE(2026,5,1),'💸 Expenses'!$B$8:$B$500,"&lt;"&amp;DATE(2026,6,1))</f>
        <v/>
      </c>
      <c r="C19" s="378">
        <f>SUMIFS('💸 Expenses'!$F$8:$F$500,'💸 Expenses'!$E$8:$E$500,$A19,'💸 Expenses'!$B$8:$B$500,"&gt;="&amp;DATE(2026,6,1),'💸 Expenses'!$B$8:$B$500,"&lt;"&amp;DATE(2026,7,1))</f>
        <v/>
      </c>
      <c r="D19" s="378">
        <f>SUMIFS('💸 Expenses'!$F$8:$F$500,'💸 Expenses'!$E$8:$E$500,$A19,'💸 Expenses'!$B$8:$B$500,"&gt;="&amp;DATE(2026,7,1),'💸 Expenses'!$B$8:$B$500,"&lt;"&amp;DATE(2026,8,1))</f>
        <v/>
      </c>
      <c r="E19" s="374" t="n"/>
      <c r="F19" s="374" t="n"/>
      <c r="G19" s="374" t="n"/>
      <c r="H19" s="374" t="n"/>
      <c r="I19" s="374" t="n"/>
      <c r="J19" s="374" t="n"/>
      <c r="K19" s="374" t="n"/>
      <c r="L19" s="374" t="n"/>
    </row>
    <row r="20">
      <c r="A20" s="380" t="inlineStr">
        <is>
          <t>Ingredients - Pantry</t>
        </is>
      </c>
      <c r="B20" s="378">
        <f>SUMIFS('💸 Expenses'!$F$8:$F$500,'💸 Expenses'!$E$8:$E$500,$A20,'💸 Expenses'!$B$8:$B$500,"&gt;="&amp;DATE(2026,5,1),'💸 Expenses'!$B$8:$B$500,"&lt;"&amp;DATE(2026,6,1))</f>
        <v/>
      </c>
      <c r="C20" s="378">
        <f>SUMIFS('💸 Expenses'!$F$8:$F$500,'💸 Expenses'!$E$8:$E$500,$A20,'💸 Expenses'!$B$8:$B$500,"&gt;="&amp;DATE(2026,6,1),'💸 Expenses'!$B$8:$B$500,"&lt;"&amp;DATE(2026,7,1))</f>
        <v/>
      </c>
      <c r="D20" s="378">
        <f>SUMIFS('💸 Expenses'!$F$8:$F$500,'💸 Expenses'!$E$8:$E$500,$A20,'💸 Expenses'!$B$8:$B$500,"&gt;="&amp;DATE(2026,7,1),'💸 Expenses'!$B$8:$B$500,"&lt;"&amp;DATE(2026,8,1))</f>
        <v/>
      </c>
      <c r="E20" s="374" t="n"/>
      <c r="F20" s="374" t="n"/>
      <c r="G20" s="374" t="n"/>
      <c r="H20" s="374" t="n"/>
      <c r="I20" s="374" t="n"/>
      <c r="J20" s="374" t="n"/>
      <c r="K20" s="374" t="n"/>
      <c r="L20" s="374" t="n"/>
    </row>
    <row r="21">
      <c r="A21" s="380" t="inlineStr">
        <is>
          <t>Ingredients - Vegetables</t>
        </is>
      </c>
      <c r="B21" s="378">
        <f>SUMIFS('💸 Expenses'!$F$8:$F$500,'💸 Expenses'!$E$8:$E$500,$A21,'💸 Expenses'!$B$8:$B$500,"&gt;="&amp;DATE(2026,5,1),'💸 Expenses'!$B$8:$B$500,"&lt;"&amp;DATE(2026,6,1))</f>
        <v/>
      </c>
      <c r="C21" s="378">
        <f>SUMIFS('💸 Expenses'!$F$8:$F$500,'💸 Expenses'!$E$8:$E$500,$A21,'💸 Expenses'!$B$8:$B$500,"&gt;="&amp;DATE(2026,6,1),'💸 Expenses'!$B$8:$B$500,"&lt;"&amp;DATE(2026,7,1))</f>
        <v/>
      </c>
      <c r="D21" s="378">
        <f>SUMIFS('💸 Expenses'!$F$8:$F$500,'💸 Expenses'!$E$8:$E$500,$A21,'💸 Expenses'!$B$8:$B$500,"&gt;="&amp;DATE(2026,7,1),'💸 Expenses'!$B$8:$B$500,"&lt;"&amp;DATE(2026,8,1))</f>
        <v/>
      </c>
      <c r="E21" s="374" t="n"/>
      <c r="F21" s="374" t="n"/>
      <c r="G21" s="374" t="n"/>
      <c r="H21" s="374" t="n"/>
      <c r="I21" s="374" t="n"/>
      <c r="J21" s="374" t="n"/>
      <c r="K21" s="374" t="n"/>
      <c r="L21" s="374" t="n"/>
    </row>
    <row r="22">
      <c r="A22" s="380" t="inlineStr">
        <is>
          <t>Ingredients - Beverages</t>
        </is>
      </c>
      <c r="B22" s="378">
        <f>SUMIFS('💸 Expenses'!$F$8:$F$500,'💸 Expenses'!$E$8:$E$500,$A22,'💸 Expenses'!$B$8:$B$500,"&gt;="&amp;DATE(2026,5,1),'💸 Expenses'!$B$8:$B$500,"&lt;"&amp;DATE(2026,6,1))</f>
        <v/>
      </c>
      <c r="C22" s="378">
        <f>SUMIFS('💸 Expenses'!$F$8:$F$500,'💸 Expenses'!$E$8:$E$500,$A22,'💸 Expenses'!$B$8:$B$500,"&gt;="&amp;DATE(2026,6,1),'💸 Expenses'!$B$8:$B$500,"&lt;"&amp;DATE(2026,7,1))</f>
        <v/>
      </c>
      <c r="D22" s="378">
        <f>SUMIFS('💸 Expenses'!$F$8:$F$500,'💸 Expenses'!$E$8:$E$500,$A22,'💸 Expenses'!$B$8:$B$500,"&gt;="&amp;DATE(2026,7,1),'💸 Expenses'!$B$8:$B$500,"&lt;"&amp;DATE(2026,8,1))</f>
        <v/>
      </c>
      <c r="E22" s="374" t="n"/>
      <c r="F22" s="374" t="n"/>
      <c r="G22" s="374" t="n"/>
      <c r="H22" s="374" t="n"/>
      <c r="I22" s="374" t="n"/>
      <c r="J22" s="374" t="n"/>
      <c r="K22" s="374" t="n"/>
      <c r="L22" s="374" t="n"/>
    </row>
    <row r="23">
      <c r="A23" s="380" t="inlineStr">
        <is>
          <t>Ingredients - Dairy</t>
        </is>
      </c>
      <c r="B23" s="378">
        <f>SUMIFS('💸 Expenses'!$F$8:$F$500,'💸 Expenses'!$E$8:$E$500,$A23,'💸 Expenses'!$B$8:$B$500,"&gt;="&amp;DATE(2026,5,1),'💸 Expenses'!$B$8:$B$500,"&lt;"&amp;DATE(2026,6,1))</f>
        <v/>
      </c>
      <c r="C23" s="378">
        <f>SUMIFS('💸 Expenses'!$F$8:$F$500,'💸 Expenses'!$E$8:$E$500,$A23,'💸 Expenses'!$B$8:$B$500,"&gt;="&amp;DATE(2026,6,1),'💸 Expenses'!$B$8:$B$500,"&lt;"&amp;DATE(2026,7,1))</f>
        <v/>
      </c>
      <c r="D23" s="378">
        <f>SUMIFS('💸 Expenses'!$F$8:$F$500,'💸 Expenses'!$E$8:$E$500,$A23,'💸 Expenses'!$B$8:$B$500,"&gt;="&amp;DATE(2026,7,1),'💸 Expenses'!$B$8:$B$500,"&lt;"&amp;DATE(2026,8,1))</f>
        <v/>
      </c>
      <c r="E23" s="374" t="n"/>
      <c r="F23" s="374" t="n"/>
      <c r="G23" s="374" t="n"/>
      <c r="H23" s="374" t="n"/>
      <c r="I23" s="374" t="n"/>
      <c r="J23" s="374" t="n"/>
      <c r="K23" s="374" t="n"/>
      <c r="L23" s="374" t="n"/>
    </row>
    <row r="24">
      <c r="A24" s="380" t="inlineStr">
        <is>
          <t>Supplies / Other</t>
        </is>
      </c>
      <c r="B24" s="378">
        <f>SUMIFS('💸 Expenses'!$F$8:$F$500,'💸 Expenses'!$E$8:$E$500,$A24,'💸 Expenses'!$B$8:$B$500,"&gt;="&amp;DATE(2026,5,1),'💸 Expenses'!$B$8:$B$500,"&lt;"&amp;DATE(2026,6,1))</f>
        <v/>
      </c>
      <c r="C24" s="378">
        <f>SUMIFS('💸 Expenses'!$F$8:$F$500,'💸 Expenses'!$E$8:$E$500,$A24,'💸 Expenses'!$B$8:$B$500,"&gt;="&amp;DATE(2026,6,1),'💸 Expenses'!$B$8:$B$500,"&lt;"&amp;DATE(2026,7,1))</f>
        <v/>
      </c>
      <c r="D24" s="378">
        <f>SUMIFS('💸 Expenses'!$F$8:$F$500,'💸 Expenses'!$E$8:$E$500,$A24,'💸 Expenses'!$B$8:$B$500,"&gt;="&amp;DATE(2026,7,1),'💸 Expenses'!$B$8:$B$500,"&lt;"&amp;DATE(2026,8,1))</f>
        <v/>
      </c>
      <c r="E24" s="374" t="n"/>
      <c r="F24" s="374" t="n"/>
      <c r="G24" s="374" t="n"/>
      <c r="H24" s="374" t="n"/>
      <c r="I24" s="374" t="n"/>
      <c r="J24" s="374" t="n"/>
      <c r="K24" s="374" t="n"/>
      <c r="L24" s="374" t="n"/>
    </row>
    <row r="25">
      <c r="A25" s="380" t="inlineStr">
        <is>
          <t>Supermarket / General</t>
        </is>
      </c>
      <c r="B25" s="378">
        <f>SUMIFS('💸 Expenses'!$F$8:$F$500,'💸 Expenses'!$E$8:$E$500,$A25,'💸 Expenses'!$B$8:$B$500,"&gt;="&amp;DATE(2026,5,1),'💸 Expenses'!$B$8:$B$500,"&lt;"&amp;DATE(2026,6,1))</f>
        <v/>
      </c>
      <c r="C25" s="378">
        <f>SUMIFS('💸 Expenses'!$F$8:$F$500,'💸 Expenses'!$E$8:$E$500,$A25,'💸 Expenses'!$B$8:$B$500,"&gt;="&amp;DATE(2026,6,1),'💸 Expenses'!$B$8:$B$500,"&lt;"&amp;DATE(2026,7,1))</f>
        <v/>
      </c>
      <c r="D25" s="378">
        <f>SUMIFS('💸 Expenses'!$F$8:$F$500,'💸 Expenses'!$E$8:$E$500,$A25,'💸 Expenses'!$B$8:$B$500,"&gt;="&amp;DATE(2026,7,1),'💸 Expenses'!$B$8:$B$500,"&lt;"&amp;DATE(2026,8,1))</f>
        <v/>
      </c>
      <c r="E25" s="374" t="n"/>
      <c r="F25" s="374" t="n"/>
      <c r="G25" s="374" t="n"/>
      <c r="H25" s="374" t="n"/>
      <c r="I25" s="374" t="n"/>
      <c r="J25" s="374" t="n"/>
      <c r="K25" s="374" t="n"/>
      <c r="L25" s="374" t="n"/>
    </row>
    <row r="26">
      <c r="A26" s="380" t="inlineStr">
        <is>
          <t>Ingredients - Bread</t>
        </is>
      </c>
      <c r="B26" s="378">
        <f>SUMIFS('💸 Expenses'!$F$8:$F$500,'💸 Expenses'!$E$8:$E$500,$A26,'💸 Expenses'!$B$8:$B$500,"&gt;="&amp;DATE(2026,5,1),'💸 Expenses'!$B$8:$B$500,"&lt;"&amp;DATE(2026,6,1))</f>
        <v/>
      </c>
      <c r="C26" s="378">
        <f>SUMIFS('💸 Expenses'!$F$8:$F$500,'💸 Expenses'!$E$8:$E$500,$A26,'💸 Expenses'!$B$8:$B$500,"&gt;="&amp;DATE(2026,6,1),'💸 Expenses'!$B$8:$B$500,"&lt;"&amp;DATE(2026,7,1))</f>
        <v/>
      </c>
      <c r="D26" s="378">
        <f>SUMIFS('💸 Expenses'!$F$8:$F$500,'💸 Expenses'!$E$8:$E$500,$A26,'💸 Expenses'!$B$8:$B$500,"&gt;="&amp;DATE(2026,7,1),'💸 Expenses'!$B$8:$B$500,"&lt;"&amp;DATE(2026,8,1))</f>
        <v/>
      </c>
      <c r="E26" s="374" t="n"/>
      <c r="F26" s="374" t="n"/>
      <c r="G26" s="374" t="n"/>
      <c r="H26" s="374" t="n"/>
      <c r="I26" s="374" t="n"/>
      <c r="J26" s="374" t="n"/>
      <c r="K26" s="374" t="n"/>
      <c r="L26" s="374" t="n"/>
    </row>
    <row r="27">
      <c r="A27" s="380" t="inlineStr">
        <is>
          <t>Maintenance</t>
        </is>
      </c>
      <c r="B27" s="378">
        <f>SUMIFS('💸 Expenses'!$F$8:$F$500,'💸 Expenses'!$E$8:$E$500,$A27,'💸 Expenses'!$B$8:$B$500,"&gt;="&amp;DATE(2026,5,1),'💸 Expenses'!$B$8:$B$500,"&lt;"&amp;DATE(2026,6,1))</f>
        <v/>
      </c>
      <c r="C27" s="378">
        <f>SUMIFS('💸 Expenses'!$F$8:$F$500,'💸 Expenses'!$E$8:$E$500,$A27,'💸 Expenses'!$B$8:$B$500,"&gt;="&amp;DATE(2026,6,1),'💸 Expenses'!$B$8:$B$500,"&lt;"&amp;DATE(2026,7,1))</f>
        <v/>
      </c>
      <c r="D27" s="378">
        <f>SUMIFS('💸 Expenses'!$F$8:$F$500,'💸 Expenses'!$E$8:$E$500,$A27,'💸 Expenses'!$B$8:$B$500,"&gt;="&amp;DATE(2026,7,1),'💸 Expenses'!$B$8:$B$500,"&lt;"&amp;DATE(2026,8,1))</f>
        <v/>
      </c>
      <c r="E27" s="374" t="n"/>
      <c r="F27" s="374" t="n"/>
      <c r="G27" s="374" t="n"/>
      <c r="H27" s="374" t="n"/>
      <c r="I27" s="374" t="n"/>
      <c r="J27" s="374" t="n"/>
      <c r="K27" s="374" t="n"/>
      <c r="L27" s="374" t="n"/>
    </row>
    <row r="28">
      <c r="A28" s="380" t="inlineStr">
        <is>
          <t>Ingredients - Meat &amp; Fish</t>
        </is>
      </c>
      <c r="B28" s="378">
        <f>SUMIFS('💸 Expenses'!$F$8:$F$500,'💸 Expenses'!$E$8:$E$500,$A28,'💸 Expenses'!$B$8:$B$500,"&gt;="&amp;DATE(2026,5,1),'💸 Expenses'!$B$8:$B$500,"&lt;"&amp;DATE(2026,6,1))</f>
        <v/>
      </c>
      <c r="C28" s="378">
        <f>SUMIFS('💸 Expenses'!$F$8:$F$500,'💸 Expenses'!$E$8:$E$500,$A28,'💸 Expenses'!$B$8:$B$500,"&gt;="&amp;DATE(2026,6,1),'💸 Expenses'!$B$8:$B$500,"&lt;"&amp;DATE(2026,7,1))</f>
        <v/>
      </c>
      <c r="D28" s="378">
        <f>SUMIFS('💸 Expenses'!$F$8:$F$500,'💸 Expenses'!$E$8:$E$500,$A28,'💸 Expenses'!$B$8:$B$500,"&gt;="&amp;DATE(2026,7,1),'💸 Expenses'!$B$8:$B$500,"&lt;"&amp;DATE(2026,8,1))</f>
        <v/>
      </c>
      <c r="E28" s="374" t="n"/>
      <c r="F28" s="374" t="n"/>
      <c r="G28" s="374" t="n"/>
      <c r="H28" s="374" t="n"/>
      <c r="I28" s="374" t="n"/>
      <c r="J28" s="374" t="n"/>
      <c r="K28" s="374" t="n"/>
      <c r="L28" s="374" t="n"/>
    </row>
    <row r="29">
      <c r="A29" s="380" t="inlineStr">
        <is>
          <t>Ingredients - Fruit</t>
        </is>
      </c>
      <c r="B29" s="378">
        <f>SUMIFS('💸 Expenses'!$F$8:$F$500,'💸 Expenses'!$E$8:$E$500,$A29,'💸 Expenses'!$B$8:$B$500,"&gt;="&amp;DATE(2026,5,1),'💸 Expenses'!$B$8:$B$500,"&lt;"&amp;DATE(2026,6,1))</f>
        <v/>
      </c>
      <c r="C29" s="378">
        <f>SUMIFS('💸 Expenses'!$F$8:$F$500,'💸 Expenses'!$E$8:$E$500,$A29,'💸 Expenses'!$B$8:$B$500,"&gt;="&amp;DATE(2026,6,1),'💸 Expenses'!$B$8:$B$500,"&lt;"&amp;DATE(2026,7,1))</f>
        <v/>
      </c>
      <c r="D29" s="378">
        <f>SUMIFS('💸 Expenses'!$F$8:$F$500,'💸 Expenses'!$E$8:$E$500,$A29,'💸 Expenses'!$B$8:$B$500,"&gt;="&amp;DATE(2026,7,1),'💸 Expenses'!$B$8:$B$500,"&lt;"&amp;DATE(2026,8,1))</f>
        <v/>
      </c>
      <c r="E29" s="374" t="n"/>
      <c r="F29" s="374" t="n"/>
      <c r="G29" s="374" t="n"/>
      <c r="H29" s="374" t="n"/>
      <c r="I29" s="374" t="n"/>
      <c r="J29" s="374" t="n"/>
      <c r="K29" s="374" t="n"/>
      <c r="L29" s="374" t="n"/>
    </row>
    <row r="30">
      <c r="A30" s="380" t="inlineStr">
        <is>
          <t>Utilities / Gas</t>
        </is>
      </c>
      <c r="B30" s="378">
        <f>SUMIFS('💸 Expenses'!$F$8:$F$500,'💸 Expenses'!$E$8:$E$500,$A30,'💸 Expenses'!$B$8:$B$500,"&gt;="&amp;DATE(2026,5,1),'💸 Expenses'!$B$8:$B$500,"&lt;"&amp;DATE(2026,6,1))</f>
        <v/>
      </c>
      <c r="C30" s="378">
        <f>SUMIFS('💸 Expenses'!$F$8:$F$500,'💸 Expenses'!$E$8:$E$500,$A30,'💸 Expenses'!$B$8:$B$500,"&gt;="&amp;DATE(2026,6,1),'💸 Expenses'!$B$8:$B$500,"&lt;"&amp;DATE(2026,7,1))</f>
        <v/>
      </c>
      <c r="D30" s="378">
        <f>SUMIFS('💸 Expenses'!$F$8:$F$500,'💸 Expenses'!$E$8:$E$500,$A30,'💸 Expenses'!$B$8:$B$500,"&gt;="&amp;DATE(2026,7,1),'💸 Expenses'!$B$8:$B$500,"&lt;"&amp;DATE(2026,8,1))</f>
        <v/>
      </c>
      <c r="E30" s="374" t="n"/>
      <c r="F30" s="374" t="n"/>
      <c r="G30" s="374" t="n"/>
      <c r="H30" s="374" t="n"/>
      <c r="I30" s="374" t="n"/>
      <c r="J30" s="374" t="n"/>
      <c r="K30" s="374" t="n"/>
      <c r="L30" s="374" t="n"/>
    </row>
    <row r="31">
      <c r="A31" s="380" t="inlineStr">
        <is>
          <t>Ingredients - Other</t>
        </is>
      </c>
      <c r="B31" s="378">
        <f>SUMIFS('💸 Expenses'!$F$8:$F$500,'💸 Expenses'!$E$8:$E$500,$A31,'💸 Expenses'!$B$8:$B$500,"&gt;="&amp;DATE(2026,5,1),'💸 Expenses'!$B$8:$B$500,"&lt;"&amp;DATE(2026,6,1))</f>
        <v/>
      </c>
      <c r="C31" s="378">
        <f>SUMIFS('💸 Expenses'!$F$8:$F$500,'💸 Expenses'!$E$8:$E$500,$A31,'💸 Expenses'!$B$8:$B$500,"&gt;="&amp;DATE(2026,6,1),'💸 Expenses'!$B$8:$B$500,"&lt;"&amp;DATE(2026,7,1))</f>
        <v/>
      </c>
      <c r="D31" s="378">
        <f>SUMIFS('💸 Expenses'!$F$8:$F$500,'💸 Expenses'!$E$8:$E$500,$A31,'💸 Expenses'!$B$8:$B$500,"&gt;="&amp;DATE(2026,7,1),'💸 Expenses'!$B$8:$B$500,"&lt;"&amp;DATE(2026,8,1))</f>
        <v/>
      </c>
      <c r="E31" s="374" t="n"/>
      <c r="F31" s="374" t="n"/>
      <c r="G31" s="374" t="n"/>
      <c r="H31" s="374" t="n"/>
      <c r="I31" s="374" t="n"/>
      <c r="J31" s="374" t="n"/>
      <c r="K31" s="374" t="n"/>
      <c r="L31" s="374" t="n"/>
    </row>
    <row r="32">
      <c r="A32" s="380" t="inlineStr">
        <is>
          <t>Software / Subscription</t>
        </is>
      </c>
      <c r="B32" s="378">
        <f>SUMIFS('💸 Expenses'!$F$8:$F$500,'💸 Expenses'!$E$8:$E$500,$A32,'💸 Expenses'!$B$8:$B$500,"&gt;="&amp;DATE(2026,5,1),'💸 Expenses'!$B$8:$B$500,"&lt;"&amp;DATE(2026,6,1))</f>
        <v/>
      </c>
      <c r="C32" s="378">
        <f>SUMIFS('💸 Expenses'!$F$8:$F$500,'💸 Expenses'!$E$8:$E$500,$A32,'💸 Expenses'!$B$8:$B$500,"&gt;="&amp;DATE(2026,6,1),'💸 Expenses'!$B$8:$B$500,"&lt;"&amp;DATE(2026,7,1))</f>
        <v/>
      </c>
      <c r="D32" s="378">
        <f>SUMIFS('💸 Expenses'!$F$8:$F$500,'💸 Expenses'!$E$8:$E$500,$A32,'💸 Expenses'!$B$8:$B$500,"&gt;="&amp;DATE(2026,7,1),'💸 Expenses'!$B$8:$B$500,"&lt;"&amp;DATE(2026,8,1))</f>
        <v/>
      </c>
      <c r="E32" s="374" t="n"/>
      <c r="F32" s="374" t="n"/>
      <c r="G32" s="374" t="n"/>
      <c r="H32" s="374" t="n"/>
      <c r="I32" s="374" t="n"/>
      <c r="J32" s="374" t="n"/>
      <c r="K32" s="374" t="n"/>
      <c r="L32" s="374" t="n"/>
    </row>
    <row r="33">
      <c r="A33" s="380" t="inlineStr">
        <is>
          <t>Supermarket/General</t>
        </is>
      </c>
      <c r="B33" s="378">
        <f>SUMIFS('💸 Expenses'!$F$8:$F$500,'💸 Expenses'!$E$8:$E$500,$A33,'💸 Expenses'!$B$8:$B$500,"&gt;="&amp;DATE(2026,5,1),'💸 Expenses'!$B$8:$B$500,"&lt;"&amp;DATE(2026,6,1))</f>
        <v/>
      </c>
      <c r="C33" s="378">
        <f>SUMIFS('💸 Expenses'!$F$8:$F$500,'💸 Expenses'!$E$8:$E$500,$A33,'💸 Expenses'!$B$8:$B$500,"&gt;="&amp;DATE(2026,6,1),'💸 Expenses'!$B$8:$B$500,"&lt;"&amp;DATE(2026,7,1))</f>
        <v/>
      </c>
      <c r="D33" s="378">
        <f>SUMIFS('💸 Expenses'!$F$8:$F$500,'💸 Expenses'!$E$8:$E$500,$A33,'💸 Expenses'!$B$8:$B$500,"&gt;="&amp;DATE(2026,7,1),'💸 Expenses'!$B$8:$B$500,"&lt;"&amp;DATE(2026,8,1))</f>
        <v/>
      </c>
      <c r="E33" s="374" t="n"/>
      <c r="F33" s="374" t="n"/>
      <c r="G33" s="374" t="n"/>
      <c r="H33" s="374" t="n"/>
      <c r="I33" s="374" t="n"/>
      <c r="J33" s="374" t="n"/>
      <c r="K33" s="374" t="n"/>
      <c r="L33" s="374" t="n"/>
    </row>
    <row r="34">
      <c r="A34" s="380" t="inlineStr">
        <is>
          <t>Kitchen Supplies</t>
        </is>
      </c>
      <c r="B34" s="378">
        <f>SUMIFS('💸 Expenses'!$F$8:$F$500,'💸 Expenses'!$E$8:$E$500,$A34,'💸 Expenses'!$B$8:$B$500,"&gt;="&amp;DATE(2026,5,1),'💸 Expenses'!$B$8:$B$500,"&lt;"&amp;DATE(2026,6,1))</f>
        <v/>
      </c>
      <c r="C34" s="378">
        <f>SUMIFS('💸 Expenses'!$F$8:$F$500,'💸 Expenses'!$E$8:$E$500,$A34,'💸 Expenses'!$B$8:$B$500,"&gt;="&amp;DATE(2026,6,1),'💸 Expenses'!$B$8:$B$500,"&lt;"&amp;DATE(2026,7,1))</f>
        <v/>
      </c>
      <c r="D34" s="378">
        <f>SUMIFS('💸 Expenses'!$F$8:$F$500,'💸 Expenses'!$E$8:$E$500,$A34,'💸 Expenses'!$B$8:$B$500,"&gt;="&amp;DATE(2026,7,1),'💸 Expenses'!$B$8:$B$500,"&lt;"&amp;DATE(2026,8,1))</f>
        <v/>
      </c>
      <c r="E34" s="374" t="n"/>
      <c r="F34" s="374" t="n"/>
      <c r="G34" s="374" t="n"/>
      <c r="H34" s="374" t="n"/>
      <c r="I34" s="374" t="n"/>
      <c r="J34" s="374" t="n"/>
      <c r="K34" s="374" t="n"/>
      <c r="L34" s="374" t="n"/>
    </row>
    <row r="35">
      <c r="A35" s="380" t="inlineStr">
        <is>
          <t>Staff - Advance</t>
        </is>
      </c>
      <c r="B35" s="378">
        <f>SUMIFS('💸 Expenses'!$F$8:$F$500,'💸 Expenses'!$E$8:$E$500,$A35,'💸 Expenses'!$B$8:$B$500,"&gt;="&amp;DATE(2026,5,1),'💸 Expenses'!$B$8:$B$500,"&lt;"&amp;DATE(2026,6,1))</f>
        <v/>
      </c>
      <c r="C35" s="378">
        <f>SUMIFS('💸 Expenses'!$F$8:$F$500,'💸 Expenses'!$E$8:$E$500,$A35,'💸 Expenses'!$B$8:$B$500,"&gt;="&amp;DATE(2026,6,1),'💸 Expenses'!$B$8:$B$500,"&lt;"&amp;DATE(2026,7,1))</f>
        <v/>
      </c>
      <c r="D35" s="378">
        <f>SUMIFS('💸 Expenses'!$F$8:$F$500,'💸 Expenses'!$E$8:$E$500,$A35,'💸 Expenses'!$B$8:$B$500,"&gt;="&amp;DATE(2026,7,1),'💸 Expenses'!$B$8:$B$500,"&lt;"&amp;DATE(2026,8,1))</f>
        <v/>
      </c>
      <c r="E35" s="374" t="n"/>
      <c r="F35" s="374" t="n"/>
      <c r="G35" s="374" t="n"/>
      <c r="H35" s="374" t="n"/>
      <c r="I35" s="374" t="n"/>
      <c r="J35" s="374" t="n"/>
      <c r="K35" s="374" t="n"/>
      <c r="L35" s="374" t="n"/>
    </row>
    <row r="36">
      <c r="A36" s="380" t="inlineStr">
        <is>
          <t>Utilities / Internet</t>
        </is>
      </c>
      <c r="B36" s="378">
        <f>SUMIFS('💸 Expenses'!$F$8:$F$500,'💸 Expenses'!$E$8:$E$500,$A36,'💸 Expenses'!$B$8:$B$500,"&gt;="&amp;DATE(2026,5,1),'💸 Expenses'!$B$8:$B$500,"&lt;"&amp;DATE(2026,6,1))</f>
        <v/>
      </c>
      <c r="C36" s="378">
        <f>SUMIFS('💸 Expenses'!$F$8:$F$500,'💸 Expenses'!$E$8:$E$500,$A36,'💸 Expenses'!$B$8:$B$500,"&gt;="&amp;DATE(2026,6,1),'💸 Expenses'!$B$8:$B$500,"&lt;"&amp;DATE(2026,7,1))</f>
        <v/>
      </c>
      <c r="D36" s="378">
        <f>SUMIFS('💸 Expenses'!$F$8:$F$500,'💸 Expenses'!$E$8:$E$500,$A36,'💸 Expenses'!$B$8:$B$500,"&gt;="&amp;DATE(2026,7,1),'💸 Expenses'!$B$8:$B$500,"&lt;"&amp;DATE(2026,8,1))</f>
        <v/>
      </c>
      <c r="E36" s="374" t="n"/>
      <c r="F36" s="374" t="n"/>
      <c r="G36" s="374" t="n"/>
      <c r="H36" s="374" t="n"/>
      <c r="I36" s="374" t="n"/>
      <c r="J36" s="374" t="n"/>
      <c r="K36" s="374" t="n"/>
      <c r="L36" s="374" t="n"/>
    </row>
    <row r="37">
      <c r="A37" s="380" t="inlineStr">
        <is>
          <t>Packaging / Disposables</t>
        </is>
      </c>
      <c r="B37" s="378">
        <f>SUMIFS('💸 Expenses'!$F$8:$F$500,'💸 Expenses'!$E$8:$E$500,$A37,'💸 Expenses'!$B$8:$B$500,"&gt;="&amp;DATE(2026,5,1),'💸 Expenses'!$B$8:$B$500,"&lt;"&amp;DATE(2026,6,1))</f>
        <v/>
      </c>
      <c r="C37" s="378">
        <f>SUMIFS('💸 Expenses'!$F$8:$F$500,'💸 Expenses'!$E$8:$E$500,$A37,'💸 Expenses'!$B$8:$B$500,"&gt;="&amp;DATE(2026,6,1),'💸 Expenses'!$B$8:$B$500,"&lt;"&amp;DATE(2026,7,1))</f>
        <v/>
      </c>
      <c r="D37" s="378">
        <f>SUMIFS('💸 Expenses'!$F$8:$F$500,'💸 Expenses'!$E$8:$E$500,$A37,'💸 Expenses'!$B$8:$B$500,"&gt;="&amp;DATE(2026,7,1),'💸 Expenses'!$B$8:$B$500,"&lt;"&amp;DATE(2026,8,1))</f>
        <v/>
      </c>
      <c r="E37" s="374" t="n"/>
      <c r="F37" s="374" t="n"/>
      <c r="G37" s="374" t="n"/>
      <c r="H37" s="374" t="n"/>
      <c r="I37" s="374" t="n"/>
      <c r="J37" s="374" t="n"/>
      <c r="K37" s="374" t="n"/>
      <c r="L37" s="374" t="n"/>
    </row>
    <row r="38">
      <c r="A38" s="380" t="inlineStr">
        <is>
          <t>Ingredients - Desserts</t>
        </is>
      </c>
      <c r="B38" s="378">
        <f>SUMIFS('💸 Expenses'!$F$8:$F$500,'💸 Expenses'!$E$8:$E$500,$A38,'💸 Expenses'!$B$8:$B$500,"&gt;="&amp;DATE(2026,5,1),'💸 Expenses'!$B$8:$B$500,"&lt;"&amp;DATE(2026,6,1))</f>
        <v/>
      </c>
      <c r="C38" s="378">
        <f>SUMIFS('💸 Expenses'!$F$8:$F$500,'💸 Expenses'!$E$8:$E$500,$A38,'💸 Expenses'!$B$8:$B$500,"&gt;="&amp;DATE(2026,6,1),'💸 Expenses'!$B$8:$B$500,"&lt;"&amp;DATE(2026,7,1))</f>
        <v/>
      </c>
      <c r="D38" s="378">
        <f>SUMIFS('💸 Expenses'!$F$8:$F$500,'💸 Expenses'!$E$8:$E$500,$A38,'💸 Expenses'!$B$8:$B$500,"&gt;="&amp;DATE(2026,7,1),'💸 Expenses'!$B$8:$B$500,"&lt;"&amp;DATE(2026,8,1))</f>
        <v/>
      </c>
      <c r="E38" s="374" t="n"/>
      <c r="F38" s="374" t="n"/>
      <c r="G38" s="374" t="n"/>
      <c r="H38" s="374" t="n"/>
      <c r="I38" s="374" t="n"/>
      <c r="J38" s="374" t="n"/>
      <c r="K38" s="374" t="n"/>
      <c r="L38" s="374" t="n"/>
    </row>
    <row r="39">
      <c r="A39" s="380" t="inlineStr">
        <is>
          <t>Ingredients - Eggs</t>
        </is>
      </c>
      <c r="B39" s="378">
        <f>SUMIFS('💸 Expenses'!$F$8:$F$500,'💸 Expenses'!$E$8:$E$500,$A39,'💸 Expenses'!$B$8:$B$500,"&gt;="&amp;DATE(2026,5,1),'💸 Expenses'!$B$8:$B$500,"&lt;"&amp;DATE(2026,6,1))</f>
        <v/>
      </c>
      <c r="C39" s="378">
        <f>SUMIFS('💸 Expenses'!$F$8:$F$500,'💸 Expenses'!$E$8:$E$500,$A39,'💸 Expenses'!$B$8:$B$500,"&gt;="&amp;DATE(2026,6,1),'💸 Expenses'!$B$8:$B$500,"&lt;"&amp;DATE(2026,7,1))</f>
        <v/>
      </c>
      <c r="D39" s="378">
        <f>SUMIFS('💸 Expenses'!$F$8:$F$500,'💸 Expenses'!$E$8:$E$500,$A39,'💸 Expenses'!$B$8:$B$500,"&gt;="&amp;DATE(2026,7,1),'💸 Expenses'!$B$8:$B$500,"&lt;"&amp;DATE(2026,8,1))</f>
        <v/>
      </c>
      <c r="E39" s="374" t="n"/>
      <c r="F39" s="374" t="n"/>
      <c r="G39" s="374" t="n"/>
      <c r="H39" s="374" t="n"/>
      <c r="I39" s="374" t="n"/>
      <c r="J39" s="374" t="n"/>
      <c r="K39" s="374" t="n"/>
      <c r="L39" s="374" t="n"/>
    </row>
    <row r="40">
      <c r="A40" s="380" t="inlineStr">
        <is>
          <t>Staff - Propinas</t>
        </is>
      </c>
      <c r="B40" s="378">
        <f>SUMIFS('💸 Expenses'!$F$8:$F$500,'💸 Expenses'!$E$8:$E$500,$A40,'💸 Expenses'!$B$8:$B$500,"&gt;="&amp;DATE(2026,5,1),'💸 Expenses'!$B$8:$B$500,"&lt;"&amp;DATE(2026,6,1))</f>
        <v/>
      </c>
      <c r="C40" s="378">
        <f>SUMIFS('💸 Expenses'!$F$8:$F$500,'💸 Expenses'!$E$8:$E$500,$A40,'💸 Expenses'!$B$8:$B$500,"&gt;="&amp;DATE(2026,6,1),'💸 Expenses'!$B$8:$B$500,"&lt;"&amp;DATE(2026,7,1))</f>
        <v/>
      </c>
      <c r="D40" s="378">
        <f>SUMIFS('💸 Expenses'!$F$8:$F$500,'💸 Expenses'!$E$8:$E$500,$A40,'💸 Expenses'!$B$8:$B$500,"&gt;="&amp;DATE(2026,7,1),'💸 Expenses'!$B$8:$B$500,"&lt;"&amp;DATE(2026,8,1))</f>
        <v/>
      </c>
      <c r="E40" s="374" t="n"/>
      <c r="F40" s="374" t="n"/>
      <c r="G40" s="374" t="n"/>
      <c r="H40" s="374" t="n"/>
      <c r="I40" s="374" t="n"/>
      <c r="J40" s="374" t="n"/>
      <c r="K40" s="374" t="n"/>
      <c r="L40" s="374" t="n"/>
    </row>
    <row r="41">
      <c r="A41" s="380" t="inlineStr">
        <is>
          <t>Office Supplies</t>
        </is>
      </c>
      <c r="B41" s="378">
        <f>SUMIFS('💸 Expenses'!$F$8:$F$500,'💸 Expenses'!$E$8:$E$500,$A41,'💸 Expenses'!$B$8:$B$500,"&gt;="&amp;DATE(2026,5,1),'💸 Expenses'!$B$8:$B$500,"&lt;"&amp;DATE(2026,6,1))</f>
        <v/>
      </c>
      <c r="C41" s="378">
        <f>SUMIFS('💸 Expenses'!$F$8:$F$500,'💸 Expenses'!$E$8:$E$500,$A41,'💸 Expenses'!$B$8:$B$500,"&gt;="&amp;DATE(2026,6,1),'💸 Expenses'!$B$8:$B$500,"&lt;"&amp;DATE(2026,7,1))</f>
        <v/>
      </c>
      <c r="D41" s="378">
        <f>SUMIFS('💸 Expenses'!$F$8:$F$500,'💸 Expenses'!$E$8:$E$500,$A41,'💸 Expenses'!$B$8:$B$500,"&gt;="&amp;DATE(2026,7,1),'💸 Expenses'!$B$8:$B$500,"&lt;"&amp;DATE(2026,8,1))</f>
        <v/>
      </c>
      <c r="E41" s="374" t="n"/>
      <c r="F41" s="374" t="n"/>
      <c r="G41" s="374" t="n"/>
      <c r="H41" s="374" t="n"/>
      <c r="I41" s="374" t="n"/>
      <c r="J41" s="374" t="n"/>
      <c r="K41" s="374" t="n"/>
      <c r="L41" s="374" t="n"/>
    </row>
    <row r="42">
      <c r="A42" s="380" t="inlineStr">
        <is>
          <t>Ingredients - Produce</t>
        </is>
      </c>
      <c r="B42" s="378">
        <f>SUMIFS('💸 Expenses'!$F$8:$F$500,'💸 Expenses'!$E$8:$E$500,$A42,'💸 Expenses'!$B$8:$B$500,"&gt;="&amp;DATE(2026,5,1),'💸 Expenses'!$B$8:$B$500,"&lt;"&amp;DATE(2026,6,1))</f>
        <v/>
      </c>
      <c r="C42" s="378">
        <f>SUMIFS('💸 Expenses'!$F$8:$F$500,'💸 Expenses'!$E$8:$E$500,$A42,'💸 Expenses'!$B$8:$B$500,"&gt;="&amp;DATE(2026,6,1),'💸 Expenses'!$B$8:$B$500,"&lt;"&amp;DATE(2026,7,1))</f>
        <v/>
      </c>
      <c r="D42" s="378">
        <f>SUMIFS('💸 Expenses'!$F$8:$F$500,'💸 Expenses'!$E$8:$E$500,$A42,'💸 Expenses'!$B$8:$B$500,"&gt;="&amp;DATE(2026,7,1),'💸 Expenses'!$B$8:$B$500,"&lt;"&amp;DATE(2026,8,1))</f>
        <v/>
      </c>
      <c r="E42" s="374" t="n"/>
      <c r="F42" s="374" t="n"/>
      <c r="G42" s="374" t="n"/>
      <c r="H42" s="374" t="n"/>
      <c r="I42" s="374" t="n"/>
      <c r="J42" s="374" t="n"/>
      <c r="K42" s="374" t="n"/>
      <c r="L42" s="374" t="n"/>
    </row>
    <row r="43">
      <c r="A43" s="377" t="inlineStr">
        <is>
          <t>TOTAL EXPENSES</t>
        </is>
      </c>
      <c r="B43" s="379">
        <f>SUMIFS('💸 Expenses'!$F$8:$F$500,'💸 Expenses'!$B$8:$B$500,"&gt;="&amp;DATE(2026,5,1),'💸 Expenses'!$B$8:$B$500,"&lt;"&amp;DATE(2026,6,1))</f>
        <v/>
      </c>
      <c r="C43" s="379">
        <f>SUMIFS('💸 Expenses'!$F$8:$F$500,'💸 Expenses'!$B$8:$B$500,"&gt;="&amp;DATE(2026,6,1),'💸 Expenses'!$B$8:$B$500,"&lt;"&amp;DATE(2026,7,1))</f>
        <v/>
      </c>
      <c r="D43" s="379">
        <f>SUMIFS('💸 Expenses'!$F$8:$F$500,'💸 Expenses'!$B$8:$B$500,"&gt;="&amp;DATE(2026,7,1),'💸 Expenses'!$B$8:$B$500,"&lt;"&amp;DATE(2026,8,1))</f>
        <v/>
      </c>
      <c r="E43" s="374" t="n"/>
      <c r="F43" s="374" t="n"/>
      <c r="G43" s="374" t="n"/>
      <c r="H43" s="374" t="n"/>
      <c r="I43" s="374" t="n"/>
      <c r="J43" s="374" t="n"/>
      <c r="K43" s="374" t="n"/>
      <c r="L43" s="374" t="n"/>
    </row>
    <row r="44">
      <c r="A44" s="377" t="inlineStr">
        <is>
          <t>NET PROFIT / LOSS</t>
        </is>
      </c>
      <c r="B44" s="379">
        <f>B4-B43</f>
        <v/>
      </c>
      <c r="C44" s="379">
        <f>C4-C43</f>
        <v/>
      </c>
      <c r="D44" s="379">
        <f>D4-D43</f>
        <v/>
      </c>
      <c r="E44" s="374" t="n"/>
      <c r="F44" s="374" t="n"/>
      <c r="G44" s="374" t="n"/>
      <c r="H44" s="374" t="n"/>
      <c r="I44" s="374" t="n"/>
      <c r="J44" s="374" t="n"/>
      <c r="K44" s="374" t="n"/>
      <c r="L44" s="374" t="n"/>
    </row>
    <row r="45">
      <c r="A45" s="374" t="n"/>
      <c r="B45" s="374" t="n"/>
      <c r="C45" s="374" t="n"/>
      <c r="D45" s="374" t="n"/>
      <c r="E45" s="374" t="n"/>
      <c r="F45" s="374" t="n"/>
      <c r="G45" s="374" t="n"/>
      <c r="H45" s="374" t="n"/>
      <c r="I45" s="374" t="n"/>
      <c r="J45" s="374" t="n"/>
      <c r="K45" s="374" t="n"/>
      <c r="L45" s="374" t="n"/>
    </row>
    <row r="46">
      <c r="A46" s="374" t="n"/>
      <c r="B46" s="374" t="n"/>
      <c r="C46" s="374" t="n"/>
      <c r="D46" s="374" t="n"/>
      <c r="E46" s="374" t="n"/>
      <c r="F46" s="374" t="n"/>
      <c r="G46" s="374" t="n"/>
      <c r="H46" s="374" t="n"/>
      <c r="I46" s="374" t="n"/>
      <c r="J46" s="374" t="n"/>
      <c r="K46" s="374" t="n"/>
      <c r="L46" s="374" t="n"/>
    </row>
    <row r="47">
      <c r="A47" s="374" t="n"/>
      <c r="B47" s="374" t="n"/>
      <c r="C47" s="374" t="n"/>
      <c r="D47" s="374" t="n"/>
      <c r="E47" s="374" t="n"/>
      <c r="F47" s="374" t="n"/>
      <c r="G47" s="374" t="n"/>
      <c r="H47" s="374" t="n"/>
      <c r="I47" s="374" t="n"/>
      <c r="J47" s="374" t="n"/>
      <c r="K47" s="374" t="n"/>
      <c r="L47" s="374" t="n"/>
    </row>
    <row r="48">
      <c r="A48" s="374" t="n"/>
      <c r="B48" s="374" t="n"/>
      <c r="C48" s="374" t="n"/>
      <c r="D48" s="374" t="n"/>
      <c r="E48" s="374" t="n"/>
      <c r="F48" s="374" t="n"/>
      <c r="G48" s="374" t="n"/>
      <c r="H48" s="374" t="n"/>
      <c r="I48" s="374" t="n"/>
      <c r="J48" s="374" t="n"/>
      <c r="K48" s="374" t="n"/>
      <c r="L48" s="374" t="n"/>
    </row>
    <row r="49">
      <c r="A49" s="374" t="n"/>
      <c r="B49" s="374" t="n"/>
      <c r="C49" s="374" t="n"/>
      <c r="D49" s="374" t="n"/>
      <c r="E49" s="374" t="n"/>
      <c r="F49" s="374" t="n"/>
      <c r="G49" s="374" t="n"/>
      <c r="H49" s="374" t="n"/>
      <c r="I49" s="374" t="n"/>
      <c r="J49" s="374" t="n"/>
      <c r="K49" s="374" t="n"/>
      <c r="L49" s="374" t="n"/>
    </row>
    <row r="50">
      <c r="A50" s="374" t="n"/>
      <c r="B50" s="374" t="n"/>
      <c r="C50" s="374" t="n"/>
      <c r="D50" s="374" t="n"/>
      <c r="E50" s="374" t="n"/>
      <c r="F50" s="374" t="n"/>
      <c r="G50" s="374" t="n"/>
      <c r="H50" s="374" t="n"/>
      <c r="I50" s="374" t="n"/>
      <c r="J50" s="374" t="n"/>
      <c r="K50" s="374" t="n"/>
      <c r="L50" s="374" t="n"/>
    </row>
    <row r="51">
      <c r="A51" s="374" t="n"/>
      <c r="B51" s="374" t="n"/>
      <c r="C51" s="374" t="n"/>
      <c r="D51" s="374" t="n"/>
      <c r="E51" s="374" t="n"/>
      <c r="F51" s="374" t="n"/>
      <c r="G51" s="374" t="n"/>
      <c r="H51" s="374" t="n"/>
      <c r="I51" s="374" t="n"/>
      <c r="J51" s="374" t="n"/>
      <c r="K51" s="374" t="n"/>
      <c r="L51" s="374" t="n"/>
    </row>
    <row r="52">
      <c r="A52" s="374" t="n"/>
      <c r="B52" s="374" t="n"/>
      <c r="C52" s="374" t="n"/>
      <c r="D52" s="374" t="n"/>
      <c r="E52" s="374" t="n"/>
      <c r="F52" s="374" t="n"/>
      <c r="G52" s="374" t="n"/>
      <c r="H52" s="374" t="n"/>
      <c r="I52" s="374" t="n"/>
      <c r="J52" s="374" t="n"/>
      <c r="K52" s="374" t="n"/>
      <c r="L52" s="374" t="n"/>
    </row>
    <row r="53">
      <c r="A53" s="374" t="n"/>
      <c r="B53" s="374" t="n"/>
      <c r="C53" s="374" t="n"/>
      <c r="D53" s="374" t="n"/>
      <c r="E53" s="374" t="n"/>
      <c r="F53" s="374" t="n"/>
      <c r="G53" s="374" t="n"/>
      <c r="H53" s="374" t="n"/>
      <c r="I53" s="374" t="n"/>
      <c r="J53" s="374" t="n"/>
      <c r="K53" s="374" t="n"/>
      <c r="L53" s="374" t="n"/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  <c r="I54" s="374" t="n"/>
      <c r="J54" s="374" t="n"/>
      <c r="K54" s="374" t="n"/>
      <c r="L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  <c r="I55" s="374" t="n"/>
      <c r="J55" s="374" t="n"/>
      <c r="K55" s="374" t="n"/>
      <c r="L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  <c r="I56" s="374" t="n"/>
      <c r="J56" s="374" t="n"/>
      <c r="K56" s="374" t="n"/>
      <c r="L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  <c r="I57" s="374" t="n"/>
      <c r="J57" s="374" t="n"/>
      <c r="K57" s="374" t="n"/>
      <c r="L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  <c r="I58" s="374" t="n"/>
      <c r="J58" s="374" t="n"/>
      <c r="K58" s="374" t="n"/>
      <c r="L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  <c r="I59" s="374" t="n"/>
      <c r="J59" s="374" t="n"/>
      <c r="K59" s="374" t="n"/>
      <c r="L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  <c r="I60" s="374" t="n"/>
      <c r="J60" s="374" t="n"/>
      <c r="K60" s="374" t="n"/>
      <c r="L60" s="374" t="n"/>
    </row>
  </sheetData>
  <mergeCells count="1">
    <mergeCell ref="A1:D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278" min="1" max="1"/>
    <col width="46" customWidth="1" style="278" min="2" max="2"/>
    <col width="18" customWidth="1" style="278" min="3" max="4"/>
    <col width="22" customWidth="1" style="278" min="5" max="5"/>
    <col width="18" customWidth="1" style="278" min="6" max="6"/>
    <col width="22" customWidth="1" style="278" min="7" max="7"/>
    <col width="40" customWidth="1" style="278" min="8" max="8"/>
  </cols>
  <sheetData>
    <row r="1" ht="25.95" customHeight="1" s="278">
      <c r="A1" s="371" t="inlineStr">
        <is>
          <t>LOHITH — OWNER LEDGER &amp; PERSONAL BALANCE TRACKER</t>
        </is>
      </c>
    </row>
    <row r="3" ht="30" customHeight="1" s="278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397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397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397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397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397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397" t="inlineStr">
        <is>
          <t>TOTALS &amp; CURRENT BALANCE</t>
        </is>
      </c>
      <c r="B31" s="232" t="n"/>
      <c r="C31" s="232" t="n"/>
      <c r="D31" s="232">
        <f>SUM(D4:D30)</f>
        <v/>
      </c>
      <c r="E31" s="233">
        <f>SUM(E4:E30)</f>
        <v/>
      </c>
      <c r="F31" s="233">
        <f>F30</f>
        <v/>
      </c>
      <c r="G31" s="232">
        <f>IF(F30&gt;0,"Restaurant owes Lohith $"&amp;TEXT(F30,"#,##0"),IF(F30&lt;0,"Lohith holds $"&amp;TEXT(ABS(F30),"#,##0"),"Zero balance"))</f>
        <v/>
      </c>
      <c r="H31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2026-07-04T22:58:06Z</dcterms:modified>
  <cp:lastModifiedBy>LOHITH REDDY</cp:lastModifiedBy>
</cp:coreProperties>
</file>