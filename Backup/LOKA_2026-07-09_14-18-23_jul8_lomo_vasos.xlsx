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1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  <font>
      <b val="1"/>
      <color rgb="00FFFFFF"/>
      <sz val="12"/>
    </font>
    <font>
      <i val="1"/>
      <color rgb="00808080"/>
      <sz val="9"/>
    </font>
    <font>
      <b val="1"/>
      <sz val="9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42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176" fontId="0" fillId="0" borderId="16" pivotButton="0" quotePrefix="0" xfId="0"/>
    <xf numFmtId="0" fontId="98" fillId="57" borderId="19" applyAlignment="1" pivotButton="0" quotePrefix="0" xfId="0">
      <alignment horizontal="left"/>
    </xf>
    <xf numFmtId="0" fontId="0" fillId="57" borderId="0" pivotButton="0" quotePrefix="0" xfId="0"/>
    <xf numFmtId="0" fontId="94" fillId="0" borderId="26" pivotButton="0" quotePrefix="0" xfId="0"/>
    <xf numFmtId="175" fontId="72" fillId="0" borderId="26" applyAlignment="1" pivotButton="0" quotePrefix="0" xfId="0">
      <alignment horizontal="right"/>
    </xf>
    <xf numFmtId="0" fontId="97" fillId="0" borderId="26" pivotButton="0" quotePrefix="0" xfId="0"/>
    <xf numFmtId="0" fontId="99" fillId="0" borderId="0" applyAlignment="1" pivotButton="0" quotePrefix="0" xfId="0">
      <alignment horizontal="left"/>
    </xf>
    <xf numFmtId="0" fontId="99" fillId="0" borderId="19" applyAlignment="1" pivotButton="0" quotePrefix="0" xfId="0">
      <alignment horizontal="left"/>
    </xf>
    <xf numFmtId="0" fontId="99" fillId="0" borderId="0" pivotButton="0" quotePrefix="0" xfId="0"/>
    <xf numFmtId="0" fontId="99" fillId="0" borderId="19" pivotButton="0" quotePrefix="0" xfId="0"/>
    <xf numFmtId="0" fontId="97" fillId="0" borderId="0" pivotButton="0" quotePrefix="0" xfId="0"/>
    <xf numFmtId="0" fontId="100" fillId="0" borderId="0" pivotButton="0" quotePrefix="0" xfId="0"/>
    <xf numFmtId="10" fontId="97" fillId="0" borderId="0" pivotButton="0" quotePrefix="0" xfId="0"/>
    <xf numFmtId="175" fontId="0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175" fontId="0" fillId="0" borderId="19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1 Jul 2026  |  Capital, Acquisition, Pre-Opening, Renovation CapEx &amp; Operations↔Capital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A26" s="383" t="n"/>
      <c r="B26" s="393" t="inlineStr">
        <is>
          <t>Payment to Previous Owners — Jun 22</t>
        </is>
      </c>
      <c r="C26" s="394" t="n">
        <v>46195</v>
      </c>
      <c r="D26" s="395" t="n">
        <v>60000</v>
      </c>
      <c r="E26" s="396" t="inlineStr">
        <is>
          <t>Lohith Reddy</t>
        </is>
      </c>
      <c r="F26" s="396" t="inlineStr">
        <is>
          <t>✅ PAID</t>
        </is>
      </c>
      <c r="G26" s="393" t="inlineStr">
        <is>
          <t>Capital payment to previous owners — 22 Jun 2026</t>
        </is>
      </c>
    </row>
    <row r="27" ht="19.95" customHeight="1" s="278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inlineStr">
        <is>
          <t>Reimbursement to Shashirekha (over-budget expenses)</t>
        </is>
      </c>
      <c r="C61" s="411" t="n">
        <v>46210</v>
      </c>
      <c r="D61" s="412" t="n">
        <v>1034</v>
      </c>
      <c r="E61" s="413" t="inlineStr">
        <is>
          <t>Shashirekha B.</t>
        </is>
      </c>
      <c r="F61" s="413" t="inlineStr">
        <is>
          <t>Partner Settlement</t>
        </is>
      </c>
      <c r="G61" s="414" t="inlineStr">
        <is>
          <t>Reimbursed Shashi for spending $1,034 over her $120k budget (menu + syrup) — 7 Jul 2026</t>
        </is>
      </c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278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278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>
        <f>REMAINING WITH ME (budget left with Lohith)</f>
        <v/>
      </c>
      <c r="D140">
        <f>D136-D137-D138-D139</f>
        <v/>
      </c>
    </row>
    <row r="142" ht="22" customHeight="1" s="278">
      <c r="B142" s="398" t="inlineStr">
        <is>
          <t xml:space="preserve">  K.  OPERATIONS ↔ CAPITAL  —  RUNNING POSITION</t>
        </is>
      </c>
    </row>
    <row r="143">
      <c r="B143" s="400" t="inlineStr">
        <is>
          <t>Operating Income (all-time, from Daily Log)</t>
        </is>
      </c>
      <c r="C143" s="401">
        <f>SUM('📅 Daily Log'!D8:D500)+SUM('📅 Daily Log'!E8:E500)+SUM('📅 Daily Log'!G8:G500)</f>
        <v/>
      </c>
      <c r="D143" s="191" t="n"/>
      <c r="E143" s="190" t="n"/>
      <c r="F143" s="190" t="n"/>
      <c r="G143" s="189" t="n"/>
    </row>
    <row r="144">
      <c r="B144" s="400" t="inlineStr">
        <is>
          <t>Operating Expenses (all-time, from Expenses)</t>
        </is>
      </c>
      <c r="C144" s="401">
        <f>SUM('💸 Expenses'!F8:F500)</f>
        <v/>
      </c>
      <c r="D144" s="191" t="n"/>
      <c r="E144" s="190" t="n"/>
      <c r="F144" s="190" t="n"/>
      <c r="G144" s="189" t="n"/>
    </row>
    <row r="145">
      <c r="B145" s="400" t="inlineStr">
        <is>
          <t>MP Commission (auto: card × 4.06%)</t>
        </is>
      </c>
      <c r="C145" s="379">
        <f>SUM('📅 Daily Log'!R8:R500)</f>
        <v/>
      </c>
    </row>
    <row r="146">
      <c r="B146" s="402" t="inlineStr">
        <is>
          <t>OPERATING RESULT  (income − expenses − commission)</t>
        </is>
      </c>
      <c r="C146" s="379">
        <f>C143-C144-C145</f>
        <v/>
      </c>
      <c r="E146" s="403" t="n"/>
    </row>
    <row r="147">
      <c r="B147" s="377" t="inlineStr">
        <is>
          <t>ADVANCE OWED by Operations to Capital</t>
        </is>
      </c>
      <c r="C147" s="379" t="n">
        <v>39314.81</v>
      </c>
      <c r="E147" s="405" t="inlineStr">
        <is>
          <t>Operating costs funded from capital: ledger settlement 30 Jun ($19,314.81) + rent paid from capital 05 Jul ($20,000). Add future capital-funded operating costs here.</t>
        </is>
      </c>
    </row>
    <row r="148">
      <c r="B148" s="406" t="inlineStr">
        <is>
          <t>MP commission now auto-calculated per day in Daily Log (col R) at the rate in T7; feeds this result and Cash-on-Hand automatically.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X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407" t="inlineStr">
        <is>
          <t>MP Comm $</t>
        </is>
      </c>
      <c r="S7" s="408" t="inlineStr">
        <is>
          <t>MP Rate</t>
        </is>
      </c>
      <c r="T7" s="409" t="n">
        <v>0.0406</v>
      </c>
      <c r="U7" s="407" t="inlineStr">
        <is>
          <t>Soft Rest Card $</t>
        </is>
      </c>
      <c r="V7" s="407" t="inlineStr">
        <is>
          <t>Soft Comm $</t>
        </is>
      </c>
      <c r="W7" s="408" t="inlineStr">
        <is>
          <t>Soft Rate</t>
        </is>
      </c>
      <c r="X7" s="409" t="n">
        <v>0.0205</v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10">
        <f>IFERROR(D8*$T$7,0)</f>
        <v/>
      </c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410">
        <f>IFERROR(D9*$T$7,0)</f>
        <v/>
      </c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10">
        <f>IFERROR(D10*$T$7,0)</f>
        <v/>
      </c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410">
        <f>IFERROR(D11*$T$7,0)</f>
        <v/>
      </c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10">
        <f>IFERROR(D12*$T$7,0)</f>
        <v/>
      </c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410">
        <f>IFERROR(D13*$T$7,0)</f>
        <v/>
      </c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10">
        <f>IFERROR(D14*$T$7,0)</f>
        <v/>
      </c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410">
        <f>IFERROR(D15*$T$7,0)</f>
        <v/>
      </c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10">
        <f>IFERROR(D16*$T$7,0)</f>
        <v/>
      </c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410">
        <f>IFERROR(D17*$T$7,0)</f>
        <v/>
      </c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10">
        <f>IFERROR(D18*$T$7,0)</f>
        <v/>
      </c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410">
        <f>IFERROR(D19*$T$7,0)</f>
        <v/>
      </c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10">
        <f>IFERROR(D20*$T$7,0)</f>
        <v/>
      </c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410">
        <f>IFERROR(D21*$T$7,0)</f>
        <v/>
      </c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10">
        <f>IFERROR(D22*$T$7,0)</f>
        <v/>
      </c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410">
        <f>IFERROR(D23*$T$7,0)</f>
        <v/>
      </c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10">
        <f>IFERROR(D24*$T$7,0)</f>
        <v/>
      </c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410">
        <f>IFERROR(D25*$T$7,0)</f>
        <v/>
      </c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10">
        <f>IFERROR(D26*$T$7,0)</f>
        <v/>
      </c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410">
        <f>IFERROR(D27*$T$7,0)</f>
        <v/>
      </c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10">
        <f>IFERROR(D28*$T$7,0)</f>
        <v/>
      </c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410">
        <f>IFERROR(D29*$T$7,0)</f>
        <v/>
      </c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10">
        <f>IFERROR(D30*$T$7,0)</f>
        <v/>
      </c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410">
        <f>IFERROR(D31*$T$7,0)</f>
        <v/>
      </c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10">
        <f>IFERROR(D32*$T$7,0)</f>
        <v/>
      </c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410">
        <f>IFERROR(D33*$T$7,0)</f>
        <v/>
      </c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10">
        <f>IFERROR(D34*$T$7,0)</f>
        <v/>
      </c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410">
        <f>IFERROR(D35*$T$7,0)</f>
        <v/>
      </c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10">
        <f>IFERROR(D36*$T$7,0)</f>
        <v/>
      </c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410">
        <f>IFERROR(D37*$T$7,0)</f>
        <v/>
      </c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10">
        <f>IFERROR(D38*$T$7,0)</f>
        <v/>
      </c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410">
        <f>IFERROR(D39*$T$7,0)</f>
        <v/>
      </c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10">
        <f>IFERROR(D40*$T$7,0)</f>
        <v/>
      </c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  <c r="R41" s="410">
        <f>IFERROR(D41*$T$7,0)</f>
        <v/>
      </c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  <c r="R42" s="410">
        <f>IFERROR(D42*$T$7,0)</f>
        <v/>
      </c>
    </row>
    <row r="43" ht="16.5" customHeight="1" s="278">
      <c r="B43" s="385" t="n">
        <v>46195</v>
      </c>
      <c r="C43" s="256" t="inlineStr">
        <is>
          <t>Mon</t>
        </is>
      </c>
      <c r="D43" s="257" t="n">
        <v>2459</v>
      </c>
      <c r="E43" s="49" t="n">
        <v>1800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  <c r="R43" s="410">
        <f>IFERROR(D43*$T$7,0)</f>
        <v/>
      </c>
    </row>
    <row r="44" ht="16.5" customHeight="1" s="278">
      <c r="B44" s="385" t="n">
        <v>46196</v>
      </c>
      <c r="C44" s="386" t="inlineStr">
        <is>
          <t>Tue</t>
        </is>
      </c>
      <c r="D44" s="387" t="n">
        <v>1452</v>
      </c>
      <c r="E44" s="37" t="n">
        <v>1515</v>
      </c>
      <c r="F44" s="38">
        <f>IFERROR(D44+E44+G44,0)</f>
        <v/>
      </c>
      <c r="G44" s="388" t="n">
        <v>0</v>
      </c>
      <c r="H44" s="389">
        <f>SUMIFS('💸 Expenses'!$F$8:$F$500,'💸 Expenses'!$B$8:$B$500,"&gt;="&amp;B44,'💸 Expenses'!$B$8:$B$500,"&lt;"&amp;(B44+1))</f>
        <v/>
      </c>
      <c r="I44" s="390">
        <f>IFERROR(F44-H44,0)</f>
        <v/>
      </c>
      <c r="J44" s="391">
        <f>IFERROR(I44/F44,0)</f>
        <v/>
      </c>
      <c r="K44" s="251" t="n"/>
      <c r="L44" s="392" t="inlineStr">
        <is>
          <t>Cierre via loka.py</t>
        </is>
      </c>
      <c r="M44" s="12" t="n"/>
      <c r="N44" s="44" t="n"/>
      <c r="O44" s="45" t="n"/>
      <c r="P44" s="46" t="n"/>
      <c r="Q44" s="44" t="n"/>
      <c r="R44" s="410">
        <f>IFERROR(D44*$T$7,0)</f>
        <v/>
      </c>
    </row>
    <row r="45" ht="16.5" customHeight="1" s="278">
      <c r="B45" s="385" t="n">
        <v>46197</v>
      </c>
      <c r="C45" s="256" t="inlineStr">
        <is>
          <t>Wed</t>
        </is>
      </c>
      <c r="D45" s="257" t="n">
        <v>1064</v>
      </c>
      <c r="E45" s="49" t="n">
        <v>2525</v>
      </c>
      <c r="F45" s="50">
        <f>IFERROR(D45+E45+G45,0)</f>
        <v/>
      </c>
      <c r="G45" s="258" t="n">
        <v>0</v>
      </c>
      <c r="H45" s="259">
        <f>SUMIFS('💸 Expenses'!$F$8:$F$500,'💸 Expenses'!$B$8:$B$500,"&gt;="&amp;B45,'💸 Expenses'!$B$8:$B$500,"&lt;"&amp;(B45+1))</f>
        <v/>
      </c>
      <c r="I45" s="260">
        <f>IFERROR(F45-H45,0)</f>
        <v/>
      </c>
      <c r="J45" s="261">
        <f>IFERROR(I45/F45,0)</f>
        <v/>
      </c>
      <c r="K45" s="255" t="n"/>
      <c r="L45" s="262" t="inlineStr">
        <is>
          <t>Cierre via loka.py</t>
        </is>
      </c>
      <c r="M45" s="21" t="n"/>
      <c r="N45" s="56" t="n"/>
      <c r="O45" s="57" t="n"/>
      <c r="P45" s="58" t="n"/>
      <c r="Q45" s="56" t="n"/>
      <c r="R45" s="410">
        <f>IFERROR(D45*$T$7,0)</f>
        <v/>
      </c>
    </row>
    <row r="46" ht="16.5" customHeight="1" s="278">
      <c r="B46" s="385" t="n">
        <v>46198</v>
      </c>
      <c r="C46" s="386" t="inlineStr">
        <is>
          <t>Thu</t>
        </is>
      </c>
      <c r="D46" s="387" t="n">
        <v>1735</v>
      </c>
      <c r="E46" s="37" t="n">
        <v>1853</v>
      </c>
      <c r="F46" s="38">
        <f>IFERROR(D46+E46+G46,0)</f>
        <v/>
      </c>
      <c r="G46" s="388" t="n">
        <v>0</v>
      </c>
      <c r="H46" s="389">
        <f>SUMIFS('💸 Expenses'!$F$8:$F$500,'💸 Expenses'!$B$8:$B$500,"&gt;="&amp;B46,'💸 Expenses'!$B$8:$B$500,"&lt;"&amp;(B46+1))</f>
        <v/>
      </c>
      <c r="I46" s="390">
        <f>IFERROR(F46-H46,0)</f>
        <v/>
      </c>
      <c r="J46" s="391">
        <f>IFERROR(I46/F46,0)</f>
        <v/>
      </c>
      <c r="K46" s="251" t="n"/>
      <c r="L46" s="392" t="inlineStr">
        <is>
          <t>Cierre via loka.py</t>
        </is>
      </c>
      <c r="M46" s="12" t="n"/>
      <c r="N46" s="44" t="n"/>
      <c r="O46" s="45" t="n"/>
      <c r="P46" s="46" t="n"/>
      <c r="Q46" s="44" t="n"/>
      <c r="R46" s="410">
        <f>IFERROR(D46*$T$7,0)</f>
        <v/>
      </c>
    </row>
    <row r="47" ht="16.5" customHeight="1" s="278">
      <c r="B47" s="385" t="n">
        <v>46199</v>
      </c>
      <c r="C47" s="256" t="inlineStr">
        <is>
          <t>Fri</t>
        </is>
      </c>
      <c r="D47" s="257" t="n">
        <v>1719</v>
      </c>
      <c r="E47" s="49" t="n">
        <v>2593</v>
      </c>
      <c r="F47" s="50">
        <f>IFERROR(D47+E47+G47,0)</f>
        <v/>
      </c>
      <c r="G47" s="258" t="n">
        <v>165</v>
      </c>
      <c r="H47" s="259">
        <f>SUMIFS('💸 Expenses'!$F$8:$F$500,'💸 Expenses'!$B$8:$B$500,"&gt;="&amp;B47,'💸 Expenses'!$B$8:$B$500,"&lt;"&amp;(B47+1))</f>
        <v/>
      </c>
      <c r="I47" s="260">
        <f>IFERROR(F47-H47,0)</f>
        <v/>
      </c>
      <c r="J47" s="261">
        <f>IFERROR(I47/F47,0)</f>
        <v/>
      </c>
      <c r="K47" s="255" t="n"/>
      <c r="L47" s="262" t="inlineStr">
        <is>
          <t>Cierre via loka.py</t>
        </is>
      </c>
      <c r="M47" s="21" t="n"/>
      <c r="N47" s="56" t="n"/>
      <c r="O47" s="57" t="n"/>
      <c r="P47" s="58" t="n"/>
      <c r="Q47" s="56" t="n"/>
      <c r="R47" s="410">
        <f>IFERROR(D47*$T$7,0)</f>
        <v/>
      </c>
    </row>
    <row r="48" ht="16.5" customHeight="1" s="278">
      <c r="B48" s="385" t="n">
        <v>46200</v>
      </c>
      <c r="C48" s="386" t="inlineStr">
        <is>
          <t>Sat</t>
        </is>
      </c>
      <c r="D48" s="387" t="n">
        <v>175</v>
      </c>
      <c r="E48" s="37" t="n">
        <v>1854</v>
      </c>
      <c r="F48" s="38">
        <f>IFERROR(D48+E48+G48,0)</f>
        <v/>
      </c>
      <c r="G48" s="388" t="n">
        <v>0</v>
      </c>
      <c r="H48" s="389">
        <f>SUMIFS('💸 Expenses'!$F$8:$F$500,'💸 Expenses'!$B$8:$B$500,"&gt;="&amp;B48,'💸 Expenses'!$B$8:$B$500,"&lt;"&amp;(B48+1))</f>
        <v/>
      </c>
      <c r="I48" s="390">
        <f>IFERROR(F48-H48,0)</f>
        <v/>
      </c>
      <c r="J48" s="391">
        <f>IFERROR(I48/F48,0)</f>
        <v/>
      </c>
      <c r="K48" s="251" t="n"/>
      <c r="L48" s="392" t="inlineStr">
        <is>
          <t>Cierre via loka.py</t>
        </is>
      </c>
      <c r="M48" s="12" t="n"/>
      <c r="N48" s="44" t="n"/>
      <c r="O48" s="45" t="n"/>
      <c r="P48" s="46" t="n"/>
      <c r="Q48" s="44" t="n"/>
      <c r="R48" s="410">
        <f>IFERROR(D48*$T$7,0)</f>
        <v/>
      </c>
    </row>
    <row r="49" ht="16.5" customHeight="1" s="278">
      <c r="B49" s="385" t="n">
        <v>46201</v>
      </c>
      <c r="C49" s="256" t="inlineStr">
        <is>
          <t>Sun</t>
        </is>
      </c>
      <c r="D49" s="257" t="n">
        <v>0</v>
      </c>
      <c r="E49" s="49" t="n">
        <v>0</v>
      </c>
      <c r="F49" s="50">
        <f>IFERROR(D49+E49+G49,0)</f>
        <v/>
      </c>
      <c r="G49" s="258" t="n">
        <v>0</v>
      </c>
      <c r="H49" s="259">
        <f>SUMIFS('💸 Expenses'!$F$8:$F$500,'💸 Expenses'!$B$8:$B$500,"&gt;="&amp;B49,'💸 Expenses'!$B$8:$B$500,"&lt;"&amp;(B49+1))</f>
        <v/>
      </c>
      <c r="I49" s="260">
        <f>IFERROR(F49-H49,0)</f>
        <v/>
      </c>
      <c r="J49" s="261">
        <f>IFERROR(I49/F49,0)</f>
        <v/>
      </c>
      <c r="K49" s="255" t="n"/>
      <c r="L49" s="262" t="inlineStr">
        <is>
          <t>Cierre via loka.py</t>
        </is>
      </c>
      <c r="M49" s="21" t="n"/>
      <c r="N49" s="56" t="n"/>
      <c r="O49" s="57" t="n"/>
      <c r="P49" s="58" t="n"/>
      <c r="Q49" s="56" t="n"/>
      <c r="R49" s="410">
        <f>IFERROR(D49*$T$7,0)</f>
        <v/>
      </c>
    </row>
    <row r="50" ht="16.5" customHeight="1" s="278">
      <c r="B50" s="385" t="n">
        <v>46202</v>
      </c>
      <c r="C50" s="386" t="inlineStr">
        <is>
          <t>Mon</t>
        </is>
      </c>
      <c r="D50" s="387" t="n">
        <v>1814</v>
      </c>
      <c r="E50" s="37" t="n">
        <v>1575</v>
      </c>
      <c r="F50" s="38">
        <f>IFERROR(D50+E50+G50,0)</f>
        <v/>
      </c>
      <c r="G50" s="388" t="n">
        <v>0</v>
      </c>
      <c r="H50" s="389">
        <f>SUMIFS('💸 Expenses'!$F$8:$F$500,'💸 Expenses'!$B$8:$B$500,"&gt;="&amp;B50,'💸 Expenses'!$B$8:$B$500,"&lt;"&amp;(B50+1))</f>
        <v/>
      </c>
      <c r="I50" s="390">
        <f>IFERROR(F50-H50,0)</f>
        <v/>
      </c>
      <c r="J50" s="391">
        <f>IFERROR(I50/F50,0)</f>
        <v/>
      </c>
      <c r="K50" s="251" t="n"/>
      <c r="L50" s="392" t="inlineStr">
        <is>
          <t>Cierre via loka.py</t>
        </is>
      </c>
      <c r="M50" s="12" t="n"/>
      <c r="N50" s="44" t="n"/>
      <c r="O50" s="45" t="n"/>
      <c r="P50" s="46" t="n"/>
      <c r="Q50" s="44" t="n"/>
      <c r="R50" s="410">
        <f>IFERROR(D50*$T$7,0)</f>
        <v/>
      </c>
    </row>
    <row r="51" ht="16.5" customHeight="1" s="278">
      <c r="B51" s="385" t="n">
        <v>46203</v>
      </c>
      <c r="C51" s="256" t="inlineStr">
        <is>
          <t>Tue</t>
        </is>
      </c>
      <c r="D51" s="257" t="n">
        <v>2408</v>
      </c>
      <c r="E51" s="49" t="n">
        <v>1670</v>
      </c>
      <c r="F51" s="50">
        <f>IFERROR(D51+E51+G51,0)</f>
        <v/>
      </c>
      <c r="G51" s="258" t="n">
        <v>55</v>
      </c>
      <c r="H51" s="259">
        <f>SUMIFS('💸 Expenses'!$F$8:$F$500,'💸 Expenses'!$B$8:$B$500,"&gt;="&amp;B51,'💸 Expenses'!$B$8:$B$500,"&lt;"&amp;(B51+1))</f>
        <v/>
      </c>
      <c r="I51" s="260">
        <f>IFERROR(F51-H51,0)</f>
        <v/>
      </c>
      <c r="J51" s="261">
        <f>IFERROR(I51/F51,0)</f>
        <v/>
      </c>
      <c r="K51" s="255" t="n"/>
      <c r="L51" s="262" t="inlineStr">
        <is>
          <t>Cierre via loka.py</t>
        </is>
      </c>
      <c r="M51" s="21" t="n"/>
      <c r="N51" s="56" t="n"/>
      <c r="O51" s="57" t="n"/>
      <c r="P51" s="58" t="n"/>
      <c r="Q51" s="56" t="n"/>
      <c r="R51" s="410">
        <f>IFERROR(D51*$T$7,0)</f>
        <v/>
      </c>
    </row>
    <row r="52" ht="16.5" customHeight="1" s="278">
      <c r="B52" s="385" t="n">
        <v>46204</v>
      </c>
      <c r="C52" s="386" t="inlineStr">
        <is>
          <t>Wed</t>
        </is>
      </c>
      <c r="D52" s="387" t="n">
        <v>2498</v>
      </c>
      <c r="E52" s="37" t="n">
        <v>2024</v>
      </c>
      <c r="F52" s="38">
        <f>IFERROR(D52+E52+G52,0)</f>
        <v/>
      </c>
      <c r="G52" s="388" t="n">
        <v>0</v>
      </c>
      <c r="H52" s="389">
        <f>SUMIFS('💸 Expenses'!$F$8:$F$500,'💸 Expenses'!$B$8:$B$500,"&gt;="&amp;B52,'💸 Expenses'!$B$8:$B$500,"&lt;"&amp;(B52+1))</f>
        <v/>
      </c>
      <c r="I52" s="390">
        <f>IFERROR(F52-H52,0)</f>
        <v/>
      </c>
      <c r="J52" s="391">
        <f>IFERROR(I52/F52,0)</f>
        <v/>
      </c>
      <c r="K52" s="251" t="n"/>
      <c r="L52" s="392" t="inlineStr">
        <is>
          <t>Cierre via loka.py</t>
        </is>
      </c>
      <c r="M52" s="12" t="n"/>
      <c r="N52" s="44" t="n"/>
      <c r="O52" s="45" t="n"/>
      <c r="P52" s="46" t="n"/>
      <c r="Q52" s="44" t="n"/>
      <c r="R52" s="410">
        <f>IFERROR(D52*$T$7,0)</f>
        <v/>
      </c>
    </row>
    <row r="53" ht="16.5" customHeight="1" s="278">
      <c r="B53" s="385" t="n">
        <v>46205</v>
      </c>
      <c r="C53" s="256" t="inlineStr">
        <is>
          <t>Thu</t>
        </is>
      </c>
      <c r="D53" s="257" t="n">
        <v>1859</v>
      </c>
      <c r="E53" s="49" t="n">
        <v>1249</v>
      </c>
      <c r="F53" s="50">
        <f>IFERROR(D53+E53+G53,0)</f>
        <v/>
      </c>
      <c r="G53" s="258" t="n">
        <v>0</v>
      </c>
      <c r="H53" s="259">
        <f>SUMIFS('💸 Expenses'!$F$8:$F$500,'💸 Expenses'!$B$8:$B$500,"&gt;="&amp;B53,'💸 Expenses'!$B$8:$B$500,"&lt;"&amp;(B53+1))</f>
        <v/>
      </c>
      <c r="I53" s="260">
        <f>IFERROR(F53-H53,0)</f>
        <v/>
      </c>
      <c r="J53" s="261">
        <f>IFERROR(I53/F53,0)</f>
        <v/>
      </c>
      <c r="K53" s="255" t="inlineStr">
        <is>
          <t>incl +$120 additional card income (added 02-Jul)</t>
        </is>
      </c>
      <c r="L53" s="262" t="inlineStr">
        <is>
          <t>Cierre via loka.py</t>
        </is>
      </c>
      <c r="M53" s="21" t="n"/>
      <c r="N53" s="56" t="n"/>
      <c r="O53" s="57" t="n"/>
      <c r="P53" s="58" t="n"/>
      <c r="Q53" s="56" t="n"/>
      <c r="R53" s="410">
        <f>IFERROR(D53*$T$7,0)</f>
        <v/>
      </c>
    </row>
    <row r="54" ht="16.5" customHeight="1" s="278">
      <c r="B54" s="385" t="n">
        <v>46206</v>
      </c>
      <c r="C54" s="386" t="inlineStr">
        <is>
          <t>Fri</t>
        </is>
      </c>
      <c r="D54" s="387" t="n">
        <v>3702</v>
      </c>
      <c r="E54" s="37" t="n">
        <v>2375</v>
      </c>
      <c r="F54" s="38">
        <f>IFERROR(D54+E54+G54,0)</f>
        <v/>
      </c>
      <c r="G54" s="388" t="n">
        <v>0</v>
      </c>
      <c r="H54" s="389">
        <f>SUMIFS('💸 Expenses'!$F$8:$F$500,'💸 Expenses'!$B$8:$B$500,"&gt;="&amp;B54,'💸 Expenses'!$B$8:$B$500,"&lt;"&amp;(B54+1))</f>
        <v/>
      </c>
      <c r="I54" s="390">
        <f>IFERROR(F54-H54,0)</f>
        <v/>
      </c>
      <c r="J54" s="391">
        <f>IFERROR(I54/F54,0)</f>
        <v/>
      </c>
      <c r="K54" s="251" t="inlineStr">
        <is>
          <t>incl +$110 additional cash income (added 04-Jul)</t>
        </is>
      </c>
      <c r="L54" s="392" t="inlineStr">
        <is>
          <t>Cierre via loka.py</t>
        </is>
      </c>
      <c r="M54" s="12" t="n"/>
      <c r="N54" s="44" t="n"/>
      <c r="O54" s="45" t="n"/>
      <c r="P54" s="46" t="n"/>
      <c r="Q54" s="44" t="n"/>
      <c r="R54" s="410">
        <f>IFERROR(D54*$T$7,0)</f>
        <v/>
      </c>
    </row>
    <row r="55" ht="16.5" customHeight="1" s="278">
      <c r="B55" s="385" t="n">
        <v>46207</v>
      </c>
      <c r="C55" s="256" t="inlineStr">
        <is>
          <t>Sat</t>
        </is>
      </c>
      <c r="D55" s="257" t="n">
        <v>1739</v>
      </c>
      <c r="E55" s="49" t="n">
        <v>895</v>
      </c>
      <c r="F55" s="50">
        <f>IFERROR(D55+E55+G55,0)</f>
        <v/>
      </c>
      <c r="G55" s="258" t="n">
        <v>0</v>
      </c>
      <c r="H55" s="259">
        <f>SUMIFS('💸 Expenses'!$F$8:$F$500,'💸 Expenses'!$B$8:$B$500,"&gt;="&amp;B55,'💸 Expenses'!$B$8:$B$500,"&lt;"&amp;(B55+1))</f>
        <v/>
      </c>
      <c r="I55" s="260">
        <f>IFERROR(F55-H55,0)</f>
        <v/>
      </c>
      <c r="J55" s="261">
        <f>IFERROR(I55/F55,0)</f>
        <v/>
      </c>
      <c r="K55" s="255" t="n"/>
      <c r="L55" s="262" t="inlineStr">
        <is>
          <t>Cierre via loka.py</t>
        </is>
      </c>
      <c r="M55" s="21" t="n"/>
      <c r="N55" s="56" t="n"/>
      <c r="O55" s="57" t="n"/>
      <c r="P55" s="58" t="n"/>
      <c r="Q55" s="56" t="n"/>
      <c r="R55" s="410">
        <f>IFERROR(D55*$T$7,0)</f>
        <v/>
      </c>
    </row>
    <row r="56" ht="16.5" customHeight="1" s="278">
      <c r="B56" s="385" t="n">
        <v>46209</v>
      </c>
      <c r="C56" s="386" t="inlineStr">
        <is>
          <t>Mon</t>
        </is>
      </c>
      <c r="D56" s="387" t="n">
        <v>2190</v>
      </c>
      <c r="E56" s="37" t="n">
        <v>1500</v>
      </c>
      <c r="F56" s="38">
        <f>IFERROR(D56+E56+G56,0)</f>
        <v/>
      </c>
      <c r="G56" s="388" t="n">
        <v>0</v>
      </c>
      <c r="H56" s="389">
        <f>SUMIFS('💸 Expenses'!$F$8:$F$500,'💸 Expenses'!$B$8:$B$500,"&gt;="&amp;B56,'💸 Expenses'!$B$8:$B$500,"&lt;"&amp;(B56+1))</f>
        <v/>
      </c>
      <c r="I56" s="390">
        <f>IFERROR(F56-H56,0)</f>
        <v/>
      </c>
      <c r="J56" s="391">
        <f>IFERROR(I56/F56,0)</f>
        <v/>
      </c>
      <c r="K56" s="251" t="n"/>
      <c r="L56" s="392" t="inlineStr">
        <is>
          <t>Cierre via loka.py</t>
        </is>
      </c>
      <c r="M56" s="12" t="n"/>
      <c r="N56" s="44" t="n"/>
      <c r="O56" s="45" t="n"/>
      <c r="P56" s="46" t="n"/>
      <c r="Q56" s="44" t="n"/>
      <c r="R56" s="410">
        <f>IFERROR(D56*$T$7,0)</f>
        <v/>
      </c>
    </row>
    <row r="57" ht="16.5" customHeight="1" s="278">
      <c r="B57" s="385" t="n">
        <v>46210</v>
      </c>
      <c r="C57" s="256" t="inlineStr">
        <is>
          <t>Tue</t>
        </is>
      </c>
      <c r="D57" s="257" t="n">
        <v>1840</v>
      </c>
      <c r="E57" s="49" t="n">
        <v>1820</v>
      </c>
      <c r="F57" s="50">
        <f>IFERROR(D57+E57+G57,0)</f>
        <v/>
      </c>
      <c r="G57" s="258" t="n">
        <v>0</v>
      </c>
      <c r="H57" s="259">
        <f>SUMIFS('💸 Expenses'!$F$8:$F$500,'💸 Expenses'!$B$8:$B$500,"&gt;="&amp;B57,'💸 Expenses'!$B$8:$B$500,"&lt;"&amp;(B57+1))</f>
        <v/>
      </c>
      <c r="I57" s="260">
        <f>IFERROR(F57-H57,0)</f>
        <v/>
      </c>
      <c r="J57" s="261">
        <f>IFERROR(I57/F57,0)</f>
        <v/>
      </c>
      <c r="K57" s="255" t="n"/>
      <c r="L57" s="262" t="inlineStr">
        <is>
          <t>Cierre via loka.py</t>
        </is>
      </c>
      <c r="M57" s="21" t="n"/>
      <c r="N57" s="56" t="n"/>
      <c r="O57" s="57" t="n"/>
      <c r="P57" s="58" t="n"/>
      <c r="Q57" s="56" t="n"/>
      <c r="R57" s="410">
        <f>IFERROR(D57*$T$7,0)</f>
        <v/>
      </c>
    </row>
    <row r="58" ht="16.5" customHeight="1" s="278">
      <c r="B58" s="385" t="n">
        <v>46211</v>
      </c>
      <c r="C58" s="256" t="inlineStr">
        <is>
          <t>Wed</t>
        </is>
      </c>
      <c r="D58" s="257" t="n">
        <v>360</v>
      </c>
      <c r="E58" s="49" t="n">
        <v>2055</v>
      </c>
      <c r="F58" s="50">
        <f>IFERROR(D58+E58+G58+U58,0)</f>
        <v/>
      </c>
      <c r="G58" s="258" t="n">
        <v>195</v>
      </c>
      <c r="H58" s="259">
        <f>SUMIFS('💸 Expenses'!$F$8:$F$500,'💸 Expenses'!$B$8:$B$500,"&gt;="&amp;B58,'💸 Expenses'!$B$8:$B$500,"&lt;"&amp;(B58+1))</f>
        <v/>
      </c>
      <c r="I58" s="260">
        <f>IFERROR(F58-H58,0)</f>
        <v/>
      </c>
      <c r="J58" s="261">
        <f>IFERROR(I58/F58,0)</f>
        <v/>
      </c>
      <c r="K58" s="255" t="n"/>
      <c r="L58" s="262" t="inlineStr">
        <is>
          <t>EOD close (dual card: MP + Soft Restaurant)</t>
        </is>
      </c>
      <c r="M58" s="415" t="n"/>
      <c r="N58" s="416" t="n"/>
      <c r="O58" s="417" t="n"/>
      <c r="P58" s="418" t="n"/>
      <c r="Q58" s="416" t="n"/>
      <c r="R58" s="419">
        <f>IFERROR(D58*$T$7,0)</f>
        <v/>
      </c>
      <c r="S58" s="383" t="n"/>
      <c r="T58" s="383" t="n"/>
      <c r="U58" s="419" t="n">
        <v>1078</v>
      </c>
      <c r="V58" s="419">
        <f>IFERROR(U58*$X$7,0)</f>
        <v/>
      </c>
      <c r="W58" s="383" t="n"/>
      <c r="X58" s="383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382" t="n">
        <v>46196</v>
      </c>
      <c r="C331" s="248" t="inlineStr">
        <is>
          <t>Sushi ingredients: arroz para sushi + alga nori</t>
        </is>
      </c>
      <c r="D331" s="249" t="inlineStr">
        <is>
          <t>H-E-B</t>
        </is>
      </c>
      <c r="E331" s="248" t="inlineStr">
        <is>
          <t>Ingredients - Pantry</t>
        </is>
      </c>
      <c r="F331" s="67" t="n">
        <v>269.5</v>
      </c>
      <c r="G331" s="250" t="inlineStr">
        <is>
          <t>Restaurant</t>
        </is>
      </c>
      <c r="H331" s="250" t="inlineStr">
        <is>
          <t>Card</t>
        </is>
      </c>
      <c r="I331" s="251" t="inlineStr">
        <is>
          <t>✅ Paid</t>
        </is>
      </c>
      <c r="J331" s="383" t="inlineStr">
        <is>
          <t>CB PROSA 3982 Aut 766296 (part of 366 ticket)</t>
        </is>
      </c>
    </row>
    <row r="332">
      <c r="B332" s="382" t="n">
        <v>46196</v>
      </c>
      <c r="C332" s="252" t="inlineStr">
        <is>
          <t>Sushi supplies: makisu mat + palillos</t>
        </is>
      </c>
      <c r="D332" s="253" t="inlineStr">
        <is>
          <t>H-E-B</t>
        </is>
      </c>
      <c r="E332" s="252" t="inlineStr">
        <is>
          <t>Kitchen Supplies</t>
        </is>
      </c>
      <c r="F332" s="70" t="n">
        <v>96.5</v>
      </c>
      <c r="G332" s="254" t="inlineStr">
        <is>
          <t>Restaurant</t>
        </is>
      </c>
      <c r="H332" s="254" t="inlineStr">
        <is>
          <t>Card</t>
        </is>
      </c>
      <c r="I332" s="255" t="inlineStr">
        <is>
          <t>✅ Paid</t>
        </is>
      </c>
      <c r="J332" s="383" t="inlineStr">
        <is>
          <t>Part of 366 H-E-B ticket</t>
        </is>
      </c>
    </row>
    <row r="333">
      <c r="B333" s="382" t="n">
        <v>46196</v>
      </c>
      <c r="C333" s="248" t="inlineStr">
        <is>
          <t>Carne / meat (handwritten remision)</t>
        </is>
      </c>
      <c r="D333" s="249" t="inlineStr">
        <is>
          <t>Miscelanea LC La Cruz</t>
        </is>
      </c>
      <c r="E333" s="248" t="inlineStr">
        <is>
          <t>Ingredients - Meat</t>
        </is>
      </c>
      <c r="F333" s="67" t="n">
        <v>151</v>
      </c>
      <c r="G333" s="250" t="inlineStr">
        <is>
          <t>Restaurant</t>
        </is>
      </c>
      <c r="H333" s="250" t="inlineStr">
        <is>
          <t>Card</t>
        </is>
      </c>
      <c r="I333" s="251" t="inlineStr">
        <is>
          <t>✅ Paid</t>
        </is>
      </c>
      <c r="J333" s="383" t="inlineStr">
        <is>
          <t>Getnet 3982 Aut 993325</t>
        </is>
      </c>
    </row>
    <row r="334">
      <c r="B334" s="382" t="n">
        <v>46196</v>
      </c>
      <c r="C334" s="252" t="inlineStr">
        <is>
          <t>Hielo (ice)</t>
        </is>
      </c>
      <c r="D334" s="253" t="inlineStr">
        <is>
          <t>Local purchase</t>
        </is>
      </c>
      <c r="E334" s="252" t="inlineStr">
        <is>
          <t>Ingredients - Beverages</t>
        </is>
      </c>
      <c r="F334" s="70" t="n">
        <v>150</v>
      </c>
      <c r="G334" s="254" t="inlineStr">
        <is>
          <t>Restaurant</t>
        </is>
      </c>
      <c r="H334" s="254" t="inlineStr">
        <is>
          <t>Cash</t>
        </is>
      </c>
      <c r="I334" s="255" t="inlineStr">
        <is>
          <t>✅ Paid</t>
        </is>
      </c>
      <c r="J334" s="383" t="inlineStr">
        <is>
          <t>No bill</t>
        </is>
      </c>
    </row>
    <row r="335">
      <c r="B335" s="382" t="n">
        <v>46196</v>
      </c>
      <c r="C335" s="248" t="inlineStr">
        <is>
          <t>Pan molido (breadcrumbs)</t>
        </is>
      </c>
      <c r="D335" s="249" t="inlineStr">
        <is>
          <t>Local purchase</t>
        </is>
      </c>
      <c r="E335" s="248" t="inlineStr">
        <is>
          <t>Ingredients - Pantry</t>
        </is>
      </c>
      <c r="F335" s="67" t="n">
        <v>46</v>
      </c>
      <c r="G335" s="250" t="inlineStr">
        <is>
          <t>Restaurant</t>
        </is>
      </c>
      <c r="H335" s="250" t="inlineStr">
        <is>
          <t>Cash</t>
        </is>
      </c>
      <c r="I335" s="251" t="inlineStr">
        <is>
          <t>✅ Paid</t>
        </is>
      </c>
      <c r="J335" s="383" t="inlineStr">
        <is>
          <t>No bill</t>
        </is>
      </c>
    </row>
    <row r="336">
      <c r="B336" s="382" t="n">
        <v>46196</v>
      </c>
      <c r="C336" s="252" t="inlineStr">
        <is>
          <t>Tortillas blanca 3.395 kg</t>
        </is>
      </c>
      <c r="D336" s="253" t="inlineStr">
        <is>
          <t>Chedraui Selecto</t>
        </is>
      </c>
      <c r="E336" s="252" t="inlineStr">
        <is>
          <t>Ingredients - Bread</t>
        </is>
      </c>
      <c r="F336" s="70" t="n">
        <v>44.13</v>
      </c>
      <c r="G336" s="254" t="inlineStr">
        <is>
          <t>Restaurant</t>
        </is>
      </c>
      <c r="H336" s="254" t="inlineStr">
        <is>
          <t>Card</t>
        </is>
      </c>
      <c r="I336" s="255" t="inlineStr">
        <is>
          <t>✅ Paid</t>
        </is>
      </c>
      <c r="J336" s="383" t="inlineStr">
        <is>
          <t>Debito BBVA 3982 Aut 651338 Folio 2606230937026818</t>
        </is>
      </c>
    </row>
    <row r="337">
      <c r="B337" s="382" t="n">
        <v>46197</v>
      </c>
      <c r="C337" s="248" t="inlineStr">
        <is>
          <t>Queso crema Lala 190g x2</t>
        </is>
      </c>
      <c r="D337" s="249" t="inlineStr">
        <is>
          <t>Chedraui Paseo</t>
        </is>
      </c>
      <c r="E337" s="248" t="inlineStr">
        <is>
          <t>Ingredients - Dairy</t>
        </is>
      </c>
      <c r="F337" s="67" t="n">
        <v>72</v>
      </c>
      <c r="G337" s="250" t="inlineStr">
        <is>
          <t>Restaurant</t>
        </is>
      </c>
      <c r="H337" s="250" t="inlineStr">
        <is>
          <t>Card</t>
        </is>
      </c>
      <c r="I337" s="251" t="inlineStr">
        <is>
          <t>✅ Paid</t>
        </is>
      </c>
      <c r="J337" s="383" t="inlineStr">
        <is>
          <t>Debito BBVA 3982; Chedraui Paseo ticket total 126.33 (crema+tortillas), dairy portion</t>
        </is>
      </c>
    </row>
    <row r="338">
      <c r="B338" s="382" t="n">
        <v>46197</v>
      </c>
      <c r="C338" s="252" t="inlineStr">
        <is>
          <t>Tortillas blancas x2</t>
        </is>
      </c>
      <c r="D338" s="253" t="inlineStr">
        <is>
          <t>Chedraui Paseo</t>
        </is>
      </c>
      <c r="E338" s="252" t="inlineStr">
        <is>
          <t>Ingredients - Bread</t>
        </is>
      </c>
      <c r="F338" s="70" t="n">
        <v>54.33</v>
      </c>
      <c r="G338" s="254" t="inlineStr">
        <is>
          <t>Restaurant</t>
        </is>
      </c>
      <c r="H338" s="254" t="inlineStr">
        <is>
          <t>Card</t>
        </is>
      </c>
      <c r="I338" s="255" t="inlineStr">
        <is>
          <t>✅ Paid</t>
        </is>
      </c>
      <c r="J338" s="383" t="inlineStr">
        <is>
          <t>Debito BBVA 3982; same Chedraui ticket, bread portion</t>
        </is>
      </c>
    </row>
    <row r="339">
      <c r="B339" s="382" t="n">
        <v>46197</v>
      </c>
      <c r="C339" s="248" t="inlineStr">
        <is>
          <t>Crema acida x2</t>
        </is>
      </c>
      <c r="D339" s="249" t="inlineStr">
        <is>
          <t>Sam's Club</t>
        </is>
      </c>
      <c r="E339" s="248" t="inlineStr">
        <is>
          <t>Ingredients - Dairy</t>
        </is>
      </c>
      <c r="F339" s="67" t="n">
        <v>479.84</v>
      </c>
      <c r="G339" s="250" t="inlineStr">
        <is>
          <t>Restaurant</t>
        </is>
      </c>
      <c r="H339" s="250" t="inlineStr">
        <is>
          <t>Card</t>
        </is>
      </c>
      <c r="I339" s="251" t="inlineStr">
        <is>
          <t>✅ Paid</t>
        </is>
      </c>
      <c r="J339" s="383" t="inlineStr">
        <is>
          <t>Debito Mastercard **82; Sam's ticket 1512.00 net of cuponera -32.73 + descuento -34.77; dairy portion of split</t>
        </is>
      </c>
    </row>
    <row r="340">
      <c r="B340" s="382" t="n">
        <v>46197</v>
      </c>
      <c r="C340" s="252" t="inlineStr">
        <is>
          <t>Condimix 3.6, Mayo Real, Arroz Morel</t>
        </is>
      </c>
      <c r="D340" s="253" t="inlineStr">
        <is>
          <t>Sam's Club</t>
        </is>
      </c>
      <c r="E340" s="252" t="inlineStr">
        <is>
          <t>Ingredients - Pantry</t>
        </is>
      </c>
      <c r="F340" s="70" t="n">
        <v>1032.16</v>
      </c>
      <c r="G340" s="254" t="inlineStr">
        <is>
          <t>Restaurant</t>
        </is>
      </c>
      <c r="H340" s="254" t="inlineStr">
        <is>
          <t>Card</t>
        </is>
      </c>
      <c r="I340" s="255" t="inlineStr">
        <is>
          <t>✅ Paid</t>
        </is>
      </c>
      <c r="J340" s="383" t="inlineStr">
        <is>
          <t>Debito Mastercard **82; pantry portion of 1512.00 Sam's ticket</t>
        </is>
      </c>
    </row>
    <row r="341">
      <c r="B341" s="382" t="n">
        <v>46197</v>
      </c>
      <c r="C341" s="248" t="inlineStr">
        <is>
          <t>Gas LP</t>
        </is>
      </c>
      <c r="D341" s="249" t="inlineStr">
        <is>
          <t>Gas Tomza de Mexico</t>
        </is>
      </c>
      <c r="E341" s="248" t="inlineStr">
        <is>
          <t>Utilities / Gas</t>
        </is>
      </c>
      <c r="F341" s="67" t="n">
        <v>1499.52</v>
      </c>
      <c r="G341" s="250" t="inlineStr">
        <is>
          <t>Restaurant</t>
        </is>
      </c>
      <c r="H341" s="250" t="inlineStr">
        <is>
          <t>Cash</t>
        </is>
      </c>
      <c r="I341" s="251" t="inlineStr">
        <is>
          <t>✅ Paid</t>
        </is>
      </c>
      <c r="J341" s="383" t="inlineStr">
        <is>
          <t>Remision 8900 @ $10.58/L IVA incl; pague antes 25/06; paid cash</t>
        </is>
      </c>
    </row>
    <row r="342">
      <c r="B342" s="382" t="n">
        <v>46197</v>
      </c>
      <c r="C342" s="252" t="inlineStr">
        <is>
          <t>Filete de salmon 1.03 kg @ 350/kg</t>
        </is>
      </c>
      <c r="D342" s="253" t="inlineStr">
        <is>
          <t>Brisa del Mar</t>
        </is>
      </c>
      <c r="E342" s="252" t="inlineStr">
        <is>
          <t>Ingredients - Meat &amp; Fish</t>
        </is>
      </c>
      <c r="F342" s="70" t="n">
        <v>360.5</v>
      </c>
      <c r="G342" s="254" t="inlineStr">
        <is>
          <t>Restaurant</t>
        </is>
      </c>
      <c r="H342" s="254" t="inlineStr">
        <is>
          <t>Cash</t>
        </is>
      </c>
      <c r="I342" s="255" t="inlineStr">
        <is>
          <t>✅ Paid</t>
        </is>
      </c>
      <c r="J342" s="383" t="inlineStr">
        <is>
          <t>Contado; NT 027672</t>
        </is>
      </c>
    </row>
    <row r="343">
      <c r="B343" s="382" t="n">
        <v>46197</v>
      </c>
      <c r="C343" s="248" t="inlineStr">
        <is>
          <t>Naranjada 1L x6</t>
        </is>
      </c>
      <c r="D343" s="249" t="inlineStr">
        <is>
          <t>Casa Reca</t>
        </is>
      </c>
      <c r="E343" s="248" t="inlineStr">
        <is>
          <t>Ingredients - Beverages</t>
        </is>
      </c>
      <c r="F343" s="67" t="n">
        <v>150</v>
      </c>
      <c r="G343" s="250" t="inlineStr">
        <is>
          <t>Restaurant</t>
        </is>
      </c>
      <c r="H343" s="250" t="inlineStr">
        <is>
          <t>Cash</t>
        </is>
      </c>
      <c r="I343" s="251" t="inlineStr">
        <is>
          <t>✅ Paid</t>
        </is>
      </c>
      <c r="J343" s="383" t="inlineStr">
        <is>
          <t>Nota QR-37; 6 pzas; canje CJ-4 (horchata/naranjada/tamarindo) $0; paid cash</t>
        </is>
      </c>
    </row>
    <row r="344">
      <c r="B344" s="382" t="n">
        <v>46197</v>
      </c>
      <c r="C344" s="252" t="inlineStr">
        <is>
          <t>Papas (potatoes)</t>
        </is>
      </c>
      <c r="D344" s="253" t="inlineStr">
        <is>
          <t>Local purchase</t>
        </is>
      </c>
      <c r="E344" s="252" t="inlineStr">
        <is>
          <t>Ingredients - Vegetables</t>
        </is>
      </c>
      <c r="F344" s="70" t="n">
        <v>133</v>
      </c>
      <c r="G344" s="254" t="inlineStr">
        <is>
          <t>Restaurant</t>
        </is>
      </c>
      <c r="H344" s="254" t="inlineStr">
        <is>
          <t>Cash</t>
        </is>
      </c>
      <c r="I344" s="255" t="inlineStr">
        <is>
          <t>✅ Paid</t>
        </is>
      </c>
      <c r="J344" s="383" t="inlineStr">
        <is>
          <t>No bill</t>
        </is>
      </c>
    </row>
    <row r="345">
      <c r="B345" s="382" t="n">
        <v>46198</v>
      </c>
      <c r="C345" s="248" t="inlineStr">
        <is>
          <t>Muslo (chicken thigh) ~12.3 kg @ $50/kg</t>
        </is>
      </c>
      <c r="D345" s="249" t="inlineStr">
        <is>
          <t>Oh lele / Local</t>
        </is>
      </c>
      <c r="E345" s="248" t="inlineStr">
        <is>
          <t>Ingredients - Meat</t>
        </is>
      </c>
      <c r="F345" s="67" t="n">
        <v>615</v>
      </c>
      <c r="G345" s="250" t="inlineStr">
        <is>
          <t>Restaurant</t>
        </is>
      </c>
      <c r="H345" s="250" t="inlineStr">
        <is>
          <t>Cash</t>
        </is>
      </c>
      <c r="I345" s="251" t="inlineStr">
        <is>
          <t>✅ Paid</t>
        </is>
      </c>
      <c r="J345" s="383" t="inlineStr">
        <is>
          <t>Nota de remision (handwritten, Loka Cafe); total $615; cash</t>
        </is>
      </c>
    </row>
    <row r="346">
      <c r="B346" s="382" t="n">
        <v>46198</v>
      </c>
      <c r="C346" s="252" t="inlineStr">
        <is>
          <t>Costilla cd (pork ribs) 3.15 kg @ ~$103/kg</t>
        </is>
      </c>
      <c r="D346" s="253" t="inlineStr">
        <is>
          <t>Miscelanea LC La Cruz</t>
        </is>
      </c>
      <c r="E346" s="252" t="inlineStr">
        <is>
          <t>Ingredients - Meat</t>
        </is>
      </c>
      <c r="F346" s="70" t="n">
        <v>318</v>
      </c>
      <c r="G346" s="254" t="inlineStr">
        <is>
          <t>Restaurant</t>
        </is>
      </c>
      <c r="H346" s="254" t="inlineStr">
        <is>
          <t>Card</t>
        </is>
      </c>
      <c r="I346" s="255" t="inlineStr">
        <is>
          <t>✅ Paid</t>
        </is>
      </c>
      <c r="J346" s="383" t="inlineStr">
        <is>
          <t>Remision ~319 handwritten; Getnet card charge 318.00; card **3982 Aut 298095; LC remision partly illegible</t>
        </is>
      </c>
    </row>
    <row r="347">
      <c r="B347" s="382" t="n">
        <v>46198</v>
      </c>
      <c r="C347" s="248" t="inlineStr">
        <is>
          <t>Papas (potatoes)</t>
        </is>
      </c>
      <c r="D347" s="249" t="inlineStr">
        <is>
          <t>Local purchase</t>
        </is>
      </c>
      <c r="E347" s="248" t="inlineStr">
        <is>
          <t>Ingredients - Vegetables</t>
        </is>
      </c>
      <c r="F347" s="67" t="n">
        <v>64</v>
      </c>
      <c r="G347" s="250" t="inlineStr">
        <is>
          <t>Restaurant</t>
        </is>
      </c>
      <c r="H347" s="250" t="inlineStr">
        <is>
          <t>Cash</t>
        </is>
      </c>
      <c r="I347" s="251" t="inlineStr">
        <is>
          <t>✅ Paid</t>
        </is>
      </c>
      <c r="J347" s="383" t="inlineStr">
        <is>
          <t>No bill</t>
        </is>
      </c>
    </row>
    <row r="348">
      <c r="B348" s="382" t="n">
        <v>46198</v>
      </c>
      <c r="C348" s="252" t="inlineStr">
        <is>
          <t>Pan dulces</t>
        </is>
      </c>
      <c r="D348" s="253" t="inlineStr">
        <is>
          <t>Local purchase</t>
        </is>
      </c>
      <c r="E348" s="252" t="inlineStr">
        <is>
          <t>Ingredients - Bread</t>
        </is>
      </c>
      <c r="F348" s="70" t="n">
        <v>96</v>
      </c>
      <c r="G348" s="254" t="inlineStr">
        <is>
          <t>Restaurant</t>
        </is>
      </c>
      <c r="H348" s="254" t="inlineStr">
        <is>
          <t>Cash</t>
        </is>
      </c>
      <c r="I348" s="255" t="inlineStr">
        <is>
          <t>✅ Paid</t>
        </is>
      </c>
      <c r="J348" s="383" t="inlineStr">
        <is>
          <t>No bill</t>
        </is>
      </c>
    </row>
    <row r="349">
      <c r="B349" s="382" t="n">
        <v>46198</v>
      </c>
      <c r="C349" s="248" t="inlineStr">
        <is>
          <t>Agua natural</t>
        </is>
      </c>
      <c r="D349" s="249" t="inlineStr">
        <is>
          <t>Local purchase</t>
        </is>
      </c>
      <c r="E349" s="248" t="inlineStr">
        <is>
          <t>Supplies / Other</t>
        </is>
      </c>
      <c r="F349" s="67" t="n">
        <v>60</v>
      </c>
      <c r="G349" s="250" t="inlineStr">
        <is>
          <t>Restaurant</t>
        </is>
      </c>
      <c r="H349" s="250" t="inlineStr">
        <is>
          <t>Cash</t>
        </is>
      </c>
      <c r="I349" s="251" t="inlineStr">
        <is>
          <t>✅ Paid</t>
        </is>
      </c>
      <c r="J349" s="383" t="inlineStr">
        <is>
          <t>No bill</t>
        </is>
      </c>
    </row>
    <row r="350">
      <c r="B350" s="382" t="n">
        <v>46198</v>
      </c>
      <c r="C350" s="252" t="inlineStr">
        <is>
          <t>Frigadora (kitchenware)</t>
        </is>
      </c>
      <c r="D350" s="253" t="inlineStr">
        <is>
          <t>Local purchase</t>
        </is>
      </c>
      <c r="E350" s="252" t="inlineStr">
        <is>
          <t>Kitchen Supplies</t>
        </is>
      </c>
      <c r="F350" s="70" t="n">
        <v>45</v>
      </c>
      <c r="G350" s="254" t="inlineStr">
        <is>
          <t>Restaurant</t>
        </is>
      </c>
      <c r="H350" s="254" t="inlineStr">
        <is>
          <t>Cash</t>
        </is>
      </c>
      <c r="I350" s="255" t="inlineStr">
        <is>
          <t>✅ Paid</t>
        </is>
      </c>
      <c r="J350" s="383" t="inlineStr">
        <is>
          <t>No bill</t>
        </is>
      </c>
    </row>
    <row r="351">
      <c r="B351" s="382" t="n">
        <v>46198</v>
      </c>
      <c r="C351" s="248" t="inlineStr">
        <is>
          <t>Gancho (hook)</t>
        </is>
      </c>
      <c r="D351" s="249" t="inlineStr">
        <is>
          <t>Local purchase</t>
        </is>
      </c>
      <c r="E351" s="248" t="inlineStr">
        <is>
          <t>Supplies / Other</t>
        </is>
      </c>
      <c r="F351" s="67" t="n">
        <v>30</v>
      </c>
      <c r="G351" s="250" t="inlineStr">
        <is>
          <t>Restaurant</t>
        </is>
      </c>
      <c r="H351" s="250" t="inlineStr">
        <is>
          <t>Cash</t>
        </is>
      </c>
      <c r="I351" s="251" t="inlineStr">
        <is>
          <t>✅ Paid</t>
        </is>
      </c>
      <c r="J351" s="383" t="inlineStr">
        <is>
          <t>No bill</t>
        </is>
      </c>
    </row>
    <row r="352">
      <c r="B352" s="382" t="n">
        <v>46199</v>
      </c>
      <c r="C352" s="252" t="inlineStr">
        <is>
          <t>Zanahoria, cilantro, tomate (granel)</t>
        </is>
      </c>
      <c r="D352" s="253" t="inlineStr">
        <is>
          <t>Chedraui Paseo</t>
        </is>
      </c>
      <c r="E352" s="252" t="inlineStr">
        <is>
          <t>Ingredients - Vegetables</t>
        </is>
      </c>
      <c r="F352" s="70" t="n">
        <v>45.74</v>
      </c>
      <c r="G352" s="254" t="inlineStr">
        <is>
          <t>Restaurant</t>
        </is>
      </c>
      <c r="H352" s="254" t="inlineStr">
        <is>
          <t>Card</t>
        </is>
      </c>
      <c r="I352" s="255" t="inlineStr">
        <is>
          <t>✅ Paid</t>
        </is>
      </c>
      <c r="J352" s="383" t="inlineStr">
        <is>
          <t>Debito BBVA 3982; Chedraui ticket total 99.53 (veg+tortillas), veg portion</t>
        </is>
      </c>
    </row>
    <row r="353">
      <c r="B353" s="382" t="n">
        <v>46199</v>
      </c>
      <c r="C353" s="248" t="inlineStr">
        <is>
          <t>Tortillas blancas x2</t>
        </is>
      </c>
      <c r="D353" s="249" t="inlineStr">
        <is>
          <t>Chedraui Paseo</t>
        </is>
      </c>
      <c r="E353" s="248" t="inlineStr">
        <is>
          <t>Ingredients - Bread</t>
        </is>
      </c>
      <c r="F353" s="67" t="n">
        <v>53.79</v>
      </c>
      <c r="G353" s="250" t="inlineStr">
        <is>
          <t>Restaurant</t>
        </is>
      </c>
      <c r="H353" s="250" t="inlineStr">
        <is>
          <t>Card</t>
        </is>
      </c>
      <c r="I353" s="251" t="inlineStr">
        <is>
          <t>✅ Paid</t>
        </is>
      </c>
      <c r="J353" s="383" t="inlineStr">
        <is>
          <t>Debito BBVA 3982; same Chedraui ticket, bread portion</t>
        </is>
      </c>
    </row>
    <row r="354">
      <c r="B354" s="382" t="n">
        <v>46199</v>
      </c>
      <c r="C354" s="252" t="inlineStr">
        <is>
          <t>Curcuma (turmeric) 70g</t>
        </is>
      </c>
      <c r="D354" s="253" t="inlineStr">
        <is>
          <t>H-E-B</t>
        </is>
      </c>
      <c r="E354" s="252" t="inlineStr">
        <is>
          <t>Ingredients - Pantry</t>
        </is>
      </c>
      <c r="F354" s="70" t="n">
        <v>14</v>
      </c>
      <c r="G354" s="254" t="inlineStr">
        <is>
          <t>Restaurant</t>
        </is>
      </c>
      <c r="H354" s="254" t="inlineStr">
        <is>
          <t>Cash</t>
        </is>
      </c>
      <c r="I354" s="255" t="inlineStr">
        <is>
          <t>✅ Paid</t>
        </is>
      </c>
      <c r="J354" s="383" t="inlineStr">
        <is>
          <t>Efectivo; ticket 215/07/02997</t>
        </is>
      </c>
    </row>
    <row r="355">
      <c r="B355" s="382" t="n">
        <v>46199</v>
      </c>
      <c r="C355" s="248" t="inlineStr">
        <is>
          <t>Lechugas (lettuce)</t>
        </is>
      </c>
      <c r="D355" s="249" t="inlineStr">
        <is>
          <t>Local purchase</t>
        </is>
      </c>
      <c r="E355" s="248" t="inlineStr">
        <is>
          <t>Ingredients - Vegetables</t>
        </is>
      </c>
      <c r="F355" s="67" t="n">
        <v>40</v>
      </c>
      <c r="G355" s="250" t="inlineStr">
        <is>
          <t>Restaurant</t>
        </is>
      </c>
      <c r="H355" s="250" t="inlineStr">
        <is>
          <t>Cash</t>
        </is>
      </c>
      <c r="I355" s="251" t="inlineStr">
        <is>
          <t>✅ Paid</t>
        </is>
      </c>
      <c r="J355" s="383" t="inlineStr">
        <is>
          <t>No bill</t>
        </is>
      </c>
    </row>
    <row r="356">
      <c r="B356" s="382" t="n">
        <v>46199</v>
      </c>
      <c r="C356" s="252" t="inlineStr">
        <is>
          <t>Queso Panela</t>
        </is>
      </c>
      <c r="D356" s="253" t="inlineStr">
        <is>
          <t>Local purchase</t>
        </is>
      </c>
      <c r="E356" s="252" t="inlineStr">
        <is>
          <t>Ingredients - Dairy</t>
        </is>
      </c>
      <c r="F356" s="70" t="n">
        <v>592</v>
      </c>
      <c r="G356" s="254" t="inlineStr">
        <is>
          <t>Restaurant</t>
        </is>
      </c>
      <c r="H356" s="254" t="inlineStr">
        <is>
          <t>Cash</t>
        </is>
      </c>
      <c r="I356" s="255" t="inlineStr">
        <is>
          <t>✅ Paid</t>
        </is>
      </c>
      <c r="J356" s="383" t="inlineStr">
        <is>
          <t>No bill</t>
        </is>
      </c>
    </row>
    <row r="357">
      <c r="B357" s="382" t="n">
        <v>46201</v>
      </c>
      <c r="C357" s="248" t="inlineStr">
        <is>
          <t>Mi Huevo Blanco (white eggs) 5.59 kg @ $24/kg</t>
        </is>
      </c>
      <c r="D357" s="249" t="inlineStr">
        <is>
          <t>Delgado Semillas y Especias</t>
        </is>
      </c>
      <c r="E357" s="248" t="inlineStr">
        <is>
          <t>Ingredients - Eggs</t>
        </is>
      </c>
      <c r="F357" s="67" t="n">
        <v>134.16</v>
      </c>
      <c r="G357" s="250" t="inlineStr">
        <is>
          <t>Restaurant</t>
        </is>
      </c>
      <c r="H357" s="250" t="inlineStr">
        <is>
          <t>Cash</t>
        </is>
      </c>
      <c r="I357" s="251" t="inlineStr">
        <is>
          <t>✅ Paid</t>
        </is>
      </c>
      <c r="J357" s="383" t="inlineStr">
        <is>
          <t>Folio 134837; efectivo</t>
        </is>
      </c>
    </row>
    <row r="358">
      <c r="B358" s="382" t="n">
        <v>46201</v>
      </c>
      <c r="C358" s="252" t="inlineStr">
        <is>
          <t>Dart lids 10oz + Dart cups 10 + aluminum foil 45cm</t>
        </is>
      </c>
      <c r="D358" s="253" t="inlineStr">
        <is>
          <t>Basicos en Alimentos</t>
        </is>
      </c>
      <c r="E358" s="252" t="inlineStr">
        <is>
          <t>Supplies / Other</t>
        </is>
      </c>
      <c r="F358" s="70" t="n">
        <v>395</v>
      </c>
      <c r="G358" s="254" t="inlineStr">
        <is>
          <t>Restaurant</t>
        </is>
      </c>
      <c r="H358" s="254" t="inlineStr">
        <is>
          <t>Card</t>
        </is>
      </c>
      <c r="I358" s="255" t="inlineStr">
        <is>
          <t>✅ Paid</t>
        </is>
      </c>
      <c r="J358" s="383" t="inlineStr">
        <is>
          <t>Ticket Sec 93; 403.72 less desc 8.72; tarjeta debito</t>
        </is>
      </c>
    </row>
    <row r="359">
      <c r="B359" s="382" t="n">
        <v>46201</v>
      </c>
      <c r="C359" s="248" t="inlineStr">
        <is>
          <t>Fajilla de papel economica 1000pz</t>
        </is>
      </c>
      <c r="D359" s="249" t="inlineStr">
        <is>
          <t>Guimar Polietilenos</t>
        </is>
      </c>
      <c r="E359" s="248" t="inlineStr">
        <is>
          <t>Supplies / Other</t>
        </is>
      </c>
      <c r="F359" s="67" t="n">
        <v>104.4</v>
      </c>
      <c r="G359" s="250" t="inlineStr">
        <is>
          <t>Restaurant</t>
        </is>
      </c>
      <c r="H359" s="250" t="inlineStr">
        <is>
          <t>Card</t>
        </is>
      </c>
      <c r="I359" s="251" t="inlineStr">
        <is>
          <t>✅ Paid</t>
        </is>
      </c>
      <c r="J359" s="383" t="inlineStr">
        <is>
          <t>Folio AK89660; tarjeta debito</t>
        </is>
      </c>
    </row>
    <row r="360">
      <c r="B360" s="382" t="n">
        <v>46201</v>
      </c>
      <c r="C360" s="252" t="inlineStr">
        <is>
          <t>Vaso plastico 4CH Reyma 20/50 + Tapa vaso 20/50</t>
        </is>
      </c>
      <c r="D360" s="253" t="inlineStr">
        <is>
          <t>Guimar Polietilenos</t>
        </is>
      </c>
      <c r="E360" s="252" t="inlineStr">
        <is>
          <t>Supplies / Other</t>
        </is>
      </c>
      <c r="F360" s="70" t="n">
        <v>828</v>
      </c>
      <c r="G360" s="254" t="inlineStr">
        <is>
          <t>Restaurant</t>
        </is>
      </c>
      <c r="H360" s="254" t="inlineStr">
        <is>
          <t>Card</t>
        </is>
      </c>
      <c r="I360" s="255" t="inlineStr">
        <is>
          <t>✅ Paid</t>
        </is>
      </c>
      <c r="J360" s="383" t="inlineStr">
        <is>
          <t>Folio AK89656; ahorro 92; tarjeta debito</t>
        </is>
      </c>
    </row>
    <row r="361">
      <c r="B361" s="382" t="n">
        <v>46201</v>
      </c>
      <c r="C361" s="248" t="inlineStr">
        <is>
          <t>Gelatina D'Gari (durazno, fresa, pina) 120g</t>
        </is>
      </c>
      <c r="D361" s="249" t="inlineStr">
        <is>
          <t>Basicos en Alimentos</t>
        </is>
      </c>
      <c r="E361" s="248" t="inlineStr">
        <is>
          <t>Ingredients - Pantry</t>
        </is>
      </c>
      <c r="F361" s="67" t="n">
        <v>96</v>
      </c>
      <c r="G361" s="250" t="inlineStr">
        <is>
          <t>Restaurant</t>
        </is>
      </c>
      <c r="H361" s="250" t="inlineStr">
        <is>
          <t>Card</t>
        </is>
      </c>
      <c r="I361" s="251" t="inlineStr">
        <is>
          <t>✅ Paid</t>
        </is>
      </c>
      <c r="J361" s="383" t="inlineStr">
        <is>
          <t>Ticket Sec 77; dessert gelatin</t>
        </is>
      </c>
    </row>
    <row r="362">
      <c r="B362" s="382" t="n">
        <v>46201</v>
      </c>
      <c r="C362" s="252" t="inlineStr">
        <is>
          <t>Clorox King 5.8L + Detergente Roma 5kg</t>
        </is>
      </c>
      <c r="D362" s="253" t="inlineStr">
        <is>
          <t>Basicos en Alimentos</t>
        </is>
      </c>
      <c r="E362" s="252" t="inlineStr">
        <is>
          <t>Supplies / Other</t>
        </is>
      </c>
      <c r="F362" s="70" t="n">
        <v>297.5</v>
      </c>
      <c r="G362" s="254" t="inlineStr">
        <is>
          <t>Restaurant</t>
        </is>
      </c>
      <c r="H362" s="254" t="inlineStr">
        <is>
          <t>Card</t>
        </is>
      </c>
      <c r="I362" s="255" t="inlineStr">
        <is>
          <t>✅ Paid</t>
        </is>
      </c>
      <c r="J362" s="383" t="inlineStr">
        <is>
          <t>Ticket Sec 77; cleaning</t>
        </is>
      </c>
    </row>
    <row r="363">
      <c r="B363" s="382" t="n">
        <v>46201</v>
      </c>
      <c r="C363" s="248" t="inlineStr">
        <is>
          <t>Servilleta Maxima cuadrada 500pz x8</t>
        </is>
      </c>
      <c r="D363" s="249" t="inlineStr">
        <is>
          <t>Basicos en Alimentos</t>
        </is>
      </c>
      <c r="E363" s="248" t="inlineStr">
        <is>
          <t>Supplies / Other</t>
        </is>
      </c>
      <c r="F363" s="67" t="n">
        <v>340</v>
      </c>
      <c r="G363" s="250" t="inlineStr">
        <is>
          <t>Restaurant</t>
        </is>
      </c>
      <c r="H363" s="250" t="inlineStr">
        <is>
          <t>Card</t>
        </is>
      </c>
      <c r="I363" s="251" t="inlineStr">
        <is>
          <t>✅ Paid</t>
        </is>
      </c>
      <c r="J363" s="383" t="inlineStr">
        <is>
          <t>Ticket Sec 77; napkins</t>
        </is>
      </c>
    </row>
    <row r="364">
      <c r="B364" s="382" t="n">
        <v>46201</v>
      </c>
      <c r="C364" s="252" t="inlineStr">
        <is>
          <t>Manzana (apple)</t>
        </is>
      </c>
      <c r="D364" s="253" t="inlineStr">
        <is>
          <t>Local purchase</t>
        </is>
      </c>
      <c r="E364" s="252" t="inlineStr">
        <is>
          <t>Ingredients - Fruit</t>
        </is>
      </c>
      <c r="F364" s="70" t="n">
        <v>89</v>
      </c>
      <c r="G364" s="254" t="inlineStr">
        <is>
          <t>Restaurant</t>
        </is>
      </c>
      <c r="H364" s="254" t="inlineStr">
        <is>
          <t>Cash</t>
        </is>
      </c>
      <c r="I364" s="255" t="inlineStr">
        <is>
          <t>✅ Paid</t>
        </is>
      </c>
      <c r="J364" s="383" t="inlineStr">
        <is>
          <t>No bill</t>
        </is>
      </c>
    </row>
    <row r="365">
      <c r="B365" s="382" t="n">
        <v>46201</v>
      </c>
      <c r="C365" s="248" t="inlineStr">
        <is>
          <t>Pepino (cucumber)</t>
        </is>
      </c>
      <c r="D365" s="249" t="inlineStr">
        <is>
          <t>Local purchase</t>
        </is>
      </c>
      <c r="E365" s="248" t="inlineStr">
        <is>
          <t>Ingredients - Vegetables</t>
        </is>
      </c>
      <c r="F365" s="67" t="n">
        <v>80</v>
      </c>
      <c r="G365" s="250" t="inlineStr">
        <is>
          <t>Restaurant</t>
        </is>
      </c>
      <c r="H365" s="250" t="inlineStr">
        <is>
          <t>Cash</t>
        </is>
      </c>
      <c r="I365" s="251" t="inlineStr">
        <is>
          <t>✅ Paid</t>
        </is>
      </c>
      <c r="J365" s="383" t="inlineStr">
        <is>
          <t>No bill</t>
        </is>
      </c>
    </row>
    <row r="366">
      <c r="B366" s="382" t="n">
        <v>46201</v>
      </c>
      <c r="C366" s="252" t="inlineStr">
        <is>
          <t>Tomate verde (tomatillo)</t>
        </is>
      </c>
      <c r="D366" s="253" t="inlineStr">
        <is>
          <t>Local purchase</t>
        </is>
      </c>
      <c r="E366" s="252" t="inlineStr">
        <is>
          <t>Ingredients - Vegetables</t>
        </is>
      </c>
      <c r="F366" s="70" t="n">
        <v>80</v>
      </c>
      <c r="G366" s="254" t="inlineStr">
        <is>
          <t>Restaurant</t>
        </is>
      </c>
      <c r="H366" s="254" t="inlineStr">
        <is>
          <t>Cash</t>
        </is>
      </c>
      <c r="I366" s="255" t="inlineStr">
        <is>
          <t>✅ Paid</t>
        </is>
      </c>
      <c r="J366" s="383" t="inlineStr">
        <is>
          <t>No bill</t>
        </is>
      </c>
    </row>
    <row r="367">
      <c r="B367" s="382" t="n">
        <v>46201</v>
      </c>
      <c r="C367" s="248" t="inlineStr">
        <is>
          <t>Papas (potatoes)</t>
        </is>
      </c>
      <c r="D367" s="249" t="inlineStr">
        <is>
          <t>Local purchase</t>
        </is>
      </c>
      <c r="E367" s="248" t="inlineStr">
        <is>
          <t>Ingredients - Vegetables</t>
        </is>
      </c>
      <c r="F367" s="67" t="n">
        <v>195</v>
      </c>
      <c r="G367" s="250" t="inlineStr">
        <is>
          <t>Restaurant</t>
        </is>
      </c>
      <c r="H367" s="250" t="inlineStr">
        <is>
          <t>Cash</t>
        </is>
      </c>
      <c r="I367" s="251" t="inlineStr">
        <is>
          <t>✅ Paid</t>
        </is>
      </c>
      <c r="J367" s="383" t="inlineStr">
        <is>
          <t>No bill</t>
        </is>
      </c>
    </row>
    <row r="368">
      <c r="B368" s="382" t="n">
        <v>46201</v>
      </c>
      <c r="C368" s="252" t="inlineStr">
        <is>
          <t>Guayaba (guava)</t>
        </is>
      </c>
      <c r="D368" s="253" t="inlineStr">
        <is>
          <t>Local purchase</t>
        </is>
      </c>
      <c r="E368" s="252" t="inlineStr">
        <is>
          <t>Ingredients - Fruit</t>
        </is>
      </c>
      <c r="F368" s="70" t="n">
        <v>100</v>
      </c>
      <c r="G368" s="254" t="inlineStr">
        <is>
          <t>Restaurant</t>
        </is>
      </c>
      <c r="H368" s="254" t="inlineStr">
        <is>
          <t>Cash</t>
        </is>
      </c>
      <c r="I368" s="255" t="inlineStr">
        <is>
          <t>✅ Paid</t>
        </is>
      </c>
      <c r="J368" s="383" t="inlineStr">
        <is>
          <t>No bill</t>
        </is>
      </c>
    </row>
    <row r="369">
      <c r="B369" s="382" t="n">
        <v>46201</v>
      </c>
      <c r="C369" s="248" t="inlineStr">
        <is>
          <t>Platano (banana)</t>
        </is>
      </c>
      <c r="D369" s="249" t="inlineStr">
        <is>
          <t>Local purchase</t>
        </is>
      </c>
      <c r="E369" s="248" t="inlineStr">
        <is>
          <t>Ingredients - Fruit</t>
        </is>
      </c>
      <c r="F369" s="67" t="n">
        <v>54</v>
      </c>
      <c r="G369" s="250" t="inlineStr">
        <is>
          <t>Restaurant</t>
        </is>
      </c>
      <c r="H369" s="250" t="inlineStr">
        <is>
          <t>Cash</t>
        </is>
      </c>
      <c r="I369" s="251" t="inlineStr">
        <is>
          <t>✅ Paid</t>
        </is>
      </c>
      <c r="J369" s="383" t="inlineStr">
        <is>
          <t>No bill</t>
        </is>
      </c>
    </row>
    <row r="370">
      <c r="B370" s="382" t="n">
        <v>46201</v>
      </c>
      <c r="C370" s="252" t="inlineStr">
        <is>
          <t>Betabel (beet)</t>
        </is>
      </c>
      <c r="D370" s="253" t="inlineStr">
        <is>
          <t>Local purchase</t>
        </is>
      </c>
      <c r="E370" s="252" t="inlineStr">
        <is>
          <t>Ingredients - Vegetables</t>
        </is>
      </c>
      <c r="F370" s="70" t="n">
        <v>80</v>
      </c>
      <c r="G370" s="254" t="inlineStr">
        <is>
          <t>Restaurant</t>
        </is>
      </c>
      <c r="H370" s="254" t="inlineStr">
        <is>
          <t>Cash</t>
        </is>
      </c>
      <c r="I370" s="255" t="inlineStr">
        <is>
          <t>✅ Paid</t>
        </is>
      </c>
      <c r="J370" s="383" t="inlineStr">
        <is>
          <t>No bill</t>
        </is>
      </c>
    </row>
    <row r="371">
      <c r="B371" s="382" t="n">
        <v>46201</v>
      </c>
      <c r="C371" s="248" t="inlineStr">
        <is>
          <t>Cilantro</t>
        </is>
      </c>
      <c r="D371" s="249" t="inlineStr">
        <is>
          <t>Local purchase</t>
        </is>
      </c>
      <c r="E371" s="248" t="inlineStr">
        <is>
          <t>Ingredients - Vegetables</t>
        </is>
      </c>
      <c r="F371" s="67" t="n">
        <v>60</v>
      </c>
      <c r="G371" s="250" t="inlineStr">
        <is>
          <t>Restaurant</t>
        </is>
      </c>
      <c r="H371" s="250" t="inlineStr">
        <is>
          <t>Cash</t>
        </is>
      </c>
      <c r="I371" s="251" t="inlineStr">
        <is>
          <t>✅ Paid</t>
        </is>
      </c>
      <c r="J371" s="383" t="inlineStr">
        <is>
          <t>No bill</t>
        </is>
      </c>
    </row>
    <row r="372">
      <c r="B372" s="382" t="n">
        <v>46201</v>
      </c>
      <c r="C372" s="252" t="inlineStr">
        <is>
          <t>Nopal (cactus)</t>
        </is>
      </c>
      <c r="D372" s="253" t="inlineStr">
        <is>
          <t>Local purchase</t>
        </is>
      </c>
      <c r="E372" s="252" t="inlineStr">
        <is>
          <t>Ingredients - Vegetables</t>
        </is>
      </c>
      <c r="F372" s="70" t="n">
        <v>50</v>
      </c>
      <c r="G372" s="254" t="inlineStr">
        <is>
          <t>Restaurant</t>
        </is>
      </c>
      <c r="H372" s="254" t="inlineStr">
        <is>
          <t>Cash</t>
        </is>
      </c>
      <c r="I372" s="255" t="inlineStr">
        <is>
          <t>✅ Paid</t>
        </is>
      </c>
      <c r="J372" s="383" t="inlineStr">
        <is>
          <t>No bill</t>
        </is>
      </c>
    </row>
    <row r="373">
      <c r="B373" s="382" t="n">
        <v>46201</v>
      </c>
      <c r="C373" s="248" t="inlineStr">
        <is>
          <t>Jitomate (tomato)</t>
        </is>
      </c>
      <c r="D373" s="249" t="inlineStr">
        <is>
          <t>Local purchase</t>
        </is>
      </c>
      <c r="E373" s="248" t="inlineStr">
        <is>
          <t>Ingredients - Vegetables</t>
        </is>
      </c>
      <c r="F373" s="67" t="n">
        <v>80</v>
      </c>
      <c r="G373" s="250" t="inlineStr">
        <is>
          <t>Restaurant</t>
        </is>
      </c>
      <c r="H373" s="250" t="inlineStr">
        <is>
          <t>Cash</t>
        </is>
      </c>
      <c r="I373" s="251" t="inlineStr">
        <is>
          <t>✅ Paid</t>
        </is>
      </c>
      <c r="J373" s="383" t="inlineStr">
        <is>
          <t>No bill</t>
        </is>
      </c>
    </row>
    <row r="374">
      <c r="B374" s="382" t="n">
        <v>46201</v>
      </c>
      <c r="C374" s="252" t="inlineStr">
        <is>
          <t>Lechuga italiana</t>
        </is>
      </c>
      <c r="D374" s="253" t="inlineStr">
        <is>
          <t>Local purchase</t>
        </is>
      </c>
      <c r="E374" s="252" t="inlineStr">
        <is>
          <t>Ingredients - Vegetables</t>
        </is>
      </c>
      <c r="F374" s="70" t="n">
        <v>148</v>
      </c>
      <c r="G374" s="254" t="inlineStr">
        <is>
          <t>Restaurant</t>
        </is>
      </c>
      <c r="H374" s="254" t="inlineStr">
        <is>
          <t>Cash</t>
        </is>
      </c>
      <c r="I374" s="255" t="inlineStr">
        <is>
          <t>✅ Paid</t>
        </is>
      </c>
      <c r="J374" s="383" t="inlineStr">
        <is>
          <t>No bill</t>
        </is>
      </c>
    </row>
    <row r="375">
      <c r="B375" s="382" t="n">
        <v>46201</v>
      </c>
      <c r="C375" s="248" t="inlineStr">
        <is>
          <t>Espinaca (spinach)</t>
        </is>
      </c>
      <c r="D375" s="249" t="inlineStr">
        <is>
          <t>Local purchase</t>
        </is>
      </c>
      <c r="E375" s="248" t="inlineStr">
        <is>
          <t>Ingredients - Vegetables</t>
        </is>
      </c>
      <c r="F375" s="67" t="n">
        <v>30</v>
      </c>
      <c r="G375" s="250" t="inlineStr">
        <is>
          <t>Restaurant</t>
        </is>
      </c>
      <c r="H375" s="250" t="inlineStr">
        <is>
          <t>Cash</t>
        </is>
      </c>
      <c r="I375" s="251" t="inlineStr">
        <is>
          <t>✅ Paid</t>
        </is>
      </c>
      <c r="J375" s="383" t="inlineStr">
        <is>
          <t>No bill</t>
        </is>
      </c>
    </row>
    <row r="376">
      <c r="B376" s="382" t="n">
        <v>46201</v>
      </c>
      <c r="C376" s="252" t="inlineStr">
        <is>
          <t>Limones (limes)</t>
        </is>
      </c>
      <c r="D376" s="253" t="inlineStr">
        <is>
          <t>Local purchase</t>
        </is>
      </c>
      <c r="E376" s="252" t="inlineStr">
        <is>
          <t>Ingredients - Fruit</t>
        </is>
      </c>
      <c r="F376" s="70" t="n">
        <v>20</v>
      </c>
      <c r="G376" s="254" t="inlineStr">
        <is>
          <t>Restaurant</t>
        </is>
      </c>
      <c r="H376" s="254" t="inlineStr">
        <is>
          <t>Cash</t>
        </is>
      </c>
      <c r="I376" s="255" t="inlineStr">
        <is>
          <t>✅ Paid</t>
        </is>
      </c>
      <c r="J376" s="383" t="inlineStr">
        <is>
          <t>No bill</t>
        </is>
      </c>
    </row>
    <row r="377">
      <c r="B377" s="382" t="n">
        <v>46201</v>
      </c>
      <c r="C377" s="248" t="inlineStr">
        <is>
          <t>Verduras variadas (vegetables)</t>
        </is>
      </c>
      <c r="D377" s="249" t="inlineStr">
        <is>
          <t>Local purchase</t>
        </is>
      </c>
      <c r="E377" s="248" t="inlineStr">
        <is>
          <t>Ingredients - Vegetables</t>
        </is>
      </c>
      <c r="F377" s="67" t="n">
        <v>211</v>
      </c>
      <c r="G377" s="250" t="inlineStr">
        <is>
          <t>Restaurant</t>
        </is>
      </c>
      <c r="H377" s="250" t="inlineStr">
        <is>
          <t>Cash</t>
        </is>
      </c>
      <c r="I377" s="251" t="inlineStr">
        <is>
          <t>✅ Paid</t>
        </is>
      </c>
      <c r="J377" s="383" t="inlineStr">
        <is>
          <t>No bill</t>
        </is>
      </c>
    </row>
    <row r="378">
      <c r="B378" s="382" t="n">
        <v>46201</v>
      </c>
      <c r="C378" s="252" t="inlineStr">
        <is>
          <t>Frutas variadas (fruit)</t>
        </is>
      </c>
      <c r="D378" s="253" t="inlineStr">
        <is>
          <t>Local purchase</t>
        </is>
      </c>
      <c r="E378" s="252" t="inlineStr">
        <is>
          <t>Ingredients - Fruit</t>
        </is>
      </c>
      <c r="F378" s="70" t="n">
        <v>324</v>
      </c>
      <c r="G378" s="254" t="inlineStr">
        <is>
          <t>Restaurant</t>
        </is>
      </c>
      <c r="H378" s="254" t="inlineStr">
        <is>
          <t>Cash</t>
        </is>
      </c>
      <c r="I378" s="255" t="inlineStr">
        <is>
          <t>✅ Paid</t>
        </is>
      </c>
      <c r="J378" s="383" t="inlineStr">
        <is>
          <t>No bill</t>
        </is>
      </c>
    </row>
    <row r="379">
      <c r="B379" s="382" t="n">
        <v>46199</v>
      </c>
      <c r="C379" s="248" t="inlineStr">
        <is>
          <t>Samu — Ayudante Week 6</t>
        </is>
      </c>
      <c r="D379" s="249" t="inlineStr">
        <is>
          <t>Payroll</t>
        </is>
      </c>
      <c r="E379" s="248" t="inlineStr">
        <is>
          <t>Staff - Salary</t>
        </is>
      </c>
      <c r="F379" s="67" t="n">
        <v>1200</v>
      </c>
      <c r="G379" s="250" t="inlineStr">
        <is>
          <t>Restaurant</t>
        </is>
      </c>
      <c r="H379" s="250" t="inlineStr">
        <is>
          <t>Cash</t>
        </is>
      </c>
      <c r="I379" s="251" t="inlineStr">
        <is>
          <t>✅ Paid</t>
        </is>
      </c>
      <c r="J379" s="383" t="inlineStr">
        <is>
          <t>Week 6 salary, paid Friday</t>
        </is>
      </c>
    </row>
    <row r="380">
      <c r="B380" s="382" t="n">
        <v>46200</v>
      </c>
      <c r="C380" s="252" t="inlineStr">
        <is>
          <t>John — Head Chef Week 6 (full week)</t>
        </is>
      </c>
      <c r="D380" s="253" t="inlineStr">
        <is>
          <t>Payroll</t>
        </is>
      </c>
      <c r="E380" s="252" t="inlineStr">
        <is>
          <t>Staff - Salary</t>
        </is>
      </c>
      <c r="F380" s="70" t="n">
        <v>3750</v>
      </c>
      <c r="G380" s="254" t="inlineStr">
        <is>
          <t>Restaurant</t>
        </is>
      </c>
      <c r="H380" s="254" t="inlineStr">
        <is>
          <t>Cash</t>
        </is>
      </c>
      <c r="I380" s="255" t="inlineStr">
        <is>
          <t>✅ Paid</t>
        </is>
      </c>
      <c r="J380" s="383" t="inlineStr">
        <is>
          <t>Week 6 salary, paid Saturday</t>
        </is>
      </c>
    </row>
    <row r="381">
      <c r="B381" s="382" t="n">
        <v>46200</v>
      </c>
      <c r="C381" s="248" t="inlineStr">
        <is>
          <t>Duvi/Debi — Limpieza Week 6</t>
        </is>
      </c>
      <c r="D381" s="249" t="inlineStr">
        <is>
          <t>Payroll</t>
        </is>
      </c>
      <c r="E381" s="248" t="inlineStr">
        <is>
          <t>Staff - Salary</t>
        </is>
      </c>
      <c r="F381" s="67" t="n">
        <v>1500</v>
      </c>
      <c r="G381" s="250" t="inlineStr">
        <is>
          <t>Restaurant</t>
        </is>
      </c>
      <c r="H381" s="250" t="inlineStr">
        <is>
          <t>Cash</t>
        </is>
      </c>
      <c r="I381" s="251" t="inlineStr">
        <is>
          <t>✅ Paid</t>
        </is>
      </c>
      <c r="J381" s="383" t="inlineStr">
        <is>
          <t>Week 6 salary, paid Saturday</t>
        </is>
      </c>
    </row>
    <row r="382">
      <c r="B382" s="382" t="n">
        <v>46201</v>
      </c>
      <c r="C382" s="252" t="inlineStr">
        <is>
          <t>Towel (kitchen)</t>
        </is>
      </c>
      <c r="D382" s="253" t="inlineStr">
        <is>
          <t>Tienda China (variety store)</t>
        </is>
      </c>
      <c r="E382" s="252" t="inlineStr">
        <is>
          <t>Kitchen Supplies</t>
        </is>
      </c>
      <c r="F382" s="70" t="n">
        <v>69</v>
      </c>
      <c r="G382" s="254" t="inlineStr">
        <is>
          <t>Restaurant</t>
        </is>
      </c>
      <c r="H382" s="254" t="inlineStr">
        <is>
          <t>Cash</t>
        </is>
      </c>
      <c r="I382" s="255" t="inlineStr">
        <is>
          <t>✅ Paid</t>
        </is>
      </c>
      <c r="J382" s="383" t="inlineStr">
        <is>
          <t>No bill; bought from small china/variety store</t>
        </is>
      </c>
    </row>
    <row r="383">
      <c r="B383" s="382" t="n">
        <v>46202</v>
      </c>
      <c r="C383" s="248" t="inlineStr">
        <is>
          <t>Tortillas blancas 3.965kg + Rosca de nuez</t>
        </is>
      </c>
      <c r="D383" s="249" t="inlineStr">
        <is>
          <t>Chedraui Paseo</t>
        </is>
      </c>
      <c r="E383" s="248" t="inlineStr">
        <is>
          <t>Ingredients - Bread</t>
        </is>
      </c>
      <c r="F383" s="67" t="n">
        <v>144.51</v>
      </c>
      <c r="G383" s="250" t="inlineStr">
        <is>
          <t>Restaurant</t>
        </is>
      </c>
      <c r="H383" s="250" t="inlineStr">
        <is>
          <t>Card</t>
        </is>
      </c>
      <c r="I383" s="251" t="inlineStr">
        <is>
          <t>✅ Paid</t>
        </is>
      </c>
      <c r="J383" s="383" t="inlineStr">
        <is>
          <t>Debito BBVA 3982; digital ticket FOLIO ...0050; IEPS 8% on rosca</t>
        </is>
      </c>
    </row>
    <row r="384">
      <c r="B384" s="382" t="n">
        <v>46202</v>
      </c>
      <c r="C384" s="252" t="inlineStr">
        <is>
          <t>Pechuga (chicken breast) ~4.29kg @ $115/kg</t>
        </is>
      </c>
      <c r="D384" s="253" t="inlineStr">
        <is>
          <t>Oh lele / Local</t>
        </is>
      </c>
      <c r="E384" s="252" t="inlineStr">
        <is>
          <t>Ingredients - Meat</t>
        </is>
      </c>
      <c r="F384" s="70" t="n">
        <v>493</v>
      </c>
      <c r="G384" s="254" t="inlineStr">
        <is>
          <t>Restaurant</t>
        </is>
      </c>
      <c r="H384" s="254" t="inlineStr">
        <is>
          <t>Cash</t>
        </is>
      </c>
      <c r="I384" s="255" t="inlineStr">
        <is>
          <t>✅ Paid</t>
        </is>
      </c>
      <c r="J384" s="383" t="inlineStr">
        <is>
          <t>Nota de remision (Loka Cafe); ticket total 967 (pechuga+milanesa)</t>
        </is>
      </c>
    </row>
    <row r="385">
      <c r="B385" s="382" t="n">
        <v>46202</v>
      </c>
      <c r="C385" s="248" t="inlineStr">
        <is>
          <t>Milanesa ~3.79kg @ $125/kg</t>
        </is>
      </c>
      <c r="D385" s="249" t="inlineStr">
        <is>
          <t>Oh lele / Local</t>
        </is>
      </c>
      <c r="E385" s="248" t="inlineStr">
        <is>
          <t>Ingredients - Meat</t>
        </is>
      </c>
      <c r="F385" s="67" t="n">
        <v>474</v>
      </c>
      <c r="G385" s="250" t="inlineStr">
        <is>
          <t>Restaurant</t>
        </is>
      </c>
      <c r="H385" s="250" t="inlineStr">
        <is>
          <t>Cash</t>
        </is>
      </c>
      <c r="I385" s="251" t="inlineStr">
        <is>
          <t>✅ Paid</t>
        </is>
      </c>
      <c r="J385" s="383" t="inlineStr">
        <is>
          <t>Nota de remision (Loka Cafe); same ticket</t>
        </is>
      </c>
    </row>
    <row r="386">
      <c r="B386" s="382" t="n">
        <v>46202</v>
      </c>
      <c r="C386" s="252" t="inlineStr">
        <is>
          <t>Frijol pinto a granel x2</t>
        </is>
      </c>
      <c r="D386" s="253" t="inlineStr">
        <is>
          <t>Molino y Condimentos La Cruz</t>
        </is>
      </c>
      <c r="E386" s="252" t="inlineStr">
        <is>
          <t>Ingredients - Pantry</t>
        </is>
      </c>
      <c r="F386" s="70" t="n">
        <v>56</v>
      </c>
      <c r="G386" s="254" t="inlineStr">
        <is>
          <t>Restaurant</t>
        </is>
      </c>
      <c r="H386" s="254" t="inlineStr">
        <is>
          <t>Cash</t>
        </is>
      </c>
      <c r="I386" s="255" t="inlineStr">
        <is>
          <t>✅ Paid</t>
        </is>
      </c>
      <c r="J386" s="383" t="inlineStr">
        <is>
          <t>Nota 203548; efectivo</t>
        </is>
      </c>
    </row>
    <row r="387">
      <c r="B387" s="382" t="n">
        <v>46202</v>
      </c>
      <c r="C387" s="248" t="inlineStr">
        <is>
          <t>Jamon Americano San Antonio 2.055kg @ $86.50/kg</t>
        </is>
      </c>
      <c r="D387" s="249" t="inlineStr">
        <is>
          <t>San Juan Salchichonerias</t>
        </is>
      </c>
      <c r="E387" s="248" t="inlineStr">
        <is>
          <t>Ingredients - Meat</t>
        </is>
      </c>
      <c r="F387" s="67" t="n">
        <v>177.76</v>
      </c>
      <c r="G387" s="250" t="inlineStr">
        <is>
          <t>Restaurant</t>
        </is>
      </c>
      <c r="H387" s="250" t="inlineStr">
        <is>
          <t>Card</t>
        </is>
      </c>
      <c r="I387" s="251" t="inlineStr">
        <is>
          <t>✅ Paid</t>
        </is>
      </c>
      <c r="J387" s="383" t="inlineStr">
        <is>
          <t>Debito Mastercard 3982; ticket 0254555; net of 17.47 desc</t>
        </is>
      </c>
    </row>
    <row r="388">
      <c r="B388" s="382" t="n">
        <v>46202</v>
      </c>
      <c r="C388" s="252" t="inlineStr">
        <is>
          <t>Arrachera 1.05kg @ $270/kg</t>
        </is>
      </c>
      <c r="D388" s="253" t="inlineStr">
        <is>
          <t>Kamy Karnes</t>
        </is>
      </c>
      <c r="E388" s="252" t="inlineStr">
        <is>
          <t>Ingredients - Meat</t>
        </is>
      </c>
      <c r="F388" s="70" t="n">
        <v>284</v>
      </c>
      <c r="G388" s="254" t="inlineStr">
        <is>
          <t>Restaurant</t>
        </is>
      </c>
      <c r="H388" s="254" t="inlineStr">
        <is>
          <t>Cash</t>
        </is>
      </c>
      <c r="I388" s="255" t="inlineStr">
        <is>
          <t>✅ Paid</t>
        </is>
      </c>
      <c r="J388" s="383" t="inlineStr">
        <is>
          <t>Nota de venta 0971; method assumed Cash -- CONFIRM if card</t>
        </is>
      </c>
    </row>
    <row r="389">
      <c r="B389" s="382" t="n">
        <v>46202</v>
      </c>
      <c r="C389" s="248" t="inlineStr">
        <is>
          <t>Bistec + tocino</t>
        </is>
      </c>
      <c r="D389" s="249" t="inlineStr">
        <is>
          <t>Miscelanea LC La Cruz</t>
        </is>
      </c>
      <c r="E389" s="248" t="inlineStr">
        <is>
          <t>Ingredients - Meat</t>
        </is>
      </c>
      <c r="F389" s="67" t="n">
        <v>415</v>
      </c>
      <c r="G389" s="250" t="inlineStr">
        <is>
          <t>Restaurant</t>
        </is>
      </c>
      <c r="H389" s="250" t="inlineStr">
        <is>
          <t>Card</t>
        </is>
      </c>
      <c r="I389" s="251" t="inlineStr">
        <is>
          <t>✅ Paid</t>
        </is>
      </c>
      <c r="J389" s="383" t="inlineStr">
        <is>
          <t>Meat portion of Getnet card charge 1054.00 (Aut 236713, **3982): bistec ~292 + tocino ~123; papas portion logged separately</t>
        </is>
      </c>
    </row>
    <row r="390">
      <c r="B390" s="382" t="n">
        <v>46202</v>
      </c>
      <c r="C390" s="252" t="inlineStr">
        <is>
          <t>Papas a la francesa (frozen French fries)</t>
        </is>
      </c>
      <c r="D390" s="253" t="inlineStr">
        <is>
          <t>Miscelanea LC La Cruz</t>
        </is>
      </c>
      <c r="E390" s="252" t="inlineStr">
        <is>
          <t>Ingredients - Pantry</t>
        </is>
      </c>
      <c r="F390" s="70" t="n">
        <v>639</v>
      </c>
      <c r="G390" s="254" t="inlineStr">
        <is>
          <t>Restaurant</t>
        </is>
      </c>
      <c r="H390" s="254" t="inlineStr">
        <is>
          <t>Card</t>
        </is>
      </c>
      <c r="I390" s="255" t="inlineStr">
        <is>
          <t>✅ Paid</t>
        </is>
      </c>
      <c r="J390" s="383" t="inlineStr">
        <is>
          <t>Frozen French fries; portion of Getnet card charge 1054.00 (Aut 236713, **3982); the ~639 item on the LC remision</t>
        </is>
      </c>
    </row>
    <row r="391">
      <c r="B391" s="382" t="n">
        <v>46173</v>
      </c>
      <c r="C391" s="248" t="inlineStr">
        <is>
          <t>Renta media mensualidad Mayo 2026 (duenos anteriores)</t>
        </is>
      </c>
      <c r="D391" s="249" t="inlineStr">
        <is>
          <t>Previous Owners (landlord)</t>
        </is>
      </c>
      <c r="E391" s="248" t="inlineStr">
        <is>
          <t>Rent</t>
        </is>
      </c>
      <c r="F391" s="67" t="n">
        <v>10000</v>
      </c>
      <c r="G391" s="250" t="inlineStr">
        <is>
          <t>Lohith</t>
        </is>
      </c>
      <c r="H391" s="250" t="inlineStr">
        <is>
          <t>Personal</t>
        </is>
      </c>
      <c r="I391" s="251" t="inlineStr">
        <is>
          <t>✅ Paid</t>
        </is>
      </c>
      <c r="J391" s="383" t="inlineStr">
        <is>
          <t>May half-month rent (partial first month); transferred by Lohith to previous owners; reimbursable</t>
        </is>
      </c>
    </row>
    <row r="392">
      <c r="B392" s="382" t="n">
        <v>46203</v>
      </c>
      <c r="C392" s="252" t="inlineStr">
        <is>
          <t>Pan Dulces (no bill receipt)</t>
        </is>
      </c>
      <c r="D392" s="253" t="inlineStr">
        <is>
          <t>No bill</t>
        </is>
      </c>
      <c r="E392" s="252" t="inlineStr">
        <is>
          <t>Ingredients - Bread</t>
        </is>
      </c>
      <c r="F392" s="70" t="n">
        <v>96</v>
      </c>
      <c r="G392" s="254" t="inlineStr">
        <is>
          <t>Restaurant</t>
        </is>
      </c>
      <c r="H392" s="254" t="inlineStr">
        <is>
          <t>Cash</t>
        </is>
      </c>
      <c r="I392" s="255" t="inlineStr">
        <is>
          <t>✅ Paid</t>
        </is>
      </c>
      <c r="J392" s="383" t="inlineStr">
        <is>
          <t>No receipt available; cash purchase</t>
        </is>
      </c>
    </row>
    <row r="393">
      <c r="B393" s="382" t="n">
        <v>46203</v>
      </c>
      <c r="C393" s="248" t="inlineStr">
        <is>
          <t>Tortillas blancas 2.055kg + Bolillo x6</t>
        </is>
      </c>
      <c r="D393" s="249" t="inlineStr">
        <is>
          <t>Chedraui Paseo</t>
        </is>
      </c>
      <c r="E393" s="248" t="inlineStr">
        <is>
          <t>Ingredients - Bread</t>
        </is>
      </c>
      <c r="F393" s="67" t="n">
        <v>43.17</v>
      </c>
      <c r="G393" s="250" t="inlineStr">
        <is>
          <t>Restaurant</t>
        </is>
      </c>
      <c r="H393" s="250" t="inlineStr">
        <is>
          <t>Card</t>
        </is>
      </c>
      <c r="I393" s="251" t="inlineStr">
        <is>
          <t>✅ Paid</t>
        </is>
      </c>
      <c r="J393" s="383" t="inlineStr">
        <is>
          <t>Debito BBVA; ticket 30-Jun 08:38</t>
        </is>
      </c>
    </row>
    <row r="394">
      <c r="B394" s="382" t="n">
        <v>46203</v>
      </c>
      <c r="C394" s="252" t="inlineStr">
        <is>
          <t>Pan hamburguesa ajonjoli x24, pan caja arandano 900g x4, chapata x24</t>
        </is>
      </c>
      <c r="D394" s="253" t="inlineStr">
        <is>
          <t>Productos Real La Cruz</t>
        </is>
      </c>
      <c r="E394" s="252" t="inlineStr">
        <is>
          <t>Ingredients - Bread</t>
        </is>
      </c>
      <c r="F394" s="70" t="n">
        <v>728</v>
      </c>
      <c r="G394" s="254" t="inlineStr">
        <is>
          <t>Restaurant</t>
        </is>
      </c>
      <c r="H394" s="254" t="inlineStr">
        <is>
          <t>Card</t>
        </is>
      </c>
      <c r="I394" s="255" t="inlineStr">
        <is>
          <t>✅ Paid</t>
        </is>
      </c>
      <c r="J394" s="383" t="inlineStr">
        <is>
          <t>Tarjeta debito; base $740 - $12 desc = $728; folio 4423</t>
        </is>
      </c>
    </row>
    <row r="395">
      <c r="B395" s="382" t="n">
        <v>46203</v>
      </c>
      <c r="C395" s="248" t="inlineStr">
        <is>
          <t>Queso Gouda Menona 2.06kg @ $135/kg</t>
        </is>
      </c>
      <c r="D395" s="249" t="inlineStr">
        <is>
          <t>La Bodega del Buen Queso</t>
        </is>
      </c>
      <c r="E395" s="248" t="inlineStr">
        <is>
          <t>Ingredients - Dairy</t>
        </is>
      </c>
      <c r="F395" s="67" t="n">
        <v>278.1</v>
      </c>
      <c r="G395" s="250" t="inlineStr">
        <is>
          <t>Restaurant</t>
        </is>
      </c>
      <c r="H395" s="250" t="inlineStr">
        <is>
          <t>Cash</t>
        </is>
      </c>
      <c r="I395" s="251" t="inlineStr">
        <is>
          <t>✅ Paid</t>
        </is>
      </c>
      <c r="J395" s="383" t="inlineStr">
        <is>
          <t>Efectivo; nota 0032709</t>
        </is>
      </c>
    </row>
    <row r="396">
      <c r="B396" s="382" t="n">
        <v>46203</v>
      </c>
      <c r="C396" s="252" t="inlineStr">
        <is>
          <t>Miscelanea LC remision (2 lineas manuscritas ilegibles)</t>
        </is>
      </c>
      <c r="D396" s="253" t="inlineStr">
        <is>
          <t>Miscelanea LC La Cruz</t>
        </is>
      </c>
      <c r="E396" s="252" t="inlineStr">
        <is>
          <t>Ingredients - Other</t>
        </is>
      </c>
      <c r="F396" s="70" t="n">
        <v>436</v>
      </c>
      <c r="G396" s="254" t="inlineStr">
        <is>
          <t>Restaurant</t>
        </is>
      </c>
      <c r="H396" s="254" t="inlineStr">
        <is>
          <t>Card</t>
        </is>
      </c>
      <c r="I396" s="255" t="inlineStr">
        <is>
          <t>✅ Paid</t>
        </is>
      </c>
      <c r="J396" s="383" t="inlineStr">
        <is>
          <t>Getnet $436 autoritativo (Aut 785588, 11:38); lineas ~$197 + 'CH Alto' ~$239 ilegibles - confirmar articulos</t>
        </is>
      </c>
    </row>
    <row r="397">
      <c r="B397" s="382" t="n">
        <v>46204</v>
      </c>
      <c r="C397" s="248" t="inlineStr">
        <is>
          <t>Aceite La Posada 800 x2</t>
        </is>
      </c>
      <c r="D397" s="249" t="inlineStr">
        <is>
          <t>OXXO</t>
        </is>
      </c>
      <c r="E397" s="248" t="inlineStr">
        <is>
          <t>Ingredients - Pantry</t>
        </is>
      </c>
      <c r="F397" s="67" t="n">
        <v>56</v>
      </c>
      <c r="G397" s="250" t="inlineStr">
        <is>
          <t>Restaurant</t>
        </is>
      </c>
      <c r="H397" s="250" t="inlineStr">
        <is>
          <t>Cash</t>
        </is>
      </c>
      <c r="I397" s="251" t="inlineStr">
        <is>
          <t>✅ Paid</t>
        </is>
      </c>
      <c r="J397" s="383" t="inlineStr">
        <is>
          <t>OXXO 09:14; cooking oil</t>
        </is>
      </c>
    </row>
    <row r="398">
      <c r="B398" s="382" t="n">
        <v>46204</v>
      </c>
      <c r="C398" s="252" t="inlineStr">
        <is>
          <t>Horchata/Jamaica/Limonada 1L x6 c/u (18 pzas)</t>
        </is>
      </c>
      <c r="D398" s="253" t="inlineStr">
        <is>
          <t>Casa Reca</t>
        </is>
      </c>
      <c r="E398" s="252" t="inlineStr">
        <is>
          <t>Ingredients - Beverages</t>
        </is>
      </c>
      <c r="F398" s="70" t="n">
        <v>450</v>
      </c>
      <c r="G398" s="254" t="inlineStr">
        <is>
          <t>Restaurant</t>
        </is>
      </c>
      <c r="H398" s="254" t="inlineStr">
        <is>
          <t>Cash</t>
        </is>
      </c>
      <c r="I398" s="255" t="inlineStr">
        <is>
          <t>✅ Paid</t>
        </is>
      </c>
      <c r="J398" s="383" t="inlineStr">
        <is>
          <t>Nota venta ruta preventa Casa Reca; facturado a 'CAFE OH LELE' = nombre anterior de LOKA (OK); efectivo confirmado</t>
        </is>
      </c>
    </row>
    <row r="399">
      <c r="B399" s="382" t="n">
        <v>46204</v>
      </c>
      <c r="C399" s="248" t="inlineStr">
        <is>
          <t>Salchicha nortena p/asar 1kg</t>
        </is>
      </c>
      <c r="D399" s="249" t="inlineStr">
        <is>
          <t>San Juan Salchichonerias</t>
        </is>
      </c>
      <c r="E399" s="248" t="inlineStr">
        <is>
          <t>Ingredients - Meat</t>
        </is>
      </c>
      <c r="F399" s="67" t="n">
        <v>73</v>
      </c>
      <c r="G399" s="250" t="inlineStr">
        <is>
          <t>Restaurant</t>
        </is>
      </c>
      <c r="H399" s="250" t="inlineStr">
        <is>
          <t>Card</t>
        </is>
      </c>
      <c r="I399" s="251" t="inlineStr">
        <is>
          <t>✅ Paid</t>
        </is>
      </c>
      <c r="J399" s="383" t="inlineStr">
        <is>
          <t>Ticket 0255365 La Cruz 14:49; tarjeta Banregio</t>
        </is>
      </c>
    </row>
    <row r="400">
      <c r="B400" s="382" t="n">
        <v>46204</v>
      </c>
      <c r="C400" s="252" t="inlineStr">
        <is>
          <t>Tortillas blancas x2</t>
        </is>
      </c>
      <c r="D400" s="253" t="inlineStr">
        <is>
          <t>Chedraui Paseo</t>
        </is>
      </c>
      <c r="E400" s="252" t="inlineStr">
        <is>
          <t>Ingredients - Bread</t>
        </is>
      </c>
      <c r="F400" s="70" t="n">
        <v>55.93</v>
      </c>
      <c r="G400" s="254" t="inlineStr">
        <is>
          <t>Restaurant</t>
        </is>
      </c>
      <c r="H400" s="254" t="inlineStr">
        <is>
          <t>Card</t>
        </is>
      </c>
      <c r="I400" s="255" t="inlineStr">
        <is>
          <t>✅ Paid</t>
        </is>
      </c>
      <c r="J400" s="383" t="inlineStr">
        <is>
          <t>Debito BBVA; 08:55</t>
        </is>
      </c>
    </row>
    <row r="401">
      <c r="B401" s="382" t="n">
        <v>46204</v>
      </c>
      <c r="C401" s="248" t="inlineStr">
        <is>
          <t>Muslo (pollo) 5.23kg @ $50/kg</t>
        </is>
      </c>
      <c r="D401" s="249" t="inlineStr">
        <is>
          <t>Remision Loka Cafe</t>
        </is>
      </c>
      <c r="E401" s="248" t="inlineStr">
        <is>
          <t>Ingredients - Meat</t>
        </is>
      </c>
      <c r="F401" s="67" t="n">
        <v>262</v>
      </c>
      <c r="G401" s="250" t="inlineStr">
        <is>
          <t>Restaurant</t>
        </is>
      </c>
      <c r="H401" s="250" t="inlineStr">
        <is>
          <t>Cash</t>
        </is>
      </c>
      <c r="I401" s="251" t="inlineStr">
        <is>
          <t>✅ Paid</t>
        </is>
      </c>
      <c r="J401" s="383" t="inlineStr">
        <is>
          <t>Nota remision manuscrita; 5.23x50=261.50, total escrito $262; metodo no confirmado</t>
        </is>
      </c>
    </row>
    <row r="402">
      <c r="B402" s="382" t="n">
        <v>46204</v>
      </c>
      <c r="C402" s="252" t="inlineStr">
        <is>
          <t>Rosca chocolate base + salchicha p/asar 800 x2</t>
        </is>
      </c>
      <c r="D402" s="253" t="inlineStr">
        <is>
          <t>H-E-B</t>
        </is>
      </c>
      <c r="E402" s="252" t="inlineStr">
        <is>
          <t>Ingredients - Other</t>
        </is>
      </c>
      <c r="F402" s="70" t="n">
        <v>246.8</v>
      </c>
      <c r="G402" s="254" t="inlineStr">
        <is>
          <t>Restaurant</t>
        </is>
      </c>
      <c r="H402" s="254" t="inlineStr">
        <is>
          <t>Card</t>
        </is>
      </c>
      <c r="I402" s="255" t="inlineStr">
        <is>
          <t>✅ Paid</t>
        </is>
      </c>
      <c r="J402" s="383" t="inlineStr">
        <is>
          <t>Cuenta tarjeta ***3982; rosca $105 + salchicha $141.80; incl IEPS</t>
        </is>
      </c>
    </row>
    <row r="403">
      <c r="B403" s="382" t="n">
        <v>46204</v>
      </c>
      <c r="C403" s="248" t="inlineStr">
        <is>
          <t>Aceite La Posada 800 x12</t>
        </is>
      </c>
      <c r="D403" s="249" t="inlineStr">
        <is>
          <t>OXXO</t>
        </is>
      </c>
      <c r="E403" s="248" t="inlineStr">
        <is>
          <t>Ingredients - Pantry</t>
        </is>
      </c>
      <c r="F403" s="67" t="n">
        <v>336</v>
      </c>
      <c r="G403" s="250" t="inlineStr">
        <is>
          <t>Restaurant</t>
        </is>
      </c>
      <c r="H403" s="250" t="inlineStr">
        <is>
          <t>Card</t>
        </is>
      </c>
      <c r="I403" s="251" t="inlineStr">
        <is>
          <t>✅ Paid</t>
        </is>
      </c>
      <c r="J403" s="383" t="inlineStr">
        <is>
          <t>BBVA debito ML ***3982 AUT 922070; 18:35; cooking oil</t>
        </is>
      </c>
    </row>
    <row r="404">
      <c r="B404" s="382" t="n">
        <v>46204</v>
      </c>
      <c r="C404" s="252" t="inlineStr">
        <is>
          <t>Pork Belly</t>
        </is>
      </c>
      <c r="D404" s="253" t="inlineStr">
        <is>
          <t>No bill</t>
        </is>
      </c>
      <c r="E404" s="252" t="inlineStr">
        <is>
          <t>Ingredients - Meat</t>
        </is>
      </c>
      <c r="F404" s="70" t="n">
        <v>355</v>
      </c>
      <c r="G404" s="254" t="inlineStr">
        <is>
          <t>Restaurant</t>
        </is>
      </c>
      <c r="H404" s="254" t="inlineStr">
        <is>
          <t>Cash</t>
        </is>
      </c>
      <c r="I404" s="255" t="inlineStr">
        <is>
          <t>✅ Paid</t>
        </is>
      </c>
      <c r="J404" s="383" t="inlineStr">
        <is>
          <t>No receipt; cash purchase</t>
        </is>
      </c>
    </row>
    <row r="405">
      <c r="B405" s="382" t="n">
        <v>46204</v>
      </c>
      <c r="C405" s="248" t="inlineStr">
        <is>
          <t>Carne molida</t>
        </is>
      </c>
      <c r="D405" s="249" t="inlineStr">
        <is>
          <t>No bill</t>
        </is>
      </c>
      <c r="E405" s="248" t="inlineStr">
        <is>
          <t>Ingredients - Meat</t>
        </is>
      </c>
      <c r="F405" s="67" t="n">
        <v>271</v>
      </c>
      <c r="G405" s="250" t="inlineStr">
        <is>
          <t>Restaurant</t>
        </is>
      </c>
      <c r="H405" s="250" t="inlineStr">
        <is>
          <t>Cash</t>
        </is>
      </c>
      <c r="I405" s="251" t="inlineStr">
        <is>
          <t>✅ Paid</t>
        </is>
      </c>
      <c r="J405" s="383" t="inlineStr">
        <is>
          <t>No receipt; cash purchase</t>
        </is>
      </c>
    </row>
    <row r="406">
      <c r="B406" s="382" t="n">
        <v>46204</v>
      </c>
      <c r="C406" s="252" t="inlineStr">
        <is>
          <t>Agua Ciel</t>
        </is>
      </c>
      <c r="D406" s="253" t="inlineStr">
        <is>
          <t>No bill</t>
        </is>
      </c>
      <c r="E406" s="252" t="inlineStr">
        <is>
          <t>Ingredients - Beverages</t>
        </is>
      </c>
      <c r="F406" s="70" t="n">
        <v>49.5</v>
      </c>
      <c r="G406" s="254" t="inlineStr">
        <is>
          <t>Restaurant</t>
        </is>
      </c>
      <c r="H406" s="254" t="inlineStr">
        <is>
          <t>Cash</t>
        </is>
      </c>
      <c r="I406" s="255" t="inlineStr">
        <is>
          <t>✅ Paid</t>
        </is>
      </c>
      <c r="J406" s="383" t="inlineStr">
        <is>
          <t>No receipt; cash purchase</t>
        </is>
      </c>
    </row>
    <row r="407">
      <c r="B407" s="382" t="n">
        <v>46204</v>
      </c>
      <c r="C407" s="248" t="inlineStr">
        <is>
          <t>Agua natural</t>
        </is>
      </c>
      <c r="D407" s="249" t="inlineStr">
        <is>
          <t>No bill</t>
        </is>
      </c>
      <c r="E407" s="248" t="inlineStr">
        <is>
          <t>Ingredients - Beverages</t>
        </is>
      </c>
      <c r="F407" s="67" t="n">
        <v>36</v>
      </c>
      <c r="G407" s="250" t="inlineStr">
        <is>
          <t>Restaurant</t>
        </is>
      </c>
      <c r="H407" s="250" t="inlineStr">
        <is>
          <t>Cash</t>
        </is>
      </c>
      <c r="I407" s="251" t="inlineStr">
        <is>
          <t>✅ Paid</t>
        </is>
      </c>
      <c r="J407" s="383" t="inlineStr">
        <is>
          <t>No receipt; cash purchase</t>
        </is>
      </c>
    </row>
    <row r="408">
      <c r="B408" s="382" t="n">
        <v>46204</v>
      </c>
      <c r="C408" s="252" t="inlineStr">
        <is>
          <t>Hielos</t>
        </is>
      </c>
      <c r="D408" s="253" t="inlineStr">
        <is>
          <t>No bill</t>
        </is>
      </c>
      <c r="E408" s="252" t="inlineStr">
        <is>
          <t>Kitchen Supplies</t>
        </is>
      </c>
      <c r="F408" s="70" t="n">
        <v>150</v>
      </c>
      <c r="G408" s="254" t="inlineStr">
        <is>
          <t>Restaurant</t>
        </is>
      </c>
      <c r="H408" s="254" t="inlineStr">
        <is>
          <t>Cash</t>
        </is>
      </c>
      <c r="I408" s="255" t="inlineStr">
        <is>
          <t>✅ Paid</t>
        </is>
      </c>
      <c r="J408" s="383" t="inlineStr">
        <is>
          <t>No receipt; cash purchase</t>
        </is>
      </c>
    </row>
    <row r="409">
      <c r="B409" s="382" t="n">
        <v>46205</v>
      </c>
      <c r="C409" s="248" t="inlineStr">
        <is>
          <t>Tomatoes</t>
        </is>
      </c>
      <c r="D409" s="249" t="inlineStr">
        <is>
          <t>No bill</t>
        </is>
      </c>
      <c r="E409" s="248" t="inlineStr">
        <is>
          <t>Ingredients - Vegetables</t>
        </is>
      </c>
      <c r="F409" s="67" t="n">
        <v>31</v>
      </c>
      <c r="G409" s="250" t="inlineStr">
        <is>
          <t>Restaurant</t>
        </is>
      </c>
      <c r="H409" s="250" t="inlineStr">
        <is>
          <t>Cash</t>
        </is>
      </c>
      <c r="I409" s="251" t="inlineStr">
        <is>
          <t>✅ Paid</t>
        </is>
      </c>
      <c r="J409" s="383" t="inlineStr">
        <is>
          <t>No receipt; cash purchase</t>
        </is>
      </c>
    </row>
    <row r="410">
      <c r="B410" s="382" t="n">
        <v>46205</v>
      </c>
      <c r="C410" s="252" t="inlineStr">
        <is>
          <t>Bistec puerco (pork steak)</t>
        </is>
      </c>
      <c r="D410" s="253" t="inlineStr">
        <is>
          <t>No bill</t>
        </is>
      </c>
      <c r="E410" s="252" t="inlineStr">
        <is>
          <t>Ingredients - Meat</t>
        </is>
      </c>
      <c r="F410" s="70" t="n">
        <v>287</v>
      </c>
      <c r="G410" s="254" t="inlineStr">
        <is>
          <t>Restaurant</t>
        </is>
      </c>
      <c r="H410" s="254" t="inlineStr">
        <is>
          <t>Cash</t>
        </is>
      </c>
      <c r="I410" s="255" t="inlineStr">
        <is>
          <t>✅ Paid</t>
        </is>
      </c>
      <c r="J410" s="383" t="inlineStr">
        <is>
          <t>No receipt; cash purchase</t>
        </is>
      </c>
    </row>
    <row r="411">
      <c r="B411" s="382" t="n">
        <v>46206</v>
      </c>
      <c r="C411" s="248" t="inlineStr">
        <is>
          <t>Muslo (pollo) 3.79kg @ $50/kg</t>
        </is>
      </c>
      <c r="D411" s="249" t="inlineStr">
        <is>
          <t>Remision Loka Cafe</t>
        </is>
      </c>
      <c r="E411" s="248" t="inlineStr">
        <is>
          <t>Ingredients - Meat</t>
        </is>
      </c>
      <c r="F411" s="67" t="n">
        <v>190</v>
      </c>
      <c r="G411" s="250" t="inlineStr">
        <is>
          <t>Restaurant</t>
        </is>
      </c>
      <c r="H411" s="250" t="inlineStr">
        <is>
          <t>Cash</t>
        </is>
      </c>
      <c r="I411" s="251" t="inlineStr">
        <is>
          <t>✅ Paid</t>
        </is>
      </c>
      <c r="J411" s="383" t="inlineStr">
        <is>
          <t>Nota remision manuscrita; 3.79x50; efectivo</t>
        </is>
      </c>
    </row>
    <row r="412">
      <c r="B412" s="382" t="n">
        <v>46206</v>
      </c>
      <c r="C412" s="252" t="inlineStr">
        <is>
          <t>Muslo (pollo) 2.30kg @ $50/kg</t>
        </is>
      </c>
      <c r="D412" s="253" t="inlineStr">
        <is>
          <t>Remision</t>
        </is>
      </c>
      <c r="E412" s="252" t="inlineStr">
        <is>
          <t>Ingredients - Meat</t>
        </is>
      </c>
      <c r="F412" s="70" t="n">
        <v>115</v>
      </c>
      <c r="G412" s="254" t="inlineStr">
        <is>
          <t>Restaurant</t>
        </is>
      </c>
      <c r="H412" s="254" t="inlineStr">
        <is>
          <t>Cash</t>
        </is>
      </c>
      <c r="I412" s="255" t="inlineStr">
        <is>
          <t>✅ Paid</t>
        </is>
      </c>
      <c r="J412" s="383" t="inlineStr">
        <is>
          <t>Nota remision manuscrita; 2.30x50=115; efectivo</t>
        </is>
      </c>
    </row>
    <row r="413">
      <c r="B413" s="382" t="n">
        <v>46206</v>
      </c>
      <c r="C413" s="248" t="inlineStr">
        <is>
          <t>Mayo Real x2 + Leche entera (Sam's Club)</t>
        </is>
      </c>
      <c r="D413" s="249" t="inlineStr">
        <is>
          <t>Sam's Club</t>
        </is>
      </c>
      <c r="E413" s="248" t="inlineStr">
        <is>
          <t>Supermarket/General</t>
        </is>
      </c>
      <c r="F413" s="67" t="n">
        <v>810</v>
      </c>
      <c r="G413" s="250" t="inlineStr">
        <is>
          <t>Restaurant</t>
        </is>
      </c>
      <c r="H413" s="250" t="inlineStr">
        <is>
          <t>Card</t>
        </is>
      </c>
      <c r="I413" s="251" t="inlineStr">
        <is>
          <t>✅ Paid</t>
        </is>
      </c>
      <c r="J413" s="383" t="inlineStr">
        <is>
          <t>Debito Mastercard Bancomer AUT 733600; mayo $544.24 + leche $284.39 - desc $18.63 = 810</t>
        </is>
      </c>
    </row>
    <row r="414">
      <c r="B414" s="382" t="n">
        <v>46206</v>
      </c>
      <c r="C414" s="252" t="inlineStr">
        <is>
          <t>Filete mojarra de mar 3.14kg @ $140/kg</t>
        </is>
      </c>
      <c r="D414" s="253" t="inlineStr">
        <is>
          <t>Brisa del Mar</t>
        </is>
      </c>
      <c r="E414" s="252" t="inlineStr">
        <is>
          <t>Ingredients - Meat &amp; Fish</t>
        </is>
      </c>
      <c r="F414" s="70" t="n">
        <v>439.6</v>
      </c>
      <c r="G414" s="254" t="inlineStr">
        <is>
          <t>Restaurant</t>
        </is>
      </c>
      <c r="H414" s="254" t="inlineStr">
        <is>
          <t>Cash</t>
        </is>
      </c>
      <c r="I414" s="255" t="inlineStr">
        <is>
          <t>✅ Paid</t>
        </is>
      </c>
      <c r="J414" s="383" t="inlineStr">
        <is>
          <t>Pescados y mariscos 08:44; metodo no impreso (asumido efectivo)</t>
        </is>
      </c>
    </row>
    <row r="415">
      <c r="B415" s="382" t="n">
        <v>46206</v>
      </c>
      <c r="C415" s="248" t="inlineStr">
        <is>
          <t>Vegetales</t>
        </is>
      </c>
      <c r="D415" s="249" t="inlineStr">
        <is>
          <t>No bill</t>
        </is>
      </c>
      <c r="E415" s="248" t="inlineStr">
        <is>
          <t>Ingredients - Vegetables</t>
        </is>
      </c>
      <c r="F415" s="67" t="n">
        <v>55</v>
      </c>
      <c r="G415" s="250" t="inlineStr">
        <is>
          <t>Restaurant</t>
        </is>
      </c>
      <c r="H415" s="250" t="inlineStr">
        <is>
          <t>Cash</t>
        </is>
      </c>
      <c r="I415" s="251" t="inlineStr">
        <is>
          <t>✅ Paid</t>
        </is>
      </c>
      <c r="J415" s="383" t="inlineStr">
        <is>
          <t>No receipt; cash purchase</t>
        </is>
      </c>
    </row>
    <row r="416">
      <c r="B416" s="382" t="n">
        <v>46206</v>
      </c>
      <c r="C416" s="252" t="inlineStr">
        <is>
          <t>Samu — Ayudante Week 7</t>
        </is>
      </c>
      <c r="D416" s="253" t="inlineStr">
        <is>
          <t>Payroll</t>
        </is>
      </c>
      <c r="E416" s="252" t="inlineStr">
        <is>
          <t>Staff - Salary</t>
        </is>
      </c>
      <c r="F416" s="70" t="n">
        <v>1200</v>
      </c>
      <c r="G416" s="254" t="inlineStr">
        <is>
          <t>Restaurant</t>
        </is>
      </c>
      <c r="H416" s="254" t="inlineStr">
        <is>
          <t>Cash</t>
        </is>
      </c>
      <c r="I416" s="255" t="inlineStr">
        <is>
          <t>✅ Paid</t>
        </is>
      </c>
      <c r="J416" s="383" t="inlineStr">
        <is>
          <t>Week 7 salary, paid Friday 03 Jul ($800 base + $400 mesero top-up)</t>
        </is>
      </c>
    </row>
    <row r="417">
      <c r="B417" s="382" t="n">
        <v>46207</v>
      </c>
      <c r="C417" s="248" t="inlineStr">
        <is>
          <t>Zanahoria 3kg, Limon 3kg, Cebolla 3kg</t>
        </is>
      </c>
      <c r="D417" s="249" t="inlineStr">
        <is>
          <t>Mi Joven</t>
        </is>
      </c>
      <c r="E417" s="248" t="inlineStr">
        <is>
          <t>Ingredients - Vegetables</t>
        </is>
      </c>
      <c r="F417" s="67" t="n">
        <v>147</v>
      </c>
      <c r="G417" s="250" t="inlineStr">
        <is>
          <t>Restaurant</t>
        </is>
      </c>
      <c r="H417" s="250" t="inlineStr">
        <is>
          <t>Cash</t>
        </is>
      </c>
      <c r="I417" s="251" t="inlineStr">
        <is>
          <t>✅ Paid</t>
        </is>
      </c>
      <c r="J417" s="383" t="inlineStr">
        <is>
          <t>Mercado de Abastos folio 21212; efectivo</t>
        </is>
      </c>
    </row>
    <row r="418">
      <c r="B418" s="382" t="n">
        <v>46207</v>
      </c>
      <c r="C418" s="252" t="inlineStr">
        <is>
          <t>Papas 6 x $35</t>
        </is>
      </c>
      <c r="D418" s="253" t="inlineStr">
        <is>
          <t>Papas San Miguel</t>
        </is>
      </c>
      <c r="E418" s="252" t="inlineStr">
        <is>
          <t>Ingredients - Vegetables</t>
        </is>
      </c>
      <c r="F418" s="70" t="n">
        <v>210</v>
      </c>
      <c r="G418" s="254" t="inlineStr">
        <is>
          <t>Restaurant</t>
        </is>
      </c>
      <c r="H418" s="254" t="inlineStr">
        <is>
          <t>Cash</t>
        </is>
      </c>
      <c r="I418" s="255" t="inlineStr">
        <is>
          <t>✅ Paid</t>
        </is>
      </c>
      <c r="J418" s="383" t="inlineStr">
        <is>
          <t>6x35=210; efectivo</t>
        </is>
      </c>
    </row>
    <row r="419">
      <c r="B419" s="382" t="n">
        <v>46207</v>
      </c>
      <c r="C419" s="248" t="inlineStr">
        <is>
          <t>Verduras/hierbas mixtas (col, espinacas, hierbabuena, champinones, betabeles, lechugas, jengibre)</t>
        </is>
      </c>
      <c r="D419" s="249" t="inlineStr">
        <is>
          <t>Hnos. Labra</t>
        </is>
      </c>
      <c r="E419" s="248" t="inlineStr">
        <is>
          <t>Ingredients - Vegetables</t>
        </is>
      </c>
      <c r="F419" s="67" t="n">
        <v>339</v>
      </c>
      <c r="G419" s="250" t="inlineStr">
        <is>
          <t>Restaurant</t>
        </is>
      </c>
      <c r="H419" s="250" t="inlineStr">
        <is>
          <t>Cash</t>
        </is>
      </c>
      <c r="I419" s="251" t="inlineStr">
        <is>
          <t>✅ Paid</t>
        </is>
      </c>
      <c r="J419" s="383" t="inlineStr">
        <is>
          <t>Suma lineas=339; efectivo</t>
        </is>
      </c>
    </row>
    <row r="420">
      <c r="B420" s="382" t="n">
        <v>46207</v>
      </c>
      <c r="C420" s="252" t="inlineStr">
        <is>
          <t>Guayaba (1 primera)</t>
        </is>
      </c>
      <c r="D420" s="253" t="inlineStr">
        <is>
          <t>Guayabas Aviles Hernandez</t>
        </is>
      </c>
      <c r="E420" s="252" t="inlineStr">
        <is>
          <t>Ingredients - Fruit</t>
        </is>
      </c>
      <c r="F420" s="70" t="n">
        <v>150</v>
      </c>
      <c r="G420" s="254" t="inlineStr">
        <is>
          <t>Restaurant</t>
        </is>
      </c>
      <c r="H420" s="254" t="inlineStr">
        <is>
          <t>Cash</t>
        </is>
      </c>
      <c r="I420" s="255" t="inlineStr">
        <is>
          <t>✅ Paid</t>
        </is>
      </c>
      <c r="J420" s="383" t="inlineStr">
        <is>
          <t>Total ~$150; efectivo</t>
        </is>
      </c>
    </row>
    <row r="421">
      <c r="B421" s="382" t="n">
        <v>46207</v>
      </c>
      <c r="C421" s="248" t="inlineStr">
        <is>
          <t>Pepino</t>
        </is>
      </c>
      <c r="D421" s="249" t="inlineStr">
        <is>
          <t>Citricos Sanchez</t>
        </is>
      </c>
      <c r="E421" s="248" t="inlineStr">
        <is>
          <t>Ingredients - Vegetables</t>
        </is>
      </c>
      <c r="F421" s="67" t="n">
        <v>49</v>
      </c>
      <c r="G421" s="250" t="inlineStr">
        <is>
          <t>Restaurant</t>
        </is>
      </c>
      <c r="H421" s="250" t="inlineStr">
        <is>
          <t>Cash</t>
        </is>
      </c>
      <c r="I421" s="251" t="inlineStr">
        <is>
          <t>✅ Paid</t>
        </is>
      </c>
      <c r="J421" s="383" t="inlineStr">
        <is>
          <t>Folio 7244; total $49 (detalle de linea poco legible)</t>
        </is>
      </c>
    </row>
    <row r="422">
      <c r="B422" s="382" t="n">
        <v>46207</v>
      </c>
      <c r="C422" s="252" t="inlineStr">
        <is>
          <t>Cubiertos soperos desechables (tenedor/cuchara/cuchillo)</t>
        </is>
      </c>
      <c r="D422" s="253" t="inlineStr">
        <is>
          <t>Guimar Polietilenos</t>
        </is>
      </c>
      <c r="E422" s="252" t="inlineStr">
        <is>
          <t>Packaging/Disposables</t>
        </is>
      </c>
      <c r="F422" s="70" t="n">
        <v>139.8</v>
      </c>
      <c r="G422" s="254" t="inlineStr">
        <is>
          <t>Restaurant</t>
        </is>
      </c>
      <c r="H422" s="254" t="inlineStr">
        <is>
          <t>Card</t>
        </is>
      </c>
      <c r="I422" s="255" t="inlineStr">
        <is>
          <t>✅ Paid</t>
        </is>
      </c>
      <c r="J422" s="383" t="inlineStr">
        <is>
          <t>Folio AK90544; tarjeta de credito</t>
        </is>
      </c>
    </row>
    <row r="423">
      <c r="B423" s="382" t="n">
        <v>46207</v>
      </c>
      <c r="C423" s="248" t="inlineStr">
        <is>
          <t>Melon</t>
        </is>
      </c>
      <c r="D423" s="249" t="inlineStr">
        <is>
          <t>Frutas de Temporada Jose</t>
        </is>
      </c>
      <c r="E423" s="248" t="inlineStr">
        <is>
          <t>Ingredients - Fruit</t>
        </is>
      </c>
      <c r="F423" s="67" t="n">
        <v>30</v>
      </c>
      <c r="G423" s="250" t="inlineStr">
        <is>
          <t>Restaurant</t>
        </is>
      </c>
      <c r="H423" s="250" t="inlineStr">
        <is>
          <t>Cash</t>
        </is>
      </c>
      <c r="I423" s="251" t="inlineStr">
        <is>
          <t>✅ Paid</t>
        </is>
      </c>
      <c r="J423" s="383" t="inlineStr">
        <is>
          <t>Solo melon $30; sin total impreso</t>
        </is>
      </c>
    </row>
    <row r="424">
      <c r="B424" s="382" t="n">
        <v>46207</v>
      </c>
      <c r="C424" s="252" t="inlineStr">
        <is>
          <t>Morron surtido</t>
        </is>
      </c>
      <c r="D424" s="253" t="inlineStr">
        <is>
          <t>Verduras Selectas Oscar</t>
        </is>
      </c>
      <c r="E424" s="252" t="inlineStr">
        <is>
          <t>Ingredients - Vegetables</t>
        </is>
      </c>
      <c r="F424" s="70" t="n">
        <v>20</v>
      </c>
      <c r="G424" s="254" t="inlineStr">
        <is>
          <t>Restaurant</t>
        </is>
      </c>
      <c r="H424" s="254" t="inlineStr">
        <is>
          <t>Cash</t>
        </is>
      </c>
      <c r="I424" s="255" t="inlineStr">
        <is>
          <t>✅ Paid</t>
        </is>
      </c>
      <c r="J424" s="383" t="inlineStr">
        <is>
          <t>Morron $20; sin total impreso</t>
        </is>
      </c>
    </row>
    <row r="425">
      <c r="B425" s="382" t="n">
        <v>46207</v>
      </c>
      <c r="C425" s="248" t="inlineStr">
        <is>
          <t>Fresa 0.775kg @ $65/kg</t>
        </is>
      </c>
      <c r="D425" s="249" t="inlineStr">
        <is>
          <t>Nota manuscrita</t>
        </is>
      </c>
      <c r="E425" s="248" t="inlineStr">
        <is>
          <t>Ingredients - Fruit</t>
        </is>
      </c>
      <c r="F425" s="67" t="n">
        <v>50</v>
      </c>
      <c r="G425" s="250" t="inlineStr">
        <is>
          <t>Restaurant</t>
        </is>
      </c>
      <c r="H425" s="250" t="inlineStr">
        <is>
          <t>Cash</t>
        </is>
      </c>
      <c r="I425" s="251" t="inlineStr">
        <is>
          <t>✅ Paid</t>
        </is>
      </c>
      <c r="J425" s="383" t="inlineStr">
        <is>
          <t>.775x65=50; efectivo</t>
        </is>
      </c>
    </row>
    <row r="426">
      <c r="B426" s="382" t="n">
        <v>46207</v>
      </c>
      <c r="C426" s="252" t="inlineStr">
        <is>
          <t>Gelatinas, hot cakes, jarabe, verduras congeladas</t>
        </is>
      </c>
      <c r="D426" s="253" t="inlineStr">
        <is>
          <t>Basicos</t>
        </is>
      </c>
      <c r="E426" s="252" t="inlineStr">
        <is>
          <t>Supermarket/General</t>
        </is>
      </c>
      <c r="F426" s="70" t="n">
        <v>354.5</v>
      </c>
      <c r="G426" s="254" t="inlineStr">
        <is>
          <t>Restaurant</t>
        </is>
      </c>
      <c r="H426" s="254" t="inlineStr">
        <is>
          <t>Card</t>
        </is>
      </c>
      <c r="I426" s="255" t="inlineStr">
        <is>
          <t>✅ Paid</t>
        </is>
      </c>
      <c r="J426" s="383" t="inlineStr">
        <is>
          <t>Total $358 - desc $3.50 = $354.50; tarjeta</t>
        </is>
      </c>
    </row>
    <row r="427">
      <c r="B427" s="382" t="n">
        <v>46207</v>
      </c>
      <c r="C427" s="248" t="inlineStr">
        <is>
          <t>Melocoton 2.5kg + Platano</t>
        </is>
      </c>
      <c r="D427" s="249" t="inlineStr">
        <is>
          <t>Remision</t>
        </is>
      </c>
      <c r="E427" s="248" t="inlineStr">
        <is>
          <t>Ingredients - Fruit</t>
        </is>
      </c>
      <c r="F427" s="67" t="n">
        <v>68</v>
      </c>
      <c r="G427" s="250" t="inlineStr">
        <is>
          <t>Restaurant</t>
        </is>
      </c>
      <c r="H427" s="250" t="inlineStr">
        <is>
          <t>Cash</t>
        </is>
      </c>
      <c r="I427" s="251" t="inlineStr">
        <is>
          <t>✅ Paid</t>
        </is>
      </c>
      <c r="J427" s="383" t="inlineStr">
        <is>
          <t>Melocoton $50 + platano $18 = $68; efectivo</t>
        </is>
      </c>
    </row>
    <row r="428">
      <c r="B428" s="382" t="n">
        <v>46207</v>
      </c>
      <c r="C428" s="252" t="inlineStr">
        <is>
          <t>Papaya</t>
        </is>
      </c>
      <c r="D428" s="253" t="inlineStr">
        <is>
          <t>Remision</t>
        </is>
      </c>
      <c r="E428" s="252" t="inlineStr">
        <is>
          <t>Ingredients - Fruit</t>
        </is>
      </c>
      <c r="F428" s="70" t="n">
        <v>36</v>
      </c>
      <c r="G428" s="254" t="inlineStr">
        <is>
          <t>Restaurant</t>
        </is>
      </c>
      <c r="H428" s="254" t="inlineStr">
        <is>
          <t>Cash</t>
        </is>
      </c>
      <c r="I428" s="255" t="inlineStr">
        <is>
          <t>✅ Paid</t>
        </is>
      </c>
      <c r="J428" s="383" t="inlineStr">
        <is>
          <t>Papaya total $36; efectivo</t>
        </is>
      </c>
    </row>
    <row r="429">
      <c r="B429" s="382" t="n">
        <v>46207</v>
      </c>
      <c r="C429" s="248" t="inlineStr">
        <is>
          <t>Granola 400g + Tortillas blancas 4.435kg</t>
        </is>
      </c>
      <c r="D429" s="249" t="inlineStr">
        <is>
          <t>Chedraui Selecto</t>
        </is>
      </c>
      <c r="E429" s="248" t="inlineStr">
        <is>
          <t>Supermarket/General</t>
        </is>
      </c>
      <c r="F429" s="67" t="n">
        <v>108.43</v>
      </c>
      <c r="G429" s="250" t="inlineStr">
        <is>
          <t>Restaurant</t>
        </is>
      </c>
      <c r="H429" s="250" t="inlineStr">
        <is>
          <t>Card</t>
        </is>
      </c>
      <c r="I429" s="251" t="inlineStr">
        <is>
          <t>✅ Paid</t>
        </is>
      </c>
      <c r="J429" s="383" t="inlineStr">
        <is>
          <t>Granola $53 + tortillas $55.43; debito ***0311</t>
        </is>
      </c>
    </row>
    <row r="430">
      <c r="B430" s="382" t="n">
        <v>46207</v>
      </c>
      <c r="C430" s="252" t="inlineStr">
        <is>
          <t>Jitomate 8.3kg + Aguacate Hass</t>
        </is>
      </c>
      <c r="D430" s="253" t="inlineStr">
        <is>
          <t>Frutas Finas Ana Pao</t>
        </is>
      </c>
      <c r="E430" s="252" t="inlineStr">
        <is>
          <t>Ingredients - Vegetables</t>
        </is>
      </c>
      <c r="F430" s="70" t="n">
        <v>126</v>
      </c>
      <c r="G430" s="254" t="inlineStr">
        <is>
          <t>Restaurant</t>
        </is>
      </c>
      <c r="H430" s="254" t="inlineStr">
        <is>
          <t>Cash</t>
        </is>
      </c>
      <c r="I430" s="255" t="inlineStr">
        <is>
          <t>✅ Paid</t>
        </is>
      </c>
      <c r="J430" s="383" t="inlineStr">
        <is>
          <t>Jitomate $100 + hass $26 = $126; sin total impreso</t>
        </is>
      </c>
    </row>
    <row r="431">
      <c r="B431" s="382" t="n">
        <v>46207</v>
      </c>
      <c r="C431" s="248" t="inlineStr">
        <is>
          <t>John — Head Chef Week 7</t>
        </is>
      </c>
      <c r="D431" s="249" t="inlineStr">
        <is>
          <t>Payroll</t>
        </is>
      </c>
      <c r="E431" s="248" t="inlineStr">
        <is>
          <t>Staff - Salary</t>
        </is>
      </c>
      <c r="F431" s="67" t="n">
        <v>3800</v>
      </c>
      <c r="G431" s="250" t="inlineStr">
        <is>
          <t>Restaurant</t>
        </is>
      </c>
      <c r="H431" s="250" t="inlineStr">
        <is>
          <t>Cash</t>
        </is>
      </c>
      <c r="I431" s="251" t="inlineStr">
        <is>
          <t>✅ Paid</t>
        </is>
      </c>
      <c r="J431" s="383" t="inlineStr">
        <is>
          <t>Week 7 salary, paid Saturday 04 Jul (usual $3,750; $50 higher this week)</t>
        </is>
      </c>
    </row>
    <row r="432">
      <c r="B432" s="382" t="n">
        <v>46207</v>
      </c>
      <c r="C432" s="252" t="inlineStr">
        <is>
          <t>Duvi/Debi — Limpieza Week 7 (5 days)</t>
        </is>
      </c>
      <c r="D432" s="253" t="inlineStr">
        <is>
          <t>Payroll</t>
        </is>
      </c>
      <c r="E432" s="252" t="inlineStr">
        <is>
          <t>Staff - Salary</t>
        </is>
      </c>
      <c r="F432" s="70" t="n">
        <v>1250</v>
      </c>
      <c r="G432" s="254" t="inlineStr">
        <is>
          <t>Restaurant</t>
        </is>
      </c>
      <c r="H432" s="254" t="inlineStr">
        <is>
          <t>Cash</t>
        </is>
      </c>
      <c r="I432" s="255" t="inlineStr">
        <is>
          <t>✅ Paid</t>
        </is>
      </c>
      <c r="J432" s="383" t="inlineStr">
        <is>
          <t>Week 7, worked 5 days @ $250/day = $1,250, paid Saturday 04 Jul</t>
        </is>
      </c>
    </row>
    <row r="433">
      <c r="B433" s="382" t="n">
        <v>46208</v>
      </c>
      <c r="C433" s="248" t="inlineStr">
        <is>
          <t>Renta mensual (pagada con capital)</t>
        </is>
      </c>
      <c r="D433" s="249" t="inlineStr">
        <is>
          <t>Arrendador</t>
        </is>
      </c>
      <c r="E433" s="248" t="inlineStr">
        <is>
          <t>Rent</t>
        </is>
      </c>
      <c r="F433" s="67" t="n">
        <v>20000</v>
      </c>
      <c r="G433" s="250" t="inlineStr">
        <is>
          <t>Capital</t>
        </is>
      </c>
      <c r="H433" s="250" t="inlineStr">
        <is>
          <t>Transfer</t>
        </is>
      </c>
      <c r="I433" s="251" t="inlineStr">
        <is>
          <t>✅ Paid</t>
        </is>
      </c>
      <c r="J433" s="383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382" t="n">
        <v>46209</v>
      </c>
      <c r="C434" s="252" t="inlineStr">
        <is>
          <t>Miscelanea LC remision (lineas ilegibles)</t>
        </is>
      </c>
      <c r="D434" s="253" t="inlineStr">
        <is>
          <t>Miscelanea LC La Cruz</t>
        </is>
      </c>
      <c r="E434" s="252" t="inlineStr">
        <is>
          <t>Ingredients - Meat</t>
        </is>
      </c>
      <c r="F434" s="70" t="n">
        <v>974</v>
      </c>
      <c r="G434" s="254" t="inlineStr">
        <is>
          <t>Restaurant</t>
        </is>
      </c>
      <c r="H434" s="254" t="inlineStr">
        <is>
          <t>Card</t>
        </is>
      </c>
      <c r="I434" s="255" t="inlineStr">
        <is>
          <t>✅ Paid</t>
        </is>
      </c>
      <c r="J434" s="383" t="inlineStr">
        <is>
          <t>Getnet $974 autoritativo (Aut 6B6666, 15:52); carniceria/meat shop; lineas manuscritas ilegibles</t>
        </is>
      </c>
    </row>
    <row r="435">
      <c r="B435" s="382" t="n">
        <v>46209</v>
      </c>
      <c r="C435" s="248" t="inlineStr">
        <is>
          <t>Miscelanea LC remision (lineas ilegibles)</t>
        </is>
      </c>
      <c r="D435" s="249" t="inlineStr">
        <is>
          <t>Miscelanea LC La Cruz</t>
        </is>
      </c>
      <c r="E435" s="248" t="inlineStr">
        <is>
          <t>Ingredients - Meat</t>
        </is>
      </c>
      <c r="F435" s="67" t="n">
        <v>289</v>
      </c>
      <c r="G435" s="250" t="inlineStr">
        <is>
          <t>Restaurant</t>
        </is>
      </c>
      <c r="H435" s="250" t="inlineStr">
        <is>
          <t>Card</t>
        </is>
      </c>
      <c r="I435" s="251" t="inlineStr">
        <is>
          <t>✅ Paid</t>
        </is>
      </c>
      <c r="J435" s="383" t="inlineStr">
        <is>
          <t>Getnet $289 autoritativo (Aut 722687, 09:45); carniceria/meat shop; lineas manuscritas ilegibles</t>
        </is>
      </c>
    </row>
    <row r="436">
      <c r="B436" s="382" t="n">
        <v>46209</v>
      </c>
      <c r="C436" s="252" t="inlineStr">
        <is>
          <t>Pasta seca (codo, caracol, spaguetti, estrella)</t>
        </is>
      </c>
      <c r="D436" s="253" t="inlineStr">
        <is>
          <t>Tres B</t>
        </is>
      </c>
      <c r="E436" s="252" t="inlineStr">
        <is>
          <t>Ingredients - Pantry</t>
        </is>
      </c>
      <c r="F436" s="70" t="n">
        <v>245</v>
      </c>
      <c r="G436" s="254" t="inlineStr">
        <is>
          <t>Restaurant</t>
        </is>
      </c>
      <c r="H436" s="254" t="inlineStr">
        <is>
          <t>Card</t>
        </is>
      </c>
      <c r="I436" s="255" t="inlineStr">
        <is>
          <t>✅ Paid</t>
        </is>
      </c>
      <c r="J436" s="383" t="inlineStr">
        <is>
          <t>Ticket 31 08:50; tarjeta ML ***3982</t>
        </is>
      </c>
    </row>
    <row r="437">
      <c r="B437" s="382" t="n">
        <v>46209</v>
      </c>
      <c r="C437" s="248" t="inlineStr">
        <is>
          <t>Coca-Cola 600ml x2 + Crema acida x2</t>
        </is>
      </c>
      <c r="D437" s="249" t="inlineStr">
        <is>
          <t>Sam's Club</t>
        </is>
      </c>
      <c r="E437" s="248" t="inlineStr">
        <is>
          <t>Supermarket/General</t>
        </is>
      </c>
      <c r="F437" s="67" t="n">
        <v>1420</v>
      </c>
      <c r="G437" s="250" t="inlineStr">
        <is>
          <t>Restaurant</t>
        </is>
      </c>
      <c r="H437" s="250" t="inlineStr">
        <is>
          <t>Card</t>
        </is>
      </c>
      <c r="I437" s="251" t="inlineStr">
        <is>
          <t>✅ Paid</t>
        </is>
      </c>
      <c r="J437" s="383" t="inlineStr">
        <is>
          <t>Coca 2x485.92 + crema 2x240.40 - desc 32.64; debito ***82; 11:01</t>
        </is>
      </c>
    </row>
    <row r="438">
      <c r="B438" s="382" t="n">
        <v>46209</v>
      </c>
      <c r="C438" s="252" t="inlineStr">
        <is>
          <t>Queso x2</t>
        </is>
      </c>
      <c r="D438" s="253" t="inlineStr">
        <is>
          <t>Walmart</t>
        </is>
      </c>
      <c r="E438" s="252" t="inlineStr">
        <is>
          <t>Ingredients - Dairy</t>
        </is>
      </c>
      <c r="F438" s="70" t="n">
        <v>74</v>
      </c>
      <c r="G438" s="254" t="inlineStr">
        <is>
          <t>Restaurant</t>
        </is>
      </c>
      <c r="H438" s="254" t="inlineStr">
        <is>
          <t>Card</t>
        </is>
      </c>
      <c r="I438" s="255" t="inlineStr">
        <is>
          <t>✅ Paid</t>
        </is>
      </c>
      <c r="J438" s="383" t="inlineStr">
        <is>
          <t>GV QSO 37x2; debito ***82; 11:17</t>
        </is>
      </c>
    </row>
    <row r="439">
      <c r="B439" s="382" t="n">
        <v>46209</v>
      </c>
      <c r="C439" s="248" t="inlineStr">
        <is>
          <t>Milanesa 1.53kg + Muslo 10.18kg + Pechuga 3.69kg</t>
        </is>
      </c>
      <c r="D439" s="249" t="inlineStr">
        <is>
          <t>Remision Loka Cafe</t>
        </is>
      </c>
      <c r="E439" s="248" t="inlineStr">
        <is>
          <t>Ingredients - Meat</t>
        </is>
      </c>
      <c r="F439" s="67" t="n">
        <v>1133</v>
      </c>
      <c r="G439" s="250" t="inlineStr">
        <is>
          <t>Restaurant</t>
        </is>
      </c>
      <c r="H439" s="250" t="inlineStr">
        <is>
          <t>Cash</t>
        </is>
      </c>
      <c r="I439" s="251" t="inlineStr">
        <is>
          <t>✅ Paid</t>
        </is>
      </c>
      <c r="J439" s="383" t="inlineStr">
        <is>
          <t>Milanesa $199 + muslo $509 + pechuga $425 = $1133; efectivo</t>
        </is>
      </c>
    </row>
    <row r="440">
      <c r="B440" s="382" t="n">
        <v>46209</v>
      </c>
      <c r="C440" s="252" t="inlineStr">
        <is>
          <t>Cilantro</t>
        </is>
      </c>
      <c r="D440" s="253" t="inlineStr">
        <is>
          <t>No bill</t>
        </is>
      </c>
      <c r="E440" s="252" t="inlineStr">
        <is>
          <t>Ingredients - Vegetables</t>
        </is>
      </c>
      <c r="F440" s="70" t="n">
        <v>5</v>
      </c>
      <c r="G440" s="254" t="inlineStr">
        <is>
          <t>Restaurant</t>
        </is>
      </c>
      <c r="H440" s="254" t="inlineStr">
        <is>
          <t>Cash</t>
        </is>
      </c>
      <c r="I440" s="255" t="inlineStr">
        <is>
          <t>✅ Paid</t>
        </is>
      </c>
      <c r="J440" s="383" t="inlineStr">
        <is>
          <t>No receipt; cash</t>
        </is>
      </c>
    </row>
    <row r="441">
      <c r="B441" s="382" t="n">
        <v>46209</v>
      </c>
      <c r="C441" s="248" t="inlineStr">
        <is>
          <t>Agua natural</t>
        </is>
      </c>
      <c r="D441" s="249" t="inlineStr">
        <is>
          <t>No bill</t>
        </is>
      </c>
      <c r="E441" s="248" t="inlineStr">
        <is>
          <t>Ingredients - Beverages</t>
        </is>
      </c>
      <c r="F441" s="67" t="n">
        <v>60</v>
      </c>
      <c r="G441" s="250" t="inlineStr">
        <is>
          <t>Restaurant</t>
        </is>
      </c>
      <c r="H441" s="250" t="inlineStr">
        <is>
          <t>Cash</t>
        </is>
      </c>
      <c r="I441" s="251" t="inlineStr">
        <is>
          <t>✅ Paid</t>
        </is>
      </c>
      <c r="J441" s="383" t="inlineStr">
        <is>
          <t>No receipt; cash</t>
        </is>
      </c>
    </row>
    <row r="442">
      <c r="B442" s="382" t="n">
        <v>46210</v>
      </c>
      <c r="C442" s="252" t="inlineStr">
        <is>
          <t>Tortillas</t>
        </is>
      </c>
      <c r="D442" s="253" t="inlineStr">
        <is>
          <t>No bill</t>
        </is>
      </c>
      <c r="E442" s="252" t="inlineStr">
        <is>
          <t>Ingredients - Bread</t>
        </is>
      </c>
      <c r="F442" s="70" t="n">
        <v>49</v>
      </c>
      <c r="G442" s="254" t="inlineStr">
        <is>
          <t>Restaurant</t>
        </is>
      </c>
      <c r="H442" s="254" t="inlineStr">
        <is>
          <t>Cash</t>
        </is>
      </c>
      <c r="I442" s="255" t="inlineStr">
        <is>
          <t>✅ Paid</t>
        </is>
      </c>
      <c r="J442" s="383" t="inlineStr">
        <is>
          <t>No receipt; cash</t>
        </is>
      </c>
    </row>
    <row r="443">
      <c r="B443" s="382" t="n">
        <v>46211</v>
      </c>
      <c r="C443" s="248" t="inlineStr">
        <is>
          <t>Tortillas blancas x2 + Rosca de nuez</t>
        </is>
      </c>
      <c r="D443" s="249" t="inlineStr">
        <is>
          <t>Chedraui Paseo</t>
        </is>
      </c>
      <c r="E443" s="248" t="inlineStr">
        <is>
          <t>Ingredients - Bread</t>
        </is>
      </c>
      <c r="F443" s="67" t="n">
        <v>139.43</v>
      </c>
      <c r="G443" s="250" t="inlineStr">
        <is>
          <t>Restaurant</t>
        </is>
      </c>
      <c r="H443" s="250" t="inlineStr">
        <is>
          <t>Card</t>
        </is>
      </c>
      <c r="I443" s="251" t="inlineStr">
        <is>
          <t>✅ Paid</t>
        </is>
      </c>
      <c r="J443" s="383" t="inlineStr">
        <is>
          <t>Debito BBVA ***3982 09:31; tortillas $50.43 + rosca nuez $89</t>
        </is>
      </c>
    </row>
    <row r="444">
      <c r="B444" s="382" t="n">
        <v>46211</v>
      </c>
      <c r="C444" s="252" t="inlineStr">
        <is>
          <t>Terminal rolls (rollos POS)</t>
        </is>
      </c>
      <c r="D444" s="253" t="inlineStr">
        <is>
          <t>No bill</t>
        </is>
      </c>
      <c r="E444" s="252" t="inlineStr">
        <is>
          <t>Office Supplies</t>
        </is>
      </c>
      <c r="F444" s="70" t="n">
        <v>1076</v>
      </c>
      <c r="G444" s="254" t="inlineStr">
        <is>
          <t>Restaurant</t>
        </is>
      </c>
      <c r="H444" s="254" t="inlineStr">
        <is>
          <t>Cash</t>
        </is>
      </c>
      <c r="I444" s="255" t="inlineStr">
        <is>
          <t>✅ Paid</t>
        </is>
      </c>
      <c r="J444" s="383" t="inlineStr">
        <is>
          <t>No receipt; cash; amount confirmed by owner</t>
        </is>
      </c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15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72" t="inlineStr">
        <is>
          <t>LOKA — MONTHLY P&amp;L   (live formulas — auto-updates from Daily Log &amp; Expenses)</t>
        </is>
      </c>
      <c r="B1" s="373" t="n"/>
      <c r="C1" s="373" t="n"/>
      <c r="D1" s="373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6" t="inlineStr">
        <is>
          <t>Jul 2026</t>
        </is>
      </c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8">
        <f>SUMIFS('📅 Daily Log'!$F$8:$F$500,'📅 Daily Log'!$B$8:$B$500,"&gt;="&amp;DATE(2026,7,1),'📅 Daily Log'!$B$8:$B$500,"&lt;"&amp;DATE(2026,8,1))</f>
        <v/>
      </c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8">
        <f>SUMIFS('💸 Expenses'!$F$8:$F$500,'💸 Expenses'!$B$8:$B$500,"&gt;="&amp;DATE(2026,7,1),'💸 Expenses'!$B$8:$B$500,"&lt;"&amp;DATE(2026,8,1))</f>
        <v/>
      </c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9">
        <f>D4-D5</f>
        <v/>
      </c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81">
        <f>COUNTIFS('📅 Daily Log'!$F$8:$F$500,"&gt;0",'📅 Daily Log'!$B$8:$B$500,"&gt;="&amp;DATE(2026,7,1),'📅 Daily Log'!$B$8:$B$500,"&lt;"&amp;DATE(2026,8,1))</f>
        <v/>
      </c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8">
        <f>IFERROR(D4/D7,0)</f>
        <v/>
      </c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6" t="inlineStr">
        <is>
          <t>Jul 2026</t>
        </is>
      </c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8">
        <f>SUMIFS('📅 Daily Log'!$D$8:$D$500,'📅 Daily Log'!$B$8:$B$500,"&gt;="&amp;DATE(2026,7,1),'📅 Daily Log'!$B$8:$B$500,"&lt;"&amp;DATE(2026,8,1))</f>
        <v/>
      </c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8">
        <f>SUMIFS('📅 Daily Log'!$E$8:$E$500,'📅 Daily Log'!$B$8:$B$500,"&gt;="&amp;DATE(2026,7,1),'📅 Daily Log'!$B$8:$B$500,"&lt;"&amp;DATE(2026,8,1))</f>
        <v/>
      </c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8">
        <f>SUMIFS('📅 Daily Log'!$G$8:$G$500,'📅 Daily Log'!$B$8:$B$500,"&gt;="&amp;DATE(2026,7,1),'📅 Daily Log'!$B$8:$B$500,"&lt;"&amp;DATE(2026,8,1))</f>
        <v/>
      </c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9">
        <f>D11+D12+D13</f>
        <v/>
      </c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6" t="inlineStr">
        <is>
          <t>Jul 2026</t>
        </is>
      </c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Rent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8">
        <f>SUMIFS('💸 Expenses'!$F$8:$F$500,'💸 Expenses'!$E$8:$E$500,$A17,'💸 Expenses'!$B$8:$B$500,"&gt;="&amp;DATE(2026,7,1),'💸 Expenses'!$B$8:$B$500,"&lt;"&amp;DATE(2026,8,1))</f>
        <v/>
      </c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Staff - Salary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8">
        <f>SUMIFS('💸 Expenses'!$F$8:$F$500,'💸 Expenses'!$E$8:$E$500,$A18,'💸 Expenses'!$B$8:$B$500,"&gt;="&amp;DATE(2026,7,1),'💸 Expenses'!$B$8:$B$500,"&lt;"&amp;DATE(2026,8,1))</f>
        <v/>
      </c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Ingredients - Meat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8">
        <f>SUMIFS('💸 Expenses'!$F$8:$F$500,'💸 Expenses'!$E$8:$E$500,$A19,'💸 Expenses'!$B$8:$B$500,"&gt;="&amp;DATE(2026,7,1),'💸 Expenses'!$B$8:$B$500,"&lt;"&amp;DATE(2026,8,1))</f>
        <v/>
      </c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Vegetables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8">
        <f>SUMIFS('💸 Expenses'!$F$8:$F$500,'💸 Expenses'!$E$8:$E$500,$A20,'💸 Expenses'!$B$8:$B$500,"&gt;="&amp;DATE(2026,7,1),'💸 Expenses'!$B$8:$B$500,"&lt;"&amp;DATE(2026,8,1))</f>
        <v/>
      </c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Pantry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8">
        <f>SUMIFS('💸 Expenses'!$F$8:$F$500,'💸 Expenses'!$E$8:$E$500,$A21,'💸 Expenses'!$B$8:$B$500,"&gt;="&amp;DATE(2026,7,1),'💸 Expenses'!$B$8:$B$500,"&lt;"&amp;DATE(2026,8,1))</f>
        <v/>
      </c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Beverages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8">
        <f>SUMIFS('💸 Expenses'!$F$8:$F$500,'💸 Expenses'!$E$8:$E$500,$A22,'💸 Expenses'!$B$8:$B$500,"&gt;="&amp;DATE(2026,7,1),'💸 Expenses'!$B$8:$B$500,"&lt;"&amp;DATE(2026,8,1))</f>
        <v/>
      </c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8">
        <f>SUMIFS('💸 Expenses'!$F$8:$F$500,'💸 Expenses'!$E$8:$E$500,$A23,'💸 Expenses'!$B$8:$B$500,"&gt;="&amp;DATE(2026,7,1),'💸 Expenses'!$B$8:$B$500,"&lt;"&amp;DATE(2026,8,1))</f>
        <v/>
      </c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Supplies / Other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8">
        <f>SUMIFS('💸 Expenses'!$F$8:$F$500,'💸 Expenses'!$E$8:$E$500,$A24,'💸 Expenses'!$B$8:$B$500,"&gt;="&amp;DATE(2026,7,1),'💸 Expenses'!$B$8:$B$500,"&lt;"&amp;DATE(2026,8,1))</f>
        <v/>
      </c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Supermarket / General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8">
        <f>SUMIFS('💸 Expenses'!$F$8:$F$500,'💸 Expenses'!$E$8:$E$500,$A25,'💸 Expenses'!$B$8:$B$500,"&gt;="&amp;DATE(2026,7,1),'💸 Expenses'!$B$8:$B$500,"&lt;"&amp;DATE(2026,8,1))</f>
        <v/>
      </c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Ingredients - Bread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8">
        <f>SUMIFS('💸 Expenses'!$F$8:$F$500,'💸 Expenses'!$E$8:$E$500,$A26,'💸 Expenses'!$B$8:$B$500,"&gt;="&amp;DATE(2026,7,1),'💸 Expenses'!$B$8:$B$500,"&lt;"&amp;DATE(2026,8,1))</f>
        <v/>
      </c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Maintenance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8">
        <f>SUMIFS('💸 Expenses'!$F$8:$F$500,'💸 Expenses'!$E$8:$E$500,$A27,'💸 Expenses'!$B$8:$B$500,"&gt;="&amp;DATE(2026,7,1),'💸 Expenses'!$B$8:$B$500,"&lt;"&amp;DATE(2026,8,1))</f>
        <v/>
      </c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8">
        <f>SUMIFS('💸 Expenses'!$F$8:$F$500,'💸 Expenses'!$E$8:$E$500,$A28,'💸 Expenses'!$B$8:$B$500,"&gt;="&amp;DATE(2026,7,1),'💸 Expenses'!$B$8:$B$500,"&lt;"&amp;DATE(2026,8,1))</f>
        <v/>
      </c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8">
        <f>SUMIFS('💸 Expenses'!$F$8:$F$500,'💸 Expenses'!$E$8:$E$500,$A29,'💸 Expenses'!$B$8:$B$500,"&gt;="&amp;DATE(2026,7,1),'💸 Expenses'!$B$8:$B$500,"&lt;"&amp;DATE(2026,8,1))</f>
        <v/>
      </c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Supermarket/General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8">
        <f>SUMIFS('💸 Expenses'!$F$8:$F$500,'💸 Expenses'!$E$8:$E$500,$A30,'💸 Expenses'!$B$8:$B$500,"&gt;="&amp;DATE(2026,7,1),'💸 Expenses'!$B$8:$B$500,"&lt;"&amp;DATE(2026,8,1))</f>
        <v/>
      </c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Utilities / Gas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8">
        <f>SUMIFS('💸 Expenses'!$F$8:$F$500,'💸 Expenses'!$E$8:$E$500,$A31,'💸 Expenses'!$B$8:$B$500,"&gt;="&amp;DATE(2026,7,1),'💸 Expenses'!$B$8:$B$500,"&lt;"&amp;DATE(2026,8,1))</f>
        <v/>
      </c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Ingredients - Other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8">
        <f>SUMIFS('💸 Expenses'!$F$8:$F$500,'💸 Expenses'!$E$8:$E$500,$A32,'💸 Expenses'!$B$8:$B$500,"&gt;="&amp;DATE(2026,7,1),'💸 Expenses'!$B$8:$B$500,"&lt;"&amp;DATE(2026,8,1))</f>
        <v/>
      </c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Office Supplies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8">
        <f>SUMIFS('💸 Expenses'!$F$8:$F$500,'💸 Expenses'!$E$8:$E$500,$A33,'💸 Expenses'!$B$8:$B$500,"&gt;="&amp;DATE(2026,7,1),'💸 Expenses'!$B$8:$B$500,"&lt;"&amp;DATE(2026,8,1))</f>
        <v/>
      </c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Software / Subscription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8">
        <f>SUMIFS('💸 Expenses'!$F$8:$F$500,'💸 Expenses'!$E$8:$E$500,$A34,'💸 Expenses'!$B$8:$B$500,"&gt;="&amp;DATE(2026,7,1),'💸 Expenses'!$B$8:$B$500,"&lt;"&amp;DATE(2026,8,1))</f>
        <v/>
      </c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Kitchen Supplies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8">
        <f>SUMIFS('💸 Expenses'!$F$8:$F$500,'💸 Expenses'!$E$8:$E$500,$A35,'💸 Expenses'!$B$8:$B$500,"&gt;="&amp;DATE(2026,7,1),'💸 Expenses'!$B$8:$B$500,"&lt;"&amp;DATE(2026,8,1))</f>
        <v/>
      </c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Staff - Advance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8">
        <f>SUMIFS('💸 Expenses'!$F$8:$F$500,'💸 Expenses'!$E$8:$E$500,$A36,'💸 Expenses'!$B$8:$B$500,"&gt;="&amp;DATE(2026,7,1),'💸 Expenses'!$B$8:$B$500,"&lt;"&amp;DATE(2026,8,1))</f>
        <v/>
      </c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Utilities / Internet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8">
        <f>SUMIFS('💸 Expenses'!$F$8:$F$500,'💸 Expenses'!$E$8:$E$500,$A37,'💸 Expenses'!$B$8:$B$500,"&gt;="&amp;DATE(2026,7,1),'💸 Expenses'!$B$8:$B$500,"&lt;"&amp;DATE(2026,8,1))</f>
        <v/>
      </c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Packaging / Disposables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8">
        <f>SUMIFS('💸 Expenses'!$F$8:$F$500,'💸 Expenses'!$E$8:$E$500,$A38,'💸 Expenses'!$B$8:$B$500,"&gt;="&amp;DATE(2026,7,1),'💸 Expenses'!$B$8:$B$500,"&lt;"&amp;DATE(2026,8,1))</f>
        <v/>
      </c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Ingredients - Desserts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8">
        <f>SUMIFS('💸 Expenses'!$F$8:$F$500,'💸 Expenses'!$E$8:$E$500,$A39,'💸 Expenses'!$B$8:$B$500,"&gt;="&amp;DATE(2026,7,1),'💸 Expenses'!$B$8:$B$500,"&lt;"&amp;DATE(2026,8,1))</f>
        <v/>
      </c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Ingredients - Eggs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8">
        <f>SUMIFS('💸 Expenses'!$F$8:$F$500,'💸 Expenses'!$E$8:$E$500,$A40,'💸 Expenses'!$B$8:$B$500,"&gt;="&amp;DATE(2026,7,1),'💸 Expenses'!$B$8:$B$500,"&lt;"&amp;DATE(2026,8,1))</f>
        <v/>
      </c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80" t="inlineStr">
        <is>
          <t>Packaging/Disposables</t>
        </is>
      </c>
      <c r="B41" s="378">
        <f>SUMIFS('💸 Expenses'!$F$8:$F$500,'💸 Expenses'!$E$8:$E$500,$A41,'💸 Expenses'!$B$8:$B$500,"&gt;="&amp;DATE(2026,5,1),'💸 Expenses'!$B$8:$B$500,"&lt;"&amp;DATE(2026,6,1))</f>
        <v/>
      </c>
      <c r="C41" s="378">
        <f>SUMIFS('💸 Expenses'!$F$8:$F$500,'💸 Expenses'!$E$8:$E$500,$A41,'💸 Expenses'!$B$8:$B$500,"&gt;="&amp;DATE(2026,6,1),'💸 Expenses'!$B$8:$B$500,"&lt;"&amp;DATE(2026,7,1))</f>
        <v/>
      </c>
      <c r="D41" s="378">
        <f>SUMIFS('💸 Expenses'!$F$8:$F$500,'💸 Expenses'!$E$8:$E$500,$A41,'💸 Expenses'!$B$8:$B$500,"&gt;="&amp;DATE(2026,7,1),'💸 Expenses'!$B$8:$B$500,"&lt;"&amp;DATE(2026,8,1))</f>
        <v/>
      </c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80" t="inlineStr">
        <is>
          <t>Staff - Propinas</t>
        </is>
      </c>
      <c r="B42" s="378">
        <f>SUMIFS('💸 Expenses'!$F$8:$F$500,'💸 Expenses'!$E$8:$E$500,$A42,'💸 Expenses'!$B$8:$B$500,"&gt;="&amp;DATE(2026,5,1),'💸 Expenses'!$B$8:$B$500,"&lt;"&amp;DATE(2026,6,1))</f>
        <v/>
      </c>
      <c r="C42" s="378">
        <f>SUMIFS('💸 Expenses'!$F$8:$F$500,'💸 Expenses'!$E$8:$E$500,$A42,'💸 Expenses'!$B$8:$B$500,"&gt;="&amp;DATE(2026,6,1),'💸 Expenses'!$B$8:$B$500,"&lt;"&amp;DATE(2026,7,1))</f>
        <v/>
      </c>
      <c r="D42" s="378">
        <f>SUMIFS('💸 Expenses'!$F$8:$F$500,'💸 Expenses'!$E$8:$E$500,$A42,'💸 Expenses'!$B$8:$B$500,"&gt;="&amp;DATE(2026,7,1),'💸 Expenses'!$B$8:$B$500,"&lt;"&amp;DATE(2026,8,1))</f>
        <v/>
      </c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80" t="inlineStr">
        <is>
          <t>Ingredients - Produce</t>
        </is>
      </c>
      <c r="B43" s="378">
        <f>SUMIFS('💸 Expenses'!$F$8:$F$500,'💸 Expenses'!$E$8:$E$500,$A43,'💸 Expenses'!$B$8:$B$500,"&gt;="&amp;DATE(2026,5,1),'💸 Expenses'!$B$8:$B$500,"&lt;"&amp;DATE(2026,6,1))</f>
        <v/>
      </c>
      <c r="C43" s="378">
        <f>SUMIFS('💸 Expenses'!$F$8:$F$500,'💸 Expenses'!$E$8:$E$500,$A43,'💸 Expenses'!$B$8:$B$500,"&gt;="&amp;DATE(2026,6,1),'💸 Expenses'!$B$8:$B$500,"&lt;"&amp;DATE(2026,7,1))</f>
        <v/>
      </c>
      <c r="D43" s="378">
        <f>SUMIFS('💸 Expenses'!$F$8:$F$500,'💸 Expenses'!$E$8:$E$500,$A43,'💸 Expenses'!$B$8:$B$500,"&gt;="&amp;DATE(2026,7,1),'💸 Expenses'!$B$8:$B$500,"&lt;"&amp;DATE(2026,8,1))</f>
        <v/>
      </c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7" t="inlineStr">
        <is>
          <t>TOTAL EXPENSES</t>
        </is>
      </c>
      <c r="B44" s="379">
        <f>SUMIFS('💸 Expenses'!$F$8:$F$500,'💸 Expenses'!$B$8:$B$500,"&gt;="&amp;DATE(2026,5,1),'💸 Expenses'!$B$8:$B$500,"&lt;"&amp;DATE(2026,6,1))</f>
        <v/>
      </c>
      <c r="C44" s="379">
        <f>SUMIFS('💸 Expenses'!$F$8:$F$500,'💸 Expenses'!$B$8:$B$500,"&gt;="&amp;DATE(2026,6,1),'💸 Expenses'!$B$8:$B$500,"&lt;"&amp;DATE(2026,7,1))</f>
        <v/>
      </c>
      <c r="D44" s="379">
        <f>SUMIFS('💸 Expenses'!$F$8:$F$500,'💸 Expenses'!$B$8:$B$500,"&gt;="&amp;DATE(2026,7,1),'💸 Expenses'!$B$8:$B$500,"&lt;"&amp;DATE(2026,8,1))</f>
        <v/>
      </c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7" t="inlineStr">
        <is>
          <t>NET PROFIT / LOSS</t>
        </is>
      </c>
      <c r="B45" s="379">
        <f>B4-B44</f>
        <v/>
      </c>
      <c r="C45" s="379">
        <f>C4-C44</f>
        <v/>
      </c>
      <c r="D45" s="379">
        <f>D4-D44</f>
        <v/>
      </c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397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397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397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397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397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397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397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397" t="n">
        <v>46211</v>
      </c>
      <c r="B33" s="232" t="inlineStr">
        <is>
          <t>Remision — supplies (items not legible from photo)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(remision IMG_5162, $73.50) — item description pending; reimbursable</t>
        </is>
      </c>
    </row>
    <row r="34">
      <c r="A34" s="397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397" t="inlineStr">
        <is>
          <t>TOTALS &amp; CURRENT BALANCE</t>
        </is>
      </c>
      <c r="B35" s="232" t="n"/>
      <c r="C35" s="232" t="n"/>
      <c r="D35" s="232">
        <f>SUM(D4:D34)</f>
        <v/>
      </c>
      <c r="E35" s="233">
        <f>SUM(E4:E34)</f>
        <v/>
      </c>
      <c r="F35" s="233">
        <f>F34</f>
        <v/>
      </c>
      <c r="G35" s="232">
        <f>IF(F34&gt;0,"Restaurant owes Lohith $"&amp;TEXT(F34,"#,##0"),IF(F34&lt;0,"Lohith holds $"&amp;TEXT(ABS(F34),"#,##0"),"Zero balance"))</f>
        <v/>
      </c>
      <c r="H35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2026-07-09T20:09:19Z</dcterms:modified>
  <cp:lastModifiedBy>LOHITH REDDY</cp:lastModifiedBy>
</cp:coreProperties>
</file>