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7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(#,##0\);&quot;-&quot;"/>
    <numFmt numFmtId="166" formatCode="dd/mm/yyyy\ ddd"/>
    <numFmt numFmtId="167" formatCode="\$#,##0;&quot;($&quot;#,##0\);\-"/>
    <numFmt numFmtId="168" formatCode="#,##0;\(#,##0\);\-"/>
    <numFmt numFmtId="169" formatCode="0.0%;\(0.0%\);\-"/>
    <numFmt numFmtId="170" formatCode="dd/mm/yyyy"/>
    <numFmt numFmtId="171" formatCode="yyyy\-mm\-dd"/>
    <numFmt numFmtId="172" formatCode="yyyy-mm-dd"/>
  </numFmts>
  <fonts count="7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color rgb="FF000000"/>
      <sz val="11"/>
    </font>
    <font>
      <name val="Arial"/>
      <color rgb="FF0000FF"/>
      <sz val="11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</fonts>
  <fills count="41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5D6D7E"/>
        <bgColor rgb="FF5D6D7E"/>
      </patternFill>
    </fill>
    <fill>
      <patternFill patternType="solid">
        <fgColor rgb="FFFFFF00"/>
        <bgColor rgb="FFFFFF0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</fills>
  <borders count="2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>
      <left/>
      <right/>
      <top style="medium">
        <color rgb="FFE8A020"/>
      </top>
      <bottom/>
      <diagonal/>
    </border>
    <border>
      <left/>
      <right style="medium">
        <color rgb="FFE8A020"/>
      </right>
      <top style="medium">
        <color rgb="FFE8A020"/>
      </top>
      <bottom/>
      <diagonal/>
    </border>
    <border>
      <left/>
      <right/>
      <top style="medium">
        <color rgb="FFE8A020"/>
      </top>
      <bottom style="medium">
        <color rgb="FFE8A020"/>
      </bottom>
      <diagonal/>
    </border>
    <border>
      <left/>
      <right style="medium">
        <color rgb="FFE8A020"/>
      </right>
      <top style="medium">
        <color rgb="FFE8A020"/>
      </top>
      <bottom style="medium">
        <color rgb="FFE8A020"/>
      </bottom>
      <diagonal/>
    </border>
  </borders>
  <cellStyleXfs count="1">
    <xf numFmtId="0" fontId="0" fillId="0" borderId="0"/>
  </cellStyleXfs>
  <cellXfs count="269">
    <xf numFmtId="0" fontId="0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5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5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8" fillId="12" borderId="0" pivotButton="0" quotePrefix="0" xfId="0"/>
    <xf numFmtId="0" fontId="19" fillId="12" borderId="9" applyAlignment="1" pivotButton="0" quotePrefix="0" xfId="0">
      <alignment horizontal="center" vertical="center" wrapText="1"/>
    </xf>
    <xf numFmtId="166" fontId="20" fillId="21" borderId="9" applyAlignment="1" pivotButton="0" quotePrefix="0" xfId="0">
      <alignment horizontal="center" vertical="center"/>
    </xf>
    <xf numFmtId="0" fontId="21" fillId="21" borderId="9" applyAlignment="1" pivotButton="0" quotePrefix="0" xfId="0">
      <alignment horizontal="center" vertical="center"/>
    </xf>
    <xf numFmtId="167" fontId="22" fillId="21" borderId="9" applyAlignment="1" pivotButton="0" quotePrefix="0" xfId="0">
      <alignment horizontal="center" vertical="center"/>
    </xf>
    <xf numFmtId="168" fontId="23" fillId="21" borderId="9" applyAlignment="1" pivotButton="0" quotePrefix="0" xfId="0">
      <alignment horizontal="center" vertical="center"/>
    </xf>
    <xf numFmtId="167" fontId="24" fillId="21" borderId="9" applyAlignment="1" pivotButton="0" quotePrefix="0" xfId="0">
      <alignment horizontal="center" vertical="center"/>
    </xf>
    <xf numFmtId="167" fontId="25" fillId="21" borderId="9" applyAlignment="1" pivotButton="0" quotePrefix="0" xfId="0">
      <alignment horizontal="center" vertical="center"/>
    </xf>
    <xf numFmtId="169" fontId="26" fillId="21" borderId="9" applyAlignment="1" pivotButton="0" quotePrefix="0" xfId="0">
      <alignment horizontal="center" vertical="center"/>
    </xf>
    <xf numFmtId="0" fontId="27" fillId="21" borderId="9" applyAlignment="1" pivotButton="0" quotePrefix="0" xfId="0">
      <alignment horizontal="center" vertical="center"/>
    </xf>
    <xf numFmtId="0" fontId="28" fillId="21" borderId="9" applyAlignment="1" pivotButton="0" quotePrefix="0" xfId="0">
      <alignment horizontal="center" vertical="center"/>
    </xf>
    <xf numFmtId="166" fontId="20" fillId="22" borderId="9" applyAlignment="1" pivotButton="0" quotePrefix="0" xfId="0">
      <alignment horizontal="center" vertical="center"/>
    </xf>
    <xf numFmtId="0" fontId="21" fillId="22" borderId="9" applyAlignment="1" pivotButton="0" quotePrefix="0" xfId="0">
      <alignment horizontal="center" vertical="center"/>
    </xf>
    <xf numFmtId="167" fontId="22" fillId="22" borderId="9" applyAlignment="1" pivotButton="0" quotePrefix="0" xfId="0">
      <alignment horizontal="center" vertical="center"/>
    </xf>
    <xf numFmtId="168" fontId="23" fillId="22" borderId="9" applyAlignment="1" pivotButton="0" quotePrefix="0" xfId="0">
      <alignment horizontal="center" vertical="center"/>
    </xf>
    <xf numFmtId="167" fontId="24" fillId="22" borderId="9" applyAlignment="1" pivotButton="0" quotePrefix="0" xfId="0">
      <alignment horizontal="center" vertical="center"/>
    </xf>
    <xf numFmtId="167" fontId="25" fillId="22" borderId="9" applyAlignment="1" pivotButton="0" quotePrefix="0" xfId="0">
      <alignment horizontal="center" vertical="center"/>
    </xf>
    <xf numFmtId="169" fontId="26" fillId="22" borderId="9" applyAlignment="1" pivotButton="0" quotePrefix="0" xfId="0">
      <alignment horizontal="center" vertical="center"/>
    </xf>
    <xf numFmtId="0" fontId="27" fillId="22" borderId="9" applyAlignment="1" pivotButton="0" quotePrefix="0" xfId="0">
      <alignment horizontal="center" vertical="center"/>
    </xf>
    <xf numFmtId="0" fontId="28" fillId="22" borderId="9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5" fillId="21" borderId="9" applyAlignment="1" pivotButton="0" quotePrefix="0" xfId="0">
      <alignment horizontal="center" vertical="center"/>
    </xf>
    <xf numFmtId="167" fontId="36" fillId="21" borderId="9" applyAlignment="1" pivotButton="0" quotePrefix="0" xfId="0">
      <alignment horizontal="center" vertical="center"/>
    </xf>
    <xf numFmtId="168" fontId="37" fillId="21" borderId="9" applyAlignment="1" pivotButton="0" quotePrefix="0" xfId="0">
      <alignment horizontal="center" vertical="center"/>
    </xf>
    <xf numFmtId="167" fontId="35" fillId="21" borderId="9" applyAlignment="1" pivotButton="0" quotePrefix="0" xfId="0">
      <alignment horizontal="center" vertical="center"/>
    </xf>
    <xf numFmtId="167" fontId="38" fillId="21" borderId="9" applyAlignment="1" pivotButton="0" quotePrefix="0" xfId="0">
      <alignment horizontal="center" vertical="center"/>
    </xf>
    <xf numFmtId="169" fontId="39" fillId="21" borderId="9" applyAlignment="1" pivotButton="0" quotePrefix="0" xfId="0">
      <alignment horizontal="center" vertical="center"/>
    </xf>
    <xf numFmtId="167" fontId="37" fillId="21" borderId="9" applyAlignment="1" pivotButton="0" quotePrefix="0" xfId="0">
      <alignment horizontal="center" vertical="center"/>
    </xf>
    <xf numFmtId="166" fontId="40" fillId="21" borderId="13" applyAlignment="1" pivotButton="0" quotePrefix="0" xfId="0">
      <alignment horizontal="center" vertical="center"/>
    </xf>
    <xf numFmtId="0" fontId="41" fillId="21" borderId="9" applyAlignment="1" pivotButton="0" quotePrefix="0" xfId="0">
      <alignment horizontal="center" vertical="center"/>
    </xf>
    <xf numFmtId="0" fontId="42" fillId="21" borderId="9" applyAlignment="1" pivotButton="0" quotePrefix="0" xfId="0">
      <alignment horizontal="center" vertical="center"/>
    </xf>
    <xf numFmtId="167" fontId="43" fillId="29" borderId="13" applyAlignment="1" pivotButton="0" quotePrefix="0" xfId="0">
      <alignment horizontal="center" vertical="center"/>
    </xf>
    <xf numFmtId="168" fontId="43" fillId="18" borderId="13" applyAlignment="1" pivotButton="0" quotePrefix="0" xfId="0">
      <alignment horizontal="center" vertical="center"/>
    </xf>
    <xf numFmtId="167" fontId="44" fillId="21" borderId="9" applyAlignment="1" pivotButton="0" quotePrefix="0" xfId="0">
      <alignment horizontal="center" vertical="center"/>
    </xf>
    <xf numFmtId="167" fontId="45" fillId="19" borderId="9" applyAlignment="1" pivotButton="0" quotePrefix="0" xfId="0">
      <alignment horizontal="center" vertical="center"/>
    </xf>
    <xf numFmtId="167" fontId="46" fillId="21" borderId="9" applyAlignment="1" pivotButton="0" quotePrefix="0" xfId="0">
      <alignment horizontal="center" vertical="center"/>
    </xf>
    <xf numFmtId="169" fontId="47" fillId="21" borderId="9" applyAlignment="1" pivotButton="0" quotePrefix="0" xfId="0">
      <alignment horizontal="center" vertical="center"/>
    </xf>
    <xf numFmtId="0" fontId="48" fillId="21" borderId="9" applyAlignment="1" pivotButton="0" quotePrefix="0" xfId="0">
      <alignment horizontal="left" vertical="center"/>
    </xf>
    <xf numFmtId="167" fontId="49" fillId="21" borderId="9" applyAlignment="1" pivotButton="0" quotePrefix="0" xfId="0">
      <alignment horizontal="center" vertical="center"/>
    </xf>
    <xf numFmtId="167" fontId="22" fillId="16" borderId="9" applyAlignment="1" pivotButton="0" quotePrefix="0" xfId="0">
      <alignment horizontal="center" vertical="center"/>
    </xf>
    <xf numFmtId="167" fontId="25" fillId="19" borderId="9" applyAlignment="1" pivotButton="0" quotePrefix="0" xfId="0">
      <alignment horizontal="center" vertical="center"/>
    </xf>
    <xf numFmtId="0" fontId="41" fillId="22" borderId="9" applyAlignment="1" pivotButton="0" quotePrefix="0" xfId="0">
      <alignment horizontal="center" vertical="center"/>
    </xf>
    <xf numFmtId="0" fontId="42" fillId="22" borderId="9" applyAlignment="1" pivotButton="0" quotePrefix="0" xfId="0">
      <alignment horizontal="center" vertical="center"/>
    </xf>
    <xf numFmtId="167" fontId="43" fillId="30" borderId="13" applyAlignment="1" pivotButton="0" quotePrefix="0" xfId="0">
      <alignment horizontal="center" vertical="center"/>
    </xf>
    <xf numFmtId="168" fontId="43" fillId="31" borderId="13" applyAlignment="1" pivotButton="0" quotePrefix="0" xfId="0">
      <alignment horizontal="center" vertical="center"/>
    </xf>
    <xf numFmtId="167" fontId="44" fillId="22" borderId="9" applyAlignment="1" pivotButton="0" quotePrefix="0" xfId="0">
      <alignment horizontal="center" vertical="center"/>
    </xf>
    <xf numFmtId="167" fontId="45" fillId="32" borderId="9" applyAlignment="1" pivotButton="0" quotePrefix="0" xfId="0">
      <alignment horizontal="center" vertical="center"/>
    </xf>
    <xf numFmtId="167" fontId="46" fillId="22" borderId="9" applyAlignment="1" pivotButton="0" quotePrefix="0" xfId="0">
      <alignment horizontal="center" vertical="center"/>
    </xf>
    <xf numFmtId="169" fontId="47" fillId="22" borderId="9" applyAlignment="1" pivotButton="0" quotePrefix="0" xfId="0">
      <alignment horizontal="center" vertical="center"/>
    </xf>
    <xf numFmtId="0" fontId="48" fillId="22" borderId="9" applyAlignment="1" pivotButton="0" quotePrefix="0" xfId="0">
      <alignment horizontal="left" vertical="center"/>
    </xf>
    <xf numFmtId="167" fontId="49" fillId="22" borderId="9" applyAlignment="1" pivotButton="0" quotePrefix="0" xfId="0">
      <alignment horizontal="center" vertical="center"/>
    </xf>
    <xf numFmtId="167" fontId="22" fillId="33" borderId="9" applyAlignment="1" pivotButton="0" quotePrefix="0" xfId="0">
      <alignment horizontal="center" vertical="center"/>
    </xf>
    <xf numFmtId="167" fontId="25" fillId="34" borderId="9" applyAlignment="1" pivotButton="0" quotePrefix="0" xfId="0">
      <alignment horizontal="center" vertical="center"/>
    </xf>
    <xf numFmtId="0" fontId="13" fillId="15" borderId="9" applyAlignment="1" pivotButton="0" quotePrefix="0" xfId="0">
      <alignment horizontal="center" vertical="center"/>
    </xf>
    <xf numFmtId="167" fontId="50" fillId="19" borderId="9" applyAlignment="1" pivotButton="0" quotePrefix="0" xfId="0">
      <alignment horizontal="center" vertical="center"/>
    </xf>
    <xf numFmtId="167" fontId="51" fillId="20" borderId="9" applyAlignment="1" pivotButton="0" quotePrefix="0" xfId="0">
      <alignment horizontal="center" vertical="center"/>
    </xf>
    <xf numFmtId="167" fontId="52" fillId="18" borderId="9" applyAlignment="1" pivotButton="0" quotePrefix="0" xfId="0">
      <alignment horizontal="center" vertical="center"/>
    </xf>
    <xf numFmtId="167" fontId="53" fillId="35" borderId="9" applyAlignment="1" pivotButton="0" quotePrefix="0" xfId="0">
      <alignment horizontal="center" vertical="center"/>
    </xf>
    <xf numFmtId="170" fontId="54" fillId="21" borderId="13" applyAlignment="1" pivotButton="0" quotePrefix="0" xfId="0">
      <alignment horizontal="center" vertical="center"/>
    </xf>
    <xf numFmtId="0" fontId="40" fillId="21" borderId="9" applyAlignment="1" pivotButton="0" quotePrefix="0" xfId="0">
      <alignment horizontal="center" vertical="center"/>
    </xf>
    <xf numFmtId="0" fontId="40" fillId="21" borderId="9" applyAlignment="1" pivotButton="0" quotePrefix="0" xfId="0">
      <alignment horizontal="left" vertical="center"/>
    </xf>
    <xf numFmtId="167" fontId="43" fillId="19" borderId="13" applyAlignment="1" pivotButton="0" quotePrefix="0" xfId="0">
      <alignment horizontal="center" vertical="center"/>
    </xf>
    <xf numFmtId="0" fontId="40" fillId="22" borderId="9" applyAlignment="1" pivotButton="0" quotePrefix="0" xfId="0">
      <alignment horizontal="left" vertical="center"/>
    </xf>
    <xf numFmtId="0" fontId="40" fillId="22" borderId="9" applyAlignment="1" pivotButton="0" quotePrefix="0" xfId="0">
      <alignment horizontal="center" vertical="center"/>
    </xf>
    <xf numFmtId="167" fontId="43" fillId="34" borderId="13" applyAlignment="1" pivotButton="0" quotePrefix="0" xfId="0">
      <alignment horizontal="center" vertical="center"/>
    </xf>
    <xf numFmtId="170" fontId="54" fillId="21" borderId="13" applyAlignment="1" pivotButton="0" quotePrefix="0" xfId="0">
      <alignment horizontal="center"/>
    </xf>
    <xf numFmtId="0" fontId="40" fillId="22" borderId="14" applyAlignment="1" pivotButton="0" quotePrefix="0" xfId="0">
      <alignment horizontal="center" vertical="center"/>
    </xf>
    <xf numFmtId="170" fontId="55" fillId="21" borderId="13" applyAlignment="1" pivotButton="0" quotePrefix="0" xfId="0">
      <alignment horizontal="center" vertical="center"/>
    </xf>
    <xf numFmtId="0" fontId="56" fillId="21" borderId="9" applyAlignment="1" pivotButton="0" quotePrefix="0" xfId="0">
      <alignment horizontal="center" vertical="center"/>
    </xf>
    <xf numFmtId="0" fontId="56" fillId="21" borderId="9" applyAlignment="1" pivotButton="0" quotePrefix="0" xfId="0">
      <alignment horizontal="left" vertical="center"/>
    </xf>
    <xf numFmtId="167" fontId="57" fillId="19" borderId="13" applyAlignment="1" pivotButton="0" quotePrefix="0" xfId="0">
      <alignment horizontal="center" vertical="center"/>
    </xf>
    <xf numFmtId="0" fontId="58" fillId="21" borderId="9" applyAlignment="1" pivotButton="0" quotePrefix="0" xfId="0">
      <alignment horizontal="center" vertical="center"/>
    </xf>
    <xf numFmtId="0" fontId="59" fillId="21" borderId="9" applyAlignment="1" pivotButton="0" quotePrefix="0" xfId="0">
      <alignment horizontal="left" vertical="center"/>
    </xf>
    <xf numFmtId="168" fontId="60" fillId="22" borderId="9" applyAlignment="1" pivotButton="0" quotePrefix="0" xfId="0">
      <alignment horizontal="center" vertical="center"/>
    </xf>
    <xf numFmtId="168" fontId="61" fillId="20" borderId="9" applyAlignment="1" pivotButton="0" quotePrefix="0" xfId="0">
      <alignment horizontal="center" vertical="center"/>
    </xf>
    <xf numFmtId="168" fontId="50" fillId="19" borderId="9" applyAlignment="1" pivotButton="0" quotePrefix="0" xfId="0">
      <alignment horizontal="center" vertical="center"/>
    </xf>
    <xf numFmtId="170" fontId="52" fillId="18" borderId="9" applyAlignment="1" pivotButton="0" quotePrefix="0" xfId="0">
      <alignment horizontal="center" vertical="center"/>
    </xf>
    <xf numFmtId="0" fontId="62" fillId="21" borderId="9" applyAlignment="1" pivotButton="0" quotePrefix="0" xfId="0">
      <alignment horizontal="left" vertical="center"/>
    </xf>
    <xf numFmtId="168" fontId="43" fillId="36" borderId="13" applyAlignment="1" pivotButton="0" quotePrefix="0" xfId="0">
      <alignment horizontal="center" vertical="center"/>
    </xf>
    <xf numFmtId="168" fontId="63" fillId="21" borderId="9" applyAlignment="1" pivotButton="0" quotePrefix="0" xfId="0">
      <alignment horizontal="center" vertical="center"/>
    </xf>
    <xf numFmtId="167" fontId="40" fillId="21" borderId="9" applyAlignment="1" pivotButton="0" quotePrefix="0" xfId="0">
      <alignment horizontal="center" vertical="center"/>
    </xf>
    <xf numFmtId="167" fontId="64" fillId="17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center" vertical="center"/>
    </xf>
    <xf numFmtId="0" fontId="66" fillId="21" borderId="9" applyAlignment="1" pivotButton="0" quotePrefix="0" xfId="0">
      <alignment horizontal="left" vertical="center"/>
    </xf>
    <xf numFmtId="0" fontId="62" fillId="22" borderId="9" applyAlignment="1" pivotButton="0" quotePrefix="0" xfId="0">
      <alignment horizontal="left" vertical="center"/>
    </xf>
    <xf numFmtId="168" fontId="43" fillId="37" borderId="13" applyAlignment="1" pivotButton="0" quotePrefix="0" xfId="0">
      <alignment horizontal="center" vertical="center"/>
    </xf>
    <xf numFmtId="168" fontId="63" fillId="22" borderId="9" applyAlignment="1" pivotButton="0" quotePrefix="0" xfId="0">
      <alignment horizontal="center" vertical="center"/>
    </xf>
    <xf numFmtId="167" fontId="40" fillId="22" borderId="9" applyAlignment="1" pivotButton="0" quotePrefix="0" xfId="0">
      <alignment horizontal="center" vertical="center"/>
    </xf>
    <xf numFmtId="167" fontId="64" fillId="38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center" vertical="center"/>
    </xf>
    <xf numFmtId="0" fontId="66" fillId="22" borderId="9" applyAlignment="1" pivotButton="0" quotePrefix="0" xfId="0">
      <alignment horizontal="left" vertical="center"/>
    </xf>
    <xf numFmtId="0" fontId="40" fillId="21" borderId="13" applyAlignment="1" pivotButton="0" quotePrefix="0" xfId="0">
      <alignment horizontal="left" vertical="center"/>
    </xf>
    <xf numFmtId="0" fontId="63" fillId="21" borderId="9" applyAlignment="1" pivotButton="0" quotePrefix="0" xfId="0">
      <alignment horizontal="center" vertical="center"/>
    </xf>
    <xf numFmtId="167" fontId="54" fillId="21" borderId="9" applyAlignment="1" pivotButton="0" quotePrefix="0" xfId="0">
      <alignment horizontal="center" vertical="center"/>
    </xf>
    <xf numFmtId="0" fontId="20" fillId="21" borderId="9" applyAlignment="1" pivotButton="0" quotePrefix="0" xfId="0">
      <alignment horizontal="center" vertical="center"/>
    </xf>
    <xf numFmtId="168" fontId="40" fillId="18" borderId="9" applyAlignment="1" pivotButton="0" quotePrefix="0" xfId="0">
      <alignment horizontal="center" vertical="center"/>
    </xf>
    <xf numFmtId="167" fontId="67" fillId="16" borderId="9" applyAlignment="1" pivotButton="0" quotePrefix="0" xfId="0">
      <alignment horizontal="center" vertical="center"/>
    </xf>
    <xf numFmtId="0" fontId="63" fillId="22" borderId="9" applyAlignment="1" pivotButton="0" quotePrefix="0" xfId="0">
      <alignment horizontal="center" vertical="center"/>
    </xf>
    <xf numFmtId="167" fontId="54" fillId="22" borderId="9" applyAlignment="1" pivotButton="0" quotePrefix="0" xfId="0">
      <alignment horizontal="center" vertical="center"/>
    </xf>
    <xf numFmtId="0" fontId="20" fillId="22" borderId="9" applyAlignment="1" pivotButton="0" quotePrefix="0" xfId="0">
      <alignment horizontal="center" vertical="center"/>
    </xf>
    <xf numFmtId="168" fontId="40" fillId="39" borderId="9" applyAlignment="1" pivotButton="0" quotePrefix="0" xfId="0">
      <alignment horizontal="center" vertical="center"/>
    </xf>
    <xf numFmtId="167" fontId="67" fillId="33" borderId="9" applyAlignment="1" pivotButton="0" quotePrefix="0" xfId="0">
      <alignment horizontal="center" vertical="center"/>
    </xf>
    <xf numFmtId="168" fontId="51" fillId="12" borderId="9" applyAlignment="1" pivotButton="0" quotePrefix="0" xfId="0">
      <alignment horizontal="center" vertical="center"/>
    </xf>
    <xf numFmtId="167" fontId="69" fillId="12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left" vertical="center"/>
    </xf>
    <xf numFmtId="167" fontId="70" fillId="21" borderId="9" applyAlignment="1" pivotButton="0" quotePrefix="0" xfId="0">
      <alignment horizontal="center" vertical="center"/>
    </xf>
    <xf numFmtId="168" fontId="40" fillId="21" borderId="9" applyAlignment="1" pivotButton="0" quotePrefix="0" xfId="0">
      <alignment horizontal="center" vertical="center"/>
    </xf>
    <xf numFmtId="167" fontId="46" fillId="16" borderId="9" applyAlignment="1" pivotButton="0" quotePrefix="0" xfId="0">
      <alignment horizontal="center" vertical="center"/>
    </xf>
    <xf numFmtId="169" fontId="40" fillId="21" borderId="9" applyAlignment="1" pivotButton="0" quotePrefix="0" xfId="0">
      <alignment horizontal="center" vertical="center"/>
    </xf>
    <xf numFmtId="167" fontId="71" fillId="19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left" vertical="center"/>
    </xf>
    <xf numFmtId="167" fontId="70" fillId="22" borderId="9" applyAlignment="1" pivotButton="0" quotePrefix="0" xfId="0">
      <alignment horizontal="center" vertical="center"/>
    </xf>
    <xf numFmtId="168" fontId="40" fillId="22" borderId="9" applyAlignment="1" pivotButton="0" quotePrefix="0" xfId="0">
      <alignment horizontal="center" vertical="center"/>
    </xf>
    <xf numFmtId="167" fontId="46" fillId="33" borderId="9" applyAlignment="1" pivotButton="0" quotePrefix="0" xfId="0">
      <alignment horizontal="center" vertical="center"/>
    </xf>
    <xf numFmtId="169" fontId="40" fillId="22" borderId="9" applyAlignment="1" pivotButton="0" quotePrefix="0" xfId="0">
      <alignment horizontal="center" vertical="center"/>
    </xf>
    <xf numFmtId="167" fontId="71" fillId="34" borderId="9" applyAlignment="1" pivotButton="0" quotePrefix="0" xfId="0">
      <alignment horizontal="center" vertical="center"/>
    </xf>
    <xf numFmtId="168" fontId="51" fillId="20" borderId="9" applyAlignment="1" pivotButton="0" quotePrefix="0" xfId="0">
      <alignment horizontal="center" vertical="center"/>
    </xf>
    <xf numFmtId="168" fontId="52" fillId="18" borderId="9" applyAlignment="1" pivotButton="0" quotePrefix="0" xfId="0">
      <alignment horizontal="center" vertical="center"/>
    </xf>
    <xf numFmtId="168" fontId="72" fillId="16" borderId="9" applyAlignment="1" pivotButton="0" quotePrefix="0" xfId="0">
      <alignment horizontal="center" vertical="center"/>
    </xf>
    <xf numFmtId="167" fontId="73" fillId="17" borderId="9" applyAlignment="1" pivotButton="0" quotePrefix="0" xfId="0">
      <alignment horizontal="center" vertical="center"/>
    </xf>
    <xf numFmtId="168" fontId="54" fillId="18" borderId="13" applyAlignment="1" pivotButton="0" quotePrefix="0" xfId="0">
      <alignment horizontal="center" vertical="center"/>
    </xf>
    <xf numFmtId="167" fontId="43" fillId="20" borderId="13" applyAlignment="1" pivotButton="0" quotePrefix="0" xfId="0">
      <alignment horizontal="center" vertical="center"/>
    </xf>
    <xf numFmtId="170" fontId="40" fillId="21" borderId="9" applyAlignment="1" pivotButton="0" quotePrefix="0" xfId="0">
      <alignment horizontal="center" vertical="center"/>
    </xf>
    <xf numFmtId="167" fontId="74" fillId="17" borderId="9" applyAlignment="1" pivotButton="0" quotePrefix="0" xfId="0">
      <alignment horizontal="center" vertical="center"/>
    </xf>
    <xf numFmtId="168" fontId="54" fillId="39" borderId="13" applyAlignment="1" pivotButton="0" quotePrefix="0" xfId="0">
      <alignment horizontal="center" vertical="center"/>
    </xf>
    <xf numFmtId="167" fontId="43" fillId="40" borderId="13" applyAlignment="1" pivotButton="0" quotePrefix="0" xfId="0">
      <alignment horizontal="center" vertical="center"/>
    </xf>
    <xf numFmtId="170" fontId="40" fillId="22" borderId="9" applyAlignment="1" pivotButton="0" quotePrefix="0" xfId="0">
      <alignment horizontal="center" vertical="center"/>
    </xf>
    <xf numFmtId="167" fontId="74" fillId="38" borderId="9" applyAlignment="1" pivotButton="0" quotePrefix="0" xfId="0">
      <alignment horizontal="center" vertical="center"/>
    </xf>
    <xf numFmtId="0" fontId="62" fillId="15" borderId="9" applyAlignment="1" pivotButton="0" quotePrefix="0" xfId="0">
      <alignment horizontal="right" vertical="center"/>
    </xf>
    <xf numFmtId="0" fontId="52" fillId="21" borderId="13" applyAlignment="1" pivotButton="0" quotePrefix="0" xfId="0">
      <alignment horizontal="center" vertical="center"/>
    </xf>
    <xf numFmtId="0" fontId="70" fillId="22" borderId="9" applyAlignment="1" pivotButton="0" quotePrefix="0" xfId="0">
      <alignment horizontal="left" vertical="center"/>
    </xf>
    <xf numFmtId="0" fontId="45" fillId="22" borderId="9" applyAlignment="1" pivotButton="0" quotePrefix="0" xfId="0">
      <alignment horizontal="left" vertical="center"/>
    </xf>
    <xf numFmtId="167" fontId="45" fillId="22" borderId="9" applyAlignment="1" pivotButton="0" quotePrefix="0" xfId="0">
      <alignment horizontal="center" vertical="center"/>
    </xf>
    <xf numFmtId="0" fontId="45" fillId="21" borderId="9" applyAlignment="1" pivotButton="0" quotePrefix="0" xfId="0">
      <alignment horizontal="left" vertical="center"/>
    </xf>
    <xf numFmtId="167" fontId="45" fillId="21" borderId="9" applyAlignment="1" pivotButton="0" quotePrefix="0" xfId="0">
      <alignment horizontal="center" vertical="center"/>
    </xf>
    <xf numFmtId="0" fontId="75" fillId="19" borderId="9" applyAlignment="1" pivotButton="0" quotePrefix="0" xfId="0">
      <alignment horizontal="left" vertical="center"/>
    </xf>
    <xf numFmtId="0" fontId="67" fillId="16" borderId="9" applyAlignment="1" pivotButton="0" quotePrefix="0" xfId="0">
      <alignment horizontal="left" vertical="center"/>
    </xf>
    <xf numFmtId="0" fontId="46" fillId="20" borderId="9" applyAlignment="1" pivotButton="0" quotePrefix="0" xfId="0">
      <alignment horizontal="left" vertical="center"/>
    </xf>
    <xf numFmtId="169" fontId="70" fillId="20" borderId="9" applyAlignment="1" pivotButton="0" quotePrefix="0" xfId="0">
      <alignment horizontal="center" vertical="center"/>
    </xf>
    <xf numFmtId="0" fontId="43" fillId="18" borderId="9" applyAlignment="1" pivotButton="0" quotePrefix="0" xfId="0">
      <alignment horizontal="left" vertical="center"/>
    </xf>
    <xf numFmtId="167" fontId="54" fillId="18" borderId="9" applyAlignment="1" pivotButton="0" quotePrefix="0" xfId="0">
      <alignment horizontal="center" vertical="center"/>
    </xf>
    <xf numFmtId="0" fontId="54" fillId="18" borderId="9" applyAlignment="1" pivotButton="0" quotePrefix="0" xfId="0">
      <alignment horizontal="left" vertical="center"/>
    </xf>
    <xf numFmtId="169" fontId="40" fillId="18" borderId="9" applyAlignment="1" pivotButton="0" quotePrefix="0" xfId="0">
      <alignment horizontal="center" vertical="center"/>
    </xf>
    <xf numFmtId="168" fontId="65" fillId="21" borderId="9" applyAlignment="1" pivotButton="0" quotePrefix="0" xfId="0">
      <alignment horizontal="center" vertical="center"/>
    </xf>
    <xf numFmtId="167" fontId="65" fillId="22" borderId="9" applyAlignment="1" pivotButton="0" quotePrefix="0" xfId="0">
      <alignment horizontal="center" vertical="center"/>
    </xf>
    <xf numFmtId="167" fontId="40" fillId="19" borderId="9" applyAlignment="1" pivotButton="0" quotePrefix="0" xfId="0">
      <alignment horizontal="center" vertical="center"/>
    </xf>
    <xf numFmtId="167" fontId="40" fillId="16" borderId="9" applyAlignment="1" pivotButton="0" quotePrefix="0" xfId="0">
      <alignment horizontal="center" vertical="center"/>
    </xf>
    <xf numFmtId="0" fontId="43" fillId="22" borderId="9" applyAlignment="1" pivotButton="0" quotePrefix="0" xfId="0">
      <alignment horizontal="left" vertical="center"/>
    </xf>
    <xf numFmtId="0" fontId="70" fillId="21" borderId="9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171" fontId="0" fillId="0" borderId="0" pivotButton="0" quotePrefix="0" xfId="0"/>
    <xf numFmtId="0" fontId="10" fillId="12" borderId="0" applyAlignment="1" pivotButton="0" quotePrefix="0" xfId="0">
      <alignment horizontal="right" vertical="center"/>
    </xf>
    <xf numFmtId="0" fontId="0" fillId="0" borderId="0" pivotButton="0" quotePrefix="0" xfId="0"/>
    <xf numFmtId="0" fontId="9" fillId="12" borderId="0" applyAlignment="1" pivotButton="0" quotePrefix="0" xfId="0">
      <alignment horizontal="left" vertical="center"/>
    </xf>
    <xf numFmtId="0" fontId="11" fillId="14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8" fillId="1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1" pivotButton="0" quotePrefix="0" xfId="0"/>
    <xf numFmtId="165" fontId="4" fillId="5" borderId="1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8" borderId="1" applyAlignment="1" pivotButton="0" quotePrefix="0" xfId="0">
      <alignment horizontal="left" vertical="center"/>
    </xf>
    <xf numFmtId="0" fontId="28" fillId="22" borderId="9" applyAlignment="1" pivotButton="0" quotePrefix="0" xfId="0">
      <alignment horizontal="center" vertical="center"/>
    </xf>
    <xf numFmtId="0" fontId="0" fillId="0" borderId="5" pivotButton="0" quotePrefix="0" xfId="0"/>
    <xf numFmtId="0" fontId="29" fillId="2" borderId="0" applyAlignment="1" pivotButton="0" quotePrefix="0" xfId="0">
      <alignment horizontal="left" vertical="center"/>
    </xf>
    <xf numFmtId="0" fontId="13" fillId="15" borderId="4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7" fontId="15" fillId="17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0" fillId="21" borderId="4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167" fontId="17" fillId="19" borderId="6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8" fontId="9" fillId="20" borderId="6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5" fontId="31" fillId="5" borderId="1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20" fillId="22" borderId="4" applyAlignment="1" pivotButton="0" quotePrefix="0" xfId="0">
      <alignment horizontal="left" vertical="center"/>
    </xf>
    <xf numFmtId="0" fontId="28" fillId="21" borderId="9" applyAlignment="1" pivotButton="0" quotePrefix="0" xfId="0">
      <alignment horizontal="center" vertical="center"/>
    </xf>
    <xf numFmtId="165" fontId="7" fillId="9" borderId="1" applyAlignment="1" pivotButton="0" quotePrefix="0" xfId="0">
      <alignment horizontal="center" vertical="center"/>
    </xf>
    <xf numFmtId="165" fontId="31" fillId="26" borderId="1" applyAlignment="1" pivotButton="0" quotePrefix="0" xfId="0">
      <alignment horizontal="center" vertical="center"/>
    </xf>
    <xf numFmtId="165" fontId="31" fillId="27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5" fontId="31" fillId="25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center" vertical="center"/>
    </xf>
    <xf numFmtId="168" fontId="23" fillId="21" borderId="4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center" vertical="center"/>
    </xf>
    <xf numFmtId="167" fontId="16" fillId="18" borderId="6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168" fontId="27" fillId="21" borderId="4" applyAlignment="1" pivotButton="0" quotePrefix="0" xfId="0">
      <alignment horizontal="center" vertical="center"/>
    </xf>
    <xf numFmtId="167" fontId="14" fillId="16" borderId="6" applyAlignment="1" pivotButton="0" quotePrefix="0" xfId="0">
      <alignment horizontal="center" vertical="center"/>
    </xf>
    <xf numFmtId="165" fontId="31" fillId="24" borderId="1" applyAlignment="1" pivotButton="0" quotePrefix="0" xfId="0">
      <alignment horizontal="center" vertical="center"/>
    </xf>
    <xf numFmtId="168" fontId="16" fillId="18" borderId="6" applyAlignment="1" pivotButton="0" quotePrefix="0" xfId="0">
      <alignment horizontal="center" vertical="center"/>
    </xf>
    <xf numFmtId="0" fontId="20" fillId="21" borderId="4" applyAlignment="1" pivotButton="0" quotePrefix="0" xfId="0">
      <alignment horizontal="left" vertical="center"/>
    </xf>
    <xf numFmtId="0" fontId="32" fillId="24" borderId="1" applyAlignment="1" pivotButton="0" quotePrefix="0" xfId="0">
      <alignment horizontal="center" vertical="center"/>
    </xf>
    <xf numFmtId="169" fontId="14" fillId="16" borderId="6" applyAlignment="1" pivotButton="0" quotePrefix="0" xfId="0">
      <alignment horizontal="center" vertical="center"/>
    </xf>
    <xf numFmtId="168" fontId="18" fillId="20" borderId="6" applyAlignment="1" pivotButton="0" quotePrefix="0" xfId="0">
      <alignment horizontal="center" vertical="center"/>
    </xf>
    <xf numFmtId="0" fontId="30" fillId="27" borderId="1" applyAlignment="1" pivotButton="0" quotePrefix="0" xfId="0">
      <alignment horizontal="center" vertical="center"/>
    </xf>
    <xf numFmtId="0" fontId="32" fillId="26" borderId="1" applyAlignment="1" pivotButton="0" quotePrefix="0" xfId="0">
      <alignment horizontal="center" vertical="center"/>
    </xf>
    <xf numFmtId="0" fontId="32" fillId="2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0" fontId="33" fillId="4" borderId="0" applyAlignment="1" pivotButton="0" quotePrefix="0" xfId="0">
      <alignment horizontal="left" vertical="center"/>
    </xf>
    <xf numFmtId="168" fontId="23" fillId="22" borderId="4" applyAlignment="1" pivotButton="0" quotePrefix="0" xfId="0">
      <alignment horizontal="center" vertical="center"/>
    </xf>
    <xf numFmtId="168" fontId="27" fillId="22" borderId="4" applyAlignment="1" pivotButton="0" quotePrefix="0" xfId="0">
      <alignment horizontal="center" vertical="center"/>
    </xf>
    <xf numFmtId="0" fontId="20" fillId="22" borderId="4" applyAlignment="1" pivotButton="0" quotePrefix="0" xfId="0">
      <alignment horizontal="center" vertical="center"/>
    </xf>
    <xf numFmtId="0" fontId="30" fillId="23" borderId="1" applyAlignment="1" pivotButton="0" quotePrefix="0" xfId="0">
      <alignment horizontal="center" vertical="center"/>
    </xf>
    <xf numFmtId="167" fontId="9" fillId="20" borderId="6" applyAlignment="1" pivotButton="0" quotePrefix="0" xfId="0">
      <alignment horizontal="center" vertical="center"/>
    </xf>
    <xf numFmtId="165" fontId="31" fillId="23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center" vertical="center"/>
    </xf>
    <xf numFmtId="0" fontId="32" fillId="23" borderId="1" applyAlignment="1" pivotButton="0" quotePrefix="0" xfId="0">
      <alignment horizontal="center" vertical="center"/>
    </xf>
    <xf numFmtId="0" fontId="32" fillId="5" borderId="1" applyAlignment="1" pivotButton="0" quotePrefix="0" xfId="0">
      <alignment horizontal="center" vertical="center"/>
    </xf>
    <xf numFmtId="0" fontId="30" fillId="25" borderId="1" applyAlignment="1" pivotButton="0" quotePrefix="0" xfId="0">
      <alignment horizontal="center" vertical="center"/>
    </xf>
    <xf numFmtId="0" fontId="32" fillId="25" borderId="1" applyAlignment="1" pivotButton="0" quotePrefix="0" xfId="0">
      <alignment horizontal="center" vertical="center"/>
    </xf>
    <xf numFmtId="0" fontId="34" fillId="28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center" vertical="center"/>
    </xf>
    <xf numFmtId="0" fontId="30" fillId="24" borderId="1" applyAlignment="1" pivotButton="0" quotePrefix="0" xfId="0">
      <alignment horizontal="center" vertical="center"/>
    </xf>
    <xf numFmtId="0" fontId="48" fillId="20" borderId="4" applyAlignment="1" pivotButton="0" quotePrefix="0" xfId="0">
      <alignment horizontal="left" vertical="center"/>
    </xf>
    <xf numFmtId="0" fontId="68" fillId="12" borderId="4" applyAlignment="1" pivotButton="0" quotePrefix="0" xfId="0">
      <alignment horizontal="center" vertical="center"/>
    </xf>
    <xf numFmtId="0" fontId="68" fillId="12" borderId="9" applyAlignment="1" pivotButton="0" quotePrefix="0" xfId="0">
      <alignment horizontal="center" vertical="center"/>
    </xf>
    <xf numFmtId="170" fontId="51" fillId="12" borderId="4" applyAlignment="1" pivotButton="0" quotePrefix="0" xfId="0">
      <alignment horizontal="left" vertical="center"/>
    </xf>
    <xf numFmtId="172" fontId="0" fillId="0" borderId="0" pivotButton="0" quotePrefix="0" xfId="0"/>
    <xf numFmtId="0" fontId="0" fillId="0" borderId="21" pivotButton="0" quotePrefix="0" xfId="0"/>
    <xf numFmtId="0" fontId="0" fillId="0" borderId="22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4"/>
  <sheetViews>
    <sheetView topLeftCell="A11" zoomScaleNormal="100" workbookViewId="0">
      <selection activeCell="A1" sqref="A1"/>
    </sheetView>
  </sheetViews>
  <sheetFormatPr baseColWidth="8" defaultRowHeight="14.4" customHeight="1"/>
  <cols>
    <col width="3" customWidth="1" style="186" min="1" max="1"/>
    <col width="36" customWidth="1" style="186" min="2" max="2"/>
    <col width="18" customWidth="1" style="186" min="3" max="3"/>
    <col width="20" customWidth="1" style="186" min="4" max="6"/>
    <col width="24" customWidth="1" style="186" min="7" max="7"/>
    <col width="26" customWidth="1" style="186" min="8" max="8"/>
  </cols>
  <sheetData>
    <row r="1" ht="36" customHeight="1" s="186">
      <c r="B1" s="191" t="inlineStr">
        <is>
          <t>LOKA  —  CAPITAL, OWNERSHIP &amp; PRE-OPENING EXPENSES</t>
        </is>
      </c>
    </row>
    <row r="2" ht="24" customHeight="1" s="186">
      <c r="B2" s="193" t="inlineStr">
        <is>
          <t>Last updated: 25 May 2026  |  Blue = hardcoded inputs   Yellow = add new expenses here</t>
        </is>
      </c>
    </row>
    <row r="4" ht="25.95" customHeight="1" s="186">
      <c r="B4" s="192" t="inlineStr">
        <is>
          <t xml:space="preserve">  A.  OWNERSHIP STRUCTURE</t>
        </is>
      </c>
    </row>
    <row r="5" ht="22.05" customHeight="1" s="186">
      <c r="B5" s="229" t="inlineStr">
        <is>
          <t>Owner</t>
        </is>
      </c>
      <c r="C5" s="229" t="inlineStr">
        <is>
          <t>Share %</t>
        </is>
      </c>
      <c r="D5" s="229" t="inlineStr">
        <is>
          <t>Capital ($)</t>
        </is>
      </c>
      <c r="E5" s="229" t="inlineStr">
        <is>
          <t>Expenses ($)</t>
        </is>
      </c>
      <c r="F5" s="229" t="inlineStr">
        <is>
          <t>Remaining ($)</t>
        </is>
      </c>
      <c r="G5" s="229" t="inlineStr">
        <is>
          <t>Role / Notes</t>
        </is>
      </c>
    </row>
    <row r="6" ht="19.95" customHeight="1" s="186">
      <c r="B6" s="2" t="inlineStr">
        <is>
          <t>Lohith Reddy</t>
        </is>
      </c>
      <c r="C6" s="3" t="n">
        <v>0.5</v>
      </c>
      <c r="D6" s="4" t="n">
        <v>300000</v>
      </c>
      <c r="E6" s="5">
        <f>D47</f>
        <v/>
      </c>
      <c r="F6" s="5">
        <f>D6-E6</f>
        <v/>
      </c>
      <c r="G6" s="2" t="inlineStr">
        <is>
          <t>50% — Managing Partner</t>
        </is>
      </c>
    </row>
    <row r="7" ht="19.95" customHeight="1" s="186">
      <c r="B7" s="6" t="inlineStr">
        <is>
          <t>Kashigoud Patil</t>
        </is>
      </c>
      <c r="C7" s="7" t="n">
        <v>0.3</v>
      </c>
      <c r="D7" s="8" t="n">
        <v>180000</v>
      </c>
      <c r="E7" s="9">
        <f>D34</f>
        <v/>
      </c>
      <c r="F7" s="9">
        <f>D7-E7</f>
        <v/>
      </c>
      <c r="G7" s="6" t="inlineStr">
        <is>
          <t>30% — Partner</t>
        </is>
      </c>
    </row>
    <row r="8" ht="19.95" customHeight="1" s="186">
      <c r="B8" s="2" t="inlineStr">
        <is>
          <t>Shashirekha Basavaraju</t>
        </is>
      </c>
      <c r="C8" s="3" t="n">
        <v>0.2</v>
      </c>
      <c r="D8" s="4" t="n">
        <v>120000</v>
      </c>
      <c r="E8" s="5">
        <f>D59</f>
        <v/>
      </c>
      <c r="F8" s="5">
        <f>D8-E8</f>
        <v/>
      </c>
      <c r="G8" s="2" t="inlineStr">
        <is>
          <t>20% — Partner</t>
        </is>
      </c>
    </row>
    <row r="9" ht="22.05" customHeight="1" s="186">
      <c r="B9" s="195" t="inlineStr">
        <is>
          <t>TOTAL</t>
        </is>
      </c>
      <c r="C9" s="213">
        <f>SUM(C6:C8)</f>
        <v/>
      </c>
      <c r="D9" s="198">
        <f>SUM(D6:D8)</f>
        <v/>
      </c>
      <c r="E9" s="198">
        <f>SUM(E6:E8)</f>
        <v/>
      </c>
      <c r="F9" s="198">
        <f>SUM(F6:F8)</f>
        <v/>
      </c>
      <c r="G9" s="229" t="n"/>
    </row>
    <row r="11" ht="25.95" customHeight="1" s="186">
      <c r="B11" s="194" t="inlineStr">
        <is>
          <t xml:space="preserve">  B.  RESTAURANT ACQUISITION  —  $390,000 TOTAL</t>
        </is>
      </c>
    </row>
    <row r="12" ht="22.05" customHeight="1" s="186">
      <c r="B12" s="229" t="inlineStr">
        <is>
          <t>Description</t>
        </is>
      </c>
      <c r="C12" s="229" t="inlineStr">
        <is>
          <t>Date</t>
        </is>
      </c>
      <c r="D12" s="229" t="inlineStr">
        <is>
          <t>Amount ($)</t>
        </is>
      </c>
      <c r="E12" s="229" t="inlineStr">
        <is>
          <t>Paid By</t>
        </is>
      </c>
      <c r="F12" s="229" t="inlineStr">
        <is>
          <t>Status</t>
        </is>
      </c>
      <c r="G12" s="229" t="inlineStr">
        <is>
          <t>Notes</t>
        </is>
      </c>
    </row>
    <row r="13" ht="19.95" customHeight="1" s="186">
      <c r="B13" s="2" t="inlineStr">
        <is>
          <t>TOTAL Purchase Price — Previous Owners</t>
        </is>
      </c>
      <c r="C13" s="13" t="n"/>
      <c r="D13" s="4" t="n">
        <v>390000</v>
      </c>
      <c r="E13" s="2" t="inlineStr">
        <is>
          <t>All Partners</t>
        </is>
      </c>
      <c r="F13" s="2" t="inlineStr">
        <is>
          <t>⚠️ PARTIALLY PAID — $164,500 remaining</t>
        </is>
      </c>
      <c r="G13" s="2" t="inlineStr">
        <is>
          <t>Full acquisition amount</t>
        </is>
      </c>
    </row>
    <row r="14" ht="19.95" customHeight="1" s="186">
      <c r="B14" s="14" t="inlineStr">
        <is>
          <t>Advance Payment (paid by Lohith)</t>
        </is>
      </c>
      <c r="C14" s="15" t="n"/>
      <c r="D14" s="16" t="n">
        <v>5000</v>
      </c>
      <c r="E14" s="14" t="inlineStr">
        <is>
          <t>Lohith Reddy</t>
        </is>
      </c>
      <c r="F14" s="14" t="inlineStr">
        <is>
          <t>✅ PAID</t>
        </is>
      </c>
      <c r="G14" s="14" t="inlineStr">
        <is>
          <t>Advance to previous owners</t>
        </is>
      </c>
    </row>
    <row r="15" ht="19.95" customHeight="1" s="186">
      <c r="B15" t="inlineStr">
        <is>
          <t>Payment to Previous Owners</t>
        </is>
      </c>
      <c r="C15" s="184" t="n">
        <v>46176</v>
      </c>
      <c r="D15" t="n">
        <v>95000</v>
      </c>
      <c r="E15" t="inlineStr">
        <is>
          <t>Lohith Reddy</t>
        </is>
      </c>
      <c r="F15" t="inlineStr">
        <is>
          <t>✅ PAID</t>
        </is>
      </c>
      <c r="G15" t="inlineStr">
        <is>
          <t>Paid from restaurant operating balance — 3 Jun 2026</t>
        </is>
      </c>
    </row>
    <row r="16">
      <c r="B16" t="inlineStr">
        <is>
          <t>Payment to Previous Owner — Account 1</t>
        </is>
      </c>
      <c r="C16" s="266" t="n">
        <v>46177</v>
      </c>
      <c r="D16" t="n">
        <v>8000</v>
      </c>
      <c r="E16" t="inlineStr">
        <is>
          <t>Lohith Reddy</t>
        </is>
      </c>
      <c r="F16" t="inlineStr">
        <is>
          <t>✅ PAID</t>
        </is>
      </c>
      <c r="G16" t="inlineStr">
        <is>
          <t>Capital payment — from main budget — transferred to different accounts</t>
        </is>
      </c>
    </row>
    <row r="17" ht="19.95" customHeight="1" s="186">
      <c r="B17" t="inlineStr">
        <is>
          <t>Payment to Previous Owner — Account 2</t>
        </is>
      </c>
    </row>
    <row r="18" ht="22.05" customHeight="1" s="186">
      <c r="B18" t="inlineStr">
        <is>
          <t>Payment to Previous Owner — Account 3</t>
        </is>
      </c>
      <c r="C18" s="266" t="n">
        <v>46177</v>
      </c>
      <c r="D18" t="n">
        <v>15000</v>
      </c>
      <c r="E18" t="inlineStr">
        <is>
          <t>Lohith Reddy</t>
        </is>
      </c>
      <c r="F18" t="inlineStr">
        <is>
          <t>✅ PAID</t>
        </is>
      </c>
      <c r="G18" t="inlineStr">
        <is>
          <t>Capital payment — from main budget — transferred to different accounts</t>
        </is>
      </c>
    </row>
    <row r="19" ht="19.95" customHeight="1" s="186">
      <c r="B19" t="inlineStr">
        <is>
          <t>Payment to Previous Owner — Account 4</t>
        </is>
      </c>
      <c r="C19" s="266" t="n">
        <v>46177</v>
      </c>
      <c r="D19" t="n">
        <v>10000</v>
      </c>
      <c r="E19" t="inlineStr">
        <is>
          <t>Lohith Reddy</t>
        </is>
      </c>
      <c r="F19" t="inlineStr">
        <is>
          <t>✅ PAID</t>
        </is>
      </c>
      <c r="G19" t="inlineStr">
        <is>
          <t>Capital payment — from main budget — transferred to different accounts</t>
        </is>
      </c>
    </row>
    <row r="20" ht="19.95" customHeight="1" s="186">
      <c r="B20" t="inlineStr">
        <is>
          <t>Payment to Previous Owner — Account 5</t>
        </is>
      </c>
      <c r="C20" s="266" t="n">
        <v>46177</v>
      </c>
      <c r="D20" t="n">
        <v>44000</v>
      </c>
      <c r="E20" t="inlineStr">
        <is>
          <t>Lohith Reddy</t>
        </is>
      </c>
      <c r="F20" t="inlineStr">
        <is>
          <t>✅ PAID</t>
        </is>
      </c>
      <c r="G20" t="inlineStr">
        <is>
          <t>Capital payment — from main budget — transferred to different accounts</t>
        </is>
      </c>
    </row>
    <row r="21" ht="19.95" customHeight="1" s="186">
      <c r="B21" t="inlineStr">
        <is>
          <t>Payment to Previous Owner — Account 6</t>
        </is>
      </c>
      <c r="C21" s="266" t="n">
        <v>46177</v>
      </c>
      <c r="D21" t="n">
        <v>44000</v>
      </c>
      <c r="E21" t="inlineStr">
        <is>
          <t>Lohith Reddy</t>
        </is>
      </c>
      <c r="F21" t="inlineStr">
        <is>
          <t>✅ PAID</t>
        </is>
      </c>
      <c r="G21" t="inlineStr">
        <is>
          <t>Capital payment — from main budget — transferred to different accounts</t>
        </is>
      </c>
    </row>
    <row r="22" ht="19.95" customHeight="1" s="186">
      <c r="B22" s="17" t="inlineStr">
        <is>
          <t>Balance Remaining</t>
        </is>
      </c>
      <c r="C22" s="18" t="n"/>
      <c r="D22" s="19">
        <f>D13-SUM(D14:D21)</f>
        <v/>
      </c>
      <c r="E22" s="17" t="inlineStr">
        <is>
          <t>—</t>
        </is>
      </c>
      <c r="F22" s="17" t="inlineStr">
        <is>
          <t>⏳ PENDING</t>
        </is>
      </c>
      <c r="G22" s="17" t="inlineStr">
        <is>
          <t>$390,000 total − $225,500 paid = $164,500 remaining</t>
        </is>
      </c>
    </row>
    <row r="24" ht="25.95" customHeight="1" s="186">
      <c r="B24" s="183" t="inlineStr">
        <is>
          <t xml:space="preserve">  PAYMENT BREAKDOWN  —  How the $390,000 will be funded</t>
        </is>
      </c>
    </row>
    <row r="25" ht="22.05" customHeight="1" s="186">
      <c r="B25" s="229" t="inlineStr">
        <is>
          <t>Source</t>
        </is>
      </c>
      <c r="C25" s="229" t="inlineStr">
        <is>
          <t>From</t>
        </is>
      </c>
      <c r="D25" s="229" t="inlineStr">
        <is>
          <t>Amount ($)</t>
        </is>
      </c>
      <c r="E25" s="229" t="inlineStr">
        <is>
          <t>Toward %</t>
        </is>
      </c>
      <c r="F25" s="229" t="inlineStr">
        <is>
          <t>Cumulative</t>
        </is>
      </c>
      <c r="G25" s="229" t="inlineStr">
        <is>
          <t>Notes</t>
        </is>
      </c>
    </row>
    <row r="26" ht="19.95" customHeight="1" s="186">
      <c r="B26" s="2" t="inlineStr">
        <is>
          <t>Kashigoud Transfer to Lohith</t>
        </is>
      </c>
      <c r="C26" s="2" t="inlineStr">
        <is>
          <t>Kashigoud Patil</t>
        </is>
      </c>
      <c r="D26" s="4" t="n">
        <v>125000</v>
      </c>
      <c r="E26" s="3">
        <f>D19/390000</f>
        <v/>
      </c>
      <c r="F26" s="20">
        <f>D19</f>
        <v/>
      </c>
      <c r="G26" s="2" t="inlineStr">
        <is>
          <t>Full Kashi transfer</t>
        </is>
      </c>
    </row>
    <row r="27" ht="19.95" customHeight="1" s="186">
      <c r="B27" s="6" t="inlineStr">
        <is>
          <t>Shashirekha Transfer to Lohith</t>
        </is>
      </c>
      <c r="C27" s="6" t="inlineStr">
        <is>
          <t>Shashirekha B.</t>
        </is>
      </c>
      <c r="D27" s="8" t="n">
        <v>100000</v>
      </c>
      <c r="E27" s="7">
        <f>D20/390000</f>
        <v/>
      </c>
      <c r="F27" s="21">
        <f>D19+D20</f>
        <v/>
      </c>
      <c r="G27" s="6" t="inlineStr">
        <is>
          <t>Full Shashi transfer</t>
        </is>
      </c>
    </row>
    <row r="28" ht="19.95" customHeight="1" s="186">
      <c r="B28" s="2" t="inlineStr">
        <is>
          <t>Lohith Reddy (own funds)</t>
        </is>
      </c>
      <c r="C28" s="2" t="inlineStr">
        <is>
          <t>Lohith Reddy</t>
        </is>
      </c>
      <c r="D28" s="20">
        <f>390000-D19-D20</f>
        <v/>
      </c>
      <c r="E28" s="3">
        <f>D21/390000</f>
        <v/>
      </c>
      <c r="F28" s="20">
        <f>D20+D21</f>
        <v/>
      </c>
      <c r="G28" s="2" t="inlineStr">
        <is>
          <t>Balance from Lohith</t>
        </is>
      </c>
    </row>
    <row r="29" ht="19.95" customHeight="1" s="186">
      <c r="B29" s="6" t="inlineStr">
        <is>
          <t>Advance Already Paid</t>
        </is>
      </c>
      <c r="C29" s="6" t="inlineStr">
        <is>
          <t>Lohith Reddy</t>
        </is>
      </c>
      <c r="D29" s="8" t="n">
        <v>5000</v>
      </c>
      <c r="E29" s="7">
        <f>D22/390000</f>
        <v/>
      </c>
      <c r="F29" s="22" t="inlineStr">
        <is>
          <t>Paid ✅</t>
        </is>
      </c>
      <c r="G29" s="6" t="inlineStr">
        <is>
          <t>Already paid</t>
        </is>
      </c>
    </row>
    <row r="30" ht="19.95" customHeight="1" s="186"/>
    <row r="31" ht="19.95" customHeight="1" s="186">
      <c r="B31" s="192" t="inlineStr">
        <is>
          <t xml:space="preserve">  C.  PRE-OPENING EXPENSES — KASHIGOUD PATIL</t>
        </is>
      </c>
    </row>
    <row r="32" ht="19.95" customHeight="1" s="186">
      <c r="B32" s="229" t="inlineStr">
        <is>
          <t>Description</t>
        </is>
      </c>
      <c r="C32" s="229" t="inlineStr">
        <is>
          <t>Date</t>
        </is>
      </c>
      <c r="D32" s="229" t="inlineStr">
        <is>
          <t>Amount ($)</t>
        </is>
      </c>
      <c r="E32" s="229" t="inlineStr">
        <is>
          <t>Paid To</t>
        </is>
      </c>
      <c r="F32" s="229" t="inlineStr">
        <is>
          <t>Category</t>
        </is>
      </c>
      <c r="G32" s="229" t="inlineStr">
        <is>
          <t>Notes</t>
        </is>
      </c>
    </row>
    <row r="33" ht="19.95" customHeight="1" s="186">
      <c r="B33" s="2" t="inlineStr">
        <is>
          <t>Transfer to Lohith Reddy (capital allocation)</t>
        </is>
      </c>
      <c r="C33" s="13" t="n"/>
      <c r="D33" s="4" t="n">
        <v>125000</v>
      </c>
      <c r="E33" s="2" t="inlineStr">
        <is>
          <t>Bank → Lohith</t>
        </is>
      </c>
      <c r="F33" s="2" t="inlineStr">
        <is>
          <t>Internal Transfer</t>
        </is>
      </c>
      <c r="G33" s="2" t="inlineStr">
        <is>
          <t>For acquisition &amp; expenses</t>
        </is>
      </c>
    </row>
    <row r="34" ht="22.05" customHeight="1" s="186">
      <c r="B34" s="6" t="inlineStr">
        <is>
          <t>Soft Restaurant License &amp; Tools</t>
        </is>
      </c>
      <c r="C34" s="22" t="n"/>
      <c r="D34" s="8" t="n">
        <v>15195</v>
      </c>
      <c r="E34" s="6" t="inlineStr">
        <is>
          <t>Soft App</t>
        </is>
      </c>
      <c r="F34" s="6" t="inlineStr">
        <is>
          <t>Software / License</t>
        </is>
      </c>
      <c r="G34" s="6" t="inlineStr">
        <is>
          <t>POS + mgmt tools</t>
        </is>
      </c>
    </row>
    <row r="35">
      <c r="B35" s="2" t="inlineStr">
        <is>
          <t>Mercado Pago Terminal</t>
        </is>
      </c>
      <c r="C35" s="13" t="n"/>
      <c r="D35" s="4" t="n">
        <v>500</v>
      </c>
      <c r="E35" s="2" t="inlineStr">
        <is>
          <t>Mercado Pago</t>
        </is>
      </c>
      <c r="F35" s="2" t="inlineStr">
        <is>
          <t>Equipment / POS</t>
        </is>
      </c>
      <c r="G35" s="2" t="inlineStr">
        <is>
          <t>POS terminal for payments</t>
        </is>
      </c>
    </row>
    <row r="36" ht="25.95" customHeight="1" s="186">
      <c r="B36" s="23" t="n"/>
      <c r="C36" s="196" t="n"/>
      <c r="D36" s="196" t="n"/>
      <c r="E36" s="196" t="n"/>
      <c r="F36" s="196" t="n"/>
      <c r="G36" s="196" t="n"/>
      <c r="H36" s="197" t="n"/>
    </row>
    <row r="37" ht="22.05" customHeight="1" s="186">
      <c r="B37" s="23" t="n"/>
      <c r="C37" s="24" t="n"/>
      <c r="D37" s="25" t="n"/>
      <c r="E37" s="23" t="n"/>
      <c r="F37" s="23" t="n"/>
      <c r="G37" s="23" t="n"/>
    </row>
    <row r="38" ht="19.95" customHeight="1" s="186">
      <c r="B38" s="23" t="n"/>
      <c r="C38" s="24" t="n"/>
      <c r="D38" s="25" t="n"/>
      <c r="E38" s="23" t="n"/>
      <c r="F38" s="23" t="n"/>
      <c r="G38" s="23" t="n"/>
    </row>
    <row r="39" ht="19.95" customHeight="1" s="186">
      <c r="B39" s="23" t="n"/>
      <c r="C39" s="24" t="n"/>
      <c r="D39" s="25" t="n"/>
      <c r="E39" s="23" t="n"/>
      <c r="F39" s="23" t="n"/>
      <c r="G39" s="23" t="n"/>
    </row>
    <row r="40" ht="19.95" customHeight="1" s="186">
      <c r="B40" s="23" t="n"/>
      <c r="C40" s="24" t="n"/>
      <c r="D40" s="25" t="n"/>
      <c r="E40" s="23" t="n"/>
      <c r="F40" s="23" t="n"/>
      <c r="G40" s="23" t="n"/>
    </row>
    <row r="41" ht="19.95" customHeight="1" s="186">
      <c r="B41" s="195" t="inlineStr">
        <is>
          <t>KASHIGOUD TOTAL</t>
        </is>
      </c>
      <c r="C41" s="229" t="n"/>
      <c r="D41" s="198">
        <f>SUM(D26:D33)</f>
        <v/>
      </c>
      <c r="E41" s="229" t="n"/>
      <c r="F41" s="229" t="n"/>
      <c r="G41" s="229" t="n"/>
    </row>
    <row r="42" ht="19.95" customHeight="1" s="186"/>
    <row r="43" ht="19.95" customHeight="1" s="186">
      <c r="B43" s="192" t="inlineStr">
        <is>
          <t xml:space="preserve">  D.  PRE-OPENING EXPENSES — LOHITH REDDY</t>
        </is>
      </c>
    </row>
    <row r="44" ht="19.95" customHeight="1" s="186">
      <c r="B44" s="229" t="inlineStr">
        <is>
          <t>Description</t>
        </is>
      </c>
      <c r="C44" s="229" t="inlineStr">
        <is>
          <t>Date</t>
        </is>
      </c>
      <c r="D44" s="229" t="inlineStr">
        <is>
          <t>Amount ($)</t>
        </is>
      </c>
      <c r="E44" s="229" t="inlineStr">
        <is>
          <t>Paid To</t>
        </is>
      </c>
      <c r="F44" s="229" t="inlineStr">
        <is>
          <t>Category</t>
        </is>
      </c>
      <c r="G44" s="229" t="inlineStr">
        <is>
          <t>Notes</t>
        </is>
      </c>
    </row>
    <row r="45" ht="19.95" customHeight="1" s="186">
      <c r="B45" s="2" t="inlineStr">
        <is>
          <t>Advance Payment to Previous Owners</t>
        </is>
      </c>
      <c r="C45" s="13" t="n"/>
      <c r="D45" s="4" t="n">
        <v>5000</v>
      </c>
      <c r="E45" s="2" t="inlineStr">
        <is>
          <t>Previous Owners</t>
        </is>
      </c>
      <c r="F45" s="2" t="inlineStr">
        <is>
          <t>Acquisition</t>
        </is>
      </c>
      <c r="G45" s="2" t="inlineStr">
        <is>
          <t>5k advance on 390k purchase</t>
        </is>
      </c>
    </row>
    <row r="46" ht="19.95" customHeight="1" s="186">
      <c r="B46" s="6" t="inlineStr">
        <is>
          <t>Notary Fees</t>
        </is>
      </c>
      <c r="C46" s="22" t="n"/>
      <c r="D46" s="8" t="n">
        <v>15797</v>
      </c>
      <c r="E46" s="6" t="inlineStr">
        <is>
          <t>Notary Office</t>
        </is>
      </c>
      <c r="F46" s="6" t="inlineStr">
        <is>
          <t>Legal</t>
        </is>
      </c>
      <c r="G46" s="6" t="inlineStr">
        <is>
          <t>Legal fees for restaurant acquisition</t>
        </is>
      </c>
    </row>
    <row r="47" ht="22.05" customHeight="1" s="186">
      <c r="B47" s="2" t="inlineStr">
        <is>
          <t>Poliza Juridica (Legal Policy)</t>
        </is>
      </c>
      <c r="C47" s="13" t="n"/>
      <c r="D47" s="4" t="n">
        <v>5150</v>
      </c>
      <c r="E47" s="2" t="inlineStr">
        <is>
          <t>Legal / Insurance</t>
        </is>
      </c>
      <c r="F47" s="2" t="inlineStr">
        <is>
          <t>Legal</t>
        </is>
      </c>
      <c r="G47" s="2" t="inlineStr">
        <is>
          <t>Poliza Juridica — legal insurance policy</t>
        </is>
      </c>
    </row>
    <row r="48">
      <c r="B48" s="6" t="inlineStr">
        <is>
          <t>Alejandra — Documentation Asst.</t>
        </is>
      </c>
      <c r="C48" s="22" t="n"/>
      <c r="D48" s="8" t="n">
        <v>3000</v>
      </c>
      <c r="E48" s="6" t="inlineStr">
        <is>
          <t>Alejandra</t>
        </is>
      </c>
      <c r="F48" s="6" t="inlineStr">
        <is>
          <t>Professional Services</t>
        </is>
      </c>
      <c r="G48" s="6" t="inlineStr">
        <is>
          <t>Paperwork &amp; documentation</t>
        </is>
      </c>
    </row>
    <row r="49" ht="25.95" customHeight="1" s="186">
      <c r="B49" s="23" t="n"/>
      <c r="C49" s="196" t="n"/>
      <c r="D49" s="196" t="n"/>
      <c r="E49" s="196" t="n"/>
      <c r="F49" s="196" t="n"/>
      <c r="G49" s="196" t="n"/>
      <c r="H49" s="197" t="n"/>
    </row>
    <row r="50" ht="22.05" customHeight="1" s="186">
      <c r="B50" s="23" t="n"/>
      <c r="C50" s="24" t="n"/>
      <c r="D50" s="25" t="n"/>
      <c r="E50" s="23" t="n"/>
      <c r="F50" s="23" t="n"/>
      <c r="G50" s="23" t="n"/>
    </row>
    <row r="51" ht="19.95" customHeight="1" s="186">
      <c r="B51" s="23" t="n"/>
      <c r="C51" s="24" t="n"/>
      <c r="D51" s="25" t="n"/>
      <c r="E51" s="23" t="n"/>
      <c r="F51" s="23" t="n"/>
      <c r="G51" s="23" t="n"/>
    </row>
    <row r="52" ht="19.95" customHeight="1" s="186">
      <c r="B52" s="23" t="n"/>
      <c r="C52" s="24" t="n"/>
      <c r="D52" s="25" t="n"/>
      <c r="E52" s="23" t="n"/>
      <c r="F52" s="23" t="n"/>
      <c r="G52" s="23" t="n"/>
    </row>
    <row r="53" ht="19.95" customHeight="1" s="186">
      <c r="B53" s="23" t="n"/>
      <c r="C53" s="24" t="n"/>
      <c r="D53" s="25" t="n"/>
      <c r="E53" s="23" t="n"/>
      <c r="F53" s="23" t="n"/>
      <c r="G53" s="23" t="n"/>
    </row>
    <row r="54" ht="19.95" customHeight="1" s="186">
      <c r="B54" s="195" t="inlineStr">
        <is>
          <t>LOHITH TOTAL</t>
        </is>
      </c>
      <c r="C54" s="229" t="n"/>
      <c r="D54" s="198">
        <f>SUM(D38:D46)</f>
        <v/>
      </c>
      <c r="E54" s="229" t="n"/>
      <c r="F54" s="229" t="n"/>
      <c r="G54" s="229" t="n"/>
    </row>
    <row r="55" ht="19.95" customHeight="1" s="186"/>
    <row r="56" ht="19.95" customHeight="1" s="186">
      <c r="B56" s="192" t="inlineStr">
        <is>
          <t xml:space="preserve">  E.  PRE-OPENING EXPENSES — SHASHIREKHA BASAVARAJU</t>
        </is>
      </c>
    </row>
    <row r="57" ht="19.95" customHeight="1" s="186">
      <c r="B57" s="229" t="inlineStr">
        <is>
          <t>Description</t>
        </is>
      </c>
      <c r="C57" s="229" t="inlineStr">
        <is>
          <t>Date</t>
        </is>
      </c>
      <c r="D57" s="229" t="inlineStr">
        <is>
          <t>Amount ($)</t>
        </is>
      </c>
      <c r="E57" s="229" t="inlineStr">
        <is>
          <t>Paid To</t>
        </is>
      </c>
      <c r="F57" s="229" t="inlineStr">
        <is>
          <t>Category</t>
        </is>
      </c>
      <c r="G57" s="229" t="inlineStr">
        <is>
          <t>Notes</t>
        </is>
      </c>
    </row>
    <row r="58" ht="19.95" customHeight="1" s="186">
      <c r="B58" s="2" t="inlineStr">
        <is>
          <t>Transfer to Lohith Reddy (capital allocation)</t>
        </is>
      </c>
      <c r="C58" s="13" t="n"/>
      <c r="D58" s="4" t="n">
        <v>100000</v>
      </c>
      <c r="E58" s="2" t="inlineStr">
        <is>
          <t>Bank → Lohith</t>
        </is>
      </c>
      <c r="F58" s="2" t="inlineStr">
        <is>
          <t>Internal Transfer</t>
        </is>
      </c>
      <c r="G58" s="2" t="inlineStr">
        <is>
          <t>For acquisition &amp; expenses</t>
        </is>
      </c>
    </row>
    <row r="59" ht="22.05" customHeight="1" s="186">
      <c r="B59" s="23" t="inlineStr">
        <is>
          <t>Temu items</t>
        </is>
      </c>
      <c r="C59" s="24" t="n"/>
      <c r="D59" s="25" t="n">
        <v>2646</v>
      </c>
      <c r="E59" s="23" t="inlineStr">
        <is>
          <t>Temu</t>
        </is>
      </c>
      <c r="F59" s="23" t="inlineStr">
        <is>
          <t>Equipment / Supplies</t>
        </is>
      </c>
      <c r="G59" s="23" t="inlineStr">
        <is>
          <t>Temu items — restaurant supplies &amp; equipment</t>
        </is>
      </c>
    </row>
    <row r="60">
      <c r="B60" s="23" t="inlineStr">
        <is>
          <t>Board games for restaurant ambiance</t>
        </is>
      </c>
      <c r="C60" s="24" t="n"/>
      <c r="D60" s="25" t="n">
        <v>745</v>
      </c>
      <c r="E60" s="23" t="inlineStr">
        <is>
          <t>Supplier</t>
        </is>
      </c>
      <c r="F60" s="23" t="inlineStr">
        <is>
          <t>Equipment / Supplies</t>
        </is>
      </c>
      <c r="G60" s="23" t="inlineStr">
        <is>
          <t>Board games for restaurant ambiance</t>
        </is>
      </c>
    </row>
    <row r="61" ht="25.95" customHeight="1" s="186">
      <c r="B61" s="23" t="inlineStr">
        <is>
          <t>Special menu board</t>
        </is>
      </c>
      <c r="C61" s="196" t="n"/>
      <c r="D61" s="196" t="n"/>
      <c r="E61" s="196" t="n"/>
      <c r="F61" s="196" t="n"/>
      <c r="G61" s="196" t="n"/>
      <c r="H61" s="197" t="n"/>
    </row>
    <row r="62" ht="22.05" customHeight="1" s="186">
      <c r="B62" s="23" t="inlineStr">
        <is>
          <t>Logo and sticker printing</t>
        </is>
      </c>
      <c r="C62" s="24" t="n"/>
      <c r="D62" s="25" t="n">
        <v>845</v>
      </c>
      <c r="E62" s="23" t="inlineStr">
        <is>
          <t>Print Shop</t>
        </is>
      </c>
      <c r="F62" s="23" t="inlineStr">
        <is>
          <t>Branding / Signage</t>
        </is>
      </c>
      <c r="G62" s="23" t="inlineStr">
        <is>
          <t>Logo and sticker printing</t>
        </is>
      </c>
    </row>
    <row r="63" ht="19.95" customHeight="1" s="186">
      <c r="B63" s="23" t="inlineStr">
        <is>
          <t>Sign boards, stationary, other decor</t>
        </is>
      </c>
      <c r="C63" s="24" t="n"/>
      <c r="D63" s="25" t="n">
        <v>1555</v>
      </c>
      <c r="E63" s="23" t="inlineStr">
        <is>
          <t>China Shop</t>
        </is>
      </c>
      <c r="F63" s="23" t="inlineStr">
        <is>
          <t>Decor / Signage</t>
        </is>
      </c>
      <c r="G63" s="23" t="inlineStr">
        <is>
          <t>Sign boards, stationary, other decor</t>
        </is>
      </c>
    </row>
    <row r="64" ht="19.95" customHeight="1" s="186">
      <c r="B64" s="23" t="n"/>
      <c r="C64" s="24" t="n"/>
      <c r="D64" s="25" t="n"/>
      <c r="E64" s="23" t="n"/>
      <c r="F64" s="23" t="n"/>
      <c r="G64" s="23" t="n"/>
    </row>
    <row r="65" ht="19.95" customHeight="1" s="186">
      <c r="B65" s="23" t="n"/>
      <c r="C65" s="24" t="n"/>
      <c r="D65" s="25" t="n"/>
      <c r="E65" s="23" t="n"/>
      <c r="F65" s="23" t="n"/>
      <c r="G65" s="23" t="n"/>
    </row>
    <row r="66" ht="19.95" customHeight="1" s="186">
      <c r="B66" t="inlineStr">
        <is>
          <t>Logo Box Repair / Fix</t>
        </is>
      </c>
      <c r="C66" s="184" t="n">
        <v>46176</v>
      </c>
      <c r="D66" t="n">
        <v>900</v>
      </c>
      <c r="E66" t="inlineStr">
        <is>
          <t>Supplier</t>
        </is>
      </c>
      <c r="F66" t="inlineStr">
        <is>
          <t>Branding / Signage</t>
        </is>
      </c>
      <c r="G66" t="inlineStr">
        <is>
          <t>Logo box repair — paid by Shashirekha</t>
        </is>
      </c>
    </row>
    <row r="67" ht="19.95" customHeight="1" s="186">
      <c r="B67" s="195" t="inlineStr">
        <is>
          <t>SHASHIREKHA TOTAL</t>
        </is>
      </c>
      <c r="C67" s="196" t="n"/>
      <c r="D67" s="196" t="n"/>
      <c r="E67" s="196" t="n"/>
      <c r="F67" s="196" t="n"/>
      <c r="G67" s="196" t="n"/>
      <c r="H67" s="197" t="n"/>
    </row>
    <row r="68" ht="19.95" customHeight="1" s="186"/>
    <row r="69" ht="19.95" customHeight="1" s="186">
      <c r="B69" s="192" t="inlineStr">
        <is>
          <t xml:space="preserve">  F.  GRAND SUMMARY — CAPITAL DEPLOYMENT</t>
        </is>
      </c>
    </row>
    <row r="70" ht="19.95" customHeight="1" s="186">
      <c r="B70" s="229" t="inlineStr">
        <is>
          <t>Line Item</t>
        </is>
      </c>
      <c r="C70" s="229" t="n"/>
      <c r="D70" s="229" t="n"/>
      <c r="E70" s="229" t="n"/>
      <c r="F70" s="229" t="n"/>
      <c r="G70" s="229" t="n"/>
    </row>
    <row r="71" ht="19.95" customHeight="1" s="186">
      <c r="B71" s="228" t="inlineStr">
        <is>
          <t>Total Budget (All Partners)</t>
        </is>
      </c>
      <c r="C71" s="223">
        <f>SUM(D6:D8)</f>
        <v/>
      </c>
      <c r="D71" s="215">
        <f>C63/$C$63</f>
        <v/>
      </c>
      <c r="E71" s="228" t="inlineStr">
        <is>
          <t>100% of committed capital</t>
        </is>
      </c>
    </row>
    <row r="72" ht="19.95" customHeight="1" s="186">
      <c r="B72" s="230" t="inlineStr">
        <is>
          <t>Restaurant Acquisition — Full Price</t>
        </is>
      </c>
      <c r="C72" s="246">
        <f>D13</f>
        <v/>
      </c>
      <c r="D72" s="231">
        <f>C64/$C$63</f>
        <v/>
      </c>
      <c r="E72" s="230" t="inlineStr">
        <is>
          <t>To be paid to previous owners</t>
        </is>
      </c>
    </row>
    <row r="73" ht="19.95" customHeight="1" s="186">
      <c r="B73" s="228" t="inlineStr">
        <is>
          <t xml:space="preserve">  → Advance Paid (by Lohith)</t>
        </is>
      </c>
      <c r="C73" s="223">
        <f>D14</f>
        <v/>
      </c>
      <c r="D73" s="215">
        <f>C65/$C$63</f>
        <v/>
      </c>
      <c r="E73" s="228" t="inlineStr">
        <is>
          <t>✅ Already paid</t>
        </is>
      </c>
    </row>
    <row r="74">
      <c r="B74" s="230" t="inlineStr">
        <is>
          <t xml:space="preserve">  → Balance Remaining</t>
        </is>
      </c>
      <c r="C74" s="246">
        <f>D15</f>
        <v/>
      </c>
      <c r="D74" s="231">
        <f>C66/$C$63</f>
        <v/>
      </c>
      <c r="E74" s="230" t="inlineStr">
        <is>
          <t>⏳ Pending — funded by transfers</t>
        </is>
      </c>
    </row>
    <row r="75">
      <c r="B75" s="228" t="inlineStr">
        <is>
          <t>Kashigoud — Ops Expenses (excl. transfer)</t>
        </is>
      </c>
      <c r="C75" s="223">
        <f>D27+D28</f>
        <v/>
      </c>
      <c r="D75" s="215">
        <f>C67/$C$63</f>
        <v/>
      </c>
      <c r="E75" s="228" t="inlineStr">
        <is>
          <t>Soft license + terminal</t>
        </is>
      </c>
    </row>
    <row r="76">
      <c r="B76" s="230" t="inlineStr">
        <is>
          <t>Kashigoud → Lohith Transfer</t>
        </is>
      </c>
      <c r="C76" s="246" t="n">
        <v>125000</v>
      </c>
      <c r="D76" s="231" t="n"/>
      <c r="E76" s="230" t="n"/>
    </row>
    <row r="77">
      <c r="B77" s="228" t="inlineStr">
        <is>
          <t>Lohith — All Pre-Opening Expenses</t>
        </is>
      </c>
      <c r="C77" s="223">
        <f>D47</f>
        <v/>
      </c>
      <c r="D77" s="215">
        <f>C69/$C$63</f>
        <v/>
      </c>
      <c r="E77" s="228" t="inlineStr">
        <is>
          <t>Advance + Notary + Poliza + Alejandra</t>
        </is>
      </c>
    </row>
    <row r="78">
      <c r="B78" s="230" t="inlineStr">
        <is>
          <t>Shashirekha → Lohith Transfer</t>
        </is>
      </c>
      <c r="C78" s="246" t="n">
        <v>100000</v>
      </c>
      <c r="D78" s="231" t="n"/>
      <c r="E78" s="230" t="n"/>
    </row>
    <row r="79">
      <c r="B79" s="228" t="inlineStr">
        <is>
          <t>Shashirekha — Other Expenses</t>
        </is>
      </c>
      <c r="C79" s="223">
        <f>SUM(D52:D58)</f>
        <v/>
      </c>
      <c r="D79" s="215">
        <f>C71/$C$63</f>
        <v/>
      </c>
      <c r="E79" s="228" t="inlineStr">
        <is>
          <t>Yellow rows above</t>
        </is>
      </c>
    </row>
    <row r="80">
      <c r="B80" s="195" t="inlineStr">
        <is>
          <t>TOTAL CASH OUT (excl. internal transfers)</t>
        </is>
      </c>
      <c r="C80" s="198">
        <f>C64+C67+C69+C71</f>
        <v/>
      </c>
      <c r="D80" s="213">
        <f>C72/$C$63</f>
        <v/>
      </c>
      <c r="E80" s="195" t="inlineStr">
        <is>
          <t>Actual cash leaving the partnership</t>
        </is>
      </c>
    </row>
    <row r="81">
      <c r="B81" s="195" t="inlineStr">
        <is>
          <t>REMAINING UNALLOCATED BUDGET</t>
        </is>
      </c>
      <c r="C81" s="198" t="n"/>
      <c r="D81" s="213" t="n"/>
      <c r="E81" s="195" t="n"/>
    </row>
    <row r="83">
      <c r="B83" t="inlineStr">
        <is>
          <t xml:space="preserve">  G.  REMAINING TRANSFERS DUE TO LOHITH REDDY</t>
        </is>
      </c>
      <c r="C83" t="inlineStr">
        <is>
          <t xml:space="preserve">  G.  REMAINING TRANSFERS DUE TO LOHITH REDDY</t>
        </is>
      </c>
      <c r="D83" t="inlineStr">
        <is>
          <t xml:space="preserve">  G.  REMAINING TRANSFERS DUE TO LOHITH REDDY</t>
        </is>
      </c>
      <c r="E83" t="inlineStr">
        <is>
          <t xml:space="preserve">  G.  REMAINING TRANSFERS DUE TO LOHITH REDDY</t>
        </is>
      </c>
      <c r="F83" t="inlineStr">
        <is>
          <t xml:space="preserve">  G.  REMAINING TRANSFERS DUE TO LOHITH REDDY</t>
        </is>
      </c>
      <c r="G83" t="inlineStr">
        <is>
          <t xml:space="preserve">  G.  REMAINING TRANSFERS DUE TO LOHITH REDDY</t>
        </is>
      </c>
    </row>
    <row r="84">
      <c r="B84" t="inlineStr">
        <is>
          <t>Partner</t>
        </is>
      </c>
      <c r="C84" t="inlineStr">
        <is>
          <t>Total Budget ($)</t>
        </is>
      </c>
      <c r="D84" t="inlineStr">
        <is>
          <t>Already Transferred ($)</t>
        </is>
      </c>
      <c r="E84" t="inlineStr">
        <is>
          <t>Direct Expenses ($)</t>
        </is>
      </c>
      <c r="F84" t="inlineStr">
        <is>
          <t>Still Owed to Lohith ($)</t>
        </is>
      </c>
      <c r="G84" t="inlineStr">
        <is>
          <t>Status</t>
        </is>
      </c>
    </row>
    <row r="85">
      <c r="B85" t="inlineStr">
        <is>
          <t>Kashigoud Patil</t>
        </is>
      </c>
      <c r="C85">
        <f>'Capital &amp; Ownership'!D7</f>
        <v/>
      </c>
      <c r="D85">
        <f>'Capital &amp; Ownership'!D26</f>
        <v/>
      </c>
      <c r="E85">
        <f>'Capital &amp; Ownership'!D27+'Capital &amp; Ownership'!D28</f>
        <v/>
      </c>
      <c r="F85">
        <f>'Capital &amp; Ownership'!C77-'Capital &amp; Ownership'!D77-'Capital &amp; Ownership'!E77</f>
        <v/>
      </c>
      <c r="G85" t="inlineStr">
        <is>
          <t>⏳ PENDING</t>
        </is>
      </c>
    </row>
    <row r="86">
      <c r="B86" t="inlineStr">
        <is>
          <t>Shashirekha Basavaraju</t>
        </is>
      </c>
      <c r="C86">
        <f>'Capital &amp; Ownership'!D8</f>
        <v/>
      </c>
      <c r="D86">
        <f>'Capital &amp; Ownership'!D51</f>
        <v/>
      </c>
      <c r="E86">
        <f>SUM('Capital &amp; Ownership'!D52:'Capital &amp; Ownership'!D58)</f>
        <v/>
      </c>
      <c r="F86">
        <f>'Capital &amp; Ownership'!C78-'Capital &amp; Ownership'!D78-'Capital &amp; Ownership'!E78</f>
        <v/>
      </c>
      <c r="G86" t="inlineStr">
        <is>
          <t>⏳ PENDING</t>
        </is>
      </c>
    </row>
    <row r="87">
      <c r="B87" t="inlineStr">
        <is>
          <t>TOTAL</t>
        </is>
      </c>
      <c r="C87">
        <f>C77+C78</f>
        <v/>
      </c>
      <c r="D87">
        <f>D77+D78</f>
        <v/>
      </c>
      <c r="E87">
        <f>E77+E78</f>
        <v/>
      </c>
      <c r="F87">
        <f>F77+F78</f>
        <v/>
      </c>
    </row>
    <row r="89">
      <c r="B89" t="inlineStr">
        <is>
          <t xml:space="preserve">  H.  ACQUISITION PAYMENT — SPLIT BY OWNERSHIP SHARE  ($385,000 BALANCE DUE)</t>
        </is>
      </c>
      <c r="C89" t="inlineStr">
        <is>
          <t xml:space="preserve">  H.  ACQUISITION PAYMENT — SPLIT BY OWNERSHIP SHARE  ($385,000 BALANCE DUE)</t>
        </is>
      </c>
      <c r="D89" t="inlineStr">
        <is>
          <t xml:space="preserve">  H.  ACQUISITION PAYMENT — SPLIT BY OWNERSHIP SHARE  ($385,000 BALANCE DUE)</t>
        </is>
      </c>
      <c r="E89" t="inlineStr">
        <is>
          <t xml:space="preserve">  H.  ACQUISITION PAYMENT — SPLIT BY OWNERSHIP SHARE  ($385,000 BALANCE DUE)</t>
        </is>
      </c>
      <c r="F89" t="inlineStr">
        <is>
          <t xml:space="preserve">  H.  ACQUISITION PAYMENT — SPLIT BY OWNERSHIP SHARE  ($385,000 BALANCE DUE)</t>
        </is>
      </c>
      <c r="G89" t="inlineStr">
        <is>
          <t xml:space="preserve">  H.  ACQUISITION PAYMENT — SPLIT BY OWNERSHIP SHARE  ($385,000 BALANCE DUE)</t>
        </is>
      </c>
    </row>
    <row r="90">
      <c r="B90" t="inlineStr">
        <is>
          <t>Partner</t>
        </is>
      </c>
      <c r="C90" t="inlineStr">
        <is>
          <t>Share %</t>
        </is>
      </c>
      <c r="D90" t="inlineStr">
        <is>
          <t>Share of $390k Total ($)</t>
        </is>
      </c>
      <c r="E90" t="inlineStr">
        <is>
          <t>Advance Credited ($)</t>
        </is>
      </c>
      <c r="F90" t="inlineStr">
        <is>
          <t>Balance Owed to Prev. Owners ($)</t>
        </is>
      </c>
      <c r="G90" t="inlineStr">
        <is>
          <t>Status</t>
        </is>
      </c>
    </row>
    <row r="91">
      <c r="B91" t="inlineStr">
        <is>
          <t>Lohith Reddy</t>
        </is>
      </c>
      <c r="C91" t="n">
        <v>0.5</v>
      </c>
      <c r="D91">
        <f>'Capital &amp; Ownership'!C6</f>
        <v/>
      </c>
      <c r="E91">
        <f>D83*'Capital &amp; Ownership'!D13</f>
        <v/>
      </c>
      <c r="F91">
        <f>'Capital &amp; Ownership'!D14</f>
        <v/>
      </c>
      <c r="G91">
        <f>E83-F83</f>
        <v/>
      </c>
    </row>
    <row r="92">
      <c r="B92" t="inlineStr">
        <is>
          <t>Kashigoud Patil</t>
        </is>
      </c>
      <c r="C92" t="n">
        <v>0.3</v>
      </c>
      <c r="D92">
        <f>'Capital &amp; Ownership'!C7</f>
        <v/>
      </c>
      <c r="E92">
        <f>D84*'Capital &amp; Ownership'!D13</f>
        <v/>
      </c>
      <c r="F92" t="n">
        <v>0</v>
      </c>
      <c r="G92">
        <f>E84-F84</f>
        <v/>
      </c>
    </row>
    <row r="93">
      <c r="B93" t="inlineStr">
        <is>
          <t>Shashirekha Basavaraju</t>
        </is>
      </c>
      <c r="C93" t="n">
        <v>0.2</v>
      </c>
      <c r="D93">
        <f>'Capital &amp; Ownership'!C8</f>
        <v/>
      </c>
      <c r="E93">
        <f>D85*'Capital &amp; Ownership'!D13</f>
        <v/>
      </c>
      <c r="F93" t="n">
        <v>0</v>
      </c>
      <c r="G93">
        <f>E85-F85</f>
        <v/>
      </c>
    </row>
    <row r="94">
      <c r="B94" t="inlineStr">
        <is>
          <t>TOTAL</t>
        </is>
      </c>
      <c r="C94" t="n">
        <v>1</v>
      </c>
      <c r="D94">
        <f>D83+D84+D85</f>
        <v/>
      </c>
      <c r="E94">
        <f>E83+E84+E85</f>
        <v/>
      </c>
      <c r="F94">
        <f>F83+F84+F85</f>
        <v/>
      </c>
      <c r="G94">
        <f>G83+G84+G85</f>
        <v/>
      </c>
    </row>
  </sheetData>
  <mergeCells count="9">
    <mergeCell ref="B36:H36"/>
    <mergeCell ref="B17:H17"/>
    <mergeCell ref="B1:H1"/>
    <mergeCell ref="B49:H49"/>
    <mergeCell ref="B4:H4"/>
    <mergeCell ref="B24:H24"/>
    <mergeCell ref="B2:H2"/>
    <mergeCell ref="B11:H11"/>
    <mergeCell ref="B61:H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186" min="1" max="1"/>
    <col width="18" customWidth="1" style="186" min="2" max="2"/>
    <col width="14" customWidth="1" style="186" min="3" max="7"/>
    <col width="16" customWidth="1" style="186" min="8" max="8"/>
    <col width="14" customWidth="1" style="186" min="9" max="14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</row>
    <row r="2" ht="37.5" customHeight="1" s="186">
      <c r="A2" s="187" t="inlineStr">
        <is>
          <t>🍽️  LOKA Cafe Restaurante</t>
        </is>
      </c>
      <c r="H2" s="185" t="inlineStr">
        <is>
          <t>Restaurant Manager — powered by Soft + Excel</t>
        </is>
      </c>
    </row>
    <row r="3" ht="3.75" customHeight="1" s="186">
      <c r="A3" s="190" t="n"/>
    </row>
    <row r="4" ht="7.5" customHeight="1" s="186"/>
    <row r="5" ht="36" customHeight="1" s="186">
      <c r="B5" s="18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189" t="n"/>
      <c r="D5" s="189" t="n"/>
      <c r="E5" s="189" t="n"/>
      <c r="F5" s="189" t="n"/>
      <c r="G5" s="189" t="n"/>
      <c r="H5" s="189" t="n"/>
      <c r="I5" s="189" t="n"/>
      <c r="J5" s="189" t="n"/>
      <c r="K5" s="189" t="n"/>
      <c r="L5" s="189" t="n"/>
      <c r="M5" s="189" t="n"/>
    </row>
    <row r="6" ht="9.75" customHeight="1" s="186"/>
    <row r="7" ht="19.5" customHeight="1" s="186">
      <c r="B7" s="217" t="inlineStr">
        <is>
          <t xml:space="preserve">  💰  REVENUE  (auto-pulled from Daily Log)</t>
        </is>
      </c>
      <c r="C7" s="189" t="n"/>
      <c r="D7" s="189" t="n"/>
      <c r="E7" s="189" t="n"/>
      <c r="F7" s="189" t="n"/>
      <c r="G7" s="189" t="n"/>
      <c r="H7" s="189" t="n"/>
      <c r="I7" s="189" t="n"/>
      <c r="J7" s="189" t="n"/>
      <c r="K7" s="189" t="n"/>
      <c r="L7" s="189" t="n"/>
      <c r="M7" s="189" t="n"/>
    </row>
    <row r="8" ht="6" customHeight="1" s="186"/>
    <row r="9" ht="18" customHeight="1" s="186">
      <c r="B9" s="205" t="inlineStr">
        <is>
          <t>TODAY'S REVENUE</t>
        </is>
      </c>
      <c r="C9" s="203" t="n"/>
      <c r="D9" s="205" t="inlineStr">
        <is>
          <t>WEEK REVENUE</t>
        </is>
      </c>
      <c r="E9" s="203" t="n"/>
      <c r="F9" s="205" t="inlineStr">
        <is>
          <t>MONTH REVENUE</t>
        </is>
      </c>
      <c r="G9" s="203" t="n"/>
      <c r="H9" s="205" t="inlineStr">
        <is>
          <t>TODAY'S EXPENSES</t>
        </is>
      </c>
      <c r="I9" s="203" t="n"/>
      <c r="J9" s="205" t="inlineStr">
        <is>
          <t>TODAY'S NET PROFIT</t>
        </is>
      </c>
      <c r="K9" s="203" t="n"/>
      <c r="L9" s="205" t="inlineStr">
        <is>
          <t>AVG TICKET</t>
        </is>
      </c>
      <c r="M9" s="203" t="n"/>
    </row>
    <row r="10" ht="19.5" customHeight="1" s="186">
      <c r="B10" s="236">
        <f>'📅 Daily Log'!F6</f>
        <v/>
      </c>
      <c r="C10" s="208" t="n"/>
      <c r="D10" s="207">
        <f>'📅 Daily Log'!N6</f>
        <v/>
      </c>
      <c r="E10" s="208" t="n"/>
      <c r="F10" s="232">
        <f>'📅 Daily Log'!O6</f>
        <v/>
      </c>
      <c r="G10" s="208" t="n"/>
      <c r="H10" s="212">
        <f>'📅 Daily Log'!H6</f>
        <v/>
      </c>
      <c r="I10" s="208" t="n"/>
      <c r="J10" s="236">
        <f>'📅 Daily Log'!I6</f>
        <v/>
      </c>
      <c r="K10" s="208" t="n"/>
      <c r="L10" s="252">
        <f>IFERROR('📅 Daily Log'!F6/'📅 Daily Log'!G6,0)</f>
        <v/>
      </c>
      <c r="M10" s="208" t="n"/>
    </row>
    <row r="11" ht="19.5" customHeight="1" s="186">
      <c r="B11" s="209" t="n"/>
      <c r="D11" s="209" t="n"/>
      <c r="F11" s="209" t="n"/>
      <c r="H11" s="209" t="n"/>
      <c r="J11" s="209" t="n"/>
      <c r="L11" s="209" t="n"/>
    </row>
    <row r="12" ht="19.5" customHeight="1" s="186">
      <c r="B12" s="209" t="n"/>
      <c r="D12" s="209" t="n"/>
      <c r="F12" s="209" t="n"/>
      <c r="H12" s="209" t="n"/>
      <c r="J12" s="209" t="n"/>
      <c r="L12" s="209" t="n"/>
    </row>
    <row r="13" ht="9.75" customHeight="1" s="186"/>
    <row r="14" ht="19.5" customHeight="1" s="186">
      <c r="B14" s="217" t="inlineStr">
        <is>
          <t xml:space="preserve">  📊  OPERATIONS</t>
        </is>
      </c>
      <c r="C14" s="189" t="n"/>
      <c r="D14" s="189" t="n"/>
      <c r="E14" s="189" t="n"/>
      <c r="F14" s="189" t="n"/>
      <c r="G14" s="189" t="n"/>
      <c r="H14" s="189" t="n"/>
      <c r="I14" s="189" t="n"/>
      <c r="J14" s="189" t="n"/>
      <c r="K14" s="189" t="n"/>
      <c r="L14" s="189" t="n"/>
      <c r="M14" s="189" t="n"/>
    </row>
    <row r="15" ht="6" customHeight="1" s="186"/>
    <row r="16" ht="18" customHeight="1" s="186">
      <c r="B16" s="205" t="inlineStr">
        <is>
          <t>TODAY'S ORDERS</t>
        </is>
      </c>
      <c r="C16" s="203" t="n"/>
      <c r="D16" s="205" t="inlineStr">
        <is>
          <t>WEEK ORDERS</t>
        </is>
      </c>
      <c r="E16" s="203" t="n"/>
      <c r="F16" s="205" t="inlineStr">
        <is>
          <t>PROFIT MARGIN %</t>
        </is>
      </c>
      <c r="G16" s="203" t="n"/>
      <c r="H16" s="205" t="inlineStr">
        <is>
          <t>LOW STOCK ITEMS</t>
        </is>
      </c>
      <c r="I16" s="203" t="n"/>
      <c r="J16" s="205" t="inlineStr">
        <is>
          <t>WEEK EXPENSES</t>
        </is>
      </c>
      <c r="K16" s="203" t="n"/>
      <c r="L16" s="205" t="inlineStr">
        <is>
          <t>PENDING ORDERS</t>
        </is>
      </c>
      <c r="M16" s="203" t="n"/>
    </row>
    <row r="17" ht="19.5" customHeight="1" s="186">
      <c r="B17" s="238">
        <f>'📅 Daily Log'!G6</f>
        <v/>
      </c>
      <c r="C17" s="208" t="n"/>
      <c r="D17" s="238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08" t="n"/>
      <c r="F17" s="241">
        <f>IFERROR('📅 Daily Log'!J6,0)</f>
        <v/>
      </c>
      <c r="G17" s="208" t="n"/>
      <c r="H17" s="242">
        <f>'📦 Inventory'!H5</f>
        <v/>
      </c>
      <c r="I17" s="208" t="n"/>
      <c r="J17" s="212">
        <f>'📅 Daily Log'!P6</f>
        <v/>
      </c>
      <c r="K17" s="208" t="n"/>
      <c r="L17" s="214">
        <f>'🚚 Suppliers'!H5</f>
        <v/>
      </c>
      <c r="M17" s="208" t="n"/>
    </row>
    <row r="18" ht="19.5" customHeight="1" s="186">
      <c r="B18" s="209" t="n"/>
      <c r="D18" s="209" t="n"/>
      <c r="F18" s="209" t="n"/>
      <c r="H18" s="209" t="n"/>
      <c r="J18" s="209" t="n"/>
      <c r="L18" s="209" t="n"/>
    </row>
    <row r="19" ht="19.5" customHeight="1" s="186">
      <c r="B19" s="209" t="n"/>
      <c r="D19" s="209" t="n"/>
      <c r="F19" s="209" t="n"/>
      <c r="H19" s="209" t="n"/>
      <c r="J19" s="209" t="n"/>
      <c r="L19" s="209" t="n"/>
    </row>
    <row r="20" ht="9.75" customHeight="1" s="186"/>
    <row r="21" ht="19.5" customHeight="1" s="186">
      <c r="B21" s="217" t="inlineStr">
        <is>
          <t xml:space="preserve">  📅  LAST 10 DAYS  (from Daily Log — updates automatically)</t>
        </is>
      </c>
      <c r="C21" s="189" t="n"/>
      <c r="D21" s="189" t="n"/>
      <c r="E21" s="189" t="n"/>
      <c r="F21" s="189" t="n"/>
      <c r="G21" s="189" t="n"/>
      <c r="H21" s="189" t="n"/>
      <c r="I21" s="189" t="n"/>
      <c r="J21" s="189" t="n"/>
      <c r="K21" s="189" t="n"/>
      <c r="L21" s="189" t="n"/>
      <c r="M21" s="189" t="n"/>
    </row>
    <row r="22" ht="27.75" customHeight="1" s="186">
      <c r="B22" s="199" t="inlineStr">
        <is>
          <t>Date</t>
        </is>
      </c>
      <c r="C22" s="199" t="inlineStr">
        <is>
          <t>Day</t>
        </is>
      </c>
      <c r="D22" s="199" t="inlineStr">
        <is>
          <t>Revenue ($)</t>
        </is>
      </c>
      <c r="E22" s="199" t="inlineStr">
        <is>
          <t>Orders</t>
        </is>
      </c>
      <c r="F22" s="199" t="inlineStr">
        <is>
          <t>Avg Ticket</t>
        </is>
      </c>
      <c r="G22" s="199" t="inlineStr">
        <is>
          <t>Expenses ($)</t>
        </is>
      </c>
      <c r="H22" s="199" t="inlineStr">
        <is>
          <t>Net Profit ($)</t>
        </is>
      </c>
      <c r="I22" s="199" t="inlineStr">
        <is>
          <t>Margin %</t>
        </is>
      </c>
      <c r="J22" s="199" t="inlineStr">
        <is>
          <t>Notes</t>
        </is>
      </c>
      <c r="K22" s="233" t="inlineStr">
        <is>
          <t>vs Prev Day</t>
        </is>
      </c>
      <c r="L22" s="203" t="n"/>
      <c r="M22" s="200" t="n"/>
    </row>
    <row r="23" ht="16.5" customHeight="1" s="186">
      <c r="B23" s="34">
        <f>'📅 Daily Log'!B8</f>
        <v/>
      </c>
      <c r="C23" s="35">
        <f>'📅 Daily Log'!F8</f>
        <v/>
      </c>
      <c r="D23" s="36">
        <f>'📅 Daily Log'!G8</f>
        <v/>
      </c>
      <c r="E23" s="37">
        <f>IFERROR('📅 Daily Log'!F8/'📅 Daily Log'!G8,0)</f>
        <v/>
      </c>
      <c r="F23" s="38">
        <f>'📅 Daily Log'!H8</f>
        <v/>
      </c>
      <c r="G23" s="39">
        <f>'📅 Daily Log'!I8</f>
        <v/>
      </c>
      <c r="H23" s="36">
        <f>'📅 Daily Log'!J8</f>
        <v/>
      </c>
      <c r="I23" s="40">
        <f>'📅 Daily Log'!K8</f>
        <v/>
      </c>
      <c r="J23" s="41">
        <f>'📅 Daily Log'!K8</f>
        <v/>
      </c>
      <c r="K23" s="219" t="inlineStr">
        <is>
          <t>—</t>
        </is>
      </c>
      <c r="L23" s="203" t="n"/>
      <c r="M23" s="200" t="n"/>
    </row>
    <row r="24" ht="16.5" customHeight="1" s="186">
      <c r="B24" s="43">
        <f>'📅 Daily Log'!B9</f>
        <v/>
      </c>
      <c r="C24" s="44">
        <f>'📅 Daily Log'!F9</f>
        <v/>
      </c>
      <c r="D24" s="45">
        <f>'📅 Daily Log'!G9</f>
        <v/>
      </c>
      <c r="E24" s="46">
        <f>IFERROR('📅 Daily Log'!F9/'📅 Daily Log'!G9,0)</f>
        <v/>
      </c>
      <c r="F24" s="47">
        <f>'📅 Daily Log'!H9</f>
        <v/>
      </c>
      <c r="G24" s="48">
        <f>'📅 Daily Log'!I9</f>
        <v/>
      </c>
      <c r="H24" s="45">
        <f>'📅 Daily Log'!J9</f>
        <v/>
      </c>
      <c r="I24" s="49">
        <f>'📅 Daily Log'!K9</f>
        <v/>
      </c>
      <c r="J24" s="50">
        <f>'📅 Daily Log'!K9</f>
        <v/>
      </c>
      <c r="K24" s="202">
        <f>IFERROR(IF(D24&gt;D23,"▲ +"&amp;TEXT(D24-D23,"$#,##0"),IF(D24&lt;D23,"▼ "&amp;TEXT(D24-D23,"$#,##0"),"— same")),"")</f>
        <v/>
      </c>
      <c r="L24" s="203" t="n"/>
      <c r="M24" s="200" t="n"/>
    </row>
    <row r="25" ht="16.5" customHeight="1" s="186">
      <c r="B25" s="34">
        <f>'📅 Daily Log'!B10</f>
        <v/>
      </c>
      <c r="C25" s="35">
        <f>'📅 Daily Log'!F10</f>
        <v/>
      </c>
      <c r="D25" s="36">
        <f>'📅 Daily Log'!G10</f>
        <v/>
      </c>
      <c r="E25" s="37">
        <f>IFERROR('📅 Daily Log'!F10/'📅 Daily Log'!G10,0)</f>
        <v/>
      </c>
      <c r="F25" s="38">
        <f>'📅 Daily Log'!H10</f>
        <v/>
      </c>
      <c r="G25" s="39">
        <f>'📅 Daily Log'!I10</f>
        <v/>
      </c>
      <c r="H25" s="36">
        <f>'📅 Daily Log'!J10</f>
        <v/>
      </c>
      <c r="I25" s="40">
        <f>'📅 Daily Log'!K10</f>
        <v/>
      </c>
      <c r="J25" s="41">
        <f>'📅 Daily Log'!K10</f>
        <v/>
      </c>
      <c r="K25" s="219">
        <f>IFERROR(IF(D25&gt;D24,"▲ +"&amp;TEXT(D25-D24,"$#,##0"),IF(D25&lt;D24,"▼ "&amp;TEXT(D25-D24,"$#,##0"),"— same")),"")</f>
        <v/>
      </c>
      <c r="L25" s="203" t="n"/>
      <c r="M25" s="200" t="n"/>
    </row>
    <row r="26" ht="16.5" customHeight="1" s="186">
      <c r="B26" s="43">
        <f>'📅 Daily Log'!B11</f>
        <v/>
      </c>
      <c r="C26" s="44">
        <f>'📅 Daily Log'!F11</f>
        <v/>
      </c>
      <c r="D26" s="45">
        <f>'📅 Daily Log'!G11</f>
        <v/>
      </c>
      <c r="E26" s="46">
        <f>IFERROR('📅 Daily Log'!F11/'📅 Daily Log'!G11,0)</f>
        <v/>
      </c>
      <c r="F26" s="47">
        <f>'📅 Daily Log'!H11</f>
        <v/>
      </c>
      <c r="G26" s="48">
        <f>'📅 Daily Log'!I11</f>
        <v/>
      </c>
      <c r="H26" s="45">
        <f>'📅 Daily Log'!J11</f>
        <v/>
      </c>
      <c r="I26" s="49">
        <f>'📅 Daily Log'!K11</f>
        <v/>
      </c>
      <c r="J26" s="50">
        <f>'📅 Daily Log'!K11</f>
        <v/>
      </c>
      <c r="K26" s="202">
        <f>IFERROR(IF(D26&gt;D25,"▲ +"&amp;TEXT(D26-D25,"$#,##0"),IF(D26&lt;D25,"▼ "&amp;TEXT(D26-D25,"$#,##0"),"— same")),"")</f>
        <v/>
      </c>
      <c r="L26" s="203" t="n"/>
      <c r="M26" s="200" t="n"/>
    </row>
    <row r="27" ht="16.5" customHeight="1" s="186">
      <c r="B27" s="34">
        <f>'📅 Daily Log'!B12</f>
        <v/>
      </c>
      <c r="C27" s="35">
        <f>'📅 Daily Log'!F12</f>
        <v/>
      </c>
      <c r="D27" s="36">
        <f>'📅 Daily Log'!G12</f>
        <v/>
      </c>
      <c r="E27" s="37">
        <f>IFERROR('📅 Daily Log'!F12/'📅 Daily Log'!G12,0)</f>
        <v/>
      </c>
      <c r="F27" s="38">
        <f>'📅 Daily Log'!H12</f>
        <v/>
      </c>
      <c r="G27" s="39">
        <f>'📅 Daily Log'!I12</f>
        <v/>
      </c>
      <c r="H27" s="36">
        <f>'📅 Daily Log'!J12</f>
        <v/>
      </c>
      <c r="I27" s="40">
        <f>'📅 Daily Log'!K12</f>
        <v/>
      </c>
      <c r="J27" s="41">
        <f>'📅 Daily Log'!K12</f>
        <v/>
      </c>
      <c r="K27" s="219">
        <f>IFERROR(IF(D27&gt;D26,"▲ +"&amp;TEXT(D27-D26,"$#,##0"),IF(D27&lt;D26,"▼ "&amp;TEXT(D27-D26,"$#,##0"),"— same")),"")</f>
        <v/>
      </c>
      <c r="L27" s="203" t="n"/>
      <c r="M27" s="200" t="n"/>
    </row>
    <row r="28" ht="16.5" customHeight="1" s="186">
      <c r="B28" s="43">
        <f>'📅 Daily Log'!B13</f>
        <v/>
      </c>
      <c r="C28" s="44">
        <f>'📅 Daily Log'!F13</f>
        <v/>
      </c>
      <c r="D28" s="45">
        <f>'📅 Daily Log'!G13</f>
        <v/>
      </c>
      <c r="E28" s="46">
        <f>IFERROR('📅 Daily Log'!F13/'📅 Daily Log'!G13,0)</f>
        <v/>
      </c>
      <c r="F28" s="47">
        <f>'📅 Daily Log'!H13</f>
        <v/>
      </c>
      <c r="G28" s="48">
        <f>'📅 Daily Log'!I13</f>
        <v/>
      </c>
      <c r="H28" s="45">
        <f>'📅 Daily Log'!J13</f>
        <v/>
      </c>
      <c r="I28" s="49">
        <f>'📅 Daily Log'!K13</f>
        <v/>
      </c>
      <c r="J28" s="50">
        <f>'📅 Daily Log'!K13</f>
        <v/>
      </c>
      <c r="K28" s="202">
        <f>IFERROR(IF(D28&gt;D27,"▲ +"&amp;TEXT(D28-D27,"$#,##0"),IF(D28&lt;D27,"▼ "&amp;TEXT(D28-D27,"$#,##0"),"— same")),"")</f>
        <v/>
      </c>
      <c r="L28" s="203" t="n"/>
      <c r="M28" s="200" t="n"/>
    </row>
    <row r="29" ht="16.5" customHeight="1" s="186">
      <c r="B29" s="34">
        <f>'📅 Daily Log'!B14</f>
        <v/>
      </c>
      <c r="C29" s="35">
        <f>'📅 Daily Log'!F14</f>
        <v/>
      </c>
      <c r="D29" s="36">
        <f>'📅 Daily Log'!G14</f>
        <v/>
      </c>
      <c r="E29" s="37">
        <f>IFERROR('📅 Daily Log'!F14/'📅 Daily Log'!G14,0)</f>
        <v/>
      </c>
      <c r="F29" s="38">
        <f>'📅 Daily Log'!H14</f>
        <v/>
      </c>
      <c r="G29" s="39">
        <f>'📅 Daily Log'!I14</f>
        <v/>
      </c>
      <c r="H29" s="36">
        <f>'📅 Daily Log'!J14</f>
        <v/>
      </c>
      <c r="I29" s="40">
        <f>'📅 Daily Log'!K14</f>
        <v/>
      </c>
      <c r="J29" s="41">
        <f>'📅 Daily Log'!K14</f>
        <v/>
      </c>
      <c r="K29" s="219">
        <f>IFERROR(IF(D29&gt;D28,"▲ +"&amp;TEXT(D29-D28,"$#,##0"),IF(D29&lt;D28,"▼ "&amp;TEXT(D29-D28,"$#,##0"),"— same")),"")</f>
        <v/>
      </c>
      <c r="L29" s="203" t="n"/>
      <c r="M29" s="200" t="n"/>
    </row>
    <row r="30" ht="16.5" customHeight="1" s="186">
      <c r="B30" s="43">
        <f>'📅 Daily Log'!B15</f>
        <v/>
      </c>
      <c r="C30" s="44">
        <f>'📅 Daily Log'!F15</f>
        <v/>
      </c>
      <c r="D30" s="45">
        <f>'📅 Daily Log'!G15</f>
        <v/>
      </c>
      <c r="E30" s="46">
        <f>IFERROR('📅 Daily Log'!F15/'📅 Daily Log'!G15,0)</f>
        <v/>
      </c>
      <c r="F30" s="47">
        <f>'📅 Daily Log'!H15</f>
        <v/>
      </c>
      <c r="G30" s="48">
        <f>'📅 Daily Log'!I15</f>
        <v/>
      </c>
      <c r="H30" s="45">
        <f>'📅 Daily Log'!J15</f>
        <v/>
      </c>
      <c r="I30" s="49">
        <f>'📅 Daily Log'!K15</f>
        <v/>
      </c>
      <c r="J30" s="50">
        <f>'📅 Daily Log'!K15</f>
        <v/>
      </c>
      <c r="K30" s="202">
        <f>IFERROR(IF(D30&gt;D29,"▲ +"&amp;TEXT(D30-D29,"$#,##0"),IF(D30&lt;D29,"▼ "&amp;TEXT(D30-D29,"$#,##0"),"— same")),"")</f>
        <v/>
      </c>
      <c r="L30" s="203" t="n"/>
      <c r="M30" s="200" t="n"/>
    </row>
    <row r="31" ht="16.5" customHeight="1" s="186">
      <c r="B31" s="34">
        <f>'📅 Daily Log'!B16</f>
        <v/>
      </c>
      <c r="C31" s="35">
        <f>'📅 Daily Log'!F16</f>
        <v/>
      </c>
      <c r="D31" s="36">
        <f>'📅 Daily Log'!G16</f>
        <v/>
      </c>
      <c r="E31" s="37">
        <f>IFERROR('📅 Daily Log'!F16/'📅 Daily Log'!G16,0)</f>
        <v/>
      </c>
      <c r="F31" s="38">
        <f>'📅 Daily Log'!H16</f>
        <v/>
      </c>
      <c r="G31" s="39">
        <f>'📅 Daily Log'!I16</f>
        <v/>
      </c>
      <c r="H31" s="36">
        <f>'📅 Daily Log'!J16</f>
        <v/>
      </c>
      <c r="I31" s="40">
        <f>'📅 Daily Log'!K16</f>
        <v/>
      </c>
      <c r="J31" s="41">
        <f>'📅 Daily Log'!K16</f>
        <v/>
      </c>
      <c r="K31" s="219">
        <f>IFERROR(IF(D31&gt;D30,"▲ +"&amp;TEXT(D31-D30,"$#,##0"),IF(D31&lt;D30,"▼ "&amp;TEXT(D31-D30,"$#,##0"),"— same")),"")</f>
        <v/>
      </c>
      <c r="L31" s="203" t="n"/>
      <c r="M31" s="200" t="n"/>
    </row>
    <row r="32" ht="16.5" customHeight="1" s="186">
      <c r="B32" s="43">
        <f>'📅 Daily Log'!B17</f>
        <v/>
      </c>
      <c r="C32" s="44">
        <f>'📅 Daily Log'!F17</f>
        <v/>
      </c>
      <c r="D32" s="45">
        <f>'📅 Daily Log'!G17</f>
        <v/>
      </c>
      <c r="E32" s="46">
        <f>IFERROR('📅 Daily Log'!F17/'📅 Daily Log'!G17,0)</f>
        <v/>
      </c>
      <c r="F32" s="47">
        <f>'📅 Daily Log'!H17</f>
        <v/>
      </c>
      <c r="G32" s="48">
        <f>'📅 Daily Log'!I17</f>
        <v/>
      </c>
      <c r="H32" s="45">
        <f>'📅 Daily Log'!J17</f>
        <v/>
      </c>
      <c r="I32" s="49">
        <f>'📅 Daily Log'!K17</f>
        <v/>
      </c>
      <c r="J32" s="50">
        <f>'📅 Daily Log'!K17</f>
        <v/>
      </c>
      <c r="K32" s="202">
        <f>IFERROR(IF(D32&gt;D31,"▲ +"&amp;TEXT(D32-D31,"$#,##0"),IF(D32&lt;D31,"▼ "&amp;TEXT(D32-D31,"$#,##0"),"— same")),"")</f>
        <v/>
      </c>
      <c r="L32" s="203" t="n"/>
      <c r="M32" s="200" t="n"/>
    </row>
    <row r="33" ht="9.75" customHeight="1" s="186"/>
    <row r="34" ht="19.5" customHeight="1" s="186">
      <c r="B34" s="217" t="inlineStr">
        <is>
          <t xml:space="preserve">  ⚠️  INVENTORY ALERTS  (from Inventory sheet)</t>
        </is>
      </c>
      <c r="C34" s="189" t="n"/>
      <c r="D34" s="189" t="n"/>
      <c r="E34" s="189" t="n"/>
      <c r="F34" s="189" t="n"/>
      <c r="G34" s="189" t="n"/>
      <c r="H34" s="189" t="n"/>
      <c r="I34" s="189" t="n"/>
      <c r="J34" s="189" t="n"/>
      <c r="K34" s="189" t="n"/>
      <c r="L34" s="189" t="n"/>
      <c r="M34" s="189" t="n"/>
    </row>
    <row r="35" ht="27.75" customHeight="1" s="186">
      <c r="B35" s="199" t="inlineStr">
        <is>
          <t>Ingredient</t>
        </is>
      </c>
      <c r="C35" s="203" t="n"/>
      <c r="D35" s="200" t="n"/>
      <c r="E35" s="199" t="n"/>
      <c r="F35" s="199" t="inlineStr">
        <is>
          <t>Min Level</t>
        </is>
      </c>
      <c r="G35" s="200" t="n"/>
      <c r="H35" s="199" t="inlineStr">
        <is>
          <t>Status</t>
        </is>
      </c>
      <c r="I35" s="200" t="n"/>
      <c r="J35" s="199" t="inlineStr">
        <is>
          <t>Action Needed</t>
        </is>
      </c>
      <c r="K35" s="203" t="n"/>
      <c r="L35" s="203" t="n"/>
      <c r="M35" s="200" t="n"/>
    </row>
    <row r="36" ht="16.5" customHeight="1" s="186">
      <c r="B36" s="239">
        <f>'📦 Inventory'!B9</f>
        <v/>
      </c>
      <c r="C36" s="203" t="n"/>
      <c r="D36" s="203" t="n"/>
      <c r="E36" s="227">
        <f>'📦 Inventory'!E9</f>
        <v/>
      </c>
      <c r="F36" s="203" t="n"/>
      <c r="G36" s="235">
        <f>'📦 Inventory'!F9</f>
        <v/>
      </c>
      <c r="H36" s="203" t="n"/>
      <c r="I36" s="210">
        <f>'📦 Inventory'!J9</f>
        <v/>
      </c>
      <c r="J36" s="203" t="n"/>
      <c r="K36" s="210">
        <f>IF('📦 Inventory'!E9=0,"🚫 Order immediately",IF('📦 Inventory'!E9&lt;='📦 Inventory'!F9,"⚠️ Reorder soon","✅ OK"))</f>
        <v/>
      </c>
      <c r="L36" s="203" t="n"/>
      <c r="M36" s="203" t="n"/>
    </row>
    <row r="37" ht="16.5" customHeight="1" s="186">
      <c r="B37" s="218">
        <f>'📦 Inventory'!B10</f>
        <v/>
      </c>
      <c r="C37" s="203" t="n"/>
      <c r="D37" s="203" t="n"/>
      <c r="E37" s="248">
        <f>'📦 Inventory'!E10</f>
        <v/>
      </c>
      <c r="F37" s="203" t="n"/>
      <c r="G37" s="249">
        <f>'📦 Inventory'!F10</f>
        <v/>
      </c>
      <c r="H37" s="203" t="n"/>
      <c r="I37" s="250">
        <f>'📦 Inventory'!J10</f>
        <v/>
      </c>
      <c r="J37" s="203" t="n"/>
      <c r="K37" s="250">
        <f>IF('📦 Inventory'!E10=0,"🚫 Order immediately",IF('📦 Inventory'!E10&lt;='📦 Inventory'!F10,"⚠️ Reorder soon","✅ OK"))</f>
        <v/>
      </c>
      <c r="L37" s="203" t="n"/>
      <c r="M37" s="203" t="n"/>
    </row>
    <row r="38" ht="16.5" customHeight="1" s="186">
      <c r="B38" s="239">
        <f>'📦 Inventory'!B11</f>
        <v/>
      </c>
      <c r="C38" s="203" t="n"/>
      <c r="D38" s="203" t="n"/>
      <c r="E38" s="227">
        <f>'📦 Inventory'!E11</f>
        <v/>
      </c>
      <c r="F38" s="203" t="n"/>
      <c r="G38" s="235">
        <f>'📦 Inventory'!F11</f>
        <v/>
      </c>
      <c r="H38" s="203" t="n"/>
      <c r="I38" s="210">
        <f>'📦 Inventory'!J11</f>
        <v/>
      </c>
      <c r="J38" s="203" t="n"/>
      <c r="K38" s="210">
        <f>IF('📦 Inventory'!E11=0,"🚫 Order immediately",IF('📦 Inventory'!E11&lt;='📦 Inventory'!F11,"⚠️ Reorder soon","✅ OK"))</f>
        <v/>
      </c>
      <c r="L38" s="203" t="n"/>
      <c r="M38" s="203" t="n"/>
    </row>
    <row r="39" ht="16.5" customHeight="1" s="186">
      <c r="B39" s="218">
        <f>'📦 Inventory'!B12</f>
        <v/>
      </c>
      <c r="C39" s="203" t="n"/>
      <c r="D39" s="203" t="n"/>
      <c r="E39" s="248">
        <f>'📦 Inventory'!E12</f>
        <v/>
      </c>
      <c r="F39" s="203" t="n"/>
      <c r="G39" s="249">
        <f>'📦 Inventory'!F12</f>
        <v/>
      </c>
      <c r="H39" s="203" t="n"/>
      <c r="I39" s="250">
        <f>'📦 Inventory'!J12</f>
        <v/>
      </c>
      <c r="J39" s="203" t="n"/>
      <c r="K39" s="250">
        <f>IF('📦 Inventory'!E12=0,"🚫 Order immediately",IF('📦 Inventory'!E12&lt;='📦 Inventory'!F12,"⚠️ Reorder soon","✅ OK"))</f>
        <v/>
      </c>
      <c r="L39" s="203" t="n"/>
      <c r="M39" s="203" t="n"/>
    </row>
    <row r="40" ht="16.5" customHeight="1" s="186">
      <c r="B40" s="239">
        <f>'📦 Inventory'!B13</f>
        <v/>
      </c>
      <c r="C40" s="203" t="n"/>
      <c r="D40" s="203" t="n"/>
      <c r="E40" s="227">
        <f>'📦 Inventory'!E13</f>
        <v/>
      </c>
      <c r="F40" s="203" t="n"/>
      <c r="G40" s="235">
        <f>'📦 Inventory'!F13</f>
        <v/>
      </c>
      <c r="H40" s="203" t="n"/>
      <c r="I40" s="210">
        <f>'📦 Inventory'!J13</f>
        <v/>
      </c>
      <c r="J40" s="203" t="n"/>
      <c r="K40" s="210">
        <f>IF('📦 Inventory'!E13=0,"🚫 Order immediately",IF('📦 Inventory'!E13&lt;='📦 Inventory'!F13,"⚠️ Reorder soon","✅ OK"))</f>
        <v/>
      </c>
      <c r="L40" s="203" t="n"/>
      <c r="M40" s="203" t="n"/>
    </row>
    <row r="41" ht="7.5" customHeight="1" s="186"/>
    <row r="42" ht="30" customHeight="1" s="186">
      <c r="B42" s="204" t="inlineStr">
        <is>
          <t>💼  CAPITAL &amp; ACQUISITION STATUS  —  live from Capital &amp; Ownership sheet</t>
        </is>
      </c>
    </row>
    <row r="43" ht="6" customHeight="1" s="186"/>
    <row r="44" ht="16.05" customHeight="1" s="186">
      <c r="B44" s="251" t="inlineStr">
        <is>
          <t>TOTAL BUDGET</t>
        </is>
      </c>
      <c r="C44" s="197" t="n"/>
      <c r="D44" s="260" t="inlineStr">
        <is>
          <t>TOTAL CASH OUT</t>
        </is>
      </c>
      <c r="E44" s="197" t="n"/>
      <c r="F44" s="261" t="inlineStr">
        <is>
          <t>REMAINING BUDGET</t>
        </is>
      </c>
      <c r="G44" s="197" t="n"/>
      <c r="H44" s="257" t="inlineStr">
        <is>
          <t>ACQUISITION PRICE</t>
        </is>
      </c>
      <c r="I44" s="197" t="n"/>
      <c r="J44" s="254" t="inlineStr">
        <is>
          <t>ADVANCE PAID</t>
        </is>
      </c>
      <c r="K44" s="197" t="n"/>
      <c r="L44" s="243" t="inlineStr">
        <is>
          <t>BALANCE PENDING</t>
        </is>
      </c>
      <c r="M44" s="197" t="n"/>
    </row>
    <row r="45" ht="22.05" customHeight="1" s="186">
      <c r="B45" s="253">
        <f>'Capital &amp; Ownership'!C63</f>
        <v/>
      </c>
      <c r="C45" s="197" t="n"/>
      <c r="D45" s="216">
        <f>'Capital &amp; Ownership'!C72</f>
        <v/>
      </c>
      <c r="E45" s="197" t="n"/>
      <c r="F45" s="237">
        <f>'Capital &amp; Ownership'!C73</f>
        <v/>
      </c>
      <c r="G45" s="197" t="n"/>
      <c r="H45" s="225">
        <f>'Capital &amp; Ownership'!C64</f>
        <v/>
      </c>
      <c r="I45" s="197" t="n"/>
      <c r="J45" s="221">
        <f>'Capital &amp; Ownership'!C65</f>
        <v/>
      </c>
      <c r="K45" s="197" t="n"/>
      <c r="L45" s="222">
        <f>'Capital &amp; Ownership'!C66</f>
        <v/>
      </c>
      <c r="M45" s="197" t="n"/>
    </row>
    <row r="46" ht="16.05" customHeight="1" s="186">
      <c r="B46" s="255" t="inlineStr">
        <is>
          <t>All 3 partners</t>
        </is>
      </c>
      <c r="C46" s="197" t="n"/>
      <c r="D46" s="256" t="inlineStr">
        <is>
          <t>Excl. internal transfers</t>
        </is>
      </c>
      <c r="E46" s="197" t="n"/>
      <c r="F46" s="240" t="inlineStr">
        <is>
          <t>Available for operations</t>
        </is>
      </c>
      <c r="G46" s="197" t="n"/>
      <c r="H46" s="258" t="inlineStr">
        <is>
          <t>To previous owners</t>
        </is>
      </c>
      <c r="I46" s="197" t="n"/>
      <c r="J46" s="244" t="inlineStr">
        <is>
          <t>✅ Paid by Lohith</t>
        </is>
      </c>
      <c r="K46" s="197" t="n"/>
      <c r="L46" s="245" t="inlineStr">
        <is>
          <t>⏳ Outstanding</t>
        </is>
      </c>
      <c r="M46" s="197" t="n"/>
    </row>
    <row r="47" ht="7.95" customHeight="1" s="186"/>
    <row r="48" ht="22.05" customHeight="1" s="186">
      <c r="B48" s="247" t="inlineStr">
        <is>
          <t xml:space="preserve">  👥  OWNER CAPITAL SUMMARY</t>
        </is>
      </c>
    </row>
    <row r="49" ht="19.95" customHeight="1" s="186">
      <c r="B49" s="229" t="inlineStr">
        <is>
          <t>OWNER</t>
        </is>
      </c>
      <c r="C49" s="197" t="n"/>
      <c r="D49" s="229" t="inlineStr">
        <is>
          <t>SHARE %</t>
        </is>
      </c>
      <c r="E49" s="197" t="n"/>
      <c r="F49" s="229" t="inlineStr">
        <is>
          <t>CAPITAL ($)</t>
        </is>
      </c>
      <c r="G49" s="229" t="inlineStr">
        <is>
          <t>ROLE</t>
        </is>
      </c>
      <c r="H49" s="229" t="inlineStr">
        <is>
          <t>EXPENSES ($)</t>
        </is>
      </c>
      <c r="I49" s="197" t="n"/>
      <c r="J49" s="229" t="inlineStr">
        <is>
          <t>REMAINING ($)</t>
        </is>
      </c>
      <c r="K49" s="197" t="n"/>
      <c r="L49" s="229" t="inlineStr">
        <is>
          <t>% SPENT</t>
        </is>
      </c>
      <c r="M49" s="197" t="n"/>
    </row>
    <row r="50" ht="19.95" customHeight="1" s="186">
      <c r="B50" s="228">
        <f>'Capital &amp; Ownership'!B6</f>
        <v/>
      </c>
      <c r="C50" s="197" t="n"/>
      <c r="D50" s="215">
        <f>'Capital &amp; Ownership'!C6</f>
        <v/>
      </c>
      <c r="E50" s="197" t="n"/>
      <c r="F50" s="223">
        <f>'Capital &amp; Ownership'!D6</f>
        <v/>
      </c>
      <c r="G50" s="206" t="inlineStr">
        <is>
          <t>50% — Managing Partner</t>
        </is>
      </c>
      <c r="H50" s="223">
        <f>'Capital &amp; Ownership'!E6</f>
        <v/>
      </c>
      <c r="I50" s="197" t="n"/>
      <c r="J50" s="223">
        <f>'Capital &amp; Ownership'!F6</f>
        <v/>
      </c>
      <c r="K50" s="197" t="n"/>
      <c r="L50" s="215">
        <f>IFERROR('Capital &amp; Ownership'!E6/'Capital &amp; Ownership'!D6,0)</f>
        <v/>
      </c>
      <c r="M50" s="197" t="n"/>
    </row>
    <row r="51" ht="19.95" customHeight="1" s="186">
      <c r="B51" s="230">
        <f>'Capital &amp; Ownership'!B7</f>
        <v/>
      </c>
      <c r="C51" s="197" t="n"/>
      <c r="D51" s="231">
        <f>'Capital &amp; Ownership'!C7</f>
        <v/>
      </c>
      <c r="E51" s="197" t="n"/>
      <c r="F51" s="246">
        <f>'Capital &amp; Ownership'!D7</f>
        <v/>
      </c>
      <c r="G51" s="53" t="inlineStr">
        <is>
          <t>30% — Partner</t>
        </is>
      </c>
      <c r="H51" s="246">
        <f>'Capital &amp; Ownership'!E7</f>
        <v/>
      </c>
      <c r="I51" s="197" t="n"/>
      <c r="J51" s="246">
        <f>'Capital &amp; Ownership'!F7</f>
        <v/>
      </c>
      <c r="K51" s="197" t="n"/>
      <c r="L51" s="231">
        <f>IFERROR('Capital &amp; Ownership'!E7/'Capital &amp; Ownership'!D7,0)</f>
        <v/>
      </c>
      <c r="M51" s="197" t="n"/>
    </row>
    <row r="52" ht="19.95" customHeight="1" s="186">
      <c r="B52" s="228">
        <f>'Capital &amp; Ownership'!B8</f>
        <v/>
      </c>
      <c r="C52" s="197" t="n"/>
      <c r="D52" s="215">
        <f>'Capital &amp; Ownership'!C8</f>
        <v/>
      </c>
      <c r="E52" s="197" t="n"/>
      <c r="F52" s="223">
        <f>'Capital &amp; Ownership'!D8</f>
        <v/>
      </c>
      <c r="G52" s="206" t="inlineStr">
        <is>
          <t>20% — Partner</t>
        </is>
      </c>
      <c r="H52" s="223">
        <f>'Capital &amp; Ownership'!E8</f>
        <v/>
      </c>
      <c r="I52" s="197" t="n"/>
      <c r="J52" s="223">
        <f>'Capital &amp; Ownership'!F8</f>
        <v/>
      </c>
      <c r="K52" s="197" t="n"/>
      <c r="L52" s="215">
        <f>IFERROR('Capital &amp; Ownership'!E8/'Capital &amp; Ownership'!D8,0)</f>
        <v/>
      </c>
      <c r="M52" s="197" t="n"/>
    </row>
    <row r="53" ht="22.05" customHeight="1" s="186">
      <c r="B53" s="195" t="inlineStr">
        <is>
          <t>TOTAL</t>
        </is>
      </c>
      <c r="C53" s="197" t="n"/>
      <c r="D53" s="213">
        <f>'Capital &amp; Ownership'!C9</f>
        <v/>
      </c>
      <c r="E53" s="197" t="n"/>
      <c r="F53" s="198">
        <f>'Capital &amp; Ownership'!D9</f>
        <v/>
      </c>
      <c r="G53" s="229" t="n"/>
      <c r="H53" s="198">
        <f>'Capital &amp; Ownership'!E9</f>
        <v/>
      </c>
      <c r="I53" s="197" t="n"/>
      <c r="J53" s="198">
        <f>'Capital &amp; Ownership'!F9</f>
        <v/>
      </c>
      <c r="K53" s="197" t="n"/>
      <c r="L53" s="213">
        <f>IFERROR('Capital &amp; Ownership'!E9/'Capital &amp; Ownership'!D9,0)</f>
        <v/>
      </c>
      <c r="M53" s="197" t="n"/>
    </row>
    <row r="54" ht="7.95" customHeight="1" s="186"/>
    <row r="55" ht="22.05" customHeight="1" s="186">
      <c r="B55" s="247" t="inlineStr">
        <is>
          <t xml:space="preserve">  🧾  PRE-OPENING EXPENSES BREAKDOWN</t>
        </is>
      </c>
    </row>
    <row r="56" ht="19.95" customHeight="1" s="186">
      <c r="B56" s="229" t="inlineStr">
        <is>
          <t>EXPENSE ITEM</t>
        </is>
      </c>
      <c r="C56" s="196" t="n"/>
      <c r="D56" s="197" t="n"/>
      <c r="E56" s="229" t="inlineStr">
        <is>
          <t>PAID BY</t>
        </is>
      </c>
      <c r="F56" s="197" t="n"/>
      <c r="G56" s="229" t="inlineStr">
        <is>
          <t>AMOUNT ($)</t>
        </is>
      </c>
      <c r="H56" s="197" t="n"/>
      <c r="I56" s="229" t="inlineStr">
        <is>
          <t>CATEGORY</t>
        </is>
      </c>
      <c r="J56" s="197" t="n"/>
      <c r="K56" s="229" t="inlineStr">
        <is>
          <t>STATUS</t>
        </is>
      </c>
      <c r="L56" s="197" t="n"/>
    </row>
    <row r="57" ht="19.95" customHeight="1" s="186">
      <c r="B57" s="211">
        <f>'Capital &amp; Ownership'!B13</f>
        <v/>
      </c>
      <c r="C57" s="196" t="n"/>
      <c r="D57" s="197" t="n"/>
      <c r="E57" s="234" t="inlineStr">
        <is>
          <t>All Partners</t>
        </is>
      </c>
      <c r="F57" s="197" t="n"/>
      <c r="G57" s="220">
        <f>'Capital &amp; Ownership'!D13</f>
        <v/>
      </c>
      <c r="H57" s="197" t="n"/>
      <c r="I57" s="234" t="inlineStr">
        <is>
          <t>Acquisition</t>
        </is>
      </c>
      <c r="J57" s="197" t="n"/>
      <c r="K57" s="234" t="inlineStr">
        <is>
          <t>⚠️ Not Fully Paid</t>
        </is>
      </c>
      <c r="L57" s="197" t="n"/>
    </row>
    <row r="58" ht="19.95" customHeight="1" s="186">
      <c r="B58" s="201">
        <f>'Capital &amp; Ownership'!B14</f>
        <v/>
      </c>
      <c r="C58" s="196" t="n"/>
      <c r="D58" s="197" t="n"/>
      <c r="E58" s="224" t="inlineStr">
        <is>
          <t>Lohith Reddy</t>
        </is>
      </c>
      <c r="F58" s="197" t="n"/>
      <c r="G58" s="226">
        <f>'Capital &amp; Ownership'!D14</f>
        <v/>
      </c>
      <c r="H58" s="197" t="n"/>
      <c r="I58" s="224" t="inlineStr">
        <is>
          <t>Acquisition Advance</t>
        </is>
      </c>
      <c r="J58" s="197" t="n"/>
      <c r="K58" s="224" t="inlineStr">
        <is>
          <t>✅ Paid</t>
        </is>
      </c>
      <c r="L58" s="197" t="n"/>
    </row>
    <row r="59" ht="19.95" customHeight="1" s="186">
      <c r="B59" s="201">
        <f>'Capital &amp; Ownership'!B27</f>
        <v/>
      </c>
      <c r="C59" s="196" t="n"/>
      <c r="D59" s="197" t="n"/>
      <c r="E59" s="224" t="inlineStr">
        <is>
          <t>Kashigoud Patil</t>
        </is>
      </c>
      <c r="F59" s="197" t="n"/>
      <c r="G59" s="226">
        <f>'Capital &amp; Ownership'!D27</f>
        <v/>
      </c>
      <c r="H59" s="197" t="n"/>
      <c r="I59" s="224" t="inlineStr">
        <is>
          <t>Software / License</t>
        </is>
      </c>
      <c r="J59" s="197" t="n"/>
      <c r="K59" s="224" t="inlineStr">
        <is>
          <t>✅ Paid</t>
        </is>
      </c>
      <c r="L59" s="197" t="n"/>
    </row>
    <row r="60" ht="19.95" customHeight="1" s="186">
      <c r="B60" s="201">
        <f>'Capital &amp; Ownership'!B28</f>
        <v/>
      </c>
      <c r="C60" s="196" t="n"/>
      <c r="D60" s="197" t="n"/>
      <c r="E60" s="224" t="inlineStr">
        <is>
          <t>Kashigoud Patil</t>
        </is>
      </c>
      <c r="F60" s="197" t="n"/>
      <c r="G60" s="226">
        <f>'Capital &amp; Ownership'!D28</f>
        <v/>
      </c>
      <c r="H60" s="197" t="n"/>
      <c r="I60" s="224" t="inlineStr">
        <is>
          <t>Equipment</t>
        </is>
      </c>
      <c r="J60" s="197" t="n"/>
      <c r="K60" s="224" t="inlineStr">
        <is>
          <t>✅ Paid</t>
        </is>
      </c>
      <c r="L60" s="197" t="n"/>
    </row>
    <row r="61" ht="19.95" customHeight="1" s="186">
      <c r="B61" s="228">
        <f>'Capital &amp; Ownership'!B39</f>
        <v/>
      </c>
      <c r="C61" s="196" t="n"/>
      <c r="D61" s="197" t="n"/>
      <c r="E61" s="206" t="inlineStr">
        <is>
          <t>Lohith Reddy</t>
        </is>
      </c>
      <c r="F61" s="197" t="n"/>
      <c r="G61" s="223">
        <f>'Capital &amp; Ownership'!D39</f>
        <v/>
      </c>
      <c r="H61" s="197" t="n"/>
      <c r="I61" s="206" t="inlineStr">
        <is>
          <t>Legal / Notary</t>
        </is>
      </c>
      <c r="J61" s="197" t="n"/>
      <c r="K61" s="206" t="inlineStr">
        <is>
          <t>✅ Paid</t>
        </is>
      </c>
      <c r="L61" s="197" t="n"/>
    </row>
    <row r="62" ht="19.95" customHeight="1" s="186">
      <c r="B62" s="228">
        <f>'Capital &amp; Ownership'!B40</f>
        <v/>
      </c>
      <c r="C62" s="196" t="n"/>
      <c r="D62" s="197" t="n"/>
      <c r="E62" s="206" t="inlineStr">
        <is>
          <t>Lohith Reddy</t>
        </is>
      </c>
      <c r="F62" s="197" t="n"/>
      <c r="G62" s="223">
        <f>'Capital &amp; Ownership'!D40</f>
        <v/>
      </c>
      <c r="H62" s="197" t="n"/>
      <c r="I62" s="206" t="inlineStr">
        <is>
          <t>Legal / Insurance</t>
        </is>
      </c>
      <c r="J62" s="197" t="n"/>
      <c r="K62" s="206" t="inlineStr">
        <is>
          <t>✅ Paid</t>
        </is>
      </c>
      <c r="L62" s="197" t="n"/>
    </row>
    <row r="63" ht="19.95" customHeight="1" s="186">
      <c r="B63" s="228">
        <f>'Capital &amp; Ownership'!B41</f>
        <v/>
      </c>
      <c r="C63" s="196" t="n"/>
      <c r="D63" s="197" t="n"/>
      <c r="E63" s="206" t="inlineStr">
        <is>
          <t>Lohith Reddy</t>
        </is>
      </c>
      <c r="F63" s="197" t="n"/>
      <c r="G63" s="223">
        <f>'Capital &amp; Ownership'!D41</f>
        <v/>
      </c>
      <c r="H63" s="197" t="n"/>
      <c r="I63" s="206" t="inlineStr">
        <is>
          <t>Professional Services</t>
        </is>
      </c>
      <c r="J63" s="197" t="n"/>
      <c r="K63" s="206" t="inlineStr">
        <is>
          <t>✅ Paid</t>
        </is>
      </c>
      <c r="L63" s="197" t="n"/>
    </row>
    <row r="64" ht="19.95" customHeight="1" s="186">
      <c r="B64" s="259" t="inlineStr">
        <is>
          <t xml:space="preserve">  ℹ️  Internal transfers:  Kashigoud → Lohith  $125,000  |  Shashirekha → Lohith  $100,000  (not counted as expenses — capital reallocation only)</t>
        </is>
      </c>
      <c r="C64" s="196" t="n"/>
      <c r="D64" s="196" t="n"/>
      <c r="E64" s="196" t="n"/>
      <c r="F64" s="196" t="n"/>
      <c r="G64" s="196" t="n"/>
      <c r="H64" s="196" t="n"/>
      <c r="I64" s="196" t="n"/>
      <c r="J64" s="196" t="n"/>
      <c r="K64" s="196" t="n"/>
      <c r="L64" s="196" t="n"/>
      <c r="M64" s="197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15" activePane="bottomLeft" state="frozen"/>
      <selection pane="bottomLeft" activeCell="M25" sqref="M25"/>
    </sheetView>
  </sheetViews>
  <sheetFormatPr baseColWidth="8" defaultColWidth="8.6640625" defaultRowHeight="14.4" customHeight="1"/>
  <cols>
    <col width="4" customWidth="1" style="186" min="1" max="1"/>
    <col width="18" customWidth="1" style="186" min="2" max="2"/>
    <col width="16" customWidth="1" style="186" min="3" max="5"/>
    <col width="12" customWidth="1" style="186" min="6" max="6"/>
    <col width="14" customWidth="1" style="186" min="7" max="7"/>
    <col width="16" customWidth="1" style="186" min="8" max="9"/>
    <col width="12" customWidth="1" style="186" min="10" max="10"/>
    <col width="30" customWidth="1" style="186" min="11" max="11"/>
    <col width="16" customWidth="1" style="186" min="12" max="17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</row>
    <row r="2" ht="37.5" customHeight="1" s="186">
      <c r="A2" s="187" t="inlineStr">
        <is>
          <t>📅  LOKA — DAILY LOG</t>
        </is>
      </c>
      <c r="I2" s="185" t="inlineStr">
        <is>
          <t>Enter 2 values from Soft App each day → everything else calculates</t>
        </is>
      </c>
    </row>
    <row r="3" ht="3.75" customHeight="1" s="186">
      <c r="A3" s="190" t="n"/>
    </row>
    <row r="4" ht="7.5" customHeight="1" s="186"/>
    <row r="5" ht="49.5" customHeight="1" s="186">
      <c r="B5" s="18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189" t="n"/>
      <c r="D5" s="189" t="n"/>
      <c r="E5" s="189" t="n"/>
      <c r="F5" s="189" t="n"/>
      <c r="G5" s="189" t="n"/>
      <c r="H5" s="189" t="n"/>
      <c r="I5" s="189" t="n"/>
      <c r="J5" s="189" t="n"/>
      <c r="K5" s="189" t="n"/>
      <c r="L5" s="189" t="n"/>
      <c r="M5" s="189" t="n"/>
      <c r="N5" s="189" t="n"/>
      <c r="O5" s="189" t="n"/>
      <c r="P5" s="189" t="n"/>
    </row>
    <row r="6" ht="7.5" customHeight="1" s="186">
      <c r="B6" s="54" t="n"/>
      <c r="D6" s="55" t="n"/>
      <c r="E6" s="56" t="n"/>
      <c r="F6" s="57">
        <f>SUMIFS($D$8:$D$500,$B$8:$B$500,TODAY())+SUMIFS($E$8:$E$500,$B$8:$B$500,TODAY())+SUMIFS($G$8:$G$500,$B$8:$B$500,TODAY())</f>
        <v/>
      </c>
      <c r="G6" s="58">
        <f>SUMIFS($G$8:$G$500,$B$8:$B$500,TODAY())</f>
        <v/>
      </c>
      <c r="H6" s="55">
        <f>SUMIFS($H$8:$H$500,$B$8:$B$500,TODAY())</f>
        <v/>
      </c>
      <c r="I6" s="59">
        <f>F6-H6</f>
        <v/>
      </c>
      <c r="J6">
        <f>IFERROR(I6/F6,0)</f>
        <v/>
      </c>
      <c r="K6" s="55" t="n"/>
      <c r="L6" s="58" t="n"/>
      <c r="M6" s="55">
        <f>SUMPRODUCT((ISNUMBER($B$8:$B$500))*($B$8:$B$500&gt;=TODAY()-MOD(TODAY()-2,7))*($B$8:$B$500&lt;TODAY()-MOD(TODAY()-2,7)+7)*IF(ISNUMBER($F$8:$F$500),$F$8:$F$500,0))</f>
        <v/>
      </c>
      <c r="N6" s="60">
        <f>SUMPRODUCT((ISNUMBER($B$8:$B$500))*($B$8:$B$500&gt;=TODAY()-MOD(TODAY()-2,7))*($B$8:$B$500&lt;TODAY()-MOD(TODAY()-2,7)+7)*IF(ISNUMBER($F$8:$F$500),$F$8:$F$500,0))</f>
        <v/>
      </c>
      <c r="O6" s="60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186">
      <c r="B7" s="199" t="inlineStr">
        <is>
          <t>Date</t>
        </is>
      </c>
      <c r="C7" s="199" t="inlineStr">
        <is>
          <t>Day</t>
        </is>
      </c>
      <c r="D7" s="199" t="inlineStr">
        <is>
          <t>Card / Mercado Pago ($)</t>
        </is>
      </c>
      <c r="E7" s="199" t="inlineStr">
        <is>
          <t>Cash ($)</t>
        </is>
      </c>
      <c r="F7" s="199" t="inlineStr">
        <is>
          <t>Total Revenue ($)</t>
        </is>
      </c>
      <c r="G7" s="199" t="inlineStr">
        <is>
          <t>Transfer ($)</t>
        </is>
      </c>
      <c r="H7" s="199" t="inlineStr">
        <is>
          <t>Expenses $</t>
        </is>
      </c>
      <c r="I7" s="199" t="inlineStr">
        <is>
          <t>Net Profit $</t>
        </is>
      </c>
      <c r="J7" s="199" t="inlineStr">
        <is>
          <t>Margin %</t>
        </is>
      </c>
      <c r="K7" s="199" t="inlineStr">
        <is>
          <t>Notes</t>
        </is>
      </c>
      <c r="L7" s="199" t="inlineStr">
        <is>
          <t>Source</t>
        </is>
      </c>
      <c r="M7" s="199" t="inlineStr">
        <is>
          <t>WEEK PROFIT</t>
        </is>
      </c>
      <c r="N7" s="199" t="inlineStr">
        <is>
          <t>CUMUL. REVENUE</t>
        </is>
      </c>
      <c r="O7" s="199" t="inlineStr">
        <is>
          <t>MONTH REVENUE</t>
        </is>
      </c>
      <c r="P7" s="199" t="inlineStr">
        <is>
          <t>Week Expenses</t>
        </is>
      </c>
      <c r="Q7" s="199" t="inlineStr">
        <is>
          <t>Week Profit</t>
        </is>
      </c>
    </row>
    <row r="8" ht="16.5" customHeight="1" s="186">
      <c r="B8" s="61" t="inlineStr">
        <is>
          <t>18-May-2026</t>
        </is>
      </c>
      <c r="C8" s="62" t="inlineStr">
        <is>
          <t>Mon</t>
        </is>
      </c>
      <c r="D8" s="63" t="n">
        <v>2229</v>
      </c>
      <c r="E8" s="64" t="n">
        <v>1460</v>
      </c>
      <c r="F8" s="65">
        <f>IFERROR(D8+E8+G8,0)</f>
        <v/>
      </c>
      <c r="G8" s="66" t="n"/>
      <c r="H8" s="67" t="n">
        <v>2629</v>
      </c>
      <c r="I8" s="68">
        <f>IFERROR(F8-H8,0)</f>
        <v/>
      </c>
      <c r="J8" s="69">
        <f>IFERROR(I8/F8,0)</f>
        <v/>
      </c>
      <c r="K8" s="70" t="n"/>
      <c r="L8" s="36" t="inlineStr">
        <is>
          <t>Manual Bills</t>
        </is>
      </c>
      <c r="M8" s="39" t="n"/>
      <c r="N8" s="71" t="n"/>
      <c r="O8" s="72" t="n"/>
      <c r="P8" s="73" t="n"/>
      <c r="Q8" s="71" t="n"/>
    </row>
    <row r="9" ht="16.5" customHeight="1" s="186">
      <c r="B9" s="61" t="inlineStr">
        <is>
          <t>19-May-2026</t>
        </is>
      </c>
      <c r="C9" s="74" t="inlineStr">
        <is>
          <t>Tue</t>
        </is>
      </c>
      <c r="D9" s="75" t="n">
        <v>2125</v>
      </c>
      <c r="E9" s="76" t="n">
        <v>1729</v>
      </c>
      <c r="F9" s="77">
        <f>IFERROR(D9+E9+G9,0)</f>
        <v/>
      </c>
      <c r="G9" s="78" t="n"/>
      <c r="H9" s="79" t="n">
        <v>30</v>
      </c>
      <c r="I9" s="80">
        <f>IFERROR(F9-H9,0)</f>
        <v/>
      </c>
      <c r="J9" s="81">
        <f>IFERROR(I9/F9,0)</f>
        <v/>
      </c>
      <c r="K9" s="82" t="n"/>
      <c r="L9" s="45" t="inlineStr">
        <is>
          <t>Manual Bills</t>
        </is>
      </c>
      <c r="M9" s="48" t="n"/>
      <c r="N9" s="83" t="n"/>
      <c r="O9" s="84" t="n"/>
      <c r="P9" s="85" t="n"/>
      <c r="Q9" s="83" t="n"/>
    </row>
    <row r="10" ht="16.5" customHeight="1" s="186">
      <c r="B10" s="61" t="inlineStr">
        <is>
          <t>20-May-2026</t>
        </is>
      </c>
      <c r="C10" s="62" t="inlineStr">
        <is>
          <t>Wed</t>
        </is>
      </c>
      <c r="D10" s="63" t="n">
        <v>1459</v>
      </c>
      <c r="E10" s="64" t="n">
        <v>2665</v>
      </c>
      <c r="F10" s="65">
        <f>IFERROR(D10+E10+G10,0)</f>
        <v/>
      </c>
      <c r="G10" s="66" t="n"/>
      <c r="H10" s="67" t="n">
        <v>3777</v>
      </c>
      <c r="I10" s="68">
        <f>IFERROR(F10-H10,0)</f>
        <v/>
      </c>
      <c r="J10" s="69">
        <f>IFERROR(I10/F10,0)</f>
        <v/>
      </c>
      <c r="K10" s="70" t="n"/>
      <c r="L10" s="36" t="inlineStr">
        <is>
          <t>Manual Bills</t>
        </is>
      </c>
      <c r="M10" s="39" t="n"/>
      <c r="N10" s="71" t="n"/>
      <c r="O10" s="72" t="n"/>
      <c r="P10" s="73" t="n"/>
      <c r="Q10" s="71" t="n"/>
    </row>
    <row r="11" ht="16.5" customHeight="1" s="186">
      <c r="B11" s="61" t="inlineStr">
        <is>
          <t>21-May-2026</t>
        </is>
      </c>
      <c r="C11" s="74" t="inlineStr">
        <is>
          <t>Thu</t>
        </is>
      </c>
      <c r="D11" s="75" t="n">
        <v>2570</v>
      </c>
      <c r="E11" s="76" t="n">
        <v>2163</v>
      </c>
      <c r="F11" s="77">
        <f>IFERROR(D11+E11+G11,0)</f>
        <v/>
      </c>
      <c r="G11" s="78" t="n"/>
      <c r="H11" s="79" t="n">
        <v>2434</v>
      </c>
      <c r="I11" s="80">
        <f>IFERROR(F11-H11,0)</f>
        <v/>
      </c>
      <c r="J11" s="81">
        <f>IFERROR(I11/F11,0)</f>
        <v/>
      </c>
      <c r="K11" s="82" t="n"/>
      <c r="L11" s="45" t="inlineStr">
        <is>
          <t>Manual Bills</t>
        </is>
      </c>
      <c r="M11" s="48" t="n"/>
      <c r="N11" s="83" t="n"/>
      <c r="O11" s="84" t="n"/>
      <c r="P11" s="85" t="n"/>
      <c r="Q11" s="83" t="n"/>
    </row>
    <row r="12" ht="16.5" customHeight="1" s="186">
      <c r="B12" s="61" t="inlineStr">
        <is>
          <t>22-May-2026</t>
        </is>
      </c>
      <c r="C12" s="62" t="inlineStr">
        <is>
          <t>Fri</t>
        </is>
      </c>
      <c r="D12" s="63" t="n">
        <v>1959</v>
      </c>
      <c r="E12" s="64" t="n">
        <v>2323</v>
      </c>
      <c r="F12" s="65">
        <f>IFERROR(D12+E12+G12,0)</f>
        <v/>
      </c>
      <c r="G12" s="66" t="n"/>
      <c r="H12" s="67" t="n">
        <v>1457</v>
      </c>
      <c r="I12" s="68">
        <f>IFERROR(F12-H12,0)</f>
        <v/>
      </c>
      <c r="J12" s="69">
        <f>IFERROR(I12/F12,0)</f>
        <v/>
      </c>
      <c r="K12" s="70" t="n"/>
      <c r="L12" s="36" t="inlineStr">
        <is>
          <t>Manual Bills</t>
        </is>
      </c>
      <c r="M12" s="39" t="n"/>
      <c r="N12" s="71" t="n"/>
      <c r="O12" s="72" t="n"/>
      <c r="P12" s="73" t="n"/>
      <c r="Q12" s="71" t="n"/>
    </row>
    <row r="13" ht="16.5" customHeight="1" s="186">
      <c r="B13" s="61" t="inlineStr">
        <is>
          <t>23-May-2026</t>
        </is>
      </c>
      <c r="C13" s="74" t="inlineStr">
        <is>
          <t>Sat</t>
        </is>
      </c>
      <c r="D13" s="75" t="n">
        <v>2044</v>
      </c>
      <c r="E13" s="76" t="n">
        <v>1758</v>
      </c>
      <c r="F13" s="77">
        <f>IFERROR(D13+E13+G13,0)</f>
        <v/>
      </c>
      <c r="G13" s="78" t="n"/>
      <c r="H13" s="79" t="n">
        <v>8953.43</v>
      </c>
      <c r="I13" s="80">
        <f>IFERROR(F13-H13,0)</f>
        <v/>
      </c>
      <c r="J13" s="81">
        <f>IFERROR(I13/F13,0)</f>
        <v/>
      </c>
      <c r="K13" s="82" t="inlineStr">
        <is>
          <t>Payroll week — John $3,250 + Debi $1,500 + Victor $666 + Tips $1,198</t>
        </is>
      </c>
      <c r="L13" s="45" t="inlineStr">
        <is>
          <t>Manual Bills</t>
        </is>
      </c>
      <c r="M13" s="48" t="n"/>
      <c r="N13" s="83" t="n"/>
      <c r="O13" s="84" t="n"/>
      <c r="P13" s="85" t="n"/>
      <c r="Q13" s="83" t="n"/>
    </row>
    <row r="14" ht="16.5" customHeight="1" s="186">
      <c r="B14" s="61" t="inlineStr">
        <is>
          <t>24-May-2026</t>
        </is>
      </c>
      <c r="C14" s="62" t="inlineStr">
        <is>
          <t>Sun</t>
        </is>
      </c>
      <c r="D14" s="63" t="n"/>
      <c r="E14" s="64" t="n">
        <v>1198</v>
      </c>
      <c r="F14" s="65">
        <f>IFERROR(D14+E14+G14,0)</f>
        <v/>
      </c>
      <c r="G14" s="66" t="n"/>
      <c r="H14" s="67" t="n">
        <v>1076</v>
      </c>
      <c r="I14" s="68">
        <f>IFERROR(F14-H14,0)</f>
        <v/>
      </c>
      <c r="J14" s="69">
        <f>IFERROR(I14/F14,0)</f>
        <v/>
      </c>
      <c r="K14" s="70" t="inlineStr">
        <is>
          <t>🔴 CLOSED — Sunday. Expenses are prep purchases for the week ahead.</t>
        </is>
      </c>
      <c r="L14" s="36" t="inlineStr">
        <is>
          <t>Manual Bills</t>
        </is>
      </c>
      <c r="M14" s="39" t="n"/>
      <c r="N14" s="71" t="n"/>
      <c r="O14" s="72" t="n"/>
      <c r="P14" s="73" t="n"/>
      <c r="Q14" s="71" t="n"/>
    </row>
    <row r="15" ht="16.5" customHeight="1" s="186">
      <c r="B15" s="61" t="inlineStr">
        <is>
          <t>25-May-2026</t>
        </is>
      </c>
      <c r="C15" s="74" t="inlineStr">
        <is>
          <t>Mon</t>
        </is>
      </c>
      <c r="D15" s="75" t="n">
        <v>2106</v>
      </c>
      <c r="E15" s="76" t="n">
        <v>1624</v>
      </c>
      <c r="F15" s="77">
        <f>IFERROR(D15+E15+G15,0)</f>
        <v/>
      </c>
      <c r="G15" s="78" t="n"/>
      <c r="H15" s="79" t="n">
        <v>3021.45</v>
      </c>
      <c r="I15" s="80">
        <f>IFERROR(F15-H15,0)</f>
        <v/>
      </c>
      <c r="J15" s="81">
        <f>IFERROR(I15/F15,0)</f>
        <v/>
      </c>
      <c r="K15" s="82" t="n"/>
      <c r="L15" s="45" t="inlineStr">
        <is>
          <t>Manual Bills</t>
        </is>
      </c>
      <c r="M15" s="48" t="n"/>
      <c r="N15" s="83" t="n"/>
      <c r="O15" s="84" t="n"/>
      <c r="P15" s="85" t="n"/>
      <c r="Q15" s="83" t="n"/>
    </row>
    <row r="16" ht="16.5" customHeight="1" s="186">
      <c r="B16" s="61" t="inlineStr">
        <is>
          <t>26-May-2026</t>
        </is>
      </c>
      <c r="C16" s="62" t="inlineStr">
        <is>
          <t>Tue</t>
        </is>
      </c>
      <c r="D16" s="63" t="n">
        <v>1909</v>
      </c>
      <c r="E16" s="64" t="n">
        <v>2355</v>
      </c>
      <c r="F16" s="65">
        <f>IFERROR(D16+E16+G16,0)</f>
        <v/>
      </c>
      <c r="G16" s="66" t="n"/>
      <c r="H16" s="67" t="n">
        <v>1191.6</v>
      </c>
      <c r="I16" s="68">
        <f>IFERROR(F16-H16,0)</f>
        <v/>
      </c>
      <c r="J16" s="69">
        <f>IFERROR(I16/F16,0)</f>
        <v/>
      </c>
      <c r="K16" s="70" t="n"/>
      <c r="L16" s="36" t="inlineStr">
        <is>
          <t>Manual Bills</t>
        </is>
      </c>
      <c r="M16" s="39" t="n"/>
      <c r="N16" s="71" t="n"/>
      <c r="O16" s="72" t="n"/>
      <c r="P16" s="73" t="n"/>
      <c r="Q16" s="71" t="n"/>
    </row>
    <row r="17" ht="16.5" customHeight="1" s="186">
      <c r="B17" s="61" t="inlineStr">
        <is>
          <t>27-May-2026</t>
        </is>
      </c>
      <c r="C17" s="74" t="inlineStr">
        <is>
          <t>Wed</t>
        </is>
      </c>
      <c r="D17" s="75" t="n">
        <v>1956</v>
      </c>
      <c r="E17" s="76" t="n">
        <v>1665</v>
      </c>
      <c r="F17" s="77">
        <f>IFERROR(D17+E17+G17,0)</f>
        <v/>
      </c>
      <c r="G17" s="78" t="n"/>
      <c r="H17" s="79" t="n">
        <v>1073.22</v>
      </c>
      <c r="I17" s="80">
        <f>IFERROR(F17-H17,0)</f>
        <v/>
      </c>
      <c r="J17" s="81">
        <f>IFERROR(I17/F17,0)</f>
        <v/>
      </c>
      <c r="K17" s="82" t="n"/>
      <c r="L17" s="45" t="inlineStr">
        <is>
          <t>Manual Bills</t>
        </is>
      </c>
      <c r="M17" s="48" t="n"/>
      <c r="N17" s="83" t="n"/>
      <c r="O17" s="84" t="n"/>
      <c r="P17" s="85" t="n"/>
      <c r="Q17" s="83" t="n"/>
    </row>
    <row r="18" ht="16.5" customHeight="1" s="186">
      <c r="B18" s="61" t="inlineStr">
        <is>
          <t>28-May-2026</t>
        </is>
      </c>
      <c r="C18" s="62" t="inlineStr">
        <is>
          <t>Thu</t>
        </is>
      </c>
      <c r="D18" s="63" t="n">
        <v>1501</v>
      </c>
      <c r="E18" s="64" t="n">
        <v>2569</v>
      </c>
      <c r="F18" s="65">
        <f>IFERROR(D18+E18+G18,0)</f>
        <v/>
      </c>
      <c r="G18" s="66" t="n"/>
      <c r="H18" s="67" t="n">
        <v>1931.34</v>
      </c>
      <c r="I18" s="68">
        <f>IFERROR(F18-H18,0)</f>
        <v/>
      </c>
      <c r="J18" s="69">
        <f>IFERROR(I18/F18,0)</f>
        <v/>
      </c>
      <c r="K18" s="70" t="n"/>
      <c r="L18" s="36" t="inlineStr">
        <is>
          <t>Manual Bills</t>
        </is>
      </c>
      <c r="M18" s="39" t="n"/>
      <c r="N18" s="71" t="n"/>
      <c r="O18" s="72" t="n"/>
      <c r="P18" s="73" t="n"/>
      <c r="Q18" s="71" t="n"/>
    </row>
    <row r="19" ht="16.5" customHeight="1" s="186">
      <c r="B19" s="61" t="inlineStr">
        <is>
          <t>29-May-2026</t>
        </is>
      </c>
      <c r="C19" s="74" t="inlineStr">
        <is>
          <t>Fri</t>
        </is>
      </c>
      <c r="D19" s="75" t="n">
        <v>3369</v>
      </c>
      <c r="E19" s="76" t="n">
        <v>2717</v>
      </c>
      <c r="F19" s="77">
        <f>IFERROR(D19+E19+G19,0)</f>
        <v/>
      </c>
      <c r="G19" s="78" t="n"/>
      <c r="H19" s="79" t="n">
        <v>257.29</v>
      </c>
      <c r="I19" s="80">
        <f>IFERROR(F19-H19,0)</f>
        <v/>
      </c>
      <c r="J19" s="81">
        <f>IFERROR(I19/F19,0)</f>
        <v/>
      </c>
      <c r="K19" s="82" t="n"/>
      <c r="L19" s="45" t="inlineStr">
        <is>
          <t>Manual Bills</t>
        </is>
      </c>
      <c r="M19" s="48" t="n"/>
      <c r="N19" s="83" t="n"/>
      <c r="O19" s="84" t="n"/>
      <c r="P19" s="85" t="n"/>
      <c r="Q19" s="83" t="n"/>
    </row>
    <row r="20" ht="16.5" customHeight="1" s="186">
      <c r="B20" s="61" t="inlineStr">
        <is>
          <t>30-May-2026</t>
        </is>
      </c>
      <c r="C20" s="62" t="inlineStr">
        <is>
          <t>Sat</t>
        </is>
      </c>
      <c r="D20" s="63" t="n">
        <v>3457</v>
      </c>
      <c r="E20" s="64" t="n">
        <v>1146</v>
      </c>
      <c r="F20" s="65">
        <f>IFERROR(D20+E20+G20,0)</f>
        <v/>
      </c>
      <c r="G20" s="66" t="n"/>
      <c r="H20" s="67" t="n">
        <v>5974.3</v>
      </c>
      <c r="I20" s="68">
        <f>IFERROR(F20-H20,0)</f>
        <v/>
      </c>
      <c r="J20" s="69">
        <f>IFERROR(I20/F20,0)</f>
        <v/>
      </c>
      <c r="K20" s="70" t="n"/>
      <c r="L20" s="36" t="inlineStr">
        <is>
          <t>Manual Bills</t>
        </is>
      </c>
      <c r="M20" s="39" t="n"/>
      <c r="N20" s="71" t="n"/>
      <c r="O20" s="72" t="n"/>
      <c r="P20" s="73" t="n"/>
      <c r="Q20" s="71" t="n"/>
    </row>
    <row r="21" ht="16.5" customHeight="1" s="186">
      <c r="B21" s="61" t="inlineStr">
        <is>
          <t>31-May-2026</t>
        </is>
      </c>
      <c r="C21" s="74" t="inlineStr">
        <is>
          <t>Sun</t>
        </is>
      </c>
      <c r="D21" s="75" t="n"/>
      <c r="E21" s="76" t="n">
        <v>893</v>
      </c>
      <c r="F21" s="77">
        <f>IFERROR(D21+E21+G21,0)</f>
        <v/>
      </c>
      <c r="G21" s="78" t="n"/>
      <c r="H21" s="79" t="n">
        <v>312</v>
      </c>
      <c r="I21" s="80">
        <f>IFERROR(F21-H21,0)</f>
        <v/>
      </c>
      <c r="J21" s="81">
        <f>IFERROR(I21/F21,0)</f>
        <v/>
      </c>
      <c r="K21" s="82" t="n"/>
      <c r="L21" s="45" t="inlineStr">
        <is>
          <t>Manual Bills</t>
        </is>
      </c>
      <c r="M21" s="48" t="n"/>
      <c r="N21" s="83" t="n"/>
      <c r="O21" s="84" t="n"/>
      <c r="P21" s="85" t="n"/>
      <c r="Q21" s="83" t="n"/>
    </row>
    <row r="22" ht="16.5" customHeight="1" s="186">
      <c r="B22" s="61" t="inlineStr">
        <is>
          <t>01-Jun-2026</t>
        </is>
      </c>
      <c r="C22" s="62" t="inlineStr">
        <is>
          <t>Mon</t>
        </is>
      </c>
      <c r="D22" s="63" t="n">
        <v>3433</v>
      </c>
      <c r="E22" s="64" t="n">
        <v>1276</v>
      </c>
      <c r="F22" s="65">
        <f>IFERROR(D22+E22+G22,0)</f>
        <v/>
      </c>
      <c r="G22" s="66" t="n">
        <v>310</v>
      </c>
      <c r="H22" s="67" t="n">
        <v>6029.64</v>
      </c>
      <c r="I22" s="68">
        <f>IFERROR(F22-H22,0)</f>
        <v/>
      </c>
      <c r="J22" s="69">
        <f>IFERROR(I22/F22,0)</f>
        <v/>
      </c>
      <c r="K22" s="70" t="n"/>
      <c r="L22" s="36" t="inlineStr">
        <is>
          <t>Manual Bills</t>
        </is>
      </c>
      <c r="M22" s="39" t="n"/>
      <c r="N22" s="71" t="n"/>
      <c r="O22" s="72" t="n"/>
      <c r="P22" s="73" t="n"/>
      <c r="Q22" s="71" t="n"/>
    </row>
    <row r="23" ht="16.5" customHeight="1" s="186">
      <c r="B23" s="61" t="inlineStr">
        <is>
          <t>02-Jun-2026</t>
        </is>
      </c>
      <c r="C23" s="74" t="inlineStr">
        <is>
          <t>Tue</t>
        </is>
      </c>
      <c r="D23" s="75" t="n">
        <v>1240</v>
      </c>
      <c r="E23" s="76" t="n">
        <v>320</v>
      </c>
      <c r="F23" s="77">
        <f>IFERROR(D23+E23+G23,0)</f>
        <v/>
      </c>
      <c r="G23" s="78" t="n">
        <v>283</v>
      </c>
      <c r="H23" s="79" t="n">
        <v>2379.11</v>
      </c>
      <c r="I23" s="80">
        <f>IFERROR(F23-H23,0)</f>
        <v/>
      </c>
      <c r="J23" s="81">
        <f>IFERROR(I23/F23,0)</f>
        <v/>
      </c>
      <c r="K23" s="82" t="n"/>
      <c r="L23" s="45" t="inlineStr">
        <is>
          <t>Manual Bills</t>
        </is>
      </c>
      <c r="M23" s="48" t="n"/>
      <c r="N23" s="83" t="n"/>
      <c r="O23" s="84" t="n"/>
      <c r="P23" s="85" t="n"/>
      <c r="Q23" s="83" t="n"/>
    </row>
    <row r="24" ht="16.5" customHeight="1" s="186">
      <c r="B24" s="61" t="inlineStr">
        <is>
          <t>03-Jun-2026</t>
        </is>
      </c>
      <c r="C24" s="62" t="inlineStr">
        <is>
          <t>Wed</t>
        </is>
      </c>
      <c r="D24" s="63" t="n">
        <v>1853</v>
      </c>
      <c r="E24" s="64" t="n">
        <v>1939</v>
      </c>
      <c r="F24" s="65">
        <f>IFERROR(D24+E24+G24,0)</f>
        <v/>
      </c>
      <c r="G24" s="66" t="n">
        <v>120</v>
      </c>
      <c r="H24" s="67" t="n">
        <v>4033.86</v>
      </c>
      <c r="I24" s="68">
        <f>IFERROR(F24-H24,0)</f>
        <v/>
      </c>
      <c r="J24" s="69">
        <f>IFERROR(I24/F24,0)</f>
        <v/>
      </c>
      <c r="K24" s="70" t="n"/>
      <c r="L24" s="36" t="inlineStr">
        <is>
          <t>Manual Bills</t>
        </is>
      </c>
      <c r="M24" s="39" t="n"/>
      <c r="N24" s="71" t="n"/>
      <c r="O24" s="72" t="n"/>
      <c r="P24" s="73" t="n"/>
      <c r="Q24" s="71" t="n"/>
    </row>
    <row r="25" ht="16.5" customHeight="1" s="186">
      <c r="B25" s="61" t="inlineStr">
        <is>
          <t>04-Jun-2026</t>
        </is>
      </c>
      <c r="C25" s="74" t="inlineStr">
        <is>
          <t>Thu</t>
        </is>
      </c>
      <c r="D25" s="75" t="n">
        <v>2712</v>
      </c>
      <c r="E25" s="76" t="n">
        <v>1045</v>
      </c>
      <c r="F25" s="77">
        <f>IFERROR(D25+E25+G25,0)</f>
        <v/>
      </c>
      <c r="G25" s="78" t="n"/>
      <c r="H25" s="79" t="n">
        <v>20959.96</v>
      </c>
      <c r="I25" s="80">
        <f>IFERROR(F25-H25,0)</f>
        <v/>
      </c>
      <c r="J25" s="81">
        <f>IFERROR(I25/F25,0)</f>
        <v/>
      </c>
      <c r="K25" s="82" t="n"/>
      <c r="L25" s="45" t="inlineStr">
        <is>
          <t>Manual Bills</t>
        </is>
      </c>
      <c r="M25" s="48" t="n"/>
      <c r="N25" s="83" t="n"/>
      <c r="O25" s="84" t="n"/>
      <c r="P25" s="85" t="n"/>
      <c r="Q25" s="83" t="n"/>
    </row>
    <row r="26" ht="16.5" customHeight="1" s="186">
      <c r="B26" s="61" t="n"/>
      <c r="C26" s="62" t="n"/>
      <c r="D26" s="63" t="n"/>
      <c r="E26" s="64" t="n"/>
      <c r="F26" s="65" t="n"/>
      <c r="G26" s="66" t="n"/>
      <c r="H26" s="67" t="n"/>
      <c r="I26" s="68" t="n"/>
      <c r="J26" s="69" t="n"/>
      <c r="K26" s="70" t="n"/>
      <c r="L26" s="36" t="n"/>
      <c r="M26" s="39" t="n"/>
      <c r="N26" s="71" t="n"/>
      <c r="O26" s="72" t="n"/>
      <c r="P26" s="73" t="n"/>
      <c r="Q26" s="71" t="n"/>
    </row>
    <row r="27" ht="16.5" customHeight="1" s="186">
      <c r="B27" s="61" t="n"/>
      <c r="C27" s="74" t="n"/>
      <c r="D27" s="75" t="n"/>
      <c r="E27" s="76" t="n"/>
      <c r="F27" s="77" t="n"/>
      <c r="G27" s="78" t="n"/>
      <c r="H27" s="79" t="n"/>
      <c r="I27" s="80" t="n"/>
      <c r="J27" s="81" t="n"/>
      <c r="K27" s="82" t="n"/>
      <c r="L27" s="45" t="n"/>
      <c r="M27" s="48" t="n"/>
      <c r="N27" s="83" t="n"/>
      <c r="O27" s="84" t="n"/>
      <c r="P27" s="85" t="n"/>
      <c r="Q27" s="83" t="n"/>
    </row>
    <row r="28" ht="16.5" customHeight="1" s="186">
      <c r="B28" s="61" t="n"/>
      <c r="C28" s="62" t="n"/>
      <c r="D28" s="63" t="n"/>
      <c r="E28" s="64" t="n"/>
      <c r="F28" s="65" t="n"/>
      <c r="G28" s="66" t="n"/>
      <c r="H28" s="67" t="n"/>
      <c r="I28" s="68" t="n"/>
      <c r="J28" s="69" t="n"/>
      <c r="K28" s="70" t="n"/>
      <c r="L28" s="36" t="n"/>
      <c r="M28" s="39" t="n"/>
      <c r="N28" s="71" t="n"/>
      <c r="O28" s="72" t="n"/>
      <c r="P28" s="73" t="n"/>
      <c r="Q28" s="71" t="n"/>
    </row>
    <row r="29" ht="16.5" customHeight="1" s="186">
      <c r="B29" s="61" t="n"/>
      <c r="C29" s="74" t="n"/>
      <c r="D29" s="75" t="n"/>
      <c r="E29" s="76" t="n"/>
      <c r="F29" s="77" t="n"/>
      <c r="G29" s="78" t="n"/>
      <c r="H29" s="79" t="n"/>
      <c r="I29" s="80" t="n"/>
      <c r="J29" s="81" t="n"/>
      <c r="K29" s="82" t="n"/>
      <c r="L29" s="45" t="n"/>
      <c r="M29" s="48" t="n"/>
      <c r="N29" s="83" t="n"/>
      <c r="O29" s="84" t="n"/>
      <c r="P29" s="85" t="n"/>
      <c r="Q29" s="83" t="n"/>
    </row>
    <row r="30" ht="16.5" customHeight="1" s="186">
      <c r="B30" s="61" t="n"/>
      <c r="C30" s="62" t="n"/>
      <c r="D30" s="63" t="n"/>
      <c r="E30" s="64" t="n"/>
      <c r="F30" s="65" t="n"/>
      <c r="G30" s="66" t="n"/>
      <c r="H30" s="67" t="n"/>
      <c r="I30" s="68" t="n"/>
      <c r="J30" s="69" t="n"/>
      <c r="K30" s="70" t="n"/>
      <c r="L30" s="36" t="n"/>
      <c r="M30" s="39" t="n"/>
      <c r="N30" s="71" t="n"/>
      <c r="O30" s="72" t="n"/>
      <c r="P30" s="73" t="n"/>
      <c r="Q30" s="71" t="n"/>
    </row>
    <row r="31" ht="16.5" customHeight="1" s="186">
      <c r="B31" s="61" t="n"/>
      <c r="C31" s="74" t="n"/>
      <c r="D31" s="75" t="n"/>
      <c r="E31" s="76" t="n"/>
      <c r="F31" s="77" t="n"/>
      <c r="G31" s="78" t="n"/>
      <c r="H31" s="79" t="n"/>
      <c r="I31" s="80" t="n"/>
      <c r="J31" s="81" t="n"/>
      <c r="K31" s="82" t="n"/>
      <c r="L31" s="45" t="n"/>
      <c r="M31" s="48" t="n"/>
      <c r="N31" s="83" t="n"/>
      <c r="O31" s="84" t="n"/>
      <c r="P31" s="85" t="n"/>
      <c r="Q31" s="83" t="n"/>
    </row>
    <row r="32" ht="16.5" customHeight="1" s="186">
      <c r="B32" s="61" t="n"/>
      <c r="C32" s="62" t="n"/>
      <c r="D32" s="63" t="n"/>
      <c r="E32" s="64" t="n"/>
      <c r="F32" s="65" t="n"/>
      <c r="G32" s="66" t="n"/>
      <c r="H32" s="67" t="n"/>
      <c r="I32" s="68" t="n"/>
      <c r="J32" s="69" t="n"/>
      <c r="K32" s="70" t="n"/>
      <c r="L32" s="36" t="n"/>
      <c r="M32" s="39" t="n"/>
      <c r="N32" s="71" t="n"/>
      <c r="O32" s="72" t="n"/>
      <c r="P32" s="73" t="n"/>
      <c r="Q32" s="71" t="n"/>
    </row>
    <row r="33" ht="16.5" customHeight="1" s="186">
      <c r="B33" s="61" t="n"/>
      <c r="C33" s="74" t="n"/>
      <c r="D33" s="75" t="n"/>
      <c r="E33" s="76" t="n"/>
      <c r="F33" s="77" t="n"/>
      <c r="G33" s="78" t="n"/>
      <c r="H33" s="79" t="n"/>
      <c r="I33" s="80" t="n"/>
      <c r="J33" s="81" t="n"/>
      <c r="K33" s="82" t="n"/>
      <c r="L33" s="45" t="n"/>
      <c r="M33" s="48" t="n"/>
      <c r="N33" s="83" t="n"/>
      <c r="O33" s="84" t="n"/>
      <c r="P33" s="85" t="n"/>
      <c r="Q33" s="83" t="n"/>
    </row>
    <row r="34" ht="16.5" customHeight="1" s="186">
      <c r="B34" s="61" t="n"/>
      <c r="C34" s="62" t="n"/>
      <c r="D34" s="63" t="n"/>
      <c r="E34" s="64" t="n"/>
      <c r="F34" s="65" t="n"/>
      <c r="G34" s="66" t="n"/>
      <c r="H34" s="67" t="n"/>
      <c r="I34" s="68" t="n"/>
      <c r="J34" s="69" t="n"/>
      <c r="K34" s="70" t="n"/>
      <c r="L34" s="36" t="n"/>
      <c r="M34" s="39" t="n"/>
      <c r="N34" s="71" t="n"/>
      <c r="O34" s="72" t="n"/>
      <c r="P34" s="73" t="n"/>
      <c r="Q34" s="71" t="n"/>
    </row>
    <row r="35" ht="16.5" customHeight="1" s="186">
      <c r="B35" s="61" t="n"/>
      <c r="C35" s="74" t="n"/>
      <c r="D35" s="75" t="n"/>
      <c r="E35" s="76" t="n"/>
      <c r="F35" s="77" t="n"/>
      <c r="G35" s="78" t="n"/>
      <c r="H35" s="79" t="n"/>
      <c r="I35" s="80" t="n"/>
      <c r="J35" s="81" t="n"/>
      <c r="K35" s="82" t="n"/>
      <c r="L35" s="45" t="n"/>
      <c r="M35" s="48" t="n"/>
      <c r="N35" s="83" t="n"/>
      <c r="O35" s="84" t="n"/>
      <c r="P35" s="85" t="n"/>
      <c r="Q35" s="83" t="n"/>
    </row>
    <row r="36" ht="16.5" customHeight="1" s="186">
      <c r="B36" s="61" t="n"/>
      <c r="C36" s="62" t="n"/>
      <c r="D36" s="63" t="n"/>
      <c r="E36" s="64" t="n"/>
      <c r="F36" s="65" t="n"/>
      <c r="G36" s="66" t="n"/>
      <c r="H36" s="67" t="n"/>
      <c r="I36" s="68" t="n"/>
      <c r="J36" s="69" t="n"/>
      <c r="K36" s="70" t="n"/>
      <c r="L36" s="36" t="n"/>
      <c r="M36" s="39" t="n"/>
      <c r="N36" s="71" t="n"/>
      <c r="O36" s="72" t="n"/>
      <c r="P36" s="73" t="n"/>
      <c r="Q36" s="71" t="n"/>
    </row>
    <row r="37" ht="16.5" customHeight="1" s="186">
      <c r="B37" s="61" t="n"/>
      <c r="C37" s="74" t="n"/>
      <c r="D37" s="75" t="n"/>
      <c r="E37" s="76" t="n"/>
      <c r="F37" s="77" t="n"/>
      <c r="G37" s="78" t="n"/>
      <c r="H37" s="79" t="n"/>
      <c r="I37" s="80" t="n"/>
      <c r="J37" s="81" t="n"/>
      <c r="K37" s="82" t="n"/>
      <c r="L37" s="45" t="n"/>
      <c r="M37" s="48" t="n"/>
      <c r="N37" s="83" t="n"/>
      <c r="O37" s="84" t="n"/>
      <c r="P37" s="85" t="n"/>
      <c r="Q37" s="83" t="n"/>
    </row>
    <row r="38" ht="16.5" customHeight="1" s="186">
      <c r="B38" s="61" t="n"/>
      <c r="C38" s="62" t="n"/>
      <c r="D38" s="63" t="n"/>
      <c r="E38" s="64" t="n"/>
      <c r="F38" s="65" t="n"/>
      <c r="G38" s="66" t="n"/>
      <c r="H38" s="67" t="n"/>
      <c r="I38" s="68" t="n"/>
      <c r="J38" s="69" t="n"/>
      <c r="K38" s="70" t="n"/>
      <c r="L38" s="36" t="n"/>
      <c r="M38" s="39" t="n"/>
      <c r="N38" s="71" t="n"/>
      <c r="O38" s="72" t="n"/>
      <c r="P38" s="73" t="n"/>
      <c r="Q38" s="71" t="n"/>
    </row>
    <row r="39" ht="16.5" customHeight="1" s="186">
      <c r="B39" s="61" t="n"/>
      <c r="C39" s="74" t="n"/>
      <c r="D39" s="75" t="n"/>
      <c r="E39" s="76" t="n"/>
      <c r="F39" s="77" t="n"/>
      <c r="G39" s="78" t="n"/>
      <c r="H39" s="79" t="n"/>
      <c r="I39" s="80" t="n"/>
      <c r="J39" s="81" t="n"/>
      <c r="K39" s="82" t="n"/>
      <c r="L39" s="45" t="n"/>
      <c r="M39" s="48" t="n"/>
      <c r="N39" s="83" t="n"/>
      <c r="O39" s="84" t="n"/>
      <c r="P39" s="85" t="n"/>
      <c r="Q39" s="83" t="n"/>
    </row>
    <row r="40" ht="16.5" customHeight="1" s="186">
      <c r="B40" s="61" t="n"/>
      <c r="C40" s="62" t="n"/>
      <c r="D40" s="63" t="n"/>
      <c r="E40" s="64" t="n"/>
      <c r="F40" s="65" t="n"/>
      <c r="G40" s="66" t="n"/>
      <c r="H40" s="67" t="n"/>
      <c r="I40" s="68" t="n"/>
      <c r="J40" s="69" t="n"/>
      <c r="K40" s="70" t="n"/>
      <c r="L40" s="36" t="n"/>
      <c r="M40" s="39" t="n"/>
      <c r="N40" s="71" t="n"/>
      <c r="O40" s="72" t="n"/>
      <c r="P40" s="73" t="n"/>
      <c r="Q40" s="71" t="n"/>
    </row>
    <row r="41" ht="16.5" customHeight="1" s="186">
      <c r="B41" s="61" t="n"/>
      <c r="C41" s="74" t="n"/>
      <c r="D41" s="75" t="n"/>
      <c r="E41" s="76" t="n"/>
      <c r="F41" s="77" t="n"/>
      <c r="G41" s="78" t="n"/>
      <c r="H41" s="79" t="n"/>
      <c r="I41" s="80" t="n"/>
      <c r="J41" s="81" t="n"/>
      <c r="K41" s="82" t="n"/>
      <c r="L41" s="45" t="n"/>
      <c r="M41" s="48" t="n"/>
      <c r="N41" s="83" t="n"/>
      <c r="O41" s="84" t="n"/>
      <c r="P41" s="85" t="n"/>
      <c r="Q41" s="83" t="n"/>
    </row>
    <row r="42" ht="16.5" customHeight="1" s="186">
      <c r="B42" s="61" t="n"/>
      <c r="C42" s="62" t="n"/>
      <c r="D42" s="63" t="n"/>
      <c r="E42" s="64" t="n"/>
      <c r="F42" s="65" t="n"/>
      <c r="G42" s="66" t="n"/>
      <c r="H42" s="67" t="n"/>
      <c r="I42" s="68" t="n"/>
      <c r="J42" s="69" t="n"/>
      <c r="K42" s="70" t="n"/>
      <c r="L42" s="36" t="n"/>
      <c r="M42" s="39" t="n"/>
      <c r="N42" s="71" t="n"/>
      <c r="O42" s="72" t="n"/>
      <c r="P42" s="73" t="n"/>
      <c r="Q42" s="71" t="n"/>
    </row>
    <row r="43" ht="16.5" customHeight="1" s="186">
      <c r="B43" s="61" t="n"/>
      <c r="C43" s="74" t="n"/>
      <c r="D43" s="75" t="n"/>
      <c r="E43" s="76" t="n"/>
      <c r="F43" s="77" t="n"/>
      <c r="G43" s="78" t="n"/>
      <c r="H43" s="79" t="n"/>
      <c r="I43" s="80" t="n"/>
      <c r="J43" s="81" t="n"/>
      <c r="K43" s="82" t="n"/>
      <c r="L43" s="45" t="n"/>
      <c r="M43" s="48" t="n"/>
      <c r="N43" s="83" t="n"/>
      <c r="O43" s="84" t="n"/>
      <c r="P43" s="85" t="n"/>
      <c r="Q43" s="83" t="n"/>
    </row>
    <row r="44" ht="16.5" customHeight="1" s="186">
      <c r="B44" s="61" t="n"/>
      <c r="C44" s="62" t="n"/>
      <c r="D44" s="63" t="n"/>
      <c r="E44" s="64" t="n"/>
      <c r="F44" s="65" t="n"/>
      <c r="G44" s="66" t="n"/>
      <c r="H44" s="67" t="n"/>
      <c r="I44" s="68" t="n"/>
      <c r="J44" s="69" t="n"/>
      <c r="K44" s="70" t="n"/>
      <c r="L44" s="36" t="n"/>
      <c r="M44" s="39" t="n"/>
      <c r="N44" s="71" t="n"/>
      <c r="O44" s="72" t="n"/>
      <c r="P44" s="73" t="n"/>
      <c r="Q44" s="71" t="n"/>
    </row>
    <row r="45" ht="16.5" customHeight="1" s="186">
      <c r="B45" s="61" t="n"/>
      <c r="C45" s="74" t="n"/>
      <c r="D45" s="75" t="n"/>
      <c r="E45" s="76" t="n"/>
      <c r="F45" s="77" t="n"/>
      <c r="G45" s="78" t="n"/>
      <c r="H45" s="79" t="n"/>
      <c r="I45" s="80" t="n"/>
      <c r="J45" s="81" t="n"/>
      <c r="K45" s="82" t="n"/>
      <c r="L45" s="45" t="n"/>
      <c r="M45" s="48" t="n"/>
      <c r="N45" s="83" t="n"/>
      <c r="O45" s="84" t="n"/>
      <c r="P45" s="85" t="n"/>
      <c r="Q45" s="83" t="n"/>
    </row>
    <row r="46" ht="16.5" customHeight="1" s="186">
      <c r="B46" s="61" t="n"/>
      <c r="C46" s="62" t="n"/>
      <c r="D46" s="63" t="n"/>
      <c r="E46" s="64" t="n"/>
      <c r="F46" s="65" t="n"/>
      <c r="G46" s="66" t="n"/>
      <c r="H46" s="67" t="n"/>
      <c r="I46" s="68" t="n"/>
      <c r="J46" s="69" t="n"/>
      <c r="K46" s="70" t="n"/>
      <c r="L46" s="36" t="n"/>
      <c r="M46" s="39" t="n"/>
      <c r="N46" s="71" t="n"/>
      <c r="O46" s="72" t="n"/>
      <c r="P46" s="73" t="n"/>
      <c r="Q46" s="71" t="n"/>
    </row>
    <row r="47" ht="16.5" customHeight="1" s="186">
      <c r="B47" s="61" t="n"/>
      <c r="C47" s="74" t="n"/>
      <c r="D47" s="75" t="n"/>
      <c r="E47" s="76" t="n"/>
      <c r="F47" s="77" t="n"/>
      <c r="G47" s="78" t="n"/>
      <c r="H47" s="79" t="n"/>
      <c r="I47" s="80" t="n"/>
      <c r="J47" s="81" t="n"/>
      <c r="K47" s="82" t="n"/>
      <c r="L47" s="45" t="n"/>
      <c r="M47" s="48" t="n"/>
      <c r="N47" s="83" t="n"/>
      <c r="O47" s="84" t="n"/>
      <c r="P47" s="85" t="n"/>
      <c r="Q47" s="83" t="n"/>
    </row>
    <row r="48" ht="16.5" customHeight="1" s="186">
      <c r="B48" s="61" t="n"/>
      <c r="C48" s="62" t="n"/>
      <c r="D48" s="63" t="n"/>
      <c r="E48" s="64" t="n"/>
      <c r="F48" s="65" t="n"/>
      <c r="G48" s="66" t="n"/>
      <c r="H48" s="67" t="n"/>
      <c r="I48" s="68" t="n"/>
      <c r="J48" s="69" t="n"/>
      <c r="K48" s="70" t="n"/>
      <c r="L48" s="36" t="n"/>
      <c r="M48" s="39" t="n"/>
      <c r="N48" s="71" t="n"/>
      <c r="O48" s="72" t="n"/>
      <c r="P48" s="73" t="n"/>
      <c r="Q48" s="71" t="n"/>
    </row>
    <row r="49" ht="16.5" customHeight="1" s="186">
      <c r="B49" s="61" t="n"/>
      <c r="C49" s="74" t="n"/>
      <c r="D49" s="75" t="n"/>
      <c r="E49" s="76" t="n"/>
      <c r="F49" s="77" t="n"/>
      <c r="G49" s="78" t="n"/>
      <c r="H49" s="79" t="n"/>
      <c r="I49" s="80" t="n"/>
      <c r="J49" s="81" t="n"/>
      <c r="K49" s="82" t="n"/>
      <c r="L49" s="45" t="n"/>
      <c r="M49" s="48" t="n"/>
      <c r="N49" s="83" t="n"/>
      <c r="O49" s="84" t="n"/>
      <c r="P49" s="85" t="n"/>
      <c r="Q49" s="83" t="n"/>
    </row>
    <row r="50" ht="16.5" customHeight="1" s="186">
      <c r="B50" s="61" t="n"/>
      <c r="C50" s="62" t="n"/>
      <c r="D50" s="63" t="n"/>
      <c r="E50" s="64" t="n"/>
      <c r="F50" s="65" t="n"/>
      <c r="G50" s="66" t="n"/>
      <c r="H50" s="67" t="n"/>
      <c r="I50" s="68" t="n"/>
      <c r="J50" s="69" t="n"/>
      <c r="K50" s="70" t="n"/>
      <c r="L50" s="36" t="n"/>
      <c r="M50" s="39" t="n"/>
      <c r="N50" s="71" t="n"/>
      <c r="O50" s="72" t="n"/>
      <c r="P50" s="73" t="n"/>
      <c r="Q50" s="71" t="n"/>
    </row>
    <row r="51" ht="16.5" customHeight="1" s="186">
      <c r="B51" s="61" t="n"/>
      <c r="C51" s="74" t="n"/>
      <c r="D51" s="75" t="n"/>
      <c r="E51" s="76" t="n"/>
      <c r="F51" s="77" t="n"/>
      <c r="G51" s="78" t="n"/>
      <c r="H51" s="79" t="n"/>
      <c r="I51" s="80" t="n"/>
      <c r="J51" s="81" t="n"/>
      <c r="K51" s="82" t="n"/>
      <c r="L51" s="45" t="n"/>
      <c r="M51" s="48" t="n"/>
      <c r="N51" s="83" t="n"/>
      <c r="O51" s="84" t="n"/>
      <c r="P51" s="85" t="n"/>
      <c r="Q51" s="83" t="n"/>
    </row>
    <row r="52" ht="16.5" customHeight="1" s="186">
      <c r="B52" s="61" t="n"/>
      <c r="C52" s="62" t="n"/>
      <c r="D52" s="63" t="n"/>
      <c r="E52" s="64" t="n"/>
      <c r="F52" s="65" t="n"/>
      <c r="G52" s="66" t="n"/>
      <c r="H52" s="67" t="n"/>
      <c r="I52" s="68" t="n"/>
      <c r="J52" s="69" t="n"/>
      <c r="K52" s="70" t="n"/>
      <c r="L52" s="36" t="n"/>
      <c r="M52" s="39" t="n"/>
      <c r="N52" s="71" t="n"/>
      <c r="O52" s="72" t="n"/>
      <c r="P52" s="73" t="n"/>
      <c r="Q52" s="71" t="n"/>
    </row>
    <row r="53" ht="16.5" customHeight="1" s="186">
      <c r="B53" s="61" t="n"/>
      <c r="C53" s="74" t="n"/>
      <c r="D53" s="75" t="n"/>
      <c r="E53" s="76" t="n"/>
      <c r="F53" s="77" t="n"/>
      <c r="G53" s="78" t="n"/>
      <c r="H53" s="79" t="n"/>
      <c r="I53" s="80" t="n"/>
      <c r="J53" s="81" t="n"/>
      <c r="K53" s="82" t="n"/>
      <c r="L53" s="45" t="n"/>
      <c r="M53" s="48" t="n"/>
      <c r="N53" s="83" t="n"/>
      <c r="O53" s="84" t="n"/>
      <c r="P53" s="85" t="n"/>
      <c r="Q53" s="83" t="n"/>
    </row>
    <row r="54" ht="16.5" customHeight="1" s="186">
      <c r="B54" s="61" t="n"/>
      <c r="C54" s="62" t="n"/>
      <c r="D54" s="63" t="n"/>
      <c r="E54" s="64" t="n"/>
      <c r="F54" s="65" t="n"/>
      <c r="G54" s="66" t="n"/>
      <c r="H54" s="67" t="n"/>
      <c r="I54" s="68" t="n"/>
      <c r="J54" s="69" t="n"/>
      <c r="K54" s="70" t="n"/>
      <c r="L54" s="36" t="n"/>
      <c r="M54" s="39" t="n"/>
      <c r="N54" s="71" t="n"/>
      <c r="O54" s="72" t="n"/>
      <c r="P54" s="73" t="n"/>
      <c r="Q54" s="71" t="n"/>
    </row>
    <row r="55" ht="16.5" customHeight="1" s="186">
      <c r="B55" s="61" t="n"/>
      <c r="C55" s="74" t="n"/>
      <c r="D55" s="75" t="n"/>
      <c r="E55" s="76" t="n"/>
      <c r="F55" s="77" t="n"/>
      <c r="G55" s="78" t="n"/>
      <c r="H55" s="79" t="n"/>
      <c r="I55" s="80" t="n"/>
      <c r="J55" s="81" t="n"/>
      <c r="K55" s="82" t="n"/>
      <c r="L55" s="45" t="n"/>
      <c r="M55" s="48" t="n"/>
      <c r="N55" s="83" t="n"/>
      <c r="O55" s="84" t="n"/>
      <c r="P55" s="85" t="n"/>
      <c r="Q55" s="83" t="n"/>
    </row>
    <row r="56" ht="16.5" customHeight="1" s="186">
      <c r="B56" s="61" t="n"/>
      <c r="C56" s="62" t="n"/>
      <c r="D56" s="63" t="n"/>
      <c r="E56" s="64" t="n"/>
      <c r="F56" s="65" t="n"/>
      <c r="G56" s="66" t="n"/>
      <c r="H56" s="67" t="n"/>
      <c r="I56" s="68" t="n"/>
      <c r="J56" s="69" t="n"/>
      <c r="K56" s="70" t="n"/>
      <c r="L56" s="36" t="n"/>
      <c r="M56" s="39" t="n"/>
      <c r="N56" s="71" t="n"/>
      <c r="O56" s="72" t="n"/>
      <c r="P56" s="73" t="n"/>
      <c r="Q56" s="71" t="n"/>
    </row>
    <row r="57" ht="16.5" customHeight="1" s="186">
      <c r="B57" s="61" t="n"/>
      <c r="C57" s="74" t="n"/>
      <c r="D57" s="75" t="n"/>
      <c r="E57" s="76" t="n"/>
      <c r="F57" s="77" t="n"/>
      <c r="G57" s="78" t="n"/>
      <c r="H57" s="79" t="n"/>
      <c r="I57" s="80" t="n"/>
      <c r="J57" s="81" t="n"/>
      <c r="K57" s="82" t="n"/>
      <c r="L57" s="45" t="n"/>
      <c r="M57" s="48" t="n"/>
      <c r="N57" s="83" t="n"/>
      <c r="O57" s="84" t="n"/>
      <c r="P57" s="85" t="n"/>
      <c r="Q57" s="83" t="n"/>
    </row>
    <row r="58" ht="16.5" customHeight="1" s="186">
      <c r="B58" s="61" t="n"/>
      <c r="C58" s="62" t="n"/>
      <c r="D58" s="63" t="n"/>
      <c r="E58" s="64" t="n"/>
      <c r="F58" s="65" t="n"/>
      <c r="G58" s="66" t="n"/>
      <c r="H58" s="67" t="n"/>
      <c r="I58" s="68" t="n"/>
      <c r="J58" s="69" t="n"/>
      <c r="K58" s="70" t="n"/>
      <c r="L58" s="36" t="n"/>
      <c r="M58" s="39" t="n"/>
      <c r="N58" s="71" t="n"/>
      <c r="O58" s="72" t="n"/>
      <c r="P58" s="73" t="n"/>
      <c r="Q58" s="71" t="n"/>
    </row>
    <row r="59" ht="16.5" customHeight="1" s="186">
      <c r="B59" s="61" t="n"/>
      <c r="C59" s="74" t="n"/>
      <c r="D59" s="75" t="n"/>
      <c r="E59" s="76" t="n"/>
      <c r="F59" s="77" t="n"/>
      <c r="G59" s="78" t="n"/>
      <c r="H59" s="79" t="n"/>
      <c r="I59" s="80" t="n"/>
      <c r="J59" s="81" t="n"/>
      <c r="K59" s="82" t="n"/>
      <c r="L59" s="45" t="n"/>
      <c r="M59" s="48" t="n"/>
      <c r="N59" s="83" t="n"/>
      <c r="O59" s="84" t="n"/>
      <c r="P59" s="85" t="n"/>
      <c r="Q59" s="83" t="n"/>
    </row>
    <row r="60" ht="16.5" customHeight="1" s="186">
      <c r="B60" s="61" t="n"/>
      <c r="C60" s="62" t="n"/>
      <c r="D60" s="63" t="n"/>
      <c r="E60" s="64" t="n"/>
      <c r="F60" s="65" t="n"/>
      <c r="G60" s="66" t="n"/>
      <c r="H60" s="67" t="n"/>
      <c r="I60" s="68" t="n"/>
      <c r="J60" s="69" t="n"/>
      <c r="K60" s="70" t="n"/>
      <c r="L60" s="36" t="n"/>
      <c r="M60" s="39" t="n"/>
      <c r="N60" s="71" t="n"/>
      <c r="O60" s="72" t="n"/>
      <c r="P60" s="73" t="n"/>
      <c r="Q60" s="71" t="n"/>
    </row>
    <row r="61" ht="16.5" customHeight="1" s="186">
      <c r="B61" s="61" t="n"/>
      <c r="C61" s="74" t="n"/>
      <c r="D61" s="75" t="n"/>
      <c r="E61" s="76" t="n"/>
      <c r="F61" s="77" t="n"/>
      <c r="G61" s="78" t="n"/>
      <c r="H61" s="79" t="n"/>
      <c r="I61" s="80" t="n"/>
      <c r="J61" s="81" t="n"/>
      <c r="K61" s="82" t="n"/>
      <c r="L61" s="45" t="n"/>
      <c r="M61" s="48" t="n"/>
      <c r="N61" s="83" t="n"/>
      <c r="O61" s="84" t="n"/>
      <c r="P61" s="85" t="n"/>
      <c r="Q61" s="83" t="n"/>
    </row>
    <row r="62" ht="16.5" customHeight="1" s="186">
      <c r="B62" s="61" t="n"/>
      <c r="C62" s="62" t="n"/>
      <c r="D62" s="63" t="n"/>
      <c r="E62" s="64" t="n"/>
      <c r="F62" s="65" t="n"/>
      <c r="G62" s="66" t="n"/>
      <c r="H62" s="67" t="n"/>
      <c r="I62" s="68" t="n"/>
      <c r="J62" s="69" t="n"/>
      <c r="K62" s="70" t="n"/>
      <c r="L62" s="36" t="n"/>
      <c r="M62" s="39" t="n"/>
      <c r="N62" s="71" t="n"/>
      <c r="O62" s="72" t="n"/>
      <c r="P62" s="73" t="n"/>
      <c r="Q62" s="71" t="n"/>
    </row>
    <row r="63" ht="16.5" customHeight="1" s="186">
      <c r="B63" s="61" t="n"/>
      <c r="C63" s="74" t="n"/>
      <c r="D63" s="75" t="n"/>
      <c r="E63" s="76" t="n"/>
      <c r="F63" s="77" t="n"/>
      <c r="G63" s="78" t="n"/>
      <c r="H63" s="79" t="n"/>
      <c r="I63" s="80" t="n"/>
      <c r="J63" s="81" t="n"/>
      <c r="K63" s="82" t="n"/>
      <c r="L63" s="45" t="n"/>
      <c r="M63" s="48" t="n"/>
      <c r="N63" s="83" t="n"/>
      <c r="O63" s="84" t="n"/>
      <c r="P63" s="85" t="n"/>
      <c r="Q63" s="83" t="n"/>
    </row>
    <row r="64" ht="16.5" customHeight="1" s="186">
      <c r="B64" s="61" t="n"/>
      <c r="C64" s="62" t="n"/>
      <c r="D64" s="63" t="n"/>
      <c r="E64" s="64" t="n"/>
      <c r="F64" s="65" t="n"/>
      <c r="G64" s="66" t="n"/>
      <c r="H64" s="67" t="n"/>
      <c r="I64" s="68" t="n"/>
      <c r="J64" s="69" t="n"/>
      <c r="K64" s="70" t="n"/>
      <c r="L64" s="36" t="n"/>
      <c r="M64" s="39" t="n"/>
      <c r="N64" s="71" t="n"/>
      <c r="O64" s="72" t="n"/>
      <c r="P64" s="73" t="n"/>
      <c r="Q64" s="71" t="n"/>
    </row>
    <row r="65" ht="16.5" customHeight="1" s="186">
      <c r="B65" s="61" t="n"/>
      <c r="C65" s="74" t="n"/>
      <c r="D65" s="75" t="n"/>
      <c r="E65" s="76" t="n"/>
      <c r="F65" s="77" t="n"/>
      <c r="G65" s="78" t="n"/>
      <c r="H65" s="79" t="n"/>
      <c r="I65" s="80" t="n"/>
      <c r="J65" s="81" t="n"/>
      <c r="K65" s="82" t="n"/>
      <c r="L65" s="45" t="n"/>
      <c r="M65" s="48" t="n"/>
      <c r="N65" s="83" t="n"/>
      <c r="O65" s="84" t="n"/>
      <c r="P65" s="85" t="n"/>
      <c r="Q65" s="83" t="n"/>
    </row>
    <row r="66" ht="16.5" customHeight="1" s="186">
      <c r="B66" s="61" t="n"/>
      <c r="C66" s="62" t="n"/>
      <c r="D66" s="63" t="n"/>
      <c r="E66" s="64" t="n"/>
      <c r="F66" s="65" t="n"/>
      <c r="G66" s="66" t="n"/>
      <c r="H66" s="67" t="n"/>
      <c r="I66" s="68" t="n"/>
      <c r="J66" s="69" t="n"/>
      <c r="K66" s="70" t="n"/>
      <c r="L66" s="36" t="n"/>
      <c r="M66" s="39" t="n"/>
      <c r="N66" s="71" t="n"/>
      <c r="O66" s="72" t="n"/>
      <c r="P66" s="73" t="n"/>
      <c r="Q66" s="71" t="n"/>
    </row>
    <row r="67" ht="16.5" customHeight="1" s="186">
      <c r="B67" s="61" t="n"/>
      <c r="C67" s="74" t="n"/>
      <c r="D67" s="75" t="n"/>
      <c r="E67" s="76" t="n"/>
      <c r="F67" s="77" t="n"/>
      <c r="G67" s="78" t="n"/>
      <c r="H67" s="79" t="n"/>
      <c r="I67" s="80" t="n"/>
      <c r="J67" s="81" t="n"/>
      <c r="K67" s="82" t="n"/>
      <c r="L67" s="45" t="n"/>
      <c r="M67" s="48" t="n"/>
      <c r="N67" s="83" t="n"/>
      <c r="O67" s="84" t="n"/>
      <c r="P67" s="85" t="n"/>
      <c r="Q67" s="83" t="n"/>
    </row>
    <row r="68" ht="16.5" customHeight="1" s="186">
      <c r="B68" s="61" t="n"/>
      <c r="C68" s="62" t="n"/>
      <c r="D68" s="63" t="n"/>
      <c r="E68" s="64" t="n"/>
      <c r="F68" s="65" t="n"/>
      <c r="G68" s="66" t="n"/>
      <c r="H68" s="67" t="n"/>
      <c r="I68" s="68" t="n"/>
      <c r="J68" s="69" t="n"/>
      <c r="K68" s="70" t="n"/>
      <c r="L68" s="36" t="n"/>
      <c r="M68" s="39" t="n"/>
      <c r="N68" s="71" t="n"/>
      <c r="O68" s="72" t="n"/>
      <c r="P68" s="73" t="n"/>
      <c r="Q68" s="71" t="n"/>
    </row>
    <row r="69" ht="16.5" customHeight="1" s="186">
      <c r="B69" s="61" t="n"/>
      <c r="C69" s="74" t="n"/>
      <c r="D69" s="75" t="n"/>
      <c r="E69" s="76" t="n"/>
      <c r="F69" s="77" t="n"/>
      <c r="G69" s="78" t="n"/>
      <c r="H69" s="79" t="n"/>
      <c r="I69" s="80" t="n"/>
      <c r="J69" s="81" t="n"/>
      <c r="K69" s="82" t="n"/>
      <c r="L69" s="45" t="n"/>
      <c r="M69" s="48" t="n"/>
      <c r="N69" s="83" t="n"/>
      <c r="O69" s="84" t="n"/>
      <c r="P69" s="85" t="n"/>
      <c r="Q69" s="83" t="n"/>
    </row>
    <row r="70" ht="16.5" customHeight="1" s="186">
      <c r="B70" s="61" t="n"/>
      <c r="C70" s="62" t="n"/>
      <c r="D70" s="63" t="n"/>
      <c r="E70" s="64" t="n"/>
      <c r="F70" s="65" t="n"/>
      <c r="G70" s="66" t="n"/>
      <c r="H70" s="67" t="n"/>
      <c r="I70" s="68" t="n"/>
      <c r="J70" s="69" t="n"/>
      <c r="K70" s="70" t="n"/>
      <c r="L70" s="36" t="n"/>
      <c r="M70" s="39" t="n"/>
      <c r="N70" s="71" t="n"/>
      <c r="O70" s="72" t="n"/>
      <c r="P70" s="73" t="n"/>
      <c r="Q70" s="71" t="n"/>
    </row>
    <row r="71" ht="16.5" customHeight="1" s="186">
      <c r="B71" s="61" t="n"/>
      <c r="C71" s="74" t="n"/>
      <c r="D71" s="75" t="n"/>
      <c r="E71" s="76" t="n"/>
      <c r="F71" s="77" t="n"/>
      <c r="G71" s="78" t="n"/>
      <c r="H71" s="79" t="n"/>
      <c r="I71" s="80" t="n"/>
      <c r="J71" s="81" t="n"/>
      <c r="K71" s="82" t="n"/>
      <c r="L71" s="45" t="n"/>
      <c r="M71" s="48" t="n"/>
      <c r="N71" s="83" t="n"/>
      <c r="O71" s="84" t="n"/>
      <c r="P71" s="85" t="n"/>
      <c r="Q71" s="83" t="n"/>
    </row>
    <row r="72" ht="16.5" customHeight="1" s="186">
      <c r="B72" s="61" t="n"/>
      <c r="C72" s="62" t="n"/>
      <c r="D72" s="63" t="n"/>
      <c r="E72" s="64" t="n"/>
      <c r="F72" s="65" t="n"/>
      <c r="G72" s="66" t="n"/>
      <c r="H72" s="67" t="n"/>
      <c r="I72" s="68" t="n"/>
      <c r="J72" s="69" t="n"/>
      <c r="K72" s="70" t="n"/>
      <c r="L72" s="36" t="n"/>
      <c r="M72" s="39" t="n"/>
      <c r="N72" s="71" t="n"/>
      <c r="O72" s="72" t="n"/>
      <c r="P72" s="73" t="n"/>
      <c r="Q72" s="71" t="n"/>
    </row>
    <row r="73" ht="16.5" customHeight="1" s="186">
      <c r="B73" s="61" t="n"/>
      <c r="C73" s="74" t="n"/>
      <c r="D73" s="75" t="n"/>
      <c r="E73" s="76" t="n"/>
      <c r="F73" s="77" t="n"/>
      <c r="G73" s="78" t="n"/>
      <c r="H73" s="79" t="n"/>
      <c r="I73" s="80" t="n"/>
      <c r="J73" s="81" t="n"/>
      <c r="K73" s="82" t="n"/>
      <c r="L73" s="45" t="n"/>
      <c r="M73" s="48" t="n"/>
      <c r="N73" s="83" t="n"/>
      <c r="O73" s="84" t="n"/>
      <c r="P73" s="85" t="n"/>
      <c r="Q73" s="83" t="n"/>
    </row>
    <row r="74" ht="16.5" customHeight="1" s="186">
      <c r="B74" s="61" t="n"/>
      <c r="C74" s="62" t="n"/>
      <c r="D74" s="63" t="n"/>
      <c r="E74" s="64" t="n"/>
      <c r="F74" s="65" t="n"/>
      <c r="G74" s="66" t="n"/>
      <c r="H74" s="67" t="n"/>
      <c r="I74" s="68" t="n"/>
      <c r="J74" s="69" t="n"/>
      <c r="K74" s="70" t="n"/>
      <c r="L74" s="36" t="n"/>
      <c r="M74" s="39" t="n"/>
      <c r="N74" s="71" t="n"/>
      <c r="O74" s="72" t="n"/>
      <c r="P74" s="73" t="n"/>
      <c r="Q74" s="71" t="n"/>
    </row>
    <row r="75" ht="16.5" customHeight="1" s="186">
      <c r="B75" s="61" t="n"/>
      <c r="C75" s="74" t="n"/>
      <c r="D75" s="75" t="n"/>
      <c r="E75" s="76" t="n"/>
      <c r="F75" s="77" t="n"/>
      <c r="G75" s="78" t="n"/>
      <c r="H75" s="79" t="n"/>
      <c r="I75" s="80" t="n"/>
      <c r="J75" s="81" t="n"/>
      <c r="K75" s="82" t="n"/>
      <c r="L75" s="45" t="n"/>
      <c r="M75" s="48" t="n"/>
      <c r="N75" s="83" t="n"/>
      <c r="O75" s="84" t="n"/>
      <c r="P75" s="85" t="n"/>
      <c r="Q75" s="83" t="n"/>
    </row>
    <row r="76" ht="16.5" customHeight="1" s="186">
      <c r="B76" s="61" t="n"/>
      <c r="C76" s="62" t="n"/>
      <c r="D76" s="63" t="n"/>
      <c r="E76" s="64" t="n"/>
      <c r="F76" s="65" t="n"/>
      <c r="G76" s="66" t="n"/>
      <c r="H76" s="67" t="n"/>
      <c r="I76" s="68" t="n"/>
      <c r="J76" s="69" t="n"/>
      <c r="K76" s="70" t="n"/>
      <c r="L76" s="36" t="n"/>
      <c r="M76" s="39" t="n"/>
      <c r="N76" s="71" t="n"/>
      <c r="O76" s="72" t="n"/>
      <c r="P76" s="73" t="n"/>
      <c r="Q76" s="71" t="n"/>
    </row>
    <row r="77" ht="16.5" customHeight="1" s="186">
      <c r="B77" s="61" t="n"/>
      <c r="C77" s="74" t="n"/>
      <c r="D77" s="75" t="n"/>
      <c r="E77" s="76" t="n"/>
      <c r="F77" s="77" t="n"/>
      <c r="G77" s="78" t="n"/>
      <c r="H77" s="79" t="n"/>
      <c r="I77" s="80" t="n"/>
      <c r="J77" s="81" t="n"/>
      <c r="K77" s="82" t="n"/>
      <c r="L77" s="45" t="n"/>
      <c r="M77" s="48" t="n"/>
      <c r="N77" s="83" t="n"/>
      <c r="O77" s="84" t="n"/>
      <c r="P77" s="85" t="n"/>
      <c r="Q77" s="83" t="n"/>
    </row>
    <row r="78" ht="16.5" customHeight="1" s="186">
      <c r="B78" s="61" t="n"/>
      <c r="C78" s="62" t="n"/>
      <c r="D78" s="63" t="n"/>
      <c r="E78" s="64" t="n"/>
      <c r="F78" s="65" t="n"/>
      <c r="G78" s="66" t="n"/>
      <c r="H78" s="67" t="n"/>
      <c r="I78" s="68" t="n"/>
      <c r="J78" s="69" t="n"/>
      <c r="K78" s="70" t="n"/>
      <c r="L78" s="36" t="n"/>
      <c r="M78" s="39" t="n"/>
      <c r="N78" s="71" t="n"/>
      <c r="O78" s="72" t="n"/>
      <c r="P78" s="73" t="n"/>
      <c r="Q78" s="71" t="n"/>
    </row>
    <row r="79" ht="16.5" customHeight="1" s="186">
      <c r="B79" s="61" t="n"/>
      <c r="C79" s="74" t="n"/>
      <c r="D79" s="75" t="n"/>
      <c r="E79" s="76" t="n"/>
      <c r="F79" s="77" t="n"/>
      <c r="G79" s="78" t="n"/>
      <c r="H79" s="79" t="n"/>
      <c r="I79" s="80" t="n"/>
      <c r="J79" s="81" t="n"/>
      <c r="K79" s="82" t="n"/>
      <c r="L79" s="45" t="n"/>
      <c r="M79" s="48" t="n"/>
      <c r="N79" s="83" t="n"/>
      <c r="O79" s="84" t="n"/>
      <c r="P79" s="85" t="n"/>
      <c r="Q79" s="83" t="n"/>
    </row>
    <row r="80" ht="16.5" customHeight="1" s="186">
      <c r="B80" s="61" t="n"/>
      <c r="C80" s="62" t="n"/>
      <c r="D80" s="63" t="n"/>
      <c r="E80" s="64" t="n"/>
      <c r="F80" s="65" t="n"/>
      <c r="G80" s="66" t="n"/>
      <c r="H80" s="67" t="n"/>
      <c r="I80" s="68" t="n"/>
      <c r="J80" s="69" t="n"/>
      <c r="K80" s="70" t="n"/>
      <c r="L80" s="36" t="n"/>
      <c r="M80" s="39" t="n"/>
      <c r="N80" s="71" t="n"/>
      <c r="O80" s="72" t="n"/>
      <c r="P80" s="73" t="n"/>
      <c r="Q80" s="71" t="n"/>
    </row>
    <row r="81" ht="16.5" customHeight="1" s="186">
      <c r="B81" s="61" t="n"/>
      <c r="C81" s="74" t="n"/>
      <c r="D81" s="75" t="n"/>
      <c r="E81" s="76" t="n"/>
      <c r="F81" s="77" t="n"/>
      <c r="G81" s="78" t="n"/>
      <c r="H81" s="79" t="n"/>
      <c r="I81" s="80" t="n"/>
      <c r="J81" s="81" t="n"/>
      <c r="K81" s="82" t="n"/>
      <c r="L81" s="45" t="n"/>
      <c r="M81" s="48" t="n"/>
      <c r="N81" s="83" t="n"/>
      <c r="O81" s="84" t="n"/>
      <c r="P81" s="85" t="n"/>
      <c r="Q81" s="83" t="n"/>
    </row>
    <row r="82" ht="16.5" customHeight="1" s="186">
      <c r="B82" s="61" t="n"/>
      <c r="C82" s="62" t="n"/>
      <c r="D82" s="63" t="n"/>
      <c r="E82" s="64" t="n"/>
      <c r="F82" s="65" t="n"/>
      <c r="G82" s="66" t="n"/>
      <c r="H82" s="67" t="n"/>
      <c r="I82" s="68" t="n"/>
      <c r="J82" s="69" t="n"/>
      <c r="K82" s="70" t="n"/>
      <c r="L82" s="36" t="n"/>
      <c r="M82" s="39" t="n"/>
      <c r="N82" s="71" t="n"/>
      <c r="O82" s="72" t="n"/>
      <c r="P82" s="73" t="n"/>
      <c r="Q82" s="71" t="n"/>
    </row>
    <row r="83" ht="16.5" customHeight="1" s="186">
      <c r="B83" s="61" t="n"/>
      <c r="C83" s="74" t="n"/>
      <c r="D83" s="75" t="n"/>
      <c r="E83" s="76" t="n"/>
      <c r="F83" s="77" t="n"/>
      <c r="G83" s="78" t="n"/>
      <c r="H83" s="79" t="n"/>
      <c r="I83" s="80" t="n"/>
      <c r="J83" s="81" t="n"/>
      <c r="K83" s="82" t="n"/>
      <c r="L83" s="45" t="n"/>
      <c r="M83" s="48" t="n"/>
      <c r="N83" s="83" t="n"/>
      <c r="O83" s="84" t="n"/>
      <c r="P83" s="85" t="n"/>
      <c r="Q83" s="83" t="n"/>
    </row>
    <row r="84" ht="16.5" customHeight="1" s="186">
      <c r="B84" s="61" t="n"/>
      <c r="C84" s="62" t="n"/>
      <c r="D84" s="63" t="n"/>
      <c r="E84" s="64" t="n"/>
      <c r="F84" s="65" t="n"/>
      <c r="G84" s="66" t="n"/>
      <c r="H84" s="67" t="n"/>
      <c r="I84" s="68" t="n"/>
      <c r="J84" s="69" t="n"/>
      <c r="K84" s="70" t="n"/>
      <c r="L84" s="36" t="n"/>
      <c r="M84" s="39" t="n"/>
      <c r="N84" s="71" t="n"/>
      <c r="O84" s="72" t="n"/>
      <c r="P84" s="73" t="n"/>
      <c r="Q84" s="71" t="n"/>
    </row>
    <row r="85" ht="16.5" customHeight="1" s="186">
      <c r="B85" s="61" t="n"/>
      <c r="C85" s="74" t="n"/>
      <c r="D85" s="75" t="n"/>
      <c r="E85" s="76" t="n"/>
      <c r="F85" s="77" t="n"/>
      <c r="G85" s="78" t="n"/>
      <c r="H85" s="79" t="n"/>
      <c r="I85" s="80" t="n"/>
      <c r="J85" s="81" t="n"/>
      <c r="K85" s="82" t="n"/>
      <c r="L85" s="45" t="n"/>
      <c r="M85" s="48" t="n"/>
      <c r="N85" s="83" t="n"/>
      <c r="O85" s="84" t="n"/>
      <c r="P85" s="85" t="n"/>
      <c r="Q85" s="83" t="n"/>
    </row>
    <row r="86" ht="16.5" customHeight="1" s="186">
      <c r="B86" s="61" t="n"/>
      <c r="C86" s="62" t="n"/>
      <c r="D86" s="63" t="n"/>
      <c r="E86" s="64" t="n"/>
      <c r="F86" s="65" t="n"/>
      <c r="G86" s="66" t="n"/>
      <c r="H86" s="67" t="n"/>
      <c r="I86" s="68" t="n"/>
      <c r="J86" s="69" t="n"/>
      <c r="K86" s="70" t="n"/>
      <c r="L86" s="36" t="n"/>
      <c r="M86" s="39" t="n"/>
      <c r="N86" s="71" t="n"/>
      <c r="O86" s="72" t="n"/>
      <c r="P86" s="73" t="n"/>
      <c r="Q86" s="71" t="n"/>
    </row>
    <row r="87" ht="16.5" customHeight="1" s="186">
      <c r="B87" s="61" t="n"/>
      <c r="C87" s="74" t="n"/>
      <c r="D87" s="75" t="n"/>
      <c r="E87" s="76" t="n"/>
      <c r="F87" s="77" t="n"/>
      <c r="G87" s="78" t="n"/>
      <c r="H87" s="79" t="n"/>
      <c r="I87" s="80" t="n"/>
      <c r="J87" s="81" t="n"/>
      <c r="K87" s="82" t="n"/>
      <c r="L87" s="45" t="n"/>
      <c r="M87" s="48" t="n"/>
      <c r="N87" s="83" t="n"/>
      <c r="O87" s="84" t="n"/>
      <c r="P87" s="85" t="n"/>
      <c r="Q87" s="83" t="n"/>
    </row>
    <row r="88" ht="16.5" customHeight="1" s="186">
      <c r="B88" s="61" t="n"/>
      <c r="C88" s="62" t="n"/>
      <c r="D88" s="63" t="n"/>
      <c r="E88" s="64" t="n"/>
      <c r="F88" s="65" t="n"/>
      <c r="G88" s="66" t="n"/>
      <c r="H88" s="67" t="n"/>
      <c r="I88" s="68" t="n"/>
      <c r="J88" s="69" t="n"/>
      <c r="K88" s="70" t="n"/>
      <c r="L88" s="36" t="n"/>
      <c r="M88" s="39" t="n"/>
      <c r="N88" s="71" t="n"/>
      <c r="O88" s="72" t="n"/>
      <c r="P88" s="73" t="n"/>
      <c r="Q88" s="71" t="n"/>
    </row>
    <row r="89" ht="16.5" customHeight="1" s="186">
      <c r="B89" s="61" t="n"/>
      <c r="C89" s="74" t="n"/>
      <c r="D89" s="75" t="n"/>
      <c r="E89" s="76" t="n"/>
      <c r="F89" s="77" t="n"/>
      <c r="G89" s="78" t="n"/>
      <c r="H89" s="79" t="n"/>
      <c r="I89" s="80" t="n"/>
      <c r="J89" s="81" t="n"/>
      <c r="K89" s="82" t="n"/>
      <c r="L89" s="45" t="n"/>
      <c r="M89" s="48" t="n"/>
      <c r="N89" s="83" t="n"/>
      <c r="O89" s="84" t="n"/>
      <c r="P89" s="85" t="n"/>
      <c r="Q89" s="83" t="n"/>
    </row>
    <row r="90" ht="16.5" customHeight="1" s="186">
      <c r="B90" s="61" t="n"/>
      <c r="C90" s="62" t="n"/>
      <c r="D90" s="63" t="n"/>
      <c r="E90" s="64" t="n"/>
      <c r="F90" s="65" t="n"/>
      <c r="G90" s="66" t="n"/>
      <c r="H90" s="67" t="n"/>
      <c r="I90" s="68" t="n"/>
      <c r="J90" s="69" t="n"/>
      <c r="K90" s="70" t="n"/>
      <c r="L90" s="36" t="n"/>
      <c r="M90" s="39" t="n"/>
      <c r="N90" s="71" t="n"/>
      <c r="O90" s="72" t="n"/>
      <c r="P90" s="73" t="n"/>
      <c r="Q90" s="71" t="n"/>
    </row>
    <row r="91" ht="16.5" customHeight="1" s="186">
      <c r="B91" s="61" t="n"/>
      <c r="C91" s="74" t="n"/>
      <c r="D91" s="75" t="n"/>
      <c r="E91" s="76" t="n"/>
      <c r="F91" s="77" t="n"/>
      <c r="G91" s="78" t="n"/>
      <c r="H91" s="79" t="n"/>
      <c r="I91" s="80" t="n"/>
      <c r="J91" s="81" t="n"/>
      <c r="K91" s="82" t="n"/>
      <c r="L91" s="45" t="n"/>
      <c r="M91" s="48" t="n"/>
      <c r="N91" s="83" t="n"/>
      <c r="O91" s="84" t="n"/>
      <c r="P91" s="85" t="n"/>
      <c r="Q91" s="83" t="n"/>
    </row>
    <row r="92" ht="16.5" customHeight="1" s="186">
      <c r="B92" s="61" t="n"/>
      <c r="C92" s="62" t="n"/>
      <c r="D92" s="63" t="n"/>
      <c r="E92" s="64" t="n"/>
      <c r="F92" s="65" t="n"/>
      <c r="G92" s="66" t="n"/>
      <c r="H92" s="67" t="n"/>
      <c r="I92" s="68" t="n"/>
      <c r="J92" s="69" t="n"/>
      <c r="K92" s="70" t="n"/>
      <c r="L92" s="36" t="n"/>
      <c r="M92" s="39" t="n"/>
      <c r="N92" s="71" t="n"/>
      <c r="O92" s="72" t="n"/>
      <c r="P92" s="73" t="n"/>
      <c r="Q92" s="71" t="n"/>
    </row>
    <row r="93" ht="16.5" customHeight="1" s="186">
      <c r="B93" s="61" t="n"/>
      <c r="C93" s="74" t="n"/>
      <c r="D93" s="75" t="n"/>
      <c r="E93" s="76" t="n"/>
      <c r="F93" s="77" t="n"/>
      <c r="G93" s="78" t="n"/>
      <c r="H93" s="79" t="n"/>
      <c r="I93" s="80" t="n"/>
      <c r="J93" s="81" t="n"/>
      <c r="K93" s="82" t="n"/>
      <c r="L93" s="45" t="n"/>
      <c r="M93" s="48" t="n"/>
      <c r="N93" s="83" t="n"/>
      <c r="O93" s="84" t="n"/>
      <c r="P93" s="85" t="n"/>
      <c r="Q93" s="83" t="n"/>
    </row>
    <row r="94" ht="16.5" customHeight="1" s="186">
      <c r="B94" s="61" t="n"/>
      <c r="C94" s="62" t="n"/>
      <c r="D94" s="63" t="n"/>
      <c r="E94" s="64" t="n"/>
      <c r="F94" s="65" t="n"/>
      <c r="G94" s="66" t="n"/>
      <c r="H94" s="67" t="n"/>
      <c r="I94" s="68" t="n"/>
      <c r="J94" s="69" t="n"/>
      <c r="K94" s="70" t="n"/>
      <c r="L94" s="36" t="n"/>
      <c r="M94" s="39" t="n"/>
      <c r="N94" s="71" t="n"/>
      <c r="O94" s="72" t="n"/>
      <c r="P94" s="73" t="n"/>
      <c r="Q94" s="71" t="n"/>
    </row>
    <row r="95" ht="16.5" customHeight="1" s="186">
      <c r="B95" s="61" t="n"/>
      <c r="C95" s="74" t="n"/>
      <c r="D95" s="75" t="n"/>
      <c r="E95" s="76" t="n"/>
      <c r="F95" s="77" t="n"/>
      <c r="G95" s="78" t="n"/>
      <c r="H95" s="79" t="n"/>
      <c r="I95" s="80" t="n"/>
      <c r="J95" s="81" t="n"/>
      <c r="K95" s="82" t="n"/>
      <c r="L95" s="45" t="n"/>
      <c r="M95" s="48" t="n"/>
      <c r="N95" s="83" t="n"/>
      <c r="O95" s="84" t="n"/>
      <c r="P95" s="85" t="n"/>
      <c r="Q95" s="83" t="n"/>
    </row>
    <row r="96" ht="16.5" customHeight="1" s="186">
      <c r="B96" s="61" t="n"/>
      <c r="C96" s="62" t="n"/>
      <c r="D96" s="63" t="n"/>
      <c r="E96" s="64" t="n"/>
      <c r="F96" s="65" t="n"/>
      <c r="G96" s="66" t="n"/>
      <c r="H96" s="67" t="n"/>
      <c r="I96" s="68" t="n"/>
      <c r="J96" s="69" t="n"/>
      <c r="K96" s="70" t="n"/>
      <c r="L96" s="36" t="n"/>
      <c r="M96" s="39" t="n"/>
      <c r="N96" s="71" t="n"/>
      <c r="O96" s="72" t="n"/>
      <c r="P96" s="73" t="n"/>
      <c r="Q96" s="71" t="n"/>
    </row>
    <row r="97" ht="16.5" customHeight="1" s="186">
      <c r="B97" s="61" t="n"/>
      <c r="C97" s="74" t="n"/>
      <c r="D97" s="75" t="n"/>
      <c r="E97" s="76" t="n"/>
      <c r="F97" s="77" t="n"/>
      <c r="G97" s="78" t="n"/>
      <c r="H97" s="79" t="n"/>
      <c r="I97" s="80" t="n"/>
      <c r="J97" s="81" t="n"/>
      <c r="K97" s="82" t="n"/>
      <c r="L97" s="45" t="n"/>
      <c r="M97" s="48" t="n"/>
      <c r="N97" s="83" t="n"/>
      <c r="O97" s="84" t="n"/>
      <c r="P97" s="85" t="n"/>
      <c r="Q97" s="83" t="n"/>
    </row>
    <row r="98" ht="16.5" customHeight="1" s="186">
      <c r="B98" s="61" t="n"/>
      <c r="C98" s="62" t="n"/>
      <c r="D98" s="63" t="n"/>
      <c r="E98" s="64" t="n"/>
      <c r="F98" s="65" t="n"/>
      <c r="G98" s="66" t="n"/>
      <c r="H98" s="67" t="n"/>
      <c r="I98" s="68" t="n"/>
      <c r="J98" s="69" t="n"/>
      <c r="K98" s="70" t="n"/>
      <c r="L98" s="36" t="n"/>
      <c r="M98" s="39" t="n"/>
      <c r="N98" s="71" t="n"/>
      <c r="O98" s="72" t="n"/>
      <c r="P98" s="73" t="n"/>
      <c r="Q98" s="71" t="n"/>
    </row>
    <row r="99" ht="16.5" customHeight="1" s="186">
      <c r="B99" s="61" t="n"/>
      <c r="C99" s="74" t="n"/>
      <c r="D99" s="75" t="n"/>
      <c r="E99" s="76" t="n"/>
      <c r="F99" s="77" t="n"/>
      <c r="G99" s="78" t="n"/>
      <c r="H99" s="79" t="n"/>
      <c r="I99" s="80" t="n"/>
      <c r="J99" s="81" t="n"/>
      <c r="K99" s="82" t="n"/>
      <c r="L99" s="45" t="n"/>
      <c r="M99" s="48" t="n"/>
      <c r="N99" s="83" t="n"/>
      <c r="O99" s="84" t="n"/>
      <c r="P99" s="85" t="n"/>
      <c r="Q99" s="83" t="n"/>
    </row>
    <row r="100" ht="16.5" customHeight="1" s="186">
      <c r="B100" s="61" t="n"/>
      <c r="C100" s="62" t="n"/>
      <c r="D100" s="63" t="n"/>
      <c r="E100" s="64" t="n"/>
      <c r="F100" s="65" t="n"/>
      <c r="G100" s="66" t="n"/>
      <c r="H100" s="67" t="n"/>
      <c r="I100" s="68" t="n"/>
      <c r="J100" s="69" t="n"/>
      <c r="K100" s="70" t="n"/>
      <c r="L100" s="36" t="n"/>
      <c r="M100" s="39" t="n"/>
      <c r="N100" s="71" t="n"/>
      <c r="O100" s="72" t="n"/>
      <c r="P100" s="73" t="n"/>
      <c r="Q100" s="71" t="n"/>
    </row>
    <row r="101" ht="16.5" customHeight="1" s="186">
      <c r="B101" s="61" t="n"/>
      <c r="C101" s="74" t="n"/>
      <c r="D101" s="75" t="n"/>
      <c r="E101" s="76" t="n"/>
      <c r="F101" s="77" t="n"/>
      <c r="G101" s="78" t="n"/>
      <c r="H101" s="79" t="n"/>
      <c r="I101" s="80" t="n"/>
      <c r="J101" s="81" t="n"/>
      <c r="K101" s="82" t="n"/>
      <c r="L101" s="45" t="n"/>
      <c r="M101" s="48" t="n"/>
      <c r="N101" s="83" t="n"/>
      <c r="O101" s="84" t="n"/>
      <c r="P101" s="85" t="n"/>
      <c r="Q101" s="83" t="n"/>
    </row>
    <row r="102" ht="16.5" customHeight="1" s="186">
      <c r="B102" s="61" t="n"/>
      <c r="C102" s="62" t="n"/>
      <c r="D102" s="63" t="n"/>
      <c r="E102" s="64" t="n"/>
      <c r="F102" s="65" t="n"/>
      <c r="G102" s="66" t="n"/>
      <c r="H102" s="67" t="n"/>
      <c r="I102" s="68" t="n"/>
      <c r="J102" s="69" t="n"/>
      <c r="K102" s="70" t="n"/>
      <c r="L102" s="36" t="n"/>
      <c r="M102" s="39" t="n"/>
      <c r="N102" s="71" t="n"/>
      <c r="O102" s="72" t="n"/>
      <c r="P102" s="73" t="n"/>
      <c r="Q102" s="71" t="n"/>
    </row>
    <row r="103" ht="16.5" customHeight="1" s="186">
      <c r="B103" s="61" t="n"/>
      <c r="C103" s="74" t="n"/>
      <c r="D103" s="75" t="n"/>
      <c r="E103" s="76" t="n"/>
      <c r="F103" s="77" t="n"/>
      <c r="G103" s="78" t="n"/>
      <c r="H103" s="79" t="n"/>
      <c r="I103" s="80" t="n"/>
      <c r="J103" s="81" t="n"/>
      <c r="K103" s="82" t="n"/>
      <c r="L103" s="45" t="n"/>
      <c r="M103" s="48" t="n"/>
      <c r="N103" s="83" t="n"/>
      <c r="O103" s="84" t="n"/>
      <c r="P103" s="85" t="n"/>
      <c r="Q103" s="83" t="n"/>
    </row>
    <row r="104" ht="16.5" customHeight="1" s="186">
      <c r="B104" s="61" t="n"/>
      <c r="C104" s="62" t="n"/>
      <c r="D104" s="63" t="n"/>
      <c r="E104" s="64" t="n"/>
      <c r="F104" s="65" t="n"/>
      <c r="G104" s="66" t="n"/>
      <c r="H104" s="67" t="n"/>
      <c r="I104" s="68" t="n"/>
      <c r="J104" s="69" t="n"/>
      <c r="K104" s="70" t="n"/>
      <c r="L104" s="36" t="n"/>
      <c r="M104" s="39" t="n"/>
      <c r="N104" s="71" t="n"/>
      <c r="O104" s="72" t="n"/>
      <c r="P104" s="73" t="n"/>
      <c r="Q104" s="71" t="n"/>
    </row>
    <row r="105" ht="16.5" customHeight="1" s="186">
      <c r="B105" s="61" t="n"/>
      <c r="C105" s="74" t="n"/>
      <c r="D105" s="75" t="n"/>
      <c r="E105" s="76" t="n"/>
      <c r="F105" s="77" t="n"/>
      <c r="G105" s="78" t="n"/>
      <c r="H105" s="79" t="n"/>
      <c r="I105" s="80" t="n"/>
      <c r="J105" s="81" t="n"/>
      <c r="K105" s="82" t="n"/>
      <c r="L105" s="45" t="n"/>
      <c r="M105" s="48" t="n"/>
      <c r="N105" s="83" t="n"/>
      <c r="O105" s="84" t="n"/>
      <c r="P105" s="85" t="n"/>
      <c r="Q105" s="83" t="n"/>
    </row>
    <row r="106" ht="16.5" customHeight="1" s="186">
      <c r="B106" s="61" t="n"/>
      <c r="C106" s="62" t="n"/>
      <c r="D106" s="63" t="n"/>
      <c r="E106" s="64" t="n"/>
      <c r="F106" s="65" t="n"/>
      <c r="G106" s="66" t="n"/>
      <c r="H106" s="67" t="n"/>
      <c r="I106" s="68" t="n"/>
      <c r="J106" s="69" t="n"/>
      <c r="K106" s="70" t="n"/>
      <c r="L106" s="36" t="n"/>
      <c r="M106" s="39" t="n"/>
      <c r="N106" s="71" t="n"/>
      <c r="O106" s="72" t="n"/>
      <c r="P106" s="73" t="n"/>
      <c r="Q106" s="71" t="n"/>
    </row>
    <row r="107" ht="16.5" customHeight="1" s="186">
      <c r="B107" s="61" t="n"/>
      <c r="C107" s="74" t="n"/>
      <c r="D107" s="75" t="n"/>
      <c r="E107" s="76" t="n"/>
      <c r="F107" s="77" t="n"/>
      <c r="G107" s="78" t="n"/>
      <c r="H107" s="79" t="n"/>
      <c r="I107" s="80" t="n"/>
      <c r="J107" s="81" t="n"/>
      <c r="K107" s="82" t="n"/>
      <c r="L107" s="45" t="n"/>
      <c r="M107" s="48" t="n"/>
      <c r="N107" s="83" t="n"/>
      <c r="O107" s="84" t="n"/>
      <c r="P107" s="85" t="n"/>
      <c r="Q107" s="83" t="n"/>
    </row>
    <row r="108" ht="16.5" customHeight="1" s="186">
      <c r="B108" s="61" t="n"/>
      <c r="C108" s="62" t="n"/>
      <c r="D108" s="63" t="n"/>
      <c r="E108" s="64" t="n"/>
      <c r="F108" s="65" t="n"/>
      <c r="G108" s="66" t="n"/>
      <c r="H108" s="67" t="n"/>
      <c r="I108" s="68" t="n"/>
      <c r="J108" s="69" t="n"/>
      <c r="K108" s="70" t="n"/>
      <c r="L108" s="36" t="n"/>
      <c r="M108" s="39" t="n"/>
      <c r="N108" s="71" t="n"/>
      <c r="O108" s="72" t="n"/>
      <c r="P108" s="73" t="n"/>
      <c r="Q108" s="71" t="n"/>
    </row>
    <row r="109" ht="16.5" customHeight="1" s="186">
      <c r="B109" s="61" t="n"/>
      <c r="C109" s="74" t="n"/>
      <c r="D109" s="75" t="n"/>
      <c r="E109" s="76" t="n"/>
      <c r="F109" s="77" t="n"/>
      <c r="G109" s="78" t="n"/>
      <c r="H109" s="79" t="n"/>
      <c r="I109" s="80" t="n"/>
      <c r="J109" s="81" t="n"/>
      <c r="K109" s="82" t="n"/>
      <c r="L109" s="45" t="n"/>
      <c r="M109" s="48" t="n"/>
      <c r="N109" s="83" t="n"/>
      <c r="O109" s="84" t="n"/>
      <c r="P109" s="85" t="n"/>
      <c r="Q109" s="83" t="n"/>
    </row>
    <row r="110" ht="16.5" customHeight="1" s="186">
      <c r="B110" s="61" t="n"/>
      <c r="C110" s="62" t="n"/>
      <c r="D110" s="63" t="n"/>
      <c r="E110" s="64" t="n"/>
      <c r="F110" s="65" t="n"/>
      <c r="G110" s="66" t="n"/>
      <c r="H110" s="67" t="n"/>
      <c r="I110" s="68" t="n"/>
      <c r="J110" s="69" t="n"/>
      <c r="K110" s="70" t="n"/>
      <c r="L110" s="36" t="n"/>
      <c r="M110" s="39" t="n"/>
      <c r="N110" s="71" t="n"/>
      <c r="O110" s="72" t="n"/>
      <c r="P110" s="73" t="n"/>
      <c r="Q110" s="71" t="n"/>
    </row>
    <row r="111" ht="16.5" customHeight="1" s="186">
      <c r="B111" s="61" t="n"/>
      <c r="C111" s="74" t="n"/>
      <c r="D111" s="75" t="n"/>
      <c r="E111" s="76" t="n"/>
      <c r="F111" s="77" t="n"/>
      <c r="G111" s="78" t="n"/>
      <c r="H111" s="79" t="n"/>
      <c r="I111" s="80" t="n"/>
      <c r="J111" s="81" t="n"/>
      <c r="K111" s="82" t="n"/>
      <c r="L111" s="45" t="n"/>
      <c r="M111" s="48" t="n"/>
      <c r="N111" s="83" t="n"/>
      <c r="O111" s="84" t="n"/>
      <c r="P111" s="85" t="n"/>
      <c r="Q111" s="83" t="n"/>
    </row>
    <row r="112" ht="16.5" customHeight="1" s="186">
      <c r="B112" s="61" t="n"/>
      <c r="C112" s="62" t="n"/>
      <c r="D112" s="63" t="n"/>
      <c r="E112" s="64" t="n"/>
      <c r="F112" s="65" t="n"/>
      <c r="G112" s="66" t="n"/>
      <c r="H112" s="67" t="n"/>
      <c r="I112" s="68" t="n"/>
      <c r="J112" s="69" t="n"/>
      <c r="K112" s="70" t="n"/>
      <c r="L112" s="36" t="n"/>
      <c r="M112" s="39" t="n"/>
      <c r="N112" s="71" t="n"/>
      <c r="O112" s="72" t="n"/>
      <c r="P112" s="73" t="n"/>
      <c r="Q112" s="71" t="n"/>
    </row>
    <row r="113" ht="16.5" customHeight="1" s="186">
      <c r="B113" s="61" t="n"/>
      <c r="C113" s="74" t="n"/>
      <c r="D113" s="75" t="n"/>
      <c r="E113" s="76" t="n"/>
      <c r="F113" s="77" t="n"/>
      <c r="G113" s="78" t="n"/>
      <c r="H113" s="79" t="n"/>
      <c r="I113" s="80" t="n"/>
      <c r="J113" s="81" t="n"/>
      <c r="K113" s="82" t="n"/>
      <c r="L113" s="45" t="n"/>
      <c r="M113" s="48" t="n"/>
      <c r="N113" s="83" t="n"/>
      <c r="O113" s="84" t="n"/>
      <c r="P113" s="85" t="n"/>
      <c r="Q113" s="83" t="n"/>
    </row>
    <row r="114" ht="16.5" customHeight="1" s="186">
      <c r="B114" s="61" t="n"/>
      <c r="C114" s="62" t="n"/>
      <c r="D114" s="63" t="n"/>
      <c r="E114" s="64" t="n"/>
      <c r="F114" s="65" t="n"/>
      <c r="G114" s="66" t="n"/>
      <c r="H114" s="67" t="n"/>
      <c r="I114" s="68" t="n"/>
      <c r="J114" s="69" t="n"/>
      <c r="K114" s="70" t="n"/>
      <c r="L114" s="36" t="n"/>
      <c r="M114" s="39" t="n"/>
      <c r="N114" s="71" t="n"/>
      <c r="O114" s="72" t="n"/>
      <c r="P114" s="73" t="n"/>
      <c r="Q114" s="71" t="n"/>
    </row>
    <row r="115" ht="16.5" customHeight="1" s="186">
      <c r="B115" s="61" t="n"/>
      <c r="C115" s="74" t="n"/>
      <c r="D115" s="75" t="n"/>
      <c r="E115" s="76" t="n"/>
      <c r="F115" s="77" t="n"/>
      <c r="G115" s="78" t="n"/>
      <c r="H115" s="79" t="n"/>
      <c r="I115" s="80" t="n"/>
      <c r="J115" s="81" t="n"/>
      <c r="K115" s="82" t="n"/>
      <c r="L115" s="45" t="n"/>
      <c r="M115" s="48" t="n"/>
      <c r="N115" s="83" t="n"/>
      <c r="O115" s="84" t="n"/>
      <c r="P115" s="85" t="n"/>
      <c r="Q115" s="83" t="n"/>
    </row>
    <row r="116" ht="16.5" customHeight="1" s="186">
      <c r="B116" s="61" t="n"/>
      <c r="C116" s="62" t="n"/>
      <c r="D116" s="63" t="n"/>
      <c r="E116" s="64" t="n"/>
      <c r="F116" s="65" t="n"/>
      <c r="G116" s="66" t="n"/>
      <c r="H116" s="67" t="n"/>
      <c r="I116" s="68" t="n"/>
      <c r="J116" s="69" t="n"/>
      <c r="K116" s="70" t="n"/>
      <c r="L116" s="36" t="n"/>
      <c r="M116" s="39" t="n"/>
      <c r="N116" s="71" t="n"/>
      <c r="O116" s="72" t="n"/>
      <c r="P116" s="73" t="n"/>
      <c r="Q116" s="71" t="n"/>
    </row>
    <row r="117" ht="16.5" customHeight="1" s="186">
      <c r="B117" s="61" t="n"/>
      <c r="C117" s="74" t="n"/>
      <c r="D117" s="75" t="n"/>
      <c r="E117" s="76" t="n"/>
      <c r="F117" s="77" t="n"/>
      <c r="G117" s="78" t="n"/>
      <c r="H117" s="79" t="n"/>
      <c r="I117" s="80" t="n"/>
      <c r="J117" s="81" t="n"/>
      <c r="K117" s="82" t="n"/>
      <c r="L117" s="45" t="n"/>
      <c r="M117" s="48" t="n"/>
      <c r="N117" s="83" t="n"/>
      <c r="O117" s="84" t="n"/>
      <c r="P117" s="85" t="n"/>
      <c r="Q117" s="83" t="n"/>
    </row>
    <row r="118" ht="16.5" customHeight="1" s="186">
      <c r="B118" s="61" t="n"/>
      <c r="C118" s="62" t="n"/>
      <c r="D118" s="63" t="n"/>
      <c r="E118" s="64" t="n"/>
      <c r="F118" s="65" t="n"/>
      <c r="G118" s="66" t="n"/>
      <c r="H118" s="67" t="n"/>
      <c r="I118" s="68" t="n"/>
      <c r="J118" s="69" t="n"/>
      <c r="K118" s="70" t="n"/>
      <c r="L118" s="36" t="n"/>
      <c r="M118" s="39" t="n"/>
      <c r="N118" s="71" t="n"/>
      <c r="O118" s="72" t="n"/>
      <c r="P118" s="73" t="n"/>
      <c r="Q118" s="71" t="n"/>
    </row>
    <row r="119" ht="16.5" customHeight="1" s="186">
      <c r="B119" s="61" t="n"/>
      <c r="C119" s="74" t="n"/>
      <c r="D119" s="75" t="n"/>
      <c r="E119" s="76" t="n"/>
      <c r="F119" s="77" t="n"/>
      <c r="G119" s="78" t="n"/>
      <c r="H119" s="79" t="n"/>
      <c r="I119" s="80" t="n"/>
      <c r="J119" s="81" t="n"/>
      <c r="K119" s="82" t="n"/>
      <c r="L119" s="45" t="n"/>
      <c r="M119" s="48" t="n"/>
      <c r="N119" s="83" t="n"/>
      <c r="O119" s="84" t="n"/>
      <c r="P119" s="85" t="n"/>
      <c r="Q119" s="83" t="n"/>
    </row>
    <row r="120" ht="16.5" customHeight="1" s="186">
      <c r="B120" s="61" t="n"/>
      <c r="C120" s="62" t="n"/>
      <c r="D120" s="63" t="n"/>
      <c r="E120" s="64" t="n"/>
      <c r="F120" s="65" t="n"/>
      <c r="G120" s="66" t="n"/>
      <c r="H120" s="67" t="n"/>
      <c r="I120" s="68" t="n"/>
      <c r="J120" s="69" t="n"/>
      <c r="K120" s="70" t="n"/>
      <c r="L120" s="36" t="n"/>
      <c r="M120" s="39" t="n"/>
      <c r="N120" s="71" t="n"/>
      <c r="O120" s="72" t="n"/>
      <c r="P120" s="73" t="n"/>
      <c r="Q120" s="71" t="n"/>
    </row>
    <row r="121" ht="16.5" customHeight="1" s="186">
      <c r="B121" s="61" t="n"/>
      <c r="C121" s="74" t="n"/>
      <c r="D121" s="75" t="n"/>
      <c r="E121" s="76" t="n"/>
      <c r="F121" s="77" t="n"/>
      <c r="G121" s="78" t="n"/>
      <c r="H121" s="79" t="n"/>
      <c r="I121" s="80" t="n"/>
      <c r="J121" s="81" t="n"/>
      <c r="K121" s="82" t="n"/>
      <c r="L121" s="45" t="n"/>
      <c r="M121" s="48" t="n"/>
      <c r="N121" s="83" t="n"/>
      <c r="O121" s="84" t="n"/>
      <c r="P121" s="85" t="n"/>
      <c r="Q121" s="83" t="n"/>
    </row>
    <row r="122" ht="16.5" customHeight="1" s="186">
      <c r="B122" s="61" t="n"/>
      <c r="C122" s="62" t="n"/>
      <c r="D122" s="63" t="n"/>
      <c r="E122" s="64" t="n"/>
      <c r="F122" s="65" t="n"/>
      <c r="G122" s="66" t="n"/>
      <c r="H122" s="67" t="n"/>
      <c r="I122" s="68" t="n"/>
      <c r="J122" s="69" t="n"/>
      <c r="K122" s="70" t="n"/>
      <c r="L122" s="36" t="n"/>
      <c r="M122" s="39" t="n"/>
      <c r="N122" s="71" t="n"/>
      <c r="O122" s="72" t="n"/>
      <c r="P122" s="73" t="n"/>
      <c r="Q122" s="71" t="n"/>
    </row>
    <row r="123" ht="16.5" customHeight="1" s="186">
      <c r="B123" s="61" t="n"/>
      <c r="C123" s="74" t="n"/>
      <c r="D123" s="75" t="n"/>
      <c r="E123" s="76" t="n"/>
      <c r="F123" s="77" t="n"/>
      <c r="G123" s="78" t="n"/>
      <c r="H123" s="79" t="n"/>
      <c r="I123" s="80" t="n"/>
      <c r="J123" s="81" t="n"/>
      <c r="K123" s="82" t="n"/>
      <c r="L123" s="45" t="n"/>
      <c r="M123" s="48" t="n"/>
      <c r="N123" s="83" t="n"/>
      <c r="O123" s="84" t="n"/>
      <c r="P123" s="85" t="n"/>
      <c r="Q123" s="83" t="n"/>
    </row>
    <row r="124" ht="16.5" customHeight="1" s="186">
      <c r="B124" s="61" t="n"/>
      <c r="C124" s="62" t="n"/>
      <c r="D124" s="63" t="n"/>
      <c r="E124" s="64" t="n"/>
      <c r="F124" s="65" t="n"/>
      <c r="G124" s="66" t="n"/>
      <c r="H124" s="67" t="n"/>
      <c r="I124" s="68" t="n"/>
      <c r="J124" s="69" t="n"/>
      <c r="K124" s="70" t="n"/>
      <c r="L124" s="36" t="n"/>
      <c r="M124" s="39" t="n"/>
      <c r="N124" s="71" t="n"/>
      <c r="O124" s="72" t="n"/>
      <c r="P124" s="73" t="n"/>
      <c r="Q124" s="71" t="n"/>
    </row>
    <row r="125" ht="16.5" customHeight="1" s="186">
      <c r="B125" s="61" t="n"/>
      <c r="C125" s="74" t="n"/>
      <c r="D125" s="75" t="n"/>
      <c r="E125" s="76" t="n"/>
      <c r="F125" s="77" t="n"/>
      <c r="G125" s="78" t="n"/>
      <c r="H125" s="79" t="n"/>
      <c r="I125" s="80" t="n"/>
      <c r="J125" s="81" t="n"/>
      <c r="K125" s="82" t="n"/>
      <c r="L125" s="45" t="n"/>
      <c r="M125" s="48" t="n"/>
      <c r="N125" s="83" t="n"/>
      <c r="O125" s="84" t="n"/>
      <c r="P125" s="85" t="n"/>
      <c r="Q125" s="83" t="n"/>
    </row>
    <row r="126" ht="16.5" customHeight="1" s="186">
      <c r="B126" s="61" t="n"/>
      <c r="C126" s="62" t="n"/>
      <c r="D126" s="63" t="n"/>
      <c r="E126" s="64" t="n"/>
      <c r="F126" s="65" t="n"/>
      <c r="G126" s="66" t="n"/>
      <c r="H126" s="67" t="n"/>
      <c r="I126" s="68" t="n"/>
      <c r="J126" s="69" t="n"/>
      <c r="K126" s="70" t="n"/>
      <c r="L126" s="36" t="n"/>
      <c r="M126" s="39" t="n"/>
      <c r="N126" s="71" t="n"/>
      <c r="O126" s="72" t="n"/>
      <c r="P126" s="73" t="n"/>
      <c r="Q126" s="71" t="n"/>
    </row>
    <row r="127" ht="16.5" customHeight="1" s="186">
      <c r="B127" s="61" t="n"/>
      <c r="C127" s="74" t="n"/>
      <c r="D127" s="75" t="n"/>
      <c r="E127" s="76" t="n"/>
      <c r="F127" s="77" t="n"/>
      <c r="G127" s="78" t="n"/>
      <c r="H127" s="79" t="n"/>
      <c r="I127" s="80" t="n"/>
      <c r="J127" s="81" t="n"/>
      <c r="K127" s="82" t="n"/>
      <c r="L127" s="45" t="n"/>
      <c r="M127" s="48" t="n"/>
      <c r="N127" s="83" t="n"/>
      <c r="O127" s="84" t="n"/>
      <c r="P127" s="85" t="n"/>
      <c r="Q127" s="83" t="n"/>
    </row>
    <row r="128" ht="16.5" customHeight="1" s="186">
      <c r="B128" s="61" t="n"/>
      <c r="C128" s="62" t="n"/>
      <c r="D128" s="63" t="n"/>
      <c r="E128" s="64" t="n"/>
      <c r="F128" s="65" t="n"/>
      <c r="G128" s="66" t="n"/>
      <c r="H128" s="67" t="n"/>
      <c r="I128" s="68" t="n"/>
      <c r="J128" s="69" t="n"/>
      <c r="K128" s="70" t="n"/>
      <c r="L128" s="36" t="n"/>
      <c r="M128" s="39" t="n"/>
      <c r="N128" s="71" t="n"/>
      <c r="O128" s="72" t="n"/>
      <c r="P128" s="73" t="n"/>
      <c r="Q128" s="71" t="n"/>
    </row>
    <row r="129" ht="16.5" customHeight="1" s="186">
      <c r="B129" s="61" t="n"/>
      <c r="C129" s="74" t="n"/>
      <c r="D129" s="75" t="n"/>
      <c r="E129" s="76" t="n"/>
      <c r="F129" s="77" t="n"/>
      <c r="G129" s="78" t="n"/>
      <c r="H129" s="79" t="n"/>
      <c r="I129" s="80" t="n"/>
      <c r="J129" s="81" t="n"/>
      <c r="K129" s="82" t="n"/>
      <c r="L129" s="45" t="n"/>
      <c r="M129" s="48" t="n"/>
      <c r="N129" s="83" t="n"/>
      <c r="O129" s="84" t="n"/>
      <c r="P129" s="85" t="n"/>
      <c r="Q129" s="83" t="n"/>
    </row>
    <row r="130" ht="16.5" customHeight="1" s="186">
      <c r="B130" s="61" t="n"/>
      <c r="C130" s="62" t="n"/>
      <c r="D130" s="63" t="n"/>
      <c r="E130" s="64" t="n"/>
      <c r="F130" s="65" t="n"/>
      <c r="G130" s="66" t="n"/>
      <c r="H130" s="67" t="n"/>
      <c r="I130" s="68" t="n"/>
      <c r="J130" s="69" t="n"/>
      <c r="K130" s="70" t="n"/>
      <c r="L130" s="36" t="n"/>
      <c r="M130" s="39" t="n"/>
      <c r="N130" s="71" t="n"/>
      <c r="O130" s="72" t="n"/>
      <c r="P130" s="73" t="n"/>
      <c r="Q130" s="71" t="n"/>
    </row>
    <row r="131" ht="16.5" customHeight="1" s="186">
      <c r="B131" s="61" t="n"/>
      <c r="C131" s="74" t="n"/>
      <c r="D131" s="75" t="n"/>
      <c r="E131" s="76" t="n"/>
      <c r="F131" s="77" t="n"/>
      <c r="G131" s="78" t="n"/>
      <c r="H131" s="79" t="n"/>
      <c r="I131" s="80" t="n"/>
      <c r="J131" s="81" t="n"/>
      <c r="K131" s="82" t="n"/>
      <c r="L131" s="45" t="n"/>
      <c r="M131" s="48" t="n"/>
      <c r="N131" s="83" t="n"/>
      <c r="O131" s="84" t="n"/>
      <c r="P131" s="85" t="n"/>
      <c r="Q131" s="83" t="n"/>
    </row>
    <row r="132" ht="16.5" customHeight="1" s="186">
      <c r="B132" s="61" t="n"/>
      <c r="C132" s="62" t="n"/>
      <c r="D132" s="63" t="n"/>
      <c r="E132" s="64" t="n"/>
      <c r="F132" s="65" t="n"/>
      <c r="G132" s="66" t="n"/>
      <c r="H132" s="67" t="n"/>
      <c r="I132" s="68" t="n"/>
      <c r="J132" s="69" t="n"/>
      <c r="K132" s="70" t="n"/>
      <c r="L132" s="36" t="n"/>
      <c r="M132" s="39" t="n"/>
      <c r="N132" s="71" t="n"/>
      <c r="O132" s="72" t="n"/>
      <c r="P132" s="73" t="n"/>
      <c r="Q132" s="71" t="n"/>
    </row>
    <row r="133" ht="16.5" customHeight="1" s="186">
      <c r="B133" s="61" t="n"/>
      <c r="C133" s="74" t="n"/>
      <c r="D133" s="75" t="n"/>
      <c r="E133" s="76" t="n"/>
      <c r="F133" s="77" t="n"/>
      <c r="G133" s="78" t="n"/>
      <c r="H133" s="79" t="n"/>
      <c r="I133" s="80" t="n"/>
      <c r="J133" s="81" t="n"/>
      <c r="K133" s="82" t="n"/>
      <c r="L133" s="45" t="n"/>
      <c r="M133" s="48" t="n"/>
      <c r="N133" s="83" t="n"/>
      <c r="O133" s="84" t="n"/>
      <c r="P133" s="85" t="n"/>
      <c r="Q133" s="83" t="n"/>
    </row>
    <row r="134" ht="16.5" customHeight="1" s="186">
      <c r="B134" s="61" t="n"/>
      <c r="C134" s="62" t="n"/>
      <c r="D134" s="63" t="n"/>
      <c r="E134" s="64" t="n"/>
      <c r="F134" s="65" t="n"/>
      <c r="G134" s="66" t="n"/>
      <c r="H134" s="67" t="n"/>
      <c r="I134" s="68" t="n"/>
      <c r="J134" s="69" t="n"/>
      <c r="K134" s="70" t="n"/>
      <c r="L134" s="36" t="n"/>
      <c r="M134" s="39" t="n"/>
      <c r="N134" s="71" t="n"/>
      <c r="O134" s="72" t="n"/>
      <c r="P134" s="73" t="n"/>
      <c r="Q134" s="71" t="n"/>
    </row>
    <row r="135" ht="16.5" customHeight="1" s="186">
      <c r="B135" s="61" t="n"/>
      <c r="C135" s="74" t="n"/>
      <c r="D135" s="75" t="n"/>
      <c r="E135" s="76" t="n"/>
      <c r="F135" s="77" t="n"/>
      <c r="G135" s="78" t="n"/>
      <c r="H135" s="79" t="n"/>
      <c r="I135" s="80" t="n"/>
      <c r="J135" s="81" t="n"/>
      <c r="K135" s="82" t="n"/>
      <c r="L135" s="45" t="n"/>
      <c r="M135" s="48" t="n"/>
      <c r="N135" s="83" t="n"/>
      <c r="O135" s="84" t="n"/>
      <c r="P135" s="85" t="n"/>
      <c r="Q135" s="83" t="n"/>
    </row>
    <row r="136" ht="16.5" customHeight="1" s="186">
      <c r="B136" s="61" t="n"/>
      <c r="C136" s="62" t="n"/>
      <c r="D136" s="63" t="n"/>
      <c r="E136" s="64" t="n"/>
      <c r="F136" s="65" t="n"/>
      <c r="G136" s="66" t="n"/>
      <c r="H136" s="67" t="n"/>
      <c r="I136" s="68" t="n"/>
      <c r="J136" s="69" t="n"/>
      <c r="K136" s="70" t="n"/>
      <c r="L136" s="36" t="n"/>
      <c r="M136" s="39" t="n"/>
      <c r="N136" s="71" t="n"/>
      <c r="O136" s="72" t="n"/>
      <c r="P136" s="73" t="n"/>
      <c r="Q136" s="71" t="n"/>
    </row>
    <row r="137" ht="16.5" customHeight="1" s="186">
      <c r="B137" s="61" t="n"/>
      <c r="C137" s="74" t="n"/>
      <c r="D137" s="75" t="n"/>
      <c r="E137" s="76" t="n"/>
      <c r="F137" s="77" t="n"/>
      <c r="G137" s="78" t="n"/>
      <c r="H137" s="79" t="n"/>
      <c r="I137" s="80" t="n"/>
      <c r="J137" s="81" t="n"/>
      <c r="K137" s="82" t="n"/>
      <c r="L137" s="45" t="n"/>
      <c r="M137" s="48" t="n"/>
      <c r="N137" s="83" t="n"/>
      <c r="O137" s="84" t="n"/>
      <c r="P137" s="85" t="n"/>
      <c r="Q137" s="83" t="n"/>
    </row>
    <row r="138" ht="16.5" customHeight="1" s="186">
      <c r="B138" s="61" t="n"/>
      <c r="C138" s="62" t="n"/>
      <c r="D138" s="63" t="n"/>
      <c r="E138" s="64" t="n"/>
      <c r="F138" s="65" t="n"/>
      <c r="G138" s="66" t="n"/>
      <c r="H138" s="67" t="n"/>
      <c r="I138" s="68" t="n"/>
      <c r="J138" s="69" t="n"/>
      <c r="K138" s="70" t="n"/>
      <c r="L138" s="36" t="n"/>
      <c r="M138" s="39" t="n"/>
      <c r="N138" s="71" t="n"/>
      <c r="O138" s="72" t="n"/>
      <c r="P138" s="73" t="n"/>
      <c r="Q138" s="71" t="n"/>
    </row>
    <row r="139" ht="16.5" customHeight="1" s="186">
      <c r="B139" s="61" t="n"/>
      <c r="C139" s="74" t="n"/>
      <c r="D139" s="75" t="n"/>
      <c r="E139" s="76" t="n"/>
      <c r="F139" s="77" t="n"/>
      <c r="G139" s="78" t="n"/>
      <c r="H139" s="79" t="n"/>
      <c r="I139" s="80" t="n"/>
      <c r="J139" s="81" t="n"/>
      <c r="K139" s="82" t="n"/>
      <c r="L139" s="45" t="n"/>
      <c r="M139" s="48" t="n"/>
      <c r="N139" s="83" t="n"/>
      <c r="O139" s="84" t="n"/>
      <c r="P139" s="85" t="n"/>
      <c r="Q139" s="83" t="n"/>
    </row>
    <row r="140" ht="16.5" customHeight="1" s="186">
      <c r="B140" s="61" t="n"/>
      <c r="C140" s="62" t="n"/>
      <c r="D140" s="63" t="n"/>
      <c r="E140" s="64" t="n"/>
      <c r="F140" s="65" t="n"/>
      <c r="G140" s="66" t="n"/>
      <c r="H140" s="67" t="n"/>
      <c r="I140" s="68" t="n"/>
      <c r="J140" s="69" t="n"/>
      <c r="K140" s="70" t="n"/>
      <c r="L140" s="36" t="n"/>
      <c r="M140" s="39" t="n"/>
      <c r="N140" s="71" t="n"/>
      <c r="O140" s="72" t="n"/>
      <c r="P140" s="73" t="n"/>
      <c r="Q140" s="71" t="n"/>
    </row>
    <row r="141" ht="16.5" customHeight="1" s="186">
      <c r="B141" s="61" t="n"/>
      <c r="C141" s="74" t="n"/>
      <c r="D141" s="75" t="n"/>
      <c r="E141" s="76" t="n"/>
      <c r="F141" s="77" t="n"/>
      <c r="G141" s="78" t="n"/>
      <c r="H141" s="79" t="n"/>
      <c r="I141" s="80" t="n"/>
      <c r="J141" s="81" t="n"/>
      <c r="K141" s="82" t="n"/>
      <c r="L141" s="45" t="n"/>
      <c r="M141" s="48" t="n"/>
      <c r="N141" s="83" t="n"/>
      <c r="O141" s="84" t="n"/>
      <c r="P141" s="85" t="n"/>
      <c r="Q141" s="83" t="n"/>
    </row>
    <row r="142" ht="16.5" customHeight="1" s="186">
      <c r="B142" s="61" t="n"/>
      <c r="C142" s="62" t="n"/>
      <c r="D142" s="63" t="n"/>
      <c r="E142" s="64" t="n"/>
      <c r="F142" s="65" t="n"/>
      <c r="G142" s="66" t="n"/>
      <c r="H142" s="67" t="n"/>
      <c r="I142" s="68" t="n"/>
      <c r="J142" s="69" t="n"/>
      <c r="K142" s="70" t="n"/>
      <c r="L142" s="36" t="n"/>
      <c r="M142" s="39" t="n"/>
      <c r="N142" s="71" t="n"/>
      <c r="O142" s="72" t="n"/>
      <c r="P142" s="73" t="n"/>
      <c r="Q142" s="71" t="n"/>
    </row>
    <row r="143" ht="16.5" customHeight="1" s="186">
      <c r="B143" s="61" t="n"/>
      <c r="C143" s="74" t="n"/>
      <c r="D143" s="75" t="n"/>
      <c r="E143" s="76" t="n"/>
      <c r="F143" s="77" t="n"/>
      <c r="G143" s="78" t="n"/>
      <c r="H143" s="79" t="n"/>
      <c r="I143" s="80" t="n"/>
      <c r="J143" s="81" t="n"/>
      <c r="K143" s="82" t="n"/>
      <c r="L143" s="45" t="n"/>
      <c r="M143" s="48" t="n"/>
      <c r="N143" s="83" t="n"/>
      <c r="O143" s="84" t="n"/>
      <c r="P143" s="85" t="n"/>
      <c r="Q143" s="83" t="n"/>
    </row>
    <row r="144" ht="16.5" customHeight="1" s="186">
      <c r="B144" s="61" t="n"/>
      <c r="C144" s="62" t="n"/>
      <c r="D144" s="63" t="n"/>
      <c r="E144" s="64" t="n"/>
      <c r="F144" s="65" t="n"/>
      <c r="G144" s="66" t="n"/>
      <c r="H144" s="67" t="n"/>
      <c r="I144" s="68" t="n"/>
      <c r="J144" s="69" t="n"/>
      <c r="K144" s="70" t="n"/>
      <c r="L144" s="36" t="n"/>
      <c r="M144" s="39" t="n"/>
      <c r="N144" s="71" t="n"/>
      <c r="O144" s="72" t="n"/>
      <c r="P144" s="73" t="n"/>
      <c r="Q144" s="71" t="n"/>
    </row>
    <row r="145" ht="16.5" customHeight="1" s="186">
      <c r="B145" s="61" t="n"/>
      <c r="C145" s="74" t="n"/>
      <c r="D145" s="75" t="n"/>
      <c r="E145" s="76" t="n"/>
      <c r="F145" s="77" t="n"/>
      <c r="G145" s="78" t="n"/>
      <c r="H145" s="79" t="n"/>
      <c r="I145" s="80" t="n"/>
      <c r="J145" s="81" t="n"/>
      <c r="K145" s="82" t="n"/>
      <c r="L145" s="45" t="n"/>
      <c r="M145" s="48" t="n"/>
      <c r="N145" s="83" t="n"/>
      <c r="O145" s="84" t="n"/>
      <c r="P145" s="85" t="n"/>
      <c r="Q145" s="83" t="n"/>
    </row>
    <row r="146" ht="16.5" customHeight="1" s="186">
      <c r="B146" s="61" t="n"/>
      <c r="C146" s="62" t="n"/>
      <c r="D146" s="63" t="n"/>
      <c r="E146" s="64" t="n"/>
      <c r="F146" s="65" t="n"/>
      <c r="G146" s="66" t="n"/>
      <c r="H146" s="67" t="n"/>
      <c r="I146" s="68" t="n"/>
      <c r="J146" s="69" t="n"/>
      <c r="K146" s="70" t="n"/>
      <c r="L146" s="36" t="n"/>
      <c r="M146" s="39" t="n"/>
      <c r="N146" s="71" t="n"/>
      <c r="O146" s="72" t="n"/>
      <c r="P146" s="73" t="n"/>
      <c r="Q146" s="71" t="n"/>
    </row>
    <row r="147" ht="16.5" customHeight="1" s="186">
      <c r="B147" s="61" t="n"/>
      <c r="C147" s="74" t="n"/>
      <c r="D147" s="75" t="n"/>
      <c r="E147" s="76" t="n"/>
      <c r="F147" s="77" t="n"/>
      <c r="G147" s="78" t="n"/>
      <c r="H147" s="79" t="n"/>
      <c r="I147" s="80" t="n"/>
      <c r="J147" s="81" t="n"/>
      <c r="K147" s="82" t="n"/>
      <c r="L147" s="45" t="n"/>
      <c r="M147" s="48" t="n"/>
      <c r="N147" s="83" t="n"/>
      <c r="O147" s="84" t="n"/>
      <c r="P147" s="85" t="n"/>
      <c r="Q147" s="83" t="n"/>
    </row>
    <row r="148" ht="16.5" customHeight="1" s="186">
      <c r="B148" s="61" t="n"/>
      <c r="C148" s="62" t="n"/>
      <c r="D148" s="63" t="n"/>
      <c r="E148" s="64" t="n"/>
      <c r="F148" s="65" t="n"/>
      <c r="G148" s="66" t="n"/>
      <c r="H148" s="67" t="n"/>
      <c r="I148" s="68" t="n"/>
      <c r="J148" s="69" t="n"/>
      <c r="K148" s="70" t="n"/>
      <c r="L148" s="36" t="n"/>
      <c r="M148" s="39" t="n"/>
      <c r="N148" s="71" t="n"/>
      <c r="O148" s="72" t="n"/>
      <c r="P148" s="73" t="n"/>
      <c r="Q148" s="71" t="n"/>
    </row>
    <row r="149" ht="16.5" customHeight="1" s="186">
      <c r="B149" s="61" t="n"/>
      <c r="C149" s="74" t="n"/>
      <c r="D149" s="75" t="n"/>
      <c r="E149" s="76" t="n"/>
      <c r="F149" s="77" t="n"/>
      <c r="G149" s="78" t="n"/>
      <c r="H149" s="79" t="n"/>
      <c r="I149" s="80" t="n"/>
      <c r="J149" s="81" t="n"/>
      <c r="K149" s="82" t="n"/>
      <c r="L149" s="45" t="n"/>
      <c r="M149" s="48" t="n"/>
      <c r="N149" s="83" t="n"/>
      <c r="O149" s="84" t="n"/>
      <c r="P149" s="85" t="n"/>
      <c r="Q149" s="83" t="n"/>
    </row>
    <row r="150" ht="16.5" customHeight="1" s="186">
      <c r="B150" s="61" t="n"/>
      <c r="C150" s="62" t="n"/>
      <c r="D150" s="63" t="n"/>
      <c r="E150" s="64" t="n"/>
      <c r="F150" s="65" t="n"/>
      <c r="G150" s="66" t="n"/>
      <c r="H150" s="67" t="n"/>
      <c r="I150" s="68" t="n"/>
      <c r="J150" s="69" t="n"/>
      <c r="K150" s="70" t="n"/>
      <c r="L150" s="36" t="n"/>
      <c r="M150" s="39" t="n"/>
      <c r="N150" s="71" t="n"/>
      <c r="O150" s="72" t="n"/>
      <c r="P150" s="73" t="n"/>
      <c r="Q150" s="71" t="n"/>
    </row>
    <row r="151" ht="16.5" customHeight="1" s="186">
      <c r="B151" s="61" t="n"/>
      <c r="C151" s="74" t="n"/>
      <c r="D151" s="75" t="n"/>
      <c r="E151" s="76" t="n"/>
      <c r="F151" s="77" t="n"/>
      <c r="G151" s="78" t="n"/>
      <c r="H151" s="79" t="n"/>
      <c r="I151" s="80" t="n"/>
      <c r="J151" s="81" t="n"/>
      <c r="K151" s="82" t="n"/>
      <c r="L151" s="45" t="n"/>
      <c r="M151" s="48" t="n"/>
      <c r="N151" s="83" t="n"/>
      <c r="O151" s="84" t="n"/>
      <c r="P151" s="85" t="n"/>
      <c r="Q151" s="83" t="n"/>
    </row>
    <row r="152" ht="16.5" customHeight="1" s="186">
      <c r="B152" s="61" t="n"/>
      <c r="C152" s="62" t="n"/>
      <c r="D152" s="63" t="n"/>
      <c r="E152" s="64" t="n"/>
      <c r="F152" s="65" t="n"/>
      <c r="G152" s="66" t="n"/>
      <c r="H152" s="67" t="n"/>
      <c r="I152" s="68" t="n"/>
      <c r="J152" s="69" t="n"/>
      <c r="K152" s="70" t="n"/>
      <c r="L152" s="36" t="n"/>
      <c r="M152" s="39" t="n"/>
      <c r="N152" s="71" t="n"/>
      <c r="O152" s="72" t="n"/>
      <c r="P152" s="73" t="n"/>
      <c r="Q152" s="71" t="n"/>
    </row>
    <row r="153" ht="16.5" customHeight="1" s="186">
      <c r="B153" s="61" t="n"/>
      <c r="C153" s="74" t="n"/>
      <c r="D153" s="75" t="n"/>
      <c r="E153" s="76" t="n"/>
      <c r="F153" s="77" t="n"/>
      <c r="G153" s="78" t="n"/>
      <c r="H153" s="79" t="n"/>
      <c r="I153" s="80" t="n"/>
      <c r="J153" s="81" t="n"/>
      <c r="K153" s="82" t="n"/>
      <c r="L153" s="45" t="n"/>
      <c r="M153" s="48" t="n"/>
      <c r="N153" s="83" t="n"/>
      <c r="O153" s="84" t="n"/>
      <c r="P153" s="85" t="n"/>
      <c r="Q153" s="83" t="n"/>
    </row>
    <row r="154" ht="16.5" customHeight="1" s="186">
      <c r="B154" s="61" t="n"/>
      <c r="C154" s="62" t="n"/>
      <c r="D154" s="63" t="n"/>
      <c r="E154" s="64" t="n"/>
      <c r="F154" s="65" t="n"/>
      <c r="G154" s="66" t="n"/>
      <c r="H154" s="67" t="n"/>
      <c r="I154" s="68" t="n"/>
      <c r="J154" s="69" t="n"/>
      <c r="K154" s="70" t="n"/>
      <c r="L154" s="36" t="n"/>
      <c r="M154" s="39" t="n"/>
      <c r="N154" s="71" t="n"/>
      <c r="O154" s="72" t="n"/>
      <c r="P154" s="73" t="n"/>
      <c r="Q154" s="71" t="n"/>
    </row>
    <row r="155" ht="16.5" customHeight="1" s="186">
      <c r="B155" s="61" t="n"/>
      <c r="C155" s="74" t="n"/>
      <c r="D155" s="75" t="n"/>
      <c r="E155" s="76" t="n"/>
      <c r="F155" s="77" t="n"/>
      <c r="G155" s="78" t="n"/>
      <c r="H155" s="79" t="n"/>
      <c r="I155" s="80" t="n"/>
      <c r="J155" s="81" t="n"/>
      <c r="K155" s="82" t="n"/>
      <c r="L155" s="45" t="n"/>
      <c r="M155" s="48" t="n"/>
      <c r="N155" s="83" t="n"/>
      <c r="O155" s="84" t="n"/>
      <c r="P155" s="85" t="n"/>
      <c r="Q155" s="83" t="n"/>
    </row>
    <row r="156" ht="16.5" customHeight="1" s="186">
      <c r="B156" s="61" t="n"/>
      <c r="C156" s="62" t="n"/>
      <c r="D156" s="63" t="n"/>
      <c r="E156" s="64" t="n"/>
      <c r="F156" s="65" t="n"/>
      <c r="G156" s="66" t="n"/>
      <c r="H156" s="67" t="n"/>
      <c r="I156" s="68" t="n"/>
      <c r="J156" s="69" t="n"/>
      <c r="K156" s="70" t="n"/>
      <c r="L156" s="36" t="n"/>
      <c r="M156" s="39" t="n"/>
      <c r="N156" s="71" t="n"/>
      <c r="O156" s="72" t="n"/>
      <c r="P156" s="73" t="n"/>
      <c r="Q156" s="71" t="n"/>
    </row>
    <row r="157" ht="16.5" customHeight="1" s="186">
      <c r="B157" s="61" t="n"/>
      <c r="C157" s="74" t="n"/>
      <c r="D157" s="75" t="n"/>
      <c r="E157" s="76" t="n"/>
      <c r="F157" s="77" t="n"/>
      <c r="G157" s="78" t="n"/>
      <c r="H157" s="79" t="n"/>
      <c r="I157" s="80" t="n"/>
      <c r="J157" s="81" t="n"/>
      <c r="K157" s="82" t="n"/>
      <c r="L157" s="45" t="n"/>
      <c r="M157" s="48" t="n"/>
      <c r="N157" s="83" t="n"/>
      <c r="O157" s="84" t="n"/>
      <c r="P157" s="85" t="n"/>
      <c r="Q157" s="83" t="n"/>
    </row>
    <row r="158" ht="16.5" customHeight="1" s="186">
      <c r="B158" s="61" t="n"/>
      <c r="C158" s="62" t="n"/>
      <c r="D158" s="63" t="n"/>
      <c r="E158" s="64" t="n"/>
      <c r="F158" s="65" t="n"/>
      <c r="G158" s="66" t="n"/>
      <c r="H158" s="67" t="n"/>
      <c r="I158" s="68" t="n"/>
      <c r="J158" s="69" t="n"/>
      <c r="K158" s="70" t="n"/>
      <c r="L158" s="36" t="n"/>
      <c r="M158" s="39" t="n"/>
      <c r="N158" s="71" t="n"/>
      <c r="O158" s="72" t="n"/>
      <c r="P158" s="73" t="n"/>
      <c r="Q158" s="71" t="n"/>
    </row>
    <row r="159" ht="16.5" customHeight="1" s="186">
      <c r="B159" s="61" t="n"/>
      <c r="C159" s="74" t="n"/>
      <c r="D159" s="75" t="n"/>
      <c r="E159" s="76" t="n"/>
      <c r="F159" s="77" t="n"/>
      <c r="G159" s="78" t="n"/>
      <c r="H159" s="79" t="n"/>
      <c r="I159" s="80" t="n"/>
      <c r="J159" s="81" t="n"/>
      <c r="K159" s="82" t="n"/>
      <c r="L159" s="45" t="n"/>
      <c r="M159" s="48" t="n"/>
      <c r="N159" s="83" t="n"/>
      <c r="O159" s="84" t="n"/>
      <c r="P159" s="85" t="n"/>
      <c r="Q159" s="83" t="n"/>
    </row>
    <row r="160" ht="16.5" customHeight="1" s="186">
      <c r="B160" s="61" t="n"/>
      <c r="C160" s="62" t="n"/>
      <c r="D160" s="63" t="n"/>
      <c r="E160" s="64" t="n"/>
      <c r="F160" s="65" t="n"/>
      <c r="G160" s="66" t="n"/>
      <c r="H160" s="67" t="n"/>
      <c r="I160" s="68" t="n"/>
      <c r="J160" s="69" t="n"/>
      <c r="K160" s="70" t="n"/>
      <c r="L160" s="36" t="n"/>
      <c r="M160" s="39" t="n"/>
      <c r="N160" s="71" t="n"/>
      <c r="O160" s="72" t="n"/>
      <c r="P160" s="73" t="n"/>
      <c r="Q160" s="71" t="n"/>
    </row>
    <row r="161" ht="16.5" customHeight="1" s="186">
      <c r="B161" s="61" t="n"/>
      <c r="C161" s="74" t="n"/>
      <c r="D161" s="75" t="n"/>
      <c r="E161" s="76" t="n"/>
      <c r="F161" s="77" t="n"/>
      <c r="G161" s="78" t="n"/>
      <c r="H161" s="79" t="n"/>
      <c r="I161" s="80" t="n"/>
      <c r="J161" s="81" t="n"/>
      <c r="K161" s="82" t="n"/>
      <c r="L161" s="45" t="n"/>
      <c r="M161" s="48" t="n"/>
      <c r="N161" s="83" t="n"/>
      <c r="O161" s="84" t="n"/>
      <c r="P161" s="85" t="n"/>
      <c r="Q161" s="83" t="n"/>
    </row>
    <row r="162" ht="16.5" customHeight="1" s="186">
      <c r="B162" s="61" t="n"/>
      <c r="C162" s="62" t="n"/>
      <c r="D162" s="63" t="n"/>
      <c r="E162" s="64" t="n"/>
      <c r="F162" s="65" t="n"/>
      <c r="G162" s="66" t="n"/>
      <c r="H162" s="67" t="n"/>
      <c r="I162" s="68" t="n"/>
      <c r="J162" s="69" t="n"/>
      <c r="K162" s="70" t="n"/>
      <c r="L162" s="36" t="n"/>
      <c r="M162" s="39" t="n"/>
      <c r="N162" s="71" t="n"/>
      <c r="O162" s="72" t="n"/>
      <c r="P162" s="73" t="n"/>
      <c r="Q162" s="71" t="n"/>
    </row>
    <row r="163" ht="16.5" customHeight="1" s="186">
      <c r="B163" s="61" t="n"/>
      <c r="C163" s="74" t="n"/>
      <c r="D163" s="75" t="n"/>
      <c r="E163" s="76" t="n"/>
      <c r="F163" s="77" t="n"/>
      <c r="G163" s="78" t="n"/>
      <c r="H163" s="79" t="n"/>
      <c r="I163" s="80" t="n"/>
      <c r="J163" s="81" t="n"/>
      <c r="K163" s="82" t="n"/>
      <c r="L163" s="45" t="n"/>
      <c r="M163" s="48" t="n"/>
      <c r="N163" s="83" t="n"/>
      <c r="O163" s="84" t="n"/>
      <c r="P163" s="85" t="n"/>
      <c r="Q163" s="83" t="n"/>
    </row>
    <row r="164" ht="16.5" customHeight="1" s="186">
      <c r="B164" s="61" t="n"/>
      <c r="C164" s="62" t="n"/>
      <c r="D164" s="63" t="n"/>
      <c r="E164" s="64" t="n"/>
      <c r="F164" s="65" t="n"/>
      <c r="G164" s="66" t="n"/>
      <c r="H164" s="67" t="n"/>
      <c r="I164" s="68" t="n"/>
      <c r="J164" s="69" t="n"/>
      <c r="K164" s="70" t="n"/>
      <c r="L164" s="36" t="n"/>
      <c r="M164" s="39" t="n"/>
      <c r="N164" s="71" t="n"/>
      <c r="O164" s="72" t="n"/>
      <c r="P164" s="73" t="n"/>
      <c r="Q164" s="71" t="n"/>
    </row>
    <row r="165" ht="16.5" customHeight="1" s="186">
      <c r="B165" s="61" t="n"/>
      <c r="C165" s="74" t="n"/>
      <c r="D165" s="75" t="n"/>
      <c r="E165" s="76" t="n"/>
      <c r="F165" s="77" t="n"/>
      <c r="G165" s="78" t="n"/>
      <c r="H165" s="79" t="n"/>
      <c r="I165" s="80" t="n"/>
      <c r="J165" s="81" t="n"/>
      <c r="K165" s="82" t="n"/>
      <c r="L165" s="45" t="n"/>
      <c r="M165" s="48" t="n"/>
      <c r="N165" s="83" t="n"/>
      <c r="O165" s="84" t="n"/>
      <c r="P165" s="85" t="n"/>
      <c r="Q165" s="83" t="n"/>
    </row>
    <row r="166" ht="16.5" customHeight="1" s="186">
      <c r="B166" s="61" t="n"/>
      <c r="C166" s="62" t="n"/>
      <c r="D166" s="63" t="n"/>
      <c r="E166" s="64" t="n"/>
      <c r="F166" s="65" t="n"/>
      <c r="G166" s="66" t="n"/>
      <c r="H166" s="67" t="n"/>
      <c r="I166" s="68" t="n"/>
      <c r="J166" s="69" t="n"/>
      <c r="K166" s="70" t="n"/>
      <c r="L166" s="36" t="n"/>
      <c r="M166" s="39" t="n"/>
      <c r="N166" s="71" t="n"/>
      <c r="O166" s="72" t="n"/>
      <c r="P166" s="73" t="n"/>
      <c r="Q166" s="71" t="n"/>
    </row>
    <row r="167" ht="16.5" customHeight="1" s="186">
      <c r="B167" s="61" t="n"/>
      <c r="C167" s="74" t="n"/>
      <c r="D167" s="75" t="n"/>
      <c r="E167" s="76" t="n"/>
      <c r="F167" s="77" t="n"/>
      <c r="G167" s="78" t="n"/>
      <c r="H167" s="79" t="n"/>
      <c r="I167" s="80" t="n"/>
      <c r="J167" s="81" t="n"/>
      <c r="K167" s="82" t="n"/>
      <c r="L167" s="45" t="n"/>
      <c r="M167" s="48" t="n"/>
      <c r="N167" s="83" t="n"/>
      <c r="O167" s="84" t="n"/>
      <c r="P167" s="85" t="n"/>
      <c r="Q167" s="83" t="n"/>
    </row>
    <row r="168" ht="16.5" customHeight="1" s="186">
      <c r="B168" s="61" t="n"/>
      <c r="C168" s="62" t="n"/>
      <c r="D168" s="63" t="n"/>
      <c r="E168" s="64" t="n"/>
      <c r="F168" s="65" t="n"/>
      <c r="G168" s="66" t="n"/>
      <c r="H168" s="67" t="n"/>
      <c r="I168" s="68" t="n"/>
      <c r="J168" s="69" t="n"/>
      <c r="K168" s="70" t="n"/>
      <c r="L168" s="36" t="n"/>
      <c r="M168" s="39" t="n"/>
      <c r="N168" s="71" t="n"/>
      <c r="O168" s="72" t="n"/>
      <c r="P168" s="73" t="n"/>
      <c r="Q168" s="71" t="n"/>
    </row>
    <row r="169" ht="16.5" customHeight="1" s="186">
      <c r="B169" s="61" t="n"/>
      <c r="C169" s="74" t="n"/>
      <c r="D169" s="75" t="n"/>
      <c r="E169" s="76" t="n"/>
      <c r="F169" s="77" t="n"/>
      <c r="G169" s="78" t="n"/>
      <c r="H169" s="79" t="n"/>
      <c r="I169" s="80" t="n"/>
      <c r="J169" s="81" t="n"/>
      <c r="K169" s="82" t="n"/>
      <c r="L169" s="45" t="n"/>
      <c r="M169" s="48" t="n"/>
      <c r="N169" s="83" t="n"/>
      <c r="O169" s="84" t="n"/>
      <c r="P169" s="85" t="n"/>
      <c r="Q169" s="83" t="n"/>
    </row>
    <row r="170" ht="16.5" customHeight="1" s="186">
      <c r="B170" s="61" t="n"/>
      <c r="C170" s="62" t="n"/>
      <c r="D170" s="63" t="n"/>
      <c r="E170" s="64" t="n"/>
      <c r="F170" s="65" t="n"/>
      <c r="G170" s="66" t="n"/>
      <c r="H170" s="67" t="n"/>
      <c r="I170" s="68" t="n"/>
      <c r="J170" s="69" t="n"/>
      <c r="K170" s="70" t="n"/>
      <c r="L170" s="36" t="n"/>
      <c r="M170" s="39" t="n"/>
      <c r="N170" s="71" t="n"/>
      <c r="O170" s="72" t="n"/>
      <c r="P170" s="73" t="n"/>
      <c r="Q170" s="71" t="n"/>
    </row>
    <row r="171" ht="16.5" customHeight="1" s="186">
      <c r="B171" s="61" t="n"/>
      <c r="C171" s="74" t="n"/>
      <c r="D171" s="75" t="n"/>
      <c r="E171" s="76" t="n"/>
      <c r="F171" s="77" t="n"/>
      <c r="G171" s="78" t="n"/>
      <c r="H171" s="79" t="n"/>
      <c r="I171" s="80" t="n"/>
      <c r="J171" s="81" t="n"/>
      <c r="K171" s="82" t="n"/>
      <c r="L171" s="45" t="n"/>
      <c r="M171" s="48" t="n"/>
      <c r="N171" s="83" t="n"/>
      <c r="O171" s="84" t="n"/>
      <c r="P171" s="85" t="n"/>
      <c r="Q171" s="83" t="n"/>
    </row>
    <row r="172" ht="16.5" customHeight="1" s="186">
      <c r="B172" s="61" t="n"/>
      <c r="C172" s="62" t="n"/>
      <c r="D172" s="63" t="n"/>
      <c r="E172" s="64" t="n"/>
      <c r="F172" s="65" t="n"/>
      <c r="G172" s="66" t="n"/>
      <c r="H172" s="67" t="n"/>
      <c r="I172" s="68" t="n"/>
      <c r="J172" s="69" t="n"/>
      <c r="K172" s="70" t="n"/>
      <c r="L172" s="36" t="n"/>
      <c r="M172" s="39" t="n"/>
      <c r="N172" s="71" t="n"/>
      <c r="O172" s="72" t="n"/>
      <c r="P172" s="73" t="n"/>
      <c r="Q172" s="71" t="n"/>
    </row>
    <row r="173" ht="16.5" customHeight="1" s="186">
      <c r="B173" s="61" t="n"/>
      <c r="C173" s="74" t="n"/>
      <c r="D173" s="75" t="n"/>
      <c r="E173" s="76" t="n"/>
      <c r="F173" s="77" t="n"/>
      <c r="G173" s="78" t="n"/>
      <c r="H173" s="79" t="n"/>
      <c r="I173" s="80" t="n"/>
      <c r="J173" s="81" t="n"/>
      <c r="K173" s="82" t="n"/>
      <c r="L173" s="45" t="n"/>
      <c r="M173" s="48" t="n"/>
      <c r="N173" s="83" t="n"/>
      <c r="O173" s="84" t="n"/>
      <c r="P173" s="85" t="n"/>
      <c r="Q173" s="83" t="n"/>
    </row>
    <row r="174" ht="16.5" customHeight="1" s="186">
      <c r="B174" s="61" t="n"/>
      <c r="C174" s="62" t="n"/>
      <c r="D174" s="63" t="n"/>
      <c r="E174" s="64" t="n"/>
      <c r="F174" s="65" t="n"/>
      <c r="G174" s="66" t="n"/>
      <c r="H174" s="67" t="n"/>
      <c r="I174" s="68" t="n"/>
      <c r="J174" s="69" t="n"/>
      <c r="K174" s="70" t="n"/>
      <c r="L174" s="36" t="n"/>
      <c r="M174" s="39" t="n"/>
      <c r="N174" s="71" t="n"/>
      <c r="O174" s="72" t="n"/>
      <c r="P174" s="73" t="n"/>
      <c r="Q174" s="71" t="n"/>
    </row>
    <row r="175" ht="16.5" customHeight="1" s="186">
      <c r="B175" s="61" t="n"/>
      <c r="C175" s="74" t="n"/>
      <c r="D175" s="75" t="n"/>
      <c r="E175" s="76" t="n"/>
      <c r="F175" s="77" t="n"/>
      <c r="G175" s="78" t="n"/>
      <c r="H175" s="79" t="n"/>
      <c r="I175" s="80" t="n"/>
      <c r="J175" s="81" t="n"/>
      <c r="K175" s="82" t="n"/>
      <c r="L175" s="45" t="n"/>
      <c r="M175" s="48" t="n"/>
      <c r="N175" s="83" t="n"/>
      <c r="O175" s="84" t="n"/>
      <c r="P175" s="85" t="n"/>
      <c r="Q175" s="83" t="n"/>
    </row>
    <row r="176" ht="16.5" customHeight="1" s="186">
      <c r="B176" s="61" t="n"/>
      <c r="C176" s="62" t="n"/>
      <c r="D176" s="63" t="n"/>
      <c r="E176" s="64" t="n"/>
      <c r="F176" s="65" t="n"/>
      <c r="G176" s="66" t="n"/>
      <c r="H176" s="67" t="n"/>
      <c r="I176" s="68" t="n"/>
      <c r="J176" s="69" t="n"/>
      <c r="K176" s="70" t="n"/>
      <c r="L176" s="36" t="n"/>
      <c r="M176" s="39" t="n"/>
      <c r="N176" s="71" t="n"/>
      <c r="O176" s="72" t="n"/>
      <c r="P176" s="73" t="n"/>
      <c r="Q176" s="71" t="n"/>
    </row>
    <row r="177" ht="16.5" customHeight="1" s="186">
      <c r="B177" s="61" t="n"/>
      <c r="C177" s="74" t="n"/>
      <c r="D177" s="75" t="n"/>
      <c r="E177" s="76" t="n"/>
      <c r="F177" s="77" t="n"/>
      <c r="G177" s="78" t="n"/>
      <c r="H177" s="79" t="n"/>
      <c r="I177" s="80" t="n"/>
      <c r="J177" s="81" t="n"/>
      <c r="K177" s="82" t="n"/>
      <c r="L177" s="45" t="n"/>
      <c r="M177" s="48" t="n"/>
      <c r="N177" s="83" t="n"/>
      <c r="O177" s="84" t="n"/>
      <c r="P177" s="85" t="n"/>
      <c r="Q177" s="83" t="n"/>
    </row>
    <row r="178" ht="16.5" customHeight="1" s="186">
      <c r="B178" s="61" t="n"/>
      <c r="C178" s="62" t="n"/>
      <c r="D178" s="63" t="n"/>
      <c r="E178" s="64" t="n"/>
      <c r="F178" s="65" t="n"/>
      <c r="G178" s="66" t="n"/>
      <c r="H178" s="67" t="n"/>
      <c r="I178" s="68" t="n"/>
      <c r="J178" s="69" t="n"/>
      <c r="K178" s="70" t="n"/>
      <c r="L178" s="36" t="n"/>
      <c r="M178" s="39" t="n"/>
      <c r="N178" s="71" t="n"/>
      <c r="O178" s="72" t="n"/>
      <c r="P178" s="73" t="n"/>
      <c r="Q178" s="71" t="n"/>
    </row>
    <row r="179" ht="16.5" customHeight="1" s="186">
      <c r="B179" s="61" t="n"/>
      <c r="C179" s="74" t="n"/>
      <c r="D179" s="75" t="n"/>
      <c r="E179" s="76" t="n"/>
      <c r="F179" s="77" t="n"/>
      <c r="G179" s="78" t="n"/>
      <c r="H179" s="79" t="n"/>
      <c r="I179" s="80" t="n"/>
      <c r="J179" s="81" t="n"/>
      <c r="K179" s="82" t="n"/>
      <c r="L179" s="45" t="n"/>
      <c r="M179" s="48" t="n"/>
      <c r="N179" s="83" t="n"/>
      <c r="O179" s="84" t="n"/>
      <c r="P179" s="85" t="n"/>
      <c r="Q179" s="83" t="n"/>
    </row>
    <row r="180" ht="16.5" customHeight="1" s="186">
      <c r="B180" s="61" t="n"/>
      <c r="C180" s="62" t="n"/>
      <c r="D180" s="63" t="n"/>
      <c r="E180" s="64" t="n"/>
      <c r="F180" s="65" t="n"/>
      <c r="G180" s="66" t="n"/>
      <c r="H180" s="67" t="n"/>
      <c r="I180" s="68" t="n"/>
      <c r="J180" s="69" t="n"/>
      <c r="K180" s="70" t="n"/>
      <c r="L180" s="36" t="n"/>
      <c r="M180" s="39" t="n"/>
      <c r="N180" s="71" t="n"/>
      <c r="O180" s="72" t="n"/>
      <c r="P180" s="73" t="n"/>
      <c r="Q180" s="71" t="n"/>
    </row>
    <row r="181" ht="16.5" customHeight="1" s="186">
      <c r="B181" s="61" t="n"/>
      <c r="C181" s="74" t="n"/>
      <c r="D181" s="75" t="n"/>
      <c r="E181" s="76" t="n"/>
      <c r="F181" s="77" t="n"/>
      <c r="G181" s="78" t="n"/>
      <c r="H181" s="79" t="n"/>
      <c r="I181" s="80" t="n"/>
      <c r="J181" s="81" t="n"/>
      <c r="K181" s="82" t="n"/>
      <c r="L181" s="45" t="n"/>
      <c r="M181" s="48" t="n"/>
      <c r="N181" s="83" t="n"/>
      <c r="O181" s="84" t="n"/>
      <c r="P181" s="85" t="n"/>
      <c r="Q181" s="83" t="n"/>
    </row>
    <row r="182" ht="16.5" customHeight="1" s="186">
      <c r="B182" s="61" t="n"/>
      <c r="C182" s="62" t="n"/>
      <c r="D182" s="63" t="n"/>
      <c r="E182" s="64" t="n"/>
      <c r="F182" s="65" t="n"/>
      <c r="G182" s="66" t="n"/>
      <c r="H182" s="67" t="n"/>
      <c r="I182" s="68" t="n"/>
      <c r="J182" s="69" t="n"/>
      <c r="K182" s="70" t="n"/>
      <c r="L182" s="36" t="n"/>
      <c r="M182" s="39" t="n"/>
      <c r="N182" s="71" t="n"/>
      <c r="O182" s="72" t="n"/>
      <c r="P182" s="73" t="n"/>
      <c r="Q182" s="71" t="n"/>
    </row>
    <row r="183" ht="16.5" customHeight="1" s="186">
      <c r="B183" s="61" t="n"/>
      <c r="C183" s="74" t="n"/>
      <c r="D183" s="75" t="n"/>
      <c r="E183" s="76" t="n"/>
      <c r="F183" s="77" t="n"/>
      <c r="G183" s="78" t="n"/>
      <c r="H183" s="79" t="n"/>
      <c r="I183" s="80" t="n"/>
      <c r="J183" s="81" t="n"/>
      <c r="K183" s="82" t="n"/>
      <c r="L183" s="45" t="n"/>
      <c r="M183" s="48" t="n"/>
      <c r="N183" s="83" t="n"/>
      <c r="O183" s="84" t="n"/>
      <c r="P183" s="85" t="n"/>
      <c r="Q183" s="83" t="n"/>
    </row>
    <row r="184" ht="16.5" customHeight="1" s="186">
      <c r="B184" s="61" t="n"/>
      <c r="C184" s="62" t="n"/>
      <c r="D184" s="63" t="n"/>
      <c r="E184" s="64" t="n"/>
      <c r="F184" s="65" t="n"/>
      <c r="G184" s="66" t="n"/>
      <c r="H184" s="67" t="n"/>
      <c r="I184" s="68" t="n"/>
      <c r="J184" s="69" t="n"/>
      <c r="K184" s="70" t="n"/>
      <c r="L184" s="36" t="n"/>
      <c r="M184" s="39" t="n"/>
      <c r="N184" s="71" t="n"/>
      <c r="O184" s="72" t="n"/>
      <c r="P184" s="73" t="n"/>
      <c r="Q184" s="71" t="n"/>
    </row>
    <row r="185" ht="16.5" customHeight="1" s="186">
      <c r="B185" s="61" t="n"/>
      <c r="C185" s="74" t="n"/>
      <c r="D185" s="75" t="n"/>
      <c r="E185" s="76" t="n"/>
      <c r="F185" s="77" t="n"/>
      <c r="G185" s="78" t="n"/>
      <c r="H185" s="79" t="n"/>
      <c r="I185" s="80" t="n"/>
      <c r="J185" s="81" t="n"/>
      <c r="K185" s="82" t="n"/>
      <c r="L185" s="45" t="n"/>
      <c r="M185" s="48" t="n"/>
      <c r="N185" s="83" t="n"/>
      <c r="O185" s="84" t="n"/>
      <c r="P185" s="85" t="n"/>
      <c r="Q185" s="83" t="n"/>
    </row>
    <row r="186" ht="16.5" customHeight="1" s="186">
      <c r="B186" s="61" t="n"/>
      <c r="C186" s="62" t="n"/>
      <c r="D186" s="63" t="n"/>
      <c r="E186" s="64" t="n"/>
      <c r="F186" s="65" t="n"/>
      <c r="G186" s="66" t="n"/>
      <c r="H186" s="67" t="n"/>
      <c r="I186" s="68" t="n"/>
      <c r="J186" s="69" t="n"/>
      <c r="K186" s="70" t="n"/>
      <c r="L186" s="36" t="n"/>
      <c r="M186" s="39" t="n"/>
      <c r="N186" s="71" t="n"/>
      <c r="O186" s="72" t="n"/>
      <c r="P186" s="73" t="n"/>
      <c r="Q186" s="71" t="n"/>
    </row>
    <row r="187" ht="16.5" customHeight="1" s="186">
      <c r="B187" s="61" t="n"/>
      <c r="C187" s="74" t="n"/>
      <c r="D187" s="75" t="n"/>
      <c r="E187" s="76" t="n"/>
      <c r="F187" s="77" t="n"/>
      <c r="G187" s="78" t="n"/>
      <c r="H187" s="79" t="n"/>
      <c r="I187" s="80" t="n"/>
      <c r="J187" s="81" t="n"/>
      <c r="K187" s="82" t="n"/>
      <c r="L187" s="45" t="n"/>
      <c r="M187" s="48" t="n"/>
      <c r="N187" s="83" t="n"/>
      <c r="O187" s="84" t="n"/>
      <c r="P187" s="85" t="n"/>
      <c r="Q187" s="83" t="n"/>
    </row>
    <row r="188" ht="16.5" customHeight="1" s="186">
      <c r="B188" s="61" t="n"/>
      <c r="C188" s="62" t="n"/>
      <c r="D188" s="63" t="n"/>
      <c r="E188" s="64" t="n"/>
      <c r="F188" s="65" t="n"/>
      <c r="G188" s="66" t="n"/>
      <c r="H188" s="67" t="n"/>
      <c r="I188" s="68" t="n"/>
      <c r="J188" s="69" t="n"/>
      <c r="K188" s="70" t="n"/>
      <c r="L188" s="36" t="n"/>
      <c r="M188" s="39" t="n"/>
      <c r="N188" s="71" t="n"/>
      <c r="O188" s="72" t="n"/>
      <c r="P188" s="73" t="n"/>
      <c r="Q188" s="71" t="n"/>
    </row>
    <row r="189" ht="16.5" customHeight="1" s="186">
      <c r="B189" s="61" t="n"/>
      <c r="C189" s="74" t="n"/>
      <c r="D189" s="75" t="n"/>
      <c r="E189" s="76" t="n"/>
      <c r="F189" s="77" t="n"/>
      <c r="G189" s="78" t="n"/>
      <c r="H189" s="79" t="n"/>
      <c r="I189" s="80" t="n"/>
      <c r="J189" s="81" t="n"/>
      <c r="K189" s="82" t="n"/>
      <c r="L189" s="45" t="n"/>
      <c r="M189" s="48" t="n"/>
      <c r="N189" s="83" t="n"/>
      <c r="O189" s="84" t="n"/>
      <c r="P189" s="85" t="n"/>
      <c r="Q189" s="83" t="n"/>
    </row>
    <row r="190" ht="16.5" customHeight="1" s="186">
      <c r="B190" s="61" t="n"/>
      <c r="C190" s="62" t="n"/>
      <c r="D190" s="63" t="n"/>
      <c r="E190" s="64" t="n"/>
      <c r="F190" s="65" t="n"/>
      <c r="G190" s="66" t="n"/>
      <c r="H190" s="67" t="n"/>
      <c r="I190" s="68" t="n"/>
      <c r="J190" s="69" t="n"/>
      <c r="K190" s="70" t="n"/>
      <c r="L190" s="36" t="n"/>
      <c r="M190" s="39" t="n"/>
      <c r="N190" s="71" t="n"/>
      <c r="O190" s="72" t="n"/>
      <c r="P190" s="73" t="n"/>
      <c r="Q190" s="71" t="n"/>
    </row>
    <row r="191" ht="16.5" customHeight="1" s="186">
      <c r="B191" s="61" t="n"/>
      <c r="C191" s="74" t="n"/>
      <c r="D191" s="75" t="n"/>
      <c r="E191" s="76" t="n"/>
      <c r="F191" s="77" t="n"/>
      <c r="G191" s="78" t="n"/>
      <c r="H191" s="79" t="n"/>
      <c r="I191" s="80" t="n"/>
      <c r="J191" s="81" t="n"/>
      <c r="K191" s="82" t="n"/>
      <c r="L191" s="45" t="n"/>
      <c r="M191" s="48" t="n"/>
      <c r="N191" s="83" t="n"/>
      <c r="O191" s="84" t="n"/>
      <c r="P191" s="85" t="n"/>
      <c r="Q191" s="83" t="n"/>
    </row>
    <row r="192" ht="16.5" customHeight="1" s="186">
      <c r="B192" s="61" t="n"/>
      <c r="C192" s="62" t="n"/>
      <c r="D192" s="63" t="n"/>
      <c r="E192" s="64" t="n"/>
      <c r="F192" s="65" t="n"/>
      <c r="G192" s="66" t="n"/>
      <c r="H192" s="67" t="n"/>
      <c r="I192" s="68" t="n"/>
      <c r="J192" s="69" t="n"/>
      <c r="K192" s="70" t="n"/>
      <c r="L192" s="36" t="n"/>
      <c r="M192" s="39" t="n"/>
      <c r="N192" s="71" t="n"/>
      <c r="O192" s="72" t="n"/>
      <c r="P192" s="73" t="n"/>
      <c r="Q192" s="71" t="n"/>
    </row>
    <row r="193" ht="16.5" customHeight="1" s="186">
      <c r="B193" s="61" t="n"/>
      <c r="C193" s="74" t="n"/>
      <c r="D193" s="75" t="n"/>
      <c r="E193" s="76" t="n"/>
      <c r="F193" s="77" t="n"/>
      <c r="G193" s="78" t="n"/>
      <c r="H193" s="79" t="n"/>
      <c r="I193" s="80" t="n"/>
      <c r="J193" s="81" t="n"/>
      <c r="K193" s="82" t="n"/>
      <c r="L193" s="45" t="n"/>
      <c r="M193" s="48" t="n"/>
      <c r="N193" s="83" t="n"/>
      <c r="O193" s="84" t="n"/>
      <c r="P193" s="85" t="n"/>
      <c r="Q193" s="83" t="n"/>
    </row>
    <row r="194" ht="16.5" customHeight="1" s="186">
      <c r="B194" s="61" t="n"/>
      <c r="C194" s="62" t="n"/>
      <c r="D194" s="63" t="n"/>
      <c r="E194" s="64" t="n"/>
      <c r="F194" s="65" t="n"/>
      <c r="G194" s="66" t="n"/>
      <c r="H194" s="67" t="n"/>
      <c r="I194" s="68" t="n"/>
      <c r="J194" s="69" t="n"/>
      <c r="K194" s="70" t="n"/>
      <c r="L194" s="36" t="n"/>
      <c r="M194" s="39" t="n"/>
      <c r="N194" s="71" t="n"/>
      <c r="O194" s="72" t="n"/>
      <c r="P194" s="73" t="n"/>
      <c r="Q194" s="71" t="n"/>
    </row>
    <row r="195" ht="16.5" customHeight="1" s="186">
      <c r="B195" s="61" t="n"/>
      <c r="C195" s="74" t="n"/>
      <c r="D195" s="75" t="n"/>
      <c r="E195" s="76" t="n"/>
      <c r="F195" s="77" t="n"/>
      <c r="G195" s="78" t="n"/>
      <c r="H195" s="79" t="n"/>
      <c r="I195" s="80" t="n"/>
      <c r="J195" s="81" t="n"/>
      <c r="K195" s="82" t="n"/>
      <c r="L195" s="45" t="n"/>
      <c r="M195" s="48" t="n"/>
      <c r="N195" s="83" t="n"/>
      <c r="O195" s="84" t="n"/>
      <c r="P195" s="85" t="n"/>
      <c r="Q195" s="83" t="n"/>
    </row>
    <row r="196" ht="16.5" customHeight="1" s="186">
      <c r="B196" s="61" t="n"/>
      <c r="C196" s="62" t="n"/>
      <c r="D196" s="63" t="n"/>
      <c r="E196" s="64" t="n"/>
      <c r="F196" s="65" t="n"/>
      <c r="G196" s="66" t="n"/>
      <c r="H196" s="67" t="n"/>
      <c r="I196" s="68" t="n"/>
      <c r="J196" s="69" t="n"/>
      <c r="K196" s="70" t="n"/>
      <c r="L196" s="36" t="n"/>
      <c r="M196" s="39" t="n"/>
      <c r="N196" s="71" t="n"/>
      <c r="O196" s="72" t="n"/>
      <c r="P196" s="73" t="n"/>
      <c r="Q196" s="71" t="n"/>
    </row>
    <row r="197" ht="16.5" customHeight="1" s="186">
      <c r="B197" s="61" t="n"/>
      <c r="C197" s="74" t="n"/>
      <c r="D197" s="75" t="n"/>
      <c r="E197" s="76" t="n"/>
      <c r="F197" s="77" t="n"/>
      <c r="G197" s="78" t="n"/>
      <c r="H197" s="79" t="n"/>
      <c r="I197" s="80" t="n"/>
      <c r="J197" s="81" t="n"/>
      <c r="K197" s="82" t="n"/>
      <c r="L197" s="45" t="n"/>
      <c r="M197" s="48" t="n"/>
      <c r="N197" s="83" t="n"/>
      <c r="O197" s="84" t="n"/>
      <c r="P197" s="85" t="n"/>
      <c r="Q197" s="83" t="n"/>
    </row>
    <row r="198" ht="16.5" customHeight="1" s="186">
      <c r="B198" s="61" t="n"/>
      <c r="C198" s="62" t="n"/>
      <c r="D198" s="63" t="n"/>
      <c r="E198" s="64" t="n"/>
      <c r="F198" s="65" t="n"/>
      <c r="G198" s="66" t="n"/>
      <c r="H198" s="67" t="n"/>
      <c r="I198" s="68" t="n"/>
      <c r="J198" s="69" t="n"/>
      <c r="K198" s="70" t="n"/>
      <c r="L198" s="36" t="n"/>
      <c r="M198" s="39" t="n"/>
      <c r="N198" s="71" t="n"/>
      <c r="O198" s="72" t="n"/>
      <c r="P198" s="73" t="n"/>
      <c r="Q198" s="71" t="n"/>
    </row>
    <row r="199" ht="16.5" customHeight="1" s="186">
      <c r="B199" s="61" t="n"/>
      <c r="C199" s="74" t="n"/>
      <c r="D199" s="75" t="n"/>
      <c r="E199" s="76" t="n"/>
      <c r="F199" s="77" t="n"/>
      <c r="G199" s="78" t="n"/>
      <c r="H199" s="79" t="n"/>
      <c r="I199" s="80" t="n"/>
      <c r="J199" s="81" t="n"/>
      <c r="K199" s="82" t="n"/>
      <c r="L199" s="45" t="n"/>
      <c r="M199" s="48" t="n"/>
      <c r="N199" s="83" t="n"/>
      <c r="O199" s="84" t="n"/>
      <c r="P199" s="85" t="n"/>
      <c r="Q199" s="83" t="n"/>
    </row>
    <row r="200" ht="16.5" customHeight="1" s="186">
      <c r="B200" s="61" t="n"/>
      <c r="C200" s="62" t="n"/>
      <c r="D200" s="63" t="n"/>
      <c r="E200" s="64" t="n"/>
      <c r="F200" s="65" t="n"/>
      <c r="G200" s="66" t="n"/>
      <c r="H200" s="67" t="n"/>
      <c r="I200" s="68" t="n"/>
      <c r="J200" s="69" t="n"/>
      <c r="K200" s="70" t="n"/>
      <c r="L200" s="36" t="n"/>
      <c r="M200" s="39" t="n"/>
      <c r="N200" s="71" t="n"/>
      <c r="O200" s="72" t="n"/>
      <c r="P200" s="73" t="n"/>
      <c r="Q200" s="71" t="n"/>
    </row>
    <row r="201" ht="16.5" customHeight="1" s="186">
      <c r="B201" s="61" t="n"/>
      <c r="C201" s="74" t="n"/>
      <c r="D201" s="75" t="n"/>
      <c r="E201" s="76" t="n"/>
      <c r="F201" s="77" t="n"/>
      <c r="G201" s="78" t="n"/>
      <c r="H201" s="79" t="n"/>
      <c r="I201" s="80" t="n"/>
      <c r="J201" s="81" t="n"/>
      <c r="K201" s="82" t="n"/>
      <c r="L201" s="45" t="n"/>
      <c r="M201" s="48" t="n"/>
      <c r="N201" s="83" t="n"/>
      <c r="O201" s="84" t="n"/>
      <c r="P201" s="85" t="n"/>
      <c r="Q201" s="83" t="n"/>
    </row>
    <row r="202" ht="16.5" customHeight="1" s="186">
      <c r="B202" s="61" t="n"/>
      <c r="C202" s="62" t="n"/>
      <c r="D202" s="63" t="n"/>
      <c r="E202" s="64" t="n"/>
      <c r="F202" s="65" t="n"/>
      <c r="G202" s="66" t="n"/>
      <c r="H202" s="67" t="n"/>
      <c r="I202" s="68" t="n"/>
      <c r="J202" s="69" t="n"/>
      <c r="K202" s="70" t="n"/>
      <c r="L202" s="36" t="n"/>
      <c r="M202" s="39" t="n"/>
      <c r="N202" s="71" t="n"/>
      <c r="O202" s="72" t="n"/>
      <c r="P202" s="73" t="n"/>
      <c r="Q202" s="71" t="n"/>
    </row>
    <row r="203" ht="16.5" customHeight="1" s="186">
      <c r="B203" s="61" t="n"/>
      <c r="C203" s="74" t="n"/>
      <c r="D203" s="75" t="n"/>
      <c r="E203" s="76" t="n"/>
      <c r="F203" s="77" t="n"/>
      <c r="G203" s="78" t="n"/>
      <c r="H203" s="79" t="n"/>
      <c r="I203" s="80" t="n"/>
      <c r="J203" s="81" t="n"/>
      <c r="K203" s="82" t="n"/>
      <c r="L203" s="45" t="n"/>
      <c r="M203" s="48" t="n"/>
      <c r="N203" s="83" t="n"/>
      <c r="O203" s="84" t="n"/>
      <c r="P203" s="85" t="n"/>
      <c r="Q203" s="83" t="n"/>
    </row>
    <row r="204" ht="16.5" customHeight="1" s="186">
      <c r="B204" s="61" t="n"/>
      <c r="C204" s="62" t="n"/>
      <c r="D204" s="63" t="n"/>
      <c r="E204" s="64" t="n"/>
      <c r="F204" s="65" t="n"/>
      <c r="G204" s="66" t="n"/>
      <c r="H204" s="67" t="n"/>
      <c r="I204" s="68" t="n"/>
      <c r="J204" s="69" t="n"/>
      <c r="K204" s="70" t="n"/>
      <c r="L204" s="36" t="n"/>
      <c r="M204" s="39" t="n"/>
      <c r="N204" s="71" t="n"/>
      <c r="O204" s="72" t="n"/>
      <c r="P204" s="73" t="n"/>
      <c r="Q204" s="71" t="n"/>
    </row>
    <row r="205" ht="16.5" customHeight="1" s="186">
      <c r="B205" s="61" t="n"/>
      <c r="C205" s="74" t="n"/>
      <c r="D205" s="75" t="n"/>
      <c r="E205" s="76" t="n"/>
      <c r="F205" s="77" t="n"/>
      <c r="G205" s="78" t="n"/>
      <c r="H205" s="79" t="n"/>
      <c r="I205" s="80" t="n"/>
      <c r="J205" s="81" t="n"/>
      <c r="K205" s="82" t="n"/>
      <c r="L205" s="45" t="n"/>
      <c r="M205" s="48" t="n"/>
      <c r="N205" s="83" t="n"/>
      <c r="O205" s="84" t="n"/>
      <c r="P205" s="85" t="n"/>
      <c r="Q205" s="83" t="n"/>
    </row>
    <row r="206" ht="16.5" customHeight="1" s="186">
      <c r="B206" s="61" t="n"/>
      <c r="C206" s="62" t="n"/>
      <c r="D206" s="63" t="n"/>
      <c r="E206" s="64" t="n"/>
      <c r="F206" s="65" t="n"/>
      <c r="G206" s="66" t="n"/>
      <c r="H206" s="67" t="n"/>
      <c r="I206" s="68" t="n"/>
      <c r="J206" s="69" t="n"/>
      <c r="K206" s="70" t="n"/>
      <c r="L206" s="36" t="n"/>
      <c r="M206" s="39" t="n"/>
      <c r="N206" s="71" t="n"/>
      <c r="O206" s="72" t="n"/>
      <c r="P206" s="73" t="n"/>
      <c r="Q206" s="71" t="n"/>
    </row>
    <row r="207" ht="16.5" customHeight="1" s="186">
      <c r="B207" s="61" t="n"/>
      <c r="C207" s="74" t="n"/>
      <c r="D207" s="75" t="n"/>
      <c r="E207" s="76" t="n"/>
      <c r="F207" s="77" t="n"/>
      <c r="G207" s="78" t="n"/>
      <c r="H207" s="79" t="n"/>
      <c r="I207" s="80" t="n"/>
      <c r="J207" s="81" t="n"/>
      <c r="K207" s="82" t="n"/>
      <c r="L207" s="45" t="n"/>
      <c r="M207" s="48" t="n"/>
      <c r="N207" s="83" t="n"/>
      <c r="O207" s="84" t="n"/>
      <c r="P207" s="85" t="n"/>
      <c r="Q207" s="83" t="n"/>
    </row>
    <row r="208" ht="16.5" customHeight="1" s="186">
      <c r="B208" s="61" t="n"/>
      <c r="C208" s="62" t="n"/>
      <c r="D208" s="63" t="n"/>
      <c r="E208" s="64" t="n"/>
      <c r="F208" s="65" t="n"/>
      <c r="G208" s="66" t="n"/>
      <c r="H208" s="67" t="n"/>
      <c r="I208" s="68" t="n"/>
      <c r="J208" s="69" t="n"/>
      <c r="K208" s="70" t="n"/>
      <c r="L208" s="36" t="n"/>
      <c r="M208" s="39" t="n"/>
      <c r="N208" s="71" t="n"/>
      <c r="O208" s="72" t="n"/>
      <c r="P208" s="73" t="n"/>
      <c r="Q208" s="71" t="n"/>
    </row>
    <row r="209" ht="16.5" customHeight="1" s="186">
      <c r="B209" s="61" t="n"/>
      <c r="C209" s="74" t="n"/>
      <c r="D209" s="75" t="n"/>
      <c r="E209" s="76" t="n"/>
      <c r="F209" s="77" t="n"/>
      <c r="G209" s="78" t="n"/>
      <c r="H209" s="79" t="n"/>
      <c r="I209" s="80" t="n"/>
      <c r="J209" s="81" t="n"/>
      <c r="K209" s="82" t="n"/>
      <c r="L209" s="45" t="n"/>
      <c r="M209" s="48" t="n"/>
      <c r="N209" s="83" t="n"/>
      <c r="O209" s="84" t="n"/>
      <c r="P209" s="85" t="n"/>
      <c r="Q209" s="83" t="n"/>
    </row>
    <row r="210" ht="16.5" customHeight="1" s="186">
      <c r="B210" s="61" t="n"/>
      <c r="C210" s="62" t="n"/>
      <c r="D210" s="63" t="n"/>
      <c r="E210" s="64" t="n"/>
      <c r="F210" s="65" t="n"/>
      <c r="G210" s="66" t="n"/>
      <c r="H210" s="67" t="n"/>
      <c r="I210" s="68" t="n"/>
      <c r="J210" s="69" t="n"/>
      <c r="K210" s="70" t="n"/>
      <c r="L210" s="36" t="n"/>
      <c r="M210" s="39" t="n"/>
      <c r="N210" s="71" t="n"/>
      <c r="O210" s="72" t="n"/>
      <c r="P210" s="73" t="n"/>
      <c r="Q210" s="71" t="n"/>
    </row>
    <row r="211" ht="16.5" customHeight="1" s="186">
      <c r="B211" s="61" t="n"/>
      <c r="C211" s="74" t="n"/>
      <c r="D211" s="75" t="n"/>
      <c r="E211" s="76" t="n"/>
      <c r="F211" s="77" t="n"/>
      <c r="G211" s="78" t="n"/>
      <c r="H211" s="79" t="n"/>
      <c r="I211" s="80" t="n"/>
      <c r="J211" s="81" t="n"/>
      <c r="K211" s="82" t="n"/>
      <c r="L211" s="45" t="n"/>
      <c r="M211" s="48" t="n"/>
      <c r="N211" s="83" t="n"/>
      <c r="O211" s="84" t="n"/>
      <c r="P211" s="85" t="n"/>
      <c r="Q211" s="83" t="n"/>
    </row>
    <row r="212" ht="16.5" customHeight="1" s="186">
      <c r="B212" s="61" t="n"/>
      <c r="C212" s="62" t="n"/>
      <c r="D212" s="63" t="n"/>
      <c r="E212" s="64" t="n"/>
      <c r="F212" s="65" t="n"/>
      <c r="G212" s="66" t="n"/>
      <c r="H212" s="67" t="n"/>
      <c r="I212" s="68" t="n"/>
      <c r="J212" s="69" t="n"/>
      <c r="K212" s="70" t="n"/>
      <c r="L212" s="36" t="n"/>
      <c r="M212" s="39" t="n"/>
      <c r="N212" s="71" t="n"/>
      <c r="O212" s="72" t="n"/>
      <c r="P212" s="73" t="n"/>
      <c r="Q212" s="71" t="n"/>
    </row>
    <row r="213" ht="16.5" customHeight="1" s="186">
      <c r="B213" s="61" t="n"/>
      <c r="C213" s="74" t="n"/>
      <c r="D213" s="75" t="n"/>
      <c r="E213" s="76" t="n"/>
      <c r="F213" s="77" t="n"/>
      <c r="G213" s="78" t="n"/>
      <c r="H213" s="79" t="n"/>
      <c r="I213" s="80" t="n"/>
      <c r="J213" s="81" t="n"/>
      <c r="K213" s="82" t="n"/>
      <c r="L213" s="45" t="n"/>
      <c r="M213" s="48" t="n"/>
      <c r="N213" s="83" t="n"/>
      <c r="O213" s="84" t="n"/>
      <c r="P213" s="85" t="n"/>
      <c r="Q213" s="83" t="n"/>
    </row>
    <row r="214" ht="16.5" customHeight="1" s="186">
      <c r="B214" s="61" t="n"/>
      <c r="C214" s="62" t="n"/>
      <c r="D214" s="63" t="n"/>
      <c r="E214" s="64" t="n"/>
      <c r="F214" s="65" t="n"/>
      <c r="G214" s="66" t="n"/>
      <c r="H214" s="67" t="n"/>
      <c r="I214" s="68" t="n"/>
      <c r="J214" s="69" t="n"/>
      <c r="K214" s="70" t="n"/>
      <c r="L214" s="36" t="n"/>
      <c r="M214" s="39" t="n"/>
      <c r="N214" s="71" t="n"/>
      <c r="O214" s="72" t="n"/>
      <c r="P214" s="73" t="n"/>
      <c r="Q214" s="71" t="n"/>
    </row>
    <row r="215" ht="16.5" customHeight="1" s="186">
      <c r="B215" s="61" t="n"/>
      <c r="C215" s="74" t="n"/>
      <c r="D215" s="75" t="n"/>
      <c r="E215" s="76" t="n"/>
      <c r="F215" s="77" t="n"/>
      <c r="G215" s="78" t="n"/>
      <c r="H215" s="79" t="n"/>
      <c r="I215" s="80" t="n"/>
      <c r="J215" s="81" t="n"/>
      <c r="K215" s="82" t="n"/>
      <c r="L215" s="45" t="n"/>
      <c r="M215" s="48" t="n"/>
      <c r="N215" s="83" t="n"/>
      <c r="O215" s="84" t="n"/>
      <c r="P215" s="85" t="n"/>
      <c r="Q215" s="83" t="n"/>
    </row>
    <row r="216" ht="16.5" customHeight="1" s="186">
      <c r="B216" s="61" t="n"/>
      <c r="C216" s="62" t="n"/>
      <c r="D216" s="63" t="n"/>
      <c r="E216" s="64" t="n"/>
      <c r="F216" s="65" t="n"/>
      <c r="G216" s="66" t="n"/>
      <c r="H216" s="67" t="n"/>
      <c r="I216" s="68" t="n"/>
      <c r="J216" s="69" t="n"/>
      <c r="K216" s="70" t="n"/>
      <c r="L216" s="36" t="n"/>
      <c r="M216" s="39" t="n"/>
      <c r="N216" s="71" t="n"/>
      <c r="O216" s="72" t="n"/>
      <c r="P216" s="73" t="n"/>
      <c r="Q216" s="71" t="n"/>
    </row>
    <row r="217" ht="16.5" customHeight="1" s="186">
      <c r="B217" s="61" t="n"/>
      <c r="C217" s="74" t="n"/>
      <c r="D217" s="75" t="n"/>
      <c r="E217" s="76" t="n"/>
      <c r="F217" s="77" t="n"/>
      <c r="G217" s="78" t="n"/>
      <c r="H217" s="79" t="n"/>
      <c r="I217" s="80" t="n"/>
      <c r="J217" s="81" t="n"/>
      <c r="K217" s="82" t="n"/>
      <c r="L217" s="45" t="n"/>
      <c r="M217" s="48" t="n"/>
      <c r="N217" s="83" t="n"/>
      <c r="O217" s="84" t="n"/>
      <c r="P217" s="85" t="n"/>
      <c r="Q217" s="83" t="n"/>
    </row>
    <row r="218" ht="16.5" customHeight="1" s="186">
      <c r="B218" s="61" t="n"/>
      <c r="C218" s="62" t="n"/>
      <c r="D218" s="63" t="n"/>
      <c r="E218" s="64" t="n"/>
      <c r="F218" s="65" t="n"/>
      <c r="G218" s="66" t="n"/>
      <c r="H218" s="67" t="n"/>
      <c r="I218" s="68" t="n"/>
      <c r="J218" s="69" t="n"/>
      <c r="K218" s="70" t="n"/>
      <c r="L218" s="36" t="n"/>
      <c r="M218" s="39" t="n"/>
      <c r="N218" s="71" t="n"/>
      <c r="O218" s="72" t="n"/>
      <c r="P218" s="73" t="n"/>
      <c r="Q218" s="71" t="n"/>
    </row>
    <row r="219" ht="16.5" customHeight="1" s="186">
      <c r="B219" s="61" t="n"/>
      <c r="C219" s="74" t="n"/>
      <c r="D219" s="75" t="n"/>
      <c r="E219" s="76" t="n"/>
      <c r="F219" s="77" t="n"/>
      <c r="G219" s="78" t="n"/>
      <c r="H219" s="79" t="n"/>
      <c r="I219" s="80" t="n"/>
      <c r="J219" s="81" t="n"/>
      <c r="K219" s="82" t="n"/>
      <c r="L219" s="45" t="n"/>
      <c r="M219" s="48" t="n"/>
      <c r="N219" s="83" t="n"/>
      <c r="O219" s="84" t="n"/>
      <c r="P219" s="85" t="n"/>
      <c r="Q219" s="83" t="n"/>
    </row>
    <row r="220" ht="16.5" customHeight="1" s="186">
      <c r="B220" s="61" t="n"/>
      <c r="C220" s="62" t="n"/>
      <c r="D220" s="63" t="n"/>
      <c r="E220" s="64" t="n"/>
      <c r="F220" s="65" t="n"/>
      <c r="G220" s="66" t="n"/>
      <c r="H220" s="67" t="n"/>
      <c r="I220" s="68" t="n"/>
      <c r="J220" s="69" t="n"/>
      <c r="K220" s="70" t="n"/>
      <c r="L220" s="36" t="n"/>
      <c r="M220" s="39" t="n"/>
      <c r="N220" s="71" t="n"/>
      <c r="O220" s="72" t="n"/>
      <c r="P220" s="73" t="n"/>
      <c r="Q220" s="71" t="n"/>
    </row>
    <row r="221" ht="16.5" customHeight="1" s="186">
      <c r="B221" s="61" t="n"/>
      <c r="C221" s="74" t="n"/>
      <c r="D221" s="75" t="n"/>
      <c r="E221" s="76" t="n"/>
      <c r="F221" s="77" t="n"/>
      <c r="G221" s="78" t="n"/>
      <c r="H221" s="79" t="n"/>
      <c r="I221" s="80" t="n"/>
      <c r="J221" s="81" t="n"/>
      <c r="K221" s="82" t="n"/>
      <c r="L221" s="45" t="n"/>
      <c r="M221" s="48" t="n"/>
      <c r="N221" s="83" t="n"/>
      <c r="O221" s="84" t="n"/>
      <c r="P221" s="85" t="n"/>
      <c r="Q221" s="83" t="n"/>
    </row>
    <row r="222" ht="16.5" customHeight="1" s="186">
      <c r="B222" s="61" t="n"/>
      <c r="C222" s="62" t="n"/>
      <c r="D222" s="63" t="n"/>
      <c r="E222" s="64" t="n"/>
      <c r="F222" s="65" t="n"/>
      <c r="G222" s="66" t="n"/>
      <c r="H222" s="67" t="n"/>
      <c r="I222" s="68" t="n"/>
      <c r="J222" s="69" t="n"/>
      <c r="K222" s="70" t="n"/>
      <c r="L222" s="36" t="n"/>
      <c r="M222" s="39" t="n"/>
      <c r="N222" s="71" t="n"/>
      <c r="O222" s="72" t="n"/>
      <c r="P222" s="73" t="n"/>
      <c r="Q222" s="71" t="n"/>
    </row>
    <row r="223" ht="16.5" customHeight="1" s="186">
      <c r="B223" s="61" t="n"/>
      <c r="C223" s="74" t="n"/>
      <c r="D223" s="75" t="n"/>
      <c r="E223" s="76" t="n"/>
      <c r="F223" s="77" t="n"/>
      <c r="G223" s="78" t="n"/>
      <c r="H223" s="79" t="n"/>
      <c r="I223" s="80" t="n"/>
      <c r="J223" s="81" t="n"/>
      <c r="K223" s="82" t="n"/>
      <c r="L223" s="45" t="n"/>
      <c r="M223" s="48" t="n"/>
      <c r="N223" s="83" t="n"/>
      <c r="O223" s="84" t="n"/>
      <c r="P223" s="85" t="n"/>
      <c r="Q223" s="83" t="n"/>
    </row>
    <row r="224" ht="16.5" customHeight="1" s="186">
      <c r="B224" s="61" t="n"/>
      <c r="C224" s="62" t="n"/>
      <c r="D224" s="63" t="n"/>
      <c r="E224" s="64" t="n"/>
      <c r="F224" s="65" t="n"/>
      <c r="G224" s="66" t="n"/>
      <c r="H224" s="67" t="n"/>
      <c r="I224" s="68" t="n"/>
      <c r="J224" s="69" t="n"/>
      <c r="K224" s="70" t="n"/>
      <c r="L224" s="36" t="n"/>
      <c r="M224" s="39" t="n"/>
      <c r="N224" s="71" t="n"/>
      <c r="O224" s="72" t="n"/>
      <c r="P224" s="73" t="n"/>
      <c r="Q224" s="71" t="n"/>
    </row>
    <row r="225" ht="16.5" customHeight="1" s="186">
      <c r="B225" s="61" t="n"/>
      <c r="C225" s="74" t="n"/>
      <c r="D225" s="75" t="n"/>
      <c r="E225" s="76" t="n"/>
      <c r="F225" s="77" t="n"/>
      <c r="G225" s="78" t="n"/>
      <c r="H225" s="79" t="n"/>
      <c r="I225" s="80" t="n"/>
      <c r="J225" s="81" t="n"/>
      <c r="K225" s="82" t="n"/>
      <c r="L225" s="45" t="n"/>
      <c r="M225" s="48" t="n"/>
      <c r="N225" s="83" t="n"/>
      <c r="O225" s="84" t="n"/>
      <c r="P225" s="85" t="n"/>
      <c r="Q225" s="83" t="n"/>
    </row>
    <row r="226" ht="16.5" customHeight="1" s="186">
      <c r="B226" s="61" t="n"/>
      <c r="C226" s="62" t="n"/>
      <c r="D226" s="63" t="n"/>
      <c r="E226" s="64" t="n"/>
      <c r="F226" s="65" t="n"/>
      <c r="G226" s="66" t="n"/>
      <c r="H226" s="67" t="n"/>
      <c r="I226" s="68" t="n"/>
      <c r="J226" s="69" t="n"/>
      <c r="K226" s="70" t="n"/>
      <c r="L226" s="36" t="n"/>
      <c r="M226" s="39" t="n"/>
      <c r="N226" s="71" t="n"/>
      <c r="O226" s="72" t="n"/>
      <c r="P226" s="73" t="n"/>
      <c r="Q226" s="71" t="n"/>
    </row>
    <row r="227" ht="16.5" customHeight="1" s="186">
      <c r="B227" s="61" t="n"/>
      <c r="C227" s="74" t="n"/>
      <c r="D227" s="75" t="n"/>
      <c r="E227" s="76" t="n"/>
      <c r="F227" s="77" t="n"/>
      <c r="G227" s="78" t="n"/>
      <c r="H227" s="79" t="n"/>
      <c r="I227" s="80" t="n"/>
      <c r="J227" s="81" t="n"/>
      <c r="K227" s="82" t="n"/>
      <c r="L227" s="45" t="n"/>
      <c r="M227" s="48" t="n"/>
      <c r="N227" s="83" t="n"/>
      <c r="O227" s="84" t="n"/>
      <c r="P227" s="85" t="n"/>
      <c r="Q227" s="83" t="n"/>
    </row>
    <row r="228" ht="16.5" customHeight="1" s="186">
      <c r="B228" s="61" t="n"/>
      <c r="C228" s="62" t="n"/>
      <c r="D228" s="63" t="n"/>
      <c r="E228" s="64" t="n"/>
      <c r="F228" s="65" t="n"/>
      <c r="G228" s="66" t="n"/>
      <c r="H228" s="67" t="n"/>
      <c r="I228" s="68" t="n"/>
      <c r="J228" s="69" t="n"/>
      <c r="K228" s="70" t="n"/>
      <c r="L228" s="36" t="n"/>
      <c r="M228" s="39" t="n"/>
      <c r="N228" s="71" t="n"/>
      <c r="O228" s="72" t="n"/>
      <c r="P228" s="73" t="n"/>
      <c r="Q228" s="71" t="n"/>
    </row>
    <row r="229" ht="16.5" customHeight="1" s="186">
      <c r="B229" s="61" t="n"/>
      <c r="C229" s="74" t="n"/>
      <c r="D229" s="75" t="n"/>
      <c r="E229" s="76" t="n"/>
      <c r="F229" s="77" t="n"/>
      <c r="G229" s="78" t="n"/>
      <c r="H229" s="79" t="n"/>
      <c r="I229" s="80" t="n"/>
      <c r="J229" s="81" t="n"/>
      <c r="K229" s="82" t="n"/>
      <c r="L229" s="45" t="n"/>
      <c r="M229" s="48" t="n"/>
      <c r="N229" s="83" t="n"/>
      <c r="O229" s="84" t="n"/>
      <c r="P229" s="85" t="n"/>
      <c r="Q229" s="83" t="n"/>
    </row>
    <row r="230" ht="16.5" customHeight="1" s="186">
      <c r="B230" s="61" t="n"/>
      <c r="C230" s="62" t="n"/>
      <c r="D230" s="63" t="n"/>
      <c r="E230" s="64" t="n"/>
      <c r="F230" s="65" t="n"/>
      <c r="G230" s="66" t="n"/>
      <c r="H230" s="67" t="n"/>
      <c r="I230" s="68" t="n"/>
      <c r="J230" s="69" t="n"/>
      <c r="K230" s="70" t="n"/>
      <c r="L230" s="36" t="n"/>
      <c r="M230" s="39" t="n"/>
      <c r="N230" s="71" t="n"/>
      <c r="O230" s="72" t="n"/>
      <c r="P230" s="73" t="n"/>
      <c r="Q230" s="71" t="n"/>
    </row>
    <row r="231" ht="16.5" customHeight="1" s="186">
      <c r="B231" s="61" t="n"/>
      <c r="C231" s="74" t="n"/>
      <c r="D231" s="75" t="n"/>
      <c r="E231" s="76" t="n"/>
      <c r="F231" s="77" t="n"/>
      <c r="G231" s="78" t="n"/>
      <c r="H231" s="79" t="n"/>
      <c r="I231" s="80" t="n"/>
      <c r="J231" s="81" t="n"/>
      <c r="K231" s="82" t="n"/>
      <c r="L231" s="45" t="n"/>
      <c r="M231" s="48" t="n"/>
      <c r="N231" s="83" t="n"/>
      <c r="O231" s="84" t="n"/>
      <c r="P231" s="85" t="n"/>
      <c r="Q231" s="83" t="n"/>
    </row>
    <row r="232" ht="16.5" customHeight="1" s="186">
      <c r="B232" s="61" t="n"/>
      <c r="C232" s="62" t="n"/>
      <c r="D232" s="63" t="n"/>
      <c r="E232" s="64" t="n"/>
      <c r="F232" s="65" t="n"/>
      <c r="G232" s="66" t="n"/>
      <c r="H232" s="67" t="n"/>
      <c r="I232" s="68" t="n"/>
      <c r="J232" s="69" t="n"/>
      <c r="K232" s="70" t="n"/>
      <c r="L232" s="36" t="n"/>
      <c r="M232" s="39" t="n"/>
      <c r="N232" s="71" t="n"/>
      <c r="O232" s="72" t="n"/>
      <c r="P232" s="73" t="n"/>
      <c r="Q232" s="71" t="n"/>
    </row>
    <row r="233" ht="16.5" customHeight="1" s="186">
      <c r="B233" s="61" t="n"/>
      <c r="C233" s="74" t="n"/>
      <c r="D233" s="75" t="n"/>
      <c r="E233" s="76" t="n"/>
      <c r="F233" s="77" t="n"/>
      <c r="G233" s="78" t="n"/>
      <c r="H233" s="79" t="n"/>
      <c r="I233" s="80" t="n"/>
      <c r="J233" s="81" t="n"/>
      <c r="K233" s="82" t="n"/>
      <c r="L233" s="45" t="n"/>
      <c r="M233" s="48" t="n"/>
      <c r="N233" s="83" t="n"/>
      <c r="O233" s="84" t="n"/>
      <c r="P233" s="85" t="n"/>
      <c r="Q233" s="83" t="n"/>
    </row>
    <row r="234" ht="16.5" customHeight="1" s="186">
      <c r="B234" s="61" t="n"/>
      <c r="C234" s="62" t="n"/>
      <c r="D234" s="63" t="n"/>
      <c r="E234" s="64" t="n"/>
      <c r="F234" s="65" t="n"/>
      <c r="G234" s="66" t="n"/>
      <c r="H234" s="67" t="n"/>
      <c r="I234" s="68" t="n"/>
      <c r="J234" s="69" t="n"/>
      <c r="K234" s="70" t="n"/>
      <c r="L234" s="36" t="n"/>
      <c r="M234" s="39" t="n"/>
      <c r="N234" s="71" t="n"/>
      <c r="O234" s="72" t="n"/>
      <c r="P234" s="73" t="n"/>
      <c r="Q234" s="71" t="n"/>
    </row>
    <row r="235" ht="16.5" customHeight="1" s="186">
      <c r="B235" s="61" t="n"/>
      <c r="C235" s="74" t="n"/>
      <c r="D235" s="75" t="n"/>
      <c r="E235" s="76" t="n"/>
      <c r="F235" s="77" t="n"/>
      <c r="G235" s="78" t="n"/>
      <c r="H235" s="79" t="n"/>
      <c r="I235" s="80" t="n"/>
      <c r="J235" s="81" t="n"/>
      <c r="K235" s="82" t="n"/>
      <c r="L235" s="45" t="n"/>
      <c r="M235" s="48" t="n"/>
      <c r="N235" s="83" t="n"/>
      <c r="O235" s="84" t="n"/>
      <c r="P235" s="85" t="n"/>
      <c r="Q235" s="83" t="n"/>
    </row>
    <row r="236" ht="16.5" customHeight="1" s="186">
      <c r="B236" s="61" t="n"/>
      <c r="C236" s="62" t="n"/>
      <c r="D236" s="63" t="n"/>
      <c r="E236" s="64" t="n"/>
      <c r="F236" s="65" t="n"/>
      <c r="G236" s="66" t="n"/>
      <c r="H236" s="67" t="n"/>
      <c r="I236" s="68" t="n"/>
      <c r="J236" s="69" t="n"/>
      <c r="K236" s="70" t="n"/>
      <c r="L236" s="36" t="n"/>
      <c r="M236" s="39" t="n"/>
      <c r="N236" s="71" t="n"/>
      <c r="O236" s="72" t="n"/>
      <c r="P236" s="73" t="n"/>
      <c r="Q236" s="71" t="n"/>
    </row>
    <row r="237" ht="16.5" customHeight="1" s="186">
      <c r="B237" s="61" t="n"/>
      <c r="C237" s="74" t="n"/>
      <c r="D237" s="75" t="n"/>
      <c r="E237" s="76" t="n"/>
      <c r="F237" s="77" t="n"/>
      <c r="G237" s="78" t="n"/>
      <c r="H237" s="79" t="n"/>
      <c r="I237" s="80" t="n"/>
      <c r="J237" s="81" t="n"/>
      <c r="K237" s="82" t="n"/>
      <c r="L237" s="45" t="n"/>
      <c r="M237" s="48" t="n"/>
      <c r="N237" s="83" t="n"/>
      <c r="O237" s="84" t="n"/>
      <c r="P237" s="85" t="n"/>
      <c r="Q237" s="83" t="n"/>
    </row>
    <row r="238" ht="16.5" customHeight="1" s="186">
      <c r="B238" s="61" t="n"/>
      <c r="C238" s="62" t="n"/>
      <c r="D238" s="63" t="n"/>
      <c r="E238" s="64" t="n"/>
      <c r="F238" s="65" t="n"/>
      <c r="G238" s="66" t="n"/>
      <c r="H238" s="67" t="n"/>
      <c r="I238" s="68" t="n"/>
      <c r="J238" s="69" t="n"/>
      <c r="K238" s="70" t="n"/>
      <c r="L238" s="36" t="n"/>
      <c r="M238" s="39" t="n"/>
      <c r="N238" s="71" t="n"/>
      <c r="O238" s="72" t="n"/>
      <c r="P238" s="73" t="n"/>
      <c r="Q238" s="71" t="n"/>
    </row>
    <row r="239" ht="16.5" customHeight="1" s="186">
      <c r="B239" s="61" t="n"/>
      <c r="C239" s="74" t="n"/>
      <c r="D239" s="75" t="n"/>
      <c r="E239" s="76" t="n"/>
      <c r="F239" s="77" t="n"/>
      <c r="G239" s="78" t="n"/>
      <c r="H239" s="79" t="n"/>
      <c r="I239" s="80" t="n"/>
      <c r="J239" s="81" t="n"/>
      <c r="K239" s="82" t="n"/>
      <c r="L239" s="45" t="n"/>
      <c r="M239" s="48" t="n"/>
      <c r="N239" s="83" t="n"/>
      <c r="O239" s="84" t="n"/>
      <c r="P239" s="85" t="n"/>
      <c r="Q239" s="83" t="n"/>
    </row>
    <row r="240" ht="16.5" customHeight="1" s="186">
      <c r="B240" s="61" t="n"/>
      <c r="C240" s="62" t="n"/>
      <c r="D240" s="63" t="n"/>
      <c r="E240" s="64" t="n"/>
      <c r="F240" s="65" t="n"/>
      <c r="G240" s="66" t="n"/>
      <c r="H240" s="67" t="n"/>
      <c r="I240" s="68" t="n"/>
      <c r="J240" s="69" t="n"/>
      <c r="K240" s="70" t="n"/>
      <c r="L240" s="36" t="n"/>
      <c r="M240" s="39" t="n"/>
      <c r="N240" s="71" t="n"/>
      <c r="O240" s="72" t="n"/>
      <c r="P240" s="73" t="n"/>
      <c r="Q240" s="71" t="n"/>
    </row>
    <row r="241" ht="16.5" customHeight="1" s="186">
      <c r="B241" s="61" t="n"/>
      <c r="C241" s="74" t="n"/>
      <c r="D241" s="75" t="n"/>
      <c r="E241" s="76" t="n"/>
      <c r="F241" s="77" t="n"/>
      <c r="G241" s="78" t="n"/>
      <c r="H241" s="79" t="n"/>
      <c r="I241" s="80" t="n"/>
      <c r="J241" s="81" t="n"/>
      <c r="K241" s="82" t="n"/>
      <c r="L241" s="45" t="n"/>
      <c r="M241" s="48" t="n"/>
      <c r="N241" s="83" t="n"/>
      <c r="O241" s="84" t="n"/>
      <c r="P241" s="85" t="n"/>
      <c r="Q241" s="83" t="n"/>
    </row>
    <row r="242" ht="16.5" customHeight="1" s="186">
      <c r="B242" s="61" t="n"/>
      <c r="C242" s="62" t="n"/>
      <c r="D242" s="63" t="n"/>
      <c r="E242" s="64" t="n"/>
      <c r="F242" s="65" t="n"/>
      <c r="G242" s="66" t="n"/>
      <c r="H242" s="67" t="n"/>
      <c r="I242" s="68" t="n"/>
      <c r="J242" s="69" t="n"/>
      <c r="K242" s="70" t="n"/>
      <c r="L242" s="36" t="n"/>
      <c r="M242" s="39" t="n"/>
      <c r="N242" s="71" t="n"/>
      <c r="O242" s="72" t="n"/>
      <c r="P242" s="73" t="n"/>
      <c r="Q242" s="71" t="n"/>
    </row>
    <row r="243" ht="16.5" customHeight="1" s="186">
      <c r="B243" s="61" t="n"/>
      <c r="C243" s="74" t="n"/>
      <c r="D243" s="75" t="n"/>
      <c r="E243" s="76" t="n"/>
      <c r="F243" s="77" t="n"/>
      <c r="G243" s="78" t="n"/>
      <c r="H243" s="79" t="n"/>
      <c r="I243" s="80" t="n"/>
      <c r="J243" s="81" t="n"/>
      <c r="K243" s="82" t="n"/>
      <c r="L243" s="45" t="n"/>
      <c r="M243" s="48" t="n"/>
      <c r="N243" s="83" t="n"/>
      <c r="O243" s="84" t="n"/>
      <c r="P243" s="85" t="n"/>
      <c r="Q243" s="83" t="n"/>
    </row>
    <row r="244" ht="16.5" customHeight="1" s="186">
      <c r="B244" s="61" t="n"/>
      <c r="C244" s="62" t="n"/>
      <c r="D244" s="63" t="n"/>
      <c r="E244" s="64" t="n"/>
      <c r="F244" s="65" t="n"/>
      <c r="G244" s="66" t="n"/>
      <c r="H244" s="67" t="n"/>
      <c r="I244" s="68" t="n"/>
      <c r="J244" s="69" t="n"/>
      <c r="K244" s="70" t="n"/>
      <c r="L244" s="36" t="n"/>
      <c r="M244" s="39" t="n"/>
      <c r="N244" s="71" t="n"/>
      <c r="O244" s="72" t="n"/>
      <c r="P244" s="73" t="n"/>
      <c r="Q244" s="71" t="n"/>
    </row>
    <row r="245" ht="16.5" customHeight="1" s="186">
      <c r="B245" s="61" t="n"/>
      <c r="C245" s="74" t="n"/>
      <c r="D245" s="75" t="n"/>
      <c r="E245" s="76" t="n"/>
      <c r="F245" s="77" t="n"/>
      <c r="G245" s="78" t="n"/>
      <c r="H245" s="79" t="n"/>
      <c r="I245" s="80" t="n"/>
      <c r="J245" s="81" t="n"/>
      <c r="K245" s="82" t="n"/>
      <c r="L245" s="45" t="n"/>
      <c r="M245" s="48" t="n"/>
      <c r="N245" s="83" t="n"/>
      <c r="O245" s="84" t="n"/>
      <c r="P245" s="85" t="n"/>
      <c r="Q245" s="83" t="n"/>
    </row>
    <row r="246" ht="16.5" customHeight="1" s="186">
      <c r="B246" s="61" t="n"/>
      <c r="C246" s="62" t="n"/>
      <c r="D246" s="63" t="n"/>
      <c r="E246" s="64" t="n"/>
      <c r="F246" s="65" t="n"/>
      <c r="G246" s="66" t="n"/>
      <c r="H246" s="67" t="n"/>
      <c r="I246" s="68" t="n"/>
      <c r="J246" s="69" t="n"/>
      <c r="K246" s="70" t="n"/>
      <c r="L246" s="36" t="n"/>
      <c r="M246" s="39" t="n"/>
      <c r="N246" s="71" t="n"/>
      <c r="O246" s="72" t="n"/>
      <c r="P246" s="73" t="n"/>
      <c r="Q246" s="71" t="n"/>
    </row>
    <row r="247" ht="16.5" customHeight="1" s="186">
      <c r="B247" s="61" t="n"/>
      <c r="C247" s="74" t="n"/>
      <c r="D247" s="75" t="n"/>
      <c r="E247" s="76" t="n"/>
      <c r="F247" s="77" t="n"/>
      <c r="G247" s="78" t="n"/>
      <c r="H247" s="79" t="n"/>
      <c r="I247" s="80" t="n"/>
      <c r="J247" s="81" t="n"/>
      <c r="K247" s="82" t="n"/>
      <c r="L247" s="45" t="n"/>
      <c r="M247" s="48" t="n"/>
      <c r="N247" s="83" t="n"/>
      <c r="O247" s="84" t="n"/>
      <c r="P247" s="85" t="n"/>
      <c r="Q247" s="83" t="n"/>
    </row>
    <row r="248" ht="16.5" customHeight="1" s="186">
      <c r="B248" s="61" t="n"/>
      <c r="C248" s="62" t="n"/>
      <c r="D248" s="63" t="n"/>
      <c r="E248" s="64" t="n"/>
      <c r="F248" s="65" t="n"/>
      <c r="G248" s="66" t="n"/>
      <c r="H248" s="67" t="n"/>
      <c r="I248" s="68" t="n"/>
      <c r="J248" s="69" t="n"/>
      <c r="K248" s="70" t="n"/>
      <c r="L248" s="36" t="n"/>
      <c r="M248" s="39" t="n"/>
      <c r="N248" s="71" t="n"/>
      <c r="O248" s="72" t="n"/>
      <c r="P248" s="73" t="n"/>
      <c r="Q248" s="71" t="n"/>
    </row>
    <row r="249" ht="16.5" customHeight="1" s="186">
      <c r="B249" s="61" t="n"/>
      <c r="C249" s="74" t="n"/>
      <c r="D249" s="75" t="n"/>
      <c r="E249" s="76" t="n"/>
      <c r="F249" s="77" t="n"/>
      <c r="G249" s="78" t="n"/>
      <c r="H249" s="79" t="n"/>
      <c r="I249" s="80" t="n"/>
      <c r="J249" s="81" t="n"/>
      <c r="K249" s="82" t="n"/>
      <c r="L249" s="45" t="n"/>
      <c r="M249" s="48" t="n"/>
      <c r="N249" s="83" t="n"/>
      <c r="O249" s="84" t="n"/>
      <c r="P249" s="85" t="n"/>
      <c r="Q249" s="83" t="n"/>
    </row>
    <row r="250" ht="16.5" customHeight="1" s="186">
      <c r="B250" s="61" t="n"/>
      <c r="C250" s="62" t="n"/>
      <c r="D250" s="63" t="n"/>
      <c r="E250" s="64" t="n"/>
      <c r="F250" s="65" t="n"/>
      <c r="G250" s="66" t="n"/>
      <c r="H250" s="67" t="n"/>
      <c r="I250" s="68" t="n"/>
      <c r="J250" s="69" t="n"/>
      <c r="K250" s="70" t="n"/>
      <c r="L250" s="36" t="n"/>
      <c r="M250" s="39" t="n"/>
      <c r="N250" s="71" t="n"/>
      <c r="O250" s="72" t="n"/>
      <c r="P250" s="73" t="n"/>
      <c r="Q250" s="71" t="n"/>
    </row>
    <row r="251" ht="16.5" customHeight="1" s="186">
      <c r="B251" s="61" t="n"/>
      <c r="C251" s="74" t="n"/>
      <c r="D251" s="75" t="n"/>
      <c r="E251" s="76" t="n"/>
      <c r="F251" s="77" t="n"/>
      <c r="G251" s="78" t="n"/>
      <c r="H251" s="79" t="n"/>
      <c r="I251" s="80" t="n"/>
      <c r="J251" s="81" t="n"/>
      <c r="K251" s="82" t="n"/>
      <c r="L251" s="45" t="n"/>
      <c r="M251" s="48" t="n"/>
      <c r="N251" s="83" t="n"/>
      <c r="O251" s="84" t="n"/>
      <c r="P251" s="85" t="n"/>
      <c r="Q251" s="83" t="n"/>
    </row>
    <row r="252" ht="16.5" customHeight="1" s="186">
      <c r="B252" s="61" t="n"/>
      <c r="C252" s="62" t="n"/>
      <c r="D252" s="63" t="n"/>
      <c r="E252" s="64" t="n"/>
      <c r="F252" s="65" t="n"/>
      <c r="G252" s="66" t="n"/>
      <c r="H252" s="67" t="n"/>
      <c r="I252" s="68" t="n"/>
      <c r="J252" s="69" t="n"/>
      <c r="K252" s="70" t="n"/>
      <c r="L252" s="36" t="n"/>
      <c r="M252" s="39" t="n"/>
      <c r="N252" s="71" t="n"/>
      <c r="O252" s="72" t="n"/>
      <c r="P252" s="73" t="n"/>
      <c r="Q252" s="71" t="n"/>
    </row>
    <row r="253" ht="16.5" customHeight="1" s="186">
      <c r="B253" s="61" t="n"/>
      <c r="C253" s="74" t="n"/>
      <c r="D253" s="75" t="n"/>
      <c r="E253" s="76" t="n"/>
      <c r="F253" s="77" t="n"/>
      <c r="G253" s="78" t="n"/>
      <c r="H253" s="79" t="n"/>
      <c r="I253" s="80" t="n"/>
      <c r="J253" s="81" t="n"/>
      <c r="K253" s="82" t="n"/>
      <c r="L253" s="45" t="n"/>
      <c r="M253" s="48" t="n"/>
      <c r="N253" s="83" t="n"/>
      <c r="O253" s="84" t="n"/>
      <c r="P253" s="85" t="n"/>
      <c r="Q253" s="83" t="n"/>
    </row>
    <row r="254" ht="16.5" customHeight="1" s="186">
      <c r="B254" s="61" t="n"/>
      <c r="C254" s="62" t="n"/>
      <c r="D254" s="63" t="n"/>
      <c r="E254" s="64" t="n"/>
      <c r="F254" s="65" t="n"/>
      <c r="G254" s="66" t="n"/>
      <c r="H254" s="67" t="n"/>
      <c r="I254" s="68" t="n"/>
      <c r="J254" s="69" t="n"/>
      <c r="K254" s="70" t="n"/>
      <c r="L254" s="36" t="n"/>
      <c r="M254" s="39" t="n"/>
      <c r="N254" s="71" t="n"/>
      <c r="O254" s="72" t="n"/>
      <c r="P254" s="73" t="n"/>
      <c r="Q254" s="71" t="n"/>
    </row>
    <row r="255" ht="16.5" customHeight="1" s="186">
      <c r="B255" s="61" t="n"/>
      <c r="C255" s="74" t="n"/>
      <c r="D255" s="75" t="n"/>
      <c r="E255" s="76" t="n"/>
      <c r="F255" s="77" t="n"/>
      <c r="G255" s="78" t="n"/>
      <c r="H255" s="79" t="n"/>
      <c r="I255" s="80" t="n"/>
      <c r="J255" s="81" t="n"/>
      <c r="K255" s="82" t="n"/>
      <c r="L255" s="45" t="n"/>
      <c r="M255" s="48" t="n"/>
      <c r="N255" s="83" t="n"/>
      <c r="O255" s="84" t="n"/>
      <c r="P255" s="85" t="n"/>
      <c r="Q255" s="83" t="n"/>
    </row>
    <row r="256" ht="16.5" customHeight="1" s="186">
      <c r="B256" s="61" t="n"/>
      <c r="C256" s="62" t="n"/>
      <c r="D256" s="63" t="n"/>
      <c r="E256" s="64" t="n"/>
      <c r="F256" s="65" t="n"/>
      <c r="G256" s="66" t="n"/>
      <c r="H256" s="67" t="n"/>
      <c r="I256" s="68" t="n"/>
      <c r="J256" s="69" t="n"/>
      <c r="K256" s="70" t="n"/>
      <c r="L256" s="36" t="n"/>
      <c r="M256" s="39" t="n"/>
      <c r="N256" s="71" t="n"/>
      <c r="O256" s="72" t="n"/>
      <c r="P256" s="73" t="n"/>
      <c r="Q256" s="71" t="n"/>
    </row>
    <row r="257" ht="16.5" customHeight="1" s="186">
      <c r="B257" s="61" t="n"/>
      <c r="C257" s="74" t="n"/>
      <c r="D257" s="75" t="n"/>
      <c r="E257" s="76" t="n"/>
      <c r="F257" s="77" t="n"/>
      <c r="G257" s="78" t="n"/>
      <c r="H257" s="79" t="n"/>
      <c r="I257" s="80" t="n"/>
      <c r="J257" s="81" t="n"/>
      <c r="K257" s="82" t="n"/>
      <c r="L257" s="45" t="n"/>
      <c r="M257" s="48" t="n"/>
      <c r="N257" s="83" t="n"/>
      <c r="O257" s="84" t="n"/>
      <c r="P257" s="85" t="n"/>
      <c r="Q257" s="83" t="n"/>
    </row>
    <row r="258" ht="16.5" customHeight="1" s="186">
      <c r="B258" s="61" t="n"/>
      <c r="C258" s="62" t="n"/>
      <c r="D258" s="63" t="n"/>
      <c r="E258" s="64" t="n"/>
      <c r="F258" s="65" t="n"/>
      <c r="G258" s="66" t="n"/>
      <c r="H258" s="67" t="n"/>
      <c r="I258" s="68" t="n"/>
      <c r="J258" s="69" t="n"/>
      <c r="K258" s="70" t="n"/>
      <c r="L258" s="36" t="n"/>
      <c r="M258" s="39" t="n"/>
      <c r="N258" s="71" t="n"/>
      <c r="O258" s="72" t="n"/>
      <c r="P258" s="73" t="n"/>
      <c r="Q258" s="71" t="n"/>
    </row>
    <row r="259" ht="16.5" customHeight="1" s="186">
      <c r="B259" s="61" t="n"/>
      <c r="C259" s="74" t="n"/>
      <c r="D259" s="75" t="n"/>
      <c r="E259" s="76" t="n"/>
      <c r="F259" s="77" t="n"/>
      <c r="G259" s="78" t="n"/>
      <c r="H259" s="79" t="n"/>
      <c r="I259" s="80" t="n"/>
      <c r="J259" s="81" t="n"/>
      <c r="K259" s="82" t="n"/>
      <c r="L259" s="45" t="n"/>
      <c r="M259" s="48" t="n"/>
      <c r="N259" s="83" t="n"/>
      <c r="O259" s="84" t="n"/>
      <c r="P259" s="85" t="n"/>
      <c r="Q259" s="83" t="n"/>
    </row>
    <row r="260" ht="16.5" customHeight="1" s="186">
      <c r="B260" s="61" t="n"/>
      <c r="C260" s="62" t="n"/>
      <c r="D260" s="63" t="n"/>
      <c r="E260" s="64" t="n"/>
      <c r="F260" s="65" t="n"/>
      <c r="G260" s="66" t="n"/>
      <c r="H260" s="67" t="n"/>
      <c r="I260" s="68" t="n"/>
      <c r="J260" s="69" t="n"/>
      <c r="K260" s="70" t="n"/>
      <c r="L260" s="36" t="n"/>
      <c r="M260" s="39" t="n"/>
      <c r="N260" s="71" t="n"/>
      <c r="O260" s="72" t="n"/>
      <c r="P260" s="73" t="n"/>
      <c r="Q260" s="71" t="n"/>
    </row>
    <row r="261" ht="16.5" customHeight="1" s="186">
      <c r="B261" s="61" t="n"/>
      <c r="C261" s="74" t="n"/>
      <c r="D261" s="75" t="n"/>
      <c r="E261" s="76" t="n"/>
      <c r="F261" s="77" t="n"/>
      <c r="G261" s="78" t="n"/>
      <c r="H261" s="79" t="n"/>
      <c r="I261" s="80" t="n"/>
      <c r="J261" s="81" t="n"/>
      <c r="K261" s="82" t="n"/>
      <c r="L261" s="45" t="n"/>
      <c r="M261" s="48" t="n"/>
      <c r="N261" s="83" t="n"/>
      <c r="O261" s="84" t="n"/>
      <c r="P261" s="85" t="n"/>
      <c r="Q261" s="83" t="n"/>
    </row>
    <row r="262" ht="16.5" customHeight="1" s="186">
      <c r="B262" s="61" t="n"/>
      <c r="C262" s="62" t="n"/>
      <c r="D262" s="63" t="n"/>
      <c r="E262" s="64" t="n"/>
      <c r="F262" s="65" t="n"/>
      <c r="G262" s="66" t="n"/>
      <c r="H262" s="67" t="n"/>
      <c r="I262" s="68" t="n"/>
      <c r="J262" s="69" t="n"/>
      <c r="K262" s="70" t="n"/>
      <c r="L262" s="36" t="n"/>
      <c r="M262" s="39" t="n"/>
      <c r="N262" s="71" t="n"/>
      <c r="O262" s="72" t="n"/>
      <c r="P262" s="73" t="n"/>
      <c r="Q262" s="71" t="n"/>
    </row>
    <row r="263" ht="16.5" customHeight="1" s="186">
      <c r="B263" s="61" t="n"/>
      <c r="C263" s="74" t="n"/>
      <c r="D263" s="75" t="n"/>
      <c r="E263" s="76" t="n"/>
      <c r="F263" s="77" t="n"/>
      <c r="G263" s="78" t="n"/>
      <c r="H263" s="79" t="n"/>
      <c r="I263" s="80" t="n"/>
      <c r="J263" s="81" t="n"/>
      <c r="K263" s="82" t="n"/>
      <c r="L263" s="45" t="n"/>
      <c r="M263" s="48" t="n"/>
      <c r="N263" s="83" t="n"/>
      <c r="O263" s="84" t="n"/>
      <c r="P263" s="85" t="n"/>
      <c r="Q263" s="83" t="n"/>
    </row>
    <row r="264" ht="16.5" customHeight="1" s="186">
      <c r="B264" s="61" t="n"/>
      <c r="C264" s="62" t="n"/>
      <c r="D264" s="63" t="n"/>
      <c r="E264" s="64" t="n"/>
      <c r="F264" s="65" t="n"/>
      <c r="G264" s="66" t="n"/>
      <c r="H264" s="67" t="n"/>
      <c r="I264" s="68" t="n"/>
      <c r="J264" s="69" t="n"/>
      <c r="K264" s="70" t="n"/>
      <c r="L264" s="36" t="n"/>
      <c r="M264" s="39" t="n"/>
      <c r="N264" s="71" t="n"/>
      <c r="O264" s="72" t="n"/>
      <c r="P264" s="73" t="n"/>
      <c r="Q264" s="71" t="n"/>
    </row>
    <row r="265" ht="16.5" customHeight="1" s="186">
      <c r="B265" s="61" t="n"/>
      <c r="C265" s="74" t="n"/>
      <c r="D265" s="75" t="n"/>
      <c r="E265" s="76" t="n"/>
      <c r="F265" s="77" t="n"/>
      <c r="G265" s="78" t="n"/>
      <c r="H265" s="79" t="n"/>
      <c r="I265" s="80" t="n"/>
      <c r="J265" s="81" t="n"/>
      <c r="K265" s="82" t="n"/>
      <c r="L265" s="45" t="n"/>
      <c r="M265" s="48" t="n"/>
      <c r="N265" s="83" t="n"/>
      <c r="O265" s="84" t="n"/>
      <c r="P265" s="85" t="n"/>
      <c r="Q265" s="83" t="n"/>
    </row>
    <row r="266" ht="16.5" customHeight="1" s="186">
      <c r="B266" s="61" t="n"/>
      <c r="C266" s="62" t="n"/>
      <c r="D266" s="63" t="n"/>
      <c r="E266" s="64" t="n"/>
      <c r="F266" s="65" t="n"/>
      <c r="G266" s="66" t="n"/>
      <c r="H266" s="67" t="n"/>
      <c r="I266" s="68" t="n"/>
      <c r="J266" s="69" t="n"/>
      <c r="K266" s="70" t="n"/>
      <c r="L266" s="36" t="n"/>
      <c r="M266" s="39" t="n"/>
      <c r="N266" s="71" t="n"/>
      <c r="O266" s="72" t="n"/>
      <c r="P266" s="73" t="n"/>
      <c r="Q266" s="71" t="n"/>
    </row>
    <row r="267" ht="16.5" customHeight="1" s="186">
      <c r="B267" s="61" t="n"/>
      <c r="C267" s="74" t="n"/>
      <c r="D267" s="75" t="n"/>
      <c r="E267" s="76" t="n"/>
      <c r="F267" s="77" t="n"/>
      <c r="G267" s="78" t="n"/>
      <c r="H267" s="79" t="n"/>
      <c r="I267" s="80" t="n"/>
      <c r="J267" s="81" t="n"/>
      <c r="K267" s="82" t="n"/>
      <c r="L267" s="45" t="n"/>
      <c r="M267" s="48" t="n"/>
      <c r="N267" s="83" t="n"/>
      <c r="O267" s="84" t="n"/>
      <c r="P267" s="85" t="n"/>
      <c r="Q267" s="83" t="n"/>
    </row>
    <row r="268" ht="16.5" customHeight="1" s="186">
      <c r="B268" s="61" t="n"/>
      <c r="C268" s="62" t="n"/>
      <c r="D268" s="63" t="n"/>
      <c r="E268" s="64" t="n"/>
      <c r="F268" s="65" t="n"/>
      <c r="G268" s="66" t="n"/>
      <c r="H268" s="67" t="n"/>
      <c r="I268" s="68" t="n"/>
      <c r="J268" s="69" t="n"/>
      <c r="K268" s="70" t="n"/>
      <c r="L268" s="36" t="n"/>
      <c r="M268" s="39" t="n"/>
      <c r="N268" s="71" t="n"/>
      <c r="O268" s="72" t="n"/>
      <c r="P268" s="73" t="n"/>
      <c r="Q268" s="71" t="n"/>
    </row>
    <row r="269" ht="16.5" customHeight="1" s="186">
      <c r="B269" s="61" t="n"/>
      <c r="C269" s="74" t="n"/>
      <c r="D269" s="75" t="n"/>
      <c r="E269" s="76" t="n"/>
      <c r="F269" s="77" t="n"/>
      <c r="G269" s="78" t="n"/>
      <c r="H269" s="79" t="n"/>
      <c r="I269" s="80" t="n"/>
      <c r="J269" s="81" t="n"/>
      <c r="K269" s="82" t="n"/>
      <c r="L269" s="45" t="n"/>
      <c r="M269" s="48" t="n"/>
      <c r="N269" s="83" t="n"/>
      <c r="O269" s="84" t="n"/>
      <c r="P269" s="85" t="n"/>
      <c r="Q269" s="83" t="n"/>
    </row>
    <row r="270" ht="16.5" customHeight="1" s="186">
      <c r="B270" s="61" t="n"/>
      <c r="C270" s="62" t="n"/>
      <c r="D270" s="63" t="n"/>
      <c r="E270" s="64" t="n"/>
      <c r="F270" s="65" t="n"/>
      <c r="G270" s="66" t="n"/>
      <c r="H270" s="67" t="n"/>
      <c r="I270" s="68" t="n"/>
      <c r="J270" s="69" t="n"/>
      <c r="K270" s="70" t="n"/>
      <c r="L270" s="36" t="n"/>
      <c r="M270" s="39" t="n"/>
      <c r="N270" s="71" t="n"/>
      <c r="O270" s="72" t="n"/>
      <c r="P270" s="73" t="n"/>
      <c r="Q270" s="71" t="n"/>
    </row>
    <row r="271" ht="16.5" customHeight="1" s="186">
      <c r="B271" s="61" t="n"/>
      <c r="C271" s="74" t="n"/>
      <c r="D271" s="75" t="n"/>
      <c r="E271" s="76" t="n"/>
      <c r="F271" s="77" t="n"/>
      <c r="G271" s="78" t="n"/>
      <c r="H271" s="79" t="n"/>
      <c r="I271" s="80" t="n"/>
      <c r="J271" s="81" t="n"/>
      <c r="K271" s="82" t="n"/>
      <c r="L271" s="45" t="n"/>
      <c r="M271" s="48" t="n"/>
      <c r="N271" s="83" t="n"/>
      <c r="O271" s="84" t="n"/>
      <c r="P271" s="85" t="n"/>
      <c r="Q271" s="83" t="n"/>
    </row>
    <row r="272" ht="16.5" customHeight="1" s="186">
      <c r="B272" s="61" t="n"/>
      <c r="C272" s="62" t="n"/>
      <c r="D272" s="63" t="n"/>
      <c r="E272" s="64" t="n"/>
      <c r="F272" s="65" t="n"/>
      <c r="G272" s="66" t="n"/>
      <c r="H272" s="67" t="n"/>
      <c r="I272" s="68" t="n"/>
      <c r="J272" s="69" t="n"/>
      <c r="K272" s="70" t="n"/>
      <c r="L272" s="36" t="n"/>
      <c r="M272" s="39" t="n"/>
      <c r="N272" s="71" t="n"/>
      <c r="O272" s="72" t="n"/>
      <c r="P272" s="73" t="n"/>
      <c r="Q272" s="71" t="n"/>
    </row>
    <row r="273" ht="16.5" customHeight="1" s="186">
      <c r="B273" s="61" t="n"/>
      <c r="C273" s="74" t="n"/>
      <c r="D273" s="75" t="n"/>
      <c r="E273" s="76" t="n"/>
      <c r="F273" s="77" t="n"/>
      <c r="G273" s="78" t="n"/>
      <c r="H273" s="79" t="n"/>
      <c r="I273" s="80" t="n"/>
      <c r="J273" s="81" t="n"/>
      <c r="K273" s="82" t="n"/>
      <c r="L273" s="45" t="n"/>
      <c r="M273" s="48" t="n"/>
      <c r="N273" s="83" t="n"/>
      <c r="O273" s="84" t="n"/>
      <c r="P273" s="85" t="n"/>
      <c r="Q273" s="83" t="n"/>
    </row>
    <row r="274" ht="16.5" customHeight="1" s="186">
      <c r="B274" s="61" t="n"/>
      <c r="C274" s="62" t="n"/>
      <c r="D274" s="63" t="n"/>
      <c r="E274" s="64" t="n"/>
      <c r="F274" s="65" t="n"/>
      <c r="G274" s="66" t="n"/>
      <c r="H274" s="67" t="n"/>
      <c r="I274" s="68" t="n"/>
      <c r="J274" s="69" t="n"/>
      <c r="K274" s="70" t="n"/>
      <c r="L274" s="36" t="n"/>
      <c r="M274" s="39" t="n"/>
      <c r="N274" s="71" t="n"/>
      <c r="O274" s="72" t="n"/>
      <c r="P274" s="73" t="n"/>
      <c r="Q274" s="71" t="n"/>
    </row>
    <row r="275" ht="16.5" customHeight="1" s="186">
      <c r="B275" s="61" t="n"/>
      <c r="C275" s="74" t="n"/>
      <c r="D275" s="75" t="n"/>
      <c r="E275" s="76" t="n"/>
      <c r="F275" s="77" t="n"/>
      <c r="G275" s="78" t="n"/>
      <c r="H275" s="79" t="n"/>
      <c r="I275" s="80" t="n"/>
      <c r="J275" s="81" t="n"/>
      <c r="K275" s="82" t="n"/>
      <c r="L275" s="45" t="n"/>
      <c r="M275" s="48" t="n"/>
      <c r="N275" s="83" t="n"/>
      <c r="O275" s="84" t="n"/>
      <c r="P275" s="85" t="n"/>
      <c r="Q275" s="83" t="n"/>
    </row>
    <row r="276" ht="16.5" customHeight="1" s="186">
      <c r="B276" s="61" t="n"/>
      <c r="C276" s="62" t="n"/>
      <c r="D276" s="63" t="n"/>
      <c r="E276" s="64" t="n"/>
      <c r="F276" s="65" t="n"/>
      <c r="G276" s="66" t="n"/>
      <c r="H276" s="67" t="n"/>
      <c r="I276" s="68" t="n"/>
      <c r="J276" s="69" t="n"/>
      <c r="K276" s="70" t="n"/>
      <c r="L276" s="36" t="n"/>
      <c r="M276" s="39" t="n"/>
      <c r="N276" s="71" t="n"/>
      <c r="O276" s="72" t="n"/>
      <c r="P276" s="73" t="n"/>
      <c r="Q276" s="71" t="n"/>
    </row>
    <row r="277" ht="16.5" customHeight="1" s="186">
      <c r="B277" s="61" t="n"/>
      <c r="C277" s="74" t="n"/>
      <c r="D277" s="75" t="n"/>
      <c r="E277" s="76" t="n"/>
      <c r="F277" s="77" t="n"/>
      <c r="G277" s="78" t="n"/>
      <c r="H277" s="79" t="n"/>
      <c r="I277" s="80" t="n"/>
      <c r="J277" s="81" t="n"/>
      <c r="K277" s="82" t="n"/>
      <c r="L277" s="45" t="n"/>
      <c r="M277" s="48" t="n"/>
      <c r="N277" s="83" t="n"/>
      <c r="O277" s="84" t="n"/>
      <c r="P277" s="85" t="n"/>
      <c r="Q277" s="83" t="n"/>
    </row>
    <row r="278" ht="16.5" customHeight="1" s="186">
      <c r="B278" s="61" t="n"/>
      <c r="C278" s="62" t="n"/>
      <c r="D278" s="63" t="n"/>
      <c r="E278" s="64" t="n"/>
      <c r="F278" s="65" t="n"/>
      <c r="G278" s="66" t="n"/>
      <c r="H278" s="67" t="n"/>
      <c r="I278" s="68" t="n"/>
      <c r="J278" s="69" t="n"/>
      <c r="K278" s="70" t="n"/>
      <c r="L278" s="36" t="n"/>
      <c r="M278" s="39" t="n"/>
      <c r="N278" s="71" t="n"/>
      <c r="O278" s="72" t="n"/>
      <c r="P278" s="73" t="n"/>
      <c r="Q278" s="71" t="n"/>
    </row>
    <row r="279" ht="16.5" customHeight="1" s="186">
      <c r="B279" s="61" t="n"/>
      <c r="C279" s="74" t="n"/>
      <c r="D279" s="75" t="n"/>
      <c r="E279" s="76" t="n"/>
      <c r="F279" s="77" t="n"/>
      <c r="G279" s="78" t="n"/>
      <c r="H279" s="79" t="n"/>
      <c r="I279" s="80" t="n"/>
      <c r="J279" s="81" t="n"/>
      <c r="K279" s="82" t="n"/>
      <c r="L279" s="45" t="n"/>
      <c r="M279" s="48" t="n"/>
      <c r="N279" s="83" t="n"/>
      <c r="O279" s="84" t="n"/>
      <c r="P279" s="85" t="n"/>
      <c r="Q279" s="83" t="n"/>
    </row>
    <row r="280" ht="16.5" customHeight="1" s="186">
      <c r="B280" s="61" t="n"/>
      <c r="C280" s="62" t="n"/>
      <c r="D280" s="63" t="n"/>
      <c r="E280" s="64" t="n"/>
      <c r="F280" s="65" t="n"/>
      <c r="G280" s="66" t="n"/>
      <c r="H280" s="67" t="n"/>
      <c r="I280" s="68" t="n"/>
      <c r="J280" s="69" t="n"/>
      <c r="K280" s="70" t="n"/>
      <c r="L280" s="36" t="n"/>
      <c r="M280" s="39" t="n"/>
      <c r="N280" s="71" t="n"/>
      <c r="O280" s="72" t="n"/>
      <c r="P280" s="73" t="n"/>
      <c r="Q280" s="71" t="n"/>
    </row>
    <row r="281" ht="16.5" customHeight="1" s="186">
      <c r="B281" s="61" t="n"/>
      <c r="C281" s="74" t="n"/>
      <c r="D281" s="75" t="n"/>
      <c r="E281" s="76" t="n"/>
      <c r="F281" s="77" t="n"/>
      <c r="G281" s="78" t="n"/>
      <c r="H281" s="79" t="n"/>
      <c r="I281" s="80" t="n"/>
      <c r="J281" s="81" t="n"/>
      <c r="K281" s="82" t="n"/>
      <c r="L281" s="45" t="n"/>
      <c r="M281" s="48" t="n"/>
      <c r="N281" s="83" t="n"/>
      <c r="O281" s="84" t="n"/>
      <c r="P281" s="85" t="n"/>
      <c r="Q281" s="83" t="n"/>
    </row>
    <row r="282" ht="16.5" customHeight="1" s="186">
      <c r="B282" s="61" t="n"/>
      <c r="C282" s="62" t="n"/>
      <c r="D282" s="63" t="n"/>
      <c r="E282" s="64" t="n"/>
      <c r="F282" s="65" t="n"/>
      <c r="G282" s="66" t="n"/>
      <c r="H282" s="67" t="n"/>
      <c r="I282" s="68" t="n"/>
      <c r="J282" s="69" t="n"/>
      <c r="K282" s="70" t="n"/>
      <c r="L282" s="36" t="n"/>
      <c r="M282" s="39" t="n"/>
      <c r="N282" s="71" t="n"/>
      <c r="O282" s="72" t="n"/>
      <c r="P282" s="73" t="n"/>
      <c r="Q282" s="71" t="n"/>
    </row>
    <row r="283" ht="16.5" customHeight="1" s="186">
      <c r="B283" s="61" t="n"/>
      <c r="C283" s="74" t="n"/>
      <c r="D283" s="75" t="n"/>
      <c r="E283" s="76" t="n"/>
      <c r="F283" s="77" t="n"/>
      <c r="G283" s="78" t="n"/>
      <c r="H283" s="79" t="n"/>
      <c r="I283" s="80" t="n"/>
      <c r="J283" s="81" t="n"/>
      <c r="K283" s="82" t="n"/>
      <c r="L283" s="45" t="n"/>
      <c r="M283" s="48" t="n"/>
      <c r="N283" s="83" t="n"/>
      <c r="O283" s="84" t="n"/>
      <c r="P283" s="85" t="n"/>
      <c r="Q283" s="83" t="n"/>
    </row>
    <row r="284" ht="16.5" customHeight="1" s="186">
      <c r="B284" s="61" t="n"/>
      <c r="C284" s="62" t="n"/>
      <c r="D284" s="63" t="n"/>
      <c r="E284" s="64" t="n"/>
      <c r="F284" s="65" t="n"/>
      <c r="G284" s="66" t="n"/>
      <c r="H284" s="67" t="n"/>
      <c r="I284" s="68" t="n"/>
      <c r="J284" s="69" t="n"/>
      <c r="K284" s="70" t="n"/>
      <c r="L284" s="36" t="n"/>
      <c r="M284" s="39" t="n"/>
      <c r="N284" s="71" t="n"/>
      <c r="O284" s="72" t="n"/>
      <c r="P284" s="73" t="n"/>
      <c r="Q284" s="71" t="n"/>
    </row>
    <row r="285" ht="16.5" customHeight="1" s="186">
      <c r="B285" s="61" t="n"/>
      <c r="C285" s="74" t="n"/>
      <c r="D285" s="75" t="n"/>
      <c r="E285" s="76" t="n"/>
      <c r="F285" s="77" t="n"/>
      <c r="G285" s="78" t="n"/>
      <c r="H285" s="79" t="n"/>
      <c r="I285" s="80" t="n"/>
      <c r="J285" s="81" t="n"/>
      <c r="K285" s="82" t="n"/>
      <c r="L285" s="45" t="n"/>
      <c r="M285" s="48" t="n"/>
      <c r="N285" s="83" t="n"/>
      <c r="O285" s="84" t="n"/>
      <c r="P285" s="85" t="n"/>
      <c r="Q285" s="83" t="n"/>
    </row>
    <row r="286" ht="16.5" customHeight="1" s="186">
      <c r="B286" s="61" t="n"/>
      <c r="C286" s="62" t="n"/>
      <c r="D286" s="63" t="n"/>
      <c r="E286" s="64" t="n"/>
      <c r="F286" s="65" t="n"/>
      <c r="G286" s="66" t="n"/>
      <c r="H286" s="67" t="n"/>
      <c r="I286" s="68" t="n"/>
      <c r="J286" s="69" t="n"/>
      <c r="K286" s="70" t="n"/>
      <c r="L286" s="36" t="n"/>
      <c r="M286" s="39" t="n"/>
      <c r="N286" s="71" t="n"/>
      <c r="O286" s="72" t="n"/>
      <c r="P286" s="73" t="n"/>
      <c r="Q286" s="71" t="n"/>
    </row>
    <row r="287" ht="16.5" customHeight="1" s="186">
      <c r="B287" s="61" t="n"/>
      <c r="C287" s="74" t="n"/>
      <c r="D287" s="75" t="n"/>
      <c r="E287" s="76" t="n"/>
      <c r="F287" s="77" t="n"/>
      <c r="G287" s="78" t="n"/>
      <c r="H287" s="79" t="n"/>
      <c r="I287" s="80" t="n"/>
      <c r="J287" s="81" t="n"/>
      <c r="K287" s="82" t="n"/>
      <c r="L287" s="45" t="n"/>
      <c r="M287" s="48" t="n"/>
      <c r="N287" s="83" t="n"/>
      <c r="O287" s="84" t="n"/>
      <c r="P287" s="85" t="n"/>
      <c r="Q287" s="83" t="n"/>
    </row>
    <row r="288" ht="16.5" customHeight="1" s="186">
      <c r="B288" s="61" t="n"/>
      <c r="C288" s="62" t="n"/>
      <c r="D288" s="63" t="n"/>
      <c r="E288" s="64" t="n"/>
      <c r="F288" s="65" t="n"/>
      <c r="G288" s="66" t="n"/>
      <c r="H288" s="67" t="n"/>
      <c r="I288" s="68" t="n"/>
      <c r="J288" s="69" t="n"/>
      <c r="K288" s="70" t="n"/>
      <c r="L288" s="36" t="n"/>
      <c r="M288" s="39" t="n"/>
      <c r="N288" s="71" t="n"/>
      <c r="O288" s="72" t="n"/>
      <c r="P288" s="73" t="n"/>
      <c r="Q288" s="71" t="n"/>
    </row>
    <row r="289" ht="16.5" customHeight="1" s="186">
      <c r="B289" s="61" t="n"/>
      <c r="C289" s="74" t="n"/>
      <c r="D289" s="75" t="n"/>
      <c r="E289" s="76" t="n"/>
      <c r="F289" s="77" t="n"/>
      <c r="G289" s="78" t="n"/>
      <c r="H289" s="79" t="n"/>
      <c r="I289" s="80" t="n"/>
      <c r="J289" s="81" t="n"/>
      <c r="K289" s="82" t="n"/>
      <c r="L289" s="45" t="n"/>
      <c r="M289" s="48" t="n"/>
      <c r="N289" s="83" t="n"/>
      <c r="O289" s="84" t="n"/>
      <c r="P289" s="85" t="n"/>
      <c r="Q289" s="83" t="n"/>
    </row>
    <row r="290" ht="16.5" customHeight="1" s="186">
      <c r="B290" s="61" t="n"/>
      <c r="C290" s="62" t="n"/>
      <c r="D290" s="63" t="n"/>
      <c r="E290" s="64" t="n"/>
      <c r="F290" s="65" t="n"/>
      <c r="G290" s="66" t="n"/>
      <c r="H290" s="67" t="n"/>
      <c r="I290" s="68" t="n"/>
      <c r="J290" s="69" t="n"/>
      <c r="K290" s="70" t="n"/>
      <c r="L290" s="36" t="n"/>
      <c r="M290" s="39" t="n"/>
      <c r="N290" s="71" t="n"/>
      <c r="O290" s="72" t="n"/>
      <c r="P290" s="73" t="n"/>
      <c r="Q290" s="71" t="n"/>
    </row>
    <row r="291" ht="16.5" customHeight="1" s="186">
      <c r="B291" s="61" t="n"/>
      <c r="C291" s="74" t="n"/>
      <c r="D291" s="75" t="n"/>
      <c r="E291" s="76" t="n"/>
      <c r="F291" s="77" t="n"/>
      <c r="G291" s="78" t="n"/>
      <c r="H291" s="79" t="n"/>
      <c r="I291" s="80" t="n"/>
      <c r="J291" s="81" t="n"/>
      <c r="K291" s="82" t="n"/>
      <c r="L291" s="45" t="n"/>
      <c r="M291" s="48" t="n"/>
      <c r="N291" s="83" t="n"/>
      <c r="O291" s="84" t="n"/>
      <c r="P291" s="85" t="n"/>
      <c r="Q291" s="83" t="n"/>
    </row>
    <row r="292" ht="16.5" customHeight="1" s="186">
      <c r="B292" s="61" t="n"/>
      <c r="C292" s="62" t="n"/>
      <c r="D292" s="63" t="n"/>
      <c r="E292" s="64" t="n"/>
      <c r="F292" s="65" t="n"/>
      <c r="G292" s="66" t="n"/>
      <c r="H292" s="67" t="n"/>
      <c r="I292" s="68" t="n"/>
      <c r="J292" s="69" t="n"/>
      <c r="K292" s="70" t="n"/>
      <c r="L292" s="36" t="n"/>
      <c r="M292" s="39" t="n"/>
      <c r="N292" s="71" t="n"/>
      <c r="O292" s="72" t="n"/>
      <c r="P292" s="73" t="n"/>
      <c r="Q292" s="71" t="n"/>
    </row>
    <row r="293" ht="16.5" customHeight="1" s="186">
      <c r="B293" s="61" t="n"/>
      <c r="C293" s="74" t="n"/>
      <c r="D293" s="75" t="n"/>
      <c r="E293" s="76" t="n"/>
      <c r="F293" s="77" t="n"/>
      <c r="G293" s="78" t="n"/>
      <c r="H293" s="79" t="n"/>
      <c r="I293" s="80" t="n"/>
      <c r="J293" s="81" t="n"/>
      <c r="K293" s="82" t="n"/>
      <c r="L293" s="45" t="n"/>
      <c r="M293" s="48" t="n"/>
      <c r="N293" s="83" t="n"/>
      <c r="O293" s="84" t="n"/>
      <c r="P293" s="85" t="n"/>
      <c r="Q293" s="83" t="n"/>
    </row>
    <row r="294" ht="16.5" customHeight="1" s="186">
      <c r="B294" s="61" t="n"/>
      <c r="C294" s="62" t="n"/>
      <c r="D294" s="63" t="n"/>
      <c r="E294" s="64" t="n"/>
      <c r="F294" s="65" t="n"/>
      <c r="G294" s="66" t="n"/>
      <c r="H294" s="67" t="n"/>
      <c r="I294" s="68" t="n"/>
      <c r="J294" s="69" t="n"/>
      <c r="K294" s="70" t="n"/>
      <c r="L294" s="36" t="n"/>
      <c r="M294" s="39" t="n"/>
      <c r="N294" s="71" t="n"/>
      <c r="O294" s="72" t="n"/>
      <c r="P294" s="73" t="n"/>
      <c r="Q294" s="71" t="n"/>
    </row>
    <row r="295" ht="16.5" customHeight="1" s="186">
      <c r="B295" s="61" t="n"/>
      <c r="C295" s="74" t="n"/>
      <c r="D295" s="75" t="n"/>
      <c r="E295" s="76" t="n"/>
      <c r="F295" s="77" t="n"/>
      <c r="G295" s="78" t="n"/>
      <c r="H295" s="79" t="n"/>
      <c r="I295" s="80" t="n"/>
      <c r="J295" s="81" t="n"/>
      <c r="K295" s="82" t="n"/>
      <c r="L295" s="45" t="n"/>
      <c r="M295" s="48" t="n"/>
      <c r="N295" s="83" t="n"/>
      <c r="O295" s="84" t="n"/>
      <c r="P295" s="85" t="n"/>
      <c r="Q295" s="83" t="n"/>
    </row>
    <row r="296" ht="16.5" customHeight="1" s="186">
      <c r="B296" s="61" t="n"/>
      <c r="C296" s="62" t="n"/>
      <c r="D296" s="63" t="n"/>
      <c r="E296" s="64" t="n"/>
      <c r="F296" s="65" t="n"/>
      <c r="G296" s="66" t="n"/>
      <c r="H296" s="67" t="n"/>
      <c r="I296" s="68" t="n"/>
      <c r="J296" s="69" t="n"/>
      <c r="K296" s="70" t="n"/>
      <c r="L296" s="36" t="n"/>
      <c r="M296" s="39" t="n"/>
      <c r="N296" s="71" t="n"/>
      <c r="O296" s="72" t="n"/>
      <c r="P296" s="73" t="n"/>
      <c r="Q296" s="71" t="n"/>
    </row>
    <row r="297" ht="16.5" customHeight="1" s="186">
      <c r="B297" s="61" t="n"/>
      <c r="C297" s="74" t="n"/>
      <c r="D297" s="75" t="n"/>
      <c r="E297" s="76" t="n"/>
      <c r="F297" s="77" t="n"/>
      <c r="G297" s="78" t="n"/>
      <c r="H297" s="79" t="n"/>
      <c r="I297" s="80" t="n"/>
      <c r="J297" s="81" t="n"/>
      <c r="K297" s="82" t="n"/>
      <c r="L297" s="45" t="n"/>
      <c r="M297" s="48" t="n"/>
      <c r="N297" s="83" t="n"/>
      <c r="O297" s="84" t="n"/>
      <c r="P297" s="85" t="n"/>
      <c r="Q297" s="83" t="n"/>
    </row>
    <row r="298" ht="16.5" customHeight="1" s="186">
      <c r="B298" s="61" t="n"/>
      <c r="C298" s="62" t="n"/>
      <c r="D298" s="63" t="n"/>
      <c r="E298" s="64" t="n"/>
      <c r="F298" s="65" t="n"/>
      <c r="G298" s="66" t="n"/>
      <c r="H298" s="67" t="n"/>
      <c r="I298" s="68" t="n"/>
      <c r="J298" s="69" t="n"/>
      <c r="K298" s="70" t="n"/>
      <c r="L298" s="36" t="n"/>
      <c r="M298" s="39" t="n"/>
      <c r="N298" s="71" t="n"/>
      <c r="O298" s="72" t="n"/>
      <c r="P298" s="73" t="n"/>
      <c r="Q298" s="71" t="n"/>
    </row>
    <row r="299" ht="16.5" customHeight="1" s="186">
      <c r="B299" s="61" t="n"/>
      <c r="C299" s="74" t="n"/>
      <c r="D299" s="75" t="n"/>
      <c r="E299" s="76" t="n"/>
      <c r="F299" s="77" t="n"/>
      <c r="G299" s="78" t="n"/>
      <c r="H299" s="79" t="n"/>
      <c r="I299" s="80" t="n"/>
      <c r="J299" s="81" t="n"/>
      <c r="K299" s="82" t="n"/>
      <c r="L299" s="45" t="n"/>
      <c r="M299" s="48" t="n"/>
      <c r="N299" s="83" t="n"/>
      <c r="O299" s="84" t="n"/>
      <c r="P299" s="85" t="n"/>
      <c r="Q299" s="83" t="n"/>
    </row>
    <row r="300" ht="16.5" customHeight="1" s="186">
      <c r="B300" s="61" t="n"/>
      <c r="C300" s="62" t="n"/>
      <c r="D300" s="63" t="n"/>
      <c r="E300" s="64" t="n"/>
      <c r="F300" s="65" t="n"/>
      <c r="G300" s="66" t="n"/>
      <c r="H300" s="67" t="n"/>
      <c r="I300" s="68" t="n"/>
      <c r="J300" s="69" t="n"/>
      <c r="K300" s="70" t="n"/>
      <c r="L300" s="36" t="n"/>
      <c r="M300" s="39" t="n"/>
      <c r="N300" s="71" t="n"/>
      <c r="O300" s="72" t="n"/>
      <c r="P300" s="73" t="n"/>
      <c r="Q300" s="71" t="n"/>
    </row>
    <row r="301" ht="16.5" customHeight="1" s="186">
      <c r="B301" s="61" t="n"/>
      <c r="C301" s="74" t="n"/>
      <c r="D301" s="75" t="n"/>
      <c r="E301" s="76" t="n"/>
      <c r="F301" s="77" t="n"/>
      <c r="G301" s="78" t="n"/>
      <c r="H301" s="79" t="n"/>
      <c r="I301" s="80" t="n"/>
      <c r="J301" s="81" t="n"/>
      <c r="K301" s="82" t="n"/>
      <c r="L301" s="45" t="n"/>
      <c r="M301" s="48" t="n"/>
      <c r="N301" s="83" t="n"/>
      <c r="O301" s="84" t="n"/>
      <c r="P301" s="85" t="n"/>
      <c r="Q301" s="83" t="n"/>
    </row>
    <row r="302" ht="16.5" customHeight="1" s="186">
      <c r="B302" s="61" t="n"/>
      <c r="C302" s="62" t="n"/>
      <c r="D302" s="63" t="n"/>
      <c r="E302" s="64" t="n"/>
      <c r="F302" s="65" t="n"/>
      <c r="G302" s="66" t="n"/>
      <c r="H302" s="67" t="n"/>
      <c r="I302" s="68" t="n"/>
      <c r="J302" s="69" t="n"/>
      <c r="K302" s="70" t="n"/>
      <c r="L302" s="36" t="n"/>
      <c r="M302" s="39" t="n"/>
      <c r="N302" s="71" t="n"/>
      <c r="O302" s="72" t="n"/>
      <c r="P302" s="73" t="n"/>
      <c r="Q302" s="71" t="n"/>
    </row>
    <row r="303" ht="16.5" customHeight="1" s="186">
      <c r="B303" s="61" t="n"/>
      <c r="C303" s="74" t="n"/>
      <c r="D303" s="75" t="n"/>
      <c r="E303" s="76" t="n"/>
      <c r="F303" s="77" t="n"/>
      <c r="G303" s="78" t="n"/>
      <c r="H303" s="79" t="n"/>
      <c r="I303" s="80" t="n"/>
      <c r="J303" s="81" t="n"/>
      <c r="K303" s="82" t="n"/>
      <c r="L303" s="45" t="n"/>
      <c r="M303" s="48" t="n"/>
      <c r="N303" s="83" t="n"/>
      <c r="O303" s="84" t="n"/>
      <c r="P303" s="85" t="n"/>
      <c r="Q303" s="83" t="n"/>
    </row>
    <row r="304" ht="16.5" customHeight="1" s="186">
      <c r="B304" s="61" t="n"/>
      <c r="C304" s="62" t="n"/>
      <c r="D304" s="63" t="n"/>
      <c r="E304" s="64" t="n"/>
      <c r="F304" s="65" t="n"/>
      <c r="G304" s="66" t="n"/>
      <c r="H304" s="67" t="n"/>
      <c r="I304" s="68" t="n"/>
      <c r="J304" s="69" t="n"/>
      <c r="K304" s="70" t="n"/>
      <c r="L304" s="36" t="n"/>
      <c r="M304" s="39" t="n"/>
      <c r="N304" s="71" t="n"/>
      <c r="O304" s="72" t="n"/>
      <c r="P304" s="73" t="n"/>
      <c r="Q304" s="71" t="n"/>
    </row>
    <row r="305" ht="16.5" customHeight="1" s="186">
      <c r="B305" s="61" t="n"/>
      <c r="C305" s="74" t="n"/>
      <c r="D305" s="75" t="n"/>
      <c r="E305" s="76" t="n"/>
      <c r="F305" s="77" t="n"/>
      <c r="G305" s="78" t="n"/>
      <c r="H305" s="79" t="n"/>
      <c r="I305" s="80" t="n"/>
      <c r="J305" s="81" t="n"/>
      <c r="K305" s="82" t="n"/>
      <c r="L305" s="45" t="n"/>
      <c r="M305" s="48" t="n"/>
      <c r="N305" s="83" t="n"/>
      <c r="O305" s="84" t="n"/>
      <c r="P305" s="85" t="n"/>
      <c r="Q305" s="83" t="n"/>
    </row>
    <row r="306" ht="16.5" customHeight="1" s="186">
      <c r="B306" s="61" t="n"/>
      <c r="C306" s="62" t="n"/>
      <c r="D306" s="63" t="n"/>
      <c r="E306" s="64" t="n"/>
      <c r="F306" s="65" t="n"/>
      <c r="G306" s="66" t="n"/>
      <c r="H306" s="67" t="n"/>
      <c r="I306" s="68" t="n"/>
      <c r="J306" s="69" t="n"/>
      <c r="K306" s="70" t="n"/>
      <c r="L306" s="36" t="n"/>
      <c r="M306" s="39" t="n"/>
      <c r="N306" s="71" t="n"/>
      <c r="O306" s="72" t="n"/>
      <c r="P306" s="73" t="n"/>
      <c r="Q306" s="71" t="n"/>
    </row>
    <row r="307" ht="16.5" customHeight="1" s="186">
      <c r="B307" s="61" t="n"/>
      <c r="C307" s="74" t="n"/>
      <c r="D307" s="75" t="n"/>
      <c r="E307" s="76" t="n"/>
      <c r="F307" s="77" t="n"/>
      <c r="G307" s="78" t="n"/>
      <c r="H307" s="79" t="n"/>
      <c r="I307" s="80" t="n"/>
      <c r="J307" s="81" t="n"/>
      <c r="K307" s="82" t="n"/>
      <c r="L307" s="45" t="n"/>
      <c r="M307" s="48" t="n"/>
      <c r="N307" s="83" t="n"/>
      <c r="O307" s="84" t="n"/>
      <c r="P307" s="85" t="n"/>
      <c r="Q307" s="83" t="n"/>
    </row>
    <row r="308" ht="16.5" customHeight="1" s="186">
      <c r="B308" s="61" t="n"/>
      <c r="C308" s="62" t="n"/>
      <c r="D308" s="63" t="n"/>
      <c r="E308" s="64" t="n"/>
      <c r="F308" s="65" t="n"/>
      <c r="G308" s="66" t="n"/>
      <c r="H308" s="67" t="n"/>
      <c r="I308" s="68" t="n"/>
      <c r="J308" s="69" t="n"/>
      <c r="K308" s="70" t="n"/>
      <c r="L308" s="36" t="n"/>
      <c r="M308" s="39" t="n"/>
      <c r="N308" s="71" t="n"/>
      <c r="O308" s="72" t="n"/>
      <c r="P308" s="73" t="n"/>
      <c r="Q308" s="71" t="n"/>
    </row>
    <row r="309" ht="16.5" customHeight="1" s="186">
      <c r="B309" s="61" t="n"/>
      <c r="C309" s="74" t="n"/>
      <c r="D309" s="75" t="n"/>
      <c r="E309" s="76" t="n"/>
      <c r="F309" s="77" t="n"/>
      <c r="G309" s="78" t="n"/>
      <c r="H309" s="79" t="n"/>
      <c r="I309" s="80" t="n"/>
      <c r="J309" s="81" t="n"/>
      <c r="K309" s="82" t="n"/>
      <c r="L309" s="45" t="n"/>
      <c r="M309" s="48" t="n"/>
      <c r="N309" s="83" t="n"/>
      <c r="O309" s="84" t="n"/>
      <c r="P309" s="85" t="n"/>
      <c r="Q309" s="83" t="n"/>
    </row>
    <row r="310" ht="16.5" customHeight="1" s="186">
      <c r="B310" s="61" t="n"/>
      <c r="C310" s="62" t="n"/>
      <c r="D310" s="63" t="n"/>
      <c r="E310" s="64" t="n"/>
      <c r="F310" s="65" t="n"/>
      <c r="G310" s="66" t="n"/>
      <c r="H310" s="67" t="n"/>
      <c r="I310" s="68" t="n"/>
      <c r="J310" s="69" t="n"/>
      <c r="K310" s="70" t="n"/>
      <c r="L310" s="36" t="n"/>
      <c r="M310" s="39" t="n"/>
      <c r="N310" s="71" t="n"/>
      <c r="O310" s="72" t="n"/>
      <c r="P310" s="73" t="n"/>
      <c r="Q310" s="71" t="n"/>
    </row>
    <row r="311" ht="16.5" customHeight="1" s="186">
      <c r="B311" s="61" t="n"/>
      <c r="C311" s="74" t="n"/>
      <c r="D311" s="75" t="n"/>
      <c r="E311" s="76" t="n"/>
      <c r="F311" s="77" t="n"/>
      <c r="G311" s="78" t="n"/>
      <c r="H311" s="79" t="n"/>
      <c r="I311" s="80" t="n"/>
      <c r="J311" s="81" t="n"/>
      <c r="K311" s="82" t="n"/>
      <c r="L311" s="45" t="n"/>
      <c r="M311" s="48" t="n"/>
      <c r="N311" s="83" t="n"/>
      <c r="O311" s="84" t="n"/>
      <c r="P311" s="85" t="n"/>
      <c r="Q311" s="83" t="n"/>
    </row>
    <row r="312" ht="16.5" customHeight="1" s="186">
      <c r="B312" s="61" t="n"/>
      <c r="C312" s="62" t="n"/>
      <c r="D312" s="63" t="n"/>
      <c r="E312" s="64" t="n"/>
      <c r="F312" s="65" t="n"/>
      <c r="G312" s="66" t="n"/>
      <c r="H312" s="67" t="n"/>
      <c r="I312" s="68" t="n"/>
      <c r="J312" s="69" t="n"/>
      <c r="K312" s="70" t="n"/>
      <c r="L312" s="36" t="n"/>
      <c r="M312" s="39" t="n"/>
      <c r="N312" s="71" t="n"/>
      <c r="O312" s="72" t="n"/>
      <c r="P312" s="73" t="n"/>
      <c r="Q312" s="71" t="n"/>
    </row>
    <row r="313" ht="16.5" customHeight="1" s="186">
      <c r="B313" s="61" t="n"/>
      <c r="C313" s="74" t="n"/>
      <c r="D313" s="75" t="n"/>
      <c r="E313" s="76" t="n"/>
      <c r="F313" s="77" t="n"/>
      <c r="G313" s="78" t="n"/>
      <c r="H313" s="79" t="n"/>
      <c r="I313" s="80" t="n"/>
      <c r="J313" s="81" t="n"/>
      <c r="K313" s="82" t="n"/>
      <c r="L313" s="45" t="n"/>
      <c r="M313" s="48" t="n"/>
      <c r="N313" s="83" t="n"/>
      <c r="O313" s="84" t="n"/>
      <c r="P313" s="85" t="n"/>
      <c r="Q313" s="83" t="n"/>
    </row>
    <row r="314" ht="16.5" customHeight="1" s="186">
      <c r="B314" s="61" t="n"/>
      <c r="C314" s="62" t="n"/>
      <c r="D314" s="63" t="n"/>
      <c r="E314" s="64" t="n"/>
      <c r="F314" s="65" t="n"/>
      <c r="G314" s="66" t="n"/>
      <c r="H314" s="67" t="n"/>
      <c r="I314" s="68" t="n"/>
      <c r="J314" s="69" t="n"/>
      <c r="K314" s="70" t="n"/>
      <c r="L314" s="36" t="n"/>
      <c r="M314" s="39" t="n"/>
      <c r="N314" s="71" t="n"/>
      <c r="O314" s="72" t="n"/>
      <c r="P314" s="73" t="n"/>
      <c r="Q314" s="71" t="n"/>
    </row>
    <row r="315" ht="16.5" customHeight="1" s="186">
      <c r="B315" s="61" t="n"/>
      <c r="C315" s="74" t="n"/>
      <c r="D315" s="75" t="n"/>
      <c r="E315" s="76" t="n"/>
      <c r="F315" s="77" t="n"/>
      <c r="G315" s="78" t="n"/>
      <c r="H315" s="79" t="n"/>
      <c r="I315" s="80" t="n"/>
      <c r="J315" s="81" t="n"/>
      <c r="K315" s="82" t="n"/>
      <c r="L315" s="45" t="n"/>
      <c r="M315" s="48" t="n"/>
      <c r="N315" s="83" t="n"/>
      <c r="O315" s="84" t="n"/>
      <c r="P315" s="85" t="n"/>
      <c r="Q315" s="83" t="n"/>
    </row>
    <row r="316" ht="16.5" customHeight="1" s="186">
      <c r="B316" s="61" t="n"/>
      <c r="C316" s="62" t="n"/>
      <c r="D316" s="63" t="n"/>
      <c r="E316" s="64" t="n"/>
      <c r="F316" s="65" t="n"/>
      <c r="G316" s="66" t="n"/>
      <c r="H316" s="67" t="n"/>
      <c r="I316" s="68" t="n"/>
      <c r="J316" s="69" t="n"/>
      <c r="K316" s="70" t="n"/>
      <c r="L316" s="36" t="n"/>
      <c r="M316" s="39" t="n"/>
      <c r="N316" s="71" t="n"/>
      <c r="O316" s="72" t="n"/>
      <c r="P316" s="73" t="n"/>
      <c r="Q316" s="71" t="n"/>
    </row>
    <row r="317" ht="16.5" customHeight="1" s="186">
      <c r="B317" s="61" t="n"/>
      <c r="C317" s="74" t="n"/>
      <c r="D317" s="75" t="n"/>
      <c r="E317" s="76" t="n"/>
      <c r="F317" s="77" t="n"/>
      <c r="G317" s="78" t="n"/>
      <c r="H317" s="79" t="n"/>
      <c r="I317" s="80" t="n"/>
      <c r="J317" s="81" t="n"/>
      <c r="K317" s="82" t="n"/>
      <c r="L317" s="45" t="n"/>
      <c r="M317" s="48" t="n"/>
      <c r="N317" s="83" t="n"/>
      <c r="O317" s="84" t="n"/>
      <c r="P317" s="85" t="n"/>
      <c r="Q317" s="83" t="n"/>
    </row>
    <row r="318" ht="16.5" customHeight="1" s="186">
      <c r="B318" s="61" t="n"/>
      <c r="C318" s="62" t="n"/>
      <c r="D318" s="63" t="n"/>
      <c r="E318" s="64" t="n"/>
      <c r="F318" s="65" t="n"/>
      <c r="G318" s="66" t="n"/>
      <c r="H318" s="67" t="n"/>
      <c r="I318" s="68" t="n"/>
      <c r="J318" s="69" t="n"/>
      <c r="K318" s="70" t="n"/>
      <c r="L318" s="36" t="n"/>
      <c r="M318" s="39" t="n"/>
      <c r="N318" s="71" t="n"/>
      <c r="O318" s="72" t="n"/>
      <c r="P318" s="73" t="n"/>
      <c r="Q318" s="71" t="n"/>
    </row>
    <row r="319" ht="16.5" customHeight="1" s="186">
      <c r="B319" s="61" t="n"/>
      <c r="C319" s="74" t="n"/>
      <c r="D319" s="75" t="n"/>
      <c r="E319" s="76" t="n"/>
      <c r="F319" s="77" t="n"/>
      <c r="G319" s="78" t="n"/>
      <c r="H319" s="79" t="n"/>
      <c r="I319" s="80" t="n"/>
      <c r="J319" s="81" t="n"/>
      <c r="K319" s="82" t="n"/>
      <c r="L319" s="45" t="n"/>
      <c r="M319" s="48" t="n"/>
      <c r="N319" s="83" t="n"/>
      <c r="O319" s="84" t="n"/>
      <c r="P319" s="85" t="n"/>
      <c r="Q319" s="83" t="n"/>
    </row>
    <row r="320" ht="16.5" customHeight="1" s="186">
      <c r="B320" s="61" t="n"/>
      <c r="C320" s="62" t="n"/>
      <c r="D320" s="63" t="n"/>
      <c r="E320" s="64" t="n"/>
      <c r="F320" s="65" t="n"/>
      <c r="G320" s="66" t="n"/>
      <c r="H320" s="67" t="n"/>
      <c r="I320" s="68" t="n"/>
      <c r="J320" s="69" t="n"/>
      <c r="K320" s="70" t="n"/>
      <c r="L320" s="36" t="n"/>
      <c r="M320" s="39" t="n"/>
      <c r="N320" s="71" t="n"/>
      <c r="O320" s="72" t="n"/>
      <c r="P320" s="73" t="n"/>
      <c r="Q320" s="71" t="n"/>
    </row>
    <row r="321" ht="16.5" customHeight="1" s="186">
      <c r="B321" s="61" t="n"/>
      <c r="C321" s="74" t="n"/>
      <c r="D321" s="75" t="n"/>
      <c r="E321" s="76" t="n"/>
      <c r="F321" s="77" t="n"/>
      <c r="G321" s="78" t="n"/>
      <c r="H321" s="79" t="n"/>
      <c r="I321" s="80" t="n"/>
      <c r="J321" s="81" t="n"/>
      <c r="K321" s="82" t="n"/>
      <c r="L321" s="45" t="n"/>
      <c r="M321" s="48" t="n"/>
      <c r="N321" s="83" t="n"/>
      <c r="O321" s="84" t="n"/>
      <c r="P321" s="85" t="n"/>
      <c r="Q321" s="83" t="n"/>
    </row>
    <row r="322" ht="16.5" customHeight="1" s="186">
      <c r="B322" s="61" t="n"/>
      <c r="C322" s="62" t="n"/>
      <c r="D322" s="63" t="n"/>
      <c r="E322" s="64" t="n"/>
      <c r="F322" s="65" t="n"/>
      <c r="G322" s="66" t="n"/>
      <c r="H322" s="67" t="n"/>
      <c r="I322" s="68" t="n"/>
      <c r="J322" s="69" t="n"/>
      <c r="K322" s="70" t="n"/>
      <c r="L322" s="36" t="n"/>
      <c r="M322" s="39" t="n"/>
      <c r="N322" s="71" t="n"/>
      <c r="O322" s="72" t="n"/>
      <c r="P322" s="73" t="n"/>
      <c r="Q322" s="71" t="n"/>
    </row>
    <row r="323" ht="16.5" customHeight="1" s="186">
      <c r="B323" s="61" t="n"/>
      <c r="C323" s="74" t="n"/>
      <c r="D323" s="75" t="n"/>
      <c r="E323" s="76" t="n"/>
      <c r="F323" s="77" t="n"/>
      <c r="G323" s="78" t="n"/>
      <c r="H323" s="79" t="n"/>
      <c r="I323" s="80" t="n"/>
      <c r="J323" s="81" t="n"/>
      <c r="K323" s="82" t="n"/>
      <c r="L323" s="45" t="n"/>
      <c r="M323" s="48" t="n"/>
      <c r="N323" s="83" t="n"/>
      <c r="O323" s="84" t="n"/>
      <c r="P323" s="85" t="n"/>
      <c r="Q323" s="83" t="n"/>
    </row>
    <row r="324" ht="16.5" customHeight="1" s="186">
      <c r="B324" s="61" t="n"/>
      <c r="C324" s="62" t="n"/>
      <c r="D324" s="63" t="n"/>
      <c r="E324" s="64" t="n"/>
      <c r="F324" s="65" t="n"/>
      <c r="G324" s="66" t="n"/>
      <c r="H324" s="67" t="n"/>
      <c r="I324" s="68" t="n"/>
      <c r="J324" s="69" t="n"/>
      <c r="K324" s="70" t="n"/>
      <c r="L324" s="36" t="n"/>
      <c r="M324" s="39" t="n"/>
      <c r="N324" s="71" t="n"/>
      <c r="O324" s="72" t="n"/>
      <c r="P324" s="73" t="n"/>
      <c r="Q324" s="71" t="n"/>
    </row>
    <row r="325" ht="16.5" customHeight="1" s="186">
      <c r="B325" s="61" t="n"/>
      <c r="C325" s="74" t="n"/>
      <c r="D325" s="75" t="n"/>
      <c r="E325" s="76" t="n"/>
      <c r="F325" s="77" t="n"/>
      <c r="G325" s="78" t="n"/>
      <c r="H325" s="79" t="n"/>
      <c r="I325" s="80" t="n"/>
      <c r="J325" s="81" t="n"/>
      <c r="K325" s="82" t="n"/>
      <c r="L325" s="45" t="n"/>
      <c r="M325" s="48" t="n"/>
      <c r="N325" s="83" t="n"/>
      <c r="O325" s="84" t="n"/>
      <c r="P325" s="85" t="n"/>
      <c r="Q325" s="83" t="n"/>
    </row>
    <row r="326" ht="16.5" customHeight="1" s="186">
      <c r="B326" s="61" t="n"/>
      <c r="C326" s="62" t="n"/>
      <c r="D326" s="63" t="n"/>
      <c r="E326" s="64" t="n"/>
      <c r="F326" s="65" t="n"/>
      <c r="G326" s="66" t="n"/>
      <c r="H326" s="67" t="n"/>
      <c r="I326" s="68" t="n"/>
      <c r="J326" s="69" t="n"/>
      <c r="K326" s="70" t="n"/>
      <c r="L326" s="36" t="n"/>
      <c r="M326" s="39" t="n"/>
      <c r="N326" s="71" t="n"/>
      <c r="O326" s="72" t="n"/>
      <c r="P326" s="73" t="n"/>
      <c r="Q326" s="71" t="n"/>
    </row>
    <row r="327" ht="16.5" customHeight="1" s="186">
      <c r="B327" s="61" t="n"/>
      <c r="C327" s="74" t="n"/>
      <c r="D327" s="75" t="n"/>
      <c r="E327" s="76" t="n"/>
      <c r="F327" s="77" t="n"/>
      <c r="G327" s="78" t="n"/>
      <c r="H327" s="79" t="n"/>
      <c r="I327" s="80" t="n"/>
      <c r="J327" s="81" t="n"/>
      <c r="K327" s="82" t="n"/>
      <c r="L327" s="45" t="n"/>
      <c r="M327" s="48" t="n"/>
      <c r="N327" s="83" t="n"/>
      <c r="O327" s="84" t="n"/>
      <c r="P327" s="85" t="n"/>
      <c r="Q327" s="83" t="n"/>
    </row>
    <row r="328" ht="16.5" customHeight="1" s="186">
      <c r="B328" s="61" t="n"/>
      <c r="C328" s="62" t="n"/>
      <c r="D328" s="63" t="n"/>
      <c r="E328" s="64" t="n"/>
      <c r="F328" s="65" t="n"/>
      <c r="G328" s="66" t="n"/>
      <c r="H328" s="67" t="n"/>
      <c r="I328" s="68" t="n"/>
      <c r="J328" s="69" t="n"/>
      <c r="K328" s="70" t="n"/>
      <c r="L328" s="36" t="n"/>
      <c r="M328" s="39" t="n"/>
      <c r="N328" s="71" t="n"/>
      <c r="O328" s="72" t="n"/>
      <c r="P328" s="73" t="n"/>
      <c r="Q328" s="71" t="n"/>
    </row>
    <row r="329" ht="16.5" customHeight="1" s="186">
      <c r="B329" s="61" t="n"/>
      <c r="C329" s="74" t="n"/>
      <c r="D329" s="75" t="n"/>
      <c r="E329" s="76" t="n"/>
      <c r="F329" s="77" t="n"/>
      <c r="G329" s="78" t="n"/>
      <c r="H329" s="79" t="n"/>
      <c r="I329" s="80" t="n"/>
      <c r="J329" s="81" t="n"/>
      <c r="K329" s="82" t="n"/>
      <c r="L329" s="45" t="n"/>
      <c r="M329" s="48" t="n"/>
      <c r="N329" s="83" t="n"/>
      <c r="O329" s="84" t="n"/>
      <c r="P329" s="85" t="n"/>
      <c r="Q329" s="83" t="n"/>
    </row>
    <row r="330" ht="16.5" customHeight="1" s="186">
      <c r="B330" s="61" t="n"/>
      <c r="C330" s="62" t="n"/>
      <c r="D330" s="63" t="n"/>
      <c r="E330" s="64" t="n"/>
      <c r="F330" s="65" t="n"/>
      <c r="G330" s="66" t="n"/>
      <c r="H330" s="67" t="n"/>
      <c r="I330" s="68" t="n"/>
      <c r="J330" s="69" t="n"/>
      <c r="K330" s="70" t="n"/>
      <c r="L330" s="36" t="n"/>
      <c r="M330" s="39" t="n"/>
      <c r="N330" s="71" t="n"/>
      <c r="O330" s="72" t="n"/>
      <c r="P330" s="73" t="n"/>
      <c r="Q330" s="71" t="n"/>
    </row>
    <row r="331" ht="16.5" customHeight="1" s="186">
      <c r="B331" s="61" t="n"/>
      <c r="C331" s="74" t="n"/>
      <c r="D331" s="75" t="n"/>
      <c r="E331" s="76" t="n"/>
      <c r="F331" s="77" t="n"/>
      <c r="G331" s="78" t="n"/>
      <c r="H331" s="79" t="n"/>
      <c r="I331" s="80" t="n"/>
      <c r="J331" s="81" t="n"/>
      <c r="K331" s="82" t="n"/>
      <c r="L331" s="45" t="n"/>
      <c r="M331" s="48" t="n"/>
      <c r="N331" s="83" t="n"/>
      <c r="O331" s="84" t="n"/>
      <c r="P331" s="85" t="n"/>
      <c r="Q331" s="83" t="n"/>
    </row>
    <row r="332" ht="16.5" customHeight="1" s="186">
      <c r="B332" s="61" t="n"/>
      <c r="C332" s="62" t="n"/>
      <c r="D332" s="63" t="n"/>
      <c r="E332" s="64" t="n"/>
      <c r="F332" s="65" t="n"/>
      <c r="G332" s="66" t="n"/>
      <c r="H332" s="67" t="n"/>
      <c r="I332" s="68" t="n"/>
      <c r="J332" s="69" t="n"/>
      <c r="K332" s="70" t="n"/>
      <c r="L332" s="36" t="n"/>
      <c r="M332" s="39" t="n"/>
      <c r="N332" s="71" t="n"/>
      <c r="O332" s="72" t="n"/>
      <c r="P332" s="73" t="n"/>
      <c r="Q332" s="71" t="n"/>
    </row>
    <row r="333" ht="16.5" customHeight="1" s="186">
      <c r="B333" s="61" t="n"/>
      <c r="C333" s="74" t="n"/>
      <c r="D333" s="75" t="n"/>
      <c r="E333" s="76" t="n"/>
      <c r="F333" s="77" t="n"/>
      <c r="G333" s="78" t="n"/>
      <c r="H333" s="79" t="n"/>
      <c r="I333" s="80" t="n"/>
      <c r="J333" s="81" t="n"/>
      <c r="K333" s="82" t="n"/>
      <c r="L333" s="45" t="n"/>
      <c r="M333" s="48" t="n"/>
      <c r="N333" s="83" t="n"/>
      <c r="O333" s="84" t="n"/>
      <c r="P333" s="85" t="n"/>
      <c r="Q333" s="83" t="n"/>
    </row>
    <row r="334" ht="16.5" customHeight="1" s="186">
      <c r="B334" s="61" t="n"/>
      <c r="C334" s="62" t="n"/>
      <c r="D334" s="63" t="n"/>
      <c r="E334" s="64" t="n"/>
      <c r="F334" s="65" t="n"/>
      <c r="G334" s="66" t="n"/>
      <c r="H334" s="67" t="n"/>
      <c r="I334" s="68" t="n"/>
      <c r="J334" s="69" t="n"/>
      <c r="K334" s="70" t="n"/>
      <c r="L334" s="36" t="n"/>
      <c r="M334" s="39" t="n"/>
      <c r="N334" s="71" t="n"/>
      <c r="O334" s="72" t="n"/>
      <c r="P334" s="73" t="n"/>
      <c r="Q334" s="71" t="n"/>
    </row>
    <row r="335" ht="16.5" customHeight="1" s="186">
      <c r="B335" s="61" t="n"/>
      <c r="C335" s="74" t="n"/>
      <c r="D335" s="75" t="n"/>
      <c r="E335" s="76" t="n"/>
      <c r="F335" s="77" t="n"/>
      <c r="G335" s="78" t="n"/>
      <c r="H335" s="79" t="n"/>
      <c r="I335" s="80" t="n"/>
      <c r="J335" s="81" t="n"/>
      <c r="K335" s="82" t="n"/>
      <c r="L335" s="45" t="n"/>
      <c r="M335" s="48" t="n"/>
      <c r="N335" s="83" t="n"/>
      <c r="O335" s="84" t="n"/>
      <c r="P335" s="85" t="n"/>
      <c r="Q335" s="83" t="n"/>
    </row>
    <row r="336" ht="16.5" customHeight="1" s="186">
      <c r="B336" s="61" t="n"/>
      <c r="C336" s="62" t="n"/>
      <c r="D336" s="63" t="n"/>
      <c r="E336" s="64" t="n"/>
      <c r="F336" s="65" t="n"/>
      <c r="G336" s="66" t="n"/>
      <c r="H336" s="67" t="n"/>
      <c r="I336" s="68" t="n"/>
      <c r="J336" s="69" t="n"/>
      <c r="K336" s="70" t="n"/>
      <c r="L336" s="36" t="n"/>
      <c r="M336" s="39" t="n"/>
      <c r="N336" s="71" t="n"/>
      <c r="O336" s="72" t="n"/>
      <c r="P336" s="73" t="n"/>
      <c r="Q336" s="71" t="n"/>
    </row>
    <row r="337" ht="16.5" customHeight="1" s="186">
      <c r="B337" s="61" t="n"/>
      <c r="C337" s="74" t="n"/>
      <c r="D337" s="75" t="n"/>
      <c r="E337" s="76" t="n"/>
      <c r="F337" s="77" t="n"/>
      <c r="G337" s="78" t="n"/>
      <c r="H337" s="79" t="n"/>
      <c r="I337" s="80" t="n"/>
      <c r="J337" s="81" t="n"/>
      <c r="K337" s="82" t="n"/>
      <c r="L337" s="45" t="n"/>
      <c r="M337" s="48" t="n"/>
      <c r="N337" s="83" t="n"/>
      <c r="O337" s="84" t="n"/>
      <c r="P337" s="85" t="n"/>
      <c r="Q337" s="83" t="n"/>
    </row>
    <row r="338" ht="16.5" customHeight="1" s="186">
      <c r="B338" s="61" t="n"/>
      <c r="C338" s="62" t="n"/>
      <c r="D338" s="63" t="n"/>
      <c r="E338" s="64" t="n"/>
      <c r="F338" s="65" t="n"/>
      <c r="G338" s="66" t="n"/>
      <c r="H338" s="67" t="n"/>
      <c r="I338" s="68" t="n"/>
      <c r="J338" s="69" t="n"/>
      <c r="K338" s="70" t="n"/>
      <c r="L338" s="36" t="n"/>
      <c r="M338" s="39" t="n"/>
      <c r="N338" s="71" t="n"/>
      <c r="O338" s="72" t="n"/>
      <c r="P338" s="73" t="n"/>
      <c r="Q338" s="71" t="n"/>
    </row>
    <row r="339" ht="16.5" customHeight="1" s="186">
      <c r="B339" s="61" t="n"/>
      <c r="C339" s="74" t="n"/>
      <c r="D339" s="75" t="n"/>
      <c r="E339" s="76" t="n"/>
      <c r="F339" s="77" t="n"/>
      <c r="G339" s="78" t="n"/>
      <c r="H339" s="79" t="n"/>
      <c r="I339" s="80" t="n"/>
      <c r="J339" s="81" t="n"/>
      <c r="K339" s="82" t="n"/>
      <c r="L339" s="45" t="n"/>
      <c r="M339" s="48" t="n"/>
      <c r="N339" s="83" t="n"/>
      <c r="O339" s="84" t="n"/>
      <c r="P339" s="85" t="n"/>
      <c r="Q339" s="83" t="n"/>
    </row>
    <row r="340" ht="16.5" customHeight="1" s="186">
      <c r="B340" s="61" t="n"/>
      <c r="C340" s="62" t="n"/>
      <c r="D340" s="63" t="n"/>
      <c r="E340" s="64" t="n"/>
      <c r="F340" s="65" t="n"/>
      <c r="G340" s="66" t="n"/>
      <c r="H340" s="67" t="n"/>
      <c r="I340" s="68" t="n"/>
      <c r="J340" s="69" t="n"/>
      <c r="K340" s="70" t="n"/>
      <c r="L340" s="36" t="n"/>
      <c r="M340" s="39" t="n"/>
      <c r="N340" s="71" t="n"/>
      <c r="O340" s="72" t="n"/>
      <c r="P340" s="73" t="n"/>
      <c r="Q340" s="71" t="n"/>
    </row>
    <row r="341" ht="16.5" customHeight="1" s="186">
      <c r="B341" s="61" t="n"/>
      <c r="C341" s="74" t="n"/>
      <c r="D341" s="75" t="n"/>
      <c r="E341" s="76" t="n"/>
      <c r="F341" s="77" t="n"/>
      <c r="G341" s="78" t="n"/>
      <c r="H341" s="79" t="n"/>
      <c r="I341" s="80" t="n"/>
      <c r="J341" s="81" t="n"/>
      <c r="K341" s="82" t="n"/>
      <c r="L341" s="45" t="n"/>
      <c r="M341" s="48" t="n"/>
      <c r="N341" s="83" t="n"/>
      <c r="O341" s="84" t="n"/>
      <c r="P341" s="85" t="n"/>
      <c r="Q341" s="83" t="n"/>
    </row>
    <row r="342" ht="16.5" customHeight="1" s="186">
      <c r="B342" s="61" t="n"/>
      <c r="C342" s="62" t="n"/>
      <c r="D342" s="63" t="n"/>
      <c r="E342" s="64" t="n"/>
      <c r="F342" s="65" t="n"/>
      <c r="G342" s="66" t="n"/>
      <c r="H342" s="67" t="n"/>
      <c r="I342" s="68" t="n"/>
      <c r="J342" s="69" t="n"/>
      <c r="K342" s="70" t="n"/>
      <c r="L342" s="36" t="n"/>
      <c r="M342" s="39" t="n"/>
      <c r="N342" s="71" t="n"/>
      <c r="O342" s="72" t="n"/>
      <c r="P342" s="73" t="n"/>
      <c r="Q342" s="71" t="n"/>
    </row>
    <row r="343" ht="16.5" customHeight="1" s="186">
      <c r="B343" s="61" t="n"/>
      <c r="C343" s="74" t="n"/>
      <c r="D343" s="75" t="n"/>
      <c r="E343" s="76" t="n"/>
      <c r="F343" s="77" t="n"/>
      <c r="G343" s="78" t="n"/>
      <c r="H343" s="79" t="n"/>
      <c r="I343" s="80" t="n"/>
      <c r="J343" s="81" t="n"/>
      <c r="K343" s="82" t="n"/>
      <c r="L343" s="45" t="n"/>
      <c r="M343" s="48" t="n"/>
      <c r="N343" s="83" t="n"/>
      <c r="O343" s="84" t="n"/>
      <c r="P343" s="85" t="n"/>
      <c r="Q343" s="83" t="n"/>
    </row>
    <row r="344" ht="16.5" customHeight="1" s="186">
      <c r="B344" s="61" t="n"/>
      <c r="C344" s="62" t="n"/>
      <c r="D344" s="63" t="n"/>
      <c r="E344" s="64" t="n"/>
      <c r="F344" s="65" t="n"/>
      <c r="G344" s="66" t="n"/>
      <c r="H344" s="67" t="n"/>
      <c r="I344" s="68" t="n"/>
      <c r="J344" s="69" t="n"/>
      <c r="K344" s="70" t="n"/>
      <c r="L344" s="36" t="n"/>
      <c r="M344" s="39" t="n"/>
      <c r="N344" s="71" t="n"/>
      <c r="O344" s="72" t="n"/>
      <c r="P344" s="73" t="n"/>
      <c r="Q344" s="71" t="n"/>
    </row>
    <row r="345" ht="16.5" customHeight="1" s="186">
      <c r="B345" s="61" t="n"/>
      <c r="C345" s="74" t="n"/>
      <c r="D345" s="75" t="n"/>
      <c r="E345" s="76" t="n"/>
      <c r="F345" s="77" t="n"/>
      <c r="G345" s="78" t="n"/>
      <c r="H345" s="79" t="n"/>
      <c r="I345" s="80" t="n"/>
      <c r="J345" s="81" t="n"/>
      <c r="K345" s="82" t="n"/>
      <c r="L345" s="45" t="n"/>
      <c r="M345" s="48" t="n"/>
      <c r="N345" s="83" t="n"/>
      <c r="O345" s="84" t="n"/>
      <c r="P345" s="85" t="n"/>
      <c r="Q345" s="83" t="n"/>
    </row>
    <row r="346" ht="16.5" customHeight="1" s="186">
      <c r="B346" s="61" t="n"/>
      <c r="C346" s="62" t="n"/>
      <c r="D346" s="63" t="n"/>
      <c r="E346" s="64" t="n"/>
      <c r="F346" s="65" t="n"/>
      <c r="G346" s="66" t="n"/>
      <c r="H346" s="67" t="n"/>
      <c r="I346" s="68" t="n"/>
      <c r="J346" s="69" t="n"/>
      <c r="K346" s="70" t="n"/>
      <c r="L346" s="36" t="n"/>
      <c r="M346" s="39" t="n"/>
      <c r="N346" s="71" t="n"/>
      <c r="O346" s="72" t="n"/>
      <c r="P346" s="73" t="n"/>
      <c r="Q346" s="71" t="n"/>
    </row>
    <row r="347" ht="16.5" customHeight="1" s="186">
      <c r="B347" s="61" t="n"/>
      <c r="C347" s="74" t="n"/>
      <c r="D347" s="75" t="n"/>
      <c r="E347" s="76" t="n"/>
      <c r="F347" s="77" t="n"/>
      <c r="G347" s="78" t="n"/>
      <c r="H347" s="79" t="n"/>
      <c r="I347" s="80" t="n"/>
      <c r="J347" s="81" t="n"/>
      <c r="K347" s="82" t="n"/>
      <c r="L347" s="45" t="n"/>
      <c r="M347" s="48" t="n"/>
      <c r="N347" s="83" t="n"/>
      <c r="O347" s="84" t="n"/>
      <c r="P347" s="85" t="n"/>
      <c r="Q347" s="83" t="n"/>
    </row>
    <row r="348" ht="16.5" customHeight="1" s="186">
      <c r="B348" s="61" t="n"/>
      <c r="C348" s="62" t="n"/>
      <c r="D348" s="63" t="n"/>
      <c r="E348" s="64" t="n"/>
      <c r="F348" s="65" t="n"/>
      <c r="G348" s="66" t="n"/>
      <c r="H348" s="67" t="n"/>
      <c r="I348" s="68" t="n"/>
      <c r="J348" s="69" t="n"/>
      <c r="K348" s="70" t="n"/>
      <c r="L348" s="36" t="n"/>
      <c r="M348" s="39" t="n"/>
      <c r="N348" s="71" t="n"/>
      <c r="O348" s="72" t="n"/>
      <c r="P348" s="73" t="n"/>
      <c r="Q348" s="71" t="n"/>
    </row>
    <row r="349" ht="16.5" customHeight="1" s="186">
      <c r="B349" s="61" t="n"/>
      <c r="C349" s="74" t="n"/>
      <c r="D349" s="75" t="n"/>
      <c r="E349" s="76" t="n"/>
      <c r="F349" s="77" t="n"/>
      <c r="G349" s="78" t="n"/>
      <c r="H349" s="79" t="n"/>
      <c r="I349" s="80" t="n"/>
      <c r="J349" s="81" t="n"/>
      <c r="K349" s="82" t="n"/>
      <c r="L349" s="45" t="n"/>
      <c r="M349" s="48" t="n"/>
      <c r="N349" s="83" t="n"/>
      <c r="O349" s="84" t="n"/>
      <c r="P349" s="85" t="n"/>
      <c r="Q349" s="83" t="n"/>
    </row>
    <row r="350" ht="16.5" customHeight="1" s="186">
      <c r="B350" s="61" t="n"/>
      <c r="C350" s="62" t="n"/>
      <c r="D350" s="63" t="n"/>
      <c r="E350" s="64" t="n"/>
      <c r="F350" s="65" t="n"/>
      <c r="G350" s="66" t="n"/>
      <c r="H350" s="67" t="n"/>
      <c r="I350" s="68" t="n"/>
      <c r="J350" s="69" t="n"/>
      <c r="K350" s="70" t="n"/>
      <c r="L350" s="36" t="n"/>
      <c r="M350" s="39" t="n"/>
      <c r="N350" s="71" t="n"/>
      <c r="O350" s="72" t="n"/>
      <c r="P350" s="73" t="n"/>
      <c r="Q350" s="71" t="n"/>
    </row>
    <row r="351" ht="16.5" customHeight="1" s="186">
      <c r="B351" s="61" t="n"/>
      <c r="C351" s="74" t="n"/>
      <c r="D351" s="75" t="n"/>
      <c r="E351" s="76" t="n"/>
      <c r="F351" s="77" t="n"/>
      <c r="G351" s="78" t="n"/>
      <c r="H351" s="79" t="n"/>
      <c r="I351" s="80" t="n"/>
      <c r="J351" s="81" t="n"/>
      <c r="K351" s="82" t="n"/>
      <c r="L351" s="45" t="n"/>
      <c r="M351" s="48" t="n"/>
      <c r="N351" s="83" t="n"/>
      <c r="O351" s="84" t="n"/>
      <c r="P351" s="85" t="n"/>
      <c r="Q351" s="83" t="n"/>
    </row>
    <row r="352" ht="16.5" customHeight="1" s="186">
      <c r="B352" s="61" t="n"/>
      <c r="C352" s="62" t="n"/>
      <c r="D352" s="63" t="n"/>
      <c r="E352" s="64" t="n"/>
      <c r="F352" s="65" t="n"/>
      <c r="G352" s="66" t="n"/>
      <c r="H352" s="67" t="n"/>
      <c r="I352" s="68" t="n"/>
      <c r="J352" s="69" t="n"/>
      <c r="K352" s="70" t="n"/>
      <c r="L352" s="36" t="n"/>
      <c r="M352" s="39" t="n"/>
      <c r="N352" s="71" t="n"/>
      <c r="O352" s="72" t="n"/>
      <c r="P352" s="73" t="n"/>
      <c r="Q352" s="71" t="n"/>
    </row>
    <row r="353" ht="16.5" customHeight="1" s="186">
      <c r="B353" s="61" t="n"/>
      <c r="C353" s="74" t="n"/>
      <c r="D353" s="75" t="n"/>
      <c r="E353" s="76" t="n"/>
      <c r="F353" s="77" t="n"/>
      <c r="G353" s="78" t="n"/>
      <c r="H353" s="79" t="n"/>
      <c r="I353" s="80" t="n"/>
      <c r="J353" s="81" t="n"/>
      <c r="K353" s="82" t="n"/>
      <c r="L353" s="45" t="n"/>
      <c r="M353" s="48" t="n"/>
      <c r="N353" s="83" t="n"/>
      <c r="O353" s="84" t="n"/>
      <c r="P353" s="85" t="n"/>
      <c r="Q353" s="83" t="n"/>
    </row>
    <row r="354" ht="16.5" customHeight="1" s="186">
      <c r="B354" s="61" t="n"/>
      <c r="C354" s="62" t="n"/>
      <c r="D354" s="63" t="n"/>
      <c r="E354" s="64" t="n"/>
      <c r="F354" s="65" t="n"/>
      <c r="G354" s="66" t="n"/>
      <c r="H354" s="67" t="n"/>
      <c r="I354" s="68" t="n"/>
      <c r="J354" s="69" t="n"/>
      <c r="K354" s="70" t="n"/>
      <c r="L354" s="36" t="n"/>
      <c r="M354" s="39" t="n"/>
      <c r="N354" s="71" t="n"/>
      <c r="O354" s="72" t="n"/>
      <c r="P354" s="73" t="n"/>
      <c r="Q354" s="71" t="n"/>
    </row>
    <row r="355" ht="16.5" customHeight="1" s="186">
      <c r="B355" s="61" t="n"/>
      <c r="C355" s="74" t="n"/>
      <c r="D355" s="75" t="n"/>
      <c r="E355" s="76" t="n"/>
      <c r="F355" s="77" t="n"/>
      <c r="G355" s="78" t="n"/>
      <c r="H355" s="79" t="n"/>
      <c r="I355" s="80" t="n"/>
      <c r="J355" s="81" t="n"/>
      <c r="K355" s="82" t="n"/>
      <c r="L355" s="45" t="n"/>
      <c r="M355" s="48" t="n"/>
      <c r="N355" s="83" t="n"/>
      <c r="O355" s="84" t="n"/>
      <c r="P355" s="85" t="n"/>
      <c r="Q355" s="83" t="n"/>
    </row>
    <row r="356" ht="16.5" customHeight="1" s="186">
      <c r="B356" s="61" t="n"/>
      <c r="C356" s="62" t="n"/>
      <c r="D356" s="63" t="n"/>
      <c r="E356" s="64" t="n"/>
      <c r="F356" s="65" t="n"/>
      <c r="G356" s="66" t="n"/>
      <c r="H356" s="67" t="n"/>
      <c r="I356" s="68" t="n"/>
      <c r="J356" s="69" t="n"/>
      <c r="K356" s="70" t="n"/>
      <c r="L356" s="36" t="n"/>
      <c r="M356" s="39" t="n"/>
      <c r="N356" s="71" t="n"/>
      <c r="O356" s="72" t="n"/>
      <c r="P356" s="73" t="n"/>
      <c r="Q356" s="71" t="n"/>
    </row>
    <row r="357" ht="16.5" customHeight="1" s="186">
      <c r="B357" s="61" t="n"/>
      <c r="C357" s="74" t="n"/>
      <c r="D357" s="75" t="n"/>
      <c r="E357" s="76" t="n"/>
      <c r="F357" s="77" t="n"/>
      <c r="G357" s="78" t="n"/>
      <c r="H357" s="79" t="n"/>
      <c r="I357" s="80" t="n"/>
      <c r="J357" s="81" t="n"/>
      <c r="K357" s="82" t="n"/>
      <c r="L357" s="45" t="n"/>
      <c r="M357" s="48" t="n"/>
      <c r="N357" s="83" t="n"/>
      <c r="O357" s="84" t="n"/>
      <c r="P357" s="85" t="n"/>
      <c r="Q357" s="83" t="n"/>
    </row>
    <row r="358" ht="16.5" customHeight="1" s="186">
      <c r="B358" s="61" t="n"/>
      <c r="C358" s="62" t="n"/>
      <c r="D358" s="63" t="n"/>
      <c r="E358" s="64" t="n"/>
      <c r="F358" s="65" t="n"/>
      <c r="G358" s="66" t="n"/>
      <c r="H358" s="67" t="n"/>
      <c r="I358" s="68" t="n"/>
      <c r="J358" s="69" t="n"/>
      <c r="K358" s="70" t="n"/>
      <c r="L358" s="36" t="n"/>
      <c r="M358" s="39" t="n"/>
      <c r="N358" s="71" t="n"/>
      <c r="O358" s="72" t="n"/>
      <c r="P358" s="73" t="n"/>
      <c r="Q358" s="71" t="n"/>
    </row>
    <row r="359" ht="16.5" customHeight="1" s="186">
      <c r="B359" s="61" t="n"/>
      <c r="C359" s="74" t="n"/>
      <c r="D359" s="75" t="n"/>
      <c r="E359" s="76" t="n"/>
      <c r="F359" s="77" t="n"/>
      <c r="G359" s="78" t="n"/>
      <c r="H359" s="79" t="n"/>
      <c r="I359" s="80" t="n"/>
      <c r="J359" s="81" t="n"/>
      <c r="K359" s="82" t="n"/>
      <c r="L359" s="45" t="n"/>
      <c r="M359" s="48" t="n"/>
      <c r="N359" s="83" t="n"/>
      <c r="O359" s="84" t="n"/>
      <c r="P359" s="85" t="n"/>
      <c r="Q359" s="83" t="n"/>
    </row>
    <row r="360" ht="16.5" customHeight="1" s="186">
      <c r="B360" s="61" t="n"/>
      <c r="C360" s="62" t="n"/>
      <c r="D360" s="63" t="n"/>
      <c r="E360" s="64" t="n"/>
      <c r="F360" s="65" t="n"/>
      <c r="G360" s="66" t="n"/>
      <c r="H360" s="67" t="n"/>
      <c r="I360" s="68" t="n"/>
      <c r="J360" s="69" t="n"/>
      <c r="K360" s="70" t="n"/>
      <c r="L360" s="36" t="n"/>
      <c r="M360" s="39" t="n"/>
      <c r="N360" s="71" t="n"/>
      <c r="O360" s="72" t="n"/>
      <c r="P360" s="73" t="n"/>
      <c r="Q360" s="71" t="n"/>
    </row>
    <row r="361" ht="16.5" customHeight="1" s="186">
      <c r="B361" s="61" t="n"/>
      <c r="C361" s="74" t="n"/>
      <c r="D361" s="75" t="n"/>
      <c r="E361" s="76" t="n"/>
      <c r="F361" s="77" t="n"/>
      <c r="G361" s="78" t="n"/>
      <c r="H361" s="79" t="n"/>
      <c r="I361" s="80" t="n"/>
      <c r="J361" s="81" t="n"/>
      <c r="K361" s="82" t="n"/>
      <c r="L361" s="45" t="n"/>
      <c r="M361" s="48" t="n"/>
      <c r="N361" s="83" t="n"/>
      <c r="O361" s="84" t="n"/>
      <c r="P361" s="85" t="n"/>
      <c r="Q361" s="83" t="n"/>
    </row>
    <row r="362" ht="16.5" customHeight="1" s="186">
      <c r="B362" s="61" t="n"/>
      <c r="C362" s="62" t="n"/>
      <c r="D362" s="63" t="n"/>
      <c r="E362" s="64" t="n"/>
      <c r="F362" s="65" t="n"/>
      <c r="G362" s="66" t="n"/>
      <c r="H362" s="67" t="n"/>
      <c r="I362" s="68" t="n"/>
      <c r="J362" s="69" t="n"/>
      <c r="K362" s="70" t="n"/>
      <c r="L362" s="36" t="n"/>
      <c r="M362" s="39" t="n"/>
      <c r="N362" s="71" t="n"/>
      <c r="O362" s="72" t="n"/>
      <c r="P362" s="73" t="n"/>
      <c r="Q362" s="71" t="n"/>
    </row>
    <row r="363" ht="16.5" customHeight="1" s="186">
      <c r="B363" s="61" t="n"/>
      <c r="C363" s="74" t="n"/>
      <c r="D363" s="75" t="n"/>
      <c r="E363" s="76" t="n"/>
      <c r="F363" s="77" t="n"/>
      <c r="G363" s="78" t="n"/>
      <c r="H363" s="79" t="n"/>
      <c r="I363" s="80" t="n"/>
      <c r="J363" s="81" t="n"/>
      <c r="K363" s="82" t="n"/>
      <c r="L363" s="45" t="n"/>
      <c r="M363" s="48" t="n"/>
      <c r="N363" s="83" t="n"/>
      <c r="O363" s="84" t="n"/>
      <c r="P363" s="85" t="n"/>
      <c r="Q363" s="83" t="n"/>
    </row>
    <row r="364" ht="16.5" customHeight="1" s="186">
      <c r="B364" s="61" t="n"/>
      <c r="C364" s="62" t="n"/>
      <c r="D364" s="63" t="n"/>
      <c r="E364" s="64" t="n"/>
      <c r="F364" s="65" t="n"/>
      <c r="G364" s="66" t="n"/>
      <c r="H364" s="67" t="n"/>
      <c r="I364" s="68" t="n"/>
      <c r="J364" s="69" t="n"/>
      <c r="K364" s="70" t="n"/>
      <c r="L364" s="36" t="n"/>
      <c r="M364" s="39" t="n"/>
      <c r="N364" s="71" t="n"/>
      <c r="O364" s="72" t="n"/>
      <c r="P364" s="73" t="n"/>
      <c r="Q364" s="71" t="n"/>
    </row>
    <row r="365" ht="16.5" customHeight="1" s="186">
      <c r="B365" s="61" t="n"/>
      <c r="C365" s="74" t="n"/>
      <c r="D365" s="75" t="n"/>
      <c r="E365" s="76" t="n"/>
      <c r="F365" s="77" t="n"/>
      <c r="G365" s="78" t="n"/>
      <c r="H365" s="79" t="n"/>
      <c r="I365" s="80" t="n"/>
      <c r="J365" s="81" t="n"/>
      <c r="K365" s="82" t="n"/>
      <c r="L365" s="45" t="n"/>
      <c r="M365" s="48" t="n"/>
      <c r="N365" s="83" t="n"/>
      <c r="O365" s="84" t="n"/>
      <c r="P365" s="85" t="n"/>
      <c r="Q365" s="83" t="n"/>
    </row>
    <row r="366" ht="16.5" customHeight="1" s="186">
      <c r="B366" s="61" t="n"/>
      <c r="C366" s="62" t="n"/>
      <c r="D366" s="63" t="n"/>
      <c r="E366" s="64" t="n"/>
      <c r="F366" s="65" t="n"/>
      <c r="G366" s="66" t="n"/>
      <c r="H366" s="67" t="n"/>
      <c r="I366" s="68" t="n"/>
      <c r="J366" s="69" t="n"/>
      <c r="K366" s="70" t="n"/>
      <c r="L366" s="36" t="n"/>
      <c r="M366" s="39" t="n"/>
      <c r="N366" s="71" t="n"/>
      <c r="O366" s="72" t="n"/>
      <c r="P366" s="73" t="n"/>
      <c r="Q366" s="71" t="n"/>
    </row>
    <row r="367" ht="16.5" customHeight="1" s="186">
      <c r="B367" s="61" t="n"/>
      <c r="C367" s="74" t="n"/>
      <c r="D367" s="75" t="n"/>
      <c r="E367" s="76" t="n"/>
      <c r="F367" s="77" t="n"/>
      <c r="G367" s="78" t="n"/>
      <c r="H367" s="79" t="n"/>
      <c r="I367" s="80" t="n"/>
      <c r="J367" s="81" t="n"/>
      <c r="K367" s="82" t="n"/>
      <c r="L367" s="45" t="n"/>
      <c r="M367" s="48" t="n"/>
      <c r="N367" s="83" t="n"/>
      <c r="O367" s="84" t="n"/>
      <c r="P367" s="85" t="n"/>
      <c r="Q367" s="83" t="n"/>
    </row>
    <row r="368" ht="16.5" customHeight="1" s="186">
      <c r="B368" s="61" t="n"/>
      <c r="C368" s="62" t="n"/>
      <c r="D368" s="63" t="n"/>
      <c r="E368" s="64" t="n"/>
      <c r="F368" s="65" t="n"/>
      <c r="G368" s="66" t="n"/>
      <c r="H368" s="67" t="n"/>
      <c r="I368" s="68" t="n"/>
      <c r="J368" s="69" t="n"/>
      <c r="K368" s="70" t="n"/>
      <c r="L368" s="36" t="n"/>
      <c r="M368" s="39" t="n"/>
      <c r="N368" s="71" t="n"/>
      <c r="O368" s="72" t="n"/>
      <c r="P368" s="73" t="n"/>
      <c r="Q368" s="71" t="n"/>
    </row>
    <row r="369" ht="16.5" customHeight="1" s="186">
      <c r="B369" s="61" t="n"/>
      <c r="C369" s="74" t="n"/>
      <c r="D369" s="75" t="n"/>
      <c r="E369" s="76" t="n"/>
      <c r="F369" s="77" t="n"/>
      <c r="G369" s="78" t="n"/>
      <c r="H369" s="79" t="n"/>
      <c r="I369" s="80" t="n"/>
      <c r="J369" s="81" t="n"/>
      <c r="K369" s="82" t="n"/>
      <c r="L369" s="45" t="n"/>
      <c r="M369" s="48" t="n"/>
      <c r="N369" s="83" t="n"/>
      <c r="O369" s="84" t="n"/>
      <c r="P369" s="85" t="n"/>
      <c r="Q369" s="83" t="n"/>
    </row>
    <row r="370" ht="16.5" customHeight="1" s="186">
      <c r="B370" s="61" t="n"/>
      <c r="C370" s="62" t="n"/>
      <c r="D370" s="63" t="n"/>
      <c r="E370" s="64" t="n"/>
      <c r="F370" s="65" t="n"/>
      <c r="G370" s="66" t="n"/>
      <c r="H370" s="67" t="n"/>
      <c r="I370" s="68" t="n"/>
      <c r="J370" s="69" t="n"/>
      <c r="K370" s="70" t="n"/>
      <c r="L370" s="36" t="n"/>
      <c r="M370" s="39" t="n"/>
      <c r="N370" s="71" t="n"/>
      <c r="O370" s="72" t="n"/>
      <c r="P370" s="73" t="n"/>
      <c r="Q370" s="71" t="n"/>
    </row>
    <row r="371" ht="16.5" customHeight="1" s="186">
      <c r="B371" s="61" t="n"/>
      <c r="C371" s="74" t="n"/>
      <c r="D371" s="75" t="n"/>
      <c r="E371" s="76" t="n"/>
      <c r="F371" s="77" t="n"/>
      <c r="G371" s="78" t="n"/>
      <c r="H371" s="79" t="n"/>
      <c r="I371" s="80" t="n"/>
      <c r="J371" s="81" t="n"/>
      <c r="K371" s="82" t="n"/>
      <c r="L371" s="45" t="n"/>
      <c r="M371" s="48" t="n"/>
      <c r="N371" s="83" t="n"/>
      <c r="O371" s="84" t="n"/>
      <c r="P371" s="85" t="n"/>
      <c r="Q371" s="83" t="n"/>
    </row>
    <row r="372" ht="16.5" customHeight="1" s="186">
      <c r="B372" s="61" t="n"/>
      <c r="C372" s="62" t="n"/>
      <c r="D372" s="63" t="n"/>
      <c r="E372" s="64" t="n"/>
      <c r="F372" s="65" t="n"/>
      <c r="G372" s="66" t="n"/>
      <c r="H372" s="67" t="n"/>
      <c r="I372" s="68" t="n"/>
      <c r="J372" s="69" t="n"/>
      <c r="K372" s="70" t="n"/>
      <c r="L372" s="36" t="n"/>
      <c r="M372" s="39" t="n"/>
      <c r="N372" s="71" t="n"/>
      <c r="O372" s="72" t="n"/>
      <c r="P372" s="73" t="n"/>
      <c r="Q372" s="71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81"/>
  <sheetViews>
    <sheetView showGridLines="0" zoomScaleNormal="100" workbookViewId="0">
      <pane ySplit="7" topLeftCell="A43" activePane="bottomLeft" state="frozen"/>
      <selection pane="bottomLeft" activeCell="F8" sqref="F8:F61"/>
    </sheetView>
  </sheetViews>
  <sheetFormatPr baseColWidth="8" defaultColWidth="8.6640625" defaultRowHeight="14.4" customHeight="1"/>
  <cols>
    <col width="4" customWidth="1" style="186" min="1" max="1"/>
    <col width="14" customWidth="1" style="186" min="2" max="2"/>
    <col width="24" customWidth="1" style="186" min="3" max="3"/>
    <col width="22" customWidth="1" style="186" min="4" max="4"/>
    <col width="19.77734375" customWidth="1" style="186" min="5" max="5"/>
    <col width="16" customWidth="1" style="186" min="6" max="6"/>
    <col width="14" customWidth="1" style="186" min="7" max="7"/>
    <col width="16" customWidth="1" style="186" min="8" max="8"/>
    <col width="18" customWidth="1" style="186" min="9" max="9"/>
  </cols>
  <sheetData>
    <row r="1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24.6" customHeight="1" s="186">
      <c r="A2" s="187" t="inlineStr">
        <is>
          <t>💸  LOKA — EXPENSES TRACKER</t>
        </is>
      </c>
      <c r="E2" s="185" t="inlineStr">
        <is>
          <t>Log every cost: ingredients, staff, utilities, supplies…</t>
        </is>
      </c>
    </row>
    <row r="3">
      <c r="A3" s="190" t="n"/>
    </row>
    <row r="5">
      <c r="B5" s="86" t="inlineStr">
        <is>
          <t>TODAY</t>
        </is>
      </c>
      <c r="C5" s="86" t="inlineStr">
        <is>
          <t>THIS WEEK</t>
        </is>
      </c>
      <c r="D5" s="86" t="inlineStr">
        <is>
          <t>THIS MONTH</t>
        </is>
      </c>
      <c r="E5" s="86" t="inlineStr">
        <is>
          <t>INGREDIENTS</t>
        </is>
      </c>
      <c r="F5" s="86" t="inlineStr">
        <is>
          <t>STAFF</t>
        </is>
      </c>
      <c r="G5" s="86" t="inlineStr">
        <is>
          <t>UTILITIES</t>
        </is>
      </c>
      <c r="H5" s="86" t="inlineStr">
        <is>
          <t>TODAY TOTAL</t>
        </is>
      </c>
      <c r="I5" s="86" t="inlineStr">
        <is>
          <t>WEEK TOTAL</t>
        </is>
      </c>
    </row>
    <row r="6" ht="15.6" customHeight="1" s="186">
      <c r="B6" s="87">
        <f>SUMIFS($F$8:$F$500,$B$8:$B$500,TODAY())</f>
        <v/>
      </c>
      <c r="C6" s="88">
        <f>SUMIFS($F$8:$F$500,$B$8:$B$500,"&gt;="&amp;(TODAY()-WEEKDAY(TODAY(),2)+1),$B$8:$B$500,"&lt;="&amp;(TODAY()-WEEKDAY(TODAY(),2)+7))</f>
        <v/>
      </c>
      <c r="D6" s="89">
        <f>SUMIFS($F$8:$F$500,$B$8:$B$500,"&gt;="&amp;DATE(YEAR(TODAY()),MONTH(TODAY()),1),$B$8:$B$500,"&lt;"&amp;DATE(YEAR(TODAY()),MONTH(TODAY())+1,1))</f>
        <v/>
      </c>
      <c r="E6" s="88">
        <f>SUMIF($E$8:$E$500,"Ingredients*",$F$8:$F$500)</f>
        <v/>
      </c>
      <c r="F6" s="90">
        <f>SUMIF($E$8:$E$500,"Staff*",$F$8:$F$500)</f>
        <v/>
      </c>
      <c r="G6" s="89">
        <f>SUMIF($E$8:$E$500,"Supplies*",$F$8:$F$500)+SUMIF($E$8:$E$500,"Utilities*",$F$8:$F$500)</f>
        <v/>
      </c>
      <c r="H6" s="87">
        <f>SUMIFS($F$8:$F$500,$B$8:$B$500,TODAY())</f>
        <v/>
      </c>
      <c r="I6" s="87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91" t="n">
        <v>46160</v>
      </c>
      <c r="C8" s="92" t="inlineStr">
        <is>
          <t>Carne</t>
        </is>
      </c>
      <c r="D8" s="93" t="inlineStr">
        <is>
          <t>—</t>
        </is>
      </c>
      <c r="E8" s="92" t="inlineStr">
        <is>
          <t>Ingredients - Meat</t>
        </is>
      </c>
      <c r="F8" s="94" t="n">
        <v>420</v>
      </c>
      <c r="G8" s="41" t="inlineStr">
        <is>
          <t>Restaurant</t>
        </is>
      </c>
      <c r="H8" s="41" t="inlineStr">
        <is>
          <t>Cash</t>
        </is>
      </c>
      <c r="I8" s="70" t="inlineStr">
        <is>
          <t>✅ Paid</t>
        </is>
      </c>
    </row>
    <row r="9">
      <c r="B9" s="91" t="n">
        <v>46160</v>
      </c>
      <c r="C9" s="92" t="inlineStr">
        <is>
          <t>Basicos</t>
        </is>
      </c>
      <c r="D9" s="93" t="inlineStr">
        <is>
          <t>—</t>
        </is>
      </c>
      <c r="E9" s="92" t="inlineStr">
        <is>
          <t>Ingredients - Pantry</t>
        </is>
      </c>
      <c r="F9" s="94" t="n">
        <v>1068</v>
      </c>
      <c r="G9" s="41" t="inlineStr">
        <is>
          <t>Restaurant</t>
        </is>
      </c>
      <c r="H9" s="41" t="inlineStr">
        <is>
          <t>Cash</t>
        </is>
      </c>
      <c r="I9" s="70" t="inlineStr">
        <is>
          <t>✅ Paid</t>
        </is>
      </c>
    </row>
    <row r="10">
      <c r="B10" s="91" t="n">
        <v>46160</v>
      </c>
      <c r="C10" s="92" t="inlineStr">
        <is>
          <t>Real Pan Services</t>
        </is>
      </c>
      <c r="D10" s="95" t="inlineStr">
        <is>
          <t>Real Pan</t>
        </is>
      </c>
      <c r="E10" s="96" t="inlineStr">
        <is>
          <t>Ingredients - Bread</t>
        </is>
      </c>
      <c r="F10" s="97" t="n">
        <v>522</v>
      </c>
      <c r="G10" s="50" t="inlineStr">
        <is>
          <t>Restaurant</t>
        </is>
      </c>
      <c r="H10" s="50" t="inlineStr">
        <is>
          <t>Cash</t>
        </is>
      </c>
      <c r="I10" s="82" t="inlineStr">
        <is>
          <t>✅ Paid</t>
        </is>
      </c>
    </row>
    <row r="11">
      <c r="B11" s="91" t="n">
        <v>46160</v>
      </c>
      <c r="C11" s="92" t="inlineStr">
        <is>
          <t>Chedruai</t>
        </is>
      </c>
      <c r="D11" s="93" t="inlineStr">
        <is>
          <t>Chedraui</t>
        </is>
      </c>
      <c r="E11" s="92" t="inlineStr">
        <is>
          <t>Supermarket / General</t>
        </is>
      </c>
      <c r="F11" s="94" t="n">
        <v>129</v>
      </c>
      <c r="G11" s="41" t="inlineStr">
        <is>
          <t>Restaurant</t>
        </is>
      </c>
      <c r="H11" s="41" t="inlineStr">
        <is>
          <t>Cash</t>
        </is>
      </c>
      <c r="I11" s="70" t="inlineStr">
        <is>
          <t>✅ Paid</t>
        </is>
      </c>
    </row>
    <row r="12">
      <c r="B12" s="91" t="n">
        <v>46160</v>
      </c>
      <c r="C12" s="96" t="inlineStr">
        <is>
          <t>Vegetables</t>
        </is>
      </c>
      <c r="D12" s="95" t="inlineStr">
        <is>
          <t>Abastos</t>
        </is>
      </c>
      <c r="E12" s="96" t="inlineStr">
        <is>
          <t>Ingredients - Vegetables</t>
        </is>
      </c>
      <c r="F12" s="97" t="n">
        <v>400</v>
      </c>
      <c r="G12" s="50" t="inlineStr">
        <is>
          <t>Restaurant</t>
        </is>
      </c>
      <c r="H12" s="50" t="inlineStr">
        <is>
          <t>Cash</t>
        </is>
      </c>
      <c r="I12" s="82" t="inlineStr">
        <is>
          <t>✅ Paid</t>
        </is>
      </c>
    </row>
    <row r="13">
      <c r="B13" s="91" t="n">
        <v>46160</v>
      </c>
      <c r="C13" s="92" t="inlineStr">
        <is>
          <t>Vegetables</t>
        </is>
      </c>
      <c r="D13" s="93" t="inlineStr">
        <is>
          <t>—</t>
        </is>
      </c>
      <c r="E13" s="92" t="inlineStr">
        <is>
          <t>Ingredients - Vegetables</t>
        </is>
      </c>
      <c r="F13" s="94" t="n">
        <v>90</v>
      </c>
      <c r="G13" s="41" t="inlineStr">
        <is>
          <t>Restaurant</t>
        </is>
      </c>
      <c r="H13" s="41" t="inlineStr">
        <is>
          <t>Cash</t>
        </is>
      </c>
      <c r="I13" s="70" t="inlineStr">
        <is>
          <t>✅ Paid</t>
        </is>
      </c>
    </row>
    <row r="14">
      <c r="B14" s="91" t="n">
        <v>46161</v>
      </c>
      <c r="C14" s="96" t="inlineStr">
        <is>
          <t>Arroz</t>
        </is>
      </c>
      <c r="D14" s="95" t="inlineStr">
        <is>
          <t>—</t>
        </is>
      </c>
      <c r="E14" s="96" t="inlineStr">
        <is>
          <t>Ingredients - Pantry</t>
        </is>
      </c>
      <c r="F14" s="97" t="n">
        <v>30</v>
      </c>
      <c r="G14" s="50" t="inlineStr">
        <is>
          <t>Restaurant</t>
        </is>
      </c>
      <c r="H14" s="50" t="inlineStr">
        <is>
          <t>Cash</t>
        </is>
      </c>
      <c r="I14" s="82" t="inlineStr">
        <is>
          <t>✅ Paid</t>
        </is>
      </c>
    </row>
    <row r="15">
      <c r="B15" s="91" t="n">
        <v>46162</v>
      </c>
      <c r="C15" s="92" t="inlineStr">
        <is>
          <t>Lechuga</t>
        </is>
      </c>
      <c r="D15" s="95" t="inlineStr">
        <is>
          <t>—</t>
        </is>
      </c>
      <c r="E15" s="92" t="inlineStr">
        <is>
          <t>Ingredients - Vegetables</t>
        </is>
      </c>
      <c r="F15" s="94" t="n">
        <v>65</v>
      </c>
      <c r="G15" s="41" t="inlineStr">
        <is>
          <t>Restaurant</t>
        </is>
      </c>
      <c r="H15" s="41" t="inlineStr">
        <is>
          <t>Cash</t>
        </is>
      </c>
      <c r="I15" s="70" t="inlineStr">
        <is>
          <t>✅ Paid</t>
        </is>
      </c>
    </row>
    <row r="16">
      <c r="B16" s="91" t="n">
        <v>46162</v>
      </c>
      <c r="C16" s="92" t="inlineStr">
        <is>
          <t>Tortillas</t>
        </is>
      </c>
      <c r="D16" s="95" t="inlineStr">
        <is>
          <t>—</t>
        </is>
      </c>
      <c r="E16" s="92" t="inlineStr">
        <is>
          <t>Ingredients - Pantry</t>
        </is>
      </c>
      <c r="F16" s="97" t="n">
        <v>26</v>
      </c>
      <c r="G16" s="50" t="inlineStr">
        <is>
          <t>Restaurant</t>
        </is>
      </c>
      <c r="H16" s="50" t="inlineStr">
        <is>
          <t>Cash</t>
        </is>
      </c>
      <c r="I16" s="82" t="inlineStr">
        <is>
          <t>✅ Paid</t>
        </is>
      </c>
    </row>
    <row r="17">
      <c r="B17" s="91" t="n">
        <v>46162</v>
      </c>
      <c r="C17" s="92" t="inlineStr">
        <is>
          <t>Jamon Mexicana</t>
        </is>
      </c>
      <c r="D17" s="93" t="inlineStr">
        <is>
          <t>—</t>
        </is>
      </c>
      <c r="E17" s="96" t="inlineStr">
        <is>
          <t>Ingredients - Meat</t>
        </is>
      </c>
      <c r="F17" s="94" t="n">
        <v>88</v>
      </c>
      <c r="G17" s="41" t="inlineStr">
        <is>
          <t>Restaurant</t>
        </is>
      </c>
      <c r="H17" s="41" t="inlineStr">
        <is>
          <t>Cash</t>
        </is>
      </c>
      <c r="I17" s="70" t="inlineStr">
        <is>
          <t>✅ Paid</t>
        </is>
      </c>
    </row>
    <row r="18">
      <c r="B18" s="91" t="n">
        <v>46162</v>
      </c>
      <c r="C18" s="92" t="inlineStr">
        <is>
          <t>Carne</t>
        </is>
      </c>
      <c r="D18" s="95" t="inlineStr">
        <is>
          <t>—</t>
        </is>
      </c>
      <c r="E18" s="96" t="inlineStr">
        <is>
          <t>Ingredients - Meat</t>
        </is>
      </c>
      <c r="F18" s="97" t="n">
        <v>1104</v>
      </c>
      <c r="G18" s="50" t="inlineStr">
        <is>
          <t>Restaurant</t>
        </is>
      </c>
      <c r="H18" s="50" t="inlineStr">
        <is>
          <t>Cash</t>
        </is>
      </c>
      <c r="I18" s="82" t="inlineStr">
        <is>
          <t>✅ Paid</t>
        </is>
      </c>
    </row>
    <row r="19">
      <c r="B19" s="91" t="n">
        <v>46162</v>
      </c>
      <c r="C19" s="92" t="inlineStr">
        <is>
          <t>Salmon</t>
        </is>
      </c>
      <c r="D19" s="93" t="inlineStr">
        <is>
          <t>—</t>
        </is>
      </c>
      <c r="E19" s="92" t="inlineStr">
        <is>
          <t>Ingredients - Meat &amp; Fish</t>
        </is>
      </c>
      <c r="F19" s="94" t="n">
        <v>397</v>
      </c>
      <c r="G19" s="41" t="inlineStr">
        <is>
          <t>Restaurant</t>
        </is>
      </c>
      <c r="H19" s="41" t="inlineStr">
        <is>
          <t>Cash</t>
        </is>
      </c>
      <c r="I19" s="70" t="inlineStr">
        <is>
          <t>✅ Paid</t>
        </is>
      </c>
    </row>
    <row r="20">
      <c r="B20" s="91" t="n">
        <v>46162</v>
      </c>
      <c r="C20" s="92" t="inlineStr">
        <is>
          <t>Pollo</t>
        </is>
      </c>
      <c r="D20" s="95" t="inlineStr">
        <is>
          <t>—</t>
        </is>
      </c>
      <c r="E20" s="96" t="inlineStr">
        <is>
          <t>Ingredients - Meat</t>
        </is>
      </c>
      <c r="F20" s="97" t="n">
        <v>935</v>
      </c>
      <c r="G20" s="50" t="inlineStr">
        <is>
          <t>Restaurant</t>
        </is>
      </c>
      <c r="H20" s="50" t="inlineStr">
        <is>
          <t>Cash</t>
        </is>
      </c>
      <c r="I20" s="82" t="inlineStr">
        <is>
          <t>✅ Paid</t>
        </is>
      </c>
    </row>
    <row r="21">
      <c r="B21" s="91" t="n">
        <v>46162</v>
      </c>
      <c r="C21" s="92" t="inlineStr">
        <is>
          <t>Arroz</t>
        </is>
      </c>
      <c r="D21" s="93" t="inlineStr">
        <is>
          <t>—</t>
        </is>
      </c>
      <c r="E21" s="92" t="inlineStr">
        <is>
          <t>Ingredients - Pantry</t>
        </is>
      </c>
      <c r="F21" s="94" t="n">
        <v>90</v>
      </c>
      <c r="G21" s="41" t="inlineStr">
        <is>
          <t>Restaurant</t>
        </is>
      </c>
      <c r="H21" s="41" t="inlineStr">
        <is>
          <t>Cash</t>
        </is>
      </c>
      <c r="I21" s="70" t="inlineStr">
        <is>
          <t>✅ Paid</t>
        </is>
      </c>
    </row>
    <row r="22">
      <c r="B22" s="91" t="n">
        <v>46162</v>
      </c>
      <c r="C22" s="92" t="inlineStr">
        <is>
          <t>Queso Gouda</t>
        </is>
      </c>
      <c r="D22" s="95" t="inlineStr">
        <is>
          <t>—</t>
        </is>
      </c>
      <c r="E22" s="96" t="inlineStr">
        <is>
          <t>Ingredients - Dairy</t>
        </is>
      </c>
      <c r="F22" s="97" t="n">
        <v>272</v>
      </c>
      <c r="G22" s="50" t="inlineStr">
        <is>
          <t>Restaurant</t>
        </is>
      </c>
      <c r="H22" s="50" t="inlineStr">
        <is>
          <t>Cash</t>
        </is>
      </c>
      <c r="I22" s="82" t="inlineStr">
        <is>
          <t>✅ Paid</t>
        </is>
      </c>
    </row>
    <row r="23">
      <c r="B23" s="91" t="n">
        <v>46162</v>
      </c>
      <c r="C23" s="92" t="inlineStr">
        <is>
          <t>Avia Reca</t>
        </is>
      </c>
      <c r="D23" s="93" t="inlineStr">
        <is>
          <t>—</t>
        </is>
      </c>
      <c r="E23" s="92" t="inlineStr">
        <is>
          <t>Supplies / Other</t>
        </is>
      </c>
      <c r="F23" s="94" t="n">
        <v>300</v>
      </c>
      <c r="G23" s="41" t="inlineStr">
        <is>
          <t>Restaurant</t>
        </is>
      </c>
      <c r="H23" s="41" t="inlineStr">
        <is>
          <t>Cash</t>
        </is>
      </c>
      <c r="I23" s="70" t="inlineStr">
        <is>
          <t>✅ Paid</t>
        </is>
      </c>
    </row>
    <row r="24">
      <c r="B24" s="91" t="n">
        <v>46162</v>
      </c>
      <c r="C24" s="92" t="inlineStr">
        <is>
          <t>John - Advance</t>
        </is>
      </c>
      <c r="D24" s="95" t="inlineStr">
        <is>
          <t>—</t>
        </is>
      </c>
      <c r="E24" s="96" t="inlineStr">
        <is>
          <t>Staff - Advance</t>
        </is>
      </c>
      <c r="F24" s="97" t="n">
        <v>500</v>
      </c>
      <c r="G24" s="50" t="inlineStr">
        <is>
          <t>Restaurant</t>
        </is>
      </c>
      <c r="H24" s="50" t="inlineStr">
        <is>
          <t>Cash</t>
        </is>
      </c>
      <c r="I24" s="82" t="inlineStr">
        <is>
          <t>✅ Paid</t>
        </is>
      </c>
    </row>
    <row r="25">
      <c r="B25" s="91" t="n">
        <v>46163</v>
      </c>
      <c r="C25" s="92" t="inlineStr">
        <is>
          <t>Chuletas Carne</t>
        </is>
      </c>
      <c r="D25" s="93" t="inlineStr">
        <is>
          <t>Mercado</t>
        </is>
      </c>
      <c r="E25" s="92" t="inlineStr">
        <is>
          <t>Ingredients - Meat</t>
        </is>
      </c>
      <c r="F25" s="94" t="n">
        <v>213</v>
      </c>
      <c r="G25" s="41" t="inlineStr">
        <is>
          <t>Restaurant</t>
        </is>
      </c>
      <c r="H25" s="41" t="inlineStr">
        <is>
          <t>Cash</t>
        </is>
      </c>
      <c r="I25" s="70" t="inlineStr">
        <is>
          <t>✅ Paid</t>
        </is>
      </c>
    </row>
    <row r="26">
      <c r="B26" s="98" t="n">
        <v>46163</v>
      </c>
      <c r="C26" s="96" t="inlineStr">
        <is>
          <t>Chedruai</t>
        </is>
      </c>
      <c r="D26" s="95" t="inlineStr">
        <is>
          <t>Chedraui</t>
        </is>
      </c>
      <c r="E26" s="99" t="inlineStr">
        <is>
          <t>Supermarket / General</t>
        </is>
      </c>
      <c r="F26" s="97" t="n">
        <v>232</v>
      </c>
      <c r="G26" s="50" t="inlineStr">
        <is>
          <t>Restaurant</t>
        </is>
      </c>
      <c r="H26" s="50" t="inlineStr">
        <is>
          <t>Cash</t>
        </is>
      </c>
      <c r="I26" s="82" t="inlineStr">
        <is>
          <t>✅ Paid</t>
        </is>
      </c>
    </row>
    <row r="27">
      <c r="B27" s="98" t="n">
        <v>46163</v>
      </c>
      <c r="C27" s="96" t="inlineStr">
        <is>
          <t>Nutralat Milk</t>
        </is>
      </c>
      <c r="D27" s="93" t="inlineStr">
        <is>
          <t>OXXO</t>
        </is>
      </c>
      <c r="E27" s="96" t="inlineStr">
        <is>
          <t>Ingredients - Dairy</t>
        </is>
      </c>
      <c r="F27" s="94" t="n">
        <v>24</v>
      </c>
      <c r="G27" s="41" t="inlineStr">
        <is>
          <t>Restaurant</t>
        </is>
      </c>
      <c r="H27" s="41" t="inlineStr">
        <is>
          <t>Cash</t>
        </is>
      </c>
      <c r="I27" s="70" t="inlineStr">
        <is>
          <t>✅ Paid</t>
        </is>
      </c>
    </row>
    <row r="28">
      <c r="B28" s="98" t="n">
        <v>46163</v>
      </c>
      <c r="C28" s="96" t="inlineStr">
        <is>
          <t>Crema y Queso</t>
        </is>
      </c>
      <c r="D28" s="95" t="inlineStr">
        <is>
          <t>CAQ</t>
        </is>
      </c>
      <c r="E28" s="96" t="inlineStr">
        <is>
          <t>Ingredients - Dairy</t>
        </is>
      </c>
      <c r="F28" s="97" t="n">
        <v>572</v>
      </c>
      <c r="G28" s="50" t="inlineStr">
        <is>
          <t>Restaurant</t>
        </is>
      </c>
      <c r="H28" s="50" t="inlineStr">
        <is>
          <t>Cash</t>
        </is>
      </c>
      <c r="I28" s="82" t="inlineStr">
        <is>
          <t>✅ Paid</t>
        </is>
      </c>
    </row>
    <row r="29">
      <c r="B29" s="98" t="n">
        <v>46163</v>
      </c>
      <c r="C29" s="96" t="inlineStr">
        <is>
          <t>Pasta</t>
        </is>
      </c>
      <c r="D29" s="93" t="inlineStr">
        <is>
          <t>—</t>
        </is>
      </c>
      <c r="E29" s="92" t="inlineStr">
        <is>
          <t>Ingredients - Pantry</t>
        </is>
      </c>
      <c r="F29" s="94" t="n">
        <v>82</v>
      </c>
      <c r="G29" s="41" t="inlineStr">
        <is>
          <t>Restaurant</t>
        </is>
      </c>
      <c r="H29" s="41" t="inlineStr">
        <is>
          <t>Cash</t>
        </is>
      </c>
      <c r="I29" s="70" t="inlineStr">
        <is>
          <t>✅ Paid</t>
        </is>
      </c>
    </row>
    <row r="30">
      <c r="B30" s="98" t="n">
        <v>46163</v>
      </c>
      <c r="C30" s="96" t="inlineStr">
        <is>
          <t>Vegetables</t>
        </is>
      </c>
      <c r="D30" s="95" t="inlineStr">
        <is>
          <t>Abastos</t>
        </is>
      </c>
      <c r="E30" s="96" t="inlineStr">
        <is>
          <t>Ingredients - Vegetables</t>
        </is>
      </c>
      <c r="F30" s="97" t="n">
        <v>148</v>
      </c>
      <c r="G30" s="50" t="inlineStr">
        <is>
          <t>Restaurant</t>
        </is>
      </c>
      <c r="H30" s="50" t="inlineStr">
        <is>
          <t>Cash</t>
        </is>
      </c>
      <c r="I30" s="82" t="inlineStr">
        <is>
          <t>✅ Paid</t>
        </is>
      </c>
    </row>
    <row r="31">
      <c r="B31" s="98" t="n">
        <v>46163</v>
      </c>
      <c r="C31" s="96" t="inlineStr">
        <is>
          <t>Papas</t>
        </is>
      </c>
      <c r="D31" s="93" t="inlineStr">
        <is>
          <t>Abastos</t>
        </is>
      </c>
      <c r="E31" s="92" t="inlineStr">
        <is>
          <t>Ingredients - Vegetables</t>
        </is>
      </c>
      <c r="F31" s="94" t="n">
        <v>130</v>
      </c>
      <c r="G31" s="41" t="inlineStr">
        <is>
          <t>Restaurant</t>
        </is>
      </c>
      <c r="H31" s="41" t="inlineStr">
        <is>
          <t>Cash</t>
        </is>
      </c>
      <c r="I31" s="70" t="inlineStr">
        <is>
          <t>✅ Paid</t>
        </is>
      </c>
    </row>
    <row r="32">
      <c r="B32" s="98" t="n">
        <v>46163</v>
      </c>
      <c r="C32" s="96" t="inlineStr">
        <is>
          <t>Vegetables</t>
        </is>
      </c>
      <c r="D32" s="95" t="inlineStr">
        <is>
          <t>Abastos</t>
        </is>
      </c>
      <c r="E32" s="92" t="inlineStr">
        <is>
          <t>Ingredients - Vegetables</t>
        </is>
      </c>
      <c r="F32" s="97" t="n">
        <v>207</v>
      </c>
      <c r="G32" s="50" t="inlineStr">
        <is>
          <t>Restaurant</t>
        </is>
      </c>
      <c r="H32" s="50" t="inlineStr">
        <is>
          <t>Cash</t>
        </is>
      </c>
      <c r="I32" s="82" t="inlineStr">
        <is>
          <t>✅ Paid</t>
        </is>
      </c>
    </row>
    <row r="33">
      <c r="B33" s="98" t="n">
        <v>46163</v>
      </c>
      <c r="C33" s="96" t="inlineStr">
        <is>
          <t>Vegetables</t>
        </is>
      </c>
      <c r="D33" s="93" t="inlineStr">
        <is>
          <t>Abastos</t>
        </is>
      </c>
      <c r="E33" s="92" t="inlineStr">
        <is>
          <t>Ingredients - Vegetables</t>
        </is>
      </c>
      <c r="F33" s="94" t="n">
        <v>185</v>
      </c>
      <c r="G33" s="41" t="inlineStr">
        <is>
          <t>Restaurant</t>
        </is>
      </c>
      <c r="H33" s="41" t="inlineStr">
        <is>
          <t>Cash</t>
        </is>
      </c>
      <c r="I33" s="70" t="inlineStr">
        <is>
          <t>✅ Paid</t>
        </is>
      </c>
    </row>
    <row r="34">
      <c r="B34" s="98" t="n">
        <v>46163</v>
      </c>
      <c r="C34" s="96" t="inlineStr">
        <is>
          <t>Frutas</t>
        </is>
      </c>
      <c r="D34" s="93" t="inlineStr">
        <is>
          <t>Abastos</t>
        </is>
      </c>
      <c r="E34" s="92" t="inlineStr">
        <is>
          <t>Ingredients - Fruit</t>
        </is>
      </c>
      <c r="F34" s="97" t="n">
        <v>108</v>
      </c>
      <c r="G34" s="50" t="inlineStr">
        <is>
          <t>Restaurant</t>
        </is>
      </c>
      <c r="H34" s="50" t="inlineStr">
        <is>
          <t>Cash</t>
        </is>
      </c>
      <c r="I34" s="82" t="inlineStr">
        <is>
          <t>✅ Paid</t>
        </is>
      </c>
    </row>
    <row r="35">
      <c r="B35" s="98" t="n">
        <v>46163</v>
      </c>
      <c r="C35" s="96" t="inlineStr">
        <is>
          <t>Panco (Bread)</t>
        </is>
      </c>
      <c r="D35" s="93" t="inlineStr">
        <is>
          <t>Molino</t>
        </is>
      </c>
      <c r="E35" s="92" t="inlineStr">
        <is>
          <t>Ingredients - Bread</t>
        </is>
      </c>
      <c r="F35" s="94" t="n">
        <v>196</v>
      </c>
      <c r="G35" s="41" t="inlineStr">
        <is>
          <t>Restaurant</t>
        </is>
      </c>
      <c r="H35" s="41" t="inlineStr">
        <is>
          <t>Cash</t>
        </is>
      </c>
      <c r="I35" s="70" t="inlineStr">
        <is>
          <t>✅ Paid</t>
        </is>
      </c>
    </row>
    <row r="36">
      <c r="B36" s="98" t="n">
        <v>46163</v>
      </c>
      <c r="C36" s="96" t="inlineStr">
        <is>
          <t>3B Supermarket</t>
        </is>
      </c>
      <c r="D36" s="95" t="inlineStr">
        <is>
          <t>3B</t>
        </is>
      </c>
      <c r="E36" s="96" t="inlineStr">
        <is>
          <t>Supermarket / General</t>
        </is>
      </c>
      <c r="F36" s="97" t="n">
        <v>337</v>
      </c>
      <c r="G36" s="50" t="inlineStr">
        <is>
          <t>Restaurant</t>
        </is>
      </c>
      <c r="H36" s="50" t="inlineStr">
        <is>
          <t>Cash</t>
        </is>
      </c>
      <c r="I36" s="82" t="inlineStr">
        <is>
          <t>✅ Paid</t>
        </is>
      </c>
    </row>
    <row r="37" ht="15" customHeight="1" s="186" thickBot="1">
      <c r="B37" s="100" t="n">
        <v>46164</v>
      </c>
      <c r="C37" s="101" t="inlineStr">
        <is>
          <t>Agua Natural</t>
        </is>
      </c>
      <c r="D37" s="102" t="inlineStr">
        <is>
          <t>—</t>
        </is>
      </c>
      <c r="E37" s="101" t="inlineStr">
        <is>
          <t>Supplies / Other</t>
        </is>
      </c>
      <c r="F37" s="103" t="n">
        <v>30</v>
      </c>
      <c r="G37" s="104" t="inlineStr">
        <is>
          <t>Restaurant</t>
        </is>
      </c>
      <c r="H37" s="104" t="inlineStr">
        <is>
          <t>Cash</t>
        </is>
      </c>
      <c r="I37" s="105" t="inlineStr">
        <is>
          <t>✅ Paid</t>
        </is>
      </c>
    </row>
    <row r="38" ht="15" customHeight="1" s="186" thickBot="1">
      <c r="B38" s="98" t="n">
        <v>46164</v>
      </c>
      <c r="C38" s="96" t="inlineStr">
        <is>
          <t>Nutralat Milk</t>
        </is>
      </c>
      <c r="D38" s="93" t="inlineStr">
        <is>
          <t>OXXO</t>
        </is>
      </c>
      <c r="E38" s="92" t="inlineStr">
        <is>
          <t>Ingredients - Dairy</t>
        </is>
      </c>
      <c r="F38" s="94" t="n">
        <v>24</v>
      </c>
      <c r="G38" s="41" t="inlineStr">
        <is>
          <t>Restaurant</t>
        </is>
      </c>
      <c r="H38" s="41" t="inlineStr">
        <is>
          <t>Cash</t>
        </is>
      </c>
      <c r="I38" s="70" t="inlineStr">
        <is>
          <t>✅ Paid</t>
        </is>
      </c>
    </row>
    <row r="39" ht="15" customHeight="1" s="186" thickBot="1">
      <c r="B39" s="98" t="n">
        <v>46164</v>
      </c>
      <c r="C39" s="96" t="inlineStr">
        <is>
          <t>Filete Mojarra</t>
        </is>
      </c>
      <c r="D39" s="95" t="inlineStr">
        <is>
          <t>Brisa del Mar</t>
        </is>
      </c>
      <c r="E39" s="96" t="inlineStr">
        <is>
          <t>Ingredients - Meat &amp; Fish</t>
        </is>
      </c>
      <c r="F39" s="97" t="n">
        <v>405</v>
      </c>
      <c r="G39" s="50" t="inlineStr">
        <is>
          <t>Restaurant</t>
        </is>
      </c>
      <c r="H39" s="50" t="inlineStr">
        <is>
          <t>Cash</t>
        </is>
      </c>
      <c r="I39" s="82" t="inlineStr">
        <is>
          <t>✅ Paid</t>
        </is>
      </c>
    </row>
    <row r="40" ht="15" customHeight="1" s="186" thickBot="1">
      <c r="B40" s="100" t="n">
        <v>46164</v>
      </c>
      <c r="C40" s="101" t="inlineStr">
        <is>
          <t>Aceite Vegetal</t>
        </is>
      </c>
      <c r="D40" s="102" t="inlineStr">
        <is>
          <t>OXXO</t>
        </is>
      </c>
      <c r="E40" s="101" t="inlineStr">
        <is>
          <t>Ingredients - Pantry</t>
        </is>
      </c>
      <c r="F40" s="103" t="n">
        <v>312</v>
      </c>
      <c r="G40" s="104" t="inlineStr">
        <is>
          <t>Restaurant</t>
        </is>
      </c>
      <c r="H40" s="104" t="inlineStr">
        <is>
          <t>Cash</t>
        </is>
      </c>
      <c r="I40" s="105" t="inlineStr">
        <is>
          <t>✅ Paid</t>
        </is>
      </c>
    </row>
    <row r="41" ht="15" customHeight="1" s="186" thickBot="1">
      <c r="B41" s="98" t="n">
        <v>46164</v>
      </c>
      <c r="C41" s="96" t="inlineStr">
        <is>
          <t>Aceite Vegetal</t>
        </is>
      </c>
      <c r="D41" s="93" t="inlineStr">
        <is>
          <t>OXXO</t>
        </is>
      </c>
      <c r="E41" s="92" t="inlineStr">
        <is>
          <t>Ingredients - Pantry</t>
        </is>
      </c>
      <c r="F41" s="94" t="n">
        <v>52</v>
      </c>
      <c r="G41" s="41" t="inlineStr">
        <is>
          <t>Restaurant</t>
        </is>
      </c>
      <c r="H41" s="41" t="inlineStr">
        <is>
          <t>Cash</t>
        </is>
      </c>
      <c r="I41" s="70" t="inlineStr">
        <is>
          <t>✅ Paid</t>
        </is>
      </c>
    </row>
    <row r="42" ht="15" customHeight="1" s="186" thickBot="1">
      <c r="B42" s="98" t="n">
        <v>46164</v>
      </c>
      <c r="C42" s="96" t="inlineStr">
        <is>
          <t>Leche Deslactosada</t>
        </is>
      </c>
      <c r="D42" s="95" t="inlineStr">
        <is>
          <t>OXXO</t>
        </is>
      </c>
      <c r="E42" s="96" t="inlineStr">
        <is>
          <t>Ingredients - Dairy</t>
        </is>
      </c>
      <c r="F42" s="97" t="n">
        <v>44</v>
      </c>
      <c r="G42" s="50" t="inlineStr">
        <is>
          <t>Restaurant</t>
        </is>
      </c>
      <c r="H42" s="50" t="inlineStr">
        <is>
          <t>Cash</t>
        </is>
      </c>
      <c r="I42" s="82" t="inlineStr">
        <is>
          <t>✅ Paid</t>
        </is>
      </c>
    </row>
    <row r="43" ht="15" customHeight="1" s="186" thickBot="1">
      <c r="B43" s="100" t="n">
        <v>46164</v>
      </c>
      <c r="C43" s="101" t="inlineStr">
        <is>
          <t>Panko x5</t>
        </is>
      </c>
      <c r="D43" s="102" t="inlineStr">
        <is>
          <t>Molino la Cruz</t>
        </is>
      </c>
      <c r="E43" s="101" t="inlineStr">
        <is>
          <t>Ingredients - Bread</t>
        </is>
      </c>
      <c r="F43" s="103" t="n">
        <v>490</v>
      </c>
      <c r="G43" s="104" t="inlineStr">
        <is>
          <t>Restaurant</t>
        </is>
      </c>
      <c r="H43" s="104" t="inlineStr">
        <is>
          <t>Cash</t>
        </is>
      </c>
      <c r="I43" s="105" t="inlineStr">
        <is>
          <t>✅ Paid</t>
        </is>
      </c>
    </row>
    <row r="44" ht="15" customHeight="1" s="186" thickBot="1">
      <c r="B44" s="98" t="n">
        <v>46164</v>
      </c>
      <c r="C44" s="96" t="inlineStr">
        <is>
          <t>Hielo (4 bolsas)</t>
        </is>
      </c>
      <c r="D44" s="93" t="inlineStr">
        <is>
          <t>—</t>
        </is>
      </c>
      <c r="E44" s="92" t="inlineStr">
        <is>
          <t>Supplies / Other</t>
        </is>
      </c>
      <c r="F44" s="94" t="n">
        <v>100</v>
      </c>
      <c r="G44" s="41" t="inlineStr">
        <is>
          <t>Restaurant</t>
        </is>
      </c>
      <c r="H44" s="41" t="inlineStr">
        <is>
          <t>Cash</t>
        </is>
      </c>
      <c r="I44" s="70" t="inlineStr">
        <is>
          <t>✅ Paid</t>
        </is>
      </c>
    </row>
    <row r="45" ht="15" customHeight="1" s="186" thickBot="1">
      <c r="B45" s="91" t="n">
        <v>46165</v>
      </c>
      <c r="C45" s="96" t="inlineStr">
        <is>
          <t>Papa bola (Papas)</t>
        </is>
      </c>
      <c r="D45" s="95" t="inlineStr">
        <is>
          <t>Remision Formitec</t>
        </is>
      </c>
      <c r="E45" s="96" t="inlineStr">
        <is>
          <t>Ingredients - Vegetables</t>
        </is>
      </c>
      <c r="F45" s="97" t="n">
        <v>110</v>
      </c>
      <c r="G45" s="50" t="inlineStr">
        <is>
          <t>Restaurant</t>
        </is>
      </c>
      <c r="H45" s="50" t="inlineStr">
        <is>
          <t>Cash</t>
        </is>
      </c>
      <c r="I45" s="82" t="inlineStr">
        <is>
          <t>✅ Paid</t>
        </is>
      </c>
    </row>
    <row r="46">
      <c r="B46" s="91" t="n">
        <v>46165</v>
      </c>
      <c r="C46" s="92" t="inlineStr">
        <is>
          <t>Agua Natural</t>
        </is>
      </c>
      <c r="D46" s="93" t="inlineStr">
        <is>
          <t>—</t>
        </is>
      </c>
      <c r="E46" s="92" t="inlineStr">
        <is>
          <t>Supplies / Other</t>
        </is>
      </c>
      <c r="F46" s="94" t="n">
        <v>30</v>
      </c>
      <c r="G46" s="41" t="inlineStr">
        <is>
          <t>Restaurant</t>
        </is>
      </c>
      <c r="H46" s="41" t="inlineStr">
        <is>
          <t>Cash</t>
        </is>
      </c>
      <c r="I46" s="70" t="inlineStr">
        <is>
          <t>✅ Paid</t>
        </is>
      </c>
    </row>
    <row r="47">
      <c r="B47" s="91" t="n">
        <v>46165</v>
      </c>
      <c r="C47" s="96" t="inlineStr">
        <is>
          <t>John - Saldo Semana</t>
        </is>
      </c>
      <c r="D47" s="95" t="inlineStr">
        <is>
          <t>Nomina</t>
        </is>
      </c>
      <c r="E47" s="96" t="inlineStr">
        <is>
          <t>Staff - Salary</t>
        </is>
      </c>
      <c r="F47" s="97" t="n">
        <v>3250</v>
      </c>
      <c r="G47" s="50" t="inlineStr">
        <is>
          <t>Restaurant</t>
        </is>
      </c>
      <c r="H47" s="50" t="inlineStr">
        <is>
          <t>Cash</t>
        </is>
      </c>
      <c r="I47" s="82" t="inlineStr">
        <is>
          <t>✅ Paid</t>
        </is>
      </c>
      <c r="J47" t="inlineStr">
        <is>
          <t>Head Chef — weekly salary Week 1</t>
        </is>
      </c>
    </row>
    <row r="48">
      <c r="B48" s="91" t="n">
        <v>46165</v>
      </c>
      <c r="C48" s="92" t="inlineStr">
        <is>
          <t>Debi - Limpieza</t>
        </is>
      </c>
      <c r="D48" s="93" t="inlineStr">
        <is>
          <t>Nomina</t>
        </is>
      </c>
      <c r="E48" s="92" t="inlineStr">
        <is>
          <t>Staff - Salary</t>
        </is>
      </c>
      <c r="F48" s="94" t="n">
        <v>1500</v>
      </c>
      <c r="G48" s="41" t="inlineStr">
        <is>
          <t>Restaurant</t>
        </is>
      </c>
      <c r="H48" s="41" t="inlineStr">
        <is>
          <t>Cash</t>
        </is>
      </c>
      <c r="I48" s="70" t="inlineStr">
        <is>
          <t>✅ Paid</t>
        </is>
      </c>
      <c r="J48" t="inlineStr">
        <is>
          <t>Cleaning staff — weekly salary Week 1</t>
        </is>
      </c>
    </row>
    <row r="49">
      <c r="B49" s="91" t="n">
        <v>46165</v>
      </c>
      <c r="C49" s="96" t="inlineStr">
        <is>
          <t>Victor - Mesero (2 dias)</t>
        </is>
      </c>
      <c r="D49" s="95" t="inlineStr">
        <is>
          <t>Nomina</t>
        </is>
      </c>
      <c r="E49" s="96" t="inlineStr">
        <is>
          <t>Staff - Salary</t>
        </is>
      </c>
      <c r="F49" s="97" t="n">
        <v>666</v>
      </c>
      <c r="G49" s="50" t="inlineStr">
        <is>
          <t>Restaurant</t>
        </is>
      </c>
      <c r="H49" s="50" t="inlineStr">
        <is>
          <t>Cash</t>
        </is>
      </c>
      <c r="I49" s="82" t="inlineStr">
        <is>
          <t>✅ Paid</t>
        </is>
      </c>
      <c r="J49" t="inlineStr">
        <is>
          <t>Waiter — 2 days salary Week 1</t>
        </is>
      </c>
    </row>
    <row r="50">
      <c r="B50" s="91" t="n">
        <v>46165</v>
      </c>
      <c r="C50" s="92" t="inlineStr">
        <is>
          <t>Propinas - John (6 dias)</t>
        </is>
      </c>
      <c r="D50" s="93" t="inlineStr">
        <is>
          <t>Dist. propinas sem 1</t>
        </is>
      </c>
      <c r="E50" s="92" t="inlineStr">
        <is>
          <t>Staff - Tips Distribution</t>
        </is>
      </c>
      <c r="F50" s="94" t="n">
        <v>515</v>
      </c>
      <c r="G50" s="41" t="inlineStr">
        <is>
          <t>Restaurant</t>
        </is>
      </c>
      <c r="H50" s="41" t="inlineStr">
        <is>
          <t>Cash</t>
        </is>
      </c>
      <c r="I50" s="70" t="inlineStr">
        <is>
          <t>✅ Paid</t>
        </is>
      </c>
      <c r="J50" t="inlineStr">
        <is>
          <t>Tips distribution Week 1</t>
        </is>
      </c>
    </row>
    <row r="51">
      <c r="B51" s="91" t="n">
        <v>46165</v>
      </c>
      <c r="C51" s="96" t="inlineStr">
        <is>
          <t>Propinas - Debi (6 dias)</t>
        </is>
      </c>
      <c r="D51" s="95" t="inlineStr">
        <is>
          <t>Dist. propinas sem 1</t>
        </is>
      </c>
      <c r="E51" s="96" t="inlineStr">
        <is>
          <t>Staff - Tips Distribution</t>
        </is>
      </c>
      <c r="F51" s="97" t="n">
        <v>515</v>
      </c>
      <c r="G51" s="50" t="inlineStr">
        <is>
          <t>Restaurant</t>
        </is>
      </c>
      <c r="H51" s="50" t="inlineStr">
        <is>
          <t>Cash</t>
        </is>
      </c>
      <c r="I51" s="82" t="inlineStr">
        <is>
          <t>✅ Paid</t>
        </is>
      </c>
      <c r="J51" t="inlineStr">
        <is>
          <t>Tips distribution Week 1</t>
        </is>
      </c>
    </row>
    <row r="52">
      <c r="B52" s="91" t="n">
        <v>46165</v>
      </c>
      <c r="C52" s="92" t="inlineStr">
        <is>
          <t>Propinas - Victor (2 dias)</t>
        </is>
      </c>
      <c r="D52" s="93" t="inlineStr">
        <is>
          <t>Dist. propinas sem 1</t>
        </is>
      </c>
      <c r="E52" s="92" t="inlineStr">
        <is>
          <t>Staff - Tips Distribution</t>
        </is>
      </c>
      <c r="F52" s="94" t="n">
        <v>168</v>
      </c>
      <c r="G52" s="41" t="inlineStr">
        <is>
          <t>Restaurant</t>
        </is>
      </c>
      <c r="H52" s="41" t="inlineStr">
        <is>
          <t>Cash</t>
        </is>
      </c>
      <c r="I52" s="70" t="inlineStr">
        <is>
          <t>⏳ PENDING</t>
        </is>
      </c>
      <c r="J52" t="inlineStr">
        <is>
          <t>Yet to pay Victor — Week 1 tips</t>
        </is>
      </c>
    </row>
    <row r="53">
      <c r="B53" s="91" t="n">
        <v>46165</v>
      </c>
      <c r="C53" s="96" t="inlineStr">
        <is>
          <t>Sal Fina (20 x 1 kg)</t>
        </is>
      </c>
      <c r="D53" s="95" t="inlineStr">
        <is>
          <t>Costco</t>
        </is>
      </c>
      <c r="E53" s="96" t="inlineStr">
        <is>
          <t>Ingredients - Pantry</t>
        </is>
      </c>
      <c r="F53" s="97" t="n">
        <v>408.17</v>
      </c>
      <c r="G53" s="50" t="inlineStr">
        <is>
          <t>Restaurant</t>
        </is>
      </c>
      <c r="H53" s="50" t="inlineStr">
        <is>
          <t>Card</t>
        </is>
      </c>
      <c r="I53" s="82" t="inlineStr">
        <is>
          <t>✅ Paid</t>
        </is>
      </c>
      <c r="J53" t="inlineStr">
        <is>
          <t>Costco — Sal Fina 20/1KG</t>
        </is>
      </c>
    </row>
    <row r="54">
      <c r="B54" s="91" t="n">
        <v>46165</v>
      </c>
      <c r="C54" s="92" t="inlineStr">
        <is>
          <t>Coca Cola (24 x 600ml)</t>
        </is>
      </c>
      <c r="D54" s="93" t="inlineStr">
        <is>
          <t>Costco</t>
        </is>
      </c>
      <c r="E54" s="92" t="inlineStr">
        <is>
          <t>Ingredients - Beverages</t>
        </is>
      </c>
      <c r="F54" s="94" t="n">
        <v>455.23</v>
      </c>
      <c r="G54" s="41" t="inlineStr">
        <is>
          <t>Restaurant</t>
        </is>
      </c>
      <c r="H54" s="41" t="inlineStr">
        <is>
          <t>Card</t>
        </is>
      </c>
      <c r="I54" s="70" t="inlineStr">
        <is>
          <t>✅ Paid</t>
        </is>
      </c>
      <c r="J54" t="inlineStr">
        <is>
          <t>Costco — discount applied, total $844</t>
        </is>
      </c>
    </row>
    <row r="55">
      <c r="B55" s="91" t="n">
        <v>46165</v>
      </c>
      <c r="C55" s="96" t="inlineStr">
        <is>
          <t>Leche Deslactosada (12 x 1LT)</t>
        </is>
      </c>
      <c r="D55" s="95" t="inlineStr">
        <is>
          <t>Sam's Club</t>
        </is>
      </c>
      <c r="E55" s="96" t="inlineStr">
        <is>
          <t>Ingredients - Dairy</t>
        </is>
      </c>
      <c r="F55" s="97" t="n">
        <v>317.13</v>
      </c>
      <c r="G55" s="50" t="inlineStr">
        <is>
          <t>Restaurant</t>
        </is>
      </c>
      <c r="H55" s="50" t="inlineStr">
        <is>
          <t>Card</t>
        </is>
      </c>
      <c r="I55" s="82" t="inlineStr">
        <is>
          <t>✅ Paid</t>
        </is>
      </c>
      <c r="J55" t="inlineStr">
        <is>
          <t>Sam's Club — reimbursed to Shashirekha, settled</t>
        </is>
      </c>
    </row>
    <row r="56">
      <c r="B56" s="91" t="n">
        <v>46165</v>
      </c>
      <c r="C56" s="92" t="inlineStr">
        <is>
          <t>Leche Alpura (12 x 1L)</t>
        </is>
      </c>
      <c r="D56" s="93" t="inlineStr">
        <is>
          <t>Sam's Club</t>
        </is>
      </c>
      <c r="E56" s="92" t="inlineStr">
        <is>
          <t>Ingredients - Dairy</t>
        </is>
      </c>
      <c r="F56" s="94" t="n">
        <v>317.13</v>
      </c>
      <c r="G56" s="41" t="inlineStr">
        <is>
          <t>Restaurant</t>
        </is>
      </c>
      <c r="H56" s="41" t="inlineStr">
        <is>
          <t>Card</t>
        </is>
      </c>
      <c r="I56" s="70" t="inlineStr">
        <is>
          <t>✅ Paid</t>
        </is>
      </c>
      <c r="J56" t="inlineStr">
        <is>
          <t>Sam's Club — reimbursed to Shashirekha, settled</t>
        </is>
      </c>
    </row>
    <row r="57">
      <c r="B57" s="91" t="n">
        <v>46165</v>
      </c>
      <c r="C57" s="96" t="inlineStr">
        <is>
          <t>Crema Ácida</t>
        </is>
      </c>
      <c r="D57" s="95" t="inlineStr">
        <is>
          <t>Sam's Club</t>
        </is>
      </c>
      <c r="E57" s="96" t="inlineStr">
        <is>
          <t>Ingredients - Dairy</t>
        </is>
      </c>
      <c r="F57" s="97" t="n">
        <v>250.63</v>
      </c>
      <c r="G57" s="50" t="inlineStr">
        <is>
          <t>Restaurant</t>
        </is>
      </c>
      <c r="H57" s="50" t="inlineStr">
        <is>
          <t>Card</t>
        </is>
      </c>
      <c r="I57" s="82" t="inlineStr">
        <is>
          <t>✅ Paid</t>
        </is>
      </c>
      <c r="J57" t="inlineStr">
        <is>
          <t>Sam's Club — reimbursed to Shashirekha, settled</t>
        </is>
      </c>
    </row>
    <row r="58">
      <c r="B58" s="91" t="n">
        <v>46165</v>
      </c>
      <c r="C58" s="92" t="inlineStr">
        <is>
          <t>Salsa / Tomate (12 x 600ml)</t>
        </is>
      </c>
      <c r="D58" s="93" t="inlineStr">
        <is>
          <t>Sam's Club</t>
        </is>
      </c>
      <c r="E58" s="92" t="inlineStr">
        <is>
          <t>Ingredients - Pantry</t>
        </is>
      </c>
      <c r="F58" s="94" t="n">
        <v>232.22</v>
      </c>
      <c r="G58" s="41" t="inlineStr">
        <is>
          <t>Restaurant</t>
        </is>
      </c>
      <c r="H58" s="41" t="inlineStr">
        <is>
          <t>Card</t>
        </is>
      </c>
      <c r="I58" s="70" t="inlineStr">
        <is>
          <t>✅ Paid</t>
        </is>
      </c>
      <c r="J58" t="inlineStr">
        <is>
          <t>Sam's Club — reimbursed to Shashirekha, settled</t>
        </is>
      </c>
    </row>
    <row r="59">
      <c r="B59" s="91" t="n">
        <v>46165</v>
      </c>
      <c r="C59" s="96" t="inlineStr">
        <is>
          <t>Champiñones (24 x 400ml)</t>
        </is>
      </c>
      <c r="D59" s="95" t="inlineStr">
        <is>
          <t>Sam's Club</t>
        </is>
      </c>
      <c r="E59" s="96" t="inlineStr">
        <is>
          <t>Ingredients - Vegetables</t>
        </is>
      </c>
      <c r="F59" s="97" t="n">
        <v>218.92</v>
      </c>
      <c r="G59" s="50" t="inlineStr">
        <is>
          <t>Restaurant</t>
        </is>
      </c>
      <c r="H59" s="50" t="inlineStr">
        <is>
          <t>Card</t>
        </is>
      </c>
      <c r="I59" s="82" t="inlineStr">
        <is>
          <t>✅ Paid</t>
        </is>
      </c>
      <c r="J59" t="inlineStr">
        <is>
          <t>Sam's Club — reimbursed to Shashirekha, settled</t>
        </is>
      </c>
    </row>
    <row r="60">
      <c r="B60" s="91" t="n">
        <v>46166</v>
      </c>
      <c r="C60" s="92" t="inlineStr">
        <is>
          <t>Guayabas Mediana</t>
        </is>
      </c>
      <c r="D60" s="93" t="inlineStr">
        <is>
          <t>Aviles Hernandez</t>
        </is>
      </c>
      <c r="E60" s="92" t="inlineStr">
        <is>
          <t>Ingredients - Fruit</t>
        </is>
      </c>
      <c r="F60" s="94" t="n">
        <v>120</v>
      </c>
      <c r="G60" s="41" t="inlineStr">
        <is>
          <t>Restaurant</t>
        </is>
      </c>
      <c r="H60" s="41" t="inlineStr">
        <is>
          <t>Cash</t>
        </is>
      </c>
      <c r="I60" s="70" t="inlineStr">
        <is>
          <t>✅ Paid</t>
        </is>
      </c>
    </row>
    <row r="61">
      <c r="B61" s="91" t="n">
        <v>46166</v>
      </c>
      <c r="C61" s="96" t="inlineStr">
        <is>
          <t>Jicamas + Pinas + Melon Chino</t>
        </is>
      </c>
      <c r="D61" s="95" t="inlineStr">
        <is>
          <t>El Matamoros</t>
        </is>
      </c>
      <c r="E61" s="96" t="inlineStr">
        <is>
          <t>Ingredients - Fruit</t>
        </is>
      </c>
      <c r="F61" s="97" t="n">
        <v>147</v>
      </c>
      <c r="G61" s="50" t="inlineStr">
        <is>
          <t>Restaurant</t>
        </is>
      </c>
      <c r="H61" s="50" t="inlineStr">
        <is>
          <t>Cash</t>
        </is>
      </c>
      <c r="I61" s="82" t="inlineStr">
        <is>
          <t>✅ Paid</t>
        </is>
      </c>
    </row>
    <row r="62">
      <c r="B62" s="91" t="n">
        <v>46166</v>
      </c>
      <c r="C62" s="92" t="inlineStr">
        <is>
          <t>Cilantro + Italiana</t>
        </is>
      </c>
      <c r="D62" s="93" t="inlineStr">
        <is>
          <t>Oscar Verduras</t>
        </is>
      </c>
      <c r="E62" s="92" t="inlineStr">
        <is>
          <t>Ingredients - Vegetables</t>
        </is>
      </c>
      <c r="F62" s="94" t="n">
        <v>100</v>
      </c>
      <c r="G62" s="41" t="inlineStr">
        <is>
          <t>Restaurant</t>
        </is>
      </c>
      <c r="H62" s="41" t="inlineStr">
        <is>
          <t>Cash</t>
        </is>
      </c>
      <c r="I62" s="70" t="inlineStr">
        <is>
          <t>✅ Paid</t>
        </is>
      </c>
    </row>
    <row r="63">
      <c r="B63" s="91" t="n">
        <v>46166</v>
      </c>
      <c r="C63" s="96" t="inlineStr">
        <is>
          <t>Habanero + Pepino</t>
        </is>
      </c>
      <c r="D63" s="95" t="inlineStr">
        <is>
          <t>Remision Formitec</t>
        </is>
      </c>
      <c r="E63" s="96" t="inlineStr">
        <is>
          <t>Ingredients - Vegetables</t>
        </is>
      </c>
      <c r="F63" s="97" t="n">
        <v>90</v>
      </c>
      <c r="G63" s="50" t="inlineStr">
        <is>
          <t>Restaurant</t>
        </is>
      </c>
      <c r="H63" s="50" t="inlineStr">
        <is>
          <t>Cash</t>
        </is>
      </c>
      <c r="I63" s="82" t="inlineStr">
        <is>
          <t>✅ Paid</t>
        </is>
      </c>
    </row>
    <row r="64">
      <c r="B64" s="91" t="n">
        <v>46166</v>
      </c>
      <c r="C64" s="92" t="inlineStr">
        <is>
          <t>Betabel (~1.9 kg)</t>
        </is>
      </c>
      <c r="D64" s="93" t="inlineStr">
        <is>
          <t>Nota Remision</t>
        </is>
      </c>
      <c r="E64" s="92" t="inlineStr">
        <is>
          <t>Ingredients - Vegetables</t>
        </is>
      </c>
      <c r="F64" s="94" t="n">
        <v>78</v>
      </c>
      <c r="G64" s="41" t="inlineStr">
        <is>
          <t>Restaurant</t>
        </is>
      </c>
      <c r="H64" s="41" t="inlineStr">
        <is>
          <t>Cash</t>
        </is>
      </c>
      <c r="I64" s="70" t="inlineStr">
        <is>
          <t>✅ Paid</t>
        </is>
      </c>
    </row>
    <row r="65">
      <c r="B65" s="91" t="n">
        <v>46166</v>
      </c>
      <c r="C65" s="96" t="inlineStr">
        <is>
          <t>Jitomate</t>
        </is>
      </c>
      <c r="D65" s="95" t="inlineStr">
        <is>
          <t>Brisia y Hermanos</t>
        </is>
      </c>
      <c r="E65" s="96" t="inlineStr">
        <is>
          <t>Ingredients - Vegetables</t>
        </is>
      </c>
      <c r="F65" s="97" t="n">
        <v>178</v>
      </c>
      <c r="G65" s="50" t="inlineStr">
        <is>
          <t>Restaurant</t>
        </is>
      </c>
      <c r="H65" s="50" t="inlineStr">
        <is>
          <t>Cash</t>
        </is>
      </c>
      <c r="I65" s="82" t="inlineStr">
        <is>
          <t>✅ Paid</t>
        </is>
      </c>
    </row>
    <row r="66">
      <c r="B66" s="91" t="n">
        <v>46166</v>
      </c>
      <c r="C66" s="92" t="inlineStr">
        <is>
          <t>Mango + Sandia</t>
        </is>
      </c>
      <c r="D66" s="93" t="inlineStr">
        <is>
          <t>Papayas Maradol</t>
        </is>
      </c>
      <c r="E66" s="92" t="inlineStr">
        <is>
          <t>Ingredients - Fruit</t>
        </is>
      </c>
      <c r="F66" s="94" t="n">
        <v>116</v>
      </c>
      <c r="G66" s="41" t="inlineStr">
        <is>
          <t>Restaurant</t>
        </is>
      </c>
      <c r="H66" s="41" t="inlineStr">
        <is>
          <t>Cash</t>
        </is>
      </c>
      <c r="I66" s="70" t="inlineStr">
        <is>
          <t>✅ Paid</t>
        </is>
      </c>
    </row>
    <row r="67">
      <c r="B67" s="91" t="n">
        <v>46166</v>
      </c>
      <c r="C67" s="96" t="inlineStr">
        <is>
          <t>Verduras variadas</t>
        </is>
      </c>
      <c r="D67" s="95" t="inlineStr">
        <is>
          <t>JP Verduras</t>
        </is>
      </c>
      <c r="E67" s="96" t="inlineStr">
        <is>
          <t>Ingredients - Vegetables</t>
        </is>
      </c>
      <c r="F67" s="97" t="n">
        <v>224</v>
      </c>
      <c r="G67" s="50" t="inlineStr">
        <is>
          <t>Restaurant</t>
        </is>
      </c>
      <c r="H67" s="50" t="inlineStr">
        <is>
          <t>Cash</t>
        </is>
      </c>
      <c r="I67" s="82" t="inlineStr">
        <is>
          <t>✅ Paid</t>
        </is>
      </c>
    </row>
    <row r="68">
      <c r="B68" s="91" t="n">
        <v>46166</v>
      </c>
      <c r="C68" s="92" t="inlineStr">
        <is>
          <t>Pimiento Morron</t>
        </is>
      </c>
      <c r="D68" s="93" t="inlineStr">
        <is>
          <t>Sin factura</t>
        </is>
      </c>
      <c r="E68" s="92" t="inlineStr">
        <is>
          <t>Ingredients - Vegetables</t>
        </is>
      </c>
      <c r="F68" s="94" t="n">
        <v>23</v>
      </c>
      <c r="G68" s="41" t="inlineStr">
        <is>
          <t>Restaurant</t>
        </is>
      </c>
      <c r="H68" s="41" t="inlineStr">
        <is>
          <t>Cash</t>
        </is>
      </c>
      <c r="I68" s="70" t="inlineStr">
        <is>
          <t>✅ Paid</t>
        </is>
      </c>
      <c r="J68" t="inlineStr">
        <is>
          <t>No receipt — Sin factura</t>
        </is>
      </c>
    </row>
    <row r="69">
      <c r="B69" s="91" t="n">
        <v>46167</v>
      </c>
      <c r="C69" s="96" t="inlineStr">
        <is>
          <t>Pan para Hamburguesa con Ajonjolí + Pan de Caja Arandano</t>
        </is>
      </c>
      <c r="D69" s="95" t="inlineStr">
        <is>
          <t>Real Abastos</t>
        </is>
      </c>
      <c r="E69" s="96" t="inlineStr">
        <is>
          <t>Ingredients - Bread</t>
        </is>
      </c>
      <c r="F69" s="97" t="n">
        <v>273</v>
      </c>
      <c r="G69" s="50" t="inlineStr">
        <is>
          <t>Restaurant</t>
        </is>
      </c>
      <c r="H69" s="50" t="inlineStr">
        <is>
          <t>Card</t>
        </is>
      </c>
      <c r="I69" s="82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91" t="n">
        <v>46167</v>
      </c>
      <c r="C70" s="92" t="inlineStr">
        <is>
          <t>Limonada / Naranjada / Tamarindo 1LT (18 pcs)</t>
        </is>
      </c>
      <c r="D70" s="93" t="inlineStr">
        <is>
          <t>Reca del Bajio</t>
        </is>
      </c>
      <c r="E70" s="92" t="inlineStr">
        <is>
          <t>Ingredients - Beverages</t>
        </is>
      </c>
      <c r="F70" s="94" t="n">
        <v>450</v>
      </c>
      <c r="G70" s="41" t="inlineStr">
        <is>
          <t>Restaurant</t>
        </is>
      </c>
      <c r="H70" s="41" t="inlineStr">
        <is>
          <t>Card</t>
        </is>
      </c>
      <c r="I70" s="70" t="inlineStr">
        <is>
          <t>✅ Paid</t>
        </is>
      </c>
      <c r="J70" t="inlineStr">
        <is>
          <t>Mercado Pago — 6 Limonada + 6 Naranjada + 6 Tamarindo</t>
        </is>
      </c>
    </row>
    <row r="71">
      <c r="B71" s="91" t="n">
        <v>46167</v>
      </c>
      <c r="C71" s="96" t="inlineStr">
        <is>
          <t>QsoCrema Lala 190g</t>
        </is>
      </c>
      <c r="D71" s="95" t="inlineStr">
        <is>
          <t>Chedraui Selecto</t>
        </is>
      </c>
      <c r="E71" s="96" t="inlineStr">
        <is>
          <t>Ingredients - Dairy</t>
        </is>
      </c>
      <c r="F71" s="97" t="n">
        <v>32</v>
      </c>
      <c r="G71" s="50" t="inlineStr">
        <is>
          <t>Restaurant</t>
        </is>
      </c>
      <c r="H71" s="50" t="inlineStr">
        <is>
          <t>Card</t>
        </is>
      </c>
      <c r="I71" s="82" t="inlineStr">
        <is>
          <t>✅ Paid</t>
        </is>
      </c>
    </row>
    <row r="72">
      <c r="B72" s="91" t="n">
        <v>46167</v>
      </c>
      <c r="C72" s="92" t="inlineStr">
        <is>
          <t>Tortillas Blanca (2.21 kg)</t>
        </is>
      </c>
      <c r="D72" s="93" t="inlineStr">
        <is>
          <t>Chedraui Selecto</t>
        </is>
      </c>
      <c r="E72" s="92" t="inlineStr">
        <is>
          <t>Ingredients - Pantry</t>
        </is>
      </c>
      <c r="F72" s="94" t="n">
        <v>28.73</v>
      </c>
      <c r="G72" s="41" t="inlineStr">
        <is>
          <t>Restaurant</t>
        </is>
      </c>
      <c r="H72" s="41" t="inlineStr">
        <is>
          <t>Card</t>
        </is>
      </c>
      <c r="I72" s="70" t="inlineStr">
        <is>
          <t>✅ Paid</t>
        </is>
      </c>
    </row>
    <row r="73">
      <c r="B73" s="91" t="n">
        <v>46167</v>
      </c>
      <c r="C73" s="96" t="inlineStr">
        <is>
          <t>Rosca de Nuez</t>
        </is>
      </c>
      <c r="D73" s="95" t="inlineStr">
        <is>
          <t>Chedraui Selecto</t>
        </is>
      </c>
      <c r="E73" s="96" t="inlineStr">
        <is>
          <t>Ingredients - Bread</t>
        </is>
      </c>
      <c r="F73" s="97" t="n">
        <v>89</v>
      </c>
      <c r="G73" s="50" t="inlineStr">
        <is>
          <t>Restaurant</t>
        </is>
      </c>
      <c r="H73" s="50" t="inlineStr">
        <is>
          <t>Card</t>
        </is>
      </c>
      <c r="I73" s="82" t="inlineStr">
        <is>
          <t>✅ Paid</t>
        </is>
      </c>
    </row>
    <row r="74">
      <c r="B74" s="91" t="n">
        <v>46167</v>
      </c>
      <c r="C74" s="92" t="inlineStr">
        <is>
          <t>Bolillo (6 pcs)</t>
        </is>
      </c>
      <c r="D74" s="93" t="inlineStr">
        <is>
          <t>Chedraui Selecto</t>
        </is>
      </c>
      <c r="E74" s="92" t="inlineStr">
        <is>
          <t>Ingredients - Bread</t>
        </is>
      </c>
      <c r="F74" s="94" t="n">
        <v>12.6</v>
      </c>
      <c r="G74" s="41" t="inlineStr">
        <is>
          <t>Restaurant</t>
        </is>
      </c>
      <c r="H74" s="41" t="inlineStr">
        <is>
          <t>Card</t>
        </is>
      </c>
      <c r="I74" s="70" t="inlineStr">
        <is>
          <t>✅ Paid</t>
        </is>
      </c>
    </row>
    <row r="75">
      <c r="B75" s="91" t="n">
        <v>46167</v>
      </c>
      <c r="C75" s="96" t="inlineStr">
        <is>
          <t>Salmon lonja (1.455 kg)</t>
        </is>
      </c>
      <c r="D75" s="95" t="inlineStr">
        <is>
          <t>Brisa del Mar</t>
        </is>
      </c>
      <c r="E75" s="96" t="inlineStr">
        <is>
          <t>Ingredients - Meat &amp; Fish</t>
        </is>
      </c>
      <c r="F75" s="97" t="n">
        <v>494.7</v>
      </c>
      <c r="G75" s="50" t="inlineStr">
        <is>
          <t>Restaurant</t>
        </is>
      </c>
      <c r="H75" s="50" t="inlineStr">
        <is>
          <t>Cash</t>
        </is>
      </c>
      <c r="I75" s="82" t="inlineStr">
        <is>
          <t>✅ Paid</t>
        </is>
      </c>
      <c r="J75" t="inlineStr">
        <is>
          <t>1.455 kg x $340/kg</t>
        </is>
      </c>
    </row>
    <row r="76">
      <c r="B76" s="91" t="n">
        <v>46167</v>
      </c>
      <c r="C76" s="92" t="inlineStr">
        <is>
          <t>Papas (4 bolsas)</t>
        </is>
      </c>
      <c r="D76" s="93" t="inlineStr">
        <is>
          <t>—</t>
        </is>
      </c>
      <c r="E76" s="92" t="inlineStr">
        <is>
          <t>Ingredients - Vegetables</t>
        </is>
      </c>
      <c r="F76" s="94" t="n">
        <v>440</v>
      </c>
      <c r="G76" s="41" t="inlineStr">
        <is>
          <t>Restaurant</t>
        </is>
      </c>
      <c r="H76" s="41" t="inlineStr">
        <is>
          <t>Cash</t>
        </is>
      </c>
      <c r="I76" s="70" t="inlineStr">
        <is>
          <t>✅ Paid</t>
        </is>
      </c>
      <c r="J76" t="inlineStr">
        <is>
          <t>Remision handwritten</t>
        </is>
      </c>
    </row>
    <row r="77">
      <c r="B77" s="91" t="n">
        <v>46167</v>
      </c>
      <c r="C77" s="96" t="inlineStr">
        <is>
          <t>Costillas cerdo</t>
        </is>
      </c>
      <c r="D77" s="95" t="inlineStr">
        <is>
          <t>—</t>
        </is>
      </c>
      <c r="E77" s="96" t="inlineStr">
        <is>
          <t>Ingredients - Meat</t>
        </is>
      </c>
      <c r="F77" s="97" t="n">
        <v>282</v>
      </c>
      <c r="G77" s="50" t="inlineStr">
        <is>
          <t>Restaurant</t>
        </is>
      </c>
      <c r="H77" s="50" t="inlineStr">
        <is>
          <t>Cash</t>
        </is>
      </c>
      <c r="I77" s="82" t="inlineStr">
        <is>
          <t>✅ Paid</t>
        </is>
      </c>
      <c r="J77" t="inlineStr">
        <is>
          <t>Remision handwritten</t>
        </is>
      </c>
    </row>
    <row r="78">
      <c r="B78" s="91" t="n">
        <v>46167</v>
      </c>
      <c r="C78" s="92" t="inlineStr">
        <is>
          <t>Azucar Est Posada 1K</t>
        </is>
      </c>
      <c r="D78" s="93" t="inlineStr">
        <is>
          <t>OXXO</t>
        </is>
      </c>
      <c r="E78" s="92" t="inlineStr">
        <is>
          <t>Ingredients - Pantry</t>
        </is>
      </c>
      <c r="F78" s="94" t="n">
        <v>25</v>
      </c>
      <c r="G78" s="41" t="inlineStr">
        <is>
          <t>Restaurant</t>
        </is>
      </c>
      <c r="H78" s="41" t="inlineStr">
        <is>
          <t>Card</t>
        </is>
      </c>
      <c r="I78" s="70" t="inlineStr">
        <is>
          <t>✅ Paid</t>
        </is>
      </c>
      <c r="J78" t="inlineStr">
        <is>
          <t>Paid via Mercado Libre</t>
        </is>
      </c>
    </row>
    <row r="79">
      <c r="B79" s="91" t="n">
        <v>46167</v>
      </c>
      <c r="C79" s="96" t="inlineStr">
        <is>
          <t>Pollo NutryEnt (4 packs, 8.29 kg)</t>
        </is>
      </c>
      <c r="D79" s="95" t="inlineStr">
        <is>
          <t>Chedraui Paseo</t>
        </is>
      </c>
      <c r="E79" s="96" t="inlineStr">
        <is>
          <t>Ingredients - Meat</t>
        </is>
      </c>
      <c r="F79" s="97" t="n">
        <v>323.36</v>
      </c>
      <c r="G79" s="50" t="inlineStr">
        <is>
          <t>Restaurant</t>
        </is>
      </c>
      <c r="H79" s="50" t="inlineStr">
        <is>
          <t>Card</t>
        </is>
      </c>
      <c r="I79" s="82" t="inlineStr">
        <is>
          <t>✅ Paid</t>
        </is>
      </c>
      <c r="J79" t="inlineStr">
        <is>
          <t>4 x PolloNutryEnt ~2kg each</t>
        </is>
      </c>
    </row>
    <row r="80">
      <c r="B80" s="91" t="n">
        <v>46167</v>
      </c>
      <c r="C80" s="92" t="inlineStr">
        <is>
          <t>Naranja de Jugo (1.265 kg)</t>
        </is>
      </c>
      <c r="D80" s="93" t="inlineStr">
        <is>
          <t>Chedraui Paseo</t>
        </is>
      </c>
      <c r="E80" s="92" t="inlineStr">
        <is>
          <t>Ingredients - Fruit</t>
        </is>
      </c>
      <c r="F80" s="94" t="n">
        <v>37.82</v>
      </c>
      <c r="G80" s="41" t="inlineStr">
        <is>
          <t>Restaurant</t>
        </is>
      </c>
      <c r="H80" s="41" t="inlineStr">
        <is>
          <t>Card</t>
        </is>
      </c>
      <c r="I80" s="70" t="inlineStr">
        <is>
          <t>✅ Paid</t>
        </is>
      </c>
    </row>
    <row r="81">
      <c r="B81" s="91" t="n">
        <v>46167</v>
      </c>
      <c r="C81" s="96" t="inlineStr">
        <is>
          <t>Mango Paraiso (1.560 kg)</t>
        </is>
      </c>
      <c r="D81" s="95" t="inlineStr">
        <is>
          <t>Chedraui Paseo</t>
        </is>
      </c>
      <c r="E81" s="96" t="inlineStr">
        <is>
          <t>Ingredients - Fruit</t>
        </is>
      </c>
      <c r="F81" s="97" t="n">
        <v>45.24</v>
      </c>
      <c r="G81" s="50" t="inlineStr">
        <is>
          <t>Restaurant</t>
        </is>
      </c>
      <c r="H81" s="50" t="inlineStr">
        <is>
          <t>Card</t>
        </is>
      </c>
      <c r="I81" s="82" t="inlineStr">
        <is>
          <t>✅ Paid</t>
        </is>
      </c>
    </row>
    <row r="82">
      <c r="B82" s="91" t="n">
        <v>46167</v>
      </c>
      <c r="C82" s="92" t="inlineStr">
        <is>
          <t>Azucar Ref 10/1K + Pastel Chocolate</t>
        </is>
      </c>
      <c r="D82" s="93" t="inlineStr">
        <is>
          <t>Costco</t>
        </is>
      </c>
      <c r="E82" s="92" t="inlineStr">
        <is>
          <t>Ingredients - Pantry</t>
        </is>
      </c>
      <c r="F82" s="94" t="n">
        <v>488</v>
      </c>
      <c r="G82" s="41" t="inlineStr">
        <is>
          <t>Restaurant</t>
        </is>
      </c>
      <c r="H82" s="41" t="inlineStr">
        <is>
          <t>Card</t>
        </is>
      </c>
      <c r="I82" s="70" t="inlineStr">
        <is>
          <t>✅ Paid</t>
        </is>
      </c>
      <c r="J82" t="inlineStr">
        <is>
          <t>Azucar $275.18 + Pastel $224.03 — discount $11.21 applied</t>
        </is>
      </c>
    </row>
    <row r="83">
      <c r="B83" s="91" t="n">
        <v>46168</v>
      </c>
      <c r="C83" s="96" t="inlineStr">
        <is>
          <t>Arroz Extra LP 500G</t>
        </is>
      </c>
      <c r="D83" s="95" t="inlineStr">
        <is>
          <t>OXXO</t>
        </is>
      </c>
      <c r="E83" s="96" t="inlineStr">
        <is>
          <t>Ingredients - Pantry</t>
        </is>
      </c>
      <c r="F83" s="97" t="n">
        <v>47.6</v>
      </c>
      <c r="G83" s="50" t="inlineStr">
        <is>
          <t>Restaurant</t>
        </is>
      </c>
      <c r="H83" s="50" t="inlineStr">
        <is>
          <t>Card</t>
        </is>
      </c>
      <c r="I83" s="82" t="inlineStr">
        <is>
          <t>✅ Paid</t>
        </is>
      </c>
      <c r="J83" t="inlineStr">
        <is>
          <t>OXXO Circunvalacion QRF</t>
        </is>
      </c>
    </row>
    <row r="84">
      <c r="B84" s="91" t="n">
        <v>46168</v>
      </c>
      <c r="C84" s="92" t="inlineStr">
        <is>
          <t>Chapata Grande Sabores Varios (24)</t>
        </is>
      </c>
      <c r="D84" s="93" t="inlineStr">
        <is>
          <t>Real Abastos</t>
        </is>
      </c>
      <c r="E84" s="92" t="inlineStr">
        <is>
          <t>Ingredients - Bread</t>
        </is>
      </c>
      <c r="F84" s="94" t="n">
        <v>288</v>
      </c>
      <c r="G84" s="41" t="inlineStr">
        <is>
          <t>Restaurant</t>
        </is>
      </c>
      <c r="H84" s="41" t="inlineStr">
        <is>
          <t>Card</t>
        </is>
      </c>
      <c r="I84" s="70" t="inlineStr">
        <is>
          <t>✅ Paid</t>
        </is>
      </c>
      <c r="J84" t="inlineStr">
        <is>
          <t>24 pcs x $12 = $288</t>
        </is>
      </c>
    </row>
    <row r="85">
      <c r="B85" s="91" t="n">
        <v>46168</v>
      </c>
      <c r="C85" s="96" t="inlineStr">
        <is>
          <t>Tilapia (~6.74 kg)</t>
        </is>
      </c>
      <c r="D85" s="95" t="inlineStr">
        <is>
          <t>Pescaderia El Faro</t>
        </is>
      </c>
      <c r="E85" s="96" t="inlineStr">
        <is>
          <t>Ingredients - Meat &amp; Fish</t>
        </is>
      </c>
      <c r="F85" s="97" t="n">
        <v>244</v>
      </c>
      <c r="G85" s="50" t="inlineStr">
        <is>
          <t>Restaurant</t>
        </is>
      </c>
      <c r="H85" s="50" t="inlineStr">
        <is>
          <t>Cash</t>
        </is>
      </c>
      <c r="I85" s="82" t="inlineStr">
        <is>
          <t>✅ Paid</t>
        </is>
      </c>
      <c r="J85" t="inlineStr">
        <is>
          <t>Nota El Faro — corrected from $944 to $244</t>
        </is>
      </c>
    </row>
    <row r="86">
      <c r="B86" s="91" t="n">
        <v>46168</v>
      </c>
      <c r="C86" s="92" t="inlineStr">
        <is>
          <t>Bistek de Puerco</t>
        </is>
      </c>
      <c r="D86" s="93" t="inlineStr">
        <is>
          <t>Remision</t>
        </is>
      </c>
      <c r="E86" s="92" t="inlineStr">
        <is>
          <t>Ingredients - Meat</t>
        </is>
      </c>
      <c r="F86" s="94" t="n">
        <v>586</v>
      </c>
      <c r="G86" s="41" t="inlineStr">
        <is>
          <t>Restaurant</t>
        </is>
      </c>
      <c r="H86" s="41" t="inlineStr">
        <is>
          <t>Card</t>
        </is>
      </c>
      <c r="I86" s="70" t="inlineStr">
        <is>
          <t>✅ Paid</t>
        </is>
      </c>
      <c r="J86" t="inlineStr">
        <is>
          <t>Remision + Getnet card terminal</t>
        </is>
      </c>
    </row>
    <row r="87">
      <c r="B87" s="91" t="n">
        <v>46168</v>
      </c>
      <c r="C87" s="96" t="inlineStr">
        <is>
          <t>Tortillas Blancos</t>
        </is>
      </c>
      <c r="D87" s="95" t="inlineStr">
        <is>
          <t>—</t>
        </is>
      </c>
      <c r="E87" s="96" t="inlineStr">
        <is>
          <t>Ingredients - Pantry</t>
        </is>
      </c>
      <c r="F87" s="97" t="n">
        <v>26</v>
      </c>
      <c r="G87" s="50" t="inlineStr">
        <is>
          <t>Restaurant</t>
        </is>
      </c>
      <c r="H87" s="50" t="inlineStr">
        <is>
          <t>Cash</t>
        </is>
      </c>
      <c r="I87" s="82" t="inlineStr">
        <is>
          <t>✅ Paid</t>
        </is>
      </c>
      <c r="J87" t="inlineStr">
        <is>
          <t>No bill — cash purchase</t>
        </is>
      </c>
    </row>
    <row r="88">
      <c r="B88" s="91" t="n">
        <v>46169</v>
      </c>
      <c r="C88" s="92" t="inlineStr">
        <is>
          <t>Jamon Delicia Pierna Mandolin (2.005 kg)</t>
        </is>
      </c>
      <c r="D88" s="93" t="inlineStr">
        <is>
          <t>San Juan Salchichonerias</t>
        </is>
      </c>
      <c r="E88" s="92" t="inlineStr">
        <is>
          <t>Ingredients - Meat</t>
        </is>
      </c>
      <c r="F88" s="94" t="n">
        <v>170.22</v>
      </c>
      <c r="G88" s="41" t="inlineStr">
        <is>
          <t>Restaurant</t>
        </is>
      </c>
      <c r="H88" s="41" t="inlineStr">
        <is>
          <t>Card</t>
        </is>
      </c>
      <c r="I88" s="70" t="inlineStr">
        <is>
          <t>✅ Paid</t>
        </is>
      </c>
      <c r="J88" t="inlineStr">
        <is>
          <t>Rappi delivery — 27 May</t>
        </is>
      </c>
    </row>
    <row r="89">
      <c r="B89" s="91" t="n">
        <v>46169</v>
      </c>
      <c r="C89" s="96" t="inlineStr">
        <is>
          <t>Arroz La Posada 900g (x3, 2x1 promo)</t>
        </is>
      </c>
      <c r="D89" s="95" t="inlineStr">
        <is>
          <t>OXXO</t>
        </is>
      </c>
      <c r="E89" s="96" t="inlineStr">
        <is>
          <t>Ingredients - Pantry</t>
        </is>
      </c>
      <c r="F89" s="97" t="n">
        <v>60</v>
      </c>
      <c r="G89" s="50" t="inlineStr">
        <is>
          <t>Restaurant</t>
        </is>
      </c>
      <c r="H89" s="50" t="inlineStr">
        <is>
          <t>Card</t>
        </is>
      </c>
      <c r="I89" s="82" t="inlineStr">
        <is>
          <t>✅ Paid</t>
        </is>
      </c>
      <c r="J89" t="inlineStr">
        <is>
          <t>OXXO Unity QRF — buy 2 get 1 promo</t>
        </is>
      </c>
    </row>
    <row r="90">
      <c r="B90" s="91" t="n">
        <v>46169</v>
      </c>
      <c r="C90" s="92" t="inlineStr">
        <is>
          <t>Tres Leches Frutos Rojos</t>
        </is>
      </c>
      <c r="D90" s="93" t="inlineStr">
        <is>
          <t>Lecaroz 1972</t>
        </is>
      </c>
      <c r="E90" s="92" t="inlineStr">
        <is>
          <t>Ingredients - Desserts</t>
        </is>
      </c>
      <c r="F90" s="94" t="n">
        <v>260</v>
      </c>
      <c r="G90" s="41" t="inlineStr">
        <is>
          <t>Restaurant</t>
        </is>
      </c>
      <c r="H90" s="41" t="inlineStr">
        <is>
          <t>Card</t>
        </is>
      </c>
      <c r="I90" s="70" t="inlineStr">
        <is>
          <t>✅ Paid</t>
        </is>
      </c>
      <c r="J90" t="inlineStr">
        <is>
          <t>Panadería Circunvalacion</t>
        </is>
      </c>
    </row>
    <row r="91">
      <c r="B91" s="91" t="n">
        <v>46169</v>
      </c>
      <c r="C91" s="96" t="inlineStr">
        <is>
          <t>Tocino</t>
        </is>
      </c>
      <c r="D91" s="95" t="inlineStr">
        <is>
          <t>Remision</t>
        </is>
      </c>
      <c r="E91" s="96" t="inlineStr">
        <is>
          <t>Ingredients - Meat</t>
        </is>
      </c>
      <c r="F91" s="97" t="n">
        <v>236</v>
      </c>
      <c r="G91" s="50" t="inlineStr">
        <is>
          <t>Restaurant</t>
        </is>
      </c>
      <c r="H91" s="50" t="inlineStr">
        <is>
          <t>Card</t>
        </is>
      </c>
      <c r="I91" s="82" t="inlineStr">
        <is>
          <t>✅ Paid</t>
        </is>
      </c>
      <c r="J91" t="inlineStr">
        <is>
          <t>Remision + Getnet card terminal</t>
        </is>
      </c>
    </row>
    <row r="92">
      <c r="B92" s="91" t="n">
        <v>46169</v>
      </c>
      <c r="C92" s="92" t="inlineStr">
        <is>
          <t>Tortillas Blancos</t>
        </is>
      </c>
      <c r="D92" s="93" t="inlineStr">
        <is>
          <t>—</t>
        </is>
      </c>
      <c r="E92" s="92" t="inlineStr">
        <is>
          <t>Ingredients - Pantry</t>
        </is>
      </c>
      <c r="F92" s="94" t="n">
        <v>52</v>
      </c>
      <c r="G92" s="41" t="inlineStr">
        <is>
          <t>Restaurant</t>
        </is>
      </c>
      <c r="H92" s="41" t="inlineStr">
        <is>
          <t>Cash</t>
        </is>
      </c>
      <c r="I92" s="70" t="inlineStr">
        <is>
          <t>✅ Paid</t>
        </is>
      </c>
      <c r="J92" t="inlineStr">
        <is>
          <t>No bill — cash purchase</t>
        </is>
      </c>
    </row>
    <row r="93">
      <c r="B93" s="91" t="n">
        <v>46169</v>
      </c>
      <c r="C93" s="96" t="inlineStr">
        <is>
          <t>Vegetables</t>
        </is>
      </c>
      <c r="D93" s="95" t="inlineStr">
        <is>
          <t>—</t>
        </is>
      </c>
      <c r="E93" s="96" t="inlineStr">
        <is>
          <t>Ingredients - Vegetables</t>
        </is>
      </c>
      <c r="F93" s="97" t="n">
        <v>295</v>
      </c>
      <c r="G93" s="50" t="inlineStr">
        <is>
          <t>Restaurant</t>
        </is>
      </c>
      <c r="H93" s="50" t="inlineStr">
        <is>
          <t>Cash</t>
        </is>
      </c>
      <c r="I93" s="82" t="inlineStr">
        <is>
          <t>✅ Paid</t>
        </is>
      </c>
      <c r="J93" t="inlineStr">
        <is>
          <t>No bill — cash purchase</t>
        </is>
      </c>
    </row>
    <row r="94">
      <c r="B94" s="91" t="n">
        <v>46170</v>
      </c>
      <c r="C94" s="92" t="inlineStr">
        <is>
          <t>Bistec Cerdo + Pierna Cerdo</t>
        </is>
      </c>
      <c r="D94" s="93" t="inlineStr">
        <is>
          <t>Remision</t>
        </is>
      </c>
      <c r="E94" s="92" t="inlineStr">
        <is>
          <t>Ingredients - Meat</t>
        </is>
      </c>
      <c r="F94" s="94" t="n">
        <v>530</v>
      </c>
      <c r="G94" s="41" t="inlineStr">
        <is>
          <t>Restaurant</t>
        </is>
      </c>
      <c r="H94" s="41" t="inlineStr">
        <is>
          <t>Card</t>
        </is>
      </c>
      <c r="I94" s="70" t="inlineStr">
        <is>
          <t>✅ Paid</t>
        </is>
      </c>
      <c r="J94" t="inlineStr">
        <is>
          <t>Getnet terminal — 28 May</t>
        </is>
      </c>
    </row>
    <row r="95">
      <c r="B95" s="91" t="n">
        <v>46170</v>
      </c>
      <c r="C95" s="96" t="inlineStr">
        <is>
          <t>Muslo c/Hueso Amarillo + Elote + Cebolla</t>
        </is>
      </c>
      <c r="D95" s="95" t="inlineStr">
        <is>
          <t>H-E-B</t>
        </is>
      </c>
      <c r="E95" s="96" t="inlineStr">
        <is>
          <t>Ingredients - Meat</t>
        </is>
      </c>
      <c r="F95" s="97" t="n">
        <v>83.91</v>
      </c>
      <c r="G95" s="50" t="inlineStr">
        <is>
          <t>Restaurant</t>
        </is>
      </c>
      <c r="H95" s="50" t="inlineStr">
        <is>
          <t>Card</t>
        </is>
      </c>
      <c r="I95" s="82" t="inlineStr">
        <is>
          <t>✅ Paid</t>
        </is>
      </c>
      <c r="J95" t="inlineStr">
        <is>
          <t>Net after return of $268.91 (chicken issue)</t>
        </is>
      </c>
    </row>
    <row r="96">
      <c r="B96" s="91" t="n">
        <v>46170</v>
      </c>
      <c r="C96" s="92" t="inlineStr">
        <is>
          <t>QsoCrema Lala + Tortilla Amarilla</t>
        </is>
      </c>
      <c r="D96" s="93" t="inlineStr">
        <is>
          <t>Chedraui Selecto</t>
        </is>
      </c>
      <c r="E96" s="92" t="inlineStr">
        <is>
          <t>Ingredients - Dairy</t>
        </is>
      </c>
      <c r="F96" s="94" t="n">
        <v>56.11</v>
      </c>
      <c r="G96" s="41" t="inlineStr">
        <is>
          <t>Restaurant</t>
        </is>
      </c>
      <c r="H96" s="41" t="inlineStr">
        <is>
          <t>Card</t>
        </is>
      </c>
      <c r="I96" s="70" t="inlineStr">
        <is>
          <t>✅ Paid</t>
        </is>
      </c>
    </row>
    <row r="97">
      <c r="B97" s="91" t="n">
        <v>46170</v>
      </c>
      <c r="C97" s="96" t="inlineStr">
        <is>
          <t>Microfibra Formula (2 pcs)</t>
        </is>
      </c>
      <c r="D97" s="95" t="inlineStr">
        <is>
          <t>Chedraui Selecto</t>
        </is>
      </c>
      <c r="E97" s="96" t="inlineStr">
        <is>
          <t>Supplies / Other</t>
        </is>
      </c>
      <c r="F97" s="97" t="n">
        <v>23.2</v>
      </c>
      <c r="G97" s="50" t="inlineStr">
        <is>
          <t>Restaurant</t>
        </is>
      </c>
      <c r="H97" s="50" t="inlineStr">
        <is>
          <t>Card</t>
        </is>
      </c>
      <c r="I97" s="82" t="inlineStr">
        <is>
          <t>✅ Paid</t>
        </is>
      </c>
      <c r="J97" t="inlineStr">
        <is>
          <t>Cleaning supplies</t>
        </is>
      </c>
    </row>
    <row r="98">
      <c r="B98" s="91" t="n">
        <v>46170</v>
      </c>
      <c r="C98" s="92" t="inlineStr">
        <is>
          <t>Nutralat Milk 1.5L (x2)</t>
        </is>
      </c>
      <c r="D98" s="93" t="inlineStr">
        <is>
          <t>OXXO</t>
        </is>
      </c>
      <c r="E98" s="92" t="inlineStr">
        <is>
          <t>Ingredients - Dairy</t>
        </is>
      </c>
      <c r="F98" s="94" t="n">
        <v>48</v>
      </c>
      <c r="G98" s="41" t="inlineStr">
        <is>
          <t>Restaurant</t>
        </is>
      </c>
      <c r="H98" s="41" t="inlineStr">
        <is>
          <t>Card</t>
        </is>
      </c>
      <c r="I98" s="70" t="inlineStr">
        <is>
          <t>✅ Paid</t>
        </is>
      </c>
      <c r="J98" t="inlineStr">
        <is>
          <t>OXXO Pathe QRF</t>
        </is>
      </c>
    </row>
    <row r="99">
      <c r="B99" s="91" t="n">
        <v>46170</v>
      </c>
      <c r="C99" s="96" t="inlineStr">
        <is>
          <t>Muslo con Hueso (4.8 kg)</t>
        </is>
      </c>
      <c r="D99" s="95" t="inlineStr">
        <is>
          <t>Merjaliz</t>
        </is>
      </c>
      <c r="E99" s="96" t="inlineStr">
        <is>
          <t>Ingredients - Meat</t>
        </is>
      </c>
      <c r="F99" s="97" t="n">
        <v>336</v>
      </c>
      <c r="G99" s="50" t="inlineStr">
        <is>
          <t>Restaurant</t>
        </is>
      </c>
      <c r="H99" s="50" t="inlineStr">
        <is>
          <t>Cash</t>
        </is>
      </c>
      <c r="I99" s="82" t="inlineStr">
        <is>
          <t>✅ Paid</t>
        </is>
      </c>
      <c r="J99" t="inlineStr">
        <is>
          <t>Mercado de Abastos — 4.8kg x $70</t>
        </is>
      </c>
    </row>
    <row r="100">
      <c r="B100" s="91" t="n">
        <v>46170</v>
      </c>
      <c r="C100" s="92" t="inlineStr">
        <is>
          <t>Queso Panela Quinta Azul Granel (2.4 kg)</t>
        </is>
      </c>
      <c r="D100" s="93" t="inlineStr">
        <is>
          <t>CAQ</t>
        </is>
      </c>
      <c r="E100" s="92" t="inlineStr">
        <is>
          <t>Ingredients - Dairy</t>
        </is>
      </c>
      <c r="F100" s="94" t="n">
        <v>296.12</v>
      </c>
      <c r="G100" s="41" t="inlineStr">
        <is>
          <t>Restaurant</t>
        </is>
      </c>
      <c r="H100" s="41" t="inlineStr">
        <is>
          <t>Card</t>
        </is>
      </c>
      <c r="I100" s="70" t="inlineStr">
        <is>
          <t>✅ Paid</t>
        </is>
      </c>
      <c r="J100" t="inlineStr">
        <is>
          <t>2.4kg x $123.38</t>
        </is>
      </c>
    </row>
    <row r="101">
      <c r="B101" s="91" t="n">
        <v>46170</v>
      </c>
      <c r="C101" s="96" t="inlineStr">
        <is>
          <t>Queso Gouda Menona (1 unit)</t>
        </is>
      </c>
      <c r="D101" s="95" t="inlineStr">
        <is>
          <t>Bodega del Queso</t>
        </is>
      </c>
      <c r="E101" s="96" t="inlineStr">
        <is>
          <t>Ingredients - Dairy</t>
        </is>
      </c>
      <c r="F101" s="97" t="n">
        <v>135</v>
      </c>
      <c r="G101" s="50" t="inlineStr">
        <is>
          <t>Restaurant</t>
        </is>
      </c>
      <c r="H101" s="50" t="inlineStr">
        <is>
          <t>Cash</t>
        </is>
      </c>
      <c r="I101" s="82" t="inlineStr">
        <is>
          <t>✅ Paid</t>
        </is>
      </c>
      <c r="J101" t="inlineStr">
        <is>
          <t>Restaurant portion only — 1 of 2 units</t>
        </is>
      </c>
    </row>
    <row r="102">
      <c r="B102" s="91" t="n">
        <v>46170</v>
      </c>
      <c r="C102" s="92" t="inlineStr">
        <is>
          <t>Lechuga Italiana</t>
        </is>
      </c>
      <c r="D102" s="93" t="inlineStr">
        <is>
          <t>—</t>
        </is>
      </c>
      <c r="E102" s="92" t="inlineStr">
        <is>
          <t>Ingredients - Vegetables</t>
        </is>
      </c>
      <c r="F102" s="94" t="n">
        <v>48</v>
      </c>
      <c r="G102" s="41" t="inlineStr">
        <is>
          <t>Restaurant</t>
        </is>
      </c>
      <c r="H102" s="41" t="inlineStr">
        <is>
          <t>Cash</t>
        </is>
      </c>
      <c r="I102" s="70" t="inlineStr">
        <is>
          <t>✅ Paid</t>
        </is>
      </c>
      <c r="J102" t="inlineStr">
        <is>
          <t>No bill</t>
        </is>
      </c>
    </row>
    <row r="103">
      <c r="B103" s="91" t="n">
        <v>46170</v>
      </c>
      <c r="C103" s="96" t="inlineStr">
        <is>
          <t>Hielo</t>
        </is>
      </c>
      <c r="D103" s="95" t="inlineStr">
        <is>
          <t>—</t>
        </is>
      </c>
      <c r="E103" s="96" t="inlineStr">
        <is>
          <t>Supplies / Other</t>
        </is>
      </c>
      <c r="F103" s="97" t="n">
        <v>100</v>
      </c>
      <c r="G103" s="50" t="inlineStr">
        <is>
          <t>Restaurant</t>
        </is>
      </c>
      <c r="H103" s="50" t="inlineStr">
        <is>
          <t>Cash</t>
        </is>
      </c>
      <c r="I103" s="82" t="inlineStr">
        <is>
          <t>✅ Paid</t>
        </is>
      </c>
      <c r="J103" t="inlineStr">
        <is>
          <t>No bill</t>
        </is>
      </c>
    </row>
    <row r="104">
      <c r="B104" s="91" t="n">
        <v>46170</v>
      </c>
      <c r="C104" s="92" t="inlineStr">
        <is>
          <t>Agua Natural</t>
        </is>
      </c>
      <c r="D104" s="93" t="inlineStr">
        <is>
          <t>—</t>
        </is>
      </c>
      <c r="E104" s="92" t="inlineStr">
        <is>
          <t>Supplies / Other</t>
        </is>
      </c>
      <c r="F104" s="94" t="n">
        <v>45</v>
      </c>
      <c r="G104" s="41" t="inlineStr">
        <is>
          <t>Restaurant</t>
        </is>
      </c>
      <c r="H104" s="41" t="inlineStr">
        <is>
          <t>Cash</t>
        </is>
      </c>
      <c r="I104" s="70" t="inlineStr">
        <is>
          <t>✅ Paid</t>
        </is>
      </c>
      <c r="J104" t="inlineStr">
        <is>
          <t>No bill</t>
        </is>
      </c>
    </row>
    <row r="105">
      <c r="B105" s="91" t="n">
        <v>46170</v>
      </c>
      <c r="C105" s="96" t="inlineStr">
        <is>
          <t>Potato (Papas)</t>
        </is>
      </c>
      <c r="D105" s="95" t="inlineStr">
        <is>
          <t>—</t>
        </is>
      </c>
      <c r="E105" s="96" t="inlineStr">
        <is>
          <t>Ingredients - Vegetables</t>
        </is>
      </c>
      <c r="F105" s="97" t="n">
        <v>200</v>
      </c>
      <c r="G105" s="50" t="inlineStr">
        <is>
          <t>Restaurant</t>
        </is>
      </c>
      <c r="H105" s="50" t="inlineStr">
        <is>
          <t>Cash</t>
        </is>
      </c>
      <c r="I105" s="82" t="inlineStr">
        <is>
          <t>✅ Paid</t>
        </is>
      </c>
      <c r="J105" t="inlineStr">
        <is>
          <t>No bill</t>
        </is>
      </c>
    </row>
    <row r="106">
      <c r="B106" s="91" t="n">
        <v>46170</v>
      </c>
      <c r="C106" s="92" t="inlineStr">
        <is>
          <t>Lechuga Italiana</t>
        </is>
      </c>
      <c r="D106" s="93" t="inlineStr">
        <is>
          <t>—</t>
        </is>
      </c>
      <c r="E106" s="92" t="inlineStr">
        <is>
          <t>Ingredients - Vegetables</t>
        </is>
      </c>
      <c r="F106" s="94" t="n">
        <v>30</v>
      </c>
      <c r="G106" s="41" t="inlineStr">
        <is>
          <t>Restaurant</t>
        </is>
      </c>
      <c r="H106" s="41" t="inlineStr">
        <is>
          <t>Cash</t>
        </is>
      </c>
      <c r="I106" s="70" t="inlineStr">
        <is>
          <t>✅ Paid</t>
        </is>
      </c>
      <c r="J106" t="inlineStr">
        <is>
          <t>No bill</t>
        </is>
      </c>
    </row>
    <row r="107">
      <c r="B107" s="91" t="n">
        <v>46171</v>
      </c>
      <c r="C107" s="96" t="inlineStr">
        <is>
          <t>Jitomate (2.030 kg)</t>
        </is>
      </c>
      <c r="D107" s="95" t="inlineStr">
        <is>
          <t>Super Fruterias Bermudez</t>
        </is>
      </c>
      <c r="E107" s="96" t="inlineStr">
        <is>
          <t>Ingredients - Vegetables</t>
        </is>
      </c>
      <c r="F107" s="97" t="n">
        <v>99.47</v>
      </c>
      <c r="G107" s="50" t="inlineStr">
        <is>
          <t>Restaurant</t>
        </is>
      </c>
      <c r="H107" s="50" t="inlineStr">
        <is>
          <t>Cash</t>
        </is>
      </c>
      <c r="I107" s="82" t="inlineStr">
        <is>
          <t>✅ Paid</t>
        </is>
      </c>
      <c r="J107" t="inlineStr">
        <is>
          <t>2.030kg x $49/kg</t>
        </is>
      </c>
    </row>
    <row r="108">
      <c r="B108" s="91" t="n">
        <v>46171</v>
      </c>
      <c r="C108" s="92" t="inlineStr">
        <is>
          <t>Tortillas Blanca (3.875 kg)</t>
        </is>
      </c>
      <c r="D108" s="93" t="inlineStr">
        <is>
          <t>Chedraui Paseo</t>
        </is>
      </c>
      <c r="E108" s="92" t="inlineStr">
        <is>
          <t>Ingredients - Pantry</t>
        </is>
      </c>
      <c r="F108" s="94" t="n">
        <v>51.92</v>
      </c>
      <c r="G108" s="41" t="inlineStr">
        <is>
          <t>Restaurant</t>
        </is>
      </c>
      <c r="H108" s="41" t="inlineStr">
        <is>
          <t>Card</t>
        </is>
      </c>
      <c r="I108" s="70" t="inlineStr">
        <is>
          <t>✅ Paid</t>
        </is>
      </c>
    </row>
    <row r="109">
      <c r="B109" s="91" t="n">
        <v>46171</v>
      </c>
      <c r="C109" s="96" t="inlineStr">
        <is>
          <t>Concha Chocolate (3 pcs)</t>
        </is>
      </c>
      <c r="D109" s="95" t="inlineStr">
        <is>
          <t>Chedraui Paseo</t>
        </is>
      </c>
      <c r="E109" s="96" t="inlineStr">
        <is>
          <t>Ingredients - Bread</t>
        </is>
      </c>
      <c r="F109" s="97" t="n">
        <v>36</v>
      </c>
      <c r="G109" s="50" t="inlineStr">
        <is>
          <t>Restaurant</t>
        </is>
      </c>
      <c r="H109" s="50" t="inlineStr">
        <is>
          <t>Card</t>
        </is>
      </c>
      <c r="I109" s="82" t="inlineStr">
        <is>
          <t>✅ Paid</t>
        </is>
      </c>
    </row>
    <row r="110">
      <c r="B110" s="91" t="n">
        <v>46171</v>
      </c>
      <c r="C110" s="92" t="inlineStr">
        <is>
          <t>Rosca Marmoleada</t>
        </is>
      </c>
      <c r="D110" s="93" t="inlineStr">
        <is>
          <t>Chedraui Paseo</t>
        </is>
      </c>
      <c r="E110" s="92" t="inlineStr">
        <is>
          <t>Ingredients - Bread</t>
        </is>
      </c>
      <c r="F110" s="94" t="n">
        <v>69.90000000000001</v>
      </c>
      <c r="G110" s="41" t="inlineStr">
        <is>
          <t>Restaurant</t>
        </is>
      </c>
      <c r="H110" s="41" t="inlineStr">
        <is>
          <t>Card</t>
        </is>
      </c>
      <c r="I110" s="70" t="inlineStr">
        <is>
          <t>✅ Paid</t>
        </is>
      </c>
    </row>
    <row r="111">
      <c r="B111" s="91" t="n">
        <v>46172</v>
      </c>
      <c r="C111" s="96" t="inlineStr">
        <is>
          <t>Arroz La Posada 900g (4 pcs, 2x1 promo)</t>
        </is>
      </c>
      <c r="D111" s="95" t="inlineStr">
        <is>
          <t>OXXO Pathe QRF</t>
        </is>
      </c>
      <c r="E111" s="96" t="inlineStr">
        <is>
          <t>Ingredients - Pantry</t>
        </is>
      </c>
      <c r="F111" s="97" t="n">
        <v>60</v>
      </c>
      <c r="G111" s="50" t="inlineStr">
        <is>
          <t>Restaurant</t>
        </is>
      </c>
      <c r="H111" s="50" t="inlineStr">
        <is>
          <t>Card</t>
        </is>
      </c>
      <c r="I111" s="82" t="inlineStr">
        <is>
          <t>✅ Paid</t>
        </is>
      </c>
      <c r="J111" t="inlineStr">
        <is>
          <t>4 packs, buy 2 get 2 promo — $11.60 saving</t>
        </is>
      </c>
    </row>
    <row r="112">
      <c r="B112" s="91" t="n">
        <v>46172</v>
      </c>
      <c r="C112" s="92" t="inlineStr">
        <is>
          <t>Frijol Bayos REF 430g</t>
        </is>
      </c>
      <c r="D112" s="93" t="inlineStr">
        <is>
          <t>OXXO Pathe QRF</t>
        </is>
      </c>
      <c r="E112" s="92" t="inlineStr">
        <is>
          <t>Ingredients - Pantry</t>
        </is>
      </c>
      <c r="F112" s="94" t="n">
        <v>17.9</v>
      </c>
      <c r="G112" s="41" t="inlineStr">
        <is>
          <t>Restaurant</t>
        </is>
      </c>
      <c r="H112" s="41" t="inlineStr">
        <is>
          <t>Card</t>
        </is>
      </c>
      <c r="I112" s="70" t="inlineStr">
        <is>
          <t>✅ Paid</t>
        </is>
      </c>
      <c r="J112" t="inlineStr">
        <is>
          <t>$1.00 discount applied</t>
        </is>
      </c>
    </row>
    <row r="113">
      <c r="B113" s="91" t="n">
        <v>46172</v>
      </c>
      <c r="C113" s="96" t="inlineStr">
        <is>
          <t>Huevo BCO Bachoco 12P</t>
        </is>
      </c>
      <c r="D113" s="95" t="inlineStr">
        <is>
          <t>OXXO Pathe QRF</t>
        </is>
      </c>
      <c r="E113" s="96" t="inlineStr">
        <is>
          <t>Ingredients - Pantry</t>
        </is>
      </c>
      <c r="F113" s="97" t="n">
        <v>36</v>
      </c>
      <c r="G113" s="50" t="inlineStr">
        <is>
          <t>Restaurant</t>
        </is>
      </c>
      <c r="H113" s="50" t="inlineStr">
        <is>
          <t>Cash</t>
        </is>
      </c>
      <c r="I113" s="82" t="inlineStr">
        <is>
          <t>✅ Paid</t>
        </is>
      </c>
      <c r="J113" t="inlineStr">
        <is>
          <t>$8.50 discount applied — paid $50 cash change $14</t>
        </is>
      </c>
    </row>
    <row r="114">
      <c r="B114" s="91" t="n">
        <v>46172</v>
      </c>
      <c r="C114" s="92" t="inlineStr">
        <is>
          <t>Frutas y Verduras variadas</t>
        </is>
      </c>
      <c r="D114" s="93" t="inlineStr">
        <is>
          <t>Fruteria Franco</t>
        </is>
      </c>
      <c r="E114" s="92" t="inlineStr">
        <is>
          <t>Ingredients - Fruit</t>
        </is>
      </c>
      <c r="F114" s="94" t="n">
        <v>220</v>
      </c>
      <c r="G114" s="41" t="inlineStr">
        <is>
          <t>Restaurant</t>
        </is>
      </c>
      <c r="H114" s="41" t="inlineStr">
        <is>
          <t>Card</t>
        </is>
      </c>
      <c r="I114" s="70" t="inlineStr">
        <is>
          <t>✅ Paid</t>
        </is>
      </c>
      <c r="J114" t="inlineStr">
        <is>
          <t>Mercado Pago — Fruteria Franco</t>
        </is>
      </c>
    </row>
    <row r="115">
      <c r="B115" s="91" t="n">
        <v>46172</v>
      </c>
      <c r="C115" s="96" t="inlineStr">
        <is>
          <t>Pollo Muslo</t>
        </is>
      </c>
      <c r="D115" s="95" t="inlineStr">
        <is>
          <t>—</t>
        </is>
      </c>
      <c r="E115" s="96" t="inlineStr">
        <is>
          <t>Ingredients - Meat</t>
        </is>
      </c>
      <c r="F115" s="97" t="n">
        <v>310</v>
      </c>
      <c r="G115" s="50" t="inlineStr">
        <is>
          <t>Restaurant</t>
        </is>
      </c>
      <c r="H115" s="50" t="inlineStr">
        <is>
          <t>Cash</t>
        </is>
      </c>
      <c r="I115" s="82" t="inlineStr">
        <is>
          <t>✅ Paid</t>
        </is>
      </c>
      <c r="J115" t="inlineStr">
        <is>
          <t>No bill — cash purchase</t>
        </is>
      </c>
    </row>
    <row r="116">
      <c r="B116" s="91" t="n">
        <v>46172</v>
      </c>
      <c r="C116" s="92" t="inlineStr">
        <is>
          <t>John — Saldo Semana (Week 2)</t>
        </is>
      </c>
      <c r="D116" s="93" t="inlineStr">
        <is>
          <t>Nomina</t>
        </is>
      </c>
      <c r="E116" s="92" t="inlineStr">
        <is>
          <t>Staff - Salary</t>
        </is>
      </c>
      <c r="F116" s="94" t="n">
        <v>3750</v>
      </c>
      <c r="G116" s="41" t="inlineStr">
        <is>
          <t>Restaurant</t>
        </is>
      </c>
      <c r="H116" s="41" t="inlineStr">
        <is>
          <t>Cash</t>
        </is>
      </c>
      <c r="I116" s="70" t="inlineStr">
        <is>
          <t>✅ Paid</t>
        </is>
      </c>
      <c r="J116" t="inlineStr">
        <is>
          <t>Head Chef — weekly salary Week 2</t>
        </is>
      </c>
    </row>
    <row r="117">
      <c r="B117" s="91" t="n">
        <v>46172</v>
      </c>
      <c r="C117" s="96" t="inlineStr">
        <is>
          <t>Duvi/Debi — Limpieza (Week 2)</t>
        </is>
      </c>
      <c r="D117" s="95" t="inlineStr">
        <is>
          <t>Nomina</t>
        </is>
      </c>
      <c r="E117" s="96" t="inlineStr">
        <is>
          <t>Staff - Salary</t>
        </is>
      </c>
      <c r="F117" s="97" t="n">
        <v>1500</v>
      </c>
      <c r="G117" s="50" t="inlineStr">
        <is>
          <t>Restaurant</t>
        </is>
      </c>
      <c r="H117" s="50" t="inlineStr">
        <is>
          <t>Cash</t>
        </is>
      </c>
      <c r="I117" s="82" t="inlineStr">
        <is>
          <t>✅ Paid</t>
        </is>
      </c>
      <c r="J117" t="inlineStr">
        <is>
          <t>Cleaning staff — weekly salary Week 2</t>
        </is>
      </c>
    </row>
    <row r="118">
      <c r="B118" s="91" t="n">
        <v>46172</v>
      </c>
      <c r="C118" s="92" t="inlineStr">
        <is>
          <t>Tomate (0.930 kg)</t>
        </is>
      </c>
      <c r="D118" s="93" t="inlineStr">
        <is>
          <t>Super Fruterias Bermudez</t>
        </is>
      </c>
      <c r="E118" s="92" t="inlineStr">
        <is>
          <t>Ingredients - Vegetables</t>
        </is>
      </c>
      <c r="F118" s="94" t="n">
        <v>18.6</v>
      </c>
      <c r="G118" s="41" t="inlineStr">
        <is>
          <t>Restaurant</t>
        </is>
      </c>
      <c r="H118" s="41" t="inlineStr">
        <is>
          <t>Cash</t>
        </is>
      </c>
      <c r="I118" s="70" t="inlineStr">
        <is>
          <t>✅ Paid</t>
        </is>
      </c>
      <c r="J118" t="inlineStr">
        <is>
          <t>0.930kg x $20/kg</t>
        </is>
      </c>
    </row>
    <row r="119">
      <c r="B119" s="91" t="n">
        <v>46172</v>
      </c>
      <c r="C119" s="96" t="inlineStr">
        <is>
          <t>Jitomate (1.180 kg)</t>
        </is>
      </c>
      <c r="D119" s="95" t="inlineStr">
        <is>
          <t>Super Fruterias Bermudez</t>
        </is>
      </c>
      <c r="E119" s="96" t="inlineStr">
        <is>
          <t>Ingredients - Vegetables</t>
        </is>
      </c>
      <c r="F119" s="97" t="n">
        <v>57.8</v>
      </c>
      <c r="G119" s="50" t="inlineStr">
        <is>
          <t>Restaurant</t>
        </is>
      </c>
      <c r="H119" s="50" t="inlineStr">
        <is>
          <t>Cash</t>
        </is>
      </c>
      <c r="I119" s="82" t="inlineStr">
        <is>
          <t>✅ Paid</t>
        </is>
      </c>
      <c r="J119" t="inlineStr">
        <is>
          <t>1.180kg x $49/kg</t>
        </is>
      </c>
    </row>
    <row r="120">
      <c r="B120" s="91" t="n">
        <v>46172</v>
      </c>
      <c r="C120" s="92" t="inlineStr">
        <is>
          <t>Cilantro (4 un)</t>
        </is>
      </c>
      <c r="D120" s="93" t="inlineStr">
        <is>
          <t>Super Fruterias Bermudez</t>
        </is>
      </c>
      <c r="E120" s="92" t="inlineStr">
        <is>
          <t>Ingredients - Vegetables</t>
        </is>
      </c>
      <c r="F120" s="94" t="n">
        <v>4</v>
      </c>
      <c r="G120" s="41" t="inlineStr">
        <is>
          <t>Restaurant</t>
        </is>
      </c>
      <c r="H120" s="41" t="inlineStr">
        <is>
          <t>Cash</t>
        </is>
      </c>
      <c r="I120" s="70" t="inlineStr">
        <is>
          <t>✅ Paid</t>
        </is>
      </c>
      <c r="J120" t="inlineStr">
        <is>
          <t>4 units x $1/un</t>
        </is>
      </c>
    </row>
    <row r="121">
      <c r="B121" s="91" t="n">
        <v>46173</v>
      </c>
      <c r="C121" s="96" t="inlineStr">
        <is>
          <t>Aceite La Posada 800 (12 units, 2x1 promo)</t>
        </is>
      </c>
      <c r="D121" s="95" t="inlineStr">
        <is>
          <t>OXXO</t>
        </is>
      </c>
      <c r="E121" s="96" t="inlineStr">
        <is>
          <t>Ingredients - Pantry</t>
        </is>
      </c>
      <c r="F121" s="97" t="n">
        <v>312</v>
      </c>
      <c r="G121" s="50" t="inlineStr">
        <is>
          <t>Restaurant</t>
        </is>
      </c>
      <c r="H121" s="50" t="inlineStr">
        <is>
          <t>Card</t>
        </is>
      </c>
      <c r="I121" s="82" t="inlineStr">
        <is>
          <t>✅ Paid</t>
        </is>
      </c>
      <c r="J121" t="inlineStr">
        <is>
          <t>$70.80 discount applied — Mercado Libre payment</t>
        </is>
      </c>
    </row>
    <row r="122">
      <c r="B122" s="91" t="n">
        <v>46174</v>
      </c>
      <c r="C122" s="92" t="inlineStr">
        <is>
          <t>Propinas - John (Week 2)</t>
        </is>
      </c>
      <c r="D122" s="93" t="inlineStr">
        <is>
          <t>Nomina</t>
        </is>
      </c>
      <c r="E122" s="92" t="inlineStr">
        <is>
          <t>Staff - Tips Distribution</t>
        </is>
      </c>
      <c r="F122" s="94" t="n">
        <v>350</v>
      </c>
      <c r="G122" s="41" t="inlineStr">
        <is>
          <t>Restaurant</t>
        </is>
      </c>
      <c r="H122" s="41" t="inlineStr">
        <is>
          <t>Cash</t>
        </is>
      </c>
      <c r="I122" s="70" t="inlineStr">
        <is>
          <t>✅ Paid</t>
        </is>
      </c>
      <c r="J122" t="inlineStr">
        <is>
          <t>Week 2 propinas — John</t>
        </is>
      </c>
    </row>
    <row r="123">
      <c r="B123" s="91" t="n">
        <v>46174</v>
      </c>
      <c r="C123" s="96" t="inlineStr">
        <is>
          <t>Propinas - Duvi/Debi (Week 2)</t>
        </is>
      </c>
      <c r="D123" s="95" t="inlineStr">
        <is>
          <t>Nomina</t>
        </is>
      </c>
      <c r="E123" s="96" t="inlineStr">
        <is>
          <t>Staff - Tips Distribution</t>
        </is>
      </c>
      <c r="F123" s="97" t="n">
        <v>350</v>
      </c>
      <c r="G123" s="50" t="inlineStr">
        <is>
          <t>Restaurant</t>
        </is>
      </c>
      <c r="H123" s="50" t="inlineStr">
        <is>
          <t>Cash</t>
        </is>
      </c>
      <c r="I123" s="82" t="inlineStr">
        <is>
          <t>✅ Paid</t>
        </is>
      </c>
      <c r="J123" t="inlineStr">
        <is>
          <t>Week 2 propinas — Duvi/Debi</t>
        </is>
      </c>
    </row>
    <row r="124">
      <c r="B124" s="91" t="n">
        <v>46174</v>
      </c>
      <c r="C124" s="92" t="inlineStr">
        <is>
          <t>Azucar Morena 10/1</t>
        </is>
      </c>
      <c r="D124" s="93" t="inlineStr">
        <is>
          <t>Costco</t>
        </is>
      </c>
      <c r="E124" s="92" t="inlineStr">
        <is>
          <t>Ingredients - Pantry</t>
        </is>
      </c>
      <c r="F124" s="94" t="n">
        <v>219.94</v>
      </c>
      <c r="G124" s="41" t="inlineStr">
        <is>
          <t>Restaurant</t>
        </is>
      </c>
      <c r="H124" s="41" t="inlineStr">
        <is>
          <t>Card</t>
        </is>
      </c>
      <c r="I124" s="70" t="inlineStr">
        <is>
          <t>✅ Paid</t>
        </is>
      </c>
    </row>
    <row r="125">
      <c r="B125" s="91" t="n">
        <v>46174</v>
      </c>
      <c r="C125" s="96" t="inlineStr">
        <is>
          <t>Atun DOL.AG 10/140</t>
        </is>
      </c>
      <c r="D125" s="95" t="inlineStr">
        <is>
          <t>Costco</t>
        </is>
      </c>
      <c r="E125" s="96" t="inlineStr">
        <is>
          <t>Ingredients - Pantry</t>
        </is>
      </c>
      <c r="F125" s="97" t="n">
        <v>193.34</v>
      </c>
      <c r="G125" s="50" t="inlineStr">
        <is>
          <t>Restaurant</t>
        </is>
      </c>
      <c r="H125" s="50" t="inlineStr">
        <is>
          <t>Card</t>
        </is>
      </c>
      <c r="I125" s="82" t="inlineStr">
        <is>
          <t>✅ Paid</t>
        </is>
      </c>
    </row>
    <row r="126">
      <c r="B126" s="91" t="n">
        <v>46174</v>
      </c>
      <c r="C126" s="92" t="inlineStr">
        <is>
          <t>Mayonesa 3.7L (x2)</t>
        </is>
      </c>
      <c r="D126" s="93" t="inlineStr">
        <is>
          <t>Costco</t>
        </is>
      </c>
      <c r="E126" s="92" t="inlineStr">
        <is>
          <t>Ingredients - Pantry</t>
        </is>
      </c>
      <c r="F126" s="94" t="n">
        <v>468.52</v>
      </c>
      <c r="G126" s="41" t="inlineStr">
        <is>
          <t>Restaurant</t>
        </is>
      </c>
      <c r="H126" s="41" t="inlineStr">
        <is>
          <t>Card</t>
        </is>
      </c>
      <c r="I126" s="70" t="inlineStr">
        <is>
          <t>✅ Paid</t>
        </is>
      </c>
      <c r="J126" t="inlineStr">
        <is>
          <t>2 packs x $234.26</t>
        </is>
      </c>
    </row>
    <row r="127">
      <c r="B127" s="91" t="n">
        <v>46174</v>
      </c>
      <c r="C127" s="96" t="inlineStr">
        <is>
          <t>Agua Mineral 12/600ml</t>
        </is>
      </c>
      <c r="D127" s="95" t="inlineStr">
        <is>
          <t>Costco</t>
        </is>
      </c>
      <c r="E127" s="96" t="inlineStr">
        <is>
          <t>Ingredients - Beverages</t>
        </is>
      </c>
      <c r="F127" s="97" t="n">
        <v>230.16</v>
      </c>
      <c r="G127" s="50" t="inlineStr">
        <is>
          <t>Restaurant</t>
        </is>
      </c>
      <c r="H127" s="50" t="inlineStr">
        <is>
          <t>Card</t>
        </is>
      </c>
      <c r="I127" s="82" t="inlineStr">
        <is>
          <t>✅ Paid</t>
        </is>
      </c>
      <c r="J127" t="inlineStr">
        <is>
          <t>Net after $30.68 discount split</t>
        </is>
      </c>
    </row>
    <row r="128">
      <c r="B128" s="91" t="n">
        <v>46174</v>
      </c>
      <c r="C128" s="92" t="inlineStr">
        <is>
          <t>Pastel Queso Guayaba</t>
        </is>
      </c>
      <c r="D128" s="93" t="inlineStr">
        <is>
          <t>Costco</t>
        </is>
      </c>
      <c r="E128" s="92" t="inlineStr">
        <is>
          <t>Ingredients - Bread</t>
        </is>
      </c>
      <c r="F128" s="94" t="n">
        <v>224.04</v>
      </c>
      <c r="G128" s="41" t="inlineStr">
        <is>
          <t>Restaurant</t>
        </is>
      </c>
      <c r="H128" s="41" t="inlineStr">
        <is>
          <t>Card</t>
        </is>
      </c>
      <c r="I128" s="70" t="inlineStr">
        <is>
          <t>✅ Paid</t>
        </is>
      </c>
      <c r="J128" t="inlineStr">
        <is>
          <t>Net after discount allocation</t>
        </is>
      </c>
    </row>
    <row r="129">
      <c r="B129" s="91" t="n">
        <v>46174</v>
      </c>
      <c r="C129" s="96" t="inlineStr">
        <is>
          <t>Arroz 10/900 (3 packs)</t>
        </is>
      </c>
      <c r="D129" s="95" t="inlineStr">
        <is>
          <t>Sam's Club</t>
        </is>
      </c>
      <c r="E129" s="96" t="inlineStr">
        <is>
          <t>Ingredients - Pantry</t>
        </is>
      </c>
      <c r="F129" s="97" t="n">
        <v>540</v>
      </c>
      <c r="G129" s="50" t="inlineStr">
        <is>
          <t>Restaurant</t>
        </is>
      </c>
      <c r="H129" s="50" t="inlineStr">
        <is>
          <t>Card</t>
        </is>
      </c>
      <c r="I129" s="82" t="inlineStr">
        <is>
          <t>✅ Paid</t>
        </is>
      </c>
      <c r="J129" t="inlineStr">
        <is>
          <t>3 x $184.14, discount -$12.42</t>
        </is>
      </c>
    </row>
    <row r="130">
      <c r="B130" s="91" t="n">
        <v>46174</v>
      </c>
      <c r="C130" s="92" t="inlineStr">
        <is>
          <t>Arrachera Clarita</t>
        </is>
      </c>
      <c r="D130" s="93" t="inlineStr">
        <is>
          <t>Miscelanea LC La Cruz</t>
        </is>
      </c>
      <c r="E130" s="92" t="inlineStr">
        <is>
          <t>Ingredients - Meat</t>
        </is>
      </c>
      <c r="F130" s="94" t="n">
        <v>303</v>
      </c>
      <c r="G130" s="41" t="inlineStr">
        <is>
          <t>Restaurant</t>
        </is>
      </c>
      <c r="H130" s="41" t="inlineStr">
        <is>
          <t>Card</t>
        </is>
      </c>
      <c r="I130" s="70" t="inlineStr">
        <is>
          <t>✅ Paid</t>
        </is>
      </c>
      <c r="J130" t="inlineStr">
        <is>
          <t>Getnet terminal</t>
        </is>
      </c>
    </row>
    <row r="131">
      <c r="B131" s="91" t="n">
        <v>46174</v>
      </c>
      <c r="C131" s="96" t="inlineStr">
        <is>
          <t>Bistec Res</t>
        </is>
      </c>
      <c r="D131" s="95" t="inlineStr">
        <is>
          <t>Miscelanea LC La Cruz</t>
        </is>
      </c>
      <c r="E131" s="96" t="inlineStr">
        <is>
          <t>Ingredients - Meat</t>
        </is>
      </c>
      <c r="F131" s="97" t="n">
        <v>260</v>
      </c>
      <c r="G131" s="50" t="inlineStr">
        <is>
          <t>Restaurant</t>
        </is>
      </c>
      <c r="H131" s="50" t="inlineStr">
        <is>
          <t>Card</t>
        </is>
      </c>
      <c r="I131" s="82" t="inlineStr">
        <is>
          <t>✅ Paid</t>
        </is>
      </c>
    </row>
    <row r="132">
      <c r="B132" s="91" t="n">
        <v>46174</v>
      </c>
      <c r="C132" s="92" t="inlineStr">
        <is>
          <t>Bistec CD</t>
        </is>
      </c>
      <c r="D132" s="93" t="inlineStr">
        <is>
          <t>Miscelanea LC La Cruz</t>
        </is>
      </c>
      <c r="E132" s="92" t="inlineStr">
        <is>
          <t>Ingredients - Meat</t>
        </is>
      </c>
      <c r="F132" s="94" t="n">
        <v>293</v>
      </c>
      <c r="G132" s="41" t="inlineStr">
        <is>
          <t>Restaurant</t>
        </is>
      </c>
      <c r="H132" s="41" t="inlineStr">
        <is>
          <t>Card</t>
        </is>
      </c>
      <c r="I132" s="70" t="inlineStr">
        <is>
          <t>✅ Paid</t>
        </is>
      </c>
    </row>
    <row r="133">
      <c r="B133" s="91" t="n">
        <v>46174</v>
      </c>
      <c r="C133" s="96" t="inlineStr">
        <is>
          <t>DeoCrema Lala 190g (x2)</t>
        </is>
      </c>
      <c r="D133" s="95" t="inlineStr">
        <is>
          <t>Chedraui Selecto</t>
        </is>
      </c>
      <c r="E133" s="96" t="inlineStr">
        <is>
          <t>Ingredients - Dairy</t>
        </is>
      </c>
      <c r="F133" s="97" t="n">
        <v>64</v>
      </c>
      <c r="G133" s="50" t="inlineStr">
        <is>
          <t>Restaurant</t>
        </is>
      </c>
      <c r="H133" s="50" t="inlineStr">
        <is>
          <t>Card</t>
        </is>
      </c>
      <c r="I133" s="82" t="inlineStr">
        <is>
          <t>✅ Paid</t>
        </is>
      </c>
    </row>
    <row r="134">
      <c r="B134" s="91" t="n">
        <v>46174</v>
      </c>
      <c r="C134" s="92" t="inlineStr">
        <is>
          <t>Tortillas Blanca K (5.4 kg)</t>
        </is>
      </c>
      <c r="D134" s="93" t="inlineStr">
        <is>
          <t>Chedraui Selecto</t>
        </is>
      </c>
      <c r="E134" s="92" t="inlineStr">
        <is>
          <t>Ingredients - Pantry</t>
        </is>
      </c>
      <c r="F134" s="94" t="n">
        <v>67.5</v>
      </c>
      <c r="G134" s="41" t="inlineStr">
        <is>
          <t>Restaurant</t>
        </is>
      </c>
      <c r="H134" s="41" t="inlineStr">
        <is>
          <t>Card</t>
        </is>
      </c>
      <c r="I134" s="70" t="inlineStr">
        <is>
          <t>✅ Paid</t>
        </is>
      </c>
      <c r="J134" t="inlineStr">
        <is>
          <t>3.446kg+1.955kg net after discount</t>
        </is>
      </c>
    </row>
    <row r="135">
      <c r="B135" s="91" t="n">
        <v>46174</v>
      </c>
      <c r="C135" s="96" t="inlineStr">
        <is>
          <t>Rosca de Nuez</t>
        </is>
      </c>
      <c r="D135" s="95" t="inlineStr">
        <is>
          <t>Chedraui Selecto</t>
        </is>
      </c>
      <c r="E135" s="96" t="inlineStr">
        <is>
          <t>Ingredients - Bread</t>
        </is>
      </c>
      <c r="F135" s="97" t="n">
        <v>79.90000000000001</v>
      </c>
      <c r="G135" s="50" t="inlineStr">
        <is>
          <t>Restaurant</t>
        </is>
      </c>
      <c r="H135" s="50" t="inlineStr">
        <is>
          <t>Card</t>
        </is>
      </c>
      <c r="I135" s="82" t="inlineStr">
        <is>
          <t>✅ Paid</t>
        </is>
      </c>
    </row>
    <row r="136">
      <c r="B136" s="91" t="n">
        <v>46174</v>
      </c>
      <c r="C136" s="92" t="inlineStr">
        <is>
          <t>Pollos Enteros (x2)</t>
        </is>
      </c>
      <c r="D136" s="93" t="inlineStr">
        <is>
          <t>Polleria Emily</t>
        </is>
      </c>
      <c r="E136" s="92" t="inlineStr">
        <is>
          <t>Ingredients - Meat</t>
        </is>
      </c>
      <c r="F136" s="94" t="n">
        <v>350</v>
      </c>
      <c r="G136" s="41" t="inlineStr">
        <is>
          <t>Restaurant</t>
        </is>
      </c>
      <c r="H136" s="41" t="inlineStr">
        <is>
          <t>Cash</t>
        </is>
      </c>
      <c r="I136" s="70" t="inlineStr">
        <is>
          <t>✅ Paid</t>
        </is>
      </c>
    </row>
    <row r="137">
      <c r="B137" s="91" t="n">
        <v>46174</v>
      </c>
      <c r="C137" s="96" t="inlineStr">
        <is>
          <t>Muslo de Pollo (18 pcs)</t>
        </is>
      </c>
      <c r="D137" s="95" t="inlineStr">
        <is>
          <t>Polleria Emily</t>
        </is>
      </c>
      <c r="E137" s="96" t="inlineStr">
        <is>
          <t>Ingredients - Meat</t>
        </is>
      </c>
      <c r="F137" s="97" t="n">
        <v>297</v>
      </c>
      <c r="G137" s="50" t="inlineStr">
        <is>
          <t>Restaurant</t>
        </is>
      </c>
      <c r="H137" s="50" t="inlineStr">
        <is>
          <t>Cash</t>
        </is>
      </c>
      <c r="I137" s="82" t="inlineStr">
        <is>
          <t>✅ Paid</t>
        </is>
      </c>
    </row>
    <row r="138">
      <c r="B138" s="91" t="n">
        <v>46174</v>
      </c>
      <c r="C138" s="92" t="inlineStr">
        <is>
          <t>Cebolla (3 pcs)</t>
        </is>
      </c>
      <c r="D138" s="93" t="inlineStr">
        <is>
          <t>El Rancho Mercado</t>
        </is>
      </c>
      <c r="E138" s="92" t="inlineStr">
        <is>
          <t>Ingredients - Vegetables</t>
        </is>
      </c>
      <c r="F138" s="94" t="n">
        <v>30</v>
      </c>
      <c r="G138" s="41" t="inlineStr">
        <is>
          <t>Restaurant</t>
        </is>
      </c>
      <c r="H138" s="41" t="inlineStr">
        <is>
          <t>Cash</t>
        </is>
      </c>
      <c r="I138" s="70" t="inlineStr">
        <is>
          <t>✅ Paid</t>
        </is>
      </c>
    </row>
    <row r="139">
      <c r="B139" s="91" t="n">
        <v>46174</v>
      </c>
      <c r="C139" s="96" t="inlineStr">
        <is>
          <t>Zanahorias (2 pcs)</t>
        </is>
      </c>
      <c r="D139" s="95" t="inlineStr">
        <is>
          <t>El Rancho Mercado</t>
        </is>
      </c>
      <c r="E139" s="96" t="inlineStr">
        <is>
          <t>Ingredients - Vegetables</t>
        </is>
      </c>
      <c r="F139" s="97" t="n">
        <v>26</v>
      </c>
      <c r="G139" s="50" t="inlineStr">
        <is>
          <t>Restaurant</t>
        </is>
      </c>
      <c r="H139" s="50" t="inlineStr">
        <is>
          <t>Cash</t>
        </is>
      </c>
      <c r="I139" s="82" t="inlineStr">
        <is>
          <t>✅ Paid</t>
        </is>
      </c>
    </row>
    <row r="140">
      <c r="B140" s="91" t="n">
        <v>46174</v>
      </c>
      <c r="C140" s="92" t="inlineStr">
        <is>
          <t>Tomate (5 pcs)</t>
        </is>
      </c>
      <c r="D140" s="93" t="inlineStr">
        <is>
          <t>El Rancho Mercado</t>
        </is>
      </c>
      <c r="E140" s="92" t="inlineStr">
        <is>
          <t>Ingredients - Vegetables</t>
        </is>
      </c>
      <c r="F140" s="94" t="n">
        <v>45</v>
      </c>
      <c r="G140" s="41" t="inlineStr">
        <is>
          <t>Restaurant</t>
        </is>
      </c>
      <c r="H140" s="41" t="inlineStr">
        <is>
          <t>Cash</t>
        </is>
      </c>
      <c r="I140" s="70" t="inlineStr">
        <is>
          <t>✅ Paid</t>
        </is>
      </c>
    </row>
    <row r="141">
      <c r="B141" s="91" t="n">
        <v>46174</v>
      </c>
      <c r="C141" s="96" t="inlineStr">
        <is>
          <t>Queso Panela Quinta Azul (4.8 kg)</t>
        </is>
      </c>
      <c r="D141" s="95" t="inlineStr">
        <is>
          <t>CAQ</t>
        </is>
      </c>
      <c r="E141" s="96" t="inlineStr">
        <is>
          <t>Ingredients - Dairy</t>
        </is>
      </c>
      <c r="F141" s="97" t="n">
        <v>592.24</v>
      </c>
      <c r="G141" s="50" t="inlineStr">
        <is>
          <t>Restaurant</t>
        </is>
      </c>
      <c r="H141" s="50" t="inlineStr">
        <is>
          <t>Cash</t>
        </is>
      </c>
      <c r="I141" s="82" t="inlineStr">
        <is>
          <t>✅ Paid</t>
        </is>
      </c>
      <c r="J141" t="inlineStr">
        <is>
          <t>4.8kg x $123.38</t>
        </is>
      </c>
    </row>
    <row r="142">
      <c r="B142" s="91" t="n">
        <v>46174</v>
      </c>
      <c r="C142" s="92" t="inlineStr">
        <is>
          <t>Papas</t>
        </is>
      </c>
      <c r="D142" s="93" t="inlineStr">
        <is>
          <t>—</t>
        </is>
      </c>
      <c r="E142" s="92" t="inlineStr">
        <is>
          <t>Ingredients - Vegetables</t>
        </is>
      </c>
      <c r="F142" s="94" t="n">
        <v>120</v>
      </c>
      <c r="G142" s="41" t="inlineStr">
        <is>
          <t>Restaurant</t>
        </is>
      </c>
      <c r="H142" s="41" t="inlineStr">
        <is>
          <t>Cash</t>
        </is>
      </c>
      <c r="I142" s="70" t="inlineStr">
        <is>
          <t>✅ Paid</t>
        </is>
      </c>
      <c r="J142" t="inlineStr">
        <is>
          <t>No bill</t>
        </is>
      </c>
    </row>
    <row r="143">
      <c r="B143" s="91" t="n">
        <v>46174</v>
      </c>
      <c r="C143" s="96" t="inlineStr">
        <is>
          <t>Nopales</t>
        </is>
      </c>
      <c r="D143" s="95" t="inlineStr">
        <is>
          <t>—</t>
        </is>
      </c>
      <c r="E143" s="96" t="inlineStr">
        <is>
          <t>Ingredients - Vegetables</t>
        </is>
      </c>
      <c r="F143" s="97" t="n">
        <v>20</v>
      </c>
      <c r="G143" s="50" t="inlineStr">
        <is>
          <t>Restaurant</t>
        </is>
      </c>
      <c r="H143" s="50" t="inlineStr">
        <is>
          <t>Cash</t>
        </is>
      </c>
      <c r="I143" s="82" t="inlineStr">
        <is>
          <t>✅ Paid</t>
        </is>
      </c>
      <c r="J143" t="inlineStr">
        <is>
          <t>No bill</t>
        </is>
      </c>
    </row>
    <row r="144">
      <c r="B144" s="91" t="n">
        <v>46174</v>
      </c>
      <c r="C144" s="92" t="inlineStr">
        <is>
          <t>Cilantro</t>
        </is>
      </c>
      <c r="D144" s="93" t="inlineStr">
        <is>
          <t>—</t>
        </is>
      </c>
      <c r="E144" s="92" t="inlineStr">
        <is>
          <t>Ingredients - Vegetables</t>
        </is>
      </c>
      <c r="F144" s="94" t="n">
        <v>70</v>
      </c>
      <c r="G144" s="41" t="inlineStr">
        <is>
          <t>Restaurant</t>
        </is>
      </c>
      <c r="H144" s="41" t="inlineStr">
        <is>
          <t>Cash</t>
        </is>
      </c>
      <c r="I144" s="70" t="inlineStr">
        <is>
          <t>✅ Paid</t>
        </is>
      </c>
      <c r="J144" t="inlineStr">
        <is>
          <t>No bill</t>
        </is>
      </c>
    </row>
    <row r="145">
      <c r="B145" s="91" t="n">
        <v>46174</v>
      </c>
      <c r="C145" s="96" t="inlineStr">
        <is>
          <t>Lechuga Italiana</t>
        </is>
      </c>
      <c r="D145" s="95" t="inlineStr">
        <is>
          <t>—</t>
        </is>
      </c>
      <c r="E145" s="96" t="inlineStr">
        <is>
          <t>Ingredients - Vegetables</t>
        </is>
      </c>
      <c r="F145" s="97" t="n">
        <v>60</v>
      </c>
      <c r="G145" s="50" t="inlineStr">
        <is>
          <t>Restaurant</t>
        </is>
      </c>
      <c r="H145" s="50" t="inlineStr">
        <is>
          <t>Cash</t>
        </is>
      </c>
      <c r="I145" s="82" t="inlineStr">
        <is>
          <t>✅ Paid</t>
        </is>
      </c>
      <c r="J145" t="inlineStr">
        <is>
          <t>No bill</t>
        </is>
      </c>
    </row>
    <row r="146">
      <c r="B146" s="91" t="n">
        <v>46174</v>
      </c>
      <c r="C146" s="92" t="inlineStr">
        <is>
          <t>Papaya</t>
        </is>
      </c>
      <c r="D146" s="93" t="inlineStr">
        <is>
          <t>—</t>
        </is>
      </c>
      <c r="E146" s="92" t="inlineStr">
        <is>
          <t>Ingredients - Fruit</t>
        </is>
      </c>
      <c r="F146" s="94" t="n">
        <v>55</v>
      </c>
      <c r="G146" s="41" t="inlineStr">
        <is>
          <t>Restaurant</t>
        </is>
      </c>
      <c r="H146" s="41" t="inlineStr">
        <is>
          <t>Cash</t>
        </is>
      </c>
      <c r="I146" s="70" t="inlineStr">
        <is>
          <t>✅ Paid</t>
        </is>
      </c>
      <c r="J146" t="inlineStr">
        <is>
          <t>No bill</t>
        </is>
      </c>
    </row>
    <row r="147">
      <c r="B147" s="91" t="n">
        <v>46174</v>
      </c>
      <c r="C147" s="96" t="inlineStr">
        <is>
          <t>Aguacate</t>
        </is>
      </c>
      <c r="D147" s="95" t="inlineStr">
        <is>
          <t>—</t>
        </is>
      </c>
      <c r="E147" s="96" t="inlineStr">
        <is>
          <t>Ingredients - Fruit</t>
        </is>
      </c>
      <c r="F147" s="97" t="n">
        <v>70</v>
      </c>
      <c r="G147" s="50" t="inlineStr">
        <is>
          <t>Restaurant</t>
        </is>
      </c>
      <c r="H147" s="50" t="inlineStr">
        <is>
          <t>Cash</t>
        </is>
      </c>
      <c r="I147" s="82" t="inlineStr">
        <is>
          <t>✅ Paid</t>
        </is>
      </c>
      <c r="J147" t="inlineStr">
        <is>
          <t>No bill</t>
        </is>
      </c>
    </row>
    <row r="148">
      <c r="B148" s="91" t="n">
        <v>46174</v>
      </c>
      <c r="C148" s="92" t="inlineStr">
        <is>
          <t>Calabaza y Manzana</t>
        </is>
      </c>
      <c r="D148" s="93" t="inlineStr">
        <is>
          <t>—</t>
        </is>
      </c>
      <c r="E148" s="92" t="inlineStr">
        <is>
          <t>Ingredients - Fruit</t>
        </is>
      </c>
      <c r="F148" s="94" t="n">
        <v>90</v>
      </c>
      <c r="G148" s="41" t="inlineStr">
        <is>
          <t>Restaurant</t>
        </is>
      </c>
      <c r="H148" s="41" t="inlineStr">
        <is>
          <t>Cash</t>
        </is>
      </c>
      <c r="I148" s="70" t="inlineStr">
        <is>
          <t>✅ Paid</t>
        </is>
      </c>
      <c r="J148" t="inlineStr">
        <is>
          <t>No bill</t>
        </is>
      </c>
    </row>
    <row r="149">
      <c r="B149" s="91" t="n">
        <v>46174</v>
      </c>
      <c r="C149" s="96" t="inlineStr">
        <is>
          <t>Tomate (no bill)</t>
        </is>
      </c>
      <c r="D149" s="95" t="inlineStr">
        <is>
          <t>—</t>
        </is>
      </c>
      <c r="E149" s="96" t="inlineStr">
        <is>
          <t>Ingredients - Vegetables</t>
        </is>
      </c>
      <c r="F149" s="97" t="n">
        <v>160</v>
      </c>
      <c r="G149" s="50" t="inlineStr">
        <is>
          <t>Restaurant</t>
        </is>
      </c>
      <c r="H149" s="50" t="inlineStr">
        <is>
          <t>Cash</t>
        </is>
      </c>
      <c r="I149" s="82" t="inlineStr">
        <is>
          <t>✅ Paid</t>
        </is>
      </c>
      <c r="J149" t="inlineStr">
        <is>
          <t>No bill</t>
        </is>
      </c>
    </row>
    <row r="150">
      <c r="B150" s="91" t="n">
        <v>46174</v>
      </c>
      <c r="C150" s="92" t="inlineStr">
        <is>
          <t>Banana</t>
        </is>
      </c>
      <c r="D150" s="93" t="inlineStr">
        <is>
          <t>—</t>
        </is>
      </c>
      <c r="E150" s="92" t="inlineStr">
        <is>
          <t>Ingredients - Fruit</t>
        </is>
      </c>
      <c r="F150" s="94" t="n">
        <v>52</v>
      </c>
      <c r="G150" s="41" t="inlineStr">
        <is>
          <t>Restaurant</t>
        </is>
      </c>
      <c r="H150" s="41" t="inlineStr">
        <is>
          <t>Cash</t>
        </is>
      </c>
      <c r="I150" s="70" t="inlineStr">
        <is>
          <t>✅ Paid</t>
        </is>
      </c>
      <c r="J150" t="inlineStr">
        <is>
          <t>No bill</t>
        </is>
      </c>
    </row>
    <row r="151">
      <c r="B151" s="91" t="n">
        <v>46175</v>
      </c>
      <c r="C151" s="96" t="inlineStr">
        <is>
          <t>Leche UHT NUTRI 1L (x2)</t>
        </is>
      </c>
      <c r="D151" s="95" t="inlineStr">
        <is>
          <t>OXXO Pathe QRF</t>
        </is>
      </c>
      <c r="E151" s="96" t="inlineStr">
        <is>
          <t>Ingredients - Dairy</t>
        </is>
      </c>
      <c r="F151" s="97" t="n">
        <v>42</v>
      </c>
      <c r="G151" s="50" t="inlineStr">
        <is>
          <t>Restaurant</t>
        </is>
      </c>
      <c r="H151" s="50" t="inlineStr">
        <is>
          <t>Card</t>
        </is>
      </c>
      <c r="I151" s="82" t="inlineStr">
        <is>
          <t>✅ Paid</t>
        </is>
      </c>
      <c r="J151" t="inlineStr">
        <is>
          <t>$14 discount applied</t>
        </is>
      </c>
    </row>
    <row r="152">
      <c r="B152" s="91" t="n">
        <v>46175</v>
      </c>
      <c r="C152" s="92" t="inlineStr">
        <is>
          <t>Gas LP Delivery</t>
        </is>
      </c>
      <c r="D152" s="93" t="inlineStr">
        <is>
          <t>Gas Tomza</t>
        </is>
      </c>
      <c r="E152" s="92" t="inlineStr">
        <is>
          <t>Supplies / Other</t>
        </is>
      </c>
      <c r="F152" s="94" t="n">
        <v>1500.8</v>
      </c>
      <c r="G152" s="41" t="inlineStr">
        <is>
          <t>Restaurant</t>
        </is>
      </c>
      <c r="H152" s="41" t="inlineStr">
        <is>
          <t>Card</t>
        </is>
      </c>
      <c r="I152" s="70" t="inlineStr">
        <is>
          <t>✅ Paid</t>
        </is>
      </c>
      <c r="J152" t="inlineStr">
        <is>
          <t>Remision #11592 — cooking gas</t>
        </is>
      </c>
    </row>
    <row r="153">
      <c r="B153" s="91" t="n">
        <v>46175</v>
      </c>
      <c r="C153" s="96" t="inlineStr">
        <is>
          <t>Pierna Suiza (2.0 kg)</t>
        </is>
      </c>
      <c r="D153" s="95" t="inlineStr">
        <is>
          <t>Miscelanea LC La Cruz</t>
        </is>
      </c>
      <c r="E153" s="96" t="inlineStr">
        <is>
          <t>Ingredients - Meat</t>
        </is>
      </c>
      <c r="F153" s="97" t="n">
        <v>191</v>
      </c>
      <c r="G153" s="50" t="inlineStr">
        <is>
          <t>Restaurant</t>
        </is>
      </c>
      <c r="H153" s="50" t="inlineStr">
        <is>
          <t>Card</t>
        </is>
      </c>
      <c r="I153" s="82" t="inlineStr">
        <is>
          <t>✅ Paid</t>
        </is>
      </c>
      <c r="J153" t="inlineStr">
        <is>
          <t>2.0kg x $95/kg — Getnet</t>
        </is>
      </c>
    </row>
    <row r="154">
      <c r="B154" s="91" t="n">
        <v>46175</v>
      </c>
      <c r="C154" s="92" t="inlineStr">
        <is>
          <t>Crema Acida (x2)</t>
        </is>
      </c>
      <c r="D154" s="93" t="inlineStr">
        <is>
          <t>Sam's Club</t>
        </is>
      </c>
      <c r="E154" s="92" t="inlineStr">
        <is>
          <t>Ingredients - Dairy</t>
        </is>
      </c>
      <c r="F154" s="94" t="n">
        <v>490</v>
      </c>
      <c r="G154" s="41" t="inlineStr">
        <is>
          <t>Restaurant</t>
        </is>
      </c>
      <c r="H154" s="41" t="inlineStr">
        <is>
          <t>Card</t>
        </is>
      </c>
      <c r="I154" s="70" t="inlineStr">
        <is>
          <t>✅ Paid</t>
        </is>
      </c>
      <c r="J154" t="inlineStr">
        <is>
          <t>2 x $250.63, discount -$11.26</t>
        </is>
      </c>
    </row>
    <row r="155">
      <c r="B155" s="91" t="n">
        <v>46175</v>
      </c>
      <c r="C155" s="96" t="inlineStr">
        <is>
          <t>Hielo</t>
        </is>
      </c>
      <c r="D155" s="95" t="inlineStr">
        <is>
          <t>—</t>
        </is>
      </c>
      <c r="E155" s="96" t="inlineStr">
        <is>
          <t>Supplies / Other</t>
        </is>
      </c>
      <c r="F155" s="97" t="n">
        <v>50</v>
      </c>
      <c r="G155" s="50" t="inlineStr">
        <is>
          <t>Restaurant</t>
        </is>
      </c>
      <c r="H155" s="50" t="inlineStr">
        <is>
          <t>Cash</t>
        </is>
      </c>
      <c r="I155" s="82" t="inlineStr">
        <is>
          <t>✅ Paid</t>
        </is>
      </c>
      <c r="J155" t="inlineStr">
        <is>
          <t>No bill</t>
        </is>
      </c>
    </row>
    <row r="156">
      <c r="B156" s="91" t="n">
        <v>46175</v>
      </c>
      <c r="C156" s="92" t="inlineStr">
        <is>
          <t>Agua Natural</t>
        </is>
      </c>
      <c r="D156" s="93" t="inlineStr">
        <is>
          <t>—</t>
        </is>
      </c>
      <c r="E156" s="92" t="inlineStr">
        <is>
          <t>Supplies / Other</t>
        </is>
      </c>
      <c r="F156" s="94" t="n">
        <v>30</v>
      </c>
      <c r="G156" s="41" t="inlineStr">
        <is>
          <t>Restaurant</t>
        </is>
      </c>
      <c r="H156" s="41" t="inlineStr">
        <is>
          <t>Cash</t>
        </is>
      </c>
      <c r="I156" s="70" t="inlineStr">
        <is>
          <t>✅ Paid</t>
        </is>
      </c>
      <c r="J156" t="inlineStr">
        <is>
          <t>No bill</t>
        </is>
      </c>
    </row>
    <row r="157">
      <c r="B157" s="91" t="n">
        <v>46174</v>
      </c>
      <c r="C157" s="96" t="inlineStr">
        <is>
          <t>Internet Telmex (Mayo bill paid 30-May)</t>
        </is>
      </c>
      <c r="D157" s="95" t="inlineStr">
        <is>
          <t>Telmex</t>
        </is>
      </c>
      <c r="E157" s="96" t="inlineStr">
        <is>
          <t>Supplies / Other</t>
        </is>
      </c>
      <c r="F157" s="97" t="n">
        <v>349</v>
      </c>
      <c r="G157" s="50" t="inlineStr">
        <is>
          <t>Lohith</t>
        </is>
      </c>
      <c r="H157" s="50" t="inlineStr">
        <is>
          <t>Personal</t>
        </is>
      </c>
      <c r="I157" s="82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91" t="n">
        <v>46170</v>
      </c>
      <c r="C158" s="92" t="inlineStr">
        <is>
          <t>Suscripcion Cloud Camaras - 7Day/1Year (pago 1/2)</t>
        </is>
      </c>
      <c r="D158" s="93" t="inlineStr">
        <is>
          <t>Shenzhen Tange / PayPal</t>
        </is>
      </c>
      <c r="E158" s="92" t="inlineStr">
        <is>
          <t>Technology / Software</t>
        </is>
      </c>
      <c r="F158" s="94" t="n">
        <v>436.12</v>
      </c>
      <c r="G158" s="41" t="inlineStr">
        <is>
          <t>Kashigoud Patil</t>
        </is>
      </c>
      <c r="H158" s="41" t="inlineStr">
        <is>
          <t>Personal</t>
        </is>
      </c>
      <c r="I158" s="70" t="inlineStr">
        <is>
          <t>✅ Paid</t>
        </is>
      </c>
      <c r="J158" t="inlineStr">
        <is>
          <t>US$23.90 @ 0.0548 — camera cloud recording subscription — 1 yr</t>
        </is>
      </c>
    </row>
    <row r="159">
      <c r="B159" s="91" t="n">
        <v>46171</v>
      </c>
      <c r="C159" s="96" t="inlineStr">
        <is>
          <t>Suscripcion Cloud Camaras - 7Day/1Year (pago 2/2)</t>
        </is>
      </c>
      <c r="D159" s="95" t="inlineStr">
        <is>
          <t>Shenzhen Tange / PayPal</t>
        </is>
      </c>
      <c r="E159" s="96" t="inlineStr">
        <is>
          <t>Technology / Software</t>
        </is>
      </c>
      <c r="F159" s="97" t="n">
        <v>437.22</v>
      </c>
      <c r="G159" s="50" t="inlineStr">
        <is>
          <t>Kashigoud Patil</t>
        </is>
      </c>
      <c r="H159" s="50" t="inlineStr">
        <is>
          <t>Personal</t>
        </is>
      </c>
      <c r="I159" s="82" t="inlineStr">
        <is>
          <t>✅ Paid</t>
        </is>
      </c>
      <c r="J159" t="inlineStr">
        <is>
          <t>US$23.90 @ 0.0547 — camera cloud recording subscription — 1 yr</t>
        </is>
      </c>
    </row>
    <row r="160">
      <c r="B160" s="91" t="n">
        <v>46175</v>
      </c>
      <c r="C160" s="92" t="inlineStr">
        <is>
          <t>Tortillas Blanca K (6.025 kg)</t>
        </is>
      </c>
      <c r="D160" s="93" t="inlineStr">
        <is>
          <t>Chedraui Paseo</t>
        </is>
      </c>
      <c r="E160" s="92" t="inlineStr">
        <is>
          <t>Ingredients - Pantry</t>
        </is>
      </c>
      <c r="F160" s="94" t="n">
        <v>75.31</v>
      </c>
      <c r="G160" s="41" t="inlineStr">
        <is>
          <t>Restaurant</t>
        </is>
      </c>
      <c r="H160" s="41" t="inlineStr">
        <is>
          <t>Card</t>
        </is>
      </c>
      <c r="I160" s="70" t="inlineStr">
        <is>
          <t>✅ Paid</t>
        </is>
      </c>
      <c r="J160" t="inlineStr">
        <is>
          <t>6.025kg x $14.50, discount -$12.05</t>
        </is>
      </c>
    </row>
    <row r="161">
      <c r="B161" s="91" t="n">
        <v>46176</v>
      </c>
      <c r="C161" s="96" t="inlineStr">
        <is>
          <t>Tomate Sal (1.510 kg)</t>
        </is>
      </c>
      <c r="D161" s="95" t="inlineStr">
        <is>
          <t>Chedraui Paseo</t>
        </is>
      </c>
      <c r="E161" s="96" t="inlineStr">
        <is>
          <t>Ingredients - Vegetables</t>
        </is>
      </c>
      <c r="F161" s="97" t="n">
        <v>43.63</v>
      </c>
      <c r="G161" s="50" t="inlineStr">
        <is>
          <t>Restaurant</t>
        </is>
      </c>
      <c r="H161" s="50" t="inlineStr">
        <is>
          <t>Card</t>
        </is>
      </c>
      <c r="I161" s="82" t="inlineStr">
        <is>
          <t>✅ Paid</t>
        </is>
      </c>
      <c r="J161" t="inlineStr">
        <is>
          <t>1.510kg x $28.90</t>
        </is>
      </c>
    </row>
    <row r="162">
      <c r="B162" s="91" t="n">
        <v>46176</v>
      </c>
      <c r="C162" s="92" t="inlineStr">
        <is>
          <t>Tortillas Blanca K (6.235 kg)</t>
        </is>
      </c>
      <c r="D162" s="93" t="inlineStr">
        <is>
          <t>Chedraui Paseo</t>
        </is>
      </c>
      <c r="E162" s="92" t="inlineStr">
        <is>
          <t>Ingredients - Pantry</t>
        </is>
      </c>
      <c r="F162" s="94" t="n">
        <v>77.93000000000001</v>
      </c>
      <c r="G162" s="41" t="inlineStr">
        <is>
          <t>Restaurant</t>
        </is>
      </c>
      <c r="H162" s="41" t="inlineStr">
        <is>
          <t>Card</t>
        </is>
      </c>
      <c r="I162" s="70" t="inlineStr">
        <is>
          <t>✅ Paid</t>
        </is>
      </c>
      <c r="J162" t="inlineStr">
        <is>
          <t>6.235kg net after -$12.47 discount — total Chedraui bill $138.36</t>
        </is>
      </c>
    </row>
    <row r="163">
      <c r="B163" s="91" t="n">
        <v>46176</v>
      </c>
      <c r="C163" s="96" t="inlineStr">
        <is>
          <t>Bolillo (8 pcs)</t>
        </is>
      </c>
      <c r="D163" s="95" t="inlineStr">
        <is>
          <t>Chedraui Paseo</t>
        </is>
      </c>
      <c r="E163" s="96" t="inlineStr">
        <is>
          <t>Ingredients - Bread</t>
        </is>
      </c>
      <c r="F163" s="97" t="n">
        <v>16.8</v>
      </c>
      <c r="G163" s="50" t="inlineStr">
        <is>
          <t>Restaurant</t>
        </is>
      </c>
      <c r="H163" s="50" t="inlineStr">
        <is>
          <t>Card</t>
        </is>
      </c>
      <c r="I163" s="82" t="inlineStr">
        <is>
          <t>✅ Paid</t>
        </is>
      </c>
      <c r="J163" t="inlineStr">
        <is>
          <t>8 x $2.10 — Chedraui Paseo, total receipt $138.36</t>
        </is>
      </c>
    </row>
    <row r="164">
      <c r="B164" s="91" t="n">
        <v>46176</v>
      </c>
      <c r="C164" s="92" t="inlineStr">
        <is>
          <t>Gises Comp de Colores C/12 (x2)</t>
        </is>
      </c>
      <c r="D164" s="93" t="inlineStr">
        <is>
          <t>Office Depot Queretaro</t>
        </is>
      </c>
      <c r="E164" s="92" t="inlineStr">
        <is>
          <t>Supplies / Other</t>
        </is>
      </c>
      <c r="F164" s="94" t="n">
        <v>108</v>
      </c>
      <c r="G164" s="41" t="inlineStr">
        <is>
          <t>Restaurant</t>
        </is>
      </c>
      <c r="H164" s="41" t="inlineStr">
        <is>
          <t>Card</t>
        </is>
      </c>
      <c r="I164" s="70" t="inlineStr">
        <is>
          <t>✅ Paid</t>
        </is>
      </c>
      <c r="J164" t="inlineStr">
        <is>
          <t>Chalk set x2 for menu board</t>
        </is>
      </c>
    </row>
    <row r="165">
      <c r="B165" s="91" t="n">
        <v>46176</v>
      </c>
      <c r="C165" s="96" t="inlineStr">
        <is>
          <t>Extension GE 2.7M 3 Contact</t>
        </is>
      </c>
      <c r="D165" s="95" t="inlineStr">
        <is>
          <t>Office Depot Queretaro</t>
        </is>
      </c>
      <c r="E165" s="96" t="inlineStr">
        <is>
          <t>Supplies / Other</t>
        </is>
      </c>
      <c r="F165" s="97" t="n">
        <v>239</v>
      </c>
      <c r="G165" s="50" t="inlineStr">
        <is>
          <t>Restaurant</t>
        </is>
      </c>
      <c r="H165" s="50" t="inlineStr">
        <is>
          <t>Card</t>
        </is>
      </c>
      <c r="I165" s="82" t="inlineStr">
        <is>
          <t>✅ Paid</t>
        </is>
      </c>
      <c r="J165" t="inlineStr">
        <is>
          <t>Extension cord 2.7m 3 outlets</t>
        </is>
      </c>
    </row>
    <row r="166">
      <c r="B166" s="91" t="n">
        <v>46176</v>
      </c>
      <c r="C166" s="92" t="inlineStr">
        <is>
          <t>Sobres Oficina Ecol 10.4x24 CM100</t>
        </is>
      </c>
      <c r="D166" s="93" t="inlineStr">
        <is>
          <t>Office Depot Queretaro</t>
        </is>
      </c>
      <c r="E166" s="92" t="inlineStr">
        <is>
          <t>Supplies / Other</t>
        </is>
      </c>
      <c r="F166" s="94" t="n">
        <v>109</v>
      </c>
      <c r="G166" s="41" t="inlineStr">
        <is>
          <t>Restaurant</t>
        </is>
      </c>
      <c r="H166" s="41" t="inlineStr">
        <is>
          <t>Card</t>
        </is>
      </c>
      <c r="I166" s="70" t="inlineStr">
        <is>
          <t>✅ Paid</t>
        </is>
      </c>
      <c r="J166" t="inlineStr">
        <is>
          <t>Office envelopes</t>
        </is>
      </c>
    </row>
    <row r="167">
      <c r="B167" s="91" t="n">
        <v>46176</v>
      </c>
      <c r="C167" s="96" t="inlineStr">
        <is>
          <t>Pechuga (3.11 kg)</t>
        </is>
      </c>
      <c r="D167" s="95" t="inlineStr">
        <is>
          <t>Remision</t>
        </is>
      </c>
      <c r="E167" s="96" t="inlineStr">
        <is>
          <t>Ingredients - Meat</t>
        </is>
      </c>
      <c r="F167" s="97" t="n">
        <v>358</v>
      </c>
      <c r="G167" s="50" t="inlineStr">
        <is>
          <t>Restaurant</t>
        </is>
      </c>
      <c r="H167" s="50" t="inlineStr">
        <is>
          <t>Cash</t>
        </is>
      </c>
      <c r="I167" s="82" t="inlineStr">
        <is>
          <t>✅ Paid</t>
        </is>
      </c>
      <c r="J167" t="inlineStr">
        <is>
          <t>3.11kg x $115/kg</t>
        </is>
      </c>
    </row>
    <row r="168">
      <c r="B168" s="91" t="n">
        <v>46176</v>
      </c>
      <c r="C168" s="92" t="inlineStr">
        <is>
          <t>Muslo de Pollo (4.30 kg)</t>
        </is>
      </c>
      <c r="D168" s="93" t="inlineStr">
        <is>
          <t>Remision</t>
        </is>
      </c>
      <c r="E168" s="92" t="inlineStr">
        <is>
          <t>Ingredients - Meat</t>
        </is>
      </c>
      <c r="F168" s="94" t="n">
        <v>215</v>
      </c>
      <c r="G168" s="41" t="inlineStr">
        <is>
          <t>Restaurant</t>
        </is>
      </c>
      <c r="H168" s="41" t="inlineStr">
        <is>
          <t>Cash</t>
        </is>
      </c>
      <c r="I168" s="70" t="inlineStr">
        <is>
          <t>✅ Paid</t>
        </is>
      </c>
      <c r="J168" t="inlineStr">
        <is>
          <t>4.30kg x $50/kg</t>
        </is>
      </c>
    </row>
    <row r="169">
      <c r="B169" s="91" t="n">
        <v>46176</v>
      </c>
      <c r="C169" s="96" t="inlineStr">
        <is>
          <t>Milanesa de Pollo (3.20 kg)</t>
        </is>
      </c>
      <c r="D169" s="95" t="inlineStr">
        <is>
          <t>Remision</t>
        </is>
      </c>
      <c r="E169" s="96" t="inlineStr">
        <is>
          <t>Ingredients - Meat</t>
        </is>
      </c>
      <c r="F169" s="97" t="n">
        <v>432</v>
      </c>
      <c r="G169" s="50" t="inlineStr">
        <is>
          <t>Restaurant</t>
        </is>
      </c>
      <c r="H169" s="50" t="inlineStr">
        <is>
          <t>Cash</t>
        </is>
      </c>
      <c r="I169" s="82" t="inlineStr">
        <is>
          <t>✅ Paid</t>
        </is>
      </c>
      <c r="J169" t="inlineStr">
        <is>
          <t>3.20kg x $135/kg</t>
        </is>
      </c>
    </row>
    <row r="170">
      <c r="B170" s="91" t="n">
        <v>46176</v>
      </c>
      <c r="C170" s="92" t="inlineStr">
        <is>
          <t>Filete de Mojarra (3.425 kg)</t>
        </is>
      </c>
      <c r="D170" s="93" t="inlineStr">
        <is>
          <t>EVD Bizkaia</t>
        </is>
      </c>
      <c r="E170" s="92" t="inlineStr">
        <is>
          <t>Ingredients - Meat &amp; Fish</t>
        </is>
      </c>
      <c r="F170" s="94" t="n">
        <v>479.5</v>
      </c>
      <c r="G170" s="41" t="inlineStr">
        <is>
          <t>Restaurant</t>
        </is>
      </c>
      <c r="H170" s="41" t="inlineStr">
        <is>
          <t>Cash</t>
        </is>
      </c>
      <c r="I170" s="70" t="inlineStr">
        <is>
          <t>✅ Paid</t>
        </is>
      </c>
      <c r="J170" t="inlineStr">
        <is>
          <t>3.425kg x $140/kg</t>
        </is>
      </c>
    </row>
    <row r="171">
      <c r="B171" s="91" t="n">
        <v>46176</v>
      </c>
      <c r="C171" s="96" t="inlineStr">
        <is>
          <t>Costilla de Res (3.025 kg)</t>
        </is>
      </c>
      <c r="D171" s="95" t="inlineStr">
        <is>
          <t>Miscelanea LC La Cruz</t>
        </is>
      </c>
      <c r="E171" s="96" t="inlineStr">
        <is>
          <t>Ingredients - Meat</t>
        </is>
      </c>
      <c r="F171" s="97" t="n">
        <v>311</v>
      </c>
      <c r="G171" s="50" t="inlineStr">
        <is>
          <t>Restaurant</t>
        </is>
      </c>
      <c r="H171" s="50" t="inlineStr">
        <is>
          <t>Card</t>
        </is>
      </c>
      <c r="I171" s="82" t="inlineStr">
        <is>
          <t>✅ Paid</t>
        </is>
      </c>
      <c r="J171" t="inlineStr">
        <is>
          <t>3.025kg x $103/kg — Getnet 03/06/2026</t>
        </is>
      </c>
    </row>
    <row r="172">
      <c r="B172" s="91" t="n">
        <v>46176</v>
      </c>
      <c r="C172" s="92" t="inlineStr">
        <is>
          <t>Lechuga Italiana</t>
        </is>
      </c>
      <c r="D172" s="93" t="inlineStr">
        <is>
          <t>—</t>
        </is>
      </c>
      <c r="E172" s="92" t="inlineStr">
        <is>
          <t>Ingredients - Vegetables</t>
        </is>
      </c>
      <c r="F172" s="94" t="n">
        <v>64</v>
      </c>
      <c r="G172" s="41" t="inlineStr">
        <is>
          <t>Restaurant</t>
        </is>
      </c>
      <c r="H172" s="41" t="inlineStr">
        <is>
          <t>Cash</t>
        </is>
      </c>
      <c r="I172" s="70" t="inlineStr">
        <is>
          <t>✅ Paid</t>
        </is>
      </c>
      <c r="J172" t="inlineStr">
        <is>
          <t>No bill</t>
        </is>
      </c>
    </row>
    <row r="173">
      <c r="B173" s="91" t="n">
        <v>46176</v>
      </c>
      <c r="C173" s="96" t="inlineStr">
        <is>
          <t>Chicken Boneless + Carne Hamburguesa</t>
        </is>
      </c>
      <c r="D173" s="95" t="inlineStr">
        <is>
          <t>—</t>
        </is>
      </c>
      <c r="E173" s="96" t="inlineStr">
        <is>
          <t>Ingredients - Meat</t>
        </is>
      </c>
      <c r="F173" s="97" t="n">
        <v>1580</v>
      </c>
      <c r="G173" s="50" t="inlineStr">
        <is>
          <t>Restaurant</t>
        </is>
      </c>
      <c r="H173" s="50" t="inlineStr">
        <is>
          <t>Cash</t>
        </is>
      </c>
      <c r="I173" s="82" t="inlineStr">
        <is>
          <t>✅ Paid</t>
        </is>
      </c>
      <c r="J173" t="inlineStr">
        <is>
          <t>No bill — boneless chicken + hamburger meat</t>
        </is>
      </c>
    </row>
    <row r="174">
      <c r="B174" s="91" t="n">
        <v>46177</v>
      </c>
      <c r="C174" s="92" t="inlineStr">
        <is>
          <t>Vasos DART 100Z 40/25 (4 packs)</t>
        </is>
      </c>
      <c r="D174" s="93" t="inlineStr">
        <is>
          <t>Guimar Polietilenos</t>
        </is>
      </c>
      <c r="E174" s="92" t="inlineStr">
        <is>
          <t>Supplies / Other</t>
        </is>
      </c>
      <c r="F174" s="94" t="n">
        <v>62</v>
      </c>
      <c r="G174" s="41" t="inlineStr">
        <is>
          <t>Restaurant</t>
        </is>
      </c>
      <c r="H174" s="41" t="inlineStr">
        <is>
          <t>Card</t>
        </is>
      </c>
      <c r="I174" s="70" t="inlineStr">
        <is>
          <t>✅ Paid</t>
        </is>
      </c>
      <c r="J174" t="inlineStr">
        <is>
          <t>4 packs x $15.50</t>
        </is>
      </c>
    </row>
    <row r="175">
      <c r="B175" s="91" t="n">
        <v>46177</v>
      </c>
      <c r="C175" s="96" t="inlineStr">
        <is>
          <t>Tapas DART Plastica 10SL 10/100 (100pcs)</t>
        </is>
      </c>
      <c r="D175" s="95" t="inlineStr">
        <is>
          <t>Guimar Polietilenos</t>
        </is>
      </c>
      <c r="E175" s="96" t="inlineStr">
        <is>
          <t>Supplies / Other</t>
        </is>
      </c>
      <c r="F175" s="97" t="n">
        <v>62</v>
      </c>
      <c r="G175" s="50" t="inlineStr">
        <is>
          <t>Restaurant</t>
        </is>
      </c>
      <c r="H175" s="50" t="inlineStr">
        <is>
          <t>Card</t>
        </is>
      </c>
      <c r="I175" s="82" t="inlineStr">
        <is>
          <t>✅ Paid</t>
        </is>
      </c>
      <c r="J175" t="inlineStr">
        <is>
          <t>100 x $0.62</t>
        </is>
      </c>
    </row>
    <row r="176">
      <c r="B176" s="91" t="n">
        <v>46177</v>
      </c>
      <c r="C176" s="92" t="inlineStr">
        <is>
          <t>Domo Triangular Alto RP25 250PZ (10pcs)</t>
        </is>
      </c>
      <c r="D176" s="93" t="inlineStr">
        <is>
          <t>Guimar Polietilenos</t>
        </is>
      </c>
      <c r="E176" s="92" t="inlineStr">
        <is>
          <t>Supplies / Other</t>
        </is>
      </c>
      <c r="F176" s="94" t="n">
        <v>35.96</v>
      </c>
      <c r="G176" s="41" t="inlineStr">
        <is>
          <t>Restaurant</t>
        </is>
      </c>
      <c r="H176" s="41" t="inlineStr">
        <is>
          <t>Card</t>
        </is>
      </c>
      <c r="I176" s="70" t="inlineStr">
        <is>
          <t>✅ Paid</t>
        </is>
      </c>
      <c r="J176" t="inlineStr">
        <is>
          <t>10 x $3.596</t>
        </is>
      </c>
    </row>
    <row r="177">
      <c r="B177" s="91" t="n">
        <v>46177</v>
      </c>
      <c r="C177" s="96" t="inlineStr">
        <is>
          <t>Domo Reyma RB-100 250PZ (10pcs)</t>
        </is>
      </c>
      <c r="D177" s="95" t="inlineStr">
        <is>
          <t>Guimar Polietilenos</t>
        </is>
      </c>
      <c r="E177" s="96" t="inlineStr">
        <is>
          <t>Supplies / Other</t>
        </is>
      </c>
      <c r="F177" s="97" t="n">
        <v>23</v>
      </c>
      <c r="G177" s="50" t="inlineStr">
        <is>
          <t>Restaurant</t>
        </is>
      </c>
      <c r="H177" s="50" t="inlineStr">
        <is>
          <t>Card</t>
        </is>
      </c>
      <c r="I177" s="82" t="inlineStr">
        <is>
          <t>✅ Paid</t>
        </is>
      </c>
      <c r="J177" t="inlineStr">
        <is>
          <t>10 x $2.30 — Folio XCC36390</t>
        </is>
      </c>
    </row>
    <row r="178">
      <c r="B178" s="91" t="n">
        <v>46177</v>
      </c>
      <c r="C178" s="92" t="inlineStr">
        <is>
          <t>Vasos de Plast. 4CH Reyma 20/50 (2pks)</t>
        </is>
      </c>
      <c r="D178" s="93" t="inlineStr">
        <is>
          <t>Guimar Polietilenos</t>
        </is>
      </c>
      <c r="E178" s="92" t="inlineStr">
        <is>
          <t>Supplies / Other</t>
        </is>
      </c>
      <c r="F178" s="94" t="n">
        <v>46</v>
      </c>
      <c r="G178" s="41" t="inlineStr">
        <is>
          <t>Restaurant</t>
        </is>
      </c>
      <c r="H178" s="41" t="inlineStr">
        <is>
          <t>Cash</t>
        </is>
      </c>
      <c r="I178" s="70" t="inlineStr">
        <is>
          <t>✅ Paid</t>
        </is>
      </c>
      <c r="J178" t="inlineStr">
        <is>
          <t>2 x $23.00 — Folio XCC36400</t>
        </is>
      </c>
    </row>
    <row r="179">
      <c r="B179" s="91" t="n">
        <v>46177</v>
      </c>
      <c r="C179" s="96" t="inlineStr">
        <is>
          <t>Reyma Tapas Vaso 5 1/2-4CH 20/50 (2pks)</t>
        </is>
      </c>
      <c r="D179" s="95" t="inlineStr">
        <is>
          <t>Guimar Polietilenos</t>
        </is>
      </c>
      <c r="E179" s="96" t="inlineStr">
        <is>
          <t>Supplies / Other</t>
        </is>
      </c>
      <c r="F179" s="97" t="n">
        <v>46</v>
      </c>
      <c r="G179" s="50" t="inlineStr">
        <is>
          <t>Restaurant</t>
        </is>
      </c>
      <c r="H179" s="50" t="inlineStr">
        <is>
          <t>Cash</t>
        </is>
      </c>
      <c r="I179" s="82" t="inlineStr">
        <is>
          <t>✅ Paid</t>
        </is>
      </c>
      <c r="J179" t="inlineStr">
        <is>
          <t>2 x $23.00</t>
        </is>
      </c>
    </row>
    <row r="180">
      <c r="B180" s="91" t="n">
        <v>46177</v>
      </c>
      <c r="C180" s="92" t="inlineStr">
        <is>
          <t>Bistec Corte (7.54 kg)</t>
        </is>
      </c>
      <c r="D180" s="93" t="inlineStr">
        <is>
          <t>Miscelanea LC La Cruz</t>
        </is>
      </c>
      <c r="E180" s="92" t="inlineStr">
        <is>
          <t>Ingredients - Meat</t>
        </is>
      </c>
      <c r="F180" s="94" t="n">
        <v>245</v>
      </c>
      <c r="G180" s="41" t="inlineStr">
        <is>
          <t>Restaurant</t>
        </is>
      </c>
      <c r="H180" s="41" t="inlineStr">
        <is>
          <t>Card</t>
        </is>
      </c>
      <c r="I180" s="70" t="inlineStr">
        <is>
          <t>✅ Paid</t>
        </is>
      </c>
      <c r="J180" t="inlineStr">
        <is>
          <t>Getnet 04/06/2026 09:53</t>
        </is>
      </c>
    </row>
    <row r="181">
      <c r="B181" s="91" t="n">
        <v>46177</v>
      </c>
      <c r="C181" s="96" t="inlineStr">
        <is>
          <t>Queso</t>
        </is>
      </c>
      <c r="D181" s="95" t="inlineStr">
        <is>
          <t>—</t>
        </is>
      </c>
      <c r="E181" s="96" t="inlineStr">
        <is>
          <t>Ingredients - Dairy</t>
        </is>
      </c>
      <c r="F181" s="97" t="n">
        <v>82</v>
      </c>
      <c r="G181" s="50" t="inlineStr">
        <is>
          <t>Restaurant</t>
        </is>
      </c>
      <c r="H181" s="50" t="inlineStr">
        <is>
          <t>Cash</t>
        </is>
      </c>
      <c r="I181" s="82" t="inlineStr">
        <is>
          <t>✅ Paid</t>
        </is>
      </c>
      <c r="J181" t="inlineStr">
        <is>
          <t>No bill</t>
        </is>
      </c>
    </row>
    <row r="182">
      <c r="B182" s="91" t="n">
        <v>46177</v>
      </c>
      <c r="C182" s="92" t="inlineStr">
        <is>
          <t>Huevos</t>
        </is>
      </c>
      <c r="D182" s="93" t="inlineStr">
        <is>
          <t>—</t>
        </is>
      </c>
      <c r="E182" s="92" t="inlineStr">
        <is>
          <t>Ingredients - Pantry</t>
        </is>
      </c>
      <c r="F182" s="94" t="n">
        <v>69</v>
      </c>
      <c r="G182" s="41" t="inlineStr">
        <is>
          <t>Lohith</t>
        </is>
      </c>
      <c r="H182" s="41" t="inlineStr">
        <is>
          <t>Cash</t>
        </is>
      </c>
      <c r="I182" s="70" t="inlineStr">
        <is>
          <t>✅ Paid</t>
        </is>
      </c>
      <c r="J182" t="inlineStr">
        <is>
          <t>No bill — paid by Lohith</t>
        </is>
      </c>
    </row>
    <row r="183">
      <c r="B183" s="91" t="n">
        <v>46177</v>
      </c>
      <c r="C183" s="96" t="inlineStr">
        <is>
          <t>Ajonjoli Blanco</t>
        </is>
      </c>
      <c r="D183" s="95" t="inlineStr">
        <is>
          <t>—</t>
        </is>
      </c>
      <c r="E183" s="96" t="inlineStr">
        <is>
          <t>Ingredients - Pantry</t>
        </is>
      </c>
      <c r="F183" s="97" t="n">
        <v>44</v>
      </c>
      <c r="G183" s="50" t="inlineStr">
        <is>
          <t>Lohith</t>
        </is>
      </c>
      <c r="H183" s="50" t="inlineStr">
        <is>
          <t>Cash</t>
        </is>
      </c>
      <c r="I183" s="82" t="inlineStr">
        <is>
          <t>✅ Paid</t>
        </is>
      </c>
      <c r="J183" t="inlineStr">
        <is>
          <t>No bill — paid by Lohith</t>
        </is>
      </c>
    </row>
    <row r="184">
      <c r="B184" s="91" t="n">
        <v>46177</v>
      </c>
      <c r="C184" s="92" t="inlineStr">
        <is>
          <t>Ajonjoli Negro</t>
        </is>
      </c>
      <c r="D184" s="93" t="inlineStr">
        <is>
          <t>—</t>
        </is>
      </c>
      <c r="E184" s="92" t="inlineStr">
        <is>
          <t>Ingredients - Pantry</t>
        </is>
      </c>
      <c r="F184" s="94" t="n">
        <v>45</v>
      </c>
      <c r="G184" s="41" t="inlineStr">
        <is>
          <t>Lohith</t>
        </is>
      </c>
      <c r="H184" s="41" t="inlineStr">
        <is>
          <t>Cash</t>
        </is>
      </c>
      <c r="I184" s="70" t="inlineStr">
        <is>
          <t>✅ Paid</t>
        </is>
      </c>
      <c r="J184" t="inlineStr">
        <is>
          <t>No bill — paid by Lohith</t>
        </is>
      </c>
    </row>
    <row r="185">
      <c r="B185" s="91" t="n">
        <v>46177</v>
      </c>
      <c r="C185" s="96" t="inlineStr">
        <is>
          <t>Verduras variadas</t>
        </is>
      </c>
      <c r="D185" s="95" t="inlineStr">
        <is>
          <t>—</t>
        </is>
      </c>
      <c r="E185" s="96" t="inlineStr">
        <is>
          <t>Ingredients - Vegetables</t>
        </is>
      </c>
      <c r="F185" s="97" t="n">
        <v>200</v>
      </c>
      <c r="G185" s="50" t="inlineStr">
        <is>
          <t>Lohith</t>
        </is>
      </c>
      <c r="H185" s="50" t="inlineStr">
        <is>
          <t>Cash</t>
        </is>
      </c>
      <c r="I185" s="82" t="inlineStr">
        <is>
          <t>✅ Paid</t>
        </is>
      </c>
      <c r="J185" t="inlineStr">
        <is>
          <t>No bill — paid by Lohith</t>
        </is>
      </c>
    </row>
    <row r="186">
      <c r="B186" s="91" t="n">
        <v>46177</v>
      </c>
      <c r="C186" s="92" t="inlineStr">
        <is>
          <t>Renta Mensual — Junio 2026</t>
        </is>
      </c>
      <c r="D186" s="93" t="inlineStr">
        <is>
          <t>Propietario</t>
        </is>
      </c>
      <c r="E186" s="92" t="inlineStr">
        <is>
          <t>Rent</t>
        </is>
      </c>
      <c r="F186" s="94" t="n">
        <v>15000</v>
      </c>
      <c r="G186" s="41" t="inlineStr">
        <is>
          <t>Restaurant</t>
        </is>
      </c>
      <c r="H186" s="41" t="inlineStr">
        <is>
          <t>Transfer</t>
        </is>
      </c>
      <c r="I186" s="70" t="inlineStr">
        <is>
          <t>✅ Paid</t>
        </is>
      </c>
      <c r="J186" t="inlineStr">
        <is>
          <t>Monthly rent — June 2026</t>
        </is>
      </c>
    </row>
    <row r="187">
      <c r="B187" s="91" t="n">
        <v>46177</v>
      </c>
      <c r="C187" s="96" t="inlineStr">
        <is>
          <t>Mantenimiento Mensual — Junio 2026</t>
        </is>
      </c>
      <c r="D187" s="95" t="inlineStr">
        <is>
          <t>Propietario</t>
        </is>
      </c>
      <c r="E187" s="96" t="inlineStr">
        <is>
          <t>Maintenance</t>
        </is>
      </c>
      <c r="F187" s="97" t="n">
        <v>5000</v>
      </c>
      <c r="G187" s="50" t="inlineStr">
        <is>
          <t>Restaurant</t>
        </is>
      </c>
      <c r="H187" s="50" t="inlineStr">
        <is>
          <t>Transfer</t>
        </is>
      </c>
      <c r="I187" s="82" t="inlineStr">
        <is>
          <t>✅ Paid</t>
        </is>
      </c>
      <c r="J187" t="inlineStr">
        <is>
          <t>Monthly maintenance — June 2026</t>
        </is>
      </c>
    </row>
    <row r="188">
      <c r="B188" s="91" t="n"/>
      <c r="C188" s="92" t="n"/>
      <c r="D188" s="93" t="n"/>
      <c r="E188" s="92" t="n"/>
      <c r="F188" s="94" t="n"/>
      <c r="G188" s="41" t="n"/>
      <c r="H188" s="41" t="n"/>
      <c r="I188" s="70" t="n"/>
    </row>
    <row r="189">
      <c r="B189" s="91" t="n"/>
      <c r="C189" s="96" t="n"/>
      <c r="D189" s="95" t="n"/>
      <c r="E189" s="96" t="n"/>
      <c r="F189" s="97" t="n"/>
      <c r="G189" s="50" t="n"/>
      <c r="H189" s="50" t="n"/>
      <c r="I189" s="82" t="n"/>
    </row>
    <row r="190">
      <c r="B190" s="91" t="n"/>
      <c r="C190" s="92" t="n"/>
      <c r="D190" s="93" t="n"/>
      <c r="E190" s="92" t="n"/>
      <c r="F190" s="94" t="n"/>
      <c r="G190" s="41" t="n"/>
      <c r="H190" s="41" t="n"/>
      <c r="I190" s="70" t="n"/>
    </row>
    <row r="191">
      <c r="B191" s="91" t="n"/>
      <c r="C191" s="96" t="n"/>
      <c r="D191" s="95" t="n"/>
      <c r="E191" s="96" t="n"/>
      <c r="F191" s="97" t="n"/>
      <c r="G191" s="50" t="n"/>
      <c r="H191" s="50" t="n"/>
      <c r="I191" s="82" t="n"/>
    </row>
    <row r="192">
      <c r="B192" s="91" t="n"/>
      <c r="C192" s="92" t="n"/>
      <c r="D192" s="93" t="n"/>
      <c r="E192" s="92" t="n"/>
      <c r="F192" s="94" t="n"/>
      <c r="G192" s="41" t="n"/>
      <c r="H192" s="41" t="n"/>
      <c r="I192" s="70" t="n"/>
    </row>
    <row r="193">
      <c r="B193" s="91" t="n"/>
      <c r="C193" s="96" t="n"/>
      <c r="D193" s="95" t="n"/>
      <c r="E193" s="96" t="n"/>
      <c r="F193" s="97" t="n"/>
      <c r="G193" s="50" t="n"/>
      <c r="H193" s="50" t="n"/>
      <c r="I193" s="82" t="n"/>
    </row>
    <row r="194">
      <c r="B194" s="91" t="n"/>
      <c r="C194" s="92" t="n"/>
      <c r="D194" s="93" t="n"/>
      <c r="E194" s="92" t="n"/>
      <c r="F194" s="94" t="n"/>
      <c r="G194" s="41" t="n"/>
      <c r="H194" s="41" t="n"/>
      <c r="I194" s="70" t="n"/>
    </row>
    <row r="195">
      <c r="B195" s="91" t="n"/>
      <c r="C195" s="96" t="n"/>
      <c r="D195" s="95" t="n"/>
      <c r="E195" s="96" t="n"/>
      <c r="F195" s="97" t="n"/>
      <c r="G195" s="50" t="n"/>
      <c r="H195" s="50" t="n"/>
      <c r="I195" s="82" t="n"/>
    </row>
    <row r="196">
      <c r="B196" s="91" t="n"/>
      <c r="C196" s="92" t="n"/>
      <c r="D196" s="93" t="n"/>
      <c r="E196" s="92" t="n"/>
      <c r="F196" s="94" t="n"/>
      <c r="G196" s="41" t="n"/>
      <c r="H196" s="41" t="n"/>
      <c r="I196" s="70" t="n"/>
    </row>
    <row r="197">
      <c r="B197" s="91" t="n"/>
      <c r="C197" s="96" t="n"/>
      <c r="D197" s="95" t="n"/>
      <c r="E197" s="96" t="n"/>
      <c r="F197" s="97" t="n"/>
      <c r="G197" s="50" t="n"/>
      <c r="H197" s="50" t="n"/>
      <c r="I197" s="82" t="n"/>
    </row>
    <row r="198">
      <c r="B198" s="91" t="n"/>
      <c r="C198" s="92" t="n"/>
      <c r="D198" s="93" t="n"/>
      <c r="E198" s="92" t="n"/>
      <c r="F198" s="94" t="n"/>
      <c r="G198" s="41" t="n"/>
      <c r="H198" s="41" t="n"/>
      <c r="I198" s="70" t="n"/>
    </row>
    <row r="199">
      <c r="B199" s="91" t="n"/>
      <c r="C199" s="96" t="n"/>
      <c r="D199" s="95" t="n"/>
      <c r="E199" s="96" t="n"/>
      <c r="F199" s="97" t="n"/>
      <c r="G199" s="50" t="n"/>
      <c r="H199" s="50" t="n"/>
      <c r="I199" s="82" t="n"/>
    </row>
    <row r="200">
      <c r="B200" s="91" t="n"/>
      <c r="C200" s="92" t="n"/>
      <c r="D200" s="93" t="n"/>
      <c r="E200" s="92" t="n"/>
      <c r="F200" s="94" t="n"/>
      <c r="G200" s="41" t="n"/>
      <c r="H200" s="41" t="n"/>
      <c r="I200" s="70" t="n"/>
    </row>
    <row r="201">
      <c r="B201" s="91" t="n"/>
      <c r="C201" s="96" t="n"/>
      <c r="D201" s="95" t="n"/>
      <c r="E201" s="96" t="n"/>
      <c r="F201" s="97" t="n"/>
      <c r="G201" s="50" t="n"/>
      <c r="H201" s="50" t="n"/>
      <c r="I201" s="82" t="n"/>
    </row>
    <row r="202">
      <c r="B202" s="91" t="n"/>
      <c r="C202" s="92" t="n"/>
      <c r="D202" s="93" t="n"/>
      <c r="E202" s="92" t="n"/>
      <c r="F202" s="94" t="n"/>
      <c r="G202" s="41" t="n"/>
      <c r="H202" s="41" t="n"/>
      <c r="I202" s="70" t="n"/>
    </row>
    <row r="203">
      <c r="B203" s="91" t="n"/>
      <c r="C203" s="96" t="n"/>
      <c r="D203" s="95" t="n"/>
      <c r="E203" s="96" t="n"/>
      <c r="F203" s="97" t="n"/>
      <c r="G203" s="50" t="n"/>
      <c r="H203" s="50" t="n"/>
      <c r="I203" s="82" t="n"/>
    </row>
    <row r="204">
      <c r="B204" s="91" t="n"/>
      <c r="C204" s="92" t="n"/>
      <c r="D204" s="93" t="n"/>
      <c r="E204" s="92" t="n"/>
      <c r="F204" s="94" t="n"/>
      <c r="G204" s="41" t="n"/>
      <c r="H204" s="41" t="n"/>
      <c r="I204" s="70" t="n"/>
    </row>
    <row r="205">
      <c r="B205" s="91" t="n"/>
      <c r="C205" s="96" t="n"/>
      <c r="D205" s="95" t="n"/>
      <c r="E205" s="96" t="n"/>
      <c r="F205" s="97" t="n"/>
      <c r="G205" s="50" t="n"/>
      <c r="H205" s="50" t="n"/>
      <c r="I205" s="82" t="n"/>
    </row>
    <row r="206">
      <c r="B206" s="91" t="n"/>
      <c r="C206" s="92" t="n"/>
      <c r="D206" s="93" t="n"/>
      <c r="E206" s="92" t="n"/>
      <c r="F206" s="94" t="n"/>
      <c r="G206" s="41" t="n"/>
      <c r="H206" s="41" t="n"/>
      <c r="I206" s="70" t="n"/>
    </row>
    <row r="207">
      <c r="B207" s="91" t="n"/>
      <c r="C207" s="96" t="n"/>
      <c r="D207" s="95" t="n"/>
      <c r="E207" s="96" t="n"/>
      <c r="F207" s="97" t="n"/>
      <c r="G207" s="50" t="n"/>
      <c r="H207" s="50" t="n"/>
      <c r="I207" s="82" t="n"/>
    </row>
    <row r="208">
      <c r="B208" s="91" t="n"/>
      <c r="C208" s="92" t="n"/>
      <c r="D208" s="93" t="n"/>
      <c r="E208" s="92" t="n"/>
      <c r="F208" s="94" t="n"/>
      <c r="G208" s="41" t="n"/>
      <c r="H208" s="41" t="n"/>
      <c r="I208" s="70" t="n"/>
    </row>
    <row r="209">
      <c r="B209" s="91" t="n"/>
      <c r="C209" s="96" t="n"/>
      <c r="D209" s="95" t="n"/>
      <c r="E209" s="96" t="n"/>
      <c r="F209" s="97" t="n"/>
      <c r="G209" s="50" t="n"/>
      <c r="H209" s="50" t="n"/>
      <c r="I209" s="82" t="n"/>
    </row>
    <row r="210">
      <c r="B210" s="91" t="n"/>
      <c r="C210" s="92" t="n"/>
      <c r="D210" s="93" t="n"/>
      <c r="E210" s="92" t="n"/>
      <c r="F210" s="94" t="n"/>
      <c r="G210" s="41" t="n"/>
      <c r="H210" s="41" t="n"/>
      <c r="I210" s="70" t="n"/>
    </row>
    <row r="211">
      <c r="B211" s="91" t="n"/>
      <c r="C211" s="96" t="n"/>
      <c r="D211" s="95" t="n"/>
      <c r="E211" s="96" t="n"/>
      <c r="F211" s="97" t="n"/>
      <c r="G211" s="50" t="n"/>
      <c r="H211" s="50" t="n"/>
      <c r="I211" s="82" t="n"/>
    </row>
    <row r="212">
      <c r="B212" s="91" t="n"/>
      <c r="C212" s="92" t="n"/>
      <c r="D212" s="93" t="n"/>
      <c r="E212" s="92" t="n"/>
      <c r="F212" s="94" t="n"/>
      <c r="G212" s="41" t="n"/>
      <c r="H212" s="41" t="n"/>
      <c r="I212" s="70" t="n"/>
    </row>
    <row r="213">
      <c r="B213" s="91" t="n"/>
      <c r="C213" s="96" t="n"/>
      <c r="D213" s="95" t="n"/>
      <c r="E213" s="96" t="n"/>
      <c r="F213" s="97" t="n"/>
      <c r="G213" s="50" t="n"/>
      <c r="H213" s="50" t="n"/>
      <c r="I213" s="82" t="n"/>
    </row>
    <row r="214">
      <c r="B214" s="91" t="n"/>
      <c r="C214" s="92" t="n"/>
      <c r="D214" s="93" t="n"/>
      <c r="E214" s="92" t="n"/>
      <c r="F214" s="94" t="n"/>
      <c r="G214" s="41" t="n"/>
      <c r="H214" s="41" t="n"/>
      <c r="I214" s="70" t="n"/>
    </row>
    <row r="215">
      <c r="B215" s="91" t="n"/>
      <c r="C215" s="96" t="n"/>
      <c r="D215" s="95" t="n"/>
      <c r="E215" s="96" t="n"/>
      <c r="F215" s="97" t="n"/>
      <c r="G215" s="50" t="n"/>
      <c r="H215" s="50" t="n"/>
      <c r="I215" s="82" t="n"/>
    </row>
    <row r="216">
      <c r="B216" s="91" t="n"/>
      <c r="C216" s="92" t="n"/>
      <c r="D216" s="93" t="n"/>
      <c r="E216" s="92" t="n"/>
      <c r="F216" s="94" t="n"/>
      <c r="G216" s="41" t="n"/>
      <c r="H216" s="41" t="n"/>
      <c r="I216" s="70" t="n"/>
    </row>
    <row r="217">
      <c r="B217" s="91" t="n"/>
      <c r="C217" s="96" t="n"/>
      <c r="D217" s="95" t="n"/>
      <c r="E217" s="96" t="n"/>
      <c r="F217" s="97" t="n"/>
      <c r="G217" s="50" t="n"/>
      <c r="H217" s="50" t="n"/>
      <c r="I217" s="82" t="n"/>
    </row>
    <row r="218">
      <c r="B218" s="91" t="n"/>
      <c r="C218" s="92" t="n"/>
      <c r="D218" s="93" t="n"/>
      <c r="E218" s="92" t="n"/>
      <c r="F218" s="94" t="n"/>
      <c r="G218" s="41" t="n"/>
      <c r="H218" s="41" t="n"/>
      <c r="I218" s="70" t="n"/>
    </row>
    <row r="219">
      <c r="B219" s="91" t="n"/>
      <c r="C219" s="96" t="n"/>
      <c r="D219" s="95" t="n"/>
      <c r="E219" s="96" t="n"/>
      <c r="F219" s="97" t="n"/>
      <c r="G219" s="50" t="n"/>
      <c r="H219" s="50" t="n"/>
      <c r="I219" s="82" t="n"/>
    </row>
    <row r="220">
      <c r="B220" s="91" t="n"/>
      <c r="C220" s="92" t="n"/>
      <c r="D220" s="93" t="n"/>
      <c r="E220" s="92" t="n"/>
      <c r="F220" s="94" t="n"/>
      <c r="G220" s="41" t="n"/>
      <c r="H220" s="41" t="n"/>
      <c r="I220" s="70" t="n"/>
    </row>
    <row r="221">
      <c r="B221" s="91" t="n"/>
      <c r="C221" s="96" t="n"/>
      <c r="D221" s="95" t="n"/>
      <c r="E221" s="96" t="n"/>
      <c r="F221" s="97" t="n"/>
      <c r="G221" s="50" t="n"/>
      <c r="H221" s="50" t="n"/>
      <c r="I221" s="82" t="n"/>
    </row>
    <row r="222">
      <c r="B222" s="91" t="n"/>
      <c r="C222" s="92" t="n"/>
      <c r="D222" s="93" t="n"/>
      <c r="E222" s="92" t="n"/>
      <c r="F222" s="94" t="n"/>
      <c r="G222" s="41" t="n"/>
      <c r="H222" s="41" t="n"/>
      <c r="I222" s="70" t="n"/>
    </row>
    <row r="223">
      <c r="B223" s="91" t="n"/>
      <c r="C223" s="96" t="n"/>
      <c r="D223" s="95" t="n"/>
      <c r="E223" s="96" t="n"/>
      <c r="F223" s="97" t="n"/>
      <c r="G223" s="50" t="n"/>
      <c r="H223" s="50" t="n"/>
      <c r="I223" s="82" t="n"/>
    </row>
    <row r="224">
      <c r="B224" s="91" t="n"/>
      <c r="C224" s="92" t="n"/>
      <c r="D224" s="93" t="n"/>
      <c r="E224" s="92" t="n"/>
      <c r="F224" s="94" t="n"/>
      <c r="G224" s="41" t="n"/>
      <c r="H224" s="41" t="n"/>
      <c r="I224" s="70" t="n"/>
    </row>
    <row r="225">
      <c r="B225" s="91" t="n"/>
      <c r="C225" s="96" t="n"/>
      <c r="D225" s="95" t="n"/>
      <c r="E225" s="96" t="n"/>
      <c r="F225" s="97" t="n"/>
      <c r="G225" s="50" t="n"/>
      <c r="H225" s="50" t="n"/>
      <c r="I225" s="82" t="n"/>
    </row>
    <row r="226">
      <c r="B226" s="91" t="n"/>
      <c r="C226" s="92" t="n"/>
      <c r="D226" s="93" t="n"/>
      <c r="E226" s="92" t="n"/>
      <c r="F226" s="94" t="n"/>
      <c r="G226" s="41" t="n"/>
      <c r="H226" s="41" t="n"/>
      <c r="I226" s="70" t="n"/>
    </row>
    <row r="227">
      <c r="B227" s="91" t="n"/>
      <c r="C227" s="96" t="n"/>
      <c r="D227" s="95" t="n"/>
      <c r="E227" s="96" t="n"/>
      <c r="F227" s="97" t="n"/>
      <c r="G227" s="50" t="n"/>
      <c r="H227" s="50" t="n"/>
      <c r="I227" s="82" t="n"/>
    </row>
    <row r="228">
      <c r="B228" s="91" t="n"/>
      <c r="C228" s="92" t="n"/>
      <c r="D228" s="93" t="n"/>
      <c r="E228" s="92" t="n"/>
      <c r="F228" s="94" t="n"/>
      <c r="G228" s="41" t="n"/>
      <c r="H228" s="41" t="n"/>
      <c r="I228" s="70" t="n"/>
    </row>
    <row r="229">
      <c r="B229" s="91" t="n"/>
      <c r="C229" s="96" t="n"/>
      <c r="D229" s="95" t="n"/>
      <c r="E229" s="96" t="n"/>
      <c r="F229" s="97" t="n"/>
      <c r="G229" s="50" t="n"/>
      <c r="H229" s="50" t="n"/>
      <c r="I229" s="82" t="n"/>
    </row>
    <row r="230">
      <c r="B230" s="91" t="n"/>
      <c r="C230" s="92" t="n"/>
      <c r="D230" s="93" t="n"/>
      <c r="E230" s="92" t="n"/>
      <c r="F230" s="94" t="n"/>
      <c r="G230" s="41" t="n"/>
      <c r="H230" s="41" t="n"/>
      <c r="I230" s="70" t="n"/>
    </row>
    <row r="231">
      <c r="B231" s="91" t="n"/>
      <c r="C231" s="96" t="n"/>
      <c r="D231" s="95" t="n"/>
      <c r="E231" s="96" t="n"/>
      <c r="F231" s="97" t="n"/>
      <c r="G231" s="50" t="n"/>
      <c r="H231" s="50" t="n"/>
      <c r="I231" s="82" t="n"/>
    </row>
    <row r="232">
      <c r="B232" s="91" t="n"/>
      <c r="C232" s="92" t="n"/>
      <c r="D232" s="93" t="n"/>
      <c r="E232" s="92" t="n"/>
      <c r="F232" s="94" t="n"/>
      <c r="G232" s="41" t="n"/>
      <c r="H232" s="41" t="n"/>
      <c r="I232" s="70" t="n"/>
    </row>
    <row r="233">
      <c r="B233" s="91" t="n"/>
      <c r="C233" s="96" t="n"/>
      <c r="D233" s="95" t="n"/>
      <c r="E233" s="96" t="n"/>
      <c r="F233" s="97" t="n"/>
      <c r="G233" s="50" t="n"/>
      <c r="H233" s="50" t="n"/>
      <c r="I233" s="82" t="n"/>
    </row>
    <row r="234">
      <c r="B234" s="91" t="n"/>
      <c r="C234" s="92" t="n"/>
      <c r="D234" s="93" t="n"/>
      <c r="E234" s="92" t="n"/>
      <c r="F234" s="94" t="n"/>
      <c r="G234" s="41" t="n"/>
      <c r="H234" s="41" t="n"/>
      <c r="I234" s="70" t="n"/>
    </row>
    <row r="235">
      <c r="B235" s="91" t="n"/>
      <c r="C235" s="96" t="n"/>
      <c r="D235" s="95" t="n"/>
      <c r="E235" s="96" t="n"/>
      <c r="F235" s="97" t="n"/>
      <c r="G235" s="50" t="n"/>
      <c r="H235" s="50" t="n"/>
      <c r="I235" s="82" t="n"/>
    </row>
    <row r="236">
      <c r="B236" s="91" t="n"/>
      <c r="C236" s="92" t="n"/>
      <c r="D236" s="93" t="n"/>
      <c r="E236" s="92" t="n"/>
      <c r="F236" s="94" t="n"/>
      <c r="G236" s="41" t="n"/>
      <c r="H236" s="41" t="n"/>
      <c r="I236" s="70" t="n"/>
    </row>
    <row r="237">
      <c r="B237" s="91" t="n"/>
      <c r="C237" s="96" t="n"/>
      <c r="D237" s="95" t="n"/>
      <c r="E237" s="96" t="n"/>
      <c r="F237" s="97" t="n"/>
      <c r="G237" s="50" t="n"/>
      <c r="H237" s="50" t="n"/>
      <c r="I237" s="82" t="n"/>
    </row>
    <row r="238">
      <c r="B238" s="91" t="n"/>
      <c r="C238" s="92" t="n"/>
      <c r="D238" s="93" t="n"/>
      <c r="E238" s="92" t="n"/>
      <c r="F238" s="94" t="n"/>
      <c r="G238" s="41" t="n"/>
      <c r="H238" s="41" t="n"/>
      <c r="I238" s="70" t="n"/>
    </row>
    <row r="239">
      <c r="B239" s="91" t="n"/>
      <c r="C239" s="96" t="n"/>
      <c r="D239" s="95" t="n"/>
      <c r="E239" s="96" t="n"/>
      <c r="F239" s="97" t="n"/>
      <c r="G239" s="50" t="n"/>
      <c r="H239" s="50" t="n"/>
      <c r="I239" s="82" t="n"/>
    </row>
    <row r="240">
      <c r="B240" s="91" t="n"/>
      <c r="C240" s="92" t="n"/>
      <c r="D240" s="93" t="n"/>
      <c r="E240" s="92" t="n"/>
      <c r="F240" s="94" t="n"/>
      <c r="G240" s="41" t="n"/>
      <c r="H240" s="41" t="n"/>
      <c r="I240" s="70" t="n"/>
    </row>
    <row r="241">
      <c r="B241" s="91" t="n"/>
      <c r="C241" s="96" t="n"/>
      <c r="D241" s="95" t="n"/>
      <c r="E241" s="96" t="n"/>
      <c r="F241" s="97" t="n"/>
      <c r="G241" s="50" t="n"/>
      <c r="H241" s="50" t="n"/>
      <c r="I241" s="82" t="n"/>
    </row>
    <row r="242">
      <c r="B242" s="91" t="n"/>
      <c r="C242" s="92" t="n"/>
      <c r="D242" s="93" t="n"/>
      <c r="E242" s="92" t="n"/>
      <c r="F242" s="94" t="n"/>
      <c r="G242" s="41" t="n"/>
      <c r="H242" s="41" t="n"/>
      <c r="I242" s="70" t="n"/>
    </row>
    <row r="243">
      <c r="B243" s="91" t="n"/>
      <c r="C243" s="96" t="n"/>
      <c r="D243" s="95" t="n"/>
      <c r="E243" s="96" t="n"/>
      <c r="F243" s="97" t="n"/>
      <c r="G243" s="50" t="n"/>
      <c r="H243" s="50" t="n"/>
      <c r="I243" s="82" t="n"/>
    </row>
    <row r="244">
      <c r="B244" s="91" t="n"/>
      <c r="C244" s="92" t="n"/>
      <c r="D244" s="93" t="n"/>
      <c r="E244" s="92" t="n"/>
      <c r="F244" s="94" t="n"/>
      <c r="G244" s="41" t="n"/>
      <c r="H244" s="41" t="n"/>
      <c r="I244" s="70" t="n"/>
    </row>
    <row r="245">
      <c r="B245" s="91" t="n"/>
      <c r="C245" s="96" t="n"/>
      <c r="D245" s="95" t="n"/>
      <c r="E245" s="96" t="n"/>
      <c r="F245" s="97" t="n"/>
      <c r="G245" s="50" t="n"/>
      <c r="H245" s="50" t="n"/>
      <c r="I245" s="82" t="n"/>
    </row>
    <row r="246">
      <c r="B246" s="91" t="n"/>
      <c r="C246" s="92" t="n"/>
      <c r="D246" s="93" t="n"/>
      <c r="E246" s="92" t="n"/>
      <c r="F246" s="94" t="n"/>
      <c r="G246" s="41" t="n"/>
      <c r="H246" s="41" t="n"/>
      <c r="I246" s="70" t="n"/>
    </row>
    <row r="247">
      <c r="B247" s="91" t="n"/>
      <c r="C247" s="96" t="n"/>
      <c r="D247" s="95" t="n"/>
      <c r="E247" s="96" t="n"/>
      <c r="F247" s="97" t="n"/>
      <c r="G247" s="50" t="n"/>
      <c r="H247" s="50" t="n"/>
      <c r="I247" s="82" t="n"/>
    </row>
    <row r="248">
      <c r="B248" s="91" t="n"/>
      <c r="C248" s="92" t="n"/>
      <c r="D248" s="93" t="n"/>
      <c r="E248" s="92" t="n"/>
      <c r="F248" s="94" t="n"/>
      <c r="G248" s="41" t="n"/>
      <c r="H248" s="41" t="n"/>
      <c r="I248" s="70" t="n"/>
    </row>
    <row r="249">
      <c r="B249" s="91" t="n"/>
      <c r="C249" s="96" t="n"/>
      <c r="D249" s="95" t="n"/>
      <c r="E249" s="96" t="n"/>
      <c r="F249" s="97" t="n"/>
      <c r="G249" s="50" t="n"/>
      <c r="H249" s="50" t="n"/>
      <c r="I249" s="82" t="n"/>
    </row>
    <row r="250">
      <c r="B250" s="91" t="n"/>
      <c r="C250" s="92" t="n"/>
      <c r="D250" s="93" t="n"/>
      <c r="E250" s="92" t="n"/>
      <c r="F250" s="94" t="n"/>
      <c r="G250" s="41" t="n"/>
      <c r="H250" s="41" t="n"/>
      <c r="I250" s="70" t="n"/>
    </row>
    <row r="251">
      <c r="B251" s="91" t="n"/>
      <c r="C251" s="96" t="n"/>
      <c r="D251" s="95" t="n"/>
      <c r="E251" s="96" t="n"/>
      <c r="F251" s="97" t="n"/>
      <c r="G251" s="50" t="n"/>
      <c r="H251" s="50" t="n"/>
      <c r="I251" s="82" t="n"/>
    </row>
    <row r="252">
      <c r="B252" s="91" t="n"/>
      <c r="C252" s="92" t="n"/>
      <c r="D252" s="93" t="n"/>
      <c r="E252" s="92" t="n"/>
      <c r="F252" s="94" t="n"/>
      <c r="G252" s="41" t="n"/>
      <c r="H252" s="41" t="n"/>
      <c r="I252" s="70" t="n"/>
    </row>
    <row r="253">
      <c r="B253" s="91" t="n"/>
      <c r="C253" s="96" t="n"/>
      <c r="D253" s="95" t="n"/>
      <c r="E253" s="96" t="n"/>
      <c r="F253" s="97" t="n"/>
      <c r="G253" s="50" t="n"/>
      <c r="H253" s="50" t="n"/>
      <c r="I253" s="82" t="n"/>
    </row>
    <row r="254">
      <c r="B254" s="91" t="n"/>
      <c r="C254" s="92" t="n"/>
      <c r="D254" s="93" t="n"/>
      <c r="E254" s="92" t="n"/>
      <c r="F254" s="94" t="n"/>
      <c r="G254" s="41" t="n"/>
      <c r="H254" s="41" t="n"/>
      <c r="I254" s="70" t="n"/>
    </row>
    <row r="255">
      <c r="B255" s="91" t="n"/>
      <c r="C255" s="96" t="n"/>
      <c r="D255" s="95" t="n"/>
      <c r="E255" s="96" t="n"/>
      <c r="F255" s="97" t="n"/>
      <c r="G255" s="50" t="n"/>
      <c r="H255" s="50" t="n"/>
      <c r="I255" s="82" t="n"/>
    </row>
    <row r="256">
      <c r="B256" s="91" t="n"/>
      <c r="C256" s="92" t="n"/>
      <c r="D256" s="93" t="n"/>
      <c r="E256" s="92" t="n"/>
      <c r="F256" s="94" t="n"/>
      <c r="G256" s="41" t="n"/>
      <c r="H256" s="41" t="n"/>
      <c r="I256" s="70" t="n"/>
    </row>
    <row r="257">
      <c r="B257" s="91" t="n"/>
      <c r="C257" s="96" t="n"/>
      <c r="D257" s="95" t="n"/>
      <c r="E257" s="96" t="n"/>
      <c r="F257" s="97" t="n"/>
      <c r="G257" s="50" t="n"/>
      <c r="H257" s="50" t="n"/>
      <c r="I257" s="82" t="n"/>
    </row>
    <row r="258">
      <c r="B258" s="91" t="n"/>
      <c r="C258" s="92" t="n"/>
      <c r="D258" s="93" t="n"/>
      <c r="E258" s="92" t="n"/>
      <c r="F258" s="94" t="n"/>
      <c r="G258" s="41" t="n"/>
      <c r="H258" s="41" t="n"/>
      <c r="I258" s="70" t="n"/>
    </row>
    <row r="259">
      <c r="B259" s="91" t="n"/>
      <c r="C259" s="96" t="n"/>
      <c r="D259" s="95" t="n"/>
      <c r="E259" s="96" t="n"/>
      <c r="F259" s="97" t="n"/>
      <c r="G259" s="50" t="n"/>
      <c r="H259" s="50" t="n"/>
      <c r="I259" s="82" t="n"/>
    </row>
    <row r="260">
      <c r="B260" s="91" t="n"/>
      <c r="C260" s="92" t="n"/>
      <c r="D260" s="93" t="n"/>
      <c r="E260" s="92" t="n"/>
      <c r="F260" s="94" t="n"/>
      <c r="G260" s="41" t="n"/>
      <c r="H260" s="41" t="n"/>
      <c r="I260" s="70" t="n"/>
    </row>
    <row r="261">
      <c r="B261" s="91" t="n"/>
      <c r="C261" s="96" t="n"/>
      <c r="D261" s="95" t="n"/>
      <c r="E261" s="96" t="n"/>
      <c r="F261" s="97" t="n"/>
      <c r="G261" s="50" t="n"/>
      <c r="H261" s="50" t="n"/>
      <c r="I261" s="82" t="n"/>
    </row>
    <row r="262">
      <c r="B262" s="91" t="n"/>
      <c r="C262" s="92" t="n"/>
      <c r="D262" s="93" t="n"/>
      <c r="E262" s="92" t="n"/>
      <c r="F262" s="94" t="n"/>
      <c r="G262" s="41" t="n"/>
      <c r="H262" s="41" t="n"/>
      <c r="I262" s="70" t="n"/>
    </row>
    <row r="263">
      <c r="B263" s="91" t="n"/>
      <c r="C263" s="96" t="n"/>
      <c r="D263" s="95" t="n"/>
      <c r="E263" s="96" t="n"/>
      <c r="F263" s="97" t="n"/>
      <c r="G263" s="50" t="n"/>
      <c r="H263" s="50" t="n"/>
      <c r="I263" s="82" t="n"/>
    </row>
    <row r="264">
      <c r="B264" s="91" t="n"/>
      <c r="C264" s="92" t="n"/>
      <c r="D264" s="93" t="n"/>
      <c r="E264" s="92" t="n"/>
      <c r="F264" s="94" t="n"/>
      <c r="G264" s="41" t="n"/>
      <c r="H264" s="41" t="n"/>
      <c r="I264" s="70" t="n"/>
    </row>
    <row r="265">
      <c r="B265" s="91" t="n"/>
      <c r="C265" s="96" t="n"/>
      <c r="D265" s="95" t="n"/>
      <c r="E265" s="96" t="n"/>
      <c r="F265" s="97" t="n"/>
      <c r="G265" s="50" t="n"/>
      <c r="H265" s="50" t="n"/>
      <c r="I265" s="82" t="n"/>
    </row>
    <row r="266">
      <c r="B266" s="91" t="n"/>
      <c r="C266" s="92" t="n"/>
      <c r="D266" s="93" t="n"/>
      <c r="E266" s="92" t="n"/>
      <c r="F266" s="94" t="n"/>
      <c r="G266" s="41" t="n"/>
      <c r="H266" s="41" t="n"/>
      <c r="I266" s="70" t="n"/>
    </row>
    <row r="267">
      <c r="B267" s="91" t="n"/>
      <c r="C267" s="96" t="n"/>
      <c r="D267" s="95" t="n"/>
      <c r="E267" s="96" t="n"/>
      <c r="F267" s="97" t="n"/>
      <c r="G267" s="50" t="n"/>
      <c r="H267" s="50" t="n"/>
      <c r="I267" s="82" t="n"/>
    </row>
    <row r="268">
      <c r="B268" s="91" t="n"/>
      <c r="C268" s="92" t="n"/>
      <c r="D268" s="93" t="n"/>
      <c r="E268" s="92" t="n"/>
      <c r="F268" s="94" t="n"/>
      <c r="G268" s="41" t="n"/>
      <c r="H268" s="41" t="n"/>
      <c r="I268" s="70" t="n"/>
    </row>
    <row r="269">
      <c r="B269" s="91" t="n"/>
      <c r="C269" s="96" t="n"/>
      <c r="D269" s="95" t="n"/>
      <c r="E269" s="96" t="n"/>
      <c r="F269" s="97" t="n"/>
      <c r="G269" s="50" t="n"/>
      <c r="H269" s="50" t="n"/>
      <c r="I269" s="82" t="n"/>
    </row>
    <row r="270">
      <c r="B270" s="91" t="n"/>
      <c r="C270" s="92" t="n"/>
      <c r="D270" s="93" t="n"/>
      <c r="E270" s="92" t="n"/>
      <c r="F270" s="94" t="n"/>
      <c r="G270" s="41" t="n"/>
      <c r="H270" s="41" t="n"/>
      <c r="I270" s="70" t="n"/>
    </row>
    <row r="271">
      <c r="B271" s="91" t="n"/>
      <c r="C271" s="96" t="n"/>
      <c r="D271" s="95" t="n"/>
      <c r="E271" s="96" t="n"/>
      <c r="F271" s="97" t="n"/>
      <c r="G271" s="50" t="n"/>
      <c r="H271" s="50" t="n"/>
      <c r="I271" s="82" t="n"/>
    </row>
    <row r="272">
      <c r="B272" s="91" t="n"/>
      <c r="C272" s="92" t="n"/>
      <c r="D272" s="93" t="n"/>
      <c r="E272" s="92" t="n"/>
      <c r="F272" s="94" t="n"/>
      <c r="G272" s="41" t="n"/>
      <c r="H272" s="41" t="n"/>
      <c r="I272" s="70" t="n"/>
    </row>
    <row r="273">
      <c r="B273" s="91" t="n"/>
      <c r="C273" s="96" t="n"/>
      <c r="D273" s="95" t="n"/>
      <c r="E273" s="96" t="n"/>
      <c r="F273" s="97" t="n"/>
      <c r="G273" s="50" t="n"/>
      <c r="H273" s="50" t="n"/>
      <c r="I273" s="82" t="n"/>
    </row>
    <row r="274">
      <c r="B274" s="91" t="n"/>
      <c r="C274" s="92" t="n"/>
      <c r="D274" s="93" t="n"/>
      <c r="E274" s="92" t="n"/>
      <c r="F274" s="94" t="n"/>
      <c r="G274" s="41" t="n"/>
      <c r="H274" s="41" t="n"/>
      <c r="I274" s="70" t="n"/>
    </row>
    <row r="275">
      <c r="B275" s="91" t="n"/>
      <c r="C275" s="96" t="n"/>
      <c r="D275" s="95" t="n"/>
      <c r="E275" s="96" t="n"/>
      <c r="F275" s="97" t="n"/>
      <c r="G275" s="50" t="n"/>
      <c r="H275" s="50" t="n"/>
      <c r="I275" s="82" t="n"/>
    </row>
    <row r="276">
      <c r="B276" s="91" t="n"/>
      <c r="C276" s="92" t="n"/>
      <c r="D276" s="93" t="n"/>
      <c r="E276" s="92" t="n"/>
      <c r="F276" s="94" t="n"/>
      <c r="G276" s="41" t="n"/>
      <c r="H276" s="41" t="n"/>
      <c r="I276" s="70" t="n"/>
    </row>
    <row r="277">
      <c r="B277" s="91" t="n"/>
      <c r="C277" s="96" t="n"/>
      <c r="D277" s="95" t="n"/>
      <c r="E277" s="96" t="n"/>
      <c r="F277" s="97" t="n"/>
      <c r="G277" s="50" t="n"/>
      <c r="H277" s="50" t="n"/>
      <c r="I277" s="82" t="n"/>
    </row>
    <row r="278">
      <c r="B278" s="91" t="n"/>
      <c r="C278" s="92" t="n"/>
      <c r="D278" s="93" t="n"/>
      <c r="E278" s="92" t="n"/>
      <c r="F278" s="94" t="n"/>
      <c r="G278" s="41" t="n"/>
      <c r="H278" s="41" t="n"/>
      <c r="I278" s="70" t="n"/>
    </row>
    <row r="279">
      <c r="B279" s="91" t="n"/>
      <c r="C279" s="96" t="n"/>
      <c r="D279" s="95" t="n"/>
      <c r="E279" s="96" t="n"/>
      <c r="F279" s="97" t="n"/>
      <c r="G279" s="50" t="n"/>
      <c r="H279" s="50" t="n"/>
      <c r="I279" s="82" t="n"/>
    </row>
    <row r="280">
      <c r="B280" s="91" t="n"/>
      <c r="C280" s="92" t="n"/>
      <c r="D280" s="93" t="n"/>
      <c r="E280" s="92" t="n"/>
      <c r="F280" s="94" t="n"/>
      <c r="G280" s="41" t="n"/>
      <c r="H280" s="41" t="n"/>
      <c r="I280" s="70" t="n"/>
    </row>
    <row r="281">
      <c r="B281" s="91" t="n"/>
      <c r="C281" s="96" t="n"/>
      <c r="D281" s="95" t="n"/>
      <c r="E281" s="96" t="n"/>
      <c r="F281" s="97" t="n"/>
      <c r="G281" s="50" t="n"/>
      <c r="H281" s="50" t="n"/>
      <c r="I281" s="82" t="n"/>
    </row>
    <row r="282">
      <c r="B282" s="91" t="n"/>
      <c r="C282" s="92" t="n"/>
      <c r="D282" s="93" t="n"/>
      <c r="E282" s="92" t="n"/>
      <c r="F282" s="94" t="n"/>
      <c r="G282" s="41" t="n"/>
      <c r="H282" s="41" t="n"/>
      <c r="I282" s="70" t="n"/>
    </row>
    <row r="283">
      <c r="B283" s="91" t="n"/>
      <c r="C283" s="96" t="n"/>
      <c r="D283" s="95" t="n"/>
      <c r="E283" s="96" t="n"/>
      <c r="F283" s="97" t="n"/>
      <c r="G283" s="50" t="n"/>
      <c r="H283" s="50" t="n"/>
      <c r="I283" s="82" t="n"/>
    </row>
    <row r="284">
      <c r="B284" s="91" t="n"/>
      <c r="C284" s="92" t="n"/>
      <c r="D284" s="93" t="n"/>
      <c r="E284" s="92" t="n"/>
      <c r="F284" s="94" t="n"/>
      <c r="G284" s="41" t="n"/>
      <c r="H284" s="41" t="n"/>
      <c r="I284" s="70" t="n"/>
    </row>
    <row r="285">
      <c r="B285" s="91" t="n"/>
      <c r="C285" s="96" t="n"/>
      <c r="D285" s="95" t="n"/>
      <c r="E285" s="96" t="n"/>
      <c r="F285" s="97" t="n"/>
      <c r="G285" s="50" t="n"/>
      <c r="H285" s="50" t="n"/>
      <c r="I285" s="82" t="n"/>
    </row>
    <row r="286">
      <c r="B286" s="91" t="n"/>
      <c r="C286" s="92" t="n"/>
      <c r="D286" s="93" t="n"/>
      <c r="E286" s="92" t="n"/>
      <c r="F286" s="94" t="n"/>
      <c r="G286" s="41" t="n"/>
      <c r="H286" s="41" t="n"/>
      <c r="I286" s="70" t="n"/>
    </row>
    <row r="287">
      <c r="B287" s="91" t="n"/>
      <c r="C287" s="96" t="n"/>
      <c r="D287" s="95" t="n"/>
      <c r="E287" s="96" t="n"/>
      <c r="F287" s="97" t="n"/>
      <c r="G287" s="50" t="n"/>
      <c r="H287" s="50" t="n"/>
      <c r="I287" s="82" t="n"/>
    </row>
    <row r="288">
      <c r="B288" s="91" t="n"/>
      <c r="C288" s="92" t="n"/>
      <c r="D288" s="93" t="n"/>
      <c r="E288" s="92" t="n"/>
      <c r="F288" s="94" t="n"/>
      <c r="G288" s="41" t="n"/>
      <c r="H288" s="41" t="n"/>
      <c r="I288" s="70" t="n"/>
    </row>
    <row r="289">
      <c r="B289" s="91" t="n"/>
      <c r="C289" s="96" t="n"/>
      <c r="D289" s="95" t="n"/>
      <c r="E289" s="96" t="n"/>
      <c r="F289" s="97" t="n"/>
      <c r="G289" s="50" t="n"/>
      <c r="H289" s="50" t="n"/>
      <c r="I289" s="82" t="n"/>
    </row>
    <row r="290">
      <c r="B290" s="91" t="n"/>
      <c r="C290" s="92" t="n"/>
      <c r="D290" s="93" t="n"/>
      <c r="E290" s="92" t="n"/>
      <c r="F290" s="94" t="n"/>
      <c r="G290" s="41" t="n"/>
      <c r="H290" s="41" t="n"/>
      <c r="I290" s="70" t="n"/>
    </row>
    <row r="291">
      <c r="B291" s="91" t="n"/>
      <c r="C291" s="96" t="n"/>
      <c r="D291" s="95" t="n"/>
      <c r="E291" s="96" t="n"/>
      <c r="F291" s="97" t="n"/>
      <c r="G291" s="50" t="n"/>
      <c r="H291" s="50" t="n"/>
      <c r="I291" s="82" t="n"/>
    </row>
    <row r="292">
      <c r="B292" s="91" t="n"/>
      <c r="C292" s="92" t="n"/>
      <c r="D292" s="93" t="n"/>
      <c r="E292" s="92" t="n"/>
      <c r="F292" s="94" t="n"/>
      <c r="G292" s="41" t="n"/>
      <c r="H292" s="41" t="n"/>
      <c r="I292" s="70" t="n"/>
    </row>
    <row r="293">
      <c r="B293" s="91" t="n"/>
      <c r="C293" s="96" t="n"/>
      <c r="D293" s="95" t="n"/>
      <c r="E293" s="96" t="n"/>
      <c r="F293" s="97" t="n"/>
      <c r="G293" s="50" t="n"/>
      <c r="H293" s="50" t="n"/>
      <c r="I293" s="82" t="n"/>
    </row>
    <row r="294">
      <c r="B294" s="91" t="n"/>
      <c r="C294" s="92" t="n"/>
      <c r="D294" s="93" t="n"/>
      <c r="E294" s="92" t="n"/>
      <c r="F294" s="94" t="n"/>
      <c r="G294" s="41" t="n"/>
      <c r="H294" s="41" t="n"/>
      <c r="I294" s="70" t="n"/>
    </row>
    <row r="295">
      <c r="B295" s="91" t="n"/>
      <c r="C295" s="96" t="n"/>
      <c r="D295" s="95" t="n"/>
      <c r="E295" s="96" t="n"/>
      <c r="F295" s="97" t="n"/>
      <c r="G295" s="50" t="n"/>
      <c r="H295" s="50" t="n"/>
      <c r="I295" s="82" t="n"/>
    </row>
    <row r="296">
      <c r="B296" s="91" t="n"/>
      <c r="C296" s="92" t="n"/>
      <c r="D296" s="93" t="n"/>
      <c r="E296" s="92" t="n"/>
      <c r="F296" s="94" t="n"/>
      <c r="G296" s="41" t="n"/>
      <c r="H296" s="41" t="n"/>
      <c r="I296" s="70" t="n"/>
    </row>
    <row r="297">
      <c r="B297" s="91" t="n"/>
      <c r="C297" s="96" t="n"/>
      <c r="D297" s="95" t="n"/>
      <c r="E297" s="96" t="n"/>
      <c r="F297" s="97" t="n"/>
      <c r="G297" s="50" t="n"/>
      <c r="H297" s="50" t="n"/>
      <c r="I297" s="82" t="n"/>
    </row>
    <row r="298">
      <c r="B298" s="91" t="n"/>
      <c r="C298" s="92" t="n"/>
      <c r="D298" s="93" t="n"/>
      <c r="E298" s="92" t="n"/>
      <c r="F298" s="94" t="n"/>
      <c r="G298" s="41" t="n"/>
      <c r="H298" s="41" t="n"/>
      <c r="I298" s="70" t="n"/>
    </row>
    <row r="299">
      <c r="B299" s="91" t="n"/>
      <c r="C299" s="96" t="n"/>
      <c r="D299" s="95" t="n"/>
      <c r="E299" s="96" t="n"/>
      <c r="F299" s="97" t="n"/>
      <c r="G299" s="50" t="n"/>
      <c r="H299" s="50" t="n"/>
      <c r="I299" s="82" t="n"/>
    </row>
    <row r="300">
      <c r="B300" s="91" t="n"/>
      <c r="C300" s="92" t="n"/>
      <c r="D300" s="93" t="n"/>
      <c r="E300" s="92" t="n"/>
      <c r="F300" s="94" t="n"/>
      <c r="G300" s="41" t="n"/>
      <c r="H300" s="41" t="n"/>
      <c r="I300" s="70" t="n"/>
    </row>
    <row r="301">
      <c r="B301" s="91" t="n"/>
      <c r="C301" s="96" t="n"/>
      <c r="D301" s="95" t="n"/>
      <c r="E301" s="96" t="n"/>
      <c r="F301" s="97" t="n"/>
      <c r="G301" s="50" t="n"/>
      <c r="H301" s="50" t="n"/>
      <c r="I301" s="82" t="n"/>
    </row>
    <row r="302">
      <c r="B302" s="91" t="n"/>
      <c r="C302" s="92" t="n"/>
      <c r="D302" s="93" t="n"/>
      <c r="E302" s="92" t="n"/>
      <c r="F302" s="94" t="n"/>
      <c r="G302" s="41" t="n"/>
      <c r="H302" s="41" t="n"/>
      <c r="I302" s="70" t="n"/>
    </row>
    <row r="303">
      <c r="B303" s="91" t="n"/>
      <c r="C303" s="96" t="n"/>
      <c r="D303" s="95" t="n"/>
      <c r="E303" s="96" t="n"/>
      <c r="F303" s="97" t="n"/>
      <c r="G303" s="50" t="n"/>
      <c r="H303" s="50" t="n"/>
      <c r="I303" s="82" t="n"/>
    </row>
    <row r="304">
      <c r="B304" s="91" t="n"/>
      <c r="C304" s="92" t="n"/>
      <c r="D304" s="93" t="n"/>
      <c r="E304" s="92" t="n"/>
      <c r="F304" s="94" t="n"/>
      <c r="G304" s="41" t="n"/>
      <c r="H304" s="41" t="n"/>
      <c r="I304" s="70" t="n"/>
    </row>
    <row r="305">
      <c r="B305" s="91" t="n"/>
      <c r="C305" s="96" t="n"/>
      <c r="D305" s="95" t="n"/>
      <c r="E305" s="96" t="n"/>
      <c r="F305" s="97" t="n"/>
      <c r="G305" s="50" t="n"/>
      <c r="H305" s="50" t="n"/>
      <c r="I305" s="82" t="n"/>
    </row>
    <row r="306">
      <c r="B306" s="91" t="n"/>
      <c r="C306" s="92" t="n"/>
      <c r="D306" s="93" t="n"/>
      <c r="E306" s="92" t="n"/>
      <c r="F306" s="94" t="n"/>
      <c r="G306" s="41" t="n"/>
      <c r="H306" s="41" t="n"/>
      <c r="I306" s="70" t="n"/>
    </row>
    <row r="307">
      <c r="B307" s="91" t="n"/>
      <c r="C307" s="96" t="n"/>
      <c r="D307" s="95" t="n"/>
      <c r="E307" s="96" t="n"/>
      <c r="F307" s="97" t="n"/>
      <c r="G307" s="50" t="n"/>
      <c r="H307" s="50" t="n"/>
      <c r="I307" s="82" t="n"/>
    </row>
    <row r="308">
      <c r="B308" s="91" t="n"/>
      <c r="C308" s="92" t="n"/>
      <c r="D308" s="93" t="n"/>
      <c r="E308" s="92" t="n"/>
      <c r="F308" s="94" t="n"/>
      <c r="G308" s="41" t="n"/>
      <c r="H308" s="41" t="n"/>
      <c r="I308" s="70" t="n"/>
    </row>
    <row r="309">
      <c r="B309" s="91" t="n"/>
      <c r="C309" s="96" t="n"/>
      <c r="D309" s="95" t="n"/>
      <c r="E309" s="96" t="n"/>
      <c r="F309" s="97" t="n"/>
      <c r="G309" s="50" t="n"/>
      <c r="H309" s="50" t="n"/>
      <c r="I309" s="82" t="n"/>
    </row>
    <row r="310">
      <c r="B310" s="91" t="n"/>
      <c r="C310" s="92" t="n"/>
      <c r="D310" s="93" t="n"/>
      <c r="E310" s="92" t="n"/>
      <c r="F310" s="94" t="n"/>
      <c r="G310" s="41" t="n"/>
      <c r="H310" s="41" t="n"/>
      <c r="I310" s="70" t="n"/>
    </row>
    <row r="311">
      <c r="B311" s="91" t="n"/>
      <c r="C311" s="96" t="n"/>
      <c r="D311" s="95" t="n"/>
      <c r="E311" s="96" t="n"/>
      <c r="F311" s="97" t="n"/>
      <c r="G311" s="50" t="n"/>
      <c r="H311" s="50" t="n"/>
      <c r="I311" s="82" t="n"/>
    </row>
    <row r="312">
      <c r="B312" s="91" t="n"/>
      <c r="C312" s="92" t="n"/>
      <c r="D312" s="93" t="n"/>
      <c r="E312" s="92" t="n"/>
      <c r="F312" s="94" t="n"/>
      <c r="G312" s="41" t="n"/>
      <c r="H312" s="41" t="n"/>
      <c r="I312" s="70" t="n"/>
    </row>
    <row r="313">
      <c r="B313" s="91" t="n"/>
      <c r="C313" s="96" t="n"/>
      <c r="D313" s="95" t="n"/>
      <c r="E313" s="96" t="n"/>
      <c r="F313" s="97" t="n"/>
      <c r="G313" s="50" t="n"/>
      <c r="H313" s="50" t="n"/>
      <c r="I313" s="82" t="n"/>
    </row>
    <row r="314">
      <c r="B314" s="91" t="n"/>
      <c r="C314" s="92" t="n"/>
      <c r="D314" s="93" t="n"/>
      <c r="E314" s="92" t="n"/>
      <c r="F314" s="94" t="n"/>
      <c r="G314" s="41" t="n"/>
      <c r="H314" s="41" t="n"/>
      <c r="I314" s="70" t="n"/>
    </row>
    <row r="315">
      <c r="B315" s="91" t="n"/>
      <c r="C315" s="96" t="n"/>
      <c r="D315" s="95" t="n"/>
      <c r="E315" s="96" t="n"/>
      <c r="F315" s="97" t="n"/>
      <c r="G315" s="50" t="n"/>
      <c r="H315" s="50" t="n"/>
      <c r="I315" s="82" t="n"/>
    </row>
    <row r="316">
      <c r="B316" s="91" t="n"/>
      <c r="C316" s="92" t="n"/>
      <c r="D316" s="93" t="n"/>
      <c r="E316" s="92" t="n"/>
      <c r="F316" s="94" t="n"/>
      <c r="G316" s="41" t="n"/>
      <c r="H316" s="41" t="n"/>
      <c r="I316" s="70" t="n"/>
    </row>
    <row r="317">
      <c r="B317" s="91" t="n"/>
      <c r="C317" s="96" t="n"/>
      <c r="D317" s="95" t="n"/>
      <c r="E317" s="96" t="n"/>
      <c r="F317" s="97" t="n"/>
      <c r="G317" s="50" t="n"/>
      <c r="H317" s="50" t="n"/>
      <c r="I317" s="82" t="n"/>
    </row>
    <row r="318">
      <c r="B318" s="91" t="n"/>
      <c r="C318" s="92" t="n"/>
      <c r="D318" s="93" t="n"/>
      <c r="E318" s="92" t="n"/>
      <c r="F318" s="94" t="n"/>
      <c r="G318" s="41" t="n"/>
      <c r="H318" s="41" t="n"/>
      <c r="I318" s="70" t="n"/>
    </row>
    <row r="319">
      <c r="B319" s="91" t="n"/>
      <c r="C319" s="96" t="n"/>
      <c r="D319" s="95" t="n"/>
      <c r="E319" s="96" t="n"/>
      <c r="F319" s="97" t="n"/>
      <c r="G319" s="50" t="n"/>
      <c r="H319" s="50" t="n"/>
      <c r="I319" s="82" t="n"/>
    </row>
    <row r="320">
      <c r="B320" s="91" t="n"/>
      <c r="C320" s="92" t="n"/>
      <c r="D320" s="93" t="n"/>
      <c r="E320" s="92" t="n"/>
      <c r="F320" s="94" t="n"/>
      <c r="G320" s="41" t="n"/>
      <c r="H320" s="41" t="n"/>
      <c r="I320" s="70" t="n"/>
    </row>
    <row r="321">
      <c r="B321" s="91" t="n"/>
      <c r="C321" s="96" t="n"/>
      <c r="D321" s="95" t="n"/>
      <c r="E321" s="96" t="n"/>
      <c r="F321" s="97" t="n"/>
      <c r="G321" s="50" t="n"/>
      <c r="H321" s="50" t="n"/>
      <c r="I321" s="82" t="n"/>
    </row>
    <row r="322">
      <c r="B322" s="91" t="n"/>
      <c r="C322" s="92" t="n"/>
      <c r="D322" s="93" t="n"/>
      <c r="E322" s="92" t="n"/>
      <c r="F322" s="94" t="n"/>
      <c r="G322" s="41" t="n"/>
      <c r="H322" s="41" t="n"/>
      <c r="I322" s="70" t="n"/>
    </row>
    <row r="323">
      <c r="B323" s="91" t="n"/>
      <c r="C323" s="96" t="n"/>
      <c r="D323" s="95" t="n"/>
      <c r="E323" s="96" t="n"/>
      <c r="F323" s="97" t="n"/>
      <c r="G323" s="50" t="n"/>
      <c r="H323" s="50" t="n"/>
      <c r="I323" s="82" t="n"/>
    </row>
    <row r="324">
      <c r="B324" s="91" t="n"/>
      <c r="C324" s="92" t="n"/>
      <c r="D324" s="93" t="n"/>
      <c r="E324" s="92" t="n"/>
      <c r="F324" s="94" t="n"/>
      <c r="G324" s="41" t="n"/>
      <c r="H324" s="41" t="n"/>
      <c r="I324" s="70" t="n"/>
    </row>
    <row r="325">
      <c r="B325" s="91" t="n"/>
      <c r="C325" s="96" t="n"/>
      <c r="D325" s="95" t="n"/>
      <c r="E325" s="96" t="n"/>
      <c r="F325" s="97" t="n"/>
      <c r="G325" s="50" t="n"/>
      <c r="H325" s="50" t="n"/>
      <c r="I325" s="82" t="n"/>
    </row>
    <row r="326">
      <c r="B326" s="91" t="n"/>
      <c r="C326" s="92" t="n"/>
      <c r="D326" s="93" t="n"/>
      <c r="E326" s="92" t="n"/>
      <c r="F326" s="94" t="n"/>
      <c r="G326" s="41" t="n"/>
      <c r="H326" s="41" t="n"/>
      <c r="I326" s="70" t="n"/>
    </row>
    <row r="327">
      <c r="B327" s="91" t="n"/>
      <c r="C327" s="96" t="n"/>
      <c r="D327" s="95" t="n"/>
      <c r="E327" s="96" t="n"/>
      <c r="F327" s="97" t="n"/>
      <c r="G327" s="50" t="n"/>
      <c r="H327" s="50" t="n"/>
      <c r="I327" s="82" t="n"/>
    </row>
    <row r="328">
      <c r="B328" s="91" t="n"/>
      <c r="C328" s="92" t="n"/>
      <c r="D328" s="93" t="n"/>
      <c r="E328" s="92" t="n"/>
      <c r="F328" s="94" t="n"/>
      <c r="G328" s="41" t="n"/>
      <c r="H328" s="41" t="n"/>
      <c r="I328" s="70" t="n"/>
    </row>
    <row r="329">
      <c r="B329" s="91" t="n"/>
      <c r="C329" s="96" t="n"/>
      <c r="D329" s="95" t="n"/>
      <c r="E329" s="96" t="n"/>
      <c r="F329" s="97" t="n"/>
      <c r="G329" s="50" t="n"/>
      <c r="H329" s="50" t="n"/>
      <c r="I329" s="82" t="n"/>
    </row>
    <row r="330">
      <c r="B330" s="91" t="n"/>
      <c r="C330" s="92" t="n"/>
      <c r="D330" s="93" t="n"/>
      <c r="E330" s="92" t="n"/>
      <c r="F330" s="94" t="n"/>
      <c r="G330" s="41" t="n"/>
      <c r="H330" s="41" t="n"/>
      <c r="I330" s="70" t="n"/>
    </row>
    <row r="331">
      <c r="B331" s="91" t="n"/>
      <c r="C331" s="96" t="n"/>
      <c r="D331" s="95" t="n"/>
      <c r="E331" s="96" t="n"/>
      <c r="F331" s="97" t="n"/>
      <c r="G331" s="50" t="n"/>
      <c r="H331" s="50" t="n"/>
      <c r="I331" s="82" t="n"/>
    </row>
    <row r="332">
      <c r="B332" s="91" t="n"/>
      <c r="C332" s="92" t="n"/>
      <c r="D332" s="93" t="n"/>
      <c r="E332" s="92" t="n"/>
      <c r="F332" s="94" t="n"/>
      <c r="G332" s="41" t="n"/>
      <c r="H332" s="41" t="n"/>
      <c r="I332" s="70" t="n"/>
    </row>
    <row r="333">
      <c r="B333" s="91" t="n"/>
      <c r="C333" s="96" t="n"/>
      <c r="D333" s="95" t="n"/>
      <c r="E333" s="96" t="n"/>
      <c r="F333" s="97" t="n"/>
      <c r="G333" s="50" t="n"/>
      <c r="H333" s="50" t="n"/>
      <c r="I333" s="82" t="n"/>
    </row>
    <row r="334">
      <c r="B334" s="91" t="n"/>
      <c r="C334" s="92" t="n"/>
      <c r="D334" s="93" t="n"/>
      <c r="E334" s="92" t="n"/>
      <c r="F334" s="94" t="n"/>
      <c r="G334" s="41" t="n"/>
      <c r="H334" s="41" t="n"/>
      <c r="I334" s="70" t="n"/>
    </row>
    <row r="335">
      <c r="B335" s="91" t="n"/>
      <c r="C335" s="96" t="n"/>
      <c r="D335" s="95" t="n"/>
      <c r="E335" s="96" t="n"/>
      <c r="F335" s="97" t="n"/>
      <c r="G335" s="50" t="n"/>
      <c r="H335" s="50" t="n"/>
      <c r="I335" s="82" t="n"/>
    </row>
    <row r="336">
      <c r="B336" s="91" t="n"/>
      <c r="C336" s="92" t="n"/>
      <c r="D336" s="93" t="n"/>
      <c r="E336" s="92" t="n"/>
      <c r="F336" s="94" t="n"/>
      <c r="G336" s="41" t="n"/>
      <c r="H336" s="41" t="n"/>
      <c r="I336" s="70" t="n"/>
    </row>
    <row r="337">
      <c r="B337" s="91" t="n"/>
      <c r="C337" s="96" t="n"/>
      <c r="D337" s="95" t="n"/>
      <c r="E337" s="96" t="n"/>
      <c r="F337" s="97" t="n"/>
      <c r="G337" s="50" t="n"/>
      <c r="H337" s="50" t="n"/>
      <c r="I337" s="82" t="n"/>
    </row>
    <row r="338">
      <c r="B338" s="91" t="n"/>
      <c r="C338" s="92" t="n"/>
      <c r="D338" s="93" t="n"/>
      <c r="E338" s="92" t="n"/>
      <c r="F338" s="94" t="n"/>
      <c r="G338" s="41" t="n"/>
      <c r="H338" s="41" t="n"/>
      <c r="I338" s="70" t="n"/>
    </row>
    <row r="339">
      <c r="B339" s="91" t="n"/>
      <c r="C339" s="96" t="n"/>
      <c r="D339" s="95" t="n"/>
      <c r="E339" s="96" t="n"/>
      <c r="F339" s="97" t="n"/>
      <c r="G339" s="50" t="n"/>
      <c r="H339" s="50" t="n"/>
      <c r="I339" s="82" t="n"/>
    </row>
    <row r="340">
      <c r="B340" s="91" t="n"/>
      <c r="C340" s="92" t="n"/>
      <c r="D340" s="93" t="n"/>
      <c r="E340" s="92" t="n"/>
      <c r="F340" s="94" t="n"/>
      <c r="G340" s="41" t="n"/>
      <c r="H340" s="41" t="n"/>
      <c r="I340" s="70" t="n"/>
    </row>
    <row r="341">
      <c r="B341" s="91" t="n"/>
      <c r="C341" s="96" t="n"/>
      <c r="D341" s="95" t="n"/>
      <c r="E341" s="96" t="n"/>
      <c r="F341" s="97" t="n"/>
      <c r="G341" s="50" t="n"/>
      <c r="H341" s="50" t="n"/>
      <c r="I341" s="82" t="n"/>
    </row>
    <row r="342">
      <c r="B342" s="91" t="n"/>
      <c r="C342" s="92" t="n"/>
      <c r="D342" s="93" t="n"/>
      <c r="E342" s="92" t="n"/>
      <c r="F342" s="94" t="n"/>
      <c r="G342" s="41" t="n"/>
      <c r="H342" s="41" t="n"/>
      <c r="I342" s="70" t="n"/>
    </row>
    <row r="343">
      <c r="B343" s="91" t="n"/>
      <c r="C343" s="96" t="n"/>
      <c r="D343" s="95" t="n"/>
      <c r="E343" s="96" t="n"/>
      <c r="F343" s="97" t="n"/>
      <c r="G343" s="50" t="n"/>
      <c r="H343" s="50" t="n"/>
      <c r="I343" s="82" t="n"/>
    </row>
    <row r="344">
      <c r="B344" s="91" t="n"/>
      <c r="C344" s="92" t="n"/>
      <c r="D344" s="93" t="n"/>
      <c r="E344" s="92" t="n"/>
      <c r="F344" s="94" t="n"/>
      <c r="G344" s="41" t="n"/>
      <c r="H344" s="41" t="n"/>
      <c r="I344" s="70" t="n"/>
    </row>
    <row r="345">
      <c r="B345" s="91" t="n"/>
      <c r="C345" s="96" t="n"/>
      <c r="D345" s="95" t="n"/>
      <c r="E345" s="96" t="n"/>
      <c r="F345" s="97" t="n"/>
      <c r="G345" s="50" t="n"/>
      <c r="H345" s="50" t="n"/>
      <c r="I345" s="82" t="n"/>
    </row>
    <row r="346">
      <c r="B346" s="91" t="n"/>
      <c r="C346" s="92" t="n"/>
      <c r="D346" s="93" t="n"/>
      <c r="E346" s="92" t="n"/>
      <c r="F346" s="94" t="n"/>
      <c r="G346" s="41" t="n"/>
      <c r="H346" s="41" t="n"/>
      <c r="I346" s="70" t="n"/>
    </row>
    <row r="347">
      <c r="B347" s="91" t="n"/>
      <c r="C347" s="96" t="n"/>
      <c r="D347" s="95" t="n"/>
      <c r="E347" s="96" t="n"/>
      <c r="F347" s="97" t="n"/>
      <c r="G347" s="50" t="n"/>
      <c r="H347" s="50" t="n"/>
      <c r="I347" s="82" t="n"/>
    </row>
    <row r="348">
      <c r="B348" s="91" t="n"/>
      <c r="C348" s="92" t="n"/>
      <c r="D348" s="93" t="n"/>
      <c r="E348" s="92" t="n"/>
      <c r="F348" s="94" t="n"/>
      <c r="G348" s="41" t="n"/>
      <c r="H348" s="41" t="n"/>
      <c r="I348" s="70" t="n"/>
    </row>
    <row r="349">
      <c r="B349" s="91" t="n"/>
      <c r="C349" s="96" t="n"/>
      <c r="D349" s="95" t="n"/>
      <c r="E349" s="96" t="n"/>
      <c r="F349" s="97" t="n"/>
      <c r="G349" s="50" t="n"/>
      <c r="H349" s="50" t="n"/>
      <c r="I349" s="82" t="n"/>
    </row>
    <row r="350">
      <c r="B350" s="91" t="n"/>
      <c r="C350" s="92" t="n"/>
      <c r="D350" s="93" t="n"/>
      <c r="E350" s="92" t="n"/>
      <c r="F350" s="94" t="n"/>
      <c r="G350" s="41" t="n"/>
      <c r="H350" s="41" t="n"/>
      <c r="I350" s="70" t="n"/>
    </row>
    <row r="351">
      <c r="B351" s="91" t="n"/>
      <c r="C351" s="96" t="n"/>
      <c r="D351" s="95" t="n"/>
      <c r="E351" s="96" t="n"/>
      <c r="F351" s="97" t="n"/>
      <c r="G351" s="50" t="n"/>
      <c r="H351" s="50" t="n"/>
      <c r="I351" s="82" t="n"/>
    </row>
    <row r="352">
      <c r="B352" s="91" t="n"/>
      <c r="C352" s="92" t="n"/>
      <c r="D352" s="93" t="n"/>
      <c r="E352" s="92" t="n"/>
      <c r="F352" s="94" t="n"/>
      <c r="G352" s="41" t="n"/>
      <c r="H352" s="41" t="n"/>
      <c r="I352" s="70" t="n"/>
    </row>
    <row r="353">
      <c r="B353" s="91" t="n"/>
      <c r="C353" s="96" t="n"/>
      <c r="D353" s="95" t="n"/>
      <c r="E353" s="96" t="n"/>
      <c r="F353" s="97" t="n"/>
      <c r="G353" s="50" t="n"/>
      <c r="H353" s="50" t="n"/>
      <c r="I353" s="82" t="n"/>
    </row>
    <row r="354">
      <c r="B354" s="91" t="n"/>
      <c r="C354" s="92" t="n"/>
      <c r="D354" s="93" t="n"/>
      <c r="E354" s="92" t="n"/>
      <c r="F354" s="94" t="n"/>
      <c r="G354" s="41" t="n"/>
      <c r="H354" s="41" t="n"/>
      <c r="I354" s="70" t="n"/>
    </row>
    <row r="355">
      <c r="B355" s="91" t="n"/>
      <c r="C355" s="96" t="n"/>
      <c r="D355" s="95" t="n"/>
      <c r="E355" s="96" t="n"/>
      <c r="F355" s="97" t="n"/>
      <c r="G355" s="50" t="n"/>
      <c r="H355" s="50" t="n"/>
      <c r="I355" s="82" t="n"/>
    </row>
    <row r="356">
      <c r="B356" s="91" t="n"/>
      <c r="C356" s="92" t="n"/>
      <c r="D356" s="93" t="n"/>
      <c r="E356" s="92" t="n"/>
      <c r="F356" s="94" t="n"/>
      <c r="G356" s="41" t="n"/>
      <c r="H356" s="41" t="n"/>
      <c r="I356" s="70" t="n"/>
    </row>
    <row r="357">
      <c r="B357" s="91" t="n"/>
      <c r="C357" s="96" t="n"/>
      <c r="D357" s="95" t="n"/>
      <c r="E357" s="96" t="n"/>
      <c r="F357" s="97" t="n"/>
      <c r="G357" s="50" t="n"/>
      <c r="H357" s="50" t="n"/>
      <c r="I357" s="82" t="n"/>
    </row>
    <row r="358">
      <c r="B358" s="91" t="n"/>
      <c r="C358" s="92" t="n"/>
      <c r="D358" s="93" t="n"/>
      <c r="E358" s="92" t="n"/>
      <c r="F358" s="94" t="n"/>
      <c r="G358" s="41" t="n"/>
      <c r="H358" s="41" t="n"/>
      <c r="I358" s="70" t="n"/>
    </row>
    <row r="359">
      <c r="B359" s="91" t="n"/>
      <c r="C359" s="96" t="n"/>
      <c r="D359" s="95" t="n"/>
      <c r="E359" s="96" t="n"/>
      <c r="F359" s="97" t="n"/>
      <c r="G359" s="50" t="n"/>
      <c r="H359" s="50" t="n"/>
      <c r="I359" s="82" t="n"/>
    </row>
    <row r="360">
      <c r="B360" s="91" t="n"/>
      <c r="C360" s="92" t="n"/>
      <c r="D360" s="93" t="n"/>
      <c r="E360" s="92" t="n"/>
      <c r="F360" s="94" t="n"/>
      <c r="G360" s="41" t="n"/>
      <c r="H360" s="41" t="n"/>
      <c r="I360" s="70" t="n"/>
    </row>
    <row r="361">
      <c r="B361" s="91" t="n"/>
      <c r="C361" s="96" t="n"/>
      <c r="D361" s="95" t="n"/>
      <c r="E361" s="96" t="n"/>
      <c r="F361" s="97" t="n"/>
      <c r="G361" s="50" t="n"/>
      <c r="H361" s="50" t="n"/>
      <c r="I361" s="82" t="n"/>
    </row>
    <row r="362">
      <c r="B362" s="91" t="n"/>
      <c r="C362" s="92" t="n"/>
      <c r="D362" s="93" t="n"/>
      <c r="E362" s="92" t="n"/>
      <c r="F362" s="94" t="n"/>
      <c r="G362" s="41" t="n"/>
      <c r="H362" s="41" t="n"/>
      <c r="I362" s="70" t="n"/>
    </row>
    <row r="363">
      <c r="B363" s="91" t="n"/>
      <c r="C363" s="96" t="n"/>
      <c r="D363" s="95" t="n"/>
      <c r="E363" s="96" t="n"/>
      <c r="F363" s="97" t="n"/>
      <c r="G363" s="50" t="n"/>
      <c r="H363" s="50" t="n"/>
      <c r="I363" s="82" t="n"/>
    </row>
    <row r="364">
      <c r="B364" s="91" t="n"/>
      <c r="C364" s="92" t="n"/>
      <c r="D364" s="93" t="n"/>
      <c r="E364" s="92" t="n"/>
      <c r="F364" s="94" t="n"/>
      <c r="G364" s="41" t="n"/>
      <c r="H364" s="41" t="n"/>
      <c r="I364" s="70" t="n"/>
    </row>
    <row r="365">
      <c r="B365" s="91" t="n"/>
      <c r="C365" s="96" t="n"/>
      <c r="D365" s="95" t="n"/>
      <c r="E365" s="96" t="n"/>
      <c r="F365" s="97" t="n"/>
      <c r="G365" s="50" t="n"/>
      <c r="H365" s="50" t="n"/>
      <c r="I365" s="82" t="n"/>
    </row>
    <row r="366">
      <c r="B366" s="91" t="n"/>
      <c r="C366" s="92" t="n"/>
      <c r="D366" s="93" t="n"/>
      <c r="E366" s="92" t="n"/>
      <c r="F366" s="94" t="n"/>
      <c r="G366" s="41" t="n"/>
      <c r="H366" s="41" t="n"/>
      <c r="I366" s="70" t="n"/>
    </row>
    <row r="367">
      <c r="B367" s="91" t="n"/>
      <c r="C367" s="96" t="n"/>
      <c r="D367" s="95" t="n"/>
      <c r="E367" s="96" t="n"/>
      <c r="F367" s="97" t="n"/>
      <c r="G367" s="50" t="n"/>
      <c r="H367" s="50" t="n"/>
      <c r="I367" s="82" t="n"/>
    </row>
    <row r="368">
      <c r="B368" s="91" t="n"/>
      <c r="C368" s="92" t="n"/>
      <c r="D368" s="93" t="n"/>
      <c r="E368" s="92" t="n"/>
      <c r="F368" s="94" t="n"/>
      <c r="G368" s="41" t="n"/>
      <c r="H368" s="41" t="n"/>
      <c r="I368" s="70" t="n"/>
    </row>
    <row r="369">
      <c r="B369" s="91" t="n"/>
      <c r="C369" s="96" t="n"/>
      <c r="D369" s="95" t="n"/>
      <c r="E369" s="96" t="n"/>
      <c r="F369" s="97" t="n"/>
      <c r="G369" s="50" t="n"/>
      <c r="H369" s="50" t="n"/>
      <c r="I369" s="82" t="n"/>
    </row>
    <row r="370">
      <c r="B370" s="91" t="n"/>
      <c r="C370" s="92" t="n"/>
      <c r="D370" s="93" t="n"/>
      <c r="E370" s="92" t="n"/>
      <c r="F370" s="94" t="n"/>
      <c r="G370" s="41" t="n"/>
      <c r="H370" s="41" t="n"/>
      <c r="I370" s="70" t="n"/>
    </row>
    <row r="371">
      <c r="B371" s="91" t="n"/>
      <c r="C371" s="96" t="n"/>
      <c r="D371" s="95" t="n"/>
      <c r="E371" s="96" t="n"/>
      <c r="F371" s="97" t="n"/>
      <c r="G371" s="50" t="n"/>
      <c r="H371" s="50" t="n"/>
      <c r="I371" s="82" t="n"/>
    </row>
    <row r="372">
      <c r="B372" s="91" t="n"/>
      <c r="C372" s="92" t="n"/>
      <c r="D372" s="93" t="n"/>
      <c r="E372" s="92" t="n"/>
      <c r="F372" s="94" t="n"/>
      <c r="G372" s="41" t="n"/>
      <c r="H372" s="41" t="n"/>
      <c r="I372" s="70" t="n"/>
    </row>
    <row r="373">
      <c r="B373" s="91" t="n"/>
      <c r="C373" s="96" t="n"/>
      <c r="D373" s="95" t="n"/>
      <c r="E373" s="96" t="n"/>
      <c r="F373" s="97" t="n"/>
      <c r="G373" s="50" t="n"/>
      <c r="H373" s="50" t="n"/>
      <c r="I373" s="82" t="n"/>
    </row>
    <row r="374">
      <c r="B374" s="91" t="n"/>
      <c r="C374" s="92" t="n"/>
      <c r="D374" s="93" t="n"/>
      <c r="E374" s="92" t="n"/>
      <c r="F374" s="94" t="n"/>
      <c r="G374" s="41" t="n"/>
      <c r="H374" s="41" t="n"/>
      <c r="I374" s="70" t="n"/>
    </row>
    <row r="375">
      <c r="B375" s="91" t="n"/>
      <c r="C375" s="96" t="n"/>
      <c r="D375" s="95" t="n"/>
      <c r="E375" s="96" t="n"/>
      <c r="F375" s="97" t="n"/>
      <c r="G375" s="50" t="n"/>
      <c r="H375" s="50" t="n"/>
      <c r="I375" s="82" t="n"/>
    </row>
    <row r="376">
      <c r="B376" s="91" t="n"/>
      <c r="C376" s="92" t="n"/>
      <c r="D376" s="93" t="n"/>
      <c r="E376" s="92" t="n"/>
      <c r="F376" s="94" t="n"/>
      <c r="G376" s="41" t="n"/>
      <c r="H376" s="41" t="n"/>
      <c r="I376" s="70" t="n"/>
    </row>
    <row r="377">
      <c r="B377" s="91" t="n"/>
      <c r="C377" s="96" t="n"/>
      <c r="D377" s="95" t="n"/>
      <c r="E377" s="96" t="n"/>
      <c r="F377" s="97" t="n"/>
      <c r="G377" s="50" t="n"/>
      <c r="H377" s="50" t="n"/>
      <c r="I377" s="82" t="n"/>
    </row>
    <row r="378">
      <c r="B378" s="91" t="n"/>
      <c r="C378" s="92" t="n"/>
      <c r="D378" s="93" t="n"/>
      <c r="E378" s="92" t="n"/>
      <c r="F378" s="94" t="n"/>
      <c r="G378" s="41" t="n"/>
      <c r="H378" s="41" t="n"/>
      <c r="I378" s="70" t="n"/>
    </row>
    <row r="379">
      <c r="B379" s="91" t="n"/>
      <c r="C379" s="96" t="n"/>
      <c r="D379" s="95" t="n"/>
      <c r="E379" s="96" t="n"/>
      <c r="F379" s="97" t="n"/>
      <c r="G379" s="50" t="n"/>
      <c r="H379" s="50" t="n"/>
      <c r="I379" s="82" t="n"/>
    </row>
    <row r="380">
      <c r="B380" s="91" t="n"/>
      <c r="C380" s="92" t="n"/>
      <c r="D380" s="93" t="n"/>
      <c r="E380" s="92" t="n"/>
      <c r="F380" s="94" t="n"/>
      <c r="G380" s="41" t="n"/>
      <c r="H380" s="41" t="n"/>
      <c r="I380" s="70" t="n"/>
    </row>
    <row r="381">
      <c r="B381" s="91" t="n"/>
      <c r="C381" s="96" t="n"/>
      <c r="D381" s="95" t="n"/>
      <c r="E381" s="96" t="n"/>
      <c r="F381" s="97" t="n"/>
      <c r="G381" s="50" t="n"/>
      <c r="H381" s="50" t="n"/>
      <c r="I381" s="82" t="n"/>
    </row>
    <row r="382">
      <c r="B382" s="91" t="n"/>
      <c r="C382" s="92" t="n"/>
      <c r="D382" s="93" t="n"/>
      <c r="E382" s="92" t="n"/>
      <c r="F382" s="94" t="n"/>
      <c r="G382" s="41" t="n"/>
      <c r="H382" s="41" t="n"/>
      <c r="I382" s="70" t="n"/>
    </row>
    <row r="383">
      <c r="B383" s="91" t="n"/>
      <c r="C383" s="96" t="n"/>
      <c r="D383" s="95" t="n"/>
      <c r="E383" s="96" t="n"/>
      <c r="F383" s="97" t="n"/>
      <c r="G383" s="50" t="n"/>
      <c r="H383" s="50" t="n"/>
      <c r="I383" s="82" t="n"/>
    </row>
    <row r="384">
      <c r="B384" s="91" t="n"/>
      <c r="C384" s="92" t="n"/>
      <c r="D384" s="93" t="n"/>
      <c r="E384" s="92" t="n"/>
      <c r="F384" s="94" t="n"/>
      <c r="G384" s="41" t="n"/>
      <c r="H384" s="41" t="n"/>
      <c r="I384" s="70" t="n"/>
    </row>
    <row r="385">
      <c r="B385" s="91" t="n"/>
      <c r="C385" s="96" t="n"/>
      <c r="D385" s="95" t="n"/>
      <c r="E385" s="96" t="n"/>
      <c r="F385" s="97" t="n"/>
      <c r="G385" s="50" t="n"/>
      <c r="H385" s="50" t="n"/>
      <c r="I385" s="82" t="n"/>
    </row>
    <row r="386">
      <c r="B386" s="91" t="n"/>
      <c r="C386" s="92" t="n"/>
      <c r="D386" s="93" t="n"/>
      <c r="E386" s="92" t="n"/>
      <c r="F386" s="94" t="n"/>
      <c r="G386" s="41" t="n"/>
      <c r="H386" s="41" t="n"/>
      <c r="I386" s="70" t="n"/>
    </row>
    <row r="387">
      <c r="B387" s="91" t="n"/>
      <c r="C387" s="96" t="n"/>
      <c r="D387" s="95" t="n"/>
      <c r="E387" s="96" t="n"/>
      <c r="F387" s="97" t="n"/>
      <c r="G387" s="50" t="n"/>
      <c r="H387" s="50" t="n"/>
      <c r="I387" s="82" t="n"/>
    </row>
    <row r="388">
      <c r="B388" s="91" t="n"/>
      <c r="C388" s="92" t="n"/>
      <c r="D388" s="93" t="n"/>
      <c r="E388" s="92" t="n"/>
      <c r="F388" s="94" t="n"/>
      <c r="G388" s="41" t="n"/>
      <c r="H388" s="41" t="n"/>
      <c r="I388" s="70" t="n"/>
    </row>
    <row r="389">
      <c r="B389" s="91" t="n"/>
      <c r="C389" s="96" t="n"/>
      <c r="D389" s="95" t="n"/>
      <c r="E389" s="96" t="n"/>
      <c r="F389" s="97" t="n"/>
      <c r="G389" s="50" t="n"/>
      <c r="H389" s="50" t="n"/>
      <c r="I389" s="82" t="n"/>
    </row>
    <row r="390">
      <c r="B390" s="91" t="n"/>
      <c r="C390" s="92" t="n"/>
      <c r="D390" s="93" t="n"/>
      <c r="E390" s="92" t="n"/>
      <c r="F390" s="94" t="n"/>
      <c r="G390" s="41" t="n"/>
      <c r="H390" s="41" t="n"/>
      <c r="I390" s="70" t="n"/>
    </row>
    <row r="391">
      <c r="B391" s="91" t="n"/>
      <c r="C391" s="96" t="n"/>
      <c r="D391" s="95" t="n"/>
      <c r="E391" s="96" t="n"/>
      <c r="F391" s="97" t="n"/>
      <c r="G391" s="50" t="n"/>
      <c r="H391" s="50" t="n"/>
      <c r="I391" s="82" t="n"/>
    </row>
    <row r="392">
      <c r="B392" s="91" t="n"/>
      <c r="C392" s="92" t="n"/>
      <c r="D392" s="93" t="n"/>
      <c r="E392" s="92" t="n"/>
      <c r="F392" s="94" t="n"/>
      <c r="G392" s="41" t="n"/>
      <c r="H392" s="41" t="n"/>
      <c r="I392" s="70" t="n"/>
    </row>
    <row r="393">
      <c r="B393" s="91" t="n"/>
      <c r="C393" s="96" t="n"/>
      <c r="D393" s="95" t="n"/>
      <c r="E393" s="96" t="n"/>
      <c r="F393" s="97" t="n"/>
      <c r="G393" s="50" t="n"/>
      <c r="H393" s="50" t="n"/>
      <c r="I393" s="82" t="n"/>
    </row>
    <row r="394">
      <c r="B394" s="91" t="n"/>
      <c r="C394" s="92" t="n"/>
      <c r="D394" s="93" t="n"/>
      <c r="E394" s="92" t="n"/>
      <c r="F394" s="94" t="n"/>
      <c r="G394" s="41" t="n"/>
      <c r="H394" s="41" t="n"/>
      <c r="I394" s="70" t="n"/>
    </row>
    <row r="395">
      <c r="B395" s="91" t="n"/>
      <c r="C395" s="96" t="n"/>
      <c r="D395" s="95" t="n"/>
      <c r="E395" s="96" t="n"/>
      <c r="F395" s="97" t="n"/>
      <c r="G395" s="50" t="n"/>
      <c r="H395" s="50" t="n"/>
      <c r="I395" s="82" t="n"/>
    </row>
    <row r="396">
      <c r="B396" s="91" t="n"/>
      <c r="C396" s="92" t="n"/>
      <c r="D396" s="93" t="n"/>
      <c r="E396" s="92" t="n"/>
      <c r="F396" s="94" t="n"/>
      <c r="G396" s="41" t="n"/>
      <c r="H396" s="41" t="n"/>
      <c r="I396" s="70" t="n"/>
    </row>
    <row r="397">
      <c r="B397" s="91" t="n"/>
      <c r="C397" s="96" t="n"/>
      <c r="D397" s="95" t="n"/>
      <c r="E397" s="96" t="n"/>
      <c r="F397" s="97" t="n"/>
      <c r="G397" s="50" t="n"/>
      <c r="H397" s="50" t="n"/>
      <c r="I397" s="82" t="n"/>
    </row>
    <row r="398">
      <c r="B398" s="91" t="n"/>
      <c r="C398" s="92" t="n"/>
      <c r="D398" s="93" t="n"/>
      <c r="E398" s="92" t="n"/>
      <c r="F398" s="94" t="n"/>
      <c r="G398" s="41" t="n"/>
      <c r="H398" s="41" t="n"/>
      <c r="I398" s="70" t="n"/>
    </row>
    <row r="399">
      <c r="B399" s="91" t="n"/>
      <c r="C399" s="96" t="n"/>
      <c r="D399" s="95" t="n"/>
      <c r="E399" s="96" t="n"/>
      <c r="F399" s="97" t="n"/>
      <c r="G399" s="50" t="n"/>
      <c r="H399" s="50" t="n"/>
      <c r="I399" s="82" t="n"/>
    </row>
    <row r="400">
      <c r="B400" s="91" t="n"/>
      <c r="C400" s="92" t="n"/>
      <c r="D400" s="93" t="n"/>
      <c r="E400" s="92" t="n"/>
      <c r="F400" s="94" t="n"/>
      <c r="G400" s="41" t="n"/>
      <c r="H400" s="41" t="n"/>
      <c r="I400" s="70" t="n"/>
    </row>
    <row r="401">
      <c r="B401" s="91" t="n"/>
      <c r="C401" s="96" t="n"/>
      <c r="D401" s="95" t="n"/>
      <c r="E401" s="96" t="n"/>
      <c r="F401" s="97" t="n"/>
      <c r="G401" s="50" t="n"/>
      <c r="H401" s="50" t="n"/>
      <c r="I401" s="82" t="n"/>
    </row>
    <row r="402">
      <c r="B402" s="91" t="n"/>
      <c r="C402" s="92" t="n"/>
      <c r="D402" s="93" t="n"/>
      <c r="E402" s="92" t="n"/>
      <c r="F402" s="94" t="n"/>
      <c r="G402" s="41" t="n"/>
      <c r="H402" s="41" t="n"/>
      <c r="I402" s="70" t="n"/>
    </row>
    <row r="403">
      <c r="B403" s="91" t="n"/>
      <c r="C403" s="96" t="n"/>
      <c r="D403" s="95" t="n"/>
      <c r="E403" s="96" t="n"/>
      <c r="F403" s="97" t="n"/>
      <c r="G403" s="50" t="n"/>
      <c r="H403" s="50" t="n"/>
      <c r="I403" s="82" t="n"/>
    </row>
    <row r="404">
      <c r="B404" s="91" t="n"/>
      <c r="C404" s="92" t="n"/>
      <c r="D404" s="93" t="n"/>
      <c r="E404" s="92" t="n"/>
      <c r="F404" s="94" t="n"/>
      <c r="G404" s="41" t="n"/>
      <c r="H404" s="41" t="n"/>
      <c r="I404" s="70" t="n"/>
    </row>
    <row r="405">
      <c r="B405" s="91" t="n"/>
      <c r="C405" s="96" t="n"/>
      <c r="D405" s="95" t="n"/>
      <c r="E405" s="96" t="n"/>
      <c r="F405" s="97" t="n"/>
      <c r="G405" s="50" t="n"/>
      <c r="H405" s="50" t="n"/>
      <c r="I405" s="82" t="n"/>
    </row>
    <row r="406">
      <c r="B406" s="91" t="n"/>
      <c r="C406" s="92" t="n"/>
      <c r="D406" s="93" t="n"/>
      <c r="E406" s="92" t="n"/>
      <c r="F406" s="94" t="n"/>
      <c r="G406" s="41" t="n"/>
      <c r="H406" s="41" t="n"/>
      <c r="I406" s="70" t="n"/>
    </row>
    <row r="407">
      <c r="B407" s="91" t="n"/>
      <c r="C407" s="96" t="n"/>
      <c r="D407" s="95" t="n"/>
      <c r="E407" s="96" t="n"/>
      <c r="F407" s="97" t="n"/>
      <c r="G407" s="50" t="n"/>
      <c r="H407" s="50" t="n"/>
      <c r="I407" s="82" t="n"/>
    </row>
    <row r="408">
      <c r="B408" s="91" t="n"/>
      <c r="C408" s="92" t="n"/>
      <c r="D408" s="93" t="n"/>
      <c r="E408" s="92" t="n"/>
      <c r="F408" s="94" t="n"/>
      <c r="G408" s="41" t="n"/>
      <c r="H408" s="41" t="n"/>
      <c r="I408" s="70" t="n"/>
    </row>
    <row r="409">
      <c r="B409" s="91" t="n"/>
      <c r="C409" s="96" t="n"/>
      <c r="D409" s="95" t="n"/>
      <c r="E409" s="96" t="n"/>
      <c r="F409" s="97" t="n"/>
      <c r="G409" s="50" t="n"/>
      <c r="H409" s="50" t="n"/>
      <c r="I409" s="82" t="n"/>
    </row>
    <row r="410">
      <c r="B410" s="91" t="n"/>
      <c r="C410" s="92" t="n"/>
      <c r="D410" s="93" t="n"/>
      <c r="E410" s="92" t="n"/>
      <c r="F410" s="94" t="n"/>
      <c r="G410" s="41" t="n"/>
      <c r="H410" s="41" t="n"/>
      <c r="I410" s="70" t="n"/>
    </row>
    <row r="411">
      <c r="B411" s="91" t="n"/>
      <c r="C411" s="96" t="n"/>
      <c r="D411" s="95" t="n"/>
      <c r="E411" s="96" t="n"/>
      <c r="F411" s="97" t="n"/>
      <c r="G411" s="50" t="n"/>
      <c r="H411" s="50" t="n"/>
      <c r="I411" s="82" t="n"/>
    </row>
    <row r="412">
      <c r="B412" s="91" t="n"/>
      <c r="C412" s="92" t="n"/>
      <c r="D412" s="93" t="n"/>
      <c r="E412" s="92" t="n"/>
      <c r="F412" s="94" t="n"/>
      <c r="G412" s="41" t="n"/>
      <c r="H412" s="41" t="n"/>
      <c r="I412" s="70" t="n"/>
    </row>
    <row r="413">
      <c r="B413" s="91" t="n"/>
      <c r="C413" s="96" t="n"/>
      <c r="D413" s="95" t="n"/>
      <c r="E413" s="96" t="n"/>
      <c r="F413" s="97" t="n"/>
      <c r="G413" s="50" t="n"/>
      <c r="H413" s="50" t="n"/>
      <c r="I413" s="82" t="n"/>
    </row>
    <row r="414">
      <c r="B414" s="91" t="n"/>
      <c r="C414" s="92" t="n"/>
      <c r="D414" s="93" t="n"/>
      <c r="E414" s="92" t="n"/>
      <c r="F414" s="94" t="n"/>
      <c r="G414" s="41" t="n"/>
      <c r="H414" s="41" t="n"/>
      <c r="I414" s="70" t="n"/>
    </row>
    <row r="415">
      <c r="B415" s="91" t="n"/>
      <c r="C415" s="96" t="n"/>
      <c r="D415" s="95" t="n"/>
      <c r="E415" s="96" t="n"/>
      <c r="F415" s="97" t="n"/>
      <c r="G415" s="50" t="n"/>
      <c r="H415" s="50" t="n"/>
      <c r="I415" s="82" t="n"/>
    </row>
    <row r="416">
      <c r="B416" s="91" t="n"/>
      <c r="C416" s="92" t="n"/>
      <c r="D416" s="93" t="n"/>
      <c r="E416" s="92" t="n"/>
      <c r="F416" s="94" t="n"/>
      <c r="G416" s="41" t="n"/>
      <c r="H416" s="41" t="n"/>
      <c r="I416" s="70" t="n"/>
    </row>
    <row r="417">
      <c r="B417" s="91" t="n"/>
      <c r="C417" s="96" t="n"/>
      <c r="D417" s="95" t="n"/>
      <c r="E417" s="96" t="n"/>
      <c r="F417" s="97" t="n"/>
      <c r="G417" s="50" t="n"/>
      <c r="H417" s="50" t="n"/>
      <c r="I417" s="82" t="n"/>
    </row>
    <row r="418">
      <c r="B418" s="91" t="n"/>
      <c r="C418" s="92" t="n"/>
      <c r="D418" s="93" t="n"/>
      <c r="E418" s="92" t="n"/>
      <c r="F418" s="94" t="n"/>
      <c r="G418" s="41" t="n"/>
      <c r="H418" s="41" t="n"/>
      <c r="I418" s="70" t="n"/>
    </row>
    <row r="419">
      <c r="B419" s="91" t="n"/>
      <c r="C419" s="96" t="n"/>
      <c r="D419" s="95" t="n"/>
      <c r="E419" s="96" t="n"/>
      <c r="F419" s="97" t="n"/>
      <c r="G419" s="50" t="n"/>
      <c r="H419" s="50" t="n"/>
      <c r="I419" s="82" t="n"/>
    </row>
    <row r="420">
      <c r="B420" s="91" t="n"/>
      <c r="C420" s="92" t="n"/>
      <c r="D420" s="93" t="n"/>
      <c r="E420" s="92" t="n"/>
      <c r="F420" s="94" t="n"/>
      <c r="G420" s="41" t="n"/>
      <c r="H420" s="41" t="n"/>
      <c r="I420" s="70" t="n"/>
    </row>
    <row r="421">
      <c r="B421" s="91" t="n"/>
      <c r="C421" s="96" t="n"/>
      <c r="D421" s="95" t="n"/>
      <c r="E421" s="96" t="n"/>
      <c r="F421" s="97" t="n"/>
      <c r="G421" s="50" t="n"/>
      <c r="H421" s="50" t="n"/>
      <c r="I421" s="82" t="n"/>
    </row>
    <row r="422">
      <c r="B422" s="91" t="n"/>
      <c r="C422" s="92" t="n"/>
      <c r="D422" s="93" t="n"/>
      <c r="E422" s="92" t="n"/>
      <c r="F422" s="94" t="n"/>
      <c r="G422" s="41" t="n"/>
      <c r="H422" s="41" t="n"/>
      <c r="I422" s="70" t="n"/>
    </row>
    <row r="423">
      <c r="B423" s="91" t="n"/>
      <c r="C423" s="96" t="n"/>
      <c r="D423" s="95" t="n"/>
      <c r="E423" s="96" t="n"/>
      <c r="F423" s="97" t="n"/>
      <c r="G423" s="50" t="n"/>
      <c r="H423" s="50" t="n"/>
      <c r="I423" s="82" t="n"/>
    </row>
    <row r="424">
      <c r="B424" s="91" t="n"/>
      <c r="C424" s="92" t="n"/>
      <c r="D424" s="93" t="n"/>
      <c r="E424" s="92" t="n"/>
      <c r="F424" s="94" t="n"/>
      <c r="G424" s="41" t="n"/>
      <c r="H424" s="41" t="n"/>
      <c r="I424" s="70" t="n"/>
    </row>
    <row r="425">
      <c r="B425" s="91" t="n"/>
      <c r="C425" s="96" t="n"/>
      <c r="D425" s="95" t="n"/>
      <c r="E425" s="96" t="n"/>
      <c r="F425" s="97" t="n"/>
      <c r="G425" s="50" t="n"/>
      <c r="H425" s="50" t="n"/>
      <c r="I425" s="82" t="n"/>
    </row>
    <row r="426">
      <c r="B426" s="91" t="n"/>
      <c r="C426" s="92" t="n"/>
      <c r="D426" s="93" t="n"/>
      <c r="E426" s="92" t="n"/>
      <c r="F426" s="94" t="n"/>
      <c r="G426" s="41" t="n"/>
      <c r="H426" s="41" t="n"/>
      <c r="I426" s="70" t="n"/>
    </row>
    <row r="427">
      <c r="B427" s="91" t="n"/>
      <c r="C427" s="96" t="n"/>
      <c r="D427" s="95" t="n"/>
      <c r="E427" s="96" t="n"/>
      <c r="F427" s="97" t="n"/>
      <c r="G427" s="50" t="n"/>
      <c r="H427" s="50" t="n"/>
      <c r="I427" s="82" t="n"/>
    </row>
    <row r="428">
      <c r="B428" s="91" t="n"/>
      <c r="C428" s="92" t="n"/>
      <c r="D428" s="93" t="n"/>
      <c r="E428" s="92" t="n"/>
      <c r="F428" s="94" t="n"/>
      <c r="G428" s="41" t="n"/>
      <c r="H428" s="41" t="n"/>
      <c r="I428" s="70" t="n"/>
    </row>
    <row r="429">
      <c r="B429" s="91" t="n"/>
      <c r="C429" s="96" t="n"/>
      <c r="D429" s="95" t="n"/>
      <c r="E429" s="96" t="n"/>
      <c r="F429" s="97" t="n"/>
      <c r="G429" s="50" t="n"/>
      <c r="H429" s="50" t="n"/>
      <c r="I429" s="82" t="n"/>
    </row>
    <row r="430">
      <c r="B430" s="91" t="n"/>
      <c r="C430" s="92" t="n"/>
      <c r="D430" s="93" t="n"/>
      <c r="E430" s="92" t="n"/>
      <c r="F430" s="94" t="n"/>
      <c r="G430" s="41" t="n"/>
      <c r="H430" s="41" t="n"/>
      <c r="I430" s="70" t="n"/>
    </row>
    <row r="431">
      <c r="B431" s="91" t="n"/>
      <c r="C431" s="96" t="n"/>
      <c r="D431" s="95" t="n"/>
      <c r="E431" s="96" t="n"/>
      <c r="F431" s="97" t="n"/>
      <c r="G431" s="50" t="n"/>
      <c r="H431" s="50" t="n"/>
      <c r="I431" s="82" t="n"/>
    </row>
    <row r="432">
      <c r="B432" s="91" t="n"/>
      <c r="C432" s="92" t="n"/>
      <c r="D432" s="93" t="n"/>
      <c r="E432" s="92" t="n"/>
      <c r="F432" s="94" t="n"/>
      <c r="G432" s="41" t="n"/>
      <c r="H432" s="41" t="n"/>
      <c r="I432" s="70" t="n"/>
    </row>
    <row r="433">
      <c r="B433" s="91" t="n"/>
      <c r="C433" s="96" t="n"/>
      <c r="D433" s="95" t="n"/>
      <c r="E433" s="96" t="n"/>
      <c r="F433" s="97" t="n"/>
      <c r="G433" s="50" t="n"/>
      <c r="H433" s="50" t="n"/>
      <c r="I433" s="82" t="n"/>
    </row>
    <row r="434">
      <c r="B434" s="91" t="n"/>
      <c r="C434" s="92" t="n"/>
      <c r="D434" s="93" t="n"/>
      <c r="E434" s="92" t="n"/>
      <c r="F434" s="94" t="n"/>
      <c r="G434" s="41" t="n"/>
      <c r="H434" s="41" t="n"/>
      <c r="I434" s="70" t="n"/>
    </row>
    <row r="435">
      <c r="B435" s="91" t="n"/>
      <c r="C435" s="96" t="n"/>
      <c r="D435" s="95" t="n"/>
      <c r="E435" s="96" t="n"/>
      <c r="F435" s="97" t="n"/>
      <c r="G435" s="50" t="n"/>
      <c r="H435" s="50" t="n"/>
      <c r="I435" s="82" t="n"/>
    </row>
    <row r="436">
      <c r="B436" s="91" t="n"/>
      <c r="C436" s="92" t="n"/>
      <c r="D436" s="93" t="n"/>
      <c r="E436" s="92" t="n"/>
      <c r="F436" s="94" t="n"/>
      <c r="G436" s="41" t="n"/>
      <c r="H436" s="41" t="n"/>
      <c r="I436" s="70" t="n"/>
    </row>
    <row r="437">
      <c r="B437" s="91" t="n"/>
      <c r="C437" s="96" t="n"/>
      <c r="D437" s="95" t="n"/>
      <c r="E437" s="96" t="n"/>
      <c r="F437" s="97" t="n"/>
      <c r="G437" s="50" t="n"/>
      <c r="H437" s="50" t="n"/>
      <c r="I437" s="82" t="n"/>
    </row>
    <row r="438">
      <c r="B438" s="91" t="n"/>
      <c r="C438" s="92" t="n"/>
      <c r="D438" s="93" t="n"/>
      <c r="E438" s="92" t="n"/>
      <c r="F438" s="94" t="n"/>
      <c r="G438" s="41" t="n"/>
      <c r="H438" s="41" t="n"/>
      <c r="I438" s="70" t="n"/>
    </row>
    <row r="439">
      <c r="B439" s="91" t="n"/>
      <c r="C439" s="96" t="n"/>
      <c r="D439" s="95" t="n"/>
      <c r="E439" s="96" t="n"/>
      <c r="F439" s="97" t="n"/>
      <c r="G439" s="50" t="n"/>
      <c r="H439" s="50" t="n"/>
      <c r="I439" s="82" t="n"/>
    </row>
    <row r="440">
      <c r="B440" s="91" t="n"/>
      <c r="C440" s="92" t="n"/>
      <c r="D440" s="93" t="n"/>
      <c r="E440" s="92" t="n"/>
      <c r="F440" s="94" t="n"/>
      <c r="G440" s="41" t="n"/>
      <c r="H440" s="41" t="n"/>
      <c r="I440" s="70" t="n"/>
    </row>
    <row r="441">
      <c r="B441" s="91" t="n"/>
      <c r="C441" s="96" t="n"/>
      <c r="D441" s="95" t="n"/>
      <c r="E441" s="96" t="n"/>
      <c r="F441" s="97" t="n"/>
      <c r="G441" s="50" t="n"/>
      <c r="H441" s="50" t="n"/>
      <c r="I441" s="82" t="n"/>
    </row>
    <row r="442">
      <c r="B442" s="91" t="n"/>
      <c r="C442" s="92" t="n"/>
      <c r="D442" s="93" t="n"/>
      <c r="E442" s="92" t="n"/>
      <c r="F442" s="94" t="n"/>
      <c r="G442" s="41" t="n"/>
      <c r="H442" s="41" t="n"/>
      <c r="I442" s="70" t="n"/>
    </row>
    <row r="443">
      <c r="B443" s="91" t="n"/>
      <c r="C443" s="96" t="n"/>
      <c r="D443" s="95" t="n"/>
      <c r="E443" s="96" t="n"/>
      <c r="F443" s="97" t="n"/>
      <c r="G443" s="50" t="n"/>
      <c r="H443" s="50" t="n"/>
      <c r="I443" s="82" t="n"/>
    </row>
    <row r="444">
      <c r="B444" s="91" t="n"/>
      <c r="C444" s="92" t="n"/>
      <c r="D444" s="93" t="n"/>
      <c r="E444" s="92" t="n"/>
      <c r="F444" s="94" t="n"/>
      <c r="G444" s="41" t="n"/>
      <c r="H444" s="41" t="n"/>
      <c r="I444" s="70" t="n"/>
    </row>
    <row r="445">
      <c r="B445" s="91" t="n"/>
      <c r="C445" s="96" t="n"/>
      <c r="D445" s="95" t="n"/>
      <c r="E445" s="96" t="n"/>
      <c r="F445" s="97" t="n"/>
      <c r="G445" s="50" t="n"/>
      <c r="H445" s="50" t="n"/>
      <c r="I445" s="82" t="n"/>
    </row>
    <row r="446">
      <c r="B446" s="91" t="n"/>
      <c r="C446" s="92" t="n"/>
      <c r="D446" s="93" t="n"/>
      <c r="E446" s="92" t="n"/>
      <c r="F446" s="94" t="n"/>
      <c r="G446" s="41" t="n"/>
      <c r="H446" s="41" t="n"/>
      <c r="I446" s="70" t="n"/>
    </row>
    <row r="447">
      <c r="B447" s="91" t="n"/>
      <c r="C447" s="96" t="n"/>
      <c r="D447" s="95" t="n"/>
      <c r="E447" s="96" t="n"/>
      <c r="F447" s="97" t="n"/>
      <c r="G447" s="50" t="n"/>
      <c r="H447" s="50" t="n"/>
      <c r="I447" s="82" t="n"/>
    </row>
    <row r="448">
      <c r="B448" s="91" t="n"/>
      <c r="C448" s="92" t="n"/>
      <c r="D448" s="93" t="n"/>
      <c r="E448" s="92" t="n"/>
      <c r="F448" s="94" t="n"/>
      <c r="G448" s="41" t="n"/>
      <c r="H448" s="41" t="n"/>
      <c r="I448" s="70" t="n"/>
    </row>
    <row r="449">
      <c r="B449" s="91" t="n"/>
      <c r="C449" s="96" t="n"/>
      <c r="D449" s="95" t="n"/>
      <c r="E449" s="96" t="n"/>
      <c r="F449" s="97" t="n"/>
      <c r="G449" s="50" t="n"/>
      <c r="H449" s="50" t="n"/>
      <c r="I449" s="82" t="n"/>
    </row>
    <row r="450">
      <c r="B450" s="91" t="n"/>
      <c r="C450" s="92" t="n"/>
      <c r="D450" s="93" t="n"/>
      <c r="E450" s="92" t="n"/>
      <c r="F450" s="94" t="n"/>
      <c r="G450" s="41" t="n"/>
      <c r="H450" s="41" t="n"/>
      <c r="I450" s="70" t="n"/>
    </row>
    <row r="451">
      <c r="B451" s="91" t="n"/>
      <c r="C451" s="96" t="n"/>
      <c r="D451" s="95" t="n"/>
      <c r="E451" s="96" t="n"/>
      <c r="F451" s="97" t="n"/>
      <c r="G451" s="50" t="n"/>
      <c r="H451" s="50" t="n"/>
      <c r="I451" s="82" t="n"/>
    </row>
    <row r="452">
      <c r="B452" s="91" t="n"/>
      <c r="C452" s="92" t="n"/>
      <c r="D452" s="93" t="n"/>
      <c r="E452" s="92" t="n"/>
      <c r="F452" s="94" t="n"/>
      <c r="G452" s="41" t="n"/>
      <c r="H452" s="41" t="n"/>
      <c r="I452" s="70" t="n"/>
    </row>
    <row r="453">
      <c r="B453" s="91" t="n"/>
      <c r="C453" s="96" t="n"/>
      <c r="D453" s="95" t="n"/>
      <c r="E453" s="96" t="n"/>
      <c r="F453" s="97" t="n"/>
      <c r="G453" s="50" t="n"/>
      <c r="H453" s="50" t="n"/>
      <c r="I453" s="82" t="n"/>
    </row>
    <row r="454">
      <c r="B454" s="91" t="n"/>
      <c r="C454" s="92" t="n"/>
      <c r="D454" s="93" t="n"/>
      <c r="E454" s="92" t="n"/>
      <c r="F454" s="94" t="n"/>
      <c r="G454" s="41" t="n"/>
      <c r="H454" s="41" t="n"/>
      <c r="I454" s="70" t="n"/>
    </row>
    <row r="455">
      <c r="B455" s="91" t="n"/>
      <c r="C455" s="96" t="n"/>
      <c r="D455" s="95" t="n"/>
      <c r="E455" s="96" t="n"/>
      <c r="F455" s="97" t="n"/>
      <c r="G455" s="50" t="n"/>
      <c r="H455" s="50" t="n"/>
      <c r="I455" s="82" t="n"/>
    </row>
    <row r="456">
      <c r="B456" s="91" t="n"/>
      <c r="C456" s="92" t="n"/>
      <c r="D456" s="93" t="n"/>
      <c r="E456" s="92" t="n"/>
      <c r="F456" s="94" t="n"/>
      <c r="G456" s="41" t="n"/>
      <c r="H456" s="41" t="n"/>
      <c r="I456" s="70" t="n"/>
    </row>
    <row r="457">
      <c r="B457" s="91" t="n"/>
      <c r="C457" s="96" t="n"/>
      <c r="D457" s="95" t="n"/>
      <c r="E457" s="96" t="n"/>
      <c r="F457" s="97" t="n"/>
      <c r="G457" s="50" t="n"/>
      <c r="H457" s="50" t="n"/>
      <c r="I457" s="82" t="n"/>
    </row>
    <row r="458">
      <c r="B458" s="91" t="n"/>
      <c r="C458" s="92" t="n"/>
      <c r="D458" s="93" t="n"/>
      <c r="E458" s="92" t="n"/>
      <c r="F458" s="94" t="n"/>
      <c r="G458" s="41" t="n"/>
      <c r="H458" s="41" t="n"/>
      <c r="I458" s="70" t="n"/>
    </row>
    <row r="459">
      <c r="B459" s="91" t="n"/>
      <c r="C459" s="96" t="n"/>
      <c r="D459" s="95" t="n"/>
      <c r="E459" s="96" t="n"/>
      <c r="F459" s="97" t="n"/>
      <c r="G459" s="50" t="n"/>
      <c r="H459" s="50" t="n"/>
      <c r="I459" s="82" t="n"/>
    </row>
    <row r="460">
      <c r="B460" s="91" t="n"/>
      <c r="C460" s="92" t="n"/>
      <c r="D460" s="93" t="n"/>
      <c r="E460" s="92" t="n"/>
      <c r="F460" s="94" t="n"/>
      <c r="G460" s="41" t="n"/>
      <c r="H460" s="41" t="n"/>
      <c r="I460" s="70" t="n"/>
    </row>
    <row r="461">
      <c r="B461" s="91" t="n"/>
      <c r="C461" s="96" t="n"/>
      <c r="D461" s="95" t="n"/>
      <c r="E461" s="96" t="n"/>
      <c r="F461" s="97" t="n"/>
      <c r="G461" s="50" t="n"/>
      <c r="H461" s="50" t="n"/>
      <c r="I461" s="82" t="n"/>
    </row>
    <row r="462">
      <c r="B462" s="91" t="n"/>
      <c r="C462" s="92" t="n"/>
      <c r="D462" s="93" t="n"/>
      <c r="E462" s="92" t="n"/>
      <c r="F462" s="94" t="n"/>
      <c r="G462" s="41" t="n"/>
      <c r="H462" s="41" t="n"/>
      <c r="I462" s="70" t="n"/>
    </row>
    <row r="463">
      <c r="B463" s="91" t="n"/>
      <c r="C463" s="96" t="n"/>
      <c r="D463" s="95" t="n"/>
      <c r="E463" s="96" t="n"/>
      <c r="F463" s="97" t="n"/>
      <c r="G463" s="50" t="n"/>
      <c r="H463" s="50" t="n"/>
      <c r="I463" s="82" t="n"/>
    </row>
    <row r="464">
      <c r="B464" s="91" t="n"/>
      <c r="C464" s="92" t="n"/>
      <c r="D464" s="93" t="n"/>
      <c r="E464" s="92" t="n"/>
      <c r="F464" s="94" t="n"/>
      <c r="G464" s="41" t="n"/>
      <c r="H464" s="41" t="n"/>
      <c r="I464" s="70" t="n"/>
    </row>
    <row r="465">
      <c r="B465" s="91" t="n"/>
      <c r="C465" s="96" t="n"/>
      <c r="D465" s="95" t="n"/>
      <c r="E465" s="96" t="n"/>
      <c r="F465" s="97" t="n"/>
      <c r="G465" s="50" t="n"/>
      <c r="H465" s="50" t="n"/>
      <c r="I465" s="82" t="n"/>
    </row>
    <row r="466">
      <c r="B466" s="91" t="n"/>
      <c r="C466" s="92" t="n"/>
      <c r="D466" s="93" t="n"/>
      <c r="E466" s="92" t="n"/>
      <c r="F466" s="94" t="n"/>
      <c r="G466" s="41" t="n"/>
      <c r="H466" s="41" t="n"/>
      <c r="I466" s="70" t="n"/>
    </row>
    <row r="467">
      <c r="B467" s="91" t="n"/>
      <c r="C467" s="96" t="n"/>
      <c r="D467" s="95" t="n"/>
      <c r="E467" s="96" t="n"/>
      <c r="F467" s="97" t="n"/>
      <c r="G467" s="50" t="n"/>
      <c r="H467" s="50" t="n"/>
      <c r="I467" s="82" t="n"/>
    </row>
    <row r="468">
      <c r="B468" s="91" t="n"/>
      <c r="C468" s="92" t="n"/>
      <c r="D468" s="93" t="n"/>
      <c r="E468" s="92" t="n"/>
      <c r="F468" s="94" t="n"/>
      <c r="G468" s="41" t="n"/>
      <c r="H468" s="41" t="n"/>
      <c r="I468" s="70" t="n"/>
    </row>
    <row r="469">
      <c r="B469" s="91" t="n"/>
      <c r="C469" s="96" t="n"/>
      <c r="D469" s="95" t="n"/>
      <c r="E469" s="96" t="n"/>
      <c r="F469" s="97" t="n"/>
      <c r="G469" s="50" t="n"/>
      <c r="H469" s="50" t="n"/>
      <c r="I469" s="82" t="n"/>
    </row>
    <row r="470">
      <c r="B470" s="91" t="n"/>
      <c r="C470" s="92" t="n"/>
      <c r="D470" s="93" t="n"/>
      <c r="E470" s="92" t="n"/>
      <c r="F470" s="94" t="n"/>
      <c r="G470" s="41" t="n"/>
      <c r="H470" s="41" t="n"/>
      <c r="I470" s="70" t="n"/>
    </row>
    <row r="471">
      <c r="B471" s="91" t="n"/>
      <c r="C471" s="96" t="n"/>
      <c r="D471" s="95" t="n"/>
      <c r="E471" s="96" t="n"/>
      <c r="F471" s="97" t="n"/>
      <c r="G471" s="50" t="n"/>
      <c r="H471" s="50" t="n"/>
      <c r="I471" s="82" t="n"/>
    </row>
    <row r="472">
      <c r="B472" s="91" t="n"/>
      <c r="C472" s="92" t="n"/>
      <c r="D472" s="93" t="n"/>
      <c r="E472" s="92" t="n"/>
      <c r="F472" s="94" t="n"/>
      <c r="G472" s="41" t="n"/>
      <c r="H472" s="41" t="n"/>
      <c r="I472" s="70" t="n"/>
    </row>
    <row r="473">
      <c r="B473" s="91" t="n"/>
      <c r="C473" s="96" t="n"/>
      <c r="D473" s="95" t="n"/>
      <c r="E473" s="96" t="n"/>
      <c r="F473" s="97" t="n"/>
      <c r="G473" s="50" t="n"/>
      <c r="H473" s="50" t="n"/>
      <c r="I473" s="82" t="n"/>
    </row>
    <row r="474">
      <c r="B474" s="91" t="n"/>
      <c r="C474" s="92" t="n"/>
      <c r="D474" s="93" t="n"/>
      <c r="E474" s="92" t="n"/>
      <c r="F474" s="94" t="n"/>
      <c r="G474" s="41" t="n"/>
      <c r="H474" s="41" t="n"/>
      <c r="I474" s="70" t="n"/>
    </row>
    <row r="475">
      <c r="B475" s="91" t="n"/>
      <c r="C475" s="96" t="n"/>
      <c r="D475" s="95" t="n"/>
      <c r="E475" s="96" t="n"/>
      <c r="F475" s="97" t="n"/>
      <c r="G475" s="50" t="n"/>
      <c r="H475" s="50" t="n"/>
      <c r="I475" s="82" t="n"/>
    </row>
    <row r="476">
      <c r="B476" s="91" t="n"/>
      <c r="C476" s="92" t="n"/>
      <c r="D476" s="93" t="n"/>
      <c r="E476" s="92" t="n"/>
      <c r="F476" s="94" t="n"/>
      <c r="G476" s="41" t="n"/>
      <c r="H476" s="41" t="n"/>
      <c r="I476" s="70" t="n"/>
    </row>
    <row r="477">
      <c r="B477" s="91" t="n"/>
      <c r="C477" s="96" t="n"/>
      <c r="D477" s="95" t="n"/>
      <c r="E477" s="96" t="n"/>
      <c r="F477" s="97" t="n"/>
      <c r="G477" s="50" t="n"/>
      <c r="H477" s="50" t="n"/>
      <c r="I477" s="82" t="n"/>
    </row>
    <row r="478">
      <c r="B478" s="91" t="n"/>
      <c r="C478" s="92" t="n"/>
      <c r="D478" s="93" t="n"/>
      <c r="E478" s="92" t="n"/>
      <c r="F478" s="94" t="n"/>
      <c r="G478" s="41" t="n"/>
      <c r="H478" s="41" t="n"/>
      <c r="I478" s="70" t="n"/>
    </row>
    <row r="479">
      <c r="B479" s="91" t="n"/>
      <c r="C479" s="96" t="n"/>
      <c r="D479" s="95" t="n"/>
      <c r="E479" s="96" t="n"/>
      <c r="F479" s="97" t="n"/>
      <c r="G479" s="50" t="n"/>
      <c r="H479" s="50" t="n"/>
      <c r="I479" s="82" t="n"/>
    </row>
    <row r="480">
      <c r="B480" s="91" t="n"/>
      <c r="C480" s="92" t="n"/>
      <c r="D480" s="93" t="n"/>
      <c r="E480" s="92" t="n"/>
      <c r="F480" s="94" t="n"/>
      <c r="G480" s="41" t="n"/>
      <c r="H480" s="41" t="n"/>
      <c r="I480" s="70" t="n"/>
    </row>
    <row r="481">
      <c r="B481" s="91" t="n"/>
      <c r="C481" s="96" t="n"/>
      <c r="D481" s="95" t="n"/>
      <c r="E481" s="96" t="n"/>
      <c r="F481" s="97" t="n"/>
      <c r="G481" s="50" t="n"/>
      <c r="H481" s="50" t="n"/>
      <c r="I481" s="82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73"/>
  <sheetViews>
    <sheetView showGridLines="0" zoomScaleNormal="100" workbookViewId="0">
      <pane ySplit="8" topLeftCell="A9" activePane="bottomLeft" state="frozen"/>
      <selection pane="bottomLeft" activeCell="B12" sqref="B12"/>
    </sheetView>
  </sheetViews>
  <sheetFormatPr baseColWidth="8" defaultColWidth="8.6640625" defaultRowHeight="14.4" customHeight="1"/>
  <cols>
    <col width="4" customWidth="1" style="186" min="1" max="1"/>
    <col width="26" customWidth="1" style="186" min="2" max="2"/>
    <col width="16" customWidth="1" style="186" min="3" max="3"/>
    <col width="10" customWidth="1" style="186" min="4" max="4"/>
    <col width="14" customWidth="1" style="186" min="5" max="5"/>
    <col width="12" customWidth="1" style="186" min="6" max="7"/>
    <col width="14" customWidth="1" style="186" min="8" max="8"/>
    <col width="16" customWidth="1" style="186" min="9" max="9"/>
    <col width="20" customWidth="1" style="186" min="10" max="10"/>
    <col width="18" customWidth="1" style="186" min="11" max="11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6">
      <c r="A2" s="187" t="inlineStr">
        <is>
          <t>📦  LOKA — INVENTORY</t>
        </is>
      </c>
      <c r="F2" s="185" t="inlineStr">
        <is>
          <t>Update stock levels when you receive deliveries or do stock checks</t>
        </is>
      </c>
    </row>
    <row r="3" ht="3.75" customHeight="1" s="186">
      <c r="A3" s="190" t="n"/>
    </row>
    <row r="4" ht="7.5" customHeight="1" s="186"/>
    <row r="5" ht="18" customHeight="1" s="186">
      <c r="B5" s="86" t="inlineStr">
        <is>
          <t>TOTAL ITEMS</t>
        </is>
      </c>
      <c r="D5" s="86" t="inlineStr">
        <is>
          <t>⚠️ LOW STOCK</t>
        </is>
      </c>
      <c r="E5" s="86" t="inlineStr">
        <is>
          <t>LOW STOCK #</t>
        </is>
      </c>
      <c r="F5" s="86" t="inlineStr">
        <is>
          <t>🚫 OUT OF STOCK</t>
        </is>
      </c>
      <c r="H5" s="86" t="inlineStr">
        <is>
          <t>ALERT COUNT</t>
        </is>
      </c>
      <c r="J5" s="86" t="inlineStr">
        <is>
          <t>LAST UPDATED</t>
        </is>
      </c>
    </row>
    <row r="6" ht="25.5" customHeight="1" s="186">
      <c r="B6" s="106">
        <f>COUNTA(B9:B200)</f>
        <v/>
      </c>
      <c r="D6" s="107">
        <f>COUNTIF(J9:J200,"⚠️ LOW STOCK")</f>
        <v/>
      </c>
      <c r="E6" s="107">
        <f>COUNTIF(J9:J200,"⚠️ LOW STOCK")+COUNTIF(J9:J200,"🚫 OUT OF STOCK")</f>
        <v/>
      </c>
      <c r="F6" s="108">
        <f>COUNTIF(J9:J200,"🚫 OUT OF STOCK")</f>
        <v/>
      </c>
      <c r="H6" s="108">
        <f>COUNTIF(J9:J200,"⚠️ LOW STOCK")+COUNTIF(J9:J200,"🚫 OUT OF STOCK")</f>
        <v/>
      </c>
      <c r="J6" s="109">
        <f>TODAY()</f>
        <v/>
      </c>
    </row>
    <row r="7" ht="7.5" customHeight="1" s="186"/>
    <row r="8" ht="19.5" customHeight="1" s="186">
      <c r="B8" s="262" t="inlineStr">
        <is>
          <t>Item Name  |  Category  |  Unit  |  Min Stock  |  Current Stock  |  Last Ordered  |  Supplier  |  Status  |  Notes</t>
        </is>
      </c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</row>
    <row r="9" ht="27.75" customHeight="1" s="186">
      <c r="B9" s="199" t="inlineStr">
        <is>
          <t>Carne de Res</t>
        </is>
      </c>
      <c r="C9" s="199" t="inlineStr">
        <is>
          <t>Ingredients - Meat</t>
        </is>
      </c>
      <c r="D9" s="199" t="inlineStr">
        <is>
          <t>kg</t>
        </is>
      </c>
      <c r="E9" s="199" t="n">
        <v>0</v>
      </c>
      <c r="F9" s="199" t="n"/>
      <c r="G9" s="199" t="n"/>
      <c r="H9" s="199" t="n"/>
      <c r="I9" s="199" t="n"/>
      <c r="J9" s="199">
        <f>IF(ISBLANK(F9),"—",IF(F9=0,"🚫 OUT OF STOCK",IF(F9&lt;=E9,"⚠️ LOW STOCK","✅ OK")))</f>
        <v/>
      </c>
      <c r="K9" s="199" t="n"/>
    </row>
    <row r="10" ht="15.75" customHeight="1" s="186">
      <c r="B10" s="110" t="inlineStr">
        <is>
          <t>Jamon Mexicano</t>
        </is>
      </c>
      <c r="C10" s="219" t="inlineStr">
        <is>
          <t>Ingredients - Meat</t>
        </is>
      </c>
      <c r="D10" s="41" t="inlineStr">
        <is>
          <t>kg</t>
        </is>
      </c>
      <c r="E10" s="111" t="n">
        <v>0</v>
      </c>
      <c r="F10" s="112" t="n"/>
      <c r="G10" s="113" t="n"/>
      <c r="H10" s="112" t="n"/>
      <c r="I10" s="114" t="n"/>
      <c r="J10" s="115">
        <f>IF(ISBLANK(F10),"—",IF(F10=0,"🚫 OUT OF STOCK",IF(F10&lt;=E10,"⚠️ LOW STOCK","✅ OK")))</f>
        <v/>
      </c>
      <c r="K10" s="116" t="n"/>
    </row>
    <row r="11" ht="15.75" customHeight="1" s="186">
      <c r="B11" s="117" t="inlineStr">
        <is>
          <t>Pollo</t>
        </is>
      </c>
      <c r="C11" s="202" t="inlineStr">
        <is>
          <t>Ingredients - Meat</t>
        </is>
      </c>
      <c r="D11" s="50" t="inlineStr">
        <is>
          <t>kg</t>
        </is>
      </c>
      <c r="E11" s="118" t="n">
        <v>0</v>
      </c>
      <c r="F11" s="119" t="n"/>
      <c r="G11" s="120" t="n"/>
      <c r="H11" s="119" t="n"/>
      <c r="I11" s="121" t="n"/>
      <c r="J11" s="122">
        <f>IF(ISBLANK(F11),"—",IF(F11=0,"🚫 OUT OF STOCK",IF(F11&lt;=E11,"⚠️ LOW STOCK","✅ OK")))</f>
        <v/>
      </c>
      <c r="K11" s="123" t="n"/>
    </row>
    <row r="12" ht="15.75" customHeight="1" s="186">
      <c r="B12" s="110" t="inlineStr">
        <is>
          <t>Chuletas de Carne</t>
        </is>
      </c>
      <c r="C12" s="219" t="inlineStr">
        <is>
          <t>Ingredients - Meat</t>
        </is>
      </c>
      <c r="D12" s="41" t="inlineStr">
        <is>
          <t>kg</t>
        </is>
      </c>
      <c r="E12" s="111" t="n">
        <v>0</v>
      </c>
      <c r="F12" s="112" t="n"/>
      <c r="G12" s="113" t="n"/>
      <c r="H12" s="112" t="n"/>
      <c r="I12" s="114" t="n"/>
      <c r="J12" s="115">
        <f>IF(ISBLANK(F12),"—",IF(F12=0,"🚫 OUT OF STOCK",IF(F12&lt;=E12,"⚠️ LOW STOCK","✅ OK")))</f>
        <v/>
      </c>
      <c r="K12" s="116" t="n"/>
    </row>
    <row r="13" ht="15.75" customHeight="1" s="186">
      <c r="B13" s="117" t="inlineStr">
        <is>
          <t>Costillas de Cerdo</t>
        </is>
      </c>
      <c r="C13" s="202" t="inlineStr">
        <is>
          <t>Ingredients - Meat</t>
        </is>
      </c>
      <c r="D13" s="50" t="inlineStr">
        <is>
          <t>kg</t>
        </is>
      </c>
      <c r="E13" s="118" t="n">
        <v>0</v>
      </c>
      <c r="F13" s="119" t="n"/>
      <c r="G13" s="120" t="n"/>
      <c r="H13" s="119" t="n"/>
      <c r="I13" s="121" t="n"/>
      <c r="J13" s="122">
        <f>IF(ISBLANK(F13),"—",IF(F13=0,"🚫 OUT OF STOCK",IF(F13&lt;=E13,"⚠️ LOW STOCK","✅ OK")))</f>
        <v/>
      </c>
      <c r="K13" s="123" t="n"/>
    </row>
    <row r="14" ht="15.75" customHeight="1" s="186">
      <c r="B14" s="110" t="inlineStr">
        <is>
          <t>Salmon</t>
        </is>
      </c>
      <c r="C14" s="219" t="inlineStr">
        <is>
          <t>Ingredients - Meat &amp; Fish</t>
        </is>
      </c>
      <c r="D14" s="41" t="inlineStr">
        <is>
          <t>kg</t>
        </is>
      </c>
      <c r="E14" s="111" t="n">
        <v>0</v>
      </c>
      <c r="F14" s="112" t="n"/>
      <c r="G14" s="113" t="n"/>
      <c r="H14" s="112" t="n"/>
      <c r="I14" s="114" t="n"/>
      <c r="J14" s="115">
        <f>IF(ISBLANK(F14),"—",IF(F14=0,"🚫 OUT OF STOCK",IF(F14&lt;=E14,"⚠️ LOW STOCK","✅ OK")))</f>
        <v/>
      </c>
      <c r="K14" s="116" t="n"/>
    </row>
    <row r="15" ht="15.75" customHeight="1" s="186">
      <c r="B15" s="117" t="inlineStr">
        <is>
          <t>Filete de Mojarra</t>
        </is>
      </c>
      <c r="C15" s="202" t="inlineStr">
        <is>
          <t>Ingredients - Meat &amp; Fish</t>
        </is>
      </c>
      <c r="D15" s="50" t="inlineStr">
        <is>
          <t>kg</t>
        </is>
      </c>
      <c r="E15" s="118" t="n">
        <v>0</v>
      </c>
      <c r="F15" s="119" t="n"/>
      <c r="G15" s="120" t="n"/>
      <c r="H15" s="119" t="n"/>
      <c r="I15" s="121" t="n"/>
      <c r="J15" s="122">
        <f>IF(ISBLANK(F15),"—",IF(F15=0,"🚫 OUT OF STOCK",IF(F15&lt;=E15,"⚠️ LOW STOCK","✅ OK")))</f>
        <v/>
      </c>
      <c r="K15" s="123" t="n"/>
    </row>
    <row r="16" ht="15.75" customHeight="1" s="186">
      <c r="B16" s="110" t="inlineStr">
        <is>
          <t>Papas</t>
        </is>
      </c>
      <c r="C16" s="219" t="inlineStr">
        <is>
          <t>Ingredients - Vegetables</t>
        </is>
      </c>
      <c r="D16" s="41" t="inlineStr">
        <is>
          <t>kg</t>
        </is>
      </c>
      <c r="E16" s="111" t="n">
        <v>0</v>
      </c>
      <c r="F16" s="112" t="n"/>
      <c r="G16" s="113" t="n"/>
      <c r="H16" s="112" t="n"/>
      <c r="I16" s="114" t="n"/>
      <c r="J16" s="115">
        <f>IF(ISBLANK(F16),"—",IF(F16=0,"🚫 OUT OF STOCK",IF(F16&lt;=E16,"⚠️ LOW STOCK","✅ OK")))</f>
        <v/>
      </c>
      <c r="K16" s="116" t="n"/>
    </row>
    <row r="17" ht="15.75" customHeight="1" s="186">
      <c r="B17" s="117" t="inlineStr">
        <is>
          <t>Lechuga</t>
        </is>
      </c>
      <c r="C17" s="202" t="inlineStr">
        <is>
          <t>Ingredients - Vegetables</t>
        </is>
      </c>
      <c r="D17" s="50" t="inlineStr">
        <is>
          <t>pcs</t>
        </is>
      </c>
      <c r="E17" s="118" t="n">
        <v>0</v>
      </c>
      <c r="F17" s="119" t="n"/>
      <c r="G17" s="120" t="n"/>
      <c r="H17" s="119" t="n"/>
      <c r="I17" s="121" t="n"/>
      <c r="J17" s="122">
        <f>IF(ISBLANK(F17),"—",IF(F17=0,"🚫 OUT OF STOCK",IF(F17&lt;=E17,"⚠️ LOW STOCK","✅ OK")))</f>
        <v/>
      </c>
      <c r="K17" s="123" t="n"/>
    </row>
    <row r="18" ht="15.75" customHeight="1" s="186">
      <c r="B18" s="110" t="inlineStr">
        <is>
          <t>Jitomate</t>
        </is>
      </c>
      <c r="C18" s="219" t="inlineStr">
        <is>
          <t>Ingredients - Vegetables</t>
        </is>
      </c>
      <c r="D18" s="41" t="inlineStr">
        <is>
          <t>kg</t>
        </is>
      </c>
      <c r="E18" s="111" t="n">
        <v>0</v>
      </c>
      <c r="F18" s="112" t="n"/>
      <c r="G18" s="113" t="n"/>
      <c r="H18" s="112" t="n"/>
      <c r="I18" s="114" t="n"/>
      <c r="J18" s="115">
        <f>IF(ISBLANK(F18),"—",IF(F18=0,"🚫 OUT OF STOCK",IF(F18&lt;=E18,"⚠️ LOW STOCK","✅ OK")))</f>
        <v/>
      </c>
      <c r="K18" s="116" t="n"/>
    </row>
    <row r="19" ht="15.75" customHeight="1" s="186">
      <c r="B19" s="117" t="inlineStr">
        <is>
          <t>Cilantro</t>
        </is>
      </c>
      <c r="C19" s="202" t="inlineStr">
        <is>
          <t>Ingredients - Vegetables</t>
        </is>
      </c>
      <c r="D19" s="50" t="inlineStr">
        <is>
          <t>pcs</t>
        </is>
      </c>
      <c r="E19" s="118" t="n">
        <v>0</v>
      </c>
      <c r="F19" s="119" t="n"/>
      <c r="G19" s="120" t="n"/>
      <c r="H19" s="119" t="n"/>
      <c r="I19" s="121" t="n"/>
      <c r="J19" s="122">
        <f>IF(ISBLANK(F19),"—",IF(F19=0,"🚫 OUT OF STOCK",IF(F19&lt;=E19,"⚠️ LOW STOCK","✅ OK")))</f>
        <v/>
      </c>
      <c r="K19" s="123" t="n"/>
    </row>
    <row r="20" ht="15.75" customHeight="1" s="186">
      <c r="B20" s="110" t="inlineStr">
        <is>
          <t>Italiana</t>
        </is>
      </c>
      <c r="C20" s="219" t="inlineStr">
        <is>
          <t>Ingredients - Vegetables</t>
        </is>
      </c>
      <c r="D20" s="41" t="inlineStr">
        <is>
          <t>pcs</t>
        </is>
      </c>
      <c r="E20" s="111" t="n">
        <v>0</v>
      </c>
      <c r="F20" s="112" t="n"/>
      <c r="G20" s="113" t="n"/>
      <c r="H20" s="112" t="n"/>
      <c r="I20" s="114" t="n"/>
      <c r="J20" s="115">
        <f>IF(ISBLANK(F20),"—",IF(F20=0,"🚫 OUT OF STOCK",IF(F20&lt;=E20,"⚠️ LOW STOCK","✅ OK")))</f>
        <v/>
      </c>
      <c r="K20" s="116" t="n"/>
    </row>
    <row r="21" ht="15.75" customHeight="1" s="186">
      <c r="B21" s="117" t="inlineStr">
        <is>
          <t>Habanero</t>
        </is>
      </c>
      <c r="C21" s="202" t="inlineStr">
        <is>
          <t>Ingredients - Vegetables</t>
        </is>
      </c>
      <c r="D21" s="50" t="inlineStr">
        <is>
          <t>kg</t>
        </is>
      </c>
      <c r="E21" s="118" t="n">
        <v>0</v>
      </c>
      <c r="F21" s="119" t="n"/>
      <c r="G21" s="120" t="n"/>
      <c r="H21" s="119" t="n"/>
      <c r="I21" s="121" t="n"/>
      <c r="J21" s="122">
        <f>IF(ISBLANK(F21),"—",IF(F21=0,"🚫 OUT OF STOCK",IF(F21&lt;=E21,"⚠️ LOW STOCK","✅ OK")))</f>
        <v/>
      </c>
      <c r="K21" s="123" t="n"/>
    </row>
    <row r="22" ht="15.75" customHeight="1" s="186">
      <c r="B22" s="110" t="inlineStr">
        <is>
          <t>Pepino</t>
        </is>
      </c>
      <c r="C22" s="219" t="inlineStr">
        <is>
          <t>Ingredients - Vegetables</t>
        </is>
      </c>
      <c r="D22" s="41" t="inlineStr">
        <is>
          <t>pcs</t>
        </is>
      </c>
      <c r="E22" s="111" t="n">
        <v>0</v>
      </c>
      <c r="F22" s="112" t="n"/>
      <c r="G22" s="113" t="n"/>
      <c r="H22" s="112" t="n"/>
      <c r="I22" s="114" t="n"/>
      <c r="J22" s="115">
        <f>IF(ISBLANK(F22),"—",IF(F22=0,"🚫 OUT OF STOCK",IF(F22&lt;=E22,"⚠️ LOW STOCK","✅ OK")))</f>
        <v/>
      </c>
      <c r="K22" s="116" t="n"/>
    </row>
    <row r="23" ht="15.75" customHeight="1" s="186">
      <c r="B23" s="117" t="inlineStr">
        <is>
          <t>Betabel</t>
        </is>
      </c>
      <c r="C23" s="202" t="inlineStr">
        <is>
          <t>Ingredients - Vegetables</t>
        </is>
      </c>
      <c r="D23" s="50" t="inlineStr">
        <is>
          <t>kg</t>
        </is>
      </c>
      <c r="E23" s="118" t="n">
        <v>0</v>
      </c>
      <c r="F23" s="119" t="n"/>
      <c r="G23" s="120" t="n"/>
      <c r="H23" s="119" t="n"/>
      <c r="I23" s="121" t="n"/>
      <c r="J23" s="122">
        <f>IF(ISBLANK(F23),"—",IF(F23=0,"🚫 OUT OF STOCK",IF(F23&lt;=E23,"⚠️ LOW STOCK","✅ OK")))</f>
        <v/>
      </c>
      <c r="K23" s="123" t="n"/>
    </row>
    <row r="24" ht="15.75" customHeight="1" s="186">
      <c r="B24" s="110" t="inlineStr">
        <is>
          <t>Pimiento Morron</t>
        </is>
      </c>
      <c r="C24" s="219" t="inlineStr">
        <is>
          <t>Ingredients - Vegetables</t>
        </is>
      </c>
      <c r="D24" s="41" t="inlineStr">
        <is>
          <t>kg</t>
        </is>
      </c>
      <c r="E24" s="111" t="n">
        <v>0</v>
      </c>
      <c r="F24" s="112" t="n"/>
      <c r="G24" s="113" t="n"/>
      <c r="H24" s="112" t="n"/>
      <c r="I24" s="114" t="n"/>
      <c r="J24" s="115">
        <f>IF(ISBLANK(F24),"—",IF(F24=0,"🚫 OUT OF STOCK",IF(F24&lt;=E24,"⚠️ LOW STOCK","✅ OK")))</f>
        <v/>
      </c>
      <c r="K24" s="116" t="n"/>
    </row>
    <row r="25" ht="15.75" customHeight="1" s="186">
      <c r="B25" s="117" t="inlineStr">
        <is>
          <t>Verduras variadas</t>
        </is>
      </c>
      <c r="C25" s="202" t="inlineStr">
        <is>
          <t>Ingredients - Vegetables</t>
        </is>
      </c>
      <c r="D25" s="50" t="inlineStr">
        <is>
          <t>kg</t>
        </is>
      </c>
      <c r="E25" s="118" t="n">
        <v>0</v>
      </c>
      <c r="F25" s="119" t="n"/>
      <c r="G25" s="120" t="n"/>
      <c r="H25" s="119" t="n"/>
      <c r="I25" s="121" t="n"/>
      <c r="J25" s="122">
        <f>IF(ISBLANK(F25),"—",IF(F25=0,"🚫 OUT OF STOCK",IF(F25&lt;=E25,"⚠️ LOW STOCK","✅ OK")))</f>
        <v/>
      </c>
      <c r="K25" s="123" t="n"/>
    </row>
    <row r="26" ht="15.75" customHeight="1" s="186">
      <c r="B26" s="110" t="inlineStr">
        <is>
          <t>Naranja de Jugo</t>
        </is>
      </c>
      <c r="C26" s="219" t="inlineStr">
        <is>
          <t>Ingredients - Fruit</t>
        </is>
      </c>
      <c r="D26" s="41" t="inlineStr">
        <is>
          <t>kg</t>
        </is>
      </c>
      <c r="E26" s="111" t="n">
        <v>0</v>
      </c>
      <c r="F26" s="112" t="n"/>
      <c r="G26" s="113" t="n"/>
      <c r="H26" s="112" t="n"/>
      <c r="I26" s="114" t="n"/>
      <c r="J26" s="115">
        <f>IF(ISBLANK(F26),"—",IF(F26=0,"🚫 OUT OF STOCK",IF(F26&lt;=E26,"⚠️ LOW STOCK","✅ OK")))</f>
        <v/>
      </c>
      <c r="K26" s="116" t="n"/>
    </row>
    <row r="27" ht="15.75" customHeight="1" s="186">
      <c r="B27" s="117" t="inlineStr">
        <is>
          <t>Mango</t>
        </is>
      </c>
      <c r="C27" s="202" t="inlineStr">
        <is>
          <t>Ingredients - Fruit</t>
        </is>
      </c>
      <c r="D27" s="50" t="inlineStr">
        <is>
          <t>kg</t>
        </is>
      </c>
      <c r="E27" s="118" t="n">
        <v>0</v>
      </c>
      <c r="F27" s="119" t="n"/>
      <c r="G27" s="120" t="n"/>
      <c r="H27" s="119" t="n"/>
      <c r="I27" s="121" t="n"/>
      <c r="J27" s="122">
        <f>IF(ISBLANK(F27),"—",IF(F27=0,"🚫 OUT OF STOCK",IF(F27&lt;=E27,"⚠️ LOW STOCK","✅ OK")))</f>
        <v/>
      </c>
      <c r="K27" s="123" t="n"/>
    </row>
    <row r="28" ht="15.75" customHeight="1" s="186">
      <c r="B28" s="110" t="inlineStr">
        <is>
          <t>Sandia</t>
        </is>
      </c>
      <c r="C28" s="219" t="inlineStr">
        <is>
          <t>Ingredients - Fruit</t>
        </is>
      </c>
      <c r="D28" s="41" t="inlineStr">
        <is>
          <t>kg</t>
        </is>
      </c>
      <c r="E28" s="111" t="n">
        <v>0</v>
      </c>
      <c r="F28" s="112" t="n"/>
      <c r="G28" s="113" t="n"/>
      <c r="H28" s="112" t="n"/>
      <c r="I28" s="114" t="n"/>
      <c r="J28" s="115">
        <f>IF(ISBLANK(F28),"—",IF(F28=0,"🚫 OUT OF STOCK",IF(F28&lt;=E28,"⚠️ LOW STOCK","✅ OK")))</f>
        <v/>
      </c>
      <c r="K28" s="116" t="n"/>
    </row>
    <row r="29" ht="15.75" customHeight="1" s="186">
      <c r="B29" s="117" t="inlineStr">
        <is>
          <t>Guayabas</t>
        </is>
      </c>
      <c r="C29" s="202" t="inlineStr">
        <is>
          <t>Ingredients - Fruit</t>
        </is>
      </c>
      <c r="D29" s="50" t="inlineStr">
        <is>
          <t>kg</t>
        </is>
      </c>
      <c r="E29" s="118" t="n">
        <v>0</v>
      </c>
      <c r="F29" s="119" t="n"/>
      <c r="G29" s="120" t="n"/>
      <c r="H29" s="119" t="n"/>
      <c r="I29" s="121" t="n"/>
      <c r="J29" s="122">
        <f>IF(ISBLANK(F29),"—",IF(F29=0,"🚫 OUT OF STOCK",IF(F29&lt;=E29,"⚠️ LOW STOCK","✅ OK")))</f>
        <v/>
      </c>
      <c r="K29" s="123" t="n"/>
    </row>
    <row r="30" ht="15.75" customHeight="1" s="186">
      <c r="B30" s="110" t="inlineStr">
        <is>
          <t>Jicamas</t>
        </is>
      </c>
      <c r="C30" s="219" t="inlineStr">
        <is>
          <t>Ingredients - Fruit</t>
        </is>
      </c>
      <c r="D30" s="41" t="inlineStr">
        <is>
          <t>kg</t>
        </is>
      </c>
      <c r="E30" s="111" t="n">
        <v>0</v>
      </c>
      <c r="F30" s="112" t="n"/>
      <c r="G30" s="113" t="n"/>
      <c r="H30" s="112" t="n"/>
      <c r="I30" s="114" t="n"/>
      <c r="J30" s="115">
        <f>IF(ISBLANK(F30),"—",IF(F30=0,"🚫 OUT OF STOCK",IF(F30&lt;=E30,"⚠️ LOW STOCK","✅ OK")))</f>
        <v/>
      </c>
      <c r="K30" s="116" t="n"/>
    </row>
    <row r="31" ht="15.75" customHeight="1" s="186">
      <c r="B31" s="117" t="inlineStr">
        <is>
          <t>Pinas</t>
        </is>
      </c>
      <c r="C31" s="202" t="inlineStr">
        <is>
          <t>Ingredients - Fruit</t>
        </is>
      </c>
      <c r="D31" s="50" t="inlineStr">
        <is>
          <t>kg</t>
        </is>
      </c>
      <c r="E31" s="118" t="n">
        <v>0</v>
      </c>
      <c r="F31" s="119" t="n"/>
      <c r="G31" s="120" t="n"/>
      <c r="H31" s="119" t="n"/>
      <c r="I31" s="121" t="n"/>
      <c r="J31" s="122">
        <f>IF(ISBLANK(F31),"—",IF(F31=0,"🚫 OUT OF STOCK",IF(F31&lt;=E31,"⚠️ LOW STOCK","✅ OK")))</f>
        <v/>
      </c>
      <c r="K31" s="123" t="n"/>
    </row>
    <row r="32" ht="15.75" customHeight="1" s="186">
      <c r="B32" s="110" t="inlineStr">
        <is>
          <t>Melon</t>
        </is>
      </c>
      <c r="C32" s="219" t="inlineStr">
        <is>
          <t>Ingredients - Fruit</t>
        </is>
      </c>
      <c r="D32" s="41" t="inlineStr">
        <is>
          <t>kg</t>
        </is>
      </c>
      <c r="E32" s="111" t="n">
        <v>0</v>
      </c>
      <c r="F32" s="112" t="n"/>
      <c r="G32" s="113" t="n"/>
      <c r="H32" s="112" t="n"/>
      <c r="I32" s="114" t="n"/>
      <c r="J32" s="115">
        <f>IF(ISBLANK(F32),"—",IF(F32=0,"🚫 OUT OF STOCK",IF(F32&lt;=E32,"⚠️ LOW STOCK","✅ OK")))</f>
        <v/>
      </c>
      <c r="K32" s="116" t="n"/>
    </row>
    <row r="33" ht="15.75" customHeight="1" s="186">
      <c r="B33" s="117" t="inlineStr">
        <is>
          <t>Frutas variadas</t>
        </is>
      </c>
      <c r="C33" s="202" t="inlineStr">
        <is>
          <t>Ingredients - Fruit</t>
        </is>
      </c>
      <c r="D33" s="50" t="inlineStr">
        <is>
          <t>kg</t>
        </is>
      </c>
      <c r="E33" s="118" t="n">
        <v>0</v>
      </c>
      <c r="F33" s="119" t="n"/>
      <c r="G33" s="120" t="n"/>
      <c r="H33" s="119" t="n"/>
      <c r="I33" s="121" t="n"/>
      <c r="J33" s="122">
        <f>IF(ISBLANK(F33),"—",IF(F33=0,"🚫 OUT OF STOCK",IF(F33&lt;=E33,"⚠️ LOW STOCK","✅ OK")))</f>
        <v/>
      </c>
      <c r="K33" s="123" t="n"/>
    </row>
    <row r="34" ht="15.75" customHeight="1" s="186">
      <c r="B34" s="110" t="inlineStr">
        <is>
          <t>Queso Gouda</t>
        </is>
      </c>
      <c r="C34" s="219" t="inlineStr">
        <is>
          <t>Ingredients - Dairy</t>
        </is>
      </c>
      <c r="D34" s="41" t="inlineStr">
        <is>
          <t>kg</t>
        </is>
      </c>
      <c r="E34" s="111" t="n">
        <v>0</v>
      </c>
      <c r="F34" s="112" t="n"/>
      <c r="G34" s="113" t="n"/>
      <c r="H34" s="112" t="n"/>
      <c r="I34" s="114" t="n"/>
      <c r="J34" s="115">
        <f>IF(ISBLANK(F34),"—",IF(F34=0,"🚫 OUT OF STOCK",IF(F34&lt;=E34,"⚠️ LOW STOCK","✅ OK")))</f>
        <v/>
      </c>
      <c r="K34" s="116" t="n"/>
    </row>
    <row r="35" ht="15.75" customHeight="1" s="186">
      <c r="B35" s="117" t="inlineStr">
        <is>
          <t>Queso Crema (Lala)</t>
        </is>
      </c>
      <c r="C35" s="202" t="inlineStr">
        <is>
          <t>Ingredients - Dairy</t>
        </is>
      </c>
      <c r="D35" s="50" t="inlineStr">
        <is>
          <t>kg</t>
        </is>
      </c>
      <c r="E35" s="118" t="n">
        <v>0</v>
      </c>
      <c r="F35" s="119" t="n"/>
      <c r="G35" s="120" t="n"/>
      <c r="H35" s="119" t="n"/>
      <c r="I35" s="121" t="n"/>
      <c r="J35" s="122">
        <f>IF(ISBLANK(F35),"—",IF(F35=0,"🚫 OUT OF STOCK",IF(F35&lt;=E35,"⚠️ LOW STOCK","✅ OK")))</f>
        <v/>
      </c>
      <c r="K35" s="123" t="n"/>
    </row>
    <row r="36" ht="15.75" customHeight="1" s="186">
      <c r="B36" s="110" t="inlineStr">
        <is>
          <t>Crema</t>
        </is>
      </c>
      <c r="C36" s="219" t="inlineStr">
        <is>
          <t>Ingredients - Dairy</t>
        </is>
      </c>
      <c r="D36" s="41" t="inlineStr">
        <is>
          <t>ltr</t>
        </is>
      </c>
      <c r="E36" s="111" t="n">
        <v>0</v>
      </c>
      <c r="F36" s="112" t="n"/>
      <c r="G36" s="113" t="n"/>
      <c r="H36" s="112" t="n"/>
      <c r="I36" s="114" t="n"/>
      <c r="J36" s="115">
        <f>IF(ISBLANK(F36),"—",IF(F36=0,"🚫 OUT OF STOCK",IF(F36&lt;=E36,"⚠️ LOW STOCK","✅ OK")))</f>
        <v/>
      </c>
      <c r="K36" s="116" t="n"/>
    </row>
    <row r="37" ht="15.75" customHeight="1" s="186">
      <c r="B37" s="117" t="inlineStr">
        <is>
          <t>Leche (Nutralat)</t>
        </is>
      </c>
      <c r="C37" s="202" t="inlineStr">
        <is>
          <t>Ingredients - Dairy</t>
        </is>
      </c>
      <c r="D37" s="50" t="inlineStr">
        <is>
          <t>ltr</t>
        </is>
      </c>
      <c r="E37" s="118" t="n">
        <v>0</v>
      </c>
      <c r="F37" s="119" t="n"/>
      <c r="G37" s="120" t="n"/>
      <c r="H37" s="119" t="n"/>
      <c r="I37" s="121" t="n"/>
      <c r="J37" s="122">
        <f>IF(ISBLANK(F37),"—",IF(F37=0,"🚫 OUT OF STOCK",IF(F37&lt;=E37,"⚠️ LOW STOCK","✅ OK")))</f>
        <v/>
      </c>
      <c r="K37" s="123" t="n"/>
    </row>
    <row r="38" ht="15.75" customHeight="1" s="186">
      <c r="B38" s="110" t="inlineStr">
        <is>
          <t>Leche Deslactosada</t>
        </is>
      </c>
      <c r="C38" s="219" t="inlineStr">
        <is>
          <t>Ingredients - Dairy</t>
        </is>
      </c>
      <c r="D38" s="41" t="inlineStr">
        <is>
          <t>ltr</t>
        </is>
      </c>
      <c r="E38" s="111" t="n">
        <v>0</v>
      </c>
      <c r="F38" s="112" t="n"/>
      <c r="G38" s="113" t="n"/>
      <c r="H38" s="112" t="n"/>
      <c r="I38" s="114" t="n"/>
      <c r="J38" s="115">
        <f>IF(ISBLANK(F38),"—",IF(F38=0,"🚫 OUT OF STOCK",IF(F38&lt;=E38,"⚠️ LOW STOCK","✅ OK")))</f>
        <v/>
      </c>
      <c r="K38" s="116" t="n"/>
    </row>
    <row r="39" ht="15.75" customHeight="1" s="186">
      <c r="B39" s="117" t="inlineStr">
        <is>
          <t>Arroz</t>
        </is>
      </c>
      <c r="C39" s="202" t="inlineStr">
        <is>
          <t>Ingredients - Pantry</t>
        </is>
      </c>
      <c r="D39" s="50" t="inlineStr">
        <is>
          <t>kg</t>
        </is>
      </c>
      <c r="E39" s="118" t="n">
        <v>0</v>
      </c>
      <c r="F39" s="119" t="n"/>
      <c r="G39" s="120" t="n"/>
      <c r="H39" s="119" t="n"/>
      <c r="I39" s="121" t="n"/>
      <c r="J39" s="122">
        <f>IF(ISBLANK(F39),"—",IF(F39=0,"🚫 OUT OF STOCK",IF(F39&lt;=E39,"⚠️ LOW STOCK","✅ OK")))</f>
        <v/>
      </c>
      <c r="K39" s="123" t="n"/>
    </row>
    <row r="40" ht="15.75" customHeight="1" s="186">
      <c r="B40" s="110" t="inlineStr">
        <is>
          <t>Tortillas</t>
        </is>
      </c>
      <c r="C40" s="219" t="inlineStr">
        <is>
          <t>Ingredients - Pantry</t>
        </is>
      </c>
      <c r="D40" s="41" t="inlineStr">
        <is>
          <t>kg</t>
        </is>
      </c>
      <c r="E40" s="111" t="n">
        <v>0</v>
      </c>
      <c r="F40" s="112" t="n"/>
      <c r="G40" s="113" t="n"/>
      <c r="H40" s="112" t="n"/>
      <c r="I40" s="114" t="n"/>
      <c r="J40" s="115">
        <f>IF(ISBLANK(F40),"—",IF(F40=0,"🚫 OUT OF STOCK",IF(F40&lt;=E40,"⚠️ LOW STOCK","✅ OK")))</f>
        <v/>
      </c>
      <c r="K40" s="116" t="n"/>
    </row>
    <row r="41" ht="15.75" customHeight="1" s="186">
      <c r="B41" s="117" t="inlineStr">
        <is>
          <t>Pasta</t>
        </is>
      </c>
      <c r="C41" s="202" t="inlineStr">
        <is>
          <t>Ingredients - Pantry</t>
        </is>
      </c>
      <c r="D41" s="50" t="inlineStr">
        <is>
          <t>kg</t>
        </is>
      </c>
      <c r="E41" s="118" t="n">
        <v>0</v>
      </c>
      <c r="F41" s="119" t="n"/>
      <c r="G41" s="120" t="n"/>
      <c r="H41" s="119" t="n"/>
      <c r="I41" s="121" t="n"/>
      <c r="J41" s="122">
        <f>IF(ISBLANK(F41),"—",IF(F41=0,"🚫 OUT OF STOCK",IF(F41&lt;=E41,"⚠️ LOW STOCK","✅ OK")))</f>
        <v/>
      </c>
      <c r="K41" s="123" t="n"/>
    </row>
    <row r="42" ht="15.75" customHeight="1" s="186">
      <c r="B42" s="110" t="inlineStr">
        <is>
          <t>Aceite Vegetal</t>
        </is>
      </c>
      <c r="C42" s="219" t="inlineStr">
        <is>
          <t>Ingredients - Pantry</t>
        </is>
      </c>
      <c r="D42" s="41" t="inlineStr">
        <is>
          <t>ltr</t>
        </is>
      </c>
      <c r="E42" s="111" t="n">
        <v>0</v>
      </c>
      <c r="F42" s="112" t="n"/>
      <c r="G42" s="113" t="n"/>
      <c r="H42" s="112" t="n"/>
      <c r="I42" s="114" t="n"/>
      <c r="J42" s="115">
        <f>IF(ISBLANK(F42),"—",IF(F42=0,"🚫 OUT OF STOCK",IF(F42&lt;=E42,"⚠️ LOW STOCK","✅ OK")))</f>
        <v/>
      </c>
      <c r="K42" s="116" t="n"/>
    </row>
    <row r="43" ht="15.75" customHeight="1" s="186">
      <c r="B43" s="117" t="inlineStr">
        <is>
          <t>Azucar</t>
        </is>
      </c>
      <c r="C43" s="202" t="inlineStr">
        <is>
          <t>Ingredients - Pantry</t>
        </is>
      </c>
      <c r="D43" s="50" t="inlineStr">
        <is>
          <t>kg</t>
        </is>
      </c>
      <c r="E43" s="118" t="n">
        <v>0</v>
      </c>
      <c r="F43" s="119" t="n"/>
      <c r="G43" s="120" t="n"/>
      <c r="H43" s="119" t="n"/>
      <c r="I43" s="121" t="n"/>
      <c r="J43" s="122">
        <f>IF(ISBLANK(F43),"—",IF(F43=0,"🚫 OUT OF STOCK",IF(F43&lt;=E43,"⚠️ LOW STOCK","✅ OK")))</f>
        <v/>
      </c>
      <c r="K43" s="123" t="n"/>
    </row>
    <row r="44" ht="15.75" customHeight="1" s="186">
      <c r="B44" s="110" t="inlineStr">
        <is>
          <t>Basicos (Varios)</t>
        </is>
      </c>
      <c r="C44" s="219" t="inlineStr">
        <is>
          <t>Ingredients - Pantry</t>
        </is>
      </c>
      <c r="D44" s="41" t="inlineStr">
        <is>
          <t>—</t>
        </is>
      </c>
      <c r="E44" s="111" t="n">
        <v>0</v>
      </c>
      <c r="F44" s="112" t="n"/>
      <c r="G44" s="113" t="n"/>
      <c r="H44" s="112" t="n"/>
      <c r="I44" s="114" t="n"/>
      <c r="J44" s="115">
        <f>IF(ISBLANK(F44),"—",IF(F44=0,"🚫 OUT OF STOCK",IF(F44&lt;=E44,"⚠️ LOW STOCK","✅ OK")))</f>
        <v/>
      </c>
      <c r="K44" s="116" t="n"/>
    </row>
    <row r="45" ht="15.75" customHeight="1" s="186">
      <c r="B45" s="117" t="inlineStr">
        <is>
          <t>Pan Hamburguesa</t>
        </is>
      </c>
      <c r="C45" s="202" t="inlineStr">
        <is>
          <t>Ingredients - Bread</t>
        </is>
      </c>
      <c r="D45" s="50" t="inlineStr">
        <is>
          <t>pcs</t>
        </is>
      </c>
      <c r="E45" s="118" t="n">
        <v>0</v>
      </c>
      <c r="F45" s="119" t="n"/>
      <c r="G45" s="120" t="n"/>
      <c r="H45" s="119" t="n"/>
      <c r="I45" s="121" t="n"/>
      <c r="J45" s="122">
        <f>IF(ISBLANK(F45),"—",IF(F45=0,"🚫 OUT OF STOCK",IF(F45&lt;=E45,"⚠️ LOW STOCK","✅ OK")))</f>
        <v/>
      </c>
      <c r="K45" s="123" t="n"/>
    </row>
    <row r="46" ht="15.75" customHeight="1" s="186">
      <c r="B46" s="110" t="inlineStr">
        <is>
          <t>Pan de Caja Arandano</t>
        </is>
      </c>
      <c r="C46" s="219" t="inlineStr">
        <is>
          <t>Ingredients - Bread</t>
        </is>
      </c>
      <c r="D46" s="41" t="inlineStr">
        <is>
          <t>pcs</t>
        </is>
      </c>
      <c r="E46" s="111" t="n">
        <v>0</v>
      </c>
      <c r="F46" s="112" t="n"/>
      <c r="G46" s="113" t="n"/>
      <c r="H46" s="112" t="n"/>
      <c r="I46" s="114" t="n"/>
      <c r="J46" s="115">
        <f>IF(ISBLANK(F46),"—",IF(F46=0,"🚫 OUT OF STOCK",IF(F46&lt;=E46,"⚠️ LOW STOCK","✅ OK")))</f>
        <v/>
      </c>
      <c r="K46" s="116" t="n"/>
    </row>
    <row r="47" ht="15.75" customHeight="1" s="186">
      <c r="B47" s="117" t="inlineStr">
        <is>
          <t>Panko</t>
        </is>
      </c>
      <c r="C47" s="202" t="inlineStr">
        <is>
          <t>Ingredients - Bread</t>
        </is>
      </c>
      <c r="D47" s="50" t="inlineStr">
        <is>
          <t>kg</t>
        </is>
      </c>
      <c r="E47" s="118" t="n">
        <v>0</v>
      </c>
      <c r="F47" s="119" t="n"/>
      <c r="G47" s="120" t="n"/>
      <c r="H47" s="119" t="n"/>
      <c r="I47" s="121" t="n"/>
      <c r="J47" s="122">
        <f>IF(ISBLANK(F47),"—",IF(F47=0,"🚫 OUT OF STOCK",IF(F47&lt;=E47,"⚠️ LOW STOCK","✅ OK")))</f>
        <v/>
      </c>
      <c r="K47" s="123" t="n"/>
    </row>
    <row r="48" ht="15.75" customHeight="1" s="186">
      <c r="B48" s="110" t="inlineStr">
        <is>
          <t>Bolillo</t>
        </is>
      </c>
      <c r="C48" s="219" t="inlineStr">
        <is>
          <t>Ingredients - Bread</t>
        </is>
      </c>
      <c r="D48" s="41" t="inlineStr">
        <is>
          <t>pcs</t>
        </is>
      </c>
      <c r="E48" s="111" t="n">
        <v>0</v>
      </c>
      <c r="F48" s="112" t="n"/>
      <c r="G48" s="113" t="n"/>
      <c r="H48" s="112" t="n"/>
      <c r="I48" s="114" t="n"/>
      <c r="J48" s="115">
        <f>IF(ISBLANK(F48),"—",IF(F48=0,"🚫 OUT OF STOCK",IF(F48&lt;=E48,"⚠️ LOW STOCK","✅ OK")))</f>
        <v/>
      </c>
      <c r="K48" s="116" t="n"/>
    </row>
    <row r="49" ht="15.75" customHeight="1" s="186">
      <c r="B49" s="117" t="inlineStr">
        <is>
          <t>Rosca de Nuez</t>
        </is>
      </c>
      <c r="C49" s="202" t="inlineStr">
        <is>
          <t>Ingredients - Bread</t>
        </is>
      </c>
      <c r="D49" s="50" t="inlineStr">
        <is>
          <t>pcs</t>
        </is>
      </c>
      <c r="E49" s="118" t="n">
        <v>0</v>
      </c>
      <c r="F49" s="119" t="n"/>
      <c r="G49" s="120" t="n"/>
      <c r="H49" s="119" t="n"/>
      <c r="I49" s="121" t="n"/>
      <c r="J49" s="122">
        <f>IF(ISBLANK(F49),"—",IF(F49=0,"🚫 OUT OF STOCK",IF(F49&lt;=E49,"⚠️ LOW STOCK","✅ OK")))</f>
        <v/>
      </c>
      <c r="K49" s="123" t="n"/>
    </row>
    <row r="50" ht="15.75" customHeight="1" s="186">
      <c r="B50" s="110" t="inlineStr">
        <is>
          <t>Limonada Concentrado</t>
        </is>
      </c>
      <c r="C50" s="219" t="inlineStr">
        <is>
          <t>Ingredients - Beverages</t>
        </is>
      </c>
      <c r="D50" s="41" t="inlineStr">
        <is>
          <t>ltr</t>
        </is>
      </c>
      <c r="E50" s="111" t="n">
        <v>0</v>
      </c>
      <c r="F50" s="112" t="n"/>
      <c r="G50" s="113" t="n"/>
      <c r="H50" s="112" t="n"/>
      <c r="I50" s="114" t="n"/>
      <c r="J50" s="115">
        <f>IF(ISBLANK(F50),"—",IF(F50=0,"🚫 OUT OF STOCK",IF(F50&lt;=E50,"⚠️ LOW STOCK","✅ OK")))</f>
        <v/>
      </c>
      <c r="K50" s="116" t="n"/>
    </row>
    <row r="51" ht="15.75" customHeight="1" s="186">
      <c r="B51" s="117" t="inlineStr">
        <is>
          <t>Naranjada Concentrado</t>
        </is>
      </c>
      <c r="C51" s="202" t="inlineStr">
        <is>
          <t>Ingredients - Beverages</t>
        </is>
      </c>
      <c r="D51" s="50" t="inlineStr">
        <is>
          <t>ltr</t>
        </is>
      </c>
      <c r="E51" s="118" t="n">
        <v>0</v>
      </c>
      <c r="F51" s="119" t="n"/>
      <c r="G51" s="120" t="n"/>
      <c r="H51" s="119" t="n"/>
      <c r="I51" s="121" t="n"/>
      <c r="J51" s="122">
        <f>IF(ISBLANK(F51),"—",IF(F51=0,"🚫 OUT OF STOCK",IF(F51&lt;=E51,"⚠️ LOW STOCK","✅ OK")))</f>
        <v/>
      </c>
      <c r="K51" s="123" t="n"/>
    </row>
    <row r="52" ht="15.75" customHeight="1" s="186">
      <c r="B52" s="110" t="inlineStr">
        <is>
          <t>Tamarindo Concentrado</t>
        </is>
      </c>
      <c r="C52" s="219" t="inlineStr">
        <is>
          <t>Ingredients - Beverages</t>
        </is>
      </c>
      <c r="D52" s="41" t="inlineStr">
        <is>
          <t>ltr</t>
        </is>
      </c>
      <c r="E52" s="111" t="n">
        <v>0</v>
      </c>
      <c r="F52" s="112" t="n"/>
      <c r="G52" s="113" t="n"/>
      <c r="H52" s="112" t="n"/>
      <c r="I52" s="114" t="n"/>
      <c r="J52" s="115">
        <f>IF(ISBLANK(F52),"—",IF(F52=0,"🚫 OUT OF STOCK",IF(F52&lt;=E52,"⚠️ LOW STOCK","✅ OK")))</f>
        <v/>
      </c>
      <c r="K52" s="116" t="n"/>
    </row>
    <row r="53" ht="15.75" customHeight="1" s="186">
      <c r="B53" s="117" t="inlineStr">
        <is>
          <t>Tilapia</t>
        </is>
      </c>
      <c r="C53" s="202" t="inlineStr">
        <is>
          <t>Ingredients - Meat &amp; Fish</t>
        </is>
      </c>
      <c r="D53" s="50" t="inlineStr">
        <is>
          <t>kg</t>
        </is>
      </c>
      <c r="E53" s="118" t="n">
        <v>0</v>
      </c>
      <c r="F53" s="119" t="n"/>
      <c r="G53" s="120" t="n"/>
      <c r="H53" s="119" t="n"/>
      <c r="I53" s="121" t="n"/>
      <c r="J53" s="122">
        <f>IF(ISBLANK(F53),"—",IF(F53=0,"🚫 OUT OF STOCK",IF(F53&lt;=E53,"⚠️ LOW STOCK","✅ OK")))</f>
        <v/>
      </c>
      <c r="K53" s="123" t="n"/>
    </row>
    <row r="54" ht="15.75" customHeight="1" s="186">
      <c r="B54" s="110" t="inlineStr">
        <is>
          <t>Chapata</t>
        </is>
      </c>
      <c r="C54" s="219" t="inlineStr">
        <is>
          <t>Ingredients - Bread</t>
        </is>
      </c>
      <c r="D54" s="41" t="inlineStr">
        <is>
          <t>pcs</t>
        </is>
      </c>
      <c r="E54" s="111" t="n">
        <v>0</v>
      </c>
      <c r="F54" s="112" t="n"/>
      <c r="G54" s="113" t="n"/>
      <c r="H54" s="112" t="n"/>
      <c r="I54" s="114" t="n"/>
      <c r="J54" s="115">
        <f>IF(ISBLANK(F54),"—",IF(F54=0,"🚫 OUT OF STOCK",IF(F54&lt;=E54,"⚠️ LOW STOCK","✅ OK")))</f>
        <v/>
      </c>
      <c r="K54" s="116" t="n"/>
    </row>
    <row r="55" ht="15.75" customHeight="1" s="186">
      <c r="B55" s="117" t="inlineStr">
        <is>
          <t>Bistek de Puerco</t>
        </is>
      </c>
      <c r="C55" s="202" t="inlineStr">
        <is>
          <t>Ingredients - Meat</t>
        </is>
      </c>
      <c r="D55" s="50" t="inlineStr">
        <is>
          <t>kg</t>
        </is>
      </c>
      <c r="E55" s="118" t="n">
        <v>0</v>
      </c>
      <c r="F55" s="119" t="n"/>
      <c r="G55" s="120" t="n"/>
      <c r="H55" s="119" t="n"/>
      <c r="I55" s="121" t="n"/>
      <c r="J55" s="122">
        <f>IF(ISBLANK(F55),"—",IF(F55=0,"🚫 OUT OF STOCK",IF(F55&lt;=E55,"⚠️ LOW STOCK","✅ OK")))</f>
        <v/>
      </c>
      <c r="K55" s="123" t="n"/>
    </row>
    <row r="56" ht="15.75" customHeight="1" s="186">
      <c r="B56" s="110" t="inlineStr">
        <is>
          <t>Sal Fina</t>
        </is>
      </c>
      <c r="C56" s="219" t="inlineStr">
        <is>
          <t>Ingredients - Pantry</t>
        </is>
      </c>
      <c r="D56" s="41" t="inlineStr">
        <is>
          <t>kg</t>
        </is>
      </c>
      <c r="E56" s="111" t="n">
        <v>0</v>
      </c>
      <c r="F56" s="112" t="n"/>
      <c r="G56" s="113" t="n"/>
      <c r="H56" s="112" t="n"/>
      <c r="I56" s="114" t="n"/>
      <c r="J56" s="115">
        <f>IF(ISBLANK(F56),"—",IF(F56=0,"🚫 OUT OF STOCK",IF(F56&lt;=E56,"⚠️ LOW STOCK","✅ OK")))</f>
        <v/>
      </c>
      <c r="K56" s="116" t="n"/>
    </row>
    <row r="57" ht="15.75" customHeight="1" s="186">
      <c r="B57" s="117" t="inlineStr">
        <is>
          <t>Coca Cola</t>
        </is>
      </c>
      <c r="C57" s="202" t="inlineStr">
        <is>
          <t>Ingredients - Beverages</t>
        </is>
      </c>
      <c r="D57" s="50" t="inlineStr">
        <is>
          <t>pcs</t>
        </is>
      </c>
      <c r="E57" s="118" t="n">
        <v>0</v>
      </c>
      <c r="F57" s="119" t="n"/>
      <c r="G57" s="120" t="n"/>
      <c r="H57" s="119" t="n"/>
      <c r="I57" s="121" t="n"/>
      <c r="J57" s="122">
        <f>IF(ISBLANK(F57),"—",IF(F57=0,"🚫 OUT OF STOCK",IF(F57&lt;=E57,"⚠️ LOW STOCK","✅ OK")))</f>
        <v/>
      </c>
      <c r="K57" s="123" t="n"/>
    </row>
    <row r="58" ht="15.75" customHeight="1" s="186">
      <c r="B58" s="110" t="inlineStr">
        <is>
          <t>Leche Alpura</t>
        </is>
      </c>
      <c r="C58" s="219" t="inlineStr">
        <is>
          <t>Ingredients - Dairy</t>
        </is>
      </c>
      <c r="D58" s="41" t="inlineStr">
        <is>
          <t>ltr</t>
        </is>
      </c>
      <c r="E58" s="111" t="n">
        <v>0</v>
      </c>
      <c r="F58" s="112" t="n"/>
      <c r="G58" s="113" t="n"/>
      <c r="H58" s="112" t="n"/>
      <c r="I58" s="114" t="n"/>
      <c r="J58" s="115">
        <f>IF(ISBLANK(F58),"—",IF(F58=0,"🚫 OUT OF STOCK",IF(F58&lt;=E58,"⚠️ LOW STOCK","✅ OK")))</f>
        <v/>
      </c>
      <c r="K58" s="116" t="n"/>
    </row>
    <row r="59" ht="15.75" customHeight="1" s="186">
      <c r="B59" s="117" t="inlineStr">
        <is>
          <t>Crema Ácida</t>
        </is>
      </c>
      <c r="C59" s="202" t="inlineStr">
        <is>
          <t>Ingredients - Dairy</t>
        </is>
      </c>
      <c r="D59" s="50" t="inlineStr">
        <is>
          <t>ltr</t>
        </is>
      </c>
      <c r="E59" s="118" t="n">
        <v>0</v>
      </c>
      <c r="F59" s="119" t="n"/>
      <c r="G59" s="120" t="n"/>
      <c r="H59" s="119" t="n"/>
      <c r="I59" s="121" t="n"/>
      <c r="J59" s="122">
        <f>IF(ISBLANK(F59),"—",IF(F59=0,"🚫 OUT OF STOCK",IF(F59&lt;=E59,"⚠️ LOW STOCK","✅ OK")))</f>
        <v/>
      </c>
      <c r="K59" s="123" t="n"/>
    </row>
    <row r="60" ht="15.75" customHeight="1" s="186">
      <c r="B60" s="110" t="inlineStr">
        <is>
          <t>Salsa / Tomate Lata</t>
        </is>
      </c>
      <c r="C60" s="219" t="inlineStr">
        <is>
          <t>Ingredients - Pantry</t>
        </is>
      </c>
      <c r="D60" s="41" t="inlineStr">
        <is>
          <t>pcs</t>
        </is>
      </c>
      <c r="E60" s="111" t="n">
        <v>0</v>
      </c>
      <c r="F60" s="112" t="n"/>
      <c r="G60" s="113" t="n"/>
      <c r="H60" s="112" t="n"/>
      <c r="I60" s="114" t="n"/>
      <c r="J60" s="115">
        <f>IF(ISBLANK(F60),"—",IF(F60=0,"🚫 OUT OF STOCK",IF(F60&lt;=E60,"⚠️ LOW STOCK","✅ OK")))</f>
        <v/>
      </c>
      <c r="K60" s="116" t="n"/>
    </row>
    <row r="61" ht="15.75" customHeight="1" s="186">
      <c r="B61" s="117" t="inlineStr">
        <is>
          <t>Champiñones</t>
        </is>
      </c>
      <c r="C61" s="202" t="inlineStr">
        <is>
          <t>Ingredients - Vegetables</t>
        </is>
      </c>
      <c r="D61" s="50" t="inlineStr">
        <is>
          <t>pcs</t>
        </is>
      </c>
      <c r="E61" s="118" t="n">
        <v>0</v>
      </c>
      <c r="F61" s="119" t="n"/>
      <c r="G61" s="120" t="n"/>
      <c r="H61" s="119" t="n"/>
      <c r="I61" s="121" t="n"/>
      <c r="J61" s="122">
        <f>IF(ISBLANK(F61),"—",IF(F61=0,"🚫 OUT OF STOCK",IF(F61&lt;=E61,"⚠️ LOW STOCK","✅ OK")))</f>
        <v/>
      </c>
      <c r="K61" s="123" t="n"/>
    </row>
    <row r="62" ht="15.75" customHeight="1" s="186">
      <c r="B62" s="110" t="inlineStr">
        <is>
          <t>Tocino</t>
        </is>
      </c>
      <c r="C62" s="219" t="inlineStr">
        <is>
          <t>Ingredients - Meat</t>
        </is>
      </c>
      <c r="D62" s="41" t="inlineStr">
        <is>
          <t>kg</t>
        </is>
      </c>
      <c r="E62" s="111" t="n">
        <v>0</v>
      </c>
      <c r="F62" s="112" t="n"/>
      <c r="G62" s="113" t="n"/>
      <c r="H62" s="112" t="n"/>
      <c r="I62" s="114" t="n"/>
      <c r="J62" s="115">
        <f>IF(ISBLANK(F62),"—",IF(F62=0,"🚫 OUT OF STOCK",IF(F62&lt;=E62,"⚠️ LOW STOCK","✅ OK")))</f>
        <v/>
      </c>
      <c r="K62" s="116" t="n"/>
    </row>
    <row r="63" ht="15.75" customHeight="1" s="186">
      <c r="B63" s="117" t="inlineStr">
        <is>
          <t>Bistec Cerdo</t>
        </is>
      </c>
      <c r="C63" s="202" t="inlineStr">
        <is>
          <t>Ingredients - Meat</t>
        </is>
      </c>
      <c r="D63" s="50" t="inlineStr">
        <is>
          <t>kg</t>
        </is>
      </c>
      <c r="E63" s="118" t="n">
        <v>0</v>
      </c>
      <c r="F63" s="119" t="n"/>
      <c r="G63" s="120" t="n"/>
      <c r="H63" s="119" t="n"/>
      <c r="I63" s="121" t="n"/>
      <c r="J63" s="122">
        <f>IF(ISBLANK(F63),"—",IF(F63=0,"🚫 OUT OF STOCK",IF(F63&lt;=E63,"⚠️ LOW STOCK","✅ OK")))</f>
        <v/>
      </c>
      <c r="K63" s="123" t="n"/>
    </row>
    <row r="64" ht="15.75" customHeight="1" s="186">
      <c r="B64" s="110" t="inlineStr">
        <is>
          <t>Pierna Cerdo</t>
        </is>
      </c>
      <c r="C64" s="219" t="inlineStr">
        <is>
          <t>Ingredients - Meat</t>
        </is>
      </c>
      <c r="D64" s="41" t="inlineStr">
        <is>
          <t>kg</t>
        </is>
      </c>
      <c r="E64" s="111" t="n">
        <v>0</v>
      </c>
      <c r="F64" s="112" t="n"/>
      <c r="G64" s="113" t="n"/>
      <c r="H64" s="112" t="n"/>
      <c r="I64" s="114" t="n"/>
      <c r="J64" s="115">
        <f>IF(ISBLANK(F64),"—",IF(F64=0,"🚫 OUT OF STOCK",IF(F64&lt;=E64,"⚠️ LOW STOCK","✅ OK")))</f>
        <v/>
      </c>
      <c r="K64" s="116" t="n"/>
    </row>
    <row r="65" ht="15.75" customHeight="1" s="186">
      <c r="B65" s="117" t="inlineStr">
        <is>
          <t>Muslo con Hueso</t>
        </is>
      </c>
      <c r="C65" s="202" t="inlineStr">
        <is>
          <t>Ingredients - Meat</t>
        </is>
      </c>
      <c r="D65" s="50" t="inlineStr">
        <is>
          <t>kg</t>
        </is>
      </c>
      <c r="E65" s="118" t="n">
        <v>0</v>
      </c>
      <c r="F65" s="119" t="n"/>
      <c r="G65" s="120" t="n"/>
      <c r="H65" s="119" t="n"/>
      <c r="I65" s="121" t="n"/>
      <c r="J65" s="122">
        <f>IF(ISBLANK(F65),"—",IF(F65=0,"🚫 OUT OF STOCK",IF(F65&lt;=E65,"⚠️ LOW STOCK","✅ OK")))</f>
        <v/>
      </c>
      <c r="K65" s="123" t="n"/>
    </row>
    <row r="66" ht="15.75" customHeight="1" s="186">
      <c r="B66" s="110" t="inlineStr">
        <is>
          <t>Elote en Lata</t>
        </is>
      </c>
      <c r="C66" s="219" t="inlineStr">
        <is>
          <t>Ingredients - Pantry</t>
        </is>
      </c>
      <c r="D66" s="41" t="inlineStr">
        <is>
          <t>pcs</t>
        </is>
      </c>
      <c r="E66" s="111" t="n">
        <v>0</v>
      </c>
      <c r="F66" s="112" t="n"/>
      <c r="G66" s="113" t="n"/>
      <c r="H66" s="112" t="n"/>
      <c r="I66" s="114" t="n"/>
      <c r="J66" s="115">
        <f>IF(ISBLANK(F66),"—",IF(F66=0,"🚫 OUT OF STOCK",IF(F66&lt;=E66,"⚠️ LOW STOCK","✅ OK")))</f>
        <v/>
      </c>
      <c r="K66" s="116" t="n"/>
    </row>
    <row r="67" ht="15.75" customHeight="1" s="186">
      <c r="B67" s="117" t="inlineStr">
        <is>
          <t>Cebolla</t>
        </is>
      </c>
      <c r="C67" s="202" t="inlineStr">
        <is>
          <t>Ingredients - Vegetables</t>
        </is>
      </c>
      <c r="D67" s="50" t="inlineStr">
        <is>
          <t>kg</t>
        </is>
      </c>
      <c r="E67" s="118" t="n">
        <v>0</v>
      </c>
      <c r="F67" s="119" t="n"/>
      <c r="G67" s="120" t="n"/>
      <c r="H67" s="119" t="n"/>
      <c r="I67" s="121" t="n"/>
      <c r="J67" s="122">
        <f>IF(ISBLANK(F67),"—",IF(F67=0,"🚫 OUT OF STOCK",IF(F67&lt;=E67,"⚠️ LOW STOCK","✅ OK")))</f>
        <v/>
      </c>
      <c r="K67" s="123" t="n"/>
    </row>
    <row r="68">
      <c r="B68" t="inlineStr">
        <is>
          <t>Queso Panela</t>
        </is>
      </c>
      <c r="C68" t="inlineStr">
        <is>
          <t>Ingredients - Dairy</t>
        </is>
      </c>
      <c r="D68" t="inlineStr">
        <is>
          <t>kg</t>
        </is>
      </c>
      <c r="E68" t="n">
        <v>0</v>
      </c>
      <c r="J68">
        <f>IF(ISBLANK(F68),"—",IF(F68=0,"🚫 OUT OF STOCK",IF(F68&lt;=E68,"⚠️ LOW STOCK","✅ OK")))</f>
        <v/>
      </c>
    </row>
    <row r="69">
      <c r="B69" t="inlineStr">
        <is>
          <t>Microfibra / Limpieza</t>
        </is>
      </c>
      <c r="C69" t="inlineStr">
        <is>
          <t>Supplies / Other</t>
        </is>
      </c>
      <c r="D69" t="inlineStr">
        <is>
          <t>pcs</t>
        </is>
      </c>
      <c r="E69" t="n">
        <v>0</v>
      </c>
      <c r="J69">
        <f>IF(ISBLANK(F69),"—",IF(F69=0,"🚫 OUT OF STOCK",IF(F69&lt;=E69,"⚠️ LOW STOCK","✅ OK")))</f>
        <v/>
      </c>
    </row>
    <row r="70">
      <c r="B70" t="inlineStr">
        <is>
          <t>Concha Chocolate</t>
        </is>
      </c>
      <c r="C70" t="inlineStr">
        <is>
          <t>Ingredients - Bread</t>
        </is>
      </c>
      <c r="D70" t="inlineStr">
        <is>
          <t>pcs</t>
        </is>
      </c>
      <c r="E70" t="n">
        <v>0</v>
      </c>
      <c r="J70">
        <f>IF(ISBLANK(F70),"—",IF(F70=0,"🚫 OUT OF STOCK",IF(F70&lt;=E70,"⚠️ LOW STOCK","✅ OK")))</f>
        <v/>
      </c>
    </row>
    <row r="71">
      <c r="B71" t="inlineStr">
        <is>
          <t>Rosca Marmoleada</t>
        </is>
      </c>
      <c r="C71" t="inlineStr">
        <is>
          <t>Ingredients - Bread</t>
        </is>
      </c>
      <c r="D71" t="inlineStr">
        <is>
          <t>pcs</t>
        </is>
      </c>
      <c r="E71" t="n">
        <v>0</v>
      </c>
      <c r="J71">
        <f>IF(ISBLANK(F71),"—",IF(F71=0,"🚫 OUT OF STOCK",IF(F71&lt;=E71,"⚠️ LOW STOCK","✅ OK")))</f>
        <v/>
      </c>
    </row>
    <row r="72">
      <c r="B72" t="inlineStr">
        <is>
          <t>Frijol Bayos</t>
        </is>
      </c>
      <c r="C72" t="inlineStr">
        <is>
          <t>Ingredients - Pantry</t>
        </is>
      </c>
      <c r="D72" t="inlineStr">
        <is>
          <t>pcs</t>
        </is>
      </c>
      <c r="E72" t="n">
        <v>0</v>
      </c>
      <c r="J72">
        <f>IF(ISBLANK(F72),"—",IF(F72=0,"🚫 OUT OF STOCK",IF(F72&lt;=E72,"⚠️ LOW STOCK","✅ OK")))</f>
        <v/>
      </c>
    </row>
    <row r="73">
      <c r="B73" t="inlineStr">
        <is>
          <t>Huevo Bachoco</t>
        </is>
      </c>
      <c r="C73" t="inlineStr">
        <is>
          <t>Ingredients - Pantry</t>
        </is>
      </c>
      <c r="D73" t="inlineStr">
        <is>
          <t>pcs</t>
        </is>
      </c>
      <c r="E73" t="n">
        <v>0</v>
      </c>
      <c r="J73">
        <f>IF(ISBLANK(F73),"—",IF(F73=0,"🚫 OUT OF STOCK",IF(F73&lt;=E73,"⚠️ LOW STOCK","✅ OK")))</f>
        <v/>
      </c>
    </row>
  </sheetData>
  <mergeCells count="4">
    <mergeCell ref="A2:E2"/>
    <mergeCell ref="F2:K2"/>
    <mergeCell ref="B8:K8"/>
    <mergeCell ref="A3:K3"/>
  </mergeCells>
  <conditionalFormatting sqref="E10:E67">
    <cfRule type="expression" priority="4" dxfId="4">
      <formula>E10&lt;=F10</formula>
    </cfRule>
  </conditionalFormatting>
  <conditionalFormatting sqref="J10:J67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72"/>
  <sheetViews>
    <sheetView showGridLines="0" topLeftCell="A49" zoomScaleNormal="100" workbookViewId="0">
      <selection activeCell="P22" sqref="P22"/>
    </sheetView>
  </sheetViews>
  <sheetFormatPr baseColWidth="8" defaultColWidth="8.6640625" defaultRowHeight="14.4" customHeight="1"/>
  <cols>
    <col width="4" customWidth="1" style="186" min="1" max="1"/>
    <col width="20" customWidth="1" style="186" min="2" max="2"/>
    <col width="14" customWidth="1" style="186" min="3" max="3"/>
    <col width="13" customWidth="1" style="186" min="4" max="4"/>
    <col width="11" customWidth="1" style="186" min="5" max="11"/>
    <col width="13" customWidth="1" style="186" min="12" max="12"/>
    <col width="16" customWidth="1" style="186" min="13" max="13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</row>
    <row r="2" ht="37.5" customHeight="1" s="186">
      <c r="A2" s="187" t="inlineStr">
        <is>
          <t>👥  LOKA — STAFF &amp; PAYROLL</t>
        </is>
      </c>
      <c r="G2" s="185" t="inlineStr">
        <is>
          <t>Weekly schedule + auto payroll calculation</t>
        </is>
      </c>
    </row>
    <row r="3" ht="3.75" customHeight="1" s="186">
      <c r="A3" s="190" t="n"/>
    </row>
    <row r="4" ht="7.5" customHeight="1" s="186"/>
    <row r="5" ht="7.5" customHeight="1" s="186"/>
    <row r="6" ht="21.75" customHeight="1" s="186">
      <c r="B6" s="217" t="inlineStr">
        <is>
          <t xml:space="preserve">  STAFF SCHEDULE  —  Week of:</t>
        </is>
      </c>
      <c r="C6" s="189" t="n"/>
      <c r="D6" s="189" t="n"/>
      <c r="E6" s="265">
        <f>TODAY()-WEEKDAY(TODAY(),2)+1</f>
        <v/>
      </c>
      <c r="F6" s="203" t="n"/>
      <c r="G6" s="203" t="n"/>
      <c r="H6" s="203" t="n"/>
      <c r="I6" s="203" t="n"/>
      <c r="J6" s="203" t="n"/>
      <c r="K6" s="203" t="n"/>
      <c r="L6" s="203" t="n"/>
      <c r="M6" s="203" t="n"/>
    </row>
    <row r="7" ht="27.75" customHeight="1" s="186">
      <c r="B7" s="199" t="inlineStr">
        <is>
          <t>Staff Name</t>
        </is>
      </c>
      <c r="C7" s="199" t="inlineStr">
        <is>
          <t>Role</t>
        </is>
      </c>
      <c r="D7" s="199" t="inlineStr">
        <is>
          <t>Daily Rate ($)</t>
        </is>
      </c>
      <c r="E7" s="199" t="inlineStr">
        <is>
          <t>Mon</t>
        </is>
      </c>
      <c r="F7" s="199" t="inlineStr">
        <is>
          <t>Tue</t>
        </is>
      </c>
      <c r="G7" s="199" t="inlineStr">
        <is>
          <t>Wed</t>
        </is>
      </c>
      <c r="H7" s="199" t="inlineStr">
        <is>
          <t>Thu</t>
        </is>
      </c>
      <c r="I7" s="199" t="inlineStr">
        <is>
          <t>Fri</t>
        </is>
      </c>
      <c r="J7" s="199" t="inlineStr">
        <is>
          <t>Sat</t>
        </is>
      </c>
      <c r="K7" s="199" t="inlineStr">
        <is>
          <t>Sun</t>
        </is>
      </c>
      <c r="L7" s="199" t="inlineStr">
        <is>
          <t>Days Worked</t>
        </is>
      </c>
      <c r="M7" s="199" t="inlineStr">
        <is>
          <t>Week Pay ($)</t>
        </is>
      </c>
    </row>
    <row r="8" ht="19.5" customHeight="1" s="186">
      <c r="B8" s="124" t="inlineStr">
        <is>
          <t>John</t>
        </is>
      </c>
      <c r="C8" s="125" t="inlineStr">
        <is>
          <t>Head Chef</t>
        </is>
      </c>
      <c r="D8" s="126" t="n">
        <v>625</v>
      </c>
      <c r="E8" s="127" t="inlineStr">
        <is>
          <t>Full Day</t>
        </is>
      </c>
      <c r="F8" s="127" t="inlineStr">
        <is>
          <t>Full Day</t>
        </is>
      </c>
      <c r="G8" s="127" t="inlineStr">
        <is>
          <t>Full Day</t>
        </is>
      </c>
      <c r="H8" s="127" t="inlineStr">
        <is>
          <t>Full Day</t>
        </is>
      </c>
      <c r="I8" s="127" t="inlineStr">
        <is>
          <t>Full Day</t>
        </is>
      </c>
      <c r="J8" s="127" t="inlineStr">
        <is>
          <t>Full Day</t>
        </is>
      </c>
      <c r="K8" s="127" t="inlineStr">
        <is>
          <t>Day Off</t>
        </is>
      </c>
      <c r="L8" s="128">
        <f>COUNTIF(E8:K8,"Full Day")</f>
        <v/>
      </c>
      <c r="M8" s="129">
        <f>L8*D8</f>
        <v/>
      </c>
    </row>
    <row r="9" ht="19.5" customHeight="1" s="186">
      <c r="B9" s="124" t="inlineStr">
        <is>
          <t>Debi</t>
        </is>
      </c>
      <c r="C9" s="130" t="inlineStr">
        <is>
          <t>Cleaner</t>
        </is>
      </c>
      <c r="D9" s="131" t="n">
        <v>250</v>
      </c>
      <c r="E9" s="132" t="inlineStr">
        <is>
          <t>Full Day</t>
        </is>
      </c>
      <c r="F9" s="132" t="inlineStr">
        <is>
          <t>Full Day</t>
        </is>
      </c>
      <c r="G9" s="132" t="inlineStr">
        <is>
          <t>Full Day</t>
        </is>
      </c>
      <c r="H9" s="132" t="inlineStr">
        <is>
          <t>Full Day</t>
        </is>
      </c>
      <c r="I9" s="132" t="inlineStr">
        <is>
          <t>Full Day</t>
        </is>
      </c>
      <c r="J9" s="132" t="inlineStr">
        <is>
          <t>Full Day</t>
        </is>
      </c>
      <c r="K9" s="132" t="inlineStr">
        <is>
          <t>Day Off</t>
        </is>
      </c>
      <c r="L9" s="133">
        <f>COUNTIF(E9:K9,"Full Day")</f>
        <v/>
      </c>
      <c r="M9" s="134">
        <f>L9*D9</f>
        <v/>
      </c>
    </row>
    <row r="10" ht="19.5" customHeight="1" s="186">
      <c r="B10" s="124" t="inlineStr">
        <is>
          <t>Victor (INACTIVE)</t>
        </is>
      </c>
      <c r="C10" s="125" t="inlineStr">
        <is>
          <t>Mesero — Left after Week 1</t>
        </is>
      </c>
      <c r="D10" s="131" t="n">
        <v>0</v>
      </c>
      <c r="E10" s="127" t="inlineStr">
        <is>
          <t>—</t>
        </is>
      </c>
      <c r="F10" s="127" t="inlineStr">
        <is>
          <t>—</t>
        </is>
      </c>
      <c r="G10" s="127" t="inlineStr">
        <is>
          <t>—</t>
        </is>
      </c>
      <c r="H10" s="127" t="inlineStr">
        <is>
          <t>—</t>
        </is>
      </c>
      <c r="I10" s="127" t="inlineStr">
        <is>
          <t>—</t>
        </is>
      </c>
      <c r="J10" s="127" t="inlineStr">
        <is>
          <t>—</t>
        </is>
      </c>
      <c r="K10" s="127" t="inlineStr">
        <is>
          <t>—</t>
        </is>
      </c>
      <c r="L10" s="128" t="n">
        <v>0</v>
      </c>
      <c r="M10" s="129" t="n">
        <v>0</v>
      </c>
    </row>
    <row r="11" ht="19.5" customHeight="1" s="186">
      <c r="B11" t="inlineStr">
        <is>
          <t>Judith</t>
        </is>
      </c>
      <c r="C11" t="inlineStr">
        <is>
          <t>Mesera / Waitress</t>
        </is>
      </c>
      <c r="D11" t="n">
        <v>2000</v>
      </c>
      <c r="E11" s="266" t="n">
        <v>46174</v>
      </c>
      <c r="F11" t="inlineStr">
        <is>
          <t>✅ Active</t>
        </is>
      </c>
      <c r="G11" t="inlineStr">
        <is>
          <t>Started Mon 1 Jun 2026 · $2,000/week · $333.33/day · NO PAY for absent days</t>
        </is>
      </c>
    </row>
    <row r="12" ht="19.5" customHeight="1" s="186">
      <c r="B12" s="124" t="n"/>
      <c r="C12" s="130" t="n"/>
      <c r="D12" s="131" t="n"/>
      <c r="E12" s="132" t="n"/>
      <c r="F12" s="132" t="n"/>
      <c r="G12" s="132" t="n"/>
      <c r="H12" s="132" t="n"/>
      <c r="I12" s="132" t="n"/>
      <c r="J12" s="132" t="n"/>
      <c r="K12" s="132" t="n"/>
      <c r="L12" s="133" t="n"/>
      <c r="M12" s="134" t="n"/>
    </row>
    <row r="13" ht="19.5" customHeight="1" s="186">
      <c r="B13" s="124" t="n"/>
      <c r="C13" s="125" t="n"/>
      <c r="D13" s="126" t="n"/>
      <c r="E13" s="127" t="n"/>
      <c r="F13" s="127" t="n"/>
      <c r="G13" s="127" t="n"/>
      <c r="H13" s="127" t="n"/>
      <c r="I13" s="127" t="n"/>
      <c r="J13" s="127" t="n"/>
      <c r="K13" s="127" t="n"/>
      <c r="L13" s="128" t="n"/>
      <c r="M13" s="129" t="n"/>
    </row>
    <row r="14" ht="19.5" customHeight="1" s="186">
      <c r="B14" s="124" t="n"/>
      <c r="C14" s="130" t="n"/>
      <c r="D14" s="131" t="n"/>
      <c r="E14" s="132" t="n"/>
      <c r="F14" s="132" t="n"/>
      <c r="G14" s="132" t="n"/>
      <c r="H14" s="132" t="n"/>
      <c r="I14" s="132" t="n"/>
      <c r="J14" s="132" t="n"/>
      <c r="K14" s="132" t="n"/>
      <c r="L14" s="133" t="n"/>
      <c r="M14" s="134" t="n"/>
    </row>
    <row r="15" ht="19.5" customHeight="1" s="186">
      <c r="B15" s="124" t="n"/>
      <c r="C15" s="125" t="n"/>
      <c r="D15" s="126" t="n"/>
      <c r="E15" s="127" t="n"/>
      <c r="F15" s="127" t="n"/>
      <c r="G15" s="127" t="n"/>
      <c r="H15" s="127" t="n"/>
      <c r="I15" s="127" t="n"/>
      <c r="J15" s="127" t="n"/>
      <c r="K15" s="127" t="n"/>
      <c r="L15" s="128" t="n"/>
      <c r="M15" s="129" t="n"/>
    </row>
    <row r="16" ht="21.75" customHeight="1" s="186">
      <c r="B16" s="124" t="n"/>
      <c r="C16" s="267" t="n"/>
      <c r="D16" s="267" t="n"/>
      <c r="E16" s="267" t="n"/>
      <c r="F16" s="267" t="n"/>
      <c r="G16" s="267" t="n"/>
      <c r="H16" s="267" t="n"/>
      <c r="I16" s="267" t="n"/>
      <c r="J16" s="267" t="n"/>
      <c r="K16" s="268" t="n"/>
      <c r="L16" s="133" t="n"/>
      <c r="M16" s="134" t="n"/>
    </row>
    <row r="17">
      <c r="B17" s="263" t="n"/>
      <c r="C17" s="203" t="n"/>
      <c r="D17" s="203" t="n"/>
      <c r="E17" s="203" t="n"/>
      <c r="F17" s="203" t="n"/>
      <c r="G17" s="203" t="n"/>
      <c r="H17" s="203" t="n"/>
      <c r="I17" s="203" t="n"/>
      <c r="J17" s="203" t="n"/>
      <c r="K17" s="203" t="n"/>
      <c r="L17" s="135" t="n"/>
      <c r="M17" s="136" t="n"/>
    </row>
    <row r="18" ht="7.5" customHeight="1" s="186"/>
    <row r="19" ht="19.5" customHeight="1" s="186"/>
    <row r="20" ht="27.75" customHeight="1" s="186">
      <c r="B20" s="217" t="inlineStr">
        <is>
          <t xml:space="preserve">  MONTHLY PAYROLL PROJECTION</t>
        </is>
      </c>
      <c r="C20" s="189" t="n"/>
      <c r="D20" s="189" t="n"/>
      <c r="E20" s="189" t="n"/>
      <c r="F20" s="189" t="n"/>
      <c r="G20" s="189" t="n"/>
      <c r="H20" s="189" t="n"/>
      <c r="I20" s="189" t="n"/>
      <c r="J20" s="189" t="n"/>
      <c r="K20" s="189" t="n"/>
      <c r="L20" s="189" t="n"/>
      <c r="M20" s="189" t="n"/>
    </row>
    <row r="21" ht="18" customHeight="1" s="186">
      <c r="B21" s="199" t="inlineStr">
        <is>
          <t>Staff Name</t>
        </is>
      </c>
      <c r="C21" s="199" t="inlineStr">
        <is>
          <t>Role</t>
        </is>
      </c>
      <c r="D21" s="199" t="inlineStr">
        <is>
          <t>Week Pay ($)</t>
        </is>
      </c>
      <c r="E21" s="199" t="inlineStr">
        <is>
          <t>x Weeks/Month</t>
        </is>
      </c>
      <c r="F21" s="199" t="inlineStr">
        <is>
          <t>Monthly ($)</t>
        </is>
      </c>
      <c r="G21" s="199" t="inlineStr">
        <is>
          <t>IMSS / Benefits %</t>
        </is>
      </c>
      <c r="H21" s="199" t="inlineStr">
        <is>
          <t>Total Monthly Cost ($)</t>
        </is>
      </c>
      <c r="I21" s="199" t="inlineStr">
        <is>
          <t>Notes</t>
        </is>
      </c>
    </row>
    <row r="22" ht="18" customHeight="1" s="186">
      <c r="B22" s="137">
        <f>B8</f>
        <v/>
      </c>
      <c r="C22" s="219" t="inlineStr">
        <is>
          <t>Head Chef</t>
        </is>
      </c>
      <c r="D22" s="138">
        <f>M8</f>
        <v/>
      </c>
      <c r="E22" s="139" t="n">
        <v>4</v>
      </c>
      <c r="F22" s="140">
        <f>D21*E21</f>
        <v/>
      </c>
      <c r="G22" s="141" t="n">
        <v>0.08</v>
      </c>
      <c r="H22" s="142">
        <f>F21*(1+G21)</f>
        <v/>
      </c>
      <c r="I22" s="116" t="n"/>
    </row>
    <row r="23" ht="18" customHeight="1" s="186">
      <c r="B23" s="143">
        <f>B9</f>
        <v/>
      </c>
      <c r="C23" s="202" t="inlineStr">
        <is>
          <t>Sous Chef</t>
        </is>
      </c>
      <c r="D23" s="144">
        <f>M9</f>
        <v/>
      </c>
      <c r="E23" s="145" t="n">
        <v>4</v>
      </c>
      <c r="F23" s="146">
        <f>D22*E22</f>
        <v/>
      </c>
      <c r="G23" s="147" t="n">
        <v>0.08</v>
      </c>
      <c r="H23" s="148">
        <f>F22*(1+G22)</f>
        <v/>
      </c>
      <c r="I23" s="123" t="n"/>
    </row>
    <row r="24" ht="18" customHeight="1" s="186">
      <c r="B24" s="137">
        <f>B10</f>
        <v/>
      </c>
      <c r="C24" s="219" t="inlineStr">
        <is>
          <t>Waiter 1</t>
        </is>
      </c>
      <c r="D24" s="138">
        <f>M10</f>
        <v/>
      </c>
      <c r="E24" s="139" t="n">
        <v>4</v>
      </c>
      <c r="F24" s="140">
        <f>D23*E23</f>
        <v/>
      </c>
      <c r="G24" s="141" t="n">
        <v>0.08</v>
      </c>
      <c r="H24" s="142">
        <f>F23*(1+G23)</f>
        <v/>
      </c>
      <c r="I24" s="116" t="n"/>
    </row>
    <row r="25" ht="18" customHeight="1" s="186">
      <c r="B25" s="143">
        <f>B11</f>
        <v/>
      </c>
      <c r="C25" s="202" t="inlineStr">
        <is>
          <t>Waiter 2</t>
        </is>
      </c>
      <c r="D25" s="144">
        <f>M11</f>
        <v/>
      </c>
      <c r="E25" s="145" t="n">
        <v>4</v>
      </c>
      <c r="F25" s="146">
        <f>D24*E24</f>
        <v/>
      </c>
      <c r="G25" s="147" t="n">
        <v>0.08</v>
      </c>
      <c r="H25" s="148">
        <f>F24*(1+G24)</f>
        <v/>
      </c>
      <c r="I25" s="123" t="n"/>
    </row>
    <row r="26" ht="18" customHeight="1" s="186">
      <c r="B26" s="137">
        <f>B12</f>
        <v/>
      </c>
      <c r="C26" s="219" t="inlineStr">
        <is>
          <t>Barista</t>
        </is>
      </c>
      <c r="D26" s="138">
        <f>M12</f>
        <v/>
      </c>
      <c r="E26" s="139" t="n">
        <v>4</v>
      </c>
      <c r="F26" s="140">
        <f>D25*E25</f>
        <v/>
      </c>
      <c r="G26" s="141" t="n">
        <v>0.08</v>
      </c>
      <c r="H26" s="142">
        <f>F25*(1+G25)</f>
        <v/>
      </c>
      <c r="I26" s="116" t="n"/>
    </row>
    <row r="27" ht="18" customHeight="1" s="186">
      <c r="B27" s="143">
        <f>B13</f>
        <v/>
      </c>
      <c r="C27" s="202" t="inlineStr">
        <is>
          <t>Cashier</t>
        </is>
      </c>
      <c r="D27" s="144">
        <f>M13</f>
        <v/>
      </c>
      <c r="E27" s="145" t="n">
        <v>4</v>
      </c>
      <c r="F27" s="146">
        <f>D26*E26</f>
        <v/>
      </c>
      <c r="G27" s="147" t="n">
        <v>0.08</v>
      </c>
      <c r="H27" s="148">
        <f>F26*(1+G26)</f>
        <v/>
      </c>
      <c r="I27" s="123" t="n"/>
    </row>
    <row r="28" ht="18" customHeight="1" s="186">
      <c r="B28" s="137">
        <f>B14</f>
        <v/>
      </c>
      <c r="C28" s="219" t="inlineStr">
        <is>
          <t>Kitchen Helper</t>
        </is>
      </c>
      <c r="D28" s="138">
        <f>M14</f>
        <v/>
      </c>
      <c r="E28" s="139" t="n">
        <v>4</v>
      </c>
      <c r="F28" s="140">
        <f>D27*E27</f>
        <v/>
      </c>
      <c r="G28" s="141" t="n">
        <v>0.08</v>
      </c>
      <c r="H28" s="142">
        <f>F27*(1+G27)</f>
        <v/>
      </c>
      <c r="I28" s="116" t="n"/>
    </row>
    <row r="29" ht="21.75" customHeight="1" s="186">
      <c r="B29" s="143">
        <f>B15</f>
        <v/>
      </c>
      <c r="C29" s="203" t="n"/>
      <c r="D29" s="203" t="n"/>
      <c r="E29" s="203" t="n"/>
      <c r="F29" s="203" t="n"/>
      <c r="G29" s="200" t="n"/>
      <c r="H29" s="148">
        <f>F28*(1+G28)</f>
        <v/>
      </c>
      <c r="I29" s="123" t="n"/>
    </row>
    <row r="30">
      <c r="B30" s="264" t="inlineStr">
        <is>
          <t>TOTAL MONTHLY PAYROLL COST</t>
        </is>
      </c>
      <c r="C30" s="203" t="n"/>
      <c r="D30" s="203" t="n"/>
      <c r="E30" s="203" t="n"/>
      <c r="F30" s="203" t="n"/>
      <c r="G30" s="200" t="n"/>
      <c r="H30" s="136">
        <f>SUM(H21:H28)</f>
        <v/>
      </c>
    </row>
    <row r="32"/>
    <row r="33">
      <c r="B33" t="inlineStr">
        <is>
          <t>── WEEKLY FIXED COSTS &amp; BREAK-EVEN TARGETS ──</t>
        </is>
      </c>
    </row>
    <row r="34">
      <c r="B34" t="inlineStr">
        <is>
          <t>COST ITEM</t>
        </is>
      </c>
      <c r="C34" t="inlineStr">
        <is>
          <t>WEEKLY ($)</t>
        </is>
      </c>
      <c r="D34" t="inlineStr">
        <is>
          <t>MONTHLY EST. ($)</t>
        </is>
      </c>
      <c r="E34" t="inlineStr">
        <is>
          <t>NOTES</t>
        </is>
      </c>
    </row>
    <row r="35">
      <c r="B35" t="inlineStr">
        <is>
          <t>John — Head Chef Salary</t>
        </is>
      </c>
      <c r="C35" t="n">
        <v>3750</v>
      </c>
      <c r="D35" t="n">
        <v>15000</v>
      </c>
      <c r="E35" t="inlineStr">
        <is>
          <t>Confirmed weekly rate</t>
        </is>
      </c>
    </row>
    <row r="36">
      <c r="B36" t="inlineStr">
        <is>
          <t>Debi — Limpieza Salary</t>
        </is>
      </c>
      <c r="C36" t="n">
        <v>1500</v>
      </c>
      <c r="D36" t="n">
        <v>6000</v>
      </c>
      <c r="E36" t="inlineStr">
        <is>
          <t>Confirmed weekly rate</t>
        </is>
      </c>
    </row>
    <row r="37">
      <c r="B37" t="inlineStr">
        <is>
          <t>Rent + Maintenance (actual — $20,000/mo)</t>
        </is>
      </c>
      <c r="C37" t="n">
        <v>5000</v>
      </c>
      <c r="D37" t="n">
        <v>20000</v>
      </c>
      <c r="E37" t="inlineStr">
        <is>
          <t>Confirmed — $20,000/month actual</t>
        </is>
      </c>
    </row>
    <row r="38">
      <c r="B38" t="inlineStr">
        <is>
          <t>Utilities — Electricity + Gas (estimated)</t>
        </is>
      </c>
      <c r="C38" t="n">
        <v>1000</v>
      </c>
      <c r="D38" t="n">
        <v>4000</v>
      </c>
      <c r="E38" t="inlineStr">
        <is>
          <t>⏳ Approx — bills pending · electricity + gas</t>
        </is>
      </c>
    </row>
    <row r="39">
      <c r="B39" t="inlineStr">
        <is>
          <t>TOTAL FIXED COSTS (current)</t>
        </is>
      </c>
      <c r="C39">
        <f>SUM(C34:C37)</f>
        <v/>
      </c>
      <c r="D39">
        <f>SUM(D34:D37)</f>
        <v/>
      </c>
      <c r="E39" t="inlineStr">
        <is>
          <t>Before ingredients &amp; supplies</t>
        </is>
      </c>
    </row>
    <row r="40"/>
    <row r="41">
      <c r="B41" t="inlineStr">
        <is>
          <t>── WITH MESERO / WAITER — ✅ JUDITH HIRED (1 Jun 2026) ──</t>
        </is>
      </c>
    </row>
    <row r="42">
      <c r="B42" t="inlineStr">
        <is>
          <t>Judith — Mesera Salary</t>
        </is>
      </c>
      <c r="C42" t="n">
        <v>2000</v>
      </c>
      <c r="D42" t="n">
        <v>8000</v>
      </c>
      <c r="E42" t="inlineStr">
        <is>
          <t>Confirmed — $2,000/week · $333.33/day · absent days deducted</t>
        </is>
      </c>
    </row>
    <row r="43">
      <c r="B43" t="inlineStr">
        <is>
          <t>With Judith — Mesera (✅ ACTIVE from 1 Jun)</t>
        </is>
      </c>
      <c r="C43" t="n">
        <v>13250</v>
      </c>
      <c r="D43" t="inlineStr"/>
      <c r="E43" t="n">
        <v>23750</v>
      </c>
      <c r="F43" t="n">
        <v>3959</v>
      </c>
      <c r="H43" t="inlineStr">
        <is>
          <t>✅ NOW ACTIVE — current avg $4,011/day vs break-even $3959/day</t>
        </is>
      </c>
    </row>
    <row r="45">
      <c r="B45" t="inlineStr">
        <is>
          <t>── BREAK-EVEN &amp; WEEKLY REVENUE TARGETS ──</t>
        </is>
      </c>
    </row>
    <row r="46">
      <c r="B46" t="inlineStr">
        <is>
          <t>SCENARIO</t>
        </is>
      </c>
      <c r="C46" t="inlineStr">
        <is>
          <t>Fixed Costs ($)</t>
        </is>
      </c>
      <c r="D46" t="inlineStr">
        <is>
          <t>Avg Variable Costs ($)</t>
        </is>
      </c>
      <c r="E46" t="inlineStr">
        <is>
          <t>MIN Weekly Revenue ($)</t>
        </is>
      </c>
      <c r="F46" t="inlineStr">
        <is>
          <t>MIN Daily Revenue ($)</t>
        </is>
      </c>
      <c r="G46" t="inlineStr">
        <is>
          <t>Current Avg/Day ($)</t>
        </is>
      </c>
      <c r="H46" t="inlineStr">
        <is>
          <t>STATUS</t>
        </is>
      </c>
    </row>
    <row r="47">
      <c r="B47" t="inlineStr">
        <is>
          <t>Without Mesero (NOW)</t>
        </is>
      </c>
      <c r="C47" t="n">
        <v>11250</v>
      </c>
      <c r="D47" t="n">
        <v>10500</v>
      </c>
      <c r="E47" t="n">
        <v>21750</v>
      </c>
      <c r="F47" t="n">
        <v>3625</v>
      </c>
      <c r="G47" t="n">
        <v>4011</v>
      </c>
      <c r="H47" t="inlineStr">
        <is>
          <t>✅ Above break-even — revised down from $3,792 → $3,625/day</t>
        </is>
      </c>
    </row>
    <row r="48">
      <c r="B48" t="inlineStr">
        <is>
          <t>With Mesero (~$2,250)</t>
        </is>
      </c>
      <c r="C48" t="n">
        <v>13500</v>
      </c>
      <c r="D48" t="n">
        <v>10500</v>
      </c>
      <c r="E48" t="n">
        <v>24000</v>
      </c>
      <c r="F48" t="n">
        <v>4000</v>
      </c>
      <c r="G48" t="n">
        <v>4011</v>
      </c>
      <c r="H48" t="inlineStr">
        <is>
          <t>⚠️ Still below — need +$-11/day when mesero hired</t>
        </is>
      </c>
    </row>
    <row r="49">
      <c r="B49" t="inlineStr">
        <is>
          <t>Safety buffer (+15%)</t>
        </is>
      </c>
      <c r="C49" t="n">
        <v>11250</v>
      </c>
      <c r="D49" t="n">
        <v>10500</v>
      </c>
      <c r="E49" t="n">
        <v>25012</v>
      </c>
      <c r="F49" t="n">
        <v>4169</v>
      </c>
      <c r="G49" t="n">
        <v>4011</v>
      </c>
      <c r="H49" t="inlineStr">
        <is>
          <t>Target for healthy buffer: $4,169/day</t>
        </is>
      </c>
    </row>
    <row r="51">
      <c r="B51" t="inlineStr">
        <is>
          <t>NOTES:</t>
        </is>
      </c>
    </row>
    <row r="52">
      <c r="B52" t="inlineStr">
        <is>
          <t>Variable costs = avg ingredients + supplies per week based on Weeks 1-2 actual data (~$10,500)</t>
        </is>
      </c>
    </row>
    <row r="53">
      <c r="B53" t="inlineStr">
        <is>
          <t>Break-even revised: Rent+Maintenance confirmed $20,000/mo · Utilities est. $4,000/mo → Total overhead $24,000/mo</t>
        </is>
      </c>
    </row>
    <row r="54">
      <c r="B54" t="inlineStr">
        <is>
          <t>Min daily (no mesero): $3,625 · With mesero: $4,000 · Comfortable target: $4,169+/day</t>
        </is>
      </c>
    </row>
    <row r="55">
      <c r="B55" t="inlineStr">
        <is>
          <t>Utilities (electricity+gas) ~$4,000/mo is ESTIMATED — update when bills arrive</t>
        </is>
      </c>
    </row>
    <row r="59">
      <c r="B59" t="inlineStr">
        <is>
          <t>── LOHITH PERSONAL LEDGER — OWNER BALANCE TRACKER ──</t>
        </is>
      </c>
    </row>
    <row r="60">
      <c r="B60" t="inlineStr">
        <is>
          <t>Date</t>
        </is>
      </c>
      <c r="C60" t="inlineStr">
        <is>
          <t>Description</t>
        </is>
      </c>
      <c r="D60" t="inlineStr">
        <is>
          <t>Type</t>
        </is>
      </c>
      <c r="E60" t="inlineStr">
        <is>
          <t>Spent by Lohith ($)</t>
        </is>
      </c>
      <c r="F60" t="inlineStr">
        <is>
          <t>Transferred to Lohith ($)</t>
        </is>
      </c>
      <c r="G60" t="inlineStr">
        <is>
          <t>Running Balance ($)</t>
        </is>
      </c>
      <c r="H60" t="inlineStr">
        <is>
          <t>Status</t>
        </is>
      </c>
      <c r="I60" t="inlineStr">
        <is>
          <t>Notes</t>
        </is>
      </c>
    </row>
    <row r="61">
      <c r="B61" s="184" t="n">
        <v>46174</v>
      </c>
      <c r="C61" t="inlineStr">
        <is>
          <t>Telmex Internet Bill (Mayo)</t>
        </is>
      </c>
      <c r="D61" t="inlineStr">
        <is>
          <t>Expense - Personal</t>
        </is>
      </c>
      <c r="E61" t="n">
        <v>349</v>
      </c>
      <c r="G61">
        <f>IFERROR(E59-F59,0)</f>
        <v/>
      </c>
      <c r="H61" t="inlineStr">
        <is>
          <t>⏳ Reimburse</t>
        </is>
      </c>
      <c r="I61" t="inlineStr">
        <is>
          <t>Paid by Lohith — ⏳ Reimburse</t>
        </is>
      </c>
    </row>
    <row r="62">
      <c r="B62" s="184" t="n">
        <v>46174</v>
      </c>
      <c r="C62" t="inlineStr">
        <is>
          <t>Customer Transfer — Jun 1</t>
        </is>
      </c>
      <c r="D62" t="inlineStr">
        <is>
          <t>Transfer Received</t>
        </is>
      </c>
      <c r="F62" t="n">
        <v>310</v>
      </c>
      <c r="G62">
        <f>IFERROR(G59+E60-F60,0)</f>
        <v/>
      </c>
      <c r="H62" t="inlineStr">
        <is>
          <t>✅</t>
        </is>
      </c>
      <c r="I62" t="inlineStr">
        <is>
          <t>✅ Received in Lohith account</t>
        </is>
      </c>
    </row>
    <row r="63">
      <c r="B63" s="184" t="n">
        <v>46175</v>
      </c>
      <c r="C63" t="inlineStr">
        <is>
          <t>Customer Transfer — Jun 2</t>
        </is>
      </c>
      <c r="D63" t="inlineStr">
        <is>
          <t>Transfer Received</t>
        </is>
      </c>
      <c r="F63" t="n">
        <v>283</v>
      </c>
      <c r="G63">
        <f>IFERROR(G60+E61-F61,0)</f>
        <v/>
      </c>
      <c r="H63" t="inlineStr">
        <is>
          <t>✅</t>
        </is>
      </c>
      <c r="I63" t="inlineStr">
        <is>
          <t>✅ Received in Lohith account</t>
        </is>
      </c>
    </row>
    <row r="64">
      <c r="B64" s="184" t="n">
        <v>46176</v>
      </c>
      <c r="C64" t="inlineStr">
        <is>
          <t>Customer Transfer — Jun 3</t>
        </is>
      </c>
      <c r="D64" t="inlineStr">
        <is>
          <t>Transfer Received</t>
        </is>
      </c>
      <c r="F64" t="n">
        <v>120</v>
      </c>
      <c r="G64">
        <f>IFERROR(G61+E62-F62,0)</f>
        <v/>
      </c>
      <c r="H64" t="inlineStr">
        <is>
          <t>✅</t>
        </is>
      </c>
      <c r="I64" t="inlineStr">
        <is>
          <t>✅ Received in Lohith account</t>
        </is>
      </c>
    </row>
    <row r="65">
      <c r="B65" s="184" t="n">
        <v>46177</v>
      </c>
      <c r="C65" t="inlineStr">
        <is>
          <t>Personal expenses — Huevos, Ajonjoli, Verduras</t>
        </is>
      </c>
      <c r="D65" t="inlineStr">
        <is>
          <t>Expense - Personal</t>
        </is>
      </c>
      <c r="E65" t="n">
        <v>358</v>
      </c>
      <c r="G65">
        <f>IFERROR(G62+E63-F63,0)</f>
        <v/>
      </c>
      <c r="H65" t="inlineStr">
        <is>
          <t>⏳ Reimburse</t>
        </is>
      </c>
      <c r="I65" t="inlineStr">
        <is>
          <t>$69 Huevos + $44 Ajonjoli Blanco + $45 Ajonjoli Negro + $200 Verduras</t>
        </is>
      </c>
    </row>
    <row r="66">
      <c r="B66" s="266" t="n">
        <v>46177</v>
      </c>
      <c r="C66" t="inlineStr">
        <is>
          <t>Cash settlement — $6 added to restaurant</t>
        </is>
      </c>
      <c r="D66" t="inlineStr">
        <is>
          <t>Expense - Personal</t>
        </is>
      </c>
      <c r="E66" t="n">
        <v>6</v>
      </c>
      <c r="G66">
        <f>IFERROR(G63+E64-F64,0)</f>
        <v/>
      </c>
      <c r="H66" t="inlineStr">
        <is>
          <t>✅ Settled</t>
        </is>
      </c>
      <c r="I66" t="inlineStr">
        <is>
          <t>Lohith added $6 cash to restaurant — balance now ZERO</t>
        </is>
      </c>
    </row>
    <row r="67">
      <c r="B67" t="inlineStr">
        <is>
          <t>TOTALS &amp; CURRENT BALANCE</t>
        </is>
      </c>
      <c r="E67">
        <f>SUM(E59:E62)</f>
        <v/>
      </c>
      <c r="F67">
        <f>SUM(F59:F62)</f>
        <v/>
      </c>
      <c r="G67">
        <f>G64</f>
        <v/>
      </c>
      <c r="H67">
        <f>IF(G62&gt;0,"⏳ Restaurant owes Lohith",IF(G62&lt;0,"💵 Lohith holds restaurant funds","✅ Zero balance"))</f>
        <v/>
      </c>
    </row>
    <row r="69">
      <c r="B69" t="inlineStr">
        <is>
          <t>HOW TO USE:</t>
        </is>
      </c>
    </row>
    <row r="70">
      <c r="B70" t="inlineStr">
        <is>
          <t>Add new rows above TOTALS. Spent by Lohith = restaurant expenses he paid personally.</t>
        </is>
      </c>
    </row>
    <row r="71">
      <c r="B71" t="inlineStr">
        <is>
          <t>Transferred to Lohith = customer bank transfers received in his personal account.</t>
        </is>
      </c>
    </row>
    <row r="72">
      <c r="B72" t="inlineStr">
        <is>
          <t>Positive balance = restaurant owes Lohith. Negative = Lohith holds restaurant funds.</t>
        </is>
      </c>
    </row>
  </sheetData>
  <mergeCells count="8">
    <mergeCell ref="A2:F2"/>
    <mergeCell ref="B19:M19"/>
    <mergeCell ref="A3:M3"/>
    <mergeCell ref="B16:K16"/>
    <mergeCell ref="G2:M2"/>
    <mergeCell ref="B6:D6"/>
    <mergeCell ref="B29:G29"/>
    <mergeCell ref="E6:M6"/>
  </mergeCells>
  <dataValidations count="1">
    <dataValidation sqref="E8:K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186" min="1" max="1"/>
    <col width="14" customWidth="1" style="186" min="2" max="2"/>
    <col width="22" customWidth="1" style="186" min="3" max="3"/>
    <col width="20" customWidth="1" style="186" min="4" max="4"/>
    <col width="12" customWidth="1" style="186" min="5" max="5"/>
    <col width="10" customWidth="1" style="186" min="6" max="6"/>
    <col width="12" customWidth="1" style="186" min="7" max="7"/>
    <col width="14" customWidth="1" style="186" min="8" max="9"/>
    <col width="18" customWidth="1" style="186" min="10" max="10"/>
    <col width="16" customWidth="1" style="186" min="11" max="11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6">
      <c r="A2" s="187" t="inlineStr">
        <is>
          <t>🚚  LOKA — SUPPLIER ORDERS</t>
        </is>
      </c>
      <c r="F2" s="185" t="inlineStr">
        <is>
          <t>Track purchase orders from suppliers</t>
        </is>
      </c>
    </row>
    <row r="3" ht="3.75" customHeight="1" s="186">
      <c r="A3" s="190" t="n"/>
    </row>
    <row r="4" ht="7.5" customHeight="1" s="186"/>
    <row r="5" ht="18" customHeight="1" s="186">
      <c r="B5" s="86" t="inlineStr">
        <is>
          <t>TOTAL ORDERS</t>
        </is>
      </c>
      <c r="C5" s="86" t="inlineStr">
        <is>
          <t>PENDING</t>
        </is>
      </c>
      <c r="D5" s="86" t="inlineStr">
        <is>
          <t>IN TRANSIT</t>
        </is>
      </c>
      <c r="E5" s="86" t="inlineStr">
        <is>
          <t>RECEIVED</t>
        </is>
      </c>
      <c r="F5" s="86" t="inlineStr">
        <is>
          <t>MONTH SPEND</t>
        </is>
      </c>
      <c r="G5" s="86" t="inlineStr">
        <is>
          <t>PENDING VALUE</t>
        </is>
      </c>
      <c r="H5" s="86" t="inlineStr">
        <is>
          <t>PENDING COUNT</t>
        </is>
      </c>
    </row>
    <row r="6" ht="25.5" customHeight="1" s="186">
      <c r="B6" s="106">
        <f>COUNTA(C9:C308)-1</f>
        <v/>
      </c>
      <c r="C6" s="149">
        <f>COUNTIF(K9:K308,"Pending")</f>
        <v/>
      </c>
      <c r="D6" s="150">
        <f>COUNTIF(K9:K308,"In Transit")</f>
        <v/>
      </c>
      <c r="E6" s="151">
        <f>COUNTIF(K9:K308,"Received")</f>
        <v/>
      </c>
      <c r="F6" s="152">
        <f>SUMIF(K9:K308,"Received",J9:J308)</f>
        <v/>
      </c>
      <c r="G6" s="88">
        <f>SUMIF(K9:K308,"Pending",J9:J308)</f>
        <v/>
      </c>
      <c r="H6" s="149">
        <f>COUNTIF(K9:K308,"Pending")+COUNTIF(K9:K308,"In Transit")</f>
        <v/>
      </c>
    </row>
    <row r="7" ht="7.5" customHeight="1" s="186"/>
    <row r="8" ht="19.5" customHeight="1" s="186">
      <c r="B8" s="262" t="n"/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</row>
    <row r="9" ht="27.75" customHeight="1" s="186">
      <c r="B9" s="199" t="n"/>
      <c r="C9" s="199" t="n"/>
      <c r="D9" s="199" t="n"/>
      <c r="E9" s="199" t="n"/>
      <c r="F9" s="199" t="n"/>
      <c r="G9" s="199" t="n"/>
      <c r="H9" s="199" t="n"/>
      <c r="I9" s="199" t="n"/>
      <c r="J9" s="199" t="n"/>
      <c r="K9" s="199" t="n"/>
    </row>
    <row r="10" ht="15.75" customHeight="1" s="186">
      <c r="B10" s="91" t="n"/>
      <c r="C10" s="93" t="n"/>
      <c r="D10" s="92" t="n"/>
      <c r="E10" s="92" t="n"/>
      <c r="F10" s="153" t="n"/>
      <c r="G10" s="41" t="n"/>
      <c r="H10" s="154" t="n"/>
      <c r="I10" s="155" t="n"/>
      <c r="J10" s="156" t="n"/>
      <c r="K10" s="115" t="n"/>
    </row>
    <row r="11" ht="15.75" customHeight="1" s="186">
      <c r="B11" s="91" t="n"/>
      <c r="C11" s="95" t="n"/>
      <c r="D11" s="96" t="n"/>
      <c r="E11" s="96" t="n"/>
      <c r="F11" s="157" t="n"/>
      <c r="G11" s="50" t="n"/>
      <c r="H11" s="158" t="n"/>
      <c r="I11" s="159" t="n"/>
      <c r="J11" s="160" t="n"/>
      <c r="K11" s="122" t="n"/>
    </row>
    <row r="12" ht="15.75" customHeight="1" s="186">
      <c r="B12" s="91" t="n"/>
      <c r="C12" s="93" t="n"/>
      <c r="D12" s="92" t="n"/>
      <c r="E12" s="92" t="n"/>
      <c r="F12" s="153" t="n"/>
      <c r="G12" s="41" t="n"/>
      <c r="H12" s="154" t="n"/>
      <c r="I12" s="155" t="n"/>
      <c r="J12" s="156" t="n"/>
      <c r="K12" s="115" t="n"/>
    </row>
    <row r="13" ht="15.75" customHeight="1" s="186">
      <c r="B13" s="91" t="n"/>
      <c r="C13" s="95" t="n"/>
      <c r="D13" s="96" t="n"/>
      <c r="E13" s="96" t="n"/>
      <c r="F13" s="157" t="n"/>
      <c r="G13" s="50" t="n"/>
      <c r="H13" s="158" t="n"/>
      <c r="I13" s="159" t="n"/>
      <c r="J13" s="160" t="n"/>
      <c r="K13" s="122" t="n"/>
    </row>
    <row r="14" ht="15.75" customHeight="1" s="186">
      <c r="B14" s="91" t="n"/>
      <c r="C14" s="93" t="n"/>
      <c r="D14" s="92" t="n"/>
      <c r="E14" s="92" t="n"/>
      <c r="F14" s="153" t="n"/>
      <c r="G14" s="41" t="n"/>
      <c r="H14" s="154" t="n"/>
      <c r="I14" s="155" t="n"/>
      <c r="J14" s="156" t="n"/>
      <c r="K14" s="115" t="n"/>
    </row>
    <row r="15" ht="15.75" customHeight="1" s="186">
      <c r="B15" s="91" t="n"/>
      <c r="C15" s="95" t="n"/>
      <c r="D15" s="96" t="n"/>
      <c r="E15" s="96" t="n"/>
      <c r="F15" s="157" t="n"/>
      <c r="G15" s="50" t="n"/>
      <c r="H15" s="158" t="n"/>
      <c r="I15" s="159" t="n"/>
      <c r="J15" s="160" t="n"/>
      <c r="K15" s="122" t="n"/>
    </row>
    <row r="16" ht="15.75" customHeight="1" s="186">
      <c r="B16" s="91" t="n"/>
      <c r="C16" s="93" t="n"/>
      <c r="D16" s="92" t="n"/>
      <c r="E16" s="92" t="n"/>
      <c r="F16" s="153" t="n"/>
      <c r="G16" s="41" t="n"/>
      <c r="H16" s="154" t="n"/>
      <c r="I16" s="155" t="n"/>
      <c r="J16" s="156" t="n"/>
      <c r="K16" s="115" t="n"/>
    </row>
    <row r="17" ht="15.75" customHeight="1" s="186">
      <c r="B17" s="91" t="n"/>
      <c r="C17" s="95" t="n"/>
      <c r="D17" s="96" t="n"/>
      <c r="E17" s="96" t="n"/>
      <c r="F17" s="157" t="n"/>
      <c r="G17" s="50" t="n"/>
      <c r="H17" s="158" t="n"/>
      <c r="I17" s="159" t="n"/>
      <c r="J17" s="160" t="n"/>
      <c r="K17" s="122" t="n"/>
    </row>
    <row r="18" ht="15.75" customHeight="1" s="186">
      <c r="B18" s="91" t="n"/>
      <c r="C18" s="93" t="n"/>
      <c r="D18" s="92" t="n"/>
      <c r="E18" s="92" t="n"/>
      <c r="F18" s="153" t="n"/>
      <c r="G18" s="41" t="n"/>
      <c r="H18" s="154" t="n"/>
      <c r="I18" s="155" t="n"/>
      <c r="J18" s="156" t="n"/>
      <c r="K18" s="115" t="n"/>
    </row>
    <row r="19" ht="15.75" customHeight="1" s="186">
      <c r="B19" s="91" t="n"/>
      <c r="C19" s="95" t="n"/>
      <c r="D19" s="96" t="n"/>
      <c r="E19" s="96" t="n"/>
      <c r="F19" s="157" t="n"/>
      <c r="G19" s="50" t="n"/>
      <c r="H19" s="158" t="n"/>
      <c r="I19" s="159" t="n"/>
      <c r="J19" s="160" t="n"/>
      <c r="K19" s="122" t="n"/>
    </row>
    <row r="20" ht="15.75" customHeight="1" s="186">
      <c r="B20" s="91" t="n"/>
      <c r="C20" s="93" t="n"/>
      <c r="D20" s="92" t="n"/>
      <c r="E20" s="92" t="n"/>
      <c r="F20" s="153" t="n"/>
      <c r="G20" s="41" t="n"/>
      <c r="H20" s="154" t="n"/>
      <c r="I20" s="155" t="n"/>
      <c r="J20" s="156" t="n"/>
      <c r="K20" s="115" t="n"/>
    </row>
    <row r="21" ht="15.75" customHeight="1" s="186">
      <c r="B21" s="91" t="n"/>
      <c r="C21" s="95" t="n"/>
      <c r="D21" s="96" t="n"/>
      <c r="E21" s="96" t="n"/>
      <c r="F21" s="157" t="n"/>
      <c r="G21" s="50" t="n"/>
      <c r="H21" s="158" t="n"/>
      <c r="I21" s="159" t="n"/>
      <c r="J21" s="160" t="n"/>
      <c r="K21" s="122" t="n"/>
    </row>
    <row r="22" ht="15.75" customHeight="1" s="186">
      <c r="B22" s="91" t="n"/>
      <c r="C22" s="93" t="n"/>
      <c r="D22" s="92" t="n"/>
      <c r="E22" s="92" t="n"/>
      <c r="F22" s="153" t="n"/>
      <c r="G22" s="41" t="n"/>
      <c r="H22" s="154" t="n"/>
      <c r="I22" s="155" t="n"/>
      <c r="J22" s="156" t="n"/>
      <c r="K22" s="115" t="n"/>
    </row>
    <row r="23" ht="15.75" customHeight="1" s="186">
      <c r="B23" s="91" t="n"/>
      <c r="C23" s="95" t="n"/>
      <c r="D23" s="96" t="n"/>
      <c r="E23" s="96" t="n"/>
      <c r="F23" s="157" t="n"/>
      <c r="G23" s="50" t="n"/>
      <c r="H23" s="158" t="n"/>
      <c r="I23" s="159" t="n"/>
      <c r="J23" s="160" t="n"/>
      <c r="K23" s="122" t="n"/>
    </row>
    <row r="24" ht="15.75" customHeight="1" s="186">
      <c r="B24" s="91" t="n"/>
      <c r="C24" s="93" t="n"/>
      <c r="D24" s="92" t="n"/>
      <c r="E24" s="92" t="n"/>
      <c r="F24" s="153" t="n"/>
      <c r="G24" s="41" t="n"/>
      <c r="H24" s="154" t="n"/>
      <c r="I24" s="155" t="n"/>
      <c r="J24" s="156" t="n"/>
      <c r="K24" s="115" t="n"/>
    </row>
    <row r="25" ht="15.75" customHeight="1" s="186">
      <c r="B25" s="91" t="n"/>
      <c r="C25" s="95" t="n"/>
      <c r="D25" s="96" t="n"/>
      <c r="E25" s="96" t="n"/>
      <c r="F25" s="157" t="n"/>
      <c r="G25" s="50" t="n"/>
      <c r="H25" s="158" t="n"/>
      <c r="I25" s="159" t="n"/>
      <c r="J25" s="160" t="n"/>
      <c r="K25" s="122" t="n"/>
    </row>
    <row r="26" ht="15.75" customHeight="1" s="186">
      <c r="B26" s="91" t="n"/>
      <c r="C26" s="93" t="n"/>
      <c r="D26" s="92" t="n"/>
      <c r="E26" s="92" t="n"/>
      <c r="F26" s="153" t="n"/>
      <c r="G26" s="41" t="n"/>
      <c r="H26" s="154" t="n"/>
      <c r="I26" s="155" t="n"/>
      <c r="J26" s="156" t="n"/>
      <c r="K26" s="115" t="n"/>
    </row>
    <row r="27" ht="15.75" customHeight="1" s="186">
      <c r="B27" s="91" t="n"/>
      <c r="C27" s="95" t="n"/>
      <c r="D27" s="96" t="n"/>
      <c r="E27" s="96" t="n"/>
      <c r="F27" s="157" t="n"/>
      <c r="G27" s="50" t="n"/>
      <c r="H27" s="158" t="n"/>
      <c r="I27" s="159" t="n"/>
      <c r="J27" s="160" t="n"/>
      <c r="K27" s="122" t="n"/>
    </row>
    <row r="28" ht="15.75" customHeight="1" s="186">
      <c r="B28" s="91" t="n"/>
      <c r="C28" s="93" t="n"/>
      <c r="D28" s="92" t="n"/>
      <c r="E28" s="92" t="n"/>
      <c r="F28" s="153" t="n"/>
      <c r="G28" s="41" t="n"/>
      <c r="H28" s="154" t="n"/>
      <c r="I28" s="155" t="n"/>
      <c r="J28" s="156" t="n"/>
      <c r="K28" s="115" t="n"/>
    </row>
    <row r="29" ht="15.75" customHeight="1" s="186">
      <c r="B29" s="91" t="n"/>
      <c r="C29" s="95" t="n"/>
      <c r="D29" s="96" t="n"/>
      <c r="E29" s="96" t="n"/>
      <c r="F29" s="157" t="n"/>
      <c r="G29" s="50" t="n"/>
      <c r="H29" s="158" t="n"/>
      <c r="I29" s="159" t="n"/>
      <c r="J29" s="160" t="n"/>
      <c r="K29" s="122" t="n"/>
    </row>
    <row r="30" ht="15.75" customHeight="1" s="186">
      <c r="B30" s="91" t="n"/>
      <c r="C30" s="93" t="n"/>
      <c r="D30" s="92" t="n"/>
      <c r="E30" s="92" t="n"/>
      <c r="F30" s="153" t="n"/>
      <c r="G30" s="41" t="n"/>
      <c r="H30" s="154" t="n"/>
      <c r="I30" s="155" t="n"/>
      <c r="J30" s="156" t="n"/>
      <c r="K30" s="115" t="n"/>
    </row>
    <row r="31" ht="15.75" customHeight="1" s="186">
      <c r="B31" s="91" t="n"/>
      <c r="C31" s="95" t="n"/>
      <c r="D31" s="96" t="n"/>
      <c r="E31" s="96" t="n"/>
      <c r="F31" s="157" t="n"/>
      <c r="G31" s="50" t="n"/>
      <c r="H31" s="158" t="n"/>
      <c r="I31" s="159" t="n"/>
      <c r="J31" s="160" t="n"/>
      <c r="K31" s="122" t="n"/>
    </row>
    <row r="32" ht="15.75" customHeight="1" s="186">
      <c r="B32" s="91" t="n"/>
      <c r="C32" s="93" t="n"/>
      <c r="D32" s="92" t="n"/>
      <c r="E32" s="92" t="n"/>
      <c r="F32" s="153" t="n"/>
      <c r="G32" s="41" t="n"/>
      <c r="H32" s="154" t="n"/>
      <c r="I32" s="155" t="n"/>
      <c r="J32" s="156" t="n"/>
      <c r="K32" s="115" t="n"/>
    </row>
    <row r="33" ht="15.75" customHeight="1" s="186">
      <c r="B33" s="91" t="n"/>
      <c r="C33" s="95" t="n"/>
      <c r="D33" s="96" t="n"/>
      <c r="E33" s="96" t="n"/>
      <c r="F33" s="157" t="n"/>
      <c r="G33" s="50" t="n"/>
      <c r="H33" s="158" t="n"/>
      <c r="I33" s="159" t="n"/>
      <c r="J33" s="160" t="n"/>
      <c r="K33" s="122" t="n"/>
    </row>
    <row r="34" ht="15.75" customHeight="1" s="186">
      <c r="B34" s="91" t="n"/>
      <c r="C34" s="93" t="n"/>
      <c r="D34" s="92" t="n"/>
      <c r="E34" s="92" t="n"/>
      <c r="F34" s="153" t="n"/>
      <c r="G34" s="41" t="n"/>
      <c r="H34" s="154" t="n"/>
      <c r="I34" s="155" t="n"/>
      <c r="J34" s="156" t="n"/>
      <c r="K34" s="115" t="n"/>
    </row>
    <row r="35" ht="15.75" customHeight="1" s="186">
      <c r="B35" s="91" t="n"/>
      <c r="C35" s="95" t="n"/>
      <c r="D35" s="96" t="n"/>
      <c r="E35" s="96" t="n"/>
      <c r="F35" s="157" t="n"/>
      <c r="G35" s="50" t="n"/>
      <c r="H35" s="158" t="n"/>
      <c r="I35" s="159" t="n"/>
      <c r="J35" s="160" t="n"/>
      <c r="K35" s="122" t="n"/>
    </row>
    <row r="36" ht="15.75" customHeight="1" s="186">
      <c r="B36" s="91" t="n"/>
      <c r="C36" s="93" t="n"/>
      <c r="D36" s="92" t="n"/>
      <c r="E36" s="92" t="n"/>
      <c r="F36" s="153" t="n"/>
      <c r="G36" s="41" t="n"/>
      <c r="H36" s="154" t="n"/>
      <c r="I36" s="155" t="n"/>
      <c r="J36" s="156" t="n"/>
      <c r="K36" s="115" t="n"/>
    </row>
    <row r="37" ht="15.75" customHeight="1" s="186">
      <c r="B37" s="91" t="n"/>
      <c r="C37" s="95" t="n"/>
      <c r="D37" s="96" t="n"/>
      <c r="E37" s="96" t="n"/>
      <c r="F37" s="157" t="n"/>
      <c r="G37" s="50" t="n"/>
      <c r="H37" s="158" t="n"/>
      <c r="I37" s="159" t="n"/>
      <c r="J37" s="160" t="n"/>
      <c r="K37" s="122" t="n"/>
    </row>
    <row r="38" ht="15.75" customHeight="1" s="186">
      <c r="B38" s="91" t="n"/>
      <c r="C38" s="93" t="n"/>
      <c r="D38" s="92" t="n"/>
      <c r="E38" s="92" t="n"/>
      <c r="F38" s="153" t="n"/>
      <c r="G38" s="41" t="n"/>
      <c r="H38" s="154" t="n"/>
      <c r="I38" s="155" t="n"/>
      <c r="J38" s="156" t="n"/>
      <c r="K38" s="115" t="n"/>
    </row>
    <row r="39" ht="15.75" customHeight="1" s="186">
      <c r="B39" s="91" t="n"/>
      <c r="C39" s="95" t="n"/>
      <c r="D39" s="96" t="n"/>
      <c r="E39" s="96" t="n"/>
      <c r="F39" s="157" t="n"/>
      <c r="G39" s="50" t="n"/>
      <c r="H39" s="158" t="n"/>
      <c r="I39" s="159" t="n"/>
      <c r="J39" s="160" t="n"/>
      <c r="K39" s="122" t="n"/>
    </row>
    <row r="40" ht="15.75" customHeight="1" s="186">
      <c r="B40" s="91" t="n"/>
      <c r="C40" s="93" t="n"/>
      <c r="D40" s="92" t="n"/>
      <c r="E40" s="92" t="n"/>
      <c r="F40" s="153" t="n"/>
      <c r="G40" s="41" t="n"/>
      <c r="H40" s="154" t="n"/>
      <c r="I40" s="155" t="n"/>
      <c r="J40" s="156" t="n"/>
      <c r="K40" s="115" t="n"/>
    </row>
    <row r="41" ht="15.75" customHeight="1" s="186">
      <c r="B41" s="91" t="n"/>
      <c r="C41" s="95" t="n"/>
      <c r="D41" s="96" t="n"/>
      <c r="E41" s="96" t="n"/>
      <c r="F41" s="157" t="n"/>
      <c r="G41" s="50" t="n"/>
      <c r="H41" s="158" t="n"/>
      <c r="I41" s="159" t="n"/>
      <c r="J41" s="160" t="n"/>
      <c r="K41" s="122" t="n"/>
    </row>
    <row r="42" ht="15.75" customHeight="1" s="186">
      <c r="B42" s="91" t="n"/>
      <c r="C42" s="93" t="n"/>
      <c r="D42" s="92" t="n"/>
      <c r="E42" s="92" t="n"/>
      <c r="F42" s="153" t="n"/>
      <c r="G42" s="41" t="n"/>
      <c r="H42" s="154" t="n"/>
      <c r="I42" s="155" t="n"/>
      <c r="J42" s="156" t="n"/>
      <c r="K42" s="115" t="n"/>
    </row>
    <row r="43" ht="15.75" customHeight="1" s="186">
      <c r="B43" s="91" t="n"/>
      <c r="C43" s="95" t="n"/>
      <c r="D43" s="96" t="n"/>
      <c r="E43" s="96" t="n"/>
      <c r="F43" s="157" t="n"/>
      <c r="G43" s="50" t="n"/>
      <c r="H43" s="158" t="n"/>
      <c r="I43" s="159" t="n"/>
      <c r="J43" s="160" t="n"/>
      <c r="K43" s="122" t="n"/>
    </row>
    <row r="44" ht="15.75" customHeight="1" s="186">
      <c r="B44" s="91" t="n"/>
      <c r="C44" s="93" t="n"/>
      <c r="D44" s="92" t="n"/>
      <c r="E44" s="92" t="n"/>
      <c r="F44" s="153" t="n"/>
      <c r="G44" s="41" t="n"/>
      <c r="H44" s="154" t="n"/>
      <c r="I44" s="155" t="n"/>
      <c r="J44" s="156" t="n"/>
      <c r="K44" s="115" t="n"/>
    </row>
    <row r="45" ht="15.75" customHeight="1" s="186">
      <c r="B45" s="91" t="n"/>
      <c r="C45" s="95" t="n"/>
      <c r="D45" s="96" t="n"/>
      <c r="E45" s="96" t="n"/>
      <c r="F45" s="157" t="n"/>
      <c r="G45" s="50" t="n"/>
      <c r="H45" s="158" t="n"/>
      <c r="I45" s="159" t="n"/>
      <c r="J45" s="160" t="n"/>
      <c r="K45" s="122" t="n"/>
    </row>
    <row r="46" ht="15.75" customHeight="1" s="186">
      <c r="B46" s="91" t="n"/>
      <c r="C46" s="93" t="n"/>
      <c r="D46" s="92" t="n"/>
      <c r="E46" s="92" t="n"/>
      <c r="F46" s="153" t="n"/>
      <c r="G46" s="41" t="n"/>
      <c r="H46" s="154" t="n"/>
      <c r="I46" s="155" t="n"/>
      <c r="J46" s="156" t="n"/>
      <c r="K46" s="115" t="n"/>
    </row>
    <row r="47" ht="15.75" customHeight="1" s="186">
      <c r="B47" s="91" t="n"/>
      <c r="C47" s="95" t="n"/>
      <c r="D47" s="96" t="n"/>
      <c r="E47" s="96" t="n"/>
      <c r="F47" s="157" t="n"/>
      <c r="G47" s="50" t="n"/>
      <c r="H47" s="158" t="n"/>
      <c r="I47" s="159" t="n"/>
      <c r="J47" s="160" t="n"/>
      <c r="K47" s="122" t="n"/>
    </row>
    <row r="48" ht="15.75" customHeight="1" s="186">
      <c r="B48" s="91" t="n"/>
      <c r="C48" s="93" t="n"/>
      <c r="D48" s="92" t="n"/>
      <c r="E48" s="92" t="n"/>
      <c r="F48" s="153" t="n"/>
      <c r="G48" s="41" t="n"/>
      <c r="H48" s="154" t="n"/>
      <c r="I48" s="155" t="n"/>
      <c r="J48" s="156" t="n"/>
      <c r="K48" s="115" t="n"/>
    </row>
    <row r="49" ht="15.75" customHeight="1" s="186">
      <c r="B49" s="91" t="n"/>
      <c r="C49" s="95" t="n"/>
      <c r="D49" s="96" t="n"/>
      <c r="E49" s="96" t="n"/>
      <c r="F49" s="157" t="n"/>
      <c r="G49" s="50" t="n"/>
      <c r="H49" s="158" t="n"/>
      <c r="I49" s="159" t="n"/>
      <c r="J49" s="160" t="n"/>
      <c r="K49" s="122" t="n"/>
    </row>
    <row r="50" ht="15.75" customHeight="1" s="186">
      <c r="B50" s="91" t="n"/>
      <c r="C50" s="93" t="n"/>
      <c r="D50" s="92" t="n"/>
      <c r="E50" s="92" t="n"/>
      <c r="F50" s="153" t="n"/>
      <c r="G50" s="41" t="n"/>
      <c r="H50" s="154" t="n"/>
      <c r="I50" s="155" t="n"/>
      <c r="J50" s="156" t="n"/>
      <c r="K50" s="115" t="n"/>
    </row>
    <row r="51" ht="15.75" customHeight="1" s="186">
      <c r="B51" s="91" t="n"/>
      <c r="C51" s="95" t="n"/>
      <c r="D51" s="96" t="n"/>
      <c r="E51" s="96" t="n"/>
      <c r="F51" s="157" t="n"/>
      <c r="G51" s="50" t="n"/>
      <c r="H51" s="158" t="n"/>
      <c r="I51" s="159" t="n"/>
      <c r="J51" s="160" t="n"/>
      <c r="K51" s="122" t="n"/>
    </row>
    <row r="52" ht="15.75" customHeight="1" s="186">
      <c r="B52" s="91" t="n"/>
      <c r="C52" s="93" t="n"/>
      <c r="D52" s="92" t="n"/>
      <c r="E52" s="92" t="n"/>
      <c r="F52" s="153" t="n"/>
      <c r="G52" s="41" t="n"/>
      <c r="H52" s="154" t="n"/>
      <c r="I52" s="155" t="n"/>
      <c r="J52" s="156" t="n"/>
      <c r="K52" s="115" t="n"/>
    </row>
    <row r="53" ht="15.75" customHeight="1" s="186">
      <c r="B53" s="91" t="n"/>
      <c r="C53" s="95" t="n"/>
      <c r="D53" s="96" t="n"/>
      <c r="E53" s="96" t="n"/>
      <c r="F53" s="157" t="n"/>
      <c r="G53" s="50" t="n"/>
      <c r="H53" s="158" t="n"/>
      <c r="I53" s="159" t="n"/>
      <c r="J53" s="160" t="n"/>
      <c r="K53" s="122" t="n"/>
    </row>
    <row r="54" ht="15.75" customHeight="1" s="186">
      <c r="B54" s="91" t="n"/>
      <c r="C54" s="93" t="n"/>
      <c r="D54" s="92" t="n"/>
      <c r="E54" s="92" t="n"/>
      <c r="F54" s="153" t="n"/>
      <c r="G54" s="41" t="n"/>
      <c r="H54" s="154" t="n"/>
      <c r="I54" s="155" t="n"/>
      <c r="J54" s="156" t="n"/>
      <c r="K54" s="115" t="n"/>
    </row>
    <row r="55" ht="15.75" customHeight="1" s="186">
      <c r="B55" s="91" t="n"/>
      <c r="C55" s="95" t="n"/>
      <c r="D55" s="96" t="n"/>
      <c r="E55" s="96" t="n"/>
      <c r="F55" s="157" t="n"/>
      <c r="G55" s="50" t="n"/>
      <c r="H55" s="158" t="n"/>
      <c r="I55" s="159" t="n"/>
      <c r="J55" s="160" t="n"/>
      <c r="K55" s="122" t="n"/>
    </row>
    <row r="56" ht="15.75" customHeight="1" s="186">
      <c r="B56" s="91" t="n"/>
      <c r="C56" s="93" t="n"/>
      <c r="D56" s="92" t="n"/>
      <c r="E56" s="92" t="n"/>
      <c r="F56" s="153" t="n"/>
      <c r="G56" s="41" t="n"/>
      <c r="H56" s="154" t="n"/>
      <c r="I56" s="155" t="n"/>
      <c r="J56" s="156" t="n"/>
      <c r="K56" s="115" t="n"/>
    </row>
    <row r="57" ht="15.75" customHeight="1" s="186">
      <c r="B57" s="91" t="n"/>
      <c r="C57" s="95" t="n"/>
      <c r="D57" s="96" t="n"/>
      <c r="E57" s="96" t="n"/>
      <c r="F57" s="157" t="n"/>
      <c r="G57" s="50" t="n"/>
      <c r="H57" s="158" t="n"/>
      <c r="I57" s="159" t="n"/>
      <c r="J57" s="160" t="n"/>
      <c r="K57" s="122" t="n"/>
    </row>
    <row r="58" ht="15.75" customHeight="1" s="186">
      <c r="B58" s="91" t="n"/>
      <c r="C58" s="93" t="n"/>
      <c r="D58" s="92" t="n"/>
      <c r="E58" s="92" t="n"/>
      <c r="F58" s="153" t="n"/>
      <c r="G58" s="41" t="n"/>
      <c r="H58" s="154" t="n"/>
      <c r="I58" s="155" t="n"/>
      <c r="J58" s="156" t="n"/>
      <c r="K58" s="115" t="n"/>
    </row>
    <row r="59" ht="15.75" customHeight="1" s="186">
      <c r="B59" s="91" t="n"/>
      <c r="C59" s="95" t="n"/>
      <c r="D59" s="96" t="n"/>
      <c r="E59" s="96" t="n"/>
      <c r="F59" s="157" t="n"/>
      <c r="G59" s="50" t="n"/>
      <c r="H59" s="158" t="n"/>
      <c r="I59" s="159" t="n"/>
      <c r="J59" s="160" t="n"/>
      <c r="K59" s="122" t="n"/>
    </row>
    <row r="60" ht="15.75" customHeight="1" s="186">
      <c r="B60" s="91" t="n"/>
      <c r="C60" s="93" t="n"/>
      <c r="D60" s="92" t="n"/>
      <c r="E60" s="92" t="n"/>
      <c r="F60" s="153" t="n"/>
      <c r="G60" s="41" t="n"/>
      <c r="H60" s="154" t="n"/>
      <c r="I60" s="155" t="n"/>
      <c r="J60" s="156" t="n"/>
      <c r="K60" s="115" t="n"/>
    </row>
    <row r="61" ht="15.75" customHeight="1" s="186">
      <c r="B61" s="91" t="n"/>
      <c r="C61" s="95" t="n"/>
      <c r="D61" s="96" t="n"/>
      <c r="E61" s="96" t="n"/>
      <c r="F61" s="157" t="n"/>
      <c r="G61" s="50" t="n"/>
      <c r="H61" s="158" t="n"/>
      <c r="I61" s="159" t="n"/>
      <c r="J61" s="160" t="n"/>
      <c r="K61" s="122" t="n"/>
    </row>
    <row r="62" ht="15.75" customHeight="1" s="186">
      <c r="B62" s="91" t="n"/>
      <c r="C62" s="93" t="n"/>
      <c r="D62" s="92" t="n"/>
      <c r="E62" s="92" t="n"/>
      <c r="F62" s="153" t="n"/>
      <c r="G62" s="41" t="n"/>
      <c r="H62" s="154" t="n"/>
      <c r="I62" s="155" t="n"/>
      <c r="J62" s="156" t="n"/>
      <c r="K62" s="115" t="n"/>
    </row>
    <row r="63" ht="15.75" customHeight="1" s="186">
      <c r="B63" s="91" t="n"/>
      <c r="C63" s="95" t="n"/>
      <c r="D63" s="96" t="n"/>
      <c r="E63" s="96" t="n"/>
      <c r="F63" s="157" t="n"/>
      <c r="G63" s="50" t="n"/>
      <c r="H63" s="158" t="n"/>
      <c r="I63" s="159" t="n"/>
      <c r="J63" s="160" t="n"/>
      <c r="K63" s="122" t="n"/>
    </row>
    <row r="64" ht="15.75" customHeight="1" s="186">
      <c r="B64" s="91" t="n"/>
      <c r="C64" s="93" t="n"/>
      <c r="D64" s="92" t="n"/>
      <c r="E64" s="92" t="n"/>
      <c r="F64" s="153" t="n"/>
      <c r="G64" s="41" t="n"/>
      <c r="H64" s="154" t="n"/>
      <c r="I64" s="155" t="n"/>
      <c r="J64" s="156" t="n"/>
      <c r="K64" s="115" t="n"/>
    </row>
    <row r="65" ht="15.75" customHeight="1" s="186">
      <c r="B65" s="91" t="n"/>
      <c r="C65" s="95" t="n"/>
      <c r="D65" s="96" t="n"/>
      <c r="E65" s="96" t="n"/>
      <c r="F65" s="157" t="n"/>
      <c r="G65" s="50" t="n"/>
      <c r="H65" s="158" t="n"/>
      <c r="I65" s="159" t="n"/>
      <c r="J65" s="160" t="n"/>
      <c r="K65" s="122" t="n"/>
    </row>
    <row r="66" ht="15.75" customHeight="1" s="186">
      <c r="B66" s="91" t="n"/>
      <c r="C66" s="93" t="n"/>
      <c r="D66" s="92" t="n"/>
      <c r="E66" s="92" t="n"/>
      <c r="F66" s="153" t="n"/>
      <c r="G66" s="41" t="n"/>
      <c r="H66" s="154" t="n"/>
      <c r="I66" s="155" t="n"/>
      <c r="J66" s="156" t="n"/>
      <c r="K66" s="115" t="n"/>
    </row>
    <row r="67" ht="15.75" customHeight="1" s="186">
      <c r="B67" s="91" t="n"/>
      <c r="C67" s="95" t="n"/>
      <c r="D67" s="96" t="n"/>
      <c r="E67" s="96" t="n"/>
      <c r="F67" s="157" t="n"/>
      <c r="G67" s="50" t="n"/>
      <c r="H67" s="158" t="n"/>
      <c r="I67" s="159" t="n"/>
      <c r="J67" s="160" t="n"/>
      <c r="K67" s="122" t="n"/>
    </row>
    <row r="68" ht="15.75" customHeight="1" s="186">
      <c r="B68" s="91" t="n"/>
      <c r="C68" s="93" t="n"/>
      <c r="D68" s="92" t="n"/>
      <c r="E68" s="92" t="n"/>
      <c r="F68" s="153" t="n"/>
      <c r="G68" s="41" t="n"/>
      <c r="H68" s="154" t="n"/>
      <c r="I68" s="155" t="n"/>
      <c r="J68" s="156" t="n"/>
      <c r="K68" s="115" t="n"/>
    </row>
    <row r="69" ht="15.75" customHeight="1" s="186">
      <c r="B69" s="91" t="n"/>
      <c r="C69" s="95" t="n"/>
      <c r="D69" s="96" t="n"/>
      <c r="E69" s="96" t="n"/>
      <c r="F69" s="157" t="n"/>
      <c r="G69" s="50" t="n"/>
      <c r="H69" s="158" t="n"/>
      <c r="I69" s="159" t="n"/>
      <c r="J69" s="160" t="n"/>
      <c r="K69" s="122" t="n"/>
    </row>
    <row r="70" ht="15.75" customHeight="1" s="186">
      <c r="B70" s="91" t="n"/>
      <c r="C70" s="93" t="n"/>
      <c r="D70" s="92" t="n"/>
      <c r="E70" s="92" t="n"/>
      <c r="F70" s="153" t="n"/>
      <c r="G70" s="41" t="n"/>
      <c r="H70" s="154" t="n"/>
      <c r="I70" s="155" t="n"/>
      <c r="J70" s="156" t="n"/>
      <c r="K70" s="115" t="n"/>
    </row>
    <row r="71" ht="15.75" customHeight="1" s="186">
      <c r="B71" s="91" t="n"/>
      <c r="C71" s="95" t="n"/>
      <c r="D71" s="96" t="n"/>
      <c r="E71" s="96" t="n"/>
      <c r="F71" s="157" t="n"/>
      <c r="G71" s="50" t="n"/>
      <c r="H71" s="158" t="n"/>
      <c r="I71" s="159" t="n"/>
      <c r="J71" s="160" t="n"/>
      <c r="K71" s="122" t="n"/>
    </row>
    <row r="72" ht="15.75" customHeight="1" s="186">
      <c r="B72" s="91" t="n"/>
      <c r="C72" s="93" t="n"/>
      <c r="D72" s="92" t="n"/>
      <c r="E72" s="92" t="n"/>
      <c r="F72" s="153" t="n"/>
      <c r="G72" s="41" t="n"/>
      <c r="H72" s="154" t="n"/>
      <c r="I72" s="155" t="n"/>
      <c r="J72" s="156" t="n"/>
      <c r="K72" s="115" t="n"/>
    </row>
    <row r="73" ht="15.75" customHeight="1" s="186">
      <c r="B73" s="91" t="n"/>
      <c r="C73" s="95" t="n"/>
      <c r="D73" s="96" t="n"/>
      <c r="E73" s="96" t="n"/>
      <c r="F73" s="157" t="n"/>
      <c r="G73" s="50" t="n"/>
      <c r="H73" s="158" t="n"/>
      <c r="I73" s="159" t="n"/>
      <c r="J73" s="160" t="n"/>
      <c r="K73" s="122" t="n"/>
    </row>
    <row r="74" ht="15.75" customHeight="1" s="186">
      <c r="B74" s="91" t="n"/>
      <c r="C74" s="93" t="n"/>
      <c r="D74" s="92" t="n"/>
      <c r="E74" s="92" t="n"/>
      <c r="F74" s="153" t="n"/>
      <c r="G74" s="41" t="n"/>
      <c r="H74" s="154" t="n"/>
      <c r="I74" s="155" t="n"/>
      <c r="J74" s="156" t="n"/>
      <c r="K74" s="115" t="n"/>
    </row>
    <row r="75" ht="15.75" customHeight="1" s="186">
      <c r="B75" s="91" t="n"/>
      <c r="C75" s="95" t="n"/>
      <c r="D75" s="96" t="n"/>
      <c r="E75" s="96" t="n"/>
      <c r="F75" s="157" t="n"/>
      <c r="G75" s="50" t="n"/>
      <c r="H75" s="158" t="n"/>
      <c r="I75" s="159" t="n"/>
      <c r="J75" s="160" t="n"/>
      <c r="K75" s="122" t="n"/>
    </row>
    <row r="76" ht="15.75" customHeight="1" s="186">
      <c r="B76" s="91" t="n"/>
      <c r="C76" s="93" t="n"/>
      <c r="D76" s="92" t="n"/>
      <c r="E76" s="92" t="n"/>
      <c r="F76" s="153" t="n"/>
      <c r="G76" s="41" t="n"/>
      <c r="H76" s="154" t="n"/>
      <c r="I76" s="155" t="n"/>
      <c r="J76" s="156" t="n"/>
      <c r="K76" s="115" t="n"/>
    </row>
    <row r="77" ht="15.75" customHeight="1" s="186">
      <c r="B77" s="91" t="n"/>
      <c r="C77" s="95" t="n"/>
      <c r="D77" s="96" t="n"/>
      <c r="E77" s="96" t="n"/>
      <c r="F77" s="157" t="n"/>
      <c r="G77" s="50" t="n"/>
      <c r="H77" s="158" t="n"/>
      <c r="I77" s="159" t="n"/>
      <c r="J77" s="160" t="n"/>
      <c r="K77" s="122" t="n"/>
    </row>
    <row r="78" ht="15.75" customHeight="1" s="186">
      <c r="B78" s="91" t="n"/>
      <c r="C78" s="93" t="n"/>
      <c r="D78" s="92" t="n"/>
      <c r="E78" s="92" t="n"/>
      <c r="F78" s="153" t="n"/>
      <c r="G78" s="41" t="n"/>
      <c r="H78" s="154" t="n"/>
      <c r="I78" s="155" t="n"/>
      <c r="J78" s="156" t="n"/>
      <c r="K78" s="115" t="n"/>
    </row>
    <row r="79" ht="15.75" customHeight="1" s="186">
      <c r="B79" s="91" t="n"/>
      <c r="C79" s="95" t="n"/>
      <c r="D79" s="96" t="n"/>
      <c r="E79" s="96" t="n"/>
      <c r="F79" s="157" t="n"/>
      <c r="G79" s="50" t="n"/>
      <c r="H79" s="158" t="n"/>
      <c r="I79" s="159" t="n"/>
      <c r="J79" s="160" t="n"/>
      <c r="K79" s="122" t="n"/>
    </row>
    <row r="80" ht="15.75" customHeight="1" s="186">
      <c r="B80" s="91" t="n"/>
      <c r="C80" s="93" t="n"/>
      <c r="D80" s="92" t="n"/>
      <c r="E80" s="92" t="n"/>
      <c r="F80" s="153" t="n"/>
      <c r="G80" s="41" t="n"/>
      <c r="H80" s="154" t="n"/>
      <c r="I80" s="155" t="n"/>
      <c r="J80" s="156" t="n"/>
      <c r="K80" s="115" t="n"/>
    </row>
    <row r="81" ht="15.75" customHeight="1" s="186">
      <c r="B81" s="91" t="n"/>
      <c r="C81" s="95" t="n"/>
      <c r="D81" s="96" t="n"/>
      <c r="E81" s="96" t="n"/>
      <c r="F81" s="157" t="n"/>
      <c r="G81" s="50" t="n"/>
      <c r="H81" s="158" t="n"/>
      <c r="I81" s="159" t="n"/>
      <c r="J81" s="160" t="n"/>
      <c r="K81" s="122" t="n"/>
    </row>
    <row r="82" ht="15.75" customHeight="1" s="186">
      <c r="B82" s="91" t="n"/>
      <c r="C82" s="93" t="n"/>
      <c r="D82" s="92" t="n"/>
      <c r="E82" s="92" t="n"/>
      <c r="F82" s="153" t="n"/>
      <c r="G82" s="41" t="n"/>
      <c r="H82" s="154" t="n"/>
      <c r="I82" s="155" t="n"/>
      <c r="J82" s="156" t="n"/>
      <c r="K82" s="115" t="n"/>
    </row>
    <row r="83" ht="15.75" customHeight="1" s="186">
      <c r="B83" s="91" t="n"/>
      <c r="C83" s="95" t="n"/>
      <c r="D83" s="96" t="n"/>
      <c r="E83" s="96" t="n"/>
      <c r="F83" s="157" t="n"/>
      <c r="G83" s="50" t="n"/>
      <c r="H83" s="158" t="n"/>
      <c r="I83" s="159" t="n"/>
      <c r="J83" s="160" t="n"/>
      <c r="K83" s="122" t="n"/>
    </row>
    <row r="84" ht="15.75" customHeight="1" s="186">
      <c r="B84" s="91" t="n"/>
      <c r="C84" s="93" t="n"/>
      <c r="D84" s="92" t="n"/>
      <c r="E84" s="92" t="n"/>
      <c r="F84" s="153" t="n"/>
      <c r="G84" s="41" t="n"/>
      <c r="H84" s="154" t="n"/>
      <c r="I84" s="155" t="n"/>
      <c r="J84" s="156" t="n"/>
      <c r="K84" s="115" t="n"/>
    </row>
    <row r="85" ht="15.75" customHeight="1" s="186">
      <c r="B85" s="91" t="n"/>
      <c r="C85" s="95" t="n"/>
      <c r="D85" s="96" t="n"/>
      <c r="E85" s="96" t="n"/>
      <c r="F85" s="157" t="n"/>
      <c r="G85" s="50" t="n"/>
      <c r="H85" s="158" t="n"/>
      <c r="I85" s="159" t="n"/>
      <c r="J85" s="160" t="n"/>
      <c r="K85" s="122" t="n"/>
    </row>
    <row r="86" ht="15.75" customHeight="1" s="186">
      <c r="B86" s="91" t="n"/>
      <c r="C86" s="93" t="n"/>
      <c r="D86" s="92" t="n"/>
      <c r="E86" s="92" t="n"/>
      <c r="F86" s="153" t="n"/>
      <c r="G86" s="41" t="n"/>
      <c r="H86" s="154" t="n"/>
      <c r="I86" s="155" t="n"/>
      <c r="J86" s="156" t="n"/>
      <c r="K86" s="115" t="n"/>
    </row>
    <row r="87" ht="15.75" customHeight="1" s="186">
      <c r="B87" s="91" t="n"/>
      <c r="C87" s="95" t="n"/>
      <c r="D87" s="96" t="n"/>
      <c r="E87" s="96" t="n"/>
      <c r="F87" s="157" t="n"/>
      <c r="G87" s="50" t="n"/>
      <c r="H87" s="158" t="n"/>
      <c r="I87" s="159" t="n"/>
      <c r="J87" s="160" t="n"/>
      <c r="K87" s="122" t="n"/>
    </row>
    <row r="88" ht="15.75" customHeight="1" s="186">
      <c r="B88" s="91" t="n"/>
      <c r="C88" s="93" t="n"/>
      <c r="D88" s="92" t="n"/>
      <c r="E88" s="92" t="n"/>
      <c r="F88" s="153" t="n"/>
      <c r="G88" s="41" t="n"/>
      <c r="H88" s="154" t="n"/>
      <c r="I88" s="155" t="n"/>
      <c r="J88" s="156" t="n"/>
      <c r="K88" s="115" t="n"/>
    </row>
    <row r="89" ht="15.75" customHeight="1" s="186">
      <c r="B89" s="91" t="n"/>
      <c r="C89" s="95" t="n"/>
      <c r="D89" s="96" t="n"/>
      <c r="E89" s="96" t="n"/>
      <c r="F89" s="157" t="n"/>
      <c r="G89" s="50" t="n"/>
      <c r="H89" s="158" t="n"/>
      <c r="I89" s="159" t="n"/>
      <c r="J89" s="160" t="n"/>
      <c r="K89" s="122" t="n"/>
    </row>
    <row r="90" ht="15.75" customHeight="1" s="186">
      <c r="B90" s="91" t="n"/>
      <c r="C90" s="93" t="n"/>
      <c r="D90" s="92" t="n"/>
      <c r="E90" s="92" t="n"/>
      <c r="F90" s="153" t="n"/>
      <c r="G90" s="41" t="n"/>
      <c r="H90" s="154" t="n"/>
      <c r="I90" s="155" t="n"/>
      <c r="J90" s="156" t="n"/>
      <c r="K90" s="115" t="n"/>
    </row>
    <row r="91" ht="15.75" customHeight="1" s="186">
      <c r="B91" s="91" t="n"/>
      <c r="C91" s="95" t="n"/>
      <c r="D91" s="96" t="n"/>
      <c r="E91" s="96" t="n"/>
      <c r="F91" s="157" t="n"/>
      <c r="G91" s="50" t="n"/>
      <c r="H91" s="158" t="n"/>
      <c r="I91" s="159" t="n"/>
      <c r="J91" s="160" t="n"/>
      <c r="K91" s="122" t="n"/>
    </row>
    <row r="92" ht="15.75" customHeight="1" s="186">
      <c r="B92" s="91" t="n"/>
      <c r="C92" s="93" t="n"/>
      <c r="D92" s="92" t="n"/>
      <c r="E92" s="92" t="n"/>
      <c r="F92" s="153" t="n"/>
      <c r="G92" s="41" t="n"/>
      <c r="H92" s="154" t="n"/>
      <c r="I92" s="155" t="n"/>
      <c r="J92" s="156" t="n"/>
      <c r="K92" s="115" t="n"/>
    </row>
    <row r="93" ht="15.75" customHeight="1" s="186">
      <c r="B93" s="91" t="n"/>
      <c r="C93" s="95" t="n"/>
      <c r="D93" s="96" t="n"/>
      <c r="E93" s="96" t="n"/>
      <c r="F93" s="157" t="n"/>
      <c r="G93" s="50" t="n"/>
      <c r="H93" s="158" t="n"/>
      <c r="I93" s="159" t="n"/>
      <c r="J93" s="160" t="n"/>
      <c r="K93" s="122" t="n"/>
    </row>
    <row r="94" ht="15.75" customHeight="1" s="186">
      <c r="B94" s="91" t="n"/>
      <c r="C94" s="93" t="n"/>
      <c r="D94" s="92" t="n"/>
      <c r="E94" s="92" t="n"/>
      <c r="F94" s="153" t="n"/>
      <c r="G94" s="41" t="n"/>
      <c r="H94" s="154" t="n"/>
      <c r="I94" s="155" t="n"/>
      <c r="J94" s="156" t="n"/>
      <c r="K94" s="115" t="n"/>
    </row>
    <row r="95" ht="15.75" customHeight="1" s="186">
      <c r="B95" s="91" t="n"/>
      <c r="C95" s="95" t="n"/>
      <c r="D95" s="96" t="n"/>
      <c r="E95" s="96" t="n"/>
      <c r="F95" s="157" t="n"/>
      <c r="G95" s="50" t="n"/>
      <c r="H95" s="158" t="n"/>
      <c r="I95" s="159" t="n"/>
      <c r="J95" s="160" t="n"/>
      <c r="K95" s="122" t="n"/>
    </row>
    <row r="96" ht="15.75" customHeight="1" s="186">
      <c r="B96" s="91" t="n"/>
      <c r="C96" s="93" t="n"/>
      <c r="D96" s="92" t="n"/>
      <c r="E96" s="92" t="n"/>
      <c r="F96" s="153" t="n"/>
      <c r="G96" s="41" t="n"/>
      <c r="H96" s="154" t="n"/>
      <c r="I96" s="155" t="n"/>
      <c r="J96" s="156" t="n"/>
      <c r="K96" s="115" t="n"/>
    </row>
    <row r="97" ht="15.75" customHeight="1" s="186">
      <c r="B97" s="91" t="n"/>
      <c r="C97" s="95" t="n"/>
      <c r="D97" s="96" t="n"/>
      <c r="E97" s="96" t="n"/>
      <c r="F97" s="157" t="n"/>
      <c r="G97" s="50" t="n"/>
      <c r="H97" s="158" t="n"/>
      <c r="I97" s="159" t="n"/>
      <c r="J97" s="160" t="n"/>
      <c r="K97" s="122" t="n"/>
    </row>
    <row r="98" ht="15.75" customHeight="1" s="186">
      <c r="B98" s="91" t="n"/>
      <c r="C98" s="93" t="n"/>
      <c r="D98" s="92" t="n"/>
      <c r="E98" s="92" t="n"/>
      <c r="F98" s="153" t="n"/>
      <c r="G98" s="41" t="n"/>
      <c r="H98" s="154" t="n"/>
      <c r="I98" s="155" t="n"/>
      <c r="J98" s="156" t="n"/>
      <c r="K98" s="115" t="n"/>
    </row>
    <row r="99" ht="15.75" customHeight="1" s="186">
      <c r="B99" s="91" t="n"/>
      <c r="C99" s="95" t="n"/>
      <c r="D99" s="96" t="n"/>
      <c r="E99" s="96" t="n"/>
      <c r="F99" s="157" t="n"/>
      <c r="G99" s="50" t="n"/>
      <c r="H99" s="158" t="n"/>
      <c r="I99" s="159" t="n"/>
      <c r="J99" s="160" t="n"/>
      <c r="K99" s="122" t="n"/>
    </row>
    <row r="100" ht="15.75" customHeight="1" s="186">
      <c r="B100" s="91" t="n"/>
      <c r="C100" s="93" t="n"/>
      <c r="D100" s="92" t="n"/>
      <c r="E100" s="92" t="n"/>
      <c r="F100" s="153" t="n"/>
      <c r="G100" s="41" t="n"/>
      <c r="H100" s="154" t="n"/>
      <c r="I100" s="155" t="n"/>
      <c r="J100" s="156" t="n"/>
      <c r="K100" s="115" t="n"/>
    </row>
    <row r="101" ht="15.75" customHeight="1" s="186">
      <c r="B101" s="91" t="n"/>
      <c r="C101" s="95" t="n"/>
      <c r="D101" s="96" t="n"/>
      <c r="E101" s="96" t="n"/>
      <c r="F101" s="157" t="n"/>
      <c r="G101" s="50" t="n"/>
      <c r="H101" s="158" t="n"/>
      <c r="I101" s="159" t="n"/>
      <c r="J101" s="160" t="n"/>
      <c r="K101" s="122" t="n"/>
    </row>
    <row r="102" ht="15.75" customHeight="1" s="186">
      <c r="B102" s="91" t="n"/>
      <c r="C102" s="93" t="n"/>
      <c r="D102" s="92" t="n"/>
      <c r="E102" s="92" t="n"/>
      <c r="F102" s="153" t="n"/>
      <c r="G102" s="41" t="n"/>
      <c r="H102" s="154" t="n"/>
      <c r="I102" s="155" t="n"/>
      <c r="J102" s="156" t="n"/>
      <c r="K102" s="115" t="n"/>
    </row>
    <row r="103" ht="15.75" customHeight="1" s="186">
      <c r="B103" s="91" t="n"/>
      <c r="C103" s="95" t="n"/>
      <c r="D103" s="96" t="n"/>
      <c r="E103" s="96" t="n"/>
      <c r="F103" s="157" t="n"/>
      <c r="G103" s="50" t="n"/>
      <c r="H103" s="158" t="n"/>
      <c r="I103" s="159" t="n"/>
      <c r="J103" s="160" t="n"/>
      <c r="K103" s="122" t="n"/>
    </row>
    <row r="104" ht="15.75" customHeight="1" s="186">
      <c r="B104" s="91" t="n"/>
      <c r="C104" s="93" t="n"/>
      <c r="D104" s="92" t="n"/>
      <c r="E104" s="92" t="n"/>
      <c r="F104" s="153" t="n"/>
      <c r="G104" s="41" t="n"/>
      <c r="H104" s="154" t="n"/>
      <c r="I104" s="155" t="n"/>
      <c r="J104" s="156" t="n"/>
      <c r="K104" s="115" t="n"/>
    </row>
    <row r="105" ht="15.75" customHeight="1" s="186">
      <c r="B105" s="91" t="n"/>
      <c r="C105" s="95" t="n"/>
      <c r="D105" s="96" t="n"/>
      <c r="E105" s="96" t="n"/>
      <c r="F105" s="157" t="n"/>
      <c r="G105" s="50" t="n"/>
      <c r="H105" s="158" t="n"/>
      <c r="I105" s="159" t="n"/>
      <c r="J105" s="160" t="n"/>
      <c r="K105" s="122" t="n"/>
    </row>
    <row r="106" ht="15.75" customHeight="1" s="186">
      <c r="B106" s="91" t="n"/>
      <c r="C106" s="93" t="n"/>
      <c r="D106" s="92" t="n"/>
      <c r="E106" s="92" t="n"/>
      <c r="F106" s="153" t="n"/>
      <c r="G106" s="41" t="n"/>
      <c r="H106" s="154" t="n"/>
      <c r="I106" s="155" t="n"/>
      <c r="J106" s="156" t="n"/>
      <c r="K106" s="115" t="n"/>
    </row>
    <row r="107" ht="15.75" customHeight="1" s="186">
      <c r="B107" s="91" t="n"/>
      <c r="C107" s="95" t="n"/>
      <c r="D107" s="96" t="n"/>
      <c r="E107" s="96" t="n"/>
      <c r="F107" s="157" t="n"/>
      <c r="G107" s="50" t="n"/>
      <c r="H107" s="158" t="n"/>
      <c r="I107" s="159" t="n"/>
      <c r="J107" s="160" t="n"/>
      <c r="K107" s="122" t="n"/>
    </row>
    <row r="108" ht="15.75" customHeight="1" s="186">
      <c r="B108" s="91" t="n"/>
      <c r="C108" s="93" t="n"/>
      <c r="D108" s="92" t="n"/>
      <c r="E108" s="92" t="n"/>
      <c r="F108" s="153" t="n"/>
      <c r="G108" s="41" t="n"/>
      <c r="H108" s="154" t="n"/>
      <c r="I108" s="155" t="n"/>
      <c r="J108" s="156" t="n"/>
      <c r="K108" s="115" t="n"/>
    </row>
    <row r="109" ht="15.75" customHeight="1" s="186">
      <c r="B109" s="91" t="n"/>
      <c r="C109" s="95" t="n"/>
      <c r="D109" s="96" t="n"/>
      <c r="E109" s="96" t="n"/>
      <c r="F109" s="157" t="n"/>
      <c r="G109" s="50" t="n"/>
      <c r="H109" s="158" t="n"/>
      <c r="I109" s="159" t="n"/>
      <c r="J109" s="160" t="n"/>
      <c r="K109" s="122" t="n"/>
    </row>
    <row r="110" ht="15.75" customHeight="1" s="186">
      <c r="B110" s="91" t="n"/>
      <c r="C110" s="93" t="n"/>
      <c r="D110" s="92" t="n"/>
      <c r="E110" s="92" t="n"/>
      <c r="F110" s="153" t="n"/>
      <c r="G110" s="41" t="n"/>
      <c r="H110" s="154" t="n"/>
      <c r="I110" s="155" t="n"/>
      <c r="J110" s="156" t="n"/>
      <c r="K110" s="115" t="n"/>
    </row>
    <row r="111" ht="15.75" customHeight="1" s="186">
      <c r="B111" s="91" t="n"/>
      <c r="C111" s="95" t="n"/>
      <c r="D111" s="96" t="n"/>
      <c r="E111" s="96" t="n"/>
      <c r="F111" s="157" t="n"/>
      <c r="G111" s="50" t="n"/>
      <c r="H111" s="158" t="n"/>
      <c r="I111" s="159" t="n"/>
      <c r="J111" s="160" t="n"/>
      <c r="K111" s="122" t="n"/>
    </row>
    <row r="112" ht="15.75" customHeight="1" s="186">
      <c r="B112" s="91" t="n"/>
      <c r="C112" s="93" t="n"/>
      <c r="D112" s="92" t="n"/>
      <c r="E112" s="92" t="n"/>
      <c r="F112" s="153" t="n"/>
      <c r="G112" s="41" t="n"/>
      <c r="H112" s="154" t="n"/>
      <c r="I112" s="155" t="n"/>
      <c r="J112" s="156" t="n"/>
      <c r="K112" s="115" t="n"/>
    </row>
    <row r="113" ht="15.75" customHeight="1" s="186">
      <c r="B113" s="91" t="n"/>
      <c r="C113" s="95" t="n"/>
      <c r="D113" s="96" t="n"/>
      <c r="E113" s="96" t="n"/>
      <c r="F113" s="157" t="n"/>
      <c r="G113" s="50" t="n"/>
      <c r="H113" s="158" t="n"/>
      <c r="I113" s="159" t="n"/>
      <c r="J113" s="160" t="n"/>
      <c r="K113" s="122" t="n"/>
    </row>
    <row r="114" ht="15.75" customHeight="1" s="186">
      <c r="B114" s="91" t="n"/>
      <c r="C114" s="93" t="n"/>
      <c r="D114" s="92" t="n"/>
      <c r="E114" s="92" t="n"/>
      <c r="F114" s="153" t="n"/>
      <c r="G114" s="41" t="n"/>
      <c r="H114" s="154" t="n"/>
      <c r="I114" s="155" t="n"/>
      <c r="J114" s="156" t="n"/>
      <c r="K114" s="115" t="n"/>
    </row>
    <row r="115" ht="15.75" customHeight="1" s="186">
      <c r="B115" s="91" t="n"/>
      <c r="C115" s="95" t="n"/>
      <c r="D115" s="96" t="n"/>
      <c r="E115" s="96" t="n"/>
      <c r="F115" s="157" t="n"/>
      <c r="G115" s="50" t="n"/>
      <c r="H115" s="158" t="n"/>
      <c r="I115" s="159" t="n"/>
      <c r="J115" s="160" t="n"/>
      <c r="K115" s="122" t="n"/>
    </row>
    <row r="116" ht="15.75" customHeight="1" s="186">
      <c r="B116" s="91" t="n"/>
      <c r="C116" s="93" t="n"/>
      <c r="D116" s="92" t="n"/>
      <c r="E116" s="92" t="n"/>
      <c r="F116" s="153" t="n"/>
      <c r="G116" s="41" t="n"/>
      <c r="H116" s="154" t="n"/>
      <c r="I116" s="155" t="n"/>
      <c r="J116" s="156" t="n"/>
      <c r="K116" s="115" t="n"/>
    </row>
    <row r="117" ht="15.75" customHeight="1" s="186">
      <c r="B117" s="91" t="n"/>
      <c r="C117" s="95" t="n"/>
      <c r="D117" s="96" t="n"/>
      <c r="E117" s="96" t="n"/>
      <c r="F117" s="157" t="n"/>
      <c r="G117" s="50" t="n"/>
      <c r="H117" s="158" t="n"/>
      <c r="I117" s="159" t="n"/>
      <c r="J117" s="160" t="n"/>
      <c r="K117" s="122" t="n"/>
    </row>
    <row r="118" ht="15.75" customHeight="1" s="186">
      <c r="B118" s="91" t="n"/>
      <c r="C118" s="93" t="n"/>
      <c r="D118" s="92" t="n"/>
      <c r="E118" s="92" t="n"/>
      <c r="F118" s="153" t="n"/>
      <c r="G118" s="41" t="n"/>
      <c r="H118" s="154" t="n"/>
      <c r="I118" s="155" t="n"/>
      <c r="J118" s="156" t="n"/>
      <c r="K118" s="115" t="n"/>
    </row>
    <row r="119" ht="15.75" customHeight="1" s="186">
      <c r="B119" s="91" t="n"/>
      <c r="C119" s="95" t="n"/>
      <c r="D119" s="96" t="n"/>
      <c r="E119" s="96" t="n"/>
      <c r="F119" s="157" t="n"/>
      <c r="G119" s="50" t="n"/>
      <c r="H119" s="158" t="n"/>
      <c r="I119" s="159" t="n"/>
      <c r="J119" s="160" t="n"/>
      <c r="K119" s="122" t="n"/>
    </row>
    <row r="120" ht="15.75" customHeight="1" s="186">
      <c r="B120" s="91" t="n"/>
      <c r="C120" s="93" t="n"/>
      <c r="D120" s="92" t="n"/>
      <c r="E120" s="92" t="n"/>
      <c r="F120" s="153" t="n"/>
      <c r="G120" s="41" t="n"/>
      <c r="H120" s="154" t="n"/>
      <c r="I120" s="155" t="n"/>
      <c r="J120" s="156" t="n"/>
      <c r="K120" s="115" t="n"/>
    </row>
    <row r="121" ht="15.75" customHeight="1" s="186">
      <c r="B121" s="91" t="n"/>
      <c r="C121" s="95" t="n"/>
      <c r="D121" s="96" t="n"/>
      <c r="E121" s="96" t="n"/>
      <c r="F121" s="157" t="n"/>
      <c r="G121" s="50" t="n"/>
      <c r="H121" s="158" t="n"/>
      <c r="I121" s="159" t="n"/>
      <c r="J121" s="160" t="n"/>
      <c r="K121" s="122" t="n"/>
    </row>
    <row r="122" ht="15.75" customHeight="1" s="186">
      <c r="B122" s="91" t="n"/>
      <c r="C122" s="93" t="n"/>
      <c r="D122" s="92" t="n"/>
      <c r="E122" s="92" t="n"/>
      <c r="F122" s="153" t="n"/>
      <c r="G122" s="41" t="n"/>
      <c r="H122" s="154" t="n"/>
      <c r="I122" s="155" t="n"/>
      <c r="J122" s="156" t="n"/>
      <c r="K122" s="115" t="n"/>
    </row>
    <row r="123" ht="15.75" customHeight="1" s="186">
      <c r="B123" s="91" t="n"/>
      <c r="C123" s="95" t="n"/>
      <c r="D123" s="96" t="n"/>
      <c r="E123" s="96" t="n"/>
      <c r="F123" s="157" t="n"/>
      <c r="G123" s="50" t="n"/>
      <c r="H123" s="158" t="n"/>
      <c r="I123" s="159" t="n"/>
      <c r="J123" s="160" t="n"/>
      <c r="K123" s="122" t="n"/>
    </row>
    <row r="124" ht="15.75" customHeight="1" s="186">
      <c r="B124" s="91" t="n"/>
      <c r="C124" s="93" t="n"/>
      <c r="D124" s="92" t="n"/>
      <c r="E124" s="92" t="n"/>
      <c r="F124" s="153" t="n"/>
      <c r="G124" s="41" t="n"/>
      <c r="H124" s="154" t="n"/>
      <c r="I124" s="155" t="n"/>
      <c r="J124" s="156" t="n"/>
      <c r="K124" s="115" t="n"/>
    </row>
    <row r="125" ht="15.75" customHeight="1" s="186">
      <c r="B125" s="91" t="n"/>
      <c r="C125" s="95" t="n"/>
      <c r="D125" s="96" t="n"/>
      <c r="E125" s="96" t="n"/>
      <c r="F125" s="157" t="n"/>
      <c r="G125" s="50" t="n"/>
      <c r="H125" s="158" t="n"/>
      <c r="I125" s="159" t="n"/>
      <c r="J125" s="160" t="n"/>
      <c r="K125" s="122" t="n"/>
    </row>
    <row r="126" ht="15.75" customHeight="1" s="186">
      <c r="B126" s="91" t="n"/>
      <c r="C126" s="93" t="n"/>
      <c r="D126" s="92" t="n"/>
      <c r="E126" s="92" t="n"/>
      <c r="F126" s="153" t="n"/>
      <c r="G126" s="41" t="n"/>
      <c r="H126" s="154" t="n"/>
      <c r="I126" s="155" t="n"/>
      <c r="J126" s="156" t="n"/>
      <c r="K126" s="115" t="n"/>
    </row>
    <row r="127" ht="15.75" customHeight="1" s="186">
      <c r="B127" s="91" t="n"/>
      <c r="C127" s="95" t="n"/>
      <c r="D127" s="96" t="n"/>
      <c r="E127" s="96" t="n"/>
      <c r="F127" s="157" t="n"/>
      <c r="G127" s="50" t="n"/>
      <c r="H127" s="158" t="n"/>
      <c r="I127" s="159" t="n"/>
      <c r="J127" s="160" t="n"/>
      <c r="K127" s="122" t="n"/>
    </row>
    <row r="128" ht="15.75" customHeight="1" s="186">
      <c r="B128" s="91" t="n"/>
      <c r="C128" s="93" t="n"/>
      <c r="D128" s="92" t="n"/>
      <c r="E128" s="92" t="n"/>
      <c r="F128" s="153" t="n"/>
      <c r="G128" s="41" t="n"/>
      <c r="H128" s="154" t="n"/>
      <c r="I128" s="155" t="n"/>
      <c r="J128" s="156" t="n"/>
      <c r="K128" s="115" t="n"/>
    </row>
    <row r="129" ht="15.75" customHeight="1" s="186">
      <c r="B129" s="91" t="n"/>
      <c r="C129" s="95" t="n"/>
      <c r="D129" s="96" t="n"/>
      <c r="E129" s="96" t="n"/>
      <c r="F129" s="157" t="n"/>
      <c r="G129" s="50" t="n"/>
      <c r="H129" s="158" t="n"/>
      <c r="I129" s="159" t="n"/>
      <c r="J129" s="160" t="n"/>
      <c r="K129" s="122" t="n"/>
    </row>
    <row r="130" ht="15.75" customHeight="1" s="186">
      <c r="B130" s="91" t="n"/>
      <c r="C130" s="93" t="n"/>
      <c r="D130" s="92" t="n"/>
      <c r="E130" s="92" t="n"/>
      <c r="F130" s="153" t="n"/>
      <c r="G130" s="41" t="n"/>
      <c r="H130" s="154" t="n"/>
      <c r="I130" s="155" t="n"/>
      <c r="J130" s="156" t="n"/>
      <c r="K130" s="115" t="n"/>
    </row>
    <row r="131" ht="15.75" customHeight="1" s="186">
      <c r="B131" s="91" t="n"/>
      <c r="C131" s="95" t="n"/>
      <c r="D131" s="96" t="n"/>
      <c r="E131" s="96" t="n"/>
      <c r="F131" s="157" t="n"/>
      <c r="G131" s="50" t="n"/>
      <c r="H131" s="158" t="n"/>
      <c r="I131" s="159" t="n"/>
      <c r="J131" s="160" t="n"/>
      <c r="K131" s="122" t="n"/>
    </row>
    <row r="132" ht="15.75" customHeight="1" s="186">
      <c r="B132" s="91" t="n"/>
      <c r="C132" s="93" t="n"/>
      <c r="D132" s="92" t="n"/>
      <c r="E132" s="92" t="n"/>
      <c r="F132" s="153" t="n"/>
      <c r="G132" s="41" t="n"/>
      <c r="H132" s="154" t="n"/>
      <c r="I132" s="155" t="n"/>
      <c r="J132" s="156" t="n"/>
      <c r="K132" s="115" t="n"/>
    </row>
    <row r="133" ht="15.75" customHeight="1" s="186">
      <c r="B133" s="91" t="n"/>
      <c r="C133" s="95" t="n"/>
      <c r="D133" s="96" t="n"/>
      <c r="E133" s="96" t="n"/>
      <c r="F133" s="157" t="n"/>
      <c r="G133" s="50" t="n"/>
      <c r="H133" s="158" t="n"/>
      <c r="I133" s="159" t="n"/>
      <c r="J133" s="160" t="n"/>
      <c r="K133" s="122" t="n"/>
    </row>
    <row r="134" ht="15.75" customHeight="1" s="186">
      <c r="B134" s="91" t="n"/>
      <c r="C134" s="93" t="n"/>
      <c r="D134" s="92" t="n"/>
      <c r="E134" s="92" t="n"/>
      <c r="F134" s="153" t="n"/>
      <c r="G134" s="41" t="n"/>
      <c r="H134" s="154" t="n"/>
      <c r="I134" s="155" t="n"/>
      <c r="J134" s="156" t="n"/>
      <c r="K134" s="115" t="n"/>
    </row>
    <row r="135" ht="15.75" customHeight="1" s="186">
      <c r="B135" s="91" t="n"/>
      <c r="C135" s="95" t="n"/>
      <c r="D135" s="96" t="n"/>
      <c r="E135" s="96" t="n"/>
      <c r="F135" s="157" t="n"/>
      <c r="G135" s="50" t="n"/>
      <c r="H135" s="158" t="n"/>
      <c r="I135" s="159" t="n"/>
      <c r="J135" s="160" t="n"/>
      <c r="K135" s="122" t="n"/>
    </row>
    <row r="136" ht="15.75" customHeight="1" s="186">
      <c r="B136" s="91" t="n"/>
      <c r="C136" s="93" t="n"/>
      <c r="D136" s="92" t="n"/>
      <c r="E136" s="92" t="n"/>
      <c r="F136" s="153" t="n"/>
      <c r="G136" s="41" t="n"/>
      <c r="H136" s="154" t="n"/>
      <c r="I136" s="155" t="n"/>
      <c r="J136" s="156" t="n"/>
      <c r="K136" s="115" t="n"/>
    </row>
    <row r="137" ht="15.75" customHeight="1" s="186">
      <c r="B137" s="91" t="n"/>
      <c r="C137" s="95" t="n"/>
      <c r="D137" s="96" t="n"/>
      <c r="E137" s="96" t="n"/>
      <c r="F137" s="157" t="n"/>
      <c r="G137" s="50" t="n"/>
      <c r="H137" s="158" t="n"/>
      <c r="I137" s="159" t="n"/>
      <c r="J137" s="160" t="n"/>
      <c r="K137" s="122" t="n"/>
    </row>
    <row r="138" ht="15.75" customHeight="1" s="186">
      <c r="B138" s="91" t="n"/>
      <c r="C138" s="93" t="n"/>
      <c r="D138" s="92" t="n"/>
      <c r="E138" s="92" t="n"/>
      <c r="F138" s="153" t="n"/>
      <c r="G138" s="41" t="n"/>
      <c r="H138" s="154" t="n"/>
      <c r="I138" s="155" t="n"/>
      <c r="J138" s="156" t="n"/>
      <c r="K138" s="115" t="n"/>
    </row>
    <row r="139" ht="15.75" customHeight="1" s="186">
      <c r="B139" s="91" t="n"/>
      <c r="C139" s="95" t="n"/>
      <c r="D139" s="96" t="n"/>
      <c r="E139" s="96" t="n"/>
      <c r="F139" s="157" t="n"/>
      <c r="G139" s="50" t="n"/>
      <c r="H139" s="158" t="n"/>
      <c r="I139" s="159" t="n"/>
      <c r="J139" s="160" t="n"/>
      <c r="K139" s="122" t="n"/>
    </row>
    <row r="140" ht="15.75" customHeight="1" s="186">
      <c r="B140" s="91" t="n"/>
      <c r="C140" s="93" t="n"/>
      <c r="D140" s="92" t="n"/>
      <c r="E140" s="92" t="n"/>
      <c r="F140" s="153" t="n"/>
      <c r="G140" s="41" t="n"/>
      <c r="H140" s="154" t="n"/>
      <c r="I140" s="155" t="n"/>
      <c r="J140" s="156" t="n"/>
      <c r="K140" s="115" t="n"/>
    </row>
    <row r="141" ht="15.75" customHeight="1" s="186">
      <c r="B141" s="91" t="n"/>
      <c r="C141" s="95" t="n"/>
      <c r="D141" s="96" t="n"/>
      <c r="E141" s="96" t="n"/>
      <c r="F141" s="157" t="n"/>
      <c r="G141" s="50" t="n"/>
      <c r="H141" s="158" t="n"/>
      <c r="I141" s="159" t="n"/>
      <c r="J141" s="160" t="n"/>
      <c r="K141" s="122" t="n"/>
    </row>
    <row r="142" ht="15.75" customHeight="1" s="186">
      <c r="B142" s="91" t="n"/>
      <c r="C142" s="93" t="n"/>
      <c r="D142" s="92" t="n"/>
      <c r="E142" s="92" t="n"/>
      <c r="F142" s="153" t="n"/>
      <c r="G142" s="41" t="n"/>
      <c r="H142" s="154" t="n"/>
      <c r="I142" s="155" t="n"/>
      <c r="J142" s="156" t="n"/>
      <c r="K142" s="115" t="n"/>
    </row>
    <row r="143" ht="15.75" customHeight="1" s="186">
      <c r="B143" s="91" t="n"/>
      <c r="C143" s="95" t="n"/>
      <c r="D143" s="96" t="n"/>
      <c r="E143" s="96" t="n"/>
      <c r="F143" s="157" t="n"/>
      <c r="G143" s="50" t="n"/>
      <c r="H143" s="158" t="n"/>
      <c r="I143" s="159" t="n"/>
      <c r="J143" s="160" t="n"/>
      <c r="K143" s="122" t="n"/>
    </row>
    <row r="144" ht="15.75" customHeight="1" s="186">
      <c r="B144" s="91" t="n"/>
      <c r="C144" s="93" t="n"/>
      <c r="D144" s="92" t="n"/>
      <c r="E144" s="92" t="n"/>
      <c r="F144" s="153" t="n"/>
      <c r="G144" s="41" t="n"/>
      <c r="H144" s="154" t="n"/>
      <c r="I144" s="155" t="n"/>
      <c r="J144" s="156" t="n"/>
      <c r="K144" s="115" t="n"/>
    </row>
    <row r="145" ht="15.75" customHeight="1" s="186">
      <c r="B145" s="91" t="n"/>
      <c r="C145" s="95" t="n"/>
      <c r="D145" s="96" t="n"/>
      <c r="E145" s="96" t="n"/>
      <c r="F145" s="157" t="n"/>
      <c r="G145" s="50" t="n"/>
      <c r="H145" s="158" t="n"/>
      <c r="I145" s="159" t="n"/>
      <c r="J145" s="160" t="n"/>
      <c r="K145" s="122" t="n"/>
    </row>
    <row r="146" ht="15.75" customHeight="1" s="186">
      <c r="B146" s="91" t="n"/>
      <c r="C146" s="93" t="n"/>
      <c r="D146" s="92" t="n"/>
      <c r="E146" s="92" t="n"/>
      <c r="F146" s="153" t="n"/>
      <c r="G146" s="41" t="n"/>
      <c r="H146" s="154" t="n"/>
      <c r="I146" s="155" t="n"/>
      <c r="J146" s="156" t="n"/>
      <c r="K146" s="115" t="n"/>
    </row>
    <row r="147" ht="15.75" customHeight="1" s="186">
      <c r="B147" s="91" t="n"/>
      <c r="C147" s="95" t="n"/>
      <c r="D147" s="96" t="n"/>
      <c r="E147" s="96" t="n"/>
      <c r="F147" s="157" t="n"/>
      <c r="G147" s="50" t="n"/>
      <c r="H147" s="158" t="n"/>
      <c r="I147" s="159" t="n"/>
      <c r="J147" s="160" t="n"/>
      <c r="K147" s="122" t="n"/>
    </row>
    <row r="148" ht="15.75" customHeight="1" s="186">
      <c r="B148" s="91" t="n"/>
      <c r="C148" s="93" t="n"/>
      <c r="D148" s="92" t="n"/>
      <c r="E148" s="92" t="n"/>
      <c r="F148" s="153" t="n"/>
      <c r="G148" s="41" t="n"/>
      <c r="H148" s="154" t="n"/>
      <c r="I148" s="155" t="n"/>
      <c r="J148" s="156" t="n"/>
      <c r="K148" s="115" t="n"/>
    </row>
    <row r="149" ht="15.75" customHeight="1" s="186">
      <c r="B149" s="91" t="n"/>
      <c r="C149" s="95" t="n"/>
      <c r="D149" s="96" t="n"/>
      <c r="E149" s="96" t="n"/>
      <c r="F149" s="157" t="n"/>
      <c r="G149" s="50" t="n"/>
      <c r="H149" s="158" t="n"/>
      <c r="I149" s="159" t="n"/>
      <c r="J149" s="160" t="n"/>
      <c r="K149" s="122" t="n"/>
    </row>
    <row r="150" ht="15.75" customHeight="1" s="186">
      <c r="B150" s="91" t="n"/>
      <c r="C150" s="93" t="n"/>
      <c r="D150" s="92" t="n"/>
      <c r="E150" s="92" t="n"/>
      <c r="F150" s="153" t="n"/>
      <c r="G150" s="41" t="n"/>
      <c r="H150" s="154" t="n"/>
      <c r="I150" s="155" t="n"/>
      <c r="J150" s="156" t="n"/>
      <c r="K150" s="115" t="n"/>
    </row>
    <row r="151" ht="15.75" customHeight="1" s="186">
      <c r="B151" s="91" t="n"/>
      <c r="C151" s="95" t="n"/>
      <c r="D151" s="96" t="n"/>
      <c r="E151" s="96" t="n"/>
      <c r="F151" s="157" t="n"/>
      <c r="G151" s="50" t="n"/>
      <c r="H151" s="158" t="n"/>
      <c r="I151" s="159" t="n"/>
      <c r="J151" s="160" t="n"/>
      <c r="K151" s="122" t="n"/>
    </row>
    <row r="152" ht="15.75" customHeight="1" s="186">
      <c r="B152" s="91" t="n"/>
      <c r="C152" s="93" t="n"/>
      <c r="D152" s="92" t="n"/>
      <c r="E152" s="92" t="n"/>
      <c r="F152" s="153" t="n"/>
      <c r="G152" s="41" t="n"/>
      <c r="H152" s="154" t="n"/>
      <c r="I152" s="155" t="n"/>
      <c r="J152" s="156" t="n"/>
      <c r="K152" s="115" t="n"/>
    </row>
    <row r="153" ht="15.75" customHeight="1" s="186">
      <c r="B153" s="91" t="n"/>
      <c r="C153" s="95" t="n"/>
      <c r="D153" s="96" t="n"/>
      <c r="E153" s="96" t="n"/>
      <c r="F153" s="157" t="n"/>
      <c r="G153" s="50" t="n"/>
      <c r="H153" s="158" t="n"/>
      <c r="I153" s="159" t="n"/>
      <c r="J153" s="160" t="n"/>
      <c r="K153" s="122" t="n"/>
    </row>
    <row r="154" ht="15.75" customHeight="1" s="186">
      <c r="B154" s="91" t="n"/>
      <c r="C154" s="93" t="n"/>
      <c r="D154" s="92" t="n"/>
      <c r="E154" s="92" t="n"/>
      <c r="F154" s="153" t="n"/>
      <c r="G154" s="41" t="n"/>
      <c r="H154" s="154" t="n"/>
      <c r="I154" s="155" t="n"/>
      <c r="J154" s="156" t="n"/>
      <c r="K154" s="115" t="n"/>
    </row>
    <row r="155" ht="15.75" customHeight="1" s="186">
      <c r="B155" s="91" t="n"/>
      <c r="C155" s="95" t="n"/>
      <c r="D155" s="96" t="n"/>
      <c r="E155" s="96" t="n"/>
      <c r="F155" s="157" t="n"/>
      <c r="G155" s="50" t="n"/>
      <c r="H155" s="158" t="n"/>
      <c r="I155" s="159" t="n"/>
      <c r="J155" s="160" t="n"/>
      <c r="K155" s="122" t="n"/>
    </row>
    <row r="156" ht="15.75" customHeight="1" s="186">
      <c r="B156" s="91" t="n"/>
      <c r="C156" s="93" t="n"/>
      <c r="D156" s="92" t="n"/>
      <c r="E156" s="92" t="n"/>
      <c r="F156" s="153" t="n"/>
      <c r="G156" s="41" t="n"/>
      <c r="H156" s="154" t="n"/>
      <c r="I156" s="155" t="n"/>
      <c r="J156" s="156" t="n"/>
      <c r="K156" s="115" t="n"/>
    </row>
    <row r="157" ht="15.75" customHeight="1" s="186">
      <c r="B157" s="91" t="n"/>
      <c r="C157" s="95" t="n"/>
      <c r="D157" s="96" t="n"/>
      <c r="E157" s="96" t="n"/>
      <c r="F157" s="157" t="n"/>
      <c r="G157" s="50" t="n"/>
      <c r="H157" s="158" t="n"/>
      <c r="I157" s="159" t="n"/>
      <c r="J157" s="160" t="n"/>
      <c r="K157" s="122" t="n"/>
    </row>
    <row r="158" ht="15.75" customHeight="1" s="186">
      <c r="B158" s="91" t="n"/>
      <c r="C158" s="93" t="n"/>
      <c r="D158" s="92" t="n"/>
      <c r="E158" s="92" t="n"/>
      <c r="F158" s="153" t="n"/>
      <c r="G158" s="41" t="n"/>
      <c r="H158" s="154" t="n"/>
      <c r="I158" s="155" t="n"/>
      <c r="J158" s="156" t="n"/>
      <c r="K158" s="115" t="n"/>
    </row>
    <row r="159" ht="15.75" customHeight="1" s="186">
      <c r="B159" s="91" t="n"/>
      <c r="C159" s="95" t="n"/>
      <c r="D159" s="96" t="n"/>
      <c r="E159" s="96" t="n"/>
      <c r="F159" s="157" t="n"/>
      <c r="G159" s="50" t="n"/>
      <c r="H159" s="158" t="n"/>
      <c r="I159" s="159" t="n"/>
      <c r="J159" s="160" t="n"/>
      <c r="K159" s="122" t="n"/>
    </row>
    <row r="160" ht="15.75" customHeight="1" s="186">
      <c r="B160" s="91" t="n"/>
      <c r="C160" s="93" t="n"/>
      <c r="D160" s="92" t="n"/>
      <c r="E160" s="92" t="n"/>
      <c r="F160" s="153" t="n"/>
      <c r="G160" s="41" t="n"/>
      <c r="H160" s="154" t="n"/>
      <c r="I160" s="155" t="n"/>
      <c r="J160" s="156" t="n"/>
      <c r="K160" s="115" t="n"/>
    </row>
    <row r="161" ht="15.75" customHeight="1" s="186">
      <c r="B161" s="91" t="n"/>
      <c r="C161" s="95" t="n"/>
      <c r="D161" s="96" t="n"/>
      <c r="E161" s="96" t="n"/>
      <c r="F161" s="157" t="n"/>
      <c r="G161" s="50" t="n"/>
      <c r="H161" s="158" t="n"/>
      <c r="I161" s="159" t="n"/>
      <c r="J161" s="160" t="n"/>
      <c r="K161" s="122" t="n"/>
    </row>
    <row r="162" ht="15.75" customHeight="1" s="186">
      <c r="B162" s="91" t="n"/>
      <c r="C162" s="93" t="n"/>
      <c r="D162" s="92" t="n"/>
      <c r="E162" s="92" t="n"/>
      <c r="F162" s="153" t="n"/>
      <c r="G162" s="41" t="n"/>
      <c r="H162" s="154" t="n"/>
      <c r="I162" s="155" t="n"/>
      <c r="J162" s="156" t="n"/>
      <c r="K162" s="115" t="n"/>
    </row>
    <row r="163" ht="15.75" customHeight="1" s="186">
      <c r="B163" s="91" t="n"/>
      <c r="C163" s="95" t="n"/>
      <c r="D163" s="96" t="n"/>
      <c r="E163" s="96" t="n"/>
      <c r="F163" s="157" t="n"/>
      <c r="G163" s="50" t="n"/>
      <c r="H163" s="158" t="n"/>
      <c r="I163" s="159" t="n"/>
      <c r="J163" s="160" t="n"/>
      <c r="K163" s="122" t="n"/>
    </row>
    <row r="164" ht="15.75" customHeight="1" s="186">
      <c r="B164" s="91" t="n"/>
      <c r="C164" s="93" t="n"/>
      <c r="D164" s="92" t="n"/>
      <c r="E164" s="92" t="n"/>
      <c r="F164" s="153" t="n"/>
      <c r="G164" s="41" t="n"/>
      <c r="H164" s="154" t="n"/>
      <c r="I164" s="155" t="n"/>
      <c r="J164" s="156" t="n"/>
      <c r="K164" s="115" t="n"/>
    </row>
    <row r="165" ht="15.75" customHeight="1" s="186">
      <c r="B165" s="91" t="n"/>
      <c r="C165" s="95" t="n"/>
      <c r="D165" s="96" t="n"/>
      <c r="E165" s="96" t="n"/>
      <c r="F165" s="157" t="n"/>
      <c r="G165" s="50" t="n"/>
      <c r="H165" s="158" t="n"/>
      <c r="I165" s="159" t="n"/>
      <c r="J165" s="160" t="n"/>
      <c r="K165" s="122" t="n"/>
    </row>
    <row r="166" ht="15.75" customHeight="1" s="186">
      <c r="B166" s="91" t="n"/>
      <c r="C166" s="93" t="n"/>
      <c r="D166" s="92" t="n"/>
      <c r="E166" s="92" t="n"/>
      <c r="F166" s="153" t="n"/>
      <c r="G166" s="41" t="n"/>
      <c r="H166" s="154" t="n"/>
      <c r="I166" s="155" t="n"/>
      <c r="J166" s="156" t="n"/>
      <c r="K166" s="115" t="n"/>
    </row>
    <row r="167" ht="15.75" customHeight="1" s="186">
      <c r="B167" s="91" t="n"/>
      <c r="C167" s="95" t="n"/>
      <c r="D167" s="96" t="n"/>
      <c r="E167" s="96" t="n"/>
      <c r="F167" s="157" t="n"/>
      <c r="G167" s="50" t="n"/>
      <c r="H167" s="158" t="n"/>
      <c r="I167" s="159" t="n"/>
      <c r="J167" s="160" t="n"/>
      <c r="K167" s="122" t="n"/>
    </row>
    <row r="168" ht="15.75" customHeight="1" s="186">
      <c r="B168" s="91" t="n"/>
      <c r="C168" s="93" t="n"/>
      <c r="D168" s="92" t="n"/>
      <c r="E168" s="92" t="n"/>
      <c r="F168" s="153" t="n"/>
      <c r="G168" s="41" t="n"/>
      <c r="H168" s="154" t="n"/>
      <c r="I168" s="155" t="n"/>
      <c r="J168" s="156" t="n"/>
      <c r="K168" s="115" t="n"/>
    </row>
    <row r="169" ht="15.75" customHeight="1" s="186">
      <c r="B169" s="91" t="n"/>
      <c r="C169" s="95" t="n"/>
      <c r="D169" s="96" t="n"/>
      <c r="E169" s="96" t="n"/>
      <c r="F169" s="157" t="n"/>
      <c r="G169" s="50" t="n"/>
      <c r="H169" s="158" t="n"/>
      <c r="I169" s="159" t="n"/>
      <c r="J169" s="160" t="n"/>
      <c r="K169" s="122" t="n"/>
    </row>
    <row r="170" ht="15.75" customHeight="1" s="186">
      <c r="B170" s="91" t="n"/>
      <c r="C170" s="93" t="n"/>
      <c r="D170" s="92" t="n"/>
      <c r="E170" s="92" t="n"/>
      <c r="F170" s="153" t="n"/>
      <c r="G170" s="41" t="n"/>
      <c r="H170" s="154" t="n"/>
      <c r="I170" s="155" t="n"/>
      <c r="J170" s="156" t="n"/>
      <c r="K170" s="115" t="n"/>
    </row>
    <row r="171" ht="15.75" customHeight="1" s="186">
      <c r="B171" s="91" t="n"/>
      <c r="C171" s="95" t="n"/>
      <c r="D171" s="96" t="n"/>
      <c r="E171" s="96" t="n"/>
      <c r="F171" s="157" t="n"/>
      <c r="G171" s="50" t="n"/>
      <c r="H171" s="158" t="n"/>
      <c r="I171" s="159" t="n"/>
      <c r="J171" s="160" t="n"/>
      <c r="K171" s="122" t="n"/>
    </row>
    <row r="172" ht="15.75" customHeight="1" s="186">
      <c r="B172" s="91" t="n"/>
      <c r="C172" s="93" t="n"/>
      <c r="D172" s="92" t="n"/>
      <c r="E172" s="92" t="n"/>
      <c r="F172" s="153" t="n"/>
      <c r="G172" s="41" t="n"/>
      <c r="H172" s="154" t="n"/>
      <c r="I172" s="155" t="n"/>
      <c r="J172" s="156" t="n"/>
      <c r="K172" s="115" t="n"/>
    </row>
    <row r="173" ht="15.75" customHeight="1" s="186">
      <c r="B173" s="91" t="n"/>
      <c r="C173" s="95" t="n"/>
      <c r="D173" s="96" t="n"/>
      <c r="E173" s="96" t="n"/>
      <c r="F173" s="157" t="n"/>
      <c r="G173" s="50" t="n"/>
      <c r="H173" s="158" t="n"/>
      <c r="I173" s="159" t="n"/>
      <c r="J173" s="160" t="n"/>
      <c r="K173" s="122" t="n"/>
    </row>
    <row r="174" ht="15.75" customHeight="1" s="186">
      <c r="B174" s="91" t="n"/>
      <c r="C174" s="93" t="n"/>
      <c r="D174" s="92" t="n"/>
      <c r="E174" s="92" t="n"/>
      <c r="F174" s="153" t="n"/>
      <c r="G174" s="41" t="n"/>
      <c r="H174" s="154" t="n"/>
      <c r="I174" s="155" t="n"/>
      <c r="J174" s="156" t="n"/>
      <c r="K174" s="115" t="n"/>
    </row>
    <row r="175" ht="15.75" customHeight="1" s="186">
      <c r="B175" s="91" t="n"/>
      <c r="C175" s="95" t="n"/>
      <c r="D175" s="96" t="n"/>
      <c r="E175" s="96" t="n"/>
      <c r="F175" s="157" t="n"/>
      <c r="G175" s="50" t="n"/>
      <c r="H175" s="158" t="n"/>
      <c r="I175" s="159" t="n"/>
      <c r="J175" s="160" t="n"/>
      <c r="K175" s="122" t="n"/>
    </row>
    <row r="176" ht="15.75" customHeight="1" s="186">
      <c r="B176" s="91" t="n"/>
      <c r="C176" s="93" t="n"/>
      <c r="D176" s="92" t="n"/>
      <c r="E176" s="92" t="n"/>
      <c r="F176" s="153" t="n"/>
      <c r="G176" s="41" t="n"/>
      <c r="H176" s="154" t="n"/>
      <c r="I176" s="155" t="n"/>
      <c r="J176" s="156" t="n"/>
      <c r="K176" s="115" t="n"/>
    </row>
    <row r="177" ht="15.75" customHeight="1" s="186">
      <c r="B177" s="91" t="n"/>
      <c r="C177" s="95" t="n"/>
      <c r="D177" s="96" t="n"/>
      <c r="E177" s="96" t="n"/>
      <c r="F177" s="157" t="n"/>
      <c r="G177" s="50" t="n"/>
      <c r="H177" s="158" t="n"/>
      <c r="I177" s="159" t="n"/>
      <c r="J177" s="160" t="n"/>
      <c r="K177" s="122" t="n"/>
    </row>
    <row r="178" ht="15.75" customHeight="1" s="186">
      <c r="B178" s="91" t="n"/>
      <c r="C178" s="93" t="n"/>
      <c r="D178" s="92" t="n"/>
      <c r="E178" s="92" t="n"/>
      <c r="F178" s="153" t="n"/>
      <c r="G178" s="41" t="n"/>
      <c r="H178" s="154" t="n"/>
      <c r="I178" s="155" t="n"/>
      <c r="J178" s="156" t="n"/>
      <c r="K178" s="115" t="n"/>
    </row>
    <row r="179" ht="15.75" customHeight="1" s="186">
      <c r="B179" s="91" t="n"/>
      <c r="C179" s="95" t="n"/>
      <c r="D179" s="96" t="n"/>
      <c r="E179" s="96" t="n"/>
      <c r="F179" s="157" t="n"/>
      <c r="G179" s="50" t="n"/>
      <c r="H179" s="158" t="n"/>
      <c r="I179" s="159" t="n"/>
      <c r="J179" s="160" t="n"/>
      <c r="K179" s="122" t="n"/>
    </row>
    <row r="180" ht="15.75" customHeight="1" s="186">
      <c r="B180" s="91" t="n"/>
      <c r="C180" s="93" t="n"/>
      <c r="D180" s="92" t="n"/>
      <c r="E180" s="92" t="n"/>
      <c r="F180" s="153" t="n"/>
      <c r="G180" s="41" t="n"/>
      <c r="H180" s="154" t="n"/>
      <c r="I180" s="155" t="n"/>
      <c r="J180" s="156" t="n"/>
      <c r="K180" s="115" t="n"/>
    </row>
    <row r="181" ht="15.75" customHeight="1" s="186">
      <c r="B181" s="91" t="n"/>
      <c r="C181" s="95" t="n"/>
      <c r="D181" s="96" t="n"/>
      <c r="E181" s="96" t="n"/>
      <c r="F181" s="157" t="n"/>
      <c r="G181" s="50" t="n"/>
      <c r="H181" s="158" t="n"/>
      <c r="I181" s="159" t="n"/>
      <c r="J181" s="160" t="n"/>
      <c r="K181" s="122" t="n"/>
    </row>
    <row r="182" ht="15.75" customHeight="1" s="186">
      <c r="B182" s="91" t="n"/>
      <c r="C182" s="93" t="n"/>
      <c r="D182" s="92" t="n"/>
      <c r="E182" s="92" t="n"/>
      <c r="F182" s="153" t="n"/>
      <c r="G182" s="41" t="n"/>
      <c r="H182" s="154" t="n"/>
      <c r="I182" s="155" t="n"/>
      <c r="J182" s="156" t="n"/>
      <c r="K182" s="115" t="n"/>
    </row>
    <row r="183" ht="15.75" customHeight="1" s="186">
      <c r="B183" s="91" t="n"/>
      <c r="C183" s="95" t="n"/>
      <c r="D183" s="96" t="n"/>
      <c r="E183" s="96" t="n"/>
      <c r="F183" s="157" t="n"/>
      <c r="G183" s="50" t="n"/>
      <c r="H183" s="158" t="n"/>
      <c r="I183" s="159" t="n"/>
      <c r="J183" s="160" t="n"/>
      <c r="K183" s="122" t="n"/>
    </row>
    <row r="184" ht="15.75" customHeight="1" s="186">
      <c r="B184" s="91" t="n"/>
      <c r="C184" s="93" t="n"/>
      <c r="D184" s="92" t="n"/>
      <c r="E184" s="92" t="n"/>
      <c r="F184" s="153" t="n"/>
      <c r="G184" s="41" t="n"/>
      <c r="H184" s="154" t="n"/>
      <c r="I184" s="155" t="n"/>
      <c r="J184" s="156" t="n"/>
      <c r="K184" s="115" t="n"/>
    </row>
    <row r="185" ht="15.75" customHeight="1" s="186">
      <c r="B185" s="91" t="n"/>
      <c r="C185" s="95" t="n"/>
      <c r="D185" s="96" t="n"/>
      <c r="E185" s="96" t="n"/>
      <c r="F185" s="157" t="n"/>
      <c r="G185" s="50" t="n"/>
      <c r="H185" s="158" t="n"/>
      <c r="I185" s="159" t="n"/>
      <c r="J185" s="160" t="n"/>
      <c r="K185" s="122" t="n"/>
    </row>
    <row r="186" ht="15.75" customHeight="1" s="186">
      <c r="B186" s="91" t="n"/>
      <c r="C186" s="93" t="n"/>
      <c r="D186" s="92" t="n"/>
      <c r="E186" s="92" t="n"/>
      <c r="F186" s="153" t="n"/>
      <c r="G186" s="41" t="n"/>
      <c r="H186" s="154" t="n"/>
      <c r="I186" s="155" t="n"/>
      <c r="J186" s="156" t="n"/>
      <c r="K186" s="115" t="n"/>
    </row>
    <row r="187" ht="15.75" customHeight="1" s="186">
      <c r="B187" s="91" t="n"/>
      <c r="C187" s="95" t="n"/>
      <c r="D187" s="96" t="n"/>
      <c r="E187" s="96" t="n"/>
      <c r="F187" s="157" t="n"/>
      <c r="G187" s="50" t="n"/>
      <c r="H187" s="158" t="n"/>
      <c r="I187" s="159" t="n"/>
      <c r="J187" s="160" t="n"/>
      <c r="K187" s="122" t="n"/>
    </row>
    <row r="188" ht="15.75" customHeight="1" s="186">
      <c r="B188" s="91" t="n"/>
      <c r="C188" s="93" t="n"/>
      <c r="D188" s="92" t="n"/>
      <c r="E188" s="92" t="n"/>
      <c r="F188" s="153" t="n"/>
      <c r="G188" s="41" t="n"/>
      <c r="H188" s="154" t="n"/>
      <c r="I188" s="155" t="n"/>
      <c r="J188" s="156" t="n"/>
      <c r="K188" s="115" t="n"/>
    </row>
    <row r="189" ht="15.75" customHeight="1" s="186">
      <c r="B189" s="91" t="n"/>
      <c r="C189" s="95" t="n"/>
      <c r="D189" s="96" t="n"/>
      <c r="E189" s="96" t="n"/>
      <c r="F189" s="157" t="n"/>
      <c r="G189" s="50" t="n"/>
      <c r="H189" s="158" t="n"/>
      <c r="I189" s="159" t="n"/>
      <c r="J189" s="160" t="n"/>
      <c r="K189" s="122" t="n"/>
    </row>
    <row r="190" ht="15.75" customHeight="1" s="186">
      <c r="B190" s="91" t="n"/>
      <c r="C190" s="93" t="n"/>
      <c r="D190" s="92" t="n"/>
      <c r="E190" s="92" t="n"/>
      <c r="F190" s="153" t="n"/>
      <c r="G190" s="41" t="n"/>
      <c r="H190" s="154" t="n"/>
      <c r="I190" s="155" t="n"/>
      <c r="J190" s="156" t="n"/>
      <c r="K190" s="115" t="n"/>
    </row>
    <row r="191" ht="15.75" customHeight="1" s="186">
      <c r="B191" s="91" t="n"/>
      <c r="C191" s="95" t="n"/>
      <c r="D191" s="96" t="n"/>
      <c r="E191" s="96" t="n"/>
      <c r="F191" s="157" t="n"/>
      <c r="G191" s="50" t="n"/>
      <c r="H191" s="158" t="n"/>
      <c r="I191" s="159" t="n"/>
      <c r="J191" s="160" t="n"/>
      <c r="K191" s="122" t="n"/>
    </row>
    <row r="192" ht="15.75" customHeight="1" s="186">
      <c r="B192" s="91" t="n"/>
      <c r="C192" s="93" t="n"/>
      <c r="D192" s="92" t="n"/>
      <c r="E192" s="92" t="n"/>
      <c r="F192" s="153" t="n"/>
      <c r="G192" s="41" t="n"/>
      <c r="H192" s="154" t="n"/>
      <c r="I192" s="155" t="n"/>
      <c r="J192" s="156" t="n"/>
      <c r="K192" s="115" t="n"/>
    </row>
    <row r="193" ht="15.75" customHeight="1" s="186">
      <c r="B193" s="91" t="n"/>
      <c r="C193" s="95" t="n"/>
      <c r="D193" s="96" t="n"/>
      <c r="E193" s="96" t="n"/>
      <c r="F193" s="157" t="n"/>
      <c r="G193" s="50" t="n"/>
      <c r="H193" s="158" t="n"/>
      <c r="I193" s="159" t="n"/>
      <c r="J193" s="160" t="n"/>
      <c r="K193" s="122" t="n"/>
    </row>
    <row r="194" ht="15.75" customHeight="1" s="186">
      <c r="B194" s="91" t="n"/>
      <c r="C194" s="93" t="n"/>
      <c r="D194" s="92" t="n"/>
      <c r="E194" s="92" t="n"/>
      <c r="F194" s="153" t="n"/>
      <c r="G194" s="41" t="n"/>
      <c r="H194" s="154" t="n"/>
      <c r="I194" s="155" t="n"/>
      <c r="J194" s="156" t="n"/>
      <c r="K194" s="115" t="n"/>
    </row>
    <row r="195" ht="15.75" customHeight="1" s="186">
      <c r="B195" s="91" t="n"/>
      <c r="C195" s="95" t="n"/>
      <c r="D195" s="96" t="n"/>
      <c r="E195" s="96" t="n"/>
      <c r="F195" s="157" t="n"/>
      <c r="G195" s="50" t="n"/>
      <c r="H195" s="158" t="n"/>
      <c r="I195" s="159" t="n"/>
      <c r="J195" s="160" t="n"/>
      <c r="K195" s="122" t="n"/>
    </row>
    <row r="196" ht="15.75" customHeight="1" s="186">
      <c r="B196" s="91" t="n"/>
      <c r="C196" s="93" t="n"/>
      <c r="D196" s="92" t="n"/>
      <c r="E196" s="92" t="n"/>
      <c r="F196" s="153" t="n"/>
      <c r="G196" s="41" t="n"/>
      <c r="H196" s="154" t="n"/>
      <c r="I196" s="155" t="n"/>
      <c r="J196" s="156" t="n"/>
      <c r="K196" s="115" t="n"/>
    </row>
    <row r="197" ht="15.75" customHeight="1" s="186">
      <c r="B197" s="91" t="n"/>
      <c r="C197" s="95" t="n"/>
      <c r="D197" s="96" t="n"/>
      <c r="E197" s="96" t="n"/>
      <c r="F197" s="157" t="n"/>
      <c r="G197" s="50" t="n"/>
      <c r="H197" s="158" t="n"/>
      <c r="I197" s="159" t="n"/>
      <c r="J197" s="160" t="n"/>
      <c r="K197" s="122" t="n"/>
    </row>
    <row r="198" ht="15.75" customHeight="1" s="186">
      <c r="B198" s="91" t="n"/>
      <c r="C198" s="93" t="n"/>
      <c r="D198" s="92" t="n"/>
      <c r="E198" s="92" t="n"/>
      <c r="F198" s="153" t="n"/>
      <c r="G198" s="41" t="n"/>
      <c r="H198" s="154" t="n"/>
      <c r="I198" s="155" t="n"/>
      <c r="J198" s="156" t="n"/>
      <c r="K198" s="115" t="n"/>
    </row>
    <row r="199" ht="15.75" customHeight="1" s="186">
      <c r="B199" s="91" t="n"/>
      <c r="C199" s="95" t="n"/>
      <c r="D199" s="96" t="n"/>
      <c r="E199" s="96" t="n"/>
      <c r="F199" s="157" t="n"/>
      <c r="G199" s="50" t="n"/>
      <c r="H199" s="158" t="n"/>
      <c r="I199" s="159" t="n"/>
      <c r="J199" s="160" t="n"/>
      <c r="K199" s="122" t="n"/>
    </row>
    <row r="200" ht="15.75" customHeight="1" s="186">
      <c r="B200" s="91" t="n"/>
      <c r="C200" s="93" t="n"/>
      <c r="D200" s="92" t="n"/>
      <c r="E200" s="92" t="n"/>
      <c r="F200" s="153" t="n"/>
      <c r="G200" s="41" t="n"/>
      <c r="H200" s="154" t="n"/>
      <c r="I200" s="155" t="n"/>
      <c r="J200" s="156" t="n"/>
      <c r="K200" s="115" t="n"/>
    </row>
    <row r="201" ht="15.75" customHeight="1" s="186">
      <c r="B201" s="91" t="n"/>
      <c r="C201" s="95" t="n"/>
      <c r="D201" s="96" t="n"/>
      <c r="E201" s="96" t="n"/>
      <c r="F201" s="157" t="n"/>
      <c r="G201" s="50" t="n"/>
      <c r="H201" s="158" t="n"/>
      <c r="I201" s="159" t="n"/>
      <c r="J201" s="160" t="n"/>
      <c r="K201" s="122" t="n"/>
    </row>
    <row r="202" ht="15.75" customHeight="1" s="186">
      <c r="B202" s="91" t="n"/>
      <c r="C202" s="93" t="n"/>
      <c r="D202" s="92" t="n"/>
      <c r="E202" s="92" t="n"/>
      <c r="F202" s="153" t="n"/>
      <c r="G202" s="41" t="n"/>
      <c r="H202" s="154" t="n"/>
      <c r="I202" s="155" t="n"/>
      <c r="J202" s="156" t="n"/>
      <c r="K202" s="115" t="n"/>
    </row>
    <row r="203" ht="15.75" customHeight="1" s="186">
      <c r="B203" s="91" t="n"/>
      <c r="C203" s="95" t="n"/>
      <c r="D203" s="96" t="n"/>
      <c r="E203" s="96" t="n"/>
      <c r="F203" s="157" t="n"/>
      <c r="G203" s="50" t="n"/>
      <c r="H203" s="158" t="n"/>
      <c r="I203" s="159" t="n"/>
      <c r="J203" s="160" t="n"/>
      <c r="K203" s="122" t="n"/>
    </row>
    <row r="204" ht="15.75" customHeight="1" s="186">
      <c r="B204" s="91" t="n"/>
      <c r="C204" s="93" t="n"/>
      <c r="D204" s="92" t="n"/>
      <c r="E204" s="92" t="n"/>
      <c r="F204" s="153" t="n"/>
      <c r="G204" s="41" t="n"/>
      <c r="H204" s="154" t="n"/>
      <c r="I204" s="155" t="n"/>
      <c r="J204" s="156" t="n"/>
      <c r="K204" s="115" t="n"/>
    </row>
    <row r="205" ht="15.75" customHeight="1" s="186">
      <c r="B205" s="91" t="n"/>
      <c r="C205" s="95" t="n"/>
      <c r="D205" s="96" t="n"/>
      <c r="E205" s="96" t="n"/>
      <c r="F205" s="157" t="n"/>
      <c r="G205" s="50" t="n"/>
      <c r="H205" s="158" t="n"/>
      <c r="I205" s="159" t="n"/>
      <c r="J205" s="160" t="n"/>
      <c r="K205" s="122" t="n"/>
    </row>
    <row r="206" ht="15.75" customHeight="1" s="186">
      <c r="B206" s="91" t="n"/>
      <c r="C206" s="93" t="n"/>
      <c r="D206" s="92" t="n"/>
      <c r="E206" s="92" t="n"/>
      <c r="F206" s="153" t="n"/>
      <c r="G206" s="41" t="n"/>
      <c r="H206" s="154" t="n"/>
      <c r="I206" s="155" t="n"/>
      <c r="J206" s="156" t="n"/>
      <c r="K206" s="115" t="n"/>
    </row>
    <row r="207" ht="15.75" customHeight="1" s="186">
      <c r="B207" s="91" t="n"/>
      <c r="C207" s="95" t="n"/>
      <c r="D207" s="96" t="n"/>
      <c r="E207" s="96" t="n"/>
      <c r="F207" s="157" t="n"/>
      <c r="G207" s="50" t="n"/>
      <c r="H207" s="158" t="n"/>
      <c r="I207" s="159" t="n"/>
      <c r="J207" s="160" t="n"/>
      <c r="K207" s="122" t="n"/>
    </row>
    <row r="208" ht="15.75" customHeight="1" s="186">
      <c r="B208" s="91" t="n"/>
      <c r="C208" s="93" t="n"/>
      <c r="D208" s="92" t="n"/>
      <c r="E208" s="92" t="n"/>
      <c r="F208" s="153" t="n"/>
      <c r="G208" s="41" t="n"/>
      <c r="H208" s="154" t="n"/>
      <c r="I208" s="155" t="n"/>
      <c r="J208" s="156" t="n"/>
      <c r="K208" s="115" t="n"/>
    </row>
    <row r="209" ht="15.75" customHeight="1" s="186">
      <c r="B209" s="91" t="n"/>
      <c r="C209" s="95" t="n"/>
      <c r="D209" s="96" t="n"/>
      <c r="E209" s="96" t="n"/>
      <c r="F209" s="157" t="n"/>
      <c r="G209" s="50" t="n"/>
      <c r="H209" s="158" t="n"/>
      <c r="I209" s="159" t="n"/>
      <c r="J209" s="160" t="n"/>
      <c r="K209" s="122" t="n"/>
    </row>
    <row r="210" ht="15.75" customHeight="1" s="186">
      <c r="B210" s="91" t="n"/>
      <c r="C210" s="93" t="n"/>
      <c r="D210" s="92" t="n"/>
      <c r="E210" s="92" t="n"/>
      <c r="F210" s="153" t="n"/>
      <c r="G210" s="41" t="n"/>
      <c r="H210" s="154" t="n"/>
      <c r="I210" s="155" t="n"/>
      <c r="J210" s="156" t="n"/>
      <c r="K210" s="115" t="n"/>
    </row>
    <row r="211" ht="15.75" customHeight="1" s="186">
      <c r="B211" s="91" t="n"/>
      <c r="C211" s="95" t="n"/>
      <c r="D211" s="96" t="n"/>
      <c r="E211" s="96" t="n"/>
      <c r="F211" s="157" t="n"/>
      <c r="G211" s="50" t="n"/>
      <c r="H211" s="158" t="n"/>
      <c r="I211" s="159" t="n"/>
      <c r="J211" s="160" t="n"/>
      <c r="K211" s="122" t="n"/>
    </row>
    <row r="212" ht="15.75" customHeight="1" s="186">
      <c r="B212" s="91" t="n"/>
      <c r="C212" s="93" t="n"/>
      <c r="D212" s="92" t="n"/>
      <c r="E212" s="92" t="n"/>
      <c r="F212" s="153" t="n"/>
      <c r="G212" s="41" t="n"/>
      <c r="H212" s="154" t="n"/>
      <c r="I212" s="155" t="n"/>
      <c r="J212" s="156" t="n"/>
      <c r="K212" s="115" t="n"/>
    </row>
    <row r="213" ht="15.75" customHeight="1" s="186">
      <c r="B213" s="91" t="n"/>
      <c r="C213" s="95" t="n"/>
      <c r="D213" s="96" t="n"/>
      <c r="E213" s="96" t="n"/>
      <c r="F213" s="157" t="n"/>
      <c r="G213" s="50" t="n"/>
      <c r="H213" s="158" t="n"/>
      <c r="I213" s="159" t="n"/>
      <c r="J213" s="160" t="n"/>
      <c r="K213" s="122" t="n"/>
    </row>
    <row r="214" ht="15.75" customHeight="1" s="186">
      <c r="B214" s="91" t="n"/>
      <c r="C214" s="93" t="n"/>
      <c r="D214" s="92" t="n"/>
      <c r="E214" s="92" t="n"/>
      <c r="F214" s="153" t="n"/>
      <c r="G214" s="41" t="n"/>
      <c r="H214" s="154" t="n"/>
      <c r="I214" s="155" t="n"/>
      <c r="J214" s="156" t="n"/>
      <c r="K214" s="115" t="n"/>
    </row>
    <row r="215" ht="15.75" customHeight="1" s="186">
      <c r="B215" s="91" t="n"/>
      <c r="C215" s="95" t="n"/>
      <c r="D215" s="96" t="n"/>
      <c r="E215" s="96" t="n"/>
      <c r="F215" s="157" t="n"/>
      <c r="G215" s="50" t="n"/>
      <c r="H215" s="158" t="n"/>
      <c r="I215" s="159" t="n"/>
      <c r="J215" s="160" t="n"/>
      <c r="K215" s="122" t="n"/>
    </row>
    <row r="216" ht="15.75" customHeight="1" s="186">
      <c r="B216" s="91" t="n"/>
      <c r="C216" s="93" t="n"/>
      <c r="D216" s="92" t="n"/>
      <c r="E216" s="92" t="n"/>
      <c r="F216" s="153" t="n"/>
      <c r="G216" s="41" t="n"/>
      <c r="H216" s="154" t="n"/>
      <c r="I216" s="155" t="n"/>
      <c r="J216" s="156" t="n"/>
      <c r="K216" s="115" t="n"/>
    </row>
    <row r="217" ht="15.75" customHeight="1" s="186">
      <c r="B217" s="91" t="n"/>
      <c r="C217" s="95" t="n"/>
      <c r="D217" s="96" t="n"/>
      <c r="E217" s="96" t="n"/>
      <c r="F217" s="157" t="n"/>
      <c r="G217" s="50" t="n"/>
      <c r="H217" s="158" t="n"/>
      <c r="I217" s="159" t="n"/>
      <c r="J217" s="160" t="n"/>
      <c r="K217" s="122" t="n"/>
    </row>
    <row r="218" ht="15.75" customHeight="1" s="186">
      <c r="B218" s="91" t="n"/>
      <c r="C218" s="93" t="n"/>
      <c r="D218" s="92" t="n"/>
      <c r="E218" s="92" t="n"/>
      <c r="F218" s="153" t="n"/>
      <c r="G218" s="41" t="n"/>
      <c r="H218" s="154" t="n"/>
      <c r="I218" s="155" t="n"/>
      <c r="J218" s="156" t="n"/>
      <c r="K218" s="115" t="n"/>
    </row>
    <row r="219" ht="15.75" customHeight="1" s="186">
      <c r="B219" s="91" t="n"/>
      <c r="C219" s="95" t="n"/>
      <c r="D219" s="96" t="n"/>
      <c r="E219" s="96" t="n"/>
      <c r="F219" s="157" t="n"/>
      <c r="G219" s="50" t="n"/>
      <c r="H219" s="158" t="n"/>
      <c r="I219" s="159" t="n"/>
      <c r="J219" s="160" t="n"/>
      <c r="K219" s="122" t="n"/>
    </row>
    <row r="220" ht="15.75" customHeight="1" s="186">
      <c r="B220" s="91" t="n"/>
      <c r="C220" s="93" t="n"/>
      <c r="D220" s="92" t="n"/>
      <c r="E220" s="92" t="n"/>
      <c r="F220" s="153" t="n"/>
      <c r="G220" s="41" t="n"/>
      <c r="H220" s="154" t="n"/>
      <c r="I220" s="155" t="n"/>
      <c r="J220" s="156" t="n"/>
      <c r="K220" s="115" t="n"/>
    </row>
    <row r="221" ht="15.75" customHeight="1" s="186">
      <c r="B221" s="91" t="n"/>
      <c r="C221" s="95" t="n"/>
      <c r="D221" s="96" t="n"/>
      <c r="E221" s="96" t="n"/>
      <c r="F221" s="157" t="n"/>
      <c r="G221" s="50" t="n"/>
      <c r="H221" s="158" t="n"/>
      <c r="I221" s="159" t="n"/>
      <c r="J221" s="160" t="n"/>
      <c r="K221" s="122" t="n"/>
    </row>
    <row r="222" ht="15.75" customHeight="1" s="186">
      <c r="B222" s="91" t="n"/>
      <c r="C222" s="93" t="n"/>
      <c r="D222" s="92" t="n"/>
      <c r="E222" s="92" t="n"/>
      <c r="F222" s="153" t="n"/>
      <c r="G222" s="41" t="n"/>
      <c r="H222" s="154" t="n"/>
      <c r="I222" s="155" t="n"/>
      <c r="J222" s="156" t="n"/>
      <c r="K222" s="115" t="n"/>
    </row>
    <row r="223" ht="15.75" customHeight="1" s="186">
      <c r="B223" s="91" t="n"/>
      <c r="C223" s="95" t="n"/>
      <c r="D223" s="96" t="n"/>
      <c r="E223" s="96" t="n"/>
      <c r="F223" s="157" t="n"/>
      <c r="G223" s="50" t="n"/>
      <c r="H223" s="158" t="n"/>
      <c r="I223" s="159" t="n"/>
      <c r="J223" s="160" t="n"/>
      <c r="K223" s="122" t="n"/>
    </row>
    <row r="224" ht="15.75" customHeight="1" s="186">
      <c r="B224" s="91" t="n"/>
      <c r="C224" s="93" t="n"/>
      <c r="D224" s="92" t="n"/>
      <c r="E224" s="92" t="n"/>
      <c r="F224" s="153" t="n"/>
      <c r="G224" s="41" t="n"/>
      <c r="H224" s="154" t="n"/>
      <c r="I224" s="155" t="n"/>
      <c r="J224" s="156" t="n"/>
      <c r="K224" s="115" t="n"/>
    </row>
    <row r="225" ht="15.75" customHeight="1" s="186">
      <c r="B225" s="91" t="n"/>
      <c r="C225" s="95" t="n"/>
      <c r="D225" s="96" t="n"/>
      <c r="E225" s="96" t="n"/>
      <c r="F225" s="157" t="n"/>
      <c r="G225" s="50" t="n"/>
      <c r="H225" s="158" t="n"/>
      <c r="I225" s="159" t="n"/>
      <c r="J225" s="160" t="n"/>
      <c r="K225" s="122" t="n"/>
    </row>
    <row r="226" ht="15.75" customHeight="1" s="186">
      <c r="B226" s="91" t="n"/>
      <c r="C226" s="93" t="n"/>
      <c r="D226" s="92" t="n"/>
      <c r="E226" s="92" t="n"/>
      <c r="F226" s="153" t="n"/>
      <c r="G226" s="41" t="n"/>
      <c r="H226" s="154" t="n"/>
      <c r="I226" s="155" t="n"/>
      <c r="J226" s="156" t="n"/>
      <c r="K226" s="115" t="n"/>
    </row>
    <row r="227" ht="15.75" customHeight="1" s="186">
      <c r="B227" s="91" t="n"/>
      <c r="C227" s="95" t="n"/>
      <c r="D227" s="96" t="n"/>
      <c r="E227" s="96" t="n"/>
      <c r="F227" s="157" t="n"/>
      <c r="G227" s="50" t="n"/>
      <c r="H227" s="158" t="n"/>
      <c r="I227" s="159" t="n"/>
      <c r="J227" s="160" t="n"/>
      <c r="K227" s="122" t="n"/>
    </row>
    <row r="228" ht="15.75" customHeight="1" s="186">
      <c r="B228" s="91" t="n"/>
      <c r="C228" s="93" t="n"/>
      <c r="D228" s="92" t="n"/>
      <c r="E228" s="92" t="n"/>
      <c r="F228" s="153" t="n"/>
      <c r="G228" s="41" t="n"/>
      <c r="H228" s="154" t="n"/>
      <c r="I228" s="155" t="n"/>
      <c r="J228" s="156" t="n"/>
      <c r="K228" s="115" t="n"/>
    </row>
    <row r="229" ht="15.75" customHeight="1" s="186">
      <c r="B229" s="91" t="n"/>
      <c r="C229" s="95" t="n"/>
      <c r="D229" s="96" t="n"/>
      <c r="E229" s="96" t="n"/>
      <c r="F229" s="157" t="n"/>
      <c r="G229" s="50" t="n"/>
      <c r="H229" s="158" t="n"/>
      <c r="I229" s="159" t="n"/>
      <c r="J229" s="160" t="n"/>
      <c r="K229" s="122" t="n"/>
    </row>
    <row r="230" ht="15.75" customHeight="1" s="186">
      <c r="B230" s="91" t="n"/>
      <c r="C230" s="93" t="n"/>
      <c r="D230" s="92" t="n"/>
      <c r="E230" s="92" t="n"/>
      <c r="F230" s="153" t="n"/>
      <c r="G230" s="41" t="n"/>
      <c r="H230" s="154" t="n"/>
      <c r="I230" s="155" t="n"/>
      <c r="J230" s="156" t="n"/>
      <c r="K230" s="115" t="n"/>
    </row>
    <row r="231" ht="15.75" customHeight="1" s="186">
      <c r="B231" s="91" t="n"/>
      <c r="C231" s="95" t="n"/>
      <c r="D231" s="96" t="n"/>
      <c r="E231" s="96" t="n"/>
      <c r="F231" s="157" t="n"/>
      <c r="G231" s="50" t="n"/>
      <c r="H231" s="158" t="n"/>
      <c r="I231" s="159" t="n"/>
      <c r="J231" s="160" t="n"/>
      <c r="K231" s="122" t="n"/>
    </row>
    <row r="232" ht="15.75" customHeight="1" s="186">
      <c r="B232" s="91" t="n"/>
      <c r="C232" s="93" t="n"/>
      <c r="D232" s="92" t="n"/>
      <c r="E232" s="92" t="n"/>
      <c r="F232" s="153" t="n"/>
      <c r="G232" s="41" t="n"/>
      <c r="H232" s="154" t="n"/>
      <c r="I232" s="155" t="n"/>
      <c r="J232" s="156" t="n"/>
      <c r="K232" s="115" t="n"/>
    </row>
    <row r="233" ht="15.75" customHeight="1" s="186">
      <c r="B233" s="91" t="n"/>
      <c r="C233" s="95" t="n"/>
      <c r="D233" s="96" t="n"/>
      <c r="E233" s="96" t="n"/>
      <c r="F233" s="157" t="n"/>
      <c r="G233" s="50" t="n"/>
      <c r="H233" s="158" t="n"/>
      <c r="I233" s="159" t="n"/>
      <c r="J233" s="160" t="n"/>
      <c r="K233" s="122" t="n"/>
    </row>
    <row r="234" ht="15.75" customHeight="1" s="186">
      <c r="B234" s="91" t="n"/>
      <c r="C234" s="93" t="n"/>
      <c r="D234" s="92" t="n"/>
      <c r="E234" s="92" t="n"/>
      <c r="F234" s="153" t="n"/>
      <c r="G234" s="41" t="n"/>
      <c r="H234" s="154" t="n"/>
      <c r="I234" s="155" t="n"/>
      <c r="J234" s="156" t="n"/>
      <c r="K234" s="115" t="n"/>
    </row>
    <row r="235" ht="15.75" customHeight="1" s="186">
      <c r="B235" s="91" t="n"/>
      <c r="C235" s="95" t="n"/>
      <c r="D235" s="96" t="n"/>
      <c r="E235" s="96" t="n"/>
      <c r="F235" s="157" t="n"/>
      <c r="G235" s="50" t="n"/>
      <c r="H235" s="158" t="n"/>
      <c r="I235" s="159" t="n"/>
      <c r="J235" s="160" t="n"/>
      <c r="K235" s="122" t="n"/>
    </row>
    <row r="236" ht="15.75" customHeight="1" s="186">
      <c r="B236" s="91" t="n"/>
      <c r="C236" s="93" t="n"/>
      <c r="D236" s="92" t="n"/>
      <c r="E236" s="92" t="n"/>
      <c r="F236" s="153" t="n"/>
      <c r="G236" s="41" t="n"/>
      <c r="H236" s="154" t="n"/>
      <c r="I236" s="155" t="n"/>
      <c r="J236" s="156" t="n"/>
      <c r="K236" s="115" t="n"/>
    </row>
    <row r="237" ht="15.75" customHeight="1" s="186">
      <c r="B237" s="91" t="n"/>
      <c r="C237" s="95" t="n"/>
      <c r="D237" s="96" t="n"/>
      <c r="E237" s="96" t="n"/>
      <c r="F237" s="157" t="n"/>
      <c r="G237" s="50" t="n"/>
      <c r="H237" s="158" t="n"/>
      <c r="I237" s="159" t="n"/>
      <c r="J237" s="160" t="n"/>
      <c r="K237" s="122" t="n"/>
    </row>
    <row r="238" ht="15.75" customHeight="1" s="186">
      <c r="B238" s="91" t="n"/>
      <c r="C238" s="93" t="n"/>
      <c r="D238" s="92" t="n"/>
      <c r="E238" s="92" t="n"/>
      <c r="F238" s="153" t="n"/>
      <c r="G238" s="41" t="n"/>
      <c r="H238" s="154" t="n"/>
      <c r="I238" s="155" t="n"/>
      <c r="J238" s="156" t="n"/>
      <c r="K238" s="115" t="n"/>
    </row>
    <row r="239" ht="15.75" customHeight="1" s="186">
      <c r="B239" s="91" t="n"/>
      <c r="C239" s="95" t="n"/>
      <c r="D239" s="96" t="n"/>
      <c r="E239" s="96" t="n"/>
      <c r="F239" s="157" t="n"/>
      <c r="G239" s="50" t="n"/>
      <c r="H239" s="158" t="n"/>
      <c r="I239" s="159" t="n"/>
      <c r="J239" s="160" t="n"/>
      <c r="K239" s="122" t="n"/>
    </row>
    <row r="240" ht="15.75" customHeight="1" s="186">
      <c r="B240" s="91" t="n"/>
      <c r="C240" s="93" t="n"/>
      <c r="D240" s="92" t="n"/>
      <c r="E240" s="92" t="n"/>
      <c r="F240" s="153" t="n"/>
      <c r="G240" s="41" t="n"/>
      <c r="H240" s="154" t="n"/>
      <c r="I240" s="155" t="n"/>
      <c r="J240" s="156" t="n"/>
      <c r="K240" s="115" t="n"/>
    </row>
    <row r="241" ht="15.75" customHeight="1" s="186">
      <c r="B241" s="91" t="n"/>
      <c r="C241" s="95" t="n"/>
      <c r="D241" s="96" t="n"/>
      <c r="E241" s="96" t="n"/>
      <c r="F241" s="157" t="n"/>
      <c r="G241" s="50" t="n"/>
      <c r="H241" s="158" t="n"/>
      <c r="I241" s="159" t="n"/>
      <c r="J241" s="160" t="n"/>
      <c r="K241" s="122" t="n"/>
    </row>
    <row r="242" ht="15.75" customHeight="1" s="186">
      <c r="B242" s="91" t="n"/>
      <c r="C242" s="93" t="n"/>
      <c r="D242" s="92" t="n"/>
      <c r="E242" s="92" t="n"/>
      <c r="F242" s="153" t="n"/>
      <c r="G242" s="41" t="n"/>
      <c r="H242" s="154" t="n"/>
      <c r="I242" s="155" t="n"/>
      <c r="J242" s="156" t="n"/>
      <c r="K242" s="115" t="n"/>
    </row>
    <row r="243" ht="15.75" customHeight="1" s="186">
      <c r="B243" s="91" t="n"/>
      <c r="C243" s="95" t="n"/>
      <c r="D243" s="96" t="n"/>
      <c r="E243" s="96" t="n"/>
      <c r="F243" s="157" t="n"/>
      <c r="G243" s="50" t="n"/>
      <c r="H243" s="158" t="n"/>
      <c r="I243" s="159" t="n"/>
      <c r="J243" s="160" t="n"/>
      <c r="K243" s="122" t="n"/>
    </row>
    <row r="244" ht="15.75" customHeight="1" s="186">
      <c r="B244" s="91" t="n"/>
      <c r="C244" s="93" t="n"/>
      <c r="D244" s="92" t="n"/>
      <c r="E244" s="92" t="n"/>
      <c r="F244" s="153" t="n"/>
      <c r="G244" s="41" t="n"/>
      <c r="H244" s="154" t="n"/>
      <c r="I244" s="155" t="n"/>
      <c r="J244" s="156" t="n"/>
      <c r="K244" s="115" t="n"/>
    </row>
    <row r="245" ht="15.75" customHeight="1" s="186">
      <c r="B245" s="91" t="n"/>
      <c r="C245" s="95" t="n"/>
      <c r="D245" s="96" t="n"/>
      <c r="E245" s="96" t="n"/>
      <c r="F245" s="157" t="n"/>
      <c r="G245" s="50" t="n"/>
      <c r="H245" s="158" t="n"/>
      <c r="I245" s="159" t="n"/>
      <c r="J245" s="160" t="n"/>
      <c r="K245" s="122" t="n"/>
    </row>
    <row r="246" ht="15.75" customHeight="1" s="186">
      <c r="B246" s="91" t="n"/>
      <c r="C246" s="93" t="n"/>
      <c r="D246" s="92" t="n"/>
      <c r="E246" s="92" t="n"/>
      <c r="F246" s="153" t="n"/>
      <c r="G246" s="41" t="n"/>
      <c r="H246" s="154" t="n"/>
      <c r="I246" s="155" t="n"/>
      <c r="J246" s="156" t="n"/>
      <c r="K246" s="115" t="n"/>
    </row>
    <row r="247" ht="15.75" customHeight="1" s="186">
      <c r="B247" s="91" t="n"/>
      <c r="C247" s="95" t="n"/>
      <c r="D247" s="96" t="n"/>
      <c r="E247" s="96" t="n"/>
      <c r="F247" s="157" t="n"/>
      <c r="G247" s="50" t="n"/>
      <c r="H247" s="158" t="n"/>
      <c r="I247" s="159" t="n"/>
      <c r="J247" s="160" t="n"/>
      <c r="K247" s="122" t="n"/>
    </row>
    <row r="248" ht="15.75" customHeight="1" s="186">
      <c r="B248" s="91" t="n"/>
      <c r="C248" s="93" t="n"/>
      <c r="D248" s="92" t="n"/>
      <c r="E248" s="92" t="n"/>
      <c r="F248" s="153" t="n"/>
      <c r="G248" s="41" t="n"/>
      <c r="H248" s="154" t="n"/>
      <c r="I248" s="155" t="n"/>
      <c r="J248" s="156" t="n"/>
      <c r="K248" s="115" t="n"/>
    </row>
    <row r="249" ht="15.75" customHeight="1" s="186">
      <c r="B249" s="91" t="n"/>
      <c r="C249" s="95" t="n"/>
      <c r="D249" s="96" t="n"/>
      <c r="E249" s="96" t="n"/>
      <c r="F249" s="157" t="n"/>
      <c r="G249" s="50" t="n"/>
      <c r="H249" s="158" t="n"/>
      <c r="I249" s="159" t="n"/>
      <c r="J249" s="160" t="n"/>
      <c r="K249" s="122" t="n"/>
    </row>
    <row r="250" ht="15.75" customHeight="1" s="186">
      <c r="B250" s="91" t="n"/>
      <c r="C250" s="93" t="n"/>
      <c r="D250" s="92" t="n"/>
      <c r="E250" s="92" t="n"/>
      <c r="F250" s="153" t="n"/>
      <c r="G250" s="41" t="n"/>
      <c r="H250" s="154" t="n"/>
      <c r="I250" s="155" t="n"/>
      <c r="J250" s="156" t="n"/>
      <c r="K250" s="115" t="n"/>
    </row>
    <row r="251" ht="15.75" customHeight="1" s="186">
      <c r="B251" s="91" t="n"/>
      <c r="C251" s="95" t="n"/>
      <c r="D251" s="96" t="n"/>
      <c r="E251" s="96" t="n"/>
      <c r="F251" s="157" t="n"/>
      <c r="G251" s="50" t="n"/>
      <c r="H251" s="158" t="n"/>
      <c r="I251" s="159" t="n"/>
      <c r="J251" s="160" t="n"/>
      <c r="K251" s="122" t="n"/>
    </row>
    <row r="252" ht="15.75" customHeight="1" s="186">
      <c r="B252" s="91" t="n"/>
      <c r="C252" s="93" t="n"/>
      <c r="D252" s="92" t="n"/>
      <c r="E252" s="92" t="n"/>
      <c r="F252" s="153" t="n"/>
      <c r="G252" s="41" t="n"/>
      <c r="H252" s="154" t="n"/>
      <c r="I252" s="155" t="n"/>
      <c r="J252" s="156" t="n"/>
      <c r="K252" s="115" t="n"/>
    </row>
    <row r="253" ht="15.75" customHeight="1" s="186">
      <c r="B253" s="91" t="n"/>
      <c r="C253" s="95" t="n"/>
      <c r="D253" s="96" t="n"/>
      <c r="E253" s="96" t="n"/>
      <c r="F253" s="157" t="n"/>
      <c r="G253" s="50" t="n"/>
      <c r="H253" s="158" t="n"/>
      <c r="I253" s="159" t="n"/>
      <c r="J253" s="160" t="n"/>
      <c r="K253" s="122" t="n"/>
    </row>
    <row r="254" ht="15.75" customHeight="1" s="186">
      <c r="B254" s="91" t="n"/>
      <c r="C254" s="93" t="n"/>
      <c r="D254" s="92" t="n"/>
      <c r="E254" s="92" t="n"/>
      <c r="F254" s="153" t="n"/>
      <c r="G254" s="41" t="n"/>
      <c r="H254" s="154" t="n"/>
      <c r="I254" s="155" t="n"/>
      <c r="J254" s="156" t="n"/>
      <c r="K254" s="115" t="n"/>
    </row>
    <row r="255" ht="15.75" customHeight="1" s="186">
      <c r="B255" s="91" t="n"/>
      <c r="C255" s="95" t="n"/>
      <c r="D255" s="96" t="n"/>
      <c r="E255" s="96" t="n"/>
      <c r="F255" s="157" t="n"/>
      <c r="G255" s="50" t="n"/>
      <c r="H255" s="158" t="n"/>
      <c r="I255" s="159" t="n"/>
      <c r="J255" s="160" t="n"/>
      <c r="K255" s="122" t="n"/>
    </row>
    <row r="256" ht="15.75" customHeight="1" s="186">
      <c r="B256" s="91" t="n"/>
      <c r="C256" s="93" t="n"/>
      <c r="D256" s="92" t="n"/>
      <c r="E256" s="92" t="n"/>
      <c r="F256" s="153" t="n"/>
      <c r="G256" s="41" t="n"/>
      <c r="H256" s="154" t="n"/>
      <c r="I256" s="155" t="n"/>
      <c r="J256" s="156" t="n"/>
      <c r="K256" s="115" t="n"/>
    </row>
    <row r="257" ht="15.75" customHeight="1" s="186">
      <c r="B257" s="91" t="n"/>
      <c r="C257" s="95" t="n"/>
      <c r="D257" s="96" t="n"/>
      <c r="E257" s="96" t="n"/>
      <c r="F257" s="157" t="n"/>
      <c r="G257" s="50" t="n"/>
      <c r="H257" s="158" t="n"/>
      <c r="I257" s="159" t="n"/>
      <c r="J257" s="160" t="n"/>
      <c r="K257" s="122" t="n"/>
    </row>
    <row r="258" ht="15.75" customHeight="1" s="186">
      <c r="B258" s="91" t="n"/>
      <c r="C258" s="93" t="n"/>
      <c r="D258" s="92" t="n"/>
      <c r="E258" s="92" t="n"/>
      <c r="F258" s="153" t="n"/>
      <c r="G258" s="41" t="n"/>
      <c r="H258" s="154" t="n"/>
      <c r="I258" s="155" t="n"/>
      <c r="J258" s="156" t="n"/>
      <c r="K258" s="115" t="n"/>
    </row>
    <row r="259" ht="15.75" customHeight="1" s="186">
      <c r="B259" s="91" t="n"/>
      <c r="C259" s="95" t="n"/>
      <c r="D259" s="96" t="n"/>
      <c r="E259" s="96" t="n"/>
      <c r="F259" s="157" t="n"/>
      <c r="G259" s="50" t="n"/>
      <c r="H259" s="158" t="n"/>
      <c r="I259" s="159" t="n"/>
      <c r="J259" s="160" t="n"/>
      <c r="K259" s="122" t="n"/>
    </row>
    <row r="260" ht="15.75" customHeight="1" s="186">
      <c r="B260" s="91" t="n"/>
      <c r="C260" s="93" t="n"/>
      <c r="D260" s="92" t="n"/>
      <c r="E260" s="92" t="n"/>
      <c r="F260" s="153" t="n"/>
      <c r="G260" s="41" t="n"/>
      <c r="H260" s="154" t="n"/>
      <c r="I260" s="155" t="n"/>
      <c r="J260" s="156" t="n"/>
      <c r="K260" s="115" t="n"/>
    </row>
    <row r="261" ht="15.75" customHeight="1" s="186">
      <c r="B261" s="91" t="n"/>
      <c r="C261" s="95" t="n"/>
      <c r="D261" s="96" t="n"/>
      <c r="E261" s="96" t="n"/>
      <c r="F261" s="157" t="n"/>
      <c r="G261" s="50" t="n"/>
      <c r="H261" s="158" t="n"/>
      <c r="I261" s="159" t="n"/>
      <c r="J261" s="160" t="n"/>
      <c r="K261" s="122" t="n"/>
    </row>
    <row r="262" ht="15.75" customHeight="1" s="186">
      <c r="B262" s="91" t="n"/>
      <c r="C262" s="93" t="n"/>
      <c r="D262" s="92" t="n"/>
      <c r="E262" s="92" t="n"/>
      <c r="F262" s="153" t="n"/>
      <c r="G262" s="41" t="n"/>
      <c r="H262" s="154" t="n"/>
      <c r="I262" s="155" t="n"/>
      <c r="J262" s="156" t="n"/>
      <c r="K262" s="115" t="n"/>
    </row>
    <row r="263" ht="15.75" customHeight="1" s="186">
      <c r="B263" s="91" t="n"/>
      <c r="C263" s="95" t="n"/>
      <c r="D263" s="96" t="n"/>
      <c r="E263" s="96" t="n"/>
      <c r="F263" s="157" t="n"/>
      <c r="G263" s="50" t="n"/>
      <c r="H263" s="158" t="n"/>
      <c r="I263" s="159" t="n"/>
      <c r="J263" s="160" t="n"/>
      <c r="K263" s="122" t="n"/>
    </row>
    <row r="264" ht="15.75" customHeight="1" s="186">
      <c r="B264" s="91" t="n"/>
      <c r="C264" s="93" t="n"/>
      <c r="D264" s="92" t="n"/>
      <c r="E264" s="92" t="n"/>
      <c r="F264" s="153" t="n"/>
      <c r="G264" s="41" t="n"/>
      <c r="H264" s="154" t="n"/>
      <c r="I264" s="155" t="n"/>
      <c r="J264" s="156" t="n"/>
      <c r="K264" s="115" t="n"/>
    </row>
    <row r="265" ht="15.75" customHeight="1" s="186">
      <c r="B265" s="91" t="n"/>
      <c r="C265" s="95" t="n"/>
      <c r="D265" s="96" t="n"/>
      <c r="E265" s="96" t="n"/>
      <c r="F265" s="157" t="n"/>
      <c r="G265" s="50" t="n"/>
      <c r="H265" s="158" t="n"/>
      <c r="I265" s="159" t="n"/>
      <c r="J265" s="160" t="n"/>
      <c r="K265" s="122" t="n"/>
    </row>
    <row r="266" ht="15.75" customHeight="1" s="186">
      <c r="B266" s="91" t="n"/>
      <c r="C266" s="93" t="n"/>
      <c r="D266" s="92" t="n"/>
      <c r="E266" s="92" t="n"/>
      <c r="F266" s="153" t="n"/>
      <c r="G266" s="41" t="n"/>
      <c r="H266" s="154" t="n"/>
      <c r="I266" s="155" t="n"/>
      <c r="J266" s="156" t="n"/>
      <c r="K266" s="115" t="n"/>
    </row>
    <row r="267" ht="15.75" customHeight="1" s="186">
      <c r="B267" s="91" t="n"/>
      <c r="C267" s="95" t="n"/>
      <c r="D267" s="96" t="n"/>
      <c r="E267" s="96" t="n"/>
      <c r="F267" s="157" t="n"/>
      <c r="G267" s="50" t="n"/>
      <c r="H267" s="158" t="n"/>
      <c r="I267" s="159" t="n"/>
      <c r="J267" s="160" t="n"/>
      <c r="K267" s="122" t="n"/>
    </row>
    <row r="268" ht="15.75" customHeight="1" s="186">
      <c r="B268" s="91" t="n"/>
      <c r="C268" s="93" t="n"/>
      <c r="D268" s="92" t="n"/>
      <c r="E268" s="92" t="n"/>
      <c r="F268" s="153" t="n"/>
      <c r="G268" s="41" t="n"/>
      <c r="H268" s="154" t="n"/>
      <c r="I268" s="155" t="n"/>
      <c r="J268" s="156" t="n"/>
      <c r="K268" s="115" t="n"/>
    </row>
    <row r="269" ht="15.75" customHeight="1" s="186">
      <c r="B269" s="91" t="n"/>
      <c r="C269" s="95" t="n"/>
      <c r="D269" s="96" t="n"/>
      <c r="E269" s="96" t="n"/>
      <c r="F269" s="157" t="n"/>
      <c r="G269" s="50" t="n"/>
      <c r="H269" s="158" t="n"/>
      <c r="I269" s="159" t="n"/>
      <c r="J269" s="160" t="n"/>
      <c r="K269" s="122" t="n"/>
    </row>
    <row r="270" ht="15.75" customHeight="1" s="186">
      <c r="B270" s="91" t="n"/>
      <c r="C270" s="93" t="n"/>
      <c r="D270" s="92" t="n"/>
      <c r="E270" s="92" t="n"/>
      <c r="F270" s="153" t="n"/>
      <c r="G270" s="41" t="n"/>
      <c r="H270" s="154" t="n"/>
      <c r="I270" s="155" t="n"/>
      <c r="J270" s="156" t="n"/>
      <c r="K270" s="115" t="n"/>
    </row>
    <row r="271" ht="15.75" customHeight="1" s="186">
      <c r="B271" s="91" t="n"/>
      <c r="C271" s="95" t="n"/>
      <c r="D271" s="96" t="n"/>
      <c r="E271" s="96" t="n"/>
      <c r="F271" s="157" t="n"/>
      <c r="G271" s="50" t="n"/>
      <c r="H271" s="158" t="n"/>
      <c r="I271" s="159" t="n"/>
      <c r="J271" s="160" t="n"/>
      <c r="K271" s="122" t="n"/>
    </row>
    <row r="272" ht="15.75" customHeight="1" s="186">
      <c r="B272" s="91" t="n"/>
      <c r="C272" s="93" t="n"/>
      <c r="D272" s="92" t="n"/>
      <c r="E272" s="92" t="n"/>
      <c r="F272" s="153" t="n"/>
      <c r="G272" s="41" t="n"/>
      <c r="H272" s="154" t="n"/>
      <c r="I272" s="155" t="n"/>
      <c r="J272" s="156" t="n"/>
      <c r="K272" s="115" t="n"/>
    </row>
    <row r="273" ht="15.75" customHeight="1" s="186">
      <c r="B273" s="91" t="n"/>
      <c r="C273" s="95" t="n"/>
      <c r="D273" s="96" t="n"/>
      <c r="E273" s="96" t="n"/>
      <c r="F273" s="157" t="n"/>
      <c r="G273" s="50" t="n"/>
      <c r="H273" s="158" t="n"/>
      <c r="I273" s="159" t="n"/>
      <c r="J273" s="160" t="n"/>
      <c r="K273" s="122" t="n"/>
    </row>
    <row r="274" ht="15.75" customHeight="1" s="186">
      <c r="B274" s="91" t="n"/>
      <c r="C274" s="93" t="n"/>
      <c r="D274" s="92" t="n"/>
      <c r="E274" s="92" t="n"/>
      <c r="F274" s="153" t="n"/>
      <c r="G274" s="41" t="n"/>
      <c r="H274" s="154" t="n"/>
      <c r="I274" s="155" t="n"/>
      <c r="J274" s="156" t="n"/>
      <c r="K274" s="115" t="n"/>
    </row>
    <row r="275" ht="15.75" customHeight="1" s="186">
      <c r="B275" s="91" t="n"/>
      <c r="C275" s="95" t="n"/>
      <c r="D275" s="96" t="n"/>
      <c r="E275" s="96" t="n"/>
      <c r="F275" s="157" t="n"/>
      <c r="G275" s="50" t="n"/>
      <c r="H275" s="158" t="n"/>
      <c r="I275" s="159" t="n"/>
      <c r="J275" s="160" t="n"/>
      <c r="K275" s="122" t="n"/>
    </row>
    <row r="276" ht="15.75" customHeight="1" s="186">
      <c r="B276" s="91" t="n"/>
      <c r="C276" s="93" t="n"/>
      <c r="D276" s="92" t="n"/>
      <c r="E276" s="92" t="n"/>
      <c r="F276" s="153" t="n"/>
      <c r="G276" s="41" t="n"/>
      <c r="H276" s="154" t="n"/>
      <c r="I276" s="155" t="n"/>
      <c r="J276" s="156" t="n"/>
      <c r="K276" s="115" t="n"/>
    </row>
    <row r="277" ht="15.75" customHeight="1" s="186">
      <c r="B277" s="91" t="n"/>
      <c r="C277" s="95" t="n"/>
      <c r="D277" s="96" t="n"/>
      <c r="E277" s="96" t="n"/>
      <c r="F277" s="157" t="n"/>
      <c r="G277" s="50" t="n"/>
      <c r="H277" s="158" t="n"/>
      <c r="I277" s="159" t="n"/>
      <c r="J277" s="160" t="n"/>
      <c r="K277" s="122" t="n"/>
    </row>
    <row r="278" ht="15.75" customHeight="1" s="186">
      <c r="B278" s="91" t="n"/>
      <c r="C278" s="93" t="n"/>
      <c r="D278" s="92" t="n"/>
      <c r="E278" s="92" t="n"/>
      <c r="F278" s="153" t="n"/>
      <c r="G278" s="41" t="n"/>
      <c r="H278" s="154" t="n"/>
      <c r="I278" s="155" t="n"/>
      <c r="J278" s="156" t="n"/>
      <c r="K278" s="115" t="n"/>
    </row>
    <row r="279" ht="15.75" customHeight="1" s="186">
      <c r="B279" s="91" t="n"/>
      <c r="C279" s="95" t="n"/>
      <c r="D279" s="96" t="n"/>
      <c r="E279" s="96" t="n"/>
      <c r="F279" s="157" t="n"/>
      <c r="G279" s="50" t="n"/>
      <c r="H279" s="158" t="n"/>
      <c r="I279" s="159" t="n"/>
      <c r="J279" s="160" t="n"/>
      <c r="K279" s="122" t="n"/>
    </row>
    <row r="280" ht="15.75" customHeight="1" s="186">
      <c r="B280" s="91" t="n"/>
      <c r="C280" s="93" t="n"/>
      <c r="D280" s="92" t="n"/>
      <c r="E280" s="92" t="n"/>
      <c r="F280" s="153" t="n"/>
      <c r="G280" s="41" t="n"/>
      <c r="H280" s="154" t="n"/>
      <c r="I280" s="155" t="n"/>
      <c r="J280" s="156" t="n"/>
      <c r="K280" s="115" t="n"/>
    </row>
    <row r="281" ht="15.75" customHeight="1" s="186">
      <c r="B281" s="91" t="n"/>
      <c r="C281" s="95" t="n"/>
      <c r="D281" s="96" t="n"/>
      <c r="E281" s="96" t="n"/>
      <c r="F281" s="157" t="n"/>
      <c r="G281" s="50" t="n"/>
      <c r="H281" s="158" t="n"/>
      <c r="I281" s="159" t="n"/>
      <c r="J281" s="160" t="n"/>
      <c r="K281" s="122" t="n"/>
    </row>
    <row r="282" ht="15.75" customHeight="1" s="186">
      <c r="B282" s="91" t="n"/>
      <c r="C282" s="93" t="n"/>
      <c r="D282" s="92" t="n"/>
      <c r="E282" s="92" t="n"/>
      <c r="F282" s="153" t="n"/>
      <c r="G282" s="41" t="n"/>
      <c r="H282" s="154" t="n"/>
      <c r="I282" s="155" t="n"/>
      <c r="J282" s="156" t="n"/>
      <c r="K282" s="115" t="n"/>
    </row>
    <row r="283" ht="15.75" customHeight="1" s="186">
      <c r="B283" s="91" t="n"/>
      <c r="C283" s="95" t="n"/>
      <c r="D283" s="96" t="n"/>
      <c r="E283" s="96" t="n"/>
      <c r="F283" s="157" t="n"/>
      <c r="G283" s="50" t="n"/>
      <c r="H283" s="158" t="n"/>
      <c r="I283" s="159" t="n"/>
      <c r="J283" s="160" t="n"/>
      <c r="K283" s="122" t="n"/>
    </row>
    <row r="284" ht="15.75" customHeight="1" s="186">
      <c r="B284" s="91" t="n"/>
      <c r="C284" s="93" t="n"/>
      <c r="D284" s="92" t="n"/>
      <c r="E284" s="92" t="n"/>
      <c r="F284" s="153" t="n"/>
      <c r="G284" s="41" t="n"/>
      <c r="H284" s="154" t="n"/>
      <c r="I284" s="155" t="n"/>
      <c r="J284" s="156" t="n"/>
      <c r="K284" s="115" t="n"/>
    </row>
    <row r="285" ht="15.75" customHeight="1" s="186">
      <c r="B285" s="91" t="n"/>
      <c r="C285" s="95" t="n"/>
      <c r="D285" s="96" t="n"/>
      <c r="E285" s="96" t="n"/>
      <c r="F285" s="157" t="n"/>
      <c r="G285" s="50" t="n"/>
      <c r="H285" s="158" t="n"/>
      <c r="I285" s="159" t="n"/>
      <c r="J285" s="160" t="n"/>
      <c r="K285" s="122" t="n"/>
    </row>
    <row r="286" ht="15.75" customHeight="1" s="186">
      <c r="B286" s="91" t="n"/>
      <c r="C286" s="93" t="n"/>
      <c r="D286" s="92" t="n"/>
      <c r="E286" s="92" t="n"/>
      <c r="F286" s="153" t="n"/>
      <c r="G286" s="41" t="n"/>
      <c r="H286" s="154" t="n"/>
      <c r="I286" s="155" t="n"/>
      <c r="J286" s="156" t="n"/>
      <c r="K286" s="115" t="n"/>
    </row>
    <row r="287" ht="15.75" customHeight="1" s="186">
      <c r="B287" s="91" t="n"/>
      <c r="C287" s="95" t="n"/>
      <c r="D287" s="96" t="n"/>
      <c r="E287" s="96" t="n"/>
      <c r="F287" s="157" t="n"/>
      <c r="G287" s="50" t="n"/>
      <c r="H287" s="158" t="n"/>
      <c r="I287" s="159" t="n"/>
      <c r="J287" s="160" t="n"/>
      <c r="K287" s="122" t="n"/>
    </row>
    <row r="288" ht="15.75" customHeight="1" s="186">
      <c r="B288" s="91" t="n"/>
      <c r="C288" s="93" t="n"/>
      <c r="D288" s="92" t="n"/>
      <c r="E288" s="92" t="n"/>
      <c r="F288" s="153" t="n"/>
      <c r="G288" s="41" t="n"/>
      <c r="H288" s="154" t="n"/>
      <c r="I288" s="155" t="n"/>
      <c r="J288" s="156" t="n"/>
      <c r="K288" s="115" t="n"/>
    </row>
    <row r="289" ht="15.75" customHeight="1" s="186">
      <c r="B289" s="91" t="n"/>
      <c r="C289" s="95" t="n"/>
      <c r="D289" s="96" t="n"/>
      <c r="E289" s="96" t="n"/>
      <c r="F289" s="157" t="n"/>
      <c r="G289" s="50" t="n"/>
      <c r="H289" s="158" t="n"/>
      <c r="I289" s="159" t="n"/>
      <c r="J289" s="160" t="n"/>
      <c r="K289" s="122" t="n"/>
    </row>
    <row r="290" ht="15.75" customHeight="1" s="186">
      <c r="B290" s="91" t="n"/>
      <c r="C290" s="93" t="n"/>
      <c r="D290" s="92" t="n"/>
      <c r="E290" s="92" t="n"/>
      <c r="F290" s="153" t="n"/>
      <c r="G290" s="41" t="n"/>
      <c r="H290" s="154" t="n"/>
      <c r="I290" s="155" t="n"/>
      <c r="J290" s="156" t="n"/>
      <c r="K290" s="115" t="n"/>
    </row>
    <row r="291" ht="15.75" customHeight="1" s="186">
      <c r="B291" s="91" t="n"/>
      <c r="C291" s="95" t="n"/>
      <c r="D291" s="96" t="n"/>
      <c r="E291" s="96" t="n"/>
      <c r="F291" s="157" t="n"/>
      <c r="G291" s="50" t="n"/>
      <c r="H291" s="158" t="n"/>
      <c r="I291" s="159" t="n"/>
      <c r="J291" s="160" t="n"/>
      <c r="K291" s="122" t="n"/>
    </row>
    <row r="292" ht="15.75" customHeight="1" s="186">
      <c r="B292" s="91" t="n"/>
      <c r="C292" s="93" t="n"/>
      <c r="D292" s="92" t="n"/>
      <c r="E292" s="92" t="n"/>
      <c r="F292" s="153" t="n"/>
      <c r="G292" s="41" t="n"/>
      <c r="H292" s="154" t="n"/>
      <c r="I292" s="155" t="n"/>
      <c r="J292" s="156" t="n"/>
      <c r="K292" s="115" t="n"/>
    </row>
    <row r="293" ht="15.75" customHeight="1" s="186">
      <c r="B293" s="91" t="n"/>
      <c r="C293" s="95" t="n"/>
      <c r="D293" s="96" t="n"/>
      <c r="E293" s="96" t="n"/>
      <c r="F293" s="157" t="n"/>
      <c r="G293" s="50" t="n"/>
      <c r="H293" s="158" t="n"/>
      <c r="I293" s="159" t="n"/>
      <c r="J293" s="160" t="n"/>
      <c r="K293" s="122" t="n"/>
    </row>
    <row r="294" ht="15.75" customHeight="1" s="186">
      <c r="B294" s="91" t="n"/>
      <c r="C294" s="93" t="n"/>
      <c r="D294" s="92" t="n"/>
      <c r="E294" s="92" t="n"/>
      <c r="F294" s="153" t="n"/>
      <c r="G294" s="41" t="n"/>
      <c r="H294" s="154" t="n"/>
      <c r="I294" s="155" t="n"/>
      <c r="J294" s="156" t="n"/>
      <c r="K294" s="115" t="n"/>
    </row>
    <row r="295" ht="15.75" customHeight="1" s="186">
      <c r="B295" s="91" t="n"/>
      <c r="C295" s="95" t="n"/>
      <c r="D295" s="96" t="n"/>
      <c r="E295" s="96" t="n"/>
      <c r="F295" s="157" t="n"/>
      <c r="G295" s="50" t="n"/>
      <c r="H295" s="158" t="n"/>
      <c r="I295" s="159" t="n"/>
      <c r="J295" s="160" t="n"/>
      <c r="K295" s="122" t="n"/>
    </row>
    <row r="296" ht="15.75" customHeight="1" s="186">
      <c r="B296" s="91" t="n"/>
      <c r="C296" s="93" t="n"/>
      <c r="D296" s="92" t="n"/>
      <c r="E296" s="92" t="n"/>
      <c r="F296" s="153" t="n"/>
      <c r="G296" s="41" t="n"/>
      <c r="H296" s="154" t="n"/>
      <c r="I296" s="155" t="n"/>
      <c r="J296" s="156" t="n"/>
      <c r="K296" s="115" t="n"/>
    </row>
    <row r="297" ht="15.75" customHeight="1" s="186">
      <c r="B297" s="91" t="n"/>
      <c r="C297" s="95" t="n"/>
      <c r="D297" s="96" t="n"/>
      <c r="E297" s="96" t="n"/>
      <c r="F297" s="157" t="n"/>
      <c r="G297" s="50" t="n"/>
      <c r="H297" s="158" t="n"/>
      <c r="I297" s="159" t="n"/>
      <c r="J297" s="160" t="n"/>
      <c r="K297" s="122" t="n"/>
    </row>
    <row r="298" ht="15.75" customHeight="1" s="186">
      <c r="B298" s="91" t="n"/>
      <c r="C298" s="93" t="n"/>
      <c r="D298" s="92" t="n"/>
      <c r="E298" s="92" t="n"/>
      <c r="F298" s="153" t="n"/>
      <c r="G298" s="41" t="n"/>
      <c r="H298" s="154" t="n"/>
      <c r="I298" s="155" t="n"/>
      <c r="J298" s="156" t="n"/>
      <c r="K298" s="115" t="n"/>
    </row>
    <row r="299" ht="15.75" customHeight="1" s="186">
      <c r="B299" s="91" t="n"/>
      <c r="C299" s="95" t="n"/>
      <c r="D299" s="96" t="n"/>
      <c r="E299" s="96" t="n"/>
      <c r="F299" s="157" t="n"/>
      <c r="G299" s="50" t="n"/>
      <c r="H299" s="158" t="n"/>
      <c r="I299" s="159" t="n"/>
      <c r="J299" s="160" t="n"/>
      <c r="K299" s="122" t="n"/>
    </row>
    <row r="300" ht="15.75" customHeight="1" s="186">
      <c r="B300" s="91" t="n"/>
      <c r="C300" s="93" t="n"/>
      <c r="D300" s="92" t="n"/>
      <c r="E300" s="92" t="n"/>
      <c r="F300" s="153" t="n"/>
      <c r="G300" s="41" t="n"/>
      <c r="H300" s="154" t="n"/>
      <c r="I300" s="155" t="n"/>
      <c r="J300" s="156" t="n"/>
      <c r="K300" s="115" t="n"/>
    </row>
    <row r="301" ht="15.75" customHeight="1" s="186">
      <c r="B301" s="91" t="n"/>
      <c r="C301" s="95" t="n"/>
      <c r="D301" s="96" t="n"/>
      <c r="E301" s="96" t="n"/>
      <c r="F301" s="157" t="n"/>
      <c r="G301" s="50" t="n"/>
      <c r="H301" s="158" t="n"/>
      <c r="I301" s="159" t="n"/>
      <c r="J301" s="160" t="n"/>
      <c r="K301" s="122" t="n"/>
    </row>
    <row r="302" ht="15.75" customHeight="1" s="186">
      <c r="B302" s="91" t="n"/>
      <c r="C302" s="93" t="n"/>
      <c r="D302" s="92" t="n"/>
      <c r="E302" s="92" t="n"/>
      <c r="F302" s="153" t="n"/>
      <c r="G302" s="41" t="n"/>
      <c r="H302" s="154" t="n"/>
      <c r="I302" s="155" t="n"/>
      <c r="J302" s="156" t="n"/>
      <c r="K302" s="115" t="n"/>
    </row>
    <row r="303" ht="15.75" customHeight="1" s="186">
      <c r="B303" s="91" t="n"/>
      <c r="C303" s="95" t="n"/>
      <c r="D303" s="96" t="n"/>
      <c r="E303" s="96" t="n"/>
      <c r="F303" s="157" t="n"/>
      <c r="G303" s="50" t="n"/>
      <c r="H303" s="158" t="n"/>
      <c r="I303" s="159" t="n"/>
      <c r="J303" s="160" t="n"/>
      <c r="K303" s="122" t="n"/>
    </row>
    <row r="304" ht="15.75" customHeight="1" s="186">
      <c r="B304" s="91" t="n"/>
      <c r="C304" s="93" t="n"/>
      <c r="D304" s="92" t="n"/>
      <c r="E304" s="92" t="n"/>
      <c r="F304" s="153" t="n"/>
      <c r="G304" s="41" t="n"/>
      <c r="H304" s="154" t="n"/>
      <c r="I304" s="155" t="n"/>
      <c r="J304" s="156" t="n"/>
      <c r="K304" s="115" t="n"/>
    </row>
    <row r="305" ht="15.75" customHeight="1" s="186">
      <c r="B305" s="91" t="n"/>
      <c r="C305" s="95" t="n"/>
      <c r="D305" s="96" t="n"/>
      <c r="E305" s="96" t="n"/>
      <c r="F305" s="157" t="n"/>
      <c r="G305" s="50" t="n"/>
      <c r="H305" s="158" t="n"/>
      <c r="I305" s="159" t="n"/>
      <c r="J305" s="160" t="n"/>
      <c r="K305" s="122" t="n"/>
    </row>
    <row r="306" ht="15.75" customHeight="1" s="186">
      <c r="B306" s="91" t="n"/>
      <c r="C306" s="93" t="n"/>
      <c r="D306" s="92" t="n"/>
      <c r="E306" s="92" t="n"/>
      <c r="F306" s="153" t="n"/>
      <c r="G306" s="41" t="n"/>
      <c r="H306" s="154" t="n"/>
      <c r="I306" s="155" t="n"/>
      <c r="J306" s="156" t="n"/>
      <c r="K306" s="115" t="n"/>
    </row>
    <row r="307" ht="15.75" customHeight="1" s="186">
      <c r="B307" s="91" t="n"/>
      <c r="C307" s="95" t="n"/>
      <c r="D307" s="96" t="n"/>
      <c r="E307" s="96" t="n"/>
      <c r="F307" s="157" t="n"/>
      <c r="G307" s="50" t="n"/>
      <c r="H307" s="158" t="n"/>
      <c r="I307" s="159" t="n"/>
      <c r="J307" s="160" t="n"/>
      <c r="K307" s="122" t="n"/>
    </row>
    <row r="308" ht="15.75" customHeight="1" s="186">
      <c r="B308" s="91" t="n"/>
      <c r="C308" s="93" t="n"/>
      <c r="D308" s="92" t="n"/>
      <c r="E308" s="92" t="n"/>
      <c r="F308" s="153" t="n"/>
      <c r="G308" s="41" t="n"/>
      <c r="H308" s="154" t="n"/>
      <c r="I308" s="155" t="n"/>
      <c r="J308" s="156" t="n"/>
      <c r="K308" s="115" t="n"/>
    </row>
    <row r="309" ht="15.75" customHeight="1" s="186">
      <c r="B309" s="91" t="n"/>
      <c r="C309" s="95" t="n"/>
      <c r="D309" s="96" t="n"/>
      <c r="E309" s="96" t="n"/>
      <c r="F309" s="157" t="n"/>
      <c r="G309" s="50" t="n"/>
      <c r="H309" s="158" t="n"/>
      <c r="I309" s="159" t="n"/>
      <c r="J309" s="160" t="n"/>
      <c r="K309" s="122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1" workbookViewId="0">
      <selection activeCell="A1" sqref="A1"/>
    </sheetView>
  </sheetViews>
  <sheetFormatPr baseColWidth="8" defaultRowHeight="14.4"/>
  <cols>
    <col width="35.6640625" customWidth="1" style="186" min="2" max="2"/>
    <col width="14.33203125" bestFit="1" customWidth="1" style="186" min="3" max="3"/>
    <col width="44" bestFit="1" customWidth="1" style="186" min="4" max="4"/>
    <col width="87.77734375" bestFit="1" customWidth="1" style="186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186" min="1" max="1"/>
    <col width="30" customWidth="1" style="186" min="2" max="2"/>
    <col width="16" customWidth="1" style="186" min="3" max="8"/>
    <col width="18" customWidth="1" style="186" min="9" max="9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37.5" customHeight="1" s="186">
      <c r="A2" s="187" t="inlineStr">
        <is>
          <t>📈  LOKA — MONTHLY P&amp;L</t>
        </is>
      </c>
      <c r="E2" s="185" t="inlineStr">
        <is>
          <t>Revenue &amp; Expense summary — fill monthly totals from Daily Log &amp; Expenses</t>
        </is>
      </c>
    </row>
    <row r="3" ht="3.75" customHeight="1" s="186">
      <c r="A3" s="190" t="n"/>
    </row>
    <row r="4" ht="7.5" customHeight="1" s="186"/>
    <row r="5" ht="9.75" customHeight="1" s="186"/>
    <row r="6" ht="21.75" customHeight="1" s="186">
      <c r="B6" s="161" t="inlineStr">
        <is>
          <t>YEAR:</t>
        </is>
      </c>
      <c r="C6" s="162" t="n">
        <v>2025</v>
      </c>
    </row>
    <row r="7" ht="7.5" customHeight="1" s="186">
      <c r="C7" t="n">
        <v>2026</v>
      </c>
    </row>
    <row r="8" ht="27.75" customHeight="1" s="186">
      <c r="B8" s="199" t="n"/>
      <c r="C8" s="199" t="n"/>
      <c r="D8" s="199" t="n"/>
      <c r="E8" s="199" t="n"/>
      <c r="F8" s="199" t="n"/>
      <c r="G8" s="199" t="n"/>
      <c r="H8" s="199" t="n"/>
      <c r="I8" s="199" t="n"/>
    </row>
    <row r="9" ht="19.5" customHeight="1" s="186">
      <c r="B9" s="217" t="n"/>
      <c r="C9" s="189" t="n"/>
      <c r="D9" s="189" t="n"/>
      <c r="E9" s="189" t="n"/>
      <c r="F9" s="189" t="n"/>
      <c r="G9" s="189" t="n"/>
      <c r="H9" s="189" t="n"/>
      <c r="I9" s="189" t="n"/>
    </row>
    <row r="10" ht="18" customHeight="1" s="186">
      <c r="B10" s="163" t="n"/>
      <c r="C10" s="120" t="n"/>
      <c r="D10" s="120" t="n"/>
      <c r="E10" s="120" t="n"/>
      <c r="F10" s="120" t="n"/>
      <c r="G10" s="120" t="n"/>
      <c r="H10" s="120" t="n"/>
      <c r="I10" s="144" t="n"/>
    </row>
    <row r="11" ht="19.5" customHeight="1" s="186">
      <c r="B11" s="217" t="n"/>
      <c r="C11" s="189" t="n"/>
      <c r="D11" s="189" t="n"/>
      <c r="E11" s="189" t="n"/>
      <c r="F11" s="189" t="n"/>
      <c r="G11" s="189" t="n"/>
      <c r="H11" s="189" t="n"/>
      <c r="I11" s="189" t="n"/>
    </row>
    <row r="12" ht="18" customHeight="1" s="186">
      <c r="B12" s="164" t="n"/>
      <c r="C12" s="120" t="n"/>
      <c r="D12" s="120" t="n"/>
      <c r="E12" s="120" t="n"/>
      <c r="F12" s="120" t="n"/>
      <c r="G12" s="120" t="n"/>
      <c r="H12" s="120" t="n"/>
      <c r="I12" s="165" t="n"/>
    </row>
    <row r="13" ht="18" customHeight="1" s="186">
      <c r="B13" s="166" t="n"/>
      <c r="C13" s="113" t="n"/>
      <c r="D13" s="113" t="n"/>
      <c r="E13" s="113" t="n"/>
      <c r="F13" s="113" t="n"/>
      <c r="G13" s="113" t="n"/>
      <c r="H13" s="113" t="n"/>
      <c r="I13" s="167" t="n"/>
    </row>
    <row r="14" ht="18" customHeight="1" s="186">
      <c r="B14" s="168" t="n"/>
      <c r="C14" s="142" t="n"/>
      <c r="D14" s="142" t="n"/>
      <c r="E14" s="142" t="n"/>
      <c r="F14" s="142" t="n"/>
      <c r="G14" s="142" t="n"/>
      <c r="H14" s="142" t="n"/>
      <c r="I14" s="142" t="n"/>
    </row>
    <row r="15" ht="18" customHeight="1" s="186">
      <c r="B15" s="169" t="n"/>
      <c r="C15" s="140" t="n"/>
      <c r="D15" s="140" t="n"/>
      <c r="E15" s="140" t="n"/>
      <c r="F15" s="140" t="n"/>
      <c r="G15" s="140" t="n"/>
      <c r="H15" s="140" t="n"/>
      <c r="I15" s="140" t="n"/>
    </row>
    <row r="16" ht="18" customHeight="1" s="186">
      <c r="B16" s="170" t="n"/>
      <c r="C16" s="171" t="n"/>
      <c r="D16" s="171" t="n"/>
      <c r="E16" s="171" t="n"/>
      <c r="F16" s="171" t="n"/>
      <c r="G16" s="171" t="n"/>
      <c r="H16" s="171" t="n"/>
      <c r="I16" s="171" t="n"/>
    </row>
    <row r="17" ht="19.5" customHeight="1" s="186">
      <c r="B17" s="217" t="n"/>
      <c r="C17" s="189" t="n"/>
      <c r="D17" s="189" t="n"/>
      <c r="E17" s="189" t="n"/>
      <c r="F17" s="189" t="n"/>
      <c r="G17" s="189" t="n"/>
      <c r="H17" s="189" t="n"/>
      <c r="I17" s="189" t="n"/>
    </row>
    <row r="18" ht="18" customHeight="1" s="186">
      <c r="B18" s="164" t="n"/>
      <c r="C18" s="120" t="n"/>
      <c r="D18" s="120" t="n"/>
      <c r="E18" s="120" t="n"/>
      <c r="F18" s="120" t="n"/>
      <c r="G18" s="120" t="n"/>
      <c r="H18" s="120" t="n"/>
      <c r="I18" s="165" t="n"/>
    </row>
    <row r="19" ht="18" customHeight="1" s="186">
      <c r="B19" s="166" t="n"/>
      <c r="C19" s="113" t="n"/>
      <c r="D19" s="113" t="n"/>
      <c r="E19" s="113" t="n"/>
      <c r="F19" s="113" t="n"/>
      <c r="G19" s="113" t="n"/>
      <c r="H19" s="113" t="n"/>
      <c r="I19" s="167" t="n"/>
    </row>
    <row r="20" ht="18" customHeight="1" s="186">
      <c r="B20" s="164" t="n"/>
      <c r="C20" s="120" t="n"/>
      <c r="D20" s="120" t="n"/>
      <c r="E20" s="120" t="n"/>
      <c r="F20" s="120" t="n"/>
      <c r="G20" s="120" t="n"/>
      <c r="H20" s="120" t="n"/>
      <c r="I20" s="165" t="n"/>
    </row>
    <row r="21" ht="18" customHeight="1" s="186">
      <c r="B21" s="166" t="n"/>
      <c r="C21" s="113" t="n"/>
      <c r="D21" s="113" t="n"/>
      <c r="E21" s="113" t="n"/>
      <c r="F21" s="113" t="n"/>
      <c r="G21" s="113" t="n"/>
      <c r="H21" s="113" t="n"/>
      <c r="I21" s="167" t="n"/>
    </row>
    <row r="22" ht="18" customHeight="1" s="186">
      <c r="B22" s="164" t="n"/>
      <c r="C22" s="120" t="n"/>
      <c r="D22" s="120" t="n"/>
      <c r="E22" s="120" t="n"/>
      <c r="F22" s="120" t="n"/>
      <c r="G22" s="120" t="n"/>
      <c r="H22" s="120" t="n"/>
      <c r="I22" s="165" t="n"/>
    </row>
    <row r="23" ht="18" customHeight="1" s="186">
      <c r="B23" s="168" t="n"/>
      <c r="C23" s="142" t="n"/>
      <c r="D23" s="142" t="n"/>
      <c r="E23" s="142" t="n"/>
      <c r="F23" s="142" t="n"/>
      <c r="G23" s="142" t="n"/>
      <c r="H23" s="142" t="n"/>
      <c r="I23" s="142" t="n"/>
    </row>
    <row r="24" ht="18" customHeight="1" s="186">
      <c r="B24" s="172" t="n"/>
      <c r="C24" s="173" t="n"/>
      <c r="D24" s="173" t="n"/>
      <c r="E24" s="173" t="n"/>
      <c r="F24" s="173" t="n"/>
      <c r="G24" s="173" t="n"/>
      <c r="H24" s="173" t="n"/>
      <c r="I24" s="173" t="n"/>
    </row>
    <row r="25" ht="18" customHeight="1" s="186">
      <c r="B25" s="174" t="n"/>
      <c r="C25" s="175" t="n"/>
      <c r="D25" s="175" t="n"/>
      <c r="E25" s="175" t="n"/>
      <c r="F25" s="175" t="n"/>
      <c r="G25" s="175" t="n"/>
      <c r="H25" s="175" t="n"/>
      <c r="I25" s="175" t="n"/>
    </row>
    <row r="26" ht="18" customHeight="1" s="186">
      <c r="B26" s="164" t="n"/>
      <c r="C26" s="120" t="n"/>
      <c r="D26" s="120" t="n"/>
      <c r="E26" s="120" t="n"/>
      <c r="F26" s="120" t="n"/>
      <c r="G26" s="120" t="n"/>
      <c r="H26" s="120" t="n"/>
      <c r="I26" s="165" t="n"/>
    </row>
    <row r="27" ht="18" customHeight="1" s="186">
      <c r="B27" s="166" t="n"/>
      <c r="C27" s="113" t="n"/>
      <c r="D27" s="113" t="n"/>
      <c r="E27" s="113" t="n"/>
      <c r="F27" s="113" t="n"/>
      <c r="G27" s="113" t="n"/>
      <c r="H27" s="113" t="n"/>
      <c r="I27" s="167" t="n"/>
    </row>
    <row r="28" ht="18" customHeight="1" s="186">
      <c r="B28" s="169" t="n"/>
      <c r="C28" s="140" t="n"/>
      <c r="D28" s="140" t="n"/>
      <c r="E28" s="140" t="n"/>
      <c r="F28" s="140" t="n"/>
      <c r="G28" s="140" t="n"/>
      <c r="H28" s="140" t="n"/>
      <c r="I28" s="140" t="n"/>
    </row>
    <row r="29" ht="18" customHeight="1" s="186">
      <c r="B29" s="170" t="n"/>
      <c r="C29" s="171" t="n"/>
      <c r="D29" s="171" t="n"/>
      <c r="E29" s="171" t="n"/>
      <c r="F29" s="171" t="n"/>
      <c r="G29" s="171" t="n"/>
      <c r="H29" s="171" t="n"/>
      <c r="I29" s="171" t="n"/>
    </row>
    <row r="30" ht="19.5" customHeight="1" s="186">
      <c r="B30" s="217" t="n"/>
      <c r="C30" s="189" t="n"/>
      <c r="D30" s="189" t="n"/>
      <c r="E30" s="189" t="n"/>
      <c r="F30" s="189" t="n"/>
      <c r="G30" s="189" t="n"/>
      <c r="H30" s="189" t="n"/>
      <c r="I30" s="189" t="n"/>
    </row>
    <row r="31" ht="18" customHeight="1" s="186">
      <c r="B31" s="137" t="n"/>
      <c r="C31" s="139" t="n"/>
      <c r="D31" s="139" t="n"/>
      <c r="E31" s="139" t="n"/>
      <c r="F31" s="139" t="n"/>
      <c r="G31" s="139" t="n"/>
      <c r="H31" s="139" t="n"/>
      <c r="I31" s="176" t="n"/>
    </row>
    <row r="32" ht="18" customHeight="1" s="186">
      <c r="B32" s="143" t="n"/>
      <c r="C32" s="177" t="n"/>
      <c r="D32" s="177" t="n"/>
      <c r="E32" s="177" t="n"/>
      <c r="F32" s="177" t="n"/>
      <c r="G32" s="177" t="n"/>
      <c r="H32" s="177" t="n"/>
      <c r="I32" s="177" t="n"/>
    </row>
    <row r="33" ht="18" customHeight="1" s="186">
      <c r="B33" s="137" t="n"/>
      <c r="C33" s="139" t="n"/>
      <c r="D33" s="139" t="n"/>
      <c r="E33" s="139" t="n"/>
      <c r="F33" s="139" t="n"/>
      <c r="G33" s="139" t="n"/>
      <c r="H33" s="139" t="n"/>
      <c r="I33" s="176" t="n"/>
    </row>
    <row r="34" ht="18" customHeight="1" s="186">
      <c r="B34" s="143" t="n"/>
      <c r="C34" s="177" t="n"/>
      <c r="D34" s="177" t="n"/>
      <c r="E34" s="177" t="n"/>
      <c r="F34" s="177" t="n"/>
      <c r="G34" s="177" t="n"/>
      <c r="H34" s="177" t="n"/>
      <c r="I34" s="177" t="n"/>
    </row>
    <row r="35" ht="7.5" customHeight="1" s="186"/>
    <row r="36" ht="19.5" customHeight="1" s="186">
      <c r="B36" s="217" t="n"/>
      <c r="C36" s="189" t="n"/>
      <c r="D36" s="189" t="n"/>
      <c r="E36" s="189" t="n"/>
      <c r="F36" s="189" t="n"/>
      <c r="G36" s="189" t="n"/>
      <c r="H36" s="189" t="n"/>
      <c r="I36" s="189" t="n"/>
    </row>
    <row r="37" ht="27.75" customHeight="1" s="186">
      <c r="B37" s="199" t="n"/>
      <c r="C37" s="199" t="n"/>
      <c r="D37" s="199" t="n"/>
      <c r="E37" s="199" t="n"/>
      <c r="F37" s="199" t="n"/>
      <c r="G37" s="199" t="n"/>
      <c r="H37" s="199" t="n"/>
      <c r="I37" s="199" t="n"/>
    </row>
    <row r="38" ht="18" customHeight="1" s="186">
      <c r="B38" s="163" t="n"/>
      <c r="C38" s="120" t="n"/>
      <c r="D38" s="120" t="n"/>
      <c r="E38" s="120" t="n"/>
      <c r="F38" s="120" t="n"/>
      <c r="G38" s="120" t="n"/>
      <c r="H38" s="120" t="n"/>
      <c r="I38" s="120" t="n"/>
    </row>
    <row r="39" ht="18" customHeight="1" s="186">
      <c r="B39" s="164" t="n"/>
      <c r="C39" s="120" t="n"/>
      <c r="D39" s="120" t="n"/>
      <c r="E39" s="120" t="n"/>
      <c r="F39" s="120" t="n"/>
      <c r="G39" s="120" t="n"/>
      <c r="H39" s="120" t="n"/>
      <c r="I39" s="120" t="n"/>
    </row>
    <row r="40" ht="18" customHeight="1" s="186">
      <c r="B40" s="166" t="n"/>
      <c r="C40" s="113" t="n"/>
      <c r="D40" s="113" t="n"/>
      <c r="E40" s="113" t="n"/>
      <c r="F40" s="113" t="n"/>
      <c r="G40" s="113" t="n"/>
      <c r="H40" s="113" t="n"/>
      <c r="I40" s="113" t="n"/>
    </row>
    <row r="41" ht="18" customHeight="1" s="186">
      <c r="B41" s="168" t="n"/>
      <c r="C41" s="178" t="n"/>
      <c r="D41" s="178" t="n"/>
      <c r="E41" s="178" t="n"/>
      <c r="F41" s="178" t="n"/>
      <c r="G41" s="178" t="n"/>
      <c r="H41" s="178" t="n"/>
      <c r="I41" s="178" t="n"/>
    </row>
    <row r="42" ht="18" customHeight="1" s="186">
      <c r="B42" s="169" t="n"/>
      <c r="C42" s="179" t="n"/>
      <c r="D42" s="179" t="n"/>
      <c r="E42" s="179" t="n"/>
      <c r="F42" s="179" t="n"/>
      <c r="G42" s="179" t="n"/>
      <c r="H42" s="179" t="n"/>
      <c r="I42" s="179" t="n"/>
    </row>
    <row r="43" ht="18" customHeight="1" s="186">
      <c r="B43" s="163" t="n"/>
      <c r="C43" s="147" t="n"/>
      <c r="D43" s="147" t="n"/>
      <c r="E43" s="147" t="n"/>
      <c r="F43" s="147" t="n"/>
      <c r="G43" s="147" t="n"/>
      <c r="H43" s="147" t="n"/>
      <c r="I43" s="147" t="n"/>
    </row>
    <row r="44" ht="18" customHeight="1" s="186">
      <c r="B44" s="164" t="n"/>
      <c r="C44" s="120" t="n"/>
      <c r="D44" s="120" t="n"/>
      <c r="E44" s="120" t="n"/>
      <c r="F44" s="120" t="n"/>
      <c r="G44" s="120" t="n"/>
      <c r="H44" s="120" t="n"/>
      <c r="I44" s="120" t="n"/>
    </row>
    <row r="45" ht="18" customHeight="1" s="186">
      <c r="B45" s="166" t="n"/>
      <c r="C45" s="113" t="n"/>
      <c r="D45" s="113" t="n"/>
      <c r="E45" s="113" t="n"/>
      <c r="F45" s="113" t="n"/>
      <c r="G45" s="113" t="n"/>
      <c r="H45" s="113" t="n"/>
      <c r="I45" s="113" t="n"/>
    </row>
    <row r="46" ht="18" customHeight="1" s="186">
      <c r="B46" s="164" t="n"/>
      <c r="C46" s="120" t="n"/>
      <c r="D46" s="120" t="n"/>
      <c r="E46" s="120" t="n"/>
      <c r="F46" s="120" t="n"/>
      <c r="G46" s="120" t="n"/>
      <c r="H46" s="120" t="n"/>
      <c r="I46" s="120" t="n"/>
    </row>
    <row r="47" ht="18" customHeight="1" s="186">
      <c r="B47" s="166" t="n"/>
      <c r="C47" s="113" t="n"/>
      <c r="D47" s="113" t="n"/>
      <c r="E47" s="113" t="n"/>
      <c r="F47" s="113" t="n"/>
      <c r="G47" s="113" t="n"/>
      <c r="H47" s="113" t="n"/>
      <c r="I47" s="113" t="n"/>
    </row>
    <row r="48" ht="18" customHeight="1" s="186">
      <c r="B48" s="164" t="n"/>
      <c r="C48" s="120" t="n"/>
      <c r="D48" s="120" t="n"/>
      <c r="E48" s="120" t="n"/>
      <c r="F48" s="120" t="n"/>
      <c r="G48" s="120" t="n"/>
      <c r="H48" s="120" t="n"/>
      <c r="I48" s="120" t="n"/>
    </row>
    <row r="49" ht="18" customHeight="1" s="186">
      <c r="B49" s="168" t="n"/>
      <c r="C49" s="178" t="n"/>
      <c r="D49" s="178" t="n"/>
      <c r="E49" s="178" t="n"/>
      <c r="F49" s="178" t="n"/>
      <c r="G49" s="178" t="n"/>
      <c r="H49" s="178" t="n"/>
      <c r="I49" s="178" t="n"/>
    </row>
    <row r="50" ht="18" customHeight="1" s="186">
      <c r="B50" s="180" t="n"/>
      <c r="C50" s="120" t="n"/>
      <c r="D50" s="120" t="n"/>
      <c r="E50" s="120" t="n"/>
      <c r="F50" s="120" t="n"/>
      <c r="G50" s="120" t="n"/>
      <c r="H50" s="120" t="n"/>
      <c r="I50" s="120" t="n"/>
    </row>
    <row r="51" ht="18" customHeight="1" s="186">
      <c r="B51" s="93" t="n"/>
      <c r="C51" s="141" t="n"/>
      <c r="D51" s="141" t="n"/>
      <c r="E51" s="141" t="n"/>
      <c r="F51" s="141" t="n"/>
      <c r="G51" s="141" t="n"/>
      <c r="H51" s="141" t="n"/>
      <c r="I51" s="141" t="n"/>
    </row>
    <row r="52" ht="18" customHeight="1" s="186">
      <c r="B52" s="164" t="n"/>
      <c r="C52" s="120" t="n"/>
      <c r="D52" s="120" t="n"/>
      <c r="E52" s="120" t="n"/>
      <c r="F52" s="120" t="n"/>
      <c r="G52" s="120" t="n"/>
      <c r="H52" s="120" t="n"/>
      <c r="I52" s="120" t="n"/>
    </row>
    <row r="53" ht="18" customHeight="1" s="186">
      <c r="B53" s="166" t="n"/>
      <c r="C53" s="113" t="n"/>
      <c r="D53" s="113" t="n"/>
      <c r="E53" s="113" t="n"/>
      <c r="F53" s="113" t="n"/>
      <c r="G53" s="113" t="n"/>
      <c r="H53" s="113" t="n"/>
      <c r="I53" s="113" t="n"/>
    </row>
    <row r="54" ht="18" customHeight="1" s="186">
      <c r="B54" s="169" t="n"/>
      <c r="C54" s="179" t="n"/>
      <c r="D54" s="179" t="n"/>
      <c r="E54" s="179" t="n"/>
      <c r="F54" s="179" t="n"/>
      <c r="G54" s="179" t="n"/>
      <c r="H54" s="179" t="n"/>
      <c r="I54" s="179" t="n"/>
    </row>
    <row r="55" ht="18" customHeight="1" s="186">
      <c r="B55" s="181" t="n"/>
      <c r="C55" s="141" t="n"/>
      <c r="D55" s="141" t="n"/>
      <c r="E55" s="141" t="n"/>
      <c r="F55" s="141" t="n"/>
      <c r="G55" s="141" t="n"/>
      <c r="H55" s="141" t="n"/>
      <c r="I55" s="141" t="n"/>
    </row>
    <row r="56" ht="18" customHeight="1" s="186">
      <c r="B56" s="137" t="n"/>
      <c r="C56" s="139" t="n"/>
      <c r="D56" s="139" t="n"/>
      <c r="E56" s="139" t="n"/>
      <c r="F56" s="139" t="n"/>
      <c r="G56" s="139" t="n"/>
      <c r="H56" s="139" t="n"/>
      <c r="I56" s="139" t="n"/>
    </row>
    <row r="57" ht="18" customHeight="1" s="186">
      <c r="B57" s="143" t="n"/>
      <c r="C57" s="120" t="n"/>
      <c r="D57" s="120" t="n"/>
      <c r="E57" s="120" t="n"/>
      <c r="F57" s="120" t="n"/>
      <c r="G57" s="120" t="n"/>
      <c r="H57" s="120" t="n"/>
      <c r="I57" s="120" t="n"/>
    </row>
    <row r="58" ht="18" customHeight="1" s="186">
      <c r="B58" s="137" t="n"/>
      <c r="C58" s="139" t="n"/>
      <c r="D58" s="139" t="n"/>
      <c r="E58" s="139" t="n"/>
      <c r="F58" s="139" t="n"/>
      <c r="G58" s="139" t="n"/>
      <c r="H58" s="139" t="n"/>
      <c r="I58" s="139" t="n"/>
    </row>
    <row r="59" ht="18" customHeight="1" s="186">
      <c r="B59" s="143" t="n"/>
      <c r="C59" s="120" t="n"/>
      <c r="D59" s="120" t="n"/>
      <c r="E59" s="120" t="n"/>
      <c r="F59" s="120" t="n"/>
      <c r="G59" s="120" t="n"/>
      <c r="H59" s="120" t="n"/>
      <c r="I59" s="120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2026-06-05T18:44:56Z</dcterms:modified>
  <cp:lastModifiedBy>LOHITH REDDY</cp:lastModifiedBy>
</cp:coreProperties>
</file>