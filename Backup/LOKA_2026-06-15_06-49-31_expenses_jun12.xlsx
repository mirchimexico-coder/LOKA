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inlineStr">
        <is>
          <t>12-Jun-2026</t>
        </is>
      </c>
      <c r="C33" s="47" t="inlineStr">
        <is>
          <t>Fri</t>
        </is>
      </c>
      <c r="D33" s="48" t="n"/>
      <c r="E33" s="49" t="n"/>
      <c r="F33" s="50">
        <f>IFERROR(D33+E33+G33,0)</f>
        <v/>
      </c>
      <c r="G33" s="51" t="n"/>
      <c r="H33" s="52" t="n">
        <v>901.8</v>
      </c>
      <c r="I33" s="53">
        <f>IFERROR(F33-H33,0)</f>
        <v/>
      </c>
      <c r="J33" s="54">
        <f>IFERROR(I33/F33,0)</f>
        <v/>
      </c>
      <c r="K33" s="55" t="n"/>
      <c r="L33" s="18" t="inlineStr">
        <is>
          <t>Expenses logged — revenue pending</t>
        </is>
      </c>
      <c r="M33" s="21" t="n"/>
      <c r="N33" s="56" t="n"/>
      <c r="O33" s="57" t="n"/>
      <c r="P33" s="58" t="n"/>
      <c r="Q33" s="56" t="n"/>
    </row>
    <row r="34" ht="16.5" customHeight="1" s="274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74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74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Restaurant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Restaurant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>
        <v>46183</v>
      </c>
      <c r="C245" s="69" t="inlineStr">
        <is>
          <t>Pasta (caracol, codo, fusilli) + Roma detergent 1kg</t>
        </is>
      </c>
      <c r="D245" s="68" t="inlineStr">
        <is>
          <t>Tiendas 3B (La Pradera)</t>
        </is>
      </c>
      <c r="E245" s="69" t="inlineStr">
        <is>
          <t>Supermarket / General</t>
        </is>
      </c>
      <c r="F245" s="70" t="n">
        <v>252</v>
      </c>
      <c r="G245" s="23" t="inlineStr">
        <is>
          <t>Restaurant</t>
        </is>
      </c>
      <c r="H245" s="23" t="inlineStr">
        <is>
          <t>Card</t>
        </is>
      </c>
      <c r="I245" s="55" t="inlineStr">
        <is>
          <t>✅ Paid</t>
        </is>
      </c>
      <c r="J245" t="inlineStr">
        <is>
          <t>Ticket 188 · 19:25 · card Banco Plata **2684 · logged 11 Jun</t>
        </is>
      </c>
    </row>
    <row r="246">
      <c r="B246" s="64" t="n">
        <v>46185</v>
      </c>
      <c r="C246" s="65" t="inlineStr">
        <is>
          <t>Leche PL UHT Nutri 1LT (2 pcs)</t>
        </is>
      </c>
      <c r="D246" s="66" t="inlineStr">
        <is>
          <t>OXXO Acueducto</t>
        </is>
      </c>
      <c r="E246" s="65" t="inlineStr">
        <is>
          <t>Ingredients - Dairy</t>
        </is>
      </c>
      <c r="F246" s="67" t="n">
        <v>42</v>
      </c>
      <c r="G246" s="14" t="inlineStr">
        <is>
          <t>Restaurant</t>
        </is>
      </c>
      <c r="H246" s="14" t="inlineStr">
        <is>
          <t>Card</t>
        </is>
      </c>
      <c r="I246" s="43" t="inlineStr">
        <is>
          <t>✅ Paid</t>
        </is>
      </c>
      <c r="J246" t="inlineStr">
        <is>
          <t>ML debit **3982 · Aut 324051 · 10:13</t>
        </is>
      </c>
    </row>
    <row r="247">
      <c r="B247" s="64" t="n">
        <v>46185</v>
      </c>
      <c r="C247" s="69" t="inlineStr">
        <is>
          <t>Pan hamburguesa ajonjolí (36) + Chapata grande (24)</t>
        </is>
      </c>
      <c r="D247" s="68" t="inlineStr">
        <is>
          <t>Productos Real (La Cruz)</t>
        </is>
      </c>
      <c r="E247" s="69" t="inlineStr">
        <is>
          <t>Ingredients - Bread</t>
        </is>
      </c>
      <c r="F247" s="70" t="n">
        <v>546</v>
      </c>
      <c r="G247" s="23" t="inlineStr">
        <is>
          <t>Restaurant</t>
        </is>
      </c>
      <c r="H247" s="23" t="inlineStr">
        <is>
          <t>Card</t>
        </is>
      </c>
      <c r="I247" s="55" t="inlineStr">
        <is>
          <t>✅ Paid</t>
        </is>
      </c>
      <c r="J247" t="inlineStr">
        <is>
          <t>Folio 4251 · debit · 09:38</t>
        </is>
      </c>
    </row>
    <row r="248">
      <c r="B248" s="64" t="n">
        <v>46185</v>
      </c>
      <c r="C248" s="65" t="inlineStr">
        <is>
          <t>Aceite Vegetal La Posada 800 (2 pcs)</t>
        </is>
      </c>
      <c r="D248" s="66" t="inlineStr">
        <is>
          <t>OXXO Pathe</t>
        </is>
      </c>
      <c r="E248" s="65" t="inlineStr">
        <is>
          <t>Ingredients - Other</t>
        </is>
      </c>
      <c r="F248" s="67" t="n">
        <v>104</v>
      </c>
      <c r="G248" s="14" t="inlineStr">
        <is>
          <t>Restaurant</t>
        </is>
      </c>
      <c r="H248" s="14" t="inlineStr">
        <is>
          <t>Card</t>
        </is>
      </c>
      <c r="I248" s="43" t="inlineStr">
        <is>
          <t>✅ Paid</t>
        </is>
      </c>
      <c r="J248" t="inlineStr">
        <is>
          <t>ML debit **3982 · Aut 468013 · 09:22</t>
        </is>
      </c>
    </row>
    <row r="249">
      <c r="B249" s="64" t="n">
        <v>46185</v>
      </c>
      <c r="C249" s="69" t="inlineStr">
        <is>
          <t>Plátano + Tortillas Blancas + Rosca Marmoleada</t>
        </is>
      </c>
      <c r="D249" s="68" t="inlineStr">
        <is>
          <t>Chedraui Paseo</t>
        </is>
      </c>
      <c r="E249" s="69" t="inlineStr">
        <is>
          <t>Supermarket / General</t>
        </is>
      </c>
      <c r="F249" s="70" t="n">
        <v>161.8</v>
      </c>
      <c r="G249" s="23" t="inlineStr">
        <is>
          <t>Restaurant</t>
        </is>
      </c>
      <c r="H249" s="23" t="inlineStr">
        <is>
          <t>Card</t>
        </is>
      </c>
      <c r="I249" s="55" t="inlineStr">
        <is>
          <t>✅ Paid</t>
        </is>
      </c>
      <c r="J249" t="inlineStr">
        <is>
          <t>Debit BBVA **3982 · Aut 200580 · 09:02</t>
        </is>
      </c>
    </row>
    <row r="250">
      <c r="B250" s="64" t="n">
        <v>46185</v>
      </c>
      <c r="C250" s="65" t="inlineStr">
        <is>
          <t>Lechugas (lettuce)</t>
        </is>
      </c>
      <c r="D250" s="66" t="inlineStr">
        <is>
          <t>Local purchase</t>
        </is>
      </c>
      <c r="E250" s="65" t="inlineStr">
        <is>
          <t>Ingredients - Produce</t>
        </is>
      </c>
      <c r="F250" s="67" t="n">
        <v>48</v>
      </c>
      <c r="G250" s="14" t="inlineStr">
        <is>
          <t>Restaurant</t>
        </is>
      </c>
      <c r="H250" s="14" t="inlineStr">
        <is>
          <t>Cash</t>
        </is>
      </c>
      <c r="I250" s="43" t="inlineStr">
        <is>
          <t>✅ Paid</t>
        </is>
      </c>
      <c r="J250" t="inlineStr">
        <is>
          <t>No receipt — logged manually</t>
        </is>
      </c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9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</t>
        </is>
      </c>
      <c r="B12" s="98" t="inlineStr">
        <is>
          <t>Mesero / Waiter</t>
        </is>
      </c>
      <c r="C12" s="99" t="n">
        <v>333.33</v>
      </c>
      <c r="D12" s="100" t="inlineStr">
        <is>
          <t>Full Day</t>
        </is>
      </c>
      <c r="E12" s="100" t="inlineStr">
        <is>
          <t>Full Day</t>
        </is>
      </c>
      <c r="F12" s="100" t="inlineStr">
        <is>
          <t>Full Day</t>
        </is>
      </c>
      <c r="G12" s="100" t="inlineStr">
        <is>
          <t>Full Day</t>
        </is>
      </c>
      <c r="H12" s="100" t="inlineStr">
        <is>
          <t>Full Day</t>
        </is>
      </c>
      <c r="I12" s="100" t="inlineStr">
        <is>
          <t>Full Day</t>
        </is>
      </c>
      <c r="J12" s="100" t="inlineStr">
        <is>
          <t>Day Off</t>
        </is>
      </c>
      <c r="K12" s="101">
        <f>COUNTIF(D12:J12,"Full Day")</f>
        <v/>
      </c>
      <c r="L12" s="102">
        <f>K12*C12</f>
        <v/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133.33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Full Day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</t>
        </is>
      </c>
      <c r="B37" s="222" t="n">
        <v>2000</v>
      </c>
      <c r="C37" s="259" t="n">
        <v>8000</v>
      </c>
      <c r="D37" s="260" t="inlineStr">
        <is>
          <t>Confirmed — $2,000/week | $333.33/day | Start 9 Jun 2026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$133.33/day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26" t="inlineStr">
        <is>
          <t>TOTALS &amp; CURRENT BALANCE</t>
        </is>
      </c>
      <c r="B74" s="219" t="n"/>
      <c r="C74" s="219" t="n"/>
      <c r="D74" s="256">
        <f>SUM(D63:D73)</f>
        <v/>
      </c>
      <c r="E74" s="257">
        <f>SUM(E63:E73)</f>
        <v/>
      </c>
      <c r="F74" s="258">
        <f>F73</f>
        <v/>
      </c>
      <c r="G74" s="226">
        <f>IF(F73&gt;0,"⏳ Restaurant owes Lohith $"&amp;TEXT(F73,"#,##0"),IF(F73&lt;0,"💵 Lohith holds $"&amp;TEXT(ABS(F73),"#,##0"),"✅ Zero balance"))</f>
        <v/>
      </c>
    </row>
    <row r="76">
      <c r="A76" s="242" t="inlineStr">
        <is>
          <t>HOW TO USE: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Add new rows above TOTALS. Spent by Lohith = restaurant expenses he paid personally.</t>
        </is>
      </c>
      <c r="B77" s="242" t="n"/>
      <c r="C77" s="242" t="n"/>
      <c r="D77" s="242" t="n"/>
      <c r="E77" s="242" t="n"/>
      <c r="F77" s="242" t="n"/>
      <c r="G77" s="242" t="n"/>
      <c r="H77" s="242" t="n"/>
    </row>
    <row r="78">
      <c r="A78" s="242" t="inlineStr">
        <is>
          <t>Transferred to Lohith = customer bank transfers received in his personal account.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Positive balance = restaurant owes Lohith. Negative = Lohith holds restaurant funds.</t>
        </is>
      </c>
      <c r="B79" s="242" t="n"/>
      <c r="C79" s="242" t="n"/>
      <c r="D79" s="242" t="n"/>
      <c r="E79" s="242" t="n"/>
      <c r="F79" s="242" t="n"/>
      <c r="G79" s="242" t="n"/>
      <c r="H79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2026-06-15T12:46:27Z</dcterms:modified>
  <cp:lastModifiedBy>LOHITH REDDY</cp:lastModifiedBy>
</cp:coreProperties>
</file>