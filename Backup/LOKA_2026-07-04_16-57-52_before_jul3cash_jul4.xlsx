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1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Owner ledger balance settled from budget (rent + fronted items)</t>
        </is>
      </c>
      <c r="D139" s="242" t="n">
        <v>19314.81</v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19314.81</v>
      </c>
      <c r="E147" s="405" t="inlineStr">
        <is>
          <t>Rent + fronted operating items funded from capital budget (settled 30 Jun).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T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85" t="n">
        <v>46205</v>
      </c>
      <c r="C53" s="256" t="inlineStr">
        <is>
          <t>Thu</t>
        </is>
      </c>
      <c r="D53" s="257" t="n">
        <v>1859</v>
      </c>
      <c r="E53" s="49" t="n">
        <v>1249</v>
      </c>
      <c r="F53" s="50">
        <f>IFERROR(D53+E53+G53,0)</f>
        <v/>
      </c>
      <c r="G53" s="258" t="n">
        <v>0</v>
      </c>
      <c r="H53" s="259">
        <f>SUMIFS('💸 Expenses'!$F$8:$F$500,'💸 Expenses'!$B$8:$B$500,"&gt;="&amp;B53,'💸 Expenses'!$B$8:$B$500,"&lt;"&amp;(B53+1))</f>
        <v/>
      </c>
      <c r="I53" s="260">
        <f>IFERROR(F53-H53,0)</f>
        <v/>
      </c>
      <c r="J53" s="261">
        <f>IFERROR(I53/F53,0)</f>
        <v/>
      </c>
      <c r="K53" s="255" t="inlineStr">
        <is>
          <t>incl +$120 additional card income (added 02-Jul)</t>
        </is>
      </c>
      <c r="L53" s="262" t="inlineStr">
        <is>
          <t>Cierre via loka.py</t>
        </is>
      </c>
      <c r="M53" s="21" t="n"/>
      <c r="N53" s="56" t="n"/>
      <c r="O53" s="57" t="n"/>
      <c r="P53" s="58" t="n"/>
      <c r="Q53" s="56" t="n"/>
      <c r="R53" s="410">
        <f>IFERROR(D53*$T$7,0)</f>
        <v/>
      </c>
    </row>
    <row r="54" ht="16.5" customHeight="1" s="278">
      <c r="B54" s="385" t="n">
        <v>46206</v>
      </c>
      <c r="C54" s="386" t="inlineStr">
        <is>
          <t>Fri</t>
        </is>
      </c>
      <c r="D54" s="387" t="n">
        <v>3702</v>
      </c>
      <c r="E54" s="37" t="n">
        <v>2265</v>
      </c>
      <c r="F54" s="38">
        <f>IFERROR(D54+E54+G54,0)</f>
        <v/>
      </c>
      <c r="G54" s="388" t="n">
        <v>0</v>
      </c>
      <c r="H54" s="389">
        <f>SUMIFS('💸 Expenses'!$F$8:$F$500,'💸 Expenses'!$B$8:$B$500,"&gt;="&amp;B54,'💸 Expenses'!$B$8:$B$500,"&lt;"&amp;(B54+1))</f>
        <v/>
      </c>
      <c r="I54" s="390">
        <f>IFERROR(F54-H54,0)</f>
        <v/>
      </c>
      <c r="J54" s="391">
        <f>IFERROR(I54/F54,0)</f>
        <v/>
      </c>
      <c r="K54" s="251" t="n"/>
      <c r="L54" s="392" t="inlineStr">
        <is>
          <t>Cierre via loka.py</t>
        </is>
      </c>
      <c r="M54" s="12" t="n"/>
      <c r="N54" s="44" t="n"/>
      <c r="O54" s="45" t="n"/>
      <c r="P54" s="46" t="n"/>
      <c r="Q54" s="44" t="n"/>
      <c r="R54" s="410">
        <f>IFERROR(D54*$T$7,0)</f>
        <v/>
      </c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382" t="n">
        <v>46206</v>
      </c>
      <c r="C411" s="248" t="inlineStr">
        <is>
          <t>Muslo (pollo) 3.79kg @ $50/kg</t>
        </is>
      </c>
      <c r="D411" s="249" t="inlineStr">
        <is>
          <t>Remision Loka Cafe</t>
        </is>
      </c>
      <c r="E411" s="248" t="inlineStr">
        <is>
          <t>Ingredients - Meat</t>
        </is>
      </c>
      <c r="F411" s="67" t="n">
        <v>190</v>
      </c>
      <c r="G411" s="250" t="inlineStr">
        <is>
          <t>Restaurant</t>
        </is>
      </c>
      <c r="H411" s="250" t="inlineStr">
        <is>
          <t>Cash</t>
        </is>
      </c>
      <c r="I411" s="251" t="inlineStr">
        <is>
          <t>✅ Paid</t>
        </is>
      </c>
      <c r="J411" s="383" t="inlineStr">
        <is>
          <t>Nota remision manuscrita; 3.79x50; efectivo</t>
        </is>
      </c>
    </row>
    <row r="412">
      <c r="B412" s="382" t="n">
        <v>46206</v>
      </c>
      <c r="C412" s="252" t="inlineStr">
        <is>
          <t>Muslo (pollo) 2.30kg @ $50/kg</t>
        </is>
      </c>
      <c r="D412" s="253" t="inlineStr">
        <is>
          <t>Remision</t>
        </is>
      </c>
      <c r="E412" s="252" t="inlineStr">
        <is>
          <t>Ingredients - Meat</t>
        </is>
      </c>
      <c r="F412" s="70" t="n">
        <v>115</v>
      </c>
      <c r="G412" s="254" t="inlineStr">
        <is>
          <t>Restaurant</t>
        </is>
      </c>
      <c r="H412" s="254" t="inlineStr">
        <is>
          <t>Cash</t>
        </is>
      </c>
      <c r="I412" s="255" t="inlineStr">
        <is>
          <t>✅ Paid</t>
        </is>
      </c>
      <c r="J412" s="383" t="inlineStr">
        <is>
          <t>Nota remision manuscrita; 2.30x50=115; efectivo</t>
        </is>
      </c>
    </row>
    <row r="413">
      <c r="B413" s="382" t="n">
        <v>46206</v>
      </c>
      <c r="C413" s="248" t="inlineStr">
        <is>
          <t>Mayo Real x2 + Leche entera (Sam's Club)</t>
        </is>
      </c>
      <c r="D413" s="249" t="inlineStr">
        <is>
          <t>Sam's Club</t>
        </is>
      </c>
      <c r="E413" s="248" t="inlineStr">
        <is>
          <t>Supermarket/General</t>
        </is>
      </c>
      <c r="F413" s="67" t="n">
        <v>810</v>
      </c>
      <c r="G413" s="250" t="inlineStr">
        <is>
          <t>Restaurant</t>
        </is>
      </c>
      <c r="H413" s="250" t="inlineStr">
        <is>
          <t>Card</t>
        </is>
      </c>
      <c r="I413" s="251" t="inlineStr">
        <is>
          <t>✅ Paid</t>
        </is>
      </c>
      <c r="J413" s="383" t="inlineStr">
        <is>
          <t>Debito Mastercard Bancomer AUT 733600; mayo $544.24 + leche $284.39 - desc $18.63 = 810</t>
        </is>
      </c>
    </row>
    <row r="414">
      <c r="B414" s="382" t="n">
        <v>46206</v>
      </c>
      <c r="C414" s="252" t="inlineStr">
        <is>
          <t>Filete mojarra de mar 3.14kg @ $140/kg</t>
        </is>
      </c>
      <c r="D414" s="253" t="inlineStr">
        <is>
          <t>Brisa del Mar</t>
        </is>
      </c>
      <c r="E414" s="252" t="inlineStr">
        <is>
          <t>Ingredients - Meat &amp; Fish</t>
        </is>
      </c>
      <c r="F414" s="70" t="n">
        <v>439.6</v>
      </c>
      <c r="G414" s="254" t="inlineStr">
        <is>
          <t>Restaurant</t>
        </is>
      </c>
      <c r="H414" s="254" t="inlineStr">
        <is>
          <t>Cash</t>
        </is>
      </c>
      <c r="I414" s="255" t="inlineStr">
        <is>
          <t>✅ Paid</t>
        </is>
      </c>
      <c r="J414" s="383" t="inlineStr">
        <is>
          <t>Pescados y mariscos 08:44; metodo no impreso (asumido efectivo)</t>
        </is>
      </c>
    </row>
    <row r="415">
      <c r="B415" s="382" t="n">
        <v>46206</v>
      </c>
      <c r="C415" s="248" t="inlineStr">
        <is>
          <t>Vegetales</t>
        </is>
      </c>
      <c r="D415" s="249" t="inlineStr">
        <is>
          <t>No bill</t>
        </is>
      </c>
      <c r="E415" s="248" t="inlineStr">
        <is>
          <t>Ingredients - Vegetables</t>
        </is>
      </c>
      <c r="F415" s="67" t="n">
        <v>55</v>
      </c>
      <c r="G415" s="250" t="inlineStr">
        <is>
          <t>Restaurant</t>
        </is>
      </c>
      <c r="H415" s="250" t="inlineStr">
        <is>
          <t>Cash</t>
        </is>
      </c>
      <c r="I415" s="251" t="inlineStr">
        <is>
          <t>✅ Paid</t>
        </is>
      </c>
      <c r="J415" s="383" t="inlineStr">
        <is>
          <t>No receipt; cash purchase</t>
        </is>
      </c>
    </row>
    <row r="416">
      <c r="B416" s="382" t="n">
        <v>46206</v>
      </c>
      <c r="C416" s="252" t="inlineStr">
        <is>
          <t>Samu — Ayudante Week 7</t>
        </is>
      </c>
      <c r="D416" s="253" t="inlineStr">
        <is>
          <t>Payroll</t>
        </is>
      </c>
      <c r="E416" s="252" t="inlineStr">
        <is>
          <t>Staff - Salary</t>
        </is>
      </c>
      <c r="F416" s="70" t="n">
        <v>1200</v>
      </c>
      <c r="G416" s="254" t="inlineStr">
        <is>
          <t>Restaurant</t>
        </is>
      </c>
      <c r="H416" s="254" t="inlineStr">
        <is>
          <t>Cash</t>
        </is>
      </c>
      <c r="I416" s="255" t="inlineStr">
        <is>
          <t>✅ Paid</t>
        </is>
      </c>
      <c r="J416" s="383" t="inlineStr">
        <is>
          <t>Week 7 salary, paid Friday 03 Jul ($800 base + $400 mesero top-up)</t>
        </is>
      </c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Pantry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Vegetables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Software / Subscription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Supermarket/General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Staff - Advance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Utilities / Internet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Packaging / Disposables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Desserts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Staff - Propinas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Office Supplies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80" t="inlineStr">
        <is>
          <t>Ingredients - Produce</t>
        </is>
      </c>
      <c r="B42" s="378">
        <f>SUMIFS('💸 Expenses'!$F$8:$F$500,'💸 Expenses'!$E$8:$E$500,$A42,'💸 Expenses'!$B$8:$B$500,"&gt;="&amp;DATE(2026,5,1),'💸 Expenses'!$B$8:$B$500,"&lt;"&amp;DATE(2026,6,1))</f>
        <v/>
      </c>
      <c r="C42" s="378">
        <f>SUMIFS('💸 Expenses'!$F$8:$F$500,'💸 Expenses'!$E$8:$E$500,$A42,'💸 Expenses'!$B$8:$B$500,"&gt;="&amp;DATE(2026,6,1),'💸 Expenses'!$B$8:$B$500,"&lt;"&amp;DATE(2026,7,1))</f>
        <v/>
      </c>
      <c r="D42" s="378">
        <f>SUMIFS('💸 Expenses'!$F$8:$F$500,'💸 Expenses'!$E$8:$E$500,$A42,'💸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TOTAL EXPENSES</t>
        </is>
      </c>
      <c r="B43" s="379">
        <f>SUMIFS('💸 Expenses'!$F$8:$F$500,'💸 Expenses'!$B$8:$B$500,"&gt;="&amp;DATE(2026,5,1),'💸 Expenses'!$B$8:$B$500,"&lt;"&amp;DATE(2026,6,1))</f>
        <v/>
      </c>
      <c r="C43" s="379">
        <f>SUMIFS('💸 Expenses'!$F$8:$F$500,'💸 Expenses'!$B$8:$B$500,"&gt;="&amp;DATE(2026,6,1),'💸 Expenses'!$B$8:$B$500,"&lt;"&amp;DATE(2026,7,1))</f>
        <v/>
      </c>
      <c r="D43" s="379">
        <f>SUMIFS('💸 Expenses'!$F$8:$F$500,'💸 Expenses'!$B$8:$B$500,"&gt;="&amp;DATE(2026,7,1),'💸 Expenses'!$B$8:$B$500,"&lt;"&amp;DATE(2026,8,1))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7" t="inlineStr">
        <is>
          <t>NET PROFIT / LOSS</t>
        </is>
      </c>
      <c r="B44" s="379">
        <f>B4-B43</f>
        <v/>
      </c>
      <c r="C44" s="379">
        <f>C4-C43</f>
        <v/>
      </c>
      <c r="D44" s="379">
        <f>D4-D43</f>
        <v/>
      </c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2026-07-04T02:14:48Z</dcterms:modified>
  <cp:lastModifiedBy>LOHITH REDDY</cp:lastModifiedBy>
</cp:coreProperties>
</file>